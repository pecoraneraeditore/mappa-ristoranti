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6CA08CB-A10A-4E3E-85E9-2A4E91F5BCFF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golose'!$A$7:$AI$240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9" i="6" l="1"/>
  <c r="T239" i="6"/>
  <c r="U239" i="6"/>
  <c r="V239" i="6"/>
  <c r="W239" i="6"/>
  <c r="X239" i="6"/>
  <c r="Y239" i="6"/>
  <c r="Z239" i="6"/>
  <c r="AA239" i="6"/>
  <c r="AB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AI235" i="6"/>
  <c r="AH235" i="6"/>
  <c r="AG235" i="6"/>
  <c r="AF235" i="6"/>
  <c r="AE235" i="6"/>
  <c r="AD235" i="6"/>
  <c r="S235" i="6"/>
  <c r="AI144" i="6"/>
  <c r="AH144" i="6"/>
  <c r="AG144" i="6"/>
  <c r="AF144" i="6"/>
  <c r="AE144" i="6"/>
  <c r="AD144" i="6"/>
  <c r="S144" i="6"/>
  <c r="AI140" i="6"/>
  <c r="AH140" i="6"/>
  <c r="AG140" i="6"/>
  <c r="AF140" i="6"/>
  <c r="AE140" i="6"/>
  <c r="AD140" i="6"/>
  <c r="S140" i="6"/>
  <c r="AI127" i="6"/>
  <c r="AH127" i="6"/>
  <c r="AG127" i="6"/>
  <c r="AF127" i="6"/>
  <c r="AE127" i="6"/>
  <c r="AD127" i="6"/>
  <c r="S12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7" i="6" s="1"/>
  <c r="S8" i="6"/>
  <c r="AD8" i="6"/>
  <c r="AE8" i="6"/>
  <c r="AF8" i="6"/>
  <c r="AG8" i="6"/>
  <c r="AH8" i="6"/>
  <c r="AI8" i="6"/>
  <c r="T235" i="6" l="1"/>
  <c r="T144" i="6"/>
  <c r="T232" i="6"/>
  <c r="T140" i="6"/>
  <c r="T200" i="6"/>
  <c r="T204" i="6"/>
  <c r="T234" i="6"/>
  <c r="T202" i="6"/>
  <c r="T127" i="6"/>
  <c r="T206" i="6"/>
  <c r="T208" i="6"/>
  <c r="T210" i="6"/>
  <c r="T212" i="6"/>
  <c r="T181" i="6"/>
  <c r="T214" i="6"/>
  <c r="T182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8" i="6"/>
  <c r="T236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83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1" i="6"/>
  <c r="T142" i="6"/>
  <c r="T143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44" i="6" l="1"/>
  <c r="U235" i="6"/>
  <c r="U127" i="6"/>
  <c r="U14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1" i="6"/>
  <c r="U142" i="6"/>
  <c r="U143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95" i="6"/>
  <c r="U237" i="6"/>
  <c r="U216" i="6"/>
  <c r="U224" i="6"/>
  <c r="U222" i="6"/>
  <c r="U184" i="6"/>
  <c r="U192" i="6"/>
  <c r="U200" i="6"/>
  <c r="U208" i="6"/>
  <c r="U219" i="6"/>
  <c r="U233" i="6"/>
  <c r="U213" i="6"/>
  <c r="U234" i="6"/>
  <c r="U230" i="6"/>
  <c r="U189" i="6"/>
  <c r="U197" i="6"/>
  <c r="U205" i="6"/>
  <c r="U221" i="6"/>
  <c r="U232" i="6"/>
  <c r="U228" i="6"/>
  <c r="U206" i="6"/>
  <c r="U186" i="6"/>
  <c r="U194" i="6"/>
  <c r="U202" i="6"/>
  <c r="U210" i="6"/>
  <c r="U218" i="6"/>
  <c r="U226" i="6"/>
  <c r="U229" i="6"/>
  <c r="U236" i="6"/>
  <c r="U203" i="6"/>
  <c r="U183" i="6"/>
  <c r="U191" i="6"/>
  <c r="U199" i="6"/>
  <c r="U207" i="6"/>
  <c r="U215" i="6"/>
  <c r="U223" i="6"/>
  <c r="U214" i="6"/>
  <c r="U227" i="6"/>
  <c r="U188" i="6"/>
  <c r="U196" i="6"/>
  <c r="U204" i="6"/>
  <c r="U212" i="6"/>
  <c r="U220" i="6"/>
  <c r="U231" i="6"/>
  <c r="U190" i="6"/>
  <c r="U185" i="6"/>
  <c r="U193" i="6"/>
  <c r="U201" i="6"/>
  <c r="U209" i="6"/>
  <c r="U217" i="6"/>
  <c r="U225" i="6"/>
  <c r="U238" i="6"/>
  <c r="U198" i="6"/>
  <c r="U187" i="6"/>
  <c r="U182" i="6"/>
  <c r="U211" i="6"/>
  <c r="U195" i="6"/>
  <c r="T5" i="6"/>
  <c r="U8" i="6"/>
  <c r="V7" i="6"/>
  <c r="U10" i="6"/>
  <c r="U9" i="6"/>
  <c r="H4" i="6"/>
  <c r="H3" i="6"/>
  <c r="E5" i="6"/>
  <c r="F5" i="6"/>
  <c r="G5" i="6"/>
  <c r="V144" i="6" l="1"/>
  <c r="V235" i="6"/>
  <c r="V127" i="6"/>
  <c r="V14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1" i="6"/>
  <c r="V142" i="6"/>
  <c r="V143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92" i="6"/>
  <c r="V95" i="6"/>
  <c r="V94" i="6"/>
  <c r="V91" i="6"/>
  <c r="V93" i="6"/>
  <c r="V90" i="6"/>
  <c r="V187" i="6"/>
  <c r="V195" i="6"/>
  <c r="V203" i="6"/>
  <c r="V211" i="6"/>
  <c r="V219" i="6"/>
  <c r="V227" i="6"/>
  <c r="V230" i="6"/>
  <c r="V233" i="6"/>
  <c r="V237" i="6"/>
  <c r="V223" i="6"/>
  <c r="V184" i="6"/>
  <c r="V192" i="6"/>
  <c r="V200" i="6"/>
  <c r="V208" i="6"/>
  <c r="V216" i="6"/>
  <c r="V224" i="6"/>
  <c r="V215" i="6"/>
  <c r="V207" i="6"/>
  <c r="V217" i="6"/>
  <c r="V189" i="6"/>
  <c r="V197" i="6"/>
  <c r="V205" i="6"/>
  <c r="V213" i="6"/>
  <c r="V221" i="6"/>
  <c r="V191" i="6"/>
  <c r="V201" i="6"/>
  <c r="V232" i="6"/>
  <c r="V218" i="6"/>
  <c r="V226" i="6"/>
  <c r="V229" i="6"/>
  <c r="V236" i="6"/>
  <c r="V212" i="6"/>
  <c r="V186" i="6"/>
  <c r="V194" i="6"/>
  <c r="V202" i="6"/>
  <c r="V210" i="6"/>
  <c r="V196" i="6"/>
  <c r="V238" i="6"/>
  <c r="V183" i="6"/>
  <c r="V199" i="6"/>
  <c r="V220" i="6"/>
  <c r="V188" i="6"/>
  <c r="V204" i="6"/>
  <c r="V228" i="6"/>
  <c r="V231" i="6"/>
  <c r="V234" i="6"/>
  <c r="V193" i="6"/>
  <c r="V225" i="6"/>
  <c r="V185" i="6"/>
  <c r="V209" i="6"/>
  <c r="V182" i="6"/>
  <c r="V190" i="6"/>
  <c r="V198" i="6"/>
  <c r="V206" i="6"/>
  <c r="V214" i="6"/>
  <c r="V222" i="6"/>
  <c r="V9" i="6"/>
  <c r="V8" i="6"/>
  <c r="V10" i="6"/>
  <c r="W7" i="6"/>
  <c r="U5" i="6"/>
  <c r="H5" i="6"/>
  <c r="W144" i="6" l="1"/>
  <c r="W235" i="6"/>
  <c r="W127" i="6"/>
  <c r="W14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1" i="6"/>
  <c r="W142" i="6"/>
  <c r="W143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6" i="6"/>
  <c r="W237" i="6"/>
  <c r="W238" i="6"/>
  <c r="V5" i="6"/>
  <c r="W10" i="6"/>
  <c r="W8" i="6"/>
  <c r="X7" i="6"/>
  <c r="W9" i="6"/>
  <c r="X144" i="6" l="1"/>
  <c r="X235" i="6"/>
  <c r="X127" i="6"/>
  <c r="X14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8" i="6"/>
  <c r="X129" i="6"/>
  <c r="X130" i="6"/>
  <c r="X131" i="6"/>
  <c r="X132" i="6"/>
  <c r="X133" i="6"/>
  <c r="X134" i="6"/>
  <c r="X135" i="6"/>
  <c r="X136" i="6"/>
  <c r="X137" i="6"/>
  <c r="X153" i="6"/>
  <c r="X169" i="6"/>
  <c r="X138" i="6"/>
  <c r="X156" i="6"/>
  <c r="X172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6" i="6"/>
  <c r="X237" i="6"/>
  <c r="X238" i="6"/>
  <c r="X142" i="6"/>
  <c r="X159" i="6"/>
  <c r="X175" i="6"/>
  <c r="X146" i="6"/>
  <c r="X162" i="6"/>
  <c r="X178" i="6"/>
  <c r="X149" i="6"/>
  <c r="X165" i="6"/>
  <c r="X152" i="6"/>
  <c r="X168" i="6"/>
  <c r="X155" i="6"/>
  <c r="X171" i="6"/>
  <c r="X141" i="6"/>
  <c r="X158" i="6"/>
  <c r="X174" i="6"/>
  <c r="X145" i="6"/>
  <c r="X161" i="6"/>
  <c r="X177" i="6"/>
  <c r="X148" i="6"/>
  <c r="X164" i="6"/>
  <c r="X180" i="6"/>
  <c r="X151" i="6"/>
  <c r="X167" i="6"/>
  <c r="X154" i="6"/>
  <c r="X170" i="6"/>
  <c r="X139" i="6"/>
  <c r="X157" i="6"/>
  <c r="X173" i="6"/>
  <c r="X150" i="6"/>
  <c r="X143" i="6"/>
  <c r="X179" i="6"/>
  <c r="X163" i="6"/>
  <c r="X147" i="6"/>
  <c r="X176" i="6"/>
  <c r="X160" i="6"/>
  <c r="X166" i="6"/>
  <c r="X10" i="6"/>
  <c r="X8" i="6"/>
  <c r="X9" i="6"/>
  <c r="Y7" i="6"/>
  <c r="W5" i="6"/>
  <c r="Y144" i="6" l="1"/>
  <c r="Y235" i="6"/>
  <c r="Y127" i="6"/>
  <c r="Y14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8" i="6"/>
  <c r="Y129" i="6"/>
  <c r="Y130" i="6"/>
  <c r="Y131" i="6"/>
  <c r="Y132" i="6"/>
  <c r="Y133" i="6"/>
  <c r="Y134" i="6"/>
  <c r="Y135" i="6"/>
  <c r="Y136" i="6"/>
  <c r="Y137" i="6"/>
  <c r="Y94" i="6"/>
  <c r="Y150" i="6"/>
  <c r="Y166" i="6"/>
  <c r="Y153" i="6"/>
  <c r="Y169" i="6"/>
  <c r="Y138" i="6"/>
  <c r="Y156" i="6"/>
  <c r="Y172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6" i="6"/>
  <c r="Y237" i="6"/>
  <c r="Y238" i="6"/>
  <c r="Y93" i="6"/>
  <c r="Y142" i="6"/>
  <c r="Y159" i="6"/>
  <c r="Y175" i="6"/>
  <c r="Y146" i="6"/>
  <c r="Y162" i="6"/>
  <c r="Y178" i="6"/>
  <c r="Y149" i="6"/>
  <c r="Y165" i="6"/>
  <c r="Y152" i="6"/>
  <c r="Y168" i="6"/>
  <c r="Y155" i="6"/>
  <c r="Y171" i="6"/>
  <c r="Y141" i="6"/>
  <c r="Y158" i="6"/>
  <c r="Y174" i="6"/>
  <c r="Y145" i="6"/>
  <c r="Y161" i="6"/>
  <c r="Y177" i="6"/>
  <c r="Y148" i="6"/>
  <c r="Y164" i="6"/>
  <c r="Y180" i="6"/>
  <c r="Y151" i="6"/>
  <c r="Y167" i="6"/>
  <c r="Y154" i="6"/>
  <c r="Y170" i="6"/>
  <c r="Y160" i="6"/>
  <c r="Y173" i="6"/>
  <c r="Y143" i="6"/>
  <c r="Y179" i="6"/>
  <c r="Y157" i="6"/>
  <c r="Y163" i="6"/>
  <c r="Y139" i="6"/>
  <c r="Y147" i="6"/>
  <c r="Y176" i="6"/>
  <c r="Y10" i="6"/>
  <c r="Y9" i="6"/>
  <c r="Y8" i="6"/>
  <c r="Z7" i="6"/>
  <c r="X5" i="6"/>
  <c r="Z144" i="6" l="1"/>
  <c r="Z235" i="6"/>
  <c r="Z127" i="6"/>
  <c r="Z14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8" i="6"/>
  <c r="Z129" i="6"/>
  <c r="Z130" i="6"/>
  <c r="Z131" i="6"/>
  <c r="Z132" i="6"/>
  <c r="Z133" i="6"/>
  <c r="Z134" i="6"/>
  <c r="Z135" i="6"/>
  <c r="Z136" i="6"/>
  <c r="Z137" i="6"/>
  <c r="Z147" i="6"/>
  <c r="Z163" i="6"/>
  <c r="Z179" i="6"/>
  <c r="Z222" i="6"/>
  <c r="Z226" i="6"/>
  <c r="Z229" i="6"/>
  <c r="Z232" i="6"/>
  <c r="Z237" i="6"/>
  <c r="Z150" i="6"/>
  <c r="Z166" i="6"/>
  <c r="Z223" i="6"/>
  <c r="Z228" i="6"/>
  <c r="Z234" i="6"/>
  <c r="Z153" i="6"/>
  <c r="Z169" i="6"/>
  <c r="Z220" i="6"/>
  <c r="Z225" i="6"/>
  <c r="Z230" i="6"/>
  <c r="Z233" i="6"/>
  <c r="Z238" i="6"/>
  <c r="Z138" i="6"/>
  <c r="Z156" i="6"/>
  <c r="Z172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1" i="6"/>
  <c r="Z224" i="6"/>
  <c r="Z227" i="6"/>
  <c r="Z231" i="6"/>
  <c r="Z236" i="6"/>
  <c r="Z142" i="6"/>
  <c r="Z159" i="6"/>
  <c r="Z175" i="6"/>
  <c r="Z146" i="6"/>
  <c r="Z162" i="6"/>
  <c r="Z178" i="6"/>
  <c r="Z149" i="6"/>
  <c r="Z165" i="6"/>
  <c r="Z152" i="6"/>
  <c r="Z168" i="6"/>
  <c r="Z155" i="6"/>
  <c r="Z171" i="6"/>
  <c r="Z141" i="6"/>
  <c r="Z158" i="6"/>
  <c r="Z174" i="6"/>
  <c r="Z145" i="6"/>
  <c r="Z161" i="6"/>
  <c r="Z177" i="6"/>
  <c r="Z148" i="6"/>
  <c r="Z164" i="6"/>
  <c r="Z180" i="6"/>
  <c r="Z151" i="6"/>
  <c r="Z167" i="6"/>
  <c r="Z154" i="6"/>
  <c r="Z160" i="6"/>
  <c r="Z173" i="6"/>
  <c r="Z143" i="6"/>
  <c r="Z157" i="6"/>
  <c r="Z176" i="6"/>
  <c r="Z139" i="6"/>
  <c r="Z170" i="6"/>
  <c r="Z8" i="6"/>
  <c r="Z10" i="6"/>
  <c r="AA7" i="6"/>
  <c r="Z9" i="6"/>
  <c r="Y5" i="6"/>
  <c r="AA144" i="6" l="1"/>
  <c r="AA235" i="6"/>
  <c r="AA127" i="6"/>
  <c r="AA14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8" i="6"/>
  <c r="AA129" i="6"/>
  <c r="AA91" i="6"/>
  <c r="AA94" i="6"/>
  <c r="AA143" i="6"/>
  <c r="AA160" i="6"/>
  <c r="AA176" i="6"/>
  <c r="AA211" i="6"/>
  <c r="AA215" i="6"/>
  <c r="AA219" i="6"/>
  <c r="AA223" i="6"/>
  <c r="AA227" i="6"/>
  <c r="AA231" i="6"/>
  <c r="AA237" i="6"/>
  <c r="AA130" i="6"/>
  <c r="AA132" i="6"/>
  <c r="AA134" i="6"/>
  <c r="AA136" i="6"/>
  <c r="AA147" i="6"/>
  <c r="AA163" i="6"/>
  <c r="AA179" i="6"/>
  <c r="AA209" i="6"/>
  <c r="AA213" i="6"/>
  <c r="AA220" i="6"/>
  <c r="AA224" i="6"/>
  <c r="AA228" i="6"/>
  <c r="AA234" i="6"/>
  <c r="AA150" i="6"/>
  <c r="AA166" i="6"/>
  <c r="AA207" i="6"/>
  <c r="AA214" i="6"/>
  <c r="AA218" i="6"/>
  <c r="AA222" i="6"/>
  <c r="AA226" i="6"/>
  <c r="AA229" i="6"/>
  <c r="AA233" i="6"/>
  <c r="AA238" i="6"/>
  <c r="AA153" i="6"/>
  <c r="AA169" i="6"/>
  <c r="AA208" i="6"/>
  <c r="AA216" i="6"/>
  <c r="AA221" i="6"/>
  <c r="AA225" i="6"/>
  <c r="AA230" i="6"/>
  <c r="AA236" i="6"/>
  <c r="AA93" i="6"/>
  <c r="AA138" i="6"/>
  <c r="AA156" i="6"/>
  <c r="AA172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10" i="6"/>
  <c r="AA212" i="6"/>
  <c r="AA217" i="6"/>
  <c r="AA232" i="6"/>
  <c r="AA142" i="6"/>
  <c r="AA159" i="6"/>
  <c r="AA175" i="6"/>
  <c r="AA146" i="6"/>
  <c r="AA162" i="6"/>
  <c r="AA178" i="6"/>
  <c r="AA149" i="6"/>
  <c r="AA165" i="6"/>
  <c r="AA152" i="6"/>
  <c r="AA168" i="6"/>
  <c r="AA131" i="6"/>
  <c r="AA133" i="6"/>
  <c r="AA135" i="6"/>
  <c r="AA137" i="6"/>
  <c r="AA155" i="6"/>
  <c r="AA171" i="6"/>
  <c r="AA141" i="6"/>
  <c r="AA158" i="6"/>
  <c r="AA174" i="6"/>
  <c r="AA145" i="6"/>
  <c r="AA161" i="6"/>
  <c r="AA177" i="6"/>
  <c r="AA148" i="6"/>
  <c r="AA164" i="6"/>
  <c r="AA180" i="6"/>
  <c r="AA86" i="6"/>
  <c r="AA154" i="6"/>
  <c r="AA170" i="6"/>
  <c r="AA173" i="6"/>
  <c r="AA167" i="6"/>
  <c r="AA157" i="6"/>
  <c r="AA151" i="6"/>
  <c r="AA88" i="6"/>
  <c r="AA139" i="6"/>
  <c r="Z5" i="6"/>
  <c r="AA9" i="6"/>
  <c r="AA8" i="6"/>
  <c r="AB7" i="6"/>
  <c r="AA10" i="6"/>
  <c r="AB144" i="6" l="1"/>
  <c r="AB235" i="6"/>
  <c r="AB127" i="6"/>
  <c r="AB14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1" i="6"/>
  <c r="AB142" i="6"/>
  <c r="AB143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91" i="6"/>
  <c r="AB94" i="6"/>
  <c r="AB215" i="6"/>
  <c r="AB220" i="6"/>
  <c r="AB225" i="6"/>
  <c r="AB229" i="6"/>
  <c r="AB231" i="6"/>
  <c r="AB218" i="6"/>
  <c r="AB222" i="6"/>
  <c r="AB217" i="6"/>
  <c r="AB224" i="6"/>
  <c r="AB216" i="6"/>
  <c r="AB223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9" i="6"/>
  <c r="AB221" i="6"/>
  <c r="AB226" i="6"/>
  <c r="AB227" i="6"/>
  <c r="AB230" i="6"/>
  <c r="AB233" i="6"/>
  <c r="AB237" i="6"/>
  <c r="AB234" i="6"/>
  <c r="AB238" i="6"/>
  <c r="AB232" i="6"/>
  <c r="AB236" i="6"/>
  <c r="AB228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<sst xmlns="http://schemas.openxmlformats.org/spreadsheetml/2006/main" count="2232" uniqueCount="1006">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</sst>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0"/>
  <sheetViews>
    <sheetView tabSelected="1" zoomScale="110" zoomScaleNormal="110" workbookViewId="0">
      <pane ySplit="7" topLeftCell="A8" activePane="bottomLeft" state="frozen"/>
      <selection pane="bottomLeft" activeCell="L12" sqref="L12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66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117</v>
      </c>
      <c r="G4" s="9">
        <f>+AG6</f>
        <v>93</v>
      </c>
      <c r="H4" s="7">
        <f>+E4-G4</f>
        <v>48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183</v>
      </c>
      <c r="G5" s="11">
        <f>+G3+G4</f>
        <v>144</v>
      </c>
      <c r="H5" s="11">
        <f>+H3+H4</f>
        <v>49</v>
      </c>
      <c r="I5" s="25" t="s">
        <v>43</v>
      </c>
      <c r="J5" s="12"/>
      <c r="K5" s="12"/>
      <c r="N5" s="13"/>
      <c r="R5" s="12"/>
      <c r="S5" s="12">
        <f t="shared" ref="S5:AB5" si="0">SUM(S8:S1882)</f>
        <v>25</v>
      </c>
      <c r="T5" s="12">
        <f t="shared" si="0"/>
        <v>10</v>
      </c>
      <c r="U5" s="12">
        <f t="shared" si="0"/>
        <v>19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SUM(AD8:AD1881)</f>
        <v>66</v>
      </c>
      <c r="AE6" s="2">
        <f t="shared" si="1"/>
        <v>117</v>
      </c>
      <c r="AF6" s="2">
        <f t="shared" si="1"/>
        <v>51</v>
      </c>
      <c r="AG6" s="2">
        <f t="shared" si="1"/>
        <v>93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854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944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865</v>
      </c>
      <c r="N8" s="30" t="s">
        <v>896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882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882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190</v>
      </c>
      <c r="M11" s="30" t="s">
        <v>206</v>
      </c>
      <c r="N11" s="30" t="s">
        <v>902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866</v>
      </c>
      <c r="N12" s="30" t="s">
        <v>896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867</v>
      </c>
      <c r="N13" s="30" t="s">
        <v>888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882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923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377</v>
      </c>
      <c r="E17" s="33" t="s">
        <v>260</v>
      </c>
      <c r="F17" s="33" t="s">
        <v>378</v>
      </c>
      <c r="G17" s="33" t="s">
        <v>379</v>
      </c>
      <c r="H17" s="33" t="s">
        <v>380</v>
      </c>
      <c r="I17" s="32" t="s">
        <v>381</v>
      </c>
      <c r="J17" s="32">
        <v>99</v>
      </c>
      <c r="K17" s="32" t="s">
        <v>376</v>
      </c>
      <c r="L17" s="32">
        <v>170</v>
      </c>
      <c r="M17" s="33" t="s">
        <v>881</v>
      </c>
      <c r="N17" s="33" t="s">
        <v>886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882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543</v>
      </c>
      <c r="E19" s="33" t="s">
        <v>262</v>
      </c>
      <c r="F19" s="33" t="s">
        <v>542</v>
      </c>
      <c r="G19" s="33" t="s">
        <v>563</v>
      </c>
      <c r="H19" s="33" t="s">
        <v>165</v>
      </c>
      <c r="I19" s="32" t="s">
        <v>841</v>
      </c>
      <c r="J19" s="32">
        <v>99</v>
      </c>
      <c r="K19" s="32" t="s">
        <v>328</v>
      </c>
      <c r="L19" s="32" t="s">
        <v>850</v>
      </c>
      <c r="M19" s="33" t="s">
        <v>734</v>
      </c>
      <c r="N19" s="33" t="s">
        <v>884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891</v>
      </c>
      <c r="N21" s="30" t="s">
        <v>918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923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833</v>
      </c>
      <c r="J23" s="29">
        <v>99</v>
      </c>
      <c r="K23" s="29" t="s">
        <v>325</v>
      </c>
      <c r="L23" s="29">
        <v>45</v>
      </c>
      <c r="M23" s="30" t="s">
        <v>893</v>
      </c>
      <c r="N23" s="30" t="s">
        <v>918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889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897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882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883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868</v>
      </c>
      <c r="N29" s="30" t="s">
        <v>896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894</v>
      </c>
      <c r="N30" s="30" t="s">
        <v>901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890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869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882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870</v>
      </c>
      <c r="N34" s="30" t="s">
        <v>895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901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882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901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853</v>
      </c>
      <c r="M40" s="33" t="s">
        <v>778</v>
      </c>
      <c r="N40" s="33" t="s">
        <v>898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890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992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896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896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32">
        <v>0</v>
      </c>
      <c r="B44" s="32">
        <v>1</v>
      </c>
      <c r="C44" s="32">
        <v>3</v>
      </c>
      <c r="D44" s="33" t="s">
        <v>678</v>
      </c>
      <c r="E44" s="33" t="s">
        <v>621</v>
      </c>
      <c r="F44" s="33" t="s">
        <v>619</v>
      </c>
      <c r="G44" s="33" t="s">
        <v>40</v>
      </c>
      <c r="H44" s="33" t="s">
        <v>620</v>
      </c>
      <c r="I44" s="32" t="s">
        <v>622</v>
      </c>
      <c r="J44" s="32">
        <v>99</v>
      </c>
      <c r="K44" s="32" t="s">
        <v>376</v>
      </c>
      <c r="L44" s="32">
        <v>60</v>
      </c>
      <c r="M44" s="33" t="s">
        <v>596</v>
      </c>
      <c r="N44" s="33" t="s">
        <v>889</v>
      </c>
      <c r="O44" s="34"/>
      <c r="P44" s="34"/>
      <c r="Q44" s="33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901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606</v>
      </c>
      <c r="E46" s="33" t="s">
        <v>259</v>
      </c>
      <c r="F46" s="33" t="s">
        <v>607</v>
      </c>
      <c r="G46" s="33" t="s">
        <v>819</v>
      </c>
      <c r="H46" s="33" t="s">
        <v>165</v>
      </c>
      <c r="I46" s="32" t="s">
        <v>608</v>
      </c>
      <c r="J46" s="32">
        <v>99</v>
      </c>
      <c r="K46" s="32" t="s">
        <v>332</v>
      </c>
      <c r="L46" s="32" t="s">
        <v>341</v>
      </c>
      <c r="M46" s="33" t="s">
        <v>736</v>
      </c>
      <c r="N46" s="33" t="s">
        <v>883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896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896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882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923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890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973</v>
      </c>
      <c r="E52" s="21" t="s">
        <v>259</v>
      </c>
      <c r="F52" s="21" t="s">
        <v>974</v>
      </c>
      <c r="G52" s="21" t="s">
        <v>975</v>
      </c>
      <c r="H52" s="21" t="s">
        <v>165</v>
      </c>
      <c r="I52" s="20" t="s">
        <v>976</v>
      </c>
      <c r="J52" s="20"/>
      <c r="K52" s="20" t="s">
        <v>376</v>
      </c>
      <c r="L52" s="20">
        <v>65</v>
      </c>
      <c r="M52" s="21" t="s">
        <v>977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923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899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882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376</v>
      </c>
      <c r="L56" s="32" t="s">
        <v>334</v>
      </c>
      <c r="M56" s="33" t="s">
        <v>266</v>
      </c>
      <c r="N56" s="33" t="s">
        <v>917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876</v>
      </c>
      <c r="E58" s="30" t="s">
        <v>879</v>
      </c>
      <c r="F58" s="30" t="s">
        <v>877</v>
      </c>
      <c r="G58" s="30" t="s">
        <v>401</v>
      </c>
      <c r="H58" s="30" t="s">
        <v>165</v>
      </c>
      <c r="I58" s="29" t="s">
        <v>878</v>
      </c>
      <c r="J58" s="29"/>
      <c r="K58" s="29" t="s">
        <v>376</v>
      </c>
      <c r="L58" s="29">
        <v>55</v>
      </c>
      <c r="M58" s="30" t="s">
        <v>880</v>
      </c>
      <c r="N58" s="30" t="s">
        <v>923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861</v>
      </c>
      <c r="E59" s="30" t="s">
        <v>796</v>
      </c>
      <c r="F59" s="30" t="s">
        <v>862</v>
      </c>
      <c r="G59" s="30" t="s">
        <v>309</v>
      </c>
      <c r="H59" s="30" t="s">
        <v>165</v>
      </c>
      <c r="I59" s="29" t="s">
        <v>863</v>
      </c>
      <c r="J59" s="29"/>
      <c r="K59" s="29" t="s">
        <v>376</v>
      </c>
      <c r="L59" s="29">
        <v>50</v>
      </c>
      <c r="M59" s="30" t="s">
        <v>864</v>
      </c>
      <c r="N59" s="30" t="s">
        <v>923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864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858</v>
      </c>
      <c r="E61" s="30" t="s">
        <v>796</v>
      </c>
      <c r="F61" s="30" t="s">
        <v>859</v>
      </c>
      <c r="G61" s="30" t="s">
        <v>368</v>
      </c>
      <c r="H61" s="30" t="s">
        <v>165</v>
      </c>
      <c r="I61" s="29" t="s">
        <v>860</v>
      </c>
      <c r="J61" s="29"/>
      <c r="K61" s="29" t="s">
        <v>376</v>
      </c>
      <c r="L61" s="29">
        <v>45</v>
      </c>
      <c r="M61" s="30" t="s">
        <v>418</v>
      </c>
      <c r="N61" s="30" t="s">
        <v>882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901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993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901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901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901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918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888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807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883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882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882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888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888</v>
      </c>
      <c r="O75" s="31">
        <v>1</v>
      </c>
      <c r="P75" s="31"/>
      <c r="Q75" s="30"/>
      <c r="S75" s="2">
        <f t="shared" ref="S75:S139" si="23">IF(J75=$S$7,1,0)</f>
        <v>0</v>
      </c>
      <c r="T75" s="2">
        <f t="shared" ref="T75:T139" si="24">IF(J75=$T$7,1,0)</f>
        <v>0</v>
      </c>
      <c r="U75" s="2">
        <f t="shared" ref="U75:U139" si="25">IF(J75=$U$7,1,0)</f>
        <v>0</v>
      </c>
      <c r="V75" s="2">
        <f t="shared" ref="V75:V139" si="26">IF(J75=$V$7,1,0)</f>
        <v>0</v>
      </c>
      <c r="W75" s="2">
        <f t="shared" ref="W75:W139" si="27">IF(J75=$W$7,1,0)</f>
        <v>0</v>
      </c>
      <c r="X75" s="2">
        <f t="shared" ref="X75:X139" si="28">IF(J75=$X$7,1,0)</f>
        <v>1</v>
      </c>
      <c r="Y75" s="2">
        <f t="shared" ref="Y75:Y139" si="29">IF(J75=$Y$7,1,0)</f>
        <v>0</v>
      </c>
      <c r="Z75" s="2">
        <f t="shared" ref="Z75:Z139" si="30">IF(J75=$Z$7,1,0)</f>
        <v>0</v>
      </c>
      <c r="AA75" s="2">
        <f t="shared" ref="AA75:AA139" si="31">IF(J75=$AA$7,1,0)</f>
        <v>0</v>
      </c>
      <c r="AB75" s="2">
        <f t="shared" ref="AB75:AB139" si="32">IF(J75=$AB$7,1,0)</f>
        <v>0</v>
      </c>
      <c r="AD75" s="2">
        <f t="shared" ref="AD75:AD139" si="33">+O75*P75</f>
        <v>0</v>
      </c>
      <c r="AE75" s="2">
        <f t="shared" ref="AE75:AE139" si="34">O75*(1-P75)</f>
        <v>1</v>
      </c>
      <c r="AF75" s="2">
        <f t="shared" ref="AF75:AF139" si="35">+O75*P75*(1-A75)</f>
        <v>0</v>
      </c>
      <c r="AG75" s="2">
        <f t="shared" ref="AG75:AG139" si="36">O75*(1-P75)*(1-A75)</f>
        <v>0</v>
      </c>
      <c r="AH75" s="2">
        <f t="shared" ref="AH75:AH139" si="37">+P75*(1-A75)</f>
        <v>0</v>
      </c>
      <c r="AI75" s="2">
        <f t="shared" ref="AI75:AI139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871</v>
      </c>
      <c r="N76" s="30" t="s">
        <v>888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922</v>
      </c>
      <c r="N77" s="30" t="s">
        <v>888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882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358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485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917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882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890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890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888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882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539</v>
      </c>
      <c r="E87" s="33" t="s">
        <v>572</v>
      </c>
      <c r="F87" s="33" t="s">
        <v>822</v>
      </c>
      <c r="G87" s="33" t="s">
        <v>540</v>
      </c>
      <c r="H87" s="33" t="s">
        <v>165</v>
      </c>
      <c r="I87" s="32" t="s">
        <v>541</v>
      </c>
      <c r="J87" s="32">
        <v>99</v>
      </c>
      <c r="K87" s="32" t="s">
        <v>330</v>
      </c>
      <c r="L87" s="32" t="s">
        <v>334</v>
      </c>
      <c r="M87" s="33" t="s">
        <v>738</v>
      </c>
      <c r="N87" s="33" t="s">
        <v>889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896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969</v>
      </c>
      <c r="E89" s="27" t="s">
        <v>258</v>
      </c>
      <c r="F89" s="27" t="s">
        <v>970</v>
      </c>
      <c r="G89" s="27" t="s">
        <v>971</v>
      </c>
      <c r="H89" s="27" t="s">
        <v>165</v>
      </c>
      <c r="I89" s="26" t="s">
        <v>972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901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901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901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901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901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901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882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897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890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890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890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882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882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882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882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 t="s">
        <v>335</v>
      </c>
      <c r="M106" s="30" t="s">
        <v>268</v>
      </c>
      <c r="N106" s="30" t="s">
        <v>918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 t="s">
        <v>335</v>
      </c>
      <c r="M107" s="30" t="s">
        <v>268</v>
      </c>
      <c r="N107" s="30" t="s">
        <v>918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934</v>
      </c>
      <c r="E108" s="30" t="s">
        <v>32</v>
      </c>
      <c r="F108" s="30" t="s">
        <v>935</v>
      </c>
      <c r="G108" s="30"/>
      <c r="H108" s="30" t="s">
        <v>165</v>
      </c>
      <c r="I108" s="29" t="s">
        <v>936</v>
      </c>
      <c r="J108" s="29"/>
      <c r="K108" s="29" t="s">
        <v>376</v>
      </c>
      <c r="L108" s="29">
        <v>30</v>
      </c>
      <c r="M108" s="30" t="s">
        <v>937</v>
      </c>
      <c r="N108" s="30" t="s">
        <v>882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949</v>
      </c>
      <c r="E109" s="33" t="s">
        <v>32</v>
      </c>
      <c r="F109" s="33" t="s">
        <v>950</v>
      </c>
      <c r="G109" s="33" t="s">
        <v>130</v>
      </c>
      <c r="H109" s="33" t="s">
        <v>165</v>
      </c>
      <c r="I109" s="32" t="s">
        <v>951</v>
      </c>
      <c r="J109" s="32">
        <v>10</v>
      </c>
      <c r="K109" s="32" t="s">
        <v>376</v>
      </c>
      <c r="L109" s="32">
        <v>40</v>
      </c>
      <c r="M109" s="33" t="s">
        <v>990</v>
      </c>
      <c r="N109" s="33" t="s">
        <v>898</v>
      </c>
      <c r="O109" s="34"/>
      <c r="P109" s="34"/>
      <c r="Q109" s="3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991</v>
      </c>
      <c r="N110" s="30" t="s">
        <v>895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902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902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952</v>
      </c>
      <c r="E113" s="21" t="s">
        <v>32</v>
      </c>
      <c r="F113" s="21" t="s">
        <v>953</v>
      </c>
      <c r="G113" s="21" t="s">
        <v>401</v>
      </c>
      <c r="H113" s="21" t="s">
        <v>165</v>
      </c>
      <c r="I113" s="20" t="s">
        <v>954</v>
      </c>
      <c r="J113" s="20"/>
      <c r="K113" s="20" t="s">
        <v>376</v>
      </c>
      <c r="L113" s="20">
        <v>50</v>
      </c>
      <c r="M113" s="21" t="s">
        <v>955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882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882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994</v>
      </c>
      <c r="E116" s="30" t="s">
        <v>44</v>
      </c>
      <c r="F116" s="30" t="s">
        <v>978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882</v>
      </c>
      <c r="O116" s="31">
        <v>1</v>
      </c>
      <c r="P116" s="31">
        <v>1</v>
      </c>
      <c r="Q116" s="30" t="s">
        <v>979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930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855</v>
      </c>
      <c r="N118" s="30" t="s">
        <v>882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855</v>
      </c>
      <c r="N119" s="30" t="s">
        <v>882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855</v>
      </c>
      <c r="N120" s="30" t="s">
        <v>882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855</v>
      </c>
      <c r="N121" s="30" t="s">
        <v>882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855</v>
      </c>
      <c r="N122" s="30" t="s">
        <v>882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855</v>
      </c>
      <c r="N123" s="30" t="s">
        <v>882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658</v>
      </c>
      <c r="E124" s="30" t="s">
        <v>35</v>
      </c>
      <c r="F124" s="30" t="s">
        <v>632</v>
      </c>
      <c r="G124" s="30" t="s">
        <v>683</v>
      </c>
      <c r="H124" s="30" t="s">
        <v>165</v>
      </c>
      <c r="I124" s="29" t="s">
        <v>633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888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924</v>
      </c>
      <c r="E125" s="30" t="s">
        <v>468</v>
      </c>
      <c r="F125" s="30" t="s">
        <v>925</v>
      </c>
      <c r="G125" s="30" t="s">
        <v>38</v>
      </c>
      <c r="H125" s="30" t="s">
        <v>165</v>
      </c>
      <c r="I125" s="29" t="s">
        <v>926</v>
      </c>
      <c r="J125" s="29">
        <v>1</v>
      </c>
      <c r="K125" s="29" t="s">
        <v>376</v>
      </c>
      <c r="L125" s="29"/>
      <c r="M125" s="30"/>
      <c r="N125" s="30" t="s">
        <v>882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754</v>
      </c>
      <c r="E126" s="30" t="s">
        <v>468</v>
      </c>
      <c r="F126" s="30" t="s">
        <v>755</v>
      </c>
      <c r="G126" s="30" t="s">
        <v>812</v>
      </c>
      <c r="H126" s="30" t="s">
        <v>165</v>
      </c>
      <c r="I126" s="29" t="s">
        <v>756</v>
      </c>
      <c r="J126" s="29">
        <v>99</v>
      </c>
      <c r="K126" s="29" t="s">
        <v>320</v>
      </c>
      <c r="L126" s="29"/>
      <c r="M126" s="30" t="s">
        <v>702</v>
      </c>
      <c r="N126" s="30" t="s">
        <v>882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1</v>
      </c>
      <c r="B127" s="29">
        <v>2</v>
      </c>
      <c r="C127" s="29">
        <v>1</v>
      </c>
      <c r="D127" s="30" t="s">
        <v>754</v>
      </c>
      <c r="E127" s="30" t="s">
        <v>468</v>
      </c>
      <c r="F127" s="30" t="s">
        <v>995</v>
      </c>
      <c r="G127" s="30" t="s">
        <v>996</v>
      </c>
      <c r="H127" s="30" t="s">
        <v>165</v>
      </c>
      <c r="I127" s="29" t="s">
        <v>997</v>
      </c>
      <c r="J127" s="29"/>
      <c r="K127" s="29" t="s">
        <v>320</v>
      </c>
      <c r="L127" s="29"/>
      <c r="M127" s="30" t="s">
        <v>702</v>
      </c>
      <c r="N127" s="30" t="s">
        <v>882</v>
      </c>
      <c r="O127" s="31">
        <v>1</v>
      </c>
      <c r="P127" s="31">
        <v>1</v>
      </c>
      <c r="Q127" s="30"/>
      <c r="S127" s="2">
        <f t="shared" ref="S127" si="39">IF(J127=$S$7,1,0)</f>
        <v>0</v>
      </c>
      <c r="T127" s="2">
        <f t="shared" ref="T127" si="40">IF(J127=$T$7,1,0)</f>
        <v>0</v>
      </c>
      <c r="U127" s="2">
        <f t="shared" ref="U127" si="41">IF(J127=$U$7,1,0)</f>
        <v>0</v>
      </c>
      <c r="V127" s="2">
        <f t="shared" ref="V127" si="42">IF(J127=$V$7,1,0)</f>
        <v>0</v>
      </c>
      <c r="W127" s="2">
        <f t="shared" ref="W127" si="43">IF(J127=$W$7,1,0)</f>
        <v>0</v>
      </c>
      <c r="X127" s="2">
        <f t="shared" ref="X127" si="44">IF(J127=$X$7,1,0)</f>
        <v>0</v>
      </c>
      <c r="Y127" s="2">
        <f t="shared" ref="Y127" si="45">IF(J127=$Y$7,1,0)</f>
        <v>0</v>
      </c>
      <c r="Z127" s="2">
        <f t="shared" ref="Z127" si="46">IF(J127=$Z$7,1,0)</f>
        <v>0</v>
      </c>
      <c r="AA127" s="2">
        <f t="shared" ref="AA127" si="47">IF(J127=$AA$7,1,0)</f>
        <v>0</v>
      </c>
      <c r="AB127" s="2">
        <f t="shared" ref="AB127" si="48">IF(J127=$AB$7,1,0)</f>
        <v>0</v>
      </c>
      <c r="AD127" s="2">
        <f t="shared" ref="AD127" si="49">+O127*P127</f>
        <v>1</v>
      </c>
      <c r="AE127" s="2">
        <f t="shared" ref="AE127" si="50">O127*(1-P127)</f>
        <v>0</v>
      </c>
      <c r="AF127" s="2">
        <f t="shared" ref="AF127" si="51">+O127*P127*(1-A127)</f>
        <v>0</v>
      </c>
      <c r="AG127" s="2">
        <f t="shared" ref="AG127" si="52">O127*(1-P127)*(1-A127)</f>
        <v>0</v>
      </c>
      <c r="AH127" s="2">
        <f t="shared" ref="AH127" si="53">+P127*(1-A127)</f>
        <v>0</v>
      </c>
      <c r="AI127" s="2">
        <f t="shared" ref="AI127" si="54">+(1-A127)*(1-P127)</f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675</v>
      </c>
      <c r="E128" s="30" t="s">
        <v>211</v>
      </c>
      <c r="F128" s="30" t="s">
        <v>223</v>
      </c>
      <c r="G128" s="30" t="s">
        <v>96</v>
      </c>
      <c r="H128" s="30" t="s">
        <v>165</v>
      </c>
      <c r="I128" s="29" t="s">
        <v>484</v>
      </c>
      <c r="J128" s="29">
        <v>3</v>
      </c>
      <c r="K128" s="29" t="s">
        <v>319</v>
      </c>
      <c r="L128" s="29" t="s">
        <v>318</v>
      </c>
      <c r="M128" s="30" t="s">
        <v>269</v>
      </c>
      <c r="N128" s="30" t="s">
        <v>882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1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675</v>
      </c>
      <c r="E129" s="30" t="s">
        <v>211</v>
      </c>
      <c r="F129" s="30" t="s">
        <v>646</v>
      </c>
      <c r="G129" s="30" t="s">
        <v>92</v>
      </c>
      <c r="H129" s="30" t="s">
        <v>165</v>
      </c>
      <c r="I129" s="29" t="s">
        <v>647</v>
      </c>
      <c r="J129" s="29">
        <v>2</v>
      </c>
      <c r="K129" s="29" t="s">
        <v>319</v>
      </c>
      <c r="L129" s="29" t="s">
        <v>318</v>
      </c>
      <c r="M129" s="30" t="s">
        <v>269</v>
      </c>
      <c r="N129" s="30" t="s">
        <v>882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1</v>
      </c>
      <c r="U129" s="2">
        <f t="shared" si="25"/>
        <v>0</v>
      </c>
      <c r="V129" s="2">
        <f t="shared" si="26"/>
        <v>0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645</v>
      </c>
      <c r="G130" s="30" t="s">
        <v>40</v>
      </c>
      <c r="H130" s="30" t="s">
        <v>165</v>
      </c>
      <c r="I130" s="29" t="s">
        <v>648</v>
      </c>
      <c r="J130" s="29">
        <v>4</v>
      </c>
      <c r="K130" s="29" t="s">
        <v>319</v>
      </c>
      <c r="L130" s="29" t="s">
        <v>318</v>
      </c>
      <c r="M130" s="30" t="s">
        <v>269</v>
      </c>
      <c r="N130" s="30" t="s">
        <v>882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1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961</v>
      </c>
      <c r="E131" s="30" t="s">
        <v>468</v>
      </c>
      <c r="F131" s="30" t="s">
        <v>962</v>
      </c>
      <c r="G131" s="30"/>
      <c r="H131" s="30" t="s">
        <v>165</v>
      </c>
      <c r="I131" s="29" t="s">
        <v>963</v>
      </c>
      <c r="J131" s="29"/>
      <c r="K131" s="29" t="s">
        <v>376</v>
      </c>
      <c r="L131" s="29"/>
      <c r="M131" s="30"/>
      <c r="N131" s="30" t="s">
        <v>882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1</v>
      </c>
      <c r="AG131" s="2">
        <f t="shared" si="36"/>
        <v>0</v>
      </c>
      <c r="AH131" s="2">
        <f t="shared" si="37"/>
        <v>1</v>
      </c>
      <c r="AI131" s="2">
        <f t="shared" si="38"/>
        <v>0</v>
      </c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459</v>
      </c>
      <c r="E132" s="30" t="s">
        <v>466</v>
      </c>
      <c r="F132" s="30" t="s">
        <v>472</v>
      </c>
      <c r="G132" s="30" t="s">
        <v>473</v>
      </c>
      <c r="H132" s="30" t="s">
        <v>165</v>
      </c>
      <c r="I132" s="29" t="s">
        <v>407</v>
      </c>
      <c r="J132" s="29">
        <v>99</v>
      </c>
      <c r="K132" s="29" t="s">
        <v>320</v>
      </c>
      <c r="L132" s="29" t="s">
        <v>318</v>
      </c>
      <c r="M132" s="30" t="s">
        <v>269</v>
      </c>
      <c r="N132" s="30" t="s">
        <v>918</v>
      </c>
      <c r="O132" s="31">
        <v>1</v>
      </c>
      <c r="P132" s="31"/>
      <c r="Q132" s="30"/>
      <c r="R132" s="20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0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1</v>
      </c>
      <c r="AF132" s="2">
        <f t="shared" si="35"/>
        <v>0</v>
      </c>
      <c r="AG132" s="2">
        <f t="shared" si="36"/>
        <v>1</v>
      </c>
      <c r="AH132" s="2">
        <f t="shared" si="37"/>
        <v>0</v>
      </c>
      <c r="AI132" s="2">
        <f t="shared" si="38"/>
        <v>1</v>
      </c>
      <c r="AJ132" s="20"/>
      <c r="AK132" s="20"/>
      <c r="AL132" s="21"/>
      <c r="AM132" s="21"/>
      <c r="AN132" s="21"/>
      <c r="AO132" s="21"/>
      <c r="AP132" s="21"/>
      <c r="AQ132" s="20"/>
      <c r="AR132" s="20"/>
      <c r="AS132" s="20"/>
      <c r="AT132" s="20"/>
      <c r="AU132" s="21"/>
      <c r="AV132" s="21"/>
      <c r="AW132" s="7"/>
      <c r="AX132" s="7"/>
      <c r="AY132" s="21"/>
      <c r="AZ132" s="20"/>
      <c r="BA132" s="20"/>
      <c r="BB132" s="20"/>
      <c r="BC132" s="21"/>
      <c r="BD132" s="21"/>
      <c r="BE132" s="21"/>
      <c r="BF132" s="21"/>
      <c r="BG132" s="21"/>
      <c r="BH132" s="20"/>
      <c r="BI132" s="20"/>
      <c r="BJ132" s="20"/>
      <c r="BK132" s="20"/>
      <c r="BL132" s="21"/>
      <c r="BM132" s="21"/>
      <c r="BN132" s="7"/>
      <c r="BO132" s="7"/>
      <c r="BP132" s="21"/>
      <c r="BQ132" s="20"/>
      <c r="BR132" s="20"/>
      <c r="BS132" s="20"/>
      <c r="BT132" s="21"/>
      <c r="BU132" s="21"/>
      <c r="BV132" s="21"/>
      <c r="BW132" s="21"/>
      <c r="BX132" s="21"/>
      <c r="BY132" s="20"/>
      <c r="BZ132" s="20"/>
      <c r="CA132" s="20"/>
      <c r="CB132" s="20"/>
      <c r="CC132" s="21"/>
      <c r="CD132" s="21"/>
      <c r="CE132" s="7"/>
      <c r="CF132" s="7"/>
      <c r="CG132" s="21"/>
      <c r="CH132" s="20"/>
      <c r="CI132" s="20"/>
      <c r="CJ132" s="20"/>
      <c r="CK132" s="21"/>
      <c r="CL132" s="21"/>
      <c r="CM132" s="21"/>
      <c r="CN132" s="21"/>
      <c r="CO132" s="21"/>
      <c r="CP132" s="20"/>
      <c r="CQ132" s="20"/>
      <c r="CR132" s="20"/>
      <c r="CS132" s="20"/>
      <c r="CT132" s="21"/>
      <c r="CU132" s="21"/>
      <c r="CV132" s="7"/>
      <c r="CW132" s="7"/>
      <c r="CX132" s="21"/>
      <c r="CY132" s="20"/>
      <c r="CZ132" s="20"/>
      <c r="DA132" s="20"/>
      <c r="DB132" s="21"/>
      <c r="DC132" s="21"/>
      <c r="DD132" s="21"/>
      <c r="DE132" s="21"/>
      <c r="DF132" s="21"/>
      <c r="DG132" s="20"/>
      <c r="DH132" s="20"/>
      <c r="DI132" s="20"/>
      <c r="DJ132" s="20"/>
      <c r="DK132" s="21"/>
      <c r="DL132" s="21"/>
      <c r="DM132" s="7"/>
      <c r="DN132" s="7"/>
      <c r="DO132" s="21"/>
      <c r="DP132" s="20"/>
      <c r="DQ132" s="20"/>
      <c r="DR132" s="20"/>
      <c r="DS132" s="21"/>
      <c r="DT132" s="21"/>
      <c r="DU132" s="21"/>
      <c r="DV132" s="21"/>
      <c r="DW132" s="21"/>
      <c r="DX132" s="20"/>
      <c r="DY132" s="20"/>
      <c r="DZ132" s="20"/>
      <c r="EA132" s="20"/>
      <c r="EB132" s="21"/>
      <c r="EC132" s="21"/>
      <c r="ED132" s="7"/>
      <c r="EE132" s="7"/>
      <c r="EF132" s="21"/>
      <c r="EG132" s="20"/>
      <c r="EH132" s="20"/>
      <c r="EI132" s="20"/>
      <c r="EJ132" s="21"/>
      <c r="EK132" s="21"/>
      <c r="EL132" s="21"/>
      <c r="EM132" s="21"/>
      <c r="EN132" s="21"/>
      <c r="EO132" s="20"/>
      <c r="EP132" s="20"/>
      <c r="EQ132" s="20"/>
      <c r="ER132" s="20"/>
      <c r="ES132" s="21"/>
      <c r="ET132" s="21"/>
      <c r="EU132" s="7"/>
      <c r="EV132" s="7"/>
      <c r="EW132" s="21"/>
      <c r="EX132" s="20"/>
      <c r="EY132" s="20"/>
      <c r="EZ132" s="20"/>
      <c r="FA132" s="21"/>
      <c r="FB132" s="21"/>
      <c r="FC132" s="21"/>
      <c r="FD132" s="21"/>
      <c r="FE132" s="21"/>
      <c r="FF132" s="20"/>
      <c r="FG132" s="20"/>
      <c r="FH132" s="20"/>
      <c r="FI132" s="20"/>
      <c r="FJ132" s="21"/>
      <c r="FK132" s="21"/>
      <c r="FL132" s="7"/>
      <c r="FM132" s="7"/>
      <c r="FN132" s="21"/>
      <c r="FO132" s="20"/>
      <c r="FP132" s="20"/>
      <c r="FQ132" s="20"/>
      <c r="FR132" s="21"/>
      <c r="FS132" s="21"/>
      <c r="FT132" s="21"/>
      <c r="FU132" s="21"/>
      <c r="FV132" s="21"/>
      <c r="FW132" s="20"/>
      <c r="FX132" s="20"/>
      <c r="FY132" s="20"/>
      <c r="FZ132" s="20"/>
      <c r="GA132" s="21"/>
      <c r="GB132" s="21"/>
      <c r="GC132" s="7"/>
      <c r="GD132" s="7"/>
      <c r="GE132" s="21"/>
      <c r="GF132" s="20"/>
      <c r="GG132" s="20"/>
      <c r="GH132" s="20"/>
      <c r="GI132" s="21"/>
      <c r="GJ132" s="21"/>
      <c r="GK132" s="21"/>
      <c r="GL132" s="21"/>
      <c r="GM132" s="21"/>
      <c r="GN132" s="20"/>
      <c r="GO132" s="20"/>
      <c r="GP132" s="20"/>
      <c r="GQ132" s="20"/>
      <c r="GR132" s="21"/>
      <c r="GS132" s="21"/>
      <c r="GT132" s="7"/>
      <c r="GU132" s="7"/>
      <c r="GV132" s="21"/>
      <c r="GW132" s="20"/>
      <c r="GX132" s="20"/>
      <c r="GY132" s="20"/>
      <c r="GZ132" s="21"/>
      <c r="HA132" s="21"/>
      <c r="HB132" s="21"/>
      <c r="HC132" s="21"/>
      <c r="HD132" s="21"/>
      <c r="HE132" s="20"/>
      <c r="HF132" s="20"/>
      <c r="HG132" s="20"/>
      <c r="HH132" s="20"/>
      <c r="HI132" s="21"/>
      <c r="HJ132" s="21"/>
      <c r="HK132" s="7"/>
      <c r="HL132" s="7"/>
      <c r="HM132" s="21"/>
      <c r="HN132" s="20"/>
      <c r="HO132" s="20"/>
      <c r="HP132" s="20"/>
      <c r="HQ132" s="21"/>
      <c r="HR132" s="21"/>
      <c r="HS132" s="21"/>
      <c r="HT132" s="21"/>
      <c r="HU132" s="21"/>
      <c r="HV132" s="20"/>
      <c r="HW132" s="20"/>
      <c r="HX132" s="20"/>
      <c r="HY132" s="20"/>
      <c r="HZ132" s="21"/>
      <c r="IA132" s="21"/>
      <c r="IB132" s="7"/>
      <c r="IC132" s="7"/>
      <c r="ID132" s="21"/>
      <c r="IE132" s="20"/>
      <c r="IF132" s="20"/>
      <c r="IG132" s="20"/>
      <c r="IH132" s="21"/>
      <c r="II132" s="21"/>
      <c r="IJ132" s="21"/>
      <c r="IK132" s="21"/>
      <c r="IL132" s="21"/>
      <c r="IM132" s="20"/>
      <c r="IN132" s="20"/>
      <c r="IO132" s="20"/>
      <c r="IP132" s="20"/>
      <c r="IQ132" s="21"/>
      <c r="IR132" s="21"/>
      <c r="IS132" s="7"/>
      <c r="IT132" s="7"/>
      <c r="IU132" s="21"/>
      <c r="IV132" s="20"/>
      <c r="IW132" s="20"/>
      <c r="IX132" s="20"/>
      <c r="IY132" s="21"/>
      <c r="IZ132" s="21"/>
      <c r="JA132" s="21"/>
      <c r="JB132" s="21"/>
      <c r="JC132" s="21"/>
      <c r="JD132" s="20"/>
      <c r="JE132" s="20"/>
      <c r="JF132" s="20"/>
      <c r="JG132" s="20"/>
      <c r="JH132" s="21"/>
      <c r="JI132" s="21"/>
      <c r="JJ132" s="7"/>
      <c r="JK132" s="7"/>
      <c r="JL132" s="21"/>
      <c r="JM132" s="20"/>
      <c r="JN132" s="20"/>
      <c r="JO132" s="20"/>
      <c r="JP132" s="21"/>
      <c r="JQ132" s="21"/>
      <c r="JR132" s="21"/>
      <c r="JS132" s="21"/>
      <c r="JT132" s="21"/>
      <c r="JU132" s="20"/>
      <c r="JV132" s="20"/>
      <c r="JW132" s="20"/>
      <c r="JX132" s="20"/>
      <c r="JY132" s="21"/>
      <c r="JZ132" s="21"/>
      <c r="KA132" s="7"/>
      <c r="KB132" s="7"/>
      <c r="KC132" s="21"/>
      <c r="KD132" s="20"/>
      <c r="KE132" s="20"/>
      <c r="KF132" s="20"/>
      <c r="KG132" s="21"/>
      <c r="KH132" s="21"/>
      <c r="KI132" s="21"/>
      <c r="KJ132" s="21"/>
      <c r="KK132" s="21"/>
      <c r="KL132" s="20"/>
      <c r="KM132" s="20"/>
      <c r="KN132" s="20"/>
      <c r="KO132" s="20"/>
      <c r="KP132" s="21"/>
      <c r="KQ132" s="21"/>
      <c r="KR132" s="7"/>
      <c r="KS132" s="7"/>
      <c r="KT132" s="21"/>
      <c r="KU132" s="20"/>
      <c r="KV132" s="20"/>
      <c r="KW132" s="20"/>
      <c r="KX132" s="21"/>
      <c r="KY132" s="21"/>
      <c r="KZ132" s="21"/>
      <c r="LA132" s="21"/>
      <c r="LB132" s="21"/>
      <c r="LC132" s="20"/>
      <c r="LD132" s="20"/>
      <c r="LE132" s="20"/>
      <c r="LF132" s="20"/>
      <c r="LG132" s="21"/>
      <c r="LH132" s="21"/>
      <c r="LI132" s="7"/>
      <c r="LJ132" s="7"/>
      <c r="LK132" s="21"/>
      <c r="LL132" s="20"/>
      <c r="LM132" s="20"/>
      <c r="LN132" s="20"/>
      <c r="LO132" s="21"/>
      <c r="LP132" s="21"/>
      <c r="LQ132" s="21"/>
      <c r="LR132" s="21"/>
      <c r="LS132" s="21"/>
      <c r="LT132" s="20"/>
      <c r="LU132" s="20"/>
      <c r="LV132" s="20"/>
      <c r="LW132" s="20"/>
      <c r="LX132" s="21"/>
      <c r="LY132" s="21"/>
      <c r="LZ132" s="7"/>
      <c r="MA132" s="7"/>
      <c r="MB132" s="21"/>
      <c r="MC132" s="20"/>
      <c r="MD132" s="20"/>
      <c r="ME132" s="20"/>
      <c r="MF132" s="21"/>
      <c r="MG132" s="21"/>
      <c r="MH132" s="21"/>
      <c r="MI132" s="21"/>
      <c r="MJ132" s="21"/>
      <c r="MK132" s="20"/>
      <c r="ML132" s="20"/>
      <c r="MM132" s="20"/>
      <c r="MN132" s="20"/>
      <c r="MO132" s="21"/>
      <c r="MP132" s="21"/>
      <c r="MQ132" s="7"/>
      <c r="MR132" s="7"/>
      <c r="MS132" s="21"/>
      <c r="MT132" s="20"/>
      <c r="MU132" s="20"/>
      <c r="MV132" s="20"/>
      <c r="MW132" s="21"/>
      <c r="MX132" s="21"/>
      <c r="MY132" s="21"/>
      <c r="MZ132" s="21"/>
      <c r="NA132" s="21"/>
      <c r="NB132" s="20"/>
      <c r="NC132" s="20"/>
      <c r="ND132" s="20"/>
      <c r="NE132" s="20"/>
      <c r="NF132" s="21"/>
      <c r="NG132" s="21"/>
      <c r="NH132" s="7"/>
      <c r="NI132" s="7"/>
      <c r="NJ132" s="21"/>
      <c r="NK132" s="20"/>
      <c r="NL132" s="20"/>
      <c r="NM132" s="20"/>
      <c r="NN132" s="21"/>
      <c r="NO132" s="21"/>
      <c r="NP132" s="21"/>
      <c r="NQ132" s="21"/>
      <c r="NR132" s="21"/>
      <c r="NS132" s="20"/>
      <c r="NT132" s="20"/>
      <c r="NU132" s="20"/>
      <c r="NV132" s="20"/>
      <c r="NW132" s="21"/>
      <c r="NX132" s="21"/>
      <c r="NY132" s="7"/>
      <c r="NZ132" s="7"/>
      <c r="OA132" s="21"/>
      <c r="OB132" s="20"/>
      <c r="OC132" s="20"/>
      <c r="OD132" s="20"/>
      <c r="OE132" s="21"/>
      <c r="OF132" s="21"/>
      <c r="OG132" s="21"/>
      <c r="OH132" s="21"/>
      <c r="OI132" s="21"/>
      <c r="OJ132" s="20"/>
      <c r="OK132" s="20"/>
      <c r="OL132" s="20"/>
      <c r="OM132" s="20"/>
      <c r="ON132" s="21"/>
      <c r="OO132" s="21"/>
      <c r="OP132" s="7"/>
      <c r="OQ132" s="7"/>
      <c r="OR132" s="21"/>
      <c r="OS132" s="20"/>
      <c r="OT132" s="20"/>
      <c r="OU132" s="20"/>
      <c r="OV132" s="21"/>
      <c r="OW132" s="21"/>
      <c r="OX132" s="21"/>
      <c r="OY132" s="21"/>
      <c r="OZ132" s="21"/>
      <c r="PA132" s="20"/>
      <c r="PB132" s="20"/>
      <c r="PC132" s="20"/>
      <c r="PD132" s="20"/>
      <c r="PE132" s="21"/>
      <c r="PF132" s="21"/>
      <c r="PG132" s="7"/>
      <c r="PH132" s="7"/>
      <c r="PI132" s="21"/>
      <c r="PJ132" s="20"/>
      <c r="PK132" s="20"/>
      <c r="PL132" s="20"/>
      <c r="PM132" s="21"/>
      <c r="PN132" s="21"/>
      <c r="PO132" s="21"/>
      <c r="PP132" s="21"/>
      <c r="PQ132" s="21"/>
      <c r="PR132" s="20"/>
      <c r="PS132" s="20"/>
      <c r="PT132" s="20"/>
      <c r="PU132" s="20"/>
      <c r="PV132" s="21"/>
      <c r="PW132" s="21"/>
      <c r="PX132" s="7"/>
      <c r="PY132" s="7"/>
      <c r="PZ132" s="21"/>
      <c r="QA132" s="20"/>
      <c r="QB132" s="20"/>
      <c r="QC132" s="20"/>
      <c r="QD132" s="21"/>
      <c r="QE132" s="21"/>
      <c r="QF132" s="21"/>
      <c r="QG132" s="21"/>
      <c r="QH132" s="21"/>
      <c r="QI132" s="20"/>
      <c r="QJ132" s="20"/>
      <c r="QK132" s="20"/>
      <c r="QL132" s="20"/>
      <c r="QM132" s="21"/>
      <c r="QN132" s="21"/>
      <c r="QO132" s="7"/>
      <c r="QP132" s="7"/>
      <c r="QQ132" s="21"/>
      <c r="QR132" s="20"/>
      <c r="QS132" s="20"/>
      <c r="QT132" s="20"/>
      <c r="QU132" s="21"/>
      <c r="QV132" s="21"/>
      <c r="QW132" s="21"/>
      <c r="QX132" s="21"/>
      <c r="QY132" s="21"/>
      <c r="QZ132" s="20"/>
      <c r="RA132" s="20"/>
      <c r="RB132" s="20"/>
      <c r="RC132" s="20"/>
      <c r="RD132" s="21"/>
      <c r="RE132" s="21"/>
      <c r="RF132" s="7"/>
      <c r="RG132" s="7"/>
      <c r="RH132" s="21"/>
      <c r="RI132" s="20"/>
      <c r="RJ132" s="20"/>
      <c r="RK132" s="20"/>
      <c r="RL132" s="21"/>
      <c r="RM132" s="21"/>
      <c r="RN132" s="21"/>
      <c r="RO132" s="21"/>
      <c r="RP132" s="21"/>
      <c r="RQ132" s="20"/>
      <c r="RR132" s="20"/>
      <c r="RS132" s="20"/>
      <c r="RT132" s="20"/>
      <c r="RU132" s="21"/>
      <c r="RV132" s="21"/>
      <c r="RW132" s="7"/>
      <c r="RX132" s="7"/>
      <c r="RY132" s="21"/>
      <c r="RZ132" s="20"/>
      <c r="SA132" s="20"/>
      <c r="SB132" s="20"/>
      <c r="SC132" s="21"/>
      <c r="SD132" s="21"/>
      <c r="SE132" s="21"/>
      <c r="SF132" s="21"/>
      <c r="SG132" s="21"/>
      <c r="SH132" s="20"/>
      <c r="SI132" s="20"/>
      <c r="SJ132" s="20"/>
      <c r="SK132" s="20"/>
      <c r="SL132" s="21"/>
      <c r="SM132" s="21"/>
      <c r="SN132" s="7"/>
      <c r="SO132" s="7"/>
      <c r="SP132" s="21"/>
      <c r="SQ132" s="20"/>
      <c r="SR132" s="20"/>
      <c r="SS132" s="20"/>
      <c r="ST132" s="21"/>
      <c r="SU132" s="21"/>
      <c r="SV132" s="21"/>
      <c r="SW132" s="21"/>
      <c r="SX132" s="21"/>
      <c r="SY132" s="20"/>
      <c r="SZ132" s="20"/>
      <c r="TA132" s="20"/>
      <c r="TB132" s="20"/>
      <c r="TC132" s="21"/>
      <c r="TD132" s="21"/>
      <c r="TE132" s="7"/>
      <c r="TF132" s="7"/>
      <c r="TG132" s="21"/>
      <c r="TH132" s="20"/>
      <c r="TI132" s="20"/>
      <c r="TJ132" s="20"/>
      <c r="TK132" s="21"/>
      <c r="TL132" s="21"/>
      <c r="TM132" s="21"/>
      <c r="TN132" s="21"/>
      <c r="TO132" s="21"/>
      <c r="TP132" s="20"/>
      <c r="TQ132" s="20"/>
      <c r="TR132" s="20"/>
      <c r="TS132" s="20"/>
      <c r="TT132" s="21"/>
      <c r="TU132" s="21"/>
      <c r="TV132" s="7"/>
      <c r="TW132" s="7"/>
      <c r="TX132" s="21"/>
      <c r="TY132" s="20"/>
      <c r="TZ132" s="20"/>
      <c r="UA132" s="20"/>
      <c r="UB132" s="21"/>
      <c r="UC132" s="21"/>
      <c r="UD132" s="21"/>
      <c r="UE132" s="21"/>
      <c r="UF132" s="21"/>
      <c r="UG132" s="20"/>
      <c r="UH132" s="20"/>
      <c r="UI132" s="20"/>
      <c r="UJ132" s="20"/>
      <c r="UK132" s="21"/>
      <c r="UL132" s="21"/>
      <c r="UM132" s="7"/>
      <c r="UN132" s="7"/>
      <c r="UO132" s="21"/>
      <c r="UP132" s="20"/>
      <c r="UQ132" s="20"/>
      <c r="UR132" s="20"/>
      <c r="US132" s="21"/>
      <c r="UT132" s="21"/>
      <c r="UU132" s="21"/>
      <c r="UV132" s="21"/>
      <c r="UW132" s="21"/>
      <c r="UX132" s="20"/>
      <c r="UY132" s="20"/>
      <c r="UZ132" s="20"/>
      <c r="VA132" s="20"/>
      <c r="VB132" s="21"/>
      <c r="VC132" s="21"/>
      <c r="VD132" s="7"/>
      <c r="VE132" s="7"/>
      <c r="VF132" s="21"/>
      <c r="VG132" s="20"/>
      <c r="VH132" s="20"/>
      <c r="VI132" s="20"/>
      <c r="VJ132" s="21"/>
      <c r="VK132" s="21"/>
      <c r="VL132" s="21"/>
      <c r="VM132" s="21"/>
      <c r="VN132" s="21"/>
      <c r="VO132" s="20"/>
      <c r="VP132" s="20"/>
      <c r="VQ132" s="20"/>
      <c r="VR132" s="20"/>
      <c r="VS132" s="21"/>
      <c r="VT132" s="21"/>
      <c r="VU132" s="7"/>
      <c r="VV132" s="7"/>
      <c r="VW132" s="21"/>
      <c r="VX132" s="20"/>
      <c r="VY132" s="20"/>
      <c r="VZ132" s="20"/>
      <c r="WA132" s="21"/>
      <c r="WB132" s="21"/>
      <c r="WC132" s="21"/>
      <c r="WD132" s="21"/>
      <c r="WE132" s="21"/>
      <c r="WF132" s="20"/>
      <c r="WG132" s="20"/>
      <c r="WH132" s="20"/>
      <c r="WI132" s="20"/>
      <c r="WJ132" s="21"/>
      <c r="WK132" s="21"/>
      <c r="WL132" s="7"/>
      <c r="WM132" s="7"/>
      <c r="WN132" s="21"/>
      <c r="WO132" s="20"/>
      <c r="WP132" s="20"/>
      <c r="WQ132" s="20"/>
      <c r="WR132" s="21"/>
      <c r="WS132" s="21"/>
      <c r="WT132" s="21"/>
      <c r="WU132" s="21"/>
      <c r="WV132" s="21"/>
      <c r="WW132" s="20"/>
      <c r="WX132" s="20"/>
      <c r="WY132" s="20"/>
      <c r="WZ132" s="20"/>
      <c r="XA132" s="21"/>
      <c r="XB132" s="21"/>
      <c r="XC132" s="7"/>
      <c r="XD132" s="7"/>
      <c r="XE132" s="21"/>
      <c r="XF132" s="20"/>
      <c r="XG132" s="20"/>
      <c r="XH132" s="20"/>
      <c r="XI132" s="21"/>
      <c r="XJ132" s="21"/>
      <c r="XK132" s="21"/>
      <c r="XL132" s="21"/>
      <c r="XM132" s="21"/>
      <c r="XN132" s="20"/>
      <c r="XO132" s="20"/>
      <c r="XP132" s="20"/>
      <c r="XQ132" s="20"/>
      <c r="XR132" s="21"/>
      <c r="XS132" s="21"/>
      <c r="XT132" s="7"/>
      <c r="XU132" s="7"/>
      <c r="XV132" s="21"/>
      <c r="XW132" s="20"/>
      <c r="XX132" s="20"/>
      <c r="XY132" s="20"/>
      <c r="XZ132" s="21"/>
      <c r="YA132" s="21"/>
      <c r="YB132" s="21"/>
      <c r="YC132" s="21"/>
      <c r="YD132" s="21"/>
      <c r="YE132" s="20"/>
      <c r="YF132" s="20"/>
      <c r="YG132" s="20"/>
      <c r="YH132" s="20"/>
      <c r="YI132" s="21"/>
      <c r="YJ132" s="21"/>
      <c r="YK132" s="7"/>
      <c r="YL132" s="7"/>
      <c r="YM132" s="21"/>
      <c r="YN132" s="20"/>
      <c r="YO132" s="20"/>
      <c r="YP132" s="20"/>
      <c r="YQ132" s="21"/>
      <c r="YR132" s="21"/>
      <c r="YS132" s="21"/>
      <c r="YT132" s="21"/>
      <c r="YU132" s="21"/>
      <c r="YV132" s="20"/>
      <c r="YW132" s="20"/>
      <c r="YX132" s="20"/>
      <c r="YY132" s="20"/>
      <c r="YZ132" s="21"/>
      <c r="ZA132" s="21"/>
      <c r="ZB132" s="7"/>
      <c r="ZC132" s="7"/>
      <c r="ZD132" s="21"/>
      <c r="ZE132" s="20"/>
      <c r="ZF132" s="20"/>
      <c r="ZG132" s="20"/>
      <c r="ZH132" s="21"/>
      <c r="ZI132" s="21"/>
      <c r="ZJ132" s="21"/>
      <c r="ZK132" s="21"/>
      <c r="ZL132" s="21"/>
      <c r="ZM132" s="20"/>
      <c r="ZN132" s="20"/>
      <c r="ZO132" s="20"/>
      <c r="ZP132" s="20"/>
      <c r="ZQ132" s="21"/>
      <c r="ZR132" s="21"/>
      <c r="ZS132" s="7"/>
      <c r="ZT132" s="7"/>
      <c r="ZU132" s="21"/>
      <c r="ZV132" s="20"/>
      <c r="ZW132" s="20"/>
      <c r="ZX132" s="20"/>
      <c r="ZY132" s="21"/>
      <c r="ZZ132" s="21"/>
      <c r="AAA132" s="21"/>
      <c r="AAB132" s="21"/>
      <c r="AAC132" s="21"/>
      <c r="AAD132" s="20"/>
      <c r="AAE132" s="20"/>
      <c r="AAF132" s="20"/>
      <c r="AAG132" s="20"/>
      <c r="AAH132" s="21"/>
      <c r="AAI132" s="21"/>
      <c r="AAJ132" s="7"/>
      <c r="AAK132" s="7"/>
      <c r="AAL132" s="21"/>
      <c r="AAM132" s="20"/>
      <c r="AAN132" s="20"/>
      <c r="AAO132" s="20"/>
      <c r="AAP132" s="21"/>
      <c r="AAQ132" s="21"/>
      <c r="AAR132" s="21"/>
      <c r="AAS132" s="21"/>
      <c r="AAT132" s="21"/>
      <c r="AAU132" s="20"/>
      <c r="AAV132" s="20"/>
      <c r="AAW132" s="20"/>
      <c r="AAX132" s="20"/>
      <c r="AAY132" s="21"/>
      <c r="AAZ132" s="21"/>
      <c r="ABA132" s="7"/>
      <c r="ABB132" s="7"/>
      <c r="ABC132" s="21"/>
      <c r="ABD132" s="20"/>
      <c r="ABE132" s="20"/>
      <c r="ABF132" s="20"/>
      <c r="ABG132" s="21"/>
      <c r="ABH132" s="21"/>
      <c r="ABI132" s="21"/>
      <c r="ABJ132" s="21"/>
      <c r="ABK132" s="21"/>
      <c r="ABL132" s="20"/>
      <c r="ABM132" s="20"/>
      <c r="ABN132" s="20"/>
      <c r="ABO132" s="20"/>
      <c r="ABP132" s="21"/>
      <c r="ABQ132" s="21"/>
      <c r="ABR132" s="7"/>
      <c r="ABS132" s="7"/>
      <c r="ABT132" s="21"/>
      <c r="ABU132" s="20"/>
      <c r="ABV132" s="20"/>
      <c r="ABW132" s="20"/>
      <c r="ABX132" s="21"/>
      <c r="ABY132" s="21"/>
      <c r="ABZ132" s="21"/>
      <c r="ACA132" s="21"/>
      <c r="ACB132" s="21"/>
      <c r="ACC132" s="20"/>
      <c r="ACD132" s="20"/>
      <c r="ACE132" s="20"/>
      <c r="ACF132" s="20"/>
      <c r="ACG132" s="21"/>
      <c r="ACH132" s="21"/>
      <c r="ACI132" s="7"/>
      <c r="ACJ132" s="7"/>
      <c r="ACK132" s="21"/>
      <c r="ACL132" s="20"/>
      <c r="ACM132" s="20"/>
      <c r="ACN132" s="20"/>
      <c r="ACO132" s="21"/>
      <c r="ACP132" s="21"/>
      <c r="ACQ132" s="21"/>
      <c r="ACR132" s="21"/>
      <c r="ACS132" s="21"/>
      <c r="ACT132" s="20"/>
      <c r="ACU132" s="20"/>
      <c r="ACV132" s="20"/>
      <c r="ACW132" s="20"/>
      <c r="ACX132" s="21"/>
      <c r="ACY132" s="21"/>
      <c r="ACZ132" s="7"/>
      <c r="ADA132" s="7"/>
      <c r="ADB132" s="21"/>
      <c r="ADC132" s="20"/>
      <c r="ADD132" s="20"/>
      <c r="ADE132" s="20"/>
      <c r="ADF132" s="21"/>
      <c r="ADG132" s="21"/>
      <c r="ADH132" s="21"/>
      <c r="ADI132" s="21"/>
      <c r="ADJ132" s="21"/>
      <c r="ADK132" s="20"/>
      <c r="ADL132" s="20"/>
      <c r="ADM132" s="20"/>
      <c r="ADN132" s="20"/>
      <c r="ADO132" s="21"/>
      <c r="ADP132" s="21"/>
      <c r="ADQ132" s="7"/>
      <c r="ADR132" s="7"/>
      <c r="ADS132" s="21"/>
      <c r="ADT132" s="20"/>
      <c r="ADU132" s="20"/>
      <c r="ADV132" s="20"/>
      <c r="ADW132" s="21"/>
      <c r="ADX132" s="21"/>
      <c r="ADY132" s="21"/>
      <c r="ADZ132" s="21"/>
      <c r="AEA132" s="21"/>
      <c r="AEB132" s="20"/>
      <c r="AEC132" s="20"/>
      <c r="AED132" s="20"/>
      <c r="AEE132" s="20"/>
      <c r="AEF132" s="21"/>
      <c r="AEG132" s="21"/>
      <c r="AEH132" s="7"/>
      <c r="AEI132" s="7"/>
      <c r="AEJ132" s="21"/>
      <c r="AEK132" s="20"/>
      <c r="AEL132" s="20"/>
      <c r="AEM132" s="20"/>
      <c r="AEN132" s="21"/>
      <c r="AEO132" s="21"/>
      <c r="AEP132" s="21"/>
      <c r="AEQ132" s="21"/>
      <c r="AER132" s="21"/>
      <c r="AES132" s="20"/>
      <c r="AET132" s="20"/>
      <c r="AEU132" s="20"/>
      <c r="AEV132" s="20"/>
      <c r="AEW132" s="21"/>
      <c r="AEX132" s="21"/>
      <c r="AEY132" s="7"/>
      <c r="AEZ132" s="7"/>
      <c r="AFA132" s="21"/>
      <c r="AFB132" s="20"/>
      <c r="AFC132" s="20"/>
      <c r="AFD132" s="20"/>
      <c r="AFE132" s="21"/>
      <c r="AFF132" s="21"/>
      <c r="AFG132" s="21"/>
      <c r="AFH132" s="21"/>
      <c r="AFI132" s="21"/>
      <c r="AFJ132" s="20"/>
      <c r="AFK132" s="20"/>
      <c r="AFL132" s="20"/>
      <c r="AFM132" s="20"/>
      <c r="AFN132" s="21"/>
      <c r="AFO132" s="21"/>
      <c r="AFP132" s="7"/>
      <c r="AFQ132" s="7"/>
      <c r="AFR132" s="21"/>
      <c r="AFS132" s="20"/>
      <c r="AFT132" s="20"/>
      <c r="AFU132" s="20"/>
      <c r="AFV132" s="21"/>
      <c r="AFW132" s="21"/>
      <c r="AFX132" s="21"/>
      <c r="AFY132" s="21"/>
      <c r="AFZ132" s="21"/>
      <c r="AGA132" s="20"/>
      <c r="AGB132" s="20"/>
      <c r="AGC132" s="20"/>
      <c r="AGD132" s="20"/>
      <c r="AGE132" s="21"/>
      <c r="AGF132" s="21"/>
      <c r="AGG132" s="7"/>
      <c r="AGH132" s="7"/>
      <c r="AGI132" s="21"/>
      <c r="AGJ132" s="20"/>
      <c r="AGK132" s="20"/>
      <c r="AGL132" s="20"/>
      <c r="AGM132" s="21"/>
      <c r="AGN132" s="21"/>
      <c r="AGO132" s="21"/>
      <c r="AGP132" s="21"/>
      <c r="AGQ132" s="21"/>
      <c r="AGR132" s="20"/>
      <c r="AGS132" s="20"/>
      <c r="AGT132" s="20"/>
      <c r="AGU132" s="20"/>
      <c r="AGV132" s="21"/>
      <c r="AGW132" s="21"/>
      <c r="AGX132" s="7"/>
      <c r="AGY132" s="7"/>
      <c r="AGZ132" s="21"/>
      <c r="AHA132" s="20"/>
      <c r="AHB132" s="20"/>
      <c r="AHC132" s="20"/>
      <c r="AHD132" s="21"/>
      <c r="AHE132" s="21"/>
      <c r="AHF132" s="21"/>
      <c r="AHG132" s="21"/>
      <c r="AHH132" s="21"/>
      <c r="AHI132" s="20"/>
      <c r="AHJ132" s="20"/>
      <c r="AHK132" s="20"/>
      <c r="AHL132" s="20"/>
      <c r="AHM132" s="21"/>
      <c r="AHN132" s="21"/>
      <c r="AHO132" s="7"/>
      <c r="AHP132" s="7"/>
      <c r="AHQ132" s="21"/>
      <c r="AHR132" s="20"/>
      <c r="AHS132" s="20"/>
      <c r="AHT132" s="20"/>
      <c r="AHU132" s="21"/>
      <c r="AHV132" s="21"/>
      <c r="AHW132" s="21"/>
      <c r="AHX132" s="21"/>
      <c r="AHY132" s="21"/>
      <c r="AHZ132" s="20"/>
      <c r="AIA132" s="20"/>
      <c r="AIB132" s="20"/>
      <c r="AIC132" s="20"/>
      <c r="AID132" s="21"/>
      <c r="AIE132" s="21"/>
      <c r="AIF132" s="7"/>
      <c r="AIG132" s="7"/>
      <c r="AIH132" s="21"/>
      <c r="AII132" s="20"/>
      <c r="AIJ132" s="20"/>
      <c r="AIK132" s="20"/>
      <c r="AIL132" s="21"/>
      <c r="AIM132" s="21"/>
      <c r="AIN132" s="21"/>
      <c r="AIO132" s="21"/>
      <c r="AIP132" s="21"/>
      <c r="AIQ132" s="20"/>
      <c r="AIR132" s="20"/>
      <c r="AIS132" s="20"/>
      <c r="AIT132" s="20"/>
      <c r="AIU132" s="21"/>
      <c r="AIV132" s="21"/>
      <c r="AIW132" s="7"/>
      <c r="AIX132" s="7"/>
      <c r="AIY132" s="21"/>
      <c r="AIZ132" s="20"/>
      <c r="AJA132" s="20"/>
      <c r="AJB132" s="20"/>
      <c r="AJC132" s="21"/>
      <c r="AJD132" s="21"/>
      <c r="AJE132" s="21"/>
      <c r="AJF132" s="21"/>
      <c r="AJG132" s="21"/>
      <c r="AJH132" s="20"/>
      <c r="AJI132" s="20"/>
      <c r="AJJ132" s="20"/>
      <c r="AJK132" s="20"/>
      <c r="AJL132" s="21"/>
      <c r="AJM132" s="21"/>
      <c r="AJN132" s="7"/>
      <c r="AJO132" s="7"/>
      <c r="AJP132" s="21"/>
      <c r="AJQ132" s="20"/>
      <c r="AJR132" s="20"/>
      <c r="AJS132" s="20"/>
      <c r="AJT132" s="21"/>
      <c r="AJU132" s="21"/>
      <c r="AJV132" s="21"/>
      <c r="AJW132" s="21"/>
      <c r="AJX132" s="21"/>
      <c r="AJY132" s="20"/>
      <c r="AJZ132" s="20"/>
      <c r="AKA132" s="20"/>
      <c r="AKB132" s="20"/>
      <c r="AKC132" s="21"/>
      <c r="AKD132" s="21"/>
      <c r="AKE132" s="7"/>
      <c r="AKF132" s="7"/>
      <c r="AKG132" s="21"/>
      <c r="AKH132" s="20"/>
      <c r="AKI132" s="20"/>
      <c r="AKJ132" s="20"/>
      <c r="AKK132" s="21"/>
      <c r="AKL132" s="21"/>
      <c r="AKM132" s="21"/>
      <c r="AKN132" s="21"/>
      <c r="AKO132" s="21"/>
      <c r="AKP132" s="20"/>
      <c r="AKQ132" s="20"/>
      <c r="AKR132" s="20"/>
      <c r="AKS132" s="20"/>
      <c r="AKT132" s="21"/>
      <c r="AKU132" s="21"/>
      <c r="AKV132" s="7"/>
      <c r="AKW132" s="7"/>
      <c r="AKX132" s="21"/>
      <c r="AKY132" s="20"/>
      <c r="AKZ132" s="20"/>
      <c r="ALA132" s="20"/>
      <c r="ALB132" s="21"/>
      <c r="ALC132" s="21"/>
      <c r="ALD132" s="21"/>
      <c r="ALE132" s="21"/>
      <c r="ALF132" s="21"/>
      <c r="ALG132" s="20"/>
      <c r="ALH132" s="20"/>
      <c r="ALI132" s="20"/>
      <c r="ALJ132" s="20"/>
      <c r="ALK132" s="21"/>
      <c r="ALL132" s="21"/>
      <c r="ALM132" s="7"/>
      <c r="ALN132" s="7"/>
      <c r="ALO132" s="21"/>
      <c r="ALP132" s="20"/>
      <c r="ALQ132" s="20"/>
      <c r="ALR132" s="20"/>
      <c r="ALS132" s="21"/>
      <c r="ALT132" s="21"/>
      <c r="ALU132" s="21"/>
      <c r="ALV132" s="21"/>
      <c r="ALW132" s="21"/>
      <c r="ALX132" s="20"/>
      <c r="ALY132" s="20"/>
      <c r="ALZ132" s="20"/>
      <c r="AMA132" s="20"/>
      <c r="AMB132" s="21"/>
      <c r="AMC132" s="21"/>
      <c r="AMD132" s="7"/>
      <c r="AME132" s="7"/>
      <c r="AMF132" s="21"/>
      <c r="AMG132" s="20"/>
      <c r="AMH132" s="20"/>
      <c r="AMI132" s="20"/>
      <c r="AMJ132" s="21"/>
      <c r="AMK132" s="21"/>
      <c r="AML132" s="21"/>
      <c r="AMM132" s="21"/>
      <c r="AMN132" s="21"/>
      <c r="AMO132" s="20"/>
      <c r="AMP132" s="20"/>
      <c r="AMQ132" s="20"/>
      <c r="AMR132" s="20"/>
      <c r="AMS132" s="21"/>
      <c r="AMT132" s="21"/>
      <c r="AMU132" s="7"/>
      <c r="AMV132" s="7"/>
      <c r="AMW132" s="21"/>
      <c r="AMX132" s="20"/>
      <c r="AMY132" s="20"/>
      <c r="AMZ132" s="20"/>
      <c r="ANA132" s="21"/>
      <c r="ANB132" s="21"/>
      <c r="ANC132" s="21"/>
      <c r="AND132" s="21"/>
      <c r="ANE132" s="21"/>
      <c r="ANF132" s="20"/>
      <c r="ANG132" s="20"/>
      <c r="ANH132" s="20"/>
      <c r="ANI132" s="20"/>
      <c r="ANJ132" s="21"/>
      <c r="ANK132" s="21"/>
      <c r="ANL132" s="7"/>
      <c r="ANM132" s="7"/>
      <c r="ANN132" s="21"/>
      <c r="ANO132" s="20"/>
      <c r="ANP132" s="20"/>
      <c r="ANQ132" s="20"/>
      <c r="ANR132" s="21"/>
      <c r="ANS132" s="21"/>
      <c r="ANT132" s="21"/>
      <c r="ANU132" s="21"/>
      <c r="ANV132" s="21"/>
      <c r="ANW132" s="20"/>
      <c r="ANX132" s="20"/>
      <c r="ANY132" s="20"/>
      <c r="ANZ132" s="20"/>
      <c r="AOA132" s="21"/>
      <c r="AOB132" s="21"/>
      <c r="AOC132" s="7"/>
      <c r="AOD132" s="7"/>
      <c r="AOE132" s="21"/>
      <c r="AOF132" s="20"/>
      <c r="AOG132" s="20"/>
      <c r="AOH132" s="20"/>
      <c r="AOI132" s="21"/>
      <c r="AOJ132" s="21"/>
      <c r="AOK132" s="21"/>
      <c r="AOL132" s="21"/>
      <c r="AOM132" s="21"/>
      <c r="AON132" s="20"/>
      <c r="AOO132" s="20"/>
      <c r="AOP132" s="20"/>
      <c r="AOQ132" s="20"/>
      <c r="AOR132" s="21"/>
      <c r="AOS132" s="21"/>
      <c r="AOT132" s="7"/>
      <c r="AOU132" s="7"/>
      <c r="AOV132" s="21"/>
      <c r="AOW132" s="20"/>
      <c r="AOX132" s="20"/>
      <c r="AOY132" s="20"/>
      <c r="AOZ132" s="21"/>
      <c r="APA132" s="21"/>
      <c r="APB132" s="21"/>
      <c r="APC132" s="21"/>
      <c r="APD132" s="21"/>
      <c r="APE132" s="20"/>
      <c r="APF132" s="20"/>
      <c r="APG132" s="20"/>
      <c r="APH132" s="20"/>
      <c r="API132" s="21"/>
      <c r="APJ132" s="21"/>
      <c r="APK132" s="7"/>
      <c r="APL132" s="7"/>
      <c r="APM132" s="21"/>
      <c r="APN132" s="20"/>
      <c r="APO132" s="20"/>
      <c r="APP132" s="20"/>
      <c r="APQ132" s="21"/>
      <c r="APR132" s="21"/>
      <c r="APS132" s="21"/>
      <c r="APT132" s="21"/>
      <c r="APU132" s="21"/>
      <c r="APV132" s="20"/>
      <c r="APW132" s="20"/>
      <c r="APX132" s="20"/>
      <c r="APY132" s="20"/>
      <c r="APZ132" s="21"/>
      <c r="AQA132" s="21"/>
      <c r="AQB132" s="7"/>
      <c r="AQC132" s="7"/>
      <c r="AQD132" s="21"/>
      <c r="AQE132" s="20"/>
      <c r="AQF132" s="20"/>
      <c r="AQG132" s="20"/>
      <c r="AQH132" s="21"/>
      <c r="AQI132" s="21"/>
      <c r="AQJ132" s="21"/>
      <c r="AQK132" s="21"/>
      <c r="AQL132" s="21"/>
      <c r="AQM132" s="20"/>
      <c r="AQN132" s="20"/>
      <c r="AQO132" s="20"/>
      <c r="AQP132" s="20"/>
      <c r="AQQ132" s="21"/>
      <c r="AQR132" s="21"/>
      <c r="AQS132" s="7"/>
      <c r="AQT132" s="7"/>
      <c r="AQU132" s="21"/>
      <c r="AQV132" s="20"/>
      <c r="AQW132" s="20"/>
      <c r="AQX132" s="20"/>
      <c r="AQY132" s="21"/>
      <c r="AQZ132" s="21"/>
      <c r="ARA132" s="21"/>
      <c r="ARB132" s="21"/>
      <c r="ARC132" s="21"/>
      <c r="ARD132" s="20"/>
      <c r="ARE132" s="20"/>
      <c r="ARF132" s="20"/>
      <c r="ARG132" s="20"/>
      <c r="ARH132" s="21"/>
      <c r="ARI132" s="21"/>
      <c r="ARJ132" s="7"/>
      <c r="ARK132" s="7"/>
      <c r="ARL132" s="21"/>
      <c r="ARM132" s="20"/>
      <c r="ARN132" s="20"/>
      <c r="ARO132" s="20"/>
      <c r="ARP132" s="21"/>
      <c r="ARQ132" s="21"/>
      <c r="ARR132" s="21"/>
      <c r="ARS132" s="21"/>
      <c r="ART132" s="21"/>
      <c r="ARU132" s="20"/>
      <c r="ARV132" s="20"/>
      <c r="ARW132" s="20"/>
      <c r="ARX132" s="20"/>
      <c r="ARY132" s="21"/>
      <c r="ARZ132" s="21"/>
      <c r="ASA132" s="7"/>
      <c r="ASB132" s="7"/>
      <c r="ASC132" s="21"/>
      <c r="ASD132" s="20"/>
      <c r="ASE132" s="20"/>
      <c r="ASF132" s="20"/>
      <c r="ASG132" s="21"/>
      <c r="ASH132" s="21"/>
      <c r="ASI132" s="21"/>
      <c r="ASJ132" s="21"/>
      <c r="ASK132" s="21"/>
      <c r="ASL132" s="20"/>
      <c r="ASM132" s="20"/>
      <c r="ASN132" s="20"/>
      <c r="ASO132" s="20"/>
      <c r="ASP132" s="21"/>
      <c r="ASQ132" s="21"/>
      <c r="ASR132" s="7"/>
      <c r="ASS132" s="7"/>
      <c r="AST132" s="21"/>
      <c r="ASU132" s="20"/>
      <c r="ASV132" s="20"/>
      <c r="ASW132" s="20"/>
      <c r="ASX132" s="21"/>
      <c r="ASY132" s="21"/>
      <c r="ASZ132" s="21"/>
      <c r="ATA132" s="21"/>
      <c r="ATB132" s="21"/>
      <c r="ATC132" s="20"/>
      <c r="ATD132" s="20"/>
      <c r="ATE132" s="20"/>
      <c r="ATF132" s="20"/>
      <c r="ATG132" s="21"/>
      <c r="ATH132" s="21"/>
      <c r="ATI132" s="7"/>
      <c r="ATJ132" s="7"/>
      <c r="ATK132" s="21"/>
      <c r="ATL132" s="20"/>
      <c r="ATM132" s="20"/>
      <c r="ATN132" s="20"/>
      <c r="ATO132" s="21"/>
      <c r="ATP132" s="21"/>
      <c r="ATQ132" s="21"/>
      <c r="ATR132" s="21"/>
      <c r="ATS132" s="21"/>
      <c r="ATT132" s="20"/>
      <c r="ATU132" s="20"/>
      <c r="ATV132" s="20"/>
      <c r="ATW132" s="20"/>
      <c r="ATX132" s="21"/>
      <c r="ATY132" s="21"/>
      <c r="ATZ132" s="7"/>
      <c r="AUA132" s="7"/>
      <c r="AUB132" s="21"/>
      <c r="AUC132" s="20"/>
      <c r="AUD132" s="20"/>
      <c r="AUE132" s="20"/>
      <c r="AUF132" s="21"/>
      <c r="AUG132" s="21"/>
      <c r="AUH132" s="21"/>
      <c r="AUI132" s="21"/>
      <c r="AUJ132" s="21"/>
      <c r="AUK132" s="20"/>
      <c r="AUL132" s="20"/>
      <c r="AUM132" s="20"/>
      <c r="AUN132" s="20"/>
      <c r="AUO132" s="21"/>
      <c r="AUP132" s="21"/>
      <c r="AUQ132" s="7"/>
      <c r="AUR132" s="7"/>
      <c r="AUS132" s="21"/>
      <c r="AUT132" s="20"/>
      <c r="AUU132" s="20"/>
      <c r="AUV132" s="20"/>
      <c r="AUW132" s="21"/>
      <c r="AUX132" s="21"/>
      <c r="AUY132" s="21"/>
      <c r="AUZ132" s="21"/>
      <c r="AVA132" s="21"/>
      <c r="AVB132" s="20"/>
      <c r="AVC132" s="20"/>
      <c r="AVD132" s="20"/>
      <c r="AVE132" s="20"/>
      <c r="AVF132" s="21"/>
      <c r="AVG132" s="21"/>
      <c r="AVH132" s="7"/>
      <c r="AVI132" s="7"/>
      <c r="AVJ132" s="21"/>
      <c r="AVK132" s="20"/>
      <c r="AVL132" s="20"/>
      <c r="AVM132" s="20"/>
      <c r="AVN132" s="21"/>
      <c r="AVO132" s="21"/>
      <c r="AVP132" s="21"/>
      <c r="AVQ132" s="21"/>
      <c r="AVR132" s="21"/>
      <c r="AVS132" s="20"/>
      <c r="AVT132" s="20"/>
      <c r="AVU132" s="20"/>
      <c r="AVV132" s="20"/>
      <c r="AVW132" s="21"/>
      <c r="AVX132" s="21"/>
      <c r="AVY132" s="7"/>
      <c r="AVZ132" s="7"/>
      <c r="AWA132" s="21"/>
      <c r="AWB132" s="20"/>
      <c r="AWC132" s="20"/>
      <c r="AWD132" s="20"/>
      <c r="AWE132" s="21"/>
      <c r="AWF132" s="21"/>
      <c r="AWG132" s="21"/>
      <c r="AWH132" s="21"/>
      <c r="AWI132" s="21"/>
      <c r="AWJ132" s="20"/>
      <c r="AWK132" s="20"/>
      <c r="AWL132" s="20"/>
      <c r="AWM132" s="20"/>
      <c r="AWN132" s="21"/>
      <c r="AWO132" s="21"/>
      <c r="AWP132" s="7"/>
      <c r="AWQ132" s="7"/>
      <c r="AWR132" s="21"/>
      <c r="AWS132" s="20"/>
      <c r="AWT132" s="20"/>
      <c r="AWU132" s="20"/>
      <c r="AWV132" s="21"/>
      <c r="AWW132" s="21"/>
      <c r="AWX132" s="21"/>
      <c r="AWY132" s="21"/>
      <c r="AWZ132" s="21"/>
      <c r="AXA132" s="20"/>
      <c r="AXB132" s="20"/>
      <c r="AXC132" s="20"/>
      <c r="AXD132" s="20"/>
      <c r="AXE132" s="21"/>
      <c r="AXF132" s="21"/>
      <c r="AXG132" s="7"/>
      <c r="AXH132" s="7"/>
      <c r="AXI132" s="21"/>
      <c r="AXJ132" s="20"/>
      <c r="AXK132" s="20"/>
      <c r="AXL132" s="20"/>
      <c r="AXM132" s="21"/>
      <c r="AXN132" s="21"/>
      <c r="AXO132" s="21"/>
      <c r="AXP132" s="21"/>
      <c r="AXQ132" s="21"/>
      <c r="AXR132" s="20"/>
      <c r="AXS132" s="20"/>
      <c r="AXT132" s="20"/>
      <c r="AXU132" s="20"/>
      <c r="AXV132" s="21"/>
      <c r="AXW132" s="21"/>
      <c r="AXX132" s="7"/>
      <c r="AXY132" s="7"/>
      <c r="AXZ132" s="21"/>
      <c r="AYA132" s="20"/>
      <c r="AYB132" s="20"/>
      <c r="AYC132" s="20"/>
      <c r="AYD132" s="21"/>
      <c r="AYE132" s="21"/>
      <c r="AYF132" s="21"/>
      <c r="AYG132" s="21"/>
      <c r="AYH132" s="21"/>
      <c r="AYI132" s="20"/>
      <c r="AYJ132" s="20"/>
      <c r="AYK132" s="20"/>
      <c r="AYL132" s="20"/>
      <c r="AYM132" s="21"/>
      <c r="AYN132" s="21"/>
      <c r="AYO132" s="7"/>
      <c r="AYP132" s="7"/>
      <c r="AYQ132" s="21"/>
      <c r="AYR132" s="20"/>
      <c r="AYS132" s="20"/>
      <c r="AYT132" s="20"/>
      <c r="AYU132" s="21"/>
      <c r="AYV132" s="21"/>
      <c r="AYW132" s="21"/>
      <c r="AYX132" s="21"/>
      <c r="AYY132" s="21"/>
      <c r="AYZ132" s="20"/>
      <c r="AZA132" s="20"/>
      <c r="AZB132" s="20"/>
      <c r="AZC132" s="20"/>
      <c r="AZD132" s="21"/>
      <c r="AZE132" s="21"/>
      <c r="AZF132" s="7"/>
      <c r="AZG132" s="7"/>
      <c r="AZH132" s="21"/>
      <c r="AZI132" s="20"/>
      <c r="AZJ132" s="20"/>
      <c r="AZK132" s="20"/>
      <c r="AZL132" s="21"/>
      <c r="AZM132" s="21"/>
      <c r="AZN132" s="21"/>
      <c r="AZO132" s="21"/>
      <c r="AZP132" s="21"/>
      <c r="AZQ132" s="20"/>
      <c r="AZR132" s="20"/>
      <c r="AZS132" s="20"/>
      <c r="AZT132" s="20"/>
      <c r="AZU132" s="21"/>
      <c r="AZV132" s="21"/>
      <c r="AZW132" s="7"/>
      <c r="AZX132" s="7"/>
      <c r="AZY132" s="21"/>
      <c r="AZZ132" s="20"/>
      <c r="BAA132" s="20"/>
      <c r="BAB132" s="20"/>
      <c r="BAC132" s="21"/>
      <c r="BAD132" s="21"/>
      <c r="BAE132" s="21"/>
      <c r="BAF132" s="21"/>
      <c r="BAG132" s="21"/>
      <c r="BAH132" s="20"/>
      <c r="BAI132" s="20"/>
      <c r="BAJ132" s="20"/>
      <c r="BAK132" s="20"/>
      <c r="BAL132" s="21"/>
      <c r="BAM132" s="21"/>
      <c r="BAN132" s="7"/>
      <c r="BAO132" s="7"/>
      <c r="BAP132" s="21"/>
      <c r="BAQ132" s="20"/>
      <c r="BAR132" s="20"/>
      <c r="BAS132" s="20"/>
      <c r="BAT132" s="21"/>
      <c r="BAU132" s="21"/>
      <c r="BAV132" s="21"/>
      <c r="BAW132" s="21"/>
      <c r="BAX132" s="21"/>
      <c r="BAY132" s="20"/>
      <c r="BAZ132" s="20"/>
      <c r="BBA132" s="20"/>
      <c r="BBB132" s="20"/>
      <c r="BBC132" s="21"/>
      <c r="BBD132" s="21"/>
      <c r="BBE132" s="7"/>
      <c r="BBF132" s="7"/>
      <c r="BBG132" s="21"/>
      <c r="BBH132" s="20"/>
      <c r="BBI132" s="20"/>
      <c r="BBJ132" s="20"/>
      <c r="BBK132" s="21"/>
      <c r="BBL132" s="21"/>
      <c r="BBM132" s="21"/>
      <c r="BBN132" s="21"/>
      <c r="BBO132" s="21"/>
      <c r="BBP132" s="20"/>
      <c r="BBQ132" s="20"/>
      <c r="BBR132" s="20"/>
      <c r="BBS132" s="20"/>
      <c r="BBT132" s="21"/>
      <c r="BBU132" s="21"/>
      <c r="BBV132" s="7"/>
      <c r="BBW132" s="7"/>
      <c r="BBX132" s="21"/>
      <c r="BBY132" s="20"/>
      <c r="BBZ132" s="20"/>
      <c r="BCA132" s="20"/>
      <c r="BCB132" s="21"/>
      <c r="BCC132" s="21"/>
      <c r="BCD132" s="21"/>
      <c r="BCE132" s="21"/>
      <c r="BCF132" s="21"/>
      <c r="BCG132" s="20"/>
      <c r="BCH132" s="20"/>
      <c r="BCI132" s="20"/>
      <c r="BCJ132" s="20"/>
      <c r="BCK132" s="21"/>
      <c r="BCL132" s="21"/>
      <c r="BCM132" s="7"/>
      <c r="BCN132" s="7"/>
      <c r="BCO132" s="21"/>
      <c r="BCP132" s="20"/>
      <c r="BCQ132" s="20"/>
      <c r="BCR132" s="20"/>
      <c r="BCS132" s="21"/>
      <c r="BCT132" s="21"/>
      <c r="BCU132" s="21"/>
      <c r="BCV132" s="21"/>
      <c r="BCW132" s="21"/>
      <c r="BCX132" s="20"/>
      <c r="BCY132" s="20"/>
      <c r="BCZ132" s="20"/>
      <c r="BDA132" s="20"/>
      <c r="BDB132" s="21"/>
      <c r="BDC132" s="21"/>
      <c r="BDD132" s="7"/>
      <c r="BDE132" s="7"/>
      <c r="BDF132" s="21"/>
      <c r="BDG132" s="20"/>
      <c r="BDH132" s="20"/>
      <c r="BDI132" s="20"/>
      <c r="BDJ132" s="21"/>
      <c r="BDK132" s="21"/>
      <c r="BDL132" s="21"/>
      <c r="BDM132" s="21"/>
      <c r="BDN132" s="21"/>
      <c r="BDO132" s="20"/>
      <c r="BDP132" s="20"/>
      <c r="BDQ132" s="20"/>
      <c r="BDR132" s="20"/>
      <c r="BDS132" s="21"/>
      <c r="BDT132" s="21"/>
      <c r="BDU132" s="7"/>
      <c r="BDV132" s="7"/>
      <c r="BDW132" s="21"/>
      <c r="BDX132" s="20"/>
      <c r="BDY132" s="20"/>
      <c r="BDZ132" s="20"/>
      <c r="BEA132" s="21"/>
      <c r="BEB132" s="21"/>
      <c r="BEC132" s="21"/>
      <c r="BED132" s="21"/>
      <c r="BEE132" s="21"/>
      <c r="BEF132" s="20"/>
      <c r="BEG132" s="20"/>
      <c r="BEH132" s="20"/>
      <c r="BEI132" s="20"/>
      <c r="BEJ132" s="21"/>
      <c r="BEK132" s="21"/>
      <c r="BEL132" s="7"/>
      <c r="BEM132" s="7"/>
      <c r="BEN132" s="21"/>
      <c r="BEO132" s="20"/>
      <c r="BEP132" s="20"/>
      <c r="BEQ132" s="20"/>
      <c r="BER132" s="21"/>
      <c r="BES132" s="21"/>
      <c r="BET132" s="21"/>
      <c r="BEU132" s="21"/>
      <c r="BEV132" s="21"/>
      <c r="BEW132" s="20"/>
      <c r="BEX132" s="20"/>
      <c r="BEY132" s="20"/>
      <c r="BEZ132" s="20"/>
      <c r="BFA132" s="21"/>
      <c r="BFB132" s="21"/>
      <c r="BFC132" s="7"/>
      <c r="BFD132" s="7"/>
      <c r="BFE132" s="21"/>
      <c r="BFF132" s="20"/>
      <c r="BFG132" s="20"/>
      <c r="BFH132" s="20"/>
      <c r="BFI132" s="21"/>
      <c r="BFJ132" s="21"/>
      <c r="BFK132" s="21"/>
      <c r="BFL132" s="21"/>
      <c r="BFM132" s="21"/>
      <c r="BFN132" s="20"/>
      <c r="BFO132" s="20"/>
      <c r="BFP132" s="20"/>
      <c r="BFQ132" s="20"/>
      <c r="BFR132" s="21"/>
      <c r="BFS132" s="21"/>
      <c r="BFT132" s="7"/>
      <c r="BFU132" s="7"/>
      <c r="BFV132" s="21"/>
      <c r="BFW132" s="20"/>
      <c r="BFX132" s="20"/>
      <c r="BFY132" s="20"/>
      <c r="BFZ132" s="21"/>
      <c r="BGA132" s="21"/>
      <c r="BGB132" s="21"/>
      <c r="BGC132" s="21"/>
      <c r="BGD132" s="21"/>
      <c r="BGE132" s="20"/>
      <c r="BGF132" s="20"/>
      <c r="BGG132" s="20"/>
      <c r="BGH132" s="20"/>
      <c r="BGI132" s="21"/>
      <c r="BGJ132" s="21"/>
      <c r="BGK132" s="7"/>
      <c r="BGL132" s="7"/>
      <c r="BGM132" s="21"/>
      <c r="BGN132" s="20"/>
      <c r="BGO132" s="20"/>
      <c r="BGP132" s="20"/>
      <c r="BGQ132" s="21"/>
      <c r="BGR132" s="21"/>
      <c r="BGS132" s="21"/>
      <c r="BGT132" s="21"/>
      <c r="BGU132" s="21"/>
      <c r="BGV132" s="20"/>
      <c r="BGW132" s="20"/>
      <c r="BGX132" s="20"/>
      <c r="BGY132" s="20"/>
      <c r="BGZ132" s="21"/>
      <c r="BHA132" s="21"/>
      <c r="BHB132" s="7"/>
      <c r="BHC132" s="7"/>
      <c r="BHD132" s="21"/>
      <c r="BHE132" s="20"/>
      <c r="BHF132" s="20"/>
      <c r="BHG132" s="20"/>
      <c r="BHH132" s="21"/>
      <c r="BHI132" s="21"/>
      <c r="BHJ132" s="21"/>
      <c r="BHK132" s="21"/>
      <c r="BHL132" s="21"/>
      <c r="BHM132" s="20"/>
      <c r="BHN132" s="20"/>
      <c r="BHO132" s="20"/>
      <c r="BHP132" s="20"/>
      <c r="BHQ132" s="21"/>
      <c r="BHR132" s="21"/>
      <c r="BHS132" s="7"/>
      <c r="BHT132" s="7"/>
      <c r="BHU132" s="21"/>
      <c r="BHV132" s="20"/>
      <c r="BHW132" s="20"/>
      <c r="BHX132" s="20"/>
      <c r="BHY132" s="21"/>
      <c r="BHZ132" s="21"/>
      <c r="BIA132" s="21"/>
      <c r="BIB132" s="21"/>
      <c r="BIC132" s="21"/>
      <c r="BID132" s="20"/>
      <c r="BIE132" s="20"/>
      <c r="BIF132" s="20"/>
      <c r="BIG132" s="20"/>
      <c r="BIH132" s="21"/>
      <c r="BII132" s="21"/>
      <c r="BIJ132" s="7"/>
      <c r="BIK132" s="7"/>
      <c r="BIL132" s="21"/>
      <c r="BIM132" s="20"/>
      <c r="BIN132" s="20"/>
      <c r="BIO132" s="20"/>
      <c r="BIP132" s="21"/>
      <c r="BIQ132" s="21"/>
      <c r="BIR132" s="21"/>
      <c r="BIS132" s="21"/>
      <c r="BIT132" s="21"/>
      <c r="BIU132" s="20"/>
      <c r="BIV132" s="20"/>
      <c r="BIW132" s="20"/>
      <c r="BIX132" s="20"/>
      <c r="BIY132" s="21"/>
      <c r="BIZ132" s="21"/>
      <c r="BJA132" s="7"/>
      <c r="BJB132" s="7"/>
      <c r="BJC132" s="21"/>
      <c r="BJD132" s="20"/>
      <c r="BJE132" s="20"/>
      <c r="BJF132" s="20"/>
      <c r="BJG132" s="21"/>
      <c r="BJH132" s="21"/>
      <c r="BJI132" s="21"/>
      <c r="BJJ132" s="21"/>
      <c r="BJK132" s="21"/>
      <c r="BJL132" s="20"/>
      <c r="BJM132" s="20"/>
      <c r="BJN132" s="20"/>
      <c r="BJO132" s="20"/>
      <c r="BJP132" s="21"/>
      <c r="BJQ132" s="21"/>
      <c r="BJR132" s="7"/>
      <c r="BJS132" s="7"/>
      <c r="BJT132" s="21"/>
      <c r="BJU132" s="20"/>
      <c r="BJV132" s="20"/>
      <c r="BJW132" s="20"/>
      <c r="BJX132" s="21"/>
      <c r="BJY132" s="21"/>
      <c r="BJZ132" s="21"/>
      <c r="BKA132" s="21"/>
      <c r="BKB132" s="21"/>
      <c r="BKC132" s="20"/>
      <c r="BKD132" s="20"/>
      <c r="BKE132" s="20"/>
      <c r="BKF132" s="20"/>
      <c r="BKG132" s="21"/>
      <c r="BKH132" s="21"/>
      <c r="BKI132" s="7"/>
      <c r="BKJ132" s="7"/>
      <c r="BKK132" s="21"/>
      <c r="BKL132" s="20"/>
      <c r="BKM132" s="20"/>
      <c r="BKN132" s="20"/>
      <c r="BKO132" s="21"/>
      <c r="BKP132" s="21"/>
      <c r="BKQ132" s="21"/>
      <c r="BKR132" s="21"/>
      <c r="BKS132" s="21"/>
      <c r="BKT132" s="20"/>
      <c r="BKU132" s="20"/>
      <c r="BKV132" s="20"/>
      <c r="BKW132" s="20"/>
      <c r="BKX132" s="21"/>
      <c r="BKY132" s="21"/>
      <c r="BKZ132" s="7"/>
      <c r="BLA132" s="7"/>
      <c r="BLB132" s="21"/>
      <c r="BLC132" s="20"/>
      <c r="BLD132" s="20"/>
      <c r="BLE132" s="20"/>
      <c r="BLF132" s="21"/>
      <c r="BLG132" s="21"/>
      <c r="BLH132" s="21"/>
      <c r="BLI132" s="21"/>
      <c r="BLJ132" s="21"/>
      <c r="BLK132" s="20"/>
      <c r="BLL132" s="20"/>
      <c r="BLM132" s="20"/>
      <c r="BLN132" s="20"/>
      <c r="BLO132" s="21"/>
      <c r="BLP132" s="21"/>
      <c r="BLQ132" s="7"/>
      <c r="BLR132" s="7"/>
      <c r="BLS132" s="21"/>
      <c r="BLT132" s="20"/>
      <c r="BLU132" s="20"/>
      <c r="BLV132" s="20"/>
      <c r="BLW132" s="21"/>
      <c r="BLX132" s="21"/>
      <c r="BLY132" s="21"/>
      <c r="BLZ132" s="21"/>
      <c r="BMA132" s="21"/>
      <c r="BMB132" s="20"/>
      <c r="BMC132" s="20"/>
      <c r="BMD132" s="20"/>
      <c r="BME132" s="20"/>
      <c r="BMF132" s="21"/>
      <c r="BMG132" s="21"/>
      <c r="BMH132" s="7"/>
      <c r="BMI132" s="7"/>
      <c r="BMJ132" s="21"/>
      <c r="BMK132" s="20"/>
      <c r="BML132" s="20"/>
      <c r="BMM132" s="20"/>
      <c r="BMN132" s="21"/>
      <c r="BMO132" s="21"/>
      <c r="BMP132" s="21"/>
      <c r="BMQ132" s="21"/>
      <c r="BMR132" s="21"/>
      <c r="BMS132" s="20"/>
      <c r="BMT132" s="20"/>
      <c r="BMU132" s="20"/>
      <c r="BMV132" s="20"/>
      <c r="BMW132" s="21"/>
      <c r="BMX132" s="21"/>
      <c r="BMY132" s="7"/>
      <c r="BMZ132" s="7"/>
      <c r="BNA132" s="21"/>
      <c r="BNB132" s="20"/>
      <c r="BNC132" s="20"/>
      <c r="BND132" s="20"/>
      <c r="BNE132" s="21"/>
      <c r="BNF132" s="21"/>
      <c r="BNG132" s="21"/>
      <c r="BNH132" s="21"/>
      <c r="BNI132" s="21"/>
      <c r="BNJ132" s="20"/>
      <c r="BNK132" s="20"/>
      <c r="BNL132" s="20"/>
      <c r="BNM132" s="20"/>
      <c r="BNN132" s="21"/>
      <c r="BNO132" s="21"/>
      <c r="BNP132" s="7"/>
      <c r="BNQ132" s="7"/>
      <c r="BNR132" s="21"/>
      <c r="BNS132" s="20"/>
      <c r="BNT132" s="20"/>
      <c r="BNU132" s="20"/>
      <c r="BNV132" s="21"/>
      <c r="BNW132" s="21"/>
      <c r="BNX132" s="21"/>
      <c r="BNY132" s="21"/>
      <c r="BNZ132" s="21"/>
      <c r="BOA132" s="20"/>
      <c r="BOB132" s="20"/>
      <c r="BOC132" s="20"/>
      <c r="BOD132" s="20"/>
      <c r="BOE132" s="21"/>
      <c r="BOF132" s="21"/>
      <c r="BOG132" s="7"/>
      <c r="BOH132" s="7"/>
      <c r="BOI132" s="21"/>
      <c r="BOJ132" s="20"/>
      <c r="BOK132" s="20"/>
      <c r="BOL132" s="20"/>
      <c r="BOM132" s="21"/>
      <c r="BON132" s="21"/>
      <c r="BOO132" s="21"/>
      <c r="BOP132" s="21"/>
      <c r="BOQ132" s="21"/>
      <c r="BOR132" s="20"/>
      <c r="BOS132" s="20"/>
      <c r="BOT132" s="20"/>
      <c r="BOU132" s="20"/>
      <c r="BOV132" s="21"/>
      <c r="BOW132" s="21"/>
      <c r="BOX132" s="7"/>
      <c r="BOY132" s="7"/>
      <c r="BOZ132" s="21"/>
      <c r="BPA132" s="20"/>
      <c r="BPB132" s="20"/>
      <c r="BPC132" s="20"/>
      <c r="BPD132" s="21"/>
      <c r="BPE132" s="21"/>
      <c r="BPF132" s="21"/>
      <c r="BPG132" s="21"/>
      <c r="BPH132" s="21"/>
      <c r="BPI132" s="20"/>
      <c r="BPJ132" s="20"/>
      <c r="BPK132" s="20"/>
      <c r="BPL132" s="20"/>
      <c r="BPM132" s="21"/>
      <c r="BPN132" s="21"/>
      <c r="BPO132" s="7"/>
      <c r="BPP132" s="7"/>
      <c r="BPQ132" s="21"/>
      <c r="BPR132" s="20"/>
      <c r="BPS132" s="20"/>
      <c r="BPT132" s="20"/>
      <c r="BPU132" s="21"/>
      <c r="BPV132" s="21"/>
      <c r="BPW132" s="21"/>
      <c r="BPX132" s="21"/>
      <c r="BPY132" s="21"/>
      <c r="BPZ132" s="20"/>
      <c r="BQA132" s="20"/>
      <c r="BQB132" s="20"/>
      <c r="BQC132" s="20"/>
      <c r="BQD132" s="21"/>
      <c r="BQE132" s="21"/>
      <c r="BQF132" s="7"/>
      <c r="BQG132" s="7"/>
      <c r="BQH132" s="21"/>
      <c r="BQI132" s="20"/>
      <c r="BQJ132" s="20"/>
      <c r="BQK132" s="20"/>
      <c r="BQL132" s="21"/>
      <c r="BQM132" s="21"/>
      <c r="BQN132" s="21"/>
      <c r="BQO132" s="21"/>
      <c r="BQP132" s="21"/>
      <c r="BQQ132" s="20"/>
      <c r="BQR132" s="20"/>
      <c r="BQS132" s="20"/>
      <c r="BQT132" s="20"/>
      <c r="BQU132" s="21"/>
      <c r="BQV132" s="21"/>
      <c r="BQW132" s="7"/>
      <c r="BQX132" s="7"/>
      <c r="BQY132" s="21"/>
      <c r="BQZ132" s="20"/>
      <c r="BRA132" s="20"/>
      <c r="BRB132" s="20"/>
      <c r="BRC132" s="21"/>
      <c r="BRD132" s="21"/>
      <c r="BRE132" s="21"/>
      <c r="BRF132" s="21"/>
      <c r="BRG132" s="21"/>
      <c r="BRH132" s="20"/>
      <c r="BRI132" s="20"/>
      <c r="BRJ132" s="20"/>
      <c r="BRK132" s="20"/>
      <c r="BRL132" s="21"/>
      <c r="BRM132" s="21"/>
      <c r="BRN132" s="7"/>
      <c r="BRO132" s="7"/>
      <c r="BRP132" s="21"/>
      <c r="BRQ132" s="20"/>
      <c r="BRR132" s="20"/>
      <c r="BRS132" s="20"/>
      <c r="BRT132" s="21"/>
      <c r="BRU132" s="21"/>
      <c r="BRV132" s="21"/>
      <c r="BRW132" s="21"/>
      <c r="BRX132" s="21"/>
      <c r="BRY132" s="20"/>
      <c r="BRZ132" s="20"/>
      <c r="BSA132" s="20"/>
      <c r="BSB132" s="20"/>
      <c r="BSC132" s="21"/>
      <c r="BSD132" s="21"/>
      <c r="BSE132" s="7"/>
      <c r="BSF132" s="7"/>
      <c r="BSG132" s="21"/>
      <c r="BSH132" s="20"/>
      <c r="BSI132" s="20"/>
      <c r="BSJ132" s="20"/>
      <c r="BSK132" s="21"/>
      <c r="BSL132" s="21"/>
      <c r="BSM132" s="21"/>
      <c r="BSN132" s="21"/>
      <c r="BSO132" s="21"/>
      <c r="BSP132" s="20"/>
      <c r="BSQ132" s="20"/>
      <c r="BSR132" s="20"/>
      <c r="BSS132" s="20"/>
      <c r="BST132" s="21"/>
      <c r="BSU132" s="21"/>
      <c r="BSV132" s="7"/>
      <c r="BSW132" s="7"/>
      <c r="BSX132" s="21"/>
      <c r="BSY132" s="20"/>
      <c r="BSZ132" s="20"/>
      <c r="BTA132" s="20"/>
      <c r="BTB132" s="21"/>
      <c r="BTC132" s="21"/>
      <c r="BTD132" s="21"/>
      <c r="BTE132" s="21"/>
      <c r="BTF132" s="21"/>
      <c r="BTG132" s="20"/>
      <c r="BTH132" s="20"/>
      <c r="BTI132" s="20"/>
      <c r="BTJ132" s="20"/>
      <c r="BTK132" s="21"/>
      <c r="BTL132" s="21"/>
      <c r="BTM132" s="7"/>
      <c r="BTN132" s="7"/>
      <c r="BTO132" s="21"/>
      <c r="BTP132" s="20"/>
      <c r="BTQ132" s="20"/>
      <c r="BTR132" s="20"/>
      <c r="BTS132" s="21"/>
      <c r="BTT132" s="21"/>
      <c r="BTU132" s="21"/>
      <c r="BTV132" s="21"/>
      <c r="BTW132" s="21"/>
      <c r="BTX132" s="20"/>
      <c r="BTY132" s="20"/>
      <c r="BTZ132" s="20"/>
      <c r="BUA132" s="20"/>
      <c r="BUB132" s="21"/>
      <c r="BUC132" s="21"/>
      <c r="BUD132" s="7"/>
      <c r="BUE132" s="7"/>
      <c r="BUF132" s="21"/>
      <c r="BUG132" s="20"/>
      <c r="BUH132" s="20"/>
      <c r="BUI132" s="20"/>
      <c r="BUJ132" s="21"/>
      <c r="BUK132" s="21"/>
      <c r="BUL132" s="21"/>
      <c r="BUM132" s="21"/>
      <c r="BUN132" s="21"/>
      <c r="BUO132" s="20"/>
      <c r="BUP132" s="20"/>
      <c r="BUQ132" s="20"/>
      <c r="BUR132" s="20"/>
      <c r="BUS132" s="21"/>
      <c r="BUT132" s="21"/>
      <c r="BUU132" s="7"/>
      <c r="BUV132" s="7"/>
      <c r="BUW132" s="21"/>
      <c r="BUX132" s="20"/>
      <c r="BUY132" s="20"/>
      <c r="BUZ132" s="20"/>
      <c r="BVA132" s="21"/>
      <c r="BVB132" s="21"/>
      <c r="BVC132" s="21"/>
      <c r="BVD132" s="21"/>
      <c r="BVE132" s="21"/>
      <c r="BVF132" s="20"/>
      <c r="BVG132" s="20"/>
      <c r="BVH132" s="20"/>
      <c r="BVI132" s="20"/>
      <c r="BVJ132" s="21"/>
      <c r="BVK132" s="21"/>
      <c r="BVL132" s="7"/>
      <c r="BVM132" s="7"/>
      <c r="BVN132" s="21"/>
      <c r="BVO132" s="20"/>
      <c r="BVP132" s="20"/>
      <c r="BVQ132" s="20"/>
      <c r="BVR132" s="21"/>
      <c r="BVS132" s="21"/>
      <c r="BVT132" s="21"/>
      <c r="BVU132" s="21"/>
      <c r="BVV132" s="21"/>
      <c r="BVW132" s="20"/>
      <c r="BVX132" s="20"/>
      <c r="BVY132" s="20"/>
      <c r="BVZ132" s="20"/>
      <c r="BWA132" s="21"/>
      <c r="BWB132" s="21"/>
      <c r="BWC132" s="7"/>
      <c r="BWD132" s="7"/>
      <c r="BWE132" s="21"/>
      <c r="BWF132" s="20"/>
      <c r="BWG132" s="20"/>
      <c r="BWH132" s="20"/>
      <c r="BWI132" s="21"/>
      <c r="BWJ132" s="21"/>
      <c r="BWK132" s="21"/>
      <c r="BWL132" s="21"/>
      <c r="BWM132" s="21"/>
      <c r="BWN132" s="20"/>
      <c r="BWO132" s="20"/>
      <c r="BWP132" s="20"/>
      <c r="BWQ132" s="20"/>
      <c r="BWR132" s="21"/>
      <c r="BWS132" s="21"/>
      <c r="BWT132" s="7"/>
      <c r="BWU132" s="7"/>
      <c r="BWV132" s="21"/>
      <c r="BWW132" s="20"/>
      <c r="BWX132" s="20"/>
      <c r="BWY132" s="20"/>
      <c r="BWZ132" s="21"/>
      <c r="BXA132" s="21"/>
      <c r="BXB132" s="21"/>
      <c r="BXC132" s="21"/>
      <c r="BXD132" s="21"/>
      <c r="BXE132" s="20"/>
      <c r="BXF132" s="20"/>
      <c r="BXG132" s="20"/>
      <c r="BXH132" s="20"/>
      <c r="BXI132" s="21"/>
      <c r="BXJ132" s="21"/>
      <c r="BXK132" s="7"/>
      <c r="BXL132" s="7"/>
      <c r="BXM132" s="21"/>
      <c r="BXN132" s="20"/>
      <c r="BXO132" s="20"/>
      <c r="BXP132" s="20"/>
      <c r="BXQ132" s="21"/>
      <c r="BXR132" s="21"/>
      <c r="BXS132" s="21"/>
      <c r="BXT132" s="21"/>
      <c r="BXU132" s="21"/>
      <c r="BXV132" s="20"/>
      <c r="BXW132" s="20"/>
      <c r="BXX132" s="20"/>
      <c r="BXY132" s="20"/>
      <c r="BXZ132" s="21"/>
      <c r="BYA132" s="21"/>
      <c r="BYB132" s="7"/>
      <c r="BYC132" s="7"/>
      <c r="BYD132" s="21"/>
      <c r="BYE132" s="20"/>
      <c r="BYF132" s="20"/>
      <c r="BYG132" s="20"/>
      <c r="BYH132" s="21"/>
      <c r="BYI132" s="21"/>
      <c r="BYJ132" s="21"/>
      <c r="BYK132" s="21"/>
      <c r="BYL132" s="21"/>
      <c r="BYM132" s="20"/>
      <c r="BYN132" s="20"/>
      <c r="BYO132" s="20"/>
      <c r="BYP132" s="20"/>
      <c r="BYQ132" s="21"/>
      <c r="BYR132" s="21"/>
      <c r="BYS132" s="7"/>
      <c r="BYT132" s="7"/>
      <c r="BYU132" s="21"/>
      <c r="BYV132" s="20"/>
      <c r="BYW132" s="20"/>
      <c r="BYX132" s="20"/>
      <c r="BYY132" s="21"/>
      <c r="BYZ132" s="21"/>
      <c r="BZA132" s="21"/>
      <c r="BZB132" s="21"/>
      <c r="BZC132" s="21"/>
      <c r="BZD132" s="20"/>
      <c r="BZE132" s="20"/>
      <c r="BZF132" s="20"/>
      <c r="BZG132" s="20"/>
      <c r="BZH132" s="21"/>
      <c r="BZI132" s="21"/>
      <c r="BZJ132" s="7"/>
      <c r="BZK132" s="7"/>
      <c r="BZL132" s="21"/>
      <c r="BZM132" s="20"/>
      <c r="BZN132" s="20"/>
      <c r="BZO132" s="20"/>
      <c r="BZP132" s="21"/>
      <c r="BZQ132" s="21"/>
      <c r="BZR132" s="21"/>
      <c r="BZS132" s="21"/>
      <c r="BZT132" s="21"/>
      <c r="BZU132" s="20"/>
      <c r="BZV132" s="20"/>
      <c r="BZW132" s="20"/>
      <c r="BZX132" s="20"/>
      <c r="BZY132" s="21"/>
      <c r="BZZ132" s="21"/>
      <c r="CAA132" s="7"/>
      <c r="CAB132" s="7"/>
      <c r="CAC132" s="21"/>
      <c r="CAD132" s="20"/>
      <c r="CAE132" s="20"/>
      <c r="CAF132" s="20"/>
      <c r="CAG132" s="21"/>
      <c r="CAH132" s="21"/>
      <c r="CAI132" s="21"/>
      <c r="CAJ132" s="21"/>
      <c r="CAK132" s="21"/>
      <c r="CAL132" s="20"/>
      <c r="CAM132" s="20"/>
      <c r="CAN132" s="20"/>
      <c r="CAO132" s="20"/>
      <c r="CAP132" s="21"/>
      <c r="CAQ132" s="21"/>
      <c r="CAR132" s="7"/>
      <c r="CAS132" s="7"/>
      <c r="CAT132" s="21"/>
      <c r="CAU132" s="20"/>
      <c r="CAV132" s="20"/>
      <c r="CAW132" s="20"/>
      <c r="CAX132" s="21"/>
      <c r="CAY132" s="21"/>
      <c r="CAZ132" s="21"/>
      <c r="CBA132" s="21"/>
      <c r="CBB132" s="21"/>
      <c r="CBC132" s="20"/>
      <c r="CBD132" s="20"/>
      <c r="CBE132" s="20"/>
      <c r="CBF132" s="20"/>
      <c r="CBG132" s="21"/>
      <c r="CBH132" s="21"/>
      <c r="CBI132" s="7"/>
      <c r="CBJ132" s="7"/>
      <c r="CBK132" s="21"/>
      <c r="CBL132" s="20"/>
      <c r="CBM132" s="20"/>
      <c r="CBN132" s="20"/>
      <c r="CBO132" s="21"/>
      <c r="CBP132" s="21"/>
      <c r="CBQ132" s="21"/>
      <c r="CBR132" s="21"/>
      <c r="CBS132" s="21"/>
      <c r="CBT132" s="20"/>
      <c r="CBU132" s="20"/>
      <c r="CBV132" s="20"/>
      <c r="CBW132" s="20"/>
      <c r="CBX132" s="21"/>
      <c r="CBY132" s="21"/>
      <c r="CBZ132" s="7"/>
      <c r="CCA132" s="7"/>
      <c r="CCB132" s="21"/>
      <c r="CCC132" s="20"/>
      <c r="CCD132" s="20"/>
      <c r="CCE132" s="20"/>
      <c r="CCF132" s="21"/>
      <c r="CCG132" s="21"/>
      <c r="CCH132" s="21"/>
      <c r="CCI132" s="21"/>
      <c r="CCJ132" s="21"/>
      <c r="CCK132" s="20"/>
      <c r="CCL132" s="20"/>
      <c r="CCM132" s="20"/>
      <c r="CCN132" s="20"/>
      <c r="CCO132" s="21"/>
      <c r="CCP132" s="21"/>
      <c r="CCQ132" s="7"/>
      <c r="CCR132" s="7"/>
      <c r="CCS132" s="21"/>
      <c r="CCT132" s="20"/>
      <c r="CCU132" s="20"/>
      <c r="CCV132" s="20"/>
      <c r="CCW132" s="21"/>
      <c r="CCX132" s="21"/>
      <c r="CCY132" s="21"/>
      <c r="CCZ132" s="21"/>
      <c r="CDA132" s="21"/>
      <c r="CDB132" s="20"/>
      <c r="CDC132" s="20"/>
      <c r="CDD132" s="20"/>
      <c r="CDE132" s="20"/>
      <c r="CDF132" s="21"/>
      <c r="CDG132" s="21"/>
      <c r="CDH132" s="7"/>
      <c r="CDI132" s="7"/>
      <c r="CDJ132" s="21"/>
      <c r="CDK132" s="20"/>
      <c r="CDL132" s="20"/>
      <c r="CDM132" s="20"/>
      <c r="CDN132" s="21"/>
      <c r="CDO132" s="21"/>
      <c r="CDP132" s="21"/>
      <c r="CDQ132" s="21"/>
      <c r="CDR132" s="21"/>
      <c r="CDS132" s="20"/>
      <c r="CDT132" s="20"/>
      <c r="CDU132" s="20"/>
      <c r="CDV132" s="20"/>
      <c r="CDW132" s="21"/>
      <c r="CDX132" s="21"/>
      <c r="CDY132" s="7"/>
      <c r="CDZ132" s="7"/>
      <c r="CEA132" s="21"/>
      <c r="CEB132" s="20"/>
      <c r="CEC132" s="20"/>
      <c r="CED132" s="20"/>
      <c r="CEE132" s="21"/>
      <c r="CEF132" s="21"/>
      <c r="CEG132" s="21"/>
      <c r="CEH132" s="21"/>
      <c r="CEI132" s="21"/>
      <c r="CEJ132" s="20"/>
      <c r="CEK132" s="20"/>
      <c r="CEL132" s="20"/>
      <c r="CEM132" s="20"/>
      <c r="CEN132" s="21"/>
      <c r="CEO132" s="21"/>
      <c r="CEP132" s="7"/>
      <c r="CEQ132" s="7"/>
      <c r="CER132" s="21"/>
      <c r="CES132" s="20"/>
      <c r="CET132" s="20"/>
      <c r="CEU132" s="20"/>
      <c r="CEV132" s="21"/>
      <c r="CEW132" s="21"/>
      <c r="CEX132" s="21"/>
      <c r="CEY132" s="21"/>
      <c r="CEZ132" s="21"/>
      <c r="CFA132" s="20"/>
      <c r="CFB132" s="20"/>
      <c r="CFC132" s="20"/>
      <c r="CFD132" s="20"/>
      <c r="CFE132" s="21"/>
      <c r="CFF132" s="21"/>
      <c r="CFG132" s="7"/>
      <c r="CFH132" s="7"/>
      <c r="CFI132" s="21"/>
      <c r="CFJ132" s="20"/>
      <c r="CFK132" s="20"/>
      <c r="CFL132" s="20"/>
      <c r="CFM132" s="21"/>
      <c r="CFN132" s="21"/>
      <c r="CFO132" s="21"/>
      <c r="CFP132" s="21"/>
      <c r="CFQ132" s="21"/>
      <c r="CFR132" s="20"/>
      <c r="CFS132" s="20"/>
      <c r="CFT132" s="20"/>
      <c r="CFU132" s="20"/>
      <c r="CFV132" s="21"/>
      <c r="CFW132" s="21"/>
      <c r="CFX132" s="7"/>
      <c r="CFY132" s="7"/>
      <c r="CFZ132" s="21"/>
      <c r="CGA132" s="20"/>
      <c r="CGB132" s="20"/>
      <c r="CGC132" s="20"/>
      <c r="CGD132" s="21"/>
      <c r="CGE132" s="21"/>
      <c r="CGF132" s="21"/>
      <c r="CGG132" s="21"/>
      <c r="CGH132" s="21"/>
      <c r="CGI132" s="20"/>
      <c r="CGJ132" s="20"/>
      <c r="CGK132" s="20"/>
      <c r="CGL132" s="20"/>
      <c r="CGM132" s="21"/>
      <c r="CGN132" s="21"/>
      <c r="CGO132" s="7"/>
      <c r="CGP132" s="7"/>
      <c r="CGQ132" s="21"/>
      <c r="CGR132" s="20"/>
      <c r="CGS132" s="20"/>
      <c r="CGT132" s="20"/>
      <c r="CGU132" s="21"/>
      <c r="CGV132" s="21"/>
      <c r="CGW132" s="21"/>
      <c r="CGX132" s="21"/>
      <c r="CGY132" s="21"/>
      <c r="CGZ132" s="20"/>
      <c r="CHA132" s="20"/>
      <c r="CHB132" s="20"/>
      <c r="CHC132" s="20"/>
      <c r="CHD132" s="21"/>
      <c r="CHE132" s="21"/>
      <c r="CHF132" s="7"/>
      <c r="CHG132" s="7"/>
      <c r="CHH132" s="21"/>
      <c r="CHI132" s="20"/>
      <c r="CHJ132" s="20"/>
      <c r="CHK132" s="20"/>
      <c r="CHL132" s="21"/>
      <c r="CHM132" s="21"/>
      <c r="CHN132" s="21"/>
      <c r="CHO132" s="21"/>
      <c r="CHP132" s="21"/>
      <c r="CHQ132" s="20"/>
      <c r="CHR132" s="20"/>
      <c r="CHS132" s="20"/>
      <c r="CHT132" s="20"/>
      <c r="CHU132" s="21"/>
      <c r="CHV132" s="21"/>
      <c r="CHW132" s="7"/>
      <c r="CHX132" s="7"/>
      <c r="CHY132" s="21"/>
      <c r="CHZ132" s="20"/>
      <c r="CIA132" s="20"/>
      <c r="CIB132" s="20"/>
      <c r="CIC132" s="21"/>
      <c r="CID132" s="21"/>
      <c r="CIE132" s="21"/>
      <c r="CIF132" s="21"/>
      <c r="CIG132" s="21"/>
      <c r="CIH132" s="20"/>
      <c r="CII132" s="20"/>
      <c r="CIJ132" s="20"/>
      <c r="CIK132" s="20"/>
      <c r="CIL132" s="21"/>
      <c r="CIM132" s="21"/>
      <c r="CIN132" s="7"/>
      <c r="CIO132" s="7"/>
      <c r="CIP132" s="21"/>
      <c r="CIQ132" s="20"/>
      <c r="CIR132" s="20"/>
      <c r="CIS132" s="20"/>
      <c r="CIT132" s="21"/>
      <c r="CIU132" s="21"/>
      <c r="CIV132" s="21"/>
      <c r="CIW132" s="21"/>
      <c r="CIX132" s="21"/>
      <c r="CIY132" s="20"/>
      <c r="CIZ132" s="20"/>
      <c r="CJA132" s="20"/>
      <c r="CJB132" s="20"/>
      <c r="CJC132" s="21"/>
      <c r="CJD132" s="21"/>
      <c r="CJE132" s="7"/>
      <c r="CJF132" s="7"/>
      <c r="CJG132" s="21"/>
      <c r="CJH132" s="20"/>
      <c r="CJI132" s="20"/>
      <c r="CJJ132" s="20"/>
      <c r="CJK132" s="21"/>
      <c r="CJL132" s="21"/>
      <c r="CJM132" s="21"/>
      <c r="CJN132" s="21"/>
      <c r="CJO132" s="21"/>
      <c r="CJP132" s="20"/>
      <c r="CJQ132" s="20"/>
      <c r="CJR132" s="20"/>
      <c r="CJS132" s="20"/>
      <c r="CJT132" s="21"/>
      <c r="CJU132" s="21"/>
      <c r="CJV132" s="7"/>
      <c r="CJW132" s="7"/>
      <c r="CJX132" s="21"/>
      <c r="CJY132" s="20"/>
      <c r="CJZ132" s="20"/>
      <c r="CKA132" s="20"/>
      <c r="CKB132" s="21"/>
      <c r="CKC132" s="21"/>
      <c r="CKD132" s="21"/>
      <c r="CKE132" s="21"/>
      <c r="CKF132" s="21"/>
      <c r="CKG132" s="20"/>
      <c r="CKH132" s="20"/>
      <c r="CKI132" s="20"/>
      <c r="CKJ132" s="20"/>
      <c r="CKK132" s="21"/>
      <c r="CKL132" s="21"/>
      <c r="CKM132" s="7"/>
      <c r="CKN132" s="7"/>
      <c r="CKO132" s="21"/>
      <c r="CKP132" s="20"/>
      <c r="CKQ132" s="20"/>
      <c r="CKR132" s="20"/>
      <c r="CKS132" s="21"/>
      <c r="CKT132" s="21"/>
      <c r="CKU132" s="21"/>
      <c r="CKV132" s="21"/>
      <c r="CKW132" s="21"/>
      <c r="CKX132" s="20"/>
      <c r="CKY132" s="20"/>
      <c r="CKZ132" s="20"/>
      <c r="CLA132" s="20"/>
      <c r="CLB132" s="21"/>
      <c r="CLC132" s="21"/>
      <c r="CLD132" s="7"/>
      <c r="CLE132" s="7"/>
      <c r="CLF132" s="21"/>
      <c r="CLG132" s="20"/>
      <c r="CLH132" s="20"/>
      <c r="CLI132" s="20"/>
      <c r="CLJ132" s="21"/>
      <c r="CLK132" s="21"/>
      <c r="CLL132" s="21"/>
      <c r="CLM132" s="21"/>
      <c r="CLN132" s="21"/>
      <c r="CLO132" s="20"/>
      <c r="CLP132" s="20"/>
      <c r="CLQ132" s="20"/>
      <c r="CLR132" s="20"/>
      <c r="CLS132" s="21"/>
      <c r="CLT132" s="21"/>
      <c r="CLU132" s="7"/>
      <c r="CLV132" s="7"/>
      <c r="CLW132" s="21"/>
      <c r="CLX132" s="20"/>
      <c r="CLY132" s="20"/>
      <c r="CLZ132" s="20"/>
      <c r="CMA132" s="21"/>
      <c r="CMB132" s="21"/>
      <c r="CMC132" s="21"/>
      <c r="CMD132" s="21"/>
      <c r="CME132" s="21"/>
      <c r="CMF132" s="20"/>
      <c r="CMG132" s="20"/>
      <c r="CMH132" s="20"/>
      <c r="CMI132" s="20"/>
      <c r="CMJ132" s="21"/>
      <c r="CMK132" s="21"/>
      <c r="CML132" s="7"/>
      <c r="CMM132" s="7"/>
      <c r="CMN132" s="21"/>
      <c r="CMO132" s="20"/>
      <c r="CMP132" s="20"/>
      <c r="CMQ132" s="20"/>
      <c r="CMR132" s="21"/>
      <c r="CMS132" s="21"/>
      <c r="CMT132" s="21"/>
      <c r="CMU132" s="21"/>
      <c r="CMV132" s="21"/>
      <c r="CMW132" s="20"/>
      <c r="CMX132" s="20"/>
      <c r="CMY132" s="20"/>
      <c r="CMZ132" s="20"/>
      <c r="CNA132" s="21"/>
      <c r="CNB132" s="21"/>
      <c r="CNC132" s="7"/>
      <c r="CND132" s="7"/>
      <c r="CNE132" s="21"/>
      <c r="CNF132" s="20"/>
      <c r="CNG132" s="20"/>
      <c r="CNH132" s="20"/>
      <c r="CNI132" s="21"/>
      <c r="CNJ132" s="21"/>
      <c r="CNK132" s="21"/>
      <c r="CNL132" s="21"/>
      <c r="CNM132" s="21"/>
      <c r="CNN132" s="20"/>
      <c r="CNO132" s="20"/>
      <c r="CNP132" s="20"/>
      <c r="CNQ132" s="20"/>
      <c r="CNR132" s="21"/>
      <c r="CNS132" s="21"/>
      <c r="CNT132" s="7"/>
      <c r="CNU132" s="7"/>
      <c r="CNV132" s="21"/>
      <c r="CNW132" s="20"/>
      <c r="CNX132" s="20"/>
      <c r="CNY132" s="20"/>
      <c r="CNZ132" s="21"/>
      <c r="COA132" s="21"/>
      <c r="COB132" s="21"/>
      <c r="COC132" s="21"/>
      <c r="COD132" s="21"/>
      <c r="COE132" s="20"/>
      <c r="COF132" s="20"/>
      <c r="COG132" s="20"/>
      <c r="COH132" s="20"/>
      <c r="COI132" s="21"/>
      <c r="COJ132" s="21"/>
      <c r="COK132" s="7"/>
      <c r="COL132" s="7"/>
      <c r="COM132" s="21"/>
      <c r="CON132" s="20"/>
      <c r="COO132" s="20"/>
      <c r="COP132" s="20"/>
      <c r="COQ132" s="21"/>
      <c r="COR132" s="21"/>
      <c r="COS132" s="21"/>
      <c r="COT132" s="21"/>
      <c r="COU132" s="21"/>
      <c r="COV132" s="20"/>
      <c r="COW132" s="20"/>
      <c r="COX132" s="20"/>
      <c r="COY132" s="20"/>
      <c r="COZ132" s="21"/>
      <c r="CPA132" s="21"/>
      <c r="CPB132" s="7"/>
      <c r="CPC132" s="7"/>
      <c r="CPD132" s="21"/>
      <c r="CPE132" s="20"/>
      <c r="CPF132" s="20"/>
      <c r="CPG132" s="20"/>
      <c r="CPH132" s="21"/>
      <c r="CPI132" s="21"/>
      <c r="CPJ132" s="21"/>
      <c r="CPK132" s="21"/>
      <c r="CPL132" s="21"/>
      <c r="CPM132" s="20"/>
      <c r="CPN132" s="20"/>
      <c r="CPO132" s="20"/>
      <c r="CPP132" s="20"/>
      <c r="CPQ132" s="21"/>
      <c r="CPR132" s="21"/>
      <c r="CPS132" s="7"/>
      <c r="CPT132" s="7"/>
      <c r="CPU132" s="21"/>
      <c r="CPV132" s="20"/>
      <c r="CPW132" s="20"/>
      <c r="CPX132" s="20"/>
      <c r="CPY132" s="21"/>
      <c r="CPZ132" s="21"/>
      <c r="CQA132" s="21"/>
      <c r="CQB132" s="21"/>
      <c r="CQC132" s="21"/>
      <c r="CQD132" s="20"/>
      <c r="CQE132" s="20"/>
      <c r="CQF132" s="20"/>
      <c r="CQG132" s="20"/>
      <c r="CQH132" s="21"/>
      <c r="CQI132" s="21"/>
      <c r="CQJ132" s="7"/>
      <c r="CQK132" s="7"/>
      <c r="CQL132" s="21"/>
      <c r="CQM132" s="20"/>
      <c r="CQN132" s="20"/>
      <c r="CQO132" s="20"/>
      <c r="CQP132" s="21"/>
      <c r="CQQ132" s="21"/>
      <c r="CQR132" s="21"/>
      <c r="CQS132" s="21"/>
      <c r="CQT132" s="21"/>
      <c r="CQU132" s="20"/>
      <c r="CQV132" s="20"/>
      <c r="CQW132" s="20"/>
      <c r="CQX132" s="20"/>
      <c r="CQY132" s="21"/>
      <c r="CQZ132" s="21"/>
      <c r="CRA132" s="7"/>
      <c r="CRB132" s="7"/>
      <c r="CRC132" s="21"/>
      <c r="CRD132" s="20"/>
      <c r="CRE132" s="20"/>
      <c r="CRF132" s="20"/>
      <c r="CRG132" s="21"/>
      <c r="CRH132" s="21"/>
      <c r="CRI132" s="21"/>
      <c r="CRJ132" s="21"/>
      <c r="CRK132" s="21"/>
      <c r="CRL132" s="20"/>
      <c r="CRM132" s="20"/>
      <c r="CRN132" s="20"/>
      <c r="CRO132" s="20"/>
      <c r="CRP132" s="21"/>
      <c r="CRQ132" s="21"/>
      <c r="CRR132" s="7"/>
      <c r="CRS132" s="7"/>
      <c r="CRT132" s="21"/>
      <c r="CRU132" s="20"/>
      <c r="CRV132" s="20"/>
      <c r="CRW132" s="20"/>
      <c r="CRX132" s="21"/>
      <c r="CRY132" s="21"/>
      <c r="CRZ132" s="21"/>
      <c r="CSA132" s="21"/>
      <c r="CSB132" s="21"/>
      <c r="CSC132" s="20"/>
      <c r="CSD132" s="20"/>
      <c r="CSE132" s="20"/>
      <c r="CSF132" s="20"/>
      <c r="CSG132" s="21"/>
      <c r="CSH132" s="21"/>
      <c r="CSI132" s="7"/>
      <c r="CSJ132" s="7"/>
      <c r="CSK132" s="21"/>
      <c r="CSL132" s="20"/>
      <c r="CSM132" s="20"/>
      <c r="CSN132" s="20"/>
      <c r="CSO132" s="21"/>
      <c r="CSP132" s="21"/>
      <c r="CSQ132" s="21"/>
      <c r="CSR132" s="21"/>
      <c r="CSS132" s="21"/>
      <c r="CST132" s="20"/>
      <c r="CSU132" s="20"/>
      <c r="CSV132" s="20"/>
      <c r="CSW132" s="20"/>
      <c r="CSX132" s="21"/>
      <c r="CSY132" s="21"/>
      <c r="CSZ132" s="7"/>
      <c r="CTA132" s="7"/>
      <c r="CTB132" s="21"/>
      <c r="CTC132" s="20"/>
      <c r="CTD132" s="20"/>
      <c r="CTE132" s="20"/>
      <c r="CTF132" s="21"/>
      <c r="CTG132" s="21"/>
      <c r="CTH132" s="21"/>
      <c r="CTI132" s="21"/>
      <c r="CTJ132" s="21"/>
      <c r="CTK132" s="20"/>
      <c r="CTL132" s="20"/>
      <c r="CTM132" s="20"/>
      <c r="CTN132" s="20"/>
      <c r="CTO132" s="21"/>
      <c r="CTP132" s="21"/>
      <c r="CTQ132" s="7"/>
      <c r="CTR132" s="7"/>
      <c r="CTS132" s="21"/>
      <c r="CTT132" s="20"/>
      <c r="CTU132" s="20"/>
      <c r="CTV132" s="20"/>
      <c r="CTW132" s="21"/>
      <c r="CTX132" s="21"/>
      <c r="CTY132" s="21"/>
      <c r="CTZ132" s="21"/>
      <c r="CUA132" s="21"/>
      <c r="CUB132" s="20"/>
      <c r="CUC132" s="20"/>
      <c r="CUD132" s="20"/>
      <c r="CUE132" s="20"/>
      <c r="CUF132" s="21"/>
      <c r="CUG132" s="21"/>
      <c r="CUH132" s="7"/>
      <c r="CUI132" s="7"/>
      <c r="CUJ132" s="21"/>
      <c r="CUK132" s="20"/>
      <c r="CUL132" s="20"/>
      <c r="CUM132" s="20"/>
      <c r="CUN132" s="21"/>
      <c r="CUO132" s="21"/>
      <c r="CUP132" s="21"/>
      <c r="CUQ132" s="21"/>
      <c r="CUR132" s="21"/>
      <c r="CUS132" s="20"/>
      <c r="CUT132" s="20"/>
      <c r="CUU132" s="20"/>
      <c r="CUV132" s="20"/>
      <c r="CUW132" s="21"/>
      <c r="CUX132" s="21"/>
      <c r="CUY132" s="7"/>
      <c r="CUZ132" s="7"/>
      <c r="CVA132" s="21"/>
      <c r="CVB132" s="20"/>
      <c r="CVC132" s="20"/>
      <c r="CVD132" s="20"/>
      <c r="CVE132" s="21"/>
      <c r="CVF132" s="21"/>
      <c r="CVG132" s="21"/>
      <c r="CVH132" s="21"/>
      <c r="CVI132" s="21"/>
      <c r="CVJ132" s="20"/>
      <c r="CVK132" s="20"/>
      <c r="CVL132" s="20"/>
      <c r="CVM132" s="20"/>
      <c r="CVN132" s="21"/>
      <c r="CVO132" s="21"/>
      <c r="CVP132" s="7"/>
      <c r="CVQ132" s="7"/>
      <c r="CVR132" s="21"/>
      <c r="CVS132" s="20"/>
      <c r="CVT132" s="20"/>
      <c r="CVU132" s="20"/>
      <c r="CVV132" s="21"/>
      <c r="CVW132" s="21"/>
      <c r="CVX132" s="21"/>
      <c r="CVY132" s="21"/>
      <c r="CVZ132" s="21"/>
      <c r="CWA132" s="20"/>
      <c r="CWB132" s="20"/>
      <c r="CWC132" s="20"/>
      <c r="CWD132" s="20"/>
      <c r="CWE132" s="21"/>
      <c r="CWF132" s="21"/>
      <c r="CWG132" s="7"/>
      <c r="CWH132" s="7"/>
      <c r="CWI132" s="21"/>
      <c r="CWJ132" s="20"/>
      <c r="CWK132" s="20"/>
      <c r="CWL132" s="20"/>
      <c r="CWM132" s="21"/>
      <c r="CWN132" s="21"/>
      <c r="CWO132" s="21"/>
      <c r="CWP132" s="21"/>
      <c r="CWQ132" s="21"/>
      <c r="CWR132" s="20"/>
      <c r="CWS132" s="20"/>
      <c r="CWT132" s="20"/>
      <c r="CWU132" s="20"/>
      <c r="CWV132" s="21"/>
      <c r="CWW132" s="21"/>
      <c r="CWX132" s="7"/>
      <c r="CWY132" s="7"/>
      <c r="CWZ132" s="21"/>
      <c r="CXA132" s="20"/>
      <c r="CXB132" s="20"/>
      <c r="CXC132" s="20"/>
      <c r="CXD132" s="21"/>
      <c r="CXE132" s="21"/>
      <c r="CXF132" s="21"/>
      <c r="CXG132" s="21"/>
      <c r="CXH132" s="21"/>
      <c r="CXI132" s="20"/>
      <c r="CXJ132" s="20"/>
      <c r="CXK132" s="20"/>
      <c r="CXL132" s="20"/>
      <c r="CXM132" s="21"/>
      <c r="CXN132" s="21"/>
      <c r="CXO132" s="7"/>
      <c r="CXP132" s="7"/>
      <c r="CXQ132" s="21"/>
      <c r="CXR132" s="20"/>
      <c r="CXS132" s="20"/>
      <c r="CXT132" s="20"/>
      <c r="CXU132" s="21"/>
      <c r="CXV132" s="21"/>
      <c r="CXW132" s="21"/>
      <c r="CXX132" s="21"/>
      <c r="CXY132" s="21"/>
      <c r="CXZ132" s="20"/>
      <c r="CYA132" s="20"/>
      <c r="CYB132" s="20"/>
      <c r="CYC132" s="20"/>
      <c r="CYD132" s="21"/>
      <c r="CYE132" s="21"/>
      <c r="CYF132" s="7"/>
      <c r="CYG132" s="7"/>
      <c r="CYH132" s="21"/>
      <c r="CYI132" s="20"/>
      <c r="CYJ132" s="20"/>
      <c r="CYK132" s="20"/>
      <c r="CYL132" s="21"/>
      <c r="CYM132" s="21"/>
      <c r="CYN132" s="21"/>
      <c r="CYO132" s="21"/>
      <c r="CYP132" s="21"/>
      <c r="CYQ132" s="20"/>
      <c r="CYR132" s="20"/>
      <c r="CYS132" s="20"/>
      <c r="CYT132" s="20"/>
      <c r="CYU132" s="21"/>
      <c r="CYV132" s="21"/>
      <c r="CYW132" s="7"/>
      <c r="CYX132" s="7"/>
      <c r="CYY132" s="21"/>
      <c r="CYZ132" s="20"/>
      <c r="CZA132" s="20"/>
      <c r="CZB132" s="20"/>
      <c r="CZC132" s="21"/>
      <c r="CZD132" s="21"/>
      <c r="CZE132" s="21"/>
      <c r="CZF132" s="21"/>
      <c r="CZG132" s="21"/>
      <c r="CZH132" s="20"/>
      <c r="CZI132" s="20"/>
      <c r="CZJ132" s="20"/>
      <c r="CZK132" s="20"/>
      <c r="CZL132" s="21"/>
      <c r="CZM132" s="21"/>
      <c r="CZN132" s="7"/>
      <c r="CZO132" s="7"/>
      <c r="CZP132" s="21"/>
      <c r="CZQ132" s="20"/>
      <c r="CZR132" s="20"/>
      <c r="CZS132" s="20"/>
      <c r="CZT132" s="21"/>
      <c r="CZU132" s="21"/>
      <c r="CZV132" s="21"/>
      <c r="CZW132" s="21"/>
      <c r="CZX132" s="21"/>
      <c r="CZY132" s="20"/>
      <c r="CZZ132" s="20"/>
      <c r="DAA132" s="20"/>
      <c r="DAB132" s="20"/>
      <c r="DAC132" s="21"/>
      <c r="DAD132" s="21"/>
      <c r="DAE132" s="7"/>
      <c r="DAF132" s="7"/>
      <c r="DAG132" s="21"/>
      <c r="DAH132" s="20"/>
      <c r="DAI132" s="20"/>
      <c r="DAJ132" s="20"/>
      <c r="DAK132" s="21"/>
      <c r="DAL132" s="21"/>
      <c r="DAM132" s="21"/>
      <c r="DAN132" s="21"/>
      <c r="DAO132" s="21"/>
      <c r="DAP132" s="20"/>
      <c r="DAQ132" s="20"/>
      <c r="DAR132" s="20"/>
      <c r="DAS132" s="20"/>
      <c r="DAT132" s="21"/>
      <c r="DAU132" s="21"/>
      <c r="DAV132" s="7"/>
      <c r="DAW132" s="7"/>
      <c r="DAX132" s="21"/>
      <c r="DAY132" s="20"/>
      <c r="DAZ132" s="20"/>
      <c r="DBA132" s="20"/>
      <c r="DBB132" s="21"/>
      <c r="DBC132" s="21"/>
      <c r="DBD132" s="21"/>
      <c r="DBE132" s="21"/>
      <c r="DBF132" s="21"/>
      <c r="DBG132" s="20"/>
      <c r="DBH132" s="20"/>
      <c r="DBI132" s="20"/>
      <c r="DBJ132" s="20"/>
      <c r="DBK132" s="21"/>
      <c r="DBL132" s="21"/>
      <c r="DBM132" s="7"/>
      <c r="DBN132" s="7"/>
      <c r="DBO132" s="21"/>
      <c r="DBP132" s="20"/>
      <c r="DBQ132" s="20"/>
      <c r="DBR132" s="20"/>
      <c r="DBS132" s="21"/>
      <c r="DBT132" s="21"/>
      <c r="DBU132" s="21"/>
      <c r="DBV132" s="21"/>
      <c r="DBW132" s="21"/>
      <c r="DBX132" s="20"/>
      <c r="DBY132" s="20"/>
      <c r="DBZ132" s="20"/>
      <c r="DCA132" s="20"/>
      <c r="DCB132" s="21"/>
      <c r="DCC132" s="21"/>
      <c r="DCD132" s="7"/>
      <c r="DCE132" s="7"/>
      <c r="DCF132" s="21"/>
      <c r="DCG132" s="20"/>
      <c r="DCH132" s="20"/>
      <c r="DCI132" s="20"/>
      <c r="DCJ132" s="21"/>
      <c r="DCK132" s="21"/>
      <c r="DCL132" s="21"/>
      <c r="DCM132" s="21"/>
      <c r="DCN132" s="21"/>
      <c r="DCO132" s="20"/>
      <c r="DCP132" s="20"/>
      <c r="DCQ132" s="20"/>
      <c r="DCR132" s="20"/>
      <c r="DCS132" s="21"/>
      <c r="DCT132" s="21"/>
      <c r="DCU132" s="7"/>
      <c r="DCV132" s="7"/>
      <c r="DCW132" s="21"/>
      <c r="DCX132" s="20"/>
      <c r="DCY132" s="20"/>
      <c r="DCZ132" s="20"/>
      <c r="DDA132" s="21"/>
      <c r="DDB132" s="21"/>
      <c r="DDC132" s="21"/>
      <c r="DDD132" s="21"/>
      <c r="DDE132" s="21"/>
      <c r="DDF132" s="20"/>
      <c r="DDG132" s="20"/>
      <c r="DDH132" s="20"/>
      <c r="DDI132" s="20"/>
      <c r="DDJ132" s="21"/>
      <c r="DDK132" s="21"/>
      <c r="DDL132" s="7"/>
      <c r="DDM132" s="7"/>
      <c r="DDN132" s="21"/>
      <c r="DDO132" s="20"/>
      <c r="DDP132" s="20"/>
      <c r="DDQ132" s="20"/>
      <c r="DDR132" s="21"/>
      <c r="DDS132" s="21"/>
      <c r="DDT132" s="21"/>
      <c r="DDU132" s="21"/>
      <c r="DDV132" s="21"/>
      <c r="DDW132" s="20"/>
      <c r="DDX132" s="20"/>
      <c r="DDY132" s="20"/>
      <c r="DDZ132" s="20"/>
      <c r="DEA132" s="21"/>
      <c r="DEB132" s="21"/>
      <c r="DEC132" s="7"/>
      <c r="DED132" s="7"/>
      <c r="DEE132" s="21"/>
      <c r="DEF132" s="20"/>
      <c r="DEG132" s="20"/>
      <c r="DEH132" s="20"/>
      <c r="DEI132" s="21"/>
      <c r="DEJ132" s="21"/>
      <c r="DEK132" s="21"/>
      <c r="DEL132" s="21"/>
      <c r="DEM132" s="21"/>
      <c r="DEN132" s="20"/>
      <c r="DEO132" s="20"/>
      <c r="DEP132" s="20"/>
      <c r="DEQ132" s="20"/>
      <c r="DER132" s="21"/>
      <c r="DES132" s="21"/>
      <c r="DET132" s="7"/>
      <c r="DEU132" s="7"/>
      <c r="DEV132" s="21"/>
      <c r="DEW132" s="20"/>
      <c r="DEX132" s="20"/>
      <c r="DEY132" s="20"/>
      <c r="DEZ132" s="21"/>
      <c r="DFA132" s="21"/>
      <c r="DFB132" s="21"/>
      <c r="DFC132" s="21"/>
      <c r="DFD132" s="21"/>
      <c r="DFE132" s="20"/>
      <c r="DFF132" s="20"/>
      <c r="DFG132" s="20"/>
      <c r="DFH132" s="20"/>
      <c r="DFI132" s="21"/>
      <c r="DFJ132" s="21"/>
      <c r="DFK132" s="7"/>
      <c r="DFL132" s="7"/>
      <c r="DFM132" s="21"/>
      <c r="DFN132" s="20"/>
      <c r="DFO132" s="20"/>
      <c r="DFP132" s="20"/>
      <c r="DFQ132" s="21"/>
      <c r="DFR132" s="21"/>
      <c r="DFS132" s="21"/>
      <c r="DFT132" s="21"/>
      <c r="DFU132" s="21"/>
      <c r="DFV132" s="20"/>
      <c r="DFW132" s="20"/>
      <c r="DFX132" s="20"/>
      <c r="DFY132" s="20"/>
      <c r="DFZ132" s="21"/>
      <c r="DGA132" s="21"/>
      <c r="DGB132" s="7"/>
      <c r="DGC132" s="7"/>
      <c r="DGD132" s="21"/>
      <c r="DGE132" s="20"/>
      <c r="DGF132" s="20"/>
      <c r="DGG132" s="20"/>
      <c r="DGH132" s="21"/>
      <c r="DGI132" s="21"/>
      <c r="DGJ132" s="21"/>
      <c r="DGK132" s="21"/>
      <c r="DGL132" s="21"/>
      <c r="DGM132" s="20"/>
      <c r="DGN132" s="20"/>
      <c r="DGO132" s="20"/>
      <c r="DGP132" s="20"/>
      <c r="DGQ132" s="21"/>
      <c r="DGR132" s="21"/>
      <c r="DGS132" s="7"/>
      <c r="DGT132" s="7"/>
      <c r="DGU132" s="21"/>
      <c r="DGV132" s="20"/>
      <c r="DGW132" s="20"/>
      <c r="DGX132" s="20"/>
      <c r="DGY132" s="21"/>
      <c r="DGZ132" s="21"/>
      <c r="DHA132" s="21"/>
      <c r="DHB132" s="21"/>
      <c r="DHC132" s="21"/>
      <c r="DHD132" s="20"/>
      <c r="DHE132" s="20"/>
      <c r="DHF132" s="20"/>
      <c r="DHG132" s="20"/>
      <c r="DHH132" s="21"/>
      <c r="DHI132" s="21"/>
      <c r="DHJ132" s="7"/>
      <c r="DHK132" s="7"/>
      <c r="DHL132" s="21"/>
      <c r="DHM132" s="20"/>
      <c r="DHN132" s="20"/>
      <c r="DHO132" s="20"/>
      <c r="DHP132" s="21"/>
      <c r="DHQ132" s="21"/>
      <c r="DHR132" s="21"/>
      <c r="DHS132" s="21"/>
      <c r="DHT132" s="21"/>
      <c r="DHU132" s="20"/>
      <c r="DHV132" s="20"/>
      <c r="DHW132" s="20"/>
      <c r="DHX132" s="20"/>
      <c r="DHY132" s="21"/>
      <c r="DHZ132" s="21"/>
      <c r="DIA132" s="7"/>
      <c r="DIB132" s="7"/>
      <c r="DIC132" s="21"/>
      <c r="DID132" s="20"/>
      <c r="DIE132" s="20"/>
      <c r="DIF132" s="20"/>
      <c r="DIG132" s="21"/>
      <c r="DIH132" s="21"/>
      <c r="DII132" s="21"/>
      <c r="DIJ132" s="21"/>
      <c r="DIK132" s="21"/>
      <c r="DIL132" s="20"/>
      <c r="DIM132" s="20"/>
      <c r="DIN132" s="20"/>
      <c r="DIO132" s="20"/>
      <c r="DIP132" s="21"/>
      <c r="DIQ132" s="21"/>
      <c r="DIR132" s="7"/>
      <c r="DIS132" s="7"/>
      <c r="DIT132" s="21"/>
      <c r="DIU132" s="20"/>
      <c r="DIV132" s="20"/>
      <c r="DIW132" s="20"/>
      <c r="DIX132" s="21"/>
      <c r="DIY132" s="21"/>
      <c r="DIZ132" s="21"/>
      <c r="DJA132" s="21"/>
      <c r="DJB132" s="21"/>
      <c r="DJC132" s="20"/>
      <c r="DJD132" s="20"/>
      <c r="DJE132" s="20"/>
      <c r="DJF132" s="20"/>
      <c r="DJG132" s="21"/>
      <c r="DJH132" s="21"/>
      <c r="DJI132" s="7"/>
      <c r="DJJ132" s="7"/>
      <c r="DJK132" s="21"/>
      <c r="DJL132" s="20"/>
      <c r="DJM132" s="20"/>
      <c r="DJN132" s="20"/>
      <c r="DJO132" s="21"/>
      <c r="DJP132" s="21"/>
      <c r="DJQ132" s="21"/>
      <c r="DJR132" s="21"/>
      <c r="DJS132" s="21"/>
      <c r="DJT132" s="20"/>
      <c r="DJU132" s="20"/>
      <c r="DJV132" s="20"/>
      <c r="DJW132" s="20"/>
      <c r="DJX132" s="21"/>
      <c r="DJY132" s="21"/>
      <c r="DJZ132" s="7"/>
      <c r="DKA132" s="7"/>
      <c r="DKB132" s="21"/>
      <c r="DKC132" s="20"/>
      <c r="DKD132" s="20"/>
      <c r="DKE132" s="20"/>
      <c r="DKF132" s="21"/>
      <c r="DKG132" s="21"/>
      <c r="DKH132" s="21"/>
      <c r="DKI132" s="21"/>
      <c r="DKJ132" s="21"/>
      <c r="DKK132" s="20"/>
      <c r="DKL132" s="20"/>
      <c r="DKM132" s="20"/>
      <c r="DKN132" s="20"/>
      <c r="DKO132" s="21"/>
      <c r="DKP132" s="21"/>
      <c r="DKQ132" s="7"/>
      <c r="DKR132" s="7"/>
      <c r="DKS132" s="21"/>
      <c r="DKT132" s="20"/>
      <c r="DKU132" s="20"/>
      <c r="DKV132" s="20"/>
      <c r="DKW132" s="21"/>
      <c r="DKX132" s="21"/>
      <c r="DKY132" s="21"/>
      <c r="DKZ132" s="21"/>
      <c r="DLA132" s="21"/>
      <c r="DLB132" s="20"/>
      <c r="DLC132" s="20"/>
      <c r="DLD132" s="20"/>
      <c r="DLE132" s="20"/>
      <c r="DLF132" s="21"/>
      <c r="DLG132" s="21"/>
      <c r="DLH132" s="7"/>
      <c r="DLI132" s="7"/>
      <c r="DLJ132" s="21"/>
      <c r="DLK132" s="20"/>
      <c r="DLL132" s="20"/>
      <c r="DLM132" s="20"/>
      <c r="DLN132" s="21"/>
      <c r="DLO132" s="21"/>
      <c r="DLP132" s="21"/>
      <c r="DLQ132" s="21"/>
      <c r="DLR132" s="21"/>
      <c r="DLS132" s="20"/>
      <c r="DLT132" s="20"/>
      <c r="DLU132" s="20"/>
      <c r="DLV132" s="20"/>
      <c r="DLW132" s="21"/>
      <c r="DLX132" s="21"/>
      <c r="DLY132" s="7"/>
      <c r="DLZ132" s="7"/>
      <c r="DMA132" s="21"/>
      <c r="DMB132" s="20"/>
      <c r="DMC132" s="20"/>
      <c r="DMD132" s="20"/>
      <c r="DME132" s="21"/>
      <c r="DMF132" s="21"/>
      <c r="DMG132" s="21"/>
      <c r="DMH132" s="21"/>
      <c r="DMI132" s="21"/>
      <c r="DMJ132" s="20"/>
      <c r="DMK132" s="20"/>
      <c r="DML132" s="20"/>
      <c r="DMM132" s="20"/>
      <c r="DMN132" s="21"/>
      <c r="DMO132" s="21"/>
      <c r="DMP132" s="7"/>
      <c r="DMQ132" s="7"/>
      <c r="DMR132" s="21"/>
      <c r="DMS132" s="20"/>
      <c r="DMT132" s="20"/>
      <c r="DMU132" s="20"/>
      <c r="DMV132" s="21"/>
      <c r="DMW132" s="21"/>
      <c r="DMX132" s="21"/>
      <c r="DMY132" s="21"/>
      <c r="DMZ132" s="21"/>
      <c r="DNA132" s="20"/>
      <c r="DNB132" s="20"/>
      <c r="DNC132" s="20"/>
      <c r="DND132" s="20"/>
      <c r="DNE132" s="21"/>
      <c r="DNF132" s="21"/>
      <c r="DNG132" s="7"/>
      <c r="DNH132" s="7"/>
      <c r="DNI132" s="21"/>
      <c r="DNJ132" s="20"/>
      <c r="DNK132" s="20"/>
      <c r="DNL132" s="20"/>
      <c r="DNM132" s="21"/>
      <c r="DNN132" s="21"/>
      <c r="DNO132" s="21"/>
      <c r="DNP132" s="21"/>
      <c r="DNQ132" s="21"/>
      <c r="DNR132" s="20"/>
      <c r="DNS132" s="20"/>
      <c r="DNT132" s="20"/>
      <c r="DNU132" s="20"/>
      <c r="DNV132" s="21"/>
      <c r="DNW132" s="21"/>
      <c r="DNX132" s="7"/>
      <c r="DNY132" s="7"/>
      <c r="DNZ132" s="21"/>
      <c r="DOA132" s="20"/>
      <c r="DOB132" s="20"/>
      <c r="DOC132" s="20"/>
      <c r="DOD132" s="21"/>
      <c r="DOE132" s="21"/>
      <c r="DOF132" s="21"/>
      <c r="DOG132" s="21"/>
      <c r="DOH132" s="21"/>
      <c r="DOI132" s="20"/>
      <c r="DOJ132" s="20"/>
      <c r="DOK132" s="20"/>
      <c r="DOL132" s="20"/>
      <c r="DOM132" s="21"/>
      <c r="DON132" s="21"/>
      <c r="DOO132" s="7"/>
      <c r="DOP132" s="7"/>
      <c r="DOQ132" s="21"/>
      <c r="DOR132" s="20"/>
      <c r="DOS132" s="20"/>
      <c r="DOT132" s="20"/>
      <c r="DOU132" s="21"/>
      <c r="DOV132" s="21"/>
      <c r="DOW132" s="21"/>
      <c r="DOX132" s="21"/>
      <c r="DOY132" s="21"/>
      <c r="DOZ132" s="20"/>
      <c r="DPA132" s="20"/>
      <c r="DPB132" s="20"/>
      <c r="DPC132" s="20"/>
      <c r="DPD132" s="21"/>
      <c r="DPE132" s="21"/>
      <c r="DPF132" s="7"/>
      <c r="DPG132" s="7"/>
      <c r="DPH132" s="21"/>
      <c r="DPI132" s="20"/>
      <c r="DPJ132" s="20"/>
      <c r="DPK132" s="20"/>
      <c r="DPL132" s="21"/>
      <c r="DPM132" s="21"/>
      <c r="DPN132" s="21"/>
      <c r="DPO132" s="21"/>
      <c r="DPP132" s="21"/>
      <c r="DPQ132" s="20"/>
      <c r="DPR132" s="20"/>
      <c r="DPS132" s="20"/>
      <c r="DPT132" s="20"/>
      <c r="DPU132" s="21"/>
      <c r="DPV132" s="21"/>
      <c r="DPW132" s="7"/>
      <c r="DPX132" s="7"/>
      <c r="DPY132" s="21"/>
      <c r="DPZ132" s="20"/>
      <c r="DQA132" s="20"/>
      <c r="DQB132" s="20"/>
      <c r="DQC132" s="21"/>
      <c r="DQD132" s="21"/>
      <c r="DQE132" s="21"/>
      <c r="DQF132" s="21"/>
      <c r="DQG132" s="21"/>
      <c r="DQH132" s="20"/>
      <c r="DQI132" s="20"/>
      <c r="DQJ132" s="20"/>
      <c r="DQK132" s="20"/>
      <c r="DQL132" s="21"/>
      <c r="DQM132" s="21"/>
      <c r="DQN132" s="7"/>
      <c r="DQO132" s="7"/>
      <c r="DQP132" s="21"/>
      <c r="DQQ132" s="20"/>
      <c r="DQR132" s="20"/>
      <c r="DQS132" s="20"/>
      <c r="DQT132" s="21"/>
      <c r="DQU132" s="21"/>
      <c r="DQV132" s="21"/>
      <c r="DQW132" s="21"/>
      <c r="DQX132" s="21"/>
      <c r="DQY132" s="20"/>
      <c r="DQZ132" s="20"/>
      <c r="DRA132" s="20"/>
      <c r="DRB132" s="20"/>
      <c r="DRC132" s="21"/>
      <c r="DRD132" s="21"/>
      <c r="DRE132" s="7"/>
      <c r="DRF132" s="7"/>
      <c r="DRG132" s="21"/>
      <c r="DRH132" s="20"/>
      <c r="DRI132" s="20"/>
      <c r="DRJ132" s="20"/>
      <c r="DRK132" s="21"/>
      <c r="DRL132" s="21"/>
      <c r="DRM132" s="21"/>
      <c r="DRN132" s="21"/>
      <c r="DRO132" s="21"/>
      <c r="DRP132" s="20"/>
      <c r="DRQ132" s="20"/>
      <c r="DRR132" s="20"/>
      <c r="DRS132" s="20"/>
      <c r="DRT132" s="21"/>
      <c r="DRU132" s="21"/>
      <c r="DRV132" s="7"/>
      <c r="DRW132" s="7"/>
      <c r="DRX132" s="21"/>
      <c r="DRY132" s="20"/>
      <c r="DRZ132" s="20"/>
      <c r="DSA132" s="20"/>
      <c r="DSB132" s="21"/>
      <c r="DSC132" s="21"/>
      <c r="DSD132" s="21"/>
      <c r="DSE132" s="21"/>
      <c r="DSF132" s="21"/>
      <c r="DSG132" s="20"/>
      <c r="DSH132" s="20"/>
      <c r="DSI132" s="20"/>
      <c r="DSJ132" s="20"/>
      <c r="DSK132" s="21"/>
      <c r="DSL132" s="21"/>
      <c r="DSM132" s="7"/>
      <c r="DSN132" s="7"/>
      <c r="DSO132" s="21"/>
      <c r="DSP132" s="20"/>
      <c r="DSQ132" s="20"/>
      <c r="DSR132" s="20"/>
      <c r="DSS132" s="21"/>
      <c r="DST132" s="21"/>
      <c r="DSU132" s="21"/>
      <c r="DSV132" s="21"/>
      <c r="DSW132" s="21"/>
      <c r="DSX132" s="20"/>
      <c r="DSY132" s="20"/>
      <c r="DSZ132" s="20"/>
      <c r="DTA132" s="20"/>
      <c r="DTB132" s="21"/>
      <c r="DTC132" s="21"/>
      <c r="DTD132" s="7"/>
      <c r="DTE132" s="7"/>
      <c r="DTF132" s="21"/>
      <c r="DTG132" s="20"/>
      <c r="DTH132" s="20"/>
      <c r="DTI132" s="20"/>
      <c r="DTJ132" s="21"/>
      <c r="DTK132" s="21"/>
      <c r="DTL132" s="21"/>
      <c r="DTM132" s="21"/>
      <c r="DTN132" s="21"/>
      <c r="DTO132" s="20"/>
      <c r="DTP132" s="20"/>
      <c r="DTQ132" s="20"/>
      <c r="DTR132" s="20"/>
      <c r="DTS132" s="21"/>
      <c r="DTT132" s="21"/>
      <c r="DTU132" s="7"/>
      <c r="DTV132" s="7"/>
      <c r="DTW132" s="21"/>
      <c r="DTX132" s="20"/>
      <c r="DTY132" s="20"/>
      <c r="DTZ132" s="20"/>
      <c r="DUA132" s="21"/>
      <c r="DUB132" s="21"/>
      <c r="DUC132" s="21"/>
      <c r="DUD132" s="21"/>
      <c r="DUE132" s="21"/>
      <c r="DUF132" s="20"/>
      <c r="DUG132" s="20"/>
      <c r="DUH132" s="20"/>
      <c r="DUI132" s="20"/>
      <c r="DUJ132" s="21"/>
      <c r="DUK132" s="21"/>
      <c r="DUL132" s="7"/>
      <c r="DUM132" s="7"/>
      <c r="DUN132" s="21"/>
      <c r="DUO132" s="20"/>
      <c r="DUP132" s="20"/>
      <c r="DUQ132" s="20"/>
      <c r="DUR132" s="21"/>
      <c r="DUS132" s="21"/>
      <c r="DUT132" s="21"/>
      <c r="DUU132" s="21"/>
      <c r="DUV132" s="21"/>
      <c r="DUW132" s="20"/>
      <c r="DUX132" s="20"/>
      <c r="DUY132" s="20"/>
      <c r="DUZ132" s="20"/>
      <c r="DVA132" s="21"/>
      <c r="DVB132" s="21"/>
      <c r="DVC132" s="7"/>
      <c r="DVD132" s="7"/>
      <c r="DVE132" s="21"/>
      <c r="DVF132" s="20"/>
      <c r="DVG132" s="20"/>
      <c r="DVH132" s="20"/>
      <c r="DVI132" s="21"/>
      <c r="DVJ132" s="21"/>
      <c r="DVK132" s="21"/>
      <c r="DVL132" s="21"/>
      <c r="DVM132" s="21"/>
      <c r="DVN132" s="20"/>
      <c r="DVO132" s="20"/>
      <c r="DVP132" s="20"/>
      <c r="DVQ132" s="20"/>
      <c r="DVR132" s="21"/>
      <c r="DVS132" s="21"/>
      <c r="DVT132" s="7"/>
      <c r="DVU132" s="7"/>
      <c r="DVV132" s="21"/>
      <c r="DVW132" s="20"/>
      <c r="DVX132" s="20"/>
      <c r="DVY132" s="20"/>
      <c r="DVZ132" s="21"/>
      <c r="DWA132" s="21"/>
      <c r="DWB132" s="21"/>
      <c r="DWC132" s="21"/>
      <c r="DWD132" s="21"/>
      <c r="DWE132" s="20"/>
      <c r="DWF132" s="20"/>
      <c r="DWG132" s="20"/>
      <c r="DWH132" s="20"/>
      <c r="DWI132" s="21"/>
      <c r="DWJ132" s="21"/>
      <c r="DWK132" s="7"/>
      <c r="DWL132" s="7"/>
      <c r="DWM132" s="21"/>
      <c r="DWN132" s="20"/>
      <c r="DWO132" s="20"/>
      <c r="DWP132" s="20"/>
      <c r="DWQ132" s="21"/>
      <c r="DWR132" s="21"/>
      <c r="DWS132" s="21"/>
      <c r="DWT132" s="21"/>
      <c r="DWU132" s="21"/>
      <c r="DWV132" s="20"/>
      <c r="DWW132" s="20"/>
      <c r="DWX132" s="20"/>
      <c r="DWY132" s="20"/>
      <c r="DWZ132" s="21"/>
      <c r="DXA132" s="21"/>
      <c r="DXB132" s="7"/>
      <c r="DXC132" s="7"/>
      <c r="DXD132" s="21"/>
      <c r="DXE132" s="20"/>
      <c r="DXF132" s="20"/>
      <c r="DXG132" s="20"/>
      <c r="DXH132" s="21"/>
      <c r="DXI132" s="21"/>
      <c r="DXJ132" s="21"/>
      <c r="DXK132" s="21"/>
      <c r="DXL132" s="21"/>
      <c r="DXM132" s="20"/>
      <c r="DXN132" s="20"/>
      <c r="DXO132" s="20"/>
      <c r="DXP132" s="20"/>
      <c r="DXQ132" s="21"/>
      <c r="DXR132" s="21"/>
      <c r="DXS132" s="7"/>
      <c r="DXT132" s="7"/>
      <c r="DXU132" s="21"/>
      <c r="DXV132" s="20"/>
      <c r="DXW132" s="20"/>
      <c r="DXX132" s="20"/>
      <c r="DXY132" s="21"/>
      <c r="DXZ132" s="21"/>
      <c r="DYA132" s="21"/>
      <c r="DYB132" s="21"/>
      <c r="DYC132" s="21"/>
      <c r="DYD132" s="20"/>
      <c r="DYE132" s="20"/>
      <c r="DYF132" s="20"/>
      <c r="DYG132" s="20"/>
      <c r="DYH132" s="21"/>
      <c r="DYI132" s="21"/>
      <c r="DYJ132" s="7"/>
      <c r="DYK132" s="7"/>
      <c r="DYL132" s="21"/>
      <c r="DYM132" s="20"/>
      <c r="DYN132" s="20"/>
      <c r="DYO132" s="20"/>
      <c r="DYP132" s="21"/>
      <c r="DYQ132" s="21"/>
      <c r="DYR132" s="21"/>
      <c r="DYS132" s="21"/>
      <c r="DYT132" s="21"/>
      <c r="DYU132" s="20"/>
      <c r="DYV132" s="20"/>
      <c r="DYW132" s="20"/>
      <c r="DYX132" s="20"/>
      <c r="DYY132" s="21"/>
      <c r="DYZ132" s="21"/>
      <c r="DZA132" s="7"/>
      <c r="DZB132" s="7"/>
      <c r="DZC132" s="21"/>
      <c r="DZD132" s="20"/>
      <c r="DZE132" s="20"/>
      <c r="DZF132" s="20"/>
      <c r="DZG132" s="21"/>
      <c r="DZH132" s="21"/>
      <c r="DZI132" s="21"/>
      <c r="DZJ132" s="21"/>
      <c r="DZK132" s="21"/>
      <c r="DZL132" s="20"/>
      <c r="DZM132" s="20"/>
      <c r="DZN132" s="20"/>
      <c r="DZO132" s="20"/>
      <c r="DZP132" s="21"/>
      <c r="DZQ132" s="21"/>
      <c r="DZR132" s="7"/>
      <c r="DZS132" s="7"/>
      <c r="DZT132" s="21"/>
      <c r="DZU132" s="20"/>
      <c r="DZV132" s="20"/>
      <c r="DZW132" s="20"/>
      <c r="DZX132" s="21"/>
      <c r="DZY132" s="21"/>
      <c r="DZZ132" s="21"/>
      <c r="EAA132" s="21"/>
      <c r="EAB132" s="21"/>
      <c r="EAC132" s="20"/>
      <c r="EAD132" s="20"/>
      <c r="EAE132" s="20"/>
      <c r="EAF132" s="20"/>
      <c r="EAG132" s="21"/>
      <c r="EAH132" s="21"/>
      <c r="EAI132" s="7"/>
      <c r="EAJ132" s="7"/>
      <c r="EAK132" s="21"/>
      <c r="EAL132" s="20"/>
      <c r="EAM132" s="20"/>
      <c r="EAN132" s="20"/>
      <c r="EAO132" s="21"/>
      <c r="EAP132" s="21"/>
      <c r="EAQ132" s="21"/>
      <c r="EAR132" s="21"/>
      <c r="EAS132" s="21"/>
      <c r="EAT132" s="20"/>
      <c r="EAU132" s="20"/>
      <c r="EAV132" s="20"/>
      <c r="EAW132" s="20"/>
      <c r="EAX132" s="21"/>
      <c r="EAY132" s="21"/>
      <c r="EAZ132" s="7"/>
      <c r="EBA132" s="7"/>
      <c r="EBB132" s="21"/>
      <c r="EBC132" s="20"/>
      <c r="EBD132" s="20"/>
      <c r="EBE132" s="20"/>
      <c r="EBF132" s="21"/>
      <c r="EBG132" s="21"/>
      <c r="EBH132" s="21"/>
      <c r="EBI132" s="21"/>
      <c r="EBJ132" s="21"/>
      <c r="EBK132" s="20"/>
      <c r="EBL132" s="20"/>
      <c r="EBM132" s="20"/>
      <c r="EBN132" s="20"/>
      <c r="EBO132" s="21"/>
      <c r="EBP132" s="21"/>
      <c r="EBQ132" s="7"/>
      <c r="EBR132" s="7"/>
      <c r="EBS132" s="21"/>
      <c r="EBT132" s="20"/>
      <c r="EBU132" s="20"/>
      <c r="EBV132" s="20"/>
      <c r="EBW132" s="21"/>
      <c r="EBX132" s="21"/>
      <c r="EBY132" s="21"/>
      <c r="EBZ132" s="21"/>
      <c r="ECA132" s="21"/>
      <c r="ECB132" s="20"/>
      <c r="ECC132" s="20"/>
      <c r="ECD132" s="20"/>
      <c r="ECE132" s="20"/>
      <c r="ECF132" s="21"/>
      <c r="ECG132" s="21"/>
      <c r="ECH132" s="7"/>
      <c r="ECI132" s="7"/>
      <c r="ECJ132" s="21"/>
      <c r="ECK132" s="20"/>
      <c r="ECL132" s="20"/>
      <c r="ECM132" s="20"/>
      <c r="ECN132" s="21"/>
      <c r="ECO132" s="21"/>
      <c r="ECP132" s="21"/>
      <c r="ECQ132" s="21"/>
      <c r="ECR132" s="21"/>
      <c r="ECS132" s="20"/>
      <c r="ECT132" s="20"/>
      <c r="ECU132" s="20"/>
      <c r="ECV132" s="20"/>
      <c r="ECW132" s="21"/>
      <c r="ECX132" s="21"/>
      <c r="ECY132" s="7"/>
      <c r="ECZ132" s="7"/>
      <c r="EDA132" s="21"/>
      <c r="EDB132" s="20"/>
      <c r="EDC132" s="20"/>
      <c r="EDD132" s="20"/>
      <c r="EDE132" s="21"/>
      <c r="EDF132" s="21"/>
      <c r="EDG132" s="21"/>
      <c r="EDH132" s="21"/>
      <c r="EDI132" s="21"/>
      <c r="EDJ132" s="20"/>
      <c r="EDK132" s="20"/>
      <c r="EDL132" s="20"/>
      <c r="EDM132" s="20"/>
      <c r="EDN132" s="21"/>
      <c r="EDO132" s="21"/>
      <c r="EDP132" s="7"/>
      <c r="EDQ132" s="7"/>
      <c r="EDR132" s="21"/>
      <c r="EDS132" s="20"/>
      <c r="EDT132" s="20"/>
      <c r="EDU132" s="20"/>
      <c r="EDV132" s="21"/>
      <c r="EDW132" s="21"/>
      <c r="EDX132" s="21"/>
      <c r="EDY132" s="21"/>
      <c r="EDZ132" s="21"/>
      <c r="EEA132" s="20"/>
      <c r="EEB132" s="20"/>
      <c r="EEC132" s="20"/>
      <c r="EED132" s="20"/>
      <c r="EEE132" s="21"/>
      <c r="EEF132" s="21"/>
      <c r="EEG132" s="7"/>
      <c r="EEH132" s="7"/>
      <c r="EEI132" s="21"/>
      <c r="EEJ132" s="20"/>
      <c r="EEK132" s="20"/>
      <c r="EEL132" s="20"/>
      <c r="EEM132" s="21"/>
      <c r="EEN132" s="21"/>
      <c r="EEO132" s="21"/>
      <c r="EEP132" s="21"/>
      <c r="EEQ132" s="21"/>
      <c r="EER132" s="20"/>
      <c r="EES132" s="20"/>
      <c r="EET132" s="20"/>
      <c r="EEU132" s="20"/>
      <c r="EEV132" s="21"/>
      <c r="EEW132" s="21"/>
      <c r="EEX132" s="7"/>
      <c r="EEY132" s="7"/>
      <c r="EEZ132" s="21"/>
      <c r="EFA132" s="20"/>
      <c r="EFB132" s="20"/>
      <c r="EFC132" s="20"/>
      <c r="EFD132" s="21"/>
      <c r="EFE132" s="21"/>
      <c r="EFF132" s="21"/>
      <c r="EFG132" s="21"/>
      <c r="EFH132" s="21"/>
      <c r="EFI132" s="20"/>
      <c r="EFJ132" s="20"/>
      <c r="EFK132" s="20"/>
      <c r="EFL132" s="20"/>
      <c r="EFM132" s="21"/>
      <c r="EFN132" s="21"/>
      <c r="EFO132" s="7"/>
      <c r="EFP132" s="7"/>
      <c r="EFQ132" s="21"/>
      <c r="EFR132" s="20"/>
      <c r="EFS132" s="20"/>
      <c r="EFT132" s="20"/>
      <c r="EFU132" s="21"/>
      <c r="EFV132" s="21"/>
      <c r="EFW132" s="21"/>
      <c r="EFX132" s="21"/>
      <c r="EFY132" s="21"/>
      <c r="EFZ132" s="20"/>
      <c r="EGA132" s="20"/>
      <c r="EGB132" s="20"/>
      <c r="EGC132" s="20"/>
      <c r="EGD132" s="21"/>
      <c r="EGE132" s="21"/>
      <c r="EGF132" s="7"/>
      <c r="EGG132" s="7"/>
      <c r="EGH132" s="21"/>
      <c r="EGI132" s="20"/>
      <c r="EGJ132" s="20"/>
      <c r="EGK132" s="20"/>
      <c r="EGL132" s="21"/>
      <c r="EGM132" s="21"/>
      <c r="EGN132" s="21"/>
      <c r="EGO132" s="21"/>
      <c r="EGP132" s="21"/>
      <c r="EGQ132" s="20"/>
      <c r="EGR132" s="20"/>
      <c r="EGS132" s="20"/>
      <c r="EGT132" s="20"/>
      <c r="EGU132" s="21"/>
      <c r="EGV132" s="21"/>
      <c r="EGW132" s="7"/>
      <c r="EGX132" s="7"/>
      <c r="EGY132" s="21"/>
      <c r="EGZ132" s="20"/>
      <c r="EHA132" s="20"/>
      <c r="EHB132" s="20"/>
      <c r="EHC132" s="21"/>
      <c r="EHD132" s="21"/>
      <c r="EHE132" s="21"/>
      <c r="EHF132" s="21"/>
      <c r="EHG132" s="21"/>
      <c r="EHH132" s="20"/>
      <c r="EHI132" s="20"/>
      <c r="EHJ132" s="20"/>
      <c r="EHK132" s="20"/>
      <c r="EHL132" s="21"/>
      <c r="EHM132" s="21"/>
      <c r="EHN132" s="7"/>
      <c r="EHO132" s="7"/>
      <c r="EHP132" s="21"/>
      <c r="EHQ132" s="20"/>
      <c r="EHR132" s="20"/>
      <c r="EHS132" s="20"/>
      <c r="EHT132" s="21"/>
      <c r="EHU132" s="21"/>
      <c r="EHV132" s="21"/>
      <c r="EHW132" s="21"/>
      <c r="EHX132" s="21"/>
      <c r="EHY132" s="20"/>
      <c r="EHZ132" s="20"/>
      <c r="EIA132" s="20"/>
      <c r="EIB132" s="20"/>
      <c r="EIC132" s="21"/>
      <c r="EID132" s="21"/>
      <c r="EIE132" s="7"/>
      <c r="EIF132" s="7"/>
      <c r="EIG132" s="21"/>
      <c r="EIH132" s="20"/>
      <c r="EII132" s="20"/>
      <c r="EIJ132" s="20"/>
      <c r="EIK132" s="21"/>
      <c r="EIL132" s="21"/>
      <c r="EIM132" s="21"/>
      <c r="EIN132" s="21"/>
      <c r="EIO132" s="21"/>
      <c r="EIP132" s="20"/>
      <c r="EIQ132" s="20"/>
      <c r="EIR132" s="20"/>
      <c r="EIS132" s="20"/>
      <c r="EIT132" s="21"/>
      <c r="EIU132" s="21"/>
      <c r="EIV132" s="7"/>
      <c r="EIW132" s="7"/>
      <c r="EIX132" s="21"/>
      <c r="EIY132" s="20"/>
      <c r="EIZ132" s="20"/>
      <c r="EJA132" s="20"/>
      <c r="EJB132" s="21"/>
      <c r="EJC132" s="21"/>
      <c r="EJD132" s="21"/>
      <c r="EJE132" s="21"/>
      <c r="EJF132" s="21"/>
      <c r="EJG132" s="20"/>
      <c r="EJH132" s="20"/>
      <c r="EJI132" s="20"/>
      <c r="EJJ132" s="20"/>
      <c r="EJK132" s="21"/>
      <c r="EJL132" s="21"/>
      <c r="EJM132" s="7"/>
      <c r="EJN132" s="7"/>
      <c r="EJO132" s="21"/>
      <c r="EJP132" s="20"/>
      <c r="EJQ132" s="20"/>
      <c r="EJR132" s="20"/>
      <c r="EJS132" s="21"/>
      <c r="EJT132" s="21"/>
      <c r="EJU132" s="21"/>
      <c r="EJV132" s="21"/>
      <c r="EJW132" s="21"/>
      <c r="EJX132" s="20"/>
      <c r="EJY132" s="20"/>
      <c r="EJZ132" s="20"/>
      <c r="EKA132" s="20"/>
      <c r="EKB132" s="21"/>
      <c r="EKC132" s="21"/>
      <c r="EKD132" s="7"/>
      <c r="EKE132" s="7"/>
      <c r="EKF132" s="21"/>
      <c r="EKG132" s="20"/>
      <c r="EKH132" s="20"/>
      <c r="EKI132" s="20"/>
      <c r="EKJ132" s="21"/>
      <c r="EKK132" s="21"/>
      <c r="EKL132" s="21"/>
      <c r="EKM132" s="21"/>
      <c r="EKN132" s="21"/>
      <c r="EKO132" s="20"/>
      <c r="EKP132" s="20"/>
      <c r="EKQ132" s="20"/>
      <c r="EKR132" s="20"/>
      <c r="EKS132" s="21"/>
      <c r="EKT132" s="21"/>
      <c r="EKU132" s="7"/>
      <c r="EKV132" s="7"/>
      <c r="EKW132" s="21"/>
      <c r="EKX132" s="20"/>
      <c r="EKY132" s="20"/>
      <c r="EKZ132" s="20"/>
      <c r="ELA132" s="21"/>
      <c r="ELB132" s="21"/>
      <c r="ELC132" s="21"/>
      <c r="ELD132" s="21"/>
      <c r="ELE132" s="21"/>
      <c r="ELF132" s="20"/>
      <c r="ELG132" s="20"/>
      <c r="ELH132" s="20"/>
      <c r="ELI132" s="20"/>
      <c r="ELJ132" s="21"/>
      <c r="ELK132" s="21"/>
      <c r="ELL132" s="7"/>
      <c r="ELM132" s="7"/>
      <c r="ELN132" s="21"/>
      <c r="ELO132" s="20"/>
      <c r="ELP132" s="20"/>
      <c r="ELQ132" s="20"/>
      <c r="ELR132" s="21"/>
      <c r="ELS132" s="21"/>
      <c r="ELT132" s="21"/>
      <c r="ELU132" s="21"/>
      <c r="ELV132" s="21"/>
      <c r="ELW132" s="20"/>
      <c r="ELX132" s="20"/>
      <c r="ELY132" s="20"/>
      <c r="ELZ132" s="20"/>
      <c r="EMA132" s="21"/>
      <c r="EMB132" s="21"/>
      <c r="EMC132" s="7"/>
      <c r="EMD132" s="7"/>
      <c r="EME132" s="21"/>
      <c r="EMF132" s="20"/>
      <c r="EMG132" s="20"/>
      <c r="EMH132" s="20"/>
      <c r="EMI132" s="21"/>
      <c r="EMJ132" s="21"/>
      <c r="EMK132" s="21"/>
      <c r="EML132" s="21"/>
      <c r="EMM132" s="21"/>
      <c r="EMN132" s="20"/>
      <c r="EMO132" s="20"/>
      <c r="EMP132" s="20"/>
      <c r="EMQ132" s="20"/>
      <c r="EMR132" s="21"/>
      <c r="EMS132" s="21"/>
      <c r="EMT132" s="7"/>
      <c r="EMU132" s="7"/>
      <c r="EMV132" s="21"/>
      <c r="EMW132" s="20"/>
      <c r="EMX132" s="20"/>
      <c r="EMY132" s="20"/>
      <c r="EMZ132" s="21"/>
      <c r="ENA132" s="21"/>
      <c r="ENB132" s="21"/>
      <c r="ENC132" s="21"/>
      <c r="END132" s="21"/>
      <c r="ENE132" s="20"/>
      <c r="ENF132" s="20"/>
      <c r="ENG132" s="20"/>
      <c r="ENH132" s="20"/>
      <c r="ENI132" s="21"/>
      <c r="ENJ132" s="21"/>
      <c r="ENK132" s="7"/>
      <c r="ENL132" s="7"/>
      <c r="ENM132" s="21"/>
      <c r="ENN132" s="20"/>
      <c r="ENO132" s="20"/>
      <c r="ENP132" s="20"/>
      <c r="ENQ132" s="21"/>
      <c r="ENR132" s="21"/>
      <c r="ENS132" s="21"/>
      <c r="ENT132" s="21"/>
      <c r="ENU132" s="21"/>
      <c r="ENV132" s="20"/>
      <c r="ENW132" s="20"/>
      <c r="ENX132" s="20"/>
      <c r="ENY132" s="20"/>
      <c r="ENZ132" s="21"/>
      <c r="EOA132" s="21"/>
      <c r="EOB132" s="7"/>
      <c r="EOC132" s="7"/>
      <c r="EOD132" s="21"/>
      <c r="EOE132" s="20"/>
      <c r="EOF132" s="20"/>
      <c r="EOG132" s="20"/>
      <c r="EOH132" s="21"/>
      <c r="EOI132" s="21"/>
      <c r="EOJ132" s="21"/>
      <c r="EOK132" s="21"/>
      <c r="EOL132" s="21"/>
      <c r="EOM132" s="20"/>
      <c r="EON132" s="20"/>
      <c r="EOO132" s="20"/>
      <c r="EOP132" s="20"/>
      <c r="EOQ132" s="21"/>
      <c r="EOR132" s="21"/>
      <c r="EOS132" s="7"/>
      <c r="EOT132" s="7"/>
      <c r="EOU132" s="21"/>
      <c r="EOV132" s="20"/>
      <c r="EOW132" s="20"/>
      <c r="EOX132" s="20"/>
      <c r="EOY132" s="21"/>
      <c r="EOZ132" s="21"/>
      <c r="EPA132" s="21"/>
      <c r="EPB132" s="21"/>
      <c r="EPC132" s="21"/>
      <c r="EPD132" s="20"/>
      <c r="EPE132" s="20"/>
      <c r="EPF132" s="20"/>
      <c r="EPG132" s="20"/>
      <c r="EPH132" s="21"/>
      <c r="EPI132" s="21"/>
      <c r="EPJ132" s="7"/>
      <c r="EPK132" s="7"/>
      <c r="EPL132" s="21"/>
      <c r="EPM132" s="20"/>
      <c r="EPN132" s="20"/>
      <c r="EPO132" s="20"/>
      <c r="EPP132" s="21"/>
      <c r="EPQ132" s="21"/>
      <c r="EPR132" s="21"/>
      <c r="EPS132" s="21"/>
      <c r="EPT132" s="21"/>
      <c r="EPU132" s="20"/>
      <c r="EPV132" s="20"/>
      <c r="EPW132" s="20"/>
      <c r="EPX132" s="20"/>
      <c r="EPY132" s="21"/>
      <c r="EPZ132" s="21"/>
      <c r="EQA132" s="7"/>
      <c r="EQB132" s="7"/>
      <c r="EQC132" s="21"/>
      <c r="EQD132" s="20"/>
      <c r="EQE132" s="20"/>
      <c r="EQF132" s="20"/>
      <c r="EQG132" s="21"/>
      <c r="EQH132" s="21"/>
      <c r="EQI132" s="21"/>
      <c r="EQJ132" s="21"/>
      <c r="EQK132" s="21"/>
      <c r="EQL132" s="20"/>
      <c r="EQM132" s="20"/>
      <c r="EQN132" s="20"/>
      <c r="EQO132" s="20"/>
      <c r="EQP132" s="21"/>
      <c r="EQQ132" s="21"/>
      <c r="EQR132" s="7"/>
      <c r="EQS132" s="7"/>
      <c r="EQT132" s="21"/>
      <c r="EQU132" s="20"/>
      <c r="EQV132" s="20"/>
      <c r="EQW132" s="20"/>
      <c r="EQX132" s="21"/>
      <c r="EQY132" s="21"/>
      <c r="EQZ132" s="21"/>
      <c r="ERA132" s="21"/>
      <c r="ERB132" s="21"/>
      <c r="ERC132" s="20"/>
      <c r="ERD132" s="20"/>
      <c r="ERE132" s="20"/>
      <c r="ERF132" s="20"/>
      <c r="ERG132" s="21"/>
      <c r="ERH132" s="21"/>
      <c r="ERI132" s="7"/>
      <c r="ERJ132" s="7"/>
      <c r="ERK132" s="21"/>
      <c r="ERL132" s="20"/>
      <c r="ERM132" s="20"/>
      <c r="ERN132" s="20"/>
      <c r="ERO132" s="21"/>
      <c r="ERP132" s="21"/>
      <c r="ERQ132" s="21"/>
      <c r="ERR132" s="21"/>
      <c r="ERS132" s="21"/>
      <c r="ERT132" s="20"/>
      <c r="ERU132" s="20"/>
      <c r="ERV132" s="20"/>
      <c r="ERW132" s="20"/>
      <c r="ERX132" s="21"/>
      <c r="ERY132" s="21"/>
      <c r="ERZ132" s="7"/>
      <c r="ESA132" s="7"/>
      <c r="ESB132" s="21"/>
      <c r="ESC132" s="20"/>
      <c r="ESD132" s="20"/>
      <c r="ESE132" s="20"/>
      <c r="ESF132" s="21"/>
      <c r="ESG132" s="21"/>
      <c r="ESH132" s="21"/>
      <c r="ESI132" s="21"/>
      <c r="ESJ132" s="21"/>
      <c r="ESK132" s="20"/>
      <c r="ESL132" s="20"/>
      <c r="ESM132" s="20"/>
      <c r="ESN132" s="20"/>
      <c r="ESO132" s="21"/>
      <c r="ESP132" s="21"/>
      <c r="ESQ132" s="7"/>
      <c r="ESR132" s="7"/>
      <c r="ESS132" s="21"/>
      <c r="EST132" s="20"/>
      <c r="ESU132" s="20"/>
      <c r="ESV132" s="20"/>
      <c r="ESW132" s="21"/>
      <c r="ESX132" s="21"/>
      <c r="ESY132" s="21"/>
      <c r="ESZ132" s="21"/>
      <c r="ETA132" s="21"/>
      <c r="ETB132" s="20"/>
      <c r="ETC132" s="20"/>
      <c r="ETD132" s="20"/>
      <c r="ETE132" s="20"/>
      <c r="ETF132" s="21"/>
      <c r="ETG132" s="21"/>
      <c r="ETH132" s="7"/>
      <c r="ETI132" s="7"/>
      <c r="ETJ132" s="21"/>
      <c r="ETK132" s="20"/>
      <c r="ETL132" s="20"/>
      <c r="ETM132" s="20"/>
      <c r="ETN132" s="21"/>
      <c r="ETO132" s="21"/>
      <c r="ETP132" s="21"/>
      <c r="ETQ132" s="21"/>
      <c r="ETR132" s="21"/>
      <c r="ETS132" s="20"/>
      <c r="ETT132" s="20"/>
      <c r="ETU132" s="20"/>
      <c r="ETV132" s="20"/>
      <c r="ETW132" s="21"/>
      <c r="ETX132" s="21"/>
      <c r="ETY132" s="7"/>
      <c r="ETZ132" s="7"/>
      <c r="EUA132" s="21"/>
      <c r="EUB132" s="20"/>
      <c r="EUC132" s="20"/>
      <c r="EUD132" s="20"/>
      <c r="EUE132" s="21"/>
      <c r="EUF132" s="21"/>
      <c r="EUG132" s="21"/>
      <c r="EUH132" s="21"/>
      <c r="EUI132" s="21"/>
      <c r="EUJ132" s="20"/>
      <c r="EUK132" s="20"/>
      <c r="EUL132" s="20"/>
      <c r="EUM132" s="20"/>
      <c r="EUN132" s="21"/>
      <c r="EUO132" s="21"/>
      <c r="EUP132" s="7"/>
      <c r="EUQ132" s="7"/>
      <c r="EUR132" s="21"/>
      <c r="EUS132" s="20"/>
      <c r="EUT132" s="20"/>
      <c r="EUU132" s="20"/>
      <c r="EUV132" s="21"/>
      <c r="EUW132" s="21"/>
      <c r="EUX132" s="21"/>
      <c r="EUY132" s="21"/>
      <c r="EUZ132" s="21"/>
      <c r="EVA132" s="20"/>
      <c r="EVB132" s="20"/>
      <c r="EVC132" s="20"/>
      <c r="EVD132" s="20"/>
      <c r="EVE132" s="21"/>
      <c r="EVF132" s="21"/>
      <c r="EVG132" s="7"/>
      <c r="EVH132" s="7"/>
      <c r="EVI132" s="21"/>
      <c r="EVJ132" s="20"/>
      <c r="EVK132" s="20"/>
      <c r="EVL132" s="20"/>
      <c r="EVM132" s="21"/>
      <c r="EVN132" s="21"/>
      <c r="EVO132" s="21"/>
      <c r="EVP132" s="21"/>
      <c r="EVQ132" s="21"/>
      <c r="EVR132" s="20"/>
      <c r="EVS132" s="20"/>
      <c r="EVT132" s="20"/>
      <c r="EVU132" s="20"/>
      <c r="EVV132" s="21"/>
      <c r="EVW132" s="21"/>
      <c r="EVX132" s="7"/>
      <c r="EVY132" s="7"/>
      <c r="EVZ132" s="21"/>
      <c r="EWA132" s="20"/>
      <c r="EWB132" s="20"/>
      <c r="EWC132" s="20"/>
      <c r="EWD132" s="21"/>
      <c r="EWE132" s="21"/>
      <c r="EWF132" s="21"/>
      <c r="EWG132" s="21"/>
      <c r="EWH132" s="21"/>
      <c r="EWI132" s="20"/>
      <c r="EWJ132" s="20"/>
      <c r="EWK132" s="20"/>
      <c r="EWL132" s="20"/>
      <c r="EWM132" s="21"/>
      <c r="EWN132" s="21"/>
      <c r="EWO132" s="7"/>
      <c r="EWP132" s="7"/>
      <c r="EWQ132" s="21"/>
      <c r="EWR132" s="20"/>
      <c r="EWS132" s="20"/>
      <c r="EWT132" s="20"/>
      <c r="EWU132" s="21"/>
      <c r="EWV132" s="21"/>
      <c r="EWW132" s="21"/>
      <c r="EWX132" s="21"/>
      <c r="EWY132" s="21"/>
      <c r="EWZ132" s="20"/>
      <c r="EXA132" s="20"/>
      <c r="EXB132" s="20"/>
      <c r="EXC132" s="20"/>
      <c r="EXD132" s="21"/>
      <c r="EXE132" s="21"/>
      <c r="EXF132" s="7"/>
      <c r="EXG132" s="7"/>
      <c r="EXH132" s="21"/>
      <c r="EXI132" s="20"/>
      <c r="EXJ132" s="20"/>
      <c r="EXK132" s="20"/>
      <c r="EXL132" s="21"/>
      <c r="EXM132" s="21"/>
      <c r="EXN132" s="21"/>
      <c r="EXO132" s="21"/>
      <c r="EXP132" s="21"/>
      <c r="EXQ132" s="20"/>
      <c r="EXR132" s="20"/>
      <c r="EXS132" s="20"/>
      <c r="EXT132" s="20"/>
      <c r="EXU132" s="21"/>
      <c r="EXV132" s="21"/>
      <c r="EXW132" s="7"/>
      <c r="EXX132" s="7"/>
      <c r="EXY132" s="21"/>
      <c r="EXZ132" s="20"/>
      <c r="EYA132" s="20"/>
      <c r="EYB132" s="20"/>
      <c r="EYC132" s="21"/>
      <c r="EYD132" s="21"/>
      <c r="EYE132" s="21"/>
      <c r="EYF132" s="21"/>
      <c r="EYG132" s="21"/>
      <c r="EYH132" s="20"/>
      <c r="EYI132" s="20"/>
      <c r="EYJ132" s="20"/>
      <c r="EYK132" s="20"/>
      <c r="EYL132" s="21"/>
      <c r="EYM132" s="21"/>
      <c r="EYN132" s="7"/>
      <c r="EYO132" s="7"/>
      <c r="EYP132" s="21"/>
      <c r="EYQ132" s="20"/>
      <c r="EYR132" s="20"/>
      <c r="EYS132" s="20"/>
      <c r="EYT132" s="21"/>
      <c r="EYU132" s="21"/>
      <c r="EYV132" s="21"/>
      <c r="EYW132" s="21"/>
      <c r="EYX132" s="21"/>
      <c r="EYY132" s="20"/>
      <c r="EYZ132" s="20"/>
      <c r="EZA132" s="20"/>
      <c r="EZB132" s="20"/>
      <c r="EZC132" s="21"/>
      <c r="EZD132" s="21"/>
      <c r="EZE132" s="7"/>
      <c r="EZF132" s="7"/>
      <c r="EZG132" s="21"/>
      <c r="EZH132" s="20"/>
      <c r="EZI132" s="20"/>
      <c r="EZJ132" s="20"/>
      <c r="EZK132" s="21"/>
      <c r="EZL132" s="21"/>
      <c r="EZM132" s="21"/>
      <c r="EZN132" s="21"/>
      <c r="EZO132" s="21"/>
      <c r="EZP132" s="20"/>
      <c r="EZQ132" s="20"/>
      <c r="EZR132" s="20"/>
      <c r="EZS132" s="20"/>
      <c r="EZT132" s="21"/>
      <c r="EZU132" s="21"/>
      <c r="EZV132" s="7"/>
      <c r="EZW132" s="7"/>
      <c r="EZX132" s="21"/>
      <c r="EZY132" s="20"/>
      <c r="EZZ132" s="20"/>
      <c r="FAA132" s="20"/>
      <c r="FAB132" s="21"/>
      <c r="FAC132" s="21"/>
      <c r="FAD132" s="21"/>
      <c r="FAE132" s="21"/>
      <c r="FAF132" s="21"/>
      <c r="FAG132" s="20"/>
      <c r="FAH132" s="20"/>
      <c r="FAI132" s="20"/>
      <c r="FAJ132" s="20"/>
      <c r="FAK132" s="21"/>
      <c r="FAL132" s="21"/>
      <c r="FAM132" s="7"/>
      <c r="FAN132" s="7"/>
      <c r="FAO132" s="21"/>
      <c r="FAP132" s="20"/>
      <c r="FAQ132" s="20"/>
      <c r="FAR132" s="20"/>
      <c r="FAS132" s="21"/>
      <c r="FAT132" s="21"/>
      <c r="FAU132" s="21"/>
      <c r="FAV132" s="21"/>
      <c r="FAW132" s="21"/>
      <c r="FAX132" s="20"/>
      <c r="FAY132" s="20"/>
      <c r="FAZ132" s="20"/>
      <c r="FBA132" s="20"/>
      <c r="FBB132" s="21"/>
      <c r="FBC132" s="21"/>
      <c r="FBD132" s="7"/>
      <c r="FBE132" s="7"/>
      <c r="FBF132" s="21"/>
      <c r="FBG132" s="20"/>
      <c r="FBH132" s="20"/>
      <c r="FBI132" s="20"/>
      <c r="FBJ132" s="21"/>
      <c r="FBK132" s="21"/>
      <c r="FBL132" s="21"/>
      <c r="FBM132" s="21"/>
      <c r="FBN132" s="21"/>
      <c r="FBO132" s="20"/>
      <c r="FBP132" s="20"/>
      <c r="FBQ132" s="20"/>
      <c r="FBR132" s="20"/>
      <c r="FBS132" s="21"/>
      <c r="FBT132" s="21"/>
      <c r="FBU132" s="7"/>
      <c r="FBV132" s="7"/>
      <c r="FBW132" s="21"/>
      <c r="FBX132" s="20"/>
      <c r="FBY132" s="20"/>
      <c r="FBZ132" s="20"/>
      <c r="FCA132" s="21"/>
      <c r="FCB132" s="21"/>
      <c r="FCC132" s="21"/>
      <c r="FCD132" s="21"/>
      <c r="FCE132" s="21"/>
      <c r="FCF132" s="20"/>
      <c r="FCG132" s="20"/>
      <c r="FCH132" s="20"/>
      <c r="FCI132" s="20"/>
      <c r="FCJ132" s="21"/>
      <c r="FCK132" s="21"/>
      <c r="FCL132" s="7"/>
      <c r="FCM132" s="7"/>
      <c r="FCN132" s="21"/>
      <c r="FCO132" s="20"/>
      <c r="FCP132" s="20"/>
      <c r="FCQ132" s="20"/>
      <c r="FCR132" s="21"/>
      <c r="FCS132" s="21"/>
      <c r="FCT132" s="21"/>
      <c r="FCU132" s="21"/>
      <c r="FCV132" s="21"/>
      <c r="FCW132" s="20"/>
      <c r="FCX132" s="20"/>
      <c r="FCY132" s="20"/>
      <c r="FCZ132" s="20"/>
      <c r="FDA132" s="21"/>
      <c r="FDB132" s="21"/>
      <c r="FDC132" s="7"/>
      <c r="FDD132" s="7"/>
      <c r="FDE132" s="21"/>
      <c r="FDF132" s="20"/>
      <c r="FDG132" s="20"/>
      <c r="FDH132" s="20"/>
      <c r="FDI132" s="21"/>
      <c r="FDJ132" s="21"/>
      <c r="FDK132" s="21"/>
      <c r="FDL132" s="21"/>
      <c r="FDM132" s="21"/>
      <c r="FDN132" s="20"/>
      <c r="FDO132" s="20"/>
      <c r="FDP132" s="20"/>
      <c r="FDQ132" s="20"/>
      <c r="FDR132" s="21"/>
      <c r="FDS132" s="21"/>
      <c r="FDT132" s="7"/>
      <c r="FDU132" s="7"/>
      <c r="FDV132" s="21"/>
      <c r="FDW132" s="20"/>
      <c r="FDX132" s="20"/>
      <c r="FDY132" s="20"/>
      <c r="FDZ132" s="21"/>
      <c r="FEA132" s="21"/>
      <c r="FEB132" s="21"/>
      <c r="FEC132" s="21"/>
      <c r="FED132" s="21"/>
      <c r="FEE132" s="20"/>
      <c r="FEF132" s="20"/>
      <c r="FEG132" s="20"/>
      <c r="FEH132" s="20"/>
      <c r="FEI132" s="21"/>
      <c r="FEJ132" s="21"/>
      <c r="FEK132" s="7"/>
      <c r="FEL132" s="7"/>
      <c r="FEM132" s="21"/>
      <c r="FEN132" s="20"/>
      <c r="FEO132" s="20"/>
      <c r="FEP132" s="20"/>
      <c r="FEQ132" s="21"/>
      <c r="FER132" s="21"/>
      <c r="FES132" s="21"/>
      <c r="FET132" s="21"/>
      <c r="FEU132" s="21"/>
      <c r="FEV132" s="20"/>
      <c r="FEW132" s="20"/>
      <c r="FEX132" s="20"/>
      <c r="FEY132" s="20"/>
      <c r="FEZ132" s="21"/>
      <c r="FFA132" s="21"/>
      <c r="FFB132" s="7"/>
      <c r="FFC132" s="7"/>
      <c r="FFD132" s="21"/>
      <c r="FFE132" s="20"/>
      <c r="FFF132" s="20"/>
      <c r="FFG132" s="20"/>
      <c r="FFH132" s="21"/>
      <c r="FFI132" s="21"/>
      <c r="FFJ132" s="21"/>
      <c r="FFK132" s="21"/>
      <c r="FFL132" s="21"/>
      <c r="FFM132" s="20"/>
      <c r="FFN132" s="20"/>
      <c r="FFO132" s="20"/>
      <c r="FFP132" s="20"/>
      <c r="FFQ132" s="21"/>
      <c r="FFR132" s="21"/>
      <c r="FFS132" s="7"/>
      <c r="FFT132" s="7"/>
      <c r="FFU132" s="21"/>
      <c r="FFV132" s="20"/>
      <c r="FFW132" s="20"/>
      <c r="FFX132" s="20"/>
      <c r="FFY132" s="21"/>
      <c r="FFZ132" s="21"/>
      <c r="FGA132" s="21"/>
      <c r="FGB132" s="21"/>
      <c r="FGC132" s="21"/>
      <c r="FGD132" s="20"/>
      <c r="FGE132" s="20"/>
      <c r="FGF132" s="20"/>
      <c r="FGG132" s="20"/>
      <c r="FGH132" s="21"/>
      <c r="FGI132" s="21"/>
      <c r="FGJ132" s="7"/>
      <c r="FGK132" s="7"/>
      <c r="FGL132" s="21"/>
      <c r="FGM132" s="20"/>
      <c r="FGN132" s="20"/>
      <c r="FGO132" s="20"/>
      <c r="FGP132" s="21"/>
      <c r="FGQ132" s="21"/>
      <c r="FGR132" s="21"/>
      <c r="FGS132" s="21"/>
      <c r="FGT132" s="21"/>
      <c r="FGU132" s="20"/>
      <c r="FGV132" s="20"/>
      <c r="FGW132" s="20"/>
      <c r="FGX132" s="20"/>
      <c r="FGY132" s="21"/>
      <c r="FGZ132" s="21"/>
      <c r="FHA132" s="7"/>
      <c r="FHB132" s="7"/>
      <c r="FHC132" s="21"/>
      <c r="FHD132" s="20"/>
      <c r="FHE132" s="20"/>
      <c r="FHF132" s="20"/>
      <c r="FHG132" s="21"/>
      <c r="FHH132" s="21"/>
      <c r="FHI132" s="21"/>
      <c r="FHJ132" s="21"/>
      <c r="FHK132" s="21"/>
      <c r="FHL132" s="20"/>
      <c r="FHM132" s="20"/>
      <c r="FHN132" s="20"/>
      <c r="FHO132" s="20"/>
      <c r="FHP132" s="21"/>
      <c r="FHQ132" s="21"/>
      <c r="FHR132" s="7"/>
      <c r="FHS132" s="7"/>
      <c r="FHT132" s="21"/>
      <c r="FHU132" s="20"/>
      <c r="FHV132" s="20"/>
      <c r="FHW132" s="20"/>
      <c r="FHX132" s="21"/>
      <c r="FHY132" s="21"/>
      <c r="FHZ132" s="21"/>
      <c r="FIA132" s="21"/>
      <c r="FIB132" s="21"/>
      <c r="FIC132" s="20"/>
      <c r="FID132" s="20"/>
      <c r="FIE132" s="20"/>
      <c r="FIF132" s="20"/>
      <c r="FIG132" s="21"/>
      <c r="FIH132" s="21"/>
      <c r="FII132" s="7"/>
      <c r="FIJ132" s="7"/>
      <c r="FIK132" s="21"/>
      <c r="FIL132" s="20"/>
      <c r="FIM132" s="20"/>
      <c r="FIN132" s="20"/>
      <c r="FIO132" s="21"/>
      <c r="FIP132" s="21"/>
      <c r="FIQ132" s="21"/>
      <c r="FIR132" s="21"/>
      <c r="FIS132" s="21"/>
      <c r="FIT132" s="20"/>
      <c r="FIU132" s="20"/>
      <c r="FIV132" s="20"/>
      <c r="FIW132" s="20"/>
      <c r="FIX132" s="21"/>
      <c r="FIY132" s="21"/>
      <c r="FIZ132" s="7"/>
      <c r="FJA132" s="7"/>
      <c r="FJB132" s="21"/>
      <c r="FJC132" s="20"/>
      <c r="FJD132" s="20"/>
      <c r="FJE132" s="20"/>
      <c r="FJF132" s="21"/>
      <c r="FJG132" s="21"/>
      <c r="FJH132" s="21"/>
      <c r="FJI132" s="21"/>
      <c r="FJJ132" s="21"/>
      <c r="FJK132" s="20"/>
      <c r="FJL132" s="20"/>
      <c r="FJM132" s="20"/>
      <c r="FJN132" s="20"/>
      <c r="FJO132" s="21"/>
      <c r="FJP132" s="21"/>
      <c r="FJQ132" s="7"/>
      <c r="FJR132" s="7"/>
      <c r="FJS132" s="21"/>
      <c r="FJT132" s="20"/>
      <c r="FJU132" s="20"/>
      <c r="FJV132" s="20"/>
      <c r="FJW132" s="21"/>
      <c r="FJX132" s="21"/>
      <c r="FJY132" s="21"/>
      <c r="FJZ132" s="21"/>
      <c r="FKA132" s="21"/>
      <c r="FKB132" s="20"/>
      <c r="FKC132" s="20"/>
      <c r="FKD132" s="20"/>
      <c r="FKE132" s="20"/>
      <c r="FKF132" s="21"/>
      <c r="FKG132" s="21"/>
      <c r="FKH132" s="7"/>
      <c r="FKI132" s="7"/>
      <c r="FKJ132" s="21"/>
      <c r="FKK132" s="20"/>
      <c r="FKL132" s="20"/>
      <c r="FKM132" s="20"/>
      <c r="FKN132" s="21"/>
      <c r="FKO132" s="21"/>
      <c r="FKP132" s="21"/>
      <c r="FKQ132" s="21"/>
      <c r="FKR132" s="21"/>
      <c r="FKS132" s="20"/>
      <c r="FKT132" s="20"/>
      <c r="FKU132" s="20"/>
      <c r="FKV132" s="20"/>
      <c r="FKW132" s="21"/>
      <c r="FKX132" s="21"/>
      <c r="FKY132" s="7"/>
      <c r="FKZ132" s="7"/>
      <c r="FLA132" s="21"/>
      <c r="FLB132" s="20"/>
      <c r="FLC132" s="20"/>
      <c r="FLD132" s="20"/>
      <c r="FLE132" s="21"/>
      <c r="FLF132" s="21"/>
      <c r="FLG132" s="21"/>
      <c r="FLH132" s="21"/>
      <c r="FLI132" s="21"/>
      <c r="FLJ132" s="20"/>
      <c r="FLK132" s="20"/>
      <c r="FLL132" s="20"/>
      <c r="FLM132" s="20"/>
      <c r="FLN132" s="21"/>
      <c r="FLO132" s="21"/>
      <c r="FLP132" s="7"/>
      <c r="FLQ132" s="7"/>
      <c r="FLR132" s="21"/>
      <c r="FLS132" s="20"/>
      <c r="FLT132" s="20"/>
      <c r="FLU132" s="20"/>
      <c r="FLV132" s="21"/>
      <c r="FLW132" s="21"/>
      <c r="FLX132" s="21"/>
      <c r="FLY132" s="21"/>
      <c r="FLZ132" s="21"/>
      <c r="FMA132" s="20"/>
      <c r="FMB132" s="20"/>
      <c r="FMC132" s="20"/>
      <c r="FMD132" s="20"/>
      <c r="FME132" s="21"/>
      <c r="FMF132" s="21"/>
      <c r="FMG132" s="7"/>
      <c r="FMH132" s="7"/>
      <c r="FMI132" s="21"/>
      <c r="FMJ132" s="20"/>
      <c r="FMK132" s="20"/>
      <c r="FML132" s="20"/>
      <c r="FMM132" s="21"/>
      <c r="FMN132" s="21"/>
      <c r="FMO132" s="21"/>
      <c r="FMP132" s="21"/>
      <c r="FMQ132" s="21"/>
      <c r="FMR132" s="20"/>
      <c r="FMS132" s="20"/>
      <c r="FMT132" s="20"/>
      <c r="FMU132" s="20"/>
      <c r="FMV132" s="21"/>
      <c r="FMW132" s="21"/>
      <c r="FMX132" s="7"/>
      <c r="FMY132" s="7"/>
      <c r="FMZ132" s="21"/>
      <c r="FNA132" s="20"/>
      <c r="FNB132" s="20"/>
      <c r="FNC132" s="20"/>
      <c r="FND132" s="21"/>
      <c r="FNE132" s="21"/>
      <c r="FNF132" s="21"/>
      <c r="FNG132" s="21"/>
      <c r="FNH132" s="21"/>
      <c r="FNI132" s="20"/>
      <c r="FNJ132" s="20"/>
      <c r="FNK132" s="20"/>
      <c r="FNL132" s="20"/>
      <c r="FNM132" s="21"/>
      <c r="FNN132" s="21"/>
      <c r="FNO132" s="7"/>
      <c r="FNP132" s="7"/>
      <c r="FNQ132" s="21"/>
      <c r="FNR132" s="20"/>
      <c r="FNS132" s="20"/>
      <c r="FNT132" s="20"/>
      <c r="FNU132" s="21"/>
      <c r="FNV132" s="21"/>
      <c r="FNW132" s="21"/>
      <c r="FNX132" s="21"/>
      <c r="FNY132" s="21"/>
      <c r="FNZ132" s="20"/>
      <c r="FOA132" s="20"/>
      <c r="FOB132" s="20"/>
      <c r="FOC132" s="20"/>
      <c r="FOD132" s="21"/>
      <c r="FOE132" s="21"/>
      <c r="FOF132" s="7"/>
      <c r="FOG132" s="7"/>
      <c r="FOH132" s="21"/>
      <c r="FOI132" s="20"/>
      <c r="FOJ132" s="20"/>
      <c r="FOK132" s="20"/>
      <c r="FOL132" s="21"/>
      <c r="FOM132" s="21"/>
      <c r="FON132" s="21"/>
      <c r="FOO132" s="21"/>
      <c r="FOP132" s="21"/>
      <c r="FOQ132" s="20"/>
      <c r="FOR132" s="20"/>
      <c r="FOS132" s="20"/>
      <c r="FOT132" s="20"/>
      <c r="FOU132" s="21"/>
      <c r="FOV132" s="21"/>
      <c r="FOW132" s="7"/>
      <c r="FOX132" s="7"/>
      <c r="FOY132" s="21"/>
      <c r="FOZ132" s="20"/>
      <c r="FPA132" s="20"/>
      <c r="FPB132" s="20"/>
      <c r="FPC132" s="21"/>
      <c r="FPD132" s="21"/>
      <c r="FPE132" s="21"/>
      <c r="FPF132" s="21"/>
      <c r="FPG132" s="21"/>
      <c r="FPH132" s="20"/>
      <c r="FPI132" s="20"/>
      <c r="FPJ132" s="20"/>
      <c r="FPK132" s="20"/>
      <c r="FPL132" s="21"/>
      <c r="FPM132" s="21"/>
      <c r="FPN132" s="7"/>
      <c r="FPO132" s="7"/>
      <c r="FPP132" s="21"/>
      <c r="FPQ132" s="20"/>
      <c r="FPR132" s="20"/>
      <c r="FPS132" s="20"/>
      <c r="FPT132" s="21"/>
      <c r="FPU132" s="21"/>
      <c r="FPV132" s="21"/>
      <c r="FPW132" s="21"/>
      <c r="FPX132" s="21"/>
      <c r="FPY132" s="20"/>
      <c r="FPZ132" s="20"/>
      <c r="FQA132" s="20"/>
      <c r="FQB132" s="20"/>
      <c r="FQC132" s="21"/>
      <c r="FQD132" s="21"/>
      <c r="FQE132" s="7"/>
      <c r="FQF132" s="7"/>
      <c r="FQG132" s="21"/>
      <c r="FQH132" s="20"/>
      <c r="FQI132" s="20"/>
      <c r="FQJ132" s="20"/>
      <c r="FQK132" s="21"/>
      <c r="FQL132" s="21"/>
      <c r="FQM132" s="21"/>
      <c r="FQN132" s="21"/>
      <c r="FQO132" s="21"/>
      <c r="FQP132" s="20"/>
      <c r="FQQ132" s="20"/>
      <c r="FQR132" s="20"/>
      <c r="FQS132" s="20"/>
      <c r="FQT132" s="21"/>
      <c r="FQU132" s="21"/>
      <c r="FQV132" s="7"/>
      <c r="FQW132" s="7"/>
      <c r="FQX132" s="21"/>
      <c r="FQY132" s="20"/>
      <c r="FQZ132" s="20"/>
      <c r="FRA132" s="20"/>
      <c r="FRB132" s="21"/>
      <c r="FRC132" s="21"/>
      <c r="FRD132" s="21"/>
      <c r="FRE132" s="21"/>
      <c r="FRF132" s="21"/>
      <c r="FRG132" s="20"/>
      <c r="FRH132" s="20"/>
      <c r="FRI132" s="20"/>
      <c r="FRJ132" s="20"/>
      <c r="FRK132" s="21"/>
      <c r="FRL132" s="21"/>
      <c r="FRM132" s="7"/>
      <c r="FRN132" s="7"/>
      <c r="FRO132" s="21"/>
      <c r="FRP132" s="20"/>
      <c r="FRQ132" s="20"/>
      <c r="FRR132" s="20"/>
      <c r="FRS132" s="21"/>
      <c r="FRT132" s="21"/>
      <c r="FRU132" s="21"/>
      <c r="FRV132" s="21"/>
      <c r="FRW132" s="21"/>
      <c r="FRX132" s="20"/>
      <c r="FRY132" s="20"/>
      <c r="FRZ132" s="20"/>
      <c r="FSA132" s="20"/>
      <c r="FSB132" s="21"/>
      <c r="FSC132" s="21"/>
      <c r="FSD132" s="7"/>
      <c r="FSE132" s="7"/>
      <c r="FSF132" s="21"/>
      <c r="FSG132" s="20"/>
      <c r="FSH132" s="20"/>
      <c r="FSI132" s="20"/>
      <c r="FSJ132" s="21"/>
      <c r="FSK132" s="21"/>
      <c r="FSL132" s="21"/>
      <c r="FSM132" s="21"/>
      <c r="FSN132" s="21"/>
      <c r="FSO132" s="20"/>
      <c r="FSP132" s="20"/>
      <c r="FSQ132" s="20"/>
      <c r="FSR132" s="20"/>
      <c r="FSS132" s="21"/>
      <c r="FST132" s="21"/>
      <c r="FSU132" s="7"/>
      <c r="FSV132" s="7"/>
      <c r="FSW132" s="21"/>
      <c r="FSX132" s="20"/>
      <c r="FSY132" s="20"/>
      <c r="FSZ132" s="20"/>
      <c r="FTA132" s="21"/>
      <c r="FTB132" s="21"/>
      <c r="FTC132" s="21"/>
      <c r="FTD132" s="21"/>
      <c r="FTE132" s="21"/>
      <c r="FTF132" s="20"/>
      <c r="FTG132" s="20"/>
      <c r="FTH132" s="20"/>
      <c r="FTI132" s="20"/>
      <c r="FTJ132" s="21"/>
      <c r="FTK132" s="21"/>
      <c r="FTL132" s="7"/>
      <c r="FTM132" s="7"/>
      <c r="FTN132" s="21"/>
      <c r="FTO132" s="20"/>
      <c r="FTP132" s="20"/>
      <c r="FTQ132" s="20"/>
      <c r="FTR132" s="21"/>
      <c r="FTS132" s="21"/>
      <c r="FTT132" s="21"/>
      <c r="FTU132" s="21"/>
      <c r="FTV132" s="21"/>
      <c r="FTW132" s="20"/>
      <c r="FTX132" s="20"/>
      <c r="FTY132" s="20"/>
      <c r="FTZ132" s="20"/>
      <c r="FUA132" s="21"/>
      <c r="FUB132" s="21"/>
      <c r="FUC132" s="7"/>
      <c r="FUD132" s="7"/>
      <c r="FUE132" s="21"/>
      <c r="FUF132" s="20"/>
      <c r="FUG132" s="20"/>
      <c r="FUH132" s="20"/>
      <c r="FUI132" s="21"/>
      <c r="FUJ132" s="21"/>
      <c r="FUK132" s="21"/>
      <c r="FUL132" s="21"/>
      <c r="FUM132" s="21"/>
      <c r="FUN132" s="20"/>
      <c r="FUO132" s="20"/>
      <c r="FUP132" s="20"/>
      <c r="FUQ132" s="20"/>
      <c r="FUR132" s="21"/>
      <c r="FUS132" s="21"/>
      <c r="FUT132" s="7"/>
      <c r="FUU132" s="7"/>
      <c r="FUV132" s="21"/>
      <c r="FUW132" s="20"/>
      <c r="FUX132" s="20"/>
      <c r="FUY132" s="20"/>
      <c r="FUZ132" s="21"/>
      <c r="FVA132" s="21"/>
      <c r="FVB132" s="21"/>
      <c r="FVC132" s="21"/>
      <c r="FVD132" s="21"/>
      <c r="FVE132" s="20"/>
      <c r="FVF132" s="20"/>
      <c r="FVG132" s="20"/>
      <c r="FVH132" s="20"/>
      <c r="FVI132" s="21"/>
      <c r="FVJ132" s="21"/>
      <c r="FVK132" s="7"/>
      <c r="FVL132" s="7"/>
      <c r="FVM132" s="21"/>
      <c r="FVN132" s="20"/>
      <c r="FVO132" s="20"/>
      <c r="FVP132" s="20"/>
      <c r="FVQ132" s="21"/>
      <c r="FVR132" s="21"/>
      <c r="FVS132" s="21"/>
      <c r="FVT132" s="21"/>
      <c r="FVU132" s="21"/>
      <c r="FVV132" s="20"/>
      <c r="FVW132" s="20"/>
      <c r="FVX132" s="20"/>
      <c r="FVY132" s="20"/>
      <c r="FVZ132" s="21"/>
      <c r="FWA132" s="21"/>
      <c r="FWB132" s="7"/>
      <c r="FWC132" s="7"/>
      <c r="FWD132" s="21"/>
      <c r="FWE132" s="20"/>
      <c r="FWF132" s="20"/>
      <c r="FWG132" s="20"/>
      <c r="FWH132" s="21"/>
      <c r="FWI132" s="21"/>
      <c r="FWJ132" s="21"/>
      <c r="FWK132" s="21"/>
      <c r="FWL132" s="21"/>
      <c r="FWM132" s="20"/>
      <c r="FWN132" s="20"/>
      <c r="FWO132" s="20"/>
      <c r="FWP132" s="20"/>
      <c r="FWQ132" s="21"/>
      <c r="FWR132" s="21"/>
      <c r="FWS132" s="7"/>
      <c r="FWT132" s="7"/>
      <c r="FWU132" s="21"/>
      <c r="FWV132" s="20"/>
      <c r="FWW132" s="20"/>
      <c r="FWX132" s="20"/>
      <c r="FWY132" s="21"/>
      <c r="FWZ132" s="21"/>
      <c r="FXA132" s="21"/>
      <c r="FXB132" s="21"/>
      <c r="FXC132" s="21"/>
      <c r="FXD132" s="20"/>
      <c r="FXE132" s="20"/>
      <c r="FXF132" s="20"/>
      <c r="FXG132" s="20"/>
      <c r="FXH132" s="21"/>
      <c r="FXI132" s="21"/>
      <c r="FXJ132" s="7"/>
      <c r="FXK132" s="7"/>
      <c r="FXL132" s="21"/>
      <c r="FXM132" s="20"/>
      <c r="FXN132" s="20"/>
      <c r="FXO132" s="20"/>
      <c r="FXP132" s="21"/>
      <c r="FXQ132" s="21"/>
      <c r="FXR132" s="21"/>
      <c r="FXS132" s="21"/>
      <c r="FXT132" s="21"/>
      <c r="FXU132" s="20"/>
      <c r="FXV132" s="20"/>
      <c r="FXW132" s="20"/>
      <c r="FXX132" s="20"/>
      <c r="FXY132" s="21"/>
      <c r="FXZ132" s="21"/>
      <c r="FYA132" s="7"/>
      <c r="FYB132" s="7"/>
      <c r="FYC132" s="21"/>
      <c r="FYD132" s="20"/>
      <c r="FYE132" s="20"/>
      <c r="FYF132" s="20"/>
      <c r="FYG132" s="21"/>
      <c r="FYH132" s="21"/>
      <c r="FYI132" s="21"/>
      <c r="FYJ132" s="21"/>
      <c r="FYK132" s="21"/>
      <c r="FYL132" s="20"/>
      <c r="FYM132" s="20"/>
      <c r="FYN132" s="20"/>
      <c r="FYO132" s="20"/>
      <c r="FYP132" s="21"/>
      <c r="FYQ132" s="21"/>
      <c r="FYR132" s="7"/>
      <c r="FYS132" s="7"/>
      <c r="FYT132" s="21"/>
      <c r="FYU132" s="20"/>
      <c r="FYV132" s="20"/>
      <c r="FYW132" s="20"/>
      <c r="FYX132" s="21"/>
      <c r="FYY132" s="21"/>
      <c r="FYZ132" s="21"/>
      <c r="FZA132" s="21"/>
      <c r="FZB132" s="21"/>
      <c r="FZC132" s="20"/>
      <c r="FZD132" s="20"/>
      <c r="FZE132" s="20"/>
      <c r="FZF132" s="20"/>
      <c r="FZG132" s="21"/>
      <c r="FZH132" s="21"/>
      <c r="FZI132" s="7"/>
      <c r="FZJ132" s="7"/>
      <c r="FZK132" s="21"/>
      <c r="FZL132" s="20"/>
      <c r="FZM132" s="20"/>
      <c r="FZN132" s="20"/>
      <c r="FZO132" s="21"/>
      <c r="FZP132" s="21"/>
      <c r="FZQ132" s="21"/>
      <c r="FZR132" s="21"/>
      <c r="FZS132" s="21"/>
      <c r="FZT132" s="20"/>
      <c r="FZU132" s="20"/>
      <c r="FZV132" s="20"/>
      <c r="FZW132" s="20"/>
      <c r="FZX132" s="21"/>
      <c r="FZY132" s="21"/>
      <c r="FZZ132" s="7"/>
      <c r="GAA132" s="7"/>
      <c r="GAB132" s="21"/>
      <c r="GAC132" s="20"/>
      <c r="GAD132" s="20"/>
      <c r="GAE132" s="20"/>
      <c r="GAF132" s="21"/>
      <c r="GAG132" s="21"/>
      <c r="GAH132" s="21"/>
      <c r="GAI132" s="21"/>
      <c r="GAJ132" s="21"/>
      <c r="GAK132" s="20"/>
      <c r="GAL132" s="20"/>
      <c r="GAM132" s="20"/>
      <c r="GAN132" s="20"/>
      <c r="GAO132" s="21"/>
      <c r="GAP132" s="21"/>
      <c r="GAQ132" s="7"/>
      <c r="GAR132" s="7"/>
      <c r="GAS132" s="21"/>
      <c r="GAT132" s="20"/>
      <c r="GAU132" s="20"/>
      <c r="GAV132" s="20"/>
      <c r="GAW132" s="21"/>
      <c r="GAX132" s="21"/>
      <c r="GAY132" s="21"/>
      <c r="GAZ132" s="21"/>
      <c r="GBA132" s="21"/>
      <c r="GBB132" s="20"/>
      <c r="GBC132" s="20"/>
      <c r="GBD132" s="20"/>
      <c r="GBE132" s="20"/>
      <c r="GBF132" s="21"/>
      <c r="GBG132" s="21"/>
      <c r="GBH132" s="7"/>
      <c r="GBI132" s="7"/>
      <c r="GBJ132" s="21"/>
      <c r="GBK132" s="20"/>
      <c r="GBL132" s="20"/>
      <c r="GBM132" s="20"/>
      <c r="GBN132" s="21"/>
      <c r="GBO132" s="21"/>
      <c r="GBP132" s="21"/>
      <c r="GBQ132" s="21"/>
      <c r="GBR132" s="21"/>
      <c r="GBS132" s="20"/>
      <c r="GBT132" s="20"/>
      <c r="GBU132" s="20"/>
      <c r="GBV132" s="20"/>
      <c r="GBW132" s="21"/>
      <c r="GBX132" s="21"/>
      <c r="GBY132" s="7"/>
      <c r="GBZ132" s="7"/>
      <c r="GCA132" s="21"/>
      <c r="GCB132" s="20"/>
      <c r="GCC132" s="20"/>
      <c r="GCD132" s="20"/>
      <c r="GCE132" s="21"/>
      <c r="GCF132" s="21"/>
      <c r="GCG132" s="21"/>
      <c r="GCH132" s="21"/>
      <c r="GCI132" s="21"/>
      <c r="GCJ132" s="20"/>
      <c r="GCK132" s="20"/>
      <c r="GCL132" s="20"/>
      <c r="GCM132" s="20"/>
      <c r="GCN132" s="21"/>
      <c r="GCO132" s="21"/>
      <c r="GCP132" s="7"/>
      <c r="GCQ132" s="7"/>
      <c r="GCR132" s="21"/>
      <c r="GCS132" s="20"/>
      <c r="GCT132" s="20"/>
      <c r="GCU132" s="20"/>
      <c r="GCV132" s="21"/>
      <c r="GCW132" s="21"/>
      <c r="GCX132" s="21"/>
      <c r="GCY132" s="21"/>
      <c r="GCZ132" s="21"/>
      <c r="GDA132" s="20"/>
      <c r="GDB132" s="20"/>
      <c r="GDC132" s="20"/>
      <c r="GDD132" s="20"/>
      <c r="GDE132" s="21"/>
      <c r="GDF132" s="21"/>
      <c r="GDG132" s="7"/>
      <c r="GDH132" s="7"/>
      <c r="GDI132" s="21"/>
      <c r="GDJ132" s="20"/>
      <c r="GDK132" s="20"/>
      <c r="GDL132" s="20"/>
      <c r="GDM132" s="21"/>
      <c r="GDN132" s="21"/>
      <c r="GDO132" s="21"/>
      <c r="GDP132" s="21"/>
      <c r="GDQ132" s="21"/>
      <c r="GDR132" s="20"/>
      <c r="GDS132" s="20"/>
      <c r="GDT132" s="20"/>
      <c r="GDU132" s="20"/>
      <c r="GDV132" s="21"/>
      <c r="GDW132" s="21"/>
      <c r="GDX132" s="7"/>
      <c r="GDY132" s="7"/>
      <c r="GDZ132" s="21"/>
      <c r="GEA132" s="20"/>
      <c r="GEB132" s="20"/>
      <c r="GEC132" s="20"/>
      <c r="GED132" s="21"/>
      <c r="GEE132" s="21"/>
      <c r="GEF132" s="21"/>
      <c r="GEG132" s="21"/>
      <c r="GEH132" s="21"/>
      <c r="GEI132" s="20"/>
      <c r="GEJ132" s="20"/>
      <c r="GEK132" s="20"/>
      <c r="GEL132" s="20"/>
      <c r="GEM132" s="21"/>
      <c r="GEN132" s="21"/>
      <c r="GEO132" s="7"/>
      <c r="GEP132" s="7"/>
      <c r="GEQ132" s="21"/>
      <c r="GER132" s="20"/>
      <c r="GES132" s="20"/>
      <c r="GET132" s="20"/>
      <c r="GEU132" s="21"/>
      <c r="GEV132" s="21"/>
      <c r="GEW132" s="21"/>
      <c r="GEX132" s="21"/>
      <c r="GEY132" s="21"/>
      <c r="GEZ132" s="20"/>
      <c r="GFA132" s="20"/>
      <c r="GFB132" s="20"/>
      <c r="GFC132" s="20"/>
      <c r="GFD132" s="21"/>
      <c r="GFE132" s="21"/>
      <c r="GFF132" s="7"/>
      <c r="GFG132" s="7"/>
      <c r="GFH132" s="21"/>
      <c r="GFI132" s="20"/>
      <c r="GFJ132" s="20"/>
      <c r="GFK132" s="20"/>
      <c r="GFL132" s="21"/>
      <c r="GFM132" s="21"/>
      <c r="GFN132" s="21"/>
      <c r="GFO132" s="21"/>
      <c r="GFP132" s="21"/>
      <c r="GFQ132" s="20"/>
      <c r="GFR132" s="20"/>
      <c r="GFS132" s="20"/>
      <c r="GFT132" s="20"/>
      <c r="GFU132" s="21"/>
      <c r="GFV132" s="21"/>
      <c r="GFW132" s="7"/>
      <c r="GFX132" s="7"/>
      <c r="GFY132" s="21"/>
      <c r="GFZ132" s="20"/>
      <c r="GGA132" s="20"/>
      <c r="GGB132" s="20"/>
      <c r="GGC132" s="21"/>
      <c r="GGD132" s="21"/>
      <c r="GGE132" s="21"/>
      <c r="GGF132" s="21"/>
      <c r="GGG132" s="21"/>
      <c r="GGH132" s="20"/>
      <c r="GGI132" s="20"/>
      <c r="GGJ132" s="20"/>
      <c r="GGK132" s="20"/>
      <c r="GGL132" s="21"/>
      <c r="GGM132" s="21"/>
      <c r="GGN132" s="7"/>
      <c r="GGO132" s="7"/>
      <c r="GGP132" s="21"/>
      <c r="GGQ132" s="20"/>
      <c r="GGR132" s="20"/>
      <c r="GGS132" s="20"/>
      <c r="GGT132" s="21"/>
      <c r="GGU132" s="21"/>
      <c r="GGV132" s="21"/>
      <c r="GGW132" s="21"/>
      <c r="GGX132" s="21"/>
      <c r="GGY132" s="20"/>
      <c r="GGZ132" s="20"/>
      <c r="GHA132" s="20"/>
      <c r="GHB132" s="20"/>
      <c r="GHC132" s="21"/>
      <c r="GHD132" s="21"/>
      <c r="GHE132" s="7"/>
      <c r="GHF132" s="7"/>
      <c r="GHG132" s="21"/>
      <c r="GHH132" s="20"/>
      <c r="GHI132" s="20"/>
      <c r="GHJ132" s="20"/>
      <c r="GHK132" s="21"/>
      <c r="GHL132" s="21"/>
      <c r="GHM132" s="21"/>
      <c r="GHN132" s="21"/>
      <c r="GHO132" s="21"/>
      <c r="GHP132" s="20"/>
      <c r="GHQ132" s="20"/>
      <c r="GHR132" s="20"/>
      <c r="GHS132" s="20"/>
      <c r="GHT132" s="21"/>
      <c r="GHU132" s="21"/>
      <c r="GHV132" s="7"/>
      <c r="GHW132" s="7"/>
      <c r="GHX132" s="21"/>
      <c r="GHY132" s="20"/>
      <c r="GHZ132" s="20"/>
      <c r="GIA132" s="20"/>
      <c r="GIB132" s="21"/>
      <c r="GIC132" s="21"/>
      <c r="GID132" s="21"/>
      <c r="GIE132" s="21"/>
      <c r="GIF132" s="21"/>
      <c r="GIG132" s="20"/>
      <c r="GIH132" s="20"/>
      <c r="GII132" s="20"/>
      <c r="GIJ132" s="20"/>
      <c r="GIK132" s="21"/>
      <c r="GIL132" s="21"/>
      <c r="GIM132" s="7"/>
      <c r="GIN132" s="7"/>
      <c r="GIO132" s="21"/>
      <c r="GIP132" s="20"/>
      <c r="GIQ132" s="20"/>
      <c r="GIR132" s="20"/>
      <c r="GIS132" s="21"/>
      <c r="GIT132" s="21"/>
      <c r="GIU132" s="21"/>
      <c r="GIV132" s="21"/>
      <c r="GIW132" s="21"/>
      <c r="GIX132" s="20"/>
      <c r="GIY132" s="20"/>
      <c r="GIZ132" s="20"/>
      <c r="GJA132" s="20"/>
      <c r="GJB132" s="21"/>
      <c r="GJC132" s="21"/>
      <c r="GJD132" s="7"/>
      <c r="GJE132" s="7"/>
      <c r="GJF132" s="21"/>
      <c r="GJG132" s="20"/>
      <c r="GJH132" s="20"/>
      <c r="GJI132" s="20"/>
      <c r="GJJ132" s="21"/>
      <c r="GJK132" s="21"/>
      <c r="GJL132" s="21"/>
      <c r="GJM132" s="21"/>
      <c r="GJN132" s="21"/>
      <c r="GJO132" s="20"/>
      <c r="GJP132" s="20"/>
      <c r="GJQ132" s="20"/>
      <c r="GJR132" s="20"/>
      <c r="GJS132" s="21"/>
      <c r="GJT132" s="21"/>
      <c r="GJU132" s="7"/>
      <c r="GJV132" s="7"/>
      <c r="GJW132" s="21"/>
      <c r="GJX132" s="20"/>
      <c r="GJY132" s="20"/>
      <c r="GJZ132" s="20"/>
      <c r="GKA132" s="21"/>
      <c r="GKB132" s="21"/>
      <c r="GKC132" s="21"/>
      <c r="GKD132" s="21"/>
      <c r="GKE132" s="21"/>
      <c r="GKF132" s="20"/>
      <c r="GKG132" s="20"/>
      <c r="GKH132" s="20"/>
      <c r="GKI132" s="20"/>
      <c r="GKJ132" s="21"/>
      <c r="GKK132" s="21"/>
      <c r="GKL132" s="7"/>
      <c r="GKM132" s="7"/>
      <c r="GKN132" s="21"/>
      <c r="GKO132" s="20"/>
      <c r="GKP132" s="20"/>
      <c r="GKQ132" s="20"/>
      <c r="GKR132" s="21"/>
      <c r="GKS132" s="21"/>
      <c r="GKT132" s="21"/>
      <c r="GKU132" s="21"/>
      <c r="GKV132" s="21"/>
      <c r="GKW132" s="20"/>
      <c r="GKX132" s="20"/>
      <c r="GKY132" s="20"/>
      <c r="GKZ132" s="20"/>
      <c r="GLA132" s="21"/>
      <c r="GLB132" s="21"/>
      <c r="GLC132" s="7"/>
      <c r="GLD132" s="7"/>
      <c r="GLE132" s="21"/>
      <c r="GLF132" s="20"/>
      <c r="GLG132" s="20"/>
      <c r="GLH132" s="20"/>
      <c r="GLI132" s="21"/>
      <c r="GLJ132" s="21"/>
      <c r="GLK132" s="21"/>
      <c r="GLL132" s="21"/>
      <c r="GLM132" s="21"/>
      <c r="GLN132" s="20"/>
      <c r="GLO132" s="20"/>
      <c r="GLP132" s="20"/>
      <c r="GLQ132" s="20"/>
      <c r="GLR132" s="21"/>
      <c r="GLS132" s="21"/>
      <c r="GLT132" s="7"/>
      <c r="GLU132" s="7"/>
      <c r="GLV132" s="21"/>
      <c r="GLW132" s="20"/>
      <c r="GLX132" s="20"/>
      <c r="GLY132" s="20"/>
      <c r="GLZ132" s="21"/>
      <c r="GMA132" s="21"/>
      <c r="GMB132" s="21"/>
      <c r="GMC132" s="21"/>
      <c r="GMD132" s="21"/>
      <c r="GME132" s="20"/>
      <c r="GMF132" s="20"/>
      <c r="GMG132" s="20"/>
      <c r="GMH132" s="20"/>
      <c r="GMI132" s="21"/>
      <c r="GMJ132" s="21"/>
      <c r="GMK132" s="7"/>
      <c r="GML132" s="7"/>
      <c r="GMM132" s="21"/>
      <c r="GMN132" s="20"/>
      <c r="GMO132" s="20"/>
      <c r="GMP132" s="20"/>
      <c r="GMQ132" s="21"/>
      <c r="GMR132" s="21"/>
      <c r="GMS132" s="21"/>
      <c r="GMT132" s="21"/>
      <c r="GMU132" s="21"/>
      <c r="GMV132" s="20"/>
      <c r="GMW132" s="20"/>
      <c r="GMX132" s="20"/>
      <c r="GMY132" s="20"/>
      <c r="GMZ132" s="21"/>
      <c r="GNA132" s="21"/>
      <c r="GNB132" s="7"/>
      <c r="GNC132" s="7"/>
      <c r="GND132" s="21"/>
      <c r="GNE132" s="20"/>
      <c r="GNF132" s="20"/>
      <c r="GNG132" s="20"/>
      <c r="GNH132" s="21"/>
      <c r="GNI132" s="21"/>
      <c r="GNJ132" s="21"/>
      <c r="GNK132" s="21"/>
      <c r="GNL132" s="21"/>
      <c r="GNM132" s="20"/>
      <c r="GNN132" s="20"/>
      <c r="GNO132" s="20"/>
      <c r="GNP132" s="20"/>
      <c r="GNQ132" s="21"/>
      <c r="GNR132" s="21"/>
      <c r="GNS132" s="7"/>
      <c r="GNT132" s="7"/>
      <c r="GNU132" s="21"/>
      <c r="GNV132" s="20"/>
      <c r="GNW132" s="20"/>
      <c r="GNX132" s="20"/>
      <c r="GNY132" s="21"/>
      <c r="GNZ132" s="21"/>
      <c r="GOA132" s="21"/>
      <c r="GOB132" s="21"/>
      <c r="GOC132" s="21"/>
      <c r="GOD132" s="20"/>
      <c r="GOE132" s="20"/>
      <c r="GOF132" s="20"/>
      <c r="GOG132" s="20"/>
      <c r="GOH132" s="21"/>
      <c r="GOI132" s="21"/>
      <c r="GOJ132" s="7"/>
      <c r="GOK132" s="7"/>
      <c r="GOL132" s="21"/>
      <c r="GOM132" s="20"/>
      <c r="GON132" s="20"/>
      <c r="GOO132" s="20"/>
      <c r="GOP132" s="21"/>
      <c r="GOQ132" s="21"/>
      <c r="GOR132" s="21"/>
      <c r="GOS132" s="21"/>
      <c r="GOT132" s="21"/>
      <c r="GOU132" s="20"/>
      <c r="GOV132" s="20"/>
      <c r="GOW132" s="20"/>
      <c r="GOX132" s="20"/>
      <c r="GOY132" s="21"/>
      <c r="GOZ132" s="21"/>
      <c r="GPA132" s="7"/>
      <c r="GPB132" s="7"/>
      <c r="GPC132" s="21"/>
      <c r="GPD132" s="20"/>
      <c r="GPE132" s="20"/>
      <c r="GPF132" s="20"/>
      <c r="GPG132" s="21"/>
      <c r="GPH132" s="21"/>
      <c r="GPI132" s="21"/>
      <c r="GPJ132" s="21"/>
      <c r="GPK132" s="21"/>
      <c r="GPL132" s="20"/>
      <c r="GPM132" s="20"/>
      <c r="GPN132" s="20"/>
      <c r="GPO132" s="20"/>
      <c r="GPP132" s="21"/>
      <c r="GPQ132" s="21"/>
      <c r="GPR132" s="7"/>
      <c r="GPS132" s="7"/>
      <c r="GPT132" s="21"/>
      <c r="GPU132" s="20"/>
      <c r="GPV132" s="20"/>
      <c r="GPW132" s="20"/>
      <c r="GPX132" s="21"/>
      <c r="GPY132" s="21"/>
      <c r="GPZ132" s="21"/>
      <c r="GQA132" s="21"/>
      <c r="GQB132" s="21"/>
      <c r="GQC132" s="20"/>
      <c r="GQD132" s="20"/>
      <c r="GQE132" s="20"/>
      <c r="GQF132" s="20"/>
      <c r="GQG132" s="21"/>
      <c r="GQH132" s="21"/>
      <c r="GQI132" s="7"/>
      <c r="GQJ132" s="7"/>
      <c r="GQK132" s="21"/>
      <c r="GQL132" s="20"/>
      <c r="GQM132" s="20"/>
      <c r="GQN132" s="20"/>
      <c r="GQO132" s="21"/>
      <c r="GQP132" s="21"/>
      <c r="GQQ132" s="21"/>
      <c r="GQR132" s="21"/>
      <c r="GQS132" s="21"/>
      <c r="GQT132" s="20"/>
      <c r="GQU132" s="20"/>
      <c r="GQV132" s="20"/>
      <c r="GQW132" s="20"/>
      <c r="GQX132" s="21"/>
      <c r="GQY132" s="21"/>
      <c r="GQZ132" s="7"/>
      <c r="GRA132" s="7"/>
      <c r="GRB132" s="21"/>
      <c r="GRC132" s="20"/>
      <c r="GRD132" s="20"/>
      <c r="GRE132" s="20"/>
      <c r="GRF132" s="21"/>
      <c r="GRG132" s="21"/>
      <c r="GRH132" s="21"/>
      <c r="GRI132" s="21"/>
      <c r="GRJ132" s="21"/>
      <c r="GRK132" s="20"/>
      <c r="GRL132" s="20"/>
      <c r="GRM132" s="20"/>
      <c r="GRN132" s="20"/>
      <c r="GRO132" s="21"/>
      <c r="GRP132" s="21"/>
      <c r="GRQ132" s="7"/>
      <c r="GRR132" s="7"/>
      <c r="GRS132" s="21"/>
      <c r="GRT132" s="20"/>
      <c r="GRU132" s="20"/>
      <c r="GRV132" s="20"/>
      <c r="GRW132" s="21"/>
      <c r="GRX132" s="21"/>
      <c r="GRY132" s="21"/>
      <c r="GRZ132" s="21"/>
      <c r="GSA132" s="21"/>
      <c r="GSB132" s="20"/>
      <c r="GSC132" s="20"/>
      <c r="GSD132" s="20"/>
      <c r="GSE132" s="20"/>
      <c r="GSF132" s="21"/>
      <c r="GSG132" s="21"/>
      <c r="GSH132" s="7"/>
      <c r="GSI132" s="7"/>
      <c r="GSJ132" s="21"/>
      <c r="GSK132" s="20"/>
      <c r="GSL132" s="20"/>
      <c r="GSM132" s="20"/>
      <c r="GSN132" s="21"/>
      <c r="GSO132" s="21"/>
      <c r="GSP132" s="21"/>
      <c r="GSQ132" s="21"/>
      <c r="GSR132" s="21"/>
      <c r="GSS132" s="20"/>
      <c r="GST132" s="20"/>
      <c r="GSU132" s="20"/>
      <c r="GSV132" s="20"/>
      <c r="GSW132" s="21"/>
      <c r="GSX132" s="21"/>
      <c r="GSY132" s="7"/>
      <c r="GSZ132" s="7"/>
      <c r="GTA132" s="21"/>
      <c r="GTB132" s="20"/>
      <c r="GTC132" s="20"/>
      <c r="GTD132" s="20"/>
      <c r="GTE132" s="21"/>
      <c r="GTF132" s="21"/>
      <c r="GTG132" s="21"/>
      <c r="GTH132" s="21"/>
      <c r="GTI132" s="21"/>
      <c r="GTJ132" s="20"/>
      <c r="GTK132" s="20"/>
      <c r="GTL132" s="20"/>
      <c r="GTM132" s="20"/>
      <c r="GTN132" s="21"/>
      <c r="GTO132" s="21"/>
      <c r="GTP132" s="7"/>
      <c r="GTQ132" s="7"/>
      <c r="GTR132" s="21"/>
      <c r="GTS132" s="20"/>
      <c r="GTT132" s="20"/>
      <c r="GTU132" s="20"/>
      <c r="GTV132" s="21"/>
      <c r="GTW132" s="21"/>
      <c r="GTX132" s="21"/>
      <c r="GTY132" s="21"/>
      <c r="GTZ132" s="21"/>
      <c r="GUA132" s="20"/>
      <c r="GUB132" s="20"/>
      <c r="GUC132" s="20"/>
      <c r="GUD132" s="20"/>
      <c r="GUE132" s="21"/>
      <c r="GUF132" s="21"/>
      <c r="GUG132" s="7"/>
      <c r="GUH132" s="7"/>
      <c r="GUI132" s="21"/>
      <c r="GUJ132" s="20"/>
      <c r="GUK132" s="20"/>
      <c r="GUL132" s="20"/>
      <c r="GUM132" s="21"/>
      <c r="GUN132" s="21"/>
      <c r="GUO132" s="21"/>
      <c r="GUP132" s="21"/>
      <c r="GUQ132" s="21"/>
      <c r="GUR132" s="20"/>
      <c r="GUS132" s="20"/>
      <c r="GUT132" s="20"/>
      <c r="GUU132" s="20"/>
      <c r="GUV132" s="21"/>
      <c r="GUW132" s="21"/>
      <c r="GUX132" s="7"/>
      <c r="GUY132" s="7"/>
      <c r="GUZ132" s="21"/>
      <c r="GVA132" s="20"/>
      <c r="GVB132" s="20"/>
      <c r="GVC132" s="20"/>
      <c r="GVD132" s="21"/>
      <c r="GVE132" s="21"/>
      <c r="GVF132" s="21"/>
      <c r="GVG132" s="21"/>
      <c r="GVH132" s="21"/>
      <c r="GVI132" s="20"/>
      <c r="GVJ132" s="20"/>
      <c r="GVK132" s="20"/>
      <c r="GVL132" s="20"/>
      <c r="GVM132" s="21"/>
      <c r="GVN132" s="21"/>
      <c r="GVO132" s="7"/>
      <c r="GVP132" s="7"/>
      <c r="GVQ132" s="21"/>
      <c r="GVR132" s="20"/>
      <c r="GVS132" s="20"/>
      <c r="GVT132" s="20"/>
      <c r="GVU132" s="21"/>
      <c r="GVV132" s="21"/>
      <c r="GVW132" s="21"/>
      <c r="GVX132" s="21"/>
      <c r="GVY132" s="21"/>
      <c r="GVZ132" s="20"/>
      <c r="GWA132" s="20"/>
      <c r="GWB132" s="20"/>
      <c r="GWC132" s="20"/>
      <c r="GWD132" s="21"/>
      <c r="GWE132" s="21"/>
      <c r="GWF132" s="7"/>
      <c r="GWG132" s="7"/>
      <c r="GWH132" s="21"/>
      <c r="GWI132" s="20"/>
      <c r="GWJ132" s="20"/>
      <c r="GWK132" s="20"/>
      <c r="GWL132" s="21"/>
      <c r="GWM132" s="21"/>
      <c r="GWN132" s="21"/>
      <c r="GWO132" s="21"/>
      <c r="GWP132" s="21"/>
      <c r="GWQ132" s="20"/>
      <c r="GWR132" s="20"/>
      <c r="GWS132" s="20"/>
      <c r="GWT132" s="20"/>
      <c r="GWU132" s="21"/>
      <c r="GWV132" s="21"/>
      <c r="GWW132" s="7"/>
      <c r="GWX132" s="7"/>
      <c r="GWY132" s="21"/>
      <c r="GWZ132" s="20"/>
      <c r="GXA132" s="20"/>
      <c r="GXB132" s="20"/>
      <c r="GXC132" s="21"/>
      <c r="GXD132" s="21"/>
      <c r="GXE132" s="21"/>
      <c r="GXF132" s="21"/>
      <c r="GXG132" s="21"/>
      <c r="GXH132" s="20"/>
      <c r="GXI132" s="20"/>
      <c r="GXJ132" s="20"/>
      <c r="GXK132" s="20"/>
      <c r="GXL132" s="21"/>
      <c r="GXM132" s="21"/>
      <c r="GXN132" s="7"/>
      <c r="GXO132" s="7"/>
      <c r="GXP132" s="21"/>
      <c r="GXQ132" s="20"/>
      <c r="GXR132" s="20"/>
      <c r="GXS132" s="20"/>
      <c r="GXT132" s="21"/>
      <c r="GXU132" s="21"/>
      <c r="GXV132" s="21"/>
      <c r="GXW132" s="21"/>
      <c r="GXX132" s="21"/>
      <c r="GXY132" s="20"/>
      <c r="GXZ132" s="20"/>
      <c r="GYA132" s="20"/>
      <c r="GYB132" s="20"/>
      <c r="GYC132" s="21"/>
      <c r="GYD132" s="21"/>
      <c r="GYE132" s="7"/>
      <c r="GYF132" s="7"/>
      <c r="GYG132" s="21"/>
      <c r="GYH132" s="20"/>
      <c r="GYI132" s="20"/>
      <c r="GYJ132" s="20"/>
      <c r="GYK132" s="21"/>
      <c r="GYL132" s="21"/>
      <c r="GYM132" s="21"/>
      <c r="GYN132" s="21"/>
      <c r="GYO132" s="21"/>
      <c r="GYP132" s="20"/>
      <c r="GYQ132" s="20"/>
      <c r="GYR132" s="20"/>
      <c r="GYS132" s="20"/>
      <c r="GYT132" s="21"/>
      <c r="GYU132" s="21"/>
      <c r="GYV132" s="7"/>
      <c r="GYW132" s="7"/>
      <c r="GYX132" s="21"/>
      <c r="GYY132" s="20"/>
      <c r="GYZ132" s="20"/>
      <c r="GZA132" s="20"/>
      <c r="GZB132" s="21"/>
      <c r="GZC132" s="21"/>
      <c r="GZD132" s="21"/>
      <c r="GZE132" s="21"/>
      <c r="GZF132" s="21"/>
      <c r="GZG132" s="20"/>
      <c r="GZH132" s="20"/>
      <c r="GZI132" s="20"/>
      <c r="GZJ132" s="20"/>
      <c r="GZK132" s="21"/>
      <c r="GZL132" s="21"/>
      <c r="GZM132" s="7"/>
      <c r="GZN132" s="7"/>
      <c r="GZO132" s="21"/>
      <c r="GZP132" s="20"/>
      <c r="GZQ132" s="20"/>
      <c r="GZR132" s="20"/>
      <c r="GZS132" s="21"/>
      <c r="GZT132" s="21"/>
      <c r="GZU132" s="21"/>
      <c r="GZV132" s="21"/>
      <c r="GZW132" s="21"/>
      <c r="GZX132" s="20"/>
      <c r="GZY132" s="20"/>
      <c r="GZZ132" s="20"/>
      <c r="HAA132" s="20"/>
      <c r="HAB132" s="21"/>
      <c r="HAC132" s="21"/>
      <c r="HAD132" s="7"/>
      <c r="HAE132" s="7"/>
      <c r="HAF132" s="21"/>
      <c r="HAG132" s="20"/>
      <c r="HAH132" s="20"/>
      <c r="HAI132" s="20"/>
      <c r="HAJ132" s="21"/>
      <c r="HAK132" s="21"/>
      <c r="HAL132" s="21"/>
      <c r="HAM132" s="21"/>
      <c r="HAN132" s="21"/>
      <c r="HAO132" s="20"/>
      <c r="HAP132" s="20"/>
      <c r="HAQ132" s="20"/>
      <c r="HAR132" s="20"/>
      <c r="HAS132" s="21"/>
      <c r="HAT132" s="21"/>
      <c r="HAU132" s="7"/>
      <c r="HAV132" s="7"/>
      <c r="HAW132" s="21"/>
      <c r="HAX132" s="20"/>
      <c r="HAY132" s="20"/>
      <c r="HAZ132" s="20"/>
      <c r="HBA132" s="21"/>
      <c r="HBB132" s="21"/>
      <c r="HBC132" s="21"/>
      <c r="HBD132" s="21"/>
      <c r="HBE132" s="21"/>
      <c r="HBF132" s="20"/>
      <c r="HBG132" s="20"/>
      <c r="HBH132" s="20"/>
      <c r="HBI132" s="20"/>
      <c r="HBJ132" s="21"/>
      <c r="HBK132" s="21"/>
      <c r="HBL132" s="7"/>
      <c r="HBM132" s="7"/>
      <c r="HBN132" s="21"/>
      <c r="HBO132" s="20"/>
      <c r="HBP132" s="20"/>
      <c r="HBQ132" s="20"/>
      <c r="HBR132" s="21"/>
      <c r="HBS132" s="21"/>
      <c r="HBT132" s="21"/>
      <c r="HBU132" s="21"/>
      <c r="HBV132" s="21"/>
      <c r="HBW132" s="20"/>
      <c r="HBX132" s="20"/>
      <c r="HBY132" s="20"/>
      <c r="HBZ132" s="20"/>
      <c r="HCA132" s="21"/>
      <c r="HCB132" s="21"/>
      <c r="HCC132" s="7"/>
      <c r="HCD132" s="7"/>
      <c r="HCE132" s="21"/>
      <c r="HCF132" s="20"/>
      <c r="HCG132" s="20"/>
      <c r="HCH132" s="20"/>
      <c r="HCI132" s="21"/>
      <c r="HCJ132" s="21"/>
      <c r="HCK132" s="21"/>
      <c r="HCL132" s="21"/>
      <c r="HCM132" s="21"/>
      <c r="HCN132" s="20"/>
      <c r="HCO132" s="20"/>
      <c r="HCP132" s="20"/>
      <c r="HCQ132" s="20"/>
      <c r="HCR132" s="21"/>
      <c r="HCS132" s="21"/>
      <c r="HCT132" s="7"/>
      <c r="HCU132" s="7"/>
      <c r="HCV132" s="21"/>
      <c r="HCW132" s="20"/>
      <c r="HCX132" s="20"/>
      <c r="HCY132" s="20"/>
      <c r="HCZ132" s="21"/>
      <c r="HDA132" s="21"/>
      <c r="HDB132" s="21"/>
      <c r="HDC132" s="21"/>
      <c r="HDD132" s="21"/>
      <c r="HDE132" s="20"/>
      <c r="HDF132" s="20"/>
      <c r="HDG132" s="20"/>
      <c r="HDH132" s="20"/>
      <c r="HDI132" s="21"/>
      <c r="HDJ132" s="21"/>
      <c r="HDK132" s="7"/>
      <c r="HDL132" s="7"/>
      <c r="HDM132" s="21"/>
      <c r="HDN132" s="20"/>
      <c r="HDO132" s="20"/>
      <c r="HDP132" s="20"/>
      <c r="HDQ132" s="21"/>
      <c r="HDR132" s="21"/>
      <c r="HDS132" s="21"/>
      <c r="HDT132" s="21"/>
      <c r="HDU132" s="21"/>
      <c r="HDV132" s="20"/>
      <c r="HDW132" s="20"/>
      <c r="HDX132" s="20"/>
      <c r="HDY132" s="20"/>
      <c r="HDZ132" s="21"/>
      <c r="HEA132" s="21"/>
      <c r="HEB132" s="7"/>
      <c r="HEC132" s="7"/>
      <c r="HED132" s="21"/>
      <c r="HEE132" s="20"/>
      <c r="HEF132" s="20"/>
      <c r="HEG132" s="20"/>
      <c r="HEH132" s="21"/>
      <c r="HEI132" s="21"/>
      <c r="HEJ132" s="21"/>
      <c r="HEK132" s="21"/>
      <c r="HEL132" s="21"/>
      <c r="HEM132" s="20"/>
      <c r="HEN132" s="20"/>
      <c r="HEO132" s="20"/>
      <c r="HEP132" s="20"/>
      <c r="HEQ132" s="21"/>
      <c r="HER132" s="21"/>
      <c r="HES132" s="7"/>
      <c r="HET132" s="7"/>
      <c r="HEU132" s="21"/>
      <c r="HEV132" s="20"/>
      <c r="HEW132" s="20"/>
      <c r="HEX132" s="20"/>
      <c r="HEY132" s="21"/>
      <c r="HEZ132" s="21"/>
      <c r="HFA132" s="21"/>
      <c r="HFB132" s="21"/>
      <c r="HFC132" s="21"/>
      <c r="HFD132" s="20"/>
      <c r="HFE132" s="20"/>
      <c r="HFF132" s="20"/>
      <c r="HFG132" s="20"/>
      <c r="HFH132" s="21"/>
      <c r="HFI132" s="21"/>
      <c r="HFJ132" s="7"/>
      <c r="HFK132" s="7"/>
      <c r="HFL132" s="21"/>
      <c r="HFM132" s="20"/>
      <c r="HFN132" s="20"/>
      <c r="HFO132" s="20"/>
      <c r="HFP132" s="21"/>
      <c r="HFQ132" s="21"/>
      <c r="HFR132" s="21"/>
      <c r="HFS132" s="21"/>
      <c r="HFT132" s="21"/>
      <c r="HFU132" s="20"/>
      <c r="HFV132" s="20"/>
      <c r="HFW132" s="20"/>
      <c r="HFX132" s="20"/>
      <c r="HFY132" s="21"/>
      <c r="HFZ132" s="21"/>
      <c r="HGA132" s="7"/>
      <c r="HGB132" s="7"/>
      <c r="HGC132" s="21"/>
      <c r="HGD132" s="20"/>
      <c r="HGE132" s="20"/>
      <c r="HGF132" s="20"/>
      <c r="HGG132" s="21"/>
      <c r="HGH132" s="21"/>
      <c r="HGI132" s="21"/>
      <c r="HGJ132" s="21"/>
      <c r="HGK132" s="21"/>
      <c r="HGL132" s="20"/>
      <c r="HGM132" s="20"/>
      <c r="HGN132" s="20"/>
      <c r="HGO132" s="20"/>
      <c r="HGP132" s="21"/>
      <c r="HGQ132" s="21"/>
      <c r="HGR132" s="7"/>
      <c r="HGS132" s="7"/>
      <c r="HGT132" s="21"/>
      <c r="HGU132" s="20"/>
      <c r="HGV132" s="20"/>
      <c r="HGW132" s="20"/>
      <c r="HGX132" s="21"/>
      <c r="HGY132" s="21"/>
      <c r="HGZ132" s="21"/>
      <c r="HHA132" s="21"/>
      <c r="HHB132" s="21"/>
      <c r="HHC132" s="20"/>
      <c r="HHD132" s="20"/>
      <c r="HHE132" s="20"/>
      <c r="HHF132" s="20"/>
      <c r="HHG132" s="21"/>
      <c r="HHH132" s="21"/>
      <c r="HHI132" s="7"/>
      <c r="HHJ132" s="7"/>
      <c r="HHK132" s="21"/>
      <c r="HHL132" s="20"/>
      <c r="HHM132" s="20"/>
      <c r="HHN132" s="20"/>
      <c r="HHO132" s="21"/>
      <c r="HHP132" s="21"/>
      <c r="HHQ132" s="21"/>
      <c r="HHR132" s="21"/>
      <c r="HHS132" s="21"/>
      <c r="HHT132" s="20"/>
      <c r="HHU132" s="20"/>
      <c r="HHV132" s="20"/>
      <c r="HHW132" s="20"/>
      <c r="HHX132" s="21"/>
      <c r="HHY132" s="21"/>
      <c r="HHZ132" s="7"/>
      <c r="HIA132" s="7"/>
      <c r="HIB132" s="21"/>
      <c r="HIC132" s="20"/>
      <c r="HID132" s="20"/>
      <c r="HIE132" s="20"/>
      <c r="HIF132" s="21"/>
      <c r="HIG132" s="21"/>
      <c r="HIH132" s="21"/>
      <c r="HII132" s="21"/>
      <c r="HIJ132" s="21"/>
      <c r="HIK132" s="20"/>
      <c r="HIL132" s="20"/>
      <c r="HIM132" s="20"/>
      <c r="HIN132" s="20"/>
      <c r="HIO132" s="21"/>
      <c r="HIP132" s="21"/>
      <c r="HIQ132" s="7"/>
      <c r="HIR132" s="7"/>
      <c r="HIS132" s="21"/>
      <c r="HIT132" s="20"/>
      <c r="HIU132" s="20"/>
      <c r="HIV132" s="20"/>
      <c r="HIW132" s="21"/>
      <c r="HIX132" s="21"/>
      <c r="HIY132" s="21"/>
      <c r="HIZ132" s="21"/>
      <c r="HJA132" s="21"/>
      <c r="HJB132" s="20"/>
      <c r="HJC132" s="20"/>
      <c r="HJD132" s="20"/>
      <c r="HJE132" s="20"/>
      <c r="HJF132" s="21"/>
      <c r="HJG132" s="21"/>
      <c r="HJH132" s="7"/>
      <c r="HJI132" s="7"/>
      <c r="HJJ132" s="21"/>
      <c r="HJK132" s="20"/>
      <c r="HJL132" s="20"/>
      <c r="HJM132" s="20"/>
      <c r="HJN132" s="21"/>
      <c r="HJO132" s="21"/>
      <c r="HJP132" s="21"/>
      <c r="HJQ132" s="21"/>
      <c r="HJR132" s="21"/>
      <c r="HJS132" s="20"/>
      <c r="HJT132" s="20"/>
      <c r="HJU132" s="20"/>
      <c r="HJV132" s="20"/>
      <c r="HJW132" s="21"/>
      <c r="HJX132" s="21"/>
      <c r="HJY132" s="7"/>
      <c r="HJZ132" s="7"/>
      <c r="HKA132" s="21"/>
      <c r="HKB132" s="20"/>
      <c r="HKC132" s="20"/>
      <c r="HKD132" s="20"/>
      <c r="HKE132" s="21"/>
      <c r="HKF132" s="21"/>
      <c r="HKG132" s="21"/>
      <c r="HKH132" s="21"/>
      <c r="HKI132" s="21"/>
      <c r="HKJ132" s="20"/>
      <c r="HKK132" s="20"/>
      <c r="HKL132" s="20"/>
      <c r="HKM132" s="20"/>
      <c r="HKN132" s="21"/>
      <c r="HKO132" s="21"/>
      <c r="HKP132" s="7"/>
      <c r="HKQ132" s="7"/>
      <c r="HKR132" s="21"/>
      <c r="HKS132" s="20"/>
      <c r="HKT132" s="20"/>
      <c r="HKU132" s="20"/>
      <c r="HKV132" s="21"/>
      <c r="HKW132" s="21"/>
      <c r="HKX132" s="21"/>
      <c r="HKY132" s="21"/>
      <c r="HKZ132" s="21"/>
      <c r="HLA132" s="20"/>
      <c r="HLB132" s="20"/>
      <c r="HLC132" s="20"/>
      <c r="HLD132" s="20"/>
      <c r="HLE132" s="21"/>
      <c r="HLF132" s="21"/>
      <c r="HLG132" s="7"/>
      <c r="HLH132" s="7"/>
      <c r="HLI132" s="21"/>
      <c r="HLJ132" s="20"/>
      <c r="HLK132" s="20"/>
      <c r="HLL132" s="20"/>
      <c r="HLM132" s="21"/>
      <c r="HLN132" s="21"/>
      <c r="HLO132" s="21"/>
      <c r="HLP132" s="21"/>
      <c r="HLQ132" s="21"/>
      <c r="HLR132" s="20"/>
      <c r="HLS132" s="20"/>
      <c r="HLT132" s="20"/>
      <c r="HLU132" s="20"/>
      <c r="HLV132" s="21"/>
      <c r="HLW132" s="21"/>
      <c r="HLX132" s="7"/>
      <c r="HLY132" s="7"/>
      <c r="HLZ132" s="21"/>
      <c r="HMA132" s="20"/>
      <c r="HMB132" s="20"/>
      <c r="HMC132" s="20"/>
      <c r="HMD132" s="21"/>
      <c r="HME132" s="21"/>
      <c r="HMF132" s="21"/>
      <c r="HMG132" s="21"/>
      <c r="HMH132" s="21"/>
      <c r="HMI132" s="20"/>
      <c r="HMJ132" s="20"/>
      <c r="HMK132" s="20"/>
      <c r="HML132" s="20"/>
      <c r="HMM132" s="21"/>
      <c r="HMN132" s="21"/>
      <c r="HMO132" s="7"/>
      <c r="HMP132" s="7"/>
      <c r="HMQ132" s="21"/>
      <c r="HMR132" s="20"/>
      <c r="HMS132" s="20"/>
      <c r="HMT132" s="20"/>
      <c r="HMU132" s="21"/>
      <c r="HMV132" s="21"/>
      <c r="HMW132" s="21"/>
      <c r="HMX132" s="21"/>
      <c r="HMY132" s="21"/>
      <c r="HMZ132" s="20"/>
      <c r="HNA132" s="20"/>
      <c r="HNB132" s="20"/>
      <c r="HNC132" s="20"/>
      <c r="HND132" s="21"/>
      <c r="HNE132" s="21"/>
      <c r="HNF132" s="7"/>
      <c r="HNG132" s="7"/>
      <c r="HNH132" s="21"/>
      <c r="HNI132" s="20"/>
      <c r="HNJ132" s="20"/>
      <c r="HNK132" s="20"/>
      <c r="HNL132" s="21"/>
      <c r="HNM132" s="21"/>
      <c r="HNN132" s="21"/>
      <c r="HNO132" s="21"/>
      <c r="HNP132" s="21"/>
      <c r="HNQ132" s="20"/>
      <c r="HNR132" s="20"/>
      <c r="HNS132" s="20"/>
      <c r="HNT132" s="20"/>
      <c r="HNU132" s="21"/>
      <c r="HNV132" s="21"/>
      <c r="HNW132" s="7"/>
      <c r="HNX132" s="7"/>
      <c r="HNY132" s="21"/>
      <c r="HNZ132" s="20"/>
      <c r="HOA132" s="20"/>
      <c r="HOB132" s="20"/>
      <c r="HOC132" s="21"/>
      <c r="HOD132" s="21"/>
      <c r="HOE132" s="21"/>
      <c r="HOF132" s="21"/>
      <c r="HOG132" s="21"/>
      <c r="HOH132" s="20"/>
      <c r="HOI132" s="20"/>
      <c r="HOJ132" s="20"/>
      <c r="HOK132" s="20"/>
      <c r="HOL132" s="21"/>
      <c r="HOM132" s="21"/>
      <c r="HON132" s="7"/>
      <c r="HOO132" s="7"/>
      <c r="HOP132" s="21"/>
      <c r="HOQ132" s="20"/>
      <c r="HOR132" s="20"/>
      <c r="HOS132" s="20"/>
      <c r="HOT132" s="21"/>
      <c r="HOU132" s="21"/>
      <c r="HOV132" s="21"/>
      <c r="HOW132" s="21"/>
      <c r="HOX132" s="21"/>
      <c r="HOY132" s="20"/>
      <c r="HOZ132" s="20"/>
      <c r="HPA132" s="20"/>
      <c r="HPB132" s="20"/>
      <c r="HPC132" s="21"/>
      <c r="HPD132" s="21"/>
      <c r="HPE132" s="7"/>
      <c r="HPF132" s="7"/>
      <c r="HPG132" s="21"/>
      <c r="HPH132" s="20"/>
      <c r="HPI132" s="20"/>
      <c r="HPJ132" s="20"/>
      <c r="HPK132" s="21"/>
      <c r="HPL132" s="21"/>
      <c r="HPM132" s="21"/>
      <c r="HPN132" s="21"/>
      <c r="HPO132" s="21"/>
      <c r="HPP132" s="20"/>
      <c r="HPQ132" s="20"/>
      <c r="HPR132" s="20"/>
      <c r="HPS132" s="20"/>
      <c r="HPT132" s="21"/>
      <c r="HPU132" s="21"/>
      <c r="HPV132" s="7"/>
      <c r="HPW132" s="7"/>
      <c r="HPX132" s="21"/>
      <c r="HPY132" s="20"/>
      <c r="HPZ132" s="20"/>
      <c r="HQA132" s="20"/>
      <c r="HQB132" s="21"/>
      <c r="HQC132" s="21"/>
      <c r="HQD132" s="21"/>
      <c r="HQE132" s="21"/>
      <c r="HQF132" s="21"/>
      <c r="HQG132" s="20"/>
      <c r="HQH132" s="20"/>
      <c r="HQI132" s="20"/>
      <c r="HQJ132" s="20"/>
      <c r="HQK132" s="21"/>
      <c r="HQL132" s="21"/>
      <c r="HQM132" s="7"/>
      <c r="HQN132" s="7"/>
      <c r="HQO132" s="21"/>
      <c r="HQP132" s="20"/>
      <c r="HQQ132" s="20"/>
      <c r="HQR132" s="20"/>
      <c r="HQS132" s="21"/>
      <c r="HQT132" s="21"/>
      <c r="HQU132" s="21"/>
      <c r="HQV132" s="21"/>
      <c r="HQW132" s="21"/>
      <c r="HQX132" s="20"/>
      <c r="HQY132" s="20"/>
      <c r="HQZ132" s="20"/>
      <c r="HRA132" s="20"/>
      <c r="HRB132" s="21"/>
      <c r="HRC132" s="21"/>
      <c r="HRD132" s="7"/>
      <c r="HRE132" s="7"/>
      <c r="HRF132" s="21"/>
      <c r="HRG132" s="20"/>
      <c r="HRH132" s="20"/>
      <c r="HRI132" s="20"/>
      <c r="HRJ132" s="21"/>
      <c r="HRK132" s="21"/>
      <c r="HRL132" s="21"/>
      <c r="HRM132" s="21"/>
      <c r="HRN132" s="21"/>
      <c r="HRO132" s="20"/>
      <c r="HRP132" s="20"/>
      <c r="HRQ132" s="20"/>
      <c r="HRR132" s="20"/>
      <c r="HRS132" s="21"/>
      <c r="HRT132" s="21"/>
      <c r="HRU132" s="7"/>
      <c r="HRV132" s="7"/>
      <c r="HRW132" s="21"/>
      <c r="HRX132" s="20"/>
      <c r="HRY132" s="20"/>
      <c r="HRZ132" s="20"/>
      <c r="HSA132" s="21"/>
      <c r="HSB132" s="21"/>
      <c r="HSC132" s="21"/>
      <c r="HSD132" s="21"/>
      <c r="HSE132" s="21"/>
      <c r="HSF132" s="20"/>
      <c r="HSG132" s="20"/>
      <c r="HSH132" s="20"/>
      <c r="HSI132" s="20"/>
      <c r="HSJ132" s="21"/>
      <c r="HSK132" s="21"/>
      <c r="HSL132" s="7"/>
      <c r="HSM132" s="7"/>
      <c r="HSN132" s="21"/>
      <c r="HSO132" s="20"/>
      <c r="HSP132" s="20"/>
      <c r="HSQ132" s="20"/>
      <c r="HSR132" s="21"/>
      <c r="HSS132" s="21"/>
      <c r="HST132" s="21"/>
      <c r="HSU132" s="21"/>
      <c r="HSV132" s="21"/>
      <c r="HSW132" s="20"/>
      <c r="HSX132" s="20"/>
      <c r="HSY132" s="20"/>
      <c r="HSZ132" s="20"/>
      <c r="HTA132" s="21"/>
      <c r="HTB132" s="21"/>
      <c r="HTC132" s="7"/>
      <c r="HTD132" s="7"/>
      <c r="HTE132" s="21"/>
      <c r="HTF132" s="20"/>
      <c r="HTG132" s="20"/>
      <c r="HTH132" s="20"/>
      <c r="HTI132" s="21"/>
      <c r="HTJ132" s="21"/>
      <c r="HTK132" s="21"/>
      <c r="HTL132" s="21"/>
      <c r="HTM132" s="21"/>
      <c r="HTN132" s="20"/>
      <c r="HTO132" s="20"/>
      <c r="HTP132" s="20"/>
      <c r="HTQ132" s="20"/>
      <c r="HTR132" s="21"/>
      <c r="HTS132" s="21"/>
      <c r="HTT132" s="7"/>
      <c r="HTU132" s="7"/>
      <c r="HTV132" s="21"/>
      <c r="HTW132" s="20"/>
      <c r="HTX132" s="20"/>
      <c r="HTY132" s="20"/>
      <c r="HTZ132" s="21"/>
      <c r="HUA132" s="21"/>
      <c r="HUB132" s="21"/>
      <c r="HUC132" s="21"/>
      <c r="HUD132" s="21"/>
      <c r="HUE132" s="20"/>
      <c r="HUF132" s="20"/>
      <c r="HUG132" s="20"/>
      <c r="HUH132" s="20"/>
      <c r="HUI132" s="21"/>
      <c r="HUJ132" s="21"/>
      <c r="HUK132" s="7"/>
      <c r="HUL132" s="7"/>
      <c r="HUM132" s="21"/>
      <c r="HUN132" s="20"/>
      <c r="HUO132" s="20"/>
      <c r="HUP132" s="20"/>
      <c r="HUQ132" s="21"/>
      <c r="HUR132" s="21"/>
      <c r="HUS132" s="21"/>
      <c r="HUT132" s="21"/>
      <c r="HUU132" s="21"/>
      <c r="HUV132" s="20"/>
      <c r="HUW132" s="20"/>
      <c r="HUX132" s="20"/>
      <c r="HUY132" s="20"/>
      <c r="HUZ132" s="21"/>
      <c r="HVA132" s="21"/>
      <c r="HVB132" s="7"/>
      <c r="HVC132" s="7"/>
      <c r="HVD132" s="21"/>
      <c r="HVE132" s="20"/>
      <c r="HVF132" s="20"/>
      <c r="HVG132" s="20"/>
      <c r="HVH132" s="21"/>
      <c r="HVI132" s="21"/>
      <c r="HVJ132" s="21"/>
      <c r="HVK132" s="21"/>
      <c r="HVL132" s="21"/>
      <c r="HVM132" s="20"/>
      <c r="HVN132" s="20"/>
      <c r="HVO132" s="20"/>
      <c r="HVP132" s="20"/>
      <c r="HVQ132" s="21"/>
      <c r="HVR132" s="21"/>
      <c r="HVS132" s="7"/>
      <c r="HVT132" s="7"/>
      <c r="HVU132" s="21"/>
      <c r="HVV132" s="20"/>
      <c r="HVW132" s="20"/>
      <c r="HVX132" s="20"/>
      <c r="HVY132" s="21"/>
      <c r="HVZ132" s="21"/>
      <c r="HWA132" s="21"/>
      <c r="HWB132" s="21"/>
      <c r="HWC132" s="21"/>
      <c r="HWD132" s="20"/>
      <c r="HWE132" s="20"/>
      <c r="HWF132" s="20"/>
      <c r="HWG132" s="20"/>
      <c r="HWH132" s="21"/>
      <c r="HWI132" s="21"/>
      <c r="HWJ132" s="7"/>
      <c r="HWK132" s="7"/>
      <c r="HWL132" s="21"/>
      <c r="HWM132" s="20"/>
      <c r="HWN132" s="20"/>
      <c r="HWO132" s="20"/>
      <c r="HWP132" s="21"/>
      <c r="HWQ132" s="21"/>
      <c r="HWR132" s="21"/>
      <c r="HWS132" s="21"/>
      <c r="HWT132" s="21"/>
      <c r="HWU132" s="20"/>
      <c r="HWV132" s="20"/>
      <c r="HWW132" s="20"/>
      <c r="HWX132" s="20"/>
      <c r="HWY132" s="21"/>
      <c r="HWZ132" s="21"/>
      <c r="HXA132" s="7"/>
      <c r="HXB132" s="7"/>
      <c r="HXC132" s="21"/>
      <c r="HXD132" s="20"/>
      <c r="HXE132" s="20"/>
      <c r="HXF132" s="20"/>
      <c r="HXG132" s="21"/>
      <c r="HXH132" s="21"/>
      <c r="HXI132" s="21"/>
      <c r="HXJ132" s="21"/>
      <c r="HXK132" s="21"/>
      <c r="HXL132" s="20"/>
      <c r="HXM132" s="20"/>
      <c r="HXN132" s="20"/>
      <c r="HXO132" s="20"/>
      <c r="HXP132" s="21"/>
      <c r="HXQ132" s="21"/>
      <c r="HXR132" s="7"/>
      <c r="HXS132" s="7"/>
      <c r="HXT132" s="21"/>
      <c r="HXU132" s="20"/>
      <c r="HXV132" s="20"/>
      <c r="HXW132" s="20"/>
      <c r="HXX132" s="21"/>
      <c r="HXY132" s="21"/>
      <c r="HXZ132" s="21"/>
      <c r="HYA132" s="21"/>
      <c r="HYB132" s="21"/>
      <c r="HYC132" s="20"/>
      <c r="HYD132" s="20"/>
      <c r="HYE132" s="20"/>
      <c r="HYF132" s="20"/>
      <c r="HYG132" s="21"/>
      <c r="HYH132" s="21"/>
      <c r="HYI132" s="7"/>
      <c r="HYJ132" s="7"/>
      <c r="HYK132" s="21"/>
      <c r="HYL132" s="20"/>
      <c r="HYM132" s="20"/>
      <c r="HYN132" s="20"/>
      <c r="HYO132" s="21"/>
      <c r="HYP132" s="21"/>
      <c r="HYQ132" s="21"/>
      <c r="HYR132" s="21"/>
      <c r="HYS132" s="21"/>
      <c r="HYT132" s="20"/>
      <c r="HYU132" s="20"/>
      <c r="HYV132" s="20"/>
      <c r="HYW132" s="20"/>
      <c r="HYX132" s="21"/>
      <c r="HYY132" s="21"/>
      <c r="HYZ132" s="7"/>
      <c r="HZA132" s="7"/>
      <c r="HZB132" s="21"/>
      <c r="HZC132" s="20"/>
      <c r="HZD132" s="20"/>
      <c r="HZE132" s="20"/>
      <c r="HZF132" s="21"/>
      <c r="HZG132" s="21"/>
      <c r="HZH132" s="21"/>
      <c r="HZI132" s="21"/>
      <c r="HZJ132" s="21"/>
      <c r="HZK132" s="20"/>
      <c r="HZL132" s="20"/>
      <c r="HZM132" s="20"/>
      <c r="HZN132" s="20"/>
      <c r="HZO132" s="21"/>
      <c r="HZP132" s="21"/>
      <c r="HZQ132" s="7"/>
      <c r="HZR132" s="7"/>
      <c r="HZS132" s="21"/>
      <c r="HZT132" s="20"/>
      <c r="HZU132" s="20"/>
      <c r="HZV132" s="20"/>
      <c r="HZW132" s="21"/>
      <c r="HZX132" s="21"/>
      <c r="HZY132" s="21"/>
      <c r="HZZ132" s="21"/>
      <c r="IAA132" s="21"/>
      <c r="IAB132" s="20"/>
      <c r="IAC132" s="20"/>
      <c r="IAD132" s="20"/>
      <c r="IAE132" s="20"/>
      <c r="IAF132" s="21"/>
      <c r="IAG132" s="21"/>
      <c r="IAH132" s="7"/>
      <c r="IAI132" s="7"/>
      <c r="IAJ132" s="21"/>
      <c r="IAK132" s="20"/>
      <c r="IAL132" s="20"/>
      <c r="IAM132" s="20"/>
      <c r="IAN132" s="21"/>
      <c r="IAO132" s="21"/>
      <c r="IAP132" s="21"/>
      <c r="IAQ132" s="21"/>
      <c r="IAR132" s="21"/>
      <c r="IAS132" s="20"/>
      <c r="IAT132" s="20"/>
      <c r="IAU132" s="20"/>
      <c r="IAV132" s="20"/>
      <c r="IAW132" s="21"/>
      <c r="IAX132" s="21"/>
      <c r="IAY132" s="7"/>
      <c r="IAZ132" s="7"/>
      <c r="IBA132" s="21"/>
      <c r="IBB132" s="20"/>
      <c r="IBC132" s="20"/>
      <c r="IBD132" s="20"/>
      <c r="IBE132" s="21"/>
      <c r="IBF132" s="21"/>
      <c r="IBG132" s="21"/>
      <c r="IBH132" s="21"/>
      <c r="IBI132" s="21"/>
      <c r="IBJ132" s="20"/>
      <c r="IBK132" s="20"/>
      <c r="IBL132" s="20"/>
      <c r="IBM132" s="20"/>
      <c r="IBN132" s="21"/>
      <c r="IBO132" s="21"/>
      <c r="IBP132" s="7"/>
      <c r="IBQ132" s="7"/>
      <c r="IBR132" s="21"/>
      <c r="IBS132" s="20"/>
      <c r="IBT132" s="20"/>
      <c r="IBU132" s="20"/>
      <c r="IBV132" s="21"/>
      <c r="IBW132" s="21"/>
      <c r="IBX132" s="21"/>
      <c r="IBY132" s="21"/>
      <c r="IBZ132" s="21"/>
      <c r="ICA132" s="20"/>
      <c r="ICB132" s="20"/>
      <c r="ICC132" s="20"/>
      <c r="ICD132" s="20"/>
      <c r="ICE132" s="21"/>
      <c r="ICF132" s="21"/>
      <c r="ICG132" s="7"/>
      <c r="ICH132" s="7"/>
      <c r="ICI132" s="21"/>
      <c r="ICJ132" s="20"/>
      <c r="ICK132" s="20"/>
      <c r="ICL132" s="20"/>
      <c r="ICM132" s="21"/>
      <c r="ICN132" s="21"/>
      <c r="ICO132" s="21"/>
      <c r="ICP132" s="21"/>
      <c r="ICQ132" s="21"/>
      <c r="ICR132" s="20"/>
      <c r="ICS132" s="20"/>
      <c r="ICT132" s="20"/>
      <c r="ICU132" s="20"/>
      <c r="ICV132" s="21"/>
      <c r="ICW132" s="21"/>
      <c r="ICX132" s="7"/>
      <c r="ICY132" s="7"/>
      <c r="ICZ132" s="21"/>
      <c r="IDA132" s="20"/>
      <c r="IDB132" s="20"/>
      <c r="IDC132" s="20"/>
      <c r="IDD132" s="21"/>
      <c r="IDE132" s="21"/>
      <c r="IDF132" s="21"/>
      <c r="IDG132" s="21"/>
      <c r="IDH132" s="21"/>
      <c r="IDI132" s="20"/>
      <c r="IDJ132" s="20"/>
      <c r="IDK132" s="20"/>
      <c r="IDL132" s="20"/>
      <c r="IDM132" s="21"/>
      <c r="IDN132" s="21"/>
      <c r="IDO132" s="7"/>
      <c r="IDP132" s="7"/>
      <c r="IDQ132" s="21"/>
      <c r="IDR132" s="20"/>
      <c r="IDS132" s="20"/>
      <c r="IDT132" s="20"/>
      <c r="IDU132" s="21"/>
      <c r="IDV132" s="21"/>
      <c r="IDW132" s="21"/>
      <c r="IDX132" s="21"/>
      <c r="IDY132" s="21"/>
      <c r="IDZ132" s="20"/>
      <c r="IEA132" s="20"/>
      <c r="IEB132" s="20"/>
      <c r="IEC132" s="20"/>
      <c r="IED132" s="21"/>
      <c r="IEE132" s="21"/>
      <c r="IEF132" s="7"/>
      <c r="IEG132" s="7"/>
      <c r="IEH132" s="21"/>
      <c r="IEI132" s="20"/>
      <c r="IEJ132" s="20"/>
      <c r="IEK132" s="20"/>
      <c r="IEL132" s="21"/>
      <c r="IEM132" s="21"/>
      <c r="IEN132" s="21"/>
      <c r="IEO132" s="21"/>
      <c r="IEP132" s="21"/>
      <c r="IEQ132" s="20"/>
      <c r="IER132" s="20"/>
      <c r="IES132" s="20"/>
      <c r="IET132" s="20"/>
      <c r="IEU132" s="21"/>
      <c r="IEV132" s="21"/>
      <c r="IEW132" s="7"/>
      <c r="IEX132" s="7"/>
      <c r="IEY132" s="21"/>
      <c r="IEZ132" s="20"/>
      <c r="IFA132" s="20"/>
      <c r="IFB132" s="20"/>
      <c r="IFC132" s="21"/>
      <c r="IFD132" s="21"/>
      <c r="IFE132" s="21"/>
      <c r="IFF132" s="21"/>
      <c r="IFG132" s="21"/>
      <c r="IFH132" s="20"/>
      <c r="IFI132" s="20"/>
      <c r="IFJ132" s="20"/>
      <c r="IFK132" s="20"/>
      <c r="IFL132" s="21"/>
      <c r="IFM132" s="21"/>
      <c r="IFN132" s="7"/>
      <c r="IFO132" s="7"/>
      <c r="IFP132" s="21"/>
      <c r="IFQ132" s="20"/>
      <c r="IFR132" s="20"/>
      <c r="IFS132" s="20"/>
      <c r="IFT132" s="21"/>
      <c r="IFU132" s="21"/>
      <c r="IFV132" s="21"/>
      <c r="IFW132" s="21"/>
      <c r="IFX132" s="21"/>
      <c r="IFY132" s="20"/>
      <c r="IFZ132" s="20"/>
      <c r="IGA132" s="20"/>
      <c r="IGB132" s="20"/>
      <c r="IGC132" s="21"/>
      <c r="IGD132" s="21"/>
      <c r="IGE132" s="7"/>
      <c r="IGF132" s="7"/>
      <c r="IGG132" s="21"/>
      <c r="IGH132" s="20"/>
      <c r="IGI132" s="20"/>
      <c r="IGJ132" s="20"/>
      <c r="IGK132" s="21"/>
      <c r="IGL132" s="21"/>
      <c r="IGM132" s="21"/>
      <c r="IGN132" s="21"/>
      <c r="IGO132" s="21"/>
      <c r="IGP132" s="20"/>
      <c r="IGQ132" s="20"/>
      <c r="IGR132" s="20"/>
      <c r="IGS132" s="20"/>
      <c r="IGT132" s="21"/>
      <c r="IGU132" s="21"/>
      <c r="IGV132" s="7"/>
      <c r="IGW132" s="7"/>
      <c r="IGX132" s="21"/>
      <c r="IGY132" s="20"/>
      <c r="IGZ132" s="20"/>
      <c r="IHA132" s="20"/>
      <c r="IHB132" s="21"/>
      <c r="IHC132" s="21"/>
      <c r="IHD132" s="21"/>
      <c r="IHE132" s="21"/>
      <c r="IHF132" s="21"/>
      <c r="IHG132" s="20"/>
      <c r="IHH132" s="20"/>
      <c r="IHI132" s="20"/>
      <c r="IHJ132" s="20"/>
      <c r="IHK132" s="21"/>
      <c r="IHL132" s="21"/>
      <c r="IHM132" s="7"/>
      <c r="IHN132" s="7"/>
      <c r="IHO132" s="21"/>
      <c r="IHP132" s="20"/>
      <c r="IHQ132" s="20"/>
      <c r="IHR132" s="20"/>
      <c r="IHS132" s="21"/>
      <c r="IHT132" s="21"/>
      <c r="IHU132" s="21"/>
      <c r="IHV132" s="21"/>
      <c r="IHW132" s="21"/>
      <c r="IHX132" s="20"/>
      <c r="IHY132" s="20"/>
      <c r="IHZ132" s="20"/>
      <c r="IIA132" s="20"/>
      <c r="IIB132" s="21"/>
      <c r="IIC132" s="21"/>
      <c r="IID132" s="7"/>
      <c r="IIE132" s="7"/>
      <c r="IIF132" s="21"/>
      <c r="IIG132" s="20"/>
      <c r="IIH132" s="20"/>
      <c r="III132" s="20"/>
      <c r="IIJ132" s="21"/>
      <c r="IIK132" s="21"/>
      <c r="IIL132" s="21"/>
      <c r="IIM132" s="21"/>
      <c r="IIN132" s="21"/>
      <c r="IIO132" s="20"/>
      <c r="IIP132" s="20"/>
      <c r="IIQ132" s="20"/>
      <c r="IIR132" s="20"/>
      <c r="IIS132" s="21"/>
      <c r="IIT132" s="21"/>
      <c r="IIU132" s="7"/>
      <c r="IIV132" s="7"/>
      <c r="IIW132" s="21"/>
      <c r="IIX132" s="20"/>
      <c r="IIY132" s="20"/>
      <c r="IIZ132" s="20"/>
      <c r="IJA132" s="21"/>
      <c r="IJB132" s="21"/>
      <c r="IJC132" s="21"/>
      <c r="IJD132" s="21"/>
      <c r="IJE132" s="21"/>
      <c r="IJF132" s="20"/>
      <c r="IJG132" s="20"/>
      <c r="IJH132" s="20"/>
      <c r="IJI132" s="20"/>
      <c r="IJJ132" s="21"/>
      <c r="IJK132" s="21"/>
      <c r="IJL132" s="7"/>
      <c r="IJM132" s="7"/>
      <c r="IJN132" s="21"/>
      <c r="IJO132" s="20"/>
      <c r="IJP132" s="20"/>
      <c r="IJQ132" s="20"/>
      <c r="IJR132" s="21"/>
      <c r="IJS132" s="21"/>
      <c r="IJT132" s="21"/>
      <c r="IJU132" s="21"/>
      <c r="IJV132" s="21"/>
      <c r="IJW132" s="20"/>
      <c r="IJX132" s="20"/>
      <c r="IJY132" s="20"/>
      <c r="IJZ132" s="20"/>
      <c r="IKA132" s="21"/>
      <c r="IKB132" s="21"/>
      <c r="IKC132" s="7"/>
      <c r="IKD132" s="7"/>
      <c r="IKE132" s="21"/>
      <c r="IKF132" s="20"/>
      <c r="IKG132" s="20"/>
      <c r="IKH132" s="20"/>
      <c r="IKI132" s="21"/>
      <c r="IKJ132" s="21"/>
      <c r="IKK132" s="21"/>
      <c r="IKL132" s="21"/>
      <c r="IKM132" s="21"/>
      <c r="IKN132" s="20"/>
      <c r="IKO132" s="20"/>
      <c r="IKP132" s="20"/>
      <c r="IKQ132" s="20"/>
      <c r="IKR132" s="21"/>
      <c r="IKS132" s="21"/>
      <c r="IKT132" s="7"/>
      <c r="IKU132" s="7"/>
      <c r="IKV132" s="21"/>
      <c r="IKW132" s="20"/>
      <c r="IKX132" s="20"/>
      <c r="IKY132" s="20"/>
      <c r="IKZ132" s="21"/>
      <c r="ILA132" s="21"/>
      <c r="ILB132" s="21"/>
      <c r="ILC132" s="21"/>
      <c r="ILD132" s="21"/>
      <c r="ILE132" s="20"/>
      <c r="ILF132" s="20"/>
      <c r="ILG132" s="20"/>
      <c r="ILH132" s="20"/>
      <c r="ILI132" s="21"/>
      <c r="ILJ132" s="21"/>
      <c r="ILK132" s="7"/>
      <c r="ILL132" s="7"/>
      <c r="ILM132" s="21"/>
      <c r="ILN132" s="20"/>
      <c r="ILO132" s="20"/>
      <c r="ILP132" s="20"/>
      <c r="ILQ132" s="21"/>
      <c r="ILR132" s="21"/>
      <c r="ILS132" s="21"/>
      <c r="ILT132" s="21"/>
      <c r="ILU132" s="21"/>
      <c r="ILV132" s="20"/>
      <c r="ILW132" s="20"/>
      <c r="ILX132" s="20"/>
      <c r="ILY132" s="20"/>
      <c r="ILZ132" s="21"/>
      <c r="IMA132" s="21"/>
      <c r="IMB132" s="7"/>
      <c r="IMC132" s="7"/>
      <c r="IMD132" s="21"/>
      <c r="IME132" s="20"/>
      <c r="IMF132" s="20"/>
      <c r="IMG132" s="20"/>
      <c r="IMH132" s="21"/>
      <c r="IMI132" s="21"/>
      <c r="IMJ132" s="21"/>
      <c r="IMK132" s="21"/>
      <c r="IML132" s="21"/>
      <c r="IMM132" s="20"/>
      <c r="IMN132" s="20"/>
      <c r="IMO132" s="20"/>
      <c r="IMP132" s="20"/>
      <c r="IMQ132" s="21"/>
      <c r="IMR132" s="21"/>
      <c r="IMS132" s="7"/>
      <c r="IMT132" s="7"/>
      <c r="IMU132" s="21"/>
      <c r="IMV132" s="20"/>
      <c r="IMW132" s="20"/>
      <c r="IMX132" s="20"/>
      <c r="IMY132" s="21"/>
      <c r="IMZ132" s="21"/>
      <c r="INA132" s="21"/>
      <c r="INB132" s="21"/>
      <c r="INC132" s="21"/>
      <c r="IND132" s="20"/>
      <c r="INE132" s="20"/>
      <c r="INF132" s="20"/>
      <c r="ING132" s="20"/>
      <c r="INH132" s="21"/>
      <c r="INI132" s="21"/>
      <c r="INJ132" s="7"/>
      <c r="INK132" s="7"/>
      <c r="INL132" s="21"/>
      <c r="INM132" s="20"/>
      <c r="INN132" s="20"/>
      <c r="INO132" s="20"/>
      <c r="INP132" s="21"/>
      <c r="INQ132" s="21"/>
      <c r="INR132" s="21"/>
      <c r="INS132" s="21"/>
      <c r="INT132" s="21"/>
      <c r="INU132" s="20"/>
      <c r="INV132" s="20"/>
      <c r="INW132" s="20"/>
      <c r="INX132" s="20"/>
      <c r="INY132" s="21"/>
      <c r="INZ132" s="21"/>
      <c r="IOA132" s="7"/>
      <c r="IOB132" s="7"/>
      <c r="IOC132" s="21"/>
      <c r="IOD132" s="20"/>
      <c r="IOE132" s="20"/>
      <c r="IOF132" s="20"/>
      <c r="IOG132" s="21"/>
      <c r="IOH132" s="21"/>
      <c r="IOI132" s="21"/>
      <c r="IOJ132" s="21"/>
      <c r="IOK132" s="21"/>
      <c r="IOL132" s="20"/>
      <c r="IOM132" s="20"/>
      <c r="ION132" s="20"/>
      <c r="IOO132" s="20"/>
      <c r="IOP132" s="21"/>
      <c r="IOQ132" s="21"/>
      <c r="IOR132" s="7"/>
      <c r="IOS132" s="7"/>
      <c r="IOT132" s="21"/>
      <c r="IOU132" s="20"/>
      <c r="IOV132" s="20"/>
      <c r="IOW132" s="20"/>
      <c r="IOX132" s="21"/>
      <c r="IOY132" s="21"/>
      <c r="IOZ132" s="21"/>
      <c r="IPA132" s="21"/>
      <c r="IPB132" s="21"/>
      <c r="IPC132" s="20"/>
      <c r="IPD132" s="20"/>
      <c r="IPE132" s="20"/>
      <c r="IPF132" s="20"/>
      <c r="IPG132" s="21"/>
      <c r="IPH132" s="21"/>
      <c r="IPI132" s="7"/>
      <c r="IPJ132" s="7"/>
      <c r="IPK132" s="21"/>
      <c r="IPL132" s="20"/>
      <c r="IPM132" s="20"/>
      <c r="IPN132" s="20"/>
      <c r="IPO132" s="21"/>
      <c r="IPP132" s="21"/>
      <c r="IPQ132" s="21"/>
      <c r="IPR132" s="21"/>
      <c r="IPS132" s="21"/>
      <c r="IPT132" s="20"/>
      <c r="IPU132" s="20"/>
      <c r="IPV132" s="20"/>
      <c r="IPW132" s="20"/>
      <c r="IPX132" s="21"/>
      <c r="IPY132" s="21"/>
      <c r="IPZ132" s="7"/>
      <c r="IQA132" s="7"/>
      <c r="IQB132" s="21"/>
      <c r="IQC132" s="20"/>
      <c r="IQD132" s="20"/>
      <c r="IQE132" s="20"/>
      <c r="IQF132" s="21"/>
      <c r="IQG132" s="21"/>
      <c r="IQH132" s="21"/>
      <c r="IQI132" s="21"/>
      <c r="IQJ132" s="21"/>
      <c r="IQK132" s="20"/>
      <c r="IQL132" s="20"/>
      <c r="IQM132" s="20"/>
      <c r="IQN132" s="20"/>
      <c r="IQO132" s="21"/>
      <c r="IQP132" s="21"/>
      <c r="IQQ132" s="7"/>
      <c r="IQR132" s="7"/>
      <c r="IQS132" s="21"/>
      <c r="IQT132" s="20"/>
      <c r="IQU132" s="20"/>
      <c r="IQV132" s="20"/>
      <c r="IQW132" s="21"/>
      <c r="IQX132" s="21"/>
      <c r="IQY132" s="21"/>
      <c r="IQZ132" s="21"/>
      <c r="IRA132" s="21"/>
      <c r="IRB132" s="20"/>
      <c r="IRC132" s="20"/>
      <c r="IRD132" s="20"/>
      <c r="IRE132" s="20"/>
      <c r="IRF132" s="21"/>
      <c r="IRG132" s="21"/>
      <c r="IRH132" s="7"/>
      <c r="IRI132" s="7"/>
      <c r="IRJ132" s="21"/>
      <c r="IRK132" s="20"/>
      <c r="IRL132" s="20"/>
      <c r="IRM132" s="20"/>
      <c r="IRN132" s="21"/>
      <c r="IRO132" s="21"/>
      <c r="IRP132" s="21"/>
      <c r="IRQ132" s="21"/>
      <c r="IRR132" s="21"/>
      <c r="IRS132" s="20"/>
      <c r="IRT132" s="20"/>
      <c r="IRU132" s="20"/>
      <c r="IRV132" s="20"/>
      <c r="IRW132" s="21"/>
      <c r="IRX132" s="21"/>
      <c r="IRY132" s="7"/>
      <c r="IRZ132" s="7"/>
      <c r="ISA132" s="21"/>
      <c r="ISB132" s="20"/>
      <c r="ISC132" s="20"/>
      <c r="ISD132" s="20"/>
      <c r="ISE132" s="21"/>
      <c r="ISF132" s="21"/>
      <c r="ISG132" s="21"/>
      <c r="ISH132" s="21"/>
      <c r="ISI132" s="21"/>
      <c r="ISJ132" s="20"/>
      <c r="ISK132" s="20"/>
      <c r="ISL132" s="20"/>
      <c r="ISM132" s="20"/>
      <c r="ISN132" s="21"/>
      <c r="ISO132" s="21"/>
      <c r="ISP132" s="7"/>
      <c r="ISQ132" s="7"/>
      <c r="ISR132" s="21"/>
      <c r="ISS132" s="20"/>
      <c r="IST132" s="20"/>
      <c r="ISU132" s="20"/>
      <c r="ISV132" s="21"/>
      <c r="ISW132" s="21"/>
      <c r="ISX132" s="21"/>
      <c r="ISY132" s="21"/>
      <c r="ISZ132" s="21"/>
      <c r="ITA132" s="20"/>
      <c r="ITB132" s="20"/>
      <c r="ITC132" s="20"/>
      <c r="ITD132" s="20"/>
      <c r="ITE132" s="21"/>
      <c r="ITF132" s="21"/>
      <c r="ITG132" s="7"/>
      <c r="ITH132" s="7"/>
      <c r="ITI132" s="21"/>
      <c r="ITJ132" s="20"/>
      <c r="ITK132" s="20"/>
      <c r="ITL132" s="20"/>
      <c r="ITM132" s="21"/>
      <c r="ITN132" s="21"/>
      <c r="ITO132" s="21"/>
      <c r="ITP132" s="21"/>
      <c r="ITQ132" s="21"/>
      <c r="ITR132" s="20"/>
      <c r="ITS132" s="20"/>
      <c r="ITT132" s="20"/>
      <c r="ITU132" s="20"/>
      <c r="ITV132" s="21"/>
      <c r="ITW132" s="21"/>
      <c r="ITX132" s="7"/>
      <c r="ITY132" s="7"/>
      <c r="ITZ132" s="21"/>
      <c r="IUA132" s="20"/>
      <c r="IUB132" s="20"/>
      <c r="IUC132" s="20"/>
      <c r="IUD132" s="21"/>
      <c r="IUE132" s="21"/>
      <c r="IUF132" s="21"/>
      <c r="IUG132" s="21"/>
      <c r="IUH132" s="21"/>
      <c r="IUI132" s="20"/>
      <c r="IUJ132" s="20"/>
      <c r="IUK132" s="20"/>
      <c r="IUL132" s="20"/>
      <c r="IUM132" s="21"/>
      <c r="IUN132" s="21"/>
      <c r="IUO132" s="7"/>
      <c r="IUP132" s="7"/>
      <c r="IUQ132" s="21"/>
      <c r="IUR132" s="20"/>
      <c r="IUS132" s="20"/>
      <c r="IUT132" s="20"/>
      <c r="IUU132" s="21"/>
      <c r="IUV132" s="21"/>
      <c r="IUW132" s="21"/>
      <c r="IUX132" s="21"/>
      <c r="IUY132" s="21"/>
      <c r="IUZ132" s="20"/>
      <c r="IVA132" s="20"/>
      <c r="IVB132" s="20"/>
      <c r="IVC132" s="20"/>
      <c r="IVD132" s="21"/>
      <c r="IVE132" s="21"/>
      <c r="IVF132" s="7"/>
      <c r="IVG132" s="7"/>
      <c r="IVH132" s="21"/>
      <c r="IVI132" s="20"/>
      <c r="IVJ132" s="20"/>
      <c r="IVK132" s="20"/>
      <c r="IVL132" s="21"/>
      <c r="IVM132" s="21"/>
      <c r="IVN132" s="21"/>
      <c r="IVO132" s="21"/>
      <c r="IVP132" s="21"/>
      <c r="IVQ132" s="20"/>
      <c r="IVR132" s="20"/>
      <c r="IVS132" s="20"/>
      <c r="IVT132" s="20"/>
      <c r="IVU132" s="21"/>
      <c r="IVV132" s="21"/>
      <c r="IVW132" s="7"/>
      <c r="IVX132" s="7"/>
      <c r="IVY132" s="21"/>
      <c r="IVZ132" s="20"/>
      <c r="IWA132" s="20"/>
      <c r="IWB132" s="20"/>
      <c r="IWC132" s="21"/>
      <c r="IWD132" s="21"/>
      <c r="IWE132" s="21"/>
      <c r="IWF132" s="21"/>
      <c r="IWG132" s="21"/>
      <c r="IWH132" s="20"/>
      <c r="IWI132" s="20"/>
      <c r="IWJ132" s="20"/>
      <c r="IWK132" s="20"/>
      <c r="IWL132" s="21"/>
      <c r="IWM132" s="21"/>
      <c r="IWN132" s="7"/>
      <c r="IWO132" s="7"/>
      <c r="IWP132" s="21"/>
      <c r="IWQ132" s="20"/>
      <c r="IWR132" s="20"/>
      <c r="IWS132" s="20"/>
      <c r="IWT132" s="21"/>
      <c r="IWU132" s="21"/>
      <c r="IWV132" s="21"/>
      <c r="IWW132" s="21"/>
      <c r="IWX132" s="21"/>
      <c r="IWY132" s="20"/>
      <c r="IWZ132" s="20"/>
      <c r="IXA132" s="20"/>
      <c r="IXB132" s="20"/>
      <c r="IXC132" s="21"/>
      <c r="IXD132" s="21"/>
      <c r="IXE132" s="7"/>
      <c r="IXF132" s="7"/>
      <c r="IXG132" s="21"/>
      <c r="IXH132" s="20"/>
      <c r="IXI132" s="20"/>
      <c r="IXJ132" s="20"/>
      <c r="IXK132" s="21"/>
      <c r="IXL132" s="21"/>
      <c r="IXM132" s="21"/>
      <c r="IXN132" s="21"/>
      <c r="IXO132" s="21"/>
      <c r="IXP132" s="20"/>
      <c r="IXQ132" s="20"/>
      <c r="IXR132" s="20"/>
      <c r="IXS132" s="20"/>
      <c r="IXT132" s="21"/>
      <c r="IXU132" s="21"/>
      <c r="IXV132" s="7"/>
      <c r="IXW132" s="7"/>
      <c r="IXX132" s="21"/>
      <c r="IXY132" s="20"/>
      <c r="IXZ132" s="20"/>
      <c r="IYA132" s="20"/>
      <c r="IYB132" s="21"/>
      <c r="IYC132" s="21"/>
      <c r="IYD132" s="21"/>
      <c r="IYE132" s="21"/>
      <c r="IYF132" s="21"/>
      <c r="IYG132" s="20"/>
      <c r="IYH132" s="20"/>
      <c r="IYI132" s="20"/>
      <c r="IYJ132" s="20"/>
      <c r="IYK132" s="21"/>
      <c r="IYL132" s="21"/>
      <c r="IYM132" s="7"/>
      <c r="IYN132" s="7"/>
      <c r="IYO132" s="21"/>
      <c r="IYP132" s="20"/>
      <c r="IYQ132" s="20"/>
      <c r="IYR132" s="20"/>
      <c r="IYS132" s="21"/>
      <c r="IYT132" s="21"/>
      <c r="IYU132" s="21"/>
      <c r="IYV132" s="21"/>
      <c r="IYW132" s="21"/>
      <c r="IYX132" s="20"/>
      <c r="IYY132" s="20"/>
      <c r="IYZ132" s="20"/>
      <c r="IZA132" s="20"/>
      <c r="IZB132" s="21"/>
      <c r="IZC132" s="21"/>
      <c r="IZD132" s="7"/>
      <c r="IZE132" s="7"/>
      <c r="IZF132" s="21"/>
      <c r="IZG132" s="20"/>
      <c r="IZH132" s="20"/>
      <c r="IZI132" s="20"/>
      <c r="IZJ132" s="21"/>
      <c r="IZK132" s="21"/>
      <c r="IZL132" s="21"/>
      <c r="IZM132" s="21"/>
      <c r="IZN132" s="21"/>
      <c r="IZO132" s="20"/>
      <c r="IZP132" s="20"/>
      <c r="IZQ132" s="20"/>
      <c r="IZR132" s="20"/>
      <c r="IZS132" s="21"/>
      <c r="IZT132" s="21"/>
      <c r="IZU132" s="7"/>
      <c r="IZV132" s="7"/>
      <c r="IZW132" s="21"/>
      <c r="IZX132" s="20"/>
      <c r="IZY132" s="20"/>
      <c r="IZZ132" s="20"/>
      <c r="JAA132" s="21"/>
      <c r="JAB132" s="21"/>
      <c r="JAC132" s="21"/>
      <c r="JAD132" s="21"/>
      <c r="JAE132" s="21"/>
      <c r="JAF132" s="20"/>
      <c r="JAG132" s="20"/>
      <c r="JAH132" s="20"/>
      <c r="JAI132" s="20"/>
      <c r="JAJ132" s="21"/>
      <c r="JAK132" s="21"/>
      <c r="JAL132" s="7"/>
      <c r="JAM132" s="7"/>
      <c r="JAN132" s="21"/>
      <c r="JAO132" s="20"/>
      <c r="JAP132" s="20"/>
      <c r="JAQ132" s="20"/>
      <c r="JAR132" s="21"/>
      <c r="JAS132" s="21"/>
      <c r="JAT132" s="21"/>
      <c r="JAU132" s="21"/>
      <c r="JAV132" s="21"/>
      <c r="JAW132" s="20"/>
      <c r="JAX132" s="20"/>
      <c r="JAY132" s="20"/>
      <c r="JAZ132" s="20"/>
      <c r="JBA132" s="21"/>
      <c r="JBB132" s="21"/>
      <c r="JBC132" s="7"/>
      <c r="JBD132" s="7"/>
      <c r="JBE132" s="21"/>
      <c r="JBF132" s="20"/>
      <c r="JBG132" s="20"/>
      <c r="JBH132" s="20"/>
      <c r="JBI132" s="21"/>
      <c r="JBJ132" s="21"/>
      <c r="JBK132" s="21"/>
      <c r="JBL132" s="21"/>
      <c r="JBM132" s="21"/>
      <c r="JBN132" s="20"/>
      <c r="JBO132" s="20"/>
      <c r="JBP132" s="20"/>
      <c r="JBQ132" s="20"/>
      <c r="JBR132" s="21"/>
      <c r="JBS132" s="21"/>
      <c r="JBT132" s="7"/>
      <c r="JBU132" s="7"/>
      <c r="JBV132" s="21"/>
      <c r="JBW132" s="20"/>
      <c r="JBX132" s="20"/>
      <c r="JBY132" s="20"/>
      <c r="JBZ132" s="21"/>
      <c r="JCA132" s="21"/>
      <c r="JCB132" s="21"/>
      <c r="JCC132" s="21"/>
      <c r="JCD132" s="21"/>
      <c r="JCE132" s="20"/>
      <c r="JCF132" s="20"/>
      <c r="JCG132" s="20"/>
      <c r="JCH132" s="20"/>
      <c r="JCI132" s="21"/>
      <c r="JCJ132" s="21"/>
      <c r="JCK132" s="7"/>
      <c r="JCL132" s="7"/>
      <c r="JCM132" s="21"/>
      <c r="JCN132" s="20"/>
      <c r="JCO132" s="20"/>
      <c r="JCP132" s="20"/>
      <c r="JCQ132" s="21"/>
      <c r="JCR132" s="21"/>
      <c r="JCS132" s="21"/>
      <c r="JCT132" s="21"/>
      <c r="JCU132" s="21"/>
      <c r="JCV132" s="20"/>
      <c r="JCW132" s="20"/>
      <c r="JCX132" s="20"/>
      <c r="JCY132" s="20"/>
      <c r="JCZ132" s="21"/>
      <c r="JDA132" s="21"/>
      <c r="JDB132" s="7"/>
      <c r="JDC132" s="7"/>
      <c r="JDD132" s="21"/>
      <c r="JDE132" s="20"/>
      <c r="JDF132" s="20"/>
      <c r="JDG132" s="20"/>
      <c r="JDH132" s="21"/>
      <c r="JDI132" s="21"/>
      <c r="JDJ132" s="21"/>
      <c r="JDK132" s="21"/>
      <c r="JDL132" s="21"/>
      <c r="JDM132" s="20"/>
      <c r="JDN132" s="20"/>
      <c r="JDO132" s="20"/>
      <c r="JDP132" s="20"/>
      <c r="JDQ132" s="21"/>
      <c r="JDR132" s="21"/>
      <c r="JDS132" s="7"/>
      <c r="JDT132" s="7"/>
      <c r="JDU132" s="21"/>
      <c r="JDV132" s="20"/>
      <c r="JDW132" s="20"/>
      <c r="JDX132" s="20"/>
      <c r="JDY132" s="21"/>
      <c r="JDZ132" s="21"/>
      <c r="JEA132" s="21"/>
      <c r="JEB132" s="21"/>
      <c r="JEC132" s="21"/>
      <c r="JED132" s="20"/>
      <c r="JEE132" s="20"/>
      <c r="JEF132" s="20"/>
      <c r="JEG132" s="20"/>
      <c r="JEH132" s="21"/>
      <c r="JEI132" s="21"/>
      <c r="JEJ132" s="7"/>
      <c r="JEK132" s="7"/>
      <c r="JEL132" s="21"/>
      <c r="JEM132" s="20"/>
      <c r="JEN132" s="20"/>
      <c r="JEO132" s="20"/>
      <c r="JEP132" s="21"/>
      <c r="JEQ132" s="21"/>
      <c r="JER132" s="21"/>
      <c r="JES132" s="21"/>
      <c r="JET132" s="21"/>
      <c r="JEU132" s="20"/>
      <c r="JEV132" s="20"/>
      <c r="JEW132" s="20"/>
      <c r="JEX132" s="20"/>
      <c r="JEY132" s="21"/>
      <c r="JEZ132" s="21"/>
      <c r="JFA132" s="7"/>
      <c r="JFB132" s="7"/>
      <c r="JFC132" s="21"/>
      <c r="JFD132" s="20"/>
      <c r="JFE132" s="20"/>
      <c r="JFF132" s="20"/>
      <c r="JFG132" s="21"/>
      <c r="JFH132" s="21"/>
      <c r="JFI132" s="21"/>
      <c r="JFJ132" s="21"/>
      <c r="JFK132" s="21"/>
      <c r="JFL132" s="20"/>
      <c r="JFM132" s="20"/>
      <c r="JFN132" s="20"/>
      <c r="JFO132" s="20"/>
      <c r="JFP132" s="21"/>
      <c r="JFQ132" s="21"/>
      <c r="JFR132" s="7"/>
      <c r="JFS132" s="7"/>
      <c r="JFT132" s="21"/>
      <c r="JFU132" s="20"/>
      <c r="JFV132" s="20"/>
      <c r="JFW132" s="20"/>
      <c r="JFX132" s="21"/>
      <c r="JFY132" s="21"/>
      <c r="JFZ132" s="21"/>
      <c r="JGA132" s="21"/>
      <c r="JGB132" s="21"/>
      <c r="JGC132" s="20"/>
      <c r="JGD132" s="20"/>
      <c r="JGE132" s="20"/>
      <c r="JGF132" s="20"/>
      <c r="JGG132" s="21"/>
      <c r="JGH132" s="21"/>
      <c r="JGI132" s="7"/>
      <c r="JGJ132" s="7"/>
      <c r="JGK132" s="21"/>
      <c r="JGL132" s="20"/>
      <c r="JGM132" s="20"/>
      <c r="JGN132" s="20"/>
      <c r="JGO132" s="21"/>
      <c r="JGP132" s="21"/>
      <c r="JGQ132" s="21"/>
      <c r="JGR132" s="21"/>
      <c r="JGS132" s="21"/>
      <c r="JGT132" s="20"/>
      <c r="JGU132" s="20"/>
      <c r="JGV132" s="20"/>
      <c r="JGW132" s="20"/>
      <c r="JGX132" s="21"/>
      <c r="JGY132" s="21"/>
      <c r="JGZ132" s="7"/>
      <c r="JHA132" s="7"/>
      <c r="JHB132" s="21"/>
      <c r="JHC132" s="20"/>
      <c r="JHD132" s="20"/>
      <c r="JHE132" s="20"/>
      <c r="JHF132" s="21"/>
      <c r="JHG132" s="21"/>
      <c r="JHH132" s="21"/>
      <c r="JHI132" s="21"/>
      <c r="JHJ132" s="21"/>
      <c r="JHK132" s="20"/>
      <c r="JHL132" s="20"/>
      <c r="JHM132" s="20"/>
      <c r="JHN132" s="20"/>
      <c r="JHO132" s="21"/>
      <c r="JHP132" s="21"/>
      <c r="JHQ132" s="7"/>
      <c r="JHR132" s="7"/>
      <c r="JHS132" s="21"/>
      <c r="JHT132" s="20"/>
      <c r="JHU132" s="20"/>
      <c r="JHV132" s="20"/>
      <c r="JHW132" s="21"/>
      <c r="JHX132" s="21"/>
      <c r="JHY132" s="21"/>
      <c r="JHZ132" s="21"/>
      <c r="JIA132" s="21"/>
      <c r="JIB132" s="20"/>
      <c r="JIC132" s="20"/>
      <c r="JID132" s="20"/>
      <c r="JIE132" s="20"/>
      <c r="JIF132" s="21"/>
      <c r="JIG132" s="21"/>
      <c r="JIH132" s="7"/>
      <c r="JII132" s="7"/>
      <c r="JIJ132" s="21"/>
      <c r="JIK132" s="20"/>
      <c r="JIL132" s="20"/>
      <c r="JIM132" s="20"/>
      <c r="JIN132" s="21"/>
      <c r="JIO132" s="21"/>
      <c r="JIP132" s="21"/>
      <c r="JIQ132" s="21"/>
      <c r="JIR132" s="21"/>
      <c r="JIS132" s="20"/>
      <c r="JIT132" s="20"/>
      <c r="JIU132" s="20"/>
      <c r="JIV132" s="20"/>
      <c r="JIW132" s="21"/>
      <c r="JIX132" s="21"/>
      <c r="JIY132" s="7"/>
      <c r="JIZ132" s="7"/>
      <c r="JJA132" s="21"/>
      <c r="JJB132" s="20"/>
      <c r="JJC132" s="20"/>
      <c r="JJD132" s="20"/>
      <c r="JJE132" s="21"/>
      <c r="JJF132" s="21"/>
      <c r="JJG132" s="21"/>
      <c r="JJH132" s="21"/>
      <c r="JJI132" s="21"/>
      <c r="JJJ132" s="20"/>
      <c r="JJK132" s="20"/>
      <c r="JJL132" s="20"/>
      <c r="JJM132" s="20"/>
      <c r="JJN132" s="21"/>
      <c r="JJO132" s="21"/>
      <c r="JJP132" s="7"/>
      <c r="JJQ132" s="7"/>
      <c r="JJR132" s="21"/>
      <c r="JJS132" s="20"/>
      <c r="JJT132" s="20"/>
      <c r="JJU132" s="20"/>
      <c r="JJV132" s="21"/>
      <c r="JJW132" s="21"/>
      <c r="JJX132" s="21"/>
      <c r="JJY132" s="21"/>
      <c r="JJZ132" s="21"/>
      <c r="JKA132" s="20"/>
      <c r="JKB132" s="20"/>
      <c r="JKC132" s="20"/>
      <c r="JKD132" s="20"/>
      <c r="JKE132" s="21"/>
      <c r="JKF132" s="21"/>
      <c r="JKG132" s="7"/>
      <c r="JKH132" s="7"/>
      <c r="JKI132" s="21"/>
      <c r="JKJ132" s="20"/>
      <c r="JKK132" s="20"/>
      <c r="JKL132" s="20"/>
      <c r="JKM132" s="21"/>
      <c r="JKN132" s="21"/>
      <c r="JKO132" s="21"/>
      <c r="JKP132" s="21"/>
      <c r="JKQ132" s="21"/>
      <c r="JKR132" s="20"/>
      <c r="JKS132" s="20"/>
      <c r="JKT132" s="20"/>
      <c r="JKU132" s="20"/>
      <c r="JKV132" s="21"/>
      <c r="JKW132" s="21"/>
      <c r="JKX132" s="7"/>
      <c r="JKY132" s="7"/>
      <c r="JKZ132" s="21"/>
      <c r="JLA132" s="20"/>
      <c r="JLB132" s="20"/>
      <c r="JLC132" s="20"/>
      <c r="JLD132" s="21"/>
      <c r="JLE132" s="21"/>
      <c r="JLF132" s="21"/>
      <c r="JLG132" s="21"/>
      <c r="JLH132" s="21"/>
      <c r="JLI132" s="20"/>
      <c r="JLJ132" s="20"/>
      <c r="JLK132" s="20"/>
      <c r="JLL132" s="20"/>
      <c r="JLM132" s="21"/>
      <c r="JLN132" s="21"/>
      <c r="JLO132" s="7"/>
      <c r="JLP132" s="7"/>
      <c r="JLQ132" s="21"/>
      <c r="JLR132" s="20"/>
      <c r="JLS132" s="20"/>
      <c r="JLT132" s="20"/>
      <c r="JLU132" s="21"/>
      <c r="JLV132" s="21"/>
      <c r="JLW132" s="21"/>
      <c r="JLX132" s="21"/>
      <c r="JLY132" s="21"/>
      <c r="JLZ132" s="20"/>
      <c r="JMA132" s="20"/>
      <c r="JMB132" s="20"/>
      <c r="JMC132" s="20"/>
      <c r="JMD132" s="21"/>
      <c r="JME132" s="21"/>
      <c r="JMF132" s="7"/>
      <c r="JMG132" s="7"/>
      <c r="JMH132" s="21"/>
      <c r="JMI132" s="20"/>
      <c r="JMJ132" s="20"/>
      <c r="JMK132" s="20"/>
      <c r="JML132" s="21"/>
      <c r="JMM132" s="21"/>
      <c r="JMN132" s="21"/>
      <c r="JMO132" s="21"/>
      <c r="JMP132" s="21"/>
      <c r="JMQ132" s="20"/>
      <c r="JMR132" s="20"/>
      <c r="JMS132" s="20"/>
      <c r="JMT132" s="20"/>
      <c r="JMU132" s="21"/>
      <c r="JMV132" s="21"/>
      <c r="JMW132" s="7"/>
      <c r="JMX132" s="7"/>
      <c r="JMY132" s="21"/>
      <c r="JMZ132" s="20"/>
      <c r="JNA132" s="20"/>
      <c r="JNB132" s="20"/>
      <c r="JNC132" s="21"/>
      <c r="JND132" s="21"/>
      <c r="JNE132" s="21"/>
      <c r="JNF132" s="21"/>
      <c r="JNG132" s="21"/>
      <c r="JNH132" s="20"/>
      <c r="JNI132" s="20"/>
      <c r="JNJ132" s="20"/>
      <c r="JNK132" s="20"/>
      <c r="JNL132" s="21"/>
      <c r="JNM132" s="21"/>
      <c r="JNN132" s="7"/>
      <c r="JNO132" s="7"/>
      <c r="JNP132" s="21"/>
      <c r="JNQ132" s="20"/>
      <c r="JNR132" s="20"/>
      <c r="JNS132" s="20"/>
      <c r="JNT132" s="21"/>
      <c r="JNU132" s="21"/>
      <c r="JNV132" s="21"/>
      <c r="JNW132" s="21"/>
      <c r="JNX132" s="21"/>
      <c r="JNY132" s="20"/>
      <c r="JNZ132" s="20"/>
      <c r="JOA132" s="20"/>
      <c r="JOB132" s="20"/>
      <c r="JOC132" s="21"/>
      <c r="JOD132" s="21"/>
      <c r="JOE132" s="7"/>
      <c r="JOF132" s="7"/>
      <c r="JOG132" s="21"/>
      <c r="JOH132" s="20"/>
      <c r="JOI132" s="20"/>
      <c r="JOJ132" s="20"/>
      <c r="JOK132" s="21"/>
      <c r="JOL132" s="21"/>
      <c r="JOM132" s="21"/>
      <c r="JON132" s="21"/>
      <c r="JOO132" s="21"/>
      <c r="JOP132" s="20"/>
      <c r="JOQ132" s="20"/>
      <c r="JOR132" s="20"/>
      <c r="JOS132" s="20"/>
      <c r="JOT132" s="21"/>
      <c r="JOU132" s="21"/>
      <c r="JOV132" s="7"/>
      <c r="JOW132" s="7"/>
      <c r="JOX132" s="21"/>
      <c r="JOY132" s="20"/>
      <c r="JOZ132" s="20"/>
      <c r="JPA132" s="20"/>
      <c r="JPB132" s="21"/>
      <c r="JPC132" s="21"/>
      <c r="JPD132" s="21"/>
      <c r="JPE132" s="21"/>
      <c r="JPF132" s="21"/>
      <c r="JPG132" s="20"/>
      <c r="JPH132" s="20"/>
      <c r="JPI132" s="20"/>
      <c r="JPJ132" s="20"/>
      <c r="JPK132" s="21"/>
      <c r="JPL132" s="21"/>
      <c r="JPM132" s="7"/>
      <c r="JPN132" s="7"/>
      <c r="JPO132" s="21"/>
      <c r="JPP132" s="20"/>
      <c r="JPQ132" s="20"/>
      <c r="JPR132" s="20"/>
      <c r="JPS132" s="21"/>
      <c r="JPT132" s="21"/>
      <c r="JPU132" s="21"/>
      <c r="JPV132" s="21"/>
      <c r="JPW132" s="21"/>
      <c r="JPX132" s="20"/>
      <c r="JPY132" s="20"/>
      <c r="JPZ132" s="20"/>
      <c r="JQA132" s="20"/>
      <c r="JQB132" s="21"/>
      <c r="JQC132" s="21"/>
      <c r="JQD132" s="7"/>
      <c r="JQE132" s="7"/>
      <c r="JQF132" s="21"/>
      <c r="JQG132" s="20"/>
      <c r="JQH132" s="20"/>
      <c r="JQI132" s="20"/>
      <c r="JQJ132" s="21"/>
      <c r="JQK132" s="21"/>
      <c r="JQL132" s="21"/>
      <c r="JQM132" s="21"/>
      <c r="JQN132" s="21"/>
      <c r="JQO132" s="20"/>
      <c r="JQP132" s="20"/>
      <c r="JQQ132" s="20"/>
      <c r="JQR132" s="20"/>
      <c r="JQS132" s="21"/>
      <c r="JQT132" s="21"/>
      <c r="JQU132" s="7"/>
      <c r="JQV132" s="7"/>
      <c r="JQW132" s="21"/>
      <c r="JQX132" s="20"/>
      <c r="JQY132" s="20"/>
      <c r="JQZ132" s="20"/>
      <c r="JRA132" s="21"/>
      <c r="JRB132" s="21"/>
      <c r="JRC132" s="21"/>
      <c r="JRD132" s="21"/>
      <c r="JRE132" s="21"/>
      <c r="JRF132" s="20"/>
      <c r="JRG132" s="20"/>
      <c r="JRH132" s="20"/>
      <c r="JRI132" s="20"/>
      <c r="JRJ132" s="21"/>
      <c r="JRK132" s="21"/>
      <c r="JRL132" s="7"/>
      <c r="JRM132" s="7"/>
      <c r="JRN132" s="21"/>
      <c r="JRO132" s="20"/>
      <c r="JRP132" s="20"/>
      <c r="JRQ132" s="20"/>
      <c r="JRR132" s="21"/>
      <c r="JRS132" s="21"/>
      <c r="JRT132" s="21"/>
      <c r="JRU132" s="21"/>
      <c r="JRV132" s="21"/>
      <c r="JRW132" s="20"/>
      <c r="JRX132" s="20"/>
      <c r="JRY132" s="20"/>
      <c r="JRZ132" s="20"/>
      <c r="JSA132" s="21"/>
      <c r="JSB132" s="21"/>
      <c r="JSC132" s="7"/>
      <c r="JSD132" s="7"/>
      <c r="JSE132" s="21"/>
      <c r="JSF132" s="20"/>
      <c r="JSG132" s="20"/>
      <c r="JSH132" s="20"/>
      <c r="JSI132" s="21"/>
      <c r="JSJ132" s="21"/>
      <c r="JSK132" s="21"/>
      <c r="JSL132" s="21"/>
      <c r="JSM132" s="21"/>
      <c r="JSN132" s="20"/>
      <c r="JSO132" s="20"/>
      <c r="JSP132" s="20"/>
      <c r="JSQ132" s="20"/>
      <c r="JSR132" s="21"/>
      <c r="JSS132" s="21"/>
      <c r="JST132" s="7"/>
      <c r="JSU132" s="7"/>
      <c r="JSV132" s="21"/>
      <c r="JSW132" s="20"/>
      <c r="JSX132" s="20"/>
      <c r="JSY132" s="20"/>
      <c r="JSZ132" s="21"/>
      <c r="JTA132" s="21"/>
      <c r="JTB132" s="21"/>
      <c r="JTC132" s="21"/>
      <c r="JTD132" s="21"/>
      <c r="JTE132" s="20"/>
      <c r="JTF132" s="20"/>
      <c r="JTG132" s="20"/>
      <c r="JTH132" s="20"/>
      <c r="JTI132" s="21"/>
      <c r="JTJ132" s="21"/>
      <c r="JTK132" s="7"/>
      <c r="JTL132" s="7"/>
      <c r="JTM132" s="21"/>
      <c r="JTN132" s="20"/>
      <c r="JTO132" s="20"/>
      <c r="JTP132" s="20"/>
      <c r="JTQ132" s="21"/>
      <c r="JTR132" s="21"/>
      <c r="JTS132" s="21"/>
      <c r="JTT132" s="21"/>
      <c r="JTU132" s="21"/>
      <c r="JTV132" s="20"/>
      <c r="JTW132" s="20"/>
      <c r="JTX132" s="20"/>
      <c r="JTY132" s="20"/>
      <c r="JTZ132" s="21"/>
      <c r="JUA132" s="21"/>
      <c r="JUB132" s="7"/>
      <c r="JUC132" s="7"/>
      <c r="JUD132" s="21"/>
      <c r="JUE132" s="20"/>
      <c r="JUF132" s="20"/>
      <c r="JUG132" s="20"/>
      <c r="JUH132" s="21"/>
      <c r="JUI132" s="21"/>
      <c r="JUJ132" s="21"/>
      <c r="JUK132" s="21"/>
      <c r="JUL132" s="21"/>
      <c r="JUM132" s="20"/>
      <c r="JUN132" s="20"/>
      <c r="JUO132" s="20"/>
      <c r="JUP132" s="20"/>
      <c r="JUQ132" s="21"/>
      <c r="JUR132" s="21"/>
      <c r="JUS132" s="7"/>
      <c r="JUT132" s="7"/>
      <c r="JUU132" s="21"/>
      <c r="JUV132" s="20"/>
      <c r="JUW132" s="20"/>
      <c r="JUX132" s="20"/>
      <c r="JUY132" s="21"/>
      <c r="JUZ132" s="21"/>
      <c r="JVA132" s="21"/>
      <c r="JVB132" s="21"/>
      <c r="JVC132" s="21"/>
      <c r="JVD132" s="20"/>
      <c r="JVE132" s="20"/>
      <c r="JVF132" s="20"/>
      <c r="JVG132" s="20"/>
      <c r="JVH132" s="21"/>
      <c r="JVI132" s="21"/>
      <c r="JVJ132" s="7"/>
      <c r="JVK132" s="7"/>
      <c r="JVL132" s="21"/>
      <c r="JVM132" s="20"/>
      <c r="JVN132" s="20"/>
      <c r="JVO132" s="20"/>
      <c r="JVP132" s="21"/>
      <c r="JVQ132" s="21"/>
      <c r="JVR132" s="21"/>
      <c r="JVS132" s="21"/>
      <c r="JVT132" s="21"/>
      <c r="JVU132" s="20"/>
      <c r="JVV132" s="20"/>
      <c r="JVW132" s="20"/>
      <c r="JVX132" s="20"/>
      <c r="JVY132" s="21"/>
      <c r="JVZ132" s="21"/>
      <c r="JWA132" s="7"/>
      <c r="JWB132" s="7"/>
      <c r="JWC132" s="21"/>
      <c r="JWD132" s="20"/>
      <c r="JWE132" s="20"/>
      <c r="JWF132" s="20"/>
      <c r="JWG132" s="21"/>
      <c r="JWH132" s="21"/>
      <c r="JWI132" s="21"/>
      <c r="JWJ132" s="21"/>
      <c r="JWK132" s="21"/>
      <c r="JWL132" s="20"/>
      <c r="JWM132" s="20"/>
      <c r="JWN132" s="20"/>
      <c r="JWO132" s="20"/>
      <c r="JWP132" s="21"/>
      <c r="JWQ132" s="21"/>
      <c r="JWR132" s="7"/>
      <c r="JWS132" s="7"/>
      <c r="JWT132" s="21"/>
      <c r="JWU132" s="20"/>
      <c r="JWV132" s="20"/>
      <c r="JWW132" s="20"/>
      <c r="JWX132" s="21"/>
      <c r="JWY132" s="21"/>
      <c r="JWZ132" s="21"/>
      <c r="JXA132" s="21"/>
      <c r="JXB132" s="21"/>
      <c r="JXC132" s="20"/>
      <c r="JXD132" s="20"/>
      <c r="JXE132" s="20"/>
      <c r="JXF132" s="20"/>
      <c r="JXG132" s="21"/>
      <c r="JXH132" s="21"/>
      <c r="JXI132" s="7"/>
      <c r="JXJ132" s="7"/>
      <c r="JXK132" s="21"/>
      <c r="JXL132" s="20"/>
      <c r="JXM132" s="20"/>
      <c r="JXN132" s="20"/>
      <c r="JXO132" s="21"/>
      <c r="JXP132" s="21"/>
      <c r="JXQ132" s="21"/>
      <c r="JXR132" s="21"/>
      <c r="JXS132" s="21"/>
      <c r="JXT132" s="20"/>
      <c r="JXU132" s="20"/>
      <c r="JXV132" s="20"/>
      <c r="JXW132" s="20"/>
      <c r="JXX132" s="21"/>
      <c r="JXY132" s="21"/>
      <c r="JXZ132" s="7"/>
      <c r="JYA132" s="7"/>
      <c r="JYB132" s="21"/>
      <c r="JYC132" s="20"/>
      <c r="JYD132" s="20"/>
      <c r="JYE132" s="20"/>
      <c r="JYF132" s="21"/>
      <c r="JYG132" s="21"/>
      <c r="JYH132" s="21"/>
      <c r="JYI132" s="21"/>
      <c r="JYJ132" s="21"/>
      <c r="JYK132" s="20"/>
      <c r="JYL132" s="20"/>
      <c r="JYM132" s="20"/>
      <c r="JYN132" s="20"/>
      <c r="JYO132" s="21"/>
      <c r="JYP132" s="21"/>
      <c r="JYQ132" s="7"/>
      <c r="JYR132" s="7"/>
      <c r="JYS132" s="21"/>
      <c r="JYT132" s="20"/>
      <c r="JYU132" s="20"/>
      <c r="JYV132" s="20"/>
      <c r="JYW132" s="21"/>
      <c r="JYX132" s="21"/>
      <c r="JYY132" s="21"/>
      <c r="JYZ132" s="21"/>
      <c r="JZA132" s="21"/>
      <c r="JZB132" s="20"/>
      <c r="JZC132" s="20"/>
      <c r="JZD132" s="20"/>
      <c r="JZE132" s="20"/>
      <c r="JZF132" s="21"/>
      <c r="JZG132" s="21"/>
      <c r="JZH132" s="7"/>
      <c r="JZI132" s="7"/>
      <c r="JZJ132" s="21"/>
      <c r="JZK132" s="20"/>
      <c r="JZL132" s="20"/>
      <c r="JZM132" s="20"/>
      <c r="JZN132" s="21"/>
      <c r="JZO132" s="21"/>
      <c r="JZP132" s="21"/>
      <c r="JZQ132" s="21"/>
      <c r="JZR132" s="21"/>
      <c r="JZS132" s="20"/>
      <c r="JZT132" s="20"/>
      <c r="JZU132" s="20"/>
      <c r="JZV132" s="20"/>
      <c r="JZW132" s="21"/>
      <c r="JZX132" s="21"/>
      <c r="JZY132" s="7"/>
      <c r="JZZ132" s="7"/>
      <c r="KAA132" s="21"/>
      <c r="KAB132" s="20"/>
      <c r="KAC132" s="20"/>
      <c r="KAD132" s="20"/>
      <c r="KAE132" s="21"/>
      <c r="KAF132" s="21"/>
      <c r="KAG132" s="21"/>
      <c r="KAH132" s="21"/>
      <c r="KAI132" s="21"/>
      <c r="KAJ132" s="20"/>
      <c r="KAK132" s="20"/>
      <c r="KAL132" s="20"/>
      <c r="KAM132" s="20"/>
      <c r="KAN132" s="21"/>
      <c r="KAO132" s="21"/>
      <c r="KAP132" s="7"/>
      <c r="KAQ132" s="7"/>
      <c r="KAR132" s="21"/>
      <c r="KAS132" s="20"/>
      <c r="KAT132" s="20"/>
      <c r="KAU132" s="20"/>
      <c r="KAV132" s="21"/>
      <c r="KAW132" s="21"/>
      <c r="KAX132" s="21"/>
      <c r="KAY132" s="21"/>
      <c r="KAZ132" s="21"/>
      <c r="KBA132" s="20"/>
      <c r="KBB132" s="20"/>
      <c r="KBC132" s="20"/>
      <c r="KBD132" s="20"/>
      <c r="KBE132" s="21"/>
      <c r="KBF132" s="21"/>
      <c r="KBG132" s="7"/>
      <c r="KBH132" s="7"/>
      <c r="KBI132" s="21"/>
      <c r="KBJ132" s="20"/>
      <c r="KBK132" s="20"/>
      <c r="KBL132" s="20"/>
      <c r="KBM132" s="21"/>
      <c r="KBN132" s="21"/>
      <c r="KBO132" s="21"/>
      <c r="KBP132" s="21"/>
      <c r="KBQ132" s="21"/>
      <c r="KBR132" s="20"/>
      <c r="KBS132" s="20"/>
      <c r="KBT132" s="20"/>
      <c r="KBU132" s="20"/>
      <c r="KBV132" s="21"/>
      <c r="KBW132" s="21"/>
      <c r="KBX132" s="7"/>
      <c r="KBY132" s="7"/>
      <c r="KBZ132" s="21"/>
      <c r="KCA132" s="20"/>
      <c r="KCB132" s="20"/>
      <c r="KCC132" s="20"/>
      <c r="KCD132" s="21"/>
      <c r="KCE132" s="21"/>
      <c r="KCF132" s="21"/>
      <c r="KCG132" s="21"/>
      <c r="KCH132" s="21"/>
      <c r="KCI132" s="20"/>
      <c r="KCJ132" s="20"/>
      <c r="KCK132" s="20"/>
      <c r="KCL132" s="20"/>
      <c r="KCM132" s="21"/>
      <c r="KCN132" s="21"/>
      <c r="KCO132" s="7"/>
      <c r="KCP132" s="7"/>
      <c r="KCQ132" s="21"/>
      <c r="KCR132" s="20"/>
      <c r="KCS132" s="20"/>
      <c r="KCT132" s="20"/>
      <c r="KCU132" s="21"/>
      <c r="KCV132" s="21"/>
      <c r="KCW132" s="21"/>
      <c r="KCX132" s="21"/>
      <c r="KCY132" s="21"/>
      <c r="KCZ132" s="20"/>
      <c r="KDA132" s="20"/>
      <c r="KDB132" s="20"/>
      <c r="KDC132" s="20"/>
      <c r="KDD132" s="21"/>
      <c r="KDE132" s="21"/>
      <c r="KDF132" s="7"/>
      <c r="KDG132" s="7"/>
      <c r="KDH132" s="21"/>
      <c r="KDI132" s="20"/>
      <c r="KDJ132" s="20"/>
      <c r="KDK132" s="20"/>
      <c r="KDL132" s="21"/>
      <c r="KDM132" s="21"/>
      <c r="KDN132" s="21"/>
      <c r="KDO132" s="21"/>
      <c r="KDP132" s="21"/>
      <c r="KDQ132" s="20"/>
      <c r="KDR132" s="20"/>
      <c r="KDS132" s="20"/>
      <c r="KDT132" s="20"/>
      <c r="KDU132" s="21"/>
      <c r="KDV132" s="21"/>
      <c r="KDW132" s="7"/>
      <c r="KDX132" s="7"/>
      <c r="KDY132" s="21"/>
      <c r="KDZ132" s="20"/>
      <c r="KEA132" s="20"/>
      <c r="KEB132" s="20"/>
      <c r="KEC132" s="21"/>
      <c r="KED132" s="21"/>
      <c r="KEE132" s="21"/>
      <c r="KEF132" s="21"/>
      <c r="KEG132" s="21"/>
      <c r="KEH132" s="20"/>
      <c r="KEI132" s="20"/>
      <c r="KEJ132" s="20"/>
      <c r="KEK132" s="20"/>
      <c r="KEL132" s="21"/>
      <c r="KEM132" s="21"/>
      <c r="KEN132" s="7"/>
      <c r="KEO132" s="7"/>
      <c r="KEP132" s="21"/>
      <c r="KEQ132" s="20"/>
      <c r="KER132" s="20"/>
      <c r="KES132" s="20"/>
      <c r="KET132" s="21"/>
      <c r="KEU132" s="21"/>
      <c r="KEV132" s="21"/>
      <c r="KEW132" s="21"/>
      <c r="KEX132" s="21"/>
      <c r="KEY132" s="20"/>
      <c r="KEZ132" s="20"/>
      <c r="KFA132" s="20"/>
      <c r="KFB132" s="20"/>
      <c r="KFC132" s="21"/>
      <c r="KFD132" s="21"/>
      <c r="KFE132" s="7"/>
      <c r="KFF132" s="7"/>
      <c r="KFG132" s="21"/>
      <c r="KFH132" s="20"/>
      <c r="KFI132" s="20"/>
      <c r="KFJ132" s="20"/>
      <c r="KFK132" s="21"/>
      <c r="KFL132" s="21"/>
      <c r="KFM132" s="21"/>
      <c r="KFN132" s="21"/>
      <c r="KFO132" s="21"/>
      <c r="KFP132" s="20"/>
      <c r="KFQ132" s="20"/>
      <c r="KFR132" s="20"/>
      <c r="KFS132" s="20"/>
      <c r="KFT132" s="21"/>
      <c r="KFU132" s="21"/>
      <c r="KFV132" s="7"/>
      <c r="KFW132" s="7"/>
      <c r="KFX132" s="21"/>
      <c r="KFY132" s="20"/>
      <c r="KFZ132" s="20"/>
      <c r="KGA132" s="20"/>
      <c r="KGB132" s="21"/>
      <c r="KGC132" s="21"/>
      <c r="KGD132" s="21"/>
      <c r="KGE132" s="21"/>
      <c r="KGF132" s="21"/>
      <c r="KGG132" s="20"/>
      <c r="KGH132" s="20"/>
      <c r="KGI132" s="20"/>
      <c r="KGJ132" s="20"/>
      <c r="KGK132" s="21"/>
      <c r="KGL132" s="21"/>
      <c r="KGM132" s="7"/>
      <c r="KGN132" s="7"/>
      <c r="KGO132" s="21"/>
      <c r="KGP132" s="20"/>
      <c r="KGQ132" s="20"/>
      <c r="KGR132" s="20"/>
      <c r="KGS132" s="21"/>
      <c r="KGT132" s="21"/>
      <c r="KGU132" s="21"/>
      <c r="KGV132" s="21"/>
      <c r="KGW132" s="21"/>
      <c r="KGX132" s="20"/>
      <c r="KGY132" s="20"/>
      <c r="KGZ132" s="20"/>
      <c r="KHA132" s="20"/>
      <c r="KHB132" s="21"/>
      <c r="KHC132" s="21"/>
      <c r="KHD132" s="7"/>
      <c r="KHE132" s="7"/>
      <c r="KHF132" s="21"/>
      <c r="KHG132" s="20"/>
      <c r="KHH132" s="20"/>
      <c r="KHI132" s="20"/>
      <c r="KHJ132" s="21"/>
      <c r="KHK132" s="21"/>
      <c r="KHL132" s="21"/>
      <c r="KHM132" s="21"/>
      <c r="KHN132" s="21"/>
      <c r="KHO132" s="20"/>
      <c r="KHP132" s="20"/>
      <c r="KHQ132" s="20"/>
      <c r="KHR132" s="20"/>
      <c r="KHS132" s="21"/>
      <c r="KHT132" s="21"/>
      <c r="KHU132" s="7"/>
      <c r="KHV132" s="7"/>
      <c r="KHW132" s="21"/>
      <c r="KHX132" s="20"/>
      <c r="KHY132" s="20"/>
      <c r="KHZ132" s="20"/>
      <c r="KIA132" s="21"/>
      <c r="KIB132" s="21"/>
      <c r="KIC132" s="21"/>
      <c r="KID132" s="21"/>
      <c r="KIE132" s="21"/>
      <c r="KIF132" s="20"/>
      <c r="KIG132" s="20"/>
      <c r="KIH132" s="20"/>
      <c r="KII132" s="20"/>
      <c r="KIJ132" s="21"/>
      <c r="KIK132" s="21"/>
      <c r="KIL132" s="7"/>
      <c r="KIM132" s="7"/>
      <c r="KIN132" s="21"/>
      <c r="KIO132" s="20"/>
      <c r="KIP132" s="20"/>
      <c r="KIQ132" s="20"/>
      <c r="KIR132" s="21"/>
      <c r="KIS132" s="21"/>
      <c r="KIT132" s="21"/>
      <c r="KIU132" s="21"/>
      <c r="KIV132" s="21"/>
      <c r="KIW132" s="20"/>
      <c r="KIX132" s="20"/>
      <c r="KIY132" s="20"/>
      <c r="KIZ132" s="20"/>
      <c r="KJA132" s="21"/>
      <c r="KJB132" s="21"/>
      <c r="KJC132" s="7"/>
      <c r="KJD132" s="7"/>
      <c r="KJE132" s="21"/>
      <c r="KJF132" s="20"/>
      <c r="KJG132" s="20"/>
      <c r="KJH132" s="20"/>
      <c r="KJI132" s="21"/>
      <c r="KJJ132" s="21"/>
      <c r="KJK132" s="21"/>
      <c r="KJL132" s="21"/>
      <c r="KJM132" s="21"/>
      <c r="KJN132" s="20"/>
      <c r="KJO132" s="20"/>
      <c r="KJP132" s="20"/>
      <c r="KJQ132" s="20"/>
      <c r="KJR132" s="21"/>
      <c r="KJS132" s="21"/>
      <c r="KJT132" s="7"/>
      <c r="KJU132" s="7"/>
      <c r="KJV132" s="21"/>
      <c r="KJW132" s="20"/>
      <c r="KJX132" s="20"/>
      <c r="KJY132" s="20"/>
      <c r="KJZ132" s="21"/>
      <c r="KKA132" s="21"/>
      <c r="KKB132" s="21"/>
      <c r="KKC132" s="21"/>
      <c r="KKD132" s="21"/>
      <c r="KKE132" s="20"/>
      <c r="KKF132" s="20"/>
      <c r="KKG132" s="20"/>
      <c r="KKH132" s="20"/>
      <c r="KKI132" s="21"/>
      <c r="KKJ132" s="21"/>
      <c r="KKK132" s="7"/>
      <c r="KKL132" s="7"/>
      <c r="KKM132" s="21"/>
      <c r="KKN132" s="20"/>
      <c r="KKO132" s="20"/>
      <c r="KKP132" s="20"/>
      <c r="KKQ132" s="21"/>
      <c r="KKR132" s="21"/>
      <c r="KKS132" s="21"/>
      <c r="KKT132" s="21"/>
      <c r="KKU132" s="21"/>
      <c r="KKV132" s="20"/>
      <c r="KKW132" s="20"/>
      <c r="KKX132" s="20"/>
      <c r="KKY132" s="20"/>
      <c r="KKZ132" s="21"/>
      <c r="KLA132" s="21"/>
      <c r="KLB132" s="7"/>
      <c r="KLC132" s="7"/>
      <c r="KLD132" s="21"/>
      <c r="KLE132" s="20"/>
      <c r="KLF132" s="20"/>
      <c r="KLG132" s="20"/>
      <c r="KLH132" s="21"/>
      <c r="KLI132" s="21"/>
      <c r="KLJ132" s="21"/>
      <c r="KLK132" s="21"/>
      <c r="KLL132" s="21"/>
      <c r="KLM132" s="20"/>
      <c r="KLN132" s="20"/>
      <c r="KLO132" s="20"/>
      <c r="KLP132" s="20"/>
      <c r="KLQ132" s="21"/>
      <c r="KLR132" s="21"/>
      <c r="KLS132" s="7"/>
      <c r="KLT132" s="7"/>
      <c r="KLU132" s="21"/>
      <c r="KLV132" s="20"/>
      <c r="KLW132" s="20"/>
      <c r="KLX132" s="20"/>
      <c r="KLY132" s="21"/>
      <c r="KLZ132" s="21"/>
      <c r="KMA132" s="21"/>
      <c r="KMB132" s="21"/>
      <c r="KMC132" s="21"/>
      <c r="KMD132" s="20"/>
      <c r="KME132" s="20"/>
      <c r="KMF132" s="20"/>
      <c r="KMG132" s="20"/>
      <c r="KMH132" s="21"/>
      <c r="KMI132" s="21"/>
      <c r="KMJ132" s="7"/>
      <c r="KMK132" s="7"/>
      <c r="KML132" s="21"/>
      <c r="KMM132" s="20"/>
      <c r="KMN132" s="20"/>
      <c r="KMO132" s="20"/>
      <c r="KMP132" s="21"/>
      <c r="KMQ132" s="21"/>
      <c r="KMR132" s="21"/>
      <c r="KMS132" s="21"/>
      <c r="KMT132" s="21"/>
      <c r="KMU132" s="20"/>
      <c r="KMV132" s="20"/>
      <c r="KMW132" s="20"/>
      <c r="KMX132" s="20"/>
      <c r="KMY132" s="21"/>
      <c r="KMZ132" s="21"/>
      <c r="KNA132" s="7"/>
      <c r="KNB132" s="7"/>
      <c r="KNC132" s="21"/>
      <c r="KND132" s="20"/>
      <c r="KNE132" s="20"/>
      <c r="KNF132" s="20"/>
      <c r="KNG132" s="21"/>
      <c r="KNH132" s="21"/>
      <c r="KNI132" s="21"/>
      <c r="KNJ132" s="21"/>
      <c r="KNK132" s="21"/>
      <c r="KNL132" s="20"/>
      <c r="KNM132" s="20"/>
      <c r="KNN132" s="20"/>
      <c r="KNO132" s="20"/>
      <c r="KNP132" s="21"/>
      <c r="KNQ132" s="21"/>
      <c r="KNR132" s="7"/>
      <c r="KNS132" s="7"/>
      <c r="KNT132" s="21"/>
      <c r="KNU132" s="20"/>
      <c r="KNV132" s="20"/>
      <c r="KNW132" s="20"/>
      <c r="KNX132" s="21"/>
      <c r="KNY132" s="21"/>
      <c r="KNZ132" s="21"/>
      <c r="KOA132" s="21"/>
      <c r="KOB132" s="21"/>
      <c r="KOC132" s="20"/>
      <c r="KOD132" s="20"/>
      <c r="KOE132" s="20"/>
      <c r="KOF132" s="20"/>
      <c r="KOG132" s="21"/>
      <c r="KOH132" s="21"/>
      <c r="KOI132" s="7"/>
      <c r="KOJ132" s="7"/>
      <c r="KOK132" s="21"/>
      <c r="KOL132" s="20"/>
      <c r="KOM132" s="20"/>
      <c r="KON132" s="20"/>
      <c r="KOO132" s="21"/>
      <c r="KOP132" s="21"/>
      <c r="KOQ132" s="21"/>
      <c r="KOR132" s="21"/>
      <c r="KOS132" s="21"/>
      <c r="KOT132" s="20"/>
      <c r="KOU132" s="20"/>
      <c r="KOV132" s="20"/>
      <c r="KOW132" s="20"/>
      <c r="KOX132" s="21"/>
      <c r="KOY132" s="21"/>
      <c r="KOZ132" s="7"/>
      <c r="KPA132" s="7"/>
      <c r="KPB132" s="21"/>
      <c r="KPC132" s="20"/>
      <c r="KPD132" s="20"/>
      <c r="KPE132" s="20"/>
      <c r="KPF132" s="21"/>
      <c r="KPG132" s="21"/>
      <c r="KPH132" s="21"/>
      <c r="KPI132" s="21"/>
      <c r="KPJ132" s="21"/>
      <c r="KPK132" s="20"/>
      <c r="KPL132" s="20"/>
      <c r="KPM132" s="20"/>
      <c r="KPN132" s="20"/>
      <c r="KPO132" s="21"/>
      <c r="KPP132" s="21"/>
      <c r="KPQ132" s="7"/>
      <c r="KPR132" s="7"/>
      <c r="KPS132" s="21"/>
      <c r="KPT132" s="20"/>
      <c r="KPU132" s="20"/>
      <c r="KPV132" s="20"/>
      <c r="KPW132" s="21"/>
      <c r="KPX132" s="21"/>
      <c r="KPY132" s="21"/>
      <c r="KPZ132" s="21"/>
      <c r="KQA132" s="21"/>
      <c r="KQB132" s="20"/>
      <c r="KQC132" s="20"/>
      <c r="KQD132" s="20"/>
      <c r="KQE132" s="20"/>
      <c r="KQF132" s="21"/>
      <c r="KQG132" s="21"/>
      <c r="KQH132" s="7"/>
      <c r="KQI132" s="7"/>
      <c r="KQJ132" s="21"/>
      <c r="KQK132" s="20"/>
      <c r="KQL132" s="20"/>
      <c r="KQM132" s="20"/>
      <c r="KQN132" s="21"/>
      <c r="KQO132" s="21"/>
      <c r="KQP132" s="21"/>
      <c r="KQQ132" s="21"/>
      <c r="KQR132" s="21"/>
      <c r="KQS132" s="20"/>
      <c r="KQT132" s="20"/>
      <c r="KQU132" s="20"/>
      <c r="KQV132" s="20"/>
      <c r="KQW132" s="21"/>
      <c r="KQX132" s="21"/>
      <c r="KQY132" s="7"/>
      <c r="KQZ132" s="7"/>
      <c r="KRA132" s="21"/>
      <c r="KRB132" s="20"/>
      <c r="KRC132" s="20"/>
      <c r="KRD132" s="20"/>
      <c r="KRE132" s="21"/>
      <c r="KRF132" s="21"/>
      <c r="KRG132" s="21"/>
      <c r="KRH132" s="21"/>
      <c r="KRI132" s="21"/>
      <c r="KRJ132" s="20"/>
      <c r="KRK132" s="20"/>
      <c r="KRL132" s="20"/>
      <c r="KRM132" s="20"/>
      <c r="KRN132" s="21"/>
      <c r="KRO132" s="21"/>
      <c r="KRP132" s="7"/>
      <c r="KRQ132" s="7"/>
      <c r="KRR132" s="21"/>
      <c r="KRS132" s="20"/>
      <c r="KRT132" s="20"/>
      <c r="KRU132" s="20"/>
      <c r="KRV132" s="21"/>
      <c r="KRW132" s="21"/>
      <c r="KRX132" s="21"/>
      <c r="KRY132" s="21"/>
      <c r="KRZ132" s="21"/>
      <c r="KSA132" s="20"/>
      <c r="KSB132" s="20"/>
      <c r="KSC132" s="20"/>
      <c r="KSD132" s="20"/>
      <c r="KSE132" s="21"/>
      <c r="KSF132" s="21"/>
      <c r="KSG132" s="7"/>
      <c r="KSH132" s="7"/>
      <c r="KSI132" s="21"/>
      <c r="KSJ132" s="20"/>
      <c r="KSK132" s="20"/>
      <c r="KSL132" s="20"/>
      <c r="KSM132" s="21"/>
      <c r="KSN132" s="21"/>
      <c r="KSO132" s="21"/>
      <c r="KSP132" s="21"/>
      <c r="KSQ132" s="21"/>
      <c r="KSR132" s="20"/>
      <c r="KSS132" s="20"/>
      <c r="KST132" s="20"/>
      <c r="KSU132" s="20"/>
      <c r="KSV132" s="21"/>
      <c r="KSW132" s="21"/>
      <c r="KSX132" s="7"/>
      <c r="KSY132" s="7"/>
      <c r="KSZ132" s="21"/>
      <c r="KTA132" s="20"/>
      <c r="KTB132" s="20"/>
      <c r="KTC132" s="20"/>
      <c r="KTD132" s="21"/>
      <c r="KTE132" s="21"/>
      <c r="KTF132" s="21"/>
      <c r="KTG132" s="21"/>
      <c r="KTH132" s="21"/>
      <c r="KTI132" s="20"/>
      <c r="KTJ132" s="20"/>
      <c r="KTK132" s="20"/>
      <c r="KTL132" s="20"/>
      <c r="KTM132" s="21"/>
      <c r="KTN132" s="21"/>
      <c r="KTO132" s="7"/>
      <c r="KTP132" s="7"/>
      <c r="KTQ132" s="21"/>
      <c r="KTR132" s="20"/>
      <c r="KTS132" s="20"/>
      <c r="KTT132" s="20"/>
      <c r="KTU132" s="21"/>
      <c r="KTV132" s="21"/>
      <c r="KTW132" s="21"/>
      <c r="KTX132" s="21"/>
      <c r="KTY132" s="21"/>
      <c r="KTZ132" s="20"/>
      <c r="KUA132" s="20"/>
      <c r="KUB132" s="20"/>
      <c r="KUC132" s="20"/>
      <c r="KUD132" s="21"/>
      <c r="KUE132" s="21"/>
      <c r="KUF132" s="7"/>
      <c r="KUG132" s="7"/>
      <c r="KUH132" s="21"/>
      <c r="KUI132" s="20"/>
      <c r="KUJ132" s="20"/>
      <c r="KUK132" s="20"/>
      <c r="KUL132" s="21"/>
      <c r="KUM132" s="21"/>
      <c r="KUN132" s="21"/>
      <c r="KUO132" s="21"/>
      <c r="KUP132" s="21"/>
      <c r="KUQ132" s="20"/>
      <c r="KUR132" s="20"/>
      <c r="KUS132" s="20"/>
      <c r="KUT132" s="20"/>
      <c r="KUU132" s="21"/>
      <c r="KUV132" s="21"/>
      <c r="KUW132" s="7"/>
      <c r="KUX132" s="7"/>
      <c r="KUY132" s="21"/>
      <c r="KUZ132" s="20"/>
      <c r="KVA132" s="20"/>
      <c r="KVB132" s="20"/>
      <c r="KVC132" s="21"/>
      <c r="KVD132" s="21"/>
      <c r="KVE132" s="21"/>
      <c r="KVF132" s="21"/>
      <c r="KVG132" s="21"/>
      <c r="KVH132" s="20"/>
      <c r="KVI132" s="20"/>
      <c r="KVJ132" s="20"/>
      <c r="KVK132" s="20"/>
      <c r="KVL132" s="21"/>
      <c r="KVM132" s="21"/>
      <c r="KVN132" s="7"/>
      <c r="KVO132" s="7"/>
      <c r="KVP132" s="21"/>
      <c r="KVQ132" s="20"/>
      <c r="KVR132" s="20"/>
      <c r="KVS132" s="20"/>
      <c r="KVT132" s="21"/>
      <c r="KVU132" s="21"/>
      <c r="KVV132" s="21"/>
      <c r="KVW132" s="21"/>
      <c r="KVX132" s="21"/>
      <c r="KVY132" s="20"/>
      <c r="KVZ132" s="20"/>
      <c r="KWA132" s="20"/>
      <c r="KWB132" s="20"/>
      <c r="KWC132" s="21"/>
      <c r="KWD132" s="21"/>
      <c r="KWE132" s="7"/>
      <c r="KWF132" s="7"/>
      <c r="KWG132" s="21"/>
      <c r="KWH132" s="20"/>
      <c r="KWI132" s="20"/>
      <c r="KWJ132" s="20"/>
      <c r="KWK132" s="21"/>
      <c r="KWL132" s="21"/>
      <c r="KWM132" s="21"/>
      <c r="KWN132" s="21"/>
      <c r="KWO132" s="21"/>
      <c r="KWP132" s="20"/>
      <c r="KWQ132" s="20"/>
      <c r="KWR132" s="20"/>
      <c r="KWS132" s="20"/>
      <c r="KWT132" s="21"/>
      <c r="KWU132" s="21"/>
      <c r="KWV132" s="7"/>
      <c r="KWW132" s="7"/>
      <c r="KWX132" s="21"/>
      <c r="KWY132" s="20"/>
      <c r="KWZ132" s="20"/>
      <c r="KXA132" s="20"/>
      <c r="KXB132" s="21"/>
      <c r="KXC132" s="21"/>
      <c r="KXD132" s="21"/>
      <c r="KXE132" s="21"/>
      <c r="KXF132" s="21"/>
      <c r="KXG132" s="20"/>
      <c r="KXH132" s="20"/>
      <c r="KXI132" s="20"/>
      <c r="KXJ132" s="20"/>
      <c r="KXK132" s="21"/>
      <c r="KXL132" s="21"/>
      <c r="KXM132" s="7"/>
      <c r="KXN132" s="7"/>
      <c r="KXO132" s="21"/>
      <c r="KXP132" s="20"/>
      <c r="KXQ132" s="20"/>
      <c r="KXR132" s="20"/>
      <c r="KXS132" s="21"/>
      <c r="KXT132" s="21"/>
      <c r="KXU132" s="21"/>
      <c r="KXV132" s="21"/>
      <c r="KXW132" s="21"/>
      <c r="KXX132" s="20"/>
      <c r="KXY132" s="20"/>
      <c r="KXZ132" s="20"/>
      <c r="KYA132" s="20"/>
      <c r="KYB132" s="21"/>
      <c r="KYC132" s="21"/>
      <c r="KYD132" s="7"/>
      <c r="KYE132" s="7"/>
      <c r="KYF132" s="21"/>
      <c r="KYG132" s="20"/>
      <c r="KYH132" s="20"/>
      <c r="KYI132" s="20"/>
      <c r="KYJ132" s="21"/>
      <c r="KYK132" s="21"/>
      <c r="KYL132" s="21"/>
      <c r="KYM132" s="21"/>
      <c r="KYN132" s="21"/>
      <c r="KYO132" s="20"/>
      <c r="KYP132" s="20"/>
      <c r="KYQ132" s="20"/>
      <c r="KYR132" s="20"/>
      <c r="KYS132" s="21"/>
      <c r="KYT132" s="21"/>
      <c r="KYU132" s="7"/>
      <c r="KYV132" s="7"/>
      <c r="KYW132" s="21"/>
      <c r="KYX132" s="20"/>
      <c r="KYY132" s="20"/>
      <c r="KYZ132" s="20"/>
      <c r="KZA132" s="21"/>
      <c r="KZB132" s="21"/>
      <c r="KZC132" s="21"/>
      <c r="KZD132" s="21"/>
      <c r="KZE132" s="21"/>
      <c r="KZF132" s="20"/>
      <c r="KZG132" s="20"/>
      <c r="KZH132" s="20"/>
      <c r="KZI132" s="20"/>
      <c r="KZJ132" s="21"/>
      <c r="KZK132" s="21"/>
      <c r="KZL132" s="7"/>
      <c r="KZM132" s="7"/>
      <c r="KZN132" s="21"/>
      <c r="KZO132" s="20"/>
      <c r="KZP132" s="20"/>
      <c r="KZQ132" s="20"/>
      <c r="KZR132" s="21"/>
      <c r="KZS132" s="21"/>
      <c r="KZT132" s="21"/>
      <c r="KZU132" s="21"/>
      <c r="KZV132" s="21"/>
      <c r="KZW132" s="20"/>
      <c r="KZX132" s="20"/>
      <c r="KZY132" s="20"/>
      <c r="KZZ132" s="20"/>
      <c r="LAA132" s="21"/>
      <c r="LAB132" s="21"/>
      <c r="LAC132" s="7"/>
      <c r="LAD132" s="7"/>
      <c r="LAE132" s="21"/>
      <c r="LAF132" s="20"/>
      <c r="LAG132" s="20"/>
      <c r="LAH132" s="20"/>
      <c r="LAI132" s="21"/>
      <c r="LAJ132" s="21"/>
      <c r="LAK132" s="21"/>
      <c r="LAL132" s="21"/>
      <c r="LAM132" s="21"/>
      <c r="LAN132" s="20"/>
      <c r="LAO132" s="20"/>
      <c r="LAP132" s="20"/>
      <c r="LAQ132" s="20"/>
      <c r="LAR132" s="21"/>
      <c r="LAS132" s="21"/>
      <c r="LAT132" s="7"/>
      <c r="LAU132" s="7"/>
      <c r="LAV132" s="21"/>
      <c r="LAW132" s="20"/>
      <c r="LAX132" s="20"/>
      <c r="LAY132" s="20"/>
      <c r="LAZ132" s="21"/>
      <c r="LBA132" s="21"/>
      <c r="LBB132" s="21"/>
      <c r="LBC132" s="21"/>
      <c r="LBD132" s="21"/>
      <c r="LBE132" s="20"/>
      <c r="LBF132" s="20"/>
      <c r="LBG132" s="20"/>
      <c r="LBH132" s="20"/>
      <c r="LBI132" s="21"/>
      <c r="LBJ132" s="21"/>
      <c r="LBK132" s="7"/>
      <c r="LBL132" s="7"/>
      <c r="LBM132" s="21"/>
      <c r="LBN132" s="20"/>
      <c r="LBO132" s="20"/>
      <c r="LBP132" s="20"/>
      <c r="LBQ132" s="21"/>
      <c r="LBR132" s="21"/>
      <c r="LBS132" s="21"/>
      <c r="LBT132" s="21"/>
      <c r="LBU132" s="21"/>
      <c r="LBV132" s="20"/>
      <c r="LBW132" s="20"/>
      <c r="LBX132" s="20"/>
      <c r="LBY132" s="20"/>
      <c r="LBZ132" s="21"/>
      <c r="LCA132" s="21"/>
      <c r="LCB132" s="7"/>
      <c r="LCC132" s="7"/>
      <c r="LCD132" s="21"/>
      <c r="LCE132" s="20"/>
      <c r="LCF132" s="20"/>
      <c r="LCG132" s="20"/>
      <c r="LCH132" s="21"/>
      <c r="LCI132" s="21"/>
      <c r="LCJ132" s="21"/>
      <c r="LCK132" s="21"/>
      <c r="LCL132" s="21"/>
      <c r="LCM132" s="20"/>
      <c r="LCN132" s="20"/>
      <c r="LCO132" s="20"/>
      <c r="LCP132" s="20"/>
      <c r="LCQ132" s="21"/>
      <c r="LCR132" s="21"/>
      <c r="LCS132" s="7"/>
      <c r="LCT132" s="7"/>
      <c r="LCU132" s="21"/>
      <c r="LCV132" s="20"/>
      <c r="LCW132" s="20"/>
      <c r="LCX132" s="20"/>
      <c r="LCY132" s="21"/>
      <c r="LCZ132" s="21"/>
      <c r="LDA132" s="21"/>
      <c r="LDB132" s="21"/>
      <c r="LDC132" s="21"/>
      <c r="LDD132" s="20"/>
      <c r="LDE132" s="20"/>
      <c r="LDF132" s="20"/>
      <c r="LDG132" s="20"/>
      <c r="LDH132" s="21"/>
      <c r="LDI132" s="21"/>
      <c r="LDJ132" s="7"/>
      <c r="LDK132" s="7"/>
      <c r="LDL132" s="21"/>
      <c r="LDM132" s="20"/>
      <c r="LDN132" s="20"/>
      <c r="LDO132" s="20"/>
      <c r="LDP132" s="21"/>
      <c r="LDQ132" s="21"/>
      <c r="LDR132" s="21"/>
      <c r="LDS132" s="21"/>
      <c r="LDT132" s="21"/>
      <c r="LDU132" s="20"/>
      <c r="LDV132" s="20"/>
      <c r="LDW132" s="20"/>
      <c r="LDX132" s="20"/>
      <c r="LDY132" s="21"/>
      <c r="LDZ132" s="21"/>
      <c r="LEA132" s="7"/>
      <c r="LEB132" s="7"/>
      <c r="LEC132" s="21"/>
      <c r="LED132" s="20"/>
      <c r="LEE132" s="20"/>
      <c r="LEF132" s="20"/>
      <c r="LEG132" s="21"/>
      <c r="LEH132" s="21"/>
      <c r="LEI132" s="21"/>
      <c r="LEJ132" s="21"/>
      <c r="LEK132" s="21"/>
      <c r="LEL132" s="20"/>
      <c r="LEM132" s="20"/>
      <c r="LEN132" s="20"/>
      <c r="LEO132" s="20"/>
      <c r="LEP132" s="21"/>
      <c r="LEQ132" s="21"/>
      <c r="LER132" s="7"/>
      <c r="LES132" s="7"/>
      <c r="LET132" s="21"/>
      <c r="LEU132" s="20"/>
      <c r="LEV132" s="20"/>
      <c r="LEW132" s="20"/>
      <c r="LEX132" s="21"/>
      <c r="LEY132" s="21"/>
      <c r="LEZ132" s="21"/>
      <c r="LFA132" s="21"/>
      <c r="LFB132" s="21"/>
      <c r="LFC132" s="20"/>
      <c r="LFD132" s="20"/>
      <c r="LFE132" s="20"/>
      <c r="LFF132" s="20"/>
      <c r="LFG132" s="21"/>
      <c r="LFH132" s="21"/>
      <c r="LFI132" s="7"/>
      <c r="LFJ132" s="7"/>
      <c r="LFK132" s="21"/>
      <c r="LFL132" s="20"/>
      <c r="LFM132" s="20"/>
      <c r="LFN132" s="20"/>
      <c r="LFO132" s="21"/>
      <c r="LFP132" s="21"/>
      <c r="LFQ132" s="21"/>
      <c r="LFR132" s="21"/>
      <c r="LFS132" s="21"/>
      <c r="LFT132" s="20"/>
      <c r="LFU132" s="20"/>
      <c r="LFV132" s="20"/>
      <c r="LFW132" s="20"/>
      <c r="LFX132" s="21"/>
      <c r="LFY132" s="21"/>
      <c r="LFZ132" s="7"/>
      <c r="LGA132" s="7"/>
      <c r="LGB132" s="21"/>
      <c r="LGC132" s="20"/>
      <c r="LGD132" s="20"/>
      <c r="LGE132" s="20"/>
      <c r="LGF132" s="21"/>
      <c r="LGG132" s="21"/>
      <c r="LGH132" s="21"/>
      <c r="LGI132" s="21"/>
      <c r="LGJ132" s="21"/>
      <c r="LGK132" s="20"/>
      <c r="LGL132" s="20"/>
      <c r="LGM132" s="20"/>
      <c r="LGN132" s="20"/>
      <c r="LGO132" s="21"/>
      <c r="LGP132" s="21"/>
      <c r="LGQ132" s="7"/>
      <c r="LGR132" s="7"/>
      <c r="LGS132" s="21"/>
      <c r="LGT132" s="20"/>
      <c r="LGU132" s="20"/>
      <c r="LGV132" s="20"/>
      <c r="LGW132" s="21"/>
      <c r="LGX132" s="21"/>
      <c r="LGY132" s="21"/>
      <c r="LGZ132" s="21"/>
      <c r="LHA132" s="21"/>
      <c r="LHB132" s="20"/>
      <c r="LHC132" s="20"/>
      <c r="LHD132" s="20"/>
      <c r="LHE132" s="20"/>
      <c r="LHF132" s="21"/>
      <c r="LHG132" s="21"/>
      <c r="LHH132" s="7"/>
      <c r="LHI132" s="7"/>
      <c r="LHJ132" s="21"/>
      <c r="LHK132" s="20"/>
      <c r="LHL132" s="20"/>
      <c r="LHM132" s="20"/>
      <c r="LHN132" s="21"/>
      <c r="LHO132" s="21"/>
      <c r="LHP132" s="21"/>
      <c r="LHQ132" s="21"/>
      <c r="LHR132" s="21"/>
      <c r="LHS132" s="20"/>
      <c r="LHT132" s="20"/>
      <c r="LHU132" s="20"/>
      <c r="LHV132" s="20"/>
      <c r="LHW132" s="21"/>
      <c r="LHX132" s="21"/>
      <c r="LHY132" s="7"/>
      <c r="LHZ132" s="7"/>
      <c r="LIA132" s="21"/>
      <c r="LIB132" s="20"/>
      <c r="LIC132" s="20"/>
      <c r="LID132" s="20"/>
      <c r="LIE132" s="21"/>
      <c r="LIF132" s="21"/>
      <c r="LIG132" s="21"/>
      <c r="LIH132" s="21"/>
      <c r="LII132" s="21"/>
      <c r="LIJ132" s="20"/>
      <c r="LIK132" s="20"/>
      <c r="LIL132" s="20"/>
      <c r="LIM132" s="20"/>
      <c r="LIN132" s="21"/>
      <c r="LIO132" s="21"/>
      <c r="LIP132" s="7"/>
      <c r="LIQ132" s="7"/>
      <c r="LIR132" s="21"/>
      <c r="LIS132" s="20"/>
      <c r="LIT132" s="20"/>
      <c r="LIU132" s="20"/>
      <c r="LIV132" s="21"/>
      <c r="LIW132" s="21"/>
      <c r="LIX132" s="21"/>
      <c r="LIY132" s="21"/>
      <c r="LIZ132" s="21"/>
      <c r="LJA132" s="20"/>
      <c r="LJB132" s="20"/>
      <c r="LJC132" s="20"/>
      <c r="LJD132" s="20"/>
      <c r="LJE132" s="21"/>
      <c r="LJF132" s="21"/>
      <c r="LJG132" s="7"/>
      <c r="LJH132" s="7"/>
      <c r="LJI132" s="21"/>
      <c r="LJJ132" s="20"/>
      <c r="LJK132" s="20"/>
      <c r="LJL132" s="20"/>
      <c r="LJM132" s="21"/>
      <c r="LJN132" s="21"/>
      <c r="LJO132" s="21"/>
      <c r="LJP132" s="21"/>
      <c r="LJQ132" s="21"/>
      <c r="LJR132" s="20"/>
      <c r="LJS132" s="20"/>
      <c r="LJT132" s="20"/>
      <c r="LJU132" s="20"/>
      <c r="LJV132" s="21"/>
      <c r="LJW132" s="21"/>
      <c r="LJX132" s="7"/>
      <c r="LJY132" s="7"/>
      <c r="LJZ132" s="21"/>
      <c r="LKA132" s="20"/>
      <c r="LKB132" s="20"/>
      <c r="LKC132" s="20"/>
      <c r="LKD132" s="21"/>
      <c r="LKE132" s="21"/>
      <c r="LKF132" s="21"/>
      <c r="LKG132" s="21"/>
      <c r="LKH132" s="21"/>
      <c r="LKI132" s="20"/>
      <c r="LKJ132" s="20"/>
      <c r="LKK132" s="20"/>
      <c r="LKL132" s="20"/>
      <c r="LKM132" s="21"/>
      <c r="LKN132" s="21"/>
      <c r="LKO132" s="7"/>
      <c r="LKP132" s="7"/>
      <c r="LKQ132" s="21"/>
      <c r="LKR132" s="20"/>
      <c r="LKS132" s="20"/>
      <c r="LKT132" s="20"/>
      <c r="LKU132" s="21"/>
      <c r="LKV132" s="21"/>
      <c r="LKW132" s="21"/>
      <c r="LKX132" s="21"/>
      <c r="LKY132" s="21"/>
      <c r="LKZ132" s="20"/>
      <c r="LLA132" s="20"/>
      <c r="LLB132" s="20"/>
      <c r="LLC132" s="20"/>
      <c r="LLD132" s="21"/>
      <c r="LLE132" s="21"/>
      <c r="LLF132" s="7"/>
      <c r="LLG132" s="7"/>
      <c r="LLH132" s="21"/>
      <c r="LLI132" s="20"/>
      <c r="LLJ132" s="20"/>
      <c r="LLK132" s="20"/>
      <c r="LLL132" s="21"/>
      <c r="LLM132" s="21"/>
      <c r="LLN132" s="21"/>
      <c r="LLO132" s="21"/>
      <c r="LLP132" s="21"/>
      <c r="LLQ132" s="20"/>
      <c r="LLR132" s="20"/>
      <c r="LLS132" s="20"/>
      <c r="LLT132" s="20"/>
      <c r="LLU132" s="21"/>
      <c r="LLV132" s="21"/>
      <c r="LLW132" s="7"/>
      <c r="LLX132" s="7"/>
      <c r="LLY132" s="21"/>
      <c r="LLZ132" s="20"/>
      <c r="LMA132" s="20"/>
      <c r="LMB132" s="20"/>
      <c r="LMC132" s="21"/>
      <c r="LMD132" s="21"/>
      <c r="LME132" s="21"/>
      <c r="LMF132" s="21"/>
      <c r="LMG132" s="21"/>
      <c r="LMH132" s="20"/>
      <c r="LMI132" s="20"/>
      <c r="LMJ132" s="20"/>
      <c r="LMK132" s="20"/>
      <c r="LML132" s="21"/>
      <c r="LMM132" s="21"/>
      <c r="LMN132" s="7"/>
      <c r="LMO132" s="7"/>
      <c r="LMP132" s="21"/>
      <c r="LMQ132" s="20"/>
      <c r="LMR132" s="20"/>
      <c r="LMS132" s="20"/>
      <c r="LMT132" s="21"/>
      <c r="LMU132" s="21"/>
      <c r="LMV132" s="21"/>
      <c r="LMW132" s="21"/>
      <c r="LMX132" s="21"/>
      <c r="LMY132" s="20"/>
      <c r="LMZ132" s="20"/>
      <c r="LNA132" s="20"/>
      <c r="LNB132" s="20"/>
      <c r="LNC132" s="21"/>
      <c r="LND132" s="21"/>
      <c r="LNE132" s="7"/>
      <c r="LNF132" s="7"/>
      <c r="LNG132" s="21"/>
      <c r="LNH132" s="20"/>
      <c r="LNI132" s="20"/>
      <c r="LNJ132" s="20"/>
      <c r="LNK132" s="21"/>
      <c r="LNL132" s="21"/>
      <c r="LNM132" s="21"/>
      <c r="LNN132" s="21"/>
      <c r="LNO132" s="21"/>
      <c r="LNP132" s="20"/>
      <c r="LNQ132" s="20"/>
      <c r="LNR132" s="20"/>
      <c r="LNS132" s="20"/>
      <c r="LNT132" s="21"/>
      <c r="LNU132" s="21"/>
      <c r="LNV132" s="7"/>
      <c r="LNW132" s="7"/>
      <c r="LNX132" s="21"/>
      <c r="LNY132" s="20"/>
      <c r="LNZ132" s="20"/>
      <c r="LOA132" s="20"/>
      <c r="LOB132" s="21"/>
      <c r="LOC132" s="21"/>
      <c r="LOD132" s="21"/>
      <c r="LOE132" s="21"/>
      <c r="LOF132" s="21"/>
      <c r="LOG132" s="20"/>
      <c r="LOH132" s="20"/>
      <c r="LOI132" s="20"/>
      <c r="LOJ132" s="20"/>
      <c r="LOK132" s="21"/>
      <c r="LOL132" s="21"/>
      <c r="LOM132" s="7"/>
      <c r="LON132" s="7"/>
      <c r="LOO132" s="21"/>
      <c r="LOP132" s="20"/>
      <c r="LOQ132" s="20"/>
      <c r="LOR132" s="20"/>
      <c r="LOS132" s="21"/>
      <c r="LOT132" s="21"/>
      <c r="LOU132" s="21"/>
      <c r="LOV132" s="21"/>
      <c r="LOW132" s="21"/>
      <c r="LOX132" s="20"/>
      <c r="LOY132" s="20"/>
      <c r="LOZ132" s="20"/>
      <c r="LPA132" s="20"/>
      <c r="LPB132" s="21"/>
      <c r="LPC132" s="21"/>
      <c r="LPD132" s="7"/>
      <c r="LPE132" s="7"/>
      <c r="LPF132" s="21"/>
      <c r="LPG132" s="20"/>
      <c r="LPH132" s="20"/>
      <c r="LPI132" s="20"/>
      <c r="LPJ132" s="21"/>
      <c r="LPK132" s="21"/>
      <c r="LPL132" s="21"/>
      <c r="LPM132" s="21"/>
      <c r="LPN132" s="21"/>
      <c r="LPO132" s="20"/>
      <c r="LPP132" s="20"/>
      <c r="LPQ132" s="20"/>
      <c r="LPR132" s="20"/>
      <c r="LPS132" s="21"/>
      <c r="LPT132" s="21"/>
      <c r="LPU132" s="7"/>
      <c r="LPV132" s="7"/>
      <c r="LPW132" s="21"/>
      <c r="LPX132" s="20"/>
      <c r="LPY132" s="20"/>
      <c r="LPZ132" s="20"/>
      <c r="LQA132" s="21"/>
      <c r="LQB132" s="21"/>
      <c r="LQC132" s="21"/>
      <c r="LQD132" s="21"/>
      <c r="LQE132" s="21"/>
      <c r="LQF132" s="20"/>
      <c r="LQG132" s="20"/>
      <c r="LQH132" s="20"/>
      <c r="LQI132" s="20"/>
      <c r="LQJ132" s="21"/>
      <c r="LQK132" s="21"/>
      <c r="LQL132" s="7"/>
      <c r="LQM132" s="7"/>
      <c r="LQN132" s="21"/>
      <c r="LQO132" s="20"/>
      <c r="LQP132" s="20"/>
      <c r="LQQ132" s="20"/>
      <c r="LQR132" s="21"/>
      <c r="LQS132" s="21"/>
      <c r="LQT132" s="21"/>
      <c r="LQU132" s="21"/>
      <c r="LQV132" s="21"/>
      <c r="LQW132" s="20"/>
      <c r="LQX132" s="20"/>
      <c r="LQY132" s="20"/>
      <c r="LQZ132" s="20"/>
      <c r="LRA132" s="21"/>
      <c r="LRB132" s="21"/>
      <c r="LRC132" s="7"/>
      <c r="LRD132" s="7"/>
      <c r="LRE132" s="21"/>
      <c r="LRF132" s="20"/>
      <c r="LRG132" s="20"/>
      <c r="LRH132" s="20"/>
      <c r="LRI132" s="21"/>
      <c r="LRJ132" s="21"/>
      <c r="LRK132" s="21"/>
      <c r="LRL132" s="21"/>
      <c r="LRM132" s="21"/>
      <c r="LRN132" s="20"/>
      <c r="LRO132" s="20"/>
      <c r="LRP132" s="20"/>
      <c r="LRQ132" s="20"/>
      <c r="LRR132" s="21"/>
      <c r="LRS132" s="21"/>
      <c r="LRT132" s="7"/>
      <c r="LRU132" s="7"/>
      <c r="LRV132" s="21"/>
      <c r="LRW132" s="20"/>
      <c r="LRX132" s="20"/>
      <c r="LRY132" s="20"/>
      <c r="LRZ132" s="21"/>
      <c r="LSA132" s="21"/>
      <c r="LSB132" s="21"/>
      <c r="LSC132" s="21"/>
      <c r="LSD132" s="21"/>
      <c r="LSE132" s="20"/>
      <c r="LSF132" s="20"/>
      <c r="LSG132" s="20"/>
      <c r="LSH132" s="20"/>
      <c r="LSI132" s="21"/>
      <c r="LSJ132" s="21"/>
      <c r="LSK132" s="7"/>
      <c r="LSL132" s="7"/>
      <c r="LSM132" s="21"/>
      <c r="LSN132" s="20"/>
      <c r="LSO132" s="20"/>
      <c r="LSP132" s="20"/>
      <c r="LSQ132" s="21"/>
      <c r="LSR132" s="21"/>
      <c r="LSS132" s="21"/>
      <c r="LST132" s="21"/>
      <c r="LSU132" s="21"/>
      <c r="LSV132" s="20"/>
      <c r="LSW132" s="20"/>
      <c r="LSX132" s="20"/>
      <c r="LSY132" s="20"/>
      <c r="LSZ132" s="21"/>
      <c r="LTA132" s="21"/>
      <c r="LTB132" s="7"/>
      <c r="LTC132" s="7"/>
      <c r="LTD132" s="21"/>
      <c r="LTE132" s="20"/>
      <c r="LTF132" s="20"/>
      <c r="LTG132" s="20"/>
      <c r="LTH132" s="21"/>
      <c r="LTI132" s="21"/>
      <c r="LTJ132" s="21"/>
      <c r="LTK132" s="21"/>
      <c r="LTL132" s="21"/>
      <c r="LTM132" s="20"/>
      <c r="LTN132" s="20"/>
      <c r="LTO132" s="20"/>
      <c r="LTP132" s="20"/>
      <c r="LTQ132" s="21"/>
      <c r="LTR132" s="21"/>
      <c r="LTS132" s="7"/>
      <c r="LTT132" s="7"/>
      <c r="LTU132" s="21"/>
      <c r="LTV132" s="20"/>
      <c r="LTW132" s="20"/>
      <c r="LTX132" s="20"/>
      <c r="LTY132" s="21"/>
      <c r="LTZ132" s="21"/>
      <c r="LUA132" s="21"/>
      <c r="LUB132" s="21"/>
      <c r="LUC132" s="21"/>
      <c r="LUD132" s="20"/>
      <c r="LUE132" s="20"/>
      <c r="LUF132" s="20"/>
      <c r="LUG132" s="20"/>
      <c r="LUH132" s="21"/>
      <c r="LUI132" s="21"/>
      <c r="LUJ132" s="7"/>
      <c r="LUK132" s="7"/>
      <c r="LUL132" s="21"/>
      <c r="LUM132" s="20"/>
      <c r="LUN132" s="20"/>
      <c r="LUO132" s="20"/>
      <c r="LUP132" s="21"/>
      <c r="LUQ132" s="21"/>
      <c r="LUR132" s="21"/>
      <c r="LUS132" s="21"/>
      <c r="LUT132" s="21"/>
      <c r="LUU132" s="20"/>
      <c r="LUV132" s="20"/>
      <c r="LUW132" s="20"/>
      <c r="LUX132" s="20"/>
      <c r="LUY132" s="21"/>
      <c r="LUZ132" s="21"/>
      <c r="LVA132" s="7"/>
      <c r="LVB132" s="7"/>
      <c r="LVC132" s="21"/>
      <c r="LVD132" s="20"/>
      <c r="LVE132" s="20"/>
      <c r="LVF132" s="20"/>
      <c r="LVG132" s="21"/>
      <c r="LVH132" s="21"/>
      <c r="LVI132" s="21"/>
      <c r="LVJ132" s="21"/>
      <c r="LVK132" s="21"/>
      <c r="LVL132" s="20"/>
      <c r="LVM132" s="20"/>
      <c r="LVN132" s="20"/>
      <c r="LVO132" s="20"/>
      <c r="LVP132" s="21"/>
      <c r="LVQ132" s="21"/>
      <c r="LVR132" s="7"/>
      <c r="LVS132" s="7"/>
      <c r="LVT132" s="21"/>
      <c r="LVU132" s="20"/>
      <c r="LVV132" s="20"/>
      <c r="LVW132" s="20"/>
      <c r="LVX132" s="21"/>
      <c r="LVY132" s="21"/>
      <c r="LVZ132" s="21"/>
      <c r="LWA132" s="21"/>
      <c r="LWB132" s="21"/>
      <c r="LWC132" s="20"/>
      <c r="LWD132" s="20"/>
      <c r="LWE132" s="20"/>
      <c r="LWF132" s="20"/>
      <c r="LWG132" s="21"/>
      <c r="LWH132" s="21"/>
      <c r="LWI132" s="7"/>
      <c r="LWJ132" s="7"/>
      <c r="LWK132" s="21"/>
      <c r="LWL132" s="20"/>
      <c r="LWM132" s="20"/>
      <c r="LWN132" s="20"/>
      <c r="LWO132" s="21"/>
      <c r="LWP132" s="21"/>
      <c r="LWQ132" s="21"/>
      <c r="LWR132" s="21"/>
      <c r="LWS132" s="21"/>
      <c r="LWT132" s="20"/>
      <c r="LWU132" s="20"/>
      <c r="LWV132" s="20"/>
      <c r="LWW132" s="20"/>
      <c r="LWX132" s="21"/>
      <c r="LWY132" s="21"/>
      <c r="LWZ132" s="7"/>
      <c r="LXA132" s="7"/>
      <c r="LXB132" s="21"/>
      <c r="LXC132" s="20"/>
      <c r="LXD132" s="20"/>
      <c r="LXE132" s="20"/>
      <c r="LXF132" s="21"/>
      <c r="LXG132" s="21"/>
      <c r="LXH132" s="21"/>
      <c r="LXI132" s="21"/>
      <c r="LXJ132" s="21"/>
      <c r="LXK132" s="20"/>
      <c r="LXL132" s="20"/>
      <c r="LXM132" s="20"/>
      <c r="LXN132" s="20"/>
      <c r="LXO132" s="21"/>
      <c r="LXP132" s="21"/>
      <c r="LXQ132" s="7"/>
      <c r="LXR132" s="7"/>
      <c r="LXS132" s="21"/>
      <c r="LXT132" s="20"/>
      <c r="LXU132" s="20"/>
      <c r="LXV132" s="20"/>
      <c r="LXW132" s="21"/>
      <c r="LXX132" s="21"/>
      <c r="LXY132" s="21"/>
      <c r="LXZ132" s="21"/>
      <c r="LYA132" s="21"/>
      <c r="LYB132" s="20"/>
      <c r="LYC132" s="20"/>
      <c r="LYD132" s="20"/>
      <c r="LYE132" s="20"/>
      <c r="LYF132" s="21"/>
      <c r="LYG132" s="21"/>
      <c r="LYH132" s="7"/>
      <c r="LYI132" s="7"/>
      <c r="LYJ132" s="21"/>
      <c r="LYK132" s="20"/>
      <c r="LYL132" s="20"/>
      <c r="LYM132" s="20"/>
      <c r="LYN132" s="21"/>
      <c r="LYO132" s="21"/>
      <c r="LYP132" s="21"/>
      <c r="LYQ132" s="21"/>
      <c r="LYR132" s="21"/>
      <c r="LYS132" s="20"/>
      <c r="LYT132" s="20"/>
      <c r="LYU132" s="20"/>
      <c r="LYV132" s="20"/>
      <c r="LYW132" s="21"/>
      <c r="LYX132" s="21"/>
      <c r="LYY132" s="7"/>
      <c r="LYZ132" s="7"/>
      <c r="LZA132" s="21"/>
      <c r="LZB132" s="20"/>
      <c r="LZC132" s="20"/>
      <c r="LZD132" s="20"/>
      <c r="LZE132" s="21"/>
      <c r="LZF132" s="21"/>
      <c r="LZG132" s="21"/>
      <c r="LZH132" s="21"/>
      <c r="LZI132" s="21"/>
      <c r="LZJ132" s="20"/>
      <c r="LZK132" s="20"/>
      <c r="LZL132" s="20"/>
      <c r="LZM132" s="20"/>
      <c r="LZN132" s="21"/>
      <c r="LZO132" s="21"/>
      <c r="LZP132" s="7"/>
      <c r="LZQ132" s="7"/>
      <c r="LZR132" s="21"/>
      <c r="LZS132" s="20"/>
      <c r="LZT132" s="20"/>
      <c r="LZU132" s="20"/>
      <c r="LZV132" s="21"/>
      <c r="LZW132" s="21"/>
      <c r="LZX132" s="21"/>
      <c r="LZY132" s="21"/>
      <c r="LZZ132" s="21"/>
      <c r="MAA132" s="20"/>
      <c r="MAB132" s="20"/>
      <c r="MAC132" s="20"/>
      <c r="MAD132" s="20"/>
      <c r="MAE132" s="21"/>
      <c r="MAF132" s="21"/>
      <c r="MAG132" s="7"/>
      <c r="MAH132" s="7"/>
      <c r="MAI132" s="21"/>
      <c r="MAJ132" s="20"/>
      <c r="MAK132" s="20"/>
      <c r="MAL132" s="20"/>
      <c r="MAM132" s="21"/>
      <c r="MAN132" s="21"/>
      <c r="MAO132" s="21"/>
      <c r="MAP132" s="21"/>
      <c r="MAQ132" s="21"/>
      <c r="MAR132" s="20"/>
      <c r="MAS132" s="20"/>
      <c r="MAT132" s="20"/>
      <c r="MAU132" s="20"/>
      <c r="MAV132" s="21"/>
      <c r="MAW132" s="21"/>
      <c r="MAX132" s="7"/>
      <c r="MAY132" s="7"/>
      <c r="MAZ132" s="21"/>
      <c r="MBA132" s="20"/>
      <c r="MBB132" s="20"/>
      <c r="MBC132" s="20"/>
      <c r="MBD132" s="21"/>
      <c r="MBE132" s="21"/>
      <c r="MBF132" s="21"/>
      <c r="MBG132" s="21"/>
      <c r="MBH132" s="21"/>
      <c r="MBI132" s="20"/>
      <c r="MBJ132" s="20"/>
      <c r="MBK132" s="20"/>
      <c r="MBL132" s="20"/>
      <c r="MBM132" s="21"/>
      <c r="MBN132" s="21"/>
      <c r="MBO132" s="7"/>
      <c r="MBP132" s="7"/>
      <c r="MBQ132" s="21"/>
      <c r="MBR132" s="20"/>
      <c r="MBS132" s="20"/>
      <c r="MBT132" s="20"/>
      <c r="MBU132" s="21"/>
      <c r="MBV132" s="21"/>
      <c r="MBW132" s="21"/>
      <c r="MBX132" s="21"/>
      <c r="MBY132" s="21"/>
      <c r="MBZ132" s="20"/>
      <c r="MCA132" s="20"/>
      <c r="MCB132" s="20"/>
      <c r="MCC132" s="20"/>
      <c r="MCD132" s="21"/>
      <c r="MCE132" s="21"/>
      <c r="MCF132" s="7"/>
      <c r="MCG132" s="7"/>
      <c r="MCH132" s="21"/>
      <c r="MCI132" s="20"/>
      <c r="MCJ132" s="20"/>
      <c r="MCK132" s="20"/>
      <c r="MCL132" s="21"/>
      <c r="MCM132" s="21"/>
      <c r="MCN132" s="21"/>
      <c r="MCO132" s="21"/>
      <c r="MCP132" s="21"/>
      <c r="MCQ132" s="20"/>
      <c r="MCR132" s="20"/>
      <c r="MCS132" s="20"/>
      <c r="MCT132" s="20"/>
      <c r="MCU132" s="21"/>
      <c r="MCV132" s="21"/>
      <c r="MCW132" s="7"/>
      <c r="MCX132" s="7"/>
      <c r="MCY132" s="21"/>
      <c r="MCZ132" s="20"/>
      <c r="MDA132" s="20"/>
      <c r="MDB132" s="20"/>
      <c r="MDC132" s="21"/>
      <c r="MDD132" s="21"/>
      <c r="MDE132" s="21"/>
      <c r="MDF132" s="21"/>
      <c r="MDG132" s="21"/>
      <c r="MDH132" s="20"/>
      <c r="MDI132" s="20"/>
      <c r="MDJ132" s="20"/>
      <c r="MDK132" s="20"/>
      <c r="MDL132" s="21"/>
      <c r="MDM132" s="21"/>
      <c r="MDN132" s="7"/>
      <c r="MDO132" s="7"/>
      <c r="MDP132" s="21"/>
      <c r="MDQ132" s="20"/>
      <c r="MDR132" s="20"/>
      <c r="MDS132" s="20"/>
      <c r="MDT132" s="21"/>
      <c r="MDU132" s="21"/>
      <c r="MDV132" s="21"/>
      <c r="MDW132" s="21"/>
      <c r="MDX132" s="21"/>
      <c r="MDY132" s="20"/>
      <c r="MDZ132" s="20"/>
      <c r="MEA132" s="20"/>
      <c r="MEB132" s="20"/>
      <c r="MEC132" s="21"/>
      <c r="MED132" s="21"/>
      <c r="MEE132" s="7"/>
      <c r="MEF132" s="7"/>
      <c r="MEG132" s="21"/>
      <c r="MEH132" s="20"/>
      <c r="MEI132" s="20"/>
      <c r="MEJ132" s="20"/>
      <c r="MEK132" s="21"/>
      <c r="MEL132" s="21"/>
      <c r="MEM132" s="21"/>
      <c r="MEN132" s="21"/>
      <c r="MEO132" s="21"/>
      <c r="MEP132" s="20"/>
      <c r="MEQ132" s="20"/>
      <c r="MER132" s="20"/>
      <c r="MES132" s="20"/>
      <c r="MET132" s="21"/>
      <c r="MEU132" s="21"/>
      <c r="MEV132" s="7"/>
      <c r="MEW132" s="7"/>
      <c r="MEX132" s="21"/>
      <c r="MEY132" s="20"/>
      <c r="MEZ132" s="20"/>
      <c r="MFA132" s="20"/>
      <c r="MFB132" s="21"/>
      <c r="MFC132" s="21"/>
      <c r="MFD132" s="21"/>
      <c r="MFE132" s="21"/>
      <c r="MFF132" s="21"/>
      <c r="MFG132" s="20"/>
      <c r="MFH132" s="20"/>
      <c r="MFI132" s="20"/>
      <c r="MFJ132" s="20"/>
      <c r="MFK132" s="21"/>
      <c r="MFL132" s="21"/>
      <c r="MFM132" s="7"/>
      <c r="MFN132" s="7"/>
      <c r="MFO132" s="21"/>
      <c r="MFP132" s="20"/>
      <c r="MFQ132" s="20"/>
      <c r="MFR132" s="20"/>
      <c r="MFS132" s="21"/>
      <c r="MFT132" s="21"/>
      <c r="MFU132" s="21"/>
      <c r="MFV132" s="21"/>
      <c r="MFW132" s="21"/>
      <c r="MFX132" s="20"/>
      <c r="MFY132" s="20"/>
      <c r="MFZ132" s="20"/>
      <c r="MGA132" s="20"/>
      <c r="MGB132" s="21"/>
      <c r="MGC132" s="21"/>
      <c r="MGD132" s="7"/>
      <c r="MGE132" s="7"/>
      <c r="MGF132" s="21"/>
      <c r="MGG132" s="20"/>
      <c r="MGH132" s="20"/>
      <c r="MGI132" s="20"/>
      <c r="MGJ132" s="21"/>
      <c r="MGK132" s="21"/>
      <c r="MGL132" s="21"/>
      <c r="MGM132" s="21"/>
      <c r="MGN132" s="21"/>
      <c r="MGO132" s="20"/>
      <c r="MGP132" s="20"/>
      <c r="MGQ132" s="20"/>
      <c r="MGR132" s="20"/>
      <c r="MGS132" s="21"/>
      <c r="MGT132" s="21"/>
      <c r="MGU132" s="7"/>
      <c r="MGV132" s="7"/>
      <c r="MGW132" s="21"/>
      <c r="MGX132" s="20"/>
      <c r="MGY132" s="20"/>
      <c r="MGZ132" s="20"/>
      <c r="MHA132" s="21"/>
      <c r="MHB132" s="21"/>
      <c r="MHC132" s="21"/>
      <c r="MHD132" s="21"/>
      <c r="MHE132" s="21"/>
      <c r="MHF132" s="20"/>
      <c r="MHG132" s="20"/>
      <c r="MHH132" s="20"/>
      <c r="MHI132" s="20"/>
      <c r="MHJ132" s="21"/>
      <c r="MHK132" s="21"/>
      <c r="MHL132" s="7"/>
      <c r="MHM132" s="7"/>
      <c r="MHN132" s="21"/>
      <c r="MHO132" s="20"/>
      <c r="MHP132" s="20"/>
      <c r="MHQ132" s="20"/>
      <c r="MHR132" s="21"/>
      <c r="MHS132" s="21"/>
      <c r="MHT132" s="21"/>
      <c r="MHU132" s="21"/>
      <c r="MHV132" s="21"/>
      <c r="MHW132" s="20"/>
      <c r="MHX132" s="20"/>
      <c r="MHY132" s="20"/>
      <c r="MHZ132" s="20"/>
      <c r="MIA132" s="21"/>
      <c r="MIB132" s="21"/>
      <c r="MIC132" s="7"/>
      <c r="MID132" s="7"/>
      <c r="MIE132" s="21"/>
      <c r="MIF132" s="20"/>
      <c r="MIG132" s="20"/>
      <c r="MIH132" s="20"/>
      <c r="MII132" s="21"/>
      <c r="MIJ132" s="21"/>
      <c r="MIK132" s="21"/>
      <c r="MIL132" s="21"/>
      <c r="MIM132" s="21"/>
      <c r="MIN132" s="20"/>
      <c r="MIO132" s="20"/>
      <c r="MIP132" s="20"/>
      <c r="MIQ132" s="20"/>
      <c r="MIR132" s="21"/>
      <c r="MIS132" s="21"/>
      <c r="MIT132" s="7"/>
      <c r="MIU132" s="7"/>
      <c r="MIV132" s="21"/>
      <c r="MIW132" s="20"/>
      <c r="MIX132" s="20"/>
      <c r="MIY132" s="20"/>
      <c r="MIZ132" s="21"/>
      <c r="MJA132" s="21"/>
      <c r="MJB132" s="21"/>
      <c r="MJC132" s="21"/>
      <c r="MJD132" s="21"/>
      <c r="MJE132" s="20"/>
      <c r="MJF132" s="20"/>
      <c r="MJG132" s="20"/>
      <c r="MJH132" s="20"/>
      <c r="MJI132" s="21"/>
      <c r="MJJ132" s="21"/>
      <c r="MJK132" s="7"/>
      <c r="MJL132" s="7"/>
      <c r="MJM132" s="21"/>
      <c r="MJN132" s="20"/>
      <c r="MJO132" s="20"/>
      <c r="MJP132" s="20"/>
      <c r="MJQ132" s="21"/>
      <c r="MJR132" s="21"/>
      <c r="MJS132" s="21"/>
      <c r="MJT132" s="21"/>
      <c r="MJU132" s="21"/>
      <c r="MJV132" s="20"/>
      <c r="MJW132" s="20"/>
      <c r="MJX132" s="20"/>
      <c r="MJY132" s="20"/>
      <c r="MJZ132" s="21"/>
      <c r="MKA132" s="21"/>
      <c r="MKB132" s="7"/>
      <c r="MKC132" s="7"/>
      <c r="MKD132" s="21"/>
      <c r="MKE132" s="20"/>
      <c r="MKF132" s="20"/>
      <c r="MKG132" s="20"/>
      <c r="MKH132" s="21"/>
      <c r="MKI132" s="21"/>
      <c r="MKJ132" s="21"/>
      <c r="MKK132" s="21"/>
      <c r="MKL132" s="21"/>
      <c r="MKM132" s="20"/>
      <c r="MKN132" s="20"/>
      <c r="MKO132" s="20"/>
      <c r="MKP132" s="20"/>
      <c r="MKQ132" s="21"/>
      <c r="MKR132" s="21"/>
      <c r="MKS132" s="7"/>
      <c r="MKT132" s="7"/>
      <c r="MKU132" s="21"/>
      <c r="MKV132" s="20"/>
      <c r="MKW132" s="20"/>
      <c r="MKX132" s="20"/>
      <c r="MKY132" s="21"/>
      <c r="MKZ132" s="21"/>
      <c r="MLA132" s="21"/>
      <c r="MLB132" s="21"/>
      <c r="MLC132" s="21"/>
      <c r="MLD132" s="20"/>
      <c r="MLE132" s="20"/>
      <c r="MLF132" s="20"/>
      <c r="MLG132" s="20"/>
      <c r="MLH132" s="21"/>
      <c r="MLI132" s="21"/>
      <c r="MLJ132" s="7"/>
      <c r="MLK132" s="7"/>
      <c r="MLL132" s="21"/>
      <c r="MLM132" s="20"/>
      <c r="MLN132" s="20"/>
      <c r="MLO132" s="20"/>
      <c r="MLP132" s="21"/>
      <c r="MLQ132" s="21"/>
      <c r="MLR132" s="21"/>
      <c r="MLS132" s="21"/>
      <c r="MLT132" s="21"/>
      <c r="MLU132" s="20"/>
      <c r="MLV132" s="20"/>
      <c r="MLW132" s="20"/>
      <c r="MLX132" s="20"/>
      <c r="MLY132" s="21"/>
      <c r="MLZ132" s="21"/>
      <c r="MMA132" s="7"/>
      <c r="MMB132" s="7"/>
      <c r="MMC132" s="21"/>
      <c r="MMD132" s="20"/>
      <c r="MME132" s="20"/>
      <c r="MMF132" s="20"/>
      <c r="MMG132" s="21"/>
      <c r="MMH132" s="21"/>
      <c r="MMI132" s="21"/>
      <c r="MMJ132" s="21"/>
      <c r="MMK132" s="21"/>
      <c r="MML132" s="20"/>
      <c r="MMM132" s="20"/>
      <c r="MMN132" s="20"/>
      <c r="MMO132" s="20"/>
      <c r="MMP132" s="21"/>
      <c r="MMQ132" s="21"/>
      <c r="MMR132" s="7"/>
      <c r="MMS132" s="7"/>
      <c r="MMT132" s="21"/>
      <c r="MMU132" s="20"/>
      <c r="MMV132" s="20"/>
      <c r="MMW132" s="20"/>
      <c r="MMX132" s="21"/>
      <c r="MMY132" s="21"/>
      <c r="MMZ132" s="21"/>
      <c r="MNA132" s="21"/>
      <c r="MNB132" s="21"/>
      <c r="MNC132" s="20"/>
      <c r="MND132" s="20"/>
      <c r="MNE132" s="20"/>
      <c r="MNF132" s="20"/>
      <c r="MNG132" s="21"/>
      <c r="MNH132" s="21"/>
      <c r="MNI132" s="7"/>
      <c r="MNJ132" s="7"/>
      <c r="MNK132" s="21"/>
      <c r="MNL132" s="20"/>
      <c r="MNM132" s="20"/>
      <c r="MNN132" s="20"/>
      <c r="MNO132" s="21"/>
      <c r="MNP132" s="21"/>
      <c r="MNQ132" s="21"/>
      <c r="MNR132" s="21"/>
      <c r="MNS132" s="21"/>
      <c r="MNT132" s="20"/>
      <c r="MNU132" s="20"/>
      <c r="MNV132" s="20"/>
      <c r="MNW132" s="20"/>
      <c r="MNX132" s="21"/>
      <c r="MNY132" s="21"/>
      <c r="MNZ132" s="7"/>
      <c r="MOA132" s="7"/>
      <c r="MOB132" s="21"/>
      <c r="MOC132" s="20"/>
      <c r="MOD132" s="20"/>
      <c r="MOE132" s="20"/>
      <c r="MOF132" s="21"/>
      <c r="MOG132" s="21"/>
      <c r="MOH132" s="21"/>
      <c r="MOI132" s="21"/>
      <c r="MOJ132" s="21"/>
      <c r="MOK132" s="20"/>
      <c r="MOL132" s="20"/>
      <c r="MOM132" s="20"/>
      <c r="MON132" s="20"/>
      <c r="MOO132" s="21"/>
      <c r="MOP132" s="21"/>
      <c r="MOQ132" s="7"/>
      <c r="MOR132" s="7"/>
      <c r="MOS132" s="21"/>
      <c r="MOT132" s="20"/>
      <c r="MOU132" s="20"/>
      <c r="MOV132" s="20"/>
      <c r="MOW132" s="21"/>
      <c r="MOX132" s="21"/>
      <c r="MOY132" s="21"/>
      <c r="MOZ132" s="21"/>
      <c r="MPA132" s="21"/>
      <c r="MPB132" s="20"/>
      <c r="MPC132" s="20"/>
      <c r="MPD132" s="20"/>
      <c r="MPE132" s="20"/>
      <c r="MPF132" s="21"/>
      <c r="MPG132" s="21"/>
      <c r="MPH132" s="7"/>
      <c r="MPI132" s="7"/>
      <c r="MPJ132" s="21"/>
      <c r="MPK132" s="20"/>
      <c r="MPL132" s="20"/>
      <c r="MPM132" s="20"/>
      <c r="MPN132" s="21"/>
      <c r="MPO132" s="21"/>
      <c r="MPP132" s="21"/>
      <c r="MPQ132" s="21"/>
      <c r="MPR132" s="21"/>
      <c r="MPS132" s="20"/>
      <c r="MPT132" s="20"/>
      <c r="MPU132" s="20"/>
      <c r="MPV132" s="20"/>
      <c r="MPW132" s="21"/>
      <c r="MPX132" s="21"/>
      <c r="MPY132" s="7"/>
      <c r="MPZ132" s="7"/>
      <c r="MQA132" s="21"/>
      <c r="MQB132" s="20"/>
      <c r="MQC132" s="20"/>
      <c r="MQD132" s="20"/>
      <c r="MQE132" s="21"/>
      <c r="MQF132" s="21"/>
      <c r="MQG132" s="21"/>
      <c r="MQH132" s="21"/>
      <c r="MQI132" s="21"/>
      <c r="MQJ132" s="20"/>
      <c r="MQK132" s="20"/>
      <c r="MQL132" s="20"/>
      <c r="MQM132" s="20"/>
      <c r="MQN132" s="21"/>
      <c r="MQO132" s="21"/>
      <c r="MQP132" s="7"/>
      <c r="MQQ132" s="7"/>
      <c r="MQR132" s="21"/>
      <c r="MQS132" s="20"/>
      <c r="MQT132" s="20"/>
      <c r="MQU132" s="20"/>
      <c r="MQV132" s="21"/>
      <c r="MQW132" s="21"/>
      <c r="MQX132" s="21"/>
      <c r="MQY132" s="21"/>
      <c r="MQZ132" s="21"/>
      <c r="MRA132" s="20"/>
      <c r="MRB132" s="20"/>
      <c r="MRC132" s="20"/>
      <c r="MRD132" s="20"/>
      <c r="MRE132" s="21"/>
      <c r="MRF132" s="21"/>
      <c r="MRG132" s="7"/>
      <c r="MRH132" s="7"/>
      <c r="MRI132" s="21"/>
      <c r="MRJ132" s="20"/>
      <c r="MRK132" s="20"/>
      <c r="MRL132" s="20"/>
      <c r="MRM132" s="21"/>
      <c r="MRN132" s="21"/>
      <c r="MRO132" s="21"/>
      <c r="MRP132" s="21"/>
      <c r="MRQ132" s="21"/>
      <c r="MRR132" s="20"/>
      <c r="MRS132" s="20"/>
      <c r="MRT132" s="20"/>
      <c r="MRU132" s="20"/>
      <c r="MRV132" s="21"/>
      <c r="MRW132" s="21"/>
      <c r="MRX132" s="7"/>
      <c r="MRY132" s="7"/>
      <c r="MRZ132" s="21"/>
      <c r="MSA132" s="20"/>
      <c r="MSB132" s="20"/>
      <c r="MSC132" s="20"/>
      <c r="MSD132" s="21"/>
      <c r="MSE132" s="21"/>
      <c r="MSF132" s="21"/>
      <c r="MSG132" s="21"/>
      <c r="MSH132" s="21"/>
      <c r="MSI132" s="20"/>
      <c r="MSJ132" s="20"/>
      <c r="MSK132" s="20"/>
      <c r="MSL132" s="20"/>
      <c r="MSM132" s="21"/>
      <c r="MSN132" s="21"/>
      <c r="MSO132" s="7"/>
      <c r="MSP132" s="7"/>
      <c r="MSQ132" s="21"/>
      <c r="MSR132" s="20"/>
      <c r="MSS132" s="20"/>
      <c r="MST132" s="20"/>
      <c r="MSU132" s="21"/>
      <c r="MSV132" s="21"/>
      <c r="MSW132" s="21"/>
      <c r="MSX132" s="21"/>
      <c r="MSY132" s="21"/>
      <c r="MSZ132" s="20"/>
      <c r="MTA132" s="20"/>
      <c r="MTB132" s="20"/>
      <c r="MTC132" s="20"/>
      <c r="MTD132" s="21"/>
      <c r="MTE132" s="21"/>
      <c r="MTF132" s="7"/>
      <c r="MTG132" s="7"/>
      <c r="MTH132" s="21"/>
      <c r="MTI132" s="20"/>
      <c r="MTJ132" s="20"/>
      <c r="MTK132" s="20"/>
      <c r="MTL132" s="21"/>
      <c r="MTM132" s="21"/>
      <c r="MTN132" s="21"/>
      <c r="MTO132" s="21"/>
      <c r="MTP132" s="21"/>
      <c r="MTQ132" s="20"/>
      <c r="MTR132" s="20"/>
      <c r="MTS132" s="20"/>
      <c r="MTT132" s="20"/>
      <c r="MTU132" s="21"/>
      <c r="MTV132" s="21"/>
      <c r="MTW132" s="7"/>
      <c r="MTX132" s="7"/>
      <c r="MTY132" s="21"/>
      <c r="MTZ132" s="20"/>
      <c r="MUA132" s="20"/>
      <c r="MUB132" s="20"/>
      <c r="MUC132" s="21"/>
      <c r="MUD132" s="21"/>
      <c r="MUE132" s="21"/>
      <c r="MUF132" s="21"/>
      <c r="MUG132" s="21"/>
      <c r="MUH132" s="20"/>
      <c r="MUI132" s="20"/>
      <c r="MUJ132" s="20"/>
      <c r="MUK132" s="20"/>
      <c r="MUL132" s="21"/>
      <c r="MUM132" s="21"/>
      <c r="MUN132" s="7"/>
      <c r="MUO132" s="7"/>
      <c r="MUP132" s="21"/>
      <c r="MUQ132" s="20"/>
      <c r="MUR132" s="20"/>
      <c r="MUS132" s="20"/>
      <c r="MUT132" s="21"/>
      <c r="MUU132" s="21"/>
      <c r="MUV132" s="21"/>
      <c r="MUW132" s="21"/>
      <c r="MUX132" s="21"/>
      <c r="MUY132" s="20"/>
      <c r="MUZ132" s="20"/>
      <c r="MVA132" s="20"/>
      <c r="MVB132" s="20"/>
      <c r="MVC132" s="21"/>
      <c r="MVD132" s="21"/>
      <c r="MVE132" s="7"/>
      <c r="MVF132" s="7"/>
      <c r="MVG132" s="21"/>
      <c r="MVH132" s="20"/>
      <c r="MVI132" s="20"/>
      <c r="MVJ132" s="20"/>
      <c r="MVK132" s="21"/>
      <c r="MVL132" s="21"/>
      <c r="MVM132" s="21"/>
      <c r="MVN132" s="21"/>
      <c r="MVO132" s="21"/>
      <c r="MVP132" s="20"/>
      <c r="MVQ132" s="20"/>
      <c r="MVR132" s="20"/>
      <c r="MVS132" s="20"/>
      <c r="MVT132" s="21"/>
      <c r="MVU132" s="21"/>
      <c r="MVV132" s="7"/>
      <c r="MVW132" s="7"/>
      <c r="MVX132" s="21"/>
      <c r="MVY132" s="20"/>
      <c r="MVZ132" s="20"/>
      <c r="MWA132" s="20"/>
      <c r="MWB132" s="21"/>
      <c r="MWC132" s="21"/>
      <c r="MWD132" s="21"/>
      <c r="MWE132" s="21"/>
      <c r="MWF132" s="21"/>
      <c r="MWG132" s="20"/>
      <c r="MWH132" s="20"/>
      <c r="MWI132" s="20"/>
      <c r="MWJ132" s="20"/>
      <c r="MWK132" s="21"/>
      <c r="MWL132" s="21"/>
      <c r="MWM132" s="7"/>
      <c r="MWN132" s="7"/>
      <c r="MWO132" s="21"/>
      <c r="MWP132" s="20"/>
      <c r="MWQ132" s="20"/>
      <c r="MWR132" s="20"/>
      <c r="MWS132" s="21"/>
      <c r="MWT132" s="21"/>
      <c r="MWU132" s="21"/>
      <c r="MWV132" s="21"/>
      <c r="MWW132" s="21"/>
      <c r="MWX132" s="20"/>
      <c r="MWY132" s="20"/>
      <c r="MWZ132" s="20"/>
      <c r="MXA132" s="20"/>
      <c r="MXB132" s="21"/>
      <c r="MXC132" s="21"/>
      <c r="MXD132" s="7"/>
      <c r="MXE132" s="7"/>
      <c r="MXF132" s="21"/>
      <c r="MXG132" s="20"/>
      <c r="MXH132" s="20"/>
      <c r="MXI132" s="20"/>
      <c r="MXJ132" s="21"/>
      <c r="MXK132" s="21"/>
      <c r="MXL132" s="21"/>
      <c r="MXM132" s="21"/>
      <c r="MXN132" s="21"/>
      <c r="MXO132" s="20"/>
      <c r="MXP132" s="20"/>
      <c r="MXQ132" s="20"/>
      <c r="MXR132" s="20"/>
      <c r="MXS132" s="21"/>
      <c r="MXT132" s="21"/>
      <c r="MXU132" s="7"/>
      <c r="MXV132" s="7"/>
      <c r="MXW132" s="21"/>
      <c r="MXX132" s="20"/>
      <c r="MXY132" s="20"/>
      <c r="MXZ132" s="20"/>
      <c r="MYA132" s="21"/>
      <c r="MYB132" s="21"/>
      <c r="MYC132" s="21"/>
      <c r="MYD132" s="21"/>
      <c r="MYE132" s="21"/>
      <c r="MYF132" s="20"/>
      <c r="MYG132" s="20"/>
      <c r="MYH132" s="20"/>
      <c r="MYI132" s="20"/>
      <c r="MYJ132" s="21"/>
      <c r="MYK132" s="21"/>
      <c r="MYL132" s="7"/>
      <c r="MYM132" s="7"/>
      <c r="MYN132" s="21"/>
      <c r="MYO132" s="20"/>
      <c r="MYP132" s="20"/>
      <c r="MYQ132" s="20"/>
      <c r="MYR132" s="21"/>
      <c r="MYS132" s="21"/>
      <c r="MYT132" s="21"/>
      <c r="MYU132" s="21"/>
      <c r="MYV132" s="21"/>
      <c r="MYW132" s="20"/>
      <c r="MYX132" s="20"/>
      <c r="MYY132" s="20"/>
      <c r="MYZ132" s="20"/>
      <c r="MZA132" s="21"/>
      <c r="MZB132" s="21"/>
      <c r="MZC132" s="7"/>
      <c r="MZD132" s="7"/>
      <c r="MZE132" s="21"/>
      <c r="MZF132" s="20"/>
      <c r="MZG132" s="20"/>
      <c r="MZH132" s="20"/>
      <c r="MZI132" s="21"/>
      <c r="MZJ132" s="21"/>
      <c r="MZK132" s="21"/>
      <c r="MZL132" s="21"/>
      <c r="MZM132" s="21"/>
      <c r="MZN132" s="20"/>
      <c r="MZO132" s="20"/>
      <c r="MZP132" s="20"/>
      <c r="MZQ132" s="20"/>
      <c r="MZR132" s="21"/>
      <c r="MZS132" s="21"/>
      <c r="MZT132" s="7"/>
      <c r="MZU132" s="7"/>
      <c r="MZV132" s="21"/>
      <c r="MZW132" s="20"/>
      <c r="MZX132" s="20"/>
      <c r="MZY132" s="20"/>
      <c r="MZZ132" s="21"/>
      <c r="NAA132" s="21"/>
      <c r="NAB132" s="21"/>
      <c r="NAC132" s="21"/>
      <c r="NAD132" s="21"/>
      <c r="NAE132" s="20"/>
      <c r="NAF132" s="20"/>
      <c r="NAG132" s="20"/>
      <c r="NAH132" s="20"/>
      <c r="NAI132" s="21"/>
      <c r="NAJ132" s="21"/>
      <c r="NAK132" s="7"/>
      <c r="NAL132" s="7"/>
      <c r="NAM132" s="21"/>
      <c r="NAN132" s="20"/>
      <c r="NAO132" s="20"/>
      <c r="NAP132" s="20"/>
      <c r="NAQ132" s="21"/>
      <c r="NAR132" s="21"/>
      <c r="NAS132" s="21"/>
      <c r="NAT132" s="21"/>
      <c r="NAU132" s="21"/>
      <c r="NAV132" s="20"/>
      <c r="NAW132" s="20"/>
      <c r="NAX132" s="20"/>
      <c r="NAY132" s="20"/>
      <c r="NAZ132" s="21"/>
      <c r="NBA132" s="21"/>
      <c r="NBB132" s="7"/>
      <c r="NBC132" s="7"/>
      <c r="NBD132" s="21"/>
      <c r="NBE132" s="20"/>
      <c r="NBF132" s="20"/>
      <c r="NBG132" s="20"/>
      <c r="NBH132" s="21"/>
      <c r="NBI132" s="21"/>
      <c r="NBJ132" s="21"/>
      <c r="NBK132" s="21"/>
      <c r="NBL132" s="21"/>
      <c r="NBM132" s="20"/>
      <c r="NBN132" s="20"/>
      <c r="NBO132" s="20"/>
      <c r="NBP132" s="20"/>
      <c r="NBQ132" s="21"/>
      <c r="NBR132" s="21"/>
      <c r="NBS132" s="7"/>
      <c r="NBT132" s="7"/>
      <c r="NBU132" s="21"/>
      <c r="NBV132" s="20"/>
      <c r="NBW132" s="20"/>
      <c r="NBX132" s="20"/>
      <c r="NBY132" s="21"/>
      <c r="NBZ132" s="21"/>
      <c r="NCA132" s="21"/>
      <c r="NCB132" s="21"/>
      <c r="NCC132" s="21"/>
      <c r="NCD132" s="20"/>
      <c r="NCE132" s="20"/>
      <c r="NCF132" s="20"/>
      <c r="NCG132" s="20"/>
      <c r="NCH132" s="21"/>
      <c r="NCI132" s="21"/>
      <c r="NCJ132" s="7"/>
      <c r="NCK132" s="7"/>
      <c r="NCL132" s="21"/>
      <c r="NCM132" s="20"/>
      <c r="NCN132" s="20"/>
      <c r="NCO132" s="20"/>
      <c r="NCP132" s="21"/>
      <c r="NCQ132" s="21"/>
      <c r="NCR132" s="21"/>
      <c r="NCS132" s="21"/>
      <c r="NCT132" s="21"/>
      <c r="NCU132" s="20"/>
      <c r="NCV132" s="20"/>
      <c r="NCW132" s="20"/>
      <c r="NCX132" s="20"/>
      <c r="NCY132" s="21"/>
      <c r="NCZ132" s="21"/>
      <c r="NDA132" s="7"/>
      <c r="NDB132" s="7"/>
      <c r="NDC132" s="21"/>
      <c r="NDD132" s="20"/>
      <c r="NDE132" s="20"/>
      <c r="NDF132" s="20"/>
      <c r="NDG132" s="21"/>
      <c r="NDH132" s="21"/>
      <c r="NDI132" s="21"/>
      <c r="NDJ132" s="21"/>
      <c r="NDK132" s="21"/>
      <c r="NDL132" s="20"/>
      <c r="NDM132" s="20"/>
      <c r="NDN132" s="20"/>
      <c r="NDO132" s="20"/>
      <c r="NDP132" s="21"/>
      <c r="NDQ132" s="21"/>
      <c r="NDR132" s="7"/>
      <c r="NDS132" s="7"/>
      <c r="NDT132" s="21"/>
      <c r="NDU132" s="20"/>
      <c r="NDV132" s="20"/>
      <c r="NDW132" s="20"/>
      <c r="NDX132" s="21"/>
      <c r="NDY132" s="21"/>
      <c r="NDZ132" s="21"/>
      <c r="NEA132" s="21"/>
      <c r="NEB132" s="21"/>
      <c r="NEC132" s="20"/>
      <c r="NED132" s="20"/>
      <c r="NEE132" s="20"/>
      <c r="NEF132" s="20"/>
      <c r="NEG132" s="21"/>
      <c r="NEH132" s="21"/>
      <c r="NEI132" s="7"/>
      <c r="NEJ132" s="7"/>
      <c r="NEK132" s="21"/>
      <c r="NEL132" s="20"/>
      <c r="NEM132" s="20"/>
      <c r="NEN132" s="20"/>
      <c r="NEO132" s="21"/>
      <c r="NEP132" s="21"/>
      <c r="NEQ132" s="21"/>
      <c r="NER132" s="21"/>
      <c r="NES132" s="21"/>
      <c r="NET132" s="20"/>
      <c r="NEU132" s="20"/>
      <c r="NEV132" s="20"/>
      <c r="NEW132" s="20"/>
      <c r="NEX132" s="21"/>
      <c r="NEY132" s="21"/>
      <c r="NEZ132" s="7"/>
      <c r="NFA132" s="7"/>
      <c r="NFB132" s="21"/>
      <c r="NFC132" s="20"/>
      <c r="NFD132" s="20"/>
      <c r="NFE132" s="20"/>
      <c r="NFF132" s="21"/>
      <c r="NFG132" s="21"/>
      <c r="NFH132" s="21"/>
      <c r="NFI132" s="21"/>
      <c r="NFJ132" s="21"/>
      <c r="NFK132" s="20"/>
      <c r="NFL132" s="20"/>
      <c r="NFM132" s="20"/>
      <c r="NFN132" s="20"/>
      <c r="NFO132" s="21"/>
      <c r="NFP132" s="21"/>
      <c r="NFQ132" s="7"/>
      <c r="NFR132" s="7"/>
      <c r="NFS132" s="21"/>
      <c r="NFT132" s="20"/>
      <c r="NFU132" s="20"/>
      <c r="NFV132" s="20"/>
      <c r="NFW132" s="21"/>
      <c r="NFX132" s="21"/>
      <c r="NFY132" s="21"/>
      <c r="NFZ132" s="21"/>
      <c r="NGA132" s="21"/>
      <c r="NGB132" s="20"/>
      <c r="NGC132" s="20"/>
      <c r="NGD132" s="20"/>
      <c r="NGE132" s="20"/>
      <c r="NGF132" s="21"/>
      <c r="NGG132" s="21"/>
      <c r="NGH132" s="7"/>
      <c r="NGI132" s="7"/>
      <c r="NGJ132" s="21"/>
      <c r="NGK132" s="20"/>
      <c r="NGL132" s="20"/>
      <c r="NGM132" s="20"/>
      <c r="NGN132" s="21"/>
      <c r="NGO132" s="21"/>
      <c r="NGP132" s="21"/>
      <c r="NGQ132" s="21"/>
      <c r="NGR132" s="21"/>
      <c r="NGS132" s="20"/>
      <c r="NGT132" s="20"/>
      <c r="NGU132" s="20"/>
      <c r="NGV132" s="20"/>
      <c r="NGW132" s="21"/>
      <c r="NGX132" s="21"/>
      <c r="NGY132" s="7"/>
      <c r="NGZ132" s="7"/>
      <c r="NHA132" s="21"/>
      <c r="NHB132" s="20"/>
      <c r="NHC132" s="20"/>
      <c r="NHD132" s="20"/>
      <c r="NHE132" s="21"/>
      <c r="NHF132" s="21"/>
      <c r="NHG132" s="21"/>
      <c r="NHH132" s="21"/>
      <c r="NHI132" s="21"/>
      <c r="NHJ132" s="20"/>
      <c r="NHK132" s="20"/>
      <c r="NHL132" s="20"/>
      <c r="NHM132" s="20"/>
      <c r="NHN132" s="21"/>
      <c r="NHO132" s="21"/>
      <c r="NHP132" s="7"/>
      <c r="NHQ132" s="7"/>
      <c r="NHR132" s="21"/>
      <c r="NHS132" s="20"/>
      <c r="NHT132" s="20"/>
      <c r="NHU132" s="20"/>
      <c r="NHV132" s="21"/>
      <c r="NHW132" s="21"/>
      <c r="NHX132" s="21"/>
      <c r="NHY132" s="21"/>
      <c r="NHZ132" s="21"/>
      <c r="NIA132" s="20"/>
      <c r="NIB132" s="20"/>
      <c r="NIC132" s="20"/>
      <c r="NID132" s="20"/>
      <c r="NIE132" s="21"/>
      <c r="NIF132" s="21"/>
      <c r="NIG132" s="7"/>
      <c r="NIH132" s="7"/>
      <c r="NII132" s="21"/>
      <c r="NIJ132" s="20"/>
      <c r="NIK132" s="20"/>
      <c r="NIL132" s="20"/>
      <c r="NIM132" s="21"/>
      <c r="NIN132" s="21"/>
      <c r="NIO132" s="21"/>
      <c r="NIP132" s="21"/>
      <c r="NIQ132" s="21"/>
      <c r="NIR132" s="20"/>
      <c r="NIS132" s="20"/>
      <c r="NIT132" s="20"/>
      <c r="NIU132" s="20"/>
      <c r="NIV132" s="21"/>
      <c r="NIW132" s="21"/>
      <c r="NIX132" s="7"/>
      <c r="NIY132" s="7"/>
      <c r="NIZ132" s="21"/>
      <c r="NJA132" s="20"/>
      <c r="NJB132" s="20"/>
      <c r="NJC132" s="20"/>
      <c r="NJD132" s="21"/>
      <c r="NJE132" s="21"/>
      <c r="NJF132" s="21"/>
      <c r="NJG132" s="21"/>
      <c r="NJH132" s="21"/>
      <c r="NJI132" s="20"/>
      <c r="NJJ132" s="20"/>
      <c r="NJK132" s="20"/>
      <c r="NJL132" s="20"/>
      <c r="NJM132" s="21"/>
      <c r="NJN132" s="21"/>
      <c r="NJO132" s="7"/>
      <c r="NJP132" s="7"/>
      <c r="NJQ132" s="21"/>
      <c r="NJR132" s="20"/>
      <c r="NJS132" s="20"/>
      <c r="NJT132" s="20"/>
      <c r="NJU132" s="21"/>
      <c r="NJV132" s="21"/>
      <c r="NJW132" s="21"/>
      <c r="NJX132" s="21"/>
      <c r="NJY132" s="21"/>
      <c r="NJZ132" s="20"/>
      <c r="NKA132" s="20"/>
      <c r="NKB132" s="20"/>
      <c r="NKC132" s="20"/>
      <c r="NKD132" s="21"/>
      <c r="NKE132" s="21"/>
      <c r="NKF132" s="7"/>
      <c r="NKG132" s="7"/>
      <c r="NKH132" s="21"/>
      <c r="NKI132" s="20"/>
      <c r="NKJ132" s="20"/>
      <c r="NKK132" s="20"/>
      <c r="NKL132" s="21"/>
      <c r="NKM132" s="21"/>
      <c r="NKN132" s="21"/>
      <c r="NKO132" s="21"/>
      <c r="NKP132" s="21"/>
      <c r="NKQ132" s="20"/>
      <c r="NKR132" s="20"/>
      <c r="NKS132" s="20"/>
      <c r="NKT132" s="20"/>
      <c r="NKU132" s="21"/>
      <c r="NKV132" s="21"/>
      <c r="NKW132" s="7"/>
      <c r="NKX132" s="7"/>
      <c r="NKY132" s="21"/>
      <c r="NKZ132" s="20"/>
      <c r="NLA132" s="20"/>
      <c r="NLB132" s="20"/>
      <c r="NLC132" s="21"/>
      <c r="NLD132" s="21"/>
      <c r="NLE132" s="21"/>
      <c r="NLF132" s="21"/>
      <c r="NLG132" s="21"/>
      <c r="NLH132" s="20"/>
      <c r="NLI132" s="20"/>
      <c r="NLJ132" s="20"/>
      <c r="NLK132" s="20"/>
      <c r="NLL132" s="21"/>
      <c r="NLM132" s="21"/>
      <c r="NLN132" s="7"/>
      <c r="NLO132" s="7"/>
      <c r="NLP132" s="21"/>
      <c r="NLQ132" s="20"/>
      <c r="NLR132" s="20"/>
      <c r="NLS132" s="20"/>
      <c r="NLT132" s="21"/>
      <c r="NLU132" s="21"/>
      <c r="NLV132" s="21"/>
      <c r="NLW132" s="21"/>
      <c r="NLX132" s="21"/>
      <c r="NLY132" s="20"/>
      <c r="NLZ132" s="20"/>
      <c r="NMA132" s="20"/>
      <c r="NMB132" s="20"/>
      <c r="NMC132" s="21"/>
      <c r="NMD132" s="21"/>
      <c r="NME132" s="7"/>
      <c r="NMF132" s="7"/>
      <c r="NMG132" s="21"/>
      <c r="NMH132" s="20"/>
      <c r="NMI132" s="20"/>
      <c r="NMJ132" s="20"/>
      <c r="NMK132" s="21"/>
      <c r="NML132" s="21"/>
      <c r="NMM132" s="21"/>
      <c r="NMN132" s="21"/>
      <c r="NMO132" s="21"/>
      <c r="NMP132" s="20"/>
      <c r="NMQ132" s="20"/>
      <c r="NMR132" s="20"/>
      <c r="NMS132" s="20"/>
      <c r="NMT132" s="21"/>
      <c r="NMU132" s="21"/>
      <c r="NMV132" s="7"/>
      <c r="NMW132" s="7"/>
      <c r="NMX132" s="21"/>
      <c r="NMY132" s="20"/>
      <c r="NMZ132" s="20"/>
      <c r="NNA132" s="20"/>
      <c r="NNB132" s="21"/>
      <c r="NNC132" s="21"/>
      <c r="NND132" s="21"/>
      <c r="NNE132" s="21"/>
      <c r="NNF132" s="21"/>
      <c r="NNG132" s="20"/>
      <c r="NNH132" s="20"/>
      <c r="NNI132" s="20"/>
      <c r="NNJ132" s="20"/>
      <c r="NNK132" s="21"/>
      <c r="NNL132" s="21"/>
      <c r="NNM132" s="7"/>
      <c r="NNN132" s="7"/>
      <c r="NNO132" s="21"/>
      <c r="NNP132" s="20"/>
      <c r="NNQ132" s="20"/>
      <c r="NNR132" s="20"/>
      <c r="NNS132" s="21"/>
      <c r="NNT132" s="21"/>
      <c r="NNU132" s="21"/>
      <c r="NNV132" s="21"/>
      <c r="NNW132" s="21"/>
      <c r="NNX132" s="20"/>
      <c r="NNY132" s="20"/>
      <c r="NNZ132" s="20"/>
      <c r="NOA132" s="20"/>
      <c r="NOB132" s="21"/>
      <c r="NOC132" s="21"/>
      <c r="NOD132" s="7"/>
      <c r="NOE132" s="7"/>
      <c r="NOF132" s="21"/>
      <c r="NOG132" s="20"/>
      <c r="NOH132" s="20"/>
      <c r="NOI132" s="20"/>
      <c r="NOJ132" s="21"/>
      <c r="NOK132" s="21"/>
      <c r="NOL132" s="21"/>
      <c r="NOM132" s="21"/>
      <c r="NON132" s="21"/>
      <c r="NOO132" s="20"/>
      <c r="NOP132" s="20"/>
      <c r="NOQ132" s="20"/>
      <c r="NOR132" s="20"/>
      <c r="NOS132" s="21"/>
      <c r="NOT132" s="21"/>
      <c r="NOU132" s="7"/>
      <c r="NOV132" s="7"/>
      <c r="NOW132" s="21"/>
      <c r="NOX132" s="20"/>
      <c r="NOY132" s="20"/>
      <c r="NOZ132" s="20"/>
      <c r="NPA132" s="21"/>
      <c r="NPB132" s="21"/>
      <c r="NPC132" s="21"/>
      <c r="NPD132" s="21"/>
      <c r="NPE132" s="21"/>
      <c r="NPF132" s="20"/>
      <c r="NPG132" s="20"/>
      <c r="NPH132" s="20"/>
      <c r="NPI132" s="20"/>
      <c r="NPJ132" s="21"/>
      <c r="NPK132" s="21"/>
      <c r="NPL132" s="7"/>
      <c r="NPM132" s="7"/>
      <c r="NPN132" s="21"/>
      <c r="NPO132" s="20"/>
      <c r="NPP132" s="20"/>
      <c r="NPQ132" s="20"/>
      <c r="NPR132" s="21"/>
      <c r="NPS132" s="21"/>
      <c r="NPT132" s="21"/>
      <c r="NPU132" s="21"/>
      <c r="NPV132" s="21"/>
      <c r="NPW132" s="20"/>
      <c r="NPX132" s="20"/>
      <c r="NPY132" s="20"/>
      <c r="NPZ132" s="20"/>
      <c r="NQA132" s="21"/>
      <c r="NQB132" s="21"/>
      <c r="NQC132" s="7"/>
      <c r="NQD132" s="7"/>
      <c r="NQE132" s="21"/>
      <c r="NQF132" s="20"/>
      <c r="NQG132" s="20"/>
      <c r="NQH132" s="20"/>
      <c r="NQI132" s="21"/>
      <c r="NQJ132" s="21"/>
      <c r="NQK132" s="21"/>
      <c r="NQL132" s="21"/>
      <c r="NQM132" s="21"/>
      <c r="NQN132" s="20"/>
      <c r="NQO132" s="20"/>
      <c r="NQP132" s="20"/>
      <c r="NQQ132" s="20"/>
      <c r="NQR132" s="21"/>
      <c r="NQS132" s="21"/>
      <c r="NQT132" s="7"/>
      <c r="NQU132" s="7"/>
      <c r="NQV132" s="21"/>
      <c r="NQW132" s="20"/>
      <c r="NQX132" s="20"/>
      <c r="NQY132" s="20"/>
      <c r="NQZ132" s="21"/>
      <c r="NRA132" s="21"/>
      <c r="NRB132" s="21"/>
      <c r="NRC132" s="21"/>
      <c r="NRD132" s="21"/>
      <c r="NRE132" s="20"/>
      <c r="NRF132" s="20"/>
      <c r="NRG132" s="20"/>
      <c r="NRH132" s="20"/>
      <c r="NRI132" s="21"/>
      <c r="NRJ132" s="21"/>
      <c r="NRK132" s="7"/>
      <c r="NRL132" s="7"/>
      <c r="NRM132" s="21"/>
      <c r="NRN132" s="20"/>
      <c r="NRO132" s="20"/>
      <c r="NRP132" s="20"/>
      <c r="NRQ132" s="21"/>
      <c r="NRR132" s="21"/>
      <c r="NRS132" s="21"/>
      <c r="NRT132" s="21"/>
      <c r="NRU132" s="21"/>
      <c r="NRV132" s="20"/>
      <c r="NRW132" s="20"/>
      <c r="NRX132" s="20"/>
      <c r="NRY132" s="20"/>
      <c r="NRZ132" s="21"/>
      <c r="NSA132" s="21"/>
      <c r="NSB132" s="7"/>
      <c r="NSC132" s="7"/>
      <c r="NSD132" s="21"/>
      <c r="NSE132" s="20"/>
      <c r="NSF132" s="20"/>
      <c r="NSG132" s="20"/>
      <c r="NSH132" s="21"/>
      <c r="NSI132" s="21"/>
      <c r="NSJ132" s="21"/>
      <c r="NSK132" s="21"/>
      <c r="NSL132" s="21"/>
      <c r="NSM132" s="20"/>
      <c r="NSN132" s="20"/>
      <c r="NSO132" s="20"/>
      <c r="NSP132" s="20"/>
      <c r="NSQ132" s="21"/>
      <c r="NSR132" s="21"/>
      <c r="NSS132" s="7"/>
      <c r="NST132" s="7"/>
      <c r="NSU132" s="21"/>
      <c r="NSV132" s="20"/>
      <c r="NSW132" s="20"/>
      <c r="NSX132" s="20"/>
      <c r="NSY132" s="21"/>
      <c r="NSZ132" s="21"/>
      <c r="NTA132" s="21"/>
      <c r="NTB132" s="21"/>
      <c r="NTC132" s="21"/>
      <c r="NTD132" s="20"/>
      <c r="NTE132" s="20"/>
      <c r="NTF132" s="20"/>
      <c r="NTG132" s="20"/>
      <c r="NTH132" s="21"/>
      <c r="NTI132" s="21"/>
      <c r="NTJ132" s="7"/>
      <c r="NTK132" s="7"/>
      <c r="NTL132" s="21"/>
      <c r="NTM132" s="20"/>
      <c r="NTN132" s="20"/>
      <c r="NTO132" s="20"/>
      <c r="NTP132" s="21"/>
      <c r="NTQ132" s="21"/>
      <c r="NTR132" s="21"/>
      <c r="NTS132" s="21"/>
      <c r="NTT132" s="21"/>
      <c r="NTU132" s="20"/>
      <c r="NTV132" s="20"/>
      <c r="NTW132" s="20"/>
      <c r="NTX132" s="20"/>
      <c r="NTY132" s="21"/>
      <c r="NTZ132" s="21"/>
      <c r="NUA132" s="7"/>
      <c r="NUB132" s="7"/>
      <c r="NUC132" s="21"/>
      <c r="NUD132" s="20"/>
      <c r="NUE132" s="20"/>
      <c r="NUF132" s="20"/>
      <c r="NUG132" s="21"/>
      <c r="NUH132" s="21"/>
      <c r="NUI132" s="21"/>
      <c r="NUJ132" s="21"/>
      <c r="NUK132" s="21"/>
      <c r="NUL132" s="20"/>
      <c r="NUM132" s="20"/>
      <c r="NUN132" s="20"/>
      <c r="NUO132" s="20"/>
      <c r="NUP132" s="21"/>
      <c r="NUQ132" s="21"/>
      <c r="NUR132" s="7"/>
      <c r="NUS132" s="7"/>
      <c r="NUT132" s="21"/>
      <c r="NUU132" s="20"/>
      <c r="NUV132" s="20"/>
      <c r="NUW132" s="20"/>
      <c r="NUX132" s="21"/>
      <c r="NUY132" s="21"/>
      <c r="NUZ132" s="21"/>
      <c r="NVA132" s="21"/>
      <c r="NVB132" s="21"/>
      <c r="NVC132" s="20"/>
      <c r="NVD132" s="20"/>
      <c r="NVE132" s="20"/>
      <c r="NVF132" s="20"/>
      <c r="NVG132" s="21"/>
      <c r="NVH132" s="21"/>
      <c r="NVI132" s="7"/>
      <c r="NVJ132" s="7"/>
      <c r="NVK132" s="21"/>
      <c r="NVL132" s="20"/>
      <c r="NVM132" s="20"/>
      <c r="NVN132" s="20"/>
      <c r="NVO132" s="21"/>
      <c r="NVP132" s="21"/>
      <c r="NVQ132" s="21"/>
      <c r="NVR132" s="21"/>
      <c r="NVS132" s="21"/>
      <c r="NVT132" s="20"/>
      <c r="NVU132" s="20"/>
      <c r="NVV132" s="20"/>
      <c r="NVW132" s="20"/>
      <c r="NVX132" s="21"/>
      <c r="NVY132" s="21"/>
      <c r="NVZ132" s="7"/>
      <c r="NWA132" s="7"/>
      <c r="NWB132" s="21"/>
      <c r="NWC132" s="20"/>
      <c r="NWD132" s="20"/>
      <c r="NWE132" s="20"/>
      <c r="NWF132" s="21"/>
      <c r="NWG132" s="21"/>
      <c r="NWH132" s="21"/>
      <c r="NWI132" s="21"/>
      <c r="NWJ132" s="21"/>
      <c r="NWK132" s="20"/>
      <c r="NWL132" s="20"/>
      <c r="NWM132" s="20"/>
      <c r="NWN132" s="20"/>
      <c r="NWO132" s="21"/>
      <c r="NWP132" s="21"/>
      <c r="NWQ132" s="7"/>
      <c r="NWR132" s="7"/>
      <c r="NWS132" s="21"/>
      <c r="NWT132" s="20"/>
      <c r="NWU132" s="20"/>
      <c r="NWV132" s="20"/>
      <c r="NWW132" s="21"/>
      <c r="NWX132" s="21"/>
      <c r="NWY132" s="21"/>
      <c r="NWZ132" s="21"/>
      <c r="NXA132" s="21"/>
      <c r="NXB132" s="20"/>
      <c r="NXC132" s="20"/>
      <c r="NXD132" s="20"/>
      <c r="NXE132" s="20"/>
      <c r="NXF132" s="21"/>
      <c r="NXG132" s="21"/>
      <c r="NXH132" s="7"/>
      <c r="NXI132" s="7"/>
      <c r="NXJ132" s="21"/>
      <c r="NXK132" s="20"/>
      <c r="NXL132" s="20"/>
      <c r="NXM132" s="20"/>
      <c r="NXN132" s="21"/>
      <c r="NXO132" s="21"/>
      <c r="NXP132" s="21"/>
      <c r="NXQ132" s="21"/>
      <c r="NXR132" s="21"/>
      <c r="NXS132" s="20"/>
      <c r="NXT132" s="20"/>
      <c r="NXU132" s="20"/>
      <c r="NXV132" s="20"/>
      <c r="NXW132" s="21"/>
      <c r="NXX132" s="21"/>
      <c r="NXY132" s="7"/>
      <c r="NXZ132" s="7"/>
      <c r="NYA132" s="21"/>
      <c r="NYB132" s="20"/>
      <c r="NYC132" s="20"/>
      <c r="NYD132" s="20"/>
      <c r="NYE132" s="21"/>
      <c r="NYF132" s="21"/>
      <c r="NYG132" s="21"/>
      <c r="NYH132" s="21"/>
      <c r="NYI132" s="21"/>
      <c r="NYJ132" s="20"/>
      <c r="NYK132" s="20"/>
      <c r="NYL132" s="20"/>
      <c r="NYM132" s="20"/>
      <c r="NYN132" s="21"/>
      <c r="NYO132" s="21"/>
      <c r="NYP132" s="7"/>
      <c r="NYQ132" s="7"/>
      <c r="NYR132" s="21"/>
      <c r="NYS132" s="20"/>
      <c r="NYT132" s="20"/>
      <c r="NYU132" s="20"/>
      <c r="NYV132" s="21"/>
      <c r="NYW132" s="21"/>
      <c r="NYX132" s="21"/>
      <c r="NYY132" s="21"/>
      <c r="NYZ132" s="21"/>
      <c r="NZA132" s="20"/>
      <c r="NZB132" s="20"/>
      <c r="NZC132" s="20"/>
      <c r="NZD132" s="20"/>
      <c r="NZE132" s="21"/>
      <c r="NZF132" s="21"/>
      <c r="NZG132" s="7"/>
      <c r="NZH132" s="7"/>
      <c r="NZI132" s="21"/>
      <c r="NZJ132" s="20"/>
      <c r="NZK132" s="20"/>
      <c r="NZL132" s="20"/>
      <c r="NZM132" s="21"/>
      <c r="NZN132" s="21"/>
      <c r="NZO132" s="21"/>
      <c r="NZP132" s="21"/>
      <c r="NZQ132" s="21"/>
      <c r="NZR132" s="20"/>
      <c r="NZS132" s="20"/>
      <c r="NZT132" s="20"/>
      <c r="NZU132" s="20"/>
      <c r="NZV132" s="21"/>
      <c r="NZW132" s="21"/>
      <c r="NZX132" s="7"/>
      <c r="NZY132" s="7"/>
      <c r="NZZ132" s="21"/>
      <c r="OAA132" s="20"/>
      <c r="OAB132" s="20"/>
      <c r="OAC132" s="20"/>
      <c r="OAD132" s="21"/>
      <c r="OAE132" s="21"/>
      <c r="OAF132" s="21"/>
      <c r="OAG132" s="21"/>
      <c r="OAH132" s="21"/>
      <c r="OAI132" s="20"/>
      <c r="OAJ132" s="20"/>
      <c r="OAK132" s="20"/>
      <c r="OAL132" s="20"/>
      <c r="OAM132" s="21"/>
      <c r="OAN132" s="21"/>
      <c r="OAO132" s="7"/>
      <c r="OAP132" s="7"/>
      <c r="OAQ132" s="21"/>
      <c r="OAR132" s="20"/>
      <c r="OAS132" s="20"/>
      <c r="OAT132" s="20"/>
      <c r="OAU132" s="21"/>
      <c r="OAV132" s="21"/>
      <c r="OAW132" s="21"/>
      <c r="OAX132" s="21"/>
      <c r="OAY132" s="21"/>
      <c r="OAZ132" s="20"/>
      <c r="OBA132" s="20"/>
      <c r="OBB132" s="20"/>
      <c r="OBC132" s="20"/>
      <c r="OBD132" s="21"/>
      <c r="OBE132" s="21"/>
      <c r="OBF132" s="7"/>
      <c r="OBG132" s="7"/>
      <c r="OBH132" s="21"/>
      <c r="OBI132" s="20"/>
      <c r="OBJ132" s="20"/>
      <c r="OBK132" s="20"/>
      <c r="OBL132" s="21"/>
      <c r="OBM132" s="21"/>
      <c r="OBN132" s="21"/>
      <c r="OBO132" s="21"/>
      <c r="OBP132" s="21"/>
      <c r="OBQ132" s="20"/>
      <c r="OBR132" s="20"/>
      <c r="OBS132" s="20"/>
      <c r="OBT132" s="20"/>
      <c r="OBU132" s="21"/>
      <c r="OBV132" s="21"/>
      <c r="OBW132" s="7"/>
      <c r="OBX132" s="7"/>
      <c r="OBY132" s="21"/>
      <c r="OBZ132" s="20"/>
      <c r="OCA132" s="20"/>
      <c r="OCB132" s="20"/>
      <c r="OCC132" s="21"/>
      <c r="OCD132" s="21"/>
      <c r="OCE132" s="21"/>
      <c r="OCF132" s="21"/>
      <c r="OCG132" s="21"/>
      <c r="OCH132" s="20"/>
      <c r="OCI132" s="20"/>
      <c r="OCJ132" s="20"/>
      <c r="OCK132" s="20"/>
      <c r="OCL132" s="21"/>
      <c r="OCM132" s="21"/>
      <c r="OCN132" s="7"/>
      <c r="OCO132" s="7"/>
      <c r="OCP132" s="21"/>
      <c r="OCQ132" s="20"/>
      <c r="OCR132" s="20"/>
      <c r="OCS132" s="20"/>
      <c r="OCT132" s="21"/>
      <c r="OCU132" s="21"/>
      <c r="OCV132" s="21"/>
      <c r="OCW132" s="21"/>
      <c r="OCX132" s="21"/>
      <c r="OCY132" s="20"/>
      <c r="OCZ132" s="20"/>
      <c r="ODA132" s="20"/>
      <c r="ODB132" s="20"/>
      <c r="ODC132" s="21"/>
      <c r="ODD132" s="21"/>
      <c r="ODE132" s="7"/>
      <c r="ODF132" s="7"/>
      <c r="ODG132" s="21"/>
      <c r="ODH132" s="20"/>
      <c r="ODI132" s="20"/>
      <c r="ODJ132" s="20"/>
      <c r="ODK132" s="21"/>
      <c r="ODL132" s="21"/>
      <c r="ODM132" s="21"/>
      <c r="ODN132" s="21"/>
      <c r="ODO132" s="21"/>
      <c r="ODP132" s="20"/>
      <c r="ODQ132" s="20"/>
      <c r="ODR132" s="20"/>
      <c r="ODS132" s="20"/>
      <c r="ODT132" s="21"/>
      <c r="ODU132" s="21"/>
      <c r="ODV132" s="7"/>
      <c r="ODW132" s="7"/>
      <c r="ODX132" s="21"/>
      <c r="ODY132" s="20"/>
      <c r="ODZ132" s="20"/>
      <c r="OEA132" s="20"/>
      <c r="OEB132" s="21"/>
      <c r="OEC132" s="21"/>
      <c r="OED132" s="21"/>
      <c r="OEE132" s="21"/>
      <c r="OEF132" s="21"/>
      <c r="OEG132" s="20"/>
      <c r="OEH132" s="20"/>
      <c r="OEI132" s="20"/>
      <c r="OEJ132" s="20"/>
      <c r="OEK132" s="21"/>
      <c r="OEL132" s="21"/>
      <c r="OEM132" s="7"/>
      <c r="OEN132" s="7"/>
      <c r="OEO132" s="21"/>
      <c r="OEP132" s="20"/>
      <c r="OEQ132" s="20"/>
      <c r="OER132" s="20"/>
      <c r="OES132" s="21"/>
      <c r="OET132" s="21"/>
      <c r="OEU132" s="21"/>
      <c r="OEV132" s="21"/>
      <c r="OEW132" s="21"/>
      <c r="OEX132" s="20"/>
      <c r="OEY132" s="20"/>
      <c r="OEZ132" s="20"/>
      <c r="OFA132" s="20"/>
      <c r="OFB132" s="21"/>
      <c r="OFC132" s="21"/>
      <c r="OFD132" s="7"/>
      <c r="OFE132" s="7"/>
      <c r="OFF132" s="21"/>
      <c r="OFG132" s="20"/>
      <c r="OFH132" s="20"/>
      <c r="OFI132" s="20"/>
      <c r="OFJ132" s="21"/>
      <c r="OFK132" s="21"/>
      <c r="OFL132" s="21"/>
      <c r="OFM132" s="21"/>
      <c r="OFN132" s="21"/>
      <c r="OFO132" s="20"/>
      <c r="OFP132" s="20"/>
      <c r="OFQ132" s="20"/>
      <c r="OFR132" s="20"/>
      <c r="OFS132" s="21"/>
      <c r="OFT132" s="21"/>
      <c r="OFU132" s="7"/>
      <c r="OFV132" s="7"/>
      <c r="OFW132" s="21"/>
      <c r="OFX132" s="20"/>
      <c r="OFY132" s="20"/>
      <c r="OFZ132" s="20"/>
      <c r="OGA132" s="21"/>
      <c r="OGB132" s="21"/>
      <c r="OGC132" s="21"/>
      <c r="OGD132" s="21"/>
      <c r="OGE132" s="21"/>
      <c r="OGF132" s="20"/>
      <c r="OGG132" s="20"/>
      <c r="OGH132" s="20"/>
      <c r="OGI132" s="20"/>
      <c r="OGJ132" s="21"/>
      <c r="OGK132" s="21"/>
      <c r="OGL132" s="7"/>
      <c r="OGM132" s="7"/>
      <c r="OGN132" s="21"/>
      <c r="OGO132" s="20"/>
      <c r="OGP132" s="20"/>
      <c r="OGQ132" s="20"/>
      <c r="OGR132" s="21"/>
      <c r="OGS132" s="21"/>
      <c r="OGT132" s="21"/>
      <c r="OGU132" s="21"/>
      <c r="OGV132" s="21"/>
      <c r="OGW132" s="20"/>
      <c r="OGX132" s="20"/>
      <c r="OGY132" s="20"/>
      <c r="OGZ132" s="20"/>
      <c r="OHA132" s="21"/>
      <c r="OHB132" s="21"/>
      <c r="OHC132" s="7"/>
      <c r="OHD132" s="7"/>
      <c r="OHE132" s="21"/>
      <c r="OHF132" s="20"/>
      <c r="OHG132" s="20"/>
      <c r="OHH132" s="20"/>
      <c r="OHI132" s="21"/>
      <c r="OHJ132" s="21"/>
      <c r="OHK132" s="21"/>
      <c r="OHL132" s="21"/>
      <c r="OHM132" s="21"/>
      <c r="OHN132" s="20"/>
      <c r="OHO132" s="20"/>
      <c r="OHP132" s="20"/>
      <c r="OHQ132" s="20"/>
      <c r="OHR132" s="21"/>
      <c r="OHS132" s="21"/>
      <c r="OHT132" s="7"/>
      <c r="OHU132" s="7"/>
      <c r="OHV132" s="21"/>
      <c r="OHW132" s="20"/>
      <c r="OHX132" s="20"/>
      <c r="OHY132" s="20"/>
      <c r="OHZ132" s="21"/>
      <c r="OIA132" s="21"/>
      <c r="OIB132" s="21"/>
      <c r="OIC132" s="21"/>
      <c r="OID132" s="21"/>
      <c r="OIE132" s="20"/>
      <c r="OIF132" s="20"/>
      <c r="OIG132" s="20"/>
      <c r="OIH132" s="20"/>
      <c r="OII132" s="21"/>
      <c r="OIJ132" s="21"/>
      <c r="OIK132" s="7"/>
      <c r="OIL132" s="7"/>
      <c r="OIM132" s="21"/>
      <c r="OIN132" s="20"/>
      <c r="OIO132" s="20"/>
      <c r="OIP132" s="20"/>
      <c r="OIQ132" s="21"/>
      <c r="OIR132" s="21"/>
      <c r="OIS132" s="21"/>
      <c r="OIT132" s="21"/>
      <c r="OIU132" s="21"/>
      <c r="OIV132" s="20"/>
      <c r="OIW132" s="20"/>
      <c r="OIX132" s="20"/>
      <c r="OIY132" s="20"/>
      <c r="OIZ132" s="21"/>
      <c r="OJA132" s="21"/>
      <c r="OJB132" s="7"/>
      <c r="OJC132" s="7"/>
      <c r="OJD132" s="21"/>
      <c r="OJE132" s="20"/>
      <c r="OJF132" s="20"/>
      <c r="OJG132" s="20"/>
      <c r="OJH132" s="21"/>
      <c r="OJI132" s="21"/>
      <c r="OJJ132" s="21"/>
      <c r="OJK132" s="21"/>
      <c r="OJL132" s="21"/>
      <c r="OJM132" s="20"/>
      <c r="OJN132" s="20"/>
      <c r="OJO132" s="20"/>
      <c r="OJP132" s="20"/>
      <c r="OJQ132" s="21"/>
      <c r="OJR132" s="21"/>
      <c r="OJS132" s="7"/>
      <c r="OJT132" s="7"/>
      <c r="OJU132" s="21"/>
      <c r="OJV132" s="20"/>
      <c r="OJW132" s="20"/>
      <c r="OJX132" s="20"/>
      <c r="OJY132" s="21"/>
      <c r="OJZ132" s="21"/>
      <c r="OKA132" s="21"/>
      <c r="OKB132" s="21"/>
      <c r="OKC132" s="21"/>
      <c r="OKD132" s="20"/>
      <c r="OKE132" s="20"/>
      <c r="OKF132" s="20"/>
      <c r="OKG132" s="20"/>
      <c r="OKH132" s="21"/>
      <c r="OKI132" s="21"/>
      <c r="OKJ132" s="7"/>
      <c r="OKK132" s="7"/>
      <c r="OKL132" s="21"/>
      <c r="OKM132" s="20"/>
      <c r="OKN132" s="20"/>
      <c r="OKO132" s="20"/>
      <c r="OKP132" s="21"/>
      <c r="OKQ132" s="21"/>
      <c r="OKR132" s="21"/>
      <c r="OKS132" s="21"/>
      <c r="OKT132" s="21"/>
      <c r="OKU132" s="20"/>
      <c r="OKV132" s="20"/>
      <c r="OKW132" s="20"/>
      <c r="OKX132" s="20"/>
      <c r="OKY132" s="21"/>
      <c r="OKZ132" s="21"/>
      <c r="OLA132" s="7"/>
      <c r="OLB132" s="7"/>
      <c r="OLC132" s="21"/>
      <c r="OLD132" s="20"/>
      <c r="OLE132" s="20"/>
      <c r="OLF132" s="20"/>
      <c r="OLG132" s="21"/>
      <c r="OLH132" s="21"/>
      <c r="OLI132" s="21"/>
      <c r="OLJ132" s="21"/>
      <c r="OLK132" s="21"/>
      <c r="OLL132" s="20"/>
      <c r="OLM132" s="20"/>
      <c r="OLN132" s="20"/>
      <c r="OLO132" s="20"/>
      <c r="OLP132" s="21"/>
      <c r="OLQ132" s="21"/>
      <c r="OLR132" s="7"/>
      <c r="OLS132" s="7"/>
      <c r="OLT132" s="21"/>
      <c r="OLU132" s="20"/>
      <c r="OLV132" s="20"/>
      <c r="OLW132" s="20"/>
      <c r="OLX132" s="21"/>
      <c r="OLY132" s="21"/>
      <c r="OLZ132" s="21"/>
      <c r="OMA132" s="21"/>
      <c r="OMB132" s="21"/>
      <c r="OMC132" s="20"/>
      <c r="OMD132" s="20"/>
      <c r="OME132" s="20"/>
      <c r="OMF132" s="20"/>
      <c r="OMG132" s="21"/>
      <c r="OMH132" s="21"/>
      <c r="OMI132" s="7"/>
      <c r="OMJ132" s="7"/>
      <c r="OMK132" s="21"/>
      <c r="OML132" s="20"/>
      <c r="OMM132" s="20"/>
      <c r="OMN132" s="20"/>
      <c r="OMO132" s="21"/>
      <c r="OMP132" s="21"/>
      <c r="OMQ132" s="21"/>
      <c r="OMR132" s="21"/>
      <c r="OMS132" s="21"/>
      <c r="OMT132" s="20"/>
      <c r="OMU132" s="20"/>
      <c r="OMV132" s="20"/>
      <c r="OMW132" s="20"/>
      <c r="OMX132" s="21"/>
      <c r="OMY132" s="21"/>
      <c r="OMZ132" s="7"/>
      <c r="ONA132" s="7"/>
      <c r="ONB132" s="21"/>
      <c r="ONC132" s="20"/>
      <c r="OND132" s="20"/>
      <c r="ONE132" s="20"/>
      <c r="ONF132" s="21"/>
      <c r="ONG132" s="21"/>
      <c r="ONH132" s="21"/>
      <c r="ONI132" s="21"/>
      <c r="ONJ132" s="21"/>
      <c r="ONK132" s="20"/>
      <c r="ONL132" s="20"/>
      <c r="ONM132" s="20"/>
      <c r="ONN132" s="20"/>
      <c r="ONO132" s="21"/>
      <c r="ONP132" s="21"/>
      <c r="ONQ132" s="7"/>
      <c r="ONR132" s="7"/>
      <c r="ONS132" s="21"/>
      <c r="ONT132" s="20"/>
      <c r="ONU132" s="20"/>
      <c r="ONV132" s="20"/>
      <c r="ONW132" s="21"/>
      <c r="ONX132" s="21"/>
      <c r="ONY132" s="21"/>
      <c r="ONZ132" s="21"/>
      <c r="OOA132" s="21"/>
      <c r="OOB132" s="20"/>
      <c r="OOC132" s="20"/>
      <c r="OOD132" s="20"/>
      <c r="OOE132" s="20"/>
      <c r="OOF132" s="21"/>
      <c r="OOG132" s="21"/>
      <c r="OOH132" s="7"/>
      <c r="OOI132" s="7"/>
      <c r="OOJ132" s="21"/>
      <c r="OOK132" s="20"/>
      <c r="OOL132" s="20"/>
      <c r="OOM132" s="20"/>
      <c r="OON132" s="21"/>
      <c r="OOO132" s="21"/>
      <c r="OOP132" s="21"/>
      <c r="OOQ132" s="21"/>
      <c r="OOR132" s="21"/>
      <c r="OOS132" s="20"/>
      <c r="OOT132" s="20"/>
      <c r="OOU132" s="20"/>
      <c r="OOV132" s="20"/>
      <c r="OOW132" s="21"/>
      <c r="OOX132" s="21"/>
      <c r="OOY132" s="7"/>
      <c r="OOZ132" s="7"/>
      <c r="OPA132" s="21"/>
      <c r="OPB132" s="20"/>
      <c r="OPC132" s="20"/>
      <c r="OPD132" s="20"/>
      <c r="OPE132" s="21"/>
      <c r="OPF132" s="21"/>
      <c r="OPG132" s="21"/>
      <c r="OPH132" s="21"/>
      <c r="OPI132" s="21"/>
      <c r="OPJ132" s="20"/>
      <c r="OPK132" s="20"/>
      <c r="OPL132" s="20"/>
      <c r="OPM132" s="20"/>
      <c r="OPN132" s="21"/>
      <c r="OPO132" s="21"/>
      <c r="OPP132" s="7"/>
      <c r="OPQ132" s="7"/>
      <c r="OPR132" s="21"/>
      <c r="OPS132" s="20"/>
      <c r="OPT132" s="20"/>
      <c r="OPU132" s="20"/>
      <c r="OPV132" s="21"/>
      <c r="OPW132" s="21"/>
      <c r="OPX132" s="21"/>
      <c r="OPY132" s="21"/>
      <c r="OPZ132" s="21"/>
      <c r="OQA132" s="20"/>
      <c r="OQB132" s="20"/>
      <c r="OQC132" s="20"/>
      <c r="OQD132" s="20"/>
      <c r="OQE132" s="21"/>
      <c r="OQF132" s="21"/>
      <c r="OQG132" s="7"/>
      <c r="OQH132" s="7"/>
      <c r="OQI132" s="21"/>
      <c r="OQJ132" s="20"/>
      <c r="OQK132" s="20"/>
      <c r="OQL132" s="20"/>
      <c r="OQM132" s="21"/>
      <c r="OQN132" s="21"/>
      <c r="OQO132" s="21"/>
      <c r="OQP132" s="21"/>
      <c r="OQQ132" s="21"/>
      <c r="OQR132" s="20"/>
      <c r="OQS132" s="20"/>
      <c r="OQT132" s="20"/>
      <c r="OQU132" s="20"/>
      <c r="OQV132" s="21"/>
      <c r="OQW132" s="21"/>
      <c r="OQX132" s="7"/>
      <c r="OQY132" s="7"/>
      <c r="OQZ132" s="21"/>
      <c r="ORA132" s="20"/>
      <c r="ORB132" s="20"/>
      <c r="ORC132" s="20"/>
      <c r="ORD132" s="21"/>
      <c r="ORE132" s="21"/>
      <c r="ORF132" s="21"/>
      <c r="ORG132" s="21"/>
      <c r="ORH132" s="21"/>
      <c r="ORI132" s="20"/>
      <c r="ORJ132" s="20"/>
      <c r="ORK132" s="20"/>
      <c r="ORL132" s="20"/>
      <c r="ORM132" s="21"/>
      <c r="ORN132" s="21"/>
      <c r="ORO132" s="7"/>
      <c r="ORP132" s="7"/>
      <c r="ORQ132" s="21"/>
      <c r="ORR132" s="20"/>
      <c r="ORS132" s="20"/>
      <c r="ORT132" s="20"/>
      <c r="ORU132" s="21"/>
      <c r="ORV132" s="21"/>
      <c r="ORW132" s="21"/>
      <c r="ORX132" s="21"/>
      <c r="ORY132" s="21"/>
      <c r="ORZ132" s="20"/>
      <c r="OSA132" s="20"/>
      <c r="OSB132" s="20"/>
      <c r="OSC132" s="20"/>
      <c r="OSD132" s="21"/>
      <c r="OSE132" s="21"/>
      <c r="OSF132" s="7"/>
      <c r="OSG132" s="7"/>
      <c r="OSH132" s="21"/>
      <c r="OSI132" s="20"/>
      <c r="OSJ132" s="20"/>
      <c r="OSK132" s="20"/>
      <c r="OSL132" s="21"/>
      <c r="OSM132" s="21"/>
      <c r="OSN132" s="21"/>
      <c r="OSO132" s="21"/>
      <c r="OSP132" s="21"/>
      <c r="OSQ132" s="20"/>
      <c r="OSR132" s="20"/>
      <c r="OSS132" s="20"/>
      <c r="OST132" s="20"/>
      <c r="OSU132" s="21"/>
      <c r="OSV132" s="21"/>
      <c r="OSW132" s="7"/>
      <c r="OSX132" s="7"/>
      <c r="OSY132" s="21"/>
      <c r="OSZ132" s="20"/>
      <c r="OTA132" s="20"/>
      <c r="OTB132" s="20"/>
      <c r="OTC132" s="21"/>
      <c r="OTD132" s="21"/>
      <c r="OTE132" s="21"/>
      <c r="OTF132" s="21"/>
      <c r="OTG132" s="21"/>
      <c r="OTH132" s="20"/>
      <c r="OTI132" s="20"/>
      <c r="OTJ132" s="20"/>
      <c r="OTK132" s="20"/>
      <c r="OTL132" s="21"/>
      <c r="OTM132" s="21"/>
      <c r="OTN132" s="7"/>
      <c r="OTO132" s="7"/>
      <c r="OTP132" s="21"/>
      <c r="OTQ132" s="20"/>
      <c r="OTR132" s="20"/>
      <c r="OTS132" s="20"/>
      <c r="OTT132" s="21"/>
      <c r="OTU132" s="21"/>
      <c r="OTV132" s="21"/>
      <c r="OTW132" s="21"/>
      <c r="OTX132" s="21"/>
      <c r="OTY132" s="20"/>
      <c r="OTZ132" s="20"/>
      <c r="OUA132" s="20"/>
      <c r="OUB132" s="20"/>
      <c r="OUC132" s="21"/>
      <c r="OUD132" s="21"/>
      <c r="OUE132" s="7"/>
      <c r="OUF132" s="7"/>
      <c r="OUG132" s="21"/>
      <c r="OUH132" s="20"/>
      <c r="OUI132" s="20"/>
      <c r="OUJ132" s="20"/>
      <c r="OUK132" s="21"/>
      <c r="OUL132" s="21"/>
      <c r="OUM132" s="21"/>
      <c r="OUN132" s="21"/>
      <c r="OUO132" s="21"/>
      <c r="OUP132" s="20"/>
      <c r="OUQ132" s="20"/>
      <c r="OUR132" s="20"/>
      <c r="OUS132" s="20"/>
      <c r="OUT132" s="21"/>
      <c r="OUU132" s="21"/>
      <c r="OUV132" s="7"/>
      <c r="OUW132" s="7"/>
      <c r="OUX132" s="21"/>
      <c r="OUY132" s="20"/>
      <c r="OUZ132" s="20"/>
      <c r="OVA132" s="20"/>
      <c r="OVB132" s="21"/>
      <c r="OVC132" s="21"/>
      <c r="OVD132" s="21"/>
      <c r="OVE132" s="21"/>
      <c r="OVF132" s="21"/>
      <c r="OVG132" s="20"/>
      <c r="OVH132" s="20"/>
      <c r="OVI132" s="20"/>
      <c r="OVJ132" s="20"/>
      <c r="OVK132" s="21"/>
      <c r="OVL132" s="21"/>
      <c r="OVM132" s="7"/>
      <c r="OVN132" s="7"/>
      <c r="OVO132" s="21"/>
      <c r="OVP132" s="20"/>
      <c r="OVQ132" s="20"/>
      <c r="OVR132" s="20"/>
      <c r="OVS132" s="21"/>
      <c r="OVT132" s="21"/>
      <c r="OVU132" s="21"/>
      <c r="OVV132" s="21"/>
      <c r="OVW132" s="21"/>
      <c r="OVX132" s="20"/>
      <c r="OVY132" s="20"/>
      <c r="OVZ132" s="20"/>
      <c r="OWA132" s="20"/>
      <c r="OWB132" s="21"/>
      <c r="OWC132" s="21"/>
      <c r="OWD132" s="7"/>
      <c r="OWE132" s="7"/>
      <c r="OWF132" s="21"/>
      <c r="OWG132" s="20"/>
      <c r="OWH132" s="20"/>
      <c r="OWI132" s="20"/>
      <c r="OWJ132" s="21"/>
      <c r="OWK132" s="21"/>
      <c r="OWL132" s="21"/>
      <c r="OWM132" s="21"/>
      <c r="OWN132" s="21"/>
      <c r="OWO132" s="20"/>
      <c r="OWP132" s="20"/>
      <c r="OWQ132" s="20"/>
      <c r="OWR132" s="20"/>
      <c r="OWS132" s="21"/>
      <c r="OWT132" s="21"/>
      <c r="OWU132" s="7"/>
      <c r="OWV132" s="7"/>
      <c r="OWW132" s="21"/>
      <c r="OWX132" s="20"/>
      <c r="OWY132" s="20"/>
      <c r="OWZ132" s="20"/>
      <c r="OXA132" s="21"/>
      <c r="OXB132" s="21"/>
      <c r="OXC132" s="21"/>
      <c r="OXD132" s="21"/>
      <c r="OXE132" s="21"/>
      <c r="OXF132" s="20"/>
      <c r="OXG132" s="20"/>
      <c r="OXH132" s="20"/>
      <c r="OXI132" s="20"/>
      <c r="OXJ132" s="21"/>
      <c r="OXK132" s="21"/>
      <c r="OXL132" s="7"/>
      <c r="OXM132" s="7"/>
      <c r="OXN132" s="21"/>
      <c r="OXO132" s="20"/>
      <c r="OXP132" s="20"/>
      <c r="OXQ132" s="20"/>
      <c r="OXR132" s="21"/>
      <c r="OXS132" s="21"/>
      <c r="OXT132" s="21"/>
      <c r="OXU132" s="21"/>
      <c r="OXV132" s="21"/>
      <c r="OXW132" s="20"/>
      <c r="OXX132" s="20"/>
      <c r="OXY132" s="20"/>
      <c r="OXZ132" s="20"/>
      <c r="OYA132" s="21"/>
      <c r="OYB132" s="21"/>
      <c r="OYC132" s="7"/>
      <c r="OYD132" s="7"/>
      <c r="OYE132" s="21"/>
      <c r="OYF132" s="20"/>
      <c r="OYG132" s="20"/>
      <c r="OYH132" s="20"/>
      <c r="OYI132" s="21"/>
      <c r="OYJ132" s="21"/>
      <c r="OYK132" s="21"/>
      <c r="OYL132" s="21"/>
      <c r="OYM132" s="21"/>
      <c r="OYN132" s="20"/>
      <c r="OYO132" s="20"/>
      <c r="OYP132" s="20"/>
      <c r="OYQ132" s="20"/>
      <c r="OYR132" s="21"/>
      <c r="OYS132" s="21"/>
      <c r="OYT132" s="7"/>
      <c r="OYU132" s="7"/>
      <c r="OYV132" s="21"/>
      <c r="OYW132" s="20"/>
      <c r="OYX132" s="20"/>
      <c r="OYY132" s="20"/>
      <c r="OYZ132" s="21"/>
      <c r="OZA132" s="21"/>
      <c r="OZB132" s="21"/>
      <c r="OZC132" s="21"/>
      <c r="OZD132" s="21"/>
      <c r="OZE132" s="20"/>
      <c r="OZF132" s="20"/>
      <c r="OZG132" s="20"/>
      <c r="OZH132" s="20"/>
      <c r="OZI132" s="21"/>
      <c r="OZJ132" s="21"/>
      <c r="OZK132" s="7"/>
      <c r="OZL132" s="7"/>
      <c r="OZM132" s="21"/>
      <c r="OZN132" s="20"/>
      <c r="OZO132" s="20"/>
      <c r="OZP132" s="20"/>
      <c r="OZQ132" s="21"/>
      <c r="OZR132" s="21"/>
      <c r="OZS132" s="21"/>
      <c r="OZT132" s="21"/>
      <c r="OZU132" s="21"/>
      <c r="OZV132" s="20"/>
      <c r="OZW132" s="20"/>
      <c r="OZX132" s="20"/>
      <c r="OZY132" s="20"/>
      <c r="OZZ132" s="21"/>
      <c r="PAA132" s="21"/>
      <c r="PAB132" s="7"/>
      <c r="PAC132" s="7"/>
      <c r="PAD132" s="21"/>
      <c r="PAE132" s="20"/>
      <c r="PAF132" s="20"/>
      <c r="PAG132" s="20"/>
      <c r="PAH132" s="21"/>
      <c r="PAI132" s="21"/>
      <c r="PAJ132" s="21"/>
      <c r="PAK132" s="21"/>
      <c r="PAL132" s="21"/>
      <c r="PAM132" s="20"/>
      <c r="PAN132" s="20"/>
      <c r="PAO132" s="20"/>
      <c r="PAP132" s="20"/>
      <c r="PAQ132" s="21"/>
      <c r="PAR132" s="21"/>
      <c r="PAS132" s="7"/>
      <c r="PAT132" s="7"/>
      <c r="PAU132" s="21"/>
      <c r="PAV132" s="20"/>
      <c r="PAW132" s="20"/>
      <c r="PAX132" s="20"/>
      <c r="PAY132" s="21"/>
      <c r="PAZ132" s="21"/>
      <c r="PBA132" s="21"/>
      <c r="PBB132" s="21"/>
      <c r="PBC132" s="21"/>
      <c r="PBD132" s="20"/>
      <c r="PBE132" s="20"/>
      <c r="PBF132" s="20"/>
      <c r="PBG132" s="20"/>
      <c r="PBH132" s="21"/>
      <c r="PBI132" s="21"/>
      <c r="PBJ132" s="7"/>
      <c r="PBK132" s="7"/>
      <c r="PBL132" s="21"/>
      <c r="PBM132" s="20"/>
      <c r="PBN132" s="20"/>
      <c r="PBO132" s="20"/>
      <c r="PBP132" s="21"/>
      <c r="PBQ132" s="21"/>
      <c r="PBR132" s="21"/>
      <c r="PBS132" s="21"/>
      <c r="PBT132" s="21"/>
      <c r="PBU132" s="20"/>
      <c r="PBV132" s="20"/>
      <c r="PBW132" s="20"/>
      <c r="PBX132" s="20"/>
      <c r="PBY132" s="21"/>
      <c r="PBZ132" s="21"/>
      <c r="PCA132" s="7"/>
      <c r="PCB132" s="7"/>
      <c r="PCC132" s="21"/>
      <c r="PCD132" s="20"/>
      <c r="PCE132" s="20"/>
      <c r="PCF132" s="20"/>
      <c r="PCG132" s="21"/>
      <c r="PCH132" s="21"/>
      <c r="PCI132" s="21"/>
      <c r="PCJ132" s="21"/>
      <c r="PCK132" s="21"/>
      <c r="PCL132" s="20"/>
      <c r="PCM132" s="20"/>
      <c r="PCN132" s="20"/>
      <c r="PCO132" s="20"/>
      <c r="PCP132" s="21"/>
      <c r="PCQ132" s="21"/>
      <c r="PCR132" s="7"/>
      <c r="PCS132" s="7"/>
      <c r="PCT132" s="21"/>
      <c r="PCU132" s="20"/>
      <c r="PCV132" s="20"/>
      <c r="PCW132" s="20"/>
      <c r="PCX132" s="21"/>
      <c r="PCY132" s="21"/>
      <c r="PCZ132" s="21"/>
      <c r="PDA132" s="21"/>
      <c r="PDB132" s="21"/>
      <c r="PDC132" s="20"/>
      <c r="PDD132" s="20"/>
      <c r="PDE132" s="20"/>
      <c r="PDF132" s="20"/>
      <c r="PDG132" s="21"/>
      <c r="PDH132" s="21"/>
      <c r="PDI132" s="7"/>
      <c r="PDJ132" s="7"/>
      <c r="PDK132" s="21"/>
      <c r="PDL132" s="20"/>
      <c r="PDM132" s="20"/>
      <c r="PDN132" s="20"/>
      <c r="PDO132" s="21"/>
      <c r="PDP132" s="21"/>
      <c r="PDQ132" s="21"/>
      <c r="PDR132" s="21"/>
      <c r="PDS132" s="21"/>
      <c r="PDT132" s="20"/>
      <c r="PDU132" s="20"/>
      <c r="PDV132" s="20"/>
      <c r="PDW132" s="20"/>
      <c r="PDX132" s="21"/>
      <c r="PDY132" s="21"/>
      <c r="PDZ132" s="7"/>
      <c r="PEA132" s="7"/>
      <c r="PEB132" s="21"/>
      <c r="PEC132" s="20"/>
      <c r="PED132" s="20"/>
      <c r="PEE132" s="20"/>
      <c r="PEF132" s="21"/>
      <c r="PEG132" s="21"/>
      <c r="PEH132" s="21"/>
      <c r="PEI132" s="21"/>
      <c r="PEJ132" s="21"/>
      <c r="PEK132" s="20"/>
      <c r="PEL132" s="20"/>
      <c r="PEM132" s="20"/>
      <c r="PEN132" s="20"/>
      <c r="PEO132" s="21"/>
      <c r="PEP132" s="21"/>
      <c r="PEQ132" s="7"/>
      <c r="PER132" s="7"/>
      <c r="PES132" s="21"/>
      <c r="PET132" s="20"/>
      <c r="PEU132" s="20"/>
      <c r="PEV132" s="20"/>
      <c r="PEW132" s="21"/>
      <c r="PEX132" s="21"/>
      <c r="PEY132" s="21"/>
      <c r="PEZ132" s="21"/>
      <c r="PFA132" s="21"/>
      <c r="PFB132" s="20"/>
      <c r="PFC132" s="20"/>
      <c r="PFD132" s="20"/>
      <c r="PFE132" s="20"/>
      <c r="PFF132" s="21"/>
      <c r="PFG132" s="21"/>
      <c r="PFH132" s="7"/>
      <c r="PFI132" s="7"/>
      <c r="PFJ132" s="21"/>
      <c r="PFK132" s="20"/>
      <c r="PFL132" s="20"/>
      <c r="PFM132" s="20"/>
      <c r="PFN132" s="21"/>
      <c r="PFO132" s="21"/>
      <c r="PFP132" s="21"/>
      <c r="PFQ132" s="21"/>
      <c r="PFR132" s="21"/>
      <c r="PFS132" s="20"/>
      <c r="PFT132" s="20"/>
      <c r="PFU132" s="20"/>
      <c r="PFV132" s="20"/>
      <c r="PFW132" s="21"/>
      <c r="PFX132" s="21"/>
      <c r="PFY132" s="7"/>
      <c r="PFZ132" s="7"/>
      <c r="PGA132" s="21"/>
      <c r="PGB132" s="20"/>
      <c r="PGC132" s="20"/>
      <c r="PGD132" s="20"/>
      <c r="PGE132" s="21"/>
      <c r="PGF132" s="21"/>
      <c r="PGG132" s="21"/>
      <c r="PGH132" s="21"/>
      <c r="PGI132" s="21"/>
      <c r="PGJ132" s="20"/>
      <c r="PGK132" s="20"/>
      <c r="PGL132" s="20"/>
      <c r="PGM132" s="20"/>
      <c r="PGN132" s="21"/>
      <c r="PGO132" s="21"/>
      <c r="PGP132" s="7"/>
      <c r="PGQ132" s="7"/>
      <c r="PGR132" s="21"/>
      <c r="PGS132" s="20"/>
      <c r="PGT132" s="20"/>
      <c r="PGU132" s="20"/>
      <c r="PGV132" s="21"/>
      <c r="PGW132" s="21"/>
      <c r="PGX132" s="21"/>
      <c r="PGY132" s="21"/>
      <c r="PGZ132" s="21"/>
      <c r="PHA132" s="20"/>
      <c r="PHB132" s="20"/>
      <c r="PHC132" s="20"/>
      <c r="PHD132" s="20"/>
      <c r="PHE132" s="21"/>
      <c r="PHF132" s="21"/>
      <c r="PHG132" s="7"/>
      <c r="PHH132" s="7"/>
      <c r="PHI132" s="21"/>
      <c r="PHJ132" s="20"/>
      <c r="PHK132" s="20"/>
      <c r="PHL132" s="20"/>
      <c r="PHM132" s="21"/>
      <c r="PHN132" s="21"/>
      <c r="PHO132" s="21"/>
      <c r="PHP132" s="21"/>
      <c r="PHQ132" s="21"/>
      <c r="PHR132" s="20"/>
      <c r="PHS132" s="20"/>
      <c r="PHT132" s="20"/>
      <c r="PHU132" s="20"/>
      <c r="PHV132" s="21"/>
      <c r="PHW132" s="21"/>
      <c r="PHX132" s="7"/>
      <c r="PHY132" s="7"/>
      <c r="PHZ132" s="21"/>
      <c r="PIA132" s="20"/>
      <c r="PIB132" s="20"/>
      <c r="PIC132" s="20"/>
      <c r="PID132" s="21"/>
      <c r="PIE132" s="21"/>
      <c r="PIF132" s="21"/>
      <c r="PIG132" s="21"/>
      <c r="PIH132" s="21"/>
      <c r="PII132" s="20"/>
      <c r="PIJ132" s="20"/>
      <c r="PIK132" s="20"/>
      <c r="PIL132" s="20"/>
      <c r="PIM132" s="21"/>
      <c r="PIN132" s="21"/>
      <c r="PIO132" s="7"/>
      <c r="PIP132" s="7"/>
      <c r="PIQ132" s="21"/>
      <c r="PIR132" s="20"/>
      <c r="PIS132" s="20"/>
      <c r="PIT132" s="20"/>
      <c r="PIU132" s="21"/>
      <c r="PIV132" s="21"/>
      <c r="PIW132" s="21"/>
      <c r="PIX132" s="21"/>
      <c r="PIY132" s="21"/>
      <c r="PIZ132" s="20"/>
      <c r="PJA132" s="20"/>
      <c r="PJB132" s="20"/>
      <c r="PJC132" s="20"/>
      <c r="PJD132" s="21"/>
      <c r="PJE132" s="21"/>
      <c r="PJF132" s="7"/>
      <c r="PJG132" s="7"/>
      <c r="PJH132" s="21"/>
      <c r="PJI132" s="20"/>
      <c r="PJJ132" s="20"/>
      <c r="PJK132" s="20"/>
      <c r="PJL132" s="21"/>
      <c r="PJM132" s="21"/>
      <c r="PJN132" s="21"/>
      <c r="PJO132" s="21"/>
      <c r="PJP132" s="21"/>
      <c r="PJQ132" s="20"/>
      <c r="PJR132" s="20"/>
      <c r="PJS132" s="20"/>
      <c r="PJT132" s="20"/>
      <c r="PJU132" s="21"/>
      <c r="PJV132" s="21"/>
      <c r="PJW132" s="7"/>
      <c r="PJX132" s="7"/>
      <c r="PJY132" s="21"/>
      <c r="PJZ132" s="20"/>
      <c r="PKA132" s="20"/>
      <c r="PKB132" s="20"/>
      <c r="PKC132" s="21"/>
      <c r="PKD132" s="21"/>
      <c r="PKE132" s="21"/>
      <c r="PKF132" s="21"/>
      <c r="PKG132" s="21"/>
      <c r="PKH132" s="20"/>
      <c r="PKI132" s="20"/>
      <c r="PKJ132" s="20"/>
      <c r="PKK132" s="20"/>
      <c r="PKL132" s="21"/>
      <c r="PKM132" s="21"/>
      <c r="PKN132" s="7"/>
      <c r="PKO132" s="7"/>
      <c r="PKP132" s="21"/>
      <c r="PKQ132" s="20"/>
      <c r="PKR132" s="20"/>
      <c r="PKS132" s="20"/>
      <c r="PKT132" s="21"/>
      <c r="PKU132" s="21"/>
      <c r="PKV132" s="21"/>
      <c r="PKW132" s="21"/>
      <c r="PKX132" s="21"/>
      <c r="PKY132" s="20"/>
      <c r="PKZ132" s="20"/>
      <c r="PLA132" s="20"/>
      <c r="PLB132" s="20"/>
      <c r="PLC132" s="21"/>
      <c r="PLD132" s="21"/>
      <c r="PLE132" s="7"/>
      <c r="PLF132" s="7"/>
      <c r="PLG132" s="21"/>
      <c r="PLH132" s="20"/>
      <c r="PLI132" s="20"/>
      <c r="PLJ132" s="20"/>
      <c r="PLK132" s="21"/>
      <c r="PLL132" s="21"/>
      <c r="PLM132" s="21"/>
      <c r="PLN132" s="21"/>
      <c r="PLO132" s="21"/>
      <c r="PLP132" s="20"/>
      <c r="PLQ132" s="20"/>
      <c r="PLR132" s="20"/>
      <c r="PLS132" s="20"/>
      <c r="PLT132" s="21"/>
      <c r="PLU132" s="21"/>
      <c r="PLV132" s="7"/>
      <c r="PLW132" s="7"/>
      <c r="PLX132" s="21"/>
      <c r="PLY132" s="20"/>
      <c r="PLZ132" s="20"/>
      <c r="PMA132" s="20"/>
      <c r="PMB132" s="21"/>
      <c r="PMC132" s="21"/>
      <c r="PMD132" s="21"/>
      <c r="PME132" s="21"/>
      <c r="PMF132" s="21"/>
      <c r="PMG132" s="20"/>
      <c r="PMH132" s="20"/>
      <c r="PMI132" s="20"/>
      <c r="PMJ132" s="20"/>
      <c r="PMK132" s="21"/>
      <c r="PML132" s="21"/>
      <c r="PMM132" s="7"/>
      <c r="PMN132" s="7"/>
      <c r="PMO132" s="21"/>
      <c r="PMP132" s="20"/>
      <c r="PMQ132" s="20"/>
      <c r="PMR132" s="20"/>
      <c r="PMS132" s="21"/>
      <c r="PMT132" s="21"/>
      <c r="PMU132" s="21"/>
      <c r="PMV132" s="21"/>
      <c r="PMW132" s="21"/>
      <c r="PMX132" s="20"/>
      <c r="PMY132" s="20"/>
      <c r="PMZ132" s="20"/>
      <c r="PNA132" s="20"/>
      <c r="PNB132" s="21"/>
      <c r="PNC132" s="21"/>
      <c r="PND132" s="7"/>
      <c r="PNE132" s="7"/>
      <c r="PNF132" s="21"/>
      <c r="PNG132" s="20"/>
      <c r="PNH132" s="20"/>
      <c r="PNI132" s="20"/>
      <c r="PNJ132" s="21"/>
      <c r="PNK132" s="21"/>
      <c r="PNL132" s="21"/>
      <c r="PNM132" s="21"/>
      <c r="PNN132" s="21"/>
      <c r="PNO132" s="20"/>
      <c r="PNP132" s="20"/>
      <c r="PNQ132" s="20"/>
      <c r="PNR132" s="20"/>
      <c r="PNS132" s="21"/>
      <c r="PNT132" s="21"/>
      <c r="PNU132" s="7"/>
      <c r="PNV132" s="7"/>
      <c r="PNW132" s="21"/>
      <c r="PNX132" s="20"/>
      <c r="PNY132" s="20"/>
      <c r="PNZ132" s="20"/>
      <c r="POA132" s="21"/>
      <c r="POB132" s="21"/>
      <c r="POC132" s="21"/>
      <c r="POD132" s="21"/>
      <c r="POE132" s="21"/>
      <c r="POF132" s="20"/>
      <c r="POG132" s="20"/>
      <c r="POH132" s="20"/>
      <c r="POI132" s="20"/>
      <c r="POJ132" s="21"/>
      <c r="POK132" s="21"/>
      <c r="POL132" s="7"/>
      <c r="POM132" s="7"/>
      <c r="PON132" s="21"/>
      <c r="POO132" s="20"/>
      <c r="POP132" s="20"/>
      <c r="POQ132" s="20"/>
      <c r="POR132" s="21"/>
      <c r="POS132" s="21"/>
      <c r="POT132" s="21"/>
      <c r="POU132" s="21"/>
      <c r="POV132" s="21"/>
      <c r="POW132" s="20"/>
      <c r="POX132" s="20"/>
      <c r="POY132" s="20"/>
      <c r="POZ132" s="20"/>
      <c r="PPA132" s="21"/>
      <c r="PPB132" s="21"/>
      <c r="PPC132" s="7"/>
      <c r="PPD132" s="7"/>
      <c r="PPE132" s="21"/>
      <c r="PPF132" s="20"/>
      <c r="PPG132" s="20"/>
      <c r="PPH132" s="20"/>
      <c r="PPI132" s="21"/>
      <c r="PPJ132" s="21"/>
      <c r="PPK132" s="21"/>
      <c r="PPL132" s="21"/>
      <c r="PPM132" s="21"/>
      <c r="PPN132" s="20"/>
      <c r="PPO132" s="20"/>
      <c r="PPP132" s="20"/>
      <c r="PPQ132" s="20"/>
      <c r="PPR132" s="21"/>
      <c r="PPS132" s="21"/>
      <c r="PPT132" s="7"/>
      <c r="PPU132" s="7"/>
      <c r="PPV132" s="21"/>
      <c r="PPW132" s="20"/>
      <c r="PPX132" s="20"/>
      <c r="PPY132" s="20"/>
      <c r="PPZ132" s="21"/>
      <c r="PQA132" s="21"/>
      <c r="PQB132" s="21"/>
      <c r="PQC132" s="21"/>
      <c r="PQD132" s="21"/>
      <c r="PQE132" s="20"/>
      <c r="PQF132" s="20"/>
      <c r="PQG132" s="20"/>
      <c r="PQH132" s="20"/>
      <c r="PQI132" s="21"/>
      <c r="PQJ132" s="21"/>
      <c r="PQK132" s="7"/>
      <c r="PQL132" s="7"/>
      <c r="PQM132" s="21"/>
      <c r="PQN132" s="20"/>
      <c r="PQO132" s="20"/>
      <c r="PQP132" s="20"/>
      <c r="PQQ132" s="21"/>
      <c r="PQR132" s="21"/>
      <c r="PQS132" s="21"/>
      <c r="PQT132" s="21"/>
      <c r="PQU132" s="21"/>
      <c r="PQV132" s="20"/>
      <c r="PQW132" s="20"/>
      <c r="PQX132" s="20"/>
      <c r="PQY132" s="20"/>
      <c r="PQZ132" s="21"/>
      <c r="PRA132" s="21"/>
      <c r="PRB132" s="7"/>
      <c r="PRC132" s="7"/>
      <c r="PRD132" s="21"/>
      <c r="PRE132" s="20"/>
      <c r="PRF132" s="20"/>
      <c r="PRG132" s="20"/>
      <c r="PRH132" s="21"/>
      <c r="PRI132" s="21"/>
      <c r="PRJ132" s="21"/>
      <c r="PRK132" s="21"/>
      <c r="PRL132" s="21"/>
      <c r="PRM132" s="20"/>
      <c r="PRN132" s="20"/>
      <c r="PRO132" s="20"/>
      <c r="PRP132" s="20"/>
      <c r="PRQ132" s="21"/>
      <c r="PRR132" s="21"/>
      <c r="PRS132" s="7"/>
      <c r="PRT132" s="7"/>
      <c r="PRU132" s="21"/>
      <c r="PRV132" s="20"/>
      <c r="PRW132" s="20"/>
      <c r="PRX132" s="20"/>
      <c r="PRY132" s="21"/>
      <c r="PRZ132" s="21"/>
      <c r="PSA132" s="21"/>
      <c r="PSB132" s="21"/>
      <c r="PSC132" s="21"/>
      <c r="PSD132" s="20"/>
      <c r="PSE132" s="20"/>
      <c r="PSF132" s="20"/>
      <c r="PSG132" s="20"/>
      <c r="PSH132" s="21"/>
      <c r="PSI132" s="21"/>
      <c r="PSJ132" s="7"/>
      <c r="PSK132" s="7"/>
      <c r="PSL132" s="21"/>
      <c r="PSM132" s="20"/>
      <c r="PSN132" s="20"/>
      <c r="PSO132" s="20"/>
      <c r="PSP132" s="21"/>
      <c r="PSQ132" s="21"/>
      <c r="PSR132" s="21"/>
      <c r="PSS132" s="21"/>
      <c r="PST132" s="21"/>
      <c r="PSU132" s="20"/>
      <c r="PSV132" s="20"/>
      <c r="PSW132" s="20"/>
      <c r="PSX132" s="20"/>
      <c r="PSY132" s="21"/>
      <c r="PSZ132" s="21"/>
      <c r="PTA132" s="7"/>
      <c r="PTB132" s="7"/>
      <c r="PTC132" s="21"/>
      <c r="PTD132" s="20"/>
      <c r="PTE132" s="20"/>
      <c r="PTF132" s="20"/>
      <c r="PTG132" s="21"/>
      <c r="PTH132" s="21"/>
      <c r="PTI132" s="21"/>
      <c r="PTJ132" s="21"/>
      <c r="PTK132" s="21"/>
      <c r="PTL132" s="20"/>
      <c r="PTM132" s="20"/>
      <c r="PTN132" s="20"/>
      <c r="PTO132" s="20"/>
      <c r="PTP132" s="21"/>
      <c r="PTQ132" s="21"/>
      <c r="PTR132" s="7"/>
      <c r="PTS132" s="7"/>
      <c r="PTT132" s="21"/>
      <c r="PTU132" s="20"/>
      <c r="PTV132" s="20"/>
      <c r="PTW132" s="20"/>
      <c r="PTX132" s="21"/>
      <c r="PTY132" s="21"/>
      <c r="PTZ132" s="21"/>
      <c r="PUA132" s="21"/>
      <c r="PUB132" s="21"/>
      <c r="PUC132" s="20"/>
      <c r="PUD132" s="20"/>
      <c r="PUE132" s="20"/>
      <c r="PUF132" s="20"/>
      <c r="PUG132" s="21"/>
      <c r="PUH132" s="21"/>
      <c r="PUI132" s="7"/>
      <c r="PUJ132" s="7"/>
      <c r="PUK132" s="21"/>
      <c r="PUL132" s="20"/>
      <c r="PUM132" s="20"/>
      <c r="PUN132" s="20"/>
      <c r="PUO132" s="21"/>
      <c r="PUP132" s="21"/>
      <c r="PUQ132" s="21"/>
      <c r="PUR132" s="21"/>
      <c r="PUS132" s="21"/>
      <c r="PUT132" s="20"/>
      <c r="PUU132" s="20"/>
      <c r="PUV132" s="20"/>
      <c r="PUW132" s="20"/>
      <c r="PUX132" s="21"/>
      <c r="PUY132" s="21"/>
      <c r="PUZ132" s="7"/>
      <c r="PVA132" s="7"/>
      <c r="PVB132" s="21"/>
      <c r="PVC132" s="20"/>
      <c r="PVD132" s="20"/>
      <c r="PVE132" s="20"/>
      <c r="PVF132" s="21"/>
      <c r="PVG132" s="21"/>
      <c r="PVH132" s="21"/>
      <c r="PVI132" s="21"/>
      <c r="PVJ132" s="21"/>
      <c r="PVK132" s="20"/>
      <c r="PVL132" s="20"/>
      <c r="PVM132" s="20"/>
      <c r="PVN132" s="20"/>
      <c r="PVO132" s="21"/>
      <c r="PVP132" s="21"/>
      <c r="PVQ132" s="7"/>
      <c r="PVR132" s="7"/>
      <c r="PVS132" s="21"/>
      <c r="PVT132" s="20"/>
      <c r="PVU132" s="20"/>
      <c r="PVV132" s="20"/>
      <c r="PVW132" s="21"/>
      <c r="PVX132" s="21"/>
      <c r="PVY132" s="21"/>
      <c r="PVZ132" s="21"/>
      <c r="PWA132" s="21"/>
      <c r="PWB132" s="20"/>
      <c r="PWC132" s="20"/>
      <c r="PWD132" s="20"/>
      <c r="PWE132" s="20"/>
      <c r="PWF132" s="21"/>
      <c r="PWG132" s="21"/>
      <c r="PWH132" s="7"/>
      <c r="PWI132" s="7"/>
      <c r="PWJ132" s="21"/>
      <c r="PWK132" s="20"/>
      <c r="PWL132" s="20"/>
      <c r="PWM132" s="20"/>
      <c r="PWN132" s="21"/>
      <c r="PWO132" s="21"/>
      <c r="PWP132" s="21"/>
      <c r="PWQ132" s="21"/>
      <c r="PWR132" s="21"/>
      <c r="PWS132" s="20"/>
      <c r="PWT132" s="20"/>
      <c r="PWU132" s="20"/>
      <c r="PWV132" s="20"/>
      <c r="PWW132" s="21"/>
      <c r="PWX132" s="21"/>
      <c r="PWY132" s="7"/>
      <c r="PWZ132" s="7"/>
      <c r="PXA132" s="21"/>
      <c r="PXB132" s="20"/>
      <c r="PXC132" s="20"/>
      <c r="PXD132" s="20"/>
      <c r="PXE132" s="21"/>
      <c r="PXF132" s="21"/>
      <c r="PXG132" s="21"/>
      <c r="PXH132" s="21"/>
      <c r="PXI132" s="21"/>
      <c r="PXJ132" s="20"/>
      <c r="PXK132" s="20"/>
      <c r="PXL132" s="20"/>
      <c r="PXM132" s="20"/>
      <c r="PXN132" s="21"/>
      <c r="PXO132" s="21"/>
      <c r="PXP132" s="7"/>
      <c r="PXQ132" s="7"/>
      <c r="PXR132" s="21"/>
      <c r="PXS132" s="20"/>
      <c r="PXT132" s="20"/>
      <c r="PXU132" s="20"/>
      <c r="PXV132" s="21"/>
      <c r="PXW132" s="21"/>
      <c r="PXX132" s="21"/>
      <c r="PXY132" s="21"/>
      <c r="PXZ132" s="21"/>
      <c r="PYA132" s="20"/>
      <c r="PYB132" s="20"/>
      <c r="PYC132" s="20"/>
      <c r="PYD132" s="20"/>
      <c r="PYE132" s="21"/>
      <c r="PYF132" s="21"/>
      <c r="PYG132" s="7"/>
      <c r="PYH132" s="7"/>
      <c r="PYI132" s="21"/>
      <c r="PYJ132" s="20"/>
      <c r="PYK132" s="20"/>
      <c r="PYL132" s="20"/>
      <c r="PYM132" s="21"/>
      <c r="PYN132" s="21"/>
      <c r="PYO132" s="21"/>
      <c r="PYP132" s="21"/>
      <c r="PYQ132" s="21"/>
      <c r="PYR132" s="20"/>
      <c r="PYS132" s="20"/>
      <c r="PYT132" s="20"/>
      <c r="PYU132" s="20"/>
      <c r="PYV132" s="21"/>
      <c r="PYW132" s="21"/>
      <c r="PYX132" s="7"/>
      <c r="PYY132" s="7"/>
      <c r="PYZ132" s="21"/>
      <c r="PZA132" s="20"/>
      <c r="PZB132" s="20"/>
      <c r="PZC132" s="20"/>
      <c r="PZD132" s="21"/>
      <c r="PZE132" s="21"/>
      <c r="PZF132" s="21"/>
      <c r="PZG132" s="21"/>
      <c r="PZH132" s="21"/>
      <c r="PZI132" s="20"/>
      <c r="PZJ132" s="20"/>
      <c r="PZK132" s="20"/>
      <c r="PZL132" s="20"/>
      <c r="PZM132" s="21"/>
      <c r="PZN132" s="21"/>
      <c r="PZO132" s="7"/>
      <c r="PZP132" s="7"/>
      <c r="PZQ132" s="21"/>
      <c r="PZR132" s="20"/>
      <c r="PZS132" s="20"/>
      <c r="PZT132" s="20"/>
      <c r="PZU132" s="21"/>
      <c r="PZV132" s="21"/>
      <c r="PZW132" s="21"/>
      <c r="PZX132" s="21"/>
      <c r="PZY132" s="21"/>
      <c r="PZZ132" s="20"/>
      <c r="QAA132" s="20"/>
      <c r="QAB132" s="20"/>
      <c r="QAC132" s="20"/>
      <c r="QAD132" s="21"/>
      <c r="QAE132" s="21"/>
      <c r="QAF132" s="7"/>
      <c r="QAG132" s="7"/>
      <c r="QAH132" s="21"/>
      <c r="QAI132" s="20"/>
      <c r="QAJ132" s="20"/>
      <c r="QAK132" s="20"/>
      <c r="QAL132" s="21"/>
      <c r="QAM132" s="21"/>
      <c r="QAN132" s="21"/>
      <c r="QAO132" s="21"/>
      <c r="QAP132" s="21"/>
      <c r="QAQ132" s="20"/>
      <c r="QAR132" s="20"/>
      <c r="QAS132" s="20"/>
      <c r="QAT132" s="20"/>
      <c r="QAU132" s="21"/>
      <c r="QAV132" s="21"/>
      <c r="QAW132" s="7"/>
      <c r="QAX132" s="7"/>
      <c r="QAY132" s="21"/>
      <c r="QAZ132" s="20"/>
      <c r="QBA132" s="20"/>
      <c r="QBB132" s="20"/>
      <c r="QBC132" s="21"/>
      <c r="QBD132" s="21"/>
      <c r="QBE132" s="21"/>
      <c r="QBF132" s="21"/>
      <c r="QBG132" s="21"/>
      <c r="QBH132" s="20"/>
      <c r="QBI132" s="20"/>
      <c r="QBJ132" s="20"/>
      <c r="QBK132" s="20"/>
      <c r="QBL132" s="21"/>
      <c r="QBM132" s="21"/>
      <c r="QBN132" s="7"/>
      <c r="QBO132" s="7"/>
      <c r="QBP132" s="21"/>
      <c r="QBQ132" s="20"/>
      <c r="QBR132" s="20"/>
      <c r="QBS132" s="20"/>
      <c r="QBT132" s="21"/>
      <c r="QBU132" s="21"/>
      <c r="QBV132" s="21"/>
      <c r="QBW132" s="21"/>
      <c r="QBX132" s="21"/>
      <c r="QBY132" s="20"/>
      <c r="QBZ132" s="20"/>
      <c r="QCA132" s="20"/>
      <c r="QCB132" s="20"/>
      <c r="QCC132" s="21"/>
      <c r="QCD132" s="21"/>
      <c r="QCE132" s="7"/>
      <c r="QCF132" s="7"/>
      <c r="QCG132" s="21"/>
      <c r="QCH132" s="20"/>
      <c r="QCI132" s="20"/>
      <c r="QCJ132" s="20"/>
      <c r="QCK132" s="21"/>
      <c r="QCL132" s="21"/>
      <c r="QCM132" s="21"/>
      <c r="QCN132" s="21"/>
      <c r="QCO132" s="21"/>
      <c r="QCP132" s="20"/>
      <c r="QCQ132" s="20"/>
      <c r="QCR132" s="20"/>
      <c r="QCS132" s="20"/>
      <c r="QCT132" s="21"/>
      <c r="QCU132" s="21"/>
      <c r="QCV132" s="7"/>
      <c r="QCW132" s="7"/>
      <c r="QCX132" s="21"/>
      <c r="QCY132" s="20"/>
      <c r="QCZ132" s="20"/>
      <c r="QDA132" s="20"/>
      <c r="QDB132" s="21"/>
      <c r="QDC132" s="21"/>
      <c r="QDD132" s="21"/>
      <c r="QDE132" s="21"/>
      <c r="QDF132" s="21"/>
      <c r="QDG132" s="20"/>
      <c r="QDH132" s="20"/>
      <c r="QDI132" s="20"/>
      <c r="QDJ132" s="20"/>
      <c r="QDK132" s="21"/>
      <c r="QDL132" s="21"/>
      <c r="QDM132" s="7"/>
      <c r="QDN132" s="7"/>
      <c r="QDO132" s="21"/>
      <c r="QDP132" s="20"/>
      <c r="QDQ132" s="20"/>
      <c r="QDR132" s="20"/>
      <c r="QDS132" s="21"/>
      <c r="QDT132" s="21"/>
      <c r="QDU132" s="21"/>
      <c r="QDV132" s="21"/>
      <c r="QDW132" s="21"/>
      <c r="QDX132" s="20"/>
      <c r="QDY132" s="20"/>
      <c r="QDZ132" s="20"/>
      <c r="QEA132" s="20"/>
      <c r="QEB132" s="21"/>
      <c r="QEC132" s="21"/>
      <c r="QED132" s="7"/>
      <c r="QEE132" s="7"/>
      <c r="QEF132" s="21"/>
      <c r="QEG132" s="20"/>
      <c r="QEH132" s="20"/>
      <c r="QEI132" s="20"/>
      <c r="QEJ132" s="21"/>
      <c r="QEK132" s="21"/>
      <c r="QEL132" s="21"/>
      <c r="QEM132" s="21"/>
      <c r="QEN132" s="21"/>
      <c r="QEO132" s="20"/>
      <c r="QEP132" s="20"/>
      <c r="QEQ132" s="20"/>
      <c r="QER132" s="20"/>
      <c r="QES132" s="21"/>
      <c r="QET132" s="21"/>
      <c r="QEU132" s="7"/>
      <c r="QEV132" s="7"/>
      <c r="QEW132" s="21"/>
      <c r="QEX132" s="20"/>
      <c r="QEY132" s="20"/>
      <c r="QEZ132" s="20"/>
      <c r="QFA132" s="21"/>
      <c r="QFB132" s="21"/>
      <c r="QFC132" s="21"/>
      <c r="QFD132" s="21"/>
      <c r="QFE132" s="21"/>
      <c r="QFF132" s="20"/>
      <c r="QFG132" s="20"/>
      <c r="QFH132" s="20"/>
      <c r="QFI132" s="20"/>
      <c r="QFJ132" s="21"/>
      <c r="QFK132" s="21"/>
      <c r="QFL132" s="7"/>
      <c r="QFM132" s="7"/>
      <c r="QFN132" s="21"/>
      <c r="QFO132" s="20"/>
      <c r="QFP132" s="20"/>
      <c r="QFQ132" s="20"/>
      <c r="QFR132" s="21"/>
      <c r="QFS132" s="21"/>
      <c r="QFT132" s="21"/>
      <c r="QFU132" s="21"/>
      <c r="QFV132" s="21"/>
      <c r="QFW132" s="20"/>
      <c r="QFX132" s="20"/>
      <c r="QFY132" s="20"/>
      <c r="QFZ132" s="20"/>
      <c r="QGA132" s="21"/>
      <c r="QGB132" s="21"/>
      <c r="QGC132" s="7"/>
      <c r="QGD132" s="7"/>
      <c r="QGE132" s="21"/>
      <c r="QGF132" s="20"/>
      <c r="QGG132" s="20"/>
      <c r="QGH132" s="20"/>
      <c r="QGI132" s="21"/>
      <c r="QGJ132" s="21"/>
      <c r="QGK132" s="21"/>
      <c r="QGL132" s="21"/>
      <c r="QGM132" s="21"/>
      <c r="QGN132" s="20"/>
      <c r="QGO132" s="20"/>
      <c r="QGP132" s="20"/>
      <c r="QGQ132" s="20"/>
      <c r="QGR132" s="21"/>
      <c r="QGS132" s="21"/>
      <c r="QGT132" s="7"/>
      <c r="QGU132" s="7"/>
      <c r="QGV132" s="21"/>
      <c r="QGW132" s="20"/>
      <c r="QGX132" s="20"/>
      <c r="QGY132" s="20"/>
      <c r="QGZ132" s="21"/>
      <c r="QHA132" s="21"/>
      <c r="QHB132" s="21"/>
      <c r="QHC132" s="21"/>
      <c r="QHD132" s="21"/>
      <c r="QHE132" s="20"/>
      <c r="QHF132" s="20"/>
      <c r="QHG132" s="20"/>
      <c r="QHH132" s="20"/>
      <c r="QHI132" s="21"/>
      <c r="QHJ132" s="21"/>
      <c r="QHK132" s="7"/>
      <c r="QHL132" s="7"/>
      <c r="QHM132" s="21"/>
      <c r="QHN132" s="20"/>
      <c r="QHO132" s="20"/>
      <c r="QHP132" s="20"/>
      <c r="QHQ132" s="21"/>
      <c r="QHR132" s="21"/>
      <c r="QHS132" s="21"/>
      <c r="QHT132" s="21"/>
      <c r="QHU132" s="21"/>
      <c r="QHV132" s="20"/>
      <c r="QHW132" s="20"/>
      <c r="QHX132" s="20"/>
      <c r="QHY132" s="20"/>
      <c r="QHZ132" s="21"/>
      <c r="QIA132" s="21"/>
      <c r="QIB132" s="7"/>
      <c r="QIC132" s="7"/>
      <c r="QID132" s="21"/>
      <c r="QIE132" s="20"/>
      <c r="QIF132" s="20"/>
      <c r="QIG132" s="20"/>
      <c r="QIH132" s="21"/>
      <c r="QII132" s="21"/>
      <c r="QIJ132" s="21"/>
      <c r="QIK132" s="21"/>
      <c r="QIL132" s="21"/>
      <c r="QIM132" s="20"/>
      <c r="QIN132" s="20"/>
      <c r="QIO132" s="20"/>
      <c r="QIP132" s="20"/>
      <c r="QIQ132" s="21"/>
      <c r="QIR132" s="21"/>
      <c r="QIS132" s="7"/>
      <c r="QIT132" s="7"/>
      <c r="QIU132" s="21"/>
      <c r="QIV132" s="20"/>
      <c r="QIW132" s="20"/>
      <c r="QIX132" s="20"/>
      <c r="QIY132" s="21"/>
      <c r="QIZ132" s="21"/>
      <c r="QJA132" s="21"/>
      <c r="QJB132" s="21"/>
      <c r="QJC132" s="21"/>
      <c r="QJD132" s="20"/>
      <c r="QJE132" s="20"/>
      <c r="QJF132" s="20"/>
      <c r="QJG132" s="20"/>
      <c r="QJH132" s="21"/>
      <c r="QJI132" s="21"/>
      <c r="QJJ132" s="7"/>
      <c r="QJK132" s="7"/>
      <c r="QJL132" s="21"/>
      <c r="QJM132" s="20"/>
      <c r="QJN132" s="20"/>
      <c r="QJO132" s="20"/>
      <c r="QJP132" s="21"/>
      <c r="QJQ132" s="21"/>
      <c r="QJR132" s="21"/>
      <c r="QJS132" s="21"/>
      <c r="QJT132" s="21"/>
      <c r="QJU132" s="20"/>
      <c r="QJV132" s="20"/>
      <c r="QJW132" s="20"/>
      <c r="QJX132" s="20"/>
      <c r="QJY132" s="21"/>
      <c r="QJZ132" s="21"/>
      <c r="QKA132" s="7"/>
      <c r="QKB132" s="7"/>
      <c r="QKC132" s="21"/>
      <c r="QKD132" s="20"/>
      <c r="QKE132" s="20"/>
      <c r="QKF132" s="20"/>
      <c r="QKG132" s="21"/>
      <c r="QKH132" s="21"/>
      <c r="QKI132" s="21"/>
      <c r="QKJ132" s="21"/>
      <c r="QKK132" s="21"/>
      <c r="QKL132" s="20"/>
      <c r="QKM132" s="20"/>
      <c r="QKN132" s="20"/>
      <c r="QKO132" s="20"/>
      <c r="QKP132" s="21"/>
      <c r="QKQ132" s="21"/>
      <c r="QKR132" s="7"/>
      <c r="QKS132" s="7"/>
      <c r="QKT132" s="21"/>
      <c r="QKU132" s="20"/>
      <c r="QKV132" s="20"/>
      <c r="QKW132" s="20"/>
      <c r="QKX132" s="21"/>
      <c r="QKY132" s="21"/>
      <c r="QKZ132" s="21"/>
      <c r="QLA132" s="21"/>
      <c r="QLB132" s="21"/>
      <c r="QLC132" s="20"/>
      <c r="QLD132" s="20"/>
      <c r="QLE132" s="20"/>
      <c r="QLF132" s="20"/>
      <c r="QLG132" s="21"/>
      <c r="QLH132" s="21"/>
      <c r="QLI132" s="7"/>
      <c r="QLJ132" s="7"/>
      <c r="QLK132" s="21"/>
      <c r="QLL132" s="20"/>
      <c r="QLM132" s="20"/>
      <c r="QLN132" s="20"/>
      <c r="QLO132" s="21"/>
      <c r="QLP132" s="21"/>
      <c r="QLQ132" s="21"/>
      <c r="QLR132" s="21"/>
      <c r="QLS132" s="21"/>
      <c r="QLT132" s="20"/>
      <c r="QLU132" s="20"/>
      <c r="QLV132" s="20"/>
      <c r="QLW132" s="20"/>
      <c r="QLX132" s="21"/>
      <c r="QLY132" s="21"/>
      <c r="QLZ132" s="7"/>
      <c r="QMA132" s="7"/>
      <c r="QMB132" s="21"/>
      <c r="QMC132" s="20"/>
      <c r="QMD132" s="20"/>
      <c r="QME132" s="20"/>
      <c r="QMF132" s="21"/>
      <c r="QMG132" s="21"/>
      <c r="QMH132" s="21"/>
      <c r="QMI132" s="21"/>
      <c r="QMJ132" s="21"/>
      <c r="QMK132" s="20"/>
      <c r="QML132" s="20"/>
      <c r="QMM132" s="20"/>
      <c r="QMN132" s="20"/>
      <c r="QMO132" s="21"/>
      <c r="QMP132" s="21"/>
      <c r="QMQ132" s="7"/>
      <c r="QMR132" s="7"/>
      <c r="QMS132" s="21"/>
      <c r="QMT132" s="20"/>
      <c r="QMU132" s="20"/>
      <c r="QMV132" s="20"/>
      <c r="QMW132" s="21"/>
      <c r="QMX132" s="21"/>
      <c r="QMY132" s="21"/>
      <c r="QMZ132" s="21"/>
      <c r="QNA132" s="21"/>
      <c r="QNB132" s="20"/>
      <c r="QNC132" s="20"/>
      <c r="QND132" s="20"/>
      <c r="QNE132" s="20"/>
      <c r="QNF132" s="21"/>
      <c r="QNG132" s="21"/>
      <c r="QNH132" s="7"/>
      <c r="QNI132" s="7"/>
      <c r="QNJ132" s="21"/>
      <c r="QNK132" s="20"/>
      <c r="QNL132" s="20"/>
      <c r="QNM132" s="20"/>
      <c r="QNN132" s="21"/>
      <c r="QNO132" s="21"/>
      <c r="QNP132" s="21"/>
      <c r="QNQ132" s="21"/>
      <c r="QNR132" s="21"/>
      <c r="QNS132" s="20"/>
      <c r="QNT132" s="20"/>
      <c r="QNU132" s="20"/>
      <c r="QNV132" s="20"/>
      <c r="QNW132" s="21"/>
      <c r="QNX132" s="21"/>
      <c r="QNY132" s="7"/>
      <c r="QNZ132" s="7"/>
      <c r="QOA132" s="21"/>
      <c r="QOB132" s="20"/>
      <c r="QOC132" s="20"/>
      <c r="QOD132" s="20"/>
      <c r="QOE132" s="21"/>
      <c r="QOF132" s="21"/>
      <c r="QOG132" s="21"/>
      <c r="QOH132" s="21"/>
      <c r="QOI132" s="21"/>
      <c r="QOJ132" s="20"/>
      <c r="QOK132" s="20"/>
      <c r="QOL132" s="20"/>
      <c r="QOM132" s="20"/>
      <c r="QON132" s="21"/>
      <c r="QOO132" s="21"/>
      <c r="QOP132" s="7"/>
      <c r="QOQ132" s="7"/>
      <c r="QOR132" s="21"/>
      <c r="QOS132" s="20"/>
      <c r="QOT132" s="20"/>
      <c r="QOU132" s="20"/>
      <c r="QOV132" s="21"/>
      <c r="QOW132" s="21"/>
      <c r="QOX132" s="21"/>
      <c r="QOY132" s="21"/>
      <c r="QOZ132" s="21"/>
      <c r="QPA132" s="20"/>
      <c r="QPB132" s="20"/>
      <c r="QPC132" s="20"/>
      <c r="QPD132" s="20"/>
      <c r="QPE132" s="21"/>
      <c r="QPF132" s="21"/>
      <c r="QPG132" s="7"/>
      <c r="QPH132" s="7"/>
      <c r="QPI132" s="21"/>
      <c r="QPJ132" s="20"/>
      <c r="QPK132" s="20"/>
      <c r="QPL132" s="20"/>
      <c r="QPM132" s="21"/>
      <c r="QPN132" s="21"/>
      <c r="QPO132" s="21"/>
      <c r="QPP132" s="21"/>
      <c r="QPQ132" s="21"/>
      <c r="QPR132" s="20"/>
      <c r="QPS132" s="20"/>
      <c r="QPT132" s="20"/>
      <c r="QPU132" s="20"/>
      <c r="QPV132" s="21"/>
      <c r="QPW132" s="21"/>
      <c r="QPX132" s="7"/>
      <c r="QPY132" s="7"/>
      <c r="QPZ132" s="21"/>
      <c r="QQA132" s="20"/>
      <c r="QQB132" s="20"/>
      <c r="QQC132" s="20"/>
      <c r="QQD132" s="21"/>
      <c r="QQE132" s="21"/>
      <c r="QQF132" s="21"/>
      <c r="QQG132" s="21"/>
      <c r="QQH132" s="21"/>
      <c r="QQI132" s="20"/>
      <c r="QQJ132" s="20"/>
      <c r="QQK132" s="20"/>
      <c r="QQL132" s="20"/>
      <c r="QQM132" s="21"/>
      <c r="QQN132" s="21"/>
      <c r="QQO132" s="7"/>
      <c r="QQP132" s="7"/>
      <c r="QQQ132" s="21"/>
      <c r="QQR132" s="20"/>
      <c r="QQS132" s="20"/>
      <c r="QQT132" s="20"/>
      <c r="QQU132" s="21"/>
      <c r="QQV132" s="21"/>
      <c r="QQW132" s="21"/>
      <c r="QQX132" s="21"/>
      <c r="QQY132" s="21"/>
      <c r="QQZ132" s="20"/>
      <c r="QRA132" s="20"/>
      <c r="QRB132" s="20"/>
      <c r="QRC132" s="20"/>
      <c r="QRD132" s="21"/>
      <c r="QRE132" s="21"/>
      <c r="QRF132" s="7"/>
      <c r="QRG132" s="7"/>
      <c r="QRH132" s="21"/>
      <c r="QRI132" s="20"/>
      <c r="QRJ132" s="20"/>
      <c r="QRK132" s="20"/>
      <c r="QRL132" s="21"/>
      <c r="QRM132" s="21"/>
      <c r="QRN132" s="21"/>
      <c r="QRO132" s="21"/>
      <c r="QRP132" s="21"/>
      <c r="QRQ132" s="20"/>
      <c r="QRR132" s="20"/>
      <c r="QRS132" s="20"/>
      <c r="QRT132" s="20"/>
      <c r="QRU132" s="21"/>
      <c r="QRV132" s="21"/>
      <c r="QRW132" s="7"/>
      <c r="QRX132" s="7"/>
      <c r="QRY132" s="21"/>
      <c r="QRZ132" s="20"/>
      <c r="QSA132" s="20"/>
      <c r="QSB132" s="20"/>
      <c r="QSC132" s="21"/>
      <c r="QSD132" s="21"/>
      <c r="QSE132" s="21"/>
      <c r="QSF132" s="21"/>
      <c r="QSG132" s="21"/>
      <c r="QSH132" s="20"/>
      <c r="QSI132" s="20"/>
      <c r="QSJ132" s="20"/>
      <c r="QSK132" s="20"/>
      <c r="QSL132" s="21"/>
      <c r="QSM132" s="21"/>
      <c r="QSN132" s="7"/>
      <c r="QSO132" s="7"/>
      <c r="QSP132" s="21"/>
      <c r="QSQ132" s="20"/>
      <c r="QSR132" s="20"/>
      <c r="QSS132" s="20"/>
      <c r="QST132" s="21"/>
      <c r="QSU132" s="21"/>
      <c r="QSV132" s="21"/>
      <c r="QSW132" s="21"/>
      <c r="QSX132" s="21"/>
      <c r="QSY132" s="20"/>
      <c r="QSZ132" s="20"/>
      <c r="QTA132" s="20"/>
      <c r="QTB132" s="20"/>
      <c r="QTC132" s="21"/>
      <c r="QTD132" s="21"/>
      <c r="QTE132" s="7"/>
      <c r="QTF132" s="7"/>
      <c r="QTG132" s="21"/>
      <c r="QTH132" s="20"/>
      <c r="QTI132" s="20"/>
      <c r="QTJ132" s="20"/>
      <c r="QTK132" s="21"/>
      <c r="QTL132" s="21"/>
      <c r="QTM132" s="21"/>
      <c r="QTN132" s="21"/>
      <c r="QTO132" s="21"/>
      <c r="QTP132" s="20"/>
      <c r="QTQ132" s="20"/>
      <c r="QTR132" s="20"/>
      <c r="QTS132" s="20"/>
      <c r="QTT132" s="21"/>
      <c r="QTU132" s="21"/>
      <c r="QTV132" s="7"/>
      <c r="QTW132" s="7"/>
      <c r="QTX132" s="21"/>
      <c r="QTY132" s="20"/>
      <c r="QTZ132" s="20"/>
      <c r="QUA132" s="20"/>
      <c r="QUB132" s="21"/>
      <c r="QUC132" s="21"/>
      <c r="QUD132" s="21"/>
      <c r="QUE132" s="21"/>
      <c r="QUF132" s="21"/>
      <c r="QUG132" s="20"/>
      <c r="QUH132" s="20"/>
      <c r="QUI132" s="20"/>
      <c r="QUJ132" s="20"/>
      <c r="QUK132" s="21"/>
      <c r="QUL132" s="21"/>
      <c r="QUM132" s="7"/>
      <c r="QUN132" s="7"/>
      <c r="QUO132" s="21"/>
      <c r="QUP132" s="20"/>
      <c r="QUQ132" s="20"/>
      <c r="QUR132" s="20"/>
      <c r="QUS132" s="21"/>
      <c r="QUT132" s="21"/>
      <c r="QUU132" s="21"/>
      <c r="QUV132" s="21"/>
      <c r="QUW132" s="21"/>
      <c r="QUX132" s="20"/>
      <c r="QUY132" s="20"/>
      <c r="QUZ132" s="20"/>
      <c r="QVA132" s="20"/>
      <c r="QVB132" s="21"/>
      <c r="QVC132" s="21"/>
      <c r="QVD132" s="7"/>
      <c r="QVE132" s="7"/>
      <c r="QVF132" s="21"/>
      <c r="QVG132" s="20"/>
      <c r="QVH132" s="20"/>
      <c r="QVI132" s="20"/>
      <c r="QVJ132" s="21"/>
      <c r="QVK132" s="21"/>
      <c r="QVL132" s="21"/>
      <c r="QVM132" s="21"/>
      <c r="QVN132" s="21"/>
      <c r="QVO132" s="20"/>
      <c r="QVP132" s="20"/>
      <c r="QVQ132" s="20"/>
      <c r="QVR132" s="20"/>
      <c r="QVS132" s="21"/>
      <c r="QVT132" s="21"/>
      <c r="QVU132" s="7"/>
      <c r="QVV132" s="7"/>
      <c r="QVW132" s="21"/>
      <c r="QVX132" s="20"/>
      <c r="QVY132" s="20"/>
      <c r="QVZ132" s="20"/>
      <c r="QWA132" s="21"/>
      <c r="QWB132" s="21"/>
      <c r="QWC132" s="21"/>
      <c r="QWD132" s="21"/>
      <c r="QWE132" s="21"/>
      <c r="QWF132" s="20"/>
      <c r="QWG132" s="20"/>
      <c r="QWH132" s="20"/>
      <c r="QWI132" s="20"/>
      <c r="QWJ132" s="21"/>
      <c r="QWK132" s="21"/>
      <c r="QWL132" s="7"/>
      <c r="QWM132" s="7"/>
      <c r="QWN132" s="21"/>
      <c r="QWO132" s="20"/>
      <c r="QWP132" s="20"/>
      <c r="QWQ132" s="20"/>
      <c r="QWR132" s="21"/>
      <c r="QWS132" s="21"/>
      <c r="QWT132" s="21"/>
      <c r="QWU132" s="21"/>
      <c r="QWV132" s="21"/>
      <c r="QWW132" s="20"/>
      <c r="QWX132" s="20"/>
      <c r="QWY132" s="20"/>
      <c r="QWZ132" s="20"/>
      <c r="QXA132" s="21"/>
      <c r="QXB132" s="21"/>
      <c r="QXC132" s="7"/>
      <c r="QXD132" s="7"/>
      <c r="QXE132" s="21"/>
      <c r="QXF132" s="20"/>
      <c r="QXG132" s="20"/>
      <c r="QXH132" s="20"/>
      <c r="QXI132" s="21"/>
      <c r="QXJ132" s="21"/>
      <c r="QXK132" s="21"/>
      <c r="QXL132" s="21"/>
      <c r="QXM132" s="21"/>
      <c r="QXN132" s="20"/>
      <c r="QXO132" s="20"/>
      <c r="QXP132" s="20"/>
      <c r="QXQ132" s="20"/>
      <c r="QXR132" s="21"/>
      <c r="QXS132" s="21"/>
      <c r="QXT132" s="7"/>
      <c r="QXU132" s="7"/>
      <c r="QXV132" s="21"/>
      <c r="QXW132" s="20"/>
      <c r="QXX132" s="20"/>
      <c r="QXY132" s="20"/>
      <c r="QXZ132" s="21"/>
      <c r="QYA132" s="21"/>
      <c r="QYB132" s="21"/>
      <c r="QYC132" s="21"/>
      <c r="QYD132" s="21"/>
      <c r="QYE132" s="20"/>
      <c r="QYF132" s="20"/>
      <c r="QYG132" s="20"/>
      <c r="QYH132" s="20"/>
      <c r="QYI132" s="21"/>
      <c r="QYJ132" s="21"/>
      <c r="QYK132" s="7"/>
      <c r="QYL132" s="7"/>
      <c r="QYM132" s="21"/>
      <c r="QYN132" s="20"/>
      <c r="QYO132" s="20"/>
      <c r="QYP132" s="20"/>
      <c r="QYQ132" s="21"/>
      <c r="QYR132" s="21"/>
      <c r="QYS132" s="21"/>
      <c r="QYT132" s="21"/>
      <c r="QYU132" s="21"/>
      <c r="QYV132" s="20"/>
      <c r="QYW132" s="20"/>
      <c r="QYX132" s="20"/>
      <c r="QYY132" s="20"/>
      <c r="QYZ132" s="21"/>
      <c r="QZA132" s="21"/>
      <c r="QZB132" s="7"/>
      <c r="QZC132" s="7"/>
      <c r="QZD132" s="21"/>
      <c r="QZE132" s="20"/>
      <c r="QZF132" s="20"/>
      <c r="QZG132" s="20"/>
      <c r="QZH132" s="21"/>
      <c r="QZI132" s="21"/>
      <c r="QZJ132" s="21"/>
      <c r="QZK132" s="21"/>
      <c r="QZL132" s="21"/>
      <c r="QZM132" s="20"/>
      <c r="QZN132" s="20"/>
      <c r="QZO132" s="20"/>
      <c r="QZP132" s="20"/>
      <c r="QZQ132" s="21"/>
      <c r="QZR132" s="21"/>
      <c r="QZS132" s="7"/>
      <c r="QZT132" s="7"/>
      <c r="QZU132" s="21"/>
      <c r="QZV132" s="20"/>
      <c r="QZW132" s="20"/>
      <c r="QZX132" s="20"/>
      <c r="QZY132" s="21"/>
      <c r="QZZ132" s="21"/>
      <c r="RAA132" s="21"/>
      <c r="RAB132" s="21"/>
      <c r="RAC132" s="21"/>
      <c r="RAD132" s="20"/>
      <c r="RAE132" s="20"/>
      <c r="RAF132" s="20"/>
      <c r="RAG132" s="20"/>
      <c r="RAH132" s="21"/>
      <c r="RAI132" s="21"/>
      <c r="RAJ132" s="7"/>
      <c r="RAK132" s="7"/>
      <c r="RAL132" s="21"/>
      <c r="RAM132" s="20"/>
      <c r="RAN132" s="20"/>
      <c r="RAO132" s="20"/>
      <c r="RAP132" s="21"/>
      <c r="RAQ132" s="21"/>
      <c r="RAR132" s="21"/>
      <c r="RAS132" s="21"/>
      <c r="RAT132" s="21"/>
      <c r="RAU132" s="20"/>
      <c r="RAV132" s="20"/>
      <c r="RAW132" s="20"/>
      <c r="RAX132" s="20"/>
      <c r="RAY132" s="21"/>
      <c r="RAZ132" s="21"/>
      <c r="RBA132" s="7"/>
      <c r="RBB132" s="7"/>
      <c r="RBC132" s="21"/>
      <c r="RBD132" s="20"/>
      <c r="RBE132" s="20"/>
      <c r="RBF132" s="20"/>
      <c r="RBG132" s="21"/>
      <c r="RBH132" s="21"/>
      <c r="RBI132" s="21"/>
      <c r="RBJ132" s="21"/>
      <c r="RBK132" s="21"/>
      <c r="RBL132" s="20"/>
      <c r="RBM132" s="20"/>
      <c r="RBN132" s="20"/>
      <c r="RBO132" s="20"/>
      <c r="RBP132" s="21"/>
      <c r="RBQ132" s="21"/>
      <c r="RBR132" s="7"/>
      <c r="RBS132" s="7"/>
      <c r="RBT132" s="21"/>
      <c r="RBU132" s="20"/>
      <c r="RBV132" s="20"/>
      <c r="RBW132" s="20"/>
      <c r="RBX132" s="21"/>
      <c r="RBY132" s="21"/>
      <c r="RBZ132" s="21"/>
      <c r="RCA132" s="21"/>
      <c r="RCB132" s="21"/>
      <c r="RCC132" s="20"/>
      <c r="RCD132" s="20"/>
      <c r="RCE132" s="20"/>
      <c r="RCF132" s="20"/>
      <c r="RCG132" s="21"/>
      <c r="RCH132" s="21"/>
      <c r="RCI132" s="7"/>
      <c r="RCJ132" s="7"/>
      <c r="RCK132" s="21"/>
      <c r="RCL132" s="20"/>
      <c r="RCM132" s="20"/>
      <c r="RCN132" s="20"/>
      <c r="RCO132" s="21"/>
      <c r="RCP132" s="21"/>
      <c r="RCQ132" s="21"/>
      <c r="RCR132" s="21"/>
      <c r="RCS132" s="21"/>
      <c r="RCT132" s="20"/>
      <c r="RCU132" s="20"/>
      <c r="RCV132" s="20"/>
      <c r="RCW132" s="20"/>
      <c r="RCX132" s="21"/>
      <c r="RCY132" s="21"/>
      <c r="RCZ132" s="7"/>
      <c r="RDA132" s="7"/>
      <c r="RDB132" s="21"/>
      <c r="RDC132" s="20"/>
      <c r="RDD132" s="20"/>
      <c r="RDE132" s="20"/>
      <c r="RDF132" s="21"/>
      <c r="RDG132" s="21"/>
      <c r="RDH132" s="21"/>
      <c r="RDI132" s="21"/>
      <c r="RDJ132" s="21"/>
      <c r="RDK132" s="20"/>
      <c r="RDL132" s="20"/>
      <c r="RDM132" s="20"/>
      <c r="RDN132" s="20"/>
      <c r="RDO132" s="21"/>
      <c r="RDP132" s="21"/>
      <c r="RDQ132" s="7"/>
      <c r="RDR132" s="7"/>
      <c r="RDS132" s="21"/>
      <c r="RDT132" s="20"/>
      <c r="RDU132" s="20"/>
      <c r="RDV132" s="20"/>
      <c r="RDW132" s="21"/>
      <c r="RDX132" s="21"/>
      <c r="RDY132" s="21"/>
      <c r="RDZ132" s="21"/>
      <c r="REA132" s="21"/>
      <c r="REB132" s="20"/>
      <c r="REC132" s="20"/>
      <c r="RED132" s="20"/>
      <c r="REE132" s="20"/>
      <c r="REF132" s="21"/>
      <c r="REG132" s="21"/>
      <c r="REH132" s="7"/>
      <c r="REI132" s="7"/>
      <c r="REJ132" s="21"/>
      <c r="REK132" s="20"/>
      <c r="REL132" s="20"/>
      <c r="REM132" s="20"/>
      <c r="REN132" s="21"/>
      <c r="REO132" s="21"/>
      <c r="REP132" s="21"/>
      <c r="REQ132" s="21"/>
      <c r="RER132" s="21"/>
      <c r="RES132" s="20"/>
      <c r="RET132" s="20"/>
      <c r="REU132" s="20"/>
      <c r="REV132" s="20"/>
      <c r="REW132" s="21"/>
      <c r="REX132" s="21"/>
      <c r="REY132" s="7"/>
      <c r="REZ132" s="7"/>
      <c r="RFA132" s="21"/>
      <c r="RFB132" s="20"/>
      <c r="RFC132" s="20"/>
      <c r="RFD132" s="20"/>
      <c r="RFE132" s="21"/>
      <c r="RFF132" s="21"/>
      <c r="RFG132" s="21"/>
      <c r="RFH132" s="21"/>
      <c r="RFI132" s="21"/>
      <c r="RFJ132" s="20"/>
      <c r="RFK132" s="20"/>
      <c r="RFL132" s="20"/>
      <c r="RFM132" s="20"/>
      <c r="RFN132" s="21"/>
      <c r="RFO132" s="21"/>
      <c r="RFP132" s="7"/>
      <c r="RFQ132" s="7"/>
      <c r="RFR132" s="21"/>
      <c r="RFS132" s="20"/>
      <c r="RFT132" s="20"/>
      <c r="RFU132" s="20"/>
      <c r="RFV132" s="21"/>
      <c r="RFW132" s="21"/>
      <c r="RFX132" s="21"/>
      <c r="RFY132" s="21"/>
      <c r="RFZ132" s="21"/>
      <c r="RGA132" s="20"/>
      <c r="RGB132" s="20"/>
      <c r="RGC132" s="20"/>
      <c r="RGD132" s="20"/>
      <c r="RGE132" s="21"/>
      <c r="RGF132" s="21"/>
      <c r="RGG132" s="7"/>
      <c r="RGH132" s="7"/>
      <c r="RGI132" s="21"/>
      <c r="RGJ132" s="20"/>
      <c r="RGK132" s="20"/>
      <c r="RGL132" s="20"/>
      <c r="RGM132" s="21"/>
      <c r="RGN132" s="21"/>
      <c r="RGO132" s="21"/>
      <c r="RGP132" s="21"/>
      <c r="RGQ132" s="21"/>
      <c r="RGR132" s="20"/>
      <c r="RGS132" s="20"/>
      <c r="RGT132" s="20"/>
      <c r="RGU132" s="20"/>
      <c r="RGV132" s="21"/>
      <c r="RGW132" s="21"/>
      <c r="RGX132" s="7"/>
      <c r="RGY132" s="7"/>
      <c r="RGZ132" s="21"/>
      <c r="RHA132" s="20"/>
      <c r="RHB132" s="20"/>
      <c r="RHC132" s="20"/>
      <c r="RHD132" s="21"/>
      <c r="RHE132" s="21"/>
      <c r="RHF132" s="21"/>
      <c r="RHG132" s="21"/>
      <c r="RHH132" s="21"/>
      <c r="RHI132" s="20"/>
      <c r="RHJ132" s="20"/>
      <c r="RHK132" s="20"/>
      <c r="RHL132" s="20"/>
      <c r="RHM132" s="21"/>
      <c r="RHN132" s="21"/>
      <c r="RHO132" s="7"/>
      <c r="RHP132" s="7"/>
      <c r="RHQ132" s="21"/>
      <c r="RHR132" s="20"/>
      <c r="RHS132" s="20"/>
      <c r="RHT132" s="20"/>
      <c r="RHU132" s="21"/>
      <c r="RHV132" s="21"/>
      <c r="RHW132" s="21"/>
      <c r="RHX132" s="21"/>
      <c r="RHY132" s="21"/>
      <c r="RHZ132" s="20"/>
      <c r="RIA132" s="20"/>
      <c r="RIB132" s="20"/>
      <c r="RIC132" s="20"/>
      <c r="RID132" s="21"/>
      <c r="RIE132" s="21"/>
      <c r="RIF132" s="7"/>
      <c r="RIG132" s="7"/>
      <c r="RIH132" s="21"/>
      <c r="RII132" s="20"/>
      <c r="RIJ132" s="20"/>
      <c r="RIK132" s="20"/>
      <c r="RIL132" s="21"/>
      <c r="RIM132" s="21"/>
      <c r="RIN132" s="21"/>
      <c r="RIO132" s="21"/>
      <c r="RIP132" s="21"/>
      <c r="RIQ132" s="20"/>
      <c r="RIR132" s="20"/>
      <c r="RIS132" s="20"/>
      <c r="RIT132" s="20"/>
      <c r="RIU132" s="21"/>
      <c r="RIV132" s="21"/>
      <c r="RIW132" s="7"/>
      <c r="RIX132" s="7"/>
      <c r="RIY132" s="21"/>
      <c r="RIZ132" s="20"/>
      <c r="RJA132" s="20"/>
      <c r="RJB132" s="20"/>
      <c r="RJC132" s="21"/>
      <c r="RJD132" s="21"/>
      <c r="RJE132" s="21"/>
      <c r="RJF132" s="21"/>
      <c r="RJG132" s="21"/>
      <c r="RJH132" s="20"/>
      <c r="RJI132" s="20"/>
      <c r="RJJ132" s="20"/>
      <c r="RJK132" s="20"/>
      <c r="RJL132" s="21"/>
      <c r="RJM132" s="21"/>
      <c r="RJN132" s="7"/>
      <c r="RJO132" s="7"/>
      <c r="RJP132" s="21"/>
      <c r="RJQ132" s="20"/>
      <c r="RJR132" s="20"/>
      <c r="RJS132" s="20"/>
      <c r="RJT132" s="21"/>
      <c r="RJU132" s="21"/>
      <c r="RJV132" s="21"/>
      <c r="RJW132" s="21"/>
      <c r="RJX132" s="21"/>
      <c r="RJY132" s="20"/>
      <c r="RJZ132" s="20"/>
      <c r="RKA132" s="20"/>
      <c r="RKB132" s="20"/>
      <c r="RKC132" s="21"/>
      <c r="RKD132" s="21"/>
      <c r="RKE132" s="7"/>
      <c r="RKF132" s="7"/>
      <c r="RKG132" s="21"/>
      <c r="RKH132" s="20"/>
      <c r="RKI132" s="20"/>
      <c r="RKJ132" s="20"/>
      <c r="RKK132" s="21"/>
      <c r="RKL132" s="21"/>
      <c r="RKM132" s="21"/>
      <c r="RKN132" s="21"/>
      <c r="RKO132" s="21"/>
      <c r="RKP132" s="20"/>
      <c r="RKQ132" s="20"/>
      <c r="RKR132" s="20"/>
      <c r="RKS132" s="20"/>
      <c r="RKT132" s="21"/>
      <c r="RKU132" s="21"/>
      <c r="RKV132" s="7"/>
      <c r="RKW132" s="7"/>
      <c r="RKX132" s="21"/>
      <c r="RKY132" s="20"/>
      <c r="RKZ132" s="20"/>
      <c r="RLA132" s="20"/>
      <c r="RLB132" s="21"/>
      <c r="RLC132" s="21"/>
      <c r="RLD132" s="21"/>
      <c r="RLE132" s="21"/>
      <c r="RLF132" s="21"/>
      <c r="RLG132" s="20"/>
      <c r="RLH132" s="20"/>
      <c r="RLI132" s="20"/>
      <c r="RLJ132" s="20"/>
      <c r="RLK132" s="21"/>
      <c r="RLL132" s="21"/>
      <c r="RLM132" s="7"/>
      <c r="RLN132" s="7"/>
      <c r="RLO132" s="21"/>
      <c r="RLP132" s="20"/>
      <c r="RLQ132" s="20"/>
      <c r="RLR132" s="20"/>
      <c r="RLS132" s="21"/>
      <c r="RLT132" s="21"/>
      <c r="RLU132" s="21"/>
      <c r="RLV132" s="21"/>
      <c r="RLW132" s="21"/>
      <c r="RLX132" s="20"/>
      <c r="RLY132" s="20"/>
      <c r="RLZ132" s="20"/>
      <c r="RMA132" s="20"/>
      <c r="RMB132" s="21"/>
      <c r="RMC132" s="21"/>
      <c r="RMD132" s="7"/>
      <c r="RME132" s="7"/>
      <c r="RMF132" s="21"/>
      <c r="RMG132" s="20"/>
      <c r="RMH132" s="20"/>
      <c r="RMI132" s="20"/>
      <c r="RMJ132" s="21"/>
      <c r="RMK132" s="21"/>
      <c r="RML132" s="21"/>
      <c r="RMM132" s="21"/>
      <c r="RMN132" s="21"/>
      <c r="RMO132" s="20"/>
      <c r="RMP132" s="20"/>
      <c r="RMQ132" s="20"/>
      <c r="RMR132" s="20"/>
      <c r="RMS132" s="21"/>
      <c r="RMT132" s="21"/>
      <c r="RMU132" s="7"/>
      <c r="RMV132" s="7"/>
      <c r="RMW132" s="21"/>
      <c r="RMX132" s="20"/>
      <c r="RMY132" s="20"/>
      <c r="RMZ132" s="20"/>
      <c r="RNA132" s="21"/>
      <c r="RNB132" s="21"/>
      <c r="RNC132" s="21"/>
      <c r="RND132" s="21"/>
      <c r="RNE132" s="21"/>
      <c r="RNF132" s="20"/>
      <c r="RNG132" s="20"/>
      <c r="RNH132" s="20"/>
      <c r="RNI132" s="20"/>
      <c r="RNJ132" s="21"/>
      <c r="RNK132" s="21"/>
      <c r="RNL132" s="7"/>
      <c r="RNM132" s="7"/>
      <c r="RNN132" s="21"/>
      <c r="RNO132" s="20"/>
      <c r="RNP132" s="20"/>
      <c r="RNQ132" s="20"/>
      <c r="RNR132" s="21"/>
      <c r="RNS132" s="21"/>
      <c r="RNT132" s="21"/>
      <c r="RNU132" s="21"/>
      <c r="RNV132" s="21"/>
      <c r="RNW132" s="20"/>
      <c r="RNX132" s="20"/>
      <c r="RNY132" s="20"/>
      <c r="RNZ132" s="20"/>
      <c r="ROA132" s="21"/>
      <c r="ROB132" s="21"/>
      <c r="ROC132" s="7"/>
      <c r="ROD132" s="7"/>
      <c r="ROE132" s="21"/>
      <c r="ROF132" s="20"/>
      <c r="ROG132" s="20"/>
      <c r="ROH132" s="20"/>
      <c r="ROI132" s="21"/>
      <c r="ROJ132" s="21"/>
      <c r="ROK132" s="21"/>
      <c r="ROL132" s="21"/>
      <c r="ROM132" s="21"/>
      <c r="RON132" s="20"/>
      <c r="ROO132" s="20"/>
      <c r="ROP132" s="20"/>
      <c r="ROQ132" s="20"/>
      <c r="ROR132" s="21"/>
      <c r="ROS132" s="21"/>
      <c r="ROT132" s="7"/>
      <c r="ROU132" s="7"/>
      <c r="ROV132" s="21"/>
      <c r="ROW132" s="20"/>
      <c r="ROX132" s="20"/>
      <c r="ROY132" s="20"/>
      <c r="ROZ132" s="21"/>
      <c r="RPA132" s="21"/>
      <c r="RPB132" s="21"/>
      <c r="RPC132" s="21"/>
      <c r="RPD132" s="21"/>
      <c r="RPE132" s="20"/>
      <c r="RPF132" s="20"/>
      <c r="RPG132" s="20"/>
      <c r="RPH132" s="20"/>
      <c r="RPI132" s="21"/>
      <c r="RPJ132" s="21"/>
      <c r="RPK132" s="7"/>
      <c r="RPL132" s="7"/>
      <c r="RPM132" s="21"/>
      <c r="RPN132" s="20"/>
      <c r="RPO132" s="20"/>
      <c r="RPP132" s="20"/>
      <c r="RPQ132" s="21"/>
      <c r="RPR132" s="21"/>
      <c r="RPS132" s="21"/>
      <c r="RPT132" s="21"/>
      <c r="RPU132" s="21"/>
      <c r="RPV132" s="20"/>
      <c r="RPW132" s="20"/>
      <c r="RPX132" s="20"/>
      <c r="RPY132" s="20"/>
      <c r="RPZ132" s="21"/>
      <c r="RQA132" s="21"/>
      <c r="RQB132" s="7"/>
      <c r="RQC132" s="7"/>
      <c r="RQD132" s="21"/>
      <c r="RQE132" s="20"/>
      <c r="RQF132" s="20"/>
      <c r="RQG132" s="20"/>
      <c r="RQH132" s="21"/>
      <c r="RQI132" s="21"/>
      <c r="RQJ132" s="21"/>
      <c r="RQK132" s="21"/>
      <c r="RQL132" s="21"/>
      <c r="RQM132" s="20"/>
      <c r="RQN132" s="20"/>
      <c r="RQO132" s="20"/>
      <c r="RQP132" s="20"/>
      <c r="RQQ132" s="21"/>
      <c r="RQR132" s="21"/>
      <c r="RQS132" s="7"/>
      <c r="RQT132" s="7"/>
      <c r="RQU132" s="21"/>
      <c r="RQV132" s="20"/>
      <c r="RQW132" s="20"/>
      <c r="RQX132" s="20"/>
      <c r="RQY132" s="21"/>
      <c r="RQZ132" s="21"/>
      <c r="RRA132" s="21"/>
      <c r="RRB132" s="21"/>
      <c r="RRC132" s="21"/>
      <c r="RRD132" s="20"/>
      <c r="RRE132" s="20"/>
      <c r="RRF132" s="20"/>
      <c r="RRG132" s="20"/>
      <c r="RRH132" s="21"/>
      <c r="RRI132" s="21"/>
      <c r="RRJ132" s="7"/>
      <c r="RRK132" s="7"/>
      <c r="RRL132" s="21"/>
      <c r="RRM132" s="20"/>
      <c r="RRN132" s="20"/>
      <c r="RRO132" s="20"/>
      <c r="RRP132" s="21"/>
      <c r="RRQ132" s="21"/>
      <c r="RRR132" s="21"/>
      <c r="RRS132" s="21"/>
      <c r="RRT132" s="21"/>
      <c r="RRU132" s="20"/>
      <c r="RRV132" s="20"/>
      <c r="RRW132" s="20"/>
      <c r="RRX132" s="20"/>
      <c r="RRY132" s="21"/>
      <c r="RRZ132" s="21"/>
      <c r="RSA132" s="7"/>
      <c r="RSB132" s="7"/>
      <c r="RSC132" s="21"/>
      <c r="RSD132" s="20"/>
      <c r="RSE132" s="20"/>
      <c r="RSF132" s="20"/>
      <c r="RSG132" s="21"/>
      <c r="RSH132" s="21"/>
      <c r="RSI132" s="21"/>
      <c r="RSJ132" s="21"/>
      <c r="RSK132" s="21"/>
      <c r="RSL132" s="20"/>
      <c r="RSM132" s="20"/>
      <c r="RSN132" s="20"/>
      <c r="RSO132" s="20"/>
      <c r="RSP132" s="21"/>
      <c r="RSQ132" s="21"/>
      <c r="RSR132" s="7"/>
      <c r="RSS132" s="7"/>
      <c r="RST132" s="21"/>
      <c r="RSU132" s="20"/>
      <c r="RSV132" s="20"/>
      <c r="RSW132" s="20"/>
      <c r="RSX132" s="21"/>
      <c r="RSY132" s="21"/>
      <c r="RSZ132" s="21"/>
      <c r="RTA132" s="21"/>
      <c r="RTB132" s="21"/>
      <c r="RTC132" s="20"/>
      <c r="RTD132" s="20"/>
      <c r="RTE132" s="20"/>
      <c r="RTF132" s="20"/>
      <c r="RTG132" s="21"/>
      <c r="RTH132" s="21"/>
      <c r="RTI132" s="7"/>
      <c r="RTJ132" s="7"/>
      <c r="RTK132" s="21"/>
      <c r="RTL132" s="20"/>
      <c r="RTM132" s="20"/>
      <c r="RTN132" s="20"/>
      <c r="RTO132" s="21"/>
      <c r="RTP132" s="21"/>
      <c r="RTQ132" s="21"/>
      <c r="RTR132" s="21"/>
      <c r="RTS132" s="21"/>
      <c r="RTT132" s="20"/>
      <c r="RTU132" s="20"/>
      <c r="RTV132" s="20"/>
      <c r="RTW132" s="20"/>
      <c r="RTX132" s="21"/>
      <c r="RTY132" s="21"/>
      <c r="RTZ132" s="7"/>
      <c r="RUA132" s="7"/>
      <c r="RUB132" s="21"/>
      <c r="RUC132" s="20"/>
      <c r="RUD132" s="20"/>
      <c r="RUE132" s="20"/>
      <c r="RUF132" s="21"/>
      <c r="RUG132" s="21"/>
      <c r="RUH132" s="21"/>
      <c r="RUI132" s="21"/>
      <c r="RUJ132" s="21"/>
      <c r="RUK132" s="20"/>
      <c r="RUL132" s="20"/>
      <c r="RUM132" s="20"/>
      <c r="RUN132" s="20"/>
      <c r="RUO132" s="21"/>
      <c r="RUP132" s="21"/>
      <c r="RUQ132" s="7"/>
      <c r="RUR132" s="7"/>
      <c r="RUS132" s="21"/>
      <c r="RUT132" s="20"/>
      <c r="RUU132" s="20"/>
      <c r="RUV132" s="20"/>
      <c r="RUW132" s="21"/>
      <c r="RUX132" s="21"/>
      <c r="RUY132" s="21"/>
      <c r="RUZ132" s="21"/>
      <c r="RVA132" s="21"/>
      <c r="RVB132" s="20"/>
      <c r="RVC132" s="20"/>
      <c r="RVD132" s="20"/>
      <c r="RVE132" s="20"/>
      <c r="RVF132" s="21"/>
      <c r="RVG132" s="21"/>
      <c r="RVH132" s="7"/>
      <c r="RVI132" s="7"/>
      <c r="RVJ132" s="21"/>
      <c r="RVK132" s="20"/>
      <c r="RVL132" s="20"/>
      <c r="RVM132" s="20"/>
      <c r="RVN132" s="21"/>
      <c r="RVO132" s="21"/>
      <c r="RVP132" s="21"/>
      <c r="RVQ132" s="21"/>
      <c r="RVR132" s="21"/>
      <c r="RVS132" s="20"/>
      <c r="RVT132" s="20"/>
      <c r="RVU132" s="20"/>
      <c r="RVV132" s="20"/>
      <c r="RVW132" s="21"/>
      <c r="RVX132" s="21"/>
      <c r="RVY132" s="7"/>
      <c r="RVZ132" s="7"/>
      <c r="RWA132" s="21"/>
      <c r="RWB132" s="20"/>
      <c r="RWC132" s="20"/>
      <c r="RWD132" s="20"/>
      <c r="RWE132" s="21"/>
      <c r="RWF132" s="21"/>
      <c r="RWG132" s="21"/>
      <c r="RWH132" s="21"/>
      <c r="RWI132" s="21"/>
      <c r="RWJ132" s="20"/>
      <c r="RWK132" s="20"/>
      <c r="RWL132" s="20"/>
      <c r="RWM132" s="20"/>
      <c r="RWN132" s="21"/>
      <c r="RWO132" s="21"/>
      <c r="RWP132" s="7"/>
      <c r="RWQ132" s="7"/>
      <c r="RWR132" s="21"/>
      <c r="RWS132" s="20"/>
      <c r="RWT132" s="20"/>
      <c r="RWU132" s="20"/>
      <c r="RWV132" s="21"/>
      <c r="RWW132" s="21"/>
      <c r="RWX132" s="21"/>
      <c r="RWY132" s="21"/>
      <c r="RWZ132" s="21"/>
      <c r="RXA132" s="20"/>
      <c r="RXB132" s="20"/>
      <c r="RXC132" s="20"/>
      <c r="RXD132" s="20"/>
      <c r="RXE132" s="21"/>
      <c r="RXF132" s="21"/>
      <c r="RXG132" s="7"/>
      <c r="RXH132" s="7"/>
      <c r="RXI132" s="21"/>
      <c r="RXJ132" s="20"/>
      <c r="RXK132" s="20"/>
      <c r="RXL132" s="20"/>
      <c r="RXM132" s="21"/>
      <c r="RXN132" s="21"/>
      <c r="RXO132" s="21"/>
      <c r="RXP132" s="21"/>
      <c r="RXQ132" s="21"/>
      <c r="RXR132" s="20"/>
      <c r="RXS132" s="20"/>
      <c r="RXT132" s="20"/>
      <c r="RXU132" s="20"/>
      <c r="RXV132" s="21"/>
      <c r="RXW132" s="21"/>
      <c r="RXX132" s="7"/>
      <c r="RXY132" s="7"/>
      <c r="RXZ132" s="21"/>
      <c r="RYA132" s="20"/>
      <c r="RYB132" s="20"/>
      <c r="RYC132" s="20"/>
      <c r="RYD132" s="21"/>
      <c r="RYE132" s="21"/>
      <c r="RYF132" s="21"/>
      <c r="RYG132" s="21"/>
      <c r="RYH132" s="21"/>
      <c r="RYI132" s="20"/>
      <c r="RYJ132" s="20"/>
      <c r="RYK132" s="20"/>
      <c r="RYL132" s="20"/>
      <c r="RYM132" s="21"/>
      <c r="RYN132" s="21"/>
      <c r="RYO132" s="7"/>
      <c r="RYP132" s="7"/>
      <c r="RYQ132" s="21"/>
      <c r="RYR132" s="20"/>
      <c r="RYS132" s="20"/>
      <c r="RYT132" s="20"/>
      <c r="RYU132" s="21"/>
      <c r="RYV132" s="21"/>
      <c r="RYW132" s="21"/>
      <c r="RYX132" s="21"/>
      <c r="RYY132" s="21"/>
      <c r="RYZ132" s="20"/>
      <c r="RZA132" s="20"/>
      <c r="RZB132" s="20"/>
      <c r="RZC132" s="20"/>
      <c r="RZD132" s="21"/>
      <c r="RZE132" s="21"/>
      <c r="RZF132" s="7"/>
      <c r="RZG132" s="7"/>
      <c r="RZH132" s="21"/>
      <c r="RZI132" s="20"/>
      <c r="RZJ132" s="20"/>
      <c r="RZK132" s="20"/>
      <c r="RZL132" s="21"/>
      <c r="RZM132" s="21"/>
      <c r="RZN132" s="21"/>
      <c r="RZO132" s="21"/>
      <c r="RZP132" s="21"/>
      <c r="RZQ132" s="20"/>
      <c r="RZR132" s="20"/>
      <c r="RZS132" s="20"/>
      <c r="RZT132" s="20"/>
      <c r="RZU132" s="21"/>
      <c r="RZV132" s="21"/>
      <c r="RZW132" s="7"/>
      <c r="RZX132" s="7"/>
      <c r="RZY132" s="21"/>
      <c r="RZZ132" s="20"/>
      <c r="SAA132" s="20"/>
      <c r="SAB132" s="20"/>
      <c r="SAC132" s="21"/>
      <c r="SAD132" s="21"/>
      <c r="SAE132" s="21"/>
      <c r="SAF132" s="21"/>
      <c r="SAG132" s="21"/>
      <c r="SAH132" s="20"/>
      <c r="SAI132" s="20"/>
      <c r="SAJ132" s="20"/>
      <c r="SAK132" s="20"/>
      <c r="SAL132" s="21"/>
      <c r="SAM132" s="21"/>
      <c r="SAN132" s="7"/>
      <c r="SAO132" s="7"/>
      <c r="SAP132" s="21"/>
      <c r="SAQ132" s="20"/>
      <c r="SAR132" s="20"/>
      <c r="SAS132" s="20"/>
      <c r="SAT132" s="21"/>
      <c r="SAU132" s="21"/>
      <c r="SAV132" s="21"/>
      <c r="SAW132" s="21"/>
      <c r="SAX132" s="21"/>
      <c r="SAY132" s="20"/>
      <c r="SAZ132" s="20"/>
      <c r="SBA132" s="20"/>
      <c r="SBB132" s="20"/>
      <c r="SBC132" s="21"/>
      <c r="SBD132" s="21"/>
      <c r="SBE132" s="7"/>
      <c r="SBF132" s="7"/>
      <c r="SBG132" s="21"/>
      <c r="SBH132" s="20"/>
      <c r="SBI132" s="20"/>
      <c r="SBJ132" s="20"/>
      <c r="SBK132" s="21"/>
      <c r="SBL132" s="21"/>
      <c r="SBM132" s="21"/>
      <c r="SBN132" s="21"/>
      <c r="SBO132" s="21"/>
      <c r="SBP132" s="20"/>
      <c r="SBQ132" s="20"/>
      <c r="SBR132" s="20"/>
      <c r="SBS132" s="20"/>
      <c r="SBT132" s="21"/>
      <c r="SBU132" s="21"/>
      <c r="SBV132" s="7"/>
      <c r="SBW132" s="7"/>
      <c r="SBX132" s="21"/>
      <c r="SBY132" s="20"/>
      <c r="SBZ132" s="20"/>
      <c r="SCA132" s="20"/>
      <c r="SCB132" s="21"/>
      <c r="SCC132" s="21"/>
      <c r="SCD132" s="21"/>
      <c r="SCE132" s="21"/>
      <c r="SCF132" s="21"/>
      <c r="SCG132" s="20"/>
      <c r="SCH132" s="20"/>
      <c r="SCI132" s="20"/>
      <c r="SCJ132" s="20"/>
      <c r="SCK132" s="21"/>
      <c r="SCL132" s="21"/>
      <c r="SCM132" s="7"/>
      <c r="SCN132" s="7"/>
      <c r="SCO132" s="21"/>
      <c r="SCP132" s="20"/>
      <c r="SCQ132" s="20"/>
      <c r="SCR132" s="20"/>
      <c r="SCS132" s="21"/>
      <c r="SCT132" s="21"/>
      <c r="SCU132" s="21"/>
      <c r="SCV132" s="21"/>
      <c r="SCW132" s="21"/>
      <c r="SCX132" s="20"/>
      <c r="SCY132" s="20"/>
      <c r="SCZ132" s="20"/>
      <c r="SDA132" s="20"/>
      <c r="SDB132" s="21"/>
      <c r="SDC132" s="21"/>
      <c r="SDD132" s="7"/>
      <c r="SDE132" s="7"/>
      <c r="SDF132" s="21"/>
      <c r="SDG132" s="20"/>
      <c r="SDH132" s="20"/>
      <c r="SDI132" s="20"/>
      <c r="SDJ132" s="21"/>
      <c r="SDK132" s="21"/>
      <c r="SDL132" s="21"/>
      <c r="SDM132" s="21"/>
      <c r="SDN132" s="21"/>
      <c r="SDO132" s="20"/>
      <c r="SDP132" s="20"/>
      <c r="SDQ132" s="20"/>
      <c r="SDR132" s="20"/>
      <c r="SDS132" s="21"/>
      <c r="SDT132" s="21"/>
      <c r="SDU132" s="7"/>
      <c r="SDV132" s="7"/>
      <c r="SDW132" s="21"/>
      <c r="SDX132" s="20"/>
      <c r="SDY132" s="20"/>
      <c r="SDZ132" s="20"/>
      <c r="SEA132" s="21"/>
      <c r="SEB132" s="21"/>
      <c r="SEC132" s="21"/>
      <c r="SED132" s="21"/>
      <c r="SEE132" s="21"/>
      <c r="SEF132" s="20"/>
      <c r="SEG132" s="20"/>
      <c r="SEH132" s="20"/>
      <c r="SEI132" s="20"/>
      <c r="SEJ132" s="21"/>
      <c r="SEK132" s="21"/>
      <c r="SEL132" s="7"/>
      <c r="SEM132" s="7"/>
      <c r="SEN132" s="21"/>
      <c r="SEO132" s="20"/>
      <c r="SEP132" s="20"/>
      <c r="SEQ132" s="20"/>
      <c r="SER132" s="21"/>
      <c r="SES132" s="21"/>
      <c r="SET132" s="21"/>
      <c r="SEU132" s="21"/>
      <c r="SEV132" s="21"/>
      <c r="SEW132" s="20"/>
      <c r="SEX132" s="20"/>
      <c r="SEY132" s="20"/>
      <c r="SEZ132" s="20"/>
      <c r="SFA132" s="21"/>
      <c r="SFB132" s="21"/>
      <c r="SFC132" s="7"/>
      <c r="SFD132" s="7"/>
      <c r="SFE132" s="21"/>
      <c r="SFF132" s="20"/>
      <c r="SFG132" s="20"/>
      <c r="SFH132" s="20"/>
      <c r="SFI132" s="21"/>
      <c r="SFJ132" s="21"/>
      <c r="SFK132" s="21"/>
      <c r="SFL132" s="21"/>
      <c r="SFM132" s="21"/>
      <c r="SFN132" s="20"/>
      <c r="SFO132" s="20"/>
      <c r="SFP132" s="20"/>
      <c r="SFQ132" s="20"/>
      <c r="SFR132" s="21"/>
      <c r="SFS132" s="21"/>
      <c r="SFT132" s="7"/>
      <c r="SFU132" s="7"/>
      <c r="SFV132" s="21"/>
      <c r="SFW132" s="20"/>
      <c r="SFX132" s="20"/>
      <c r="SFY132" s="20"/>
      <c r="SFZ132" s="21"/>
      <c r="SGA132" s="21"/>
      <c r="SGB132" s="21"/>
      <c r="SGC132" s="21"/>
      <c r="SGD132" s="21"/>
      <c r="SGE132" s="20"/>
      <c r="SGF132" s="20"/>
      <c r="SGG132" s="20"/>
      <c r="SGH132" s="20"/>
      <c r="SGI132" s="21"/>
      <c r="SGJ132" s="21"/>
      <c r="SGK132" s="7"/>
      <c r="SGL132" s="7"/>
      <c r="SGM132" s="21"/>
      <c r="SGN132" s="20"/>
      <c r="SGO132" s="20"/>
      <c r="SGP132" s="20"/>
      <c r="SGQ132" s="21"/>
      <c r="SGR132" s="21"/>
      <c r="SGS132" s="21"/>
      <c r="SGT132" s="21"/>
      <c r="SGU132" s="21"/>
      <c r="SGV132" s="20"/>
      <c r="SGW132" s="20"/>
      <c r="SGX132" s="20"/>
      <c r="SGY132" s="20"/>
      <c r="SGZ132" s="21"/>
      <c r="SHA132" s="21"/>
      <c r="SHB132" s="7"/>
      <c r="SHC132" s="7"/>
      <c r="SHD132" s="21"/>
      <c r="SHE132" s="20"/>
      <c r="SHF132" s="20"/>
      <c r="SHG132" s="20"/>
      <c r="SHH132" s="21"/>
      <c r="SHI132" s="21"/>
      <c r="SHJ132" s="21"/>
      <c r="SHK132" s="21"/>
      <c r="SHL132" s="21"/>
      <c r="SHM132" s="20"/>
      <c r="SHN132" s="20"/>
      <c r="SHO132" s="20"/>
      <c r="SHP132" s="20"/>
      <c r="SHQ132" s="21"/>
      <c r="SHR132" s="21"/>
      <c r="SHS132" s="7"/>
      <c r="SHT132" s="7"/>
      <c r="SHU132" s="21"/>
      <c r="SHV132" s="20"/>
      <c r="SHW132" s="20"/>
      <c r="SHX132" s="20"/>
      <c r="SHY132" s="21"/>
      <c r="SHZ132" s="21"/>
      <c r="SIA132" s="21"/>
      <c r="SIB132" s="21"/>
      <c r="SIC132" s="21"/>
      <c r="SID132" s="20"/>
      <c r="SIE132" s="20"/>
      <c r="SIF132" s="20"/>
      <c r="SIG132" s="20"/>
      <c r="SIH132" s="21"/>
      <c r="SII132" s="21"/>
      <c r="SIJ132" s="7"/>
      <c r="SIK132" s="7"/>
      <c r="SIL132" s="21"/>
      <c r="SIM132" s="20"/>
      <c r="SIN132" s="20"/>
      <c r="SIO132" s="20"/>
      <c r="SIP132" s="21"/>
      <c r="SIQ132" s="21"/>
      <c r="SIR132" s="21"/>
      <c r="SIS132" s="21"/>
      <c r="SIT132" s="21"/>
      <c r="SIU132" s="20"/>
      <c r="SIV132" s="20"/>
      <c r="SIW132" s="20"/>
      <c r="SIX132" s="20"/>
      <c r="SIY132" s="21"/>
      <c r="SIZ132" s="21"/>
      <c r="SJA132" s="7"/>
      <c r="SJB132" s="7"/>
      <c r="SJC132" s="21"/>
      <c r="SJD132" s="20"/>
      <c r="SJE132" s="20"/>
      <c r="SJF132" s="20"/>
      <c r="SJG132" s="21"/>
      <c r="SJH132" s="21"/>
      <c r="SJI132" s="21"/>
      <c r="SJJ132" s="21"/>
      <c r="SJK132" s="21"/>
      <c r="SJL132" s="20"/>
      <c r="SJM132" s="20"/>
      <c r="SJN132" s="20"/>
      <c r="SJO132" s="20"/>
      <c r="SJP132" s="21"/>
      <c r="SJQ132" s="21"/>
      <c r="SJR132" s="7"/>
      <c r="SJS132" s="7"/>
      <c r="SJT132" s="21"/>
      <c r="SJU132" s="20"/>
      <c r="SJV132" s="20"/>
      <c r="SJW132" s="20"/>
      <c r="SJX132" s="21"/>
      <c r="SJY132" s="21"/>
      <c r="SJZ132" s="21"/>
      <c r="SKA132" s="21"/>
      <c r="SKB132" s="21"/>
      <c r="SKC132" s="20"/>
      <c r="SKD132" s="20"/>
      <c r="SKE132" s="20"/>
      <c r="SKF132" s="20"/>
      <c r="SKG132" s="21"/>
      <c r="SKH132" s="21"/>
      <c r="SKI132" s="7"/>
      <c r="SKJ132" s="7"/>
      <c r="SKK132" s="21"/>
      <c r="SKL132" s="20"/>
      <c r="SKM132" s="20"/>
      <c r="SKN132" s="20"/>
      <c r="SKO132" s="21"/>
      <c r="SKP132" s="21"/>
      <c r="SKQ132" s="21"/>
      <c r="SKR132" s="21"/>
      <c r="SKS132" s="21"/>
      <c r="SKT132" s="20"/>
      <c r="SKU132" s="20"/>
      <c r="SKV132" s="20"/>
      <c r="SKW132" s="20"/>
      <c r="SKX132" s="21"/>
      <c r="SKY132" s="21"/>
      <c r="SKZ132" s="7"/>
      <c r="SLA132" s="7"/>
      <c r="SLB132" s="21"/>
      <c r="SLC132" s="20"/>
      <c r="SLD132" s="20"/>
      <c r="SLE132" s="20"/>
      <c r="SLF132" s="21"/>
      <c r="SLG132" s="21"/>
      <c r="SLH132" s="21"/>
      <c r="SLI132" s="21"/>
      <c r="SLJ132" s="21"/>
      <c r="SLK132" s="20"/>
      <c r="SLL132" s="20"/>
      <c r="SLM132" s="20"/>
      <c r="SLN132" s="20"/>
      <c r="SLO132" s="21"/>
      <c r="SLP132" s="21"/>
      <c r="SLQ132" s="7"/>
      <c r="SLR132" s="7"/>
      <c r="SLS132" s="21"/>
      <c r="SLT132" s="20"/>
      <c r="SLU132" s="20"/>
      <c r="SLV132" s="20"/>
      <c r="SLW132" s="21"/>
      <c r="SLX132" s="21"/>
      <c r="SLY132" s="21"/>
      <c r="SLZ132" s="21"/>
      <c r="SMA132" s="21"/>
      <c r="SMB132" s="20"/>
      <c r="SMC132" s="20"/>
      <c r="SMD132" s="20"/>
      <c r="SME132" s="20"/>
      <c r="SMF132" s="21"/>
      <c r="SMG132" s="21"/>
      <c r="SMH132" s="7"/>
      <c r="SMI132" s="7"/>
      <c r="SMJ132" s="21"/>
      <c r="SMK132" s="20"/>
      <c r="SML132" s="20"/>
      <c r="SMM132" s="20"/>
      <c r="SMN132" s="21"/>
      <c r="SMO132" s="21"/>
      <c r="SMP132" s="21"/>
      <c r="SMQ132" s="21"/>
      <c r="SMR132" s="21"/>
      <c r="SMS132" s="20"/>
      <c r="SMT132" s="20"/>
      <c r="SMU132" s="20"/>
      <c r="SMV132" s="20"/>
      <c r="SMW132" s="21"/>
      <c r="SMX132" s="21"/>
      <c r="SMY132" s="7"/>
      <c r="SMZ132" s="7"/>
      <c r="SNA132" s="21"/>
      <c r="SNB132" s="20"/>
      <c r="SNC132" s="20"/>
      <c r="SND132" s="20"/>
      <c r="SNE132" s="21"/>
      <c r="SNF132" s="21"/>
      <c r="SNG132" s="21"/>
      <c r="SNH132" s="21"/>
      <c r="SNI132" s="21"/>
      <c r="SNJ132" s="20"/>
      <c r="SNK132" s="20"/>
      <c r="SNL132" s="20"/>
      <c r="SNM132" s="20"/>
      <c r="SNN132" s="21"/>
      <c r="SNO132" s="21"/>
      <c r="SNP132" s="7"/>
      <c r="SNQ132" s="7"/>
      <c r="SNR132" s="21"/>
      <c r="SNS132" s="20"/>
      <c r="SNT132" s="20"/>
      <c r="SNU132" s="20"/>
      <c r="SNV132" s="21"/>
      <c r="SNW132" s="21"/>
      <c r="SNX132" s="21"/>
      <c r="SNY132" s="21"/>
      <c r="SNZ132" s="21"/>
      <c r="SOA132" s="20"/>
      <c r="SOB132" s="20"/>
      <c r="SOC132" s="20"/>
      <c r="SOD132" s="20"/>
      <c r="SOE132" s="21"/>
      <c r="SOF132" s="21"/>
      <c r="SOG132" s="7"/>
      <c r="SOH132" s="7"/>
      <c r="SOI132" s="21"/>
      <c r="SOJ132" s="20"/>
      <c r="SOK132" s="20"/>
      <c r="SOL132" s="20"/>
      <c r="SOM132" s="21"/>
      <c r="SON132" s="21"/>
      <c r="SOO132" s="21"/>
      <c r="SOP132" s="21"/>
      <c r="SOQ132" s="21"/>
      <c r="SOR132" s="20"/>
      <c r="SOS132" s="20"/>
      <c r="SOT132" s="20"/>
      <c r="SOU132" s="20"/>
      <c r="SOV132" s="21"/>
      <c r="SOW132" s="21"/>
      <c r="SOX132" s="7"/>
      <c r="SOY132" s="7"/>
      <c r="SOZ132" s="21"/>
      <c r="SPA132" s="20"/>
      <c r="SPB132" s="20"/>
      <c r="SPC132" s="20"/>
      <c r="SPD132" s="21"/>
      <c r="SPE132" s="21"/>
      <c r="SPF132" s="21"/>
      <c r="SPG132" s="21"/>
      <c r="SPH132" s="21"/>
      <c r="SPI132" s="20"/>
      <c r="SPJ132" s="20"/>
      <c r="SPK132" s="20"/>
      <c r="SPL132" s="20"/>
      <c r="SPM132" s="21"/>
      <c r="SPN132" s="21"/>
      <c r="SPO132" s="7"/>
      <c r="SPP132" s="7"/>
      <c r="SPQ132" s="21"/>
      <c r="SPR132" s="20"/>
      <c r="SPS132" s="20"/>
      <c r="SPT132" s="20"/>
      <c r="SPU132" s="21"/>
      <c r="SPV132" s="21"/>
      <c r="SPW132" s="21"/>
      <c r="SPX132" s="21"/>
      <c r="SPY132" s="21"/>
      <c r="SPZ132" s="20"/>
      <c r="SQA132" s="20"/>
      <c r="SQB132" s="20"/>
      <c r="SQC132" s="20"/>
      <c r="SQD132" s="21"/>
      <c r="SQE132" s="21"/>
      <c r="SQF132" s="7"/>
      <c r="SQG132" s="7"/>
      <c r="SQH132" s="21"/>
      <c r="SQI132" s="20"/>
      <c r="SQJ132" s="20"/>
      <c r="SQK132" s="20"/>
      <c r="SQL132" s="21"/>
      <c r="SQM132" s="21"/>
      <c r="SQN132" s="21"/>
      <c r="SQO132" s="21"/>
      <c r="SQP132" s="21"/>
      <c r="SQQ132" s="20"/>
      <c r="SQR132" s="20"/>
      <c r="SQS132" s="20"/>
      <c r="SQT132" s="20"/>
      <c r="SQU132" s="21"/>
      <c r="SQV132" s="21"/>
      <c r="SQW132" s="7"/>
      <c r="SQX132" s="7"/>
      <c r="SQY132" s="21"/>
      <c r="SQZ132" s="20"/>
      <c r="SRA132" s="20"/>
      <c r="SRB132" s="20"/>
      <c r="SRC132" s="21"/>
      <c r="SRD132" s="21"/>
      <c r="SRE132" s="21"/>
      <c r="SRF132" s="21"/>
      <c r="SRG132" s="21"/>
      <c r="SRH132" s="20"/>
      <c r="SRI132" s="20"/>
      <c r="SRJ132" s="20"/>
      <c r="SRK132" s="20"/>
      <c r="SRL132" s="21"/>
      <c r="SRM132" s="21"/>
      <c r="SRN132" s="7"/>
      <c r="SRO132" s="7"/>
      <c r="SRP132" s="21"/>
      <c r="SRQ132" s="20"/>
      <c r="SRR132" s="20"/>
      <c r="SRS132" s="20"/>
      <c r="SRT132" s="21"/>
      <c r="SRU132" s="21"/>
      <c r="SRV132" s="21"/>
      <c r="SRW132" s="21"/>
      <c r="SRX132" s="21"/>
      <c r="SRY132" s="20"/>
      <c r="SRZ132" s="20"/>
      <c r="SSA132" s="20"/>
      <c r="SSB132" s="20"/>
      <c r="SSC132" s="21"/>
      <c r="SSD132" s="21"/>
      <c r="SSE132" s="7"/>
      <c r="SSF132" s="7"/>
      <c r="SSG132" s="21"/>
      <c r="SSH132" s="20"/>
      <c r="SSI132" s="20"/>
      <c r="SSJ132" s="20"/>
      <c r="SSK132" s="21"/>
      <c r="SSL132" s="21"/>
      <c r="SSM132" s="21"/>
      <c r="SSN132" s="21"/>
      <c r="SSO132" s="21"/>
      <c r="SSP132" s="20"/>
      <c r="SSQ132" s="20"/>
      <c r="SSR132" s="20"/>
      <c r="SSS132" s="20"/>
      <c r="SST132" s="21"/>
      <c r="SSU132" s="21"/>
      <c r="SSV132" s="7"/>
      <c r="SSW132" s="7"/>
      <c r="SSX132" s="21"/>
      <c r="SSY132" s="20"/>
      <c r="SSZ132" s="20"/>
      <c r="STA132" s="20"/>
      <c r="STB132" s="21"/>
      <c r="STC132" s="21"/>
      <c r="STD132" s="21"/>
      <c r="STE132" s="21"/>
      <c r="STF132" s="21"/>
      <c r="STG132" s="20"/>
      <c r="STH132" s="20"/>
      <c r="STI132" s="20"/>
      <c r="STJ132" s="20"/>
      <c r="STK132" s="21"/>
      <c r="STL132" s="21"/>
      <c r="STM132" s="7"/>
      <c r="STN132" s="7"/>
      <c r="STO132" s="21"/>
      <c r="STP132" s="20"/>
      <c r="STQ132" s="20"/>
      <c r="STR132" s="20"/>
      <c r="STS132" s="21"/>
      <c r="STT132" s="21"/>
      <c r="STU132" s="21"/>
      <c r="STV132" s="21"/>
      <c r="STW132" s="21"/>
      <c r="STX132" s="20"/>
      <c r="STY132" s="20"/>
      <c r="STZ132" s="20"/>
      <c r="SUA132" s="20"/>
      <c r="SUB132" s="21"/>
      <c r="SUC132" s="21"/>
      <c r="SUD132" s="7"/>
      <c r="SUE132" s="7"/>
      <c r="SUF132" s="21"/>
      <c r="SUG132" s="20"/>
      <c r="SUH132" s="20"/>
      <c r="SUI132" s="20"/>
      <c r="SUJ132" s="21"/>
      <c r="SUK132" s="21"/>
      <c r="SUL132" s="21"/>
      <c r="SUM132" s="21"/>
      <c r="SUN132" s="21"/>
      <c r="SUO132" s="20"/>
      <c r="SUP132" s="20"/>
      <c r="SUQ132" s="20"/>
      <c r="SUR132" s="20"/>
      <c r="SUS132" s="21"/>
      <c r="SUT132" s="21"/>
      <c r="SUU132" s="7"/>
      <c r="SUV132" s="7"/>
      <c r="SUW132" s="21"/>
      <c r="SUX132" s="20"/>
      <c r="SUY132" s="20"/>
      <c r="SUZ132" s="20"/>
      <c r="SVA132" s="21"/>
      <c r="SVB132" s="21"/>
      <c r="SVC132" s="21"/>
      <c r="SVD132" s="21"/>
      <c r="SVE132" s="21"/>
      <c r="SVF132" s="20"/>
      <c r="SVG132" s="20"/>
      <c r="SVH132" s="20"/>
      <c r="SVI132" s="20"/>
      <c r="SVJ132" s="21"/>
      <c r="SVK132" s="21"/>
      <c r="SVL132" s="7"/>
      <c r="SVM132" s="7"/>
      <c r="SVN132" s="21"/>
      <c r="SVO132" s="20"/>
      <c r="SVP132" s="20"/>
      <c r="SVQ132" s="20"/>
      <c r="SVR132" s="21"/>
      <c r="SVS132" s="21"/>
      <c r="SVT132" s="21"/>
      <c r="SVU132" s="21"/>
      <c r="SVV132" s="21"/>
      <c r="SVW132" s="20"/>
      <c r="SVX132" s="20"/>
      <c r="SVY132" s="20"/>
      <c r="SVZ132" s="20"/>
      <c r="SWA132" s="21"/>
      <c r="SWB132" s="21"/>
      <c r="SWC132" s="7"/>
      <c r="SWD132" s="7"/>
      <c r="SWE132" s="21"/>
      <c r="SWF132" s="20"/>
      <c r="SWG132" s="20"/>
      <c r="SWH132" s="20"/>
      <c r="SWI132" s="21"/>
      <c r="SWJ132" s="21"/>
      <c r="SWK132" s="21"/>
      <c r="SWL132" s="21"/>
      <c r="SWM132" s="21"/>
      <c r="SWN132" s="20"/>
      <c r="SWO132" s="20"/>
      <c r="SWP132" s="20"/>
      <c r="SWQ132" s="20"/>
      <c r="SWR132" s="21"/>
      <c r="SWS132" s="21"/>
      <c r="SWT132" s="7"/>
      <c r="SWU132" s="7"/>
      <c r="SWV132" s="21"/>
      <c r="SWW132" s="20"/>
      <c r="SWX132" s="20"/>
      <c r="SWY132" s="20"/>
      <c r="SWZ132" s="21"/>
      <c r="SXA132" s="21"/>
      <c r="SXB132" s="21"/>
      <c r="SXC132" s="21"/>
      <c r="SXD132" s="21"/>
      <c r="SXE132" s="20"/>
      <c r="SXF132" s="20"/>
      <c r="SXG132" s="20"/>
      <c r="SXH132" s="20"/>
      <c r="SXI132" s="21"/>
      <c r="SXJ132" s="21"/>
      <c r="SXK132" s="7"/>
      <c r="SXL132" s="7"/>
      <c r="SXM132" s="21"/>
      <c r="SXN132" s="20"/>
      <c r="SXO132" s="20"/>
      <c r="SXP132" s="20"/>
      <c r="SXQ132" s="21"/>
      <c r="SXR132" s="21"/>
      <c r="SXS132" s="21"/>
      <c r="SXT132" s="21"/>
      <c r="SXU132" s="21"/>
      <c r="SXV132" s="20"/>
      <c r="SXW132" s="20"/>
      <c r="SXX132" s="20"/>
      <c r="SXY132" s="20"/>
      <c r="SXZ132" s="21"/>
      <c r="SYA132" s="21"/>
      <c r="SYB132" s="7"/>
      <c r="SYC132" s="7"/>
      <c r="SYD132" s="21"/>
      <c r="SYE132" s="20"/>
      <c r="SYF132" s="20"/>
      <c r="SYG132" s="20"/>
      <c r="SYH132" s="21"/>
      <c r="SYI132" s="21"/>
      <c r="SYJ132" s="21"/>
      <c r="SYK132" s="21"/>
      <c r="SYL132" s="21"/>
      <c r="SYM132" s="20"/>
      <c r="SYN132" s="20"/>
      <c r="SYO132" s="20"/>
      <c r="SYP132" s="20"/>
      <c r="SYQ132" s="21"/>
      <c r="SYR132" s="21"/>
      <c r="SYS132" s="7"/>
      <c r="SYT132" s="7"/>
      <c r="SYU132" s="21"/>
      <c r="SYV132" s="20"/>
      <c r="SYW132" s="20"/>
      <c r="SYX132" s="20"/>
      <c r="SYY132" s="21"/>
      <c r="SYZ132" s="21"/>
      <c r="SZA132" s="21"/>
      <c r="SZB132" s="21"/>
      <c r="SZC132" s="21"/>
      <c r="SZD132" s="20"/>
      <c r="SZE132" s="20"/>
      <c r="SZF132" s="20"/>
      <c r="SZG132" s="20"/>
      <c r="SZH132" s="21"/>
      <c r="SZI132" s="21"/>
      <c r="SZJ132" s="7"/>
      <c r="SZK132" s="7"/>
      <c r="SZL132" s="21"/>
      <c r="SZM132" s="20"/>
      <c r="SZN132" s="20"/>
      <c r="SZO132" s="20"/>
      <c r="SZP132" s="21"/>
      <c r="SZQ132" s="21"/>
      <c r="SZR132" s="21"/>
      <c r="SZS132" s="21"/>
      <c r="SZT132" s="21"/>
      <c r="SZU132" s="20"/>
      <c r="SZV132" s="20"/>
      <c r="SZW132" s="20"/>
      <c r="SZX132" s="20"/>
      <c r="SZY132" s="21"/>
      <c r="SZZ132" s="21"/>
      <c r="TAA132" s="7"/>
      <c r="TAB132" s="7"/>
      <c r="TAC132" s="21"/>
      <c r="TAD132" s="20"/>
      <c r="TAE132" s="20"/>
      <c r="TAF132" s="20"/>
      <c r="TAG132" s="21"/>
      <c r="TAH132" s="21"/>
      <c r="TAI132" s="21"/>
      <c r="TAJ132" s="21"/>
      <c r="TAK132" s="21"/>
      <c r="TAL132" s="20"/>
      <c r="TAM132" s="20"/>
      <c r="TAN132" s="20"/>
      <c r="TAO132" s="20"/>
      <c r="TAP132" s="21"/>
      <c r="TAQ132" s="21"/>
      <c r="TAR132" s="7"/>
      <c r="TAS132" s="7"/>
      <c r="TAT132" s="21"/>
      <c r="TAU132" s="20"/>
      <c r="TAV132" s="20"/>
      <c r="TAW132" s="20"/>
      <c r="TAX132" s="21"/>
      <c r="TAY132" s="21"/>
      <c r="TAZ132" s="21"/>
      <c r="TBA132" s="21"/>
      <c r="TBB132" s="21"/>
      <c r="TBC132" s="20"/>
      <c r="TBD132" s="20"/>
      <c r="TBE132" s="20"/>
      <c r="TBF132" s="20"/>
      <c r="TBG132" s="21"/>
      <c r="TBH132" s="21"/>
      <c r="TBI132" s="7"/>
      <c r="TBJ132" s="7"/>
      <c r="TBK132" s="21"/>
      <c r="TBL132" s="20"/>
      <c r="TBM132" s="20"/>
      <c r="TBN132" s="20"/>
      <c r="TBO132" s="21"/>
      <c r="TBP132" s="21"/>
      <c r="TBQ132" s="21"/>
      <c r="TBR132" s="21"/>
      <c r="TBS132" s="21"/>
      <c r="TBT132" s="20"/>
      <c r="TBU132" s="20"/>
      <c r="TBV132" s="20"/>
      <c r="TBW132" s="20"/>
      <c r="TBX132" s="21"/>
      <c r="TBY132" s="21"/>
      <c r="TBZ132" s="7"/>
      <c r="TCA132" s="7"/>
      <c r="TCB132" s="21"/>
      <c r="TCC132" s="20"/>
      <c r="TCD132" s="20"/>
      <c r="TCE132" s="20"/>
      <c r="TCF132" s="21"/>
      <c r="TCG132" s="21"/>
      <c r="TCH132" s="21"/>
      <c r="TCI132" s="21"/>
      <c r="TCJ132" s="21"/>
      <c r="TCK132" s="20"/>
      <c r="TCL132" s="20"/>
      <c r="TCM132" s="20"/>
      <c r="TCN132" s="20"/>
      <c r="TCO132" s="21"/>
      <c r="TCP132" s="21"/>
      <c r="TCQ132" s="7"/>
      <c r="TCR132" s="7"/>
      <c r="TCS132" s="21"/>
      <c r="TCT132" s="20"/>
      <c r="TCU132" s="20"/>
      <c r="TCV132" s="20"/>
      <c r="TCW132" s="21"/>
      <c r="TCX132" s="21"/>
      <c r="TCY132" s="21"/>
      <c r="TCZ132" s="21"/>
      <c r="TDA132" s="21"/>
      <c r="TDB132" s="20"/>
      <c r="TDC132" s="20"/>
      <c r="TDD132" s="20"/>
      <c r="TDE132" s="20"/>
      <c r="TDF132" s="21"/>
      <c r="TDG132" s="21"/>
      <c r="TDH132" s="7"/>
      <c r="TDI132" s="7"/>
      <c r="TDJ132" s="21"/>
      <c r="TDK132" s="20"/>
      <c r="TDL132" s="20"/>
      <c r="TDM132" s="20"/>
      <c r="TDN132" s="21"/>
      <c r="TDO132" s="21"/>
      <c r="TDP132" s="21"/>
      <c r="TDQ132" s="21"/>
      <c r="TDR132" s="21"/>
      <c r="TDS132" s="20"/>
      <c r="TDT132" s="20"/>
      <c r="TDU132" s="20"/>
      <c r="TDV132" s="20"/>
      <c r="TDW132" s="21"/>
      <c r="TDX132" s="21"/>
      <c r="TDY132" s="7"/>
      <c r="TDZ132" s="7"/>
      <c r="TEA132" s="21"/>
      <c r="TEB132" s="20"/>
      <c r="TEC132" s="20"/>
      <c r="TED132" s="20"/>
      <c r="TEE132" s="21"/>
      <c r="TEF132" s="21"/>
      <c r="TEG132" s="21"/>
      <c r="TEH132" s="21"/>
      <c r="TEI132" s="21"/>
      <c r="TEJ132" s="20"/>
      <c r="TEK132" s="20"/>
      <c r="TEL132" s="20"/>
      <c r="TEM132" s="20"/>
      <c r="TEN132" s="21"/>
      <c r="TEO132" s="21"/>
      <c r="TEP132" s="7"/>
      <c r="TEQ132" s="7"/>
      <c r="TER132" s="21"/>
      <c r="TES132" s="20"/>
      <c r="TET132" s="20"/>
      <c r="TEU132" s="20"/>
      <c r="TEV132" s="21"/>
      <c r="TEW132" s="21"/>
      <c r="TEX132" s="21"/>
      <c r="TEY132" s="21"/>
      <c r="TEZ132" s="21"/>
      <c r="TFA132" s="20"/>
      <c r="TFB132" s="20"/>
      <c r="TFC132" s="20"/>
      <c r="TFD132" s="20"/>
      <c r="TFE132" s="21"/>
      <c r="TFF132" s="21"/>
      <c r="TFG132" s="7"/>
      <c r="TFH132" s="7"/>
      <c r="TFI132" s="21"/>
      <c r="TFJ132" s="20"/>
      <c r="TFK132" s="20"/>
      <c r="TFL132" s="20"/>
      <c r="TFM132" s="21"/>
      <c r="TFN132" s="21"/>
      <c r="TFO132" s="21"/>
      <c r="TFP132" s="21"/>
      <c r="TFQ132" s="21"/>
      <c r="TFR132" s="20"/>
      <c r="TFS132" s="20"/>
      <c r="TFT132" s="20"/>
      <c r="TFU132" s="20"/>
      <c r="TFV132" s="21"/>
      <c r="TFW132" s="21"/>
      <c r="TFX132" s="7"/>
      <c r="TFY132" s="7"/>
      <c r="TFZ132" s="21"/>
      <c r="TGA132" s="20"/>
      <c r="TGB132" s="20"/>
      <c r="TGC132" s="20"/>
      <c r="TGD132" s="21"/>
      <c r="TGE132" s="21"/>
      <c r="TGF132" s="21"/>
      <c r="TGG132" s="21"/>
      <c r="TGH132" s="21"/>
      <c r="TGI132" s="20"/>
      <c r="TGJ132" s="20"/>
      <c r="TGK132" s="20"/>
      <c r="TGL132" s="20"/>
      <c r="TGM132" s="21"/>
      <c r="TGN132" s="21"/>
      <c r="TGO132" s="7"/>
      <c r="TGP132" s="7"/>
      <c r="TGQ132" s="21"/>
      <c r="TGR132" s="20"/>
      <c r="TGS132" s="20"/>
      <c r="TGT132" s="20"/>
      <c r="TGU132" s="21"/>
      <c r="TGV132" s="21"/>
      <c r="TGW132" s="21"/>
      <c r="TGX132" s="21"/>
      <c r="TGY132" s="21"/>
      <c r="TGZ132" s="20"/>
      <c r="THA132" s="20"/>
      <c r="THB132" s="20"/>
      <c r="THC132" s="20"/>
      <c r="THD132" s="21"/>
      <c r="THE132" s="21"/>
      <c r="THF132" s="7"/>
      <c r="THG132" s="7"/>
      <c r="THH132" s="21"/>
      <c r="THI132" s="20"/>
      <c r="THJ132" s="20"/>
      <c r="THK132" s="20"/>
      <c r="THL132" s="21"/>
      <c r="THM132" s="21"/>
      <c r="THN132" s="21"/>
      <c r="THO132" s="21"/>
      <c r="THP132" s="21"/>
      <c r="THQ132" s="20"/>
      <c r="THR132" s="20"/>
      <c r="THS132" s="20"/>
      <c r="THT132" s="20"/>
      <c r="THU132" s="21"/>
      <c r="THV132" s="21"/>
      <c r="THW132" s="7"/>
      <c r="THX132" s="7"/>
      <c r="THY132" s="21"/>
      <c r="THZ132" s="20"/>
      <c r="TIA132" s="20"/>
      <c r="TIB132" s="20"/>
      <c r="TIC132" s="21"/>
      <c r="TID132" s="21"/>
      <c r="TIE132" s="21"/>
      <c r="TIF132" s="21"/>
      <c r="TIG132" s="21"/>
      <c r="TIH132" s="20"/>
      <c r="TII132" s="20"/>
      <c r="TIJ132" s="20"/>
      <c r="TIK132" s="20"/>
      <c r="TIL132" s="21"/>
      <c r="TIM132" s="21"/>
      <c r="TIN132" s="7"/>
      <c r="TIO132" s="7"/>
      <c r="TIP132" s="21"/>
      <c r="TIQ132" s="20"/>
      <c r="TIR132" s="20"/>
      <c r="TIS132" s="20"/>
      <c r="TIT132" s="21"/>
      <c r="TIU132" s="21"/>
      <c r="TIV132" s="21"/>
      <c r="TIW132" s="21"/>
      <c r="TIX132" s="21"/>
      <c r="TIY132" s="20"/>
      <c r="TIZ132" s="20"/>
      <c r="TJA132" s="20"/>
      <c r="TJB132" s="20"/>
      <c r="TJC132" s="21"/>
      <c r="TJD132" s="21"/>
      <c r="TJE132" s="7"/>
      <c r="TJF132" s="7"/>
      <c r="TJG132" s="21"/>
      <c r="TJH132" s="20"/>
      <c r="TJI132" s="20"/>
      <c r="TJJ132" s="20"/>
      <c r="TJK132" s="21"/>
      <c r="TJL132" s="21"/>
      <c r="TJM132" s="21"/>
      <c r="TJN132" s="21"/>
      <c r="TJO132" s="21"/>
      <c r="TJP132" s="20"/>
      <c r="TJQ132" s="20"/>
      <c r="TJR132" s="20"/>
      <c r="TJS132" s="20"/>
      <c r="TJT132" s="21"/>
      <c r="TJU132" s="21"/>
      <c r="TJV132" s="7"/>
      <c r="TJW132" s="7"/>
      <c r="TJX132" s="21"/>
      <c r="TJY132" s="20"/>
      <c r="TJZ132" s="20"/>
      <c r="TKA132" s="20"/>
      <c r="TKB132" s="21"/>
      <c r="TKC132" s="21"/>
      <c r="TKD132" s="21"/>
      <c r="TKE132" s="21"/>
      <c r="TKF132" s="21"/>
      <c r="TKG132" s="20"/>
      <c r="TKH132" s="20"/>
      <c r="TKI132" s="20"/>
      <c r="TKJ132" s="20"/>
      <c r="TKK132" s="21"/>
      <c r="TKL132" s="21"/>
      <c r="TKM132" s="7"/>
      <c r="TKN132" s="7"/>
      <c r="TKO132" s="21"/>
      <c r="TKP132" s="20"/>
      <c r="TKQ132" s="20"/>
      <c r="TKR132" s="20"/>
      <c r="TKS132" s="21"/>
      <c r="TKT132" s="21"/>
      <c r="TKU132" s="21"/>
      <c r="TKV132" s="21"/>
      <c r="TKW132" s="21"/>
      <c r="TKX132" s="20"/>
      <c r="TKY132" s="20"/>
      <c r="TKZ132" s="20"/>
      <c r="TLA132" s="20"/>
      <c r="TLB132" s="21"/>
      <c r="TLC132" s="21"/>
      <c r="TLD132" s="7"/>
      <c r="TLE132" s="7"/>
      <c r="TLF132" s="21"/>
      <c r="TLG132" s="20"/>
      <c r="TLH132" s="20"/>
      <c r="TLI132" s="20"/>
      <c r="TLJ132" s="21"/>
      <c r="TLK132" s="21"/>
      <c r="TLL132" s="21"/>
      <c r="TLM132" s="21"/>
      <c r="TLN132" s="21"/>
      <c r="TLO132" s="20"/>
      <c r="TLP132" s="20"/>
      <c r="TLQ132" s="20"/>
      <c r="TLR132" s="20"/>
      <c r="TLS132" s="21"/>
      <c r="TLT132" s="21"/>
      <c r="TLU132" s="7"/>
      <c r="TLV132" s="7"/>
      <c r="TLW132" s="21"/>
      <c r="TLX132" s="20"/>
      <c r="TLY132" s="20"/>
      <c r="TLZ132" s="20"/>
      <c r="TMA132" s="21"/>
      <c r="TMB132" s="21"/>
      <c r="TMC132" s="21"/>
      <c r="TMD132" s="21"/>
      <c r="TME132" s="21"/>
      <c r="TMF132" s="20"/>
      <c r="TMG132" s="20"/>
      <c r="TMH132" s="20"/>
      <c r="TMI132" s="20"/>
      <c r="TMJ132" s="21"/>
      <c r="TMK132" s="21"/>
      <c r="TML132" s="7"/>
      <c r="TMM132" s="7"/>
      <c r="TMN132" s="21"/>
      <c r="TMO132" s="20"/>
      <c r="TMP132" s="20"/>
      <c r="TMQ132" s="20"/>
      <c r="TMR132" s="21"/>
      <c r="TMS132" s="21"/>
      <c r="TMT132" s="21"/>
      <c r="TMU132" s="21"/>
      <c r="TMV132" s="21"/>
      <c r="TMW132" s="20"/>
      <c r="TMX132" s="20"/>
      <c r="TMY132" s="20"/>
      <c r="TMZ132" s="20"/>
      <c r="TNA132" s="21"/>
      <c r="TNB132" s="21"/>
      <c r="TNC132" s="7"/>
      <c r="TND132" s="7"/>
      <c r="TNE132" s="21"/>
      <c r="TNF132" s="20"/>
      <c r="TNG132" s="20"/>
      <c r="TNH132" s="20"/>
      <c r="TNI132" s="21"/>
      <c r="TNJ132" s="21"/>
      <c r="TNK132" s="21"/>
      <c r="TNL132" s="21"/>
      <c r="TNM132" s="21"/>
      <c r="TNN132" s="20"/>
      <c r="TNO132" s="20"/>
      <c r="TNP132" s="20"/>
      <c r="TNQ132" s="20"/>
      <c r="TNR132" s="21"/>
      <c r="TNS132" s="21"/>
      <c r="TNT132" s="7"/>
      <c r="TNU132" s="7"/>
      <c r="TNV132" s="21"/>
      <c r="TNW132" s="20"/>
      <c r="TNX132" s="20"/>
      <c r="TNY132" s="20"/>
      <c r="TNZ132" s="21"/>
      <c r="TOA132" s="21"/>
      <c r="TOB132" s="21"/>
      <c r="TOC132" s="21"/>
      <c r="TOD132" s="21"/>
      <c r="TOE132" s="20"/>
      <c r="TOF132" s="20"/>
      <c r="TOG132" s="20"/>
      <c r="TOH132" s="20"/>
      <c r="TOI132" s="21"/>
      <c r="TOJ132" s="21"/>
      <c r="TOK132" s="7"/>
      <c r="TOL132" s="7"/>
      <c r="TOM132" s="21"/>
      <c r="TON132" s="20"/>
      <c r="TOO132" s="20"/>
      <c r="TOP132" s="20"/>
      <c r="TOQ132" s="21"/>
      <c r="TOR132" s="21"/>
      <c r="TOS132" s="21"/>
      <c r="TOT132" s="21"/>
      <c r="TOU132" s="21"/>
      <c r="TOV132" s="20"/>
      <c r="TOW132" s="20"/>
      <c r="TOX132" s="20"/>
      <c r="TOY132" s="20"/>
      <c r="TOZ132" s="21"/>
      <c r="TPA132" s="21"/>
      <c r="TPB132" s="7"/>
      <c r="TPC132" s="7"/>
      <c r="TPD132" s="21"/>
      <c r="TPE132" s="20"/>
      <c r="TPF132" s="20"/>
      <c r="TPG132" s="20"/>
      <c r="TPH132" s="21"/>
      <c r="TPI132" s="21"/>
      <c r="TPJ132" s="21"/>
      <c r="TPK132" s="21"/>
      <c r="TPL132" s="21"/>
      <c r="TPM132" s="20"/>
      <c r="TPN132" s="20"/>
      <c r="TPO132" s="20"/>
      <c r="TPP132" s="20"/>
      <c r="TPQ132" s="21"/>
      <c r="TPR132" s="21"/>
      <c r="TPS132" s="7"/>
      <c r="TPT132" s="7"/>
      <c r="TPU132" s="21"/>
      <c r="TPV132" s="20"/>
      <c r="TPW132" s="20"/>
      <c r="TPX132" s="20"/>
      <c r="TPY132" s="21"/>
      <c r="TPZ132" s="21"/>
      <c r="TQA132" s="21"/>
      <c r="TQB132" s="21"/>
      <c r="TQC132" s="21"/>
      <c r="TQD132" s="20"/>
      <c r="TQE132" s="20"/>
      <c r="TQF132" s="20"/>
      <c r="TQG132" s="20"/>
      <c r="TQH132" s="21"/>
      <c r="TQI132" s="21"/>
      <c r="TQJ132" s="7"/>
      <c r="TQK132" s="7"/>
      <c r="TQL132" s="21"/>
      <c r="TQM132" s="20"/>
      <c r="TQN132" s="20"/>
      <c r="TQO132" s="20"/>
      <c r="TQP132" s="21"/>
      <c r="TQQ132" s="21"/>
      <c r="TQR132" s="21"/>
      <c r="TQS132" s="21"/>
      <c r="TQT132" s="21"/>
      <c r="TQU132" s="20"/>
      <c r="TQV132" s="20"/>
      <c r="TQW132" s="20"/>
      <c r="TQX132" s="20"/>
      <c r="TQY132" s="21"/>
      <c r="TQZ132" s="21"/>
      <c r="TRA132" s="7"/>
      <c r="TRB132" s="7"/>
      <c r="TRC132" s="21"/>
      <c r="TRD132" s="20"/>
      <c r="TRE132" s="20"/>
      <c r="TRF132" s="20"/>
      <c r="TRG132" s="21"/>
      <c r="TRH132" s="21"/>
      <c r="TRI132" s="21"/>
      <c r="TRJ132" s="21"/>
      <c r="TRK132" s="21"/>
      <c r="TRL132" s="20"/>
      <c r="TRM132" s="20"/>
      <c r="TRN132" s="20"/>
      <c r="TRO132" s="20"/>
      <c r="TRP132" s="21"/>
      <c r="TRQ132" s="21"/>
      <c r="TRR132" s="7"/>
      <c r="TRS132" s="7"/>
      <c r="TRT132" s="21"/>
      <c r="TRU132" s="20"/>
      <c r="TRV132" s="20"/>
      <c r="TRW132" s="20"/>
      <c r="TRX132" s="21"/>
      <c r="TRY132" s="21"/>
      <c r="TRZ132" s="21"/>
      <c r="TSA132" s="21"/>
      <c r="TSB132" s="21"/>
      <c r="TSC132" s="20"/>
      <c r="TSD132" s="20"/>
      <c r="TSE132" s="20"/>
      <c r="TSF132" s="20"/>
      <c r="TSG132" s="21"/>
      <c r="TSH132" s="21"/>
      <c r="TSI132" s="7"/>
      <c r="TSJ132" s="7"/>
      <c r="TSK132" s="21"/>
      <c r="TSL132" s="20"/>
      <c r="TSM132" s="20"/>
      <c r="TSN132" s="20"/>
      <c r="TSO132" s="21"/>
      <c r="TSP132" s="21"/>
      <c r="TSQ132" s="21"/>
      <c r="TSR132" s="21"/>
      <c r="TSS132" s="21"/>
      <c r="TST132" s="20"/>
      <c r="TSU132" s="20"/>
      <c r="TSV132" s="20"/>
      <c r="TSW132" s="20"/>
      <c r="TSX132" s="21"/>
      <c r="TSY132" s="21"/>
      <c r="TSZ132" s="7"/>
      <c r="TTA132" s="7"/>
      <c r="TTB132" s="21"/>
      <c r="TTC132" s="20"/>
      <c r="TTD132" s="20"/>
      <c r="TTE132" s="20"/>
      <c r="TTF132" s="21"/>
      <c r="TTG132" s="21"/>
      <c r="TTH132" s="21"/>
      <c r="TTI132" s="21"/>
      <c r="TTJ132" s="21"/>
      <c r="TTK132" s="20"/>
      <c r="TTL132" s="20"/>
      <c r="TTM132" s="20"/>
      <c r="TTN132" s="20"/>
      <c r="TTO132" s="21"/>
      <c r="TTP132" s="21"/>
      <c r="TTQ132" s="7"/>
      <c r="TTR132" s="7"/>
      <c r="TTS132" s="21"/>
      <c r="TTT132" s="20"/>
      <c r="TTU132" s="20"/>
      <c r="TTV132" s="20"/>
      <c r="TTW132" s="21"/>
      <c r="TTX132" s="21"/>
      <c r="TTY132" s="21"/>
      <c r="TTZ132" s="21"/>
      <c r="TUA132" s="21"/>
      <c r="TUB132" s="20"/>
      <c r="TUC132" s="20"/>
      <c r="TUD132" s="20"/>
      <c r="TUE132" s="20"/>
      <c r="TUF132" s="21"/>
      <c r="TUG132" s="21"/>
      <c r="TUH132" s="7"/>
      <c r="TUI132" s="7"/>
      <c r="TUJ132" s="21"/>
      <c r="TUK132" s="20"/>
      <c r="TUL132" s="20"/>
      <c r="TUM132" s="20"/>
      <c r="TUN132" s="21"/>
      <c r="TUO132" s="21"/>
      <c r="TUP132" s="21"/>
      <c r="TUQ132" s="21"/>
      <c r="TUR132" s="21"/>
      <c r="TUS132" s="20"/>
      <c r="TUT132" s="20"/>
      <c r="TUU132" s="20"/>
      <c r="TUV132" s="20"/>
      <c r="TUW132" s="21"/>
      <c r="TUX132" s="21"/>
      <c r="TUY132" s="7"/>
      <c r="TUZ132" s="7"/>
      <c r="TVA132" s="21"/>
      <c r="TVB132" s="20"/>
      <c r="TVC132" s="20"/>
      <c r="TVD132" s="20"/>
      <c r="TVE132" s="21"/>
      <c r="TVF132" s="21"/>
      <c r="TVG132" s="21"/>
      <c r="TVH132" s="21"/>
      <c r="TVI132" s="21"/>
      <c r="TVJ132" s="20"/>
      <c r="TVK132" s="20"/>
      <c r="TVL132" s="20"/>
      <c r="TVM132" s="20"/>
      <c r="TVN132" s="21"/>
      <c r="TVO132" s="21"/>
      <c r="TVP132" s="7"/>
      <c r="TVQ132" s="7"/>
      <c r="TVR132" s="21"/>
      <c r="TVS132" s="20"/>
      <c r="TVT132" s="20"/>
      <c r="TVU132" s="20"/>
      <c r="TVV132" s="21"/>
      <c r="TVW132" s="21"/>
      <c r="TVX132" s="21"/>
      <c r="TVY132" s="21"/>
      <c r="TVZ132" s="21"/>
      <c r="TWA132" s="20"/>
      <c r="TWB132" s="20"/>
      <c r="TWC132" s="20"/>
      <c r="TWD132" s="20"/>
      <c r="TWE132" s="21"/>
      <c r="TWF132" s="21"/>
      <c r="TWG132" s="7"/>
      <c r="TWH132" s="7"/>
      <c r="TWI132" s="21"/>
      <c r="TWJ132" s="20"/>
      <c r="TWK132" s="20"/>
      <c r="TWL132" s="20"/>
      <c r="TWM132" s="21"/>
      <c r="TWN132" s="21"/>
      <c r="TWO132" s="21"/>
      <c r="TWP132" s="21"/>
      <c r="TWQ132" s="21"/>
      <c r="TWR132" s="20"/>
      <c r="TWS132" s="20"/>
      <c r="TWT132" s="20"/>
      <c r="TWU132" s="20"/>
      <c r="TWV132" s="21"/>
      <c r="TWW132" s="21"/>
      <c r="TWX132" s="7"/>
      <c r="TWY132" s="7"/>
      <c r="TWZ132" s="21"/>
      <c r="TXA132" s="20"/>
      <c r="TXB132" s="20"/>
      <c r="TXC132" s="20"/>
      <c r="TXD132" s="21"/>
      <c r="TXE132" s="21"/>
      <c r="TXF132" s="21"/>
      <c r="TXG132" s="21"/>
      <c r="TXH132" s="21"/>
      <c r="TXI132" s="20"/>
      <c r="TXJ132" s="20"/>
      <c r="TXK132" s="20"/>
      <c r="TXL132" s="20"/>
      <c r="TXM132" s="21"/>
      <c r="TXN132" s="21"/>
      <c r="TXO132" s="7"/>
      <c r="TXP132" s="7"/>
      <c r="TXQ132" s="21"/>
      <c r="TXR132" s="20"/>
      <c r="TXS132" s="20"/>
      <c r="TXT132" s="20"/>
      <c r="TXU132" s="21"/>
      <c r="TXV132" s="21"/>
      <c r="TXW132" s="21"/>
      <c r="TXX132" s="21"/>
      <c r="TXY132" s="21"/>
      <c r="TXZ132" s="20"/>
      <c r="TYA132" s="20"/>
      <c r="TYB132" s="20"/>
      <c r="TYC132" s="20"/>
      <c r="TYD132" s="21"/>
      <c r="TYE132" s="21"/>
      <c r="TYF132" s="7"/>
      <c r="TYG132" s="7"/>
      <c r="TYH132" s="21"/>
      <c r="TYI132" s="20"/>
      <c r="TYJ132" s="20"/>
      <c r="TYK132" s="20"/>
      <c r="TYL132" s="21"/>
      <c r="TYM132" s="21"/>
      <c r="TYN132" s="21"/>
      <c r="TYO132" s="21"/>
      <c r="TYP132" s="21"/>
      <c r="TYQ132" s="20"/>
      <c r="TYR132" s="20"/>
      <c r="TYS132" s="20"/>
      <c r="TYT132" s="20"/>
      <c r="TYU132" s="21"/>
      <c r="TYV132" s="21"/>
      <c r="TYW132" s="7"/>
      <c r="TYX132" s="7"/>
      <c r="TYY132" s="21"/>
      <c r="TYZ132" s="20"/>
      <c r="TZA132" s="20"/>
      <c r="TZB132" s="20"/>
      <c r="TZC132" s="21"/>
      <c r="TZD132" s="21"/>
      <c r="TZE132" s="21"/>
      <c r="TZF132" s="21"/>
      <c r="TZG132" s="21"/>
      <c r="TZH132" s="20"/>
      <c r="TZI132" s="20"/>
      <c r="TZJ132" s="20"/>
      <c r="TZK132" s="20"/>
      <c r="TZL132" s="21"/>
      <c r="TZM132" s="21"/>
      <c r="TZN132" s="7"/>
      <c r="TZO132" s="7"/>
      <c r="TZP132" s="21"/>
      <c r="TZQ132" s="20"/>
      <c r="TZR132" s="20"/>
      <c r="TZS132" s="20"/>
      <c r="TZT132" s="21"/>
      <c r="TZU132" s="21"/>
      <c r="TZV132" s="21"/>
      <c r="TZW132" s="21"/>
      <c r="TZX132" s="21"/>
      <c r="TZY132" s="20"/>
      <c r="TZZ132" s="20"/>
      <c r="UAA132" s="20"/>
      <c r="UAB132" s="20"/>
      <c r="UAC132" s="21"/>
      <c r="UAD132" s="21"/>
      <c r="UAE132" s="7"/>
      <c r="UAF132" s="7"/>
      <c r="UAG132" s="21"/>
      <c r="UAH132" s="20"/>
      <c r="UAI132" s="20"/>
      <c r="UAJ132" s="20"/>
      <c r="UAK132" s="21"/>
      <c r="UAL132" s="21"/>
      <c r="UAM132" s="21"/>
      <c r="UAN132" s="21"/>
      <c r="UAO132" s="21"/>
      <c r="UAP132" s="20"/>
      <c r="UAQ132" s="20"/>
      <c r="UAR132" s="20"/>
      <c r="UAS132" s="20"/>
      <c r="UAT132" s="21"/>
      <c r="UAU132" s="21"/>
      <c r="UAV132" s="7"/>
      <c r="UAW132" s="7"/>
      <c r="UAX132" s="21"/>
      <c r="UAY132" s="20"/>
      <c r="UAZ132" s="20"/>
      <c r="UBA132" s="20"/>
      <c r="UBB132" s="21"/>
      <c r="UBC132" s="21"/>
      <c r="UBD132" s="21"/>
      <c r="UBE132" s="21"/>
      <c r="UBF132" s="21"/>
      <c r="UBG132" s="20"/>
      <c r="UBH132" s="20"/>
      <c r="UBI132" s="20"/>
      <c r="UBJ132" s="20"/>
      <c r="UBK132" s="21"/>
      <c r="UBL132" s="21"/>
      <c r="UBM132" s="7"/>
      <c r="UBN132" s="7"/>
      <c r="UBO132" s="21"/>
      <c r="UBP132" s="20"/>
      <c r="UBQ132" s="20"/>
      <c r="UBR132" s="20"/>
      <c r="UBS132" s="21"/>
      <c r="UBT132" s="21"/>
      <c r="UBU132" s="21"/>
      <c r="UBV132" s="21"/>
      <c r="UBW132" s="21"/>
      <c r="UBX132" s="20"/>
      <c r="UBY132" s="20"/>
      <c r="UBZ132" s="20"/>
      <c r="UCA132" s="20"/>
      <c r="UCB132" s="21"/>
      <c r="UCC132" s="21"/>
      <c r="UCD132" s="7"/>
      <c r="UCE132" s="7"/>
      <c r="UCF132" s="21"/>
      <c r="UCG132" s="20"/>
      <c r="UCH132" s="20"/>
      <c r="UCI132" s="20"/>
      <c r="UCJ132" s="21"/>
      <c r="UCK132" s="21"/>
      <c r="UCL132" s="21"/>
      <c r="UCM132" s="21"/>
      <c r="UCN132" s="21"/>
      <c r="UCO132" s="20"/>
      <c r="UCP132" s="20"/>
      <c r="UCQ132" s="20"/>
      <c r="UCR132" s="20"/>
      <c r="UCS132" s="21"/>
      <c r="UCT132" s="21"/>
      <c r="UCU132" s="7"/>
      <c r="UCV132" s="7"/>
      <c r="UCW132" s="21"/>
      <c r="UCX132" s="20"/>
      <c r="UCY132" s="20"/>
      <c r="UCZ132" s="20"/>
      <c r="UDA132" s="21"/>
      <c r="UDB132" s="21"/>
      <c r="UDC132" s="21"/>
      <c r="UDD132" s="21"/>
      <c r="UDE132" s="21"/>
      <c r="UDF132" s="20"/>
      <c r="UDG132" s="20"/>
      <c r="UDH132" s="20"/>
      <c r="UDI132" s="20"/>
      <c r="UDJ132" s="21"/>
      <c r="UDK132" s="21"/>
      <c r="UDL132" s="7"/>
      <c r="UDM132" s="7"/>
      <c r="UDN132" s="21"/>
      <c r="UDO132" s="20"/>
      <c r="UDP132" s="20"/>
      <c r="UDQ132" s="20"/>
      <c r="UDR132" s="21"/>
      <c r="UDS132" s="21"/>
      <c r="UDT132" s="21"/>
      <c r="UDU132" s="21"/>
      <c r="UDV132" s="21"/>
      <c r="UDW132" s="20"/>
      <c r="UDX132" s="20"/>
      <c r="UDY132" s="20"/>
      <c r="UDZ132" s="20"/>
      <c r="UEA132" s="21"/>
      <c r="UEB132" s="21"/>
      <c r="UEC132" s="7"/>
      <c r="UED132" s="7"/>
      <c r="UEE132" s="21"/>
      <c r="UEF132" s="20"/>
      <c r="UEG132" s="20"/>
      <c r="UEH132" s="20"/>
      <c r="UEI132" s="21"/>
      <c r="UEJ132" s="21"/>
      <c r="UEK132" s="21"/>
      <c r="UEL132" s="21"/>
      <c r="UEM132" s="21"/>
      <c r="UEN132" s="20"/>
      <c r="UEO132" s="20"/>
      <c r="UEP132" s="20"/>
      <c r="UEQ132" s="20"/>
      <c r="UER132" s="21"/>
      <c r="UES132" s="21"/>
      <c r="UET132" s="7"/>
      <c r="UEU132" s="7"/>
      <c r="UEV132" s="21"/>
      <c r="UEW132" s="20"/>
      <c r="UEX132" s="20"/>
      <c r="UEY132" s="20"/>
      <c r="UEZ132" s="21"/>
      <c r="UFA132" s="21"/>
      <c r="UFB132" s="21"/>
      <c r="UFC132" s="21"/>
      <c r="UFD132" s="21"/>
      <c r="UFE132" s="20"/>
      <c r="UFF132" s="20"/>
      <c r="UFG132" s="20"/>
      <c r="UFH132" s="20"/>
      <c r="UFI132" s="21"/>
      <c r="UFJ132" s="21"/>
      <c r="UFK132" s="7"/>
      <c r="UFL132" s="7"/>
      <c r="UFM132" s="21"/>
      <c r="UFN132" s="20"/>
      <c r="UFO132" s="20"/>
      <c r="UFP132" s="20"/>
      <c r="UFQ132" s="21"/>
      <c r="UFR132" s="21"/>
      <c r="UFS132" s="21"/>
      <c r="UFT132" s="21"/>
      <c r="UFU132" s="21"/>
      <c r="UFV132" s="20"/>
      <c r="UFW132" s="20"/>
      <c r="UFX132" s="20"/>
      <c r="UFY132" s="20"/>
      <c r="UFZ132" s="21"/>
      <c r="UGA132" s="21"/>
      <c r="UGB132" s="7"/>
      <c r="UGC132" s="7"/>
      <c r="UGD132" s="21"/>
      <c r="UGE132" s="20"/>
      <c r="UGF132" s="20"/>
      <c r="UGG132" s="20"/>
      <c r="UGH132" s="21"/>
      <c r="UGI132" s="21"/>
      <c r="UGJ132" s="21"/>
      <c r="UGK132" s="21"/>
      <c r="UGL132" s="21"/>
      <c r="UGM132" s="20"/>
      <c r="UGN132" s="20"/>
      <c r="UGO132" s="20"/>
      <c r="UGP132" s="20"/>
      <c r="UGQ132" s="21"/>
      <c r="UGR132" s="21"/>
      <c r="UGS132" s="7"/>
      <c r="UGT132" s="7"/>
      <c r="UGU132" s="21"/>
      <c r="UGV132" s="20"/>
      <c r="UGW132" s="20"/>
      <c r="UGX132" s="20"/>
      <c r="UGY132" s="21"/>
      <c r="UGZ132" s="21"/>
      <c r="UHA132" s="21"/>
      <c r="UHB132" s="21"/>
      <c r="UHC132" s="21"/>
      <c r="UHD132" s="20"/>
      <c r="UHE132" s="20"/>
      <c r="UHF132" s="20"/>
      <c r="UHG132" s="20"/>
      <c r="UHH132" s="21"/>
      <c r="UHI132" s="21"/>
      <c r="UHJ132" s="7"/>
      <c r="UHK132" s="7"/>
      <c r="UHL132" s="21"/>
      <c r="UHM132" s="20"/>
      <c r="UHN132" s="20"/>
      <c r="UHO132" s="20"/>
      <c r="UHP132" s="21"/>
      <c r="UHQ132" s="21"/>
      <c r="UHR132" s="21"/>
      <c r="UHS132" s="21"/>
      <c r="UHT132" s="21"/>
      <c r="UHU132" s="20"/>
      <c r="UHV132" s="20"/>
      <c r="UHW132" s="20"/>
      <c r="UHX132" s="20"/>
      <c r="UHY132" s="21"/>
      <c r="UHZ132" s="21"/>
      <c r="UIA132" s="7"/>
      <c r="UIB132" s="7"/>
      <c r="UIC132" s="21"/>
      <c r="UID132" s="20"/>
      <c r="UIE132" s="20"/>
      <c r="UIF132" s="20"/>
      <c r="UIG132" s="21"/>
      <c r="UIH132" s="21"/>
      <c r="UII132" s="21"/>
      <c r="UIJ132" s="21"/>
      <c r="UIK132" s="21"/>
      <c r="UIL132" s="20"/>
      <c r="UIM132" s="20"/>
      <c r="UIN132" s="20"/>
      <c r="UIO132" s="20"/>
      <c r="UIP132" s="21"/>
      <c r="UIQ132" s="21"/>
      <c r="UIR132" s="7"/>
      <c r="UIS132" s="7"/>
      <c r="UIT132" s="21"/>
      <c r="UIU132" s="20"/>
      <c r="UIV132" s="20"/>
      <c r="UIW132" s="20"/>
      <c r="UIX132" s="21"/>
      <c r="UIY132" s="21"/>
      <c r="UIZ132" s="21"/>
      <c r="UJA132" s="21"/>
      <c r="UJB132" s="21"/>
      <c r="UJC132" s="20"/>
      <c r="UJD132" s="20"/>
      <c r="UJE132" s="20"/>
      <c r="UJF132" s="20"/>
      <c r="UJG132" s="21"/>
      <c r="UJH132" s="21"/>
      <c r="UJI132" s="7"/>
      <c r="UJJ132" s="7"/>
      <c r="UJK132" s="21"/>
      <c r="UJL132" s="20"/>
      <c r="UJM132" s="20"/>
      <c r="UJN132" s="20"/>
      <c r="UJO132" s="21"/>
      <c r="UJP132" s="21"/>
      <c r="UJQ132" s="21"/>
      <c r="UJR132" s="21"/>
      <c r="UJS132" s="21"/>
      <c r="UJT132" s="20"/>
      <c r="UJU132" s="20"/>
      <c r="UJV132" s="20"/>
      <c r="UJW132" s="20"/>
      <c r="UJX132" s="21"/>
      <c r="UJY132" s="21"/>
      <c r="UJZ132" s="7"/>
      <c r="UKA132" s="7"/>
      <c r="UKB132" s="21"/>
      <c r="UKC132" s="20"/>
      <c r="UKD132" s="20"/>
      <c r="UKE132" s="20"/>
      <c r="UKF132" s="21"/>
      <c r="UKG132" s="21"/>
      <c r="UKH132" s="21"/>
      <c r="UKI132" s="21"/>
      <c r="UKJ132" s="21"/>
      <c r="UKK132" s="20"/>
      <c r="UKL132" s="20"/>
      <c r="UKM132" s="20"/>
      <c r="UKN132" s="20"/>
      <c r="UKO132" s="21"/>
      <c r="UKP132" s="21"/>
      <c r="UKQ132" s="7"/>
      <c r="UKR132" s="7"/>
      <c r="UKS132" s="21"/>
      <c r="UKT132" s="20"/>
      <c r="UKU132" s="20"/>
      <c r="UKV132" s="20"/>
      <c r="UKW132" s="21"/>
      <c r="UKX132" s="21"/>
      <c r="UKY132" s="21"/>
      <c r="UKZ132" s="21"/>
      <c r="ULA132" s="21"/>
      <c r="ULB132" s="20"/>
      <c r="ULC132" s="20"/>
      <c r="ULD132" s="20"/>
      <c r="ULE132" s="20"/>
      <c r="ULF132" s="21"/>
      <c r="ULG132" s="21"/>
      <c r="ULH132" s="7"/>
      <c r="ULI132" s="7"/>
      <c r="ULJ132" s="21"/>
      <c r="ULK132" s="20"/>
      <c r="ULL132" s="20"/>
      <c r="ULM132" s="20"/>
      <c r="ULN132" s="21"/>
      <c r="ULO132" s="21"/>
      <c r="ULP132" s="21"/>
      <c r="ULQ132" s="21"/>
      <c r="ULR132" s="21"/>
      <c r="ULS132" s="20"/>
      <c r="ULT132" s="20"/>
      <c r="ULU132" s="20"/>
      <c r="ULV132" s="20"/>
      <c r="ULW132" s="21"/>
      <c r="ULX132" s="21"/>
      <c r="ULY132" s="7"/>
      <c r="ULZ132" s="7"/>
      <c r="UMA132" s="21"/>
      <c r="UMB132" s="20"/>
      <c r="UMC132" s="20"/>
      <c r="UMD132" s="20"/>
      <c r="UME132" s="21"/>
      <c r="UMF132" s="21"/>
      <c r="UMG132" s="21"/>
      <c r="UMH132" s="21"/>
      <c r="UMI132" s="21"/>
      <c r="UMJ132" s="20"/>
      <c r="UMK132" s="20"/>
      <c r="UML132" s="20"/>
      <c r="UMM132" s="20"/>
      <c r="UMN132" s="21"/>
      <c r="UMO132" s="21"/>
      <c r="UMP132" s="7"/>
      <c r="UMQ132" s="7"/>
      <c r="UMR132" s="21"/>
      <c r="UMS132" s="20"/>
      <c r="UMT132" s="20"/>
      <c r="UMU132" s="20"/>
      <c r="UMV132" s="21"/>
      <c r="UMW132" s="21"/>
      <c r="UMX132" s="21"/>
      <c r="UMY132" s="21"/>
      <c r="UMZ132" s="21"/>
      <c r="UNA132" s="20"/>
      <c r="UNB132" s="20"/>
      <c r="UNC132" s="20"/>
      <c r="UND132" s="20"/>
      <c r="UNE132" s="21"/>
      <c r="UNF132" s="21"/>
      <c r="UNG132" s="7"/>
      <c r="UNH132" s="7"/>
      <c r="UNI132" s="21"/>
      <c r="UNJ132" s="20"/>
      <c r="UNK132" s="20"/>
      <c r="UNL132" s="20"/>
      <c r="UNM132" s="21"/>
      <c r="UNN132" s="21"/>
      <c r="UNO132" s="21"/>
      <c r="UNP132" s="21"/>
      <c r="UNQ132" s="21"/>
      <c r="UNR132" s="20"/>
      <c r="UNS132" s="20"/>
      <c r="UNT132" s="20"/>
      <c r="UNU132" s="20"/>
      <c r="UNV132" s="21"/>
      <c r="UNW132" s="21"/>
      <c r="UNX132" s="7"/>
      <c r="UNY132" s="7"/>
      <c r="UNZ132" s="21"/>
      <c r="UOA132" s="20"/>
      <c r="UOB132" s="20"/>
      <c r="UOC132" s="20"/>
      <c r="UOD132" s="21"/>
      <c r="UOE132" s="21"/>
      <c r="UOF132" s="21"/>
      <c r="UOG132" s="21"/>
      <c r="UOH132" s="21"/>
      <c r="UOI132" s="20"/>
      <c r="UOJ132" s="20"/>
      <c r="UOK132" s="20"/>
      <c r="UOL132" s="20"/>
      <c r="UOM132" s="21"/>
      <c r="UON132" s="21"/>
      <c r="UOO132" s="7"/>
      <c r="UOP132" s="7"/>
      <c r="UOQ132" s="21"/>
      <c r="UOR132" s="20"/>
      <c r="UOS132" s="20"/>
      <c r="UOT132" s="20"/>
      <c r="UOU132" s="21"/>
      <c r="UOV132" s="21"/>
      <c r="UOW132" s="21"/>
      <c r="UOX132" s="21"/>
      <c r="UOY132" s="21"/>
      <c r="UOZ132" s="20"/>
      <c r="UPA132" s="20"/>
      <c r="UPB132" s="20"/>
      <c r="UPC132" s="20"/>
      <c r="UPD132" s="21"/>
      <c r="UPE132" s="21"/>
      <c r="UPF132" s="7"/>
      <c r="UPG132" s="7"/>
      <c r="UPH132" s="21"/>
      <c r="UPI132" s="20"/>
      <c r="UPJ132" s="20"/>
      <c r="UPK132" s="20"/>
      <c r="UPL132" s="21"/>
      <c r="UPM132" s="21"/>
      <c r="UPN132" s="21"/>
      <c r="UPO132" s="21"/>
      <c r="UPP132" s="21"/>
      <c r="UPQ132" s="20"/>
      <c r="UPR132" s="20"/>
      <c r="UPS132" s="20"/>
      <c r="UPT132" s="20"/>
      <c r="UPU132" s="21"/>
      <c r="UPV132" s="21"/>
      <c r="UPW132" s="7"/>
      <c r="UPX132" s="7"/>
      <c r="UPY132" s="21"/>
      <c r="UPZ132" s="20"/>
      <c r="UQA132" s="20"/>
      <c r="UQB132" s="20"/>
      <c r="UQC132" s="21"/>
      <c r="UQD132" s="21"/>
      <c r="UQE132" s="21"/>
      <c r="UQF132" s="21"/>
      <c r="UQG132" s="21"/>
      <c r="UQH132" s="20"/>
      <c r="UQI132" s="20"/>
      <c r="UQJ132" s="20"/>
      <c r="UQK132" s="20"/>
      <c r="UQL132" s="21"/>
      <c r="UQM132" s="21"/>
      <c r="UQN132" s="7"/>
      <c r="UQO132" s="7"/>
      <c r="UQP132" s="21"/>
      <c r="UQQ132" s="20"/>
      <c r="UQR132" s="20"/>
      <c r="UQS132" s="20"/>
      <c r="UQT132" s="21"/>
      <c r="UQU132" s="21"/>
      <c r="UQV132" s="21"/>
      <c r="UQW132" s="21"/>
      <c r="UQX132" s="21"/>
      <c r="UQY132" s="20"/>
      <c r="UQZ132" s="20"/>
      <c r="URA132" s="20"/>
      <c r="URB132" s="20"/>
      <c r="URC132" s="21"/>
      <c r="URD132" s="21"/>
      <c r="URE132" s="7"/>
      <c r="URF132" s="7"/>
      <c r="URG132" s="21"/>
      <c r="URH132" s="20"/>
      <c r="URI132" s="20"/>
      <c r="URJ132" s="20"/>
      <c r="URK132" s="21"/>
      <c r="URL132" s="21"/>
      <c r="URM132" s="21"/>
      <c r="URN132" s="21"/>
      <c r="URO132" s="21"/>
      <c r="URP132" s="20"/>
      <c r="URQ132" s="20"/>
      <c r="URR132" s="20"/>
      <c r="URS132" s="20"/>
      <c r="URT132" s="21"/>
      <c r="URU132" s="21"/>
      <c r="URV132" s="7"/>
      <c r="URW132" s="7"/>
      <c r="URX132" s="21"/>
      <c r="URY132" s="20"/>
      <c r="URZ132" s="20"/>
      <c r="USA132" s="20"/>
      <c r="USB132" s="21"/>
      <c r="USC132" s="21"/>
      <c r="USD132" s="21"/>
      <c r="USE132" s="21"/>
      <c r="USF132" s="21"/>
      <c r="USG132" s="20"/>
      <c r="USH132" s="20"/>
      <c r="USI132" s="20"/>
      <c r="USJ132" s="20"/>
      <c r="USK132" s="21"/>
      <c r="USL132" s="21"/>
      <c r="USM132" s="7"/>
      <c r="USN132" s="7"/>
      <c r="USO132" s="21"/>
      <c r="USP132" s="20"/>
      <c r="USQ132" s="20"/>
      <c r="USR132" s="20"/>
      <c r="USS132" s="21"/>
      <c r="UST132" s="21"/>
      <c r="USU132" s="21"/>
      <c r="USV132" s="21"/>
      <c r="USW132" s="21"/>
      <c r="USX132" s="20"/>
      <c r="USY132" s="20"/>
      <c r="USZ132" s="20"/>
      <c r="UTA132" s="20"/>
      <c r="UTB132" s="21"/>
      <c r="UTC132" s="21"/>
      <c r="UTD132" s="7"/>
      <c r="UTE132" s="7"/>
      <c r="UTF132" s="21"/>
      <c r="UTG132" s="20"/>
      <c r="UTH132" s="20"/>
      <c r="UTI132" s="20"/>
      <c r="UTJ132" s="21"/>
      <c r="UTK132" s="21"/>
      <c r="UTL132" s="21"/>
      <c r="UTM132" s="21"/>
      <c r="UTN132" s="21"/>
      <c r="UTO132" s="20"/>
      <c r="UTP132" s="20"/>
      <c r="UTQ132" s="20"/>
      <c r="UTR132" s="20"/>
      <c r="UTS132" s="21"/>
      <c r="UTT132" s="21"/>
      <c r="UTU132" s="7"/>
      <c r="UTV132" s="7"/>
      <c r="UTW132" s="21"/>
      <c r="UTX132" s="20"/>
      <c r="UTY132" s="20"/>
      <c r="UTZ132" s="20"/>
      <c r="UUA132" s="21"/>
      <c r="UUB132" s="21"/>
      <c r="UUC132" s="21"/>
      <c r="UUD132" s="21"/>
      <c r="UUE132" s="21"/>
      <c r="UUF132" s="20"/>
      <c r="UUG132" s="20"/>
      <c r="UUH132" s="20"/>
      <c r="UUI132" s="20"/>
      <c r="UUJ132" s="21"/>
      <c r="UUK132" s="21"/>
      <c r="UUL132" s="7"/>
      <c r="UUM132" s="7"/>
      <c r="UUN132" s="21"/>
      <c r="UUO132" s="20"/>
      <c r="UUP132" s="20"/>
      <c r="UUQ132" s="20"/>
      <c r="UUR132" s="21"/>
      <c r="UUS132" s="21"/>
      <c r="UUT132" s="21"/>
      <c r="UUU132" s="21"/>
      <c r="UUV132" s="21"/>
      <c r="UUW132" s="20"/>
      <c r="UUX132" s="20"/>
      <c r="UUY132" s="20"/>
      <c r="UUZ132" s="20"/>
      <c r="UVA132" s="21"/>
      <c r="UVB132" s="21"/>
      <c r="UVC132" s="7"/>
      <c r="UVD132" s="7"/>
      <c r="UVE132" s="21"/>
      <c r="UVF132" s="20"/>
      <c r="UVG132" s="20"/>
      <c r="UVH132" s="20"/>
      <c r="UVI132" s="21"/>
      <c r="UVJ132" s="21"/>
      <c r="UVK132" s="21"/>
      <c r="UVL132" s="21"/>
      <c r="UVM132" s="21"/>
      <c r="UVN132" s="20"/>
      <c r="UVO132" s="20"/>
      <c r="UVP132" s="20"/>
      <c r="UVQ132" s="20"/>
      <c r="UVR132" s="21"/>
      <c r="UVS132" s="21"/>
      <c r="UVT132" s="7"/>
      <c r="UVU132" s="7"/>
      <c r="UVV132" s="21"/>
      <c r="UVW132" s="20"/>
      <c r="UVX132" s="20"/>
      <c r="UVY132" s="20"/>
      <c r="UVZ132" s="21"/>
      <c r="UWA132" s="21"/>
      <c r="UWB132" s="21"/>
      <c r="UWC132" s="21"/>
      <c r="UWD132" s="21"/>
      <c r="UWE132" s="20"/>
      <c r="UWF132" s="20"/>
      <c r="UWG132" s="20"/>
      <c r="UWH132" s="20"/>
      <c r="UWI132" s="21"/>
      <c r="UWJ132" s="21"/>
      <c r="UWK132" s="7"/>
      <c r="UWL132" s="7"/>
      <c r="UWM132" s="21"/>
      <c r="UWN132" s="20"/>
      <c r="UWO132" s="20"/>
      <c r="UWP132" s="20"/>
      <c r="UWQ132" s="21"/>
      <c r="UWR132" s="21"/>
      <c r="UWS132" s="21"/>
      <c r="UWT132" s="21"/>
      <c r="UWU132" s="21"/>
      <c r="UWV132" s="20"/>
      <c r="UWW132" s="20"/>
      <c r="UWX132" s="20"/>
      <c r="UWY132" s="20"/>
      <c r="UWZ132" s="21"/>
      <c r="UXA132" s="21"/>
      <c r="UXB132" s="7"/>
      <c r="UXC132" s="7"/>
      <c r="UXD132" s="21"/>
      <c r="UXE132" s="20"/>
      <c r="UXF132" s="20"/>
      <c r="UXG132" s="20"/>
      <c r="UXH132" s="21"/>
      <c r="UXI132" s="21"/>
      <c r="UXJ132" s="21"/>
      <c r="UXK132" s="21"/>
      <c r="UXL132" s="21"/>
      <c r="UXM132" s="20"/>
      <c r="UXN132" s="20"/>
      <c r="UXO132" s="20"/>
      <c r="UXP132" s="20"/>
      <c r="UXQ132" s="21"/>
      <c r="UXR132" s="21"/>
      <c r="UXS132" s="7"/>
      <c r="UXT132" s="7"/>
      <c r="UXU132" s="21"/>
      <c r="UXV132" s="20"/>
      <c r="UXW132" s="20"/>
      <c r="UXX132" s="20"/>
      <c r="UXY132" s="21"/>
      <c r="UXZ132" s="21"/>
      <c r="UYA132" s="21"/>
      <c r="UYB132" s="21"/>
      <c r="UYC132" s="21"/>
      <c r="UYD132" s="20"/>
      <c r="UYE132" s="20"/>
      <c r="UYF132" s="20"/>
      <c r="UYG132" s="20"/>
      <c r="UYH132" s="21"/>
      <c r="UYI132" s="21"/>
      <c r="UYJ132" s="7"/>
      <c r="UYK132" s="7"/>
      <c r="UYL132" s="21"/>
      <c r="UYM132" s="20"/>
      <c r="UYN132" s="20"/>
      <c r="UYO132" s="20"/>
      <c r="UYP132" s="21"/>
      <c r="UYQ132" s="21"/>
      <c r="UYR132" s="21"/>
      <c r="UYS132" s="21"/>
      <c r="UYT132" s="21"/>
      <c r="UYU132" s="20"/>
      <c r="UYV132" s="20"/>
      <c r="UYW132" s="20"/>
      <c r="UYX132" s="20"/>
      <c r="UYY132" s="21"/>
      <c r="UYZ132" s="21"/>
      <c r="UZA132" s="7"/>
      <c r="UZB132" s="7"/>
      <c r="UZC132" s="21"/>
      <c r="UZD132" s="20"/>
      <c r="UZE132" s="20"/>
      <c r="UZF132" s="20"/>
      <c r="UZG132" s="21"/>
      <c r="UZH132" s="21"/>
      <c r="UZI132" s="21"/>
      <c r="UZJ132" s="21"/>
      <c r="UZK132" s="21"/>
      <c r="UZL132" s="20"/>
      <c r="UZM132" s="20"/>
      <c r="UZN132" s="20"/>
      <c r="UZO132" s="20"/>
      <c r="UZP132" s="21"/>
      <c r="UZQ132" s="21"/>
      <c r="UZR132" s="7"/>
      <c r="UZS132" s="7"/>
      <c r="UZT132" s="21"/>
      <c r="UZU132" s="20"/>
      <c r="UZV132" s="20"/>
      <c r="UZW132" s="20"/>
      <c r="UZX132" s="21"/>
      <c r="UZY132" s="21"/>
      <c r="UZZ132" s="21"/>
      <c r="VAA132" s="21"/>
      <c r="VAB132" s="21"/>
      <c r="VAC132" s="20"/>
      <c r="VAD132" s="20"/>
      <c r="VAE132" s="20"/>
      <c r="VAF132" s="20"/>
      <c r="VAG132" s="21"/>
      <c r="VAH132" s="21"/>
      <c r="VAI132" s="7"/>
      <c r="VAJ132" s="7"/>
      <c r="VAK132" s="21"/>
      <c r="VAL132" s="20"/>
      <c r="VAM132" s="20"/>
      <c r="VAN132" s="20"/>
      <c r="VAO132" s="21"/>
      <c r="VAP132" s="21"/>
      <c r="VAQ132" s="21"/>
      <c r="VAR132" s="21"/>
      <c r="VAS132" s="21"/>
      <c r="VAT132" s="20"/>
      <c r="VAU132" s="20"/>
      <c r="VAV132" s="20"/>
      <c r="VAW132" s="20"/>
      <c r="VAX132" s="21"/>
      <c r="VAY132" s="21"/>
      <c r="VAZ132" s="7"/>
      <c r="VBA132" s="7"/>
      <c r="VBB132" s="21"/>
      <c r="VBC132" s="20"/>
      <c r="VBD132" s="20"/>
      <c r="VBE132" s="20"/>
      <c r="VBF132" s="21"/>
      <c r="VBG132" s="21"/>
      <c r="VBH132" s="21"/>
      <c r="VBI132" s="21"/>
      <c r="VBJ132" s="21"/>
      <c r="VBK132" s="20"/>
      <c r="VBL132" s="20"/>
      <c r="VBM132" s="20"/>
      <c r="VBN132" s="20"/>
      <c r="VBO132" s="21"/>
      <c r="VBP132" s="21"/>
      <c r="VBQ132" s="7"/>
      <c r="VBR132" s="7"/>
      <c r="VBS132" s="21"/>
      <c r="VBT132" s="20"/>
      <c r="VBU132" s="20"/>
      <c r="VBV132" s="20"/>
      <c r="VBW132" s="21"/>
      <c r="VBX132" s="21"/>
      <c r="VBY132" s="21"/>
      <c r="VBZ132" s="21"/>
      <c r="VCA132" s="21"/>
      <c r="VCB132" s="20"/>
      <c r="VCC132" s="20"/>
      <c r="VCD132" s="20"/>
      <c r="VCE132" s="20"/>
      <c r="VCF132" s="21"/>
      <c r="VCG132" s="21"/>
      <c r="VCH132" s="7"/>
      <c r="VCI132" s="7"/>
      <c r="VCJ132" s="21"/>
      <c r="VCK132" s="20"/>
      <c r="VCL132" s="20"/>
      <c r="VCM132" s="20"/>
      <c r="VCN132" s="21"/>
      <c r="VCO132" s="21"/>
      <c r="VCP132" s="21"/>
      <c r="VCQ132" s="21"/>
      <c r="VCR132" s="21"/>
      <c r="VCS132" s="20"/>
      <c r="VCT132" s="20"/>
      <c r="VCU132" s="20"/>
      <c r="VCV132" s="20"/>
      <c r="VCW132" s="21"/>
      <c r="VCX132" s="21"/>
      <c r="VCY132" s="7"/>
      <c r="VCZ132" s="7"/>
      <c r="VDA132" s="21"/>
      <c r="VDB132" s="20"/>
      <c r="VDC132" s="20"/>
      <c r="VDD132" s="20"/>
      <c r="VDE132" s="21"/>
      <c r="VDF132" s="21"/>
      <c r="VDG132" s="21"/>
      <c r="VDH132" s="21"/>
      <c r="VDI132" s="21"/>
      <c r="VDJ132" s="20"/>
      <c r="VDK132" s="20"/>
      <c r="VDL132" s="20"/>
      <c r="VDM132" s="20"/>
      <c r="VDN132" s="21"/>
      <c r="VDO132" s="21"/>
      <c r="VDP132" s="7"/>
      <c r="VDQ132" s="7"/>
      <c r="VDR132" s="21"/>
      <c r="VDS132" s="20"/>
      <c r="VDT132" s="20"/>
      <c r="VDU132" s="20"/>
      <c r="VDV132" s="21"/>
      <c r="VDW132" s="21"/>
      <c r="VDX132" s="21"/>
      <c r="VDY132" s="21"/>
      <c r="VDZ132" s="21"/>
      <c r="VEA132" s="20"/>
      <c r="VEB132" s="20"/>
      <c r="VEC132" s="20"/>
      <c r="VED132" s="20"/>
      <c r="VEE132" s="21"/>
      <c r="VEF132" s="21"/>
      <c r="VEG132" s="7"/>
      <c r="VEH132" s="7"/>
      <c r="VEI132" s="21"/>
      <c r="VEJ132" s="20"/>
      <c r="VEK132" s="20"/>
      <c r="VEL132" s="20"/>
      <c r="VEM132" s="21"/>
      <c r="VEN132" s="21"/>
      <c r="VEO132" s="21"/>
      <c r="VEP132" s="21"/>
      <c r="VEQ132" s="21"/>
      <c r="VER132" s="20"/>
      <c r="VES132" s="20"/>
      <c r="VET132" s="20"/>
      <c r="VEU132" s="20"/>
      <c r="VEV132" s="21"/>
      <c r="VEW132" s="21"/>
      <c r="VEX132" s="7"/>
      <c r="VEY132" s="7"/>
      <c r="VEZ132" s="21"/>
      <c r="VFA132" s="20"/>
      <c r="VFB132" s="20"/>
      <c r="VFC132" s="20"/>
      <c r="VFD132" s="21"/>
      <c r="VFE132" s="21"/>
      <c r="VFF132" s="21"/>
      <c r="VFG132" s="21"/>
      <c r="VFH132" s="21"/>
      <c r="VFI132" s="20"/>
      <c r="VFJ132" s="20"/>
      <c r="VFK132" s="20"/>
      <c r="VFL132" s="20"/>
      <c r="VFM132" s="21"/>
      <c r="VFN132" s="21"/>
      <c r="VFO132" s="7"/>
      <c r="VFP132" s="7"/>
      <c r="VFQ132" s="21"/>
      <c r="VFR132" s="20"/>
      <c r="VFS132" s="20"/>
      <c r="VFT132" s="20"/>
      <c r="VFU132" s="21"/>
      <c r="VFV132" s="21"/>
      <c r="VFW132" s="21"/>
      <c r="VFX132" s="21"/>
      <c r="VFY132" s="21"/>
      <c r="VFZ132" s="20"/>
      <c r="VGA132" s="20"/>
      <c r="VGB132" s="20"/>
      <c r="VGC132" s="20"/>
      <c r="VGD132" s="21"/>
      <c r="VGE132" s="21"/>
      <c r="VGF132" s="7"/>
      <c r="VGG132" s="7"/>
      <c r="VGH132" s="21"/>
      <c r="VGI132" s="20"/>
      <c r="VGJ132" s="20"/>
      <c r="VGK132" s="20"/>
      <c r="VGL132" s="21"/>
      <c r="VGM132" s="21"/>
      <c r="VGN132" s="21"/>
      <c r="VGO132" s="21"/>
      <c r="VGP132" s="21"/>
      <c r="VGQ132" s="20"/>
      <c r="VGR132" s="20"/>
      <c r="VGS132" s="20"/>
      <c r="VGT132" s="20"/>
      <c r="VGU132" s="21"/>
      <c r="VGV132" s="21"/>
      <c r="VGW132" s="7"/>
      <c r="VGX132" s="7"/>
      <c r="VGY132" s="21"/>
      <c r="VGZ132" s="20"/>
      <c r="VHA132" s="20"/>
      <c r="VHB132" s="20"/>
      <c r="VHC132" s="21"/>
      <c r="VHD132" s="21"/>
      <c r="VHE132" s="21"/>
      <c r="VHF132" s="21"/>
      <c r="VHG132" s="21"/>
      <c r="VHH132" s="20"/>
      <c r="VHI132" s="20"/>
      <c r="VHJ132" s="20"/>
      <c r="VHK132" s="20"/>
      <c r="VHL132" s="21"/>
      <c r="VHM132" s="21"/>
      <c r="VHN132" s="7"/>
      <c r="VHO132" s="7"/>
      <c r="VHP132" s="21"/>
      <c r="VHQ132" s="20"/>
      <c r="VHR132" s="20"/>
      <c r="VHS132" s="20"/>
      <c r="VHT132" s="21"/>
      <c r="VHU132" s="21"/>
      <c r="VHV132" s="21"/>
      <c r="VHW132" s="21"/>
      <c r="VHX132" s="21"/>
      <c r="VHY132" s="20"/>
      <c r="VHZ132" s="20"/>
      <c r="VIA132" s="20"/>
      <c r="VIB132" s="20"/>
      <c r="VIC132" s="21"/>
      <c r="VID132" s="21"/>
      <c r="VIE132" s="7"/>
      <c r="VIF132" s="7"/>
      <c r="VIG132" s="21"/>
      <c r="VIH132" s="20"/>
      <c r="VII132" s="20"/>
      <c r="VIJ132" s="20"/>
      <c r="VIK132" s="21"/>
      <c r="VIL132" s="21"/>
      <c r="VIM132" s="21"/>
      <c r="VIN132" s="21"/>
      <c r="VIO132" s="21"/>
      <c r="VIP132" s="20"/>
      <c r="VIQ132" s="20"/>
      <c r="VIR132" s="20"/>
      <c r="VIS132" s="20"/>
      <c r="VIT132" s="21"/>
      <c r="VIU132" s="21"/>
      <c r="VIV132" s="7"/>
      <c r="VIW132" s="7"/>
      <c r="VIX132" s="21"/>
      <c r="VIY132" s="20"/>
      <c r="VIZ132" s="20"/>
      <c r="VJA132" s="20"/>
      <c r="VJB132" s="21"/>
      <c r="VJC132" s="21"/>
      <c r="VJD132" s="21"/>
      <c r="VJE132" s="21"/>
      <c r="VJF132" s="21"/>
      <c r="VJG132" s="20"/>
      <c r="VJH132" s="20"/>
      <c r="VJI132" s="20"/>
      <c r="VJJ132" s="20"/>
      <c r="VJK132" s="21"/>
      <c r="VJL132" s="21"/>
      <c r="VJM132" s="7"/>
      <c r="VJN132" s="7"/>
      <c r="VJO132" s="21"/>
      <c r="VJP132" s="20"/>
      <c r="VJQ132" s="20"/>
      <c r="VJR132" s="20"/>
      <c r="VJS132" s="21"/>
      <c r="VJT132" s="21"/>
      <c r="VJU132" s="21"/>
      <c r="VJV132" s="21"/>
      <c r="VJW132" s="21"/>
      <c r="VJX132" s="20"/>
      <c r="VJY132" s="20"/>
      <c r="VJZ132" s="20"/>
      <c r="VKA132" s="20"/>
      <c r="VKB132" s="21"/>
      <c r="VKC132" s="21"/>
      <c r="VKD132" s="7"/>
      <c r="VKE132" s="7"/>
      <c r="VKF132" s="21"/>
      <c r="VKG132" s="20"/>
      <c r="VKH132" s="20"/>
      <c r="VKI132" s="20"/>
      <c r="VKJ132" s="21"/>
      <c r="VKK132" s="21"/>
      <c r="VKL132" s="21"/>
      <c r="VKM132" s="21"/>
      <c r="VKN132" s="21"/>
      <c r="VKO132" s="20"/>
      <c r="VKP132" s="20"/>
      <c r="VKQ132" s="20"/>
      <c r="VKR132" s="20"/>
      <c r="VKS132" s="21"/>
      <c r="VKT132" s="21"/>
      <c r="VKU132" s="7"/>
      <c r="VKV132" s="7"/>
      <c r="VKW132" s="21"/>
      <c r="VKX132" s="20"/>
      <c r="VKY132" s="20"/>
      <c r="VKZ132" s="20"/>
      <c r="VLA132" s="21"/>
      <c r="VLB132" s="21"/>
      <c r="VLC132" s="21"/>
      <c r="VLD132" s="21"/>
      <c r="VLE132" s="21"/>
      <c r="VLF132" s="20"/>
      <c r="VLG132" s="20"/>
      <c r="VLH132" s="20"/>
      <c r="VLI132" s="20"/>
      <c r="VLJ132" s="21"/>
      <c r="VLK132" s="21"/>
      <c r="VLL132" s="7"/>
      <c r="VLM132" s="7"/>
      <c r="VLN132" s="21"/>
      <c r="VLO132" s="20"/>
      <c r="VLP132" s="20"/>
      <c r="VLQ132" s="20"/>
      <c r="VLR132" s="21"/>
      <c r="VLS132" s="21"/>
      <c r="VLT132" s="21"/>
      <c r="VLU132" s="21"/>
      <c r="VLV132" s="21"/>
      <c r="VLW132" s="20"/>
      <c r="VLX132" s="20"/>
      <c r="VLY132" s="20"/>
      <c r="VLZ132" s="20"/>
      <c r="VMA132" s="21"/>
      <c r="VMB132" s="21"/>
      <c r="VMC132" s="7"/>
      <c r="VMD132" s="7"/>
      <c r="VME132" s="21"/>
      <c r="VMF132" s="20"/>
      <c r="VMG132" s="20"/>
      <c r="VMH132" s="20"/>
      <c r="VMI132" s="21"/>
      <c r="VMJ132" s="21"/>
      <c r="VMK132" s="21"/>
      <c r="VML132" s="21"/>
      <c r="VMM132" s="21"/>
      <c r="VMN132" s="20"/>
      <c r="VMO132" s="20"/>
      <c r="VMP132" s="20"/>
      <c r="VMQ132" s="20"/>
      <c r="VMR132" s="21"/>
      <c r="VMS132" s="21"/>
      <c r="VMT132" s="7"/>
      <c r="VMU132" s="7"/>
      <c r="VMV132" s="21"/>
      <c r="VMW132" s="20"/>
      <c r="VMX132" s="20"/>
      <c r="VMY132" s="20"/>
      <c r="VMZ132" s="21"/>
      <c r="VNA132" s="21"/>
      <c r="VNB132" s="21"/>
      <c r="VNC132" s="21"/>
      <c r="VND132" s="21"/>
      <c r="VNE132" s="20"/>
      <c r="VNF132" s="20"/>
      <c r="VNG132" s="20"/>
      <c r="VNH132" s="20"/>
      <c r="VNI132" s="21"/>
      <c r="VNJ132" s="21"/>
      <c r="VNK132" s="7"/>
      <c r="VNL132" s="7"/>
      <c r="VNM132" s="21"/>
      <c r="VNN132" s="20"/>
      <c r="VNO132" s="20"/>
      <c r="VNP132" s="20"/>
      <c r="VNQ132" s="21"/>
      <c r="VNR132" s="21"/>
      <c r="VNS132" s="21"/>
      <c r="VNT132" s="21"/>
      <c r="VNU132" s="21"/>
      <c r="VNV132" s="20"/>
      <c r="VNW132" s="20"/>
      <c r="VNX132" s="20"/>
      <c r="VNY132" s="20"/>
      <c r="VNZ132" s="21"/>
      <c r="VOA132" s="21"/>
      <c r="VOB132" s="7"/>
      <c r="VOC132" s="7"/>
      <c r="VOD132" s="21"/>
      <c r="VOE132" s="20"/>
      <c r="VOF132" s="20"/>
      <c r="VOG132" s="20"/>
      <c r="VOH132" s="21"/>
      <c r="VOI132" s="21"/>
      <c r="VOJ132" s="21"/>
      <c r="VOK132" s="21"/>
      <c r="VOL132" s="21"/>
      <c r="VOM132" s="20"/>
      <c r="VON132" s="20"/>
      <c r="VOO132" s="20"/>
      <c r="VOP132" s="20"/>
      <c r="VOQ132" s="21"/>
      <c r="VOR132" s="21"/>
      <c r="VOS132" s="7"/>
      <c r="VOT132" s="7"/>
      <c r="VOU132" s="21"/>
      <c r="VOV132" s="20"/>
      <c r="VOW132" s="20"/>
      <c r="VOX132" s="20"/>
      <c r="VOY132" s="21"/>
      <c r="VOZ132" s="21"/>
      <c r="VPA132" s="21"/>
      <c r="VPB132" s="21"/>
      <c r="VPC132" s="21"/>
      <c r="VPD132" s="20"/>
      <c r="VPE132" s="20"/>
      <c r="VPF132" s="20"/>
      <c r="VPG132" s="20"/>
      <c r="VPH132" s="21"/>
      <c r="VPI132" s="21"/>
      <c r="VPJ132" s="7"/>
      <c r="VPK132" s="7"/>
      <c r="VPL132" s="21"/>
      <c r="VPM132" s="20"/>
      <c r="VPN132" s="20"/>
      <c r="VPO132" s="20"/>
      <c r="VPP132" s="21"/>
      <c r="VPQ132" s="21"/>
      <c r="VPR132" s="21"/>
      <c r="VPS132" s="21"/>
      <c r="VPT132" s="21"/>
      <c r="VPU132" s="20"/>
      <c r="VPV132" s="20"/>
      <c r="VPW132" s="20"/>
      <c r="VPX132" s="20"/>
      <c r="VPY132" s="21"/>
      <c r="VPZ132" s="21"/>
      <c r="VQA132" s="7"/>
      <c r="VQB132" s="7"/>
      <c r="VQC132" s="21"/>
      <c r="VQD132" s="20"/>
      <c r="VQE132" s="20"/>
      <c r="VQF132" s="20"/>
      <c r="VQG132" s="21"/>
      <c r="VQH132" s="21"/>
      <c r="VQI132" s="21"/>
      <c r="VQJ132" s="21"/>
      <c r="VQK132" s="21"/>
      <c r="VQL132" s="20"/>
      <c r="VQM132" s="20"/>
      <c r="VQN132" s="20"/>
      <c r="VQO132" s="20"/>
      <c r="VQP132" s="21"/>
      <c r="VQQ132" s="21"/>
      <c r="VQR132" s="7"/>
      <c r="VQS132" s="7"/>
      <c r="VQT132" s="21"/>
      <c r="VQU132" s="20"/>
      <c r="VQV132" s="20"/>
      <c r="VQW132" s="20"/>
      <c r="VQX132" s="21"/>
      <c r="VQY132" s="21"/>
      <c r="VQZ132" s="21"/>
      <c r="VRA132" s="21"/>
      <c r="VRB132" s="21"/>
      <c r="VRC132" s="20"/>
      <c r="VRD132" s="20"/>
      <c r="VRE132" s="20"/>
      <c r="VRF132" s="20"/>
      <c r="VRG132" s="21"/>
      <c r="VRH132" s="21"/>
      <c r="VRI132" s="7"/>
      <c r="VRJ132" s="7"/>
      <c r="VRK132" s="21"/>
      <c r="VRL132" s="20"/>
      <c r="VRM132" s="20"/>
      <c r="VRN132" s="20"/>
      <c r="VRO132" s="21"/>
      <c r="VRP132" s="21"/>
      <c r="VRQ132" s="21"/>
      <c r="VRR132" s="21"/>
      <c r="VRS132" s="21"/>
      <c r="VRT132" s="20"/>
      <c r="VRU132" s="20"/>
      <c r="VRV132" s="20"/>
      <c r="VRW132" s="20"/>
      <c r="VRX132" s="21"/>
      <c r="VRY132" s="21"/>
      <c r="VRZ132" s="7"/>
      <c r="VSA132" s="7"/>
      <c r="VSB132" s="21"/>
      <c r="VSC132" s="20"/>
      <c r="VSD132" s="20"/>
      <c r="VSE132" s="20"/>
      <c r="VSF132" s="21"/>
      <c r="VSG132" s="21"/>
      <c r="VSH132" s="21"/>
      <c r="VSI132" s="21"/>
      <c r="VSJ132" s="21"/>
      <c r="VSK132" s="20"/>
      <c r="VSL132" s="20"/>
      <c r="VSM132" s="20"/>
      <c r="VSN132" s="20"/>
      <c r="VSO132" s="21"/>
      <c r="VSP132" s="21"/>
      <c r="VSQ132" s="7"/>
      <c r="VSR132" s="7"/>
      <c r="VSS132" s="21"/>
      <c r="VST132" s="20"/>
      <c r="VSU132" s="20"/>
      <c r="VSV132" s="20"/>
      <c r="VSW132" s="21"/>
      <c r="VSX132" s="21"/>
      <c r="VSY132" s="21"/>
      <c r="VSZ132" s="21"/>
      <c r="VTA132" s="21"/>
      <c r="VTB132" s="20"/>
      <c r="VTC132" s="20"/>
      <c r="VTD132" s="20"/>
      <c r="VTE132" s="20"/>
      <c r="VTF132" s="21"/>
      <c r="VTG132" s="21"/>
      <c r="VTH132" s="7"/>
      <c r="VTI132" s="7"/>
      <c r="VTJ132" s="21"/>
      <c r="VTK132" s="20"/>
      <c r="VTL132" s="20"/>
      <c r="VTM132" s="20"/>
      <c r="VTN132" s="21"/>
      <c r="VTO132" s="21"/>
      <c r="VTP132" s="21"/>
      <c r="VTQ132" s="21"/>
      <c r="VTR132" s="21"/>
      <c r="VTS132" s="20"/>
      <c r="VTT132" s="20"/>
      <c r="VTU132" s="20"/>
      <c r="VTV132" s="20"/>
      <c r="VTW132" s="21"/>
      <c r="VTX132" s="21"/>
      <c r="VTY132" s="7"/>
      <c r="VTZ132" s="7"/>
      <c r="VUA132" s="21"/>
      <c r="VUB132" s="20"/>
      <c r="VUC132" s="20"/>
      <c r="VUD132" s="20"/>
      <c r="VUE132" s="21"/>
      <c r="VUF132" s="21"/>
      <c r="VUG132" s="21"/>
      <c r="VUH132" s="21"/>
      <c r="VUI132" s="21"/>
      <c r="VUJ132" s="20"/>
      <c r="VUK132" s="20"/>
      <c r="VUL132" s="20"/>
      <c r="VUM132" s="20"/>
      <c r="VUN132" s="21"/>
      <c r="VUO132" s="21"/>
      <c r="VUP132" s="7"/>
      <c r="VUQ132" s="7"/>
      <c r="VUR132" s="21"/>
      <c r="VUS132" s="20"/>
      <c r="VUT132" s="20"/>
      <c r="VUU132" s="20"/>
      <c r="VUV132" s="21"/>
      <c r="VUW132" s="21"/>
      <c r="VUX132" s="21"/>
      <c r="VUY132" s="21"/>
      <c r="VUZ132" s="21"/>
      <c r="VVA132" s="20"/>
      <c r="VVB132" s="20"/>
      <c r="VVC132" s="20"/>
      <c r="VVD132" s="20"/>
      <c r="VVE132" s="21"/>
      <c r="VVF132" s="21"/>
      <c r="VVG132" s="7"/>
      <c r="VVH132" s="7"/>
      <c r="VVI132" s="21"/>
      <c r="VVJ132" s="20"/>
      <c r="VVK132" s="20"/>
      <c r="VVL132" s="20"/>
      <c r="VVM132" s="21"/>
      <c r="VVN132" s="21"/>
      <c r="VVO132" s="21"/>
      <c r="VVP132" s="21"/>
      <c r="VVQ132" s="21"/>
      <c r="VVR132" s="20"/>
      <c r="VVS132" s="20"/>
      <c r="VVT132" s="20"/>
      <c r="VVU132" s="20"/>
      <c r="VVV132" s="21"/>
      <c r="VVW132" s="21"/>
      <c r="VVX132" s="7"/>
      <c r="VVY132" s="7"/>
      <c r="VVZ132" s="21"/>
      <c r="VWA132" s="20"/>
      <c r="VWB132" s="20"/>
      <c r="VWC132" s="20"/>
      <c r="VWD132" s="21"/>
      <c r="VWE132" s="21"/>
      <c r="VWF132" s="21"/>
      <c r="VWG132" s="21"/>
      <c r="VWH132" s="21"/>
      <c r="VWI132" s="20"/>
      <c r="VWJ132" s="20"/>
      <c r="VWK132" s="20"/>
      <c r="VWL132" s="20"/>
      <c r="VWM132" s="21"/>
      <c r="VWN132" s="21"/>
      <c r="VWO132" s="7"/>
      <c r="VWP132" s="7"/>
      <c r="VWQ132" s="21"/>
      <c r="VWR132" s="20"/>
      <c r="VWS132" s="20"/>
      <c r="VWT132" s="20"/>
      <c r="VWU132" s="21"/>
      <c r="VWV132" s="21"/>
      <c r="VWW132" s="21"/>
      <c r="VWX132" s="21"/>
      <c r="VWY132" s="21"/>
      <c r="VWZ132" s="20"/>
      <c r="VXA132" s="20"/>
      <c r="VXB132" s="20"/>
      <c r="VXC132" s="20"/>
      <c r="VXD132" s="21"/>
      <c r="VXE132" s="21"/>
      <c r="VXF132" s="7"/>
      <c r="VXG132" s="7"/>
      <c r="VXH132" s="21"/>
      <c r="VXI132" s="20"/>
      <c r="VXJ132" s="20"/>
      <c r="VXK132" s="20"/>
      <c r="VXL132" s="21"/>
      <c r="VXM132" s="21"/>
      <c r="VXN132" s="21"/>
      <c r="VXO132" s="21"/>
      <c r="VXP132" s="21"/>
      <c r="VXQ132" s="20"/>
      <c r="VXR132" s="20"/>
      <c r="VXS132" s="20"/>
      <c r="VXT132" s="20"/>
      <c r="VXU132" s="21"/>
      <c r="VXV132" s="21"/>
      <c r="VXW132" s="7"/>
      <c r="VXX132" s="7"/>
      <c r="VXY132" s="21"/>
      <c r="VXZ132" s="20"/>
      <c r="VYA132" s="20"/>
      <c r="VYB132" s="20"/>
      <c r="VYC132" s="21"/>
      <c r="VYD132" s="21"/>
      <c r="VYE132" s="21"/>
      <c r="VYF132" s="21"/>
      <c r="VYG132" s="21"/>
      <c r="VYH132" s="20"/>
      <c r="VYI132" s="20"/>
      <c r="VYJ132" s="20"/>
      <c r="VYK132" s="20"/>
      <c r="VYL132" s="21"/>
      <c r="VYM132" s="21"/>
      <c r="VYN132" s="7"/>
      <c r="VYO132" s="7"/>
      <c r="VYP132" s="21"/>
      <c r="VYQ132" s="20"/>
      <c r="VYR132" s="20"/>
      <c r="VYS132" s="20"/>
      <c r="VYT132" s="21"/>
      <c r="VYU132" s="21"/>
      <c r="VYV132" s="21"/>
      <c r="VYW132" s="21"/>
      <c r="VYX132" s="21"/>
      <c r="VYY132" s="20"/>
      <c r="VYZ132" s="20"/>
      <c r="VZA132" s="20"/>
      <c r="VZB132" s="20"/>
      <c r="VZC132" s="21"/>
      <c r="VZD132" s="21"/>
      <c r="VZE132" s="7"/>
      <c r="VZF132" s="7"/>
      <c r="VZG132" s="21"/>
      <c r="VZH132" s="20"/>
      <c r="VZI132" s="20"/>
      <c r="VZJ132" s="20"/>
      <c r="VZK132" s="21"/>
      <c r="VZL132" s="21"/>
      <c r="VZM132" s="21"/>
      <c r="VZN132" s="21"/>
      <c r="VZO132" s="21"/>
      <c r="VZP132" s="20"/>
      <c r="VZQ132" s="20"/>
      <c r="VZR132" s="20"/>
      <c r="VZS132" s="20"/>
      <c r="VZT132" s="21"/>
      <c r="VZU132" s="21"/>
      <c r="VZV132" s="7"/>
      <c r="VZW132" s="7"/>
      <c r="VZX132" s="21"/>
      <c r="VZY132" s="20"/>
      <c r="VZZ132" s="20"/>
      <c r="WAA132" s="20"/>
      <c r="WAB132" s="21"/>
      <c r="WAC132" s="21"/>
      <c r="WAD132" s="21"/>
      <c r="WAE132" s="21"/>
      <c r="WAF132" s="21"/>
      <c r="WAG132" s="20"/>
      <c r="WAH132" s="20"/>
      <c r="WAI132" s="20"/>
      <c r="WAJ132" s="20"/>
      <c r="WAK132" s="21"/>
      <c r="WAL132" s="21"/>
      <c r="WAM132" s="7"/>
      <c r="WAN132" s="7"/>
      <c r="WAO132" s="21"/>
      <c r="WAP132" s="20"/>
      <c r="WAQ132" s="20"/>
      <c r="WAR132" s="20"/>
      <c r="WAS132" s="21"/>
      <c r="WAT132" s="21"/>
      <c r="WAU132" s="21"/>
      <c r="WAV132" s="21"/>
      <c r="WAW132" s="21"/>
      <c r="WAX132" s="20"/>
      <c r="WAY132" s="20"/>
      <c r="WAZ132" s="20"/>
      <c r="WBA132" s="20"/>
      <c r="WBB132" s="21"/>
      <c r="WBC132" s="21"/>
      <c r="WBD132" s="7"/>
      <c r="WBE132" s="7"/>
      <c r="WBF132" s="21"/>
      <c r="WBG132" s="20"/>
      <c r="WBH132" s="20"/>
      <c r="WBI132" s="20"/>
      <c r="WBJ132" s="21"/>
      <c r="WBK132" s="21"/>
      <c r="WBL132" s="21"/>
      <c r="WBM132" s="21"/>
      <c r="WBN132" s="21"/>
      <c r="WBO132" s="20"/>
      <c r="WBP132" s="20"/>
      <c r="WBQ132" s="20"/>
      <c r="WBR132" s="20"/>
      <c r="WBS132" s="21"/>
      <c r="WBT132" s="21"/>
      <c r="WBU132" s="7"/>
      <c r="WBV132" s="7"/>
      <c r="WBW132" s="21"/>
      <c r="WBX132" s="20"/>
      <c r="WBY132" s="20"/>
      <c r="WBZ132" s="20"/>
      <c r="WCA132" s="21"/>
      <c r="WCB132" s="21"/>
      <c r="WCC132" s="21"/>
      <c r="WCD132" s="21"/>
      <c r="WCE132" s="21"/>
      <c r="WCF132" s="20"/>
      <c r="WCG132" s="20"/>
      <c r="WCH132" s="20"/>
      <c r="WCI132" s="20"/>
      <c r="WCJ132" s="21"/>
      <c r="WCK132" s="21"/>
      <c r="WCL132" s="7"/>
      <c r="WCM132" s="7"/>
      <c r="WCN132" s="21"/>
      <c r="WCO132" s="20"/>
      <c r="WCP132" s="20"/>
      <c r="WCQ132" s="20"/>
      <c r="WCR132" s="21"/>
      <c r="WCS132" s="21"/>
      <c r="WCT132" s="21"/>
      <c r="WCU132" s="21"/>
      <c r="WCV132" s="21"/>
      <c r="WCW132" s="20"/>
      <c r="WCX132" s="20"/>
      <c r="WCY132" s="20"/>
      <c r="WCZ132" s="20"/>
      <c r="WDA132" s="21"/>
      <c r="WDB132" s="21"/>
      <c r="WDC132" s="7"/>
      <c r="WDD132" s="7"/>
      <c r="WDE132" s="21"/>
      <c r="WDF132" s="20"/>
      <c r="WDG132" s="20"/>
      <c r="WDH132" s="20"/>
      <c r="WDI132" s="21"/>
      <c r="WDJ132" s="21"/>
      <c r="WDK132" s="21"/>
      <c r="WDL132" s="21"/>
      <c r="WDM132" s="21"/>
      <c r="WDN132" s="20"/>
      <c r="WDO132" s="20"/>
      <c r="WDP132" s="20"/>
      <c r="WDQ132" s="20"/>
      <c r="WDR132" s="21"/>
      <c r="WDS132" s="21"/>
      <c r="WDT132" s="7"/>
      <c r="WDU132" s="7"/>
      <c r="WDV132" s="21"/>
      <c r="WDW132" s="20"/>
      <c r="WDX132" s="20"/>
      <c r="WDY132" s="20"/>
      <c r="WDZ132" s="21"/>
      <c r="WEA132" s="21"/>
      <c r="WEB132" s="21"/>
      <c r="WEC132" s="21"/>
      <c r="WED132" s="21"/>
      <c r="WEE132" s="20"/>
      <c r="WEF132" s="20"/>
      <c r="WEG132" s="20"/>
      <c r="WEH132" s="20"/>
      <c r="WEI132" s="21"/>
      <c r="WEJ132" s="21"/>
      <c r="WEK132" s="7"/>
      <c r="WEL132" s="7"/>
      <c r="WEM132" s="21"/>
      <c r="WEN132" s="20"/>
      <c r="WEO132" s="20"/>
      <c r="WEP132" s="20"/>
      <c r="WEQ132" s="21"/>
      <c r="WER132" s="21"/>
      <c r="WES132" s="21"/>
      <c r="WET132" s="21"/>
      <c r="WEU132" s="21"/>
      <c r="WEV132" s="20"/>
      <c r="WEW132" s="20"/>
      <c r="WEX132" s="20"/>
      <c r="WEY132" s="20"/>
      <c r="WEZ132" s="21"/>
      <c r="WFA132" s="21"/>
      <c r="WFB132" s="7"/>
      <c r="WFC132" s="7"/>
      <c r="WFD132" s="21"/>
      <c r="WFE132" s="20"/>
      <c r="WFF132" s="20"/>
      <c r="WFG132" s="20"/>
      <c r="WFH132" s="21"/>
      <c r="WFI132" s="21"/>
      <c r="WFJ132" s="21"/>
      <c r="WFK132" s="21"/>
      <c r="WFL132" s="21"/>
      <c r="WFM132" s="20"/>
      <c r="WFN132" s="20"/>
      <c r="WFO132" s="20"/>
      <c r="WFP132" s="20"/>
      <c r="WFQ132" s="21"/>
      <c r="WFR132" s="21"/>
      <c r="WFS132" s="7"/>
      <c r="WFT132" s="7"/>
      <c r="WFU132" s="21"/>
      <c r="WFV132" s="20"/>
      <c r="WFW132" s="20"/>
      <c r="WFX132" s="20"/>
      <c r="WFY132" s="21"/>
      <c r="WFZ132" s="21"/>
      <c r="WGA132" s="21"/>
      <c r="WGB132" s="21"/>
      <c r="WGC132" s="21"/>
      <c r="WGD132" s="20"/>
      <c r="WGE132" s="20"/>
      <c r="WGF132" s="20"/>
      <c r="WGG132" s="20"/>
      <c r="WGH132" s="21"/>
      <c r="WGI132" s="21"/>
      <c r="WGJ132" s="7"/>
      <c r="WGK132" s="7"/>
      <c r="WGL132" s="21"/>
      <c r="WGM132" s="20"/>
      <c r="WGN132" s="20"/>
      <c r="WGO132" s="20"/>
      <c r="WGP132" s="21"/>
      <c r="WGQ132" s="21"/>
      <c r="WGR132" s="21"/>
      <c r="WGS132" s="21"/>
      <c r="WGT132" s="21"/>
      <c r="WGU132" s="20"/>
      <c r="WGV132" s="20"/>
      <c r="WGW132" s="20"/>
      <c r="WGX132" s="20"/>
      <c r="WGY132" s="21"/>
      <c r="WGZ132" s="21"/>
      <c r="WHA132" s="7"/>
      <c r="WHB132" s="7"/>
      <c r="WHC132" s="21"/>
      <c r="WHD132" s="20"/>
      <c r="WHE132" s="20"/>
      <c r="WHF132" s="20"/>
      <c r="WHG132" s="21"/>
      <c r="WHH132" s="21"/>
      <c r="WHI132" s="21"/>
      <c r="WHJ132" s="21"/>
      <c r="WHK132" s="21"/>
      <c r="WHL132" s="20"/>
      <c r="WHM132" s="20"/>
      <c r="WHN132" s="20"/>
      <c r="WHO132" s="20"/>
      <c r="WHP132" s="21"/>
      <c r="WHQ132" s="21"/>
      <c r="WHR132" s="7"/>
      <c r="WHS132" s="7"/>
      <c r="WHT132" s="21"/>
      <c r="WHU132" s="20"/>
      <c r="WHV132" s="20"/>
      <c r="WHW132" s="20"/>
      <c r="WHX132" s="21"/>
      <c r="WHY132" s="21"/>
      <c r="WHZ132" s="21"/>
      <c r="WIA132" s="21"/>
      <c r="WIB132" s="21"/>
      <c r="WIC132" s="20"/>
      <c r="WID132" s="20"/>
      <c r="WIE132" s="20"/>
      <c r="WIF132" s="20"/>
      <c r="WIG132" s="21"/>
      <c r="WIH132" s="21"/>
      <c r="WII132" s="7"/>
      <c r="WIJ132" s="7"/>
      <c r="WIK132" s="21"/>
      <c r="WIL132" s="20"/>
      <c r="WIM132" s="20"/>
      <c r="WIN132" s="20"/>
      <c r="WIO132" s="21"/>
      <c r="WIP132" s="21"/>
      <c r="WIQ132" s="21"/>
      <c r="WIR132" s="21"/>
      <c r="WIS132" s="21"/>
      <c r="WIT132" s="20"/>
      <c r="WIU132" s="20"/>
      <c r="WIV132" s="20"/>
      <c r="WIW132" s="20"/>
      <c r="WIX132" s="21"/>
      <c r="WIY132" s="21"/>
      <c r="WIZ132" s="7"/>
      <c r="WJA132" s="7"/>
      <c r="WJB132" s="21"/>
      <c r="WJC132" s="20"/>
      <c r="WJD132" s="20"/>
      <c r="WJE132" s="20"/>
      <c r="WJF132" s="21"/>
      <c r="WJG132" s="21"/>
      <c r="WJH132" s="21"/>
      <c r="WJI132" s="21"/>
      <c r="WJJ132" s="21"/>
      <c r="WJK132" s="20"/>
      <c r="WJL132" s="20"/>
      <c r="WJM132" s="20"/>
      <c r="WJN132" s="20"/>
      <c r="WJO132" s="21"/>
      <c r="WJP132" s="21"/>
      <c r="WJQ132" s="7"/>
      <c r="WJR132" s="7"/>
      <c r="WJS132" s="21"/>
      <c r="WJT132" s="20"/>
      <c r="WJU132" s="20"/>
      <c r="WJV132" s="20"/>
      <c r="WJW132" s="21"/>
      <c r="WJX132" s="21"/>
      <c r="WJY132" s="21"/>
      <c r="WJZ132" s="21"/>
      <c r="WKA132" s="21"/>
      <c r="WKB132" s="20"/>
      <c r="WKC132" s="20"/>
      <c r="WKD132" s="20"/>
      <c r="WKE132" s="20"/>
      <c r="WKF132" s="21"/>
      <c r="WKG132" s="21"/>
      <c r="WKH132" s="7"/>
      <c r="WKI132" s="7"/>
      <c r="WKJ132" s="21"/>
      <c r="WKK132" s="20"/>
      <c r="WKL132" s="20"/>
      <c r="WKM132" s="20"/>
      <c r="WKN132" s="21"/>
      <c r="WKO132" s="21"/>
      <c r="WKP132" s="21"/>
      <c r="WKQ132" s="21"/>
      <c r="WKR132" s="21"/>
      <c r="WKS132" s="20"/>
      <c r="WKT132" s="20"/>
      <c r="WKU132" s="20"/>
      <c r="WKV132" s="20"/>
      <c r="WKW132" s="21"/>
      <c r="WKX132" s="21"/>
      <c r="WKY132" s="7"/>
      <c r="WKZ132" s="7"/>
      <c r="WLA132" s="21"/>
      <c r="WLB132" s="20"/>
      <c r="WLC132" s="20"/>
      <c r="WLD132" s="20"/>
      <c r="WLE132" s="21"/>
      <c r="WLF132" s="21"/>
      <c r="WLG132" s="21"/>
      <c r="WLH132" s="21"/>
      <c r="WLI132" s="21"/>
      <c r="WLJ132" s="20"/>
      <c r="WLK132" s="20"/>
      <c r="WLL132" s="20"/>
      <c r="WLM132" s="20"/>
      <c r="WLN132" s="21"/>
      <c r="WLO132" s="21"/>
      <c r="WLP132" s="7"/>
      <c r="WLQ132" s="7"/>
      <c r="WLR132" s="21"/>
      <c r="WLS132" s="20"/>
      <c r="WLT132" s="20"/>
      <c r="WLU132" s="20"/>
      <c r="WLV132" s="21"/>
      <c r="WLW132" s="21"/>
      <c r="WLX132" s="21"/>
      <c r="WLY132" s="21"/>
      <c r="WLZ132" s="21"/>
      <c r="WMA132" s="20"/>
      <c r="WMB132" s="20"/>
      <c r="WMC132" s="20"/>
      <c r="WMD132" s="20"/>
      <c r="WME132" s="21"/>
      <c r="WMF132" s="21"/>
      <c r="WMG132" s="7"/>
      <c r="WMH132" s="7"/>
      <c r="WMI132" s="21"/>
      <c r="WMJ132" s="20"/>
      <c r="WMK132" s="20"/>
      <c r="WML132" s="20"/>
      <c r="WMM132" s="21"/>
      <c r="WMN132" s="21"/>
      <c r="WMO132" s="21"/>
      <c r="WMP132" s="21"/>
      <c r="WMQ132" s="21"/>
      <c r="WMR132" s="20"/>
      <c r="WMS132" s="20"/>
      <c r="WMT132" s="20"/>
      <c r="WMU132" s="20"/>
      <c r="WMV132" s="21"/>
      <c r="WMW132" s="21"/>
      <c r="WMX132" s="7"/>
      <c r="WMY132" s="7"/>
      <c r="WMZ132" s="21"/>
      <c r="WNA132" s="20"/>
      <c r="WNB132" s="20"/>
      <c r="WNC132" s="20"/>
      <c r="WND132" s="21"/>
      <c r="WNE132" s="21"/>
      <c r="WNF132" s="21"/>
      <c r="WNG132" s="21"/>
      <c r="WNH132" s="21"/>
      <c r="WNI132" s="20"/>
      <c r="WNJ132" s="20"/>
      <c r="WNK132" s="20"/>
      <c r="WNL132" s="20"/>
      <c r="WNM132" s="21"/>
      <c r="WNN132" s="21"/>
      <c r="WNO132" s="7"/>
      <c r="WNP132" s="7"/>
      <c r="WNQ132" s="21"/>
      <c r="WNR132" s="20"/>
      <c r="WNS132" s="20"/>
      <c r="WNT132" s="20"/>
      <c r="WNU132" s="21"/>
      <c r="WNV132" s="21"/>
      <c r="WNW132" s="21"/>
      <c r="WNX132" s="21"/>
      <c r="WNY132" s="21"/>
      <c r="WNZ132" s="20"/>
      <c r="WOA132" s="20"/>
      <c r="WOB132" s="20"/>
      <c r="WOC132" s="20"/>
      <c r="WOD132" s="21"/>
      <c r="WOE132" s="21"/>
      <c r="WOF132" s="7"/>
      <c r="WOG132" s="7"/>
      <c r="WOH132" s="21"/>
      <c r="WOI132" s="20"/>
      <c r="WOJ132" s="20"/>
      <c r="WOK132" s="20"/>
      <c r="WOL132" s="21"/>
      <c r="WOM132" s="21"/>
      <c r="WON132" s="21"/>
      <c r="WOO132" s="21"/>
      <c r="WOP132" s="21"/>
      <c r="WOQ132" s="20"/>
      <c r="WOR132" s="20"/>
      <c r="WOS132" s="20"/>
      <c r="WOT132" s="20"/>
      <c r="WOU132" s="21"/>
      <c r="WOV132" s="21"/>
      <c r="WOW132" s="7"/>
      <c r="WOX132" s="7"/>
      <c r="WOY132" s="21"/>
      <c r="WOZ132" s="20"/>
      <c r="WPA132" s="20"/>
      <c r="WPB132" s="20"/>
      <c r="WPC132" s="21"/>
      <c r="WPD132" s="21"/>
      <c r="WPE132" s="21"/>
      <c r="WPF132" s="21"/>
      <c r="WPG132" s="21"/>
      <c r="WPH132" s="20"/>
      <c r="WPI132" s="20"/>
      <c r="WPJ132" s="20"/>
      <c r="WPK132" s="20"/>
      <c r="WPL132" s="21"/>
      <c r="WPM132" s="21"/>
      <c r="WPN132" s="7"/>
      <c r="WPO132" s="7"/>
      <c r="WPP132" s="21"/>
      <c r="WPQ132" s="20"/>
      <c r="WPR132" s="20"/>
      <c r="WPS132" s="20"/>
      <c r="WPT132" s="21"/>
      <c r="WPU132" s="21"/>
      <c r="WPV132" s="21"/>
      <c r="WPW132" s="21"/>
      <c r="WPX132" s="21"/>
      <c r="WPY132" s="20"/>
      <c r="WPZ132" s="20"/>
      <c r="WQA132" s="20"/>
      <c r="WQB132" s="20"/>
      <c r="WQC132" s="21"/>
      <c r="WQD132" s="21"/>
      <c r="WQE132" s="7"/>
      <c r="WQF132" s="7"/>
      <c r="WQG132" s="21"/>
      <c r="WQH132" s="20"/>
      <c r="WQI132" s="20"/>
      <c r="WQJ132" s="20"/>
      <c r="WQK132" s="21"/>
      <c r="WQL132" s="21"/>
      <c r="WQM132" s="21"/>
      <c r="WQN132" s="21"/>
      <c r="WQO132" s="21"/>
      <c r="WQP132" s="20"/>
      <c r="WQQ132" s="20"/>
      <c r="WQR132" s="20"/>
      <c r="WQS132" s="20"/>
      <c r="WQT132" s="21"/>
      <c r="WQU132" s="21"/>
      <c r="WQV132" s="7"/>
      <c r="WQW132" s="7"/>
      <c r="WQX132" s="21"/>
      <c r="WQY132" s="20"/>
      <c r="WQZ132" s="20"/>
      <c r="WRA132" s="20"/>
      <c r="WRB132" s="21"/>
      <c r="WRC132" s="21"/>
      <c r="WRD132" s="21"/>
      <c r="WRE132" s="21"/>
      <c r="WRF132" s="21"/>
      <c r="WRG132" s="20"/>
      <c r="WRH132" s="20"/>
      <c r="WRI132" s="20"/>
      <c r="WRJ132" s="20"/>
      <c r="WRK132" s="21"/>
      <c r="WRL132" s="21"/>
      <c r="WRM132" s="7"/>
      <c r="WRN132" s="7"/>
      <c r="WRO132" s="21"/>
      <c r="WRP132" s="20"/>
      <c r="WRQ132" s="20"/>
      <c r="WRR132" s="20"/>
      <c r="WRS132" s="21"/>
      <c r="WRT132" s="21"/>
      <c r="WRU132" s="21"/>
      <c r="WRV132" s="21"/>
      <c r="WRW132" s="21"/>
      <c r="WRX132" s="20"/>
      <c r="WRY132" s="20"/>
      <c r="WRZ132" s="20"/>
      <c r="WSA132" s="20"/>
      <c r="WSB132" s="21"/>
      <c r="WSC132" s="21"/>
      <c r="WSD132" s="7"/>
      <c r="WSE132" s="7"/>
      <c r="WSF132" s="21"/>
      <c r="WSG132" s="20"/>
      <c r="WSH132" s="20"/>
      <c r="WSI132" s="20"/>
      <c r="WSJ132" s="21"/>
      <c r="WSK132" s="21"/>
      <c r="WSL132" s="21"/>
      <c r="WSM132" s="21"/>
      <c r="WSN132" s="21"/>
      <c r="WSO132" s="20"/>
      <c r="WSP132" s="20"/>
      <c r="WSQ132" s="20"/>
      <c r="WSR132" s="20"/>
      <c r="WSS132" s="21"/>
      <c r="WST132" s="21"/>
      <c r="WSU132" s="7"/>
      <c r="WSV132" s="7"/>
      <c r="WSW132" s="21"/>
      <c r="WSX132" s="20"/>
      <c r="WSY132" s="20"/>
      <c r="WSZ132" s="20"/>
      <c r="WTA132" s="21"/>
      <c r="WTB132" s="21"/>
      <c r="WTC132" s="21"/>
      <c r="WTD132" s="21"/>
      <c r="WTE132" s="21"/>
      <c r="WTF132" s="20"/>
      <c r="WTG132" s="20"/>
      <c r="WTH132" s="20"/>
      <c r="WTI132" s="20"/>
      <c r="WTJ132" s="21"/>
      <c r="WTK132" s="21"/>
      <c r="WTL132" s="7"/>
      <c r="WTM132" s="7"/>
      <c r="WTN132" s="21"/>
      <c r="WTO132" s="20"/>
      <c r="WTP132" s="20"/>
      <c r="WTQ132" s="20"/>
      <c r="WTR132" s="21"/>
      <c r="WTS132" s="21"/>
      <c r="WTT132" s="21"/>
      <c r="WTU132" s="21"/>
      <c r="WTV132" s="21"/>
      <c r="WTW132" s="20"/>
      <c r="WTX132" s="20"/>
      <c r="WTY132" s="20"/>
      <c r="WTZ132" s="20"/>
      <c r="WUA132" s="21"/>
      <c r="WUB132" s="21"/>
      <c r="WUC132" s="7"/>
      <c r="WUD132" s="7"/>
      <c r="WUE132" s="21"/>
      <c r="WUF132" s="20"/>
      <c r="WUG132" s="20"/>
      <c r="WUH132" s="20"/>
      <c r="WUI132" s="21"/>
      <c r="WUJ132" s="21"/>
      <c r="WUK132" s="21"/>
      <c r="WUL132" s="21"/>
      <c r="WUM132" s="21"/>
      <c r="WUN132" s="20"/>
      <c r="WUO132" s="20"/>
      <c r="WUP132" s="20"/>
      <c r="WUQ132" s="20"/>
      <c r="WUR132" s="21"/>
      <c r="WUS132" s="21"/>
      <c r="WUT132" s="7"/>
      <c r="WUU132" s="7"/>
      <c r="WUV132" s="21"/>
      <c r="WUW132" s="20"/>
      <c r="WUX132" s="20"/>
      <c r="WUY132" s="20"/>
      <c r="WUZ132" s="21"/>
      <c r="WVA132" s="21"/>
      <c r="WVB132" s="21"/>
      <c r="WVC132" s="21"/>
      <c r="WVD132" s="21"/>
      <c r="WVE132" s="20"/>
      <c r="WVF132" s="20"/>
      <c r="WVG132" s="20"/>
      <c r="WVH132" s="20"/>
      <c r="WVI132" s="21"/>
      <c r="WVJ132" s="21"/>
      <c r="WVK132" s="7"/>
      <c r="WVL132" s="7"/>
      <c r="WVM132" s="21"/>
      <c r="WVN132" s="20"/>
      <c r="WVO132" s="20"/>
      <c r="WVP132" s="20"/>
      <c r="WVQ132" s="21"/>
      <c r="WVR132" s="21"/>
      <c r="WVS132" s="21"/>
      <c r="WVT132" s="21"/>
      <c r="WVU132" s="21"/>
      <c r="WVV132" s="20"/>
      <c r="WVW132" s="20"/>
      <c r="WVX132" s="20"/>
      <c r="WVY132" s="20"/>
      <c r="WVZ132" s="21"/>
      <c r="WWA132" s="21"/>
      <c r="WWB132" s="7"/>
      <c r="WWC132" s="7"/>
      <c r="WWD132" s="21"/>
      <c r="WWE132" s="20"/>
      <c r="WWF132" s="20"/>
      <c r="WWG132" s="20"/>
      <c r="WWH132" s="21"/>
      <c r="WWI132" s="21"/>
      <c r="WWJ132" s="21"/>
      <c r="WWK132" s="21"/>
      <c r="WWL132" s="21"/>
      <c r="WWM132" s="20"/>
      <c r="WWN132" s="20"/>
      <c r="WWO132" s="20"/>
      <c r="WWP132" s="20"/>
      <c r="WWQ132" s="21"/>
      <c r="WWR132" s="21"/>
      <c r="WWS132" s="7"/>
      <c r="WWT132" s="7"/>
      <c r="WWU132" s="21"/>
      <c r="WWV132" s="20"/>
      <c r="WWW132" s="20"/>
      <c r="WWX132" s="20"/>
      <c r="WWY132" s="21"/>
      <c r="WWZ132" s="21"/>
      <c r="WXA132" s="21"/>
      <c r="WXB132" s="21"/>
      <c r="WXC132" s="21"/>
      <c r="WXD132" s="20"/>
      <c r="WXE132" s="20"/>
      <c r="WXF132" s="20"/>
      <c r="WXG132" s="20"/>
      <c r="WXH132" s="21"/>
      <c r="WXI132" s="21"/>
      <c r="WXJ132" s="7"/>
      <c r="WXK132" s="7"/>
      <c r="WXL132" s="21"/>
      <c r="WXM132" s="20"/>
      <c r="WXN132" s="20"/>
      <c r="WXO132" s="20"/>
      <c r="WXP132" s="21"/>
      <c r="WXQ132" s="21"/>
      <c r="WXR132" s="21"/>
      <c r="WXS132" s="21"/>
      <c r="WXT132" s="21"/>
      <c r="WXU132" s="20"/>
      <c r="WXV132" s="20"/>
      <c r="WXW132" s="20"/>
      <c r="WXX132" s="20"/>
      <c r="WXY132" s="21"/>
      <c r="WXZ132" s="21"/>
      <c r="WYA132" s="7"/>
      <c r="WYB132" s="7"/>
      <c r="WYC132" s="21"/>
      <c r="WYD132" s="20"/>
      <c r="WYE132" s="20"/>
      <c r="WYF132" s="20"/>
      <c r="WYG132" s="21"/>
      <c r="WYH132" s="21"/>
      <c r="WYI132" s="21"/>
      <c r="WYJ132" s="21"/>
      <c r="WYK132" s="21"/>
      <c r="WYL132" s="20"/>
      <c r="WYM132" s="20"/>
      <c r="WYN132" s="20"/>
      <c r="WYO132" s="20"/>
      <c r="WYP132" s="21"/>
      <c r="WYQ132" s="21"/>
      <c r="WYR132" s="7"/>
      <c r="WYS132" s="7"/>
      <c r="WYT132" s="21"/>
      <c r="WYU132" s="20"/>
      <c r="WYV132" s="20"/>
      <c r="WYW132" s="20"/>
      <c r="WYX132" s="21"/>
      <c r="WYY132" s="21"/>
      <c r="WYZ132" s="21"/>
      <c r="WZA132" s="21"/>
      <c r="WZB132" s="21"/>
      <c r="WZC132" s="20"/>
      <c r="WZD132" s="20"/>
      <c r="WZE132" s="20"/>
      <c r="WZF132" s="20"/>
      <c r="WZG132" s="21"/>
      <c r="WZH132" s="21"/>
      <c r="WZI132" s="7"/>
      <c r="WZJ132" s="7"/>
      <c r="WZK132" s="21"/>
      <c r="WZL132" s="20"/>
      <c r="WZM132" s="20"/>
      <c r="WZN132" s="20"/>
      <c r="WZO132" s="21"/>
      <c r="WZP132" s="21"/>
      <c r="WZQ132" s="21"/>
      <c r="WZR132" s="21"/>
      <c r="WZS132" s="21"/>
      <c r="WZT132" s="20"/>
      <c r="WZU132" s="20"/>
      <c r="WZV132" s="20"/>
      <c r="WZW132" s="20"/>
      <c r="WZX132" s="21"/>
      <c r="WZY132" s="21"/>
      <c r="WZZ132" s="7"/>
      <c r="XAA132" s="7"/>
      <c r="XAB132" s="21"/>
      <c r="XAC132" s="20"/>
      <c r="XAD132" s="20"/>
      <c r="XAE132" s="20"/>
      <c r="XAF132" s="21"/>
      <c r="XAG132" s="21"/>
      <c r="XAH132" s="21"/>
      <c r="XAI132" s="21"/>
      <c r="XAJ132" s="21"/>
      <c r="XAK132" s="20"/>
      <c r="XAL132" s="20"/>
      <c r="XAM132" s="20"/>
      <c r="XAN132" s="20"/>
      <c r="XAO132" s="21"/>
      <c r="XAP132" s="21"/>
      <c r="XAQ132" s="7"/>
      <c r="XAR132" s="7"/>
      <c r="XAS132" s="21"/>
      <c r="XAT132" s="20"/>
      <c r="XAU132" s="20"/>
      <c r="XAV132" s="20"/>
      <c r="XAW132" s="21"/>
      <c r="XAX132" s="21"/>
      <c r="XAY132" s="21"/>
      <c r="XAZ132" s="21"/>
      <c r="XBA132" s="21"/>
      <c r="XBB132" s="20"/>
      <c r="XBC132" s="20"/>
      <c r="XBD132" s="20"/>
      <c r="XBE132" s="20"/>
      <c r="XBF132" s="21"/>
      <c r="XBG132" s="21"/>
      <c r="XBH132" s="7"/>
      <c r="XBI132" s="7"/>
      <c r="XBJ132" s="21"/>
      <c r="XBK132" s="20"/>
      <c r="XBL132" s="20"/>
      <c r="XBM132" s="20"/>
      <c r="XBN132" s="21"/>
      <c r="XBO132" s="21"/>
      <c r="XBP132" s="21"/>
      <c r="XBQ132" s="21"/>
      <c r="XBR132" s="21"/>
      <c r="XBS132" s="20"/>
      <c r="XBT132" s="20"/>
      <c r="XBU132" s="20"/>
      <c r="XBV132" s="20"/>
      <c r="XBW132" s="21"/>
      <c r="XBX132" s="21"/>
      <c r="XBY132" s="7"/>
      <c r="XBZ132" s="7"/>
      <c r="XCA132" s="21"/>
      <c r="XCB132" s="20"/>
      <c r="XCC132" s="20"/>
      <c r="XCD132" s="20"/>
      <c r="XCE132" s="21"/>
      <c r="XCF132" s="21"/>
      <c r="XCG132" s="21"/>
      <c r="XCH132" s="21"/>
      <c r="XCI132" s="21"/>
      <c r="XCJ132" s="20"/>
      <c r="XCK132" s="20"/>
      <c r="XCL132" s="20"/>
      <c r="XCM132" s="20"/>
      <c r="XCN132" s="21"/>
      <c r="XCO132" s="21"/>
      <c r="XCP132" s="7"/>
      <c r="XCQ132" s="7"/>
      <c r="XCR132" s="21"/>
      <c r="XCS132" s="20"/>
      <c r="XCT132" s="20"/>
      <c r="XCU132" s="20"/>
      <c r="XCV132" s="21"/>
      <c r="XCW132" s="21"/>
      <c r="XCX132" s="21"/>
      <c r="XCY132" s="21"/>
      <c r="XCZ132" s="21"/>
      <c r="XDA132" s="20"/>
      <c r="XDB132" s="20"/>
      <c r="XDC132" s="20"/>
      <c r="XDD132" s="20"/>
      <c r="XDE132" s="21"/>
      <c r="XDF132" s="21"/>
      <c r="XDG132" s="7"/>
      <c r="XDH132" s="7"/>
      <c r="XDI132" s="21"/>
      <c r="XDJ132" s="20"/>
      <c r="XDK132" s="20"/>
      <c r="XDL132" s="20"/>
      <c r="XDM132" s="21"/>
      <c r="XDN132" s="21"/>
      <c r="XDO132" s="21"/>
      <c r="XDP132" s="21"/>
      <c r="XDQ132" s="21"/>
      <c r="XDR132" s="20"/>
      <c r="XDS132" s="20"/>
      <c r="XDT132" s="20"/>
      <c r="XDU132" s="20"/>
      <c r="XDV132" s="21"/>
      <c r="XDW132" s="21"/>
      <c r="XDX132" s="7"/>
      <c r="XDY132" s="7"/>
      <c r="XDZ132" s="21"/>
      <c r="XEA132" s="20"/>
      <c r="XEB132" s="20"/>
      <c r="XEC132" s="20"/>
      <c r="XED132" s="21"/>
      <c r="XEE132" s="21"/>
      <c r="XEF132" s="21"/>
      <c r="XEG132" s="21"/>
      <c r="XEH132" s="21"/>
      <c r="XEI132" s="20"/>
      <c r="XEJ132" s="20"/>
      <c r="XEK132" s="20"/>
      <c r="XEL132" s="20"/>
      <c r="XEM132" s="21"/>
      <c r="XEN132" s="21"/>
      <c r="XEO132" s="7"/>
      <c r="XEP132" s="7"/>
      <c r="XEQ132" s="21"/>
      <c r="XER132" s="20"/>
      <c r="XES132" s="20"/>
      <c r="XET132" s="20"/>
      <c r="XEU132" s="21"/>
      <c r="XEV132" s="21"/>
      <c r="XEW132" s="21"/>
      <c r="XEX132" s="21"/>
      <c r="XEY132" s="21"/>
      <c r="XEZ132" s="20"/>
      <c r="XFA132" s="20"/>
      <c r="XFB132" s="20"/>
      <c r="XFC132" s="20"/>
      <c r="XFD132" s="21"/>
    </row>
    <row r="133" spans="1:16384" s="3" customFormat="1" ht="14.25" customHeight="1" x14ac:dyDescent="0.25">
      <c r="A133" s="20">
        <v>0</v>
      </c>
      <c r="B133" s="20">
        <v>2</v>
      </c>
      <c r="C133" s="20">
        <v>1</v>
      </c>
      <c r="D133" s="21" t="s">
        <v>50</v>
      </c>
      <c r="E133" s="21" t="s">
        <v>44</v>
      </c>
      <c r="F133" s="21" t="s">
        <v>253</v>
      </c>
      <c r="G133" s="21" t="s">
        <v>102</v>
      </c>
      <c r="H133" s="21" t="s">
        <v>165</v>
      </c>
      <c r="I133" s="20" t="s">
        <v>170</v>
      </c>
      <c r="J133" s="20">
        <v>4</v>
      </c>
      <c r="K133" s="20" t="s">
        <v>376</v>
      </c>
      <c r="L133" s="20" t="s">
        <v>318</v>
      </c>
      <c r="M133" s="21" t="s">
        <v>269</v>
      </c>
      <c r="N133" s="21"/>
      <c r="O133" s="7"/>
      <c r="P133" s="7"/>
      <c r="Q133" s="21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1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0</v>
      </c>
      <c r="AE133" s="2">
        <f t="shared" si="34"/>
        <v>0</v>
      </c>
      <c r="AF133" s="2">
        <f t="shared" si="35"/>
        <v>0</v>
      </c>
      <c r="AG133" s="2">
        <f t="shared" si="36"/>
        <v>0</v>
      </c>
      <c r="AH133" s="2">
        <f t="shared" si="37"/>
        <v>0</v>
      </c>
      <c r="AI133" s="2">
        <f t="shared" si="38"/>
        <v>1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927</v>
      </c>
      <c r="E134" s="30" t="s">
        <v>928</v>
      </c>
      <c r="F134" s="30" t="s">
        <v>929</v>
      </c>
      <c r="G134" s="30"/>
      <c r="H134" s="30" t="s">
        <v>165</v>
      </c>
      <c r="I134" s="29" t="s">
        <v>33</v>
      </c>
      <c r="J134" s="29"/>
      <c r="K134" s="29" t="s">
        <v>376</v>
      </c>
      <c r="L134" s="29"/>
      <c r="M134" s="30"/>
      <c r="N134" s="30" t="s">
        <v>882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903</v>
      </c>
      <c r="E135" s="30" t="s">
        <v>35</v>
      </c>
      <c r="F135" s="30" t="s">
        <v>904</v>
      </c>
      <c r="G135" s="30"/>
      <c r="H135" s="30" t="s">
        <v>165</v>
      </c>
      <c r="I135" s="29" t="s">
        <v>905</v>
      </c>
      <c r="J135" s="29">
        <v>99</v>
      </c>
      <c r="K135" s="29" t="s">
        <v>376</v>
      </c>
      <c r="L135" s="29"/>
      <c r="M135" s="30"/>
      <c r="N135" s="30" t="s">
        <v>882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550</v>
      </c>
      <c r="E136" s="30" t="s">
        <v>211</v>
      </c>
      <c r="F136" s="30" t="s">
        <v>551</v>
      </c>
      <c r="G136" s="30" t="s">
        <v>552</v>
      </c>
      <c r="H136" s="30" t="s">
        <v>165</v>
      </c>
      <c r="I136" s="29" t="s">
        <v>33</v>
      </c>
      <c r="J136" s="29">
        <v>99</v>
      </c>
      <c r="K136" s="29" t="s">
        <v>321</v>
      </c>
      <c r="L136" s="29">
        <v>8</v>
      </c>
      <c r="M136" s="30" t="s">
        <v>855</v>
      </c>
      <c r="N136" s="30" t="s">
        <v>882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225</v>
      </c>
      <c r="E137" s="30" t="s">
        <v>44</v>
      </c>
      <c r="F137" s="30" t="s">
        <v>816</v>
      </c>
      <c r="G137" s="30" t="s">
        <v>130</v>
      </c>
      <c r="H137" s="30" t="s">
        <v>165</v>
      </c>
      <c r="I137" s="29" t="s">
        <v>226</v>
      </c>
      <c r="J137" s="29">
        <v>10</v>
      </c>
      <c r="K137" s="29" t="s">
        <v>321</v>
      </c>
      <c r="L137" s="29">
        <v>5</v>
      </c>
      <c r="M137" s="30" t="s">
        <v>269</v>
      </c>
      <c r="N137" s="30" t="s">
        <v>882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1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352</v>
      </c>
      <c r="E138" s="30" t="s">
        <v>468</v>
      </c>
      <c r="F138" s="30" t="s">
        <v>353</v>
      </c>
      <c r="G138" s="30" t="s">
        <v>243</v>
      </c>
      <c r="H138" s="30" t="s">
        <v>165</v>
      </c>
      <c r="I138" s="29" t="s">
        <v>486</v>
      </c>
      <c r="J138" s="29">
        <v>9</v>
      </c>
      <c r="K138" s="29" t="s">
        <v>320</v>
      </c>
      <c r="L138" s="29">
        <v>11</v>
      </c>
      <c r="M138" s="30" t="s">
        <v>856</v>
      </c>
      <c r="N138" s="30" t="s">
        <v>888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1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1</v>
      </c>
      <c r="AH138" s="2">
        <f t="shared" si="37"/>
        <v>0</v>
      </c>
      <c r="AI138" s="2">
        <f t="shared" si="38"/>
        <v>1</v>
      </c>
    </row>
    <row r="139" spans="1:16384" s="3" customFormat="1" ht="14.25" customHeight="1" x14ac:dyDescent="0.25">
      <c r="A139" s="29">
        <v>1</v>
      </c>
      <c r="B139" s="29">
        <v>2</v>
      </c>
      <c r="C139" s="29">
        <v>1</v>
      </c>
      <c r="D139" s="30" t="s">
        <v>352</v>
      </c>
      <c r="E139" s="30" t="s">
        <v>468</v>
      </c>
      <c r="F139" s="30" t="s">
        <v>578</v>
      </c>
      <c r="G139" s="30" t="s">
        <v>553</v>
      </c>
      <c r="H139" s="30" t="s">
        <v>165</v>
      </c>
      <c r="I139" s="29" t="s">
        <v>554</v>
      </c>
      <c r="J139" s="29">
        <v>99</v>
      </c>
      <c r="K139" s="29" t="s">
        <v>320</v>
      </c>
      <c r="L139" s="29">
        <v>11</v>
      </c>
      <c r="M139" s="30" t="s">
        <v>857</v>
      </c>
      <c r="N139" s="30" t="s">
        <v>888</v>
      </c>
      <c r="O139" s="31">
        <v>1</v>
      </c>
      <c r="P139" s="31"/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0</v>
      </c>
      <c r="AC139" s="2"/>
      <c r="AD139" s="2">
        <f t="shared" si="33"/>
        <v>0</v>
      </c>
      <c r="AE139" s="2">
        <f t="shared" si="34"/>
        <v>1</v>
      </c>
      <c r="AF139" s="2">
        <f t="shared" si="35"/>
        <v>0</v>
      </c>
      <c r="AG139" s="2">
        <f t="shared" si="36"/>
        <v>0</v>
      </c>
      <c r="AH139" s="2">
        <f t="shared" si="37"/>
        <v>0</v>
      </c>
      <c r="AI139" s="2">
        <f t="shared" si="38"/>
        <v>0</v>
      </c>
    </row>
    <row r="140" spans="1:16384" s="3" customFormat="1" ht="14.25" customHeight="1" x14ac:dyDescent="0.25">
      <c r="A140" s="29">
        <v>1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998</v>
      </c>
      <c r="G140" s="30" t="s">
        <v>125</v>
      </c>
      <c r="H140" s="30" t="s">
        <v>165</v>
      </c>
      <c r="I140" s="29" t="s">
        <v>33</v>
      </c>
      <c r="J140" s="29">
        <v>99</v>
      </c>
      <c r="K140" s="29" t="s">
        <v>320</v>
      </c>
      <c r="L140" s="29">
        <v>11</v>
      </c>
      <c r="M140" s="30" t="s">
        <v>857</v>
      </c>
      <c r="N140" s="30" t="s">
        <v>888</v>
      </c>
      <c r="O140" s="31">
        <v>1</v>
      </c>
      <c r="P140" s="31"/>
      <c r="Q140" s="30"/>
      <c r="R140" s="2"/>
      <c r="S140" s="2">
        <f t="shared" ref="S140" si="55">IF(J140=$S$7,1,0)</f>
        <v>0</v>
      </c>
      <c r="T140" s="2">
        <f t="shared" ref="T140" si="56">IF(J140=$T$7,1,0)</f>
        <v>0</v>
      </c>
      <c r="U140" s="2">
        <f t="shared" ref="U140" si="57">IF(J140=$U$7,1,0)</f>
        <v>0</v>
      </c>
      <c r="V140" s="2">
        <f t="shared" ref="V140" si="58">IF(J140=$V$7,1,0)</f>
        <v>0</v>
      </c>
      <c r="W140" s="2">
        <f t="shared" ref="W140" si="59">IF(J140=$W$7,1,0)</f>
        <v>0</v>
      </c>
      <c r="X140" s="2">
        <f t="shared" ref="X140" si="60">IF(J140=$X$7,1,0)</f>
        <v>0</v>
      </c>
      <c r="Y140" s="2">
        <f t="shared" ref="Y140" si="61">IF(J140=$Y$7,1,0)</f>
        <v>0</v>
      </c>
      <c r="Z140" s="2">
        <f t="shared" ref="Z140" si="62">IF(J140=$Z$7,1,0)</f>
        <v>0</v>
      </c>
      <c r="AA140" s="2">
        <f t="shared" ref="AA140" si="63">IF(J140=$AA$7,1,0)</f>
        <v>0</v>
      </c>
      <c r="AB140" s="2">
        <f t="shared" ref="AB140" si="64">IF(J140=$AB$7,1,0)</f>
        <v>0</v>
      </c>
      <c r="AC140" s="2"/>
      <c r="AD140" s="2">
        <f t="shared" ref="AD140" si="65">+O140*P140</f>
        <v>0</v>
      </c>
      <c r="AE140" s="2">
        <f t="shared" ref="AE140" si="66">O140*(1-P140)</f>
        <v>1</v>
      </c>
      <c r="AF140" s="2">
        <f t="shared" ref="AF140" si="67">+O140*P140*(1-A140)</f>
        <v>0</v>
      </c>
      <c r="AG140" s="2">
        <f t="shared" ref="AG140" si="68">O140*(1-P140)*(1-A140)</f>
        <v>0</v>
      </c>
      <c r="AH140" s="2">
        <f t="shared" ref="AH140" si="69">+P140*(1-A140)</f>
        <v>0</v>
      </c>
      <c r="AI140" s="2">
        <f t="shared" ref="AI140" si="70">+(1-A140)*(1-P140)</f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247</v>
      </c>
      <c r="E141" s="30" t="s">
        <v>35</v>
      </c>
      <c r="F141" s="30" t="s">
        <v>209</v>
      </c>
      <c r="G141" s="30" t="s">
        <v>93</v>
      </c>
      <c r="H141" s="30" t="s">
        <v>165</v>
      </c>
      <c r="I141" s="29" t="s">
        <v>210</v>
      </c>
      <c r="J141" s="29">
        <v>8</v>
      </c>
      <c r="K141" s="29" t="s">
        <v>319</v>
      </c>
      <c r="L141" s="29" t="s">
        <v>318</v>
      </c>
      <c r="M141" s="30" t="s">
        <v>269</v>
      </c>
      <c r="N141" s="30" t="s">
        <v>882</v>
      </c>
      <c r="O141" s="31">
        <v>1</v>
      </c>
      <c r="P141" s="31">
        <v>1</v>
      </c>
      <c r="Q141" s="30"/>
      <c r="R141" s="2"/>
      <c r="S141" s="2">
        <f t="shared" ref="S141:S203" si="71">IF(J141=$S$7,1,0)</f>
        <v>0</v>
      </c>
      <c r="T141" s="2">
        <f t="shared" ref="T141:T203" si="72">IF(J141=$T$7,1,0)</f>
        <v>0</v>
      </c>
      <c r="U141" s="2">
        <f t="shared" ref="U141:U203" si="73">IF(J141=$U$7,1,0)</f>
        <v>0</v>
      </c>
      <c r="V141" s="2">
        <f t="shared" ref="V141:V203" si="74">IF(J141=$V$7,1,0)</f>
        <v>0</v>
      </c>
      <c r="W141" s="2">
        <f t="shared" ref="W141:W203" si="75">IF(J141=$W$7,1,0)</f>
        <v>0</v>
      </c>
      <c r="X141" s="2">
        <f t="shared" ref="X141:X203" si="76">IF(J141=$X$7,1,0)</f>
        <v>0</v>
      </c>
      <c r="Y141" s="2">
        <f t="shared" ref="Y141:Y203" si="77">IF(J141=$Y$7,1,0)</f>
        <v>0</v>
      </c>
      <c r="Z141" s="2">
        <f t="shared" ref="Z141:Z203" si="78">IF(J141=$Z$7,1,0)</f>
        <v>1</v>
      </c>
      <c r="AA141" s="2">
        <f t="shared" ref="AA141:AA203" si="79">IF(J141=$AA$7,1,0)</f>
        <v>0</v>
      </c>
      <c r="AB141" s="2">
        <f t="shared" ref="AB141:AB203" si="80">IF(J141=$AB$7,1,0)</f>
        <v>0</v>
      </c>
      <c r="AC141" s="2"/>
      <c r="AD141" s="2">
        <f t="shared" ref="AD141:AD203" si="81">+O141*P141</f>
        <v>1</v>
      </c>
      <c r="AE141" s="2">
        <f t="shared" ref="AE141:AE203" si="82">O141*(1-P141)</f>
        <v>0</v>
      </c>
      <c r="AF141" s="2">
        <f t="shared" ref="AF141:AF203" si="83">+O141*P141*(1-A141)</f>
        <v>1</v>
      </c>
      <c r="AG141" s="2">
        <f t="shared" ref="AG141:AG203" si="84">O141*(1-P141)*(1-A141)</f>
        <v>0</v>
      </c>
      <c r="AH141" s="2">
        <f t="shared" ref="AH141:AH203" si="85">+P141*(1-A141)</f>
        <v>1</v>
      </c>
      <c r="AI141" s="2">
        <f t="shared" ref="AI141:AI203" si="86">+(1-A141)*(1-P141)</f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360</v>
      </c>
      <c r="E142" s="30" t="s">
        <v>468</v>
      </c>
      <c r="F142" s="30" t="s">
        <v>580</v>
      </c>
      <c r="G142" s="30" t="s">
        <v>91</v>
      </c>
      <c r="H142" s="30" t="s">
        <v>165</v>
      </c>
      <c r="I142" s="29" t="s">
        <v>357</v>
      </c>
      <c r="J142" s="29">
        <v>1</v>
      </c>
      <c r="K142" s="29" t="s">
        <v>321</v>
      </c>
      <c r="L142" s="29" t="s">
        <v>325</v>
      </c>
      <c r="M142" s="30" t="s">
        <v>495</v>
      </c>
      <c r="N142" s="30" t="s">
        <v>882</v>
      </c>
      <c r="O142" s="31">
        <v>1</v>
      </c>
      <c r="P142" s="31">
        <v>1</v>
      </c>
      <c r="Q142" s="30"/>
      <c r="R142" s="2"/>
      <c r="S142" s="2">
        <f t="shared" si="71"/>
        <v>1</v>
      </c>
      <c r="T142" s="2">
        <f t="shared" si="72"/>
        <v>0</v>
      </c>
      <c r="U142" s="2">
        <f t="shared" si="73"/>
        <v>0</v>
      </c>
      <c r="V142" s="2">
        <f t="shared" si="74"/>
        <v>0</v>
      </c>
      <c r="W142" s="2">
        <f t="shared" si="75"/>
        <v>0</v>
      </c>
      <c r="X142" s="2">
        <f t="shared" si="76"/>
        <v>0</v>
      </c>
      <c r="Y142" s="2">
        <f t="shared" si="77"/>
        <v>0</v>
      </c>
      <c r="Z142" s="2">
        <f t="shared" si="78"/>
        <v>0</v>
      </c>
      <c r="AA142" s="2">
        <f t="shared" si="79"/>
        <v>0</v>
      </c>
      <c r="AB142" s="2">
        <f t="shared" si="80"/>
        <v>0</v>
      </c>
      <c r="AC142" s="2"/>
      <c r="AD142" s="2">
        <f t="shared" si="81"/>
        <v>1</v>
      </c>
      <c r="AE142" s="2">
        <f t="shared" si="82"/>
        <v>0</v>
      </c>
      <c r="AF142" s="2">
        <f t="shared" si="83"/>
        <v>1</v>
      </c>
      <c r="AG142" s="2">
        <f t="shared" si="84"/>
        <v>0</v>
      </c>
      <c r="AH142" s="2">
        <f t="shared" si="85"/>
        <v>1</v>
      </c>
      <c r="AI142" s="2">
        <f t="shared" si="86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55</v>
      </c>
      <c r="E143" s="30" t="s">
        <v>468</v>
      </c>
      <c r="F143" s="30" t="s">
        <v>110</v>
      </c>
      <c r="G143" s="30" t="s">
        <v>99</v>
      </c>
      <c r="H143" s="30" t="s">
        <v>165</v>
      </c>
      <c r="I143" s="29" t="s">
        <v>174</v>
      </c>
      <c r="J143" s="29">
        <v>3</v>
      </c>
      <c r="K143" s="29" t="s">
        <v>320</v>
      </c>
      <c r="L143" s="29" t="s">
        <v>325</v>
      </c>
      <c r="M143" s="30" t="s">
        <v>495</v>
      </c>
      <c r="N143" s="30" t="s">
        <v>882</v>
      </c>
      <c r="O143" s="31">
        <v>1</v>
      </c>
      <c r="P143" s="31">
        <v>1</v>
      </c>
      <c r="Q143" s="30"/>
      <c r="R143" s="2"/>
      <c r="S143" s="2">
        <f t="shared" si="71"/>
        <v>0</v>
      </c>
      <c r="T143" s="2">
        <f t="shared" si="72"/>
        <v>0</v>
      </c>
      <c r="U143" s="2">
        <f t="shared" si="73"/>
        <v>1</v>
      </c>
      <c r="V143" s="2">
        <f t="shared" si="74"/>
        <v>0</v>
      </c>
      <c r="W143" s="2">
        <f t="shared" si="75"/>
        <v>0</v>
      </c>
      <c r="X143" s="2">
        <f t="shared" si="76"/>
        <v>0</v>
      </c>
      <c r="Y143" s="2">
        <f t="shared" si="77"/>
        <v>0</v>
      </c>
      <c r="Z143" s="2">
        <f t="shared" si="78"/>
        <v>0</v>
      </c>
      <c r="AA143" s="2">
        <f t="shared" si="79"/>
        <v>0</v>
      </c>
      <c r="AB143" s="2">
        <f t="shared" si="80"/>
        <v>0</v>
      </c>
      <c r="AC143" s="2"/>
      <c r="AD143" s="2">
        <f t="shared" si="81"/>
        <v>1</v>
      </c>
      <c r="AE143" s="2">
        <f t="shared" si="82"/>
        <v>0</v>
      </c>
      <c r="AF143" s="2">
        <f t="shared" si="83"/>
        <v>1</v>
      </c>
      <c r="AG143" s="2">
        <f t="shared" si="84"/>
        <v>0</v>
      </c>
      <c r="AH143" s="2">
        <f t="shared" si="85"/>
        <v>1</v>
      </c>
      <c r="AI143" s="2">
        <f t="shared" si="86"/>
        <v>0</v>
      </c>
    </row>
    <row r="144" spans="1:16384" s="3" customFormat="1" ht="14.25" customHeight="1" x14ac:dyDescent="0.25">
      <c r="A144" s="29">
        <v>1</v>
      </c>
      <c r="B144" s="29">
        <v>2</v>
      </c>
      <c r="C144" s="29">
        <v>1</v>
      </c>
      <c r="D144" s="30" t="s">
        <v>55</v>
      </c>
      <c r="E144" s="30" t="s">
        <v>468</v>
      </c>
      <c r="F144" s="30" t="s">
        <v>999</v>
      </c>
      <c r="G144" s="30" t="s">
        <v>1000</v>
      </c>
      <c r="H144" s="30" t="s">
        <v>165</v>
      </c>
      <c r="I144" s="29" t="s">
        <v>33</v>
      </c>
      <c r="J144" s="29"/>
      <c r="K144" s="29" t="s">
        <v>320</v>
      </c>
      <c r="L144" s="29" t="s">
        <v>325</v>
      </c>
      <c r="M144" s="30" t="s">
        <v>495</v>
      </c>
      <c r="N144" s="30" t="s">
        <v>882</v>
      </c>
      <c r="O144" s="31">
        <v>1</v>
      </c>
      <c r="P144" s="31">
        <v>1</v>
      </c>
      <c r="Q144" s="30"/>
      <c r="R144" s="2"/>
      <c r="S144" s="2">
        <f t="shared" ref="S144" si="87">IF(J144=$S$7,1,0)</f>
        <v>0</v>
      </c>
      <c r="T144" s="2">
        <f t="shared" ref="T144" si="88">IF(J144=$T$7,1,0)</f>
        <v>0</v>
      </c>
      <c r="U144" s="2">
        <f t="shared" ref="U144" si="89">IF(J144=$U$7,1,0)</f>
        <v>0</v>
      </c>
      <c r="V144" s="2">
        <f t="shared" ref="V144" si="90">IF(J144=$V$7,1,0)</f>
        <v>0</v>
      </c>
      <c r="W144" s="2">
        <f t="shared" ref="W144" si="91">IF(J144=$W$7,1,0)</f>
        <v>0</v>
      </c>
      <c r="X144" s="2">
        <f t="shared" ref="X144" si="92">IF(J144=$X$7,1,0)</f>
        <v>0</v>
      </c>
      <c r="Y144" s="2">
        <f t="shared" ref="Y144" si="93">IF(J144=$Y$7,1,0)</f>
        <v>0</v>
      </c>
      <c r="Z144" s="2">
        <f t="shared" ref="Z144" si="94">IF(J144=$Z$7,1,0)</f>
        <v>0</v>
      </c>
      <c r="AA144" s="2">
        <f t="shared" ref="AA144" si="95">IF(J144=$AA$7,1,0)</f>
        <v>0</v>
      </c>
      <c r="AB144" s="2">
        <f t="shared" ref="AB144" si="96">IF(J144=$AB$7,1,0)</f>
        <v>0</v>
      </c>
      <c r="AC144" s="2"/>
      <c r="AD144" s="2">
        <f t="shared" ref="AD144" si="97">+O144*P144</f>
        <v>1</v>
      </c>
      <c r="AE144" s="2">
        <f t="shared" ref="AE144" si="98">O144*(1-P144)</f>
        <v>0</v>
      </c>
      <c r="AF144" s="2">
        <f t="shared" ref="AF144" si="99">+O144*P144*(1-A144)</f>
        <v>0</v>
      </c>
      <c r="AG144" s="2">
        <f t="shared" ref="AG144" si="100">O144*(1-P144)*(1-A144)</f>
        <v>0</v>
      </c>
      <c r="AH144" s="2">
        <f t="shared" ref="AH144" si="101">+P144*(1-A144)</f>
        <v>0</v>
      </c>
      <c r="AI144" s="2">
        <f t="shared" ref="AI144" si="102">+(1-A144)*(1-P144)</f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47</v>
      </c>
      <c r="E145" s="30" t="s">
        <v>82</v>
      </c>
      <c r="F145" s="30" t="s">
        <v>820</v>
      </c>
      <c r="G145" s="30" t="s">
        <v>93</v>
      </c>
      <c r="H145" s="30" t="s">
        <v>165</v>
      </c>
      <c r="I145" s="29" t="s">
        <v>167</v>
      </c>
      <c r="J145" s="29">
        <v>8</v>
      </c>
      <c r="K145" s="29" t="s">
        <v>320</v>
      </c>
      <c r="L145" s="29" t="s">
        <v>318</v>
      </c>
      <c r="M145" s="30" t="s">
        <v>269</v>
      </c>
      <c r="N145" s="30" t="s">
        <v>902</v>
      </c>
      <c r="O145" s="31">
        <v>1</v>
      </c>
      <c r="P145" s="31"/>
      <c r="Q145" s="30"/>
      <c r="S145" s="2">
        <f t="shared" si="71"/>
        <v>0</v>
      </c>
      <c r="T145" s="2">
        <f t="shared" si="72"/>
        <v>0</v>
      </c>
      <c r="U145" s="2">
        <f t="shared" si="73"/>
        <v>0</v>
      </c>
      <c r="V145" s="2">
        <f t="shared" si="74"/>
        <v>0</v>
      </c>
      <c r="W145" s="2">
        <f t="shared" si="75"/>
        <v>0</v>
      </c>
      <c r="X145" s="2">
        <f t="shared" si="76"/>
        <v>0</v>
      </c>
      <c r="Y145" s="2">
        <f t="shared" si="77"/>
        <v>0</v>
      </c>
      <c r="Z145" s="2">
        <f t="shared" si="78"/>
        <v>1</v>
      </c>
      <c r="AA145" s="2">
        <f t="shared" si="79"/>
        <v>0</v>
      </c>
      <c r="AB145" s="2">
        <f t="shared" si="80"/>
        <v>0</v>
      </c>
      <c r="AD145" s="2">
        <f t="shared" si="81"/>
        <v>0</v>
      </c>
      <c r="AE145" s="2">
        <f t="shared" si="82"/>
        <v>1</v>
      </c>
      <c r="AF145" s="2">
        <f t="shared" si="83"/>
        <v>0</v>
      </c>
      <c r="AG145" s="2">
        <f t="shared" si="84"/>
        <v>1</v>
      </c>
      <c r="AH145" s="2">
        <f t="shared" si="85"/>
        <v>0</v>
      </c>
      <c r="AI145" s="2">
        <f t="shared" si="86"/>
        <v>1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47</v>
      </c>
      <c r="E146" s="30" t="s">
        <v>82</v>
      </c>
      <c r="F146" s="30" t="s">
        <v>98</v>
      </c>
      <c r="G146" s="30" t="s">
        <v>99</v>
      </c>
      <c r="H146" s="30" t="s">
        <v>165</v>
      </c>
      <c r="I146" s="29" t="s">
        <v>490</v>
      </c>
      <c r="J146" s="29">
        <v>3</v>
      </c>
      <c r="K146" s="29" t="s">
        <v>320</v>
      </c>
      <c r="L146" s="29" t="s">
        <v>318</v>
      </c>
      <c r="M146" s="30" t="s">
        <v>269</v>
      </c>
      <c r="N146" s="30" t="s">
        <v>902</v>
      </c>
      <c r="O146" s="31">
        <v>1</v>
      </c>
      <c r="P146" s="31"/>
      <c r="Q146" s="30"/>
      <c r="S146" s="2">
        <f t="shared" si="71"/>
        <v>0</v>
      </c>
      <c r="T146" s="2">
        <f t="shared" si="72"/>
        <v>0</v>
      </c>
      <c r="U146" s="2">
        <f t="shared" si="73"/>
        <v>1</v>
      </c>
      <c r="V146" s="2">
        <f t="shared" si="74"/>
        <v>0</v>
      </c>
      <c r="W146" s="2">
        <f t="shared" si="75"/>
        <v>0</v>
      </c>
      <c r="X146" s="2">
        <f t="shared" si="76"/>
        <v>0</v>
      </c>
      <c r="Y146" s="2">
        <f t="shared" si="77"/>
        <v>0</v>
      </c>
      <c r="Z146" s="2">
        <f t="shared" si="78"/>
        <v>0</v>
      </c>
      <c r="AA146" s="2">
        <f t="shared" si="79"/>
        <v>0</v>
      </c>
      <c r="AB146" s="2">
        <f t="shared" si="80"/>
        <v>0</v>
      </c>
      <c r="AD146" s="2">
        <f t="shared" si="81"/>
        <v>0</v>
      </c>
      <c r="AE146" s="2">
        <f t="shared" si="82"/>
        <v>1</v>
      </c>
      <c r="AF146" s="2">
        <f t="shared" si="83"/>
        <v>0</v>
      </c>
      <c r="AG146" s="2">
        <f t="shared" si="84"/>
        <v>0</v>
      </c>
      <c r="AH146" s="2">
        <f t="shared" si="85"/>
        <v>0</v>
      </c>
      <c r="AI146" s="2">
        <f t="shared" si="86"/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910</v>
      </c>
      <c r="E147" s="30" t="s">
        <v>35</v>
      </c>
      <c r="F147" s="30" t="s">
        <v>911</v>
      </c>
      <c r="G147" s="30" t="s">
        <v>132</v>
      </c>
      <c r="H147" s="30" t="s">
        <v>165</v>
      </c>
      <c r="I147" s="29" t="s">
        <v>912</v>
      </c>
      <c r="J147" s="29">
        <v>99</v>
      </c>
      <c r="K147" s="29" t="s">
        <v>376</v>
      </c>
      <c r="L147" s="29"/>
      <c r="M147" s="30"/>
      <c r="N147" s="30" t="s">
        <v>882</v>
      </c>
      <c r="O147" s="31">
        <v>1</v>
      </c>
      <c r="P147" s="31">
        <v>1</v>
      </c>
      <c r="Q147" s="30"/>
      <c r="S147" s="2">
        <f t="shared" si="71"/>
        <v>0</v>
      </c>
      <c r="T147" s="2">
        <f t="shared" si="72"/>
        <v>0</v>
      </c>
      <c r="U147" s="2">
        <f t="shared" si="73"/>
        <v>0</v>
      </c>
      <c r="V147" s="2">
        <f t="shared" si="74"/>
        <v>0</v>
      </c>
      <c r="W147" s="2">
        <f t="shared" si="75"/>
        <v>0</v>
      </c>
      <c r="X147" s="2">
        <f t="shared" si="76"/>
        <v>0</v>
      </c>
      <c r="Y147" s="2">
        <f t="shared" si="77"/>
        <v>0</v>
      </c>
      <c r="Z147" s="2">
        <f t="shared" si="78"/>
        <v>0</v>
      </c>
      <c r="AA147" s="2">
        <f t="shared" si="79"/>
        <v>0</v>
      </c>
      <c r="AB147" s="2">
        <f t="shared" si="80"/>
        <v>0</v>
      </c>
      <c r="AD147" s="2">
        <f t="shared" si="81"/>
        <v>1</v>
      </c>
      <c r="AE147" s="2">
        <f t="shared" si="82"/>
        <v>0</v>
      </c>
      <c r="AF147" s="2">
        <f t="shared" si="83"/>
        <v>1</v>
      </c>
      <c r="AG147" s="2">
        <f t="shared" si="84"/>
        <v>0</v>
      </c>
      <c r="AH147" s="2">
        <f t="shared" si="85"/>
        <v>1</v>
      </c>
      <c r="AI147" s="2">
        <f t="shared" si="86"/>
        <v>0</v>
      </c>
    </row>
    <row r="148" spans="1:35" ht="14.25" customHeight="1" x14ac:dyDescent="0.25">
      <c r="A148" s="29">
        <v>0</v>
      </c>
      <c r="B148" s="29">
        <v>2</v>
      </c>
      <c r="C148" s="29">
        <v>1</v>
      </c>
      <c r="D148" s="30" t="s">
        <v>453</v>
      </c>
      <c r="E148" s="30" t="s">
        <v>454</v>
      </c>
      <c r="F148" s="30" t="s">
        <v>455</v>
      </c>
      <c r="G148" s="30" t="s">
        <v>456</v>
      </c>
      <c r="H148" s="30" t="s">
        <v>165</v>
      </c>
      <c r="I148" s="29" t="s">
        <v>457</v>
      </c>
      <c r="J148" s="29">
        <v>99</v>
      </c>
      <c r="K148" s="29" t="s">
        <v>318</v>
      </c>
      <c r="L148" s="29" t="s">
        <v>321</v>
      </c>
      <c r="M148" s="30" t="s">
        <v>269</v>
      </c>
      <c r="N148" s="30" t="s">
        <v>882</v>
      </c>
      <c r="O148" s="31">
        <v>1</v>
      </c>
      <c r="P148" s="31">
        <v>1</v>
      </c>
      <c r="Q148" s="30"/>
      <c r="S148" s="2">
        <f t="shared" si="71"/>
        <v>0</v>
      </c>
      <c r="T148" s="2">
        <f t="shared" si="72"/>
        <v>0</v>
      </c>
      <c r="U148" s="2">
        <f t="shared" si="73"/>
        <v>0</v>
      </c>
      <c r="V148" s="2">
        <f t="shared" si="74"/>
        <v>0</v>
      </c>
      <c r="W148" s="2">
        <f t="shared" si="75"/>
        <v>0</v>
      </c>
      <c r="X148" s="2">
        <f t="shared" si="76"/>
        <v>0</v>
      </c>
      <c r="Y148" s="2">
        <f t="shared" si="77"/>
        <v>0</v>
      </c>
      <c r="Z148" s="2">
        <f t="shared" si="78"/>
        <v>0</v>
      </c>
      <c r="AA148" s="2">
        <f t="shared" si="79"/>
        <v>0</v>
      </c>
      <c r="AB148" s="2">
        <f t="shared" si="80"/>
        <v>0</v>
      </c>
      <c r="AD148" s="2">
        <f t="shared" si="81"/>
        <v>1</v>
      </c>
      <c r="AE148" s="2">
        <f t="shared" si="82"/>
        <v>0</v>
      </c>
      <c r="AF148" s="2">
        <f t="shared" si="83"/>
        <v>1</v>
      </c>
      <c r="AG148" s="2">
        <f t="shared" si="84"/>
        <v>0</v>
      </c>
      <c r="AH148" s="2">
        <f t="shared" si="85"/>
        <v>1</v>
      </c>
      <c r="AI148" s="2">
        <f t="shared" si="86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558</v>
      </c>
      <c r="E149" s="30" t="s">
        <v>35</v>
      </c>
      <c r="F149" s="30" t="s">
        <v>823</v>
      </c>
      <c r="G149" s="30" t="s">
        <v>517</v>
      </c>
      <c r="H149" s="30" t="s">
        <v>165</v>
      </c>
      <c r="I149" s="29" t="s">
        <v>559</v>
      </c>
      <c r="J149" s="29">
        <v>99</v>
      </c>
      <c r="K149" s="29" t="s">
        <v>318</v>
      </c>
      <c r="L149" s="29">
        <v>5</v>
      </c>
      <c r="M149" s="30" t="s">
        <v>269</v>
      </c>
      <c r="N149" s="30" t="s">
        <v>888</v>
      </c>
      <c r="O149" s="31">
        <v>1</v>
      </c>
      <c r="P149" s="31"/>
      <c r="Q149" s="30" t="s">
        <v>945</v>
      </c>
      <c r="S149" s="2">
        <f t="shared" si="71"/>
        <v>0</v>
      </c>
      <c r="T149" s="2">
        <f t="shared" si="72"/>
        <v>0</v>
      </c>
      <c r="U149" s="2">
        <f t="shared" si="73"/>
        <v>0</v>
      </c>
      <c r="V149" s="2">
        <f t="shared" si="74"/>
        <v>0</v>
      </c>
      <c r="W149" s="2">
        <f t="shared" si="75"/>
        <v>0</v>
      </c>
      <c r="X149" s="2">
        <f t="shared" si="76"/>
        <v>0</v>
      </c>
      <c r="Y149" s="2">
        <f t="shared" si="77"/>
        <v>0</v>
      </c>
      <c r="Z149" s="2">
        <f t="shared" si="78"/>
        <v>0</v>
      </c>
      <c r="AA149" s="2">
        <f t="shared" si="79"/>
        <v>0</v>
      </c>
      <c r="AB149" s="2">
        <f t="shared" si="80"/>
        <v>0</v>
      </c>
      <c r="AD149" s="2">
        <f t="shared" si="81"/>
        <v>0</v>
      </c>
      <c r="AE149" s="2">
        <f t="shared" si="82"/>
        <v>1</v>
      </c>
      <c r="AF149" s="2">
        <f t="shared" si="83"/>
        <v>0</v>
      </c>
      <c r="AG149" s="2">
        <f t="shared" si="84"/>
        <v>1</v>
      </c>
      <c r="AH149" s="2">
        <f t="shared" si="85"/>
        <v>0</v>
      </c>
      <c r="AI149" s="2">
        <f t="shared" si="86"/>
        <v>1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390</v>
      </c>
      <c r="E150" s="30" t="s">
        <v>37</v>
      </c>
      <c r="F150" s="30" t="s">
        <v>481</v>
      </c>
      <c r="G150" s="30" t="s">
        <v>130</v>
      </c>
      <c r="H150" s="30" t="s">
        <v>165</v>
      </c>
      <c r="I150" s="29" t="s">
        <v>391</v>
      </c>
      <c r="J150" s="29">
        <v>10</v>
      </c>
      <c r="K150" s="29" t="s">
        <v>319</v>
      </c>
      <c r="L150" s="29">
        <v>5</v>
      </c>
      <c r="M150" s="30" t="s">
        <v>269</v>
      </c>
      <c r="N150" s="30" t="s">
        <v>888</v>
      </c>
      <c r="O150" s="31">
        <v>1</v>
      </c>
      <c r="P150" s="31"/>
      <c r="Q150" s="30"/>
      <c r="S150" s="2">
        <f t="shared" si="71"/>
        <v>0</v>
      </c>
      <c r="T150" s="2">
        <f t="shared" si="72"/>
        <v>0</v>
      </c>
      <c r="U150" s="2">
        <f t="shared" si="73"/>
        <v>0</v>
      </c>
      <c r="V150" s="2">
        <f t="shared" si="74"/>
        <v>0</v>
      </c>
      <c r="W150" s="2">
        <f t="shared" si="75"/>
        <v>0</v>
      </c>
      <c r="X150" s="2">
        <f t="shared" si="76"/>
        <v>0</v>
      </c>
      <c r="Y150" s="2">
        <f t="shared" si="77"/>
        <v>0</v>
      </c>
      <c r="Z150" s="2">
        <f t="shared" si="78"/>
        <v>0</v>
      </c>
      <c r="AA150" s="2">
        <f t="shared" si="79"/>
        <v>0</v>
      </c>
      <c r="AB150" s="2">
        <f t="shared" si="80"/>
        <v>1</v>
      </c>
      <c r="AD150" s="2">
        <f t="shared" si="81"/>
        <v>0</v>
      </c>
      <c r="AE150" s="2">
        <f t="shared" si="82"/>
        <v>1</v>
      </c>
      <c r="AF150" s="2">
        <f t="shared" si="83"/>
        <v>0</v>
      </c>
      <c r="AG150" s="2">
        <f t="shared" si="84"/>
        <v>1</v>
      </c>
      <c r="AH150" s="2">
        <f t="shared" si="85"/>
        <v>0</v>
      </c>
      <c r="AI150" s="2">
        <f t="shared" si="86"/>
        <v>1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248</v>
      </c>
      <c r="E151" s="30" t="s">
        <v>37</v>
      </c>
      <c r="F151" s="30" t="s">
        <v>232</v>
      </c>
      <c r="G151" s="30" t="s">
        <v>582</v>
      </c>
      <c r="H151" s="30" t="s">
        <v>165</v>
      </c>
      <c r="I151" s="29" t="s">
        <v>265</v>
      </c>
      <c r="J151" s="29">
        <v>99</v>
      </c>
      <c r="K151" s="29" t="s">
        <v>320</v>
      </c>
      <c r="L151" s="29">
        <v>5</v>
      </c>
      <c r="M151" s="30" t="s">
        <v>269</v>
      </c>
      <c r="N151" s="30" t="s">
        <v>888</v>
      </c>
      <c r="O151" s="31">
        <v>1</v>
      </c>
      <c r="P151" s="31"/>
      <c r="Q151" s="30"/>
      <c r="S151" s="2">
        <f t="shared" si="71"/>
        <v>0</v>
      </c>
      <c r="T151" s="2">
        <f t="shared" si="72"/>
        <v>0</v>
      </c>
      <c r="U151" s="2">
        <f t="shared" si="73"/>
        <v>0</v>
      </c>
      <c r="V151" s="2">
        <f t="shared" si="74"/>
        <v>0</v>
      </c>
      <c r="W151" s="2">
        <f t="shared" si="75"/>
        <v>0</v>
      </c>
      <c r="X151" s="2">
        <f t="shared" si="76"/>
        <v>0</v>
      </c>
      <c r="Y151" s="2">
        <f t="shared" si="77"/>
        <v>0</v>
      </c>
      <c r="Z151" s="2">
        <f t="shared" si="78"/>
        <v>0</v>
      </c>
      <c r="AA151" s="2">
        <f t="shared" si="79"/>
        <v>0</v>
      </c>
      <c r="AB151" s="2">
        <f t="shared" si="80"/>
        <v>0</v>
      </c>
      <c r="AD151" s="2">
        <f t="shared" si="81"/>
        <v>0</v>
      </c>
      <c r="AE151" s="2">
        <f t="shared" si="82"/>
        <v>1</v>
      </c>
      <c r="AF151" s="2">
        <f t="shared" si="83"/>
        <v>0</v>
      </c>
      <c r="AG151" s="2">
        <f t="shared" si="84"/>
        <v>1</v>
      </c>
      <c r="AH151" s="2">
        <f t="shared" si="85"/>
        <v>0</v>
      </c>
      <c r="AI151" s="2">
        <f t="shared" si="86"/>
        <v>1</v>
      </c>
    </row>
    <row r="152" spans="1:35" ht="14.25" customHeight="1" x14ac:dyDescent="0.25">
      <c r="A152" s="20">
        <v>0</v>
      </c>
      <c r="B152" s="20">
        <v>2</v>
      </c>
      <c r="C152" s="20">
        <v>2</v>
      </c>
      <c r="D152" s="21" t="s">
        <v>717</v>
      </c>
      <c r="E152" s="21" t="s">
        <v>809</v>
      </c>
      <c r="F152" s="21" t="s">
        <v>718</v>
      </c>
      <c r="G152" s="21" t="s">
        <v>96</v>
      </c>
      <c r="H152" s="21" t="s">
        <v>165</v>
      </c>
      <c r="I152" s="20" t="s">
        <v>719</v>
      </c>
      <c r="J152" s="20">
        <v>3</v>
      </c>
      <c r="K152" s="20" t="s">
        <v>319</v>
      </c>
      <c r="L152" s="20">
        <v>35</v>
      </c>
      <c r="M152" s="21" t="s">
        <v>872</v>
      </c>
      <c r="N152" s="21"/>
      <c r="O152" s="7"/>
      <c r="P152" s="7"/>
      <c r="Q152" s="21"/>
      <c r="S152" s="2">
        <f t="shared" si="71"/>
        <v>0</v>
      </c>
      <c r="T152" s="2">
        <f t="shared" si="72"/>
        <v>0</v>
      </c>
      <c r="U152" s="2">
        <f t="shared" si="73"/>
        <v>1</v>
      </c>
      <c r="V152" s="2">
        <f t="shared" si="74"/>
        <v>0</v>
      </c>
      <c r="W152" s="2">
        <f t="shared" si="75"/>
        <v>0</v>
      </c>
      <c r="X152" s="2">
        <f t="shared" si="76"/>
        <v>0</v>
      </c>
      <c r="Y152" s="2">
        <f t="shared" si="77"/>
        <v>0</v>
      </c>
      <c r="Z152" s="2">
        <f t="shared" si="78"/>
        <v>0</v>
      </c>
      <c r="AA152" s="2">
        <f t="shared" si="79"/>
        <v>0</v>
      </c>
      <c r="AB152" s="2">
        <f t="shared" si="80"/>
        <v>0</v>
      </c>
      <c r="AD152" s="2">
        <f t="shared" si="81"/>
        <v>0</v>
      </c>
      <c r="AE152" s="2">
        <f t="shared" si="82"/>
        <v>0</v>
      </c>
      <c r="AF152" s="2">
        <f t="shared" si="83"/>
        <v>0</v>
      </c>
      <c r="AG152" s="2">
        <f t="shared" si="84"/>
        <v>0</v>
      </c>
      <c r="AH152" s="2">
        <f t="shared" si="85"/>
        <v>0</v>
      </c>
      <c r="AI152" s="2">
        <f t="shared" si="86"/>
        <v>1</v>
      </c>
    </row>
    <row r="153" spans="1:35" ht="14.25" customHeight="1" x14ac:dyDescent="0.25">
      <c r="A153" s="29">
        <v>0</v>
      </c>
      <c r="B153" s="29">
        <v>2</v>
      </c>
      <c r="C153" s="29">
        <v>2</v>
      </c>
      <c r="D153" s="30" t="s">
        <v>501</v>
      </c>
      <c r="E153" s="30" t="s">
        <v>670</v>
      </c>
      <c r="F153" s="30" t="s">
        <v>502</v>
      </c>
      <c r="G153" s="30" t="s">
        <v>137</v>
      </c>
      <c r="H153" s="30" t="s">
        <v>165</v>
      </c>
      <c r="I153" s="29" t="s">
        <v>503</v>
      </c>
      <c r="J153" s="29">
        <v>1</v>
      </c>
      <c r="K153" s="29" t="s">
        <v>318</v>
      </c>
      <c r="L153" s="29">
        <v>45</v>
      </c>
      <c r="M153" s="30" t="s">
        <v>873</v>
      </c>
      <c r="N153" s="30" t="s">
        <v>888</v>
      </c>
      <c r="O153" s="31">
        <v>1</v>
      </c>
      <c r="P153" s="31"/>
      <c r="Q153" s="30"/>
      <c r="S153" s="2">
        <f t="shared" si="71"/>
        <v>1</v>
      </c>
      <c r="T153" s="2">
        <f t="shared" si="72"/>
        <v>0</v>
      </c>
      <c r="U153" s="2">
        <f t="shared" si="73"/>
        <v>0</v>
      </c>
      <c r="V153" s="2">
        <f t="shared" si="74"/>
        <v>0</v>
      </c>
      <c r="W153" s="2">
        <f t="shared" si="75"/>
        <v>0</v>
      </c>
      <c r="X153" s="2">
        <f t="shared" si="76"/>
        <v>0</v>
      </c>
      <c r="Y153" s="2">
        <f t="shared" si="77"/>
        <v>0</v>
      </c>
      <c r="Z153" s="2">
        <f t="shared" si="78"/>
        <v>0</v>
      </c>
      <c r="AA153" s="2">
        <f t="shared" si="79"/>
        <v>0</v>
      </c>
      <c r="AB153" s="2">
        <f t="shared" si="80"/>
        <v>0</v>
      </c>
      <c r="AD153" s="2">
        <f t="shared" si="81"/>
        <v>0</v>
      </c>
      <c r="AE153" s="2">
        <f t="shared" si="82"/>
        <v>1</v>
      </c>
      <c r="AF153" s="2">
        <f t="shared" si="83"/>
        <v>0</v>
      </c>
      <c r="AG153" s="2">
        <f t="shared" si="84"/>
        <v>1</v>
      </c>
      <c r="AH153" s="2">
        <f t="shared" si="85"/>
        <v>0</v>
      </c>
      <c r="AI153" s="2">
        <f t="shared" si="86"/>
        <v>1</v>
      </c>
    </row>
    <row r="154" spans="1:35" ht="14.25" customHeight="1" x14ac:dyDescent="0.25">
      <c r="A154" s="32">
        <v>0</v>
      </c>
      <c r="B154" s="32">
        <v>2</v>
      </c>
      <c r="C154" s="32">
        <v>2</v>
      </c>
      <c r="D154" s="33" t="s">
        <v>791</v>
      </c>
      <c r="E154" s="33"/>
      <c r="F154" s="33" t="s">
        <v>792</v>
      </c>
      <c r="G154" s="33" t="s">
        <v>309</v>
      </c>
      <c r="H154" s="33" t="s">
        <v>165</v>
      </c>
      <c r="I154" s="32" t="s">
        <v>33</v>
      </c>
      <c r="J154" s="32">
        <v>1</v>
      </c>
      <c r="K154" s="32" t="s">
        <v>376</v>
      </c>
      <c r="L154" s="32">
        <v>40</v>
      </c>
      <c r="M154" s="33" t="s">
        <v>793</v>
      </c>
      <c r="N154" s="33" t="s">
        <v>917</v>
      </c>
      <c r="O154" s="34"/>
      <c r="P154" s="34"/>
      <c r="Q154" s="33"/>
      <c r="S154" s="2">
        <f t="shared" si="71"/>
        <v>1</v>
      </c>
      <c r="T154" s="2">
        <f t="shared" si="72"/>
        <v>0</v>
      </c>
      <c r="U154" s="2">
        <f t="shared" si="73"/>
        <v>0</v>
      </c>
      <c r="V154" s="2">
        <f t="shared" si="74"/>
        <v>0</v>
      </c>
      <c r="W154" s="2">
        <f t="shared" si="75"/>
        <v>0</v>
      </c>
      <c r="X154" s="2">
        <f t="shared" si="76"/>
        <v>0</v>
      </c>
      <c r="Y154" s="2">
        <f t="shared" si="77"/>
        <v>0</v>
      </c>
      <c r="Z154" s="2">
        <f t="shared" si="78"/>
        <v>0</v>
      </c>
      <c r="AA154" s="2">
        <f t="shared" si="79"/>
        <v>0</v>
      </c>
      <c r="AB154" s="2">
        <f t="shared" si="80"/>
        <v>0</v>
      </c>
      <c r="AD154" s="2">
        <f t="shared" si="81"/>
        <v>0</v>
      </c>
      <c r="AE154" s="2">
        <f t="shared" si="82"/>
        <v>0</v>
      </c>
      <c r="AF154" s="2">
        <f t="shared" si="83"/>
        <v>0</v>
      </c>
      <c r="AG154" s="2">
        <f t="shared" si="84"/>
        <v>0</v>
      </c>
      <c r="AH154" s="2">
        <f t="shared" si="85"/>
        <v>0</v>
      </c>
      <c r="AI154" s="2">
        <f t="shared" si="86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721</v>
      </c>
      <c r="E155" s="30" t="s">
        <v>30</v>
      </c>
      <c r="F155" s="30" t="s">
        <v>782</v>
      </c>
      <c r="G155" s="30" t="s">
        <v>40</v>
      </c>
      <c r="H155" s="30" t="s">
        <v>165</v>
      </c>
      <c r="I155" s="29" t="s">
        <v>33</v>
      </c>
      <c r="J155" s="29">
        <v>99</v>
      </c>
      <c r="K155" s="29" t="s">
        <v>320</v>
      </c>
      <c r="L155" s="29" t="s">
        <v>345</v>
      </c>
      <c r="M155" s="30" t="s">
        <v>722</v>
      </c>
      <c r="N155" s="30" t="s">
        <v>888</v>
      </c>
      <c r="O155" s="31">
        <v>1</v>
      </c>
      <c r="P155" s="31"/>
      <c r="Q155" s="30"/>
      <c r="S155" s="2">
        <f t="shared" si="71"/>
        <v>0</v>
      </c>
      <c r="T155" s="2">
        <f t="shared" si="72"/>
        <v>0</v>
      </c>
      <c r="U155" s="2">
        <f t="shared" si="73"/>
        <v>0</v>
      </c>
      <c r="V155" s="2">
        <f t="shared" si="74"/>
        <v>0</v>
      </c>
      <c r="W155" s="2">
        <f t="shared" si="75"/>
        <v>0</v>
      </c>
      <c r="X155" s="2">
        <f t="shared" si="76"/>
        <v>0</v>
      </c>
      <c r="Y155" s="2">
        <f t="shared" si="77"/>
        <v>0</v>
      </c>
      <c r="Z155" s="2">
        <f t="shared" si="78"/>
        <v>0</v>
      </c>
      <c r="AA155" s="2">
        <f t="shared" si="79"/>
        <v>0</v>
      </c>
      <c r="AB155" s="2">
        <f t="shared" si="80"/>
        <v>0</v>
      </c>
      <c r="AD155" s="2">
        <f t="shared" si="81"/>
        <v>0</v>
      </c>
      <c r="AE155" s="2">
        <f t="shared" si="82"/>
        <v>1</v>
      </c>
      <c r="AF155" s="2">
        <f t="shared" si="83"/>
        <v>0</v>
      </c>
      <c r="AG155" s="2">
        <f t="shared" si="84"/>
        <v>1</v>
      </c>
      <c r="AH155" s="2">
        <f t="shared" si="85"/>
        <v>0</v>
      </c>
      <c r="AI155" s="2">
        <f t="shared" si="86"/>
        <v>1</v>
      </c>
    </row>
    <row r="156" spans="1:35" ht="14.25" customHeight="1" x14ac:dyDescent="0.25">
      <c r="A156" s="29">
        <v>0</v>
      </c>
      <c r="B156" s="29">
        <v>2</v>
      </c>
      <c r="C156" s="29">
        <v>2</v>
      </c>
      <c r="D156" s="30" t="s">
        <v>521</v>
      </c>
      <c r="E156" s="30" t="s">
        <v>522</v>
      </c>
      <c r="F156" s="30" t="s">
        <v>513</v>
      </c>
      <c r="G156" s="30" t="s">
        <v>514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40</v>
      </c>
      <c r="M156" s="30" t="s">
        <v>40</v>
      </c>
      <c r="N156" s="30" t="s">
        <v>882</v>
      </c>
      <c r="O156" s="31">
        <v>1</v>
      </c>
      <c r="P156" s="31">
        <v>1</v>
      </c>
      <c r="Q156" s="30"/>
      <c r="S156" s="2">
        <f t="shared" si="71"/>
        <v>0</v>
      </c>
      <c r="T156" s="2">
        <f t="shared" si="72"/>
        <v>0</v>
      </c>
      <c r="U156" s="2">
        <f t="shared" si="73"/>
        <v>0</v>
      </c>
      <c r="V156" s="2">
        <f t="shared" si="74"/>
        <v>0</v>
      </c>
      <c r="W156" s="2">
        <f t="shared" si="75"/>
        <v>0</v>
      </c>
      <c r="X156" s="2">
        <f t="shared" si="76"/>
        <v>0</v>
      </c>
      <c r="Y156" s="2">
        <f t="shared" si="77"/>
        <v>0</v>
      </c>
      <c r="Z156" s="2">
        <f t="shared" si="78"/>
        <v>0</v>
      </c>
      <c r="AA156" s="2">
        <f t="shared" si="79"/>
        <v>0</v>
      </c>
      <c r="AB156" s="2">
        <f t="shared" si="80"/>
        <v>0</v>
      </c>
      <c r="AD156" s="2">
        <f t="shared" si="81"/>
        <v>1</v>
      </c>
      <c r="AE156" s="2">
        <f t="shared" si="82"/>
        <v>0</v>
      </c>
      <c r="AF156" s="2">
        <f t="shared" si="83"/>
        <v>1</v>
      </c>
      <c r="AG156" s="2">
        <f t="shared" si="84"/>
        <v>0</v>
      </c>
      <c r="AH156" s="2">
        <f t="shared" si="85"/>
        <v>1</v>
      </c>
      <c r="AI156" s="2">
        <f t="shared" si="86"/>
        <v>0</v>
      </c>
    </row>
    <row r="157" spans="1:35" ht="14.25" customHeight="1" x14ac:dyDescent="0.25">
      <c r="A157" s="29">
        <v>1</v>
      </c>
      <c r="B157" s="29">
        <v>2</v>
      </c>
      <c r="C157" s="29">
        <v>2</v>
      </c>
      <c r="D157" s="30" t="s">
        <v>521</v>
      </c>
      <c r="E157" s="30" t="s">
        <v>522</v>
      </c>
      <c r="F157" s="30" t="s">
        <v>775</v>
      </c>
      <c r="G157" s="30" t="s">
        <v>130</v>
      </c>
      <c r="H157" s="30" t="s">
        <v>165</v>
      </c>
      <c r="I157" s="29" t="s">
        <v>33</v>
      </c>
      <c r="J157" s="29"/>
      <c r="K157" s="29" t="s">
        <v>320</v>
      </c>
      <c r="L157" s="29" t="s">
        <v>40</v>
      </c>
      <c r="M157" s="30" t="s">
        <v>40</v>
      </c>
      <c r="N157" s="30" t="s">
        <v>882</v>
      </c>
      <c r="O157" s="31">
        <v>1</v>
      </c>
      <c r="P157" s="31">
        <v>1</v>
      </c>
      <c r="Q157" s="30"/>
      <c r="S157" s="2">
        <f t="shared" si="71"/>
        <v>0</v>
      </c>
      <c r="T157" s="2">
        <f t="shared" si="72"/>
        <v>0</v>
      </c>
      <c r="U157" s="2">
        <f t="shared" si="73"/>
        <v>0</v>
      </c>
      <c r="V157" s="2">
        <f t="shared" si="74"/>
        <v>0</v>
      </c>
      <c r="W157" s="2">
        <f t="shared" si="75"/>
        <v>0</v>
      </c>
      <c r="X157" s="2">
        <f t="shared" si="76"/>
        <v>0</v>
      </c>
      <c r="Y157" s="2">
        <f t="shared" si="77"/>
        <v>0</v>
      </c>
      <c r="Z157" s="2">
        <f t="shared" si="78"/>
        <v>0</v>
      </c>
      <c r="AA157" s="2">
        <f t="shared" si="79"/>
        <v>0</v>
      </c>
      <c r="AB157" s="2">
        <f t="shared" si="80"/>
        <v>0</v>
      </c>
      <c r="AD157" s="2">
        <f t="shared" si="81"/>
        <v>1</v>
      </c>
      <c r="AE157" s="2">
        <f t="shared" si="82"/>
        <v>0</v>
      </c>
      <c r="AF157" s="2">
        <f t="shared" si="83"/>
        <v>0</v>
      </c>
      <c r="AG157" s="2">
        <f t="shared" si="84"/>
        <v>0</v>
      </c>
      <c r="AH157" s="2">
        <f t="shared" si="85"/>
        <v>0</v>
      </c>
      <c r="AI157" s="2">
        <f t="shared" si="86"/>
        <v>0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54</v>
      </c>
      <c r="E158" s="30" t="s">
        <v>84</v>
      </c>
      <c r="F158" s="30" t="s">
        <v>108</v>
      </c>
      <c r="G158" s="30" t="s">
        <v>40</v>
      </c>
      <c r="H158" s="30" t="s">
        <v>165</v>
      </c>
      <c r="I158" s="29" t="s">
        <v>173</v>
      </c>
      <c r="J158" s="29">
        <v>4</v>
      </c>
      <c r="K158" s="29" t="s">
        <v>320</v>
      </c>
      <c r="L158" s="29" t="s">
        <v>336</v>
      </c>
      <c r="M158" s="30" t="s">
        <v>337</v>
      </c>
      <c r="N158" s="30" t="s">
        <v>900</v>
      </c>
      <c r="O158" s="31">
        <v>1</v>
      </c>
      <c r="P158" s="31"/>
      <c r="Q158" s="30"/>
      <c r="S158" s="2">
        <f t="shared" si="71"/>
        <v>0</v>
      </c>
      <c r="T158" s="2">
        <f t="shared" si="72"/>
        <v>0</v>
      </c>
      <c r="U158" s="2">
        <f t="shared" si="73"/>
        <v>0</v>
      </c>
      <c r="V158" s="2">
        <f t="shared" si="74"/>
        <v>1</v>
      </c>
      <c r="W158" s="2">
        <f t="shared" si="75"/>
        <v>0</v>
      </c>
      <c r="X158" s="2">
        <f t="shared" si="76"/>
        <v>0</v>
      </c>
      <c r="Y158" s="2">
        <f t="shared" si="77"/>
        <v>0</v>
      </c>
      <c r="Z158" s="2">
        <f t="shared" si="78"/>
        <v>0</v>
      </c>
      <c r="AA158" s="2">
        <f t="shared" si="79"/>
        <v>0</v>
      </c>
      <c r="AB158" s="2">
        <f t="shared" si="80"/>
        <v>0</v>
      </c>
      <c r="AD158" s="2">
        <f t="shared" si="81"/>
        <v>0</v>
      </c>
      <c r="AE158" s="2">
        <f t="shared" si="82"/>
        <v>1</v>
      </c>
      <c r="AF158" s="2">
        <f t="shared" si="83"/>
        <v>0</v>
      </c>
      <c r="AG158" s="2">
        <f t="shared" si="84"/>
        <v>1</v>
      </c>
      <c r="AH158" s="2">
        <f t="shared" si="85"/>
        <v>0</v>
      </c>
      <c r="AI158" s="2">
        <f t="shared" si="86"/>
        <v>1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54</v>
      </c>
      <c r="E159" s="30" t="s">
        <v>84</v>
      </c>
      <c r="F159" s="30" t="s">
        <v>720</v>
      </c>
      <c r="G159" s="30" t="s">
        <v>582</v>
      </c>
      <c r="H159" s="30" t="s">
        <v>165</v>
      </c>
      <c r="I159" s="29" t="s">
        <v>33</v>
      </c>
      <c r="J159" s="29">
        <v>99</v>
      </c>
      <c r="K159" s="29" t="s">
        <v>320</v>
      </c>
      <c r="L159" s="29" t="s">
        <v>336</v>
      </c>
      <c r="M159" s="30" t="s">
        <v>337</v>
      </c>
      <c r="N159" s="30" t="s">
        <v>900</v>
      </c>
      <c r="O159" s="31">
        <v>1</v>
      </c>
      <c r="P159" s="31"/>
      <c r="Q159" s="30"/>
      <c r="S159" s="2">
        <f t="shared" si="71"/>
        <v>0</v>
      </c>
      <c r="T159" s="2">
        <f t="shared" si="72"/>
        <v>0</v>
      </c>
      <c r="U159" s="2">
        <f t="shared" si="73"/>
        <v>0</v>
      </c>
      <c r="V159" s="2">
        <f t="shared" si="74"/>
        <v>0</v>
      </c>
      <c r="W159" s="2">
        <f t="shared" si="75"/>
        <v>0</v>
      </c>
      <c r="X159" s="2">
        <f t="shared" si="76"/>
        <v>0</v>
      </c>
      <c r="Y159" s="2">
        <f t="shared" si="77"/>
        <v>0</v>
      </c>
      <c r="Z159" s="2">
        <f t="shared" si="78"/>
        <v>0</v>
      </c>
      <c r="AA159" s="2">
        <f t="shared" si="79"/>
        <v>0</v>
      </c>
      <c r="AB159" s="2">
        <f t="shared" si="80"/>
        <v>0</v>
      </c>
      <c r="AD159" s="2">
        <f t="shared" si="81"/>
        <v>0</v>
      </c>
      <c r="AE159" s="2">
        <f t="shared" si="82"/>
        <v>1</v>
      </c>
      <c r="AF159" s="2">
        <f t="shared" si="83"/>
        <v>0</v>
      </c>
      <c r="AG159" s="2">
        <f t="shared" si="84"/>
        <v>0</v>
      </c>
      <c r="AH159" s="2">
        <f t="shared" si="85"/>
        <v>0</v>
      </c>
      <c r="AI159" s="2">
        <f t="shared" si="86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677</v>
      </c>
      <c r="E160" s="30" t="s">
        <v>672</v>
      </c>
      <c r="F160" s="30" t="s">
        <v>476</v>
      </c>
      <c r="G160" s="30" t="s">
        <v>122</v>
      </c>
      <c r="H160" s="30" t="s">
        <v>165</v>
      </c>
      <c r="I160" s="29" t="s">
        <v>417</v>
      </c>
      <c r="J160" s="29">
        <v>6</v>
      </c>
      <c r="K160" s="29" t="s">
        <v>319</v>
      </c>
      <c r="L160" s="29" t="s">
        <v>339</v>
      </c>
      <c r="M160" s="30" t="s">
        <v>739</v>
      </c>
      <c r="N160" s="30" t="s">
        <v>890</v>
      </c>
      <c r="O160" s="31">
        <v>1</v>
      </c>
      <c r="P160" s="31"/>
      <c r="Q160" s="30"/>
      <c r="S160" s="2">
        <f t="shared" si="71"/>
        <v>0</v>
      </c>
      <c r="T160" s="2">
        <f t="shared" si="72"/>
        <v>0</v>
      </c>
      <c r="U160" s="2">
        <f t="shared" si="73"/>
        <v>0</v>
      </c>
      <c r="V160" s="2">
        <f t="shared" si="74"/>
        <v>0</v>
      </c>
      <c r="W160" s="2">
        <f t="shared" si="75"/>
        <v>0</v>
      </c>
      <c r="X160" s="2">
        <f t="shared" si="76"/>
        <v>1</v>
      </c>
      <c r="Y160" s="2">
        <f t="shared" si="77"/>
        <v>0</v>
      </c>
      <c r="Z160" s="2">
        <f t="shared" si="78"/>
        <v>0</v>
      </c>
      <c r="AA160" s="2">
        <f t="shared" si="79"/>
        <v>0</v>
      </c>
      <c r="AB160" s="2">
        <f t="shared" si="80"/>
        <v>0</v>
      </c>
      <c r="AD160" s="2">
        <f t="shared" si="81"/>
        <v>0</v>
      </c>
      <c r="AE160" s="2">
        <f t="shared" si="82"/>
        <v>1</v>
      </c>
      <c r="AF160" s="2">
        <f t="shared" si="83"/>
        <v>0</v>
      </c>
      <c r="AG160" s="2">
        <f t="shared" si="84"/>
        <v>1</v>
      </c>
      <c r="AH160" s="2">
        <f t="shared" si="85"/>
        <v>0</v>
      </c>
      <c r="AI160" s="2">
        <f t="shared" si="86"/>
        <v>1</v>
      </c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435</v>
      </c>
      <c r="E161" s="30" t="s">
        <v>30</v>
      </c>
      <c r="F161" s="30" t="s">
        <v>941</v>
      </c>
      <c r="G161" s="30" t="s">
        <v>577</v>
      </c>
      <c r="H161" s="30" t="s">
        <v>165</v>
      </c>
      <c r="I161" s="29" t="s">
        <v>591</v>
      </c>
      <c r="J161" s="29">
        <v>99</v>
      </c>
      <c r="K161" s="29" t="s">
        <v>376</v>
      </c>
      <c r="L161" s="29">
        <v>35</v>
      </c>
      <c r="M161" s="30" t="s">
        <v>597</v>
      </c>
      <c r="N161" s="30" t="s">
        <v>923</v>
      </c>
      <c r="O161" s="31">
        <v>1</v>
      </c>
      <c r="P161" s="31"/>
      <c r="Q161" s="30"/>
      <c r="R161" s="2"/>
      <c r="S161" s="2">
        <f t="shared" si="71"/>
        <v>0</v>
      </c>
      <c r="T161" s="2">
        <f t="shared" si="72"/>
        <v>0</v>
      </c>
      <c r="U161" s="2">
        <f t="shared" si="73"/>
        <v>0</v>
      </c>
      <c r="V161" s="2">
        <f t="shared" si="74"/>
        <v>0</v>
      </c>
      <c r="W161" s="2">
        <f t="shared" si="75"/>
        <v>0</v>
      </c>
      <c r="X161" s="2">
        <f t="shared" si="76"/>
        <v>0</v>
      </c>
      <c r="Y161" s="2">
        <f t="shared" si="77"/>
        <v>0</v>
      </c>
      <c r="Z161" s="2">
        <f t="shared" si="78"/>
        <v>0</v>
      </c>
      <c r="AA161" s="2">
        <f t="shared" si="79"/>
        <v>0</v>
      </c>
      <c r="AB161" s="2">
        <f t="shared" si="80"/>
        <v>0</v>
      </c>
      <c r="AC161" s="2"/>
      <c r="AD161" s="2">
        <f t="shared" si="81"/>
        <v>0</v>
      </c>
      <c r="AE161" s="2">
        <f t="shared" si="82"/>
        <v>1</v>
      </c>
      <c r="AF161" s="2">
        <f t="shared" si="83"/>
        <v>0</v>
      </c>
      <c r="AG161" s="2">
        <f t="shared" si="84"/>
        <v>1</v>
      </c>
      <c r="AH161" s="2">
        <f t="shared" si="85"/>
        <v>0</v>
      </c>
      <c r="AI161" s="2">
        <f t="shared" si="86"/>
        <v>1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560</v>
      </c>
      <c r="E162" s="30" t="s">
        <v>561</v>
      </c>
      <c r="F162" s="30" t="s">
        <v>562</v>
      </c>
      <c r="G162" s="30" t="s">
        <v>563</v>
      </c>
      <c r="H162" s="30" t="s">
        <v>165</v>
      </c>
      <c r="I162" s="29" t="s">
        <v>564</v>
      </c>
      <c r="J162" s="29">
        <v>99</v>
      </c>
      <c r="K162" s="29" t="s">
        <v>320</v>
      </c>
      <c r="L162" s="29" t="s">
        <v>40</v>
      </c>
      <c r="M162" s="30" t="s">
        <v>40</v>
      </c>
      <c r="N162" s="30" t="s">
        <v>882</v>
      </c>
      <c r="O162" s="31">
        <v>1</v>
      </c>
      <c r="P162" s="31">
        <v>1</v>
      </c>
      <c r="Q162" s="30"/>
      <c r="R162" s="2"/>
      <c r="S162" s="2">
        <f t="shared" si="71"/>
        <v>0</v>
      </c>
      <c r="T162" s="2">
        <f t="shared" si="72"/>
        <v>0</v>
      </c>
      <c r="U162" s="2">
        <f t="shared" si="73"/>
        <v>0</v>
      </c>
      <c r="V162" s="2">
        <f t="shared" si="74"/>
        <v>0</v>
      </c>
      <c r="W162" s="2">
        <f t="shared" si="75"/>
        <v>0</v>
      </c>
      <c r="X162" s="2">
        <f t="shared" si="76"/>
        <v>0</v>
      </c>
      <c r="Y162" s="2">
        <f t="shared" si="77"/>
        <v>0</v>
      </c>
      <c r="Z162" s="2">
        <f t="shared" si="78"/>
        <v>0</v>
      </c>
      <c r="AA162" s="2">
        <f t="shared" si="79"/>
        <v>0</v>
      </c>
      <c r="AB162" s="2">
        <f t="shared" si="80"/>
        <v>0</v>
      </c>
      <c r="AC162" s="2"/>
      <c r="AD162" s="2">
        <f t="shared" si="81"/>
        <v>1</v>
      </c>
      <c r="AE162" s="2">
        <f t="shared" si="82"/>
        <v>0</v>
      </c>
      <c r="AF162" s="2">
        <f t="shared" si="83"/>
        <v>1</v>
      </c>
      <c r="AG162" s="2">
        <f t="shared" si="84"/>
        <v>0</v>
      </c>
      <c r="AH162" s="2">
        <f t="shared" si="85"/>
        <v>1</v>
      </c>
      <c r="AI162" s="2">
        <f t="shared" si="86"/>
        <v>0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956</v>
      </c>
      <c r="E163" s="30" t="s">
        <v>957</v>
      </c>
      <c r="F163" s="30" t="s">
        <v>958</v>
      </c>
      <c r="G163" s="30" t="s">
        <v>959</v>
      </c>
      <c r="H163" s="30" t="s">
        <v>165</v>
      </c>
      <c r="I163" s="29" t="s">
        <v>960</v>
      </c>
      <c r="J163" s="29"/>
      <c r="K163" s="29" t="s">
        <v>376</v>
      </c>
      <c r="L163" s="29"/>
      <c r="M163" s="30"/>
      <c r="N163" s="30" t="s">
        <v>882</v>
      </c>
      <c r="O163" s="31">
        <v>1</v>
      </c>
      <c r="P163" s="31">
        <v>1</v>
      </c>
      <c r="Q163" s="30"/>
      <c r="R163" s="20"/>
      <c r="S163" s="2">
        <f t="shared" si="71"/>
        <v>0</v>
      </c>
      <c r="T163" s="2">
        <f t="shared" si="72"/>
        <v>0</v>
      </c>
      <c r="U163" s="2">
        <f t="shared" si="73"/>
        <v>0</v>
      </c>
      <c r="V163" s="2">
        <f t="shared" si="74"/>
        <v>0</v>
      </c>
      <c r="W163" s="2">
        <f t="shared" si="75"/>
        <v>0</v>
      </c>
      <c r="X163" s="2">
        <f t="shared" si="76"/>
        <v>0</v>
      </c>
      <c r="Y163" s="2">
        <f t="shared" si="77"/>
        <v>0</v>
      </c>
      <c r="Z163" s="2">
        <f t="shared" si="78"/>
        <v>0</v>
      </c>
      <c r="AA163" s="2">
        <f t="shared" si="79"/>
        <v>0</v>
      </c>
      <c r="AB163" s="2">
        <f t="shared" si="80"/>
        <v>0</v>
      </c>
      <c r="AC163" s="2"/>
      <c r="AD163" s="2">
        <f t="shared" si="81"/>
        <v>1</v>
      </c>
      <c r="AE163" s="2">
        <f t="shared" si="82"/>
        <v>0</v>
      </c>
      <c r="AF163" s="2">
        <f t="shared" si="83"/>
        <v>1</v>
      </c>
      <c r="AG163" s="2">
        <f t="shared" si="84"/>
        <v>0</v>
      </c>
      <c r="AH163" s="2">
        <f t="shared" si="85"/>
        <v>1</v>
      </c>
      <c r="AI163" s="2">
        <f t="shared" si="86"/>
        <v>0</v>
      </c>
      <c r="AJ163" s="20"/>
      <c r="AK163" s="20"/>
      <c r="AL163" s="21"/>
      <c r="AM163" s="21"/>
      <c r="AN163" s="21"/>
      <c r="AO163" s="21"/>
      <c r="AP163" s="21"/>
      <c r="AQ163" s="20"/>
      <c r="AR163" s="20"/>
      <c r="AS163" s="20"/>
      <c r="AT163" s="20"/>
      <c r="AU163" s="21"/>
      <c r="AV163" s="21"/>
      <c r="AW163" s="7"/>
      <c r="AX163" s="7"/>
      <c r="AY163" s="21"/>
      <c r="AZ163" s="20"/>
      <c r="BA163" s="20"/>
      <c r="BB163" s="20"/>
      <c r="BC163" s="21"/>
      <c r="BD163" s="21"/>
      <c r="BE163" s="21"/>
      <c r="BF163" s="21"/>
      <c r="BG163" s="21"/>
      <c r="BH163" s="20"/>
      <c r="BI163" s="20"/>
      <c r="BJ163" s="20"/>
      <c r="BK163" s="20"/>
      <c r="BL163" s="21"/>
      <c r="BM163" s="21"/>
      <c r="BN163" s="7"/>
      <c r="BO163" s="7"/>
      <c r="BP163" s="21"/>
      <c r="BQ163" s="20"/>
      <c r="BR163" s="20"/>
      <c r="BS163" s="20"/>
      <c r="BT163" s="21"/>
      <c r="BU163" s="21"/>
      <c r="BV163" s="21"/>
      <c r="BW163" s="21"/>
      <c r="BX163" s="21"/>
      <c r="BY163" s="20"/>
      <c r="BZ163" s="20"/>
      <c r="CA163" s="20"/>
      <c r="CB163" s="20"/>
      <c r="CC163" s="21"/>
      <c r="CD163" s="21"/>
      <c r="CE163" s="7"/>
      <c r="CF163" s="7"/>
      <c r="CG163" s="21"/>
      <c r="CH163" s="20"/>
      <c r="CI163" s="20"/>
      <c r="CJ163" s="20"/>
      <c r="CK163" s="21"/>
      <c r="CL163" s="21"/>
      <c r="CM163" s="21"/>
      <c r="CN163" s="21"/>
      <c r="CO163" s="21"/>
      <c r="CP163" s="20"/>
      <c r="CQ163" s="20"/>
      <c r="CR163" s="20"/>
      <c r="CS163" s="20"/>
      <c r="CT163" s="21"/>
      <c r="CU163" s="21"/>
      <c r="CV163" s="7"/>
      <c r="CW163" s="7"/>
      <c r="CX163" s="21"/>
      <c r="CY163" s="20"/>
      <c r="CZ163" s="20"/>
      <c r="DA163" s="20"/>
      <c r="DB163" s="21"/>
      <c r="DC163" s="21"/>
      <c r="DD163" s="21"/>
      <c r="DE163" s="21"/>
      <c r="DF163" s="21"/>
      <c r="DG163" s="20"/>
      <c r="DH163" s="20"/>
      <c r="DI163" s="20"/>
      <c r="DJ163" s="20"/>
      <c r="DK163" s="21"/>
      <c r="DL163" s="21"/>
      <c r="DM163" s="7"/>
      <c r="DN163" s="7"/>
      <c r="DO163" s="21"/>
      <c r="DP163" s="20"/>
      <c r="DQ163" s="20"/>
      <c r="DR163" s="20"/>
      <c r="DS163" s="21"/>
      <c r="DT163" s="21"/>
      <c r="DU163" s="21"/>
      <c r="DV163" s="21"/>
      <c r="DW163" s="21"/>
      <c r="DX163" s="20"/>
      <c r="DY163" s="20"/>
      <c r="DZ163" s="20"/>
      <c r="EA163" s="20"/>
      <c r="EB163" s="21"/>
      <c r="EC163" s="21"/>
      <c r="ED163" s="7"/>
      <c r="EE163" s="7"/>
      <c r="EF163" s="21"/>
      <c r="EG163" s="20"/>
      <c r="EH163" s="20"/>
      <c r="EI163" s="20"/>
      <c r="EJ163" s="21"/>
      <c r="EK163" s="21"/>
      <c r="EL163" s="21"/>
      <c r="EM163" s="21"/>
      <c r="EN163" s="21"/>
      <c r="EO163" s="20"/>
      <c r="EP163" s="20"/>
      <c r="EQ163" s="20"/>
      <c r="ER163" s="20"/>
      <c r="ES163" s="21"/>
      <c r="ET163" s="21"/>
      <c r="EU163" s="7"/>
      <c r="EV163" s="7"/>
      <c r="EW163" s="21"/>
      <c r="EX163" s="20"/>
      <c r="EY163" s="20"/>
      <c r="EZ163" s="20"/>
      <c r="FA163" s="21"/>
      <c r="FB163" s="21"/>
      <c r="FC163" s="21"/>
      <c r="FD163" s="21"/>
      <c r="FE163" s="21"/>
      <c r="FF163" s="20"/>
      <c r="FG163" s="20"/>
      <c r="FH163" s="20"/>
      <c r="FI163" s="20"/>
      <c r="FJ163" s="21"/>
      <c r="FK163" s="21"/>
      <c r="FL163" s="7"/>
      <c r="FM163" s="7"/>
      <c r="FN163" s="21"/>
      <c r="FO163" s="20"/>
      <c r="FP163" s="20"/>
      <c r="FQ163" s="20"/>
      <c r="FR163" s="21"/>
      <c r="FS163" s="21"/>
      <c r="FT163" s="21"/>
      <c r="FU163" s="21"/>
      <c r="FV163" s="21"/>
      <c r="FW163" s="20"/>
      <c r="FX163" s="20"/>
      <c r="FY163" s="20"/>
      <c r="FZ163" s="20"/>
      <c r="GA163" s="21"/>
      <c r="GB163" s="21"/>
      <c r="GC163" s="7"/>
      <c r="GD163" s="7"/>
      <c r="GE163" s="21"/>
      <c r="GF163" s="20"/>
      <c r="GG163" s="20"/>
      <c r="GH163" s="20"/>
      <c r="GI163" s="21"/>
      <c r="GJ163" s="21"/>
      <c r="GK163" s="21"/>
      <c r="GL163" s="21"/>
      <c r="GM163" s="21"/>
      <c r="GN163" s="20"/>
      <c r="GO163" s="20"/>
      <c r="GP163" s="20"/>
      <c r="GQ163" s="20"/>
      <c r="GR163" s="21"/>
      <c r="GS163" s="21"/>
      <c r="GT163" s="7"/>
      <c r="GU163" s="7"/>
      <c r="GV163" s="21"/>
      <c r="GW163" s="20"/>
      <c r="GX163" s="20"/>
      <c r="GY163" s="20"/>
      <c r="GZ163" s="21"/>
      <c r="HA163" s="21"/>
      <c r="HB163" s="21"/>
      <c r="HC163" s="21"/>
      <c r="HD163" s="21"/>
      <c r="HE163" s="20"/>
      <c r="HF163" s="20"/>
      <c r="HG163" s="20"/>
      <c r="HH163" s="20"/>
      <c r="HI163" s="21"/>
      <c r="HJ163" s="21"/>
      <c r="HK163" s="7"/>
      <c r="HL163" s="7"/>
      <c r="HM163" s="21"/>
      <c r="HN163" s="20"/>
      <c r="HO163" s="20"/>
      <c r="HP163" s="20"/>
      <c r="HQ163" s="21"/>
      <c r="HR163" s="21"/>
      <c r="HS163" s="21"/>
      <c r="HT163" s="21"/>
      <c r="HU163" s="21"/>
      <c r="HV163" s="20"/>
      <c r="HW163" s="20"/>
      <c r="HX163" s="20"/>
      <c r="HY163" s="20"/>
      <c r="HZ163" s="21"/>
      <c r="IA163" s="21"/>
      <c r="IB163" s="7"/>
      <c r="IC163" s="7"/>
      <c r="ID163" s="21"/>
      <c r="IE163" s="20"/>
      <c r="IF163" s="20"/>
      <c r="IG163" s="20"/>
      <c r="IH163" s="21"/>
      <c r="II163" s="21"/>
      <c r="IJ163" s="21"/>
      <c r="IK163" s="21"/>
      <c r="IL163" s="21"/>
      <c r="IM163" s="20"/>
      <c r="IN163" s="20"/>
      <c r="IO163" s="20"/>
      <c r="IP163" s="20"/>
      <c r="IQ163" s="21"/>
      <c r="IR163" s="21"/>
      <c r="IS163" s="7"/>
      <c r="IT163" s="7"/>
      <c r="IU163" s="21"/>
      <c r="IV163" s="20"/>
      <c r="IW163" s="20"/>
      <c r="IX163" s="20"/>
      <c r="IY163" s="21"/>
      <c r="IZ163" s="21"/>
      <c r="JA163" s="21"/>
      <c r="JB163" s="21"/>
      <c r="JC163" s="21"/>
      <c r="JD163" s="20"/>
      <c r="JE163" s="20"/>
      <c r="JF163" s="20"/>
      <c r="JG163" s="20"/>
      <c r="JH163" s="21"/>
      <c r="JI163" s="21"/>
      <c r="JJ163" s="7"/>
      <c r="JK163" s="7"/>
      <c r="JL163" s="21"/>
      <c r="JM163" s="20"/>
      <c r="JN163" s="20"/>
      <c r="JO163" s="20"/>
      <c r="JP163" s="21"/>
      <c r="JQ163" s="21"/>
      <c r="JR163" s="21"/>
      <c r="JS163" s="21"/>
      <c r="JT163" s="21"/>
      <c r="JU163" s="20"/>
      <c r="JV163" s="20"/>
      <c r="JW163" s="20"/>
      <c r="JX163" s="20"/>
      <c r="JY163" s="21"/>
      <c r="JZ163" s="21"/>
      <c r="KA163" s="7"/>
      <c r="KB163" s="7"/>
      <c r="KC163" s="21"/>
      <c r="KD163" s="20"/>
      <c r="KE163" s="20"/>
      <c r="KF163" s="20"/>
      <c r="KG163" s="21"/>
      <c r="KH163" s="21"/>
      <c r="KI163" s="21"/>
      <c r="KJ163" s="21"/>
      <c r="KK163" s="21"/>
      <c r="KL163" s="20"/>
      <c r="KM163" s="20"/>
      <c r="KN163" s="20"/>
      <c r="KO163" s="20"/>
      <c r="KP163" s="21"/>
      <c r="KQ163" s="21"/>
      <c r="KR163" s="7"/>
      <c r="KS163" s="7"/>
      <c r="KT163" s="21"/>
      <c r="KU163" s="20"/>
      <c r="KV163" s="20"/>
      <c r="KW163" s="20"/>
      <c r="KX163" s="21"/>
      <c r="KY163" s="21"/>
      <c r="KZ163" s="21"/>
      <c r="LA163" s="21"/>
      <c r="LB163" s="21"/>
      <c r="LC163" s="20"/>
      <c r="LD163" s="20"/>
      <c r="LE163" s="20"/>
      <c r="LF163" s="20"/>
      <c r="LG163" s="21"/>
      <c r="LH163" s="21"/>
      <c r="LI163" s="7"/>
      <c r="LJ163" s="7"/>
      <c r="LK163" s="21"/>
      <c r="LL163" s="20"/>
      <c r="LM163" s="20"/>
      <c r="LN163" s="20"/>
      <c r="LO163" s="21"/>
      <c r="LP163" s="21"/>
      <c r="LQ163" s="21"/>
      <c r="LR163" s="21"/>
      <c r="LS163" s="21"/>
      <c r="LT163" s="20"/>
      <c r="LU163" s="20"/>
      <c r="LV163" s="20"/>
      <c r="LW163" s="20"/>
      <c r="LX163" s="21"/>
      <c r="LY163" s="21"/>
      <c r="LZ163" s="7"/>
      <c r="MA163" s="7"/>
      <c r="MB163" s="21"/>
      <c r="MC163" s="20"/>
      <c r="MD163" s="20"/>
      <c r="ME163" s="20"/>
      <c r="MF163" s="21"/>
      <c r="MG163" s="21"/>
      <c r="MH163" s="21"/>
      <c r="MI163" s="21"/>
      <c r="MJ163" s="21"/>
      <c r="MK163" s="20"/>
      <c r="ML163" s="20"/>
      <c r="MM163" s="20"/>
      <c r="MN163" s="20"/>
      <c r="MO163" s="21"/>
      <c r="MP163" s="21"/>
      <c r="MQ163" s="7"/>
      <c r="MR163" s="7"/>
      <c r="MS163" s="21"/>
      <c r="MT163" s="20"/>
      <c r="MU163" s="20"/>
      <c r="MV163" s="20"/>
      <c r="MW163" s="21"/>
      <c r="MX163" s="21"/>
      <c r="MY163" s="21"/>
      <c r="MZ163" s="21"/>
      <c r="NA163" s="21"/>
      <c r="NB163" s="20"/>
      <c r="NC163" s="20"/>
      <c r="ND163" s="20"/>
      <c r="NE163" s="20"/>
      <c r="NF163" s="21"/>
      <c r="NG163" s="21"/>
      <c r="NH163" s="7"/>
      <c r="NI163" s="7"/>
      <c r="NJ163" s="21"/>
      <c r="NK163" s="20"/>
      <c r="NL163" s="20"/>
      <c r="NM163" s="20"/>
      <c r="NN163" s="21"/>
      <c r="NO163" s="21"/>
      <c r="NP163" s="21"/>
      <c r="NQ163" s="21"/>
      <c r="NR163" s="21"/>
      <c r="NS163" s="20"/>
      <c r="NT163" s="20"/>
      <c r="NU163" s="20"/>
      <c r="NV163" s="20"/>
      <c r="NW163" s="21"/>
      <c r="NX163" s="21"/>
      <c r="NY163" s="7"/>
      <c r="NZ163" s="7"/>
      <c r="OA163" s="21"/>
      <c r="OB163" s="20"/>
      <c r="OC163" s="20"/>
      <c r="OD163" s="20"/>
      <c r="OE163" s="21"/>
      <c r="OF163" s="21"/>
      <c r="OG163" s="21"/>
      <c r="OH163" s="21"/>
      <c r="OI163" s="21"/>
      <c r="OJ163" s="20"/>
      <c r="OK163" s="20"/>
      <c r="OL163" s="20"/>
      <c r="OM163" s="20"/>
      <c r="ON163" s="21"/>
      <c r="OO163" s="21"/>
      <c r="OP163" s="7"/>
      <c r="OQ163" s="7"/>
      <c r="OR163" s="21"/>
      <c r="OS163" s="20"/>
      <c r="OT163" s="20"/>
      <c r="OU163" s="20"/>
      <c r="OV163" s="21"/>
      <c r="OW163" s="21"/>
      <c r="OX163" s="21"/>
      <c r="OY163" s="21"/>
      <c r="OZ163" s="21"/>
      <c r="PA163" s="20"/>
      <c r="PB163" s="20"/>
      <c r="PC163" s="20"/>
      <c r="PD163" s="20"/>
      <c r="PE163" s="21"/>
      <c r="PF163" s="21"/>
      <c r="PG163" s="7"/>
      <c r="PH163" s="7"/>
      <c r="PI163" s="21"/>
      <c r="PJ163" s="20"/>
      <c r="PK163" s="20"/>
      <c r="PL163" s="20"/>
      <c r="PM163" s="21"/>
      <c r="PN163" s="21"/>
      <c r="PO163" s="21"/>
      <c r="PP163" s="21"/>
      <c r="PQ163" s="21"/>
      <c r="PR163" s="20"/>
      <c r="PS163" s="20"/>
      <c r="PT163" s="20"/>
      <c r="PU163" s="20"/>
      <c r="PV163" s="21"/>
      <c r="PW163" s="21"/>
      <c r="PX163" s="7"/>
      <c r="PY163" s="7"/>
      <c r="PZ163" s="21"/>
      <c r="QA163" s="20"/>
      <c r="QB163" s="20"/>
      <c r="QC163" s="20"/>
      <c r="QD163" s="21"/>
      <c r="QE163" s="21"/>
      <c r="QF163" s="21"/>
      <c r="QG163" s="21"/>
      <c r="QH163" s="21"/>
      <c r="QI163" s="20"/>
      <c r="QJ163" s="20"/>
      <c r="QK163" s="20"/>
      <c r="QL163" s="20"/>
      <c r="QM163" s="21"/>
      <c r="QN163" s="21"/>
      <c r="QO163" s="7"/>
      <c r="QP163" s="7"/>
      <c r="QQ163" s="21"/>
      <c r="QR163" s="20"/>
      <c r="QS163" s="20"/>
      <c r="QT163" s="20"/>
      <c r="QU163" s="21"/>
      <c r="QV163" s="21"/>
      <c r="QW163" s="21"/>
      <c r="QX163" s="21"/>
      <c r="QY163" s="21"/>
      <c r="QZ163" s="20"/>
      <c r="RA163" s="20"/>
      <c r="RB163" s="20"/>
      <c r="RC163" s="20"/>
      <c r="RD163" s="21"/>
      <c r="RE163" s="21"/>
      <c r="RF163" s="7"/>
      <c r="RG163" s="7"/>
      <c r="RH163" s="21"/>
      <c r="RI163" s="20"/>
      <c r="RJ163" s="20"/>
      <c r="RK163" s="20"/>
      <c r="RL163" s="21"/>
      <c r="RM163" s="21"/>
      <c r="RN163" s="21"/>
      <c r="RO163" s="21"/>
      <c r="RP163" s="21"/>
      <c r="RQ163" s="20"/>
      <c r="RR163" s="20"/>
      <c r="RS163" s="20"/>
      <c r="RT163" s="20"/>
      <c r="RU163" s="21"/>
      <c r="RV163" s="21"/>
      <c r="RW163" s="7"/>
      <c r="RX163" s="7"/>
      <c r="RY163" s="21"/>
      <c r="RZ163" s="20"/>
      <c r="SA163" s="20"/>
      <c r="SB163" s="20"/>
      <c r="SC163" s="21"/>
      <c r="SD163" s="21"/>
      <c r="SE163" s="21"/>
      <c r="SF163" s="21"/>
      <c r="SG163" s="21"/>
      <c r="SH163" s="20"/>
      <c r="SI163" s="20"/>
      <c r="SJ163" s="20"/>
      <c r="SK163" s="20"/>
      <c r="SL163" s="21"/>
      <c r="SM163" s="21"/>
      <c r="SN163" s="7"/>
      <c r="SO163" s="7"/>
      <c r="SP163" s="21"/>
      <c r="SQ163" s="20"/>
      <c r="SR163" s="20"/>
      <c r="SS163" s="20"/>
      <c r="ST163" s="21"/>
      <c r="SU163" s="21"/>
      <c r="SV163" s="21"/>
      <c r="SW163" s="21"/>
      <c r="SX163" s="21"/>
      <c r="SY163" s="20"/>
      <c r="SZ163" s="20"/>
      <c r="TA163" s="20"/>
      <c r="TB163" s="20"/>
      <c r="TC163" s="21"/>
      <c r="TD163" s="21"/>
      <c r="TE163" s="7"/>
      <c r="TF163" s="7"/>
      <c r="TG163" s="21"/>
      <c r="TH163" s="20"/>
      <c r="TI163" s="20"/>
      <c r="TJ163" s="20"/>
      <c r="TK163" s="21"/>
      <c r="TL163" s="21"/>
      <c r="TM163" s="21"/>
      <c r="TN163" s="21"/>
      <c r="TO163" s="21"/>
      <c r="TP163" s="20"/>
      <c r="TQ163" s="20"/>
      <c r="TR163" s="20"/>
      <c r="TS163" s="20"/>
      <c r="TT163" s="21"/>
      <c r="TU163" s="21"/>
      <c r="TV163" s="7"/>
      <c r="TW163" s="7"/>
      <c r="TX163" s="21"/>
      <c r="TY163" s="20"/>
      <c r="TZ163" s="20"/>
      <c r="UA163" s="20"/>
      <c r="UB163" s="21"/>
      <c r="UC163" s="21"/>
      <c r="UD163" s="21"/>
      <c r="UE163" s="21"/>
      <c r="UF163" s="21"/>
      <c r="UG163" s="20"/>
      <c r="UH163" s="20"/>
      <c r="UI163" s="20"/>
      <c r="UJ163" s="20"/>
      <c r="UK163" s="21"/>
      <c r="UL163" s="21"/>
      <c r="UM163" s="7"/>
      <c r="UN163" s="7"/>
      <c r="UO163" s="21"/>
      <c r="UP163" s="20"/>
      <c r="UQ163" s="20"/>
      <c r="UR163" s="20"/>
      <c r="US163" s="21"/>
      <c r="UT163" s="21"/>
      <c r="UU163" s="21"/>
      <c r="UV163" s="21"/>
      <c r="UW163" s="21"/>
      <c r="UX163" s="20"/>
      <c r="UY163" s="20"/>
      <c r="UZ163" s="20"/>
      <c r="VA163" s="20"/>
      <c r="VB163" s="21"/>
      <c r="VC163" s="21"/>
      <c r="VD163" s="7"/>
      <c r="VE163" s="7"/>
      <c r="VF163" s="21"/>
      <c r="VG163" s="20"/>
      <c r="VH163" s="20"/>
      <c r="VI163" s="20"/>
      <c r="VJ163" s="21"/>
      <c r="VK163" s="21"/>
      <c r="VL163" s="21"/>
      <c r="VM163" s="21"/>
      <c r="VN163" s="21"/>
      <c r="VO163" s="20"/>
      <c r="VP163" s="20"/>
      <c r="VQ163" s="20"/>
      <c r="VR163" s="20"/>
      <c r="VS163" s="21"/>
      <c r="VT163" s="21"/>
      <c r="VU163" s="7"/>
      <c r="VV163" s="7"/>
      <c r="VW163" s="21"/>
      <c r="VX163" s="20"/>
      <c r="VY163" s="20"/>
      <c r="VZ163" s="20"/>
      <c r="WA163" s="21"/>
      <c r="WB163" s="21"/>
      <c r="WC163" s="21"/>
      <c r="WD163" s="21"/>
      <c r="WE163" s="21"/>
      <c r="WF163" s="20"/>
      <c r="WG163" s="20"/>
      <c r="WH163" s="20"/>
      <c r="WI163" s="20"/>
      <c r="WJ163" s="21"/>
      <c r="WK163" s="21"/>
      <c r="WL163" s="7"/>
      <c r="WM163" s="7"/>
      <c r="WN163" s="21"/>
      <c r="WO163" s="20"/>
      <c r="WP163" s="20"/>
      <c r="WQ163" s="20"/>
      <c r="WR163" s="21"/>
      <c r="WS163" s="21"/>
      <c r="WT163" s="21"/>
      <c r="WU163" s="21"/>
      <c r="WV163" s="21"/>
      <c r="WW163" s="20"/>
      <c r="WX163" s="20"/>
      <c r="WY163" s="20"/>
      <c r="WZ163" s="20"/>
      <c r="XA163" s="21"/>
      <c r="XB163" s="21"/>
      <c r="XC163" s="7"/>
      <c r="XD163" s="7"/>
      <c r="XE163" s="21"/>
      <c r="XF163" s="20"/>
      <c r="XG163" s="20"/>
      <c r="XH163" s="20"/>
      <c r="XI163" s="21"/>
      <c r="XJ163" s="21"/>
      <c r="XK163" s="21"/>
      <c r="XL163" s="21"/>
      <c r="XM163" s="21"/>
      <c r="XN163" s="20"/>
      <c r="XO163" s="20"/>
      <c r="XP163" s="20"/>
      <c r="XQ163" s="20"/>
      <c r="XR163" s="21"/>
      <c r="XS163" s="21"/>
      <c r="XT163" s="7"/>
      <c r="XU163" s="7"/>
      <c r="XV163" s="21"/>
      <c r="XW163" s="20"/>
      <c r="XX163" s="20"/>
      <c r="XY163" s="20"/>
      <c r="XZ163" s="21"/>
      <c r="YA163" s="21"/>
      <c r="YB163" s="21"/>
      <c r="YC163" s="21"/>
      <c r="YD163" s="21"/>
      <c r="YE163" s="20"/>
      <c r="YF163" s="20"/>
      <c r="YG163" s="20"/>
      <c r="YH163" s="20"/>
      <c r="YI163" s="21"/>
      <c r="YJ163" s="21"/>
      <c r="YK163" s="7"/>
      <c r="YL163" s="7"/>
      <c r="YM163" s="21"/>
      <c r="YN163" s="20"/>
      <c r="YO163" s="20"/>
      <c r="YP163" s="20"/>
      <c r="YQ163" s="21"/>
      <c r="YR163" s="21"/>
      <c r="YS163" s="21"/>
      <c r="YT163" s="21"/>
      <c r="YU163" s="21"/>
      <c r="YV163" s="20"/>
      <c r="YW163" s="20"/>
      <c r="YX163" s="20"/>
      <c r="YY163" s="20"/>
      <c r="YZ163" s="21"/>
      <c r="ZA163" s="21"/>
      <c r="ZB163" s="7"/>
      <c r="ZC163" s="7"/>
      <c r="ZD163" s="21"/>
      <c r="ZE163" s="20"/>
      <c r="ZF163" s="20"/>
      <c r="ZG163" s="20"/>
      <c r="ZH163" s="21"/>
      <c r="ZI163" s="21"/>
      <c r="ZJ163" s="21"/>
      <c r="ZK163" s="21"/>
      <c r="ZL163" s="21"/>
      <c r="ZM163" s="20"/>
      <c r="ZN163" s="20"/>
      <c r="ZO163" s="20"/>
      <c r="ZP163" s="20"/>
      <c r="ZQ163" s="21"/>
      <c r="ZR163" s="21"/>
      <c r="ZS163" s="7"/>
      <c r="ZT163" s="7"/>
      <c r="ZU163" s="21"/>
      <c r="ZV163" s="20"/>
      <c r="ZW163" s="20"/>
      <c r="ZX163" s="20"/>
      <c r="ZY163" s="21"/>
      <c r="ZZ163" s="21"/>
      <c r="AAA163" s="21"/>
      <c r="AAB163" s="21"/>
      <c r="AAC163" s="21"/>
      <c r="AAD163" s="20"/>
      <c r="AAE163" s="20"/>
      <c r="AAF163" s="20"/>
      <c r="AAG163" s="20"/>
      <c r="AAH163" s="21"/>
      <c r="AAI163" s="21"/>
      <c r="AAJ163" s="7"/>
      <c r="AAK163" s="7"/>
      <c r="AAL163" s="21"/>
      <c r="AAM163" s="20"/>
      <c r="AAN163" s="20"/>
      <c r="AAO163" s="20"/>
      <c r="AAP163" s="21"/>
      <c r="AAQ163" s="21"/>
      <c r="AAR163" s="21"/>
      <c r="AAS163" s="21"/>
      <c r="AAT163" s="21"/>
      <c r="AAU163" s="20"/>
      <c r="AAV163" s="20"/>
      <c r="AAW163" s="20"/>
      <c r="AAX163" s="20"/>
      <c r="AAY163" s="21"/>
      <c r="AAZ163" s="21"/>
      <c r="ABA163" s="7"/>
      <c r="ABB163" s="7"/>
      <c r="ABC163" s="21"/>
      <c r="ABD163" s="20"/>
      <c r="ABE163" s="20"/>
      <c r="ABF163" s="20"/>
      <c r="ABG163" s="21"/>
      <c r="ABH163" s="21"/>
      <c r="ABI163" s="21"/>
      <c r="ABJ163" s="21"/>
      <c r="ABK163" s="21"/>
      <c r="ABL163" s="20"/>
      <c r="ABM163" s="20"/>
      <c r="ABN163" s="20"/>
      <c r="ABO163" s="20"/>
      <c r="ABP163" s="21"/>
      <c r="ABQ163" s="21"/>
      <c r="ABR163" s="7"/>
      <c r="ABS163" s="7"/>
      <c r="ABT163" s="21"/>
      <c r="ABU163" s="20"/>
      <c r="ABV163" s="20"/>
      <c r="ABW163" s="20"/>
      <c r="ABX163" s="21"/>
      <c r="ABY163" s="21"/>
      <c r="ABZ163" s="21"/>
      <c r="ACA163" s="21"/>
      <c r="ACB163" s="21"/>
      <c r="ACC163" s="20"/>
      <c r="ACD163" s="20"/>
      <c r="ACE163" s="20"/>
      <c r="ACF163" s="20"/>
      <c r="ACG163" s="21"/>
      <c r="ACH163" s="21"/>
      <c r="ACI163" s="7"/>
      <c r="ACJ163" s="7"/>
      <c r="ACK163" s="21"/>
      <c r="ACL163" s="20"/>
      <c r="ACM163" s="20"/>
      <c r="ACN163" s="20"/>
      <c r="ACO163" s="21"/>
      <c r="ACP163" s="21"/>
      <c r="ACQ163" s="21"/>
      <c r="ACR163" s="21"/>
      <c r="ACS163" s="21"/>
      <c r="ACT163" s="20"/>
      <c r="ACU163" s="20"/>
      <c r="ACV163" s="20"/>
      <c r="ACW163" s="20"/>
      <c r="ACX163" s="21"/>
      <c r="ACY163" s="21"/>
      <c r="ACZ163" s="7"/>
      <c r="ADA163" s="7"/>
      <c r="ADB163" s="21"/>
      <c r="ADC163" s="20"/>
      <c r="ADD163" s="20"/>
      <c r="ADE163" s="20"/>
      <c r="ADF163" s="21"/>
      <c r="ADG163" s="21"/>
      <c r="ADH163" s="21"/>
      <c r="ADI163" s="21"/>
      <c r="ADJ163" s="21"/>
      <c r="ADK163" s="20"/>
      <c r="ADL163" s="20"/>
      <c r="ADM163" s="20"/>
      <c r="ADN163" s="20"/>
      <c r="ADO163" s="21"/>
      <c r="ADP163" s="21"/>
      <c r="ADQ163" s="7"/>
      <c r="ADR163" s="7"/>
      <c r="ADS163" s="21"/>
      <c r="ADT163" s="20"/>
      <c r="ADU163" s="20"/>
      <c r="ADV163" s="20"/>
      <c r="ADW163" s="21"/>
      <c r="ADX163" s="21"/>
      <c r="ADY163" s="21"/>
      <c r="ADZ163" s="21"/>
      <c r="AEA163" s="21"/>
      <c r="AEB163" s="20"/>
      <c r="AEC163" s="20"/>
      <c r="AED163" s="20"/>
      <c r="AEE163" s="20"/>
      <c r="AEF163" s="21"/>
      <c r="AEG163" s="21"/>
      <c r="AEH163" s="7"/>
      <c r="AEI163" s="7"/>
      <c r="AEJ163" s="21"/>
      <c r="AEK163" s="20"/>
      <c r="AEL163" s="20"/>
      <c r="AEM163" s="20"/>
      <c r="AEN163" s="21"/>
      <c r="AEO163" s="21"/>
      <c r="AEP163" s="21"/>
      <c r="AEQ163" s="21"/>
      <c r="AER163" s="21"/>
      <c r="AES163" s="20"/>
      <c r="AET163" s="20"/>
      <c r="AEU163" s="20"/>
      <c r="AEV163" s="20"/>
      <c r="AEW163" s="21"/>
      <c r="AEX163" s="21"/>
      <c r="AEY163" s="7"/>
      <c r="AEZ163" s="7"/>
      <c r="AFA163" s="21"/>
      <c r="AFB163" s="20"/>
      <c r="AFC163" s="20"/>
      <c r="AFD163" s="20"/>
      <c r="AFE163" s="21"/>
      <c r="AFF163" s="21"/>
      <c r="AFG163" s="21"/>
      <c r="AFH163" s="21"/>
      <c r="AFI163" s="21"/>
      <c r="AFJ163" s="20"/>
      <c r="AFK163" s="20"/>
      <c r="AFL163" s="20"/>
      <c r="AFM163" s="20"/>
      <c r="AFN163" s="21"/>
      <c r="AFO163" s="21"/>
      <c r="AFP163" s="7"/>
      <c r="AFQ163" s="7"/>
      <c r="AFR163" s="21"/>
      <c r="AFS163" s="20"/>
      <c r="AFT163" s="20"/>
      <c r="AFU163" s="20"/>
      <c r="AFV163" s="21"/>
      <c r="AFW163" s="21"/>
      <c r="AFX163" s="21"/>
      <c r="AFY163" s="21"/>
      <c r="AFZ163" s="21"/>
      <c r="AGA163" s="20"/>
      <c r="AGB163" s="20"/>
      <c r="AGC163" s="20"/>
      <c r="AGD163" s="20"/>
      <c r="AGE163" s="21"/>
      <c r="AGF163" s="21"/>
      <c r="AGG163" s="7"/>
      <c r="AGH163" s="7"/>
      <c r="AGI163" s="21"/>
      <c r="AGJ163" s="20"/>
      <c r="AGK163" s="20"/>
      <c r="AGL163" s="20"/>
      <c r="AGM163" s="21"/>
      <c r="AGN163" s="21"/>
      <c r="AGO163" s="21"/>
      <c r="AGP163" s="21"/>
      <c r="AGQ163" s="21"/>
      <c r="AGR163" s="20"/>
      <c r="AGS163" s="20"/>
      <c r="AGT163" s="20"/>
      <c r="AGU163" s="20"/>
      <c r="AGV163" s="21"/>
      <c r="AGW163" s="21"/>
      <c r="AGX163" s="7"/>
      <c r="AGY163" s="7"/>
      <c r="AGZ163" s="21"/>
      <c r="AHA163" s="20"/>
      <c r="AHB163" s="20"/>
      <c r="AHC163" s="20"/>
      <c r="AHD163" s="21"/>
      <c r="AHE163" s="21"/>
      <c r="AHF163" s="21"/>
      <c r="AHG163" s="21"/>
      <c r="AHH163" s="21"/>
      <c r="AHI163" s="20"/>
      <c r="AHJ163" s="20"/>
      <c r="AHK163" s="20"/>
      <c r="AHL163" s="20"/>
      <c r="AHM163" s="21"/>
      <c r="AHN163" s="21"/>
      <c r="AHO163" s="7"/>
      <c r="AHP163" s="7"/>
      <c r="AHQ163" s="21"/>
      <c r="AHR163" s="20"/>
      <c r="AHS163" s="20"/>
      <c r="AHT163" s="20"/>
      <c r="AHU163" s="21"/>
      <c r="AHV163" s="21"/>
      <c r="AHW163" s="21"/>
      <c r="AHX163" s="21"/>
      <c r="AHY163" s="21"/>
      <c r="AHZ163" s="20"/>
      <c r="AIA163" s="20"/>
      <c r="AIB163" s="20"/>
      <c r="AIC163" s="20"/>
      <c r="AID163" s="21"/>
      <c r="AIE163" s="21"/>
      <c r="AIF163" s="7"/>
      <c r="AIG163" s="7"/>
      <c r="AIH163" s="21"/>
      <c r="AII163" s="20"/>
      <c r="AIJ163" s="20"/>
      <c r="AIK163" s="20"/>
      <c r="AIL163" s="21"/>
      <c r="AIM163" s="21"/>
      <c r="AIN163" s="21"/>
      <c r="AIO163" s="21"/>
      <c r="AIP163" s="21"/>
      <c r="AIQ163" s="20"/>
      <c r="AIR163" s="20"/>
      <c r="AIS163" s="20"/>
      <c r="AIT163" s="20"/>
      <c r="AIU163" s="21"/>
      <c r="AIV163" s="21"/>
      <c r="AIW163" s="7"/>
      <c r="AIX163" s="7"/>
      <c r="AIY163" s="21"/>
      <c r="AIZ163" s="20"/>
      <c r="AJA163" s="20"/>
      <c r="AJB163" s="20"/>
      <c r="AJC163" s="21"/>
      <c r="AJD163" s="21"/>
      <c r="AJE163" s="21"/>
      <c r="AJF163" s="21"/>
      <c r="AJG163" s="21"/>
      <c r="AJH163" s="20"/>
      <c r="AJI163" s="20"/>
      <c r="AJJ163" s="20"/>
      <c r="AJK163" s="20"/>
      <c r="AJL163" s="21"/>
      <c r="AJM163" s="21"/>
      <c r="AJN163" s="7"/>
      <c r="AJO163" s="7"/>
      <c r="AJP163" s="21"/>
      <c r="AJQ163" s="20"/>
      <c r="AJR163" s="20"/>
      <c r="AJS163" s="20"/>
      <c r="AJT163" s="21"/>
      <c r="AJU163" s="21"/>
      <c r="AJV163" s="21"/>
      <c r="AJW163" s="21"/>
      <c r="AJX163" s="21"/>
      <c r="AJY163" s="20"/>
      <c r="AJZ163" s="20"/>
      <c r="AKA163" s="20"/>
      <c r="AKB163" s="20"/>
      <c r="AKC163" s="21"/>
      <c r="AKD163" s="21"/>
      <c r="AKE163" s="7"/>
      <c r="AKF163" s="7"/>
      <c r="AKG163" s="21"/>
      <c r="AKH163" s="20"/>
      <c r="AKI163" s="20"/>
      <c r="AKJ163" s="20"/>
      <c r="AKK163" s="21"/>
      <c r="AKL163" s="21"/>
      <c r="AKM163" s="21"/>
      <c r="AKN163" s="21"/>
      <c r="AKO163" s="21"/>
      <c r="AKP163" s="20"/>
      <c r="AKQ163" s="20"/>
      <c r="AKR163" s="20"/>
      <c r="AKS163" s="20"/>
      <c r="AKT163" s="21"/>
      <c r="AKU163" s="21"/>
      <c r="AKV163" s="7"/>
      <c r="AKW163" s="7"/>
      <c r="AKX163" s="21"/>
      <c r="AKY163" s="20"/>
      <c r="AKZ163" s="20"/>
      <c r="ALA163" s="20"/>
      <c r="ALB163" s="21"/>
      <c r="ALC163" s="21"/>
      <c r="ALD163" s="21"/>
      <c r="ALE163" s="21"/>
      <c r="ALF163" s="21"/>
      <c r="ALG163" s="20"/>
      <c r="ALH163" s="20"/>
      <c r="ALI163" s="20"/>
      <c r="ALJ163" s="20"/>
      <c r="ALK163" s="21"/>
      <c r="ALL163" s="21"/>
      <c r="ALM163" s="7"/>
      <c r="ALN163" s="7"/>
      <c r="ALO163" s="21"/>
      <c r="ALP163" s="20"/>
      <c r="ALQ163" s="20"/>
      <c r="ALR163" s="20"/>
      <c r="ALS163" s="21"/>
      <c r="ALT163" s="21"/>
      <c r="ALU163" s="21"/>
      <c r="ALV163" s="21"/>
      <c r="ALW163" s="21"/>
      <c r="ALX163" s="20"/>
      <c r="ALY163" s="20"/>
      <c r="ALZ163" s="20"/>
      <c r="AMA163" s="20"/>
      <c r="AMB163" s="21"/>
      <c r="AMC163" s="21"/>
      <c r="AMD163" s="7"/>
      <c r="AME163" s="7"/>
      <c r="AMF163" s="21"/>
      <c r="AMG163" s="20"/>
      <c r="AMH163" s="20"/>
      <c r="AMI163" s="20"/>
      <c r="AMJ163" s="21"/>
      <c r="AMK163" s="21"/>
      <c r="AML163" s="21"/>
      <c r="AMM163" s="21"/>
      <c r="AMN163" s="21"/>
      <c r="AMO163" s="20"/>
      <c r="AMP163" s="20"/>
      <c r="AMQ163" s="20"/>
      <c r="AMR163" s="20"/>
      <c r="AMS163" s="21"/>
      <c r="AMT163" s="21"/>
      <c r="AMU163" s="7"/>
      <c r="AMV163" s="7"/>
      <c r="AMW163" s="21"/>
      <c r="AMX163" s="20"/>
      <c r="AMY163" s="20"/>
      <c r="AMZ163" s="20"/>
      <c r="ANA163" s="21"/>
      <c r="ANB163" s="21"/>
      <c r="ANC163" s="21"/>
      <c r="AND163" s="21"/>
      <c r="ANE163" s="21"/>
      <c r="ANF163" s="20"/>
      <c r="ANG163" s="20"/>
      <c r="ANH163" s="20"/>
      <c r="ANI163" s="20"/>
      <c r="ANJ163" s="21"/>
      <c r="ANK163" s="21"/>
      <c r="ANL163" s="7"/>
      <c r="ANM163" s="7"/>
      <c r="ANN163" s="21"/>
      <c r="ANO163" s="20"/>
      <c r="ANP163" s="20"/>
      <c r="ANQ163" s="20"/>
      <c r="ANR163" s="21"/>
      <c r="ANS163" s="21"/>
      <c r="ANT163" s="21"/>
      <c r="ANU163" s="21"/>
      <c r="ANV163" s="21"/>
      <c r="ANW163" s="20"/>
      <c r="ANX163" s="20"/>
      <c r="ANY163" s="20"/>
      <c r="ANZ163" s="20"/>
      <c r="AOA163" s="21"/>
      <c r="AOB163" s="21"/>
      <c r="AOC163" s="7"/>
      <c r="AOD163" s="7"/>
      <c r="AOE163" s="21"/>
      <c r="AOF163" s="20"/>
      <c r="AOG163" s="20"/>
      <c r="AOH163" s="20"/>
      <c r="AOI163" s="21"/>
      <c r="AOJ163" s="21"/>
      <c r="AOK163" s="21"/>
      <c r="AOL163" s="21"/>
      <c r="AOM163" s="21"/>
      <c r="AON163" s="20"/>
      <c r="AOO163" s="20"/>
      <c r="AOP163" s="20"/>
      <c r="AOQ163" s="20"/>
      <c r="AOR163" s="21"/>
      <c r="AOS163" s="21"/>
      <c r="AOT163" s="7"/>
      <c r="AOU163" s="7"/>
      <c r="AOV163" s="21"/>
      <c r="AOW163" s="20"/>
      <c r="AOX163" s="20"/>
      <c r="AOY163" s="20"/>
      <c r="AOZ163" s="21"/>
      <c r="APA163" s="21"/>
      <c r="APB163" s="21"/>
      <c r="APC163" s="21"/>
      <c r="APD163" s="21"/>
      <c r="APE163" s="20"/>
      <c r="APF163" s="20"/>
      <c r="APG163" s="20"/>
      <c r="APH163" s="20"/>
      <c r="API163" s="21"/>
      <c r="APJ163" s="21"/>
      <c r="APK163" s="7"/>
      <c r="APL163" s="7"/>
      <c r="APM163" s="21"/>
      <c r="APN163" s="20"/>
      <c r="APO163" s="20"/>
      <c r="APP163" s="20"/>
      <c r="APQ163" s="21"/>
      <c r="APR163" s="21"/>
      <c r="APS163" s="21"/>
      <c r="APT163" s="21"/>
      <c r="APU163" s="21"/>
      <c r="APV163" s="20"/>
      <c r="APW163" s="20"/>
      <c r="APX163" s="20"/>
      <c r="APY163" s="20"/>
      <c r="APZ163" s="21"/>
      <c r="AQA163" s="21"/>
      <c r="AQB163" s="7"/>
      <c r="AQC163" s="7"/>
      <c r="AQD163" s="21"/>
      <c r="AQE163" s="20"/>
      <c r="AQF163" s="20"/>
      <c r="AQG163" s="20"/>
      <c r="AQH163" s="21"/>
      <c r="AQI163" s="21"/>
      <c r="AQJ163" s="21"/>
      <c r="AQK163" s="21"/>
      <c r="AQL163" s="21"/>
      <c r="AQM163" s="20"/>
      <c r="AQN163" s="20"/>
      <c r="AQO163" s="20"/>
      <c r="AQP163" s="20"/>
      <c r="AQQ163" s="21"/>
      <c r="AQR163" s="21"/>
      <c r="AQS163" s="7"/>
      <c r="AQT163" s="7"/>
      <c r="AQU163" s="21"/>
      <c r="AQV163" s="20"/>
      <c r="AQW163" s="20"/>
      <c r="AQX163" s="20"/>
      <c r="AQY163" s="21"/>
      <c r="AQZ163" s="21"/>
      <c r="ARA163" s="21"/>
      <c r="ARB163" s="21"/>
      <c r="ARC163" s="21"/>
      <c r="ARD163" s="20"/>
      <c r="ARE163" s="20"/>
      <c r="ARF163" s="20"/>
      <c r="ARG163" s="20"/>
      <c r="ARH163" s="21"/>
      <c r="ARI163" s="21"/>
      <c r="ARJ163" s="7"/>
      <c r="ARK163" s="7"/>
      <c r="ARL163" s="21"/>
      <c r="ARM163" s="20"/>
      <c r="ARN163" s="20"/>
      <c r="ARO163" s="20"/>
      <c r="ARP163" s="21"/>
      <c r="ARQ163" s="21"/>
      <c r="ARR163" s="21"/>
      <c r="ARS163" s="21"/>
      <c r="ART163" s="21"/>
      <c r="ARU163" s="20"/>
      <c r="ARV163" s="20"/>
      <c r="ARW163" s="20"/>
      <c r="ARX163" s="20"/>
      <c r="ARY163" s="21"/>
      <c r="ARZ163" s="21"/>
      <c r="ASA163" s="7"/>
      <c r="ASB163" s="7"/>
      <c r="ASC163" s="21"/>
      <c r="ASD163" s="20"/>
      <c r="ASE163" s="20"/>
      <c r="ASF163" s="20"/>
      <c r="ASG163" s="21"/>
      <c r="ASH163" s="21"/>
      <c r="ASI163" s="21"/>
      <c r="ASJ163" s="21"/>
      <c r="ASK163" s="21"/>
      <c r="ASL163" s="20"/>
      <c r="ASM163" s="20"/>
      <c r="ASN163" s="20"/>
      <c r="ASO163" s="20"/>
      <c r="ASP163" s="21"/>
      <c r="ASQ163" s="21"/>
      <c r="ASR163" s="7"/>
      <c r="ASS163" s="7"/>
      <c r="AST163" s="21"/>
      <c r="ASU163" s="20"/>
      <c r="ASV163" s="20"/>
      <c r="ASW163" s="20"/>
      <c r="ASX163" s="21"/>
      <c r="ASY163" s="21"/>
      <c r="ASZ163" s="21"/>
      <c r="ATA163" s="21"/>
      <c r="ATB163" s="21"/>
      <c r="ATC163" s="20"/>
      <c r="ATD163" s="20"/>
      <c r="ATE163" s="20"/>
      <c r="ATF163" s="20"/>
      <c r="ATG163" s="21"/>
      <c r="ATH163" s="21"/>
      <c r="ATI163" s="7"/>
      <c r="ATJ163" s="7"/>
      <c r="ATK163" s="21"/>
      <c r="ATL163" s="20"/>
      <c r="ATM163" s="20"/>
      <c r="ATN163" s="20"/>
      <c r="ATO163" s="21"/>
      <c r="ATP163" s="21"/>
      <c r="ATQ163" s="21"/>
      <c r="ATR163" s="21"/>
      <c r="ATS163" s="21"/>
      <c r="ATT163" s="20"/>
      <c r="ATU163" s="20"/>
      <c r="ATV163" s="20"/>
      <c r="ATW163" s="20"/>
      <c r="ATX163" s="21"/>
      <c r="ATY163" s="21"/>
      <c r="ATZ163" s="7"/>
      <c r="AUA163" s="7"/>
      <c r="AUB163" s="21"/>
      <c r="AUC163" s="20"/>
      <c r="AUD163" s="20"/>
      <c r="AUE163" s="20"/>
      <c r="AUF163" s="21"/>
      <c r="AUG163" s="21"/>
      <c r="AUH163" s="21"/>
      <c r="AUI163" s="21"/>
      <c r="AUJ163" s="21"/>
      <c r="AUK163" s="20"/>
      <c r="AUL163" s="20"/>
      <c r="AUM163" s="20"/>
      <c r="AUN163" s="20"/>
      <c r="AUO163" s="21"/>
      <c r="AUP163" s="21"/>
      <c r="AUQ163" s="7"/>
      <c r="AUR163" s="7"/>
      <c r="AUS163" s="21"/>
      <c r="AUT163" s="20"/>
      <c r="AUU163" s="20"/>
      <c r="AUV163" s="20"/>
      <c r="AUW163" s="21"/>
      <c r="AUX163" s="21"/>
      <c r="AUY163" s="21"/>
      <c r="AUZ163" s="21"/>
      <c r="AVA163" s="21"/>
      <c r="AVB163" s="20"/>
      <c r="AVC163" s="20"/>
      <c r="AVD163" s="20"/>
      <c r="AVE163" s="20"/>
      <c r="AVF163" s="21"/>
      <c r="AVG163" s="21"/>
      <c r="AVH163" s="7"/>
      <c r="AVI163" s="7"/>
      <c r="AVJ163" s="21"/>
      <c r="AVK163" s="20"/>
      <c r="AVL163" s="20"/>
      <c r="AVM163" s="20"/>
      <c r="AVN163" s="21"/>
      <c r="AVO163" s="21"/>
      <c r="AVP163" s="21"/>
      <c r="AVQ163" s="21"/>
      <c r="AVR163" s="21"/>
      <c r="AVS163" s="20"/>
      <c r="AVT163" s="20"/>
      <c r="AVU163" s="20"/>
      <c r="AVV163" s="20"/>
      <c r="AVW163" s="21"/>
      <c r="AVX163" s="21"/>
      <c r="AVY163" s="7"/>
      <c r="AVZ163" s="7"/>
      <c r="AWA163" s="21"/>
      <c r="AWB163" s="20"/>
      <c r="AWC163" s="20"/>
      <c r="AWD163" s="20"/>
      <c r="AWE163" s="21"/>
      <c r="AWF163" s="21"/>
      <c r="AWG163" s="21"/>
      <c r="AWH163" s="21"/>
      <c r="AWI163" s="21"/>
      <c r="AWJ163" s="20"/>
      <c r="AWK163" s="20"/>
      <c r="AWL163" s="20"/>
      <c r="AWM163" s="20"/>
      <c r="AWN163" s="21"/>
      <c r="AWO163" s="21"/>
      <c r="AWP163" s="7"/>
      <c r="AWQ163" s="7"/>
      <c r="AWR163" s="21"/>
      <c r="AWS163" s="20"/>
      <c r="AWT163" s="20"/>
      <c r="AWU163" s="20"/>
      <c r="AWV163" s="21"/>
      <c r="AWW163" s="21"/>
      <c r="AWX163" s="21"/>
      <c r="AWY163" s="21"/>
      <c r="AWZ163" s="21"/>
      <c r="AXA163" s="20"/>
      <c r="AXB163" s="20"/>
      <c r="AXC163" s="20"/>
      <c r="AXD163" s="20"/>
      <c r="AXE163" s="21"/>
      <c r="AXF163" s="21"/>
      <c r="AXG163" s="7"/>
      <c r="AXH163" s="7"/>
      <c r="AXI163" s="21"/>
      <c r="AXJ163" s="20"/>
      <c r="AXK163" s="20"/>
      <c r="AXL163" s="20"/>
      <c r="AXM163" s="21"/>
      <c r="AXN163" s="21"/>
      <c r="AXO163" s="21"/>
      <c r="AXP163" s="21"/>
      <c r="AXQ163" s="21"/>
      <c r="AXR163" s="20"/>
      <c r="AXS163" s="20"/>
      <c r="AXT163" s="20"/>
      <c r="AXU163" s="20"/>
      <c r="AXV163" s="21"/>
      <c r="AXW163" s="21"/>
      <c r="AXX163" s="7"/>
      <c r="AXY163" s="7"/>
      <c r="AXZ163" s="21"/>
      <c r="AYA163" s="20"/>
      <c r="AYB163" s="20"/>
      <c r="AYC163" s="20"/>
      <c r="AYD163" s="21"/>
      <c r="AYE163" s="21"/>
      <c r="AYF163" s="21"/>
      <c r="AYG163" s="21"/>
      <c r="AYH163" s="21"/>
      <c r="AYI163" s="20"/>
      <c r="AYJ163" s="20"/>
      <c r="AYK163" s="20"/>
      <c r="AYL163" s="20"/>
      <c r="AYM163" s="21"/>
      <c r="AYN163" s="21"/>
      <c r="AYO163" s="7"/>
      <c r="AYP163" s="7"/>
      <c r="AYQ163" s="21"/>
      <c r="AYR163" s="20"/>
      <c r="AYS163" s="20"/>
      <c r="AYT163" s="20"/>
      <c r="AYU163" s="21"/>
      <c r="AYV163" s="21"/>
      <c r="AYW163" s="21"/>
      <c r="AYX163" s="21"/>
      <c r="AYY163" s="21"/>
      <c r="AYZ163" s="20"/>
      <c r="AZA163" s="20"/>
      <c r="AZB163" s="20"/>
      <c r="AZC163" s="20"/>
      <c r="AZD163" s="21"/>
      <c r="AZE163" s="21"/>
      <c r="AZF163" s="7"/>
      <c r="AZG163" s="7"/>
      <c r="AZH163" s="21"/>
      <c r="AZI163" s="20"/>
      <c r="AZJ163" s="20"/>
      <c r="AZK163" s="20"/>
      <c r="AZL163" s="21"/>
      <c r="AZM163" s="21"/>
      <c r="AZN163" s="21"/>
      <c r="AZO163" s="21"/>
      <c r="AZP163" s="21"/>
      <c r="AZQ163" s="20"/>
      <c r="AZR163" s="20"/>
      <c r="AZS163" s="20"/>
      <c r="AZT163" s="20"/>
      <c r="AZU163" s="21"/>
      <c r="AZV163" s="21"/>
      <c r="AZW163" s="7"/>
      <c r="AZX163" s="7"/>
      <c r="AZY163" s="21"/>
      <c r="AZZ163" s="20"/>
      <c r="BAA163" s="20"/>
      <c r="BAB163" s="20"/>
      <c r="BAC163" s="21"/>
      <c r="BAD163" s="21"/>
      <c r="BAE163" s="21"/>
      <c r="BAF163" s="21"/>
      <c r="BAG163" s="21"/>
      <c r="BAH163" s="20"/>
      <c r="BAI163" s="20"/>
      <c r="BAJ163" s="20"/>
      <c r="BAK163" s="20"/>
      <c r="BAL163" s="21"/>
      <c r="BAM163" s="21"/>
      <c r="BAN163" s="7"/>
      <c r="BAO163" s="7"/>
      <c r="BAP163" s="21"/>
      <c r="BAQ163" s="20"/>
      <c r="BAR163" s="20"/>
      <c r="BAS163" s="20"/>
      <c r="BAT163" s="21"/>
      <c r="BAU163" s="21"/>
      <c r="BAV163" s="21"/>
      <c r="BAW163" s="21"/>
      <c r="BAX163" s="21"/>
      <c r="BAY163" s="20"/>
      <c r="BAZ163" s="20"/>
      <c r="BBA163" s="20"/>
      <c r="BBB163" s="20"/>
      <c r="BBC163" s="21"/>
      <c r="BBD163" s="21"/>
      <c r="BBE163" s="7"/>
      <c r="BBF163" s="7"/>
      <c r="BBG163" s="21"/>
      <c r="BBH163" s="20"/>
      <c r="BBI163" s="20"/>
      <c r="BBJ163" s="20"/>
      <c r="BBK163" s="21"/>
      <c r="BBL163" s="21"/>
      <c r="BBM163" s="21"/>
      <c r="BBN163" s="21"/>
      <c r="BBO163" s="21"/>
      <c r="BBP163" s="20"/>
      <c r="BBQ163" s="20"/>
      <c r="BBR163" s="20"/>
      <c r="BBS163" s="20"/>
      <c r="BBT163" s="21"/>
      <c r="BBU163" s="21"/>
      <c r="BBV163" s="7"/>
      <c r="BBW163" s="7"/>
      <c r="BBX163" s="21"/>
      <c r="BBY163" s="20"/>
      <c r="BBZ163" s="20"/>
      <c r="BCA163" s="20"/>
      <c r="BCB163" s="21"/>
      <c r="BCC163" s="21"/>
      <c r="BCD163" s="21"/>
      <c r="BCE163" s="21"/>
      <c r="BCF163" s="21"/>
      <c r="BCG163" s="20"/>
      <c r="BCH163" s="20"/>
      <c r="BCI163" s="20"/>
      <c r="BCJ163" s="20"/>
      <c r="BCK163" s="21"/>
      <c r="BCL163" s="21"/>
      <c r="BCM163" s="7"/>
      <c r="BCN163" s="7"/>
      <c r="BCO163" s="21"/>
      <c r="BCP163" s="20"/>
      <c r="BCQ163" s="20"/>
      <c r="BCR163" s="20"/>
      <c r="BCS163" s="21"/>
      <c r="BCT163" s="21"/>
      <c r="BCU163" s="21"/>
      <c r="BCV163" s="21"/>
      <c r="BCW163" s="21"/>
      <c r="BCX163" s="20"/>
      <c r="BCY163" s="20"/>
      <c r="BCZ163" s="20"/>
      <c r="BDA163" s="20"/>
      <c r="BDB163" s="21"/>
      <c r="BDC163" s="21"/>
      <c r="BDD163" s="7"/>
      <c r="BDE163" s="7"/>
      <c r="BDF163" s="21"/>
      <c r="BDG163" s="20"/>
      <c r="BDH163" s="20"/>
      <c r="BDI163" s="20"/>
      <c r="BDJ163" s="21"/>
      <c r="BDK163" s="21"/>
      <c r="BDL163" s="21"/>
      <c r="BDM163" s="21"/>
      <c r="BDN163" s="21"/>
      <c r="BDO163" s="20"/>
      <c r="BDP163" s="20"/>
      <c r="BDQ163" s="20"/>
      <c r="BDR163" s="20"/>
      <c r="BDS163" s="21"/>
      <c r="BDT163" s="21"/>
      <c r="BDU163" s="7"/>
      <c r="BDV163" s="7"/>
      <c r="BDW163" s="21"/>
      <c r="BDX163" s="20"/>
      <c r="BDY163" s="20"/>
      <c r="BDZ163" s="20"/>
      <c r="BEA163" s="21"/>
      <c r="BEB163" s="21"/>
      <c r="BEC163" s="21"/>
      <c r="BED163" s="21"/>
      <c r="BEE163" s="21"/>
      <c r="BEF163" s="20"/>
      <c r="BEG163" s="20"/>
      <c r="BEH163" s="20"/>
      <c r="BEI163" s="20"/>
      <c r="BEJ163" s="21"/>
      <c r="BEK163" s="21"/>
      <c r="BEL163" s="7"/>
      <c r="BEM163" s="7"/>
      <c r="BEN163" s="21"/>
      <c r="BEO163" s="20"/>
      <c r="BEP163" s="20"/>
      <c r="BEQ163" s="20"/>
      <c r="BER163" s="21"/>
      <c r="BES163" s="21"/>
      <c r="BET163" s="21"/>
      <c r="BEU163" s="21"/>
      <c r="BEV163" s="21"/>
      <c r="BEW163" s="20"/>
      <c r="BEX163" s="20"/>
      <c r="BEY163" s="20"/>
      <c r="BEZ163" s="20"/>
      <c r="BFA163" s="21"/>
      <c r="BFB163" s="21"/>
      <c r="BFC163" s="7"/>
      <c r="BFD163" s="7"/>
      <c r="BFE163" s="21"/>
      <c r="BFF163" s="20"/>
      <c r="BFG163" s="20"/>
      <c r="BFH163" s="20"/>
      <c r="BFI163" s="21"/>
      <c r="BFJ163" s="21"/>
      <c r="BFK163" s="21"/>
      <c r="BFL163" s="21"/>
      <c r="BFM163" s="21"/>
      <c r="BFN163" s="20"/>
      <c r="BFO163" s="20"/>
      <c r="BFP163" s="20"/>
      <c r="BFQ163" s="20"/>
      <c r="BFR163" s="21"/>
      <c r="BFS163" s="21"/>
      <c r="BFT163" s="7"/>
      <c r="BFU163" s="7"/>
      <c r="BFV163" s="21"/>
      <c r="BFW163" s="20"/>
      <c r="BFX163" s="20"/>
      <c r="BFY163" s="20"/>
      <c r="BFZ163" s="21"/>
      <c r="BGA163" s="21"/>
      <c r="BGB163" s="21"/>
      <c r="BGC163" s="21"/>
      <c r="BGD163" s="21"/>
      <c r="BGE163" s="20"/>
      <c r="BGF163" s="20"/>
      <c r="BGG163" s="20"/>
      <c r="BGH163" s="20"/>
      <c r="BGI163" s="21"/>
      <c r="BGJ163" s="21"/>
      <c r="BGK163" s="7"/>
      <c r="BGL163" s="7"/>
      <c r="BGM163" s="21"/>
      <c r="BGN163" s="20"/>
      <c r="BGO163" s="20"/>
      <c r="BGP163" s="20"/>
      <c r="BGQ163" s="21"/>
      <c r="BGR163" s="21"/>
      <c r="BGS163" s="21"/>
      <c r="BGT163" s="21"/>
      <c r="BGU163" s="21"/>
      <c r="BGV163" s="20"/>
      <c r="BGW163" s="20"/>
      <c r="BGX163" s="20"/>
      <c r="BGY163" s="20"/>
      <c r="BGZ163" s="21"/>
      <c r="BHA163" s="21"/>
      <c r="BHB163" s="7"/>
      <c r="BHC163" s="7"/>
      <c r="BHD163" s="21"/>
      <c r="BHE163" s="20"/>
      <c r="BHF163" s="20"/>
      <c r="BHG163" s="20"/>
      <c r="BHH163" s="21"/>
      <c r="BHI163" s="21"/>
      <c r="BHJ163" s="21"/>
      <c r="BHK163" s="21"/>
      <c r="BHL163" s="21"/>
      <c r="BHM163" s="20"/>
      <c r="BHN163" s="20"/>
      <c r="BHO163" s="20"/>
      <c r="BHP163" s="20"/>
      <c r="BHQ163" s="21"/>
      <c r="BHR163" s="21"/>
      <c r="BHS163" s="7"/>
      <c r="BHT163" s="7"/>
      <c r="BHU163" s="21"/>
      <c r="BHV163" s="20"/>
      <c r="BHW163" s="20"/>
      <c r="BHX163" s="20"/>
      <c r="BHY163" s="21"/>
      <c r="BHZ163" s="21"/>
      <c r="BIA163" s="21"/>
      <c r="BIB163" s="21"/>
      <c r="BIC163" s="21"/>
      <c r="BID163" s="20"/>
      <c r="BIE163" s="20"/>
      <c r="BIF163" s="20"/>
      <c r="BIG163" s="20"/>
      <c r="BIH163" s="21"/>
      <c r="BII163" s="21"/>
      <c r="BIJ163" s="7"/>
      <c r="BIK163" s="7"/>
      <c r="BIL163" s="21"/>
      <c r="BIM163" s="20"/>
      <c r="BIN163" s="20"/>
      <c r="BIO163" s="20"/>
      <c r="BIP163" s="21"/>
      <c r="BIQ163" s="21"/>
      <c r="BIR163" s="21"/>
      <c r="BIS163" s="21"/>
      <c r="BIT163" s="21"/>
      <c r="BIU163" s="20"/>
      <c r="BIV163" s="20"/>
      <c r="BIW163" s="20"/>
      <c r="BIX163" s="20"/>
      <c r="BIY163" s="21"/>
      <c r="BIZ163" s="21"/>
      <c r="BJA163" s="7"/>
      <c r="BJB163" s="7"/>
      <c r="BJC163" s="21"/>
      <c r="BJD163" s="20"/>
      <c r="BJE163" s="20"/>
      <c r="BJF163" s="20"/>
      <c r="BJG163" s="21"/>
      <c r="BJH163" s="21"/>
      <c r="BJI163" s="21"/>
      <c r="BJJ163" s="21"/>
      <c r="BJK163" s="21"/>
      <c r="BJL163" s="20"/>
      <c r="BJM163" s="20"/>
      <c r="BJN163" s="20"/>
      <c r="BJO163" s="20"/>
      <c r="BJP163" s="21"/>
      <c r="BJQ163" s="21"/>
      <c r="BJR163" s="7"/>
      <c r="BJS163" s="7"/>
      <c r="BJT163" s="21"/>
      <c r="BJU163" s="20"/>
      <c r="BJV163" s="20"/>
      <c r="BJW163" s="20"/>
      <c r="BJX163" s="21"/>
      <c r="BJY163" s="21"/>
      <c r="BJZ163" s="21"/>
      <c r="BKA163" s="21"/>
      <c r="BKB163" s="21"/>
      <c r="BKC163" s="20"/>
      <c r="BKD163" s="20"/>
      <c r="BKE163" s="20"/>
      <c r="BKF163" s="20"/>
      <c r="BKG163" s="21"/>
      <c r="BKH163" s="21"/>
      <c r="BKI163" s="7"/>
      <c r="BKJ163" s="7"/>
      <c r="BKK163" s="21"/>
      <c r="BKL163" s="20"/>
      <c r="BKM163" s="20"/>
      <c r="BKN163" s="20"/>
      <c r="BKO163" s="21"/>
      <c r="BKP163" s="21"/>
      <c r="BKQ163" s="21"/>
      <c r="BKR163" s="21"/>
      <c r="BKS163" s="21"/>
      <c r="BKT163" s="20"/>
      <c r="BKU163" s="20"/>
      <c r="BKV163" s="20"/>
      <c r="BKW163" s="20"/>
      <c r="BKX163" s="21"/>
      <c r="BKY163" s="21"/>
      <c r="BKZ163" s="7"/>
      <c r="BLA163" s="7"/>
      <c r="BLB163" s="21"/>
      <c r="BLC163" s="20"/>
      <c r="BLD163" s="20"/>
      <c r="BLE163" s="20"/>
      <c r="BLF163" s="21"/>
      <c r="BLG163" s="21"/>
      <c r="BLH163" s="21"/>
      <c r="BLI163" s="21"/>
      <c r="BLJ163" s="21"/>
      <c r="BLK163" s="20"/>
      <c r="BLL163" s="20"/>
      <c r="BLM163" s="20"/>
      <c r="BLN163" s="20"/>
      <c r="BLO163" s="21"/>
      <c r="BLP163" s="21"/>
      <c r="BLQ163" s="7"/>
      <c r="BLR163" s="7"/>
      <c r="BLS163" s="21"/>
      <c r="BLT163" s="20"/>
      <c r="BLU163" s="20"/>
      <c r="BLV163" s="20"/>
      <c r="BLW163" s="21"/>
      <c r="BLX163" s="21"/>
      <c r="BLY163" s="21"/>
      <c r="BLZ163" s="21"/>
      <c r="BMA163" s="21"/>
      <c r="BMB163" s="20"/>
      <c r="BMC163" s="20"/>
      <c r="BMD163" s="20"/>
      <c r="BME163" s="20"/>
      <c r="BMF163" s="21"/>
      <c r="BMG163" s="21"/>
      <c r="BMH163" s="7"/>
      <c r="BMI163" s="7"/>
      <c r="BMJ163" s="21"/>
      <c r="BMK163" s="20"/>
      <c r="BML163" s="20"/>
      <c r="BMM163" s="20"/>
      <c r="BMN163" s="21"/>
      <c r="BMO163" s="21"/>
      <c r="BMP163" s="21"/>
      <c r="BMQ163" s="21"/>
      <c r="BMR163" s="21"/>
      <c r="BMS163" s="20"/>
      <c r="BMT163" s="20"/>
      <c r="BMU163" s="20"/>
      <c r="BMV163" s="20"/>
      <c r="BMW163" s="21"/>
      <c r="BMX163" s="21"/>
      <c r="BMY163" s="7"/>
      <c r="BMZ163" s="7"/>
      <c r="BNA163" s="21"/>
      <c r="BNB163" s="20"/>
      <c r="BNC163" s="20"/>
      <c r="BND163" s="20"/>
      <c r="BNE163" s="21"/>
      <c r="BNF163" s="21"/>
      <c r="BNG163" s="21"/>
      <c r="BNH163" s="21"/>
      <c r="BNI163" s="21"/>
      <c r="BNJ163" s="20"/>
      <c r="BNK163" s="20"/>
      <c r="BNL163" s="20"/>
      <c r="BNM163" s="20"/>
      <c r="BNN163" s="21"/>
      <c r="BNO163" s="21"/>
      <c r="BNP163" s="7"/>
      <c r="BNQ163" s="7"/>
      <c r="BNR163" s="21"/>
      <c r="BNS163" s="20"/>
      <c r="BNT163" s="20"/>
      <c r="BNU163" s="20"/>
      <c r="BNV163" s="21"/>
      <c r="BNW163" s="21"/>
      <c r="BNX163" s="21"/>
      <c r="BNY163" s="21"/>
      <c r="BNZ163" s="21"/>
      <c r="BOA163" s="20"/>
      <c r="BOB163" s="20"/>
      <c r="BOC163" s="20"/>
      <c r="BOD163" s="20"/>
      <c r="BOE163" s="21"/>
      <c r="BOF163" s="21"/>
      <c r="BOG163" s="7"/>
      <c r="BOH163" s="7"/>
      <c r="BOI163" s="21"/>
      <c r="BOJ163" s="20"/>
      <c r="BOK163" s="20"/>
      <c r="BOL163" s="20"/>
      <c r="BOM163" s="21"/>
      <c r="BON163" s="21"/>
      <c r="BOO163" s="21"/>
      <c r="BOP163" s="21"/>
      <c r="BOQ163" s="21"/>
      <c r="BOR163" s="20"/>
      <c r="BOS163" s="20"/>
      <c r="BOT163" s="20"/>
      <c r="BOU163" s="20"/>
      <c r="BOV163" s="21"/>
      <c r="BOW163" s="21"/>
      <c r="BOX163" s="7"/>
      <c r="BOY163" s="7"/>
      <c r="BOZ163" s="21"/>
      <c r="BPA163" s="20"/>
      <c r="BPB163" s="20"/>
      <c r="BPC163" s="20"/>
      <c r="BPD163" s="21"/>
      <c r="BPE163" s="21"/>
      <c r="BPF163" s="21"/>
      <c r="BPG163" s="21"/>
      <c r="BPH163" s="21"/>
      <c r="BPI163" s="20"/>
      <c r="BPJ163" s="20"/>
      <c r="BPK163" s="20"/>
      <c r="BPL163" s="20"/>
      <c r="BPM163" s="21"/>
      <c r="BPN163" s="21"/>
      <c r="BPO163" s="7"/>
      <c r="BPP163" s="7"/>
      <c r="BPQ163" s="21"/>
      <c r="BPR163" s="20"/>
      <c r="BPS163" s="20"/>
      <c r="BPT163" s="20"/>
      <c r="BPU163" s="21"/>
      <c r="BPV163" s="21"/>
      <c r="BPW163" s="21"/>
      <c r="BPX163" s="21"/>
      <c r="BPY163" s="21"/>
      <c r="BPZ163" s="20"/>
      <c r="BQA163" s="20"/>
      <c r="BQB163" s="20"/>
      <c r="BQC163" s="20"/>
      <c r="BQD163" s="21"/>
      <c r="BQE163" s="21"/>
      <c r="BQF163" s="7"/>
      <c r="BQG163" s="7"/>
      <c r="BQH163" s="21"/>
      <c r="BQI163" s="20"/>
      <c r="BQJ163" s="20"/>
      <c r="BQK163" s="20"/>
      <c r="BQL163" s="21"/>
      <c r="BQM163" s="21"/>
      <c r="BQN163" s="21"/>
      <c r="BQO163" s="21"/>
      <c r="BQP163" s="21"/>
      <c r="BQQ163" s="20"/>
      <c r="BQR163" s="20"/>
      <c r="BQS163" s="20"/>
      <c r="BQT163" s="20"/>
      <c r="BQU163" s="21"/>
      <c r="BQV163" s="21"/>
      <c r="BQW163" s="7"/>
      <c r="BQX163" s="7"/>
      <c r="BQY163" s="21"/>
      <c r="BQZ163" s="20"/>
      <c r="BRA163" s="20"/>
      <c r="BRB163" s="20"/>
      <c r="BRC163" s="21"/>
      <c r="BRD163" s="21"/>
      <c r="BRE163" s="21"/>
      <c r="BRF163" s="21"/>
      <c r="BRG163" s="21"/>
      <c r="BRH163" s="20"/>
      <c r="BRI163" s="20"/>
      <c r="BRJ163" s="20"/>
      <c r="BRK163" s="20"/>
      <c r="BRL163" s="21"/>
      <c r="BRM163" s="21"/>
      <c r="BRN163" s="7"/>
      <c r="BRO163" s="7"/>
      <c r="BRP163" s="21"/>
      <c r="BRQ163" s="20"/>
      <c r="BRR163" s="20"/>
      <c r="BRS163" s="20"/>
      <c r="BRT163" s="21"/>
      <c r="BRU163" s="21"/>
      <c r="BRV163" s="21"/>
      <c r="BRW163" s="21"/>
      <c r="BRX163" s="21"/>
      <c r="BRY163" s="20"/>
      <c r="BRZ163" s="20"/>
      <c r="BSA163" s="20"/>
      <c r="BSB163" s="20"/>
      <c r="BSC163" s="21"/>
      <c r="BSD163" s="21"/>
      <c r="BSE163" s="7"/>
      <c r="BSF163" s="7"/>
      <c r="BSG163" s="21"/>
      <c r="BSH163" s="20"/>
      <c r="BSI163" s="20"/>
      <c r="BSJ163" s="20"/>
      <c r="BSK163" s="21"/>
      <c r="BSL163" s="21"/>
      <c r="BSM163" s="21"/>
      <c r="BSN163" s="21"/>
      <c r="BSO163" s="21"/>
      <c r="BSP163" s="20"/>
      <c r="BSQ163" s="20"/>
      <c r="BSR163" s="20"/>
      <c r="BSS163" s="20"/>
      <c r="BST163" s="21"/>
      <c r="BSU163" s="21"/>
      <c r="BSV163" s="7"/>
      <c r="BSW163" s="7"/>
      <c r="BSX163" s="21"/>
      <c r="BSY163" s="20"/>
      <c r="BSZ163" s="20"/>
      <c r="BTA163" s="20"/>
      <c r="BTB163" s="21"/>
      <c r="BTC163" s="21"/>
      <c r="BTD163" s="21"/>
      <c r="BTE163" s="21"/>
      <c r="BTF163" s="21"/>
      <c r="BTG163" s="20"/>
      <c r="BTH163" s="20"/>
      <c r="BTI163" s="20"/>
      <c r="BTJ163" s="20"/>
      <c r="BTK163" s="21"/>
      <c r="BTL163" s="21"/>
      <c r="BTM163" s="7"/>
      <c r="BTN163" s="7"/>
      <c r="BTO163" s="21"/>
      <c r="BTP163" s="20"/>
      <c r="BTQ163" s="20"/>
      <c r="BTR163" s="20"/>
      <c r="BTS163" s="21"/>
      <c r="BTT163" s="21"/>
      <c r="BTU163" s="21"/>
      <c r="BTV163" s="21"/>
      <c r="BTW163" s="21"/>
      <c r="BTX163" s="20"/>
      <c r="BTY163" s="20"/>
      <c r="BTZ163" s="20"/>
      <c r="BUA163" s="20"/>
      <c r="BUB163" s="21"/>
      <c r="BUC163" s="21"/>
      <c r="BUD163" s="7"/>
      <c r="BUE163" s="7"/>
      <c r="BUF163" s="21"/>
      <c r="BUG163" s="20"/>
      <c r="BUH163" s="20"/>
      <c r="BUI163" s="20"/>
      <c r="BUJ163" s="21"/>
      <c r="BUK163" s="21"/>
      <c r="BUL163" s="21"/>
      <c r="BUM163" s="21"/>
      <c r="BUN163" s="21"/>
      <c r="BUO163" s="20"/>
      <c r="BUP163" s="20"/>
      <c r="BUQ163" s="20"/>
      <c r="BUR163" s="20"/>
      <c r="BUS163" s="21"/>
      <c r="BUT163" s="21"/>
      <c r="BUU163" s="7"/>
      <c r="BUV163" s="7"/>
      <c r="BUW163" s="21"/>
      <c r="BUX163" s="20"/>
      <c r="BUY163" s="20"/>
      <c r="BUZ163" s="20"/>
      <c r="BVA163" s="21"/>
      <c r="BVB163" s="21"/>
      <c r="BVC163" s="21"/>
      <c r="BVD163" s="21"/>
      <c r="BVE163" s="21"/>
      <c r="BVF163" s="20"/>
      <c r="BVG163" s="20"/>
      <c r="BVH163" s="20"/>
      <c r="BVI163" s="20"/>
      <c r="BVJ163" s="21"/>
      <c r="BVK163" s="21"/>
      <c r="BVL163" s="7"/>
      <c r="BVM163" s="7"/>
      <c r="BVN163" s="21"/>
      <c r="BVO163" s="20"/>
      <c r="BVP163" s="20"/>
      <c r="BVQ163" s="20"/>
      <c r="BVR163" s="21"/>
      <c r="BVS163" s="21"/>
      <c r="BVT163" s="21"/>
      <c r="BVU163" s="21"/>
      <c r="BVV163" s="21"/>
      <c r="BVW163" s="20"/>
      <c r="BVX163" s="20"/>
      <c r="BVY163" s="20"/>
      <c r="BVZ163" s="20"/>
      <c r="BWA163" s="21"/>
      <c r="BWB163" s="21"/>
      <c r="BWC163" s="7"/>
      <c r="BWD163" s="7"/>
      <c r="BWE163" s="21"/>
      <c r="BWF163" s="20"/>
      <c r="BWG163" s="20"/>
      <c r="BWH163" s="20"/>
      <c r="BWI163" s="21"/>
      <c r="BWJ163" s="21"/>
      <c r="BWK163" s="21"/>
      <c r="BWL163" s="21"/>
      <c r="BWM163" s="21"/>
      <c r="BWN163" s="20"/>
      <c r="BWO163" s="20"/>
      <c r="BWP163" s="20"/>
      <c r="BWQ163" s="20"/>
      <c r="BWR163" s="21"/>
      <c r="BWS163" s="21"/>
      <c r="BWT163" s="7"/>
      <c r="BWU163" s="7"/>
      <c r="BWV163" s="21"/>
      <c r="BWW163" s="20"/>
      <c r="BWX163" s="20"/>
      <c r="BWY163" s="20"/>
      <c r="BWZ163" s="21"/>
      <c r="BXA163" s="21"/>
      <c r="BXB163" s="21"/>
      <c r="BXC163" s="21"/>
      <c r="BXD163" s="21"/>
      <c r="BXE163" s="20"/>
      <c r="BXF163" s="20"/>
      <c r="BXG163" s="20"/>
      <c r="BXH163" s="20"/>
      <c r="BXI163" s="21"/>
      <c r="BXJ163" s="21"/>
      <c r="BXK163" s="7"/>
      <c r="BXL163" s="7"/>
      <c r="BXM163" s="21"/>
      <c r="BXN163" s="20"/>
      <c r="BXO163" s="20"/>
      <c r="BXP163" s="20"/>
      <c r="BXQ163" s="21"/>
      <c r="BXR163" s="21"/>
      <c r="BXS163" s="21"/>
      <c r="BXT163" s="21"/>
      <c r="BXU163" s="21"/>
      <c r="BXV163" s="20"/>
      <c r="BXW163" s="20"/>
      <c r="BXX163" s="20"/>
      <c r="BXY163" s="20"/>
      <c r="BXZ163" s="21"/>
      <c r="BYA163" s="21"/>
      <c r="BYB163" s="7"/>
      <c r="BYC163" s="7"/>
      <c r="BYD163" s="21"/>
      <c r="BYE163" s="20"/>
      <c r="BYF163" s="20"/>
      <c r="BYG163" s="20"/>
      <c r="BYH163" s="21"/>
      <c r="BYI163" s="21"/>
      <c r="BYJ163" s="21"/>
      <c r="BYK163" s="21"/>
      <c r="BYL163" s="21"/>
      <c r="BYM163" s="20"/>
      <c r="BYN163" s="20"/>
      <c r="BYO163" s="20"/>
      <c r="BYP163" s="20"/>
      <c r="BYQ163" s="21"/>
      <c r="BYR163" s="21"/>
      <c r="BYS163" s="7"/>
      <c r="BYT163" s="7"/>
      <c r="BYU163" s="21"/>
      <c r="BYV163" s="20"/>
      <c r="BYW163" s="20"/>
      <c r="BYX163" s="20"/>
      <c r="BYY163" s="21"/>
      <c r="BYZ163" s="21"/>
      <c r="BZA163" s="21"/>
      <c r="BZB163" s="21"/>
      <c r="BZC163" s="21"/>
      <c r="BZD163" s="20"/>
      <c r="BZE163" s="20"/>
      <c r="BZF163" s="20"/>
      <c r="BZG163" s="20"/>
      <c r="BZH163" s="21"/>
      <c r="BZI163" s="21"/>
      <c r="BZJ163" s="7"/>
      <c r="BZK163" s="7"/>
      <c r="BZL163" s="21"/>
      <c r="BZM163" s="20"/>
      <c r="BZN163" s="20"/>
      <c r="BZO163" s="20"/>
      <c r="BZP163" s="21"/>
      <c r="BZQ163" s="21"/>
      <c r="BZR163" s="21"/>
      <c r="BZS163" s="21"/>
      <c r="BZT163" s="21"/>
      <c r="BZU163" s="20"/>
      <c r="BZV163" s="20"/>
      <c r="BZW163" s="20"/>
      <c r="BZX163" s="20"/>
      <c r="BZY163" s="21"/>
      <c r="BZZ163" s="21"/>
      <c r="CAA163" s="7"/>
      <c r="CAB163" s="7"/>
      <c r="CAC163" s="21"/>
      <c r="CAD163" s="20"/>
      <c r="CAE163" s="20"/>
      <c r="CAF163" s="20"/>
      <c r="CAG163" s="21"/>
      <c r="CAH163" s="21"/>
      <c r="CAI163" s="21"/>
      <c r="CAJ163" s="21"/>
      <c r="CAK163" s="21"/>
      <c r="CAL163" s="20"/>
      <c r="CAM163" s="20"/>
      <c r="CAN163" s="20"/>
      <c r="CAO163" s="20"/>
      <c r="CAP163" s="21"/>
      <c r="CAQ163" s="21"/>
      <c r="CAR163" s="7"/>
      <c r="CAS163" s="7"/>
      <c r="CAT163" s="21"/>
      <c r="CAU163" s="20"/>
      <c r="CAV163" s="20"/>
      <c r="CAW163" s="20"/>
      <c r="CAX163" s="21"/>
      <c r="CAY163" s="21"/>
      <c r="CAZ163" s="21"/>
      <c r="CBA163" s="21"/>
      <c r="CBB163" s="21"/>
      <c r="CBC163" s="20"/>
      <c r="CBD163" s="20"/>
      <c r="CBE163" s="20"/>
      <c r="CBF163" s="20"/>
      <c r="CBG163" s="21"/>
      <c r="CBH163" s="21"/>
      <c r="CBI163" s="7"/>
      <c r="CBJ163" s="7"/>
      <c r="CBK163" s="21"/>
      <c r="CBL163" s="20"/>
      <c r="CBM163" s="20"/>
      <c r="CBN163" s="20"/>
      <c r="CBO163" s="21"/>
      <c r="CBP163" s="21"/>
      <c r="CBQ163" s="21"/>
      <c r="CBR163" s="21"/>
      <c r="CBS163" s="21"/>
      <c r="CBT163" s="20"/>
      <c r="CBU163" s="20"/>
      <c r="CBV163" s="20"/>
      <c r="CBW163" s="20"/>
      <c r="CBX163" s="21"/>
      <c r="CBY163" s="21"/>
      <c r="CBZ163" s="7"/>
      <c r="CCA163" s="7"/>
      <c r="CCB163" s="21"/>
      <c r="CCC163" s="20"/>
      <c r="CCD163" s="20"/>
      <c r="CCE163" s="20"/>
      <c r="CCF163" s="21"/>
      <c r="CCG163" s="21"/>
      <c r="CCH163" s="21"/>
      <c r="CCI163" s="21"/>
      <c r="CCJ163" s="21"/>
      <c r="CCK163" s="20"/>
      <c r="CCL163" s="20"/>
      <c r="CCM163" s="20"/>
      <c r="CCN163" s="20"/>
      <c r="CCO163" s="21"/>
      <c r="CCP163" s="21"/>
      <c r="CCQ163" s="7"/>
      <c r="CCR163" s="7"/>
      <c r="CCS163" s="21"/>
      <c r="CCT163" s="20"/>
      <c r="CCU163" s="20"/>
      <c r="CCV163" s="20"/>
      <c r="CCW163" s="21"/>
      <c r="CCX163" s="21"/>
      <c r="CCY163" s="21"/>
      <c r="CCZ163" s="21"/>
      <c r="CDA163" s="21"/>
      <c r="CDB163" s="20"/>
      <c r="CDC163" s="20"/>
      <c r="CDD163" s="20"/>
      <c r="CDE163" s="20"/>
      <c r="CDF163" s="21"/>
      <c r="CDG163" s="21"/>
      <c r="CDH163" s="7"/>
      <c r="CDI163" s="7"/>
      <c r="CDJ163" s="21"/>
      <c r="CDK163" s="20"/>
      <c r="CDL163" s="20"/>
      <c r="CDM163" s="20"/>
      <c r="CDN163" s="21"/>
      <c r="CDO163" s="21"/>
      <c r="CDP163" s="21"/>
      <c r="CDQ163" s="21"/>
      <c r="CDR163" s="21"/>
      <c r="CDS163" s="20"/>
      <c r="CDT163" s="20"/>
      <c r="CDU163" s="20"/>
      <c r="CDV163" s="20"/>
      <c r="CDW163" s="21"/>
      <c r="CDX163" s="21"/>
      <c r="CDY163" s="7"/>
      <c r="CDZ163" s="7"/>
      <c r="CEA163" s="21"/>
      <c r="CEB163" s="20"/>
      <c r="CEC163" s="20"/>
      <c r="CED163" s="20"/>
      <c r="CEE163" s="21"/>
      <c r="CEF163" s="21"/>
      <c r="CEG163" s="21"/>
      <c r="CEH163" s="21"/>
      <c r="CEI163" s="21"/>
      <c r="CEJ163" s="20"/>
      <c r="CEK163" s="20"/>
      <c r="CEL163" s="20"/>
      <c r="CEM163" s="20"/>
      <c r="CEN163" s="21"/>
      <c r="CEO163" s="21"/>
      <c r="CEP163" s="7"/>
      <c r="CEQ163" s="7"/>
      <c r="CER163" s="21"/>
      <c r="CES163" s="20"/>
      <c r="CET163" s="20"/>
      <c r="CEU163" s="20"/>
      <c r="CEV163" s="21"/>
      <c r="CEW163" s="21"/>
      <c r="CEX163" s="21"/>
      <c r="CEY163" s="21"/>
      <c r="CEZ163" s="21"/>
      <c r="CFA163" s="20"/>
      <c r="CFB163" s="20"/>
      <c r="CFC163" s="20"/>
      <c r="CFD163" s="20"/>
      <c r="CFE163" s="21"/>
      <c r="CFF163" s="21"/>
      <c r="CFG163" s="7"/>
      <c r="CFH163" s="7"/>
      <c r="CFI163" s="21"/>
      <c r="CFJ163" s="20"/>
      <c r="CFK163" s="20"/>
      <c r="CFL163" s="20"/>
      <c r="CFM163" s="21"/>
      <c r="CFN163" s="21"/>
      <c r="CFO163" s="21"/>
      <c r="CFP163" s="21"/>
      <c r="CFQ163" s="21"/>
      <c r="CFR163" s="20"/>
      <c r="CFS163" s="20"/>
      <c r="CFT163" s="20"/>
      <c r="CFU163" s="20"/>
      <c r="CFV163" s="21"/>
      <c r="CFW163" s="21"/>
      <c r="CFX163" s="7"/>
      <c r="CFY163" s="7"/>
      <c r="CFZ163" s="21"/>
      <c r="CGA163" s="20"/>
      <c r="CGB163" s="20"/>
      <c r="CGC163" s="20"/>
      <c r="CGD163" s="21"/>
      <c r="CGE163" s="21"/>
      <c r="CGF163" s="21"/>
      <c r="CGG163" s="21"/>
      <c r="CGH163" s="21"/>
      <c r="CGI163" s="20"/>
      <c r="CGJ163" s="20"/>
      <c r="CGK163" s="20"/>
      <c r="CGL163" s="20"/>
      <c r="CGM163" s="21"/>
      <c r="CGN163" s="21"/>
      <c r="CGO163" s="7"/>
      <c r="CGP163" s="7"/>
      <c r="CGQ163" s="21"/>
      <c r="CGR163" s="20"/>
      <c r="CGS163" s="20"/>
      <c r="CGT163" s="20"/>
      <c r="CGU163" s="21"/>
      <c r="CGV163" s="21"/>
      <c r="CGW163" s="21"/>
      <c r="CGX163" s="21"/>
      <c r="CGY163" s="21"/>
      <c r="CGZ163" s="20"/>
      <c r="CHA163" s="20"/>
      <c r="CHB163" s="20"/>
      <c r="CHC163" s="20"/>
      <c r="CHD163" s="21"/>
      <c r="CHE163" s="21"/>
      <c r="CHF163" s="7"/>
      <c r="CHG163" s="7"/>
      <c r="CHH163" s="21"/>
      <c r="CHI163" s="20"/>
      <c r="CHJ163" s="20"/>
      <c r="CHK163" s="20"/>
      <c r="CHL163" s="21"/>
      <c r="CHM163" s="21"/>
      <c r="CHN163" s="21"/>
      <c r="CHO163" s="21"/>
      <c r="CHP163" s="21"/>
      <c r="CHQ163" s="20"/>
      <c r="CHR163" s="20"/>
      <c r="CHS163" s="20"/>
      <c r="CHT163" s="20"/>
      <c r="CHU163" s="21"/>
      <c r="CHV163" s="21"/>
      <c r="CHW163" s="7"/>
      <c r="CHX163" s="7"/>
      <c r="CHY163" s="21"/>
      <c r="CHZ163" s="20"/>
      <c r="CIA163" s="20"/>
      <c r="CIB163" s="20"/>
      <c r="CIC163" s="21"/>
      <c r="CID163" s="21"/>
      <c r="CIE163" s="21"/>
      <c r="CIF163" s="21"/>
      <c r="CIG163" s="21"/>
      <c r="CIH163" s="20"/>
      <c r="CII163" s="20"/>
      <c r="CIJ163" s="20"/>
      <c r="CIK163" s="20"/>
      <c r="CIL163" s="21"/>
      <c r="CIM163" s="21"/>
      <c r="CIN163" s="7"/>
      <c r="CIO163" s="7"/>
      <c r="CIP163" s="21"/>
      <c r="CIQ163" s="20"/>
      <c r="CIR163" s="20"/>
      <c r="CIS163" s="20"/>
      <c r="CIT163" s="21"/>
      <c r="CIU163" s="21"/>
      <c r="CIV163" s="21"/>
      <c r="CIW163" s="21"/>
      <c r="CIX163" s="21"/>
      <c r="CIY163" s="20"/>
      <c r="CIZ163" s="20"/>
      <c r="CJA163" s="20"/>
      <c r="CJB163" s="20"/>
      <c r="CJC163" s="21"/>
      <c r="CJD163" s="21"/>
      <c r="CJE163" s="7"/>
      <c r="CJF163" s="7"/>
      <c r="CJG163" s="21"/>
      <c r="CJH163" s="20"/>
      <c r="CJI163" s="20"/>
      <c r="CJJ163" s="20"/>
      <c r="CJK163" s="21"/>
      <c r="CJL163" s="21"/>
      <c r="CJM163" s="21"/>
      <c r="CJN163" s="21"/>
      <c r="CJO163" s="21"/>
      <c r="CJP163" s="20"/>
      <c r="CJQ163" s="20"/>
      <c r="CJR163" s="20"/>
      <c r="CJS163" s="20"/>
      <c r="CJT163" s="21"/>
      <c r="CJU163" s="21"/>
      <c r="CJV163" s="7"/>
      <c r="CJW163" s="7"/>
      <c r="CJX163" s="21"/>
      <c r="CJY163" s="20"/>
      <c r="CJZ163" s="20"/>
      <c r="CKA163" s="20"/>
      <c r="CKB163" s="21"/>
      <c r="CKC163" s="21"/>
      <c r="CKD163" s="21"/>
      <c r="CKE163" s="21"/>
      <c r="CKF163" s="21"/>
      <c r="CKG163" s="20"/>
      <c r="CKH163" s="20"/>
      <c r="CKI163" s="20"/>
      <c r="CKJ163" s="20"/>
      <c r="CKK163" s="21"/>
      <c r="CKL163" s="21"/>
      <c r="CKM163" s="7"/>
      <c r="CKN163" s="7"/>
      <c r="CKO163" s="21"/>
      <c r="CKP163" s="20"/>
      <c r="CKQ163" s="20"/>
      <c r="CKR163" s="20"/>
      <c r="CKS163" s="21"/>
      <c r="CKT163" s="21"/>
      <c r="CKU163" s="21"/>
      <c r="CKV163" s="21"/>
      <c r="CKW163" s="21"/>
      <c r="CKX163" s="20"/>
      <c r="CKY163" s="20"/>
      <c r="CKZ163" s="20"/>
      <c r="CLA163" s="20"/>
      <c r="CLB163" s="21"/>
      <c r="CLC163" s="21"/>
      <c r="CLD163" s="7"/>
      <c r="CLE163" s="7"/>
      <c r="CLF163" s="21"/>
      <c r="CLG163" s="20"/>
      <c r="CLH163" s="20"/>
      <c r="CLI163" s="20"/>
      <c r="CLJ163" s="21"/>
      <c r="CLK163" s="21"/>
      <c r="CLL163" s="21"/>
      <c r="CLM163" s="21"/>
      <c r="CLN163" s="21"/>
      <c r="CLO163" s="20"/>
      <c r="CLP163" s="20"/>
      <c r="CLQ163" s="20"/>
      <c r="CLR163" s="20"/>
      <c r="CLS163" s="21"/>
      <c r="CLT163" s="21"/>
      <c r="CLU163" s="7"/>
      <c r="CLV163" s="7"/>
      <c r="CLW163" s="21"/>
      <c r="CLX163" s="20"/>
      <c r="CLY163" s="20"/>
      <c r="CLZ163" s="20"/>
      <c r="CMA163" s="21"/>
      <c r="CMB163" s="21"/>
      <c r="CMC163" s="21"/>
      <c r="CMD163" s="21"/>
      <c r="CME163" s="21"/>
      <c r="CMF163" s="20"/>
      <c r="CMG163" s="20"/>
      <c r="CMH163" s="20"/>
      <c r="CMI163" s="20"/>
      <c r="CMJ163" s="21"/>
      <c r="CMK163" s="21"/>
      <c r="CML163" s="7"/>
      <c r="CMM163" s="7"/>
      <c r="CMN163" s="21"/>
      <c r="CMO163" s="20"/>
      <c r="CMP163" s="20"/>
      <c r="CMQ163" s="20"/>
      <c r="CMR163" s="21"/>
      <c r="CMS163" s="21"/>
      <c r="CMT163" s="21"/>
      <c r="CMU163" s="21"/>
      <c r="CMV163" s="21"/>
      <c r="CMW163" s="20"/>
      <c r="CMX163" s="20"/>
      <c r="CMY163" s="20"/>
      <c r="CMZ163" s="20"/>
      <c r="CNA163" s="21"/>
      <c r="CNB163" s="21"/>
      <c r="CNC163" s="7"/>
      <c r="CND163" s="7"/>
      <c r="CNE163" s="21"/>
      <c r="CNF163" s="20"/>
      <c r="CNG163" s="20"/>
      <c r="CNH163" s="20"/>
      <c r="CNI163" s="21"/>
      <c r="CNJ163" s="21"/>
      <c r="CNK163" s="21"/>
      <c r="CNL163" s="21"/>
      <c r="CNM163" s="21"/>
      <c r="CNN163" s="20"/>
      <c r="CNO163" s="20"/>
      <c r="CNP163" s="20"/>
      <c r="CNQ163" s="20"/>
      <c r="CNR163" s="21"/>
      <c r="CNS163" s="21"/>
      <c r="CNT163" s="7"/>
      <c r="CNU163" s="7"/>
      <c r="CNV163" s="21"/>
      <c r="CNW163" s="20"/>
      <c r="CNX163" s="20"/>
      <c r="CNY163" s="20"/>
      <c r="CNZ163" s="21"/>
      <c r="COA163" s="21"/>
      <c r="COB163" s="21"/>
      <c r="COC163" s="21"/>
      <c r="COD163" s="21"/>
      <c r="COE163" s="20"/>
      <c r="COF163" s="20"/>
      <c r="COG163" s="20"/>
      <c r="COH163" s="20"/>
      <c r="COI163" s="21"/>
      <c r="COJ163" s="21"/>
      <c r="COK163" s="7"/>
      <c r="COL163" s="7"/>
      <c r="COM163" s="21"/>
      <c r="CON163" s="20"/>
      <c r="COO163" s="20"/>
      <c r="COP163" s="20"/>
      <c r="COQ163" s="21"/>
      <c r="COR163" s="21"/>
      <c r="COS163" s="21"/>
      <c r="COT163" s="21"/>
      <c r="COU163" s="21"/>
      <c r="COV163" s="20"/>
      <c r="COW163" s="20"/>
      <c r="COX163" s="20"/>
      <c r="COY163" s="20"/>
      <c r="COZ163" s="21"/>
      <c r="CPA163" s="21"/>
      <c r="CPB163" s="7"/>
      <c r="CPC163" s="7"/>
      <c r="CPD163" s="21"/>
      <c r="CPE163" s="20"/>
      <c r="CPF163" s="20"/>
      <c r="CPG163" s="20"/>
      <c r="CPH163" s="21"/>
      <c r="CPI163" s="21"/>
      <c r="CPJ163" s="21"/>
      <c r="CPK163" s="21"/>
      <c r="CPL163" s="21"/>
      <c r="CPM163" s="20"/>
      <c r="CPN163" s="20"/>
      <c r="CPO163" s="20"/>
      <c r="CPP163" s="20"/>
      <c r="CPQ163" s="21"/>
      <c r="CPR163" s="21"/>
      <c r="CPS163" s="7"/>
      <c r="CPT163" s="7"/>
      <c r="CPU163" s="21"/>
      <c r="CPV163" s="20"/>
      <c r="CPW163" s="20"/>
      <c r="CPX163" s="20"/>
      <c r="CPY163" s="21"/>
      <c r="CPZ163" s="21"/>
      <c r="CQA163" s="21"/>
      <c r="CQB163" s="21"/>
      <c r="CQC163" s="21"/>
      <c r="CQD163" s="20"/>
      <c r="CQE163" s="20"/>
      <c r="CQF163" s="20"/>
      <c r="CQG163" s="20"/>
      <c r="CQH163" s="21"/>
      <c r="CQI163" s="21"/>
      <c r="CQJ163" s="7"/>
      <c r="CQK163" s="7"/>
      <c r="CQL163" s="21"/>
      <c r="CQM163" s="20"/>
      <c r="CQN163" s="20"/>
      <c r="CQO163" s="20"/>
      <c r="CQP163" s="21"/>
      <c r="CQQ163" s="21"/>
      <c r="CQR163" s="21"/>
      <c r="CQS163" s="21"/>
      <c r="CQT163" s="21"/>
      <c r="CQU163" s="20"/>
      <c r="CQV163" s="20"/>
      <c r="CQW163" s="20"/>
      <c r="CQX163" s="20"/>
      <c r="CQY163" s="21"/>
      <c r="CQZ163" s="21"/>
      <c r="CRA163" s="7"/>
      <c r="CRB163" s="7"/>
      <c r="CRC163" s="21"/>
      <c r="CRD163" s="20"/>
      <c r="CRE163" s="20"/>
      <c r="CRF163" s="20"/>
      <c r="CRG163" s="21"/>
      <c r="CRH163" s="21"/>
      <c r="CRI163" s="21"/>
      <c r="CRJ163" s="21"/>
      <c r="CRK163" s="21"/>
      <c r="CRL163" s="20"/>
      <c r="CRM163" s="20"/>
      <c r="CRN163" s="20"/>
      <c r="CRO163" s="20"/>
      <c r="CRP163" s="21"/>
      <c r="CRQ163" s="21"/>
      <c r="CRR163" s="7"/>
      <c r="CRS163" s="7"/>
      <c r="CRT163" s="21"/>
      <c r="CRU163" s="20"/>
      <c r="CRV163" s="20"/>
      <c r="CRW163" s="20"/>
      <c r="CRX163" s="21"/>
      <c r="CRY163" s="21"/>
      <c r="CRZ163" s="21"/>
      <c r="CSA163" s="21"/>
      <c r="CSB163" s="21"/>
      <c r="CSC163" s="20"/>
      <c r="CSD163" s="20"/>
      <c r="CSE163" s="20"/>
      <c r="CSF163" s="20"/>
      <c r="CSG163" s="21"/>
      <c r="CSH163" s="21"/>
      <c r="CSI163" s="7"/>
      <c r="CSJ163" s="7"/>
      <c r="CSK163" s="21"/>
      <c r="CSL163" s="20"/>
      <c r="CSM163" s="20"/>
      <c r="CSN163" s="20"/>
      <c r="CSO163" s="21"/>
      <c r="CSP163" s="21"/>
      <c r="CSQ163" s="21"/>
      <c r="CSR163" s="21"/>
      <c r="CSS163" s="21"/>
      <c r="CST163" s="20"/>
      <c r="CSU163" s="20"/>
      <c r="CSV163" s="20"/>
      <c r="CSW163" s="20"/>
      <c r="CSX163" s="21"/>
      <c r="CSY163" s="21"/>
      <c r="CSZ163" s="7"/>
      <c r="CTA163" s="7"/>
      <c r="CTB163" s="21"/>
      <c r="CTC163" s="20"/>
      <c r="CTD163" s="20"/>
      <c r="CTE163" s="20"/>
      <c r="CTF163" s="21"/>
      <c r="CTG163" s="21"/>
      <c r="CTH163" s="21"/>
      <c r="CTI163" s="21"/>
      <c r="CTJ163" s="21"/>
      <c r="CTK163" s="20"/>
      <c r="CTL163" s="20"/>
      <c r="CTM163" s="20"/>
      <c r="CTN163" s="20"/>
      <c r="CTO163" s="21"/>
      <c r="CTP163" s="21"/>
      <c r="CTQ163" s="7"/>
      <c r="CTR163" s="7"/>
      <c r="CTS163" s="21"/>
      <c r="CTT163" s="20"/>
      <c r="CTU163" s="20"/>
      <c r="CTV163" s="20"/>
      <c r="CTW163" s="21"/>
      <c r="CTX163" s="21"/>
      <c r="CTY163" s="21"/>
      <c r="CTZ163" s="21"/>
      <c r="CUA163" s="21"/>
      <c r="CUB163" s="20"/>
      <c r="CUC163" s="20"/>
      <c r="CUD163" s="20"/>
      <c r="CUE163" s="20"/>
      <c r="CUF163" s="21"/>
      <c r="CUG163" s="21"/>
      <c r="CUH163" s="7"/>
      <c r="CUI163" s="7"/>
      <c r="CUJ163" s="21"/>
      <c r="CUK163" s="20"/>
      <c r="CUL163" s="20"/>
      <c r="CUM163" s="20"/>
      <c r="CUN163" s="21"/>
      <c r="CUO163" s="21"/>
      <c r="CUP163" s="21"/>
      <c r="CUQ163" s="21"/>
      <c r="CUR163" s="21"/>
      <c r="CUS163" s="20"/>
      <c r="CUT163" s="20"/>
      <c r="CUU163" s="20"/>
      <c r="CUV163" s="20"/>
      <c r="CUW163" s="21"/>
      <c r="CUX163" s="21"/>
      <c r="CUY163" s="7"/>
      <c r="CUZ163" s="7"/>
      <c r="CVA163" s="21"/>
      <c r="CVB163" s="20"/>
      <c r="CVC163" s="20"/>
      <c r="CVD163" s="20"/>
      <c r="CVE163" s="21"/>
      <c r="CVF163" s="21"/>
      <c r="CVG163" s="21"/>
      <c r="CVH163" s="21"/>
      <c r="CVI163" s="21"/>
      <c r="CVJ163" s="20"/>
      <c r="CVK163" s="20"/>
      <c r="CVL163" s="20"/>
      <c r="CVM163" s="20"/>
      <c r="CVN163" s="21"/>
      <c r="CVO163" s="21"/>
      <c r="CVP163" s="7"/>
      <c r="CVQ163" s="7"/>
      <c r="CVR163" s="21"/>
      <c r="CVS163" s="20"/>
      <c r="CVT163" s="20"/>
      <c r="CVU163" s="20"/>
      <c r="CVV163" s="21"/>
      <c r="CVW163" s="21"/>
      <c r="CVX163" s="21"/>
      <c r="CVY163" s="21"/>
      <c r="CVZ163" s="21"/>
      <c r="CWA163" s="20"/>
      <c r="CWB163" s="20"/>
      <c r="CWC163" s="20"/>
      <c r="CWD163" s="20"/>
      <c r="CWE163" s="21"/>
      <c r="CWF163" s="21"/>
      <c r="CWG163" s="7"/>
      <c r="CWH163" s="7"/>
      <c r="CWI163" s="21"/>
      <c r="CWJ163" s="20"/>
      <c r="CWK163" s="20"/>
      <c r="CWL163" s="20"/>
      <c r="CWM163" s="21"/>
      <c r="CWN163" s="21"/>
      <c r="CWO163" s="21"/>
      <c r="CWP163" s="21"/>
      <c r="CWQ163" s="21"/>
      <c r="CWR163" s="20"/>
      <c r="CWS163" s="20"/>
      <c r="CWT163" s="20"/>
      <c r="CWU163" s="20"/>
      <c r="CWV163" s="21"/>
      <c r="CWW163" s="21"/>
      <c r="CWX163" s="7"/>
      <c r="CWY163" s="7"/>
      <c r="CWZ163" s="21"/>
      <c r="CXA163" s="20"/>
      <c r="CXB163" s="20"/>
      <c r="CXC163" s="20"/>
      <c r="CXD163" s="21"/>
      <c r="CXE163" s="21"/>
      <c r="CXF163" s="21"/>
      <c r="CXG163" s="21"/>
      <c r="CXH163" s="21"/>
      <c r="CXI163" s="20"/>
      <c r="CXJ163" s="20"/>
      <c r="CXK163" s="20"/>
      <c r="CXL163" s="20"/>
      <c r="CXM163" s="21"/>
      <c r="CXN163" s="21"/>
      <c r="CXO163" s="7"/>
      <c r="CXP163" s="7"/>
      <c r="CXQ163" s="21"/>
      <c r="CXR163" s="20"/>
      <c r="CXS163" s="20"/>
      <c r="CXT163" s="20"/>
      <c r="CXU163" s="21"/>
      <c r="CXV163" s="21"/>
      <c r="CXW163" s="21"/>
      <c r="CXX163" s="21"/>
      <c r="CXY163" s="21"/>
      <c r="CXZ163" s="20"/>
      <c r="CYA163" s="20"/>
      <c r="CYB163" s="20"/>
      <c r="CYC163" s="20"/>
      <c r="CYD163" s="21"/>
      <c r="CYE163" s="21"/>
      <c r="CYF163" s="7"/>
      <c r="CYG163" s="7"/>
      <c r="CYH163" s="21"/>
      <c r="CYI163" s="20"/>
      <c r="CYJ163" s="20"/>
      <c r="CYK163" s="20"/>
      <c r="CYL163" s="21"/>
      <c r="CYM163" s="21"/>
      <c r="CYN163" s="21"/>
      <c r="CYO163" s="21"/>
      <c r="CYP163" s="21"/>
      <c r="CYQ163" s="20"/>
      <c r="CYR163" s="20"/>
      <c r="CYS163" s="20"/>
      <c r="CYT163" s="20"/>
      <c r="CYU163" s="21"/>
      <c r="CYV163" s="21"/>
      <c r="CYW163" s="7"/>
      <c r="CYX163" s="7"/>
      <c r="CYY163" s="21"/>
      <c r="CYZ163" s="20"/>
      <c r="CZA163" s="20"/>
      <c r="CZB163" s="20"/>
      <c r="CZC163" s="21"/>
      <c r="CZD163" s="21"/>
      <c r="CZE163" s="21"/>
      <c r="CZF163" s="21"/>
      <c r="CZG163" s="21"/>
      <c r="CZH163" s="20"/>
      <c r="CZI163" s="20"/>
      <c r="CZJ163" s="20"/>
      <c r="CZK163" s="20"/>
      <c r="CZL163" s="21"/>
      <c r="CZM163" s="21"/>
      <c r="CZN163" s="7"/>
      <c r="CZO163" s="7"/>
      <c r="CZP163" s="21"/>
      <c r="CZQ163" s="20"/>
      <c r="CZR163" s="20"/>
      <c r="CZS163" s="20"/>
      <c r="CZT163" s="21"/>
      <c r="CZU163" s="21"/>
      <c r="CZV163" s="21"/>
      <c r="CZW163" s="21"/>
      <c r="CZX163" s="21"/>
      <c r="CZY163" s="20"/>
      <c r="CZZ163" s="20"/>
      <c r="DAA163" s="20"/>
      <c r="DAB163" s="20"/>
      <c r="DAC163" s="21"/>
      <c r="DAD163" s="21"/>
      <c r="DAE163" s="7"/>
      <c r="DAF163" s="7"/>
      <c r="DAG163" s="21"/>
      <c r="DAH163" s="20"/>
      <c r="DAI163" s="20"/>
      <c r="DAJ163" s="20"/>
      <c r="DAK163" s="21"/>
      <c r="DAL163" s="21"/>
      <c r="DAM163" s="21"/>
      <c r="DAN163" s="21"/>
      <c r="DAO163" s="21"/>
      <c r="DAP163" s="20"/>
      <c r="DAQ163" s="20"/>
      <c r="DAR163" s="20"/>
      <c r="DAS163" s="20"/>
      <c r="DAT163" s="21"/>
      <c r="DAU163" s="21"/>
      <c r="DAV163" s="7"/>
      <c r="DAW163" s="7"/>
      <c r="DAX163" s="21"/>
      <c r="DAY163" s="20"/>
      <c r="DAZ163" s="20"/>
      <c r="DBA163" s="20"/>
      <c r="DBB163" s="21"/>
      <c r="DBC163" s="21"/>
      <c r="DBD163" s="21"/>
      <c r="DBE163" s="21"/>
      <c r="DBF163" s="21"/>
      <c r="DBG163" s="20"/>
      <c r="DBH163" s="20"/>
      <c r="DBI163" s="20"/>
      <c r="DBJ163" s="20"/>
      <c r="DBK163" s="21"/>
      <c r="DBL163" s="21"/>
      <c r="DBM163" s="7"/>
      <c r="DBN163" s="7"/>
      <c r="DBO163" s="21"/>
      <c r="DBP163" s="20"/>
      <c r="DBQ163" s="20"/>
      <c r="DBR163" s="20"/>
      <c r="DBS163" s="21"/>
      <c r="DBT163" s="21"/>
      <c r="DBU163" s="21"/>
      <c r="DBV163" s="21"/>
      <c r="DBW163" s="21"/>
      <c r="DBX163" s="20"/>
      <c r="DBY163" s="20"/>
      <c r="DBZ163" s="20"/>
      <c r="DCA163" s="20"/>
      <c r="DCB163" s="21"/>
      <c r="DCC163" s="21"/>
      <c r="DCD163" s="7"/>
      <c r="DCE163" s="7"/>
      <c r="DCF163" s="21"/>
      <c r="DCG163" s="20"/>
      <c r="DCH163" s="20"/>
      <c r="DCI163" s="20"/>
      <c r="DCJ163" s="21"/>
      <c r="DCK163" s="21"/>
      <c r="DCL163" s="21"/>
      <c r="DCM163" s="21"/>
      <c r="DCN163" s="21"/>
      <c r="DCO163" s="20"/>
      <c r="DCP163" s="20"/>
      <c r="DCQ163" s="20"/>
      <c r="DCR163" s="20"/>
      <c r="DCS163" s="21"/>
      <c r="DCT163" s="21"/>
      <c r="DCU163" s="7"/>
      <c r="DCV163" s="7"/>
      <c r="DCW163" s="21"/>
      <c r="DCX163" s="20"/>
      <c r="DCY163" s="20"/>
      <c r="DCZ163" s="20"/>
      <c r="DDA163" s="21"/>
      <c r="DDB163" s="21"/>
      <c r="DDC163" s="21"/>
      <c r="DDD163" s="21"/>
      <c r="DDE163" s="21"/>
      <c r="DDF163" s="20"/>
      <c r="DDG163" s="20"/>
      <c r="DDH163" s="20"/>
      <c r="DDI163" s="20"/>
      <c r="DDJ163" s="21"/>
      <c r="DDK163" s="21"/>
      <c r="DDL163" s="7"/>
      <c r="DDM163" s="7"/>
      <c r="DDN163" s="21"/>
      <c r="DDO163" s="20"/>
      <c r="DDP163" s="20"/>
      <c r="DDQ163" s="20"/>
      <c r="DDR163" s="21"/>
      <c r="DDS163" s="21"/>
      <c r="DDT163" s="21"/>
      <c r="DDU163" s="21"/>
      <c r="DDV163" s="21"/>
      <c r="DDW163" s="20"/>
      <c r="DDX163" s="20"/>
      <c r="DDY163" s="20"/>
      <c r="DDZ163" s="20"/>
      <c r="DEA163" s="21"/>
      <c r="DEB163" s="21"/>
      <c r="DEC163" s="7"/>
      <c r="DED163" s="7"/>
      <c r="DEE163" s="21"/>
      <c r="DEF163" s="20"/>
      <c r="DEG163" s="20"/>
      <c r="DEH163" s="20"/>
      <c r="DEI163" s="21"/>
      <c r="DEJ163" s="21"/>
      <c r="DEK163" s="21"/>
      <c r="DEL163" s="21"/>
      <c r="DEM163" s="21"/>
      <c r="DEN163" s="20"/>
      <c r="DEO163" s="20"/>
      <c r="DEP163" s="20"/>
      <c r="DEQ163" s="20"/>
      <c r="DER163" s="21"/>
      <c r="DES163" s="21"/>
      <c r="DET163" s="7"/>
      <c r="DEU163" s="7"/>
      <c r="DEV163" s="21"/>
      <c r="DEW163" s="20"/>
      <c r="DEX163" s="20"/>
      <c r="DEY163" s="20"/>
      <c r="DEZ163" s="21"/>
      <c r="DFA163" s="21"/>
      <c r="DFB163" s="21"/>
      <c r="DFC163" s="21"/>
      <c r="DFD163" s="21"/>
      <c r="DFE163" s="20"/>
      <c r="DFF163" s="20"/>
      <c r="DFG163" s="20"/>
      <c r="DFH163" s="20"/>
      <c r="DFI163" s="21"/>
      <c r="DFJ163" s="21"/>
      <c r="DFK163" s="7"/>
      <c r="DFL163" s="7"/>
      <c r="DFM163" s="21"/>
      <c r="DFN163" s="20"/>
      <c r="DFO163" s="20"/>
      <c r="DFP163" s="20"/>
      <c r="DFQ163" s="21"/>
      <c r="DFR163" s="21"/>
      <c r="DFS163" s="21"/>
      <c r="DFT163" s="21"/>
      <c r="DFU163" s="21"/>
      <c r="DFV163" s="20"/>
      <c r="DFW163" s="20"/>
      <c r="DFX163" s="20"/>
      <c r="DFY163" s="20"/>
      <c r="DFZ163" s="21"/>
      <c r="DGA163" s="21"/>
      <c r="DGB163" s="7"/>
      <c r="DGC163" s="7"/>
      <c r="DGD163" s="21"/>
      <c r="DGE163" s="20"/>
      <c r="DGF163" s="20"/>
      <c r="DGG163" s="20"/>
      <c r="DGH163" s="21"/>
      <c r="DGI163" s="21"/>
      <c r="DGJ163" s="21"/>
      <c r="DGK163" s="21"/>
      <c r="DGL163" s="21"/>
      <c r="DGM163" s="20"/>
      <c r="DGN163" s="20"/>
      <c r="DGO163" s="20"/>
      <c r="DGP163" s="20"/>
      <c r="DGQ163" s="21"/>
      <c r="DGR163" s="21"/>
      <c r="DGS163" s="7"/>
      <c r="DGT163" s="7"/>
      <c r="DGU163" s="21"/>
      <c r="DGV163" s="20"/>
      <c r="DGW163" s="20"/>
      <c r="DGX163" s="20"/>
      <c r="DGY163" s="21"/>
      <c r="DGZ163" s="21"/>
      <c r="DHA163" s="21"/>
      <c r="DHB163" s="21"/>
      <c r="DHC163" s="21"/>
      <c r="DHD163" s="20"/>
      <c r="DHE163" s="20"/>
      <c r="DHF163" s="20"/>
      <c r="DHG163" s="20"/>
      <c r="DHH163" s="21"/>
      <c r="DHI163" s="21"/>
      <c r="DHJ163" s="7"/>
      <c r="DHK163" s="7"/>
      <c r="DHL163" s="21"/>
      <c r="DHM163" s="20"/>
      <c r="DHN163" s="20"/>
      <c r="DHO163" s="20"/>
      <c r="DHP163" s="21"/>
      <c r="DHQ163" s="21"/>
      <c r="DHR163" s="21"/>
      <c r="DHS163" s="21"/>
      <c r="DHT163" s="21"/>
      <c r="DHU163" s="20"/>
      <c r="DHV163" s="20"/>
      <c r="DHW163" s="20"/>
      <c r="DHX163" s="20"/>
      <c r="DHY163" s="21"/>
      <c r="DHZ163" s="21"/>
      <c r="DIA163" s="7"/>
      <c r="DIB163" s="7"/>
      <c r="DIC163" s="21"/>
      <c r="DID163" s="20"/>
      <c r="DIE163" s="20"/>
      <c r="DIF163" s="20"/>
      <c r="DIG163" s="21"/>
      <c r="DIH163" s="21"/>
      <c r="DII163" s="21"/>
      <c r="DIJ163" s="21"/>
      <c r="DIK163" s="21"/>
      <c r="DIL163" s="20"/>
      <c r="DIM163" s="20"/>
      <c r="DIN163" s="20"/>
      <c r="DIO163" s="20"/>
      <c r="DIP163" s="21"/>
      <c r="DIQ163" s="21"/>
      <c r="DIR163" s="7"/>
      <c r="DIS163" s="7"/>
      <c r="DIT163" s="21"/>
      <c r="DIU163" s="20"/>
      <c r="DIV163" s="20"/>
      <c r="DIW163" s="20"/>
      <c r="DIX163" s="21"/>
      <c r="DIY163" s="21"/>
      <c r="DIZ163" s="21"/>
      <c r="DJA163" s="21"/>
      <c r="DJB163" s="21"/>
      <c r="DJC163" s="20"/>
      <c r="DJD163" s="20"/>
      <c r="DJE163" s="20"/>
      <c r="DJF163" s="20"/>
      <c r="DJG163" s="21"/>
      <c r="DJH163" s="21"/>
      <c r="DJI163" s="7"/>
      <c r="DJJ163" s="7"/>
      <c r="DJK163" s="21"/>
      <c r="DJL163" s="20"/>
      <c r="DJM163" s="20"/>
      <c r="DJN163" s="20"/>
      <c r="DJO163" s="21"/>
      <c r="DJP163" s="21"/>
      <c r="DJQ163" s="21"/>
      <c r="DJR163" s="21"/>
      <c r="DJS163" s="21"/>
      <c r="DJT163" s="20"/>
      <c r="DJU163" s="20"/>
      <c r="DJV163" s="20"/>
      <c r="DJW163" s="20"/>
      <c r="DJX163" s="21"/>
      <c r="DJY163" s="21"/>
      <c r="DJZ163" s="7"/>
      <c r="DKA163" s="7"/>
      <c r="DKB163" s="21"/>
      <c r="DKC163" s="20"/>
      <c r="DKD163" s="20"/>
      <c r="DKE163" s="20"/>
      <c r="DKF163" s="21"/>
      <c r="DKG163" s="21"/>
      <c r="DKH163" s="21"/>
      <c r="DKI163" s="21"/>
      <c r="DKJ163" s="21"/>
      <c r="DKK163" s="20"/>
      <c r="DKL163" s="20"/>
      <c r="DKM163" s="20"/>
      <c r="DKN163" s="20"/>
      <c r="DKO163" s="21"/>
      <c r="DKP163" s="21"/>
      <c r="DKQ163" s="7"/>
      <c r="DKR163" s="7"/>
      <c r="DKS163" s="21"/>
      <c r="DKT163" s="20"/>
      <c r="DKU163" s="20"/>
      <c r="DKV163" s="20"/>
      <c r="DKW163" s="21"/>
      <c r="DKX163" s="21"/>
      <c r="DKY163" s="21"/>
      <c r="DKZ163" s="21"/>
      <c r="DLA163" s="21"/>
      <c r="DLB163" s="20"/>
      <c r="DLC163" s="20"/>
      <c r="DLD163" s="20"/>
      <c r="DLE163" s="20"/>
      <c r="DLF163" s="21"/>
      <c r="DLG163" s="21"/>
      <c r="DLH163" s="7"/>
      <c r="DLI163" s="7"/>
      <c r="DLJ163" s="21"/>
      <c r="DLK163" s="20"/>
      <c r="DLL163" s="20"/>
      <c r="DLM163" s="20"/>
      <c r="DLN163" s="21"/>
      <c r="DLO163" s="21"/>
      <c r="DLP163" s="21"/>
      <c r="DLQ163" s="21"/>
      <c r="DLR163" s="21"/>
      <c r="DLS163" s="20"/>
      <c r="DLT163" s="20"/>
      <c r="DLU163" s="20"/>
      <c r="DLV163" s="20"/>
      <c r="DLW163" s="21"/>
      <c r="DLX163" s="21"/>
      <c r="DLY163" s="7"/>
      <c r="DLZ163" s="7"/>
      <c r="DMA163" s="21"/>
      <c r="DMB163" s="20"/>
      <c r="DMC163" s="20"/>
      <c r="DMD163" s="20"/>
      <c r="DME163" s="21"/>
      <c r="DMF163" s="21"/>
      <c r="DMG163" s="21"/>
      <c r="DMH163" s="21"/>
      <c r="DMI163" s="21"/>
      <c r="DMJ163" s="20"/>
      <c r="DMK163" s="20"/>
      <c r="DML163" s="20"/>
      <c r="DMM163" s="20"/>
      <c r="DMN163" s="21"/>
      <c r="DMO163" s="21"/>
      <c r="DMP163" s="7"/>
      <c r="DMQ163" s="7"/>
      <c r="DMR163" s="21"/>
      <c r="DMS163" s="20"/>
      <c r="DMT163" s="20"/>
      <c r="DMU163" s="20"/>
      <c r="DMV163" s="21"/>
      <c r="DMW163" s="21"/>
      <c r="DMX163" s="21"/>
      <c r="DMY163" s="21"/>
      <c r="DMZ163" s="21"/>
      <c r="DNA163" s="20"/>
      <c r="DNB163" s="20"/>
      <c r="DNC163" s="20"/>
      <c r="DND163" s="20"/>
      <c r="DNE163" s="21"/>
      <c r="DNF163" s="21"/>
      <c r="DNG163" s="7"/>
      <c r="DNH163" s="7"/>
      <c r="DNI163" s="21"/>
      <c r="DNJ163" s="20"/>
      <c r="DNK163" s="20"/>
      <c r="DNL163" s="20"/>
      <c r="DNM163" s="21"/>
      <c r="DNN163" s="21"/>
      <c r="DNO163" s="21"/>
      <c r="DNP163" s="21"/>
      <c r="DNQ163" s="21"/>
      <c r="DNR163" s="20"/>
      <c r="DNS163" s="20"/>
      <c r="DNT163" s="20"/>
      <c r="DNU163" s="20"/>
      <c r="DNV163" s="21"/>
      <c r="DNW163" s="21"/>
      <c r="DNX163" s="7"/>
      <c r="DNY163" s="7"/>
      <c r="DNZ163" s="21"/>
      <c r="DOA163" s="20"/>
      <c r="DOB163" s="20"/>
      <c r="DOC163" s="20"/>
      <c r="DOD163" s="21"/>
      <c r="DOE163" s="21"/>
      <c r="DOF163" s="21"/>
      <c r="DOG163" s="21"/>
      <c r="DOH163" s="21"/>
      <c r="DOI163" s="20"/>
      <c r="DOJ163" s="20"/>
      <c r="DOK163" s="20"/>
      <c r="DOL163" s="20"/>
      <c r="DOM163" s="21"/>
      <c r="DON163" s="21"/>
      <c r="DOO163" s="7"/>
      <c r="DOP163" s="7"/>
      <c r="DOQ163" s="21"/>
      <c r="DOR163" s="20"/>
      <c r="DOS163" s="20"/>
      <c r="DOT163" s="20"/>
      <c r="DOU163" s="21"/>
      <c r="DOV163" s="21"/>
      <c r="DOW163" s="21"/>
      <c r="DOX163" s="21"/>
      <c r="DOY163" s="21"/>
      <c r="DOZ163" s="20"/>
      <c r="DPA163" s="20"/>
      <c r="DPB163" s="20"/>
      <c r="DPC163" s="20"/>
      <c r="DPD163" s="21"/>
      <c r="DPE163" s="21"/>
      <c r="DPF163" s="7"/>
      <c r="DPG163" s="7"/>
      <c r="DPH163" s="21"/>
      <c r="DPI163" s="20"/>
      <c r="DPJ163" s="20"/>
      <c r="DPK163" s="20"/>
      <c r="DPL163" s="21"/>
      <c r="DPM163" s="21"/>
      <c r="DPN163" s="21"/>
      <c r="DPO163" s="21"/>
      <c r="DPP163" s="21"/>
      <c r="DPQ163" s="20"/>
      <c r="DPR163" s="20"/>
      <c r="DPS163" s="20"/>
      <c r="DPT163" s="20"/>
      <c r="DPU163" s="21"/>
      <c r="DPV163" s="21"/>
      <c r="DPW163" s="7"/>
      <c r="DPX163" s="7"/>
      <c r="DPY163" s="21"/>
      <c r="DPZ163" s="20"/>
      <c r="DQA163" s="20"/>
      <c r="DQB163" s="20"/>
      <c r="DQC163" s="21"/>
      <c r="DQD163" s="21"/>
      <c r="DQE163" s="21"/>
      <c r="DQF163" s="21"/>
      <c r="DQG163" s="21"/>
      <c r="DQH163" s="20"/>
      <c r="DQI163" s="20"/>
      <c r="DQJ163" s="20"/>
      <c r="DQK163" s="20"/>
      <c r="DQL163" s="21"/>
      <c r="DQM163" s="21"/>
      <c r="DQN163" s="7"/>
      <c r="DQO163" s="7"/>
      <c r="DQP163" s="21"/>
      <c r="DQQ163" s="20"/>
      <c r="DQR163" s="20"/>
      <c r="DQS163" s="20"/>
      <c r="DQT163" s="21"/>
      <c r="DQU163" s="21"/>
      <c r="DQV163" s="21"/>
      <c r="DQW163" s="21"/>
      <c r="DQX163" s="21"/>
      <c r="DQY163" s="20"/>
      <c r="DQZ163" s="20"/>
      <c r="DRA163" s="20"/>
      <c r="DRB163" s="20"/>
      <c r="DRC163" s="21"/>
      <c r="DRD163" s="21"/>
      <c r="DRE163" s="7"/>
      <c r="DRF163" s="7"/>
      <c r="DRG163" s="21"/>
      <c r="DRH163" s="20"/>
      <c r="DRI163" s="20"/>
      <c r="DRJ163" s="20"/>
      <c r="DRK163" s="21"/>
      <c r="DRL163" s="21"/>
      <c r="DRM163" s="21"/>
      <c r="DRN163" s="21"/>
      <c r="DRO163" s="21"/>
      <c r="DRP163" s="20"/>
      <c r="DRQ163" s="20"/>
      <c r="DRR163" s="20"/>
      <c r="DRS163" s="20"/>
      <c r="DRT163" s="21"/>
      <c r="DRU163" s="21"/>
      <c r="DRV163" s="7"/>
      <c r="DRW163" s="7"/>
      <c r="DRX163" s="21"/>
      <c r="DRY163" s="20"/>
      <c r="DRZ163" s="20"/>
      <c r="DSA163" s="20"/>
      <c r="DSB163" s="21"/>
      <c r="DSC163" s="21"/>
      <c r="DSD163" s="21"/>
      <c r="DSE163" s="21"/>
      <c r="DSF163" s="21"/>
      <c r="DSG163" s="20"/>
      <c r="DSH163" s="20"/>
      <c r="DSI163" s="20"/>
      <c r="DSJ163" s="20"/>
      <c r="DSK163" s="21"/>
      <c r="DSL163" s="21"/>
      <c r="DSM163" s="7"/>
      <c r="DSN163" s="7"/>
      <c r="DSO163" s="21"/>
      <c r="DSP163" s="20"/>
      <c r="DSQ163" s="20"/>
      <c r="DSR163" s="20"/>
      <c r="DSS163" s="21"/>
      <c r="DST163" s="21"/>
      <c r="DSU163" s="21"/>
      <c r="DSV163" s="21"/>
      <c r="DSW163" s="21"/>
      <c r="DSX163" s="20"/>
      <c r="DSY163" s="20"/>
      <c r="DSZ163" s="20"/>
      <c r="DTA163" s="20"/>
      <c r="DTB163" s="21"/>
      <c r="DTC163" s="21"/>
      <c r="DTD163" s="7"/>
      <c r="DTE163" s="7"/>
      <c r="DTF163" s="21"/>
      <c r="DTG163" s="20"/>
      <c r="DTH163" s="20"/>
      <c r="DTI163" s="20"/>
      <c r="DTJ163" s="21"/>
      <c r="DTK163" s="21"/>
      <c r="DTL163" s="21"/>
      <c r="DTM163" s="21"/>
      <c r="DTN163" s="21"/>
      <c r="DTO163" s="20"/>
      <c r="DTP163" s="20"/>
      <c r="DTQ163" s="20"/>
      <c r="DTR163" s="20"/>
      <c r="DTS163" s="21"/>
      <c r="DTT163" s="21"/>
      <c r="DTU163" s="7"/>
      <c r="DTV163" s="7"/>
      <c r="DTW163" s="21"/>
      <c r="DTX163" s="20"/>
      <c r="DTY163" s="20"/>
      <c r="DTZ163" s="20"/>
      <c r="DUA163" s="21"/>
      <c r="DUB163" s="21"/>
      <c r="DUC163" s="21"/>
      <c r="DUD163" s="21"/>
      <c r="DUE163" s="21"/>
      <c r="DUF163" s="20"/>
      <c r="DUG163" s="20"/>
      <c r="DUH163" s="20"/>
      <c r="DUI163" s="20"/>
      <c r="DUJ163" s="21"/>
      <c r="DUK163" s="21"/>
      <c r="DUL163" s="7"/>
      <c r="DUM163" s="7"/>
      <c r="DUN163" s="21"/>
      <c r="DUO163" s="20"/>
      <c r="DUP163" s="20"/>
      <c r="DUQ163" s="20"/>
      <c r="DUR163" s="21"/>
      <c r="DUS163" s="21"/>
      <c r="DUT163" s="21"/>
      <c r="DUU163" s="21"/>
      <c r="DUV163" s="21"/>
      <c r="DUW163" s="20"/>
      <c r="DUX163" s="20"/>
      <c r="DUY163" s="20"/>
      <c r="DUZ163" s="20"/>
      <c r="DVA163" s="21"/>
      <c r="DVB163" s="21"/>
      <c r="DVC163" s="7"/>
      <c r="DVD163" s="7"/>
      <c r="DVE163" s="21"/>
      <c r="DVF163" s="20"/>
      <c r="DVG163" s="20"/>
      <c r="DVH163" s="20"/>
      <c r="DVI163" s="21"/>
      <c r="DVJ163" s="21"/>
      <c r="DVK163" s="21"/>
      <c r="DVL163" s="21"/>
      <c r="DVM163" s="21"/>
      <c r="DVN163" s="20"/>
      <c r="DVO163" s="20"/>
      <c r="DVP163" s="20"/>
      <c r="DVQ163" s="20"/>
      <c r="DVR163" s="21"/>
      <c r="DVS163" s="21"/>
      <c r="DVT163" s="7"/>
      <c r="DVU163" s="7"/>
      <c r="DVV163" s="21"/>
      <c r="DVW163" s="20"/>
      <c r="DVX163" s="20"/>
      <c r="DVY163" s="20"/>
      <c r="DVZ163" s="21"/>
      <c r="DWA163" s="21"/>
      <c r="DWB163" s="21"/>
      <c r="DWC163" s="21"/>
      <c r="DWD163" s="21"/>
      <c r="DWE163" s="20"/>
      <c r="DWF163" s="20"/>
      <c r="DWG163" s="20"/>
      <c r="DWH163" s="20"/>
      <c r="DWI163" s="21"/>
      <c r="DWJ163" s="21"/>
      <c r="DWK163" s="7"/>
      <c r="DWL163" s="7"/>
      <c r="DWM163" s="21"/>
      <c r="DWN163" s="20"/>
      <c r="DWO163" s="20"/>
      <c r="DWP163" s="20"/>
      <c r="DWQ163" s="21"/>
      <c r="DWR163" s="21"/>
      <c r="DWS163" s="21"/>
      <c r="DWT163" s="21"/>
      <c r="DWU163" s="21"/>
      <c r="DWV163" s="20"/>
      <c r="DWW163" s="20"/>
      <c r="DWX163" s="20"/>
      <c r="DWY163" s="20"/>
      <c r="DWZ163" s="21"/>
      <c r="DXA163" s="21"/>
      <c r="DXB163" s="7"/>
      <c r="DXC163" s="7"/>
      <c r="DXD163" s="21"/>
      <c r="DXE163" s="20"/>
      <c r="DXF163" s="20"/>
      <c r="DXG163" s="20"/>
      <c r="DXH163" s="21"/>
      <c r="DXI163" s="21"/>
      <c r="DXJ163" s="21"/>
      <c r="DXK163" s="21"/>
      <c r="DXL163" s="21"/>
      <c r="DXM163" s="20"/>
      <c r="DXN163" s="20"/>
      <c r="DXO163" s="20"/>
      <c r="DXP163" s="20"/>
      <c r="DXQ163" s="21"/>
      <c r="DXR163" s="21"/>
      <c r="DXS163" s="7"/>
      <c r="DXT163" s="7"/>
      <c r="DXU163" s="21"/>
      <c r="DXV163" s="20"/>
      <c r="DXW163" s="20"/>
      <c r="DXX163" s="20"/>
      <c r="DXY163" s="21"/>
      <c r="DXZ163" s="21"/>
      <c r="DYA163" s="21"/>
      <c r="DYB163" s="21"/>
      <c r="DYC163" s="21"/>
      <c r="DYD163" s="20"/>
      <c r="DYE163" s="20"/>
      <c r="DYF163" s="20"/>
      <c r="DYG163" s="20"/>
      <c r="DYH163" s="21"/>
      <c r="DYI163" s="21"/>
      <c r="DYJ163" s="7"/>
      <c r="DYK163" s="7"/>
      <c r="DYL163" s="21"/>
      <c r="DYM163" s="20"/>
      <c r="DYN163" s="20"/>
      <c r="DYO163" s="20"/>
      <c r="DYP163" s="21"/>
      <c r="DYQ163" s="21"/>
      <c r="DYR163" s="21"/>
      <c r="DYS163" s="21"/>
      <c r="DYT163" s="21"/>
      <c r="DYU163" s="20"/>
      <c r="DYV163" s="20"/>
      <c r="DYW163" s="20"/>
      <c r="DYX163" s="20"/>
      <c r="DYY163" s="21"/>
      <c r="DYZ163" s="21"/>
      <c r="DZA163" s="7"/>
      <c r="DZB163" s="7"/>
      <c r="DZC163" s="21"/>
      <c r="DZD163" s="20"/>
      <c r="DZE163" s="20"/>
      <c r="DZF163" s="20"/>
      <c r="DZG163" s="21"/>
      <c r="DZH163" s="21"/>
      <c r="DZI163" s="21"/>
      <c r="DZJ163" s="21"/>
      <c r="DZK163" s="21"/>
      <c r="DZL163" s="20"/>
      <c r="DZM163" s="20"/>
      <c r="DZN163" s="20"/>
      <c r="DZO163" s="20"/>
      <c r="DZP163" s="21"/>
      <c r="DZQ163" s="21"/>
      <c r="DZR163" s="7"/>
      <c r="DZS163" s="7"/>
      <c r="DZT163" s="21"/>
      <c r="DZU163" s="20"/>
      <c r="DZV163" s="20"/>
      <c r="DZW163" s="20"/>
      <c r="DZX163" s="21"/>
      <c r="DZY163" s="21"/>
      <c r="DZZ163" s="21"/>
      <c r="EAA163" s="21"/>
      <c r="EAB163" s="21"/>
      <c r="EAC163" s="20"/>
      <c r="EAD163" s="20"/>
      <c r="EAE163" s="20"/>
      <c r="EAF163" s="20"/>
      <c r="EAG163" s="21"/>
      <c r="EAH163" s="21"/>
      <c r="EAI163" s="7"/>
      <c r="EAJ163" s="7"/>
      <c r="EAK163" s="21"/>
      <c r="EAL163" s="20"/>
      <c r="EAM163" s="20"/>
      <c r="EAN163" s="20"/>
      <c r="EAO163" s="21"/>
      <c r="EAP163" s="21"/>
      <c r="EAQ163" s="21"/>
      <c r="EAR163" s="21"/>
      <c r="EAS163" s="21"/>
      <c r="EAT163" s="20"/>
      <c r="EAU163" s="20"/>
      <c r="EAV163" s="20"/>
      <c r="EAW163" s="20"/>
      <c r="EAX163" s="21"/>
      <c r="EAY163" s="21"/>
      <c r="EAZ163" s="7"/>
      <c r="EBA163" s="7"/>
      <c r="EBB163" s="21"/>
      <c r="EBC163" s="20"/>
      <c r="EBD163" s="20"/>
      <c r="EBE163" s="20"/>
      <c r="EBF163" s="21"/>
      <c r="EBG163" s="21"/>
      <c r="EBH163" s="21"/>
      <c r="EBI163" s="21"/>
      <c r="EBJ163" s="21"/>
      <c r="EBK163" s="20"/>
      <c r="EBL163" s="20"/>
      <c r="EBM163" s="20"/>
      <c r="EBN163" s="20"/>
      <c r="EBO163" s="21"/>
      <c r="EBP163" s="21"/>
      <c r="EBQ163" s="7"/>
      <c r="EBR163" s="7"/>
      <c r="EBS163" s="21"/>
      <c r="EBT163" s="20"/>
      <c r="EBU163" s="20"/>
      <c r="EBV163" s="20"/>
      <c r="EBW163" s="21"/>
      <c r="EBX163" s="21"/>
      <c r="EBY163" s="21"/>
      <c r="EBZ163" s="21"/>
      <c r="ECA163" s="21"/>
      <c r="ECB163" s="20"/>
      <c r="ECC163" s="20"/>
      <c r="ECD163" s="20"/>
      <c r="ECE163" s="20"/>
      <c r="ECF163" s="21"/>
      <c r="ECG163" s="21"/>
      <c r="ECH163" s="7"/>
      <c r="ECI163" s="7"/>
      <c r="ECJ163" s="21"/>
      <c r="ECK163" s="20"/>
      <c r="ECL163" s="20"/>
      <c r="ECM163" s="20"/>
      <c r="ECN163" s="21"/>
      <c r="ECO163" s="21"/>
      <c r="ECP163" s="21"/>
      <c r="ECQ163" s="21"/>
      <c r="ECR163" s="21"/>
      <c r="ECS163" s="20"/>
      <c r="ECT163" s="20"/>
      <c r="ECU163" s="20"/>
      <c r="ECV163" s="20"/>
      <c r="ECW163" s="21"/>
      <c r="ECX163" s="21"/>
      <c r="ECY163" s="7"/>
      <c r="ECZ163" s="7"/>
      <c r="EDA163" s="21"/>
      <c r="EDB163" s="20"/>
      <c r="EDC163" s="20"/>
      <c r="EDD163" s="20"/>
      <c r="EDE163" s="21"/>
      <c r="EDF163" s="21"/>
      <c r="EDG163" s="21"/>
      <c r="EDH163" s="21"/>
      <c r="EDI163" s="21"/>
      <c r="EDJ163" s="20"/>
      <c r="EDK163" s="20"/>
      <c r="EDL163" s="20"/>
      <c r="EDM163" s="20"/>
      <c r="EDN163" s="21"/>
      <c r="EDO163" s="21"/>
      <c r="EDP163" s="7"/>
      <c r="EDQ163" s="7"/>
      <c r="EDR163" s="21"/>
      <c r="EDS163" s="20"/>
      <c r="EDT163" s="20"/>
      <c r="EDU163" s="20"/>
      <c r="EDV163" s="21"/>
      <c r="EDW163" s="21"/>
      <c r="EDX163" s="21"/>
      <c r="EDY163" s="21"/>
      <c r="EDZ163" s="21"/>
      <c r="EEA163" s="20"/>
      <c r="EEB163" s="20"/>
      <c r="EEC163" s="20"/>
      <c r="EED163" s="20"/>
      <c r="EEE163" s="21"/>
      <c r="EEF163" s="21"/>
      <c r="EEG163" s="7"/>
      <c r="EEH163" s="7"/>
      <c r="EEI163" s="21"/>
      <c r="EEJ163" s="20"/>
      <c r="EEK163" s="20"/>
      <c r="EEL163" s="20"/>
      <c r="EEM163" s="21"/>
      <c r="EEN163" s="21"/>
      <c r="EEO163" s="21"/>
      <c r="EEP163" s="21"/>
      <c r="EEQ163" s="21"/>
      <c r="EER163" s="20"/>
      <c r="EES163" s="20"/>
      <c r="EET163" s="20"/>
      <c r="EEU163" s="20"/>
      <c r="EEV163" s="21"/>
      <c r="EEW163" s="21"/>
      <c r="EEX163" s="7"/>
      <c r="EEY163" s="7"/>
      <c r="EEZ163" s="21"/>
      <c r="EFA163" s="20"/>
      <c r="EFB163" s="20"/>
      <c r="EFC163" s="20"/>
      <c r="EFD163" s="21"/>
      <c r="EFE163" s="21"/>
      <c r="EFF163" s="21"/>
      <c r="EFG163" s="21"/>
      <c r="EFH163" s="21"/>
      <c r="EFI163" s="20"/>
      <c r="EFJ163" s="20"/>
      <c r="EFK163" s="20"/>
      <c r="EFL163" s="20"/>
      <c r="EFM163" s="21"/>
      <c r="EFN163" s="21"/>
      <c r="EFO163" s="7"/>
      <c r="EFP163" s="7"/>
      <c r="EFQ163" s="21"/>
      <c r="EFR163" s="20"/>
      <c r="EFS163" s="20"/>
      <c r="EFT163" s="20"/>
      <c r="EFU163" s="21"/>
      <c r="EFV163" s="21"/>
      <c r="EFW163" s="21"/>
      <c r="EFX163" s="21"/>
      <c r="EFY163" s="21"/>
      <c r="EFZ163" s="20"/>
      <c r="EGA163" s="20"/>
      <c r="EGB163" s="20"/>
      <c r="EGC163" s="20"/>
      <c r="EGD163" s="21"/>
      <c r="EGE163" s="21"/>
      <c r="EGF163" s="7"/>
      <c r="EGG163" s="7"/>
      <c r="EGH163" s="21"/>
      <c r="EGI163" s="20"/>
      <c r="EGJ163" s="20"/>
      <c r="EGK163" s="20"/>
      <c r="EGL163" s="21"/>
      <c r="EGM163" s="21"/>
      <c r="EGN163" s="21"/>
      <c r="EGO163" s="21"/>
      <c r="EGP163" s="21"/>
      <c r="EGQ163" s="20"/>
      <c r="EGR163" s="20"/>
      <c r="EGS163" s="20"/>
      <c r="EGT163" s="20"/>
      <c r="EGU163" s="21"/>
      <c r="EGV163" s="21"/>
      <c r="EGW163" s="7"/>
      <c r="EGX163" s="7"/>
      <c r="EGY163" s="21"/>
      <c r="EGZ163" s="20"/>
      <c r="EHA163" s="20"/>
      <c r="EHB163" s="20"/>
      <c r="EHC163" s="21"/>
      <c r="EHD163" s="21"/>
      <c r="EHE163" s="21"/>
      <c r="EHF163" s="21"/>
      <c r="EHG163" s="21"/>
      <c r="EHH163" s="20"/>
      <c r="EHI163" s="20"/>
      <c r="EHJ163" s="20"/>
      <c r="EHK163" s="20"/>
      <c r="EHL163" s="21"/>
      <c r="EHM163" s="21"/>
      <c r="EHN163" s="7"/>
      <c r="EHO163" s="7"/>
      <c r="EHP163" s="21"/>
      <c r="EHQ163" s="20"/>
      <c r="EHR163" s="20"/>
      <c r="EHS163" s="20"/>
      <c r="EHT163" s="21"/>
      <c r="EHU163" s="21"/>
      <c r="EHV163" s="21"/>
      <c r="EHW163" s="21"/>
      <c r="EHX163" s="21"/>
      <c r="EHY163" s="20"/>
      <c r="EHZ163" s="20"/>
      <c r="EIA163" s="20"/>
      <c r="EIB163" s="20"/>
      <c r="EIC163" s="21"/>
      <c r="EID163" s="21"/>
      <c r="EIE163" s="7"/>
      <c r="EIF163" s="7"/>
      <c r="EIG163" s="21"/>
      <c r="EIH163" s="20"/>
      <c r="EII163" s="20"/>
      <c r="EIJ163" s="20"/>
      <c r="EIK163" s="21"/>
      <c r="EIL163" s="21"/>
      <c r="EIM163" s="21"/>
      <c r="EIN163" s="21"/>
      <c r="EIO163" s="21"/>
      <c r="EIP163" s="20"/>
      <c r="EIQ163" s="20"/>
      <c r="EIR163" s="20"/>
      <c r="EIS163" s="20"/>
      <c r="EIT163" s="21"/>
      <c r="EIU163" s="21"/>
      <c r="EIV163" s="7"/>
      <c r="EIW163" s="7"/>
      <c r="EIX163" s="21"/>
      <c r="EIY163" s="20"/>
      <c r="EIZ163" s="20"/>
      <c r="EJA163" s="20"/>
      <c r="EJB163" s="21"/>
      <c r="EJC163" s="21"/>
      <c r="EJD163" s="21"/>
      <c r="EJE163" s="21"/>
      <c r="EJF163" s="21"/>
      <c r="EJG163" s="20"/>
      <c r="EJH163" s="20"/>
      <c r="EJI163" s="20"/>
      <c r="EJJ163" s="20"/>
      <c r="EJK163" s="21"/>
      <c r="EJL163" s="21"/>
      <c r="EJM163" s="7"/>
      <c r="EJN163" s="7"/>
      <c r="EJO163" s="21"/>
      <c r="EJP163" s="20"/>
      <c r="EJQ163" s="20"/>
      <c r="EJR163" s="20"/>
      <c r="EJS163" s="21"/>
      <c r="EJT163" s="21"/>
      <c r="EJU163" s="21"/>
      <c r="EJV163" s="21"/>
      <c r="EJW163" s="21"/>
      <c r="EJX163" s="20"/>
      <c r="EJY163" s="20"/>
      <c r="EJZ163" s="20"/>
      <c r="EKA163" s="20"/>
      <c r="EKB163" s="21"/>
      <c r="EKC163" s="21"/>
      <c r="EKD163" s="7"/>
      <c r="EKE163" s="7"/>
      <c r="EKF163" s="21"/>
      <c r="EKG163" s="20"/>
      <c r="EKH163" s="20"/>
      <c r="EKI163" s="20"/>
      <c r="EKJ163" s="21"/>
      <c r="EKK163" s="21"/>
      <c r="EKL163" s="21"/>
      <c r="EKM163" s="21"/>
      <c r="EKN163" s="21"/>
      <c r="EKO163" s="20"/>
      <c r="EKP163" s="20"/>
      <c r="EKQ163" s="20"/>
      <c r="EKR163" s="20"/>
      <c r="EKS163" s="21"/>
      <c r="EKT163" s="21"/>
      <c r="EKU163" s="7"/>
      <c r="EKV163" s="7"/>
      <c r="EKW163" s="21"/>
      <c r="EKX163" s="20"/>
      <c r="EKY163" s="20"/>
      <c r="EKZ163" s="20"/>
      <c r="ELA163" s="21"/>
      <c r="ELB163" s="21"/>
      <c r="ELC163" s="21"/>
      <c r="ELD163" s="21"/>
      <c r="ELE163" s="21"/>
      <c r="ELF163" s="20"/>
      <c r="ELG163" s="20"/>
      <c r="ELH163" s="20"/>
      <c r="ELI163" s="20"/>
      <c r="ELJ163" s="21"/>
      <c r="ELK163" s="21"/>
      <c r="ELL163" s="7"/>
      <c r="ELM163" s="7"/>
      <c r="ELN163" s="21"/>
      <c r="ELO163" s="20"/>
      <c r="ELP163" s="20"/>
      <c r="ELQ163" s="20"/>
      <c r="ELR163" s="21"/>
      <c r="ELS163" s="21"/>
      <c r="ELT163" s="21"/>
      <c r="ELU163" s="21"/>
      <c r="ELV163" s="21"/>
      <c r="ELW163" s="20"/>
      <c r="ELX163" s="20"/>
      <c r="ELY163" s="20"/>
      <c r="ELZ163" s="20"/>
      <c r="EMA163" s="21"/>
      <c r="EMB163" s="21"/>
      <c r="EMC163" s="7"/>
      <c r="EMD163" s="7"/>
      <c r="EME163" s="21"/>
      <c r="EMF163" s="20"/>
      <c r="EMG163" s="20"/>
      <c r="EMH163" s="20"/>
      <c r="EMI163" s="21"/>
      <c r="EMJ163" s="21"/>
      <c r="EMK163" s="21"/>
      <c r="EML163" s="21"/>
      <c r="EMM163" s="21"/>
      <c r="EMN163" s="20"/>
      <c r="EMO163" s="20"/>
      <c r="EMP163" s="20"/>
      <c r="EMQ163" s="20"/>
      <c r="EMR163" s="21"/>
      <c r="EMS163" s="21"/>
      <c r="EMT163" s="7"/>
      <c r="EMU163" s="7"/>
      <c r="EMV163" s="21"/>
      <c r="EMW163" s="20"/>
      <c r="EMX163" s="20"/>
      <c r="EMY163" s="20"/>
      <c r="EMZ163" s="21"/>
      <c r="ENA163" s="21"/>
      <c r="ENB163" s="21"/>
      <c r="ENC163" s="21"/>
      <c r="END163" s="21"/>
      <c r="ENE163" s="20"/>
      <c r="ENF163" s="20"/>
      <c r="ENG163" s="20"/>
      <c r="ENH163" s="20"/>
      <c r="ENI163" s="21"/>
      <c r="ENJ163" s="21"/>
      <c r="ENK163" s="7"/>
      <c r="ENL163" s="7"/>
      <c r="ENM163" s="21"/>
      <c r="ENN163" s="20"/>
      <c r="ENO163" s="20"/>
      <c r="ENP163" s="20"/>
      <c r="ENQ163" s="21"/>
      <c r="ENR163" s="21"/>
      <c r="ENS163" s="21"/>
      <c r="ENT163" s="21"/>
      <c r="ENU163" s="21"/>
      <c r="ENV163" s="20"/>
      <c r="ENW163" s="20"/>
      <c r="ENX163" s="20"/>
      <c r="ENY163" s="20"/>
      <c r="ENZ163" s="21"/>
      <c r="EOA163" s="21"/>
      <c r="EOB163" s="7"/>
      <c r="EOC163" s="7"/>
      <c r="EOD163" s="21"/>
      <c r="EOE163" s="20"/>
      <c r="EOF163" s="20"/>
      <c r="EOG163" s="20"/>
      <c r="EOH163" s="21"/>
      <c r="EOI163" s="21"/>
      <c r="EOJ163" s="21"/>
      <c r="EOK163" s="21"/>
      <c r="EOL163" s="21"/>
      <c r="EOM163" s="20"/>
      <c r="EON163" s="20"/>
      <c r="EOO163" s="20"/>
      <c r="EOP163" s="20"/>
      <c r="EOQ163" s="21"/>
      <c r="EOR163" s="21"/>
      <c r="EOS163" s="7"/>
      <c r="EOT163" s="7"/>
      <c r="EOU163" s="21"/>
      <c r="EOV163" s="20"/>
      <c r="EOW163" s="20"/>
      <c r="EOX163" s="20"/>
      <c r="EOY163" s="21"/>
      <c r="EOZ163" s="21"/>
      <c r="EPA163" s="21"/>
      <c r="EPB163" s="21"/>
      <c r="EPC163" s="21"/>
      <c r="EPD163" s="20"/>
      <c r="EPE163" s="20"/>
      <c r="EPF163" s="20"/>
      <c r="EPG163" s="20"/>
      <c r="EPH163" s="21"/>
      <c r="EPI163" s="21"/>
      <c r="EPJ163" s="7"/>
      <c r="EPK163" s="7"/>
      <c r="EPL163" s="21"/>
      <c r="EPM163" s="20"/>
      <c r="EPN163" s="20"/>
      <c r="EPO163" s="20"/>
      <c r="EPP163" s="21"/>
      <c r="EPQ163" s="21"/>
      <c r="EPR163" s="21"/>
      <c r="EPS163" s="21"/>
      <c r="EPT163" s="21"/>
      <c r="EPU163" s="20"/>
      <c r="EPV163" s="20"/>
      <c r="EPW163" s="20"/>
      <c r="EPX163" s="20"/>
      <c r="EPY163" s="21"/>
      <c r="EPZ163" s="21"/>
      <c r="EQA163" s="7"/>
      <c r="EQB163" s="7"/>
      <c r="EQC163" s="21"/>
      <c r="EQD163" s="20"/>
      <c r="EQE163" s="20"/>
      <c r="EQF163" s="20"/>
      <c r="EQG163" s="21"/>
      <c r="EQH163" s="21"/>
      <c r="EQI163" s="21"/>
      <c r="EQJ163" s="21"/>
      <c r="EQK163" s="21"/>
      <c r="EQL163" s="20"/>
      <c r="EQM163" s="20"/>
      <c r="EQN163" s="20"/>
      <c r="EQO163" s="20"/>
      <c r="EQP163" s="21"/>
      <c r="EQQ163" s="21"/>
      <c r="EQR163" s="7"/>
      <c r="EQS163" s="7"/>
      <c r="EQT163" s="21"/>
      <c r="EQU163" s="20"/>
      <c r="EQV163" s="20"/>
      <c r="EQW163" s="20"/>
      <c r="EQX163" s="21"/>
      <c r="EQY163" s="21"/>
      <c r="EQZ163" s="21"/>
      <c r="ERA163" s="21"/>
      <c r="ERB163" s="21"/>
      <c r="ERC163" s="20"/>
      <c r="ERD163" s="20"/>
      <c r="ERE163" s="20"/>
      <c r="ERF163" s="20"/>
      <c r="ERG163" s="21"/>
      <c r="ERH163" s="21"/>
      <c r="ERI163" s="7"/>
      <c r="ERJ163" s="7"/>
      <c r="ERK163" s="21"/>
      <c r="ERL163" s="20"/>
      <c r="ERM163" s="20"/>
      <c r="ERN163" s="20"/>
      <c r="ERO163" s="21"/>
      <c r="ERP163" s="21"/>
      <c r="ERQ163" s="21"/>
      <c r="ERR163" s="21"/>
      <c r="ERS163" s="21"/>
      <c r="ERT163" s="20"/>
      <c r="ERU163" s="20"/>
      <c r="ERV163" s="20"/>
      <c r="ERW163" s="20"/>
      <c r="ERX163" s="21"/>
      <c r="ERY163" s="21"/>
      <c r="ERZ163" s="7"/>
      <c r="ESA163" s="7"/>
      <c r="ESB163" s="21"/>
      <c r="ESC163" s="20"/>
      <c r="ESD163" s="20"/>
      <c r="ESE163" s="20"/>
      <c r="ESF163" s="21"/>
      <c r="ESG163" s="21"/>
      <c r="ESH163" s="21"/>
      <c r="ESI163" s="21"/>
      <c r="ESJ163" s="21"/>
      <c r="ESK163" s="20"/>
      <c r="ESL163" s="20"/>
      <c r="ESM163" s="20"/>
      <c r="ESN163" s="20"/>
      <c r="ESO163" s="21"/>
      <c r="ESP163" s="21"/>
      <c r="ESQ163" s="7"/>
      <c r="ESR163" s="7"/>
      <c r="ESS163" s="21"/>
      <c r="EST163" s="20"/>
      <c r="ESU163" s="20"/>
      <c r="ESV163" s="20"/>
      <c r="ESW163" s="21"/>
      <c r="ESX163" s="21"/>
      <c r="ESY163" s="21"/>
      <c r="ESZ163" s="21"/>
      <c r="ETA163" s="21"/>
      <c r="ETB163" s="20"/>
      <c r="ETC163" s="20"/>
      <c r="ETD163" s="20"/>
      <c r="ETE163" s="20"/>
      <c r="ETF163" s="21"/>
      <c r="ETG163" s="21"/>
      <c r="ETH163" s="7"/>
      <c r="ETI163" s="7"/>
      <c r="ETJ163" s="21"/>
      <c r="ETK163" s="20"/>
      <c r="ETL163" s="20"/>
      <c r="ETM163" s="20"/>
      <c r="ETN163" s="21"/>
      <c r="ETO163" s="21"/>
      <c r="ETP163" s="21"/>
      <c r="ETQ163" s="21"/>
      <c r="ETR163" s="21"/>
      <c r="ETS163" s="20"/>
      <c r="ETT163" s="20"/>
      <c r="ETU163" s="20"/>
      <c r="ETV163" s="20"/>
      <c r="ETW163" s="21"/>
      <c r="ETX163" s="21"/>
      <c r="ETY163" s="7"/>
      <c r="ETZ163" s="7"/>
      <c r="EUA163" s="21"/>
      <c r="EUB163" s="20"/>
      <c r="EUC163" s="20"/>
      <c r="EUD163" s="20"/>
      <c r="EUE163" s="21"/>
      <c r="EUF163" s="21"/>
      <c r="EUG163" s="21"/>
      <c r="EUH163" s="21"/>
      <c r="EUI163" s="21"/>
      <c r="EUJ163" s="20"/>
      <c r="EUK163" s="20"/>
      <c r="EUL163" s="20"/>
      <c r="EUM163" s="20"/>
      <c r="EUN163" s="21"/>
      <c r="EUO163" s="21"/>
      <c r="EUP163" s="7"/>
      <c r="EUQ163" s="7"/>
      <c r="EUR163" s="21"/>
      <c r="EUS163" s="20"/>
      <c r="EUT163" s="20"/>
      <c r="EUU163" s="20"/>
      <c r="EUV163" s="21"/>
      <c r="EUW163" s="21"/>
      <c r="EUX163" s="21"/>
      <c r="EUY163" s="21"/>
      <c r="EUZ163" s="21"/>
      <c r="EVA163" s="20"/>
      <c r="EVB163" s="20"/>
      <c r="EVC163" s="20"/>
      <c r="EVD163" s="20"/>
      <c r="EVE163" s="21"/>
      <c r="EVF163" s="21"/>
      <c r="EVG163" s="7"/>
      <c r="EVH163" s="7"/>
      <c r="EVI163" s="21"/>
      <c r="EVJ163" s="20"/>
      <c r="EVK163" s="20"/>
      <c r="EVL163" s="20"/>
      <c r="EVM163" s="21"/>
      <c r="EVN163" s="21"/>
      <c r="EVO163" s="21"/>
      <c r="EVP163" s="21"/>
      <c r="EVQ163" s="21"/>
      <c r="EVR163" s="20"/>
      <c r="EVS163" s="20"/>
      <c r="EVT163" s="20"/>
      <c r="EVU163" s="20"/>
      <c r="EVV163" s="21"/>
      <c r="EVW163" s="21"/>
      <c r="EVX163" s="7"/>
      <c r="EVY163" s="7"/>
      <c r="EVZ163" s="21"/>
      <c r="EWA163" s="20"/>
      <c r="EWB163" s="20"/>
      <c r="EWC163" s="20"/>
      <c r="EWD163" s="21"/>
      <c r="EWE163" s="21"/>
      <c r="EWF163" s="21"/>
      <c r="EWG163" s="21"/>
      <c r="EWH163" s="21"/>
      <c r="EWI163" s="20"/>
      <c r="EWJ163" s="20"/>
      <c r="EWK163" s="20"/>
      <c r="EWL163" s="20"/>
      <c r="EWM163" s="21"/>
      <c r="EWN163" s="21"/>
      <c r="EWO163" s="7"/>
      <c r="EWP163" s="7"/>
      <c r="EWQ163" s="21"/>
      <c r="EWR163" s="20"/>
      <c r="EWS163" s="20"/>
      <c r="EWT163" s="20"/>
      <c r="EWU163" s="21"/>
      <c r="EWV163" s="21"/>
      <c r="EWW163" s="21"/>
      <c r="EWX163" s="21"/>
      <c r="EWY163" s="21"/>
      <c r="EWZ163" s="20"/>
      <c r="EXA163" s="20"/>
      <c r="EXB163" s="20"/>
      <c r="EXC163" s="20"/>
      <c r="EXD163" s="21"/>
      <c r="EXE163" s="21"/>
      <c r="EXF163" s="7"/>
      <c r="EXG163" s="7"/>
      <c r="EXH163" s="21"/>
      <c r="EXI163" s="20"/>
      <c r="EXJ163" s="20"/>
      <c r="EXK163" s="20"/>
      <c r="EXL163" s="21"/>
      <c r="EXM163" s="21"/>
      <c r="EXN163" s="21"/>
      <c r="EXO163" s="21"/>
      <c r="EXP163" s="21"/>
      <c r="EXQ163" s="20"/>
      <c r="EXR163" s="20"/>
      <c r="EXS163" s="20"/>
      <c r="EXT163" s="20"/>
      <c r="EXU163" s="21"/>
      <c r="EXV163" s="21"/>
      <c r="EXW163" s="7"/>
      <c r="EXX163" s="7"/>
      <c r="EXY163" s="21"/>
      <c r="EXZ163" s="20"/>
      <c r="EYA163" s="20"/>
      <c r="EYB163" s="20"/>
      <c r="EYC163" s="21"/>
      <c r="EYD163" s="21"/>
      <c r="EYE163" s="21"/>
      <c r="EYF163" s="21"/>
      <c r="EYG163" s="21"/>
      <c r="EYH163" s="20"/>
      <c r="EYI163" s="20"/>
      <c r="EYJ163" s="20"/>
      <c r="EYK163" s="20"/>
      <c r="EYL163" s="21"/>
      <c r="EYM163" s="21"/>
      <c r="EYN163" s="7"/>
      <c r="EYO163" s="7"/>
      <c r="EYP163" s="21"/>
      <c r="EYQ163" s="20"/>
      <c r="EYR163" s="20"/>
      <c r="EYS163" s="20"/>
      <c r="EYT163" s="21"/>
      <c r="EYU163" s="21"/>
      <c r="EYV163" s="21"/>
      <c r="EYW163" s="21"/>
      <c r="EYX163" s="21"/>
      <c r="EYY163" s="20"/>
      <c r="EYZ163" s="20"/>
      <c r="EZA163" s="20"/>
      <c r="EZB163" s="20"/>
      <c r="EZC163" s="21"/>
      <c r="EZD163" s="21"/>
      <c r="EZE163" s="7"/>
      <c r="EZF163" s="7"/>
      <c r="EZG163" s="21"/>
      <c r="EZH163" s="20"/>
      <c r="EZI163" s="20"/>
      <c r="EZJ163" s="20"/>
      <c r="EZK163" s="21"/>
      <c r="EZL163" s="21"/>
      <c r="EZM163" s="21"/>
      <c r="EZN163" s="21"/>
      <c r="EZO163" s="21"/>
      <c r="EZP163" s="20"/>
      <c r="EZQ163" s="20"/>
      <c r="EZR163" s="20"/>
      <c r="EZS163" s="20"/>
      <c r="EZT163" s="21"/>
      <c r="EZU163" s="21"/>
      <c r="EZV163" s="7"/>
      <c r="EZW163" s="7"/>
      <c r="EZX163" s="21"/>
      <c r="EZY163" s="20"/>
      <c r="EZZ163" s="20"/>
      <c r="FAA163" s="20"/>
      <c r="FAB163" s="21"/>
      <c r="FAC163" s="21"/>
      <c r="FAD163" s="21"/>
      <c r="FAE163" s="21"/>
      <c r="FAF163" s="21"/>
      <c r="FAG163" s="20"/>
      <c r="FAH163" s="20"/>
      <c r="FAI163" s="20"/>
      <c r="FAJ163" s="20"/>
      <c r="FAK163" s="21"/>
      <c r="FAL163" s="21"/>
      <c r="FAM163" s="7"/>
      <c r="FAN163" s="7"/>
      <c r="FAO163" s="21"/>
      <c r="FAP163" s="20"/>
      <c r="FAQ163" s="20"/>
      <c r="FAR163" s="20"/>
      <c r="FAS163" s="21"/>
      <c r="FAT163" s="21"/>
      <c r="FAU163" s="21"/>
      <c r="FAV163" s="21"/>
      <c r="FAW163" s="21"/>
      <c r="FAX163" s="20"/>
      <c r="FAY163" s="20"/>
      <c r="FAZ163" s="20"/>
      <c r="FBA163" s="20"/>
      <c r="FBB163" s="21"/>
      <c r="FBC163" s="21"/>
      <c r="FBD163" s="7"/>
      <c r="FBE163" s="7"/>
      <c r="FBF163" s="21"/>
      <c r="FBG163" s="20"/>
      <c r="FBH163" s="20"/>
      <c r="FBI163" s="20"/>
      <c r="FBJ163" s="21"/>
      <c r="FBK163" s="21"/>
      <c r="FBL163" s="21"/>
      <c r="FBM163" s="21"/>
      <c r="FBN163" s="21"/>
      <c r="FBO163" s="20"/>
      <c r="FBP163" s="20"/>
      <c r="FBQ163" s="20"/>
      <c r="FBR163" s="20"/>
      <c r="FBS163" s="21"/>
      <c r="FBT163" s="21"/>
      <c r="FBU163" s="7"/>
      <c r="FBV163" s="7"/>
      <c r="FBW163" s="21"/>
      <c r="FBX163" s="20"/>
      <c r="FBY163" s="20"/>
      <c r="FBZ163" s="20"/>
      <c r="FCA163" s="21"/>
      <c r="FCB163" s="21"/>
      <c r="FCC163" s="21"/>
      <c r="FCD163" s="21"/>
      <c r="FCE163" s="21"/>
      <c r="FCF163" s="20"/>
      <c r="FCG163" s="20"/>
      <c r="FCH163" s="20"/>
      <c r="FCI163" s="20"/>
      <c r="FCJ163" s="21"/>
      <c r="FCK163" s="21"/>
      <c r="FCL163" s="7"/>
      <c r="FCM163" s="7"/>
      <c r="FCN163" s="21"/>
      <c r="FCO163" s="20"/>
      <c r="FCP163" s="20"/>
      <c r="FCQ163" s="20"/>
      <c r="FCR163" s="21"/>
      <c r="FCS163" s="21"/>
      <c r="FCT163" s="21"/>
      <c r="FCU163" s="21"/>
      <c r="FCV163" s="21"/>
      <c r="FCW163" s="20"/>
      <c r="FCX163" s="20"/>
      <c r="FCY163" s="20"/>
      <c r="FCZ163" s="20"/>
      <c r="FDA163" s="21"/>
      <c r="FDB163" s="21"/>
      <c r="FDC163" s="7"/>
      <c r="FDD163" s="7"/>
      <c r="FDE163" s="21"/>
      <c r="FDF163" s="20"/>
      <c r="FDG163" s="20"/>
      <c r="FDH163" s="20"/>
      <c r="FDI163" s="21"/>
      <c r="FDJ163" s="21"/>
      <c r="FDK163" s="21"/>
      <c r="FDL163" s="21"/>
      <c r="FDM163" s="21"/>
      <c r="FDN163" s="20"/>
      <c r="FDO163" s="20"/>
      <c r="FDP163" s="20"/>
      <c r="FDQ163" s="20"/>
      <c r="FDR163" s="21"/>
      <c r="FDS163" s="21"/>
      <c r="FDT163" s="7"/>
      <c r="FDU163" s="7"/>
      <c r="FDV163" s="21"/>
      <c r="FDW163" s="20"/>
      <c r="FDX163" s="20"/>
      <c r="FDY163" s="20"/>
      <c r="FDZ163" s="21"/>
      <c r="FEA163" s="21"/>
      <c r="FEB163" s="21"/>
      <c r="FEC163" s="21"/>
      <c r="FED163" s="21"/>
      <c r="FEE163" s="20"/>
      <c r="FEF163" s="20"/>
      <c r="FEG163" s="20"/>
      <c r="FEH163" s="20"/>
      <c r="FEI163" s="21"/>
      <c r="FEJ163" s="21"/>
      <c r="FEK163" s="7"/>
      <c r="FEL163" s="7"/>
      <c r="FEM163" s="21"/>
      <c r="FEN163" s="20"/>
      <c r="FEO163" s="20"/>
      <c r="FEP163" s="20"/>
      <c r="FEQ163" s="21"/>
      <c r="FER163" s="21"/>
      <c r="FES163" s="21"/>
      <c r="FET163" s="21"/>
      <c r="FEU163" s="21"/>
      <c r="FEV163" s="20"/>
      <c r="FEW163" s="20"/>
      <c r="FEX163" s="20"/>
      <c r="FEY163" s="20"/>
      <c r="FEZ163" s="21"/>
      <c r="FFA163" s="21"/>
      <c r="FFB163" s="7"/>
      <c r="FFC163" s="7"/>
      <c r="FFD163" s="21"/>
      <c r="FFE163" s="20"/>
      <c r="FFF163" s="20"/>
      <c r="FFG163" s="20"/>
      <c r="FFH163" s="21"/>
      <c r="FFI163" s="21"/>
      <c r="FFJ163" s="21"/>
      <c r="FFK163" s="21"/>
      <c r="FFL163" s="21"/>
      <c r="FFM163" s="20"/>
      <c r="FFN163" s="20"/>
      <c r="FFO163" s="20"/>
      <c r="FFP163" s="20"/>
      <c r="FFQ163" s="21"/>
      <c r="FFR163" s="21"/>
      <c r="FFS163" s="7"/>
      <c r="FFT163" s="7"/>
      <c r="FFU163" s="21"/>
      <c r="FFV163" s="20"/>
      <c r="FFW163" s="20"/>
      <c r="FFX163" s="20"/>
      <c r="FFY163" s="21"/>
      <c r="FFZ163" s="21"/>
      <c r="FGA163" s="21"/>
      <c r="FGB163" s="21"/>
      <c r="FGC163" s="21"/>
      <c r="FGD163" s="20"/>
      <c r="FGE163" s="20"/>
      <c r="FGF163" s="20"/>
      <c r="FGG163" s="20"/>
      <c r="FGH163" s="21"/>
      <c r="FGI163" s="21"/>
      <c r="FGJ163" s="7"/>
      <c r="FGK163" s="7"/>
      <c r="FGL163" s="21"/>
      <c r="FGM163" s="20"/>
      <c r="FGN163" s="20"/>
      <c r="FGO163" s="20"/>
      <c r="FGP163" s="21"/>
      <c r="FGQ163" s="21"/>
      <c r="FGR163" s="21"/>
      <c r="FGS163" s="21"/>
      <c r="FGT163" s="21"/>
      <c r="FGU163" s="20"/>
      <c r="FGV163" s="20"/>
      <c r="FGW163" s="20"/>
      <c r="FGX163" s="20"/>
      <c r="FGY163" s="21"/>
      <c r="FGZ163" s="21"/>
      <c r="FHA163" s="7"/>
      <c r="FHB163" s="7"/>
      <c r="FHC163" s="21"/>
      <c r="FHD163" s="20"/>
      <c r="FHE163" s="20"/>
      <c r="FHF163" s="20"/>
      <c r="FHG163" s="21"/>
      <c r="FHH163" s="21"/>
      <c r="FHI163" s="21"/>
      <c r="FHJ163" s="21"/>
      <c r="FHK163" s="21"/>
      <c r="FHL163" s="20"/>
      <c r="FHM163" s="20"/>
      <c r="FHN163" s="20"/>
      <c r="FHO163" s="20"/>
      <c r="FHP163" s="21"/>
      <c r="FHQ163" s="21"/>
      <c r="FHR163" s="7"/>
      <c r="FHS163" s="7"/>
      <c r="FHT163" s="21"/>
      <c r="FHU163" s="20"/>
      <c r="FHV163" s="20"/>
      <c r="FHW163" s="20"/>
      <c r="FHX163" s="21"/>
      <c r="FHY163" s="21"/>
      <c r="FHZ163" s="21"/>
      <c r="FIA163" s="21"/>
      <c r="FIB163" s="21"/>
      <c r="FIC163" s="20"/>
      <c r="FID163" s="20"/>
      <c r="FIE163" s="20"/>
      <c r="FIF163" s="20"/>
      <c r="FIG163" s="21"/>
      <c r="FIH163" s="21"/>
      <c r="FII163" s="7"/>
      <c r="FIJ163" s="7"/>
      <c r="FIK163" s="21"/>
      <c r="FIL163" s="20"/>
      <c r="FIM163" s="20"/>
      <c r="FIN163" s="20"/>
      <c r="FIO163" s="21"/>
      <c r="FIP163" s="21"/>
      <c r="FIQ163" s="21"/>
      <c r="FIR163" s="21"/>
      <c r="FIS163" s="21"/>
      <c r="FIT163" s="20"/>
      <c r="FIU163" s="20"/>
      <c r="FIV163" s="20"/>
      <c r="FIW163" s="20"/>
      <c r="FIX163" s="21"/>
      <c r="FIY163" s="21"/>
      <c r="FIZ163" s="7"/>
      <c r="FJA163" s="7"/>
      <c r="FJB163" s="21"/>
      <c r="FJC163" s="20"/>
      <c r="FJD163" s="20"/>
      <c r="FJE163" s="20"/>
      <c r="FJF163" s="21"/>
      <c r="FJG163" s="21"/>
      <c r="FJH163" s="21"/>
      <c r="FJI163" s="21"/>
      <c r="FJJ163" s="21"/>
      <c r="FJK163" s="20"/>
      <c r="FJL163" s="20"/>
      <c r="FJM163" s="20"/>
      <c r="FJN163" s="20"/>
      <c r="FJO163" s="21"/>
      <c r="FJP163" s="21"/>
      <c r="FJQ163" s="7"/>
      <c r="FJR163" s="7"/>
      <c r="FJS163" s="21"/>
      <c r="FJT163" s="20"/>
      <c r="FJU163" s="20"/>
      <c r="FJV163" s="20"/>
      <c r="FJW163" s="21"/>
      <c r="FJX163" s="21"/>
      <c r="FJY163" s="21"/>
      <c r="FJZ163" s="21"/>
      <c r="FKA163" s="21"/>
      <c r="FKB163" s="20"/>
      <c r="FKC163" s="20"/>
      <c r="FKD163" s="20"/>
      <c r="FKE163" s="20"/>
      <c r="FKF163" s="21"/>
      <c r="FKG163" s="21"/>
      <c r="FKH163" s="7"/>
      <c r="FKI163" s="7"/>
      <c r="FKJ163" s="21"/>
      <c r="FKK163" s="20"/>
      <c r="FKL163" s="20"/>
      <c r="FKM163" s="20"/>
      <c r="FKN163" s="21"/>
      <c r="FKO163" s="21"/>
      <c r="FKP163" s="21"/>
      <c r="FKQ163" s="21"/>
      <c r="FKR163" s="21"/>
      <c r="FKS163" s="20"/>
      <c r="FKT163" s="20"/>
      <c r="FKU163" s="20"/>
      <c r="FKV163" s="20"/>
      <c r="FKW163" s="21"/>
      <c r="FKX163" s="21"/>
      <c r="FKY163" s="7"/>
      <c r="FKZ163" s="7"/>
      <c r="FLA163" s="21"/>
      <c r="FLB163" s="20"/>
      <c r="FLC163" s="20"/>
      <c r="FLD163" s="20"/>
      <c r="FLE163" s="21"/>
      <c r="FLF163" s="21"/>
      <c r="FLG163" s="21"/>
      <c r="FLH163" s="21"/>
      <c r="FLI163" s="21"/>
      <c r="FLJ163" s="20"/>
      <c r="FLK163" s="20"/>
      <c r="FLL163" s="20"/>
      <c r="FLM163" s="20"/>
      <c r="FLN163" s="21"/>
      <c r="FLO163" s="21"/>
      <c r="FLP163" s="7"/>
      <c r="FLQ163" s="7"/>
      <c r="FLR163" s="21"/>
      <c r="FLS163" s="20"/>
      <c r="FLT163" s="20"/>
      <c r="FLU163" s="20"/>
      <c r="FLV163" s="21"/>
      <c r="FLW163" s="21"/>
      <c r="FLX163" s="21"/>
      <c r="FLY163" s="21"/>
      <c r="FLZ163" s="21"/>
      <c r="FMA163" s="20"/>
      <c r="FMB163" s="20"/>
      <c r="FMC163" s="20"/>
      <c r="FMD163" s="20"/>
      <c r="FME163" s="21"/>
      <c r="FMF163" s="21"/>
      <c r="FMG163" s="7"/>
      <c r="FMH163" s="7"/>
      <c r="FMI163" s="21"/>
      <c r="FMJ163" s="20"/>
      <c r="FMK163" s="20"/>
      <c r="FML163" s="20"/>
      <c r="FMM163" s="21"/>
      <c r="FMN163" s="21"/>
      <c r="FMO163" s="21"/>
      <c r="FMP163" s="21"/>
      <c r="FMQ163" s="21"/>
      <c r="FMR163" s="20"/>
      <c r="FMS163" s="20"/>
      <c r="FMT163" s="20"/>
      <c r="FMU163" s="20"/>
      <c r="FMV163" s="21"/>
      <c r="FMW163" s="21"/>
      <c r="FMX163" s="7"/>
      <c r="FMY163" s="7"/>
      <c r="FMZ163" s="21"/>
      <c r="FNA163" s="20"/>
      <c r="FNB163" s="20"/>
      <c r="FNC163" s="20"/>
      <c r="FND163" s="21"/>
      <c r="FNE163" s="21"/>
      <c r="FNF163" s="21"/>
      <c r="FNG163" s="21"/>
      <c r="FNH163" s="21"/>
      <c r="FNI163" s="20"/>
      <c r="FNJ163" s="20"/>
      <c r="FNK163" s="20"/>
      <c r="FNL163" s="20"/>
      <c r="FNM163" s="21"/>
      <c r="FNN163" s="21"/>
      <c r="FNO163" s="7"/>
      <c r="FNP163" s="7"/>
      <c r="FNQ163" s="21"/>
      <c r="FNR163" s="20"/>
      <c r="FNS163" s="20"/>
      <c r="FNT163" s="20"/>
      <c r="FNU163" s="21"/>
      <c r="FNV163" s="21"/>
      <c r="FNW163" s="21"/>
      <c r="FNX163" s="21"/>
      <c r="FNY163" s="21"/>
      <c r="FNZ163" s="20"/>
      <c r="FOA163" s="20"/>
      <c r="FOB163" s="20"/>
      <c r="FOC163" s="20"/>
      <c r="FOD163" s="21"/>
      <c r="FOE163" s="21"/>
      <c r="FOF163" s="7"/>
      <c r="FOG163" s="7"/>
      <c r="FOH163" s="21"/>
      <c r="FOI163" s="20"/>
      <c r="FOJ163" s="20"/>
      <c r="FOK163" s="20"/>
      <c r="FOL163" s="21"/>
      <c r="FOM163" s="21"/>
      <c r="FON163" s="21"/>
      <c r="FOO163" s="21"/>
      <c r="FOP163" s="21"/>
      <c r="FOQ163" s="20"/>
      <c r="FOR163" s="20"/>
      <c r="FOS163" s="20"/>
      <c r="FOT163" s="20"/>
      <c r="FOU163" s="21"/>
      <c r="FOV163" s="21"/>
      <c r="FOW163" s="7"/>
      <c r="FOX163" s="7"/>
      <c r="FOY163" s="21"/>
      <c r="FOZ163" s="20"/>
      <c r="FPA163" s="20"/>
      <c r="FPB163" s="20"/>
      <c r="FPC163" s="21"/>
      <c r="FPD163" s="21"/>
      <c r="FPE163" s="21"/>
      <c r="FPF163" s="21"/>
      <c r="FPG163" s="21"/>
      <c r="FPH163" s="20"/>
      <c r="FPI163" s="20"/>
      <c r="FPJ163" s="20"/>
      <c r="FPK163" s="20"/>
      <c r="FPL163" s="21"/>
      <c r="FPM163" s="21"/>
      <c r="FPN163" s="7"/>
      <c r="FPO163" s="7"/>
      <c r="FPP163" s="21"/>
      <c r="FPQ163" s="20"/>
      <c r="FPR163" s="20"/>
      <c r="FPS163" s="20"/>
      <c r="FPT163" s="21"/>
      <c r="FPU163" s="21"/>
      <c r="FPV163" s="21"/>
      <c r="FPW163" s="21"/>
      <c r="FPX163" s="21"/>
      <c r="FPY163" s="20"/>
      <c r="FPZ163" s="20"/>
      <c r="FQA163" s="20"/>
      <c r="FQB163" s="20"/>
      <c r="FQC163" s="21"/>
      <c r="FQD163" s="21"/>
      <c r="FQE163" s="7"/>
      <c r="FQF163" s="7"/>
      <c r="FQG163" s="21"/>
      <c r="FQH163" s="20"/>
      <c r="FQI163" s="20"/>
      <c r="FQJ163" s="20"/>
      <c r="FQK163" s="21"/>
      <c r="FQL163" s="21"/>
      <c r="FQM163" s="21"/>
      <c r="FQN163" s="21"/>
      <c r="FQO163" s="21"/>
      <c r="FQP163" s="20"/>
      <c r="FQQ163" s="20"/>
      <c r="FQR163" s="20"/>
      <c r="FQS163" s="20"/>
      <c r="FQT163" s="21"/>
      <c r="FQU163" s="21"/>
      <c r="FQV163" s="7"/>
      <c r="FQW163" s="7"/>
      <c r="FQX163" s="21"/>
      <c r="FQY163" s="20"/>
      <c r="FQZ163" s="20"/>
      <c r="FRA163" s="20"/>
      <c r="FRB163" s="21"/>
      <c r="FRC163" s="21"/>
      <c r="FRD163" s="21"/>
      <c r="FRE163" s="21"/>
      <c r="FRF163" s="21"/>
      <c r="FRG163" s="20"/>
      <c r="FRH163" s="20"/>
      <c r="FRI163" s="20"/>
      <c r="FRJ163" s="20"/>
      <c r="FRK163" s="21"/>
      <c r="FRL163" s="21"/>
      <c r="FRM163" s="7"/>
      <c r="FRN163" s="7"/>
      <c r="FRO163" s="21"/>
      <c r="FRP163" s="20"/>
      <c r="FRQ163" s="20"/>
      <c r="FRR163" s="20"/>
      <c r="FRS163" s="21"/>
      <c r="FRT163" s="21"/>
      <c r="FRU163" s="21"/>
      <c r="FRV163" s="21"/>
      <c r="FRW163" s="21"/>
      <c r="FRX163" s="20"/>
      <c r="FRY163" s="20"/>
      <c r="FRZ163" s="20"/>
      <c r="FSA163" s="20"/>
      <c r="FSB163" s="21"/>
      <c r="FSC163" s="21"/>
      <c r="FSD163" s="7"/>
      <c r="FSE163" s="7"/>
      <c r="FSF163" s="21"/>
      <c r="FSG163" s="20"/>
      <c r="FSH163" s="20"/>
      <c r="FSI163" s="20"/>
      <c r="FSJ163" s="21"/>
      <c r="FSK163" s="21"/>
      <c r="FSL163" s="21"/>
      <c r="FSM163" s="21"/>
      <c r="FSN163" s="21"/>
      <c r="FSO163" s="20"/>
      <c r="FSP163" s="20"/>
      <c r="FSQ163" s="20"/>
      <c r="FSR163" s="20"/>
      <c r="FSS163" s="21"/>
      <c r="FST163" s="21"/>
      <c r="FSU163" s="7"/>
      <c r="FSV163" s="7"/>
      <c r="FSW163" s="21"/>
      <c r="FSX163" s="20"/>
      <c r="FSY163" s="20"/>
      <c r="FSZ163" s="20"/>
      <c r="FTA163" s="21"/>
      <c r="FTB163" s="21"/>
      <c r="FTC163" s="21"/>
      <c r="FTD163" s="21"/>
      <c r="FTE163" s="21"/>
      <c r="FTF163" s="20"/>
      <c r="FTG163" s="20"/>
      <c r="FTH163" s="20"/>
      <c r="FTI163" s="20"/>
      <c r="FTJ163" s="21"/>
      <c r="FTK163" s="21"/>
      <c r="FTL163" s="7"/>
      <c r="FTM163" s="7"/>
      <c r="FTN163" s="21"/>
      <c r="FTO163" s="20"/>
      <c r="FTP163" s="20"/>
      <c r="FTQ163" s="20"/>
      <c r="FTR163" s="21"/>
      <c r="FTS163" s="21"/>
      <c r="FTT163" s="21"/>
      <c r="FTU163" s="21"/>
      <c r="FTV163" s="21"/>
      <c r="FTW163" s="20"/>
      <c r="FTX163" s="20"/>
      <c r="FTY163" s="20"/>
      <c r="FTZ163" s="20"/>
      <c r="FUA163" s="21"/>
      <c r="FUB163" s="21"/>
      <c r="FUC163" s="7"/>
      <c r="FUD163" s="7"/>
      <c r="FUE163" s="21"/>
      <c r="FUF163" s="20"/>
      <c r="FUG163" s="20"/>
      <c r="FUH163" s="20"/>
      <c r="FUI163" s="21"/>
      <c r="FUJ163" s="21"/>
      <c r="FUK163" s="21"/>
      <c r="FUL163" s="21"/>
      <c r="FUM163" s="21"/>
      <c r="FUN163" s="20"/>
      <c r="FUO163" s="20"/>
      <c r="FUP163" s="20"/>
      <c r="FUQ163" s="20"/>
      <c r="FUR163" s="21"/>
      <c r="FUS163" s="21"/>
      <c r="FUT163" s="7"/>
      <c r="FUU163" s="7"/>
      <c r="FUV163" s="21"/>
      <c r="FUW163" s="20"/>
      <c r="FUX163" s="20"/>
      <c r="FUY163" s="20"/>
      <c r="FUZ163" s="21"/>
      <c r="FVA163" s="21"/>
      <c r="FVB163" s="21"/>
      <c r="FVC163" s="21"/>
      <c r="FVD163" s="21"/>
      <c r="FVE163" s="20"/>
      <c r="FVF163" s="20"/>
      <c r="FVG163" s="20"/>
      <c r="FVH163" s="20"/>
      <c r="FVI163" s="21"/>
      <c r="FVJ163" s="21"/>
      <c r="FVK163" s="7"/>
      <c r="FVL163" s="7"/>
      <c r="FVM163" s="21"/>
      <c r="FVN163" s="20"/>
      <c r="FVO163" s="20"/>
      <c r="FVP163" s="20"/>
      <c r="FVQ163" s="21"/>
      <c r="FVR163" s="21"/>
      <c r="FVS163" s="21"/>
      <c r="FVT163" s="21"/>
      <c r="FVU163" s="21"/>
      <c r="FVV163" s="20"/>
      <c r="FVW163" s="20"/>
      <c r="FVX163" s="20"/>
      <c r="FVY163" s="20"/>
      <c r="FVZ163" s="21"/>
      <c r="FWA163" s="21"/>
      <c r="FWB163" s="7"/>
      <c r="FWC163" s="7"/>
      <c r="FWD163" s="21"/>
      <c r="FWE163" s="20"/>
      <c r="FWF163" s="20"/>
      <c r="FWG163" s="20"/>
      <c r="FWH163" s="21"/>
      <c r="FWI163" s="21"/>
      <c r="FWJ163" s="21"/>
      <c r="FWK163" s="21"/>
      <c r="FWL163" s="21"/>
      <c r="FWM163" s="20"/>
      <c r="FWN163" s="20"/>
      <c r="FWO163" s="20"/>
      <c r="FWP163" s="20"/>
      <c r="FWQ163" s="21"/>
      <c r="FWR163" s="21"/>
      <c r="FWS163" s="7"/>
      <c r="FWT163" s="7"/>
      <c r="FWU163" s="21"/>
      <c r="FWV163" s="20"/>
      <c r="FWW163" s="20"/>
      <c r="FWX163" s="20"/>
      <c r="FWY163" s="21"/>
      <c r="FWZ163" s="21"/>
      <c r="FXA163" s="21"/>
      <c r="FXB163" s="21"/>
      <c r="FXC163" s="21"/>
      <c r="FXD163" s="20"/>
      <c r="FXE163" s="20"/>
      <c r="FXF163" s="20"/>
      <c r="FXG163" s="20"/>
      <c r="FXH163" s="21"/>
      <c r="FXI163" s="21"/>
      <c r="FXJ163" s="7"/>
      <c r="FXK163" s="7"/>
      <c r="FXL163" s="21"/>
      <c r="FXM163" s="20"/>
      <c r="FXN163" s="20"/>
      <c r="FXO163" s="20"/>
      <c r="FXP163" s="21"/>
      <c r="FXQ163" s="21"/>
      <c r="FXR163" s="21"/>
      <c r="FXS163" s="21"/>
      <c r="FXT163" s="21"/>
      <c r="FXU163" s="20"/>
      <c r="FXV163" s="20"/>
      <c r="FXW163" s="20"/>
      <c r="FXX163" s="20"/>
      <c r="FXY163" s="21"/>
      <c r="FXZ163" s="21"/>
      <c r="FYA163" s="7"/>
      <c r="FYB163" s="7"/>
      <c r="FYC163" s="21"/>
      <c r="FYD163" s="20"/>
      <c r="FYE163" s="20"/>
      <c r="FYF163" s="20"/>
      <c r="FYG163" s="21"/>
      <c r="FYH163" s="21"/>
      <c r="FYI163" s="21"/>
      <c r="FYJ163" s="21"/>
      <c r="FYK163" s="21"/>
      <c r="FYL163" s="20"/>
      <c r="FYM163" s="20"/>
      <c r="FYN163" s="20"/>
      <c r="FYO163" s="20"/>
      <c r="FYP163" s="21"/>
      <c r="FYQ163" s="21"/>
      <c r="FYR163" s="7"/>
      <c r="FYS163" s="7"/>
      <c r="FYT163" s="21"/>
      <c r="FYU163" s="20"/>
      <c r="FYV163" s="20"/>
      <c r="FYW163" s="20"/>
      <c r="FYX163" s="21"/>
      <c r="FYY163" s="21"/>
      <c r="FYZ163" s="21"/>
      <c r="FZA163" s="21"/>
      <c r="FZB163" s="21"/>
      <c r="FZC163" s="20"/>
      <c r="FZD163" s="20"/>
      <c r="FZE163" s="20"/>
      <c r="FZF163" s="20"/>
      <c r="FZG163" s="21"/>
      <c r="FZH163" s="21"/>
      <c r="FZI163" s="7"/>
      <c r="FZJ163" s="7"/>
      <c r="FZK163" s="21"/>
      <c r="FZL163" s="20"/>
      <c r="FZM163" s="20"/>
      <c r="FZN163" s="20"/>
      <c r="FZO163" s="21"/>
      <c r="FZP163" s="21"/>
      <c r="FZQ163" s="21"/>
      <c r="FZR163" s="21"/>
      <c r="FZS163" s="21"/>
      <c r="FZT163" s="20"/>
      <c r="FZU163" s="20"/>
      <c r="FZV163" s="20"/>
      <c r="FZW163" s="20"/>
      <c r="FZX163" s="21"/>
      <c r="FZY163" s="21"/>
      <c r="FZZ163" s="7"/>
      <c r="GAA163" s="7"/>
      <c r="GAB163" s="21"/>
      <c r="GAC163" s="20"/>
      <c r="GAD163" s="20"/>
      <c r="GAE163" s="20"/>
      <c r="GAF163" s="21"/>
      <c r="GAG163" s="21"/>
      <c r="GAH163" s="21"/>
      <c r="GAI163" s="21"/>
      <c r="GAJ163" s="21"/>
      <c r="GAK163" s="20"/>
      <c r="GAL163" s="20"/>
      <c r="GAM163" s="20"/>
      <c r="GAN163" s="20"/>
      <c r="GAO163" s="21"/>
      <c r="GAP163" s="21"/>
      <c r="GAQ163" s="7"/>
      <c r="GAR163" s="7"/>
      <c r="GAS163" s="21"/>
      <c r="GAT163" s="20"/>
      <c r="GAU163" s="20"/>
      <c r="GAV163" s="20"/>
      <c r="GAW163" s="21"/>
      <c r="GAX163" s="21"/>
      <c r="GAY163" s="21"/>
      <c r="GAZ163" s="21"/>
      <c r="GBA163" s="21"/>
      <c r="GBB163" s="20"/>
      <c r="GBC163" s="20"/>
      <c r="GBD163" s="20"/>
      <c r="GBE163" s="20"/>
      <c r="GBF163" s="21"/>
      <c r="GBG163" s="21"/>
      <c r="GBH163" s="7"/>
      <c r="GBI163" s="7"/>
      <c r="GBJ163" s="21"/>
      <c r="GBK163" s="20"/>
      <c r="GBL163" s="20"/>
      <c r="GBM163" s="20"/>
      <c r="GBN163" s="21"/>
      <c r="GBO163" s="21"/>
      <c r="GBP163" s="21"/>
      <c r="GBQ163" s="21"/>
      <c r="GBR163" s="21"/>
      <c r="GBS163" s="20"/>
      <c r="GBT163" s="20"/>
      <c r="GBU163" s="20"/>
      <c r="GBV163" s="20"/>
      <c r="GBW163" s="21"/>
      <c r="GBX163" s="21"/>
      <c r="GBY163" s="7"/>
      <c r="GBZ163" s="7"/>
      <c r="GCA163" s="21"/>
      <c r="GCB163" s="20"/>
      <c r="GCC163" s="20"/>
      <c r="GCD163" s="20"/>
      <c r="GCE163" s="21"/>
      <c r="GCF163" s="21"/>
      <c r="GCG163" s="21"/>
      <c r="GCH163" s="21"/>
      <c r="GCI163" s="21"/>
      <c r="GCJ163" s="20"/>
      <c r="GCK163" s="20"/>
      <c r="GCL163" s="20"/>
      <c r="GCM163" s="20"/>
      <c r="GCN163" s="21"/>
      <c r="GCO163" s="21"/>
      <c r="GCP163" s="7"/>
      <c r="GCQ163" s="7"/>
      <c r="GCR163" s="21"/>
      <c r="GCS163" s="20"/>
      <c r="GCT163" s="20"/>
      <c r="GCU163" s="20"/>
      <c r="GCV163" s="21"/>
      <c r="GCW163" s="21"/>
      <c r="GCX163" s="21"/>
      <c r="GCY163" s="21"/>
      <c r="GCZ163" s="21"/>
      <c r="GDA163" s="20"/>
      <c r="GDB163" s="20"/>
      <c r="GDC163" s="20"/>
      <c r="GDD163" s="20"/>
      <c r="GDE163" s="21"/>
      <c r="GDF163" s="21"/>
      <c r="GDG163" s="7"/>
      <c r="GDH163" s="7"/>
      <c r="GDI163" s="21"/>
      <c r="GDJ163" s="20"/>
      <c r="GDK163" s="20"/>
      <c r="GDL163" s="20"/>
      <c r="GDM163" s="21"/>
      <c r="GDN163" s="21"/>
      <c r="GDO163" s="21"/>
      <c r="GDP163" s="21"/>
      <c r="GDQ163" s="21"/>
      <c r="GDR163" s="20"/>
      <c r="GDS163" s="20"/>
      <c r="GDT163" s="20"/>
      <c r="GDU163" s="20"/>
      <c r="GDV163" s="21"/>
      <c r="GDW163" s="21"/>
      <c r="GDX163" s="7"/>
      <c r="GDY163" s="7"/>
      <c r="GDZ163" s="21"/>
      <c r="GEA163" s="20"/>
      <c r="GEB163" s="20"/>
      <c r="GEC163" s="20"/>
      <c r="GED163" s="21"/>
      <c r="GEE163" s="21"/>
      <c r="GEF163" s="21"/>
      <c r="GEG163" s="21"/>
      <c r="GEH163" s="21"/>
      <c r="GEI163" s="20"/>
      <c r="GEJ163" s="20"/>
      <c r="GEK163" s="20"/>
      <c r="GEL163" s="20"/>
      <c r="GEM163" s="21"/>
      <c r="GEN163" s="21"/>
      <c r="GEO163" s="7"/>
      <c r="GEP163" s="7"/>
      <c r="GEQ163" s="21"/>
      <c r="GER163" s="20"/>
      <c r="GES163" s="20"/>
      <c r="GET163" s="20"/>
      <c r="GEU163" s="21"/>
      <c r="GEV163" s="21"/>
      <c r="GEW163" s="21"/>
      <c r="GEX163" s="21"/>
      <c r="GEY163" s="21"/>
      <c r="GEZ163" s="20"/>
      <c r="GFA163" s="20"/>
      <c r="GFB163" s="20"/>
      <c r="GFC163" s="20"/>
      <c r="GFD163" s="21"/>
      <c r="GFE163" s="21"/>
      <c r="GFF163" s="7"/>
      <c r="GFG163" s="7"/>
      <c r="GFH163" s="21"/>
      <c r="GFI163" s="20"/>
      <c r="GFJ163" s="20"/>
      <c r="GFK163" s="20"/>
      <c r="GFL163" s="21"/>
      <c r="GFM163" s="21"/>
      <c r="GFN163" s="21"/>
      <c r="GFO163" s="21"/>
      <c r="GFP163" s="21"/>
      <c r="GFQ163" s="20"/>
      <c r="GFR163" s="20"/>
      <c r="GFS163" s="20"/>
      <c r="GFT163" s="20"/>
      <c r="GFU163" s="21"/>
      <c r="GFV163" s="21"/>
      <c r="GFW163" s="7"/>
      <c r="GFX163" s="7"/>
      <c r="GFY163" s="21"/>
      <c r="GFZ163" s="20"/>
      <c r="GGA163" s="20"/>
      <c r="GGB163" s="20"/>
      <c r="GGC163" s="21"/>
      <c r="GGD163" s="21"/>
      <c r="GGE163" s="21"/>
      <c r="GGF163" s="21"/>
      <c r="GGG163" s="21"/>
      <c r="GGH163" s="20"/>
      <c r="GGI163" s="20"/>
      <c r="GGJ163" s="20"/>
      <c r="GGK163" s="20"/>
      <c r="GGL163" s="21"/>
      <c r="GGM163" s="21"/>
      <c r="GGN163" s="7"/>
      <c r="GGO163" s="7"/>
      <c r="GGP163" s="21"/>
      <c r="GGQ163" s="20"/>
      <c r="GGR163" s="20"/>
      <c r="GGS163" s="20"/>
      <c r="GGT163" s="21"/>
      <c r="GGU163" s="21"/>
      <c r="GGV163" s="21"/>
      <c r="GGW163" s="21"/>
      <c r="GGX163" s="21"/>
      <c r="GGY163" s="20"/>
      <c r="GGZ163" s="20"/>
      <c r="GHA163" s="20"/>
      <c r="GHB163" s="20"/>
      <c r="GHC163" s="21"/>
      <c r="GHD163" s="21"/>
      <c r="GHE163" s="7"/>
      <c r="GHF163" s="7"/>
      <c r="GHG163" s="21"/>
      <c r="GHH163" s="20"/>
      <c r="GHI163" s="20"/>
      <c r="GHJ163" s="20"/>
      <c r="GHK163" s="21"/>
      <c r="GHL163" s="21"/>
      <c r="GHM163" s="21"/>
      <c r="GHN163" s="21"/>
      <c r="GHO163" s="21"/>
      <c r="GHP163" s="20"/>
      <c r="GHQ163" s="20"/>
      <c r="GHR163" s="20"/>
      <c r="GHS163" s="20"/>
      <c r="GHT163" s="21"/>
      <c r="GHU163" s="21"/>
      <c r="GHV163" s="7"/>
      <c r="GHW163" s="7"/>
      <c r="GHX163" s="21"/>
      <c r="GHY163" s="20"/>
      <c r="GHZ163" s="20"/>
      <c r="GIA163" s="20"/>
      <c r="GIB163" s="21"/>
      <c r="GIC163" s="21"/>
      <c r="GID163" s="21"/>
      <c r="GIE163" s="21"/>
      <c r="GIF163" s="21"/>
      <c r="GIG163" s="20"/>
      <c r="GIH163" s="20"/>
      <c r="GII163" s="20"/>
      <c r="GIJ163" s="20"/>
      <c r="GIK163" s="21"/>
      <c r="GIL163" s="21"/>
      <c r="GIM163" s="7"/>
      <c r="GIN163" s="7"/>
      <c r="GIO163" s="21"/>
      <c r="GIP163" s="20"/>
      <c r="GIQ163" s="20"/>
      <c r="GIR163" s="20"/>
      <c r="GIS163" s="21"/>
      <c r="GIT163" s="21"/>
      <c r="GIU163" s="21"/>
      <c r="GIV163" s="21"/>
      <c r="GIW163" s="21"/>
      <c r="GIX163" s="20"/>
      <c r="GIY163" s="20"/>
      <c r="GIZ163" s="20"/>
      <c r="GJA163" s="20"/>
      <c r="GJB163" s="21"/>
      <c r="GJC163" s="21"/>
      <c r="GJD163" s="7"/>
      <c r="GJE163" s="7"/>
      <c r="GJF163" s="21"/>
      <c r="GJG163" s="20"/>
      <c r="GJH163" s="20"/>
      <c r="GJI163" s="20"/>
      <c r="GJJ163" s="21"/>
      <c r="GJK163" s="21"/>
      <c r="GJL163" s="21"/>
      <c r="GJM163" s="21"/>
      <c r="GJN163" s="21"/>
      <c r="GJO163" s="20"/>
      <c r="GJP163" s="20"/>
      <c r="GJQ163" s="20"/>
      <c r="GJR163" s="20"/>
      <c r="GJS163" s="21"/>
      <c r="GJT163" s="21"/>
      <c r="GJU163" s="7"/>
      <c r="GJV163" s="7"/>
      <c r="GJW163" s="21"/>
      <c r="GJX163" s="20"/>
      <c r="GJY163" s="20"/>
      <c r="GJZ163" s="20"/>
      <c r="GKA163" s="21"/>
      <c r="GKB163" s="21"/>
      <c r="GKC163" s="21"/>
      <c r="GKD163" s="21"/>
      <c r="GKE163" s="21"/>
      <c r="GKF163" s="20"/>
      <c r="GKG163" s="20"/>
      <c r="GKH163" s="20"/>
      <c r="GKI163" s="20"/>
      <c r="GKJ163" s="21"/>
      <c r="GKK163" s="21"/>
      <c r="GKL163" s="7"/>
      <c r="GKM163" s="7"/>
      <c r="GKN163" s="21"/>
      <c r="GKO163" s="20"/>
      <c r="GKP163" s="20"/>
      <c r="GKQ163" s="20"/>
      <c r="GKR163" s="21"/>
      <c r="GKS163" s="21"/>
      <c r="GKT163" s="21"/>
      <c r="GKU163" s="21"/>
      <c r="GKV163" s="21"/>
      <c r="GKW163" s="20"/>
      <c r="GKX163" s="20"/>
      <c r="GKY163" s="20"/>
      <c r="GKZ163" s="20"/>
      <c r="GLA163" s="21"/>
      <c r="GLB163" s="21"/>
      <c r="GLC163" s="7"/>
      <c r="GLD163" s="7"/>
      <c r="GLE163" s="21"/>
      <c r="GLF163" s="20"/>
      <c r="GLG163" s="20"/>
      <c r="GLH163" s="20"/>
      <c r="GLI163" s="21"/>
      <c r="GLJ163" s="21"/>
      <c r="GLK163" s="21"/>
      <c r="GLL163" s="21"/>
      <c r="GLM163" s="21"/>
      <c r="GLN163" s="20"/>
      <c r="GLO163" s="20"/>
      <c r="GLP163" s="20"/>
      <c r="GLQ163" s="20"/>
      <c r="GLR163" s="21"/>
      <c r="GLS163" s="21"/>
      <c r="GLT163" s="7"/>
      <c r="GLU163" s="7"/>
      <c r="GLV163" s="21"/>
      <c r="GLW163" s="20"/>
      <c r="GLX163" s="20"/>
      <c r="GLY163" s="20"/>
      <c r="GLZ163" s="21"/>
      <c r="GMA163" s="21"/>
      <c r="GMB163" s="21"/>
      <c r="GMC163" s="21"/>
      <c r="GMD163" s="21"/>
      <c r="GME163" s="20"/>
      <c r="GMF163" s="20"/>
      <c r="GMG163" s="20"/>
      <c r="GMH163" s="20"/>
      <c r="GMI163" s="21"/>
      <c r="GMJ163" s="21"/>
      <c r="GMK163" s="7"/>
      <c r="GML163" s="7"/>
      <c r="GMM163" s="21"/>
      <c r="GMN163" s="20"/>
      <c r="GMO163" s="20"/>
      <c r="GMP163" s="20"/>
      <c r="GMQ163" s="21"/>
      <c r="GMR163" s="21"/>
      <c r="GMS163" s="21"/>
      <c r="GMT163" s="21"/>
      <c r="GMU163" s="21"/>
      <c r="GMV163" s="20"/>
      <c r="GMW163" s="20"/>
      <c r="GMX163" s="20"/>
      <c r="GMY163" s="20"/>
      <c r="GMZ163" s="21"/>
      <c r="GNA163" s="21"/>
      <c r="GNB163" s="7"/>
      <c r="GNC163" s="7"/>
      <c r="GND163" s="21"/>
      <c r="GNE163" s="20"/>
      <c r="GNF163" s="20"/>
      <c r="GNG163" s="20"/>
      <c r="GNH163" s="21"/>
      <c r="GNI163" s="21"/>
      <c r="GNJ163" s="21"/>
      <c r="GNK163" s="21"/>
      <c r="GNL163" s="21"/>
      <c r="GNM163" s="20"/>
      <c r="GNN163" s="20"/>
      <c r="GNO163" s="20"/>
      <c r="GNP163" s="20"/>
      <c r="GNQ163" s="21"/>
      <c r="GNR163" s="21"/>
      <c r="GNS163" s="7"/>
      <c r="GNT163" s="7"/>
      <c r="GNU163" s="21"/>
      <c r="GNV163" s="20"/>
      <c r="GNW163" s="20"/>
      <c r="GNX163" s="20"/>
      <c r="GNY163" s="21"/>
      <c r="GNZ163" s="21"/>
      <c r="GOA163" s="21"/>
      <c r="GOB163" s="21"/>
      <c r="GOC163" s="21"/>
      <c r="GOD163" s="20"/>
      <c r="GOE163" s="20"/>
      <c r="GOF163" s="20"/>
      <c r="GOG163" s="20"/>
      <c r="GOH163" s="21"/>
      <c r="GOI163" s="21"/>
      <c r="GOJ163" s="7"/>
      <c r="GOK163" s="7"/>
      <c r="GOL163" s="21"/>
      <c r="GOM163" s="20"/>
      <c r="GON163" s="20"/>
      <c r="GOO163" s="20"/>
      <c r="GOP163" s="21"/>
      <c r="GOQ163" s="21"/>
      <c r="GOR163" s="21"/>
      <c r="GOS163" s="21"/>
      <c r="GOT163" s="21"/>
      <c r="GOU163" s="20"/>
      <c r="GOV163" s="20"/>
      <c r="GOW163" s="20"/>
      <c r="GOX163" s="20"/>
      <c r="GOY163" s="21"/>
      <c r="GOZ163" s="21"/>
      <c r="GPA163" s="7"/>
      <c r="GPB163" s="7"/>
      <c r="GPC163" s="21"/>
      <c r="GPD163" s="20"/>
      <c r="GPE163" s="20"/>
      <c r="GPF163" s="20"/>
      <c r="GPG163" s="21"/>
      <c r="GPH163" s="21"/>
      <c r="GPI163" s="21"/>
      <c r="GPJ163" s="21"/>
      <c r="GPK163" s="21"/>
      <c r="GPL163" s="20"/>
      <c r="GPM163" s="20"/>
      <c r="GPN163" s="20"/>
      <c r="GPO163" s="20"/>
      <c r="GPP163" s="21"/>
      <c r="GPQ163" s="21"/>
      <c r="GPR163" s="7"/>
      <c r="GPS163" s="7"/>
      <c r="GPT163" s="21"/>
      <c r="GPU163" s="20"/>
      <c r="GPV163" s="20"/>
      <c r="GPW163" s="20"/>
      <c r="GPX163" s="21"/>
      <c r="GPY163" s="21"/>
      <c r="GPZ163" s="21"/>
      <c r="GQA163" s="21"/>
      <c r="GQB163" s="21"/>
      <c r="GQC163" s="20"/>
      <c r="GQD163" s="20"/>
      <c r="GQE163" s="20"/>
      <c r="GQF163" s="20"/>
      <c r="GQG163" s="21"/>
      <c r="GQH163" s="21"/>
      <c r="GQI163" s="7"/>
      <c r="GQJ163" s="7"/>
      <c r="GQK163" s="21"/>
      <c r="GQL163" s="20"/>
      <c r="GQM163" s="20"/>
      <c r="GQN163" s="20"/>
      <c r="GQO163" s="21"/>
      <c r="GQP163" s="21"/>
      <c r="GQQ163" s="21"/>
      <c r="GQR163" s="21"/>
      <c r="GQS163" s="21"/>
      <c r="GQT163" s="20"/>
      <c r="GQU163" s="20"/>
      <c r="GQV163" s="20"/>
      <c r="GQW163" s="20"/>
      <c r="GQX163" s="21"/>
      <c r="GQY163" s="21"/>
      <c r="GQZ163" s="7"/>
      <c r="GRA163" s="7"/>
      <c r="GRB163" s="21"/>
      <c r="GRC163" s="20"/>
      <c r="GRD163" s="20"/>
      <c r="GRE163" s="20"/>
      <c r="GRF163" s="21"/>
      <c r="GRG163" s="21"/>
      <c r="GRH163" s="21"/>
      <c r="GRI163" s="21"/>
      <c r="GRJ163" s="21"/>
      <c r="GRK163" s="20"/>
      <c r="GRL163" s="20"/>
      <c r="GRM163" s="20"/>
      <c r="GRN163" s="20"/>
      <c r="GRO163" s="21"/>
      <c r="GRP163" s="21"/>
      <c r="GRQ163" s="7"/>
      <c r="GRR163" s="7"/>
      <c r="GRS163" s="21"/>
      <c r="GRT163" s="20"/>
      <c r="GRU163" s="20"/>
      <c r="GRV163" s="20"/>
      <c r="GRW163" s="21"/>
      <c r="GRX163" s="21"/>
      <c r="GRY163" s="21"/>
      <c r="GRZ163" s="21"/>
      <c r="GSA163" s="21"/>
      <c r="GSB163" s="20"/>
      <c r="GSC163" s="20"/>
      <c r="GSD163" s="20"/>
      <c r="GSE163" s="20"/>
      <c r="GSF163" s="21"/>
      <c r="GSG163" s="21"/>
      <c r="GSH163" s="7"/>
      <c r="GSI163" s="7"/>
      <c r="GSJ163" s="21"/>
      <c r="GSK163" s="20"/>
      <c r="GSL163" s="20"/>
      <c r="GSM163" s="20"/>
      <c r="GSN163" s="21"/>
      <c r="GSO163" s="21"/>
      <c r="GSP163" s="21"/>
      <c r="GSQ163" s="21"/>
      <c r="GSR163" s="21"/>
      <c r="GSS163" s="20"/>
      <c r="GST163" s="20"/>
      <c r="GSU163" s="20"/>
      <c r="GSV163" s="20"/>
      <c r="GSW163" s="21"/>
      <c r="GSX163" s="21"/>
      <c r="GSY163" s="7"/>
      <c r="GSZ163" s="7"/>
      <c r="GTA163" s="21"/>
      <c r="GTB163" s="20"/>
      <c r="GTC163" s="20"/>
      <c r="GTD163" s="20"/>
      <c r="GTE163" s="21"/>
      <c r="GTF163" s="21"/>
      <c r="GTG163" s="21"/>
      <c r="GTH163" s="21"/>
      <c r="GTI163" s="21"/>
      <c r="GTJ163" s="20"/>
      <c r="GTK163" s="20"/>
      <c r="GTL163" s="20"/>
      <c r="GTM163" s="20"/>
      <c r="GTN163" s="21"/>
      <c r="GTO163" s="21"/>
      <c r="GTP163" s="7"/>
      <c r="GTQ163" s="7"/>
      <c r="GTR163" s="21"/>
      <c r="GTS163" s="20"/>
      <c r="GTT163" s="20"/>
      <c r="GTU163" s="20"/>
      <c r="GTV163" s="21"/>
      <c r="GTW163" s="21"/>
      <c r="GTX163" s="21"/>
      <c r="GTY163" s="21"/>
      <c r="GTZ163" s="21"/>
      <c r="GUA163" s="20"/>
      <c r="GUB163" s="20"/>
      <c r="GUC163" s="20"/>
      <c r="GUD163" s="20"/>
      <c r="GUE163" s="21"/>
      <c r="GUF163" s="21"/>
      <c r="GUG163" s="7"/>
      <c r="GUH163" s="7"/>
      <c r="GUI163" s="21"/>
      <c r="GUJ163" s="20"/>
      <c r="GUK163" s="20"/>
      <c r="GUL163" s="20"/>
      <c r="GUM163" s="21"/>
      <c r="GUN163" s="21"/>
      <c r="GUO163" s="21"/>
      <c r="GUP163" s="21"/>
      <c r="GUQ163" s="21"/>
      <c r="GUR163" s="20"/>
      <c r="GUS163" s="20"/>
      <c r="GUT163" s="20"/>
      <c r="GUU163" s="20"/>
      <c r="GUV163" s="21"/>
      <c r="GUW163" s="21"/>
      <c r="GUX163" s="7"/>
      <c r="GUY163" s="7"/>
      <c r="GUZ163" s="21"/>
      <c r="GVA163" s="20"/>
      <c r="GVB163" s="20"/>
      <c r="GVC163" s="20"/>
      <c r="GVD163" s="21"/>
      <c r="GVE163" s="21"/>
      <c r="GVF163" s="21"/>
      <c r="GVG163" s="21"/>
      <c r="GVH163" s="21"/>
      <c r="GVI163" s="20"/>
      <c r="GVJ163" s="20"/>
      <c r="GVK163" s="20"/>
      <c r="GVL163" s="20"/>
      <c r="GVM163" s="21"/>
      <c r="GVN163" s="21"/>
      <c r="GVO163" s="7"/>
      <c r="GVP163" s="7"/>
      <c r="GVQ163" s="21"/>
      <c r="GVR163" s="20"/>
      <c r="GVS163" s="20"/>
      <c r="GVT163" s="20"/>
      <c r="GVU163" s="21"/>
      <c r="GVV163" s="21"/>
      <c r="GVW163" s="21"/>
      <c r="GVX163" s="21"/>
      <c r="GVY163" s="21"/>
      <c r="GVZ163" s="20"/>
      <c r="GWA163" s="20"/>
      <c r="GWB163" s="20"/>
      <c r="GWC163" s="20"/>
      <c r="GWD163" s="21"/>
      <c r="GWE163" s="21"/>
      <c r="GWF163" s="7"/>
      <c r="GWG163" s="7"/>
      <c r="GWH163" s="21"/>
      <c r="GWI163" s="20"/>
      <c r="GWJ163" s="20"/>
      <c r="GWK163" s="20"/>
      <c r="GWL163" s="21"/>
      <c r="GWM163" s="21"/>
      <c r="GWN163" s="21"/>
      <c r="GWO163" s="21"/>
      <c r="GWP163" s="21"/>
      <c r="GWQ163" s="20"/>
      <c r="GWR163" s="20"/>
      <c r="GWS163" s="20"/>
      <c r="GWT163" s="20"/>
      <c r="GWU163" s="21"/>
      <c r="GWV163" s="21"/>
      <c r="GWW163" s="7"/>
      <c r="GWX163" s="7"/>
      <c r="GWY163" s="21"/>
      <c r="GWZ163" s="20"/>
      <c r="GXA163" s="20"/>
      <c r="GXB163" s="20"/>
      <c r="GXC163" s="21"/>
      <c r="GXD163" s="21"/>
      <c r="GXE163" s="21"/>
      <c r="GXF163" s="21"/>
      <c r="GXG163" s="21"/>
      <c r="GXH163" s="20"/>
      <c r="GXI163" s="20"/>
      <c r="GXJ163" s="20"/>
      <c r="GXK163" s="20"/>
      <c r="GXL163" s="21"/>
      <c r="GXM163" s="21"/>
      <c r="GXN163" s="7"/>
      <c r="GXO163" s="7"/>
      <c r="GXP163" s="21"/>
      <c r="GXQ163" s="20"/>
      <c r="GXR163" s="20"/>
      <c r="GXS163" s="20"/>
      <c r="GXT163" s="21"/>
      <c r="GXU163" s="21"/>
      <c r="GXV163" s="21"/>
      <c r="GXW163" s="21"/>
      <c r="GXX163" s="21"/>
      <c r="GXY163" s="20"/>
      <c r="GXZ163" s="20"/>
      <c r="GYA163" s="20"/>
      <c r="GYB163" s="20"/>
      <c r="GYC163" s="21"/>
      <c r="GYD163" s="21"/>
      <c r="GYE163" s="7"/>
      <c r="GYF163" s="7"/>
      <c r="GYG163" s="21"/>
      <c r="GYH163" s="20"/>
      <c r="GYI163" s="20"/>
      <c r="GYJ163" s="20"/>
      <c r="GYK163" s="21"/>
      <c r="GYL163" s="21"/>
      <c r="GYM163" s="21"/>
      <c r="GYN163" s="21"/>
      <c r="GYO163" s="21"/>
      <c r="GYP163" s="20"/>
      <c r="GYQ163" s="20"/>
      <c r="GYR163" s="20"/>
      <c r="GYS163" s="20"/>
      <c r="GYT163" s="21"/>
      <c r="GYU163" s="21"/>
      <c r="GYV163" s="7"/>
      <c r="GYW163" s="7"/>
      <c r="GYX163" s="21"/>
      <c r="GYY163" s="20"/>
      <c r="GYZ163" s="20"/>
      <c r="GZA163" s="20"/>
      <c r="GZB163" s="21"/>
      <c r="GZC163" s="21"/>
      <c r="GZD163" s="21"/>
      <c r="GZE163" s="21"/>
      <c r="GZF163" s="21"/>
      <c r="GZG163" s="20"/>
      <c r="GZH163" s="20"/>
      <c r="GZI163" s="20"/>
      <c r="GZJ163" s="20"/>
      <c r="GZK163" s="21"/>
      <c r="GZL163" s="21"/>
      <c r="GZM163" s="7"/>
      <c r="GZN163" s="7"/>
      <c r="GZO163" s="21"/>
      <c r="GZP163" s="20"/>
      <c r="GZQ163" s="20"/>
      <c r="GZR163" s="20"/>
      <c r="GZS163" s="21"/>
      <c r="GZT163" s="21"/>
      <c r="GZU163" s="21"/>
      <c r="GZV163" s="21"/>
      <c r="GZW163" s="21"/>
      <c r="GZX163" s="20"/>
      <c r="GZY163" s="20"/>
      <c r="GZZ163" s="20"/>
      <c r="HAA163" s="20"/>
      <c r="HAB163" s="21"/>
      <c r="HAC163" s="21"/>
      <c r="HAD163" s="7"/>
      <c r="HAE163" s="7"/>
      <c r="HAF163" s="21"/>
      <c r="HAG163" s="20"/>
      <c r="HAH163" s="20"/>
      <c r="HAI163" s="20"/>
      <c r="HAJ163" s="21"/>
      <c r="HAK163" s="21"/>
      <c r="HAL163" s="21"/>
      <c r="HAM163" s="21"/>
      <c r="HAN163" s="21"/>
      <c r="HAO163" s="20"/>
      <c r="HAP163" s="20"/>
      <c r="HAQ163" s="20"/>
      <c r="HAR163" s="20"/>
      <c r="HAS163" s="21"/>
      <c r="HAT163" s="21"/>
      <c r="HAU163" s="7"/>
      <c r="HAV163" s="7"/>
      <c r="HAW163" s="21"/>
      <c r="HAX163" s="20"/>
      <c r="HAY163" s="20"/>
      <c r="HAZ163" s="20"/>
      <c r="HBA163" s="21"/>
      <c r="HBB163" s="21"/>
      <c r="HBC163" s="21"/>
      <c r="HBD163" s="21"/>
      <c r="HBE163" s="21"/>
      <c r="HBF163" s="20"/>
      <c r="HBG163" s="20"/>
      <c r="HBH163" s="20"/>
      <c r="HBI163" s="20"/>
      <c r="HBJ163" s="21"/>
      <c r="HBK163" s="21"/>
      <c r="HBL163" s="7"/>
      <c r="HBM163" s="7"/>
      <c r="HBN163" s="21"/>
      <c r="HBO163" s="20"/>
      <c r="HBP163" s="20"/>
      <c r="HBQ163" s="20"/>
      <c r="HBR163" s="21"/>
      <c r="HBS163" s="21"/>
      <c r="HBT163" s="21"/>
      <c r="HBU163" s="21"/>
      <c r="HBV163" s="21"/>
      <c r="HBW163" s="20"/>
      <c r="HBX163" s="20"/>
      <c r="HBY163" s="20"/>
      <c r="HBZ163" s="20"/>
      <c r="HCA163" s="21"/>
      <c r="HCB163" s="21"/>
      <c r="HCC163" s="7"/>
      <c r="HCD163" s="7"/>
      <c r="HCE163" s="21"/>
      <c r="HCF163" s="20"/>
      <c r="HCG163" s="20"/>
      <c r="HCH163" s="20"/>
      <c r="HCI163" s="21"/>
      <c r="HCJ163" s="21"/>
      <c r="HCK163" s="21"/>
      <c r="HCL163" s="21"/>
      <c r="HCM163" s="21"/>
      <c r="HCN163" s="20"/>
      <c r="HCO163" s="20"/>
      <c r="HCP163" s="20"/>
      <c r="HCQ163" s="20"/>
      <c r="HCR163" s="21"/>
      <c r="HCS163" s="21"/>
      <c r="HCT163" s="7"/>
      <c r="HCU163" s="7"/>
      <c r="HCV163" s="21"/>
      <c r="HCW163" s="20"/>
      <c r="HCX163" s="20"/>
      <c r="HCY163" s="20"/>
      <c r="HCZ163" s="21"/>
      <c r="HDA163" s="21"/>
      <c r="HDB163" s="21"/>
      <c r="HDC163" s="21"/>
      <c r="HDD163" s="21"/>
      <c r="HDE163" s="20"/>
      <c r="HDF163" s="20"/>
      <c r="HDG163" s="20"/>
      <c r="HDH163" s="20"/>
      <c r="HDI163" s="21"/>
      <c r="HDJ163" s="21"/>
      <c r="HDK163" s="7"/>
      <c r="HDL163" s="7"/>
      <c r="HDM163" s="21"/>
      <c r="HDN163" s="20"/>
      <c r="HDO163" s="20"/>
      <c r="HDP163" s="20"/>
      <c r="HDQ163" s="21"/>
      <c r="HDR163" s="21"/>
      <c r="HDS163" s="21"/>
      <c r="HDT163" s="21"/>
      <c r="HDU163" s="21"/>
      <c r="HDV163" s="20"/>
      <c r="HDW163" s="20"/>
      <c r="HDX163" s="20"/>
      <c r="HDY163" s="20"/>
      <c r="HDZ163" s="21"/>
      <c r="HEA163" s="21"/>
      <c r="HEB163" s="7"/>
      <c r="HEC163" s="7"/>
      <c r="HED163" s="21"/>
      <c r="HEE163" s="20"/>
      <c r="HEF163" s="20"/>
      <c r="HEG163" s="20"/>
      <c r="HEH163" s="21"/>
      <c r="HEI163" s="21"/>
      <c r="HEJ163" s="21"/>
      <c r="HEK163" s="21"/>
      <c r="HEL163" s="21"/>
      <c r="HEM163" s="20"/>
      <c r="HEN163" s="20"/>
      <c r="HEO163" s="20"/>
      <c r="HEP163" s="20"/>
      <c r="HEQ163" s="21"/>
      <c r="HER163" s="21"/>
      <c r="HES163" s="7"/>
      <c r="HET163" s="7"/>
      <c r="HEU163" s="21"/>
      <c r="HEV163" s="20"/>
      <c r="HEW163" s="20"/>
      <c r="HEX163" s="20"/>
      <c r="HEY163" s="21"/>
      <c r="HEZ163" s="21"/>
      <c r="HFA163" s="21"/>
      <c r="HFB163" s="21"/>
      <c r="HFC163" s="21"/>
      <c r="HFD163" s="20"/>
      <c r="HFE163" s="20"/>
      <c r="HFF163" s="20"/>
      <c r="HFG163" s="20"/>
      <c r="HFH163" s="21"/>
      <c r="HFI163" s="21"/>
      <c r="HFJ163" s="7"/>
      <c r="HFK163" s="7"/>
      <c r="HFL163" s="21"/>
      <c r="HFM163" s="20"/>
      <c r="HFN163" s="20"/>
      <c r="HFO163" s="20"/>
      <c r="HFP163" s="21"/>
      <c r="HFQ163" s="21"/>
      <c r="HFR163" s="21"/>
      <c r="HFS163" s="21"/>
      <c r="HFT163" s="21"/>
      <c r="HFU163" s="20"/>
      <c r="HFV163" s="20"/>
      <c r="HFW163" s="20"/>
      <c r="HFX163" s="20"/>
      <c r="HFY163" s="21"/>
      <c r="HFZ163" s="21"/>
      <c r="HGA163" s="7"/>
      <c r="HGB163" s="7"/>
      <c r="HGC163" s="21"/>
      <c r="HGD163" s="20"/>
      <c r="HGE163" s="20"/>
      <c r="HGF163" s="20"/>
      <c r="HGG163" s="21"/>
      <c r="HGH163" s="21"/>
      <c r="HGI163" s="21"/>
      <c r="HGJ163" s="21"/>
      <c r="HGK163" s="21"/>
      <c r="HGL163" s="20"/>
      <c r="HGM163" s="20"/>
      <c r="HGN163" s="20"/>
      <c r="HGO163" s="20"/>
      <c r="HGP163" s="21"/>
      <c r="HGQ163" s="21"/>
      <c r="HGR163" s="7"/>
      <c r="HGS163" s="7"/>
      <c r="HGT163" s="21"/>
      <c r="HGU163" s="20"/>
      <c r="HGV163" s="20"/>
      <c r="HGW163" s="20"/>
      <c r="HGX163" s="21"/>
      <c r="HGY163" s="21"/>
      <c r="HGZ163" s="21"/>
      <c r="HHA163" s="21"/>
      <c r="HHB163" s="21"/>
      <c r="HHC163" s="20"/>
      <c r="HHD163" s="20"/>
      <c r="HHE163" s="20"/>
      <c r="HHF163" s="20"/>
      <c r="HHG163" s="21"/>
      <c r="HHH163" s="21"/>
      <c r="HHI163" s="7"/>
      <c r="HHJ163" s="7"/>
      <c r="HHK163" s="21"/>
      <c r="HHL163" s="20"/>
      <c r="HHM163" s="20"/>
      <c r="HHN163" s="20"/>
      <c r="HHO163" s="21"/>
      <c r="HHP163" s="21"/>
      <c r="HHQ163" s="21"/>
      <c r="HHR163" s="21"/>
      <c r="HHS163" s="21"/>
      <c r="HHT163" s="20"/>
      <c r="HHU163" s="20"/>
      <c r="HHV163" s="20"/>
      <c r="HHW163" s="20"/>
      <c r="HHX163" s="21"/>
      <c r="HHY163" s="21"/>
      <c r="HHZ163" s="7"/>
      <c r="HIA163" s="7"/>
      <c r="HIB163" s="21"/>
      <c r="HIC163" s="20"/>
      <c r="HID163" s="20"/>
      <c r="HIE163" s="20"/>
      <c r="HIF163" s="21"/>
      <c r="HIG163" s="21"/>
      <c r="HIH163" s="21"/>
      <c r="HII163" s="21"/>
      <c r="HIJ163" s="21"/>
      <c r="HIK163" s="20"/>
      <c r="HIL163" s="20"/>
      <c r="HIM163" s="20"/>
      <c r="HIN163" s="20"/>
      <c r="HIO163" s="21"/>
      <c r="HIP163" s="21"/>
      <c r="HIQ163" s="7"/>
      <c r="HIR163" s="7"/>
      <c r="HIS163" s="21"/>
      <c r="HIT163" s="20"/>
      <c r="HIU163" s="20"/>
      <c r="HIV163" s="20"/>
      <c r="HIW163" s="21"/>
      <c r="HIX163" s="21"/>
      <c r="HIY163" s="21"/>
      <c r="HIZ163" s="21"/>
      <c r="HJA163" s="21"/>
      <c r="HJB163" s="20"/>
      <c r="HJC163" s="20"/>
      <c r="HJD163" s="20"/>
      <c r="HJE163" s="20"/>
      <c r="HJF163" s="21"/>
      <c r="HJG163" s="21"/>
      <c r="HJH163" s="7"/>
      <c r="HJI163" s="7"/>
      <c r="HJJ163" s="21"/>
      <c r="HJK163" s="20"/>
      <c r="HJL163" s="20"/>
      <c r="HJM163" s="20"/>
      <c r="HJN163" s="21"/>
      <c r="HJO163" s="21"/>
      <c r="HJP163" s="21"/>
      <c r="HJQ163" s="21"/>
      <c r="HJR163" s="21"/>
      <c r="HJS163" s="20"/>
      <c r="HJT163" s="20"/>
      <c r="HJU163" s="20"/>
      <c r="HJV163" s="20"/>
      <c r="HJW163" s="21"/>
      <c r="HJX163" s="21"/>
      <c r="HJY163" s="7"/>
      <c r="HJZ163" s="7"/>
      <c r="HKA163" s="21"/>
      <c r="HKB163" s="20"/>
      <c r="HKC163" s="20"/>
      <c r="HKD163" s="20"/>
      <c r="HKE163" s="21"/>
      <c r="HKF163" s="21"/>
      <c r="HKG163" s="21"/>
      <c r="HKH163" s="21"/>
      <c r="HKI163" s="21"/>
      <c r="HKJ163" s="20"/>
      <c r="HKK163" s="20"/>
      <c r="HKL163" s="20"/>
      <c r="HKM163" s="20"/>
      <c r="HKN163" s="21"/>
      <c r="HKO163" s="21"/>
      <c r="HKP163" s="7"/>
      <c r="HKQ163" s="7"/>
      <c r="HKR163" s="21"/>
      <c r="HKS163" s="20"/>
      <c r="HKT163" s="20"/>
      <c r="HKU163" s="20"/>
      <c r="HKV163" s="21"/>
      <c r="HKW163" s="21"/>
      <c r="HKX163" s="21"/>
      <c r="HKY163" s="21"/>
      <c r="HKZ163" s="21"/>
      <c r="HLA163" s="20"/>
      <c r="HLB163" s="20"/>
      <c r="HLC163" s="20"/>
      <c r="HLD163" s="20"/>
      <c r="HLE163" s="21"/>
      <c r="HLF163" s="21"/>
      <c r="HLG163" s="7"/>
      <c r="HLH163" s="7"/>
      <c r="HLI163" s="21"/>
      <c r="HLJ163" s="20"/>
      <c r="HLK163" s="20"/>
      <c r="HLL163" s="20"/>
      <c r="HLM163" s="21"/>
      <c r="HLN163" s="21"/>
      <c r="HLO163" s="21"/>
      <c r="HLP163" s="21"/>
      <c r="HLQ163" s="21"/>
      <c r="HLR163" s="20"/>
      <c r="HLS163" s="20"/>
      <c r="HLT163" s="20"/>
      <c r="HLU163" s="20"/>
      <c r="HLV163" s="21"/>
      <c r="HLW163" s="21"/>
      <c r="HLX163" s="7"/>
      <c r="HLY163" s="7"/>
      <c r="HLZ163" s="21"/>
      <c r="HMA163" s="20"/>
      <c r="HMB163" s="20"/>
      <c r="HMC163" s="20"/>
      <c r="HMD163" s="21"/>
      <c r="HME163" s="21"/>
      <c r="HMF163" s="21"/>
      <c r="HMG163" s="21"/>
      <c r="HMH163" s="21"/>
      <c r="HMI163" s="20"/>
      <c r="HMJ163" s="20"/>
      <c r="HMK163" s="20"/>
      <c r="HML163" s="20"/>
      <c r="HMM163" s="21"/>
      <c r="HMN163" s="21"/>
      <c r="HMO163" s="7"/>
      <c r="HMP163" s="7"/>
      <c r="HMQ163" s="21"/>
      <c r="HMR163" s="20"/>
      <c r="HMS163" s="20"/>
      <c r="HMT163" s="20"/>
      <c r="HMU163" s="21"/>
      <c r="HMV163" s="21"/>
      <c r="HMW163" s="21"/>
      <c r="HMX163" s="21"/>
      <c r="HMY163" s="21"/>
      <c r="HMZ163" s="20"/>
      <c r="HNA163" s="20"/>
      <c r="HNB163" s="20"/>
      <c r="HNC163" s="20"/>
      <c r="HND163" s="21"/>
      <c r="HNE163" s="21"/>
      <c r="HNF163" s="7"/>
      <c r="HNG163" s="7"/>
      <c r="HNH163" s="21"/>
      <c r="HNI163" s="20"/>
      <c r="HNJ163" s="20"/>
      <c r="HNK163" s="20"/>
      <c r="HNL163" s="21"/>
      <c r="HNM163" s="21"/>
      <c r="HNN163" s="21"/>
      <c r="HNO163" s="21"/>
      <c r="HNP163" s="21"/>
      <c r="HNQ163" s="20"/>
      <c r="HNR163" s="20"/>
      <c r="HNS163" s="20"/>
      <c r="HNT163" s="20"/>
      <c r="HNU163" s="21"/>
      <c r="HNV163" s="21"/>
      <c r="HNW163" s="7"/>
      <c r="HNX163" s="7"/>
      <c r="HNY163" s="21"/>
      <c r="HNZ163" s="20"/>
      <c r="HOA163" s="20"/>
      <c r="HOB163" s="20"/>
      <c r="HOC163" s="21"/>
      <c r="HOD163" s="21"/>
      <c r="HOE163" s="21"/>
      <c r="HOF163" s="21"/>
      <c r="HOG163" s="21"/>
      <c r="HOH163" s="20"/>
      <c r="HOI163" s="20"/>
      <c r="HOJ163" s="20"/>
      <c r="HOK163" s="20"/>
      <c r="HOL163" s="21"/>
      <c r="HOM163" s="21"/>
      <c r="HON163" s="7"/>
      <c r="HOO163" s="7"/>
      <c r="HOP163" s="21"/>
      <c r="HOQ163" s="20"/>
      <c r="HOR163" s="20"/>
      <c r="HOS163" s="20"/>
      <c r="HOT163" s="21"/>
      <c r="HOU163" s="21"/>
      <c r="HOV163" s="21"/>
      <c r="HOW163" s="21"/>
      <c r="HOX163" s="21"/>
      <c r="HOY163" s="20"/>
      <c r="HOZ163" s="20"/>
      <c r="HPA163" s="20"/>
      <c r="HPB163" s="20"/>
      <c r="HPC163" s="21"/>
      <c r="HPD163" s="21"/>
      <c r="HPE163" s="7"/>
      <c r="HPF163" s="7"/>
      <c r="HPG163" s="21"/>
      <c r="HPH163" s="20"/>
      <c r="HPI163" s="20"/>
      <c r="HPJ163" s="20"/>
      <c r="HPK163" s="21"/>
      <c r="HPL163" s="21"/>
      <c r="HPM163" s="21"/>
      <c r="HPN163" s="21"/>
      <c r="HPO163" s="21"/>
      <c r="HPP163" s="20"/>
      <c r="HPQ163" s="20"/>
      <c r="HPR163" s="20"/>
      <c r="HPS163" s="20"/>
      <c r="HPT163" s="21"/>
      <c r="HPU163" s="21"/>
      <c r="HPV163" s="7"/>
      <c r="HPW163" s="7"/>
      <c r="HPX163" s="21"/>
      <c r="HPY163" s="20"/>
      <c r="HPZ163" s="20"/>
      <c r="HQA163" s="20"/>
      <c r="HQB163" s="21"/>
      <c r="HQC163" s="21"/>
      <c r="HQD163" s="21"/>
      <c r="HQE163" s="21"/>
      <c r="HQF163" s="21"/>
      <c r="HQG163" s="20"/>
      <c r="HQH163" s="20"/>
      <c r="HQI163" s="20"/>
      <c r="HQJ163" s="20"/>
      <c r="HQK163" s="21"/>
      <c r="HQL163" s="21"/>
      <c r="HQM163" s="7"/>
      <c r="HQN163" s="7"/>
      <c r="HQO163" s="21"/>
      <c r="HQP163" s="20"/>
      <c r="HQQ163" s="20"/>
      <c r="HQR163" s="20"/>
      <c r="HQS163" s="21"/>
      <c r="HQT163" s="21"/>
      <c r="HQU163" s="21"/>
      <c r="HQV163" s="21"/>
      <c r="HQW163" s="21"/>
      <c r="HQX163" s="20"/>
      <c r="HQY163" s="20"/>
      <c r="HQZ163" s="20"/>
      <c r="HRA163" s="20"/>
      <c r="HRB163" s="21"/>
      <c r="HRC163" s="21"/>
      <c r="HRD163" s="7"/>
      <c r="HRE163" s="7"/>
      <c r="HRF163" s="21"/>
      <c r="HRG163" s="20"/>
      <c r="HRH163" s="20"/>
      <c r="HRI163" s="20"/>
      <c r="HRJ163" s="21"/>
      <c r="HRK163" s="21"/>
      <c r="HRL163" s="21"/>
      <c r="HRM163" s="21"/>
      <c r="HRN163" s="21"/>
      <c r="HRO163" s="20"/>
      <c r="HRP163" s="20"/>
      <c r="HRQ163" s="20"/>
      <c r="HRR163" s="20"/>
      <c r="HRS163" s="21"/>
      <c r="HRT163" s="21"/>
      <c r="HRU163" s="7"/>
      <c r="HRV163" s="7"/>
      <c r="HRW163" s="21"/>
      <c r="HRX163" s="20"/>
      <c r="HRY163" s="20"/>
      <c r="HRZ163" s="20"/>
      <c r="HSA163" s="21"/>
      <c r="HSB163" s="21"/>
      <c r="HSC163" s="21"/>
      <c r="HSD163" s="21"/>
      <c r="HSE163" s="21"/>
      <c r="HSF163" s="20"/>
      <c r="HSG163" s="20"/>
      <c r="HSH163" s="20"/>
      <c r="HSI163" s="20"/>
      <c r="HSJ163" s="21"/>
      <c r="HSK163" s="21"/>
      <c r="HSL163" s="7"/>
      <c r="HSM163" s="7"/>
      <c r="HSN163" s="21"/>
      <c r="HSO163" s="20"/>
      <c r="HSP163" s="20"/>
      <c r="HSQ163" s="20"/>
      <c r="HSR163" s="21"/>
      <c r="HSS163" s="21"/>
      <c r="HST163" s="21"/>
      <c r="HSU163" s="21"/>
      <c r="HSV163" s="21"/>
      <c r="HSW163" s="20"/>
      <c r="HSX163" s="20"/>
      <c r="HSY163" s="20"/>
      <c r="HSZ163" s="20"/>
      <c r="HTA163" s="21"/>
      <c r="HTB163" s="21"/>
      <c r="HTC163" s="7"/>
      <c r="HTD163" s="7"/>
      <c r="HTE163" s="21"/>
      <c r="HTF163" s="20"/>
      <c r="HTG163" s="20"/>
      <c r="HTH163" s="20"/>
      <c r="HTI163" s="21"/>
      <c r="HTJ163" s="21"/>
      <c r="HTK163" s="21"/>
      <c r="HTL163" s="21"/>
      <c r="HTM163" s="21"/>
      <c r="HTN163" s="20"/>
      <c r="HTO163" s="20"/>
      <c r="HTP163" s="20"/>
      <c r="HTQ163" s="20"/>
      <c r="HTR163" s="21"/>
      <c r="HTS163" s="21"/>
      <c r="HTT163" s="7"/>
      <c r="HTU163" s="7"/>
      <c r="HTV163" s="21"/>
      <c r="HTW163" s="20"/>
      <c r="HTX163" s="20"/>
      <c r="HTY163" s="20"/>
      <c r="HTZ163" s="21"/>
      <c r="HUA163" s="21"/>
      <c r="HUB163" s="21"/>
      <c r="HUC163" s="21"/>
      <c r="HUD163" s="21"/>
      <c r="HUE163" s="20"/>
      <c r="HUF163" s="20"/>
      <c r="HUG163" s="20"/>
      <c r="HUH163" s="20"/>
      <c r="HUI163" s="21"/>
      <c r="HUJ163" s="21"/>
      <c r="HUK163" s="7"/>
      <c r="HUL163" s="7"/>
      <c r="HUM163" s="21"/>
      <c r="HUN163" s="20"/>
      <c r="HUO163" s="20"/>
      <c r="HUP163" s="20"/>
      <c r="HUQ163" s="21"/>
      <c r="HUR163" s="21"/>
      <c r="HUS163" s="21"/>
      <c r="HUT163" s="21"/>
      <c r="HUU163" s="21"/>
      <c r="HUV163" s="20"/>
      <c r="HUW163" s="20"/>
      <c r="HUX163" s="20"/>
      <c r="HUY163" s="20"/>
      <c r="HUZ163" s="21"/>
      <c r="HVA163" s="21"/>
      <c r="HVB163" s="7"/>
      <c r="HVC163" s="7"/>
      <c r="HVD163" s="21"/>
      <c r="HVE163" s="20"/>
      <c r="HVF163" s="20"/>
      <c r="HVG163" s="20"/>
      <c r="HVH163" s="21"/>
      <c r="HVI163" s="21"/>
      <c r="HVJ163" s="21"/>
      <c r="HVK163" s="21"/>
      <c r="HVL163" s="21"/>
      <c r="HVM163" s="20"/>
      <c r="HVN163" s="20"/>
      <c r="HVO163" s="20"/>
      <c r="HVP163" s="20"/>
      <c r="HVQ163" s="21"/>
      <c r="HVR163" s="21"/>
      <c r="HVS163" s="7"/>
      <c r="HVT163" s="7"/>
      <c r="HVU163" s="21"/>
      <c r="HVV163" s="20"/>
      <c r="HVW163" s="20"/>
      <c r="HVX163" s="20"/>
      <c r="HVY163" s="21"/>
      <c r="HVZ163" s="21"/>
      <c r="HWA163" s="21"/>
      <c r="HWB163" s="21"/>
      <c r="HWC163" s="21"/>
      <c r="HWD163" s="20"/>
      <c r="HWE163" s="20"/>
      <c r="HWF163" s="20"/>
      <c r="HWG163" s="20"/>
      <c r="HWH163" s="21"/>
      <c r="HWI163" s="21"/>
      <c r="HWJ163" s="7"/>
      <c r="HWK163" s="7"/>
      <c r="HWL163" s="21"/>
      <c r="HWM163" s="20"/>
      <c r="HWN163" s="20"/>
      <c r="HWO163" s="20"/>
      <c r="HWP163" s="21"/>
      <c r="HWQ163" s="21"/>
      <c r="HWR163" s="21"/>
      <c r="HWS163" s="21"/>
      <c r="HWT163" s="21"/>
      <c r="HWU163" s="20"/>
      <c r="HWV163" s="20"/>
      <c r="HWW163" s="20"/>
      <c r="HWX163" s="20"/>
      <c r="HWY163" s="21"/>
      <c r="HWZ163" s="21"/>
      <c r="HXA163" s="7"/>
      <c r="HXB163" s="7"/>
      <c r="HXC163" s="21"/>
      <c r="HXD163" s="20"/>
      <c r="HXE163" s="20"/>
      <c r="HXF163" s="20"/>
      <c r="HXG163" s="21"/>
      <c r="HXH163" s="21"/>
      <c r="HXI163" s="21"/>
      <c r="HXJ163" s="21"/>
      <c r="HXK163" s="21"/>
      <c r="HXL163" s="20"/>
      <c r="HXM163" s="20"/>
      <c r="HXN163" s="20"/>
      <c r="HXO163" s="20"/>
      <c r="HXP163" s="21"/>
      <c r="HXQ163" s="21"/>
      <c r="HXR163" s="7"/>
      <c r="HXS163" s="7"/>
      <c r="HXT163" s="21"/>
      <c r="HXU163" s="20"/>
      <c r="HXV163" s="20"/>
      <c r="HXW163" s="20"/>
      <c r="HXX163" s="21"/>
      <c r="HXY163" s="21"/>
      <c r="HXZ163" s="21"/>
      <c r="HYA163" s="21"/>
      <c r="HYB163" s="21"/>
      <c r="HYC163" s="20"/>
      <c r="HYD163" s="20"/>
      <c r="HYE163" s="20"/>
      <c r="HYF163" s="20"/>
      <c r="HYG163" s="21"/>
      <c r="HYH163" s="21"/>
      <c r="HYI163" s="7"/>
      <c r="HYJ163" s="7"/>
      <c r="HYK163" s="21"/>
      <c r="HYL163" s="20"/>
      <c r="HYM163" s="20"/>
      <c r="HYN163" s="20"/>
      <c r="HYO163" s="21"/>
      <c r="HYP163" s="21"/>
      <c r="HYQ163" s="21"/>
      <c r="HYR163" s="21"/>
      <c r="HYS163" s="21"/>
      <c r="HYT163" s="20"/>
      <c r="HYU163" s="20"/>
      <c r="HYV163" s="20"/>
      <c r="HYW163" s="20"/>
      <c r="HYX163" s="21"/>
      <c r="HYY163" s="21"/>
      <c r="HYZ163" s="7"/>
      <c r="HZA163" s="7"/>
      <c r="HZB163" s="21"/>
      <c r="HZC163" s="20"/>
      <c r="HZD163" s="20"/>
      <c r="HZE163" s="20"/>
      <c r="HZF163" s="21"/>
      <c r="HZG163" s="21"/>
      <c r="HZH163" s="21"/>
      <c r="HZI163" s="21"/>
      <c r="HZJ163" s="21"/>
      <c r="HZK163" s="20"/>
      <c r="HZL163" s="20"/>
      <c r="HZM163" s="20"/>
      <c r="HZN163" s="20"/>
      <c r="HZO163" s="21"/>
      <c r="HZP163" s="21"/>
      <c r="HZQ163" s="7"/>
      <c r="HZR163" s="7"/>
      <c r="HZS163" s="21"/>
      <c r="HZT163" s="20"/>
      <c r="HZU163" s="20"/>
      <c r="HZV163" s="20"/>
      <c r="HZW163" s="21"/>
      <c r="HZX163" s="21"/>
      <c r="HZY163" s="21"/>
      <c r="HZZ163" s="21"/>
      <c r="IAA163" s="21"/>
      <c r="IAB163" s="20"/>
      <c r="IAC163" s="20"/>
      <c r="IAD163" s="20"/>
      <c r="IAE163" s="20"/>
      <c r="IAF163" s="21"/>
      <c r="IAG163" s="21"/>
      <c r="IAH163" s="7"/>
      <c r="IAI163" s="7"/>
      <c r="IAJ163" s="21"/>
      <c r="IAK163" s="20"/>
      <c r="IAL163" s="20"/>
      <c r="IAM163" s="20"/>
      <c r="IAN163" s="21"/>
      <c r="IAO163" s="21"/>
      <c r="IAP163" s="21"/>
      <c r="IAQ163" s="21"/>
      <c r="IAR163" s="21"/>
      <c r="IAS163" s="20"/>
      <c r="IAT163" s="20"/>
      <c r="IAU163" s="20"/>
      <c r="IAV163" s="20"/>
      <c r="IAW163" s="21"/>
      <c r="IAX163" s="21"/>
      <c r="IAY163" s="7"/>
      <c r="IAZ163" s="7"/>
      <c r="IBA163" s="21"/>
      <c r="IBB163" s="20"/>
      <c r="IBC163" s="20"/>
      <c r="IBD163" s="20"/>
      <c r="IBE163" s="21"/>
      <c r="IBF163" s="21"/>
      <c r="IBG163" s="21"/>
      <c r="IBH163" s="21"/>
      <c r="IBI163" s="21"/>
      <c r="IBJ163" s="20"/>
      <c r="IBK163" s="20"/>
      <c r="IBL163" s="20"/>
      <c r="IBM163" s="20"/>
      <c r="IBN163" s="21"/>
      <c r="IBO163" s="21"/>
      <c r="IBP163" s="7"/>
      <c r="IBQ163" s="7"/>
      <c r="IBR163" s="21"/>
      <c r="IBS163" s="20"/>
      <c r="IBT163" s="20"/>
      <c r="IBU163" s="20"/>
      <c r="IBV163" s="21"/>
      <c r="IBW163" s="21"/>
      <c r="IBX163" s="21"/>
      <c r="IBY163" s="21"/>
      <c r="IBZ163" s="21"/>
      <c r="ICA163" s="20"/>
      <c r="ICB163" s="20"/>
      <c r="ICC163" s="20"/>
      <c r="ICD163" s="20"/>
      <c r="ICE163" s="21"/>
      <c r="ICF163" s="21"/>
      <c r="ICG163" s="7"/>
      <c r="ICH163" s="7"/>
      <c r="ICI163" s="21"/>
      <c r="ICJ163" s="20"/>
      <c r="ICK163" s="20"/>
      <c r="ICL163" s="20"/>
      <c r="ICM163" s="21"/>
      <c r="ICN163" s="21"/>
      <c r="ICO163" s="21"/>
      <c r="ICP163" s="21"/>
      <c r="ICQ163" s="21"/>
      <c r="ICR163" s="20"/>
      <c r="ICS163" s="20"/>
      <c r="ICT163" s="20"/>
      <c r="ICU163" s="20"/>
      <c r="ICV163" s="21"/>
      <c r="ICW163" s="21"/>
      <c r="ICX163" s="7"/>
      <c r="ICY163" s="7"/>
      <c r="ICZ163" s="21"/>
      <c r="IDA163" s="20"/>
      <c r="IDB163" s="20"/>
      <c r="IDC163" s="20"/>
      <c r="IDD163" s="21"/>
      <c r="IDE163" s="21"/>
      <c r="IDF163" s="21"/>
      <c r="IDG163" s="21"/>
      <c r="IDH163" s="21"/>
      <c r="IDI163" s="20"/>
      <c r="IDJ163" s="20"/>
      <c r="IDK163" s="20"/>
      <c r="IDL163" s="20"/>
      <c r="IDM163" s="21"/>
      <c r="IDN163" s="21"/>
      <c r="IDO163" s="7"/>
      <c r="IDP163" s="7"/>
      <c r="IDQ163" s="21"/>
      <c r="IDR163" s="20"/>
      <c r="IDS163" s="20"/>
      <c r="IDT163" s="20"/>
      <c r="IDU163" s="21"/>
      <c r="IDV163" s="21"/>
      <c r="IDW163" s="21"/>
      <c r="IDX163" s="21"/>
      <c r="IDY163" s="21"/>
      <c r="IDZ163" s="20"/>
      <c r="IEA163" s="20"/>
      <c r="IEB163" s="20"/>
      <c r="IEC163" s="20"/>
      <c r="IED163" s="21"/>
      <c r="IEE163" s="21"/>
      <c r="IEF163" s="7"/>
      <c r="IEG163" s="7"/>
      <c r="IEH163" s="21"/>
      <c r="IEI163" s="20"/>
      <c r="IEJ163" s="20"/>
      <c r="IEK163" s="20"/>
      <c r="IEL163" s="21"/>
      <c r="IEM163" s="21"/>
      <c r="IEN163" s="21"/>
      <c r="IEO163" s="21"/>
      <c r="IEP163" s="21"/>
      <c r="IEQ163" s="20"/>
      <c r="IER163" s="20"/>
      <c r="IES163" s="20"/>
      <c r="IET163" s="20"/>
      <c r="IEU163" s="21"/>
      <c r="IEV163" s="21"/>
      <c r="IEW163" s="7"/>
      <c r="IEX163" s="7"/>
      <c r="IEY163" s="21"/>
      <c r="IEZ163" s="20"/>
      <c r="IFA163" s="20"/>
      <c r="IFB163" s="20"/>
      <c r="IFC163" s="21"/>
      <c r="IFD163" s="21"/>
      <c r="IFE163" s="21"/>
      <c r="IFF163" s="21"/>
      <c r="IFG163" s="21"/>
      <c r="IFH163" s="20"/>
      <c r="IFI163" s="20"/>
      <c r="IFJ163" s="20"/>
      <c r="IFK163" s="20"/>
      <c r="IFL163" s="21"/>
      <c r="IFM163" s="21"/>
      <c r="IFN163" s="7"/>
      <c r="IFO163" s="7"/>
      <c r="IFP163" s="21"/>
      <c r="IFQ163" s="20"/>
      <c r="IFR163" s="20"/>
      <c r="IFS163" s="20"/>
      <c r="IFT163" s="21"/>
      <c r="IFU163" s="21"/>
      <c r="IFV163" s="21"/>
      <c r="IFW163" s="21"/>
      <c r="IFX163" s="21"/>
      <c r="IFY163" s="20"/>
      <c r="IFZ163" s="20"/>
      <c r="IGA163" s="20"/>
      <c r="IGB163" s="20"/>
      <c r="IGC163" s="21"/>
      <c r="IGD163" s="21"/>
      <c r="IGE163" s="7"/>
      <c r="IGF163" s="7"/>
      <c r="IGG163" s="21"/>
      <c r="IGH163" s="20"/>
      <c r="IGI163" s="20"/>
      <c r="IGJ163" s="20"/>
      <c r="IGK163" s="21"/>
      <c r="IGL163" s="21"/>
      <c r="IGM163" s="21"/>
      <c r="IGN163" s="21"/>
      <c r="IGO163" s="21"/>
      <c r="IGP163" s="20"/>
      <c r="IGQ163" s="20"/>
      <c r="IGR163" s="20"/>
      <c r="IGS163" s="20"/>
      <c r="IGT163" s="21"/>
      <c r="IGU163" s="21"/>
      <c r="IGV163" s="7"/>
      <c r="IGW163" s="7"/>
      <c r="IGX163" s="21"/>
      <c r="IGY163" s="20"/>
      <c r="IGZ163" s="20"/>
      <c r="IHA163" s="20"/>
      <c r="IHB163" s="21"/>
      <c r="IHC163" s="21"/>
      <c r="IHD163" s="21"/>
      <c r="IHE163" s="21"/>
      <c r="IHF163" s="21"/>
      <c r="IHG163" s="20"/>
      <c r="IHH163" s="20"/>
      <c r="IHI163" s="20"/>
      <c r="IHJ163" s="20"/>
      <c r="IHK163" s="21"/>
      <c r="IHL163" s="21"/>
      <c r="IHM163" s="7"/>
      <c r="IHN163" s="7"/>
      <c r="IHO163" s="21"/>
      <c r="IHP163" s="20"/>
      <c r="IHQ163" s="20"/>
      <c r="IHR163" s="20"/>
      <c r="IHS163" s="21"/>
      <c r="IHT163" s="21"/>
      <c r="IHU163" s="21"/>
      <c r="IHV163" s="21"/>
      <c r="IHW163" s="21"/>
      <c r="IHX163" s="20"/>
      <c r="IHY163" s="20"/>
      <c r="IHZ163" s="20"/>
      <c r="IIA163" s="20"/>
      <c r="IIB163" s="21"/>
      <c r="IIC163" s="21"/>
      <c r="IID163" s="7"/>
      <c r="IIE163" s="7"/>
      <c r="IIF163" s="21"/>
      <c r="IIG163" s="20"/>
      <c r="IIH163" s="20"/>
      <c r="III163" s="20"/>
      <c r="IIJ163" s="21"/>
      <c r="IIK163" s="21"/>
      <c r="IIL163" s="21"/>
      <c r="IIM163" s="21"/>
      <c r="IIN163" s="21"/>
      <c r="IIO163" s="20"/>
      <c r="IIP163" s="20"/>
      <c r="IIQ163" s="20"/>
      <c r="IIR163" s="20"/>
      <c r="IIS163" s="21"/>
      <c r="IIT163" s="21"/>
      <c r="IIU163" s="7"/>
      <c r="IIV163" s="7"/>
      <c r="IIW163" s="21"/>
      <c r="IIX163" s="20"/>
      <c r="IIY163" s="20"/>
      <c r="IIZ163" s="20"/>
      <c r="IJA163" s="21"/>
      <c r="IJB163" s="21"/>
      <c r="IJC163" s="21"/>
      <c r="IJD163" s="21"/>
      <c r="IJE163" s="21"/>
      <c r="IJF163" s="20"/>
      <c r="IJG163" s="20"/>
      <c r="IJH163" s="20"/>
      <c r="IJI163" s="20"/>
      <c r="IJJ163" s="21"/>
      <c r="IJK163" s="21"/>
      <c r="IJL163" s="7"/>
      <c r="IJM163" s="7"/>
      <c r="IJN163" s="21"/>
      <c r="IJO163" s="20"/>
      <c r="IJP163" s="20"/>
      <c r="IJQ163" s="20"/>
      <c r="IJR163" s="21"/>
      <c r="IJS163" s="21"/>
      <c r="IJT163" s="21"/>
      <c r="IJU163" s="21"/>
      <c r="IJV163" s="21"/>
      <c r="IJW163" s="20"/>
      <c r="IJX163" s="20"/>
      <c r="IJY163" s="20"/>
      <c r="IJZ163" s="20"/>
      <c r="IKA163" s="21"/>
      <c r="IKB163" s="21"/>
      <c r="IKC163" s="7"/>
      <c r="IKD163" s="7"/>
      <c r="IKE163" s="21"/>
      <c r="IKF163" s="20"/>
      <c r="IKG163" s="20"/>
      <c r="IKH163" s="20"/>
      <c r="IKI163" s="21"/>
      <c r="IKJ163" s="21"/>
      <c r="IKK163" s="21"/>
      <c r="IKL163" s="21"/>
      <c r="IKM163" s="21"/>
      <c r="IKN163" s="20"/>
      <c r="IKO163" s="20"/>
      <c r="IKP163" s="20"/>
      <c r="IKQ163" s="20"/>
      <c r="IKR163" s="21"/>
      <c r="IKS163" s="21"/>
      <c r="IKT163" s="7"/>
      <c r="IKU163" s="7"/>
      <c r="IKV163" s="21"/>
      <c r="IKW163" s="20"/>
      <c r="IKX163" s="20"/>
      <c r="IKY163" s="20"/>
      <c r="IKZ163" s="21"/>
      <c r="ILA163" s="21"/>
      <c r="ILB163" s="21"/>
      <c r="ILC163" s="21"/>
      <c r="ILD163" s="21"/>
      <c r="ILE163" s="20"/>
      <c r="ILF163" s="20"/>
      <c r="ILG163" s="20"/>
      <c r="ILH163" s="20"/>
      <c r="ILI163" s="21"/>
      <c r="ILJ163" s="21"/>
      <c r="ILK163" s="7"/>
      <c r="ILL163" s="7"/>
      <c r="ILM163" s="21"/>
      <c r="ILN163" s="20"/>
      <c r="ILO163" s="20"/>
      <c r="ILP163" s="20"/>
      <c r="ILQ163" s="21"/>
      <c r="ILR163" s="21"/>
      <c r="ILS163" s="21"/>
      <c r="ILT163" s="21"/>
      <c r="ILU163" s="21"/>
      <c r="ILV163" s="20"/>
      <c r="ILW163" s="20"/>
      <c r="ILX163" s="20"/>
      <c r="ILY163" s="20"/>
      <c r="ILZ163" s="21"/>
      <c r="IMA163" s="21"/>
      <c r="IMB163" s="7"/>
      <c r="IMC163" s="7"/>
      <c r="IMD163" s="21"/>
      <c r="IME163" s="20"/>
      <c r="IMF163" s="20"/>
      <c r="IMG163" s="20"/>
      <c r="IMH163" s="21"/>
      <c r="IMI163" s="21"/>
      <c r="IMJ163" s="21"/>
      <c r="IMK163" s="21"/>
      <c r="IML163" s="21"/>
      <c r="IMM163" s="20"/>
      <c r="IMN163" s="20"/>
      <c r="IMO163" s="20"/>
      <c r="IMP163" s="20"/>
      <c r="IMQ163" s="21"/>
      <c r="IMR163" s="21"/>
      <c r="IMS163" s="7"/>
      <c r="IMT163" s="7"/>
      <c r="IMU163" s="21"/>
      <c r="IMV163" s="20"/>
      <c r="IMW163" s="20"/>
      <c r="IMX163" s="20"/>
      <c r="IMY163" s="21"/>
      <c r="IMZ163" s="21"/>
      <c r="INA163" s="21"/>
      <c r="INB163" s="21"/>
      <c r="INC163" s="21"/>
      <c r="IND163" s="20"/>
      <c r="INE163" s="20"/>
      <c r="INF163" s="20"/>
      <c r="ING163" s="20"/>
      <c r="INH163" s="21"/>
      <c r="INI163" s="21"/>
      <c r="INJ163" s="7"/>
      <c r="INK163" s="7"/>
      <c r="INL163" s="21"/>
      <c r="INM163" s="20"/>
      <c r="INN163" s="20"/>
      <c r="INO163" s="20"/>
      <c r="INP163" s="21"/>
      <c r="INQ163" s="21"/>
      <c r="INR163" s="21"/>
      <c r="INS163" s="21"/>
      <c r="INT163" s="21"/>
      <c r="INU163" s="20"/>
      <c r="INV163" s="20"/>
      <c r="INW163" s="20"/>
      <c r="INX163" s="20"/>
      <c r="INY163" s="21"/>
      <c r="INZ163" s="21"/>
      <c r="IOA163" s="7"/>
      <c r="IOB163" s="7"/>
      <c r="IOC163" s="21"/>
      <c r="IOD163" s="20"/>
      <c r="IOE163" s="20"/>
      <c r="IOF163" s="20"/>
      <c r="IOG163" s="21"/>
      <c r="IOH163" s="21"/>
      <c r="IOI163" s="21"/>
      <c r="IOJ163" s="21"/>
      <c r="IOK163" s="21"/>
      <c r="IOL163" s="20"/>
      <c r="IOM163" s="20"/>
      <c r="ION163" s="20"/>
      <c r="IOO163" s="20"/>
      <c r="IOP163" s="21"/>
      <c r="IOQ163" s="21"/>
      <c r="IOR163" s="7"/>
      <c r="IOS163" s="7"/>
      <c r="IOT163" s="21"/>
      <c r="IOU163" s="20"/>
      <c r="IOV163" s="20"/>
      <c r="IOW163" s="20"/>
      <c r="IOX163" s="21"/>
      <c r="IOY163" s="21"/>
      <c r="IOZ163" s="21"/>
      <c r="IPA163" s="21"/>
      <c r="IPB163" s="21"/>
      <c r="IPC163" s="20"/>
      <c r="IPD163" s="20"/>
      <c r="IPE163" s="20"/>
      <c r="IPF163" s="20"/>
      <c r="IPG163" s="21"/>
      <c r="IPH163" s="21"/>
      <c r="IPI163" s="7"/>
      <c r="IPJ163" s="7"/>
      <c r="IPK163" s="21"/>
      <c r="IPL163" s="20"/>
      <c r="IPM163" s="20"/>
      <c r="IPN163" s="20"/>
      <c r="IPO163" s="21"/>
      <c r="IPP163" s="21"/>
      <c r="IPQ163" s="21"/>
      <c r="IPR163" s="21"/>
      <c r="IPS163" s="21"/>
      <c r="IPT163" s="20"/>
      <c r="IPU163" s="20"/>
      <c r="IPV163" s="20"/>
      <c r="IPW163" s="20"/>
      <c r="IPX163" s="21"/>
      <c r="IPY163" s="21"/>
      <c r="IPZ163" s="7"/>
      <c r="IQA163" s="7"/>
      <c r="IQB163" s="21"/>
      <c r="IQC163" s="20"/>
      <c r="IQD163" s="20"/>
      <c r="IQE163" s="20"/>
      <c r="IQF163" s="21"/>
      <c r="IQG163" s="21"/>
      <c r="IQH163" s="21"/>
      <c r="IQI163" s="21"/>
      <c r="IQJ163" s="21"/>
      <c r="IQK163" s="20"/>
      <c r="IQL163" s="20"/>
      <c r="IQM163" s="20"/>
      <c r="IQN163" s="20"/>
      <c r="IQO163" s="21"/>
      <c r="IQP163" s="21"/>
      <c r="IQQ163" s="7"/>
      <c r="IQR163" s="7"/>
      <c r="IQS163" s="21"/>
      <c r="IQT163" s="20"/>
      <c r="IQU163" s="20"/>
      <c r="IQV163" s="20"/>
      <c r="IQW163" s="21"/>
      <c r="IQX163" s="21"/>
      <c r="IQY163" s="21"/>
      <c r="IQZ163" s="21"/>
      <c r="IRA163" s="21"/>
      <c r="IRB163" s="20"/>
      <c r="IRC163" s="20"/>
      <c r="IRD163" s="20"/>
      <c r="IRE163" s="20"/>
      <c r="IRF163" s="21"/>
      <c r="IRG163" s="21"/>
      <c r="IRH163" s="7"/>
      <c r="IRI163" s="7"/>
      <c r="IRJ163" s="21"/>
      <c r="IRK163" s="20"/>
      <c r="IRL163" s="20"/>
      <c r="IRM163" s="20"/>
      <c r="IRN163" s="21"/>
      <c r="IRO163" s="21"/>
      <c r="IRP163" s="21"/>
      <c r="IRQ163" s="21"/>
      <c r="IRR163" s="21"/>
      <c r="IRS163" s="20"/>
      <c r="IRT163" s="20"/>
      <c r="IRU163" s="20"/>
      <c r="IRV163" s="20"/>
      <c r="IRW163" s="21"/>
      <c r="IRX163" s="21"/>
      <c r="IRY163" s="7"/>
      <c r="IRZ163" s="7"/>
      <c r="ISA163" s="21"/>
      <c r="ISB163" s="20"/>
      <c r="ISC163" s="20"/>
      <c r="ISD163" s="20"/>
      <c r="ISE163" s="21"/>
      <c r="ISF163" s="21"/>
      <c r="ISG163" s="21"/>
      <c r="ISH163" s="21"/>
      <c r="ISI163" s="21"/>
      <c r="ISJ163" s="20"/>
      <c r="ISK163" s="20"/>
      <c r="ISL163" s="20"/>
      <c r="ISM163" s="20"/>
      <c r="ISN163" s="21"/>
      <c r="ISO163" s="21"/>
      <c r="ISP163" s="7"/>
      <c r="ISQ163" s="7"/>
      <c r="ISR163" s="21"/>
      <c r="ISS163" s="20"/>
      <c r="IST163" s="20"/>
      <c r="ISU163" s="20"/>
      <c r="ISV163" s="21"/>
      <c r="ISW163" s="21"/>
      <c r="ISX163" s="21"/>
      <c r="ISY163" s="21"/>
      <c r="ISZ163" s="21"/>
      <c r="ITA163" s="20"/>
      <c r="ITB163" s="20"/>
      <c r="ITC163" s="20"/>
      <c r="ITD163" s="20"/>
      <c r="ITE163" s="21"/>
      <c r="ITF163" s="21"/>
      <c r="ITG163" s="7"/>
      <c r="ITH163" s="7"/>
      <c r="ITI163" s="21"/>
      <c r="ITJ163" s="20"/>
      <c r="ITK163" s="20"/>
      <c r="ITL163" s="20"/>
      <c r="ITM163" s="21"/>
      <c r="ITN163" s="21"/>
      <c r="ITO163" s="21"/>
      <c r="ITP163" s="21"/>
      <c r="ITQ163" s="21"/>
      <c r="ITR163" s="20"/>
      <c r="ITS163" s="20"/>
      <c r="ITT163" s="20"/>
      <c r="ITU163" s="20"/>
      <c r="ITV163" s="21"/>
      <c r="ITW163" s="21"/>
      <c r="ITX163" s="7"/>
      <c r="ITY163" s="7"/>
      <c r="ITZ163" s="21"/>
      <c r="IUA163" s="20"/>
      <c r="IUB163" s="20"/>
      <c r="IUC163" s="20"/>
      <c r="IUD163" s="21"/>
      <c r="IUE163" s="21"/>
      <c r="IUF163" s="21"/>
      <c r="IUG163" s="21"/>
      <c r="IUH163" s="21"/>
      <c r="IUI163" s="20"/>
      <c r="IUJ163" s="20"/>
      <c r="IUK163" s="20"/>
      <c r="IUL163" s="20"/>
      <c r="IUM163" s="21"/>
      <c r="IUN163" s="21"/>
      <c r="IUO163" s="7"/>
      <c r="IUP163" s="7"/>
      <c r="IUQ163" s="21"/>
      <c r="IUR163" s="20"/>
      <c r="IUS163" s="20"/>
      <c r="IUT163" s="20"/>
      <c r="IUU163" s="21"/>
      <c r="IUV163" s="21"/>
      <c r="IUW163" s="21"/>
      <c r="IUX163" s="21"/>
      <c r="IUY163" s="21"/>
      <c r="IUZ163" s="20"/>
      <c r="IVA163" s="20"/>
      <c r="IVB163" s="20"/>
      <c r="IVC163" s="20"/>
      <c r="IVD163" s="21"/>
      <c r="IVE163" s="21"/>
      <c r="IVF163" s="7"/>
      <c r="IVG163" s="7"/>
      <c r="IVH163" s="21"/>
      <c r="IVI163" s="20"/>
      <c r="IVJ163" s="20"/>
      <c r="IVK163" s="20"/>
      <c r="IVL163" s="21"/>
      <c r="IVM163" s="21"/>
      <c r="IVN163" s="21"/>
      <c r="IVO163" s="21"/>
      <c r="IVP163" s="21"/>
      <c r="IVQ163" s="20"/>
      <c r="IVR163" s="20"/>
      <c r="IVS163" s="20"/>
      <c r="IVT163" s="20"/>
      <c r="IVU163" s="21"/>
      <c r="IVV163" s="21"/>
      <c r="IVW163" s="7"/>
      <c r="IVX163" s="7"/>
      <c r="IVY163" s="21"/>
      <c r="IVZ163" s="20"/>
      <c r="IWA163" s="20"/>
      <c r="IWB163" s="20"/>
      <c r="IWC163" s="21"/>
      <c r="IWD163" s="21"/>
      <c r="IWE163" s="21"/>
      <c r="IWF163" s="21"/>
      <c r="IWG163" s="21"/>
      <c r="IWH163" s="20"/>
      <c r="IWI163" s="20"/>
      <c r="IWJ163" s="20"/>
      <c r="IWK163" s="20"/>
      <c r="IWL163" s="21"/>
      <c r="IWM163" s="21"/>
      <c r="IWN163" s="7"/>
      <c r="IWO163" s="7"/>
      <c r="IWP163" s="21"/>
      <c r="IWQ163" s="20"/>
      <c r="IWR163" s="20"/>
      <c r="IWS163" s="20"/>
      <c r="IWT163" s="21"/>
      <c r="IWU163" s="21"/>
      <c r="IWV163" s="21"/>
      <c r="IWW163" s="21"/>
      <c r="IWX163" s="21"/>
      <c r="IWY163" s="20"/>
      <c r="IWZ163" s="20"/>
      <c r="IXA163" s="20"/>
      <c r="IXB163" s="20"/>
      <c r="IXC163" s="21"/>
      <c r="IXD163" s="21"/>
      <c r="IXE163" s="7"/>
      <c r="IXF163" s="7"/>
      <c r="IXG163" s="21"/>
      <c r="IXH163" s="20"/>
      <c r="IXI163" s="20"/>
      <c r="IXJ163" s="20"/>
      <c r="IXK163" s="21"/>
      <c r="IXL163" s="21"/>
      <c r="IXM163" s="21"/>
      <c r="IXN163" s="21"/>
      <c r="IXO163" s="21"/>
      <c r="IXP163" s="20"/>
      <c r="IXQ163" s="20"/>
      <c r="IXR163" s="20"/>
      <c r="IXS163" s="20"/>
      <c r="IXT163" s="21"/>
      <c r="IXU163" s="21"/>
      <c r="IXV163" s="7"/>
      <c r="IXW163" s="7"/>
      <c r="IXX163" s="21"/>
      <c r="IXY163" s="20"/>
      <c r="IXZ163" s="20"/>
      <c r="IYA163" s="20"/>
      <c r="IYB163" s="21"/>
      <c r="IYC163" s="21"/>
      <c r="IYD163" s="21"/>
      <c r="IYE163" s="21"/>
      <c r="IYF163" s="21"/>
      <c r="IYG163" s="20"/>
      <c r="IYH163" s="20"/>
      <c r="IYI163" s="20"/>
      <c r="IYJ163" s="20"/>
      <c r="IYK163" s="21"/>
      <c r="IYL163" s="21"/>
      <c r="IYM163" s="7"/>
      <c r="IYN163" s="7"/>
      <c r="IYO163" s="21"/>
      <c r="IYP163" s="20"/>
      <c r="IYQ163" s="20"/>
      <c r="IYR163" s="20"/>
      <c r="IYS163" s="21"/>
      <c r="IYT163" s="21"/>
      <c r="IYU163" s="21"/>
      <c r="IYV163" s="21"/>
      <c r="IYW163" s="21"/>
      <c r="IYX163" s="20"/>
      <c r="IYY163" s="20"/>
      <c r="IYZ163" s="20"/>
      <c r="IZA163" s="20"/>
      <c r="IZB163" s="21"/>
      <c r="IZC163" s="21"/>
      <c r="IZD163" s="7"/>
      <c r="IZE163" s="7"/>
      <c r="IZF163" s="21"/>
      <c r="IZG163" s="20"/>
      <c r="IZH163" s="20"/>
      <c r="IZI163" s="20"/>
      <c r="IZJ163" s="21"/>
      <c r="IZK163" s="21"/>
      <c r="IZL163" s="21"/>
      <c r="IZM163" s="21"/>
      <c r="IZN163" s="21"/>
      <c r="IZO163" s="20"/>
      <c r="IZP163" s="20"/>
      <c r="IZQ163" s="20"/>
      <c r="IZR163" s="20"/>
      <c r="IZS163" s="21"/>
      <c r="IZT163" s="21"/>
      <c r="IZU163" s="7"/>
      <c r="IZV163" s="7"/>
      <c r="IZW163" s="21"/>
      <c r="IZX163" s="20"/>
      <c r="IZY163" s="20"/>
      <c r="IZZ163" s="20"/>
      <c r="JAA163" s="21"/>
      <c r="JAB163" s="21"/>
      <c r="JAC163" s="21"/>
      <c r="JAD163" s="21"/>
      <c r="JAE163" s="21"/>
      <c r="JAF163" s="20"/>
      <c r="JAG163" s="20"/>
      <c r="JAH163" s="20"/>
      <c r="JAI163" s="20"/>
      <c r="JAJ163" s="21"/>
      <c r="JAK163" s="21"/>
      <c r="JAL163" s="7"/>
      <c r="JAM163" s="7"/>
      <c r="JAN163" s="21"/>
      <c r="JAO163" s="20"/>
      <c r="JAP163" s="20"/>
      <c r="JAQ163" s="20"/>
      <c r="JAR163" s="21"/>
      <c r="JAS163" s="21"/>
      <c r="JAT163" s="21"/>
      <c r="JAU163" s="21"/>
      <c r="JAV163" s="21"/>
      <c r="JAW163" s="20"/>
      <c r="JAX163" s="20"/>
      <c r="JAY163" s="20"/>
      <c r="JAZ163" s="20"/>
      <c r="JBA163" s="21"/>
      <c r="JBB163" s="21"/>
      <c r="JBC163" s="7"/>
      <c r="JBD163" s="7"/>
      <c r="JBE163" s="21"/>
      <c r="JBF163" s="20"/>
      <c r="JBG163" s="20"/>
      <c r="JBH163" s="20"/>
      <c r="JBI163" s="21"/>
      <c r="JBJ163" s="21"/>
      <c r="JBK163" s="21"/>
      <c r="JBL163" s="21"/>
      <c r="JBM163" s="21"/>
      <c r="JBN163" s="20"/>
      <c r="JBO163" s="20"/>
      <c r="JBP163" s="20"/>
      <c r="JBQ163" s="20"/>
      <c r="JBR163" s="21"/>
      <c r="JBS163" s="21"/>
      <c r="JBT163" s="7"/>
      <c r="JBU163" s="7"/>
      <c r="JBV163" s="21"/>
      <c r="JBW163" s="20"/>
      <c r="JBX163" s="20"/>
      <c r="JBY163" s="20"/>
      <c r="JBZ163" s="21"/>
      <c r="JCA163" s="21"/>
      <c r="JCB163" s="21"/>
      <c r="JCC163" s="21"/>
      <c r="JCD163" s="21"/>
      <c r="JCE163" s="20"/>
      <c r="JCF163" s="20"/>
      <c r="JCG163" s="20"/>
      <c r="JCH163" s="20"/>
      <c r="JCI163" s="21"/>
      <c r="JCJ163" s="21"/>
      <c r="JCK163" s="7"/>
      <c r="JCL163" s="7"/>
      <c r="JCM163" s="21"/>
      <c r="JCN163" s="20"/>
      <c r="JCO163" s="20"/>
      <c r="JCP163" s="20"/>
      <c r="JCQ163" s="21"/>
      <c r="JCR163" s="21"/>
      <c r="JCS163" s="21"/>
      <c r="JCT163" s="21"/>
      <c r="JCU163" s="21"/>
      <c r="JCV163" s="20"/>
      <c r="JCW163" s="20"/>
      <c r="JCX163" s="20"/>
      <c r="JCY163" s="20"/>
      <c r="JCZ163" s="21"/>
      <c r="JDA163" s="21"/>
      <c r="JDB163" s="7"/>
      <c r="JDC163" s="7"/>
      <c r="JDD163" s="21"/>
      <c r="JDE163" s="20"/>
      <c r="JDF163" s="20"/>
      <c r="JDG163" s="20"/>
      <c r="JDH163" s="21"/>
      <c r="JDI163" s="21"/>
      <c r="JDJ163" s="21"/>
      <c r="JDK163" s="21"/>
      <c r="JDL163" s="21"/>
      <c r="JDM163" s="20"/>
      <c r="JDN163" s="20"/>
      <c r="JDO163" s="20"/>
      <c r="JDP163" s="20"/>
      <c r="JDQ163" s="21"/>
      <c r="JDR163" s="21"/>
      <c r="JDS163" s="7"/>
      <c r="JDT163" s="7"/>
      <c r="JDU163" s="21"/>
      <c r="JDV163" s="20"/>
      <c r="JDW163" s="20"/>
      <c r="JDX163" s="20"/>
      <c r="JDY163" s="21"/>
      <c r="JDZ163" s="21"/>
      <c r="JEA163" s="21"/>
      <c r="JEB163" s="21"/>
      <c r="JEC163" s="21"/>
      <c r="JED163" s="20"/>
      <c r="JEE163" s="20"/>
      <c r="JEF163" s="20"/>
      <c r="JEG163" s="20"/>
      <c r="JEH163" s="21"/>
      <c r="JEI163" s="21"/>
      <c r="JEJ163" s="7"/>
      <c r="JEK163" s="7"/>
      <c r="JEL163" s="21"/>
      <c r="JEM163" s="20"/>
      <c r="JEN163" s="20"/>
      <c r="JEO163" s="20"/>
      <c r="JEP163" s="21"/>
      <c r="JEQ163" s="21"/>
      <c r="JER163" s="21"/>
      <c r="JES163" s="21"/>
      <c r="JET163" s="21"/>
      <c r="JEU163" s="20"/>
      <c r="JEV163" s="20"/>
      <c r="JEW163" s="20"/>
      <c r="JEX163" s="20"/>
      <c r="JEY163" s="21"/>
      <c r="JEZ163" s="21"/>
      <c r="JFA163" s="7"/>
      <c r="JFB163" s="7"/>
      <c r="JFC163" s="21"/>
      <c r="JFD163" s="20"/>
      <c r="JFE163" s="20"/>
      <c r="JFF163" s="20"/>
      <c r="JFG163" s="21"/>
      <c r="JFH163" s="21"/>
      <c r="JFI163" s="21"/>
      <c r="JFJ163" s="21"/>
      <c r="JFK163" s="21"/>
      <c r="JFL163" s="20"/>
      <c r="JFM163" s="20"/>
      <c r="JFN163" s="20"/>
      <c r="JFO163" s="20"/>
      <c r="JFP163" s="21"/>
      <c r="JFQ163" s="21"/>
      <c r="JFR163" s="7"/>
      <c r="JFS163" s="7"/>
      <c r="JFT163" s="21"/>
      <c r="JFU163" s="20"/>
      <c r="JFV163" s="20"/>
      <c r="JFW163" s="20"/>
      <c r="JFX163" s="21"/>
      <c r="JFY163" s="21"/>
      <c r="JFZ163" s="21"/>
      <c r="JGA163" s="21"/>
      <c r="JGB163" s="21"/>
      <c r="JGC163" s="20"/>
      <c r="JGD163" s="20"/>
      <c r="JGE163" s="20"/>
      <c r="JGF163" s="20"/>
      <c r="JGG163" s="21"/>
      <c r="JGH163" s="21"/>
      <c r="JGI163" s="7"/>
      <c r="JGJ163" s="7"/>
      <c r="JGK163" s="21"/>
      <c r="JGL163" s="20"/>
      <c r="JGM163" s="20"/>
      <c r="JGN163" s="20"/>
      <c r="JGO163" s="21"/>
      <c r="JGP163" s="21"/>
      <c r="JGQ163" s="21"/>
      <c r="JGR163" s="21"/>
      <c r="JGS163" s="21"/>
      <c r="JGT163" s="20"/>
      <c r="JGU163" s="20"/>
      <c r="JGV163" s="20"/>
      <c r="JGW163" s="20"/>
      <c r="JGX163" s="21"/>
      <c r="JGY163" s="21"/>
      <c r="JGZ163" s="7"/>
      <c r="JHA163" s="7"/>
      <c r="JHB163" s="21"/>
      <c r="JHC163" s="20"/>
      <c r="JHD163" s="20"/>
      <c r="JHE163" s="20"/>
      <c r="JHF163" s="21"/>
      <c r="JHG163" s="21"/>
      <c r="JHH163" s="21"/>
      <c r="JHI163" s="21"/>
      <c r="JHJ163" s="21"/>
      <c r="JHK163" s="20"/>
      <c r="JHL163" s="20"/>
      <c r="JHM163" s="20"/>
      <c r="JHN163" s="20"/>
      <c r="JHO163" s="21"/>
      <c r="JHP163" s="21"/>
      <c r="JHQ163" s="7"/>
      <c r="JHR163" s="7"/>
      <c r="JHS163" s="21"/>
      <c r="JHT163" s="20"/>
      <c r="JHU163" s="20"/>
      <c r="JHV163" s="20"/>
      <c r="JHW163" s="21"/>
      <c r="JHX163" s="21"/>
      <c r="JHY163" s="21"/>
      <c r="JHZ163" s="21"/>
      <c r="JIA163" s="21"/>
      <c r="JIB163" s="20"/>
      <c r="JIC163" s="20"/>
      <c r="JID163" s="20"/>
      <c r="JIE163" s="20"/>
      <c r="JIF163" s="21"/>
      <c r="JIG163" s="21"/>
      <c r="JIH163" s="7"/>
      <c r="JII163" s="7"/>
      <c r="JIJ163" s="21"/>
      <c r="JIK163" s="20"/>
      <c r="JIL163" s="20"/>
      <c r="JIM163" s="20"/>
      <c r="JIN163" s="21"/>
      <c r="JIO163" s="21"/>
      <c r="JIP163" s="21"/>
      <c r="JIQ163" s="21"/>
      <c r="JIR163" s="21"/>
      <c r="JIS163" s="20"/>
      <c r="JIT163" s="20"/>
      <c r="JIU163" s="20"/>
      <c r="JIV163" s="20"/>
      <c r="JIW163" s="21"/>
      <c r="JIX163" s="21"/>
      <c r="JIY163" s="7"/>
      <c r="JIZ163" s="7"/>
      <c r="JJA163" s="21"/>
      <c r="JJB163" s="20"/>
      <c r="JJC163" s="20"/>
      <c r="JJD163" s="20"/>
      <c r="JJE163" s="21"/>
      <c r="JJF163" s="21"/>
      <c r="JJG163" s="21"/>
      <c r="JJH163" s="21"/>
      <c r="JJI163" s="21"/>
      <c r="JJJ163" s="20"/>
      <c r="JJK163" s="20"/>
      <c r="JJL163" s="20"/>
      <c r="JJM163" s="20"/>
      <c r="JJN163" s="21"/>
      <c r="JJO163" s="21"/>
      <c r="JJP163" s="7"/>
      <c r="JJQ163" s="7"/>
      <c r="JJR163" s="21"/>
      <c r="JJS163" s="20"/>
      <c r="JJT163" s="20"/>
      <c r="JJU163" s="20"/>
      <c r="JJV163" s="21"/>
      <c r="JJW163" s="21"/>
      <c r="JJX163" s="21"/>
      <c r="JJY163" s="21"/>
      <c r="JJZ163" s="21"/>
      <c r="JKA163" s="20"/>
      <c r="JKB163" s="20"/>
      <c r="JKC163" s="20"/>
      <c r="JKD163" s="20"/>
      <c r="JKE163" s="21"/>
      <c r="JKF163" s="21"/>
      <c r="JKG163" s="7"/>
      <c r="JKH163" s="7"/>
      <c r="JKI163" s="21"/>
      <c r="JKJ163" s="20"/>
      <c r="JKK163" s="20"/>
      <c r="JKL163" s="20"/>
      <c r="JKM163" s="21"/>
      <c r="JKN163" s="21"/>
      <c r="JKO163" s="21"/>
      <c r="JKP163" s="21"/>
      <c r="JKQ163" s="21"/>
      <c r="JKR163" s="20"/>
      <c r="JKS163" s="20"/>
      <c r="JKT163" s="20"/>
      <c r="JKU163" s="20"/>
      <c r="JKV163" s="21"/>
      <c r="JKW163" s="21"/>
      <c r="JKX163" s="7"/>
      <c r="JKY163" s="7"/>
      <c r="JKZ163" s="21"/>
      <c r="JLA163" s="20"/>
      <c r="JLB163" s="20"/>
      <c r="JLC163" s="20"/>
      <c r="JLD163" s="21"/>
      <c r="JLE163" s="21"/>
      <c r="JLF163" s="21"/>
      <c r="JLG163" s="21"/>
      <c r="JLH163" s="21"/>
      <c r="JLI163" s="20"/>
      <c r="JLJ163" s="20"/>
      <c r="JLK163" s="20"/>
      <c r="JLL163" s="20"/>
      <c r="JLM163" s="21"/>
      <c r="JLN163" s="21"/>
      <c r="JLO163" s="7"/>
      <c r="JLP163" s="7"/>
      <c r="JLQ163" s="21"/>
      <c r="JLR163" s="20"/>
      <c r="JLS163" s="20"/>
      <c r="JLT163" s="20"/>
      <c r="JLU163" s="21"/>
      <c r="JLV163" s="21"/>
      <c r="JLW163" s="21"/>
      <c r="JLX163" s="21"/>
      <c r="JLY163" s="21"/>
      <c r="JLZ163" s="20"/>
      <c r="JMA163" s="20"/>
      <c r="JMB163" s="20"/>
      <c r="JMC163" s="20"/>
      <c r="JMD163" s="21"/>
      <c r="JME163" s="21"/>
      <c r="JMF163" s="7"/>
      <c r="JMG163" s="7"/>
      <c r="JMH163" s="21"/>
      <c r="JMI163" s="20"/>
      <c r="JMJ163" s="20"/>
      <c r="JMK163" s="20"/>
      <c r="JML163" s="21"/>
      <c r="JMM163" s="21"/>
      <c r="JMN163" s="21"/>
      <c r="JMO163" s="21"/>
      <c r="JMP163" s="21"/>
      <c r="JMQ163" s="20"/>
      <c r="JMR163" s="20"/>
      <c r="JMS163" s="20"/>
      <c r="JMT163" s="20"/>
      <c r="JMU163" s="21"/>
      <c r="JMV163" s="21"/>
      <c r="JMW163" s="7"/>
      <c r="JMX163" s="7"/>
      <c r="JMY163" s="21"/>
      <c r="JMZ163" s="20"/>
      <c r="JNA163" s="20"/>
      <c r="JNB163" s="20"/>
      <c r="JNC163" s="21"/>
      <c r="JND163" s="21"/>
      <c r="JNE163" s="21"/>
      <c r="JNF163" s="21"/>
      <c r="JNG163" s="21"/>
      <c r="JNH163" s="20"/>
      <c r="JNI163" s="20"/>
      <c r="JNJ163" s="20"/>
      <c r="JNK163" s="20"/>
      <c r="JNL163" s="21"/>
      <c r="JNM163" s="21"/>
      <c r="JNN163" s="7"/>
      <c r="JNO163" s="7"/>
      <c r="JNP163" s="21"/>
      <c r="JNQ163" s="20"/>
      <c r="JNR163" s="20"/>
      <c r="JNS163" s="20"/>
      <c r="JNT163" s="21"/>
      <c r="JNU163" s="21"/>
      <c r="JNV163" s="21"/>
      <c r="JNW163" s="21"/>
      <c r="JNX163" s="21"/>
      <c r="JNY163" s="20"/>
      <c r="JNZ163" s="20"/>
      <c r="JOA163" s="20"/>
      <c r="JOB163" s="20"/>
      <c r="JOC163" s="21"/>
      <c r="JOD163" s="21"/>
      <c r="JOE163" s="7"/>
      <c r="JOF163" s="7"/>
      <c r="JOG163" s="21"/>
      <c r="JOH163" s="20"/>
      <c r="JOI163" s="20"/>
      <c r="JOJ163" s="20"/>
      <c r="JOK163" s="21"/>
      <c r="JOL163" s="21"/>
      <c r="JOM163" s="21"/>
      <c r="JON163" s="21"/>
      <c r="JOO163" s="21"/>
      <c r="JOP163" s="20"/>
      <c r="JOQ163" s="20"/>
      <c r="JOR163" s="20"/>
      <c r="JOS163" s="20"/>
      <c r="JOT163" s="21"/>
      <c r="JOU163" s="21"/>
      <c r="JOV163" s="7"/>
      <c r="JOW163" s="7"/>
      <c r="JOX163" s="21"/>
      <c r="JOY163" s="20"/>
      <c r="JOZ163" s="20"/>
      <c r="JPA163" s="20"/>
      <c r="JPB163" s="21"/>
      <c r="JPC163" s="21"/>
      <c r="JPD163" s="21"/>
      <c r="JPE163" s="21"/>
      <c r="JPF163" s="21"/>
      <c r="JPG163" s="20"/>
      <c r="JPH163" s="20"/>
      <c r="JPI163" s="20"/>
      <c r="JPJ163" s="20"/>
      <c r="JPK163" s="21"/>
      <c r="JPL163" s="21"/>
      <c r="JPM163" s="7"/>
      <c r="JPN163" s="7"/>
      <c r="JPO163" s="21"/>
      <c r="JPP163" s="20"/>
      <c r="JPQ163" s="20"/>
      <c r="JPR163" s="20"/>
      <c r="JPS163" s="21"/>
      <c r="JPT163" s="21"/>
      <c r="JPU163" s="21"/>
      <c r="JPV163" s="21"/>
      <c r="JPW163" s="21"/>
      <c r="JPX163" s="20"/>
      <c r="JPY163" s="20"/>
      <c r="JPZ163" s="20"/>
      <c r="JQA163" s="20"/>
      <c r="JQB163" s="21"/>
      <c r="JQC163" s="21"/>
      <c r="JQD163" s="7"/>
      <c r="JQE163" s="7"/>
      <c r="JQF163" s="21"/>
      <c r="JQG163" s="20"/>
      <c r="JQH163" s="20"/>
      <c r="JQI163" s="20"/>
      <c r="JQJ163" s="21"/>
      <c r="JQK163" s="21"/>
      <c r="JQL163" s="21"/>
      <c r="JQM163" s="21"/>
      <c r="JQN163" s="21"/>
      <c r="JQO163" s="20"/>
      <c r="JQP163" s="20"/>
      <c r="JQQ163" s="20"/>
      <c r="JQR163" s="20"/>
      <c r="JQS163" s="21"/>
      <c r="JQT163" s="21"/>
      <c r="JQU163" s="7"/>
      <c r="JQV163" s="7"/>
      <c r="JQW163" s="21"/>
      <c r="JQX163" s="20"/>
      <c r="JQY163" s="20"/>
      <c r="JQZ163" s="20"/>
      <c r="JRA163" s="21"/>
      <c r="JRB163" s="21"/>
      <c r="JRC163" s="21"/>
      <c r="JRD163" s="21"/>
      <c r="JRE163" s="21"/>
      <c r="JRF163" s="20"/>
      <c r="JRG163" s="20"/>
      <c r="JRH163" s="20"/>
      <c r="JRI163" s="20"/>
      <c r="JRJ163" s="21"/>
      <c r="JRK163" s="21"/>
      <c r="JRL163" s="7"/>
      <c r="JRM163" s="7"/>
      <c r="JRN163" s="21"/>
      <c r="JRO163" s="20"/>
      <c r="JRP163" s="20"/>
      <c r="JRQ163" s="20"/>
      <c r="JRR163" s="21"/>
      <c r="JRS163" s="21"/>
      <c r="JRT163" s="21"/>
      <c r="JRU163" s="21"/>
      <c r="JRV163" s="21"/>
      <c r="JRW163" s="20"/>
      <c r="JRX163" s="20"/>
      <c r="JRY163" s="20"/>
      <c r="JRZ163" s="20"/>
      <c r="JSA163" s="21"/>
      <c r="JSB163" s="21"/>
      <c r="JSC163" s="7"/>
      <c r="JSD163" s="7"/>
      <c r="JSE163" s="21"/>
      <c r="JSF163" s="20"/>
      <c r="JSG163" s="20"/>
      <c r="JSH163" s="20"/>
      <c r="JSI163" s="21"/>
      <c r="JSJ163" s="21"/>
      <c r="JSK163" s="21"/>
      <c r="JSL163" s="21"/>
      <c r="JSM163" s="21"/>
      <c r="JSN163" s="20"/>
      <c r="JSO163" s="20"/>
      <c r="JSP163" s="20"/>
      <c r="JSQ163" s="20"/>
      <c r="JSR163" s="21"/>
      <c r="JSS163" s="21"/>
      <c r="JST163" s="7"/>
      <c r="JSU163" s="7"/>
      <c r="JSV163" s="21"/>
      <c r="JSW163" s="20"/>
      <c r="JSX163" s="20"/>
      <c r="JSY163" s="20"/>
      <c r="JSZ163" s="21"/>
      <c r="JTA163" s="21"/>
      <c r="JTB163" s="21"/>
      <c r="JTC163" s="21"/>
      <c r="JTD163" s="21"/>
      <c r="JTE163" s="20"/>
      <c r="JTF163" s="20"/>
      <c r="JTG163" s="20"/>
      <c r="JTH163" s="20"/>
      <c r="JTI163" s="21"/>
      <c r="JTJ163" s="21"/>
      <c r="JTK163" s="7"/>
      <c r="JTL163" s="7"/>
      <c r="JTM163" s="21"/>
      <c r="JTN163" s="20"/>
      <c r="JTO163" s="20"/>
      <c r="JTP163" s="20"/>
      <c r="JTQ163" s="21"/>
      <c r="JTR163" s="21"/>
      <c r="JTS163" s="21"/>
      <c r="JTT163" s="21"/>
      <c r="JTU163" s="21"/>
      <c r="JTV163" s="20"/>
      <c r="JTW163" s="20"/>
      <c r="JTX163" s="20"/>
      <c r="JTY163" s="20"/>
      <c r="JTZ163" s="21"/>
      <c r="JUA163" s="21"/>
      <c r="JUB163" s="7"/>
      <c r="JUC163" s="7"/>
      <c r="JUD163" s="21"/>
      <c r="JUE163" s="20"/>
      <c r="JUF163" s="20"/>
      <c r="JUG163" s="20"/>
      <c r="JUH163" s="21"/>
      <c r="JUI163" s="21"/>
      <c r="JUJ163" s="21"/>
      <c r="JUK163" s="21"/>
      <c r="JUL163" s="21"/>
      <c r="JUM163" s="20"/>
      <c r="JUN163" s="20"/>
      <c r="JUO163" s="20"/>
      <c r="JUP163" s="20"/>
      <c r="JUQ163" s="21"/>
      <c r="JUR163" s="21"/>
      <c r="JUS163" s="7"/>
      <c r="JUT163" s="7"/>
      <c r="JUU163" s="21"/>
      <c r="JUV163" s="20"/>
      <c r="JUW163" s="20"/>
      <c r="JUX163" s="20"/>
      <c r="JUY163" s="21"/>
      <c r="JUZ163" s="21"/>
      <c r="JVA163" s="21"/>
      <c r="JVB163" s="21"/>
      <c r="JVC163" s="21"/>
      <c r="JVD163" s="20"/>
      <c r="JVE163" s="20"/>
      <c r="JVF163" s="20"/>
      <c r="JVG163" s="20"/>
      <c r="JVH163" s="21"/>
      <c r="JVI163" s="21"/>
      <c r="JVJ163" s="7"/>
      <c r="JVK163" s="7"/>
      <c r="JVL163" s="21"/>
      <c r="JVM163" s="20"/>
      <c r="JVN163" s="20"/>
      <c r="JVO163" s="20"/>
      <c r="JVP163" s="21"/>
      <c r="JVQ163" s="21"/>
      <c r="JVR163" s="21"/>
      <c r="JVS163" s="21"/>
      <c r="JVT163" s="21"/>
      <c r="JVU163" s="20"/>
      <c r="JVV163" s="20"/>
      <c r="JVW163" s="20"/>
      <c r="JVX163" s="20"/>
      <c r="JVY163" s="21"/>
      <c r="JVZ163" s="21"/>
      <c r="JWA163" s="7"/>
      <c r="JWB163" s="7"/>
      <c r="JWC163" s="21"/>
      <c r="JWD163" s="20"/>
      <c r="JWE163" s="20"/>
      <c r="JWF163" s="20"/>
      <c r="JWG163" s="21"/>
      <c r="JWH163" s="21"/>
      <c r="JWI163" s="21"/>
      <c r="JWJ163" s="21"/>
      <c r="JWK163" s="21"/>
      <c r="JWL163" s="20"/>
      <c r="JWM163" s="20"/>
      <c r="JWN163" s="20"/>
      <c r="JWO163" s="20"/>
      <c r="JWP163" s="21"/>
      <c r="JWQ163" s="21"/>
      <c r="JWR163" s="7"/>
      <c r="JWS163" s="7"/>
      <c r="JWT163" s="21"/>
      <c r="JWU163" s="20"/>
      <c r="JWV163" s="20"/>
      <c r="JWW163" s="20"/>
      <c r="JWX163" s="21"/>
      <c r="JWY163" s="21"/>
      <c r="JWZ163" s="21"/>
      <c r="JXA163" s="21"/>
      <c r="JXB163" s="21"/>
      <c r="JXC163" s="20"/>
      <c r="JXD163" s="20"/>
      <c r="JXE163" s="20"/>
      <c r="JXF163" s="20"/>
      <c r="JXG163" s="21"/>
      <c r="JXH163" s="21"/>
      <c r="JXI163" s="7"/>
      <c r="JXJ163" s="7"/>
      <c r="JXK163" s="21"/>
      <c r="JXL163" s="20"/>
      <c r="JXM163" s="20"/>
      <c r="JXN163" s="20"/>
      <c r="JXO163" s="21"/>
      <c r="JXP163" s="21"/>
      <c r="JXQ163" s="21"/>
      <c r="JXR163" s="21"/>
      <c r="JXS163" s="21"/>
      <c r="JXT163" s="20"/>
      <c r="JXU163" s="20"/>
      <c r="JXV163" s="20"/>
      <c r="JXW163" s="20"/>
      <c r="JXX163" s="21"/>
      <c r="JXY163" s="21"/>
      <c r="JXZ163" s="7"/>
      <c r="JYA163" s="7"/>
      <c r="JYB163" s="21"/>
      <c r="JYC163" s="20"/>
      <c r="JYD163" s="20"/>
      <c r="JYE163" s="20"/>
      <c r="JYF163" s="21"/>
      <c r="JYG163" s="21"/>
      <c r="JYH163" s="21"/>
      <c r="JYI163" s="21"/>
      <c r="JYJ163" s="21"/>
      <c r="JYK163" s="20"/>
      <c r="JYL163" s="20"/>
      <c r="JYM163" s="20"/>
      <c r="JYN163" s="20"/>
      <c r="JYO163" s="21"/>
      <c r="JYP163" s="21"/>
      <c r="JYQ163" s="7"/>
      <c r="JYR163" s="7"/>
      <c r="JYS163" s="21"/>
      <c r="JYT163" s="20"/>
      <c r="JYU163" s="20"/>
      <c r="JYV163" s="20"/>
      <c r="JYW163" s="21"/>
      <c r="JYX163" s="21"/>
      <c r="JYY163" s="21"/>
      <c r="JYZ163" s="21"/>
      <c r="JZA163" s="21"/>
      <c r="JZB163" s="20"/>
      <c r="JZC163" s="20"/>
      <c r="JZD163" s="20"/>
      <c r="JZE163" s="20"/>
      <c r="JZF163" s="21"/>
      <c r="JZG163" s="21"/>
      <c r="JZH163" s="7"/>
      <c r="JZI163" s="7"/>
      <c r="JZJ163" s="21"/>
      <c r="JZK163" s="20"/>
      <c r="JZL163" s="20"/>
      <c r="JZM163" s="20"/>
      <c r="JZN163" s="21"/>
      <c r="JZO163" s="21"/>
      <c r="JZP163" s="21"/>
      <c r="JZQ163" s="21"/>
      <c r="JZR163" s="21"/>
      <c r="JZS163" s="20"/>
      <c r="JZT163" s="20"/>
      <c r="JZU163" s="20"/>
      <c r="JZV163" s="20"/>
      <c r="JZW163" s="21"/>
      <c r="JZX163" s="21"/>
      <c r="JZY163" s="7"/>
      <c r="JZZ163" s="7"/>
      <c r="KAA163" s="21"/>
      <c r="KAB163" s="20"/>
      <c r="KAC163" s="20"/>
      <c r="KAD163" s="20"/>
      <c r="KAE163" s="21"/>
      <c r="KAF163" s="21"/>
      <c r="KAG163" s="21"/>
      <c r="KAH163" s="21"/>
      <c r="KAI163" s="21"/>
      <c r="KAJ163" s="20"/>
      <c r="KAK163" s="20"/>
      <c r="KAL163" s="20"/>
      <c r="KAM163" s="20"/>
      <c r="KAN163" s="21"/>
      <c r="KAO163" s="21"/>
      <c r="KAP163" s="7"/>
      <c r="KAQ163" s="7"/>
      <c r="KAR163" s="21"/>
      <c r="KAS163" s="20"/>
      <c r="KAT163" s="20"/>
      <c r="KAU163" s="20"/>
      <c r="KAV163" s="21"/>
      <c r="KAW163" s="21"/>
      <c r="KAX163" s="21"/>
      <c r="KAY163" s="21"/>
      <c r="KAZ163" s="21"/>
      <c r="KBA163" s="20"/>
      <c r="KBB163" s="20"/>
      <c r="KBC163" s="20"/>
      <c r="KBD163" s="20"/>
      <c r="KBE163" s="21"/>
      <c r="KBF163" s="21"/>
      <c r="KBG163" s="7"/>
      <c r="KBH163" s="7"/>
      <c r="KBI163" s="21"/>
      <c r="KBJ163" s="20"/>
      <c r="KBK163" s="20"/>
      <c r="KBL163" s="20"/>
      <c r="KBM163" s="21"/>
      <c r="KBN163" s="21"/>
      <c r="KBO163" s="21"/>
      <c r="KBP163" s="21"/>
      <c r="KBQ163" s="21"/>
      <c r="KBR163" s="20"/>
      <c r="KBS163" s="20"/>
      <c r="KBT163" s="20"/>
      <c r="KBU163" s="20"/>
      <c r="KBV163" s="21"/>
      <c r="KBW163" s="21"/>
      <c r="KBX163" s="7"/>
      <c r="KBY163" s="7"/>
      <c r="KBZ163" s="21"/>
      <c r="KCA163" s="20"/>
      <c r="KCB163" s="20"/>
      <c r="KCC163" s="20"/>
      <c r="KCD163" s="21"/>
      <c r="KCE163" s="21"/>
      <c r="KCF163" s="21"/>
      <c r="KCG163" s="21"/>
      <c r="KCH163" s="21"/>
      <c r="KCI163" s="20"/>
      <c r="KCJ163" s="20"/>
      <c r="KCK163" s="20"/>
      <c r="KCL163" s="20"/>
      <c r="KCM163" s="21"/>
      <c r="KCN163" s="21"/>
      <c r="KCO163" s="7"/>
      <c r="KCP163" s="7"/>
      <c r="KCQ163" s="21"/>
      <c r="KCR163" s="20"/>
      <c r="KCS163" s="20"/>
      <c r="KCT163" s="20"/>
      <c r="KCU163" s="21"/>
      <c r="KCV163" s="21"/>
      <c r="KCW163" s="21"/>
      <c r="KCX163" s="21"/>
      <c r="KCY163" s="21"/>
      <c r="KCZ163" s="20"/>
      <c r="KDA163" s="20"/>
      <c r="KDB163" s="20"/>
      <c r="KDC163" s="20"/>
      <c r="KDD163" s="21"/>
      <c r="KDE163" s="21"/>
      <c r="KDF163" s="7"/>
      <c r="KDG163" s="7"/>
      <c r="KDH163" s="21"/>
      <c r="KDI163" s="20"/>
      <c r="KDJ163" s="20"/>
      <c r="KDK163" s="20"/>
      <c r="KDL163" s="21"/>
      <c r="KDM163" s="21"/>
      <c r="KDN163" s="21"/>
      <c r="KDO163" s="21"/>
      <c r="KDP163" s="21"/>
      <c r="KDQ163" s="20"/>
      <c r="KDR163" s="20"/>
      <c r="KDS163" s="20"/>
      <c r="KDT163" s="20"/>
      <c r="KDU163" s="21"/>
      <c r="KDV163" s="21"/>
      <c r="KDW163" s="7"/>
      <c r="KDX163" s="7"/>
      <c r="KDY163" s="21"/>
      <c r="KDZ163" s="20"/>
      <c r="KEA163" s="20"/>
      <c r="KEB163" s="20"/>
      <c r="KEC163" s="21"/>
      <c r="KED163" s="21"/>
      <c r="KEE163" s="21"/>
      <c r="KEF163" s="21"/>
      <c r="KEG163" s="21"/>
      <c r="KEH163" s="20"/>
      <c r="KEI163" s="20"/>
      <c r="KEJ163" s="20"/>
      <c r="KEK163" s="20"/>
      <c r="KEL163" s="21"/>
      <c r="KEM163" s="21"/>
      <c r="KEN163" s="7"/>
      <c r="KEO163" s="7"/>
      <c r="KEP163" s="21"/>
      <c r="KEQ163" s="20"/>
      <c r="KER163" s="20"/>
      <c r="KES163" s="20"/>
      <c r="KET163" s="21"/>
      <c r="KEU163" s="21"/>
      <c r="KEV163" s="21"/>
      <c r="KEW163" s="21"/>
      <c r="KEX163" s="21"/>
      <c r="KEY163" s="20"/>
      <c r="KEZ163" s="20"/>
      <c r="KFA163" s="20"/>
      <c r="KFB163" s="20"/>
      <c r="KFC163" s="21"/>
      <c r="KFD163" s="21"/>
      <c r="KFE163" s="7"/>
      <c r="KFF163" s="7"/>
      <c r="KFG163" s="21"/>
      <c r="KFH163" s="20"/>
      <c r="KFI163" s="20"/>
      <c r="KFJ163" s="20"/>
      <c r="KFK163" s="21"/>
      <c r="KFL163" s="21"/>
      <c r="KFM163" s="21"/>
      <c r="KFN163" s="21"/>
      <c r="KFO163" s="21"/>
      <c r="KFP163" s="20"/>
      <c r="KFQ163" s="20"/>
      <c r="KFR163" s="20"/>
      <c r="KFS163" s="20"/>
      <c r="KFT163" s="21"/>
      <c r="KFU163" s="21"/>
      <c r="KFV163" s="7"/>
      <c r="KFW163" s="7"/>
      <c r="KFX163" s="21"/>
      <c r="KFY163" s="20"/>
      <c r="KFZ163" s="20"/>
      <c r="KGA163" s="20"/>
      <c r="KGB163" s="21"/>
      <c r="KGC163" s="21"/>
      <c r="KGD163" s="21"/>
      <c r="KGE163" s="21"/>
      <c r="KGF163" s="21"/>
      <c r="KGG163" s="20"/>
      <c r="KGH163" s="20"/>
      <c r="KGI163" s="20"/>
      <c r="KGJ163" s="20"/>
      <c r="KGK163" s="21"/>
      <c r="KGL163" s="21"/>
      <c r="KGM163" s="7"/>
      <c r="KGN163" s="7"/>
      <c r="KGO163" s="21"/>
      <c r="KGP163" s="20"/>
      <c r="KGQ163" s="20"/>
      <c r="KGR163" s="20"/>
      <c r="KGS163" s="21"/>
      <c r="KGT163" s="21"/>
      <c r="KGU163" s="21"/>
      <c r="KGV163" s="21"/>
      <c r="KGW163" s="21"/>
      <c r="KGX163" s="20"/>
      <c r="KGY163" s="20"/>
      <c r="KGZ163" s="20"/>
      <c r="KHA163" s="20"/>
      <c r="KHB163" s="21"/>
      <c r="KHC163" s="21"/>
      <c r="KHD163" s="7"/>
      <c r="KHE163" s="7"/>
      <c r="KHF163" s="21"/>
      <c r="KHG163" s="20"/>
      <c r="KHH163" s="20"/>
      <c r="KHI163" s="20"/>
      <c r="KHJ163" s="21"/>
      <c r="KHK163" s="21"/>
      <c r="KHL163" s="21"/>
      <c r="KHM163" s="21"/>
      <c r="KHN163" s="21"/>
      <c r="KHO163" s="20"/>
      <c r="KHP163" s="20"/>
      <c r="KHQ163" s="20"/>
      <c r="KHR163" s="20"/>
      <c r="KHS163" s="21"/>
      <c r="KHT163" s="21"/>
      <c r="KHU163" s="7"/>
      <c r="KHV163" s="7"/>
      <c r="KHW163" s="21"/>
      <c r="KHX163" s="20"/>
      <c r="KHY163" s="20"/>
      <c r="KHZ163" s="20"/>
      <c r="KIA163" s="21"/>
      <c r="KIB163" s="21"/>
      <c r="KIC163" s="21"/>
      <c r="KID163" s="21"/>
      <c r="KIE163" s="21"/>
      <c r="KIF163" s="20"/>
      <c r="KIG163" s="20"/>
      <c r="KIH163" s="20"/>
      <c r="KII163" s="20"/>
      <c r="KIJ163" s="21"/>
      <c r="KIK163" s="21"/>
      <c r="KIL163" s="7"/>
      <c r="KIM163" s="7"/>
      <c r="KIN163" s="21"/>
      <c r="KIO163" s="20"/>
      <c r="KIP163" s="20"/>
      <c r="KIQ163" s="20"/>
      <c r="KIR163" s="21"/>
      <c r="KIS163" s="21"/>
      <c r="KIT163" s="21"/>
      <c r="KIU163" s="21"/>
      <c r="KIV163" s="21"/>
      <c r="KIW163" s="20"/>
      <c r="KIX163" s="20"/>
      <c r="KIY163" s="20"/>
      <c r="KIZ163" s="20"/>
      <c r="KJA163" s="21"/>
      <c r="KJB163" s="21"/>
      <c r="KJC163" s="7"/>
      <c r="KJD163" s="7"/>
      <c r="KJE163" s="21"/>
      <c r="KJF163" s="20"/>
      <c r="KJG163" s="20"/>
      <c r="KJH163" s="20"/>
      <c r="KJI163" s="21"/>
      <c r="KJJ163" s="21"/>
      <c r="KJK163" s="21"/>
      <c r="KJL163" s="21"/>
      <c r="KJM163" s="21"/>
      <c r="KJN163" s="20"/>
      <c r="KJO163" s="20"/>
      <c r="KJP163" s="20"/>
      <c r="KJQ163" s="20"/>
      <c r="KJR163" s="21"/>
      <c r="KJS163" s="21"/>
      <c r="KJT163" s="7"/>
      <c r="KJU163" s="7"/>
      <c r="KJV163" s="21"/>
      <c r="KJW163" s="20"/>
      <c r="KJX163" s="20"/>
      <c r="KJY163" s="20"/>
      <c r="KJZ163" s="21"/>
      <c r="KKA163" s="21"/>
      <c r="KKB163" s="21"/>
      <c r="KKC163" s="21"/>
      <c r="KKD163" s="21"/>
      <c r="KKE163" s="20"/>
      <c r="KKF163" s="20"/>
      <c r="KKG163" s="20"/>
      <c r="KKH163" s="20"/>
      <c r="KKI163" s="21"/>
      <c r="KKJ163" s="21"/>
      <c r="KKK163" s="7"/>
      <c r="KKL163" s="7"/>
      <c r="KKM163" s="21"/>
      <c r="KKN163" s="20"/>
      <c r="KKO163" s="20"/>
      <c r="KKP163" s="20"/>
      <c r="KKQ163" s="21"/>
      <c r="KKR163" s="21"/>
      <c r="KKS163" s="21"/>
      <c r="KKT163" s="21"/>
      <c r="KKU163" s="21"/>
      <c r="KKV163" s="20"/>
      <c r="KKW163" s="20"/>
      <c r="KKX163" s="20"/>
      <c r="KKY163" s="20"/>
      <c r="KKZ163" s="21"/>
      <c r="KLA163" s="21"/>
      <c r="KLB163" s="7"/>
      <c r="KLC163" s="7"/>
      <c r="KLD163" s="21"/>
      <c r="KLE163" s="20"/>
      <c r="KLF163" s="20"/>
      <c r="KLG163" s="20"/>
      <c r="KLH163" s="21"/>
      <c r="KLI163" s="21"/>
      <c r="KLJ163" s="21"/>
      <c r="KLK163" s="21"/>
      <c r="KLL163" s="21"/>
      <c r="KLM163" s="20"/>
      <c r="KLN163" s="20"/>
      <c r="KLO163" s="20"/>
      <c r="KLP163" s="20"/>
      <c r="KLQ163" s="21"/>
      <c r="KLR163" s="21"/>
      <c r="KLS163" s="7"/>
      <c r="KLT163" s="7"/>
      <c r="KLU163" s="21"/>
      <c r="KLV163" s="20"/>
      <c r="KLW163" s="20"/>
      <c r="KLX163" s="20"/>
      <c r="KLY163" s="21"/>
      <c r="KLZ163" s="21"/>
      <c r="KMA163" s="21"/>
      <c r="KMB163" s="21"/>
      <c r="KMC163" s="21"/>
      <c r="KMD163" s="20"/>
      <c r="KME163" s="20"/>
      <c r="KMF163" s="20"/>
      <c r="KMG163" s="20"/>
      <c r="KMH163" s="21"/>
      <c r="KMI163" s="21"/>
      <c r="KMJ163" s="7"/>
      <c r="KMK163" s="7"/>
      <c r="KML163" s="21"/>
      <c r="KMM163" s="20"/>
      <c r="KMN163" s="20"/>
      <c r="KMO163" s="20"/>
      <c r="KMP163" s="21"/>
      <c r="KMQ163" s="21"/>
      <c r="KMR163" s="21"/>
      <c r="KMS163" s="21"/>
      <c r="KMT163" s="21"/>
      <c r="KMU163" s="20"/>
      <c r="KMV163" s="20"/>
      <c r="KMW163" s="20"/>
      <c r="KMX163" s="20"/>
      <c r="KMY163" s="21"/>
      <c r="KMZ163" s="21"/>
      <c r="KNA163" s="7"/>
      <c r="KNB163" s="7"/>
      <c r="KNC163" s="21"/>
      <c r="KND163" s="20"/>
      <c r="KNE163" s="20"/>
      <c r="KNF163" s="20"/>
      <c r="KNG163" s="21"/>
      <c r="KNH163" s="21"/>
      <c r="KNI163" s="21"/>
      <c r="KNJ163" s="21"/>
      <c r="KNK163" s="21"/>
      <c r="KNL163" s="20"/>
      <c r="KNM163" s="20"/>
      <c r="KNN163" s="20"/>
      <c r="KNO163" s="20"/>
      <c r="KNP163" s="21"/>
      <c r="KNQ163" s="21"/>
      <c r="KNR163" s="7"/>
      <c r="KNS163" s="7"/>
      <c r="KNT163" s="21"/>
      <c r="KNU163" s="20"/>
      <c r="KNV163" s="20"/>
      <c r="KNW163" s="20"/>
      <c r="KNX163" s="21"/>
      <c r="KNY163" s="21"/>
      <c r="KNZ163" s="21"/>
      <c r="KOA163" s="21"/>
      <c r="KOB163" s="21"/>
      <c r="KOC163" s="20"/>
      <c r="KOD163" s="20"/>
      <c r="KOE163" s="20"/>
      <c r="KOF163" s="20"/>
      <c r="KOG163" s="21"/>
      <c r="KOH163" s="21"/>
      <c r="KOI163" s="7"/>
      <c r="KOJ163" s="7"/>
      <c r="KOK163" s="21"/>
      <c r="KOL163" s="20"/>
      <c r="KOM163" s="20"/>
      <c r="KON163" s="20"/>
      <c r="KOO163" s="21"/>
      <c r="KOP163" s="21"/>
      <c r="KOQ163" s="21"/>
      <c r="KOR163" s="21"/>
      <c r="KOS163" s="21"/>
      <c r="KOT163" s="20"/>
      <c r="KOU163" s="20"/>
      <c r="KOV163" s="20"/>
      <c r="KOW163" s="20"/>
      <c r="KOX163" s="21"/>
      <c r="KOY163" s="21"/>
      <c r="KOZ163" s="7"/>
      <c r="KPA163" s="7"/>
      <c r="KPB163" s="21"/>
      <c r="KPC163" s="20"/>
      <c r="KPD163" s="20"/>
      <c r="KPE163" s="20"/>
      <c r="KPF163" s="21"/>
      <c r="KPG163" s="21"/>
      <c r="KPH163" s="21"/>
      <c r="KPI163" s="21"/>
      <c r="KPJ163" s="21"/>
      <c r="KPK163" s="20"/>
      <c r="KPL163" s="20"/>
      <c r="KPM163" s="20"/>
      <c r="KPN163" s="20"/>
      <c r="KPO163" s="21"/>
      <c r="KPP163" s="21"/>
      <c r="KPQ163" s="7"/>
      <c r="KPR163" s="7"/>
      <c r="KPS163" s="21"/>
      <c r="KPT163" s="20"/>
      <c r="KPU163" s="20"/>
      <c r="KPV163" s="20"/>
      <c r="KPW163" s="21"/>
      <c r="KPX163" s="21"/>
      <c r="KPY163" s="21"/>
      <c r="KPZ163" s="21"/>
      <c r="KQA163" s="21"/>
      <c r="KQB163" s="20"/>
      <c r="KQC163" s="20"/>
      <c r="KQD163" s="20"/>
      <c r="KQE163" s="20"/>
      <c r="KQF163" s="21"/>
      <c r="KQG163" s="21"/>
      <c r="KQH163" s="7"/>
      <c r="KQI163" s="7"/>
      <c r="KQJ163" s="21"/>
      <c r="KQK163" s="20"/>
      <c r="KQL163" s="20"/>
      <c r="KQM163" s="20"/>
      <c r="KQN163" s="21"/>
      <c r="KQO163" s="21"/>
      <c r="KQP163" s="21"/>
      <c r="KQQ163" s="21"/>
      <c r="KQR163" s="21"/>
      <c r="KQS163" s="20"/>
      <c r="KQT163" s="20"/>
      <c r="KQU163" s="20"/>
      <c r="KQV163" s="20"/>
      <c r="KQW163" s="21"/>
      <c r="KQX163" s="21"/>
      <c r="KQY163" s="7"/>
      <c r="KQZ163" s="7"/>
      <c r="KRA163" s="21"/>
      <c r="KRB163" s="20"/>
      <c r="KRC163" s="20"/>
      <c r="KRD163" s="20"/>
      <c r="KRE163" s="21"/>
      <c r="KRF163" s="21"/>
      <c r="KRG163" s="21"/>
      <c r="KRH163" s="21"/>
      <c r="KRI163" s="21"/>
      <c r="KRJ163" s="20"/>
      <c r="KRK163" s="20"/>
      <c r="KRL163" s="20"/>
      <c r="KRM163" s="20"/>
      <c r="KRN163" s="21"/>
      <c r="KRO163" s="21"/>
      <c r="KRP163" s="7"/>
      <c r="KRQ163" s="7"/>
      <c r="KRR163" s="21"/>
      <c r="KRS163" s="20"/>
      <c r="KRT163" s="20"/>
      <c r="KRU163" s="20"/>
      <c r="KRV163" s="21"/>
      <c r="KRW163" s="21"/>
      <c r="KRX163" s="21"/>
      <c r="KRY163" s="21"/>
      <c r="KRZ163" s="21"/>
      <c r="KSA163" s="20"/>
      <c r="KSB163" s="20"/>
      <c r="KSC163" s="20"/>
      <c r="KSD163" s="20"/>
      <c r="KSE163" s="21"/>
      <c r="KSF163" s="21"/>
      <c r="KSG163" s="7"/>
      <c r="KSH163" s="7"/>
      <c r="KSI163" s="21"/>
      <c r="KSJ163" s="20"/>
      <c r="KSK163" s="20"/>
      <c r="KSL163" s="20"/>
      <c r="KSM163" s="21"/>
      <c r="KSN163" s="21"/>
      <c r="KSO163" s="21"/>
      <c r="KSP163" s="21"/>
      <c r="KSQ163" s="21"/>
      <c r="KSR163" s="20"/>
      <c r="KSS163" s="20"/>
      <c r="KST163" s="20"/>
      <c r="KSU163" s="20"/>
      <c r="KSV163" s="21"/>
      <c r="KSW163" s="21"/>
      <c r="KSX163" s="7"/>
      <c r="KSY163" s="7"/>
      <c r="KSZ163" s="21"/>
      <c r="KTA163" s="20"/>
      <c r="KTB163" s="20"/>
      <c r="KTC163" s="20"/>
      <c r="KTD163" s="21"/>
      <c r="KTE163" s="21"/>
      <c r="KTF163" s="21"/>
      <c r="KTG163" s="21"/>
      <c r="KTH163" s="21"/>
      <c r="KTI163" s="20"/>
      <c r="KTJ163" s="20"/>
      <c r="KTK163" s="20"/>
      <c r="KTL163" s="20"/>
      <c r="KTM163" s="21"/>
      <c r="KTN163" s="21"/>
      <c r="KTO163" s="7"/>
      <c r="KTP163" s="7"/>
      <c r="KTQ163" s="21"/>
      <c r="KTR163" s="20"/>
      <c r="KTS163" s="20"/>
      <c r="KTT163" s="20"/>
      <c r="KTU163" s="21"/>
      <c r="KTV163" s="21"/>
      <c r="KTW163" s="21"/>
      <c r="KTX163" s="21"/>
      <c r="KTY163" s="21"/>
      <c r="KTZ163" s="20"/>
      <c r="KUA163" s="20"/>
      <c r="KUB163" s="20"/>
      <c r="KUC163" s="20"/>
      <c r="KUD163" s="21"/>
      <c r="KUE163" s="21"/>
      <c r="KUF163" s="7"/>
      <c r="KUG163" s="7"/>
      <c r="KUH163" s="21"/>
      <c r="KUI163" s="20"/>
      <c r="KUJ163" s="20"/>
      <c r="KUK163" s="20"/>
      <c r="KUL163" s="21"/>
      <c r="KUM163" s="21"/>
      <c r="KUN163" s="21"/>
      <c r="KUO163" s="21"/>
      <c r="KUP163" s="21"/>
      <c r="KUQ163" s="20"/>
      <c r="KUR163" s="20"/>
      <c r="KUS163" s="20"/>
      <c r="KUT163" s="20"/>
      <c r="KUU163" s="21"/>
      <c r="KUV163" s="21"/>
      <c r="KUW163" s="7"/>
      <c r="KUX163" s="7"/>
      <c r="KUY163" s="21"/>
      <c r="KUZ163" s="20"/>
      <c r="KVA163" s="20"/>
      <c r="KVB163" s="20"/>
      <c r="KVC163" s="21"/>
      <c r="KVD163" s="21"/>
      <c r="KVE163" s="21"/>
      <c r="KVF163" s="21"/>
      <c r="KVG163" s="21"/>
      <c r="KVH163" s="20"/>
      <c r="KVI163" s="20"/>
      <c r="KVJ163" s="20"/>
      <c r="KVK163" s="20"/>
      <c r="KVL163" s="21"/>
      <c r="KVM163" s="21"/>
      <c r="KVN163" s="7"/>
      <c r="KVO163" s="7"/>
      <c r="KVP163" s="21"/>
      <c r="KVQ163" s="20"/>
      <c r="KVR163" s="20"/>
      <c r="KVS163" s="20"/>
      <c r="KVT163" s="21"/>
      <c r="KVU163" s="21"/>
      <c r="KVV163" s="21"/>
      <c r="KVW163" s="21"/>
      <c r="KVX163" s="21"/>
      <c r="KVY163" s="20"/>
      <c r="KVZ163" s="20"/>
      <c r="KWA163" s="20"/>
      <c r="KWB163" s="20"/>
      <c r="KWC163" s="21"/>
      <c r="KWD163" s="21"/>
      <c r="KWE163" s="7"/>
      <c r="KWF163" s="7"/>
      <c r="KWG163" s="21"/>
      <c r="KWH163" s="20"/>
      <c r="KWI163" s="20"/>
      <c r="KWJ163" s="20"/>
      <c r="KWK163" s="21"/>
      <c r="KWL163" s="21"/>
      <c r="KWM163" s="21"/>
      <c r="KWN163" s="21"/>
      <c r="KWO163" s="21"/>
      <c r="KWP163" s="20"/>
      <c r="KWQ163" s="20"/>
      <c r="KWR163" s="20"/>
      <c r="KWS163" s="20"/>
      <c r="KWT163" s="21"/>
      <c r="KWU163" s="21"/>
      <c r="KWV163" s="7"/>
      <c r="KWW163" s="7"/>
      <c r="KWX163" s="21"/>
      <c r="KWY163" s="20"/>
      <c r="KWZ163" s="20"/>
      <c r="KXA163" s="20"/>
      <c r="KXB163" s="21"/>
      <c r="KXC163" s="21"/>
      <c r="KXD163" s="21"/>
      <c r="KXE163" s="21"/>
      <c r="KXF163" s="21"/>
      <c r="KXG163" s="20"/>
      <c r="KXH163" s="20"/>
      <c r="KXI163" s="20"/>
      <c r="KXJ163" s="20"/>
      <c r="KXK163" s="21"/>
      <c r="KXL163" s="21"/>
      <c r="KXM163" s="7"/>
      <c r="KXN163" s="7"/>
      <c r="KXO163" s="21"/>
      <c r="KXP163" s="20"/>
      <c r="KXQ163" s="20"/>
      <c r="KXR163" s="20"/>
      <c r="KXS163" s="21"/>
      <c r="KXT163" s="21"/>
      <c r="KXU163" s="21"/>
      <c r="KXV163" s="21"/>
      <c r="KXW163" s="21"/>
      <c r="KXX163" s="20"/>
      <c r="KXY163" s="20"/>
      <c r="KXZ163" s="20"/>
      <c r="KYA163" s="20"/>
      <c r="KYB163" s="21"/>
      <c r="KYC163" s="21"/>
      <c r="KYD163" s="7"/>
      <c r="KYE163" s="7"/>
      <c r="KYF163" s="21"/>
      <c r="KYG163" s="20"/>
      <c r="KYH163" s="20"/>
      <c r="KYI163" s="20"/>
      <c r="KYJ163" s="21"/>
      <c r="KYK163" s="21"/>
      <c r="KYL163" s="21"/>
      <c r="KYM163" s="21"/>
      <c r="KYN163" s="21"/>
      <c r="KYO163" s="20"/>
      <c r="KYP163" s="20"/>
      <c r="KYQ163" s="20"/>
      <c r="KYR163" s="20"/>
      <c r="KYS163" s="21"/>
      <c r="KYT163" s="21"/>
      <c r="KYU163" s="7"/>
      <c r="KYV163" s="7"/>
      <c r="KYW163" s="21"/>
      <c r="KYX163" s="20"/>
      <c r="KYY163" s="20"/>
      <c r="KYZ163" s="20"/>
      <c r="KZA163" s="21"/>
      <c r="KZB163" s="21"/>
      <c r="KZC163" s="21"/>
      <c r="KZD163" s="21"/>
      <c r="KZE163" s="21"/>
      <c r="KZF163" s="20"/>
      <c r="KZG163" s="20"/>
      <c r="KZH163" s="20"/>
      <c r="KZI163" s="20"/>
      <c r="KZJ163" s="21"/>
      <c r="KZK163" s="21"/>
      <c r="KZL163" s="7"/>
      <c r="KZM163" s="7"/>
      <c r="KZN163" s="21"/>
      <c r="KZO163" s="20"/>
      <c r="KZP163" s="20"/>
      <c r="KZQ163" s="20"/>
      <c r="KZR163" s="21"/>
      <c r="KZS163" s="21"/>
      <c r="KZT163" s="21"/>
      <c r="KZU163" s="21"/>
      <c r="KZV163" s="21"/>
      <c r="KZW163" s="20"/>
      <c r="KZX163" s="20"/>
      <c r="KZY163" s="20"/>
      <c r="KZZ163" s="20"/>
      <c r="LAA163" s="21"/>
      <c r="LAB163" s="21"/>
      <c r="LAC163" s="7"/>
      <c r="LAD163" s="7"/>
      <c r="LAE163" s="21"/>
      <c r="LAF163" s="20"/>
      <c r="LAG163" s="20"/>
      <c r="LAH163" s="20"/>
      <c r="LAI163" s="21"/>
      <c r="LAJ163" s="21"/>
      <c r="LAK163" s="21"/>
      <c r="LAL163" s="21"/>
      <c r="LAM163" s="21"/>
      <c r="LAN163" s="20"/>
      <c r="LAO163" s="20"/>
      <c r="LAP163" s="20"/>
      <c r="LAQ163" s="20"/>
      <c r="LAR163" s="21"/>
      <c r="LAS163" s="21"/>
      <c r="LAT163" s="7"/>
      <c r="LAU163" s="7"/>
      <c r="LAV163" s="21"/>
      <c r="LAW163" s="20"/>
      <c r="LAX163" s="20"/>
      <c r="LAY163" s="20"/>
      <c r="LAZ163" s="21"/>
      <c r="LBA163" s="21"/>
      <c r="LBB163" s="21"/>
      <c r="LBC163" s="21"/>
      <c r="LBD163" s="21"/>
      <c r="LBE163" s="20"/>
      <c r="LBF163" s="20"/>
      <c r="LBG163" s="20"/>
      <c r="LBH163" s="20"/>
      <c r="LBI163" s="21"/>
      <c r="LBJ163" s="21"/>
      <c r="LBK163" s="7"/>
      <c r="LBL163" s="7"/>
      <c r="LBM163" s="21"/>
      <c r="LBN163" s="20"/>
      <c r="LBO163" s="20"/>
      <c r="LBP163" s="20"/>
      <c r="LBQ163" s="21"/>
      <c r="LBR163" s="21"/>
      <c r="LBS163" s="21"/>
      <c r="LBT163" s="21"/>
      <c r="LBU163" s="21"/>
      <c r="LBV163" s="20"/>
      <c r="LBW163" s="20"/>
      <c r="LBX163" s="20"/>
      <c r="LBY163" s="20"/>
      <c r="LBZ163" s="21"/>
      <c r="LCA163" s="21"/>
      <c r="LCB163" s="7"/>
      <c r="LCC163" s="7"/>
      <c r="LCD163" s="21"/>
      <c r="LCE163" s="20"/>
      <c r="LCF163" s="20"/>
      <c r="LCG163" s="20"/>
      <c r="LCH163" s="21"/>
      <c r="LCI163" s="21"/>
      <c r="LCJ163" s="21"/>
      <c r="LCK163" s="21"/>
      <c r="LCL163" s="21"/>
      <c r="LCM163" s="20"/>
      <c r="LCN163" s="20"/>
      <c r="LCO163" s="20"/>
      <c r="LCP163" s="20"/>
      <c r="LCQ163" s="21"/>
      <c r="LCR163" s="21"/>
      <c r="LCS163" s="7"/>
      <c r="LCT163" s="7"/>
      <c r="LCU163" s="21"/>
      <c r="LCV163" s="20"/>
      <c r="LCW163" s="20"/>
      <c r="LCX163" s="20"/>
      <c r="LCY163" s="21"/>
      <c r="LCZ163" s="21"/>
      <c r="LDA163" s="21"/>
      <c r="LDB163" s="21"/>
      <c r="LDC163" s="21"/>
      <c r="LDD163" s="20"/>
      <c r="LDE163" s="20"/>
      <c r="LDF163" s="20"/>
      <c r="LDG163" s="20"/>
      <c r="LDH163" s="21"/>
      <c r="LDI163" s="21"/>
      <c r="LDJ163" s="7"/>
      <c r="LDK163" s="7"/>
      <c r="LDL163" s="21"/>
      <c r="LDM163" s="20"/>
      <c r="LDN163" s="20"/>
      <c r="LDO163" s="20"/>
      <c r="LDP163" s="21"/>
      <c r="LDQ163" s="21"/>
      <c r="LDR163" s="21"/>
      <c r="LDS163" s="21"/>
      <c r="LDT163" s="21"/>
      <c r="LDU163" s="20"/>
      <c r="LDV163" s="20"/>
      <c r="LDW163" s="20"/>
      <c r="LDX163" s="20"/>
      <c r="LDY163" s="21"/>
      <c r="LDZ163" s="21"/>
      <c r="LEA163" s="7"/>
      <c r="LEB163" s="7"/>
      <c r="LEC163" s="21"/>
      <c r="LED163" s="20"/>
      <c r="LEE163" s="20"/>
      <c r="LEF163" s="20"/>
      <c r="LEG163" s="21"/>
      <c r="LEH163" s="21"/>
      <c r="LEI163" s="21"/>
      <c r="LEJ163" s="21"/>
      <c r="LEK163" s="21"/>
      <c r="LEL163" s="20"/>
      <c r="LEM163" s="20"/>
      <c r="LEN163" s="20"/>
      <c r="LEO163" s="20"/>
      <c r="LEP163" s="21"/>
      <c r="LEQ163" s="21"/>
      <c r="LER163" s="7"/>
      <c r="LES163" s="7"/>
      <c r="LET163" s="21"/>
      <c r="LEU163" s="20"/>
      <c r="LEV163" s="20"/>
      <c r="LEW163" s="20"/>
      <c r="LEX163" s="21"/>
      <c r="LEY163" s="21"/>
      <c r="LEZ163" s="21"/>
      <c r="LFA163" s="21"/>
      <c r="LFB163" s="21"/>
      <c r="LFC163" s="20"/>
      <c r="LFD163" s="20"/>
      <c r="LFE163" s="20"/>
      <c r="LFF163" s="20"/>
      <c r="LFG163" s="21"/>
      <c r="LFH163" s="21"/>
      <c r="LFI163" s="7"/>
      <c r="LFJ163" s="7"/>
      <c r="LFK163" s="21"/>
      <c r="LFL163" s="20"/>
      <c r="LFM163" s="20"/>
      <c r="LFN163" s="20"/>
      <c r="LFO163" s="21"/>
      <c r="LFP163" s="21"/>
      <c r="LFQ163" s="21"/>
      <c r="LFR163" s="21"/>
      <c r="LFS163" s="21"/>
      <c r="LFT163" s="20"/>
      <c r="LFU163" s="20"/>
      <c r="LFV163" s="20"/>
      <c r="LFW163" s="20"/>
      <c r="LFX163" s="21"/>
      <c r="LFY163" s="21"/>
      <c r="LFZ163" s="7"/>
      <c r="LGA163" s="7"/>
      <c r="LGB163" s="21"/>
      <c r="LGC163" s="20"/>
      <c r="LGD163" s="20"/>
      <c r="LGE163" s="20"/>
      <c r="LGF163" s="21"/>
      <c r="LGG163" s="21"/>
      <c r="LGH163" s="21"/>
      <c r="LGI163" s="21"/>
      <c r="LGJ163" s="21"/>
      <c r="LGK163" s="20"/>
      <c r="LGL163" s="20"/>
      <c r="LGM163" s="20"/>
      <c r="LGN163" s="20"/>
      <c r="LGO163" s="21"/>
      <c r="LGP163" s="21"/>
      <c r="LGQ163" s="7"/>
      <c r="LGR163" s="7"/>
      <c r="LGS163" s="21"/>
      <c r="LGT163" s="20"/>
      <c r="LGU163" s="20"/>
      <c r="LGV163" s="20"/>
      <c r="LGW163" s="21"/>
      <c r="LGX163" s="21"/>
      <c r="LGY163" s="21"/>
      <c r="LGZ163" s="21"/>
      <c r="LHA163" s="21"/>
      <c r="LHB163" s="20"/>
      <c r="LHC163" s="20"/>
      <c r="LHD163" s="20"/>
      <c r="LHE163" s="20"/>
      <c r="LHF163" s="21"/>
      <c r="LHG163" s="21"/>
      <c r="LHH163" s="7"/>
      <c r="LHI163" s="7"/>
      <c r="LHJ163" s="21"/>
      <c r="LHK163" s="20"/>
      <c r="LHL163" s="20"/>
      <c r="LHM163" s="20"/>
      <c r="LHN163" s="21"/>
      <c r="LHO163" s="21"/>
      <c r="LHP163" s="21"/>
      <c r="LHQ163" s="21"/>
      <c r="LHR163" s="21"/>
      <c r="LHS163" s="20"/>
      <c r="LHT163" s="20"/>
      <c r="LHU163" s="20"/>
      <c r="LHV163" s="20"/>
      <c r="LHW163" s="21"/>
      <c r="LHX163" s="21"/>
      <c r="LHY163" s="7"/>
      <c r="LHZ163" s="7"/>
      <c r="LIA163" s="21"/>
      <c r="LIB163" s="20"/>
      <c r="LIC163" s="20"/>
      <c r="LID163" s="20"/>
      <c r="LIE163" s="21"/>
      <c r="LIF163" s="21"/>
      <c r="LIG163" s="21"/>
      <c r="LIH163" s="21"/>
      <c r="LII163" s="21"/>
      <c r="LIJ163" s="20"/>
      <c r="LIK163" s="20"/>
      <c r="LIL163" s="20"/>
      <c r="LIM163" s="20"/>
      <c r="LIN163" s="21"/>
      <c r="LIO163" s="21"/>
      <c r="LIP163" s="7"/>
      <c r="LIQ163" s="7"/>
      <c r="LIR163" s="21"/>
      <c r="LIS163" s="20"/>
      <c r="LIT163" s="20"/>
      <c r="LIU163" s="20"/>
      <c r="LIV163" s="21"/>
      <c r="LIW163" s="21"/>
      <c r="LIX163" s="21"/>
      <c r="LIY163" s="21"/>
      <c r="LIZ163" s="21"/>
      <c r="LJA163" s="20"/>
      <c r="LJB163" s="20"/>
      <c r="LJC163" s="20"/>
      <c r="LJD163" s="20"/>
      <c r="LJE163" s="21"/>
      <c r="LJF163" s="21"/>
      <c r="LJG163" s="7"/>
      <c r="LJH163" s="7"/>
      <c r="LJI163" s="21"/>
      <c r="LJJ163" s="20"/>
      <c r="LJK163" s="20"/>
      <c r="LJL163" s="20"/>
      <c r="LJM163" s="21"/>
      <c r="LJN163" s="21"/>
      <c r="LJO163" s="21"/>
      <c r="LJP163" s="21"/>
      <c r="LJQ163" s="21"/>
      <c r="LJR163" s="20"/>
      <c r="LJS163" s="20"/>
      <c r="LJT163" s="20"/>
      <c r="LJU163" s="20"/>
      <c r="LJV163" s="21"/>
      <c r="LJW163" s="21"/>
      <c r="LJX163" s="7"/>
      <c r="LJY163" s="7"/>
      <c r="LJZ163" s="21"/>
      <c r="LKA163" s="20"/>
      <c r="LKB163" s="20"/>
      <c r="LKC163" s="20"/>
      <c r="LKD163" s="21"/>
      <c r="LKE163" s="21"/>
      <c r="LKF163" s="21"/>
      <c r="LKG163" s="21"/>
      <c r="LKH163" s="21"/>
      <c r="LKI163" s="20"/>
      <c r="LKJ163" s="20"/>
      <c r="LKK163" s="20"/>
      <c r="LKL163" s="20"/>
      <c r="LKM163" s="21"/>
      <c r="LKN163" s="21"/>
      <c r="LKO163" s="7"/>
      <c r="LKP163" s="7"/>
      <c r="LKQ163" s="21"/>
      <c r="LKR163" s="20"/>
      <c r="LKS163" s="20"/>
      <c r="LKT163" s="20"/>
      <c r="LKU163" s="21"/>
      <c r="LKV163" s="21"/>
      <c r="LKW163" s="21"/>
      <c r="LKX163" s="21"/>
      <c r="LKY163" s="21"/>
      <c r="LKZ163" s="20"/>
      <c r="LLA163" s="20"/>
      <c r="LLB163" s="20"/>
      <c r="LLC163" s="20"/>
      <c r="LLD163" s="21"/>
      <c r="LLE163" s="21"/>
      <c r="LLF163" s="7"/>
      <c r="LLG163" s="7"/>
      <c r="LLH163" s="21"/>
      <c r="LLI163" s="20"/>
      <c r="LLJ163" s="20"/>
      <c r="LLK163" s="20"/>
      <c r="LLL163" s="21"/>
      <c r="LLM163" s="21"/>
      <c r="LLN163" s="21"/>
      <c r="LLO163" s="21"/>
      <c r="LLP163" s="21"/>
      <c r="LLQ163" s="20"/>
      <c r="LLR163" s="20"/>
      <c r="LLS163" s="20"/>
      <c r="LLT163" s="20"/>
      <c r="LLU163" s="21"/>
      <c r="LLV163" s="21"/>
      <c r="LLW163" s="7"/>
      <c r="LLX163" s="7"/>
      <c r="LLY163" s="21"/>
      <c r="LLZ163" s="20"/>
      <c r="LMA163" s="20"/>
      <c r="LMB163" s="20"/>
      <c r="LMC163" s="21"/>
      <c r="LMD163" s="21"/>
      <c r="LME163" s="21"/>
      <c r="LMF163" s="21"/>
      <c r="LMG163" s="21"/>
      <c r="LMH163" s="20"/>
      <c r="LMI163" s="20"/>
      <c r="LMJ163" s="20"/>
      <c r="LMK163" s="20"/>
      <c r="LML163" s="21"/>
      <c r="LMM163" s="21"/>
      <c r="LMN163" s="7"/>
      <c r="LMO163" s="7"/>
      <c r="LMP163" s="21"/>
      <c r="LMQ163" s="20"/>
      <c r="LMR163" s="20"/>
      <c r="LMS163" s="20"/>
      <c r="LMT163" s="21"/>
      <c r="LMU163" s="21"/>
      <c r="LMV163" s="21"/>
      <c r="LMW163" s="21"/>
      <c r="LMX163" s="21"/>
      <c r="LMY163" s="20"/>
      <c r="LMZ163" s="20"/>
      <c r="LNA163" s="20"/>
      <c r="LNB163" s="20"/>
      <c r="LNC163" s="21"/>
      <c r="LND163" s="21"/>
      <c r="LNE163" s="7"/>
      <c r="LNF163" s="7"/>
      <c r="LNG163" s="21"/>
      <c r="LNH163" s="20"/>
      <c r="LNI163" s="20"/>
      <c r="LNJ163" s="20"/>
      <c r="LNK163" s="21"/>
      <c r="LNL163" s="21"/>
      <c r="LNM163" s="21"/>
      <c r="LNN163" s="21"/>
      <c r="LNO163" s="21"/>
      <c r="LNP163" s="20"/>
      <c r="LNQ163" s="20"/>
      <c r="LNR163" s="20"/>
      <c r="LNS163" s="20"/>
      <c r="LNT163" s="21"/>
      <c r="LNU163" s="21"/>
      <c r="LNV163" s="7"/>
      <c r="LNW163" s="7"/>
      <c r="LNX163" s="21"/>
      <c r="LNY163" s="20"/>
      <c r="LNZ163" s="20"/>
      <c r="LOA163" s="20"/>
      <c r="LOB163" s="21"/>
      <c r="LOC163" s="21"/>
      <c r="LOD163" s="21"/>
      <c r="LOE163" s="21"/>
      <c r="LOF163" s="21"/>
      <c r="LOG163" s="20"/>
      <c r="LOH163" s="20"/>
      <c r="LOI163" s="20"/>
      <c r="LOJ163" s="20"/>
      <c r="LOK163" s="21"/>
      <c r="LOL163" s="21"/>
      <c r="LOM163" s="7"/>
      <c r="LON163" s="7"/>
      <c r="LOO163" s="21"/>
      <c r="LOP163" s="20"/>
      <c r="LOQ163" s="20"/>
      <c r="LOR163" s="20"/>
      <c r="LOS163" s="21"/>
      <c r="LOT163" s="21"/>
      <c r="LOU163" s="21"/>
      <c r="LOV163" s="21"/>
      <c r="LOW163" s="21"/>
      <c r="LOX163" s="20"/>
      <c r="LOY163" s="20"/>
      <c r="LOZ163" s="20"/>
      <c r="LPA163" s="20"/>
      <c r="LPB163" s="21"/>
      <c r="LPC163" s="21"/>
      <c r="LPD163" s="7"/>
      <c r="LPE163" s="7"/>
      <c r="LPF163" s="21"/>
      <c r="LPG163" s="20"/>
      <c r="LPH163" s="20"/>
      <c r="LPI163" s="20"/>
      <c r="LPJ163" s="21"/>
      <c r="LPK163" s="21"/>
      <c r="LPL163" s="21"/>
      <c r="LPM163" s="21"/>
      <c r="LPN163" s="21"/>
      <c r="LPO163" s="20"/>
      <c r="LPP163" s="20"/>
      <c r="LPQ163" s="20"/>
      <c r="LPR163" s="20"/>
      <c r="LPS163" s="21"/>
      <c r="LPT163" s="21"/>
      <c r="LPU163" s="7"/>
      <c r="LPV163" s="7"/>
      <c r="LPW163" s="21"/>
      <c r="LPX163" s="20"/>
      <c r="LPY163" s="20"/>
      <c r="LPZ163" s="20"/>
      <c r="LQA163" s="21"/>
      <c r="LQB163" s="21"/>
      <c r="LQC163" s="21"/>
      <c r="LQD163" s="21"/>
      <c r="LQE163" s="21"/>
      <c r="LQF163" s="20"/>
      <c r="LQG163" s="20"/>
      <c r="LQH163" s="20"/>
      <c r="LQI163" s="20"/>
      <c r="LQJ163" s="21"/>
      <c r="LQK163" s="21"/>
      <c r="LQL163" s="7"/>
      <c r="LQM163" s="7"/>
      <c r="LQN163" s="21"/>
      <c r="LQO163" s="20"/>
      <c r="LQP163" s="20"/>
      <c r="LQQ163" s="20"/>
      <c r="LQR163" s="21"/>
      <c r="LQS163" s="21"/>
      <c r="LQT163" s="21"/>
      <c r="LQU163" s="21"/>
      <c r="LQV163" s="21"/>
      <c r="LQW163" s="20"/>
      <c r="LQX163" s="20"/>
      <c r="LQY163" s="20"/>
      <c r="LQZ163" s="20"/>
      <c r="LRA163" s="21"/>
      <c r="LRB163" s="21"/>
      <c r="LRC163" s="7"/>
      <c r="LRD163" s="7"/>
      <c r="LRE163" s="21"/>
      <c r="LRF163" s="20"/>
      <c r="LRG163" s="20"/>
      <c r="LRH163" s="20"/>
      <c r="LRI163" s="21"/>
      <c r="LRJ163" s="21"/>
      <c r="LRK163" s="21"/>
      <c r="LRL163" s="21"/>
      <c r="LRM163" s="21"/>
      <c r="LRN163" s="20"/>
      <c r="LRO163" s="20"/>
      <c r="LRP163" s="20"/>
      <c r="LRQ163" s="20"/>
      <c r="LRR163" s="21"/>
      <c r="LRS163" s="21"/>
      <c r="LRT163" s="7"/>
      <c r="LRU163" s="7"/>
      <c r="LRV163" s="21"/>
      <c r="LRW163" s="20"/>
      <c r="LRX163" s="20"/>
      <c r="LRY163" s="20"/>
      <c r="LRZ163" s="21"/>
      <c r="LSA163" s="21"/>
      <c r="LSB163" s="21"/>
      <c r="LSC163" s="21"/>
      <c r="LSD163" s="21"/>
      <c r="LSE163" s="20"/>
      <c r="LSF163" s="20"/>
      <c r="LSG163" s="20"/>
      <c r="LSH163" s="20"/>
      <c r="LSI163" s="21"/>
      <c r="LSJ163" s="21"/>
      <c r="LSK163" s="7"/>
      <c r="LSL163" s="7"/>
      <c r="LSM163" s="21"/>
      <c r="LSN163" s="20"/>
      <c r="LSO163" s="20"/>
      <c r="LSP163" s="20"/>
      <c r="LSQ163" s="21"/>
      <c r="LSR163" s="21"/>
      <c r="LSS163" s="21"/>
      <c r="LST163" s="21"/>
      <c r="LSU163" s="21"/>
      <c r="LSV163" s="20"/>
      <c r="LSW163" s="20"/>
      <c r="LSX163" s="20"/>
      <c r="LSY163" s="20"/>
      <c r="LSZ163" s="21"/>
      <c r="LTA163" s="21"/>
      <c r="LTB163" s="7"/>
      <c r="LTC163" s="7"/>
      <c r="LTD163" s="21"/>
      <c r="LTE163" s="20"/>
      <c r="LTF163" s="20"/>
      <c r="LTG163" s="20"/>
      <c r="LTH163" s="21"/>
      <c r="LTI163" s="21"/>
      <c r="LTJ163" s="21"/>
      <c r="LTK163" s="21"/>
      <c r="LTL163" s="21"/>
      <c r="LTM163" s="20"/>
      <c r="LTN163" s="20"/>
      <c r="LTO163" s="20"/>
      <c r="LTP163" s="20"/>
      <c r="LTQ163" s="21"/>
      <c r="LTR163" s="21"/>
      <c r="LTS163" s="7"/>
      <c r="LTT163" s="7"/>
      <c r="LTU163" s="21"/>
      <c r="LTV163" s="20"/>
      <c r="LTW163" s="20"/>
      <c r="LTX163" s="20"/>
      <c r="LTY163" s="21"/>
      <c r="LTZ163" s="21"/>
      <c r="LUA163" s="21"/>
      <c r="LUB163" s="21"/>
      <c r="LUC163" s="21"/>
      <c r="LUD163" s="20"/>
      <c r="LUE163" s="20"/>
      <c r="LUF163" s="20"/>
      <c r="LUG163" s="20"/>
      <c r="LUH163" s="21"/>
      <c r="LUI163" s="21"/>
      <c r="LUJ163" s="7"/>
      <c r="LUK163" s="7"/>
      <c r="LUL163" s="21"/>
      <c r="LUM163" s="20"/>
      <c r="LUN163" s="20"/>
      <c r="LUO163" s="20"/>
      <c r="LUP163" s="21"/>
      <c r="LUQ163" s="21"/>
      <c r="LUR163" s="21"/>
      <c r="LUS163" s="21"/>
      <c r="LUT163" s="21"/>
      <c r="LUU163" s="20"/>
      <c r="LUV163" s="20"/>
      <c r="LUW163" s="20"/>
      <c r="LUX163" s="20"/>
      <c r="LUY163" s="21"/>
      <c r="LUZ163" s="21"/>
      <c r="LVA163" s="7"/>
      <c r="LVB163" s="7"/>
      <c r="LVC163" s="21"/>
      <c r="LVD163" s="20"/>
      <c r="LVE163" s="20"/>
      <c r="LVF163" s="20"/>
      <c r="LVG163" s="21"/>
      <c r="LVH163" s="21"/>
      <c r="LVI163" s="21"/>
      <c r="LVJ163" s="21"/>
      <c r="LVK163" s="21"/>
      <c r="LVL163" s="20"/>
      <c r="LVM163" s="20"/>
      <c r="LVN163" s="20"/>
      <c r="LVO163" s="20"/>
      <c r="LVP163" s="21"/>
      <c r="LVQ163" s="21"/>
      <c r="LVR163" s="7"/>
      <c r="LVS163" s="7"/>
      <c r="LVT163" s="21"/>
      <c r="LVU163" s="20"/>
      <c r="LVV163" s="20"/>
      <c r="LVW163" s="20"/>
      <c r="LVX163" s="21"/>
      <c r="LVY163" s="21"/>
      <c r="LVZ163" s="21"/>
      <c r="LWA163" s="21"/>
      <c r="LWB163" s="21"/>
      <c r="LWC163" s="20"/>
      <c r="LWD163" s="20"/>
      <c r="LWE163" s="20"/>
      <c r="LWF163" s="20"/>
      <c r="LWG163" s="21"/>
      <c r="LWH163" s="21"/>
      <c r="LWI163" s="7"/>
      <c r="LWJ163" s="7"/>
      <c r="LWK163" s="21"/>
      <c r="LWL163" s="20"/>
      <c r="LWM163" s="20"/>
      <c r="LWN163" s="20"/>
      <c r="LWO163" s="21"/>
      <c r="LWP163" s="21"/>
      <c r="LWQ163" s="21"/>
      <c r="LWR163" s="21"/>
      <c r="LWS163" s="21"/>
      <c r="LWT163" s="20"/>
      <c r="LWU163" s="20"/>
      <c r="LWV163" s="20"/>
      <c r="LWW163" s="20"/>
      <c r="LWX163" s="21"/>
      <c r="LWY163" s="21"/>
      <c r="LWZ163" s="7"/>
      <c r="LXA163" s="7"/>
      <c r="LXB163" s="21"/>
      <c r="LXC163" s="20"/>
      <c r="LXD163" s="20"/>
      <c r="LXE163" s="20"/>
      <c r="LXF163" s="21"/>
      <c r="LXG163" s="21"/>
      <c r="LXH163" s="21"/>
      <c r="LXI163" s="21"/>
      <c r="LXJ163" s="21"/>
      <c r="LXK163" s="20"/>
      <c r="LXL163" s="20"/>
      <c r="LXM163" s="20"/>
      <c r="LXN163" s="20"/>
      <c r="LXO163" s="21"/>
      <c r="LXP163" s="21"/>
      <c r="LXQ163" s="7"/>
      <c r="LXR163" s="7"/>
      <c r="LXS163" s="21"/>
      <c r="LXT163" s="20"/>
      <c r="LXU163" s="20"/>
      <c r="LXV163" s="20"/>
      <c r="LXW163" s="21"/>
      <c r="LXX163" s="21"/>
      <c r="LXY163" s="21"/>
      <c r="LXZ163" s="21"/>
      <c r="LYA163" s="21"/>
      <c r="LYB163" s="20"/>
      <c r="LYC163" s="20"/>
      <c r="LYD163" s="20"/>
      <c r="LYE163" s="20"/>
      <c r="LYF163" s="21"/>
      <c r="LYG163" s="21"/>
      <c r="LYH163" s="7"/>
      <c r="LYI163" s="7"/>
      <c r="LYJ163" s="21"/>
      <c r="LYK163" s="20"/>
      <c r="LYL163" s="20"/>
      <c r="LYM163" s="20"/>
      <c r="LYN163" s="21"/>
      <c r="LYO163" s="21"/>
      <c r="LYP163" s="21"/>
      <c r="LYQ163" s="21"/>
      <c r="LYR163" s="21"/>
      <c r="LYS163" s="20"/>
      <c r="LYT163" s="20"/>
      <c r="LYU163" s="20"/>
      <c r="LYV163" s="20"/>
      <c r="LYW163" s="21"/>
      <c r="LYX163" s="21"/>
      <c r="LYY163" s="7"/>
      <c r="LYZ163" s="7"/>
      <c r="LZA163" s="21"/>
      <c r="LZB163" s="20"/>
      <c r="LZC163" s="20"/>
      <c r="LZD163" s="20"/>
      <c r="LZE163" s="21"/>
      <c r="LZF163" s="21"/>
      <c r="LZG163" s="21"/>
      <c r="LZH163" s="21"/>
      <c r="LZI163" s="21"/>
      <c r="LZJ163" s="20"/>
      <c r="LZK163" s="20"/>
      <c r="LZL163" s="20"/>
      <c r="LZM163" s="20"/>
      <c r="LZN163" s="21"/>
      <c r="LZO163" s="21"/>
      <c r="LZP163" s="7"/>
      <c r="LZQ163" s="7"/>
      <c r="LZR163" s="21"/>
      <c r="LZS163" s="20"/>
      <c r="LZT163" s="20"/>
      <c r="LZU163" s="20"/>
      <c r="LZV163" s="21"/>
      <c r="LZW163" s="21"/>
      <c r="LZX163" s="21"/>
      <c r="LZY163" s="21"/>
      <c r="LZZ163" s="21"/>
      <c r="MAA163" s="20"/>
      <c r="MAB163" s="20"/>
      <c r="MAC163" s="20"/>
      <c r="MAD163" s="20"/>
      <c r="MAE163" s="21"/>
      <c r="MAF163" s="21"/>
      <c r="MAG163" s="7"/>
      <c r="MAH163" s="7"/>
      <c r="MAI163" s="21"/>
      <c r="MAJ163" s="20"/>
      <c r="MAK163" s="20"/>
      <c r="MAL163" s="20"/>
      <c r="MAM163" s="21"/>
      <c r="MAN163" s="21"/>
      <c r="MAO163" s="21"/>
      <c r="MAP163" s="21"/>
      <c r="MAQ163" s="21"/>
      <c r="MAR163" s="20"/>
      <c r="MAS163" s="20"/>
      <c r="MAT163" s="20"/>
      <c r="MAU163" s="20"/>
      <c r="MAV163" s="21"/>
      <c r="MAW163" s="21"/>
      <c r="MAX163" s="7"/>
      <c r="MAY163" s="7"/>
      <c r="MAZ163" s="21"/>
      <c r="MBA163" s="20"/>
      <c r="MBB163" s="20"/>
      <c r="MBC163" s="20"/>
      <c r="MBD163" s="21"/>
      <c r="MBE163" s="21"/>
      <c r="MBF163" s="21"/>
      <c r="MBG163" s="21"/>
      <c r="MBH163" s="21"/>
      <c r="MBI163" s="20"/>
      <c r="MBJ163" s="20"/>
      <c r="MBK163" s="20"/>
      <c r="MBL163" s="20"/>
      <c r="MBM163" s="21"/>
      <c r="MBN163" s="21"/>
      <c r="MBO163" s="7"/>
      <c r="MBP163" s="7"/>
      <c r="MBQ163" s="21"/>
      <c r="MBR163" s="20"/>
      <c r="MBS163" s="20"/>
      <c r="MBT163" s="20"/>
      <c r="MBU163" s="21"/>
      <c r="MBV163" s="21"/>
      <c r="MBW163" s="21"/>
      <c r="MBX163" s="21"/>
      <c r="MBY163" s="21"/>
      <c r="MBZ163" s="20"/>
      <c r="MCA163" s="20"/>
      <c r="MCB163" s="20"/>
      <c r="MCC163" s="20"/>
      <c r="MCD163" s="21"/>
      <c r="MCE163" s="21"/>
      <c r="MCF163" s="7"/>
      <c r="MCG163" s="7"/>
      <c r="MCH163" s="21"/>
      <c r="MCI163" s="20"/>
      <c r="MCJ163" s="20"/>
      <c r="MCK163" s="20"/>
      <c r="MCL163" s="21"/>
      <c r="MCM163" s="21"/>
      <c r="MCN163" s="21"/>
      <c r="MCO163" s="21"/>
      <c r="MCP163" s="21"/>
      <c r="MCQ163" s="20"/>
      <c r="MCR163" s="20"/>
      <c r="MCS163" s="20"/>
      <c r="MCT163" s="20"/>
      <c r="MCU163" s="21"/>
      <c r="MCV163" s="21"/>
      <c r="MCW163" s="7"/>
      <c r="MCX163" s="7"/>
      <c r="MCY163" s="21"/>
      <c r="MCZ163" s="20"/>
      <c r="MDA163" s="20"/>
      <c r="MDB163" s="20"/>
      <c r="MDC163" s="21"/>
      <c r="MDD163" s="21"/>
      <c r="MDE163" s="21"/>
      <c r="MDF163" s="21"/>
      <c r="MDG163" s="21"/>
      <c r="MDH163" s="20"/>
      <c r="MDI163" s="20"/>
      <c r="MDJ163" s="20"/>
      <c r="MDK163" s="20"/>
      <c r="MDL163" s="21"/>
      <c r="MDM163" s="21"/>
      <c r="MDN163" s="7"/>
      <c r="MDO163" s="7"/>
      <c r="MDP163" s="21"/>
      <c r="MDQ163" s="20"/>
      <c r="MDR163" s="20"/>
      <c r="MDS163" s="20"/>
      <c r="MDT163" s="21"/>
      <c r="MDU163" s="21"/>
      <c r="MDV163" s="21"/>
      <c r="MDW163" s="21"/>
      <c r="MDX163" s="21"/>
      <c r="MDY163" s="20"/>
      <c r="MDZ163" s="20"/>
      <c r="MEA163" s="20"/>
      <c r="MEB163" s="20"/>
      <c r="MEC163" s="21"/>
      <c r="MED163" s="21"/>
      <c r="MEE163" s="7"/>
      <c r="MEF163" s="7"/>
      <c r="MEG163" s="21"/>
      <c r="MEH163" s="20"/>
      <c r="MEI163" s="20"/>
      <c r="MEJ163" s="20"/>
      <c r="MEK163" s="21"/>
      <c r="MEL163" s="21"/>
      <c r="MEM163" s="21"/>
      <c r="MEN163" s="21"/>
      <c r="MEO163" s="21"/>
      <c r="MEP163" s="20"/>
      <c r="MEQ163" s="20"/>
      <c r="MER163" s="20"/>
      <c r="MES163" s="20"/>
      <c r="MET163" s="21"/>
      <c r="MEU163" s="21"/>
      <c r="MEV163" s="7"/>
      <c r="MEW163" s="7"/>
      <c r="MEX163" s="21"/>
      <c r="MEY163" s="20"/>
      <c r="MEZ163" s="20"/>
      <c r="MFA163" s="20"/>
      <c r="MFB163" s="21"/>
      <c r="MFC163" s="21"/>
      <c r="MFD163" s="21"/>
      <c r="MFE163" s="21"/>
      <c r="MFF163" s="21"/>
      <c r="MFG163" s="20"/>
      <c r="MFH163" s="20"/>
      <c r="MFI163" s="20"/>
      <c r="MFJ163" s="20"/>
      <c r="MFK163" s="21"/>
      <c r="MFL163" s="21"/>
      <c r="MFM163" s="7"/>
      <c r="MFN163" s="7"/>
      <c r="MFO163" s="21"/>
      <c r="MFP163" s="20"/>
      <c r="MFQ163" s="20"/>
      <c r="MFR163" s="20"/>
      <c r="MFS163" s="21"/>
      <c r="MFT163" s="21"/>
      <c r="MFU163" s="21"/>
      <c r="MFV163" s="21"/>
      <c r="MFW163" s="21"/>
      <c r="MFX163" s="20"/>
      <c r="MFY163" s="20"/>
      <c r="MFZ163" s="20"/>
      <c r="MGA163" s="20"/>
      <c r="MGB163" s="21"/>
      <c r="MGC163" s="21"/>
      <c r="MGD163" s="7"/>
      <c r="MGE163" s="7"/>
      <c r="MGF163" s="21"/>
      <c r="MGG163" s="20"/>
      <c r="MGH163" s="20"/>
      <c r="MGI163" s="20"/>
      <c r="MGJ163" s="21"/>
      <c r="MGK163" s="21"/>
      <c r="MGL163" s="21"/>
      <c r="MGM163" s="21"/>
      <c r="MGN163" s="21"/>
      <c r="MGO163" s="20"/>
      <c r="MGP163" s="20"/>
      <c r="MGQ163" s="20"/>
      <c r="MGR163" s="20"/>
      <c r="MGS163" s="21"/>
      <c r="MGT163" s="21"/>
      <c r="MGU163" s="7"/>
      <c r="MGV163" s="7"/>
      <c r="MGW163" s="21"/>
      <c r="MGX163" s="20"/>
      <c r="MGY163" s="20"/>
      <c r="MGZ163" s="20"/>
      <c r="MHA163" s="21"/>
      <c r="MHB163" s="21"/>
      <c r="MHC163" s="21"/>
      <c r="MHD163" s="21"/>
      <c r="MHE163" s="21"/>
      <c r="MHF163" s="20"/>
      <c r="MHG163" s="20"/>
      <c r="MHH163" s="20"/>
      <c r="MHI163" s="20"/>
      <c r="MHJ163" s="21"/>
      <c r="MHK163" s="21"/>
      <c r="MHL163" s="7"/>
      <c r="MHM163" s="7"/>
      <c r="MHN163" s="21"/>
      <c r="MHO163" s="20"/>
      <c r="MHP163" s="20"/>
      <c r="MHQ163" s="20"/>
      <c r="MHR163" s="21"/>
      <c r="MHS163" s="21"/>
      <c r="MHT163" s="21"/>
      <c r="MHU163" s="21"/>
      <c r="MHV163" s="21"/>
      <c r="MHW163" s="20"/>
      <c r="MHX163" s="20"/>
      <c r="MHY163" s="20"/>
      <c r="MHZ163" s="20"/>
      <c r="MIA163" s="21"/>
      <c r="MIB163" s="21"/>
      <c r="MIC163" s="7"/>
      <c r="MID163" s="7"/>
      <c r="MIE163" s="21"/>
      <c r="MIF163" s="20"/>
      <c r="MIG163" s="20"/>
      <c r="MIH163" s="20"/>
      <c r="MII163" s="21"/>
      <c r="MIJ163" s="21"/>
      <c r="MIK163" s="21"/>
      <c r="MIL163" s="21"/>
      <c r="MIM163" s="21"/>
      <c r="MIN163" s="20"/>
      <c r="MIO163" s="20"/>
      <c r="MIP163" s="20"/>
      <c r="MIQ163" s="20"/>
      <c r="MIR163" s="21"/>
      <c r="MIS163" s="21"/>
      <c r="MIT163" s="7"/>
      <c r="MIU163" s="7"/>
      <c r="MIV163" s="21"/>
      <c r="MIW163" s="20"/>
      <c r="MIX163" s="20"/>
      <c r="MIY163" s="20"/>
      <c r="MIZ163" s="21"/>
      <c r="MJA163" s="21"/>
      <c r="MJB163" s="21"/>
      <c r="MJC163" s="21"/>
      <c r="MJD163" s="21"/>
      <c r="MJE163" s="20"/>
      <c r="MJF163" s="20"/>
      <c r="MJG163" s="20"/>
      <c r="MJH163" s="20"/>
      <c r="MJI163" s="21"/>
      <c r="MJJ163" s="21"/>
      <c r="MJK163" s="7"/>
      <c r="MJL163" s="7"/>
      <c r="MJM163" s="21"/>
      <c r="MJN163" s="20"/>
      <c r="MJO163" s="20"/>
      <c r="MJP163" s="20"/>
      <c r="MJQ163" s="21"/>
      <c r="MJR163" s="21"/>
      <c r="MJS163" s="21"/>
      <c r="MJT163" s="21"/>
      <c r="MJU163" s="21"/>
      <c r="MJV163" s="20"/>
      <c r="MJW163" s="20"/>
      <c r="MJX163" s="20"/>
      <c r="MJY163" s="20"/>
      <c r="MJZ163" s="21"/>
      <c r="MKA163" s="21"/>
      <c r="MKB163" s="7"/>
      <c r="MKC163" s="7"/>
      <c r="MKD163" s="21"/>
      <c r="MKE163" s="20"/>
      <c r="MKF163" s="20"/>
      <c r="MKG163" s="20"/>
      <c r="MKH163" s="21"/>
      <c r="MKI163" s="21"/>
      <c r="MKJ163" s="21"/>
      <c r="MKK163" s="21"/>
      <c r="MKL163" s="21"/>
      <c r="MKM163" s="20"/>
      <c r="MKN163" s="20"/>
      <c r="MKO163" s="20"/>
      <c r="MKP163" s="20"/>
      <c r="MKQ163" s="21"/>
      <c r="MKR163" s="21"/>
      <c r="MKS163" s="7"/>
      <c r="MKT163" s="7"/>
      <c r="MKU163" s="21"/>
      <c r="MKV163" s="20"/>
      <c r="MKW163" s="20"/>
      <c r="MKX163" s="20"/>
      <c r="MKY163" s="21"/>
      <c r="MKZ163" s="21"/>
      <c r="MLA163" s="21"/>
      <c r="MLB163" s="21"/>
      <c r="MLC163" s="21"/>
      <c r="MLD163" s="20"/>
      <c r="MLE163" s="20"/>
      <c r="MLF163" s="20"/>
      <c r="MLG163" s="20"/>
      <c r="MLH163" s="21"/>
      <c r="MLI163" s="21"/>
      <c r="MLJ163" s="7"/>
      <c r="MLK163" s="7"/>
      <c r="MLL163" s="21"/>
      <c r="MLM163" s="20"/>
      <c r="MLN163" s="20"/>
      <c r="MLO163" s="20"/>
      <c r="MLP163" s="21"/>
      <c r="MLQ163" s="21"/>
      <c r="MLR163" s="21"/>
      <c r="MLS163" s="21"/>
      <c r="MLT163" s="21"/>
      <c r="MLU163" s="20"/>
      <c r="MLV163" s="20"/>
      <c r="MLW163" s="20"/>
      <c r="MLX163" s="20"/>
      <c r="MLY163" s="21"/>
      <c r="MLZ163" s="21"/>
      <c r="MMA163" s="7"/>
      <c r="MMB163" s="7"/>
      <c r="MMC163" s="21"/>
      <c r="MMD163" s="20"/>
      <c r="MME163" s="20"/>
      <c r="MMF163" s="20"/>
      <c r="MMG163" s="21"/>
      <c r="MMH163" s="21"/>
      <c r="MMI163" s="21"/>
      <c r="MMJ163" s="21"/>
      <c r="MMK163" s="21"/>
      <c r="MML163" s="20"/>
      <c r="MMM163" s="20"/>
      <c r="MMN163" s="20"/>
      <c r="MMO163" s="20"/>
      <c r="MMP163" s="21"/>
      <c r="MMQ163" s="21"/>
      <c r="MMR163" s="7"/>
      <c r="MMS163" s="7"/>
      <c r="MMT163" s="21"/>
      <c r="MMU163" s="20"/>
      <c r="MMV163" s="20"/>
      <c r="MMW163" s="20"/>
      <c r="MMX163" s="21"/>
      <c r="MMY163" s="21"/>
      <c r="MMZ163" s="21"/>
      <c r="MNA163" s="21"/>
      <c r="MNB163" s="21"/>
      <c r="MNC163" s="20"/>
      <c r="MND163" s="20"/>
      <c r="MNE163" s="20"/>
      <c r="MNF163" s="20"/>
      <c r="MNG163" s="21"/>
      <c r="MNH163" s="21"/>
      <c r="MNI163" s="7"/>
      <c r="MNJ163" s="7"/>
      <c r="MNK163" s="21"/>
      <c r="MNL163" s="20"/>
      <c r="MNM163" s="20"/>
      <c r="MNN163" s="20"/>
      <c r="MNO163" s="21"/>
      <c r="MNP163" s="21"/>
      <c r="MNQ163" s="21"/>
      <c r="MNR163" s="21"/>
      <c r="MNS163" s="21"/>
      <c r="MNT163" s="20"/>
      <c r="MNU163" s="20"/>
      <c r="MNV163" s="20"/>
      <c r="MNW163" s="20"/>
      <c r="MNX163" s="21"/>
      <c r="MNY163" s="21"/>
      <c r="MNZ163" s="7"/>
      <c r="MOA163" s="7"/>
      <c r="MOB163" s="21"/>
      <c r="MOC163" s="20"/>
      <c r="MOD163" s="20"/>
      <c r="MOE163" s="20"/>
      <c r="MOF163" s="21"/>
      <c r="MOG163" s="21"/>
      <c r="MOH163" s="21"/>
      <c r="MOI163" s="21"/>
      <c r="MOJ163" s="21"/>
      <c r="MOK163" s="20"/>
      <c r="MOL163" s="20"/>
      <c r="MOM163" s="20"/>
      <c r="MON163" s="20"/>
      <c r="MOO163" s="21"/>
      <c r="MOP163" s="21"/>
      <c r="MOQ163" s="7"/>
      <c r="MOR163" s="7"/>
      <c r="MOS163" s="21"/>
      <c r="MOT163" s="20"/>
      <c r="MOU163" s="20"/>
      <c r="MOV163" s="20"/>
      <c r="MOW163" s="21"/>
      <c r="MOX163" s="21"/>
      <c r="MOY163" s="21"/>
      <c r="MOZ163" s="21"/>
      <c r="MPA163" s="21"/>
      <c r="MPB163" s="20"/>
      <c r="MPC163" s="20"/>
      <c r="MPD163" s="20"/>
      <c r="MPE163" s="20"/>
      <c r="MPF163" s="21"/>
      <c r="MPG163" s="21"/>
      <c r="MPH163" s="7"/>
      <c r="MPI163" s="7"/>
      <c r="MPJ163" s="21"/>
      <c r="MPK163" s="20"/>
      <c r="MPL163" s="20"/>
      <c r="MPM163" s="20"/>
      <c r="MPN163" s="21"/>
      <c r="MPO163" s="21"/>
      <c r="MPP163" s="21"/>
      <c r="MPQ163" s="21"/>
      <c r="MPR163" s="21"/>
      <c r="MPS163" s="20"/>
      <c r="MPT163" s="20"/>
      <c r="MPU163" s="20"/>
      <c r="MPV163" s="20"/>
      <c r="MPW163" s="21"/>
      <c r="MPX163" s="21"/>
      <c r="MPY163" s="7"/>
      <c r="MPZ163" s="7"/>
      <c r="MQA163" s="21"/>
      <c r="MQB163" s="20"/>
      <c r="MQC163" s="20"/>
      <c r="MQD163" s="20"/>
      <c r="MQE163" s="21"/>
      <c r="MQF163" s="21"/>
      <c r="MQG163" s="21"/>
      <c r="MQH163" s="21"/>
      <c r="MQI163" s="21"/>
      <c r="MQJ163" s="20"/>
      <c r="MQK163" s="20"/>
      <c r="MQL163" s="20"/>
      <c r="MQM163" s="20"/>
      <c r="MQN163" s="21"/>
      <c r="MQO163" s="21"/>
      <c r="MQP163" s="7"/>
      <c r="MQQ163" s="7"/>
      <c r="MQR163" s="21"/>
      <c r="MQS163" s="20"/>
      <c r="MQT163" s="20"/>
      <c r="MQU163" s="20"/>
      <c r="MQV163" s="21"/>
      <c r="MQW163" s="21"/>
      <c r="MQX163" s="21"/>
      <c r="MQY163" s="21"/>
      <c r="MQZ163" s="21"/>
      <c r="MRA163" s="20"/>
      <c r="MRB163" s="20"/>
      <c r="MRC163" s="20"/>
      <c r="MRD163" s="20"/>
      <c r="MRE163" s="21"/>
      <c r="MRF163" s="21"/>
      <c r="MRG163" s="7"/>
      <c r="MRH163" s="7"/>
      <c r="MRI163" s="21"/>
      <c r="MRJ163" s="20"/>
      <c r="MRK163" s="20"/>
      <c r="MRL163" s="20"/>
      <c r="MRM163" s="21"/>
      <c r="MRN163" s="21"/>
      <c r="MRO163" s="21"/>
      <c r="MRP163" s="21"/>
      <c r="MRQ163" s="21"/>
      <c r="MRR163" s="20"/>
      <c r="MRS163" s="20"/>
      <c r="MRT163" s="20"/>
      <c r="MRU163" s="20"/>
      <c r="MRV163" s="21"/>
      <c r="MRW163" s="21"/>
      <c r="MRX163" s="7"/>
      <c r="MRY163" s="7"/>
      <c r="MRZ163" s="21"/>
      <c r="MSA163" s="20"/>
      <c r="MSB163" s="20"/>
      <c r="MSC163" s="20"/>
      <c r="MSD163" s="21"/>
      <c r="MSE163" s="21"/>
      <c r="MSF163" s="21"/>
      <c r="MSG163" s="21"/>
      <c r="MSH163" s="21"/>
      <c r="MSI163" s="20"/>
      <c r="MSJ163" s="20"/>
      <c r="MSK163" s="20"/>
      <c r="MSL163" s="20"/>
      <c r="MSM163" s="21"/>
      <c r="MSN163" s="21"/>
      <c r="MSO163" s="7"/>
      <c r="MSP163" s="7"/>
      <c r="MSQ163" s="21"/>
      <c r="MSR163" s="20"/>
      <c r="MSS163" s="20"/>
      <c r="MST163" s="20"/>
      <c r="MSU163" s="21"/>
      <c r="MSV163" s="21"/>
      <c r="MSW163" s="21"/>
      <c r="MSX163" s="21"/>
      <c r="MSY163" s="21"/>
      <c r="MSZ163" s="20"/>
      <c r="MTA163" s="20"/>
      <c r="MTB163" s="20"/>
      <c r="MTC163" s="20"/>
      <c r="MTD163" s="21"/>
      <c r="MTE163" s="21"/>
      <c r="MTF163" s="7"/>
      <c r="MTG163" s="7"/>
      <c r="MTH163" s="21"/>
      <c r="MTI163" s="20"/>
      <c r="MTJ163" s="20"/>
      <c r="MTK163" s="20"/>
      <c r="MTL163" s="21"/>
      <c r="MTM163" s="21"/>
      <c r="MTN163" s="21"/>
      <c r="MTO163" s="21"/>
      <c r="MTP163" s="21"/>
      <c r="MTQ163" s="20"/>
      <c r="MTR163" s="20"/>
      <c r="MTS163" s="20"/>
      <c r="MTT163" s="20"/>
      <c r="MTU163" s="21"/>
      <c r="MTV163" s="21"/>
      <c r="MTW163" s="7"/>
      <c r="MTX163" s="7"/>
      <c r="MTY163" s="21"/>
      <c r="MTZ163" s="20"/>
      <c r="MUA163" s="20"/>
      <c r="MUB163" s="20"/>
      <c r="MUC163" s="21"/>
      <c r="MUD163" s="21"/>
      <c r="MUE163" s="21"/>
      <c r="MUF163" s="21"/>
      <c r="MUG163" s="21"/>
      <c r="MUH163" s="20"/>
      <c r="MUI163" s="20"/>
      <c r="MUJ163" s="20"/>
      <c r="MUK163" s="20"/>
      <c r="MUL163" s="21"/>
      <c r="MUM163" s="21"/>
      <c r="MUN163" s="7"/>
      <c r="MUO163" s="7"/>
      <c r="MUP163" s="21"/>
      <c r="MUQ163" s="20"/>
      <c r="MUR163" s="20"/>
      <c r="MUS163" s="20"/>
      <c r="MUT163" s="21"/>
      <c r="MUU163" s="21"/>
      <c r="MUV163" s="21"/>
      <c r="MUW163" s="21"/>
      <c r="MUX163" s="21"/>
      <c r="MUY163" s="20"/>
      <c r="MUZ163" s="20"/>
      <c r="MVA163" s="20"/>
      <c r="MVB163" s="20"/>
      <c r="MVC163" s="21"/>
      <c r="MVD163" s="21"/>
      <c r="MVE163" s="7"/>
      <c r="MVF163" s="7"/>
      <c r="MVG163" s="21"/>
      <c r="MVH163" s="20"/>
      <c r="MVI163" s="20"/>
      <c r="MVJ163" s="20"/>
      <c r="MVK163" s="21"/>
      <c r="MVL163" s="21"/>
      <c r="MVM163" s="21"/>
      <c r="MVN163" s="21"/>
      <c r="MVO163" s="21"/>
      <c r="MVP163" s="20"/>
      <c r="MVQ163" s="20"/>
      <c r="MVR163" s="20"/>
      <c r="MVS163" s="20"/>
      <c r="MVT163" s="21"/>
      <c r="MVU163" s="21"/>
      <c r="MVV163" s="7"/>
      <c r="MVW163" s="7"/>
      <c r="MVX163" s="21"/>
      <c r="MVY163" s="20"/>
      <c r="MVZ163" s="20"/>
      <c r="MWA163" s="20"/>
      <c r="MWB163" s="21"/>
      <c r="MWC163" s="21"/>
      <c r="MWD163" s="21"/>
      <c r="MWE163" s="21"/>
      <c r="MWF163" s="21"/>
      <c r="MWG163" s="20"/>
      <c r="MWH163" s="20"/>
      <c r="MWI163" s="20"/>
      <c r="MWJ163" s="20"/>
      <c r="MWK163" s="21"/>
      <c r="MWL163" s="21"/>
      <c r="MWM163" s="7"/>
      <c r="MWN163" s="7"/>
      <c r="MWO163" s="21"/>
      <c r="MWP163" s="20"/>
      <c r="MWQ163" s="20"/>
      <c r="MWR163" s="20"/>
      <c r="MWS163" s="21"/>
      <c r="MWT163" s="21"/>
      <c r="MWU163" s="21"/>
      <c r="MWV163" s="21"/>
      <c r="MWW163" s="21"/>
      <c r="MWX163" s="20"/>
      <c r="MWY163" s="20"/>
      <c r="MWZ163" s="20"/>
      <c r="MXA163" s="20"/>
      <c r="MXB163" s="21"/>
      <c r="MXC163" s="21"/>
      <c r="MXD163" s="7"/>
      <c r="MXE163" s="7"/>
      <c r="MXF163" s="21"/>
      <c r="MXG163" s="20"/>
      <c r="MXH163" s="20"/>
      <c r="MXI163" s="20"/>
      <c r="MXJ163" s="21"/>
      <c r="MXK163" s="21"/>
      <c r="MXL163" s="21"/>
      <c r="MXM163" s="21"/>
      <c r="MXN163" s="21"/>
      <c r="MXO163" s="20"/>
      <c r="MXP163" s="20"/>
      <c r="MXQ163" s="20"/>
      <c r="MXR163" s="20"/>
      <c r="MXS163" s="21"/>
      <c r="MXT163" s="21"/>
      <c r="MXU163" s="7"/>
      <c r="MXV163" s="7"/>
      <c r="MXW163" s="21"/>
      <c r="MXX163" s="20"/>
      <c r="MXY163" s="20"/>
      <c r="MXZ163" s="20"/>
      <c r="MYA163" s="21"/>
      <c r="MYB163" s="21"/>
      <c r="MYC163" s="21"/>
      <c r="MYD163" s="21"/>
      <c r="MYE163" s="21"/>
      <c r="MYF163" s="20"/>
      <c r="MYG163" s="20"/>
      <c r="MYH163" s="20"/>
      <c r="MYI163" s="20"/>
      <c r="MYJ163" s="21"/>
      <c r="MYK163" s="21"/>
      <c r="MYL163" s="7"/>
      <c r="MYM163" s="7"/>
      <c r="MYN163" s="21"/>
      <c r="MYO163" s="20"/>
      <c r="MYP163" s="20"/>
      <c r="MYQ163" s="20"/>
      <c r="MYR163" s="21"/>
      <c r="MYS163" s="21"/>
      <c r="MYT163" s="21"/>
      <c r="MYU163" s="21"/>
      <c r="MYV163" s="21"/>
      <c r="MYW163" s="20"/>
      <c r="MYX163" s="20"/>
      <c r="MYY163" s="20"/>
      <c r="MYZ163" s="20"/>
      <c r="MZA163" s="21"/>
      <c r="MZB163" s="21"/>
      <c r="MZC163" s="7"/>
      <c r="MZD163" s="7"/>
      <c r="MZE163" s="21"/>
      <c r="MZF163" s="20"/>
      <c r="MZG163" s="20"/>
      <c r="MZH163" s="20"/>
      <c r="MZI163" s="21"/>
      <c r="MZJ163" s="21"/>
      <c r="MZK163" s="21"/>
      <c r="MZL163" s="21"/>
      <c r="MZM163" s="21"/>
      <c r="MZN163" s="20"/>
      <c r="MZO163" s="20"/>
      <c r="MZP163" s="20"/>
      <c r="MZQ163" s="20"/>
      <c r="MZR163" s="21"/>
      <c r="MZS163" s="21"/>
      <c r="MZT163" s="7"/>
      <c r="MZU163" s="7"/>
      <c r="MZV163" s="21"/>
      <c r="MZW163" s="20"/>
      <c r="MZX163" s="20"/>
      <c r="MZY163" s="20"/>
      <c r="MZZ163" s="21"/>
      <c r="NAA163" s="21"/>
      <c r="NAB163" s="21"/>
      <c r="NAC163" s="21"/>
      <c r="NAD163" s="21"/>
      <c r="NAE163" s="20"/>
      <c r="NAF163" s="20"/>
      <c r="NAG163" s="20"/>
      <c r="NAH163" s="20"/>
      <c r="NAI163" s="21"/>
      <c r="NAJ163" s="21"/>
      <c r="NAK163" s="7"/>
      <c r="NAL163" s="7"/>
      <c r="NAM163" s="21"/>
      <c r="NAN163" s="20"/>
      <c r="NAO163" s="20"/>
      <c r="NAP163" s="20"/>
      <c r="NAQ163" s="21"/>
      <c r="NAR163" s="21"/>
      <c r="NAS163" s="21"/>
      <c r="NAT163" s="21"/>
      <c r="NAU163" s="21"/>
      <c r="NAV163" s="20"/>
      <c r="NAW163" s="20"/>
      <c r="NAX163" s="20"/>
      <c r="NAY163" s="20"/>
      <c r="NAZ163" s="21"/>
      <c r="NBA163" s="21"/>
      <c r="NBB163" s="7"/>
      <c r="NBC163" s="7"/>
      <c r="NBD163" s="21"/>
      <c r="NBE163" s="20"/>
      <c r="NBF163" s="20"/>
      <c r="NBG163" s="20"/>
      <c r="NBH163" s="21"/>
      <c r="NBI163" s="21"/>
      <c r="NBJ163" s="21"/>
      <c r="NBK163" s="21"/>
      <c r="NBL163" s="21"/>
      <c r="NBM163" s="20"/>
      <c r="NBN163" s="20"/>
      <c r="NBO163" s="20"/>
      <c r="NBP163" s="20"/>
      <c r="NBQ163" s="21"/>
      <c r="NBR163" s="21"/>
      <c r="NBS163" s="7"/>
      <c r="NBT163" s="7"/>
      <c r="NBU163" s="21"/>
      <c r="NBV163" s="20"/>
      <c r="NBW163" s="20"/>
      <c r="NBX163" s="20"/>
      <c r="NBY163" s="21"/>
      <c r="NBZ163" s="21"/>
      <c r="NCA163" s="21"/>
      <c r="NCB163" s="21"/>
      <c r="NCC163" s="21"/>
      <c r="NCD163" s="20"/>
      <c r="NCE163" s="20"/>
      <c r="NCF163" s="20"/>
      <c r="NCG163" s="20"/>
      <c r="NCH163" s="21"/>
      <c r="NCI163" s="21"/>
      <c r="NCJ163" s="7"/>
      <c r="NCK163" s="7"/>
      <c r="NCL163" s="21"/>
      <c r="NCM163" s="20"/>
      <c r="NCN163" s="20"/>
      <c r="NCO163" s="20"/>
      <c r="NCP163" s="21"/>
      <c r="NCQ163" s="21"/>
      <c r="NCR163" s="21"/>
      <c r="NCS163" s="21"/>
      <c r="NCT163" s="21"/>
      <c r="NCU163" s="20"/>
      <c r="NCV163" s="20"/>
      <c r="NCW163" s="20"/>
      <c r="NCX163" s="20"/>
      <c r="NCY163" s="21"/>
      <c r="NCZ163" s="21"/>
      <c r="NDA163" s="7"/>
      <c r="NDB163" s="7"/>
      <c r="NDC163" s="21"/>
      <c r="NDD163" s="20"/>
      <c r="NDE163" s="20"/>
      <c r="NDF163" s="20"/>
      <c r="NDG163" s="21"/>
      <c r="NDH163" s="21"/>
      <c r="NDI163" s="21"/>
      <c r="NDJ163" s="21"/>
      <c r="NDK163" s="21"/>
      <c r="NDL163" s="20"/>
      <c r="NDM163" s="20"/>
      <c r="NDN163" s="20"/>
      <c r="NDO163" s="20"/>
      <c r="NDP163" s="21"/>
      <c r="NDQ163" s="21"/>
      <c r="NDR163" s="7"/>
      <c r="NDS163" s="7"/>
      <c r="NDT163" s="21"/>
      <c r="NDU163" s="20"/>
      <c r="NDV163" s="20"/>
      <c r="NDW163" s="20"/>
      <c r="NDX163" s="21"/>
      <c r="NDY163" s="21"/>
      <c r="NDZ163" s="21"/>
      <c r="NEA163" s="21"/>
      <c r="NEB163" s="21"/>
      <c r="NEC163" s="20"/>
      <c r="NED163" s="20"/>
      <c r="NEE163" s="20"/>
      <c r="NEF163" s="20"/>
      <c r="NEG163" s="21"/>
      <c r="NEH163" s="21"/>
      <c r="NEI163" s="7"/>
      <c r="NEJ163" s="7"/>
      <c r="NEK163" s="21"/>
      <c r="NEL163" s="20"/>
      <c r="NEM163" s="20"/>
      <c r="NEN163" s="20"/>
      <c r="NEO163" s="21"/>
      <c r="NEP163" s="21"/>
      <c r="NEQ163" s="21"/>
      <c r="NER163" s="21"/>
      <c r="NES163" s="21"/>
      <c r="NET163" s="20"/>
      <c r="NEU163" s="20"/>
      <c r="NEV163" s="20"/>
      <c r="NEW163" s="20"/>
      <c r="NEX163" s="21"/>
      <c r="NEY163" s="21"/>
      <c r="NEZ163" s="7"/>
      <c r="NFA163" s="7"/>
      <c r="NFB163" s="21"/>
      <c r="NFC163" s="20"/>
      <c r="NFD163" s="20"/>
      <c r="NFE163" s="20"/>
      <c r="NFF163" s="21"/>
      <c r="NFG163" s="21"/>
      <c r="NFH163" s="21"/>
      <c r="NFI163" s="21"/>
      <c r="NFJ163" s="21"/>
      <c r="NFK163" s="20"/>
      <c r="NFL163" s="20"/>
      <c r="NFM163" s="20"/>
      <c r="NFN163" s="20"/>
      <c r="NFO163" s="21"/>
      <c r="NFP163" s="21"/>
      <c r="NFQ163" s="7"/>
      <c r="NFR163" s="7"/>
      <c r="NFS163" s="21"/>
      <c r="NFT163" s="20"/>
      <c r="NFU163" s="20"/>
      <c r="NFV163" s="20"/>
      <c r="NFW163" s="21"/>
      <c r="NFX163" s="21"/>
      <c r="NFY163" s="21"/>
      <c r="NFZ163" s="21"/>
      <c r="NGA163" s="21"/>
      <c r="NGB163" s="20"/>
      <c r="NGC163" s="20"/>
      <c r="NGD163" s="20"/>
      <c r="NGE163" s="20"/>
      <c r="NGF163" s="21"/>
      <c r="NGG163" s="21"/>
      <c r="NGH163" s="7"/>
      <c r="NGI163" s="7"/>
      <c r="NGJ163" s="21"/>
      <c r="NGK163" s="20"/>
      <c r="NGL163" s="20"/>
      <c r="NGM163" s="20"/>
      <c r="NGN163" s="21"/>
      <c r="NGO163" s="21"/>
      <c r="NGP163" s="21"/>
      <c r="NGQ163" s="21"/>
      <c r="NGR163" s="21"/>
      <c r="NGS163" s="20"/>
      <c r="NGT163" s="20"/>
      <c r="NGU163" s="20"/>
      <c r="NGV163" s="20"/>
      <c r="NGW163" s="21"/>
      <c r="NGX163" s="21"/>
      <c r="NGY163" s="7"/>
      <c r="NGZ163" s="7"/>
      <c r="NHA163" s="21"/>
      <c r="NHB163" s="20"/>
      <c r="NHC163" s="20"/>
      <c r="NHD163" s="20"/>
      <c r="NHE163" s="21"/>
      <c r="NHF163" s="21"/>
      <c r="NHG163" s="21"/>
      <c r="NHH163" s="21"/>
      <c r="NHI163" s="21"/>
      <c r="NHJ163" s="20"/>
      <c r="NHK163" s="20"/>
      <c r="NHL163" s="20"/>
      <c r="NHM163" s="20"/>
      <c r="NHN163" s="21"/>
      <c r="NHO163" s="21"/>
      <c r="NHP163" s="7"/>
      <c r="NHQ163" s="7"/>
      <c r="NHR163" s="21"/>
      <c r="NHS163" s="20"/>
      <c r="NHT163" s="20"/>
      <c r="NHU163" s="20"/>
      <c r="NHV163" s="21"/>
      <c r="NHW163" s="21"/>
      <c r="NHX163" s="21"/>
      <c r="NHY163" s="21"/>
      <c r="NHZ163" s="21"/>
      <c r="NIA163" s="20"/>
      <c r="NIB163" s="20"/>
      <c r="NIC163" s="20"/>
      <c r="NID163" s="20"/>
      <c r="NIE163" s="21"/>
      <c r="NIF163" s="21"/>
      <c r="NIG163" s="7"/>
      <c r="NIH163" s="7"/>
      <c r="NII163" s="21"/>
      <c r="NIJ163" s="20"/>
      <c r="NIK163" s="20"/>
      <c r="NIL163" s="20"/>
      <c r="NIM163" s="21"/>
      <c r="NIN163" s="21"/>
      <c r="NIO163" s="21"/>
      <c r="NIP163" s="21"/>
      <c r="NIQ163" s="21"/>
      <c r="NIR163" s="20"/>
      <c r="NIS163" s="20"/>
      <c r="NIT163" s="20"/>
      <c r="NIU163" s="20"/>
      <c r="NIV163" s="21"/>
      <c r="NIW163" s="21"/>
      <c r="NIX163" s="7"/>
      <c r="NIY163" s="7"/>
      <c r="NIZ163" s="21"/>
      <c r="NJA163" s="20"/>
      <c r="NJB163" s="20"/>
      <c r="NJC163" s="20"/>
      <c r="NJD163" s="21"/>
      <c r="NJE163" s="21"/>
      <c r="NJF163" s="21"/>
      <c r="NJG163" s="21"/>
      <c r="NJH163" s="21"/>
      <c r="NJI163" s="20"/>
      <c r="NJJ163" s="20"/>
      <c r="NJK163" s="20"/>
      <c r="NJL163" s="20"/>
      <c r="NJM163" s="21"/>
      <c r="NJN163" s="21"/>
      <c r="NJO163" s="7"/>
      <c r="NJP163" s="7"/>
      <c r="NJQ163" s="21"/>
      <c r="NJR163" s="20"/>
      <c r="NJS163" s="20"/>
      <c r="NJT163" s="20"/>
      <c r="NJU163" s="21"/>
      <c r="NJV163" s="21"/>
      <c r="NJW163" s="21"/>
      <c r="NJX163" s="21"/>
      <c r="NJY163" s="21"/>
      <c r="NJZ163" s="20"/>
      <c r="NKA163" s="20"/>
      <c r="NKB163" s="20"/>
      <c r="NKC163" s="20"/>
      <c r="NKD163" s="21"/>
      <c r="NKE163" s="21"/>
      <c r="NKF163" s="7"/>
      <c r="NKG163" s="7"/>
      <c r="NKH163" s="21"/>
      <c r="NKI163" s="20"/>
      <c r="NKJ163" s="20"/>
      <c r="NKK163" s="20"/>
      <c r="NKL163" s="21"/>
      <c r="NKM163" s="21"/>
      <c r="NKN163" s="21"/>
      <c r="NKO163" s="21"/>
      <c r="NKP163" s="21"/>
      <c r="NKQ163" s="20"/>
      <c r="NKR163" s="20"/>
      <c r="NKS163" s="20"/>
      <c r="NKT163" s="20"/>
      <c r="NKU163" s="21"/>
      <c r="NKV163" s="21"/>
      <c r="NKW163" s="7"/>
      <c r="NKX163" s="7"/>
      <c r="NKY163" s="21"/>
      <c r="NKZ163" s="20"/>
      <c r="NLA163" s="20"/>
      <c r="NLB163" s="20"/>
      <c r="NLC163" s="21"/>
      <c r="NLD163" s="21"/>
      <c r="NLE163" s="21"/>
      <c r="NLF163" s="21"/>
      <c r="NLG163" s="21"/>
      <c r="NLH163" s="20"/>
      <c r="NLI163" s="20"/>
      <c r="NLJ163" s="20"/>
      <c r="NLK163" s="20"/>
      <c r="NLL163" s="21"/>
      <c r="NLM163" s="21"/>
      <c r="NLN163" s="7"/>
      <c r="NLO163" s="7"/>
      <c r="NLP163" s="21"/>
      <c r="NLQ163" s="20"/>
      <c r="NLR163" s="20"/>
      <c r="NLS163" s="20"/>
      <c r="NLT163" s="21"/>
      <c r="NLU163" s="21"/>
      <c r="NLV163" s="21"/>
      <c r="NLW163" s="21"/>
      <c r="NLX163" s="21"/>
      <c r="NLY163" s="20"/>
      <c r="NLZ163" s="20"/>
      <c r="NMA163" s="20"/>
      <c r="NMB163" s="20"/>
      <c r="NMC163" s="21"/>
      <c r="NMD163" s="21"/>
      <c r="NME163" s="7"/>
      <c r="NMF163" s="7"/>
      <c r="NMG163" s="21"/>
      <c r="NMH163" s="20"/>
      <c r="NMI163" s="20"/>
      <c r="NMJ163" s="20"/>
      <c r="NMK163" s="21"/>
      <c r="NML163" s="21"/>
      <c r="NMM163" s="21"/>
      <c r="NMN163" s="21"/>
      <c r="NMO163" s="21"/>
      <c r="NMP163" s="20"/>
      <c r="NMQ163" s="20"/>
      <c r="NMR163" s="20"/>
      <c r="NMS163" s="20"/>
      <c r="NMT163" s="21"/>
      <c r="NMU163" s="21"/>
      <c r="NMV163" s="7"/>
      <c r="NMW163" s="7"/>
      <c r="NMX163" s="21"/>
      <c r="NMY163" s="20"/>
      <c r="NMZ163" s="20"/>
      <c r="NNA163" s="20"/>
      <c r="NNB163" s="21"/>
      <c r="NNC163" s="21"/>
      <c r="NND163" s="21"/>
      <c r="NNE163" s="21"/>
      <c r="NNF163" s="21"/>
      <c r="NNG163" s="20"/>
      <c r="NNH163" s="20"/>
      <c r="NNI163" s="20"/>
      <c r="NNJ163" s="20"/>
      <c r="NNK163" s="21"/>
      <c r="NNL163" s="21"/>
      <c r="NNM163" s="7"/>
      <c r="NNN163" s="7"/>
      <c r="NNO163" s="21"/>
      <c r="NNP163" s="20"/>
      <c r="NNQ163" s="20"/>
      <c r="NNR163" s="20"/>
      <c r="NNS163" s="21"/>
      <c r="NNT163" s="21"/>
      <c r="NNU163" s="21"/>
      <c r="NNV163" s="21"/>
      <c r="NNW163" s="21"/>
      <c r="NNX163" s="20"/>
      <c r="NNY163" s="20"/>
      <c r="NNZ163" s="20"/>
      <c r="NOA163" s="20"/>
      <c r="NOB163" s="21"/>
      <c r="NOC163" s="21"/>
      <c r="NOD163" s="7"/>
      <c r="NOE163" s="7"/>
      <c r="NOF163" s="21"/>
      <c r="NOG163" s="20"/>
      <c r="NOH163" s="20"/>
      <c r="NOI163" s="20"/>
      <c r="NOJ163" s="21"/>
      <c r="NOK163" s="21"/>
      <c r="NOL163" s="21"/>
      <c r="NOM163" s="21"/>
      <c r="NON163" s="21"/>
      <c r="NOO163" s="20"/>
      <c r="NOP163" s="20"/>
      <c r="NOQ163" s="20"/>
      <c r="NOR163" s="20"/>
      <c r="NOS163" s="21"/>
      <c r="NOT163" s="21"/>
      <c r="NOU163" s="7"/>
      <c r="NOV163" s="7"/>
      <c r="NOW163" s="21"/>
      <c r="NOX163" s="20"/>
      <c r="NOY163" s="20"/>
      <c r="NOZ163" s="20"/>
      <c r="NPA163" s="21"/>
      <c r="NPB163" s="21"/>
      <c r="NPC163" s="21"/>
      <c r="NPD163" s="21"/>
      <c r="NPE163" s="21"/>
      <c r="NPF163" s="20"/>
      <c r="NPG163" s="20"/>
      <c r="NPH163" s="20"/>
      <c r="NPI163" s="20"/>
      <c r="NPJ163" s="21"/>
      <c r="NPK163" s="21"/>
      <c r="NPL163" s="7"/>
      <c r="NPM163" s="7"/>
      <c r="NPN163" s="21"/>
      <c r="NPO163" s="20"/>
      <c r="NPP163" s="20"/>
      <c r="NPQ163" s="20"/>
      <c r="NPR163" s="21"/>
      <c r="NPS163" s="21"/>
      <c r="NPT163" s="21"/>
      <c r="NPU163" s="21"/>
      <c r="NPV163" s="21"/>
      <c r="NPW163" s="20"/>
      <c r="NPX163" s="20"/>
      <c r="NPY163" s="20"/>
      <c r="NPZ163" s="20"/>
      <c r="NQA163" s="21"/>
      <c r="NQB163" s="21"/>
      <c r="NQC163" s="7"/>
      <c r="NQD163" s="7"/>
      <c r="NQE163" s="21"/>
      <c r="NQF163" s="20"/>
      <c r="NQG163" s="20"/>
      <c r="NQH163" s="20"/>
      <c r="NQI163" s="21"/>
      <c r="NQJ163" s="21"/>
      <c r="NQK163" s="21"/>
      <c r="NQL163" s="21"/>
      <c r="NQM163" s="21"/>
      <c r="NQN163" s="20"/>
      <c r="NQO163" s="20"/>
      <c r="NQP163" s="20"/>
      <c r="NQQ163" s="20"/>
      <c r="NQR163" s="21"/>
      <c r="NQS163" s="21"/>
      <c r="NQT163" s="7"/>
      <c r="NQU163" s="7"/>
      <c r="NQV163" s="21"/>
      <c r="NQW163" s="20"/>
      <c r="NQX163" s="20"/>
      <c r="NQY163" s="20"/>
      <c r="NQZ163" s="21"/>
      <c r="NRA163" s="21"/>
      <c r="NRB163" s="21"/>
      <c r="NRC163" s="21"/>
      <c r="NRD163" s="21"/>
      <c r="NRE163" s="20"/>
      <c r="NRF163" s="20"/>
      <c r="NRG163" s="20"/>
      <c r="NRH163" s="20"/>
      <c r="NRI163" s="21"/>
      <c r="NRJ163" s="21"/>
      <c r="NRK163" s="7"/>
      <c r="NRL163" s="7"/>
      <c r="NRM163" s="21"/>
      <c r="NRN163" s="20"/>
      <c r="NRO163" s="20"/>
      <c r="NRP163" s="20"/>
      <c r="NRQ163" s="21"/>
      <c r="NRR163" s="21"/>
      <c r="NRS163" s="21"/>
      <c r="NRT163" s="21"/>
      <c r="NRU163" s="21"/>
      <c r="NRV163" s="20"/>
      <c r="NRW163" s="20"/>
      <c r="NRX163" s="20"/>
      <c r="NRY163" s="20"/>
      <c r="NRZ163" s="21"/>
      <c r="NSA163" s="21"/>
      <c r="NSB163" s="7"/>
      <c r="NSC163" s="7"/>
      <c r="NSD163" s="21"/>
      <c r="NSE163" s="20"/>
      <c r="NSF163" s="20"/>
      <c r="NSG163" s="20"/>
      <c r="NSH163" s="21"/>
      <c r="NSI163" s="21"/>
      <c r="NSJ163" s="21"/>
      <c r="NSK163" s="21"/>
      <c r="NSL163" s="21"/>
      <c r="NSM163" s="20"/>
      <c r="NSN163" s="20"/>
      <c r="NSO163" s="20"/>
      <c r="NSP163" s="20"/>
      <c r="NSQ163" s="21"/>
      <c r="NSR163" s="21"/>
      <c r="NSS163" s="7"/>
      <c r="NST163" s="7"/>
      <c r="NSU163" s="21"/>
      <c r="NSV163" s="20"/>
      <c r="NSW163" s="20"/>
      <c r="NSX163" s="20"/>
      <c r="NSY163" s="21"/>
      <c r="NSZ163" s="21"/>
      <c r="NTA163" s="21"/>
      <c r="NTB163" s="21"/>
      <c r="NTC163" s="21"/>
      <c r="NTD163" s="20"/>
      <c r="NTE163" s="20"/>
      <c r="NTF163" s="20"/>
      <c r="NTG163" s="20"/>
      <c r="NTH163" s="21"/>
      <c r="NTI163" s="21"/>
      <c r="NTJ163" s="7"/>
      <c r="NTK163" s="7"/>
      <c r="NTL163" s="21"/>
      <c r="NTM163" s="20"/>
      <c r="NTN163" s="20"/>
      <c r="NTO163" s="20"/>
      <c r="NTP163" s="21"/>
      <c r="NTQ163" s="21"/>
      <c r="NTR163" s="21"/>
      <c r="NTS163" s="21"/>
      <c r="NTT163" s="21"/>
      <c r="NTU163" s="20"/>
      <c r="NTV163" s="20"/>
      <c r="NTW163" s="20"/>
      <c r="NTX163" s="20"/>
      <c r="NTY163" s="21"/>
      <c r="NTZ163" s="21"/>
      <c r="NUA163" s="7"/>
      <c r="NUB163" s="7"/>
      <c r="NUC163" s="21"/>
      <c r="NUD163" s="20"/>
      <c r="NUE163" s="20"/>
      <c r="NUF163" s="20"/>
      <c r="NUG163" s="21"/>
      <c r="NUH163" s="21"/>
      <c r="NUI163" s="21"/>
      <c r="NUJ163" s="21"/>
      <c r="NUK163" s="21"/>
      <c r="NUL163" s="20"/>
      <c r="NUM163" s="20"/>
      <c r="NUN163" s="20"/>
      <c r="NUO163" s="20"/>
      <c r="NUP163" s="21"/>
      <c r="NUQ163" s="21"/>
      <c r="NUR163" s="7"/>
      <c r="NUS163" s="7"/>
      <c r="NUT163" s="21"/>
      <c r="NUU163" s="20"/>
      <c r="NUV163" s="20"/>
      <c r="NUW163" s="20"/>
      <c r="NUX163" s="21"/>
      <c r="NUY163" s="21"/>
      <c r="NUZ163" s="21"/>
      <c r="NVA163" s="21"/>
      <c r="NVB163" s="21"/>
      <c r="NVC163" s="20"/>
      <c r="NVD163" s="20"/>
      <c r="NVE163" s="20"/>
      <c r="NVF163" s="20"/>
      <c r="NVG163" s="21"/>
      <c r="NVH163" s="21"/>
      <c r="NVI163" s="7"/>
      <c r="NVJ163" s="7"/>
      <c r="NVK163" s="21"/>
      <c r="NVL163" s="20"/>
      <c r="NVM163" s="20"/>
      <c r="NVN163" s="20"/>
      <c r="NVO163" s="21"/>
      <c r="NVP163" s="21"/>
      <c r="NVQ163" s="21"/>
      <c r="NVR163" s="21"/>
      <c r="NVS163" s="21"/>
      <c r="NVT163" s="20"/>
      <c r="NVU163" s="20"/>
      <c r="NVV163" s="20"/>
      <c r="NVW163" s="20"/>
      <c r="NVX163" s="21"/>
      <c r="NVY163" s="21"/>
      <c r="NVZ163" s="7"/>
      <c r="NWA163" s="7"/>
      <c r="NWB163" s="21"/>
      <c r="NWC163" s="20"/>
      <c r="NWD163" s="20"/>
      <c r="NWE163" s="20"/>
      <c r="NWF163" s="21"/>
      <c r="NWG163" s="21"/>
      <c r="NWH163" s="21"/>
      <c r="NWI163" s="21"/>
      <c r="NWJ163" s="21"/>
      <c r="NWK163" s="20"/>
      <c r="NWL163" s="20"/>
      <c r="NWM163" s="20"/>
      <c r="NWN163" s="20"/>
      <c r="NWO163" s="21"/>
      <c r="NWP163" s="21"/>
      <c r="NWQ163" s="7"/>
      <c r="NWR163" s="7"/>
      <c r="NWS163" s="21"/>
      <c r="NWT163" s="20"/>
      <c r="NWU163" s="20"/>
      <c r="NWV163" s="20"/>
      <c r="NWW163" s="21"/>
      <c r="NWX163" s="21"/>
      <c r="NWY163" s="21"/>
      <c r="NWZ163" s="21"/>
      <c r="NXA163" s="21"/>
      <c r="NXB163" s="20"/>
      <c r="NXC163" s="20"/>
      <c r="NXD163" s="20"/>
      <c r="NXE163" s="20"/>
      <c r="NXF163" s="21"/>
      <c r="NXG163" s="21"/>
      <c r="NXH163" s="7"/>
      <c r="NXI163" s="7"/>
      <c r="NXJ163" s="21"/>
      <c r="NXK163" s="20"/>
      <c r="NXL163" s="20"/>
      <c r="NXM163" s="20"/>
      <c r="NXN163" s="21"/>
      <c r="NXO163" s="21"/>
      <c r="NXP163" s="21"/>
      <c r="NXQ163" s="21"/>
      <c r="NXR163" s="21"/>
      <c r="NXS163" s="20"/>
      <c r="NXT163" s="20"/>
      <c r="NXU163" s="20"/>
      <c r="NXV163" s="20"/>
      <c r="NXW163" s="21"/>
      <c r="NXX163" s="21"/>
      <c r="NXY163" s="7"/>
      <c r="NXZ163" s="7"/>
      <c r="NYA163" s="21"/>
      <c r="NYB163" s="20"/>
      <c r="NYC163" s="20"/>
      <c r="NYD163" s="20"/>
      <c r="NYE163" s="21"/>
      <c r="NYF163" s="21"/>
      <c r="NYG163" s="21"/>
      <c r="NYH163" s="21"/>
      <c r="NYI163" s="21"/>
      <c r="NYJ163" s="20"/>
      <c r="NYK163" s="20"/>
      <c r="NYL163" s="20"/>
      <c r="NYM163" s="20"/>
      <c r="NYN163" s="21"/>
      <c r="NYO163" s="21"/>
      <c r="NYP163" s="7"/>
      <c r="NYQ163" s="7"/>
      <c r="NYR163" s="21"/>
      <c r="NYS163" s="20"/>
      <c r="NYT163" s="20"/>
      <c r="NYU163" s="20"/>
      <c r="NYV163" s="21"/>
      <c r="NYW163" s="21"/>
      <c r="NYX163" s="21"/>
      <c r="NYY163" s="21"/>
      <c r="NYZ163" s="21"/>
      <c r="NZA163" s="20"/>
      <c r="NZB163" s="20"/>
      <c r="NZC163" s="20"/>
      <c r="NZD163" s="20"/>
      <c r="NZE163" s="21"/>
      <c r="NZF163" s="21"/>
      <c r="NZG163" s="7"/>
      <c r="NZH163" s="7"/>
      <c r="NZI163" s="21"/>
      <c r="NZJ163" s="20"/>
      <c r="NZK163" s="20"/>
      <c r="NZL163" s="20"/>
      <c r="NZM163" s="21"/>
      <c r="NZN163" s="21"/>
      <c r="NZO163" s="21"/>
      <c r="NZP163" s="21"/>
      <c r="NZQ163" s="21"/>
      <c r="NZR163" s="20"/>
      <c r="NZS163" s="20"/>
      <c r="NZT163" s="20"/>
      <c r="NZU163" s="20"/>
      <c r="NZV163" s="21"/>
      <c r="NZW163" s="21"/>
      <c r="NZX163" s="7"/>
      <c r="NZY163" s="7"/>
      <c r="NZZ163" s="21"/>
      <c r="OAA163" s="20"/>
      <c r="OAB163" s="20"/>
      <c r="OAC163" s="20"/>
      <c r="OAD163" s="21"/>
      <c r="OAE163" s="21"/>
      <c r="OAF163" s="21"/>
      <c r="OAG163" s="21"/>
      <c r="OAH163" s="21"/>
      <c r="OAI163" s="20"/>
      <c r="OAJ163" s="20"/>
      <c r="OAK163" s="20"/>
      <c r="OAL163" s="20"/>
      <c r="OAM163" s="21"/>
      <c r="OAN163" s="21"/>
      <c r="OAO163" s="7"/>
      <c r="OAP163" s="7"/>
      <c r="OAQ163" s="21"/>
      <c r="OAR163" s="20"/>
      <c r="OAS163" s="20"/>
      <c r="OAT163" s="20"/>
      <c r="OAU163" s="21"/>
      <c r="OAV163" s="21"/>
      <c r="OAW163" s="21"/>
      <c r="OAX163" s="21"/>
      <c r="OAY163" s="21"/>
      <c r="OAZ163" s="20"/>
      <c r="OBA163" s="20"/>
      <c r="OBB163" s="20"/>
      <c r="OBC163" s="20"/>
      <c r="OBD163" s="21"/>
      <c r="OBE163" s="21"/>
      <c r="OBF163" s="7"/>
      <c r="OBG163" s="7"/>
      <c r="OBH163" s="21"/>
      <c r="OBI163" s="20"/>
      <c r="OBJ163" s="20"/>
      <c r="OBK163" s="20"/>
      <c r="OBL163" s="21"/>
      <c r="OBM163" s="21"/>
      <c r="OBN163" s="21"/>
      <c r="OBO163" s="21"/>
      <c r="OBP163" s="21"/>
      <c r="OBQ163" s="20"/>
      <c r="OBR163" s="20"/>
      <c r="OBS163" s="20"/>
      <c r="OBT163" s="20"/>
      <c r="OBU163" s="21"/>
      <c r="OBV163" s="21"/>
      <c r="OBW163" s="7"/>
      <c r="OBX163" s="7"/>
      <c r="OBY163" s="21"/>
      <c r="OBZ163" s="20"/>
      <c r="OCA163" s="20"/>
      <c r="OCB163" s="20"/>
      <c r="OCC163" s="21"/>
      <c r="OCD163" s="21"/>
      <c r="OCE163" s="21"/>
      <c r="OCF163" s="21"/>
      <c r="OCG163" s="21"/>
      <c r="OCH163" s="20"/>
      <c r="OCI163" s="20"/>
      <c r="OCJ163" s="20"/>
      <c r="OCK163" s="20"/>
      <c r="OCL163" s="21"/>
      <c r="OCM163" s="21"/>
      <c r="OCN163" s="7"/>
      <c r="OCO163" s="7"/>
      <c r="OCP163" s="21"/>
      <c r="OCQ163" s="20"/>
      <c r="OCR163" s="20"/>
      <c r="OCS163" s="20"/>
      <c r="OCT163" s="21"/>
      <c r="OCU163" s="21"/>
      <c r="OCV163" s="21"/>
      <c r="OCW163" s="21"/>
      <c r="OCX163" s="21"/>
      <c r="OCY163" s="20"/>
      <c r="OCZ163" s="20"/>
      <c r="ODA163" s="20"/>
      <c r="ODB163" s="20"/>
      <c r="ODC163" s="21"/>
      <c r="ODD163" s="21"/>
      <c r="ODE163" s="7"/>
      <c r="ODF163" s="7"/>
      <c r="ODG163" s="21"/>
      <c r="ODH163" s="20"/>
      <c r="ODI163" s="20"/>
      <c r="ODJ163" s="20"/>
      <c r="ODK163" s="21"/>
      <c r="ODL163" s="21"/>
      <c r="ODM163" s="21"/>
      <c r="ODN163" s="21"/>
      <c r="ODO163" s="21"/>
      <c r="ODP163" s="20"/>
      <c r="ODQ163" s="20"/>
      <c r="ODR163" s="20"/>
      <c r="ODS163" s="20"/>
      <c r="ODT163" s="21"/>
      <c r="ODU163" s="21"/>
      <c r="ODV163" s="7"/>
      <c r="ODW163" s="7"/>
      <c r="ODX163" s="21"/>
      <c r="ODY163" s="20"/>
      <c r="ODZ163" s="20"/>
      <c r="OEA163" s="20"/>
      <c r="OEB163" s="21"/>
      <c r="OEC163" s="21"/>
      <c r="OED163" s="21"/>
      <c r="OEE163" s="21"/>
      <c r="OEF163" s="21"/>
      <c r="OEG163" s="20"/>
      <c r="OEH163" s="20"/>
      <c r="OEI163" s="20"/>
      <c r="OEJ163" s="20"/>
      <c r="OEK163" s="21"/>
      <c r="OEL163" s="21"/>
      <c r="OEM163" s="7"/>
      <c r="OEN163" s="7"/>
      <c r="OEO163" s="21"/>
      <c r="OEP163" s="20"/>
      <c r="OEQ163" s="20"/>
      <c r="OER163" s="20"/>
      <c r="OES163" s="21"/>
      <c r="OET163" s="21"/>
      <c r="OEU163" s="21"/>
      <c r="OEV163" s="21"/>
      <c r="OEW163" s="21"/>
      <c r="OEX163" s="20"/>
      <c r="OEY163" s="20"/>
      <c r="OEZ163" s="20"/>
      <c r="OFA163" s="20"/>
      <c r="OFB163" s="21"/>
      <c r="OFC163" s="21"/>
      <c r="OFD163" s="7"/>
      <c r="OFE163" s="7"/>
      <c r="OFF163" s="21"/>
      <c r="OFG163" s="20"/>
      <c r="OFH163" s="20"/>
      <c r="OFI163" s="20"/>
      <c r="OFJ163" s="21"/>
      <c r="OFK163" s="21"/>
      <c r="OFL163" s="21"/>
      <c r="OFM163" s="21"/>
      <c r="OFN163" s="21"/>
      <c r="OFO163" s="20"/>
      <c r="OFP163" s="20"/>
      <c r="OFQ163" s="20"/>
      <c r="OFR163" s="20"/>
      <c r="OFS163" s="21"/>
      <c r="OFT163" s="21"/>
      <c r="OFU163" s="7"/>
      <c r="OFV163" s="7"/>
      <c r="OFW163" s="21"/>
      <c r="OFX163" s="20"/>
      <c r="OFY163" s="20"/>
      <c r="OFZ163" s="20"/>
      <c r="OGA163" s="21"/>
      <c r="OGB163" s="21"/>
      <c r="OGC163" s="21"/>
      <c r="OGD163" s="21"/>
      <c r="OGE163" s="21"/>
      <c r="OGF163" s="20"/>
      <c r="OGG163" s="20"/>
      <c r="OGH163" s="20"/>
      <c r="OGI163" s="20"/>
      <c r="OGJ163" s="21"/>
      <c r="OGK163" s="21"/>
      <c r="OGL163" s="7"/>
      <c r="OGM163" s="7"/>
      <c r="OGN163" s="21"/>
      <c r="OGO163" s="20"/>
      <c r="OGP163" s="20"/>
      <c r="OGQ163" s="20"/>
      <c r="OGR163" s="21"/>
      <c r="OGS163" s="21"/>
      <c r="OGT163" s="21"/>
      <c r="OGU163" s="21"/>
      <c r="OGV163" s="21"/>
      <c r="OGW163" s="20"/>
      <c r="OGX163" s="20"/>
      <c r="OGY163" s="20"/>
      <c r="OGZ163" s="20"/>
      <c r="OHA163" s="21"/>
      <c r="OHB163" s="21"/>
      <c r="OHC163" s="7"/>
      <c r="OHD163" s="7"/>
      <c r="OHE163" s="21"/>
      <c r="OHF163" s="20"/>
      <c r="OHG163" s="20"/>
      <c r="OHH163" s="20"/>
      <c r="OHI163" s="21"/>
      <c r="OHJ163" s="21"/>
      <c r="OHK163" s="21"/>
      <c r="OHL163" s="21"/>
      <c r="OHM163" s="21"/>
      <c r="OHN163" s="20"/>
      <c r="OHO163" s="20"/>
      <c r="OHP163" s="20"/>
      <c r="OHQ163" s="20"/>
      <c r="OHR163" s="21"/>
      <c r="OHS163" s="21"/>
      <c r="OHT163" s="7"/>
      <c r="OHU163" s="7"/>
      <c r="OHV163" s="21"/>
      <c r="OHW163" s="20"/>
      <c r="OHX163" s="20"/>
      <c r="OHY163" s="20"/>
      <c r="OHZ163" s="21"/>
      <c r="OIA163" s="21"/>
      <c r="OIB163" s="21"/>
      <c r="OIC163" s="21"/>
      <c r="OID163" s="21"/>
      <c r="OIE163" s="20"/>
      <c r="OIF163" s="20"/>
      <c r="OIG163" s="20"/>
      <c r="OIH163" s="20"/>
      <c r="OII163" s="21"/>
      <c r="OIJ163" s="21"/>
      <c r="OIK163" s="7"/>
      <c r="OIL163" s="7"/>
      <c r="OIM163" s="21"/>
      <c r="OIN163" s="20"/>
      <c r="OIO163" s="20"/>
      <c r="OIP163" s="20"/>
      <c r="OIQ163" s="21"/>
      <c r="OIR163" s="21"/>
      <c r="OIS163" s="21"/>
      <c r="OIT163" s="21"/>
      <c r="OIU163" s="21"/>
      <c r="OIV163" s="20"/>
      <c r="OIW163" s="20"/>
      <c r="OIX163" s="20"/>
      <c r="OIY163" s="20"/>
      <c r="OIZ163" s="21"/>
      <c r="OJA163" s="21"/>
      <c r="OJB163" s="7"/>
      <c r="OJC163" s="7"/>
      <c r="OJD163" s="21"/>
      <c r="OJE163" s="20"/>
      <c r="OJF163" s="20"/>
      <c r="OJG163" s="20"/>
      <c r="OJH163" s="21"/>
      <c r="OJI163" s="21"/>
      <c r="OJJ163" s="21"/>
      <c r="OJK163" s="21"/>
      <c r="OJL163" s="21"/>
      <c r="OJM163" s="20"/>
      <c r="OJN163" s="20"/>
      <c r="OJO163" s="20"/>
      <c r="OJP163" s="20"/>
      <c r="OJQ163" s="21"/>
      <c r="OJR163" s="21"/>
      <c r="OJS163" s="7"/>
      <c r="OJT163" s="7"/>
      <c r="OJU163" s="21"/>
      <c r="OJV163" s="20"/>
      <c r="OJW163" s="20"/>
      <c r="OJX163" s="20"/>
      <c r="OJY163" s="21"/>
      <c r="OJZ163" s="21"/>
      <c r="OKA163" s="21"/>
      <c r="OKB163" s="21"/>
      <c r="OKC163" s="21"/>
      <c r="OKD163" s="20"/>
      <c r="OKE163" s="20"/>
      <c r="OKF163" s="20"/>
      <c r="OKG163" s="20"/>
      <c r="OKH163" s="21"/>
      <c r="OKI163" s="21"/>
      <c r="OKJ163" s="7"/>
      <c r="OKK163" s="7"/>
      <c r="OKL163" s="21"/>
      <c r="OKM163" s="20"/>
      <c r="OKN163" s="20"/>
      <c r="OKO163" s="20"/>
      <c r="OKP163" s="21"/>
      <c r="OKQ163" s="21"/>
      <c r="OKR163" s="21"/>
      <c r="OKS163" s="21"/>
      <c r="OKT163" s="21"/>
      <c r="OKU163" s="20"/>
      <c r="OKV163" s="20"/>
      <c r="OKW163" s="20"/>
      <c r="OKX163" s="20"/>
      <c r="OKY163" s="21"/>
      <c r="OKZ163" s="21"/>
      <c r="OLA163" s="7"/>
      <c r="OLB163" s="7"/>
      <c r="OLC163" s="21"/>
      <c r="OLD163" s="20"/>
      <c r="OLE163" s="20"/>
      <c r="OLF163" s="20"/>
      <c r="OLG163" s="21"/>
      <c r="OLH163" s="21"/>
      <c r="OLI163" s="21"/>
      <c r="OLJ163" s="21"/>
      <c r="OLK163" s="21"/>
      <c r="OLL163" s="20"/>
      <c r="OLM163" s="20"/>
      <c r="OLN163" s="20"/>
      <c r="OLO163" s="20"/>
      <c r="OLP163" s="21"/>
      <c r="OLQ163" s="21"/>
      <c r="OLR163" s="7"/>
      <c r="OLS163" s="7"/>
      <c r="OLT163" s="21"/>
      <c r="OLU163" s="20"/>
      <c r="OLV163" s="20"/>
      <c r="OLW163" s="20"/>
      <c r="OLX163" s="21"/>
      <c r="OLY163" s="21"/>
      <c r="OLZ163" s="21"/>
      <c r="OMA163" s="21"/>
      <c r="OMB163" s="21"/>
      <c r="OMC163" s="20"/>
      <c r="OMD163" s="20"/>
      <c r="OME163" s="20"/>
      <c r="OMF163" s="20"/>
      <c r="OMG163" s="21"/>
      <c r="OMH163" s="21"/>
      <c r="OMI163" s="7"/>
      <c r="OMJ163" s="7"/>
      <c r="OMK163" s="21"/>
      <c r="OML163" s="20"/>
      <c r="OMM163" s="20"/>
      <c r="OMN163" s="20"/>
      <c r="OMO163" s="21"/>
      <c r="OMP163" s="21"/>
      <c r="OMQ163" s="21"/>
      <c r="OMR163" s="21"/>
      <c r="OMS163" s="21"/>
      <c r="OMT163" s="20"/>
      <c r="OMU163" s="20"/>
      <c r="OMV163" s="20"/>
      <c r="OMW163" s="20"/>
      <c r="OMX163" s="21"/>
      <c r="OMY163" s="21"/>
      <c r="OMZ163" s="7"/>
      <c r="ONA163" s="7"/>
      <c r="ONB163" s="21"/>
      <c r="ONC163" s="20"/>
      <c r="OND163" s="20"/>
      <c r="ONE163" s="20"/>
      <c r="ONF163" s="21"/>
      <c r="ONG163" s="21"/>
      <c r="ONH163" s="21"/>
      <c r="ONI163" s="21"/>
      <c r="ONJ163" s="21"/>
      <c r="ONK163" s="20"/>
      <c r="ONL163" s="20"/>
      <c r="ONM163" s="20"/>
      <c r="ONN163" s="20"/>
      <c r="ONO163" s="21"/>
      <c r="ONP163" s="21"/>
      <c r="ONQ163" s="7"/>
      <c r="ONR163" s="7"/>
      <c r="ONS163" s="21"/>
      <c r="ONT163" s="20"/>
      <c r="ONU163" s="20"/>
      <c r="ONV163" s="20"/>
      <c r="ONW163" s="21"/>
      <c r="ONX163" s="21"/>
      <c r="ONY163" s="21"/>
      <c r="ONZ163" s="21"/>
      <c r="OOA163" s="21"/>
      <c r="OOB163" s="20"/>
      <c r="OOC163" s="20"/>
      <c r="OOD163" s="20"/>
      <c r="OOE163" s="20"/>
      <c r="OOF163" s="21"/>
      <c r="OOG163" s="21"/>
      <c r="OOH163" s="7"/>
      <c r="OOI163" s="7"/>
      <c r="OOJ163" s="21"/>
      <c r="OOK163" s="20"/>
      <c r="OOL163" s="20"/>
      <c r="OOM163" s="20"/>
      <c r="OON163" s="21"/>
      <c r="OOO163" s="21"/>
      <c r="OOP163" s="21"/>
      <c r="OOQ163" s="21"/>
      <c r="OOR163" s="21"/>
      <c r="OOS163" s="20"/>
      <c r="OOT163" s="20"/>
      <c r="OOU163" s="20"/>
      <c r="OOV163" s="20"/>
      <c r="OOW163" s="21"/>
      <c r="OOX163" s="21"/>
      <c r="OOY163" s="7"/>
      <c r="OOZ163" s="7"/>
      <c r="OPA163" s="21"/>
      <c r="OPB163" s="20"/>
      <c r="OPC163" s="20"/>
      <c r="OPD163" s="20"/>
      <c r="OPE163" s="21"/>
      <c r="OPF163" s="21"/>
      <c r="OPG163" s="21"/>
      <c r="OPH163" s="21"/>
      <c r="OPI163" s="21"/>
      <c r="OPJ163" s="20"/>
      <c r="OPK163" s="20"/>
      <c r="OPL163" s="20"/>
      <c r="OPM163" s="20"/>
      <c r="OPN163" s="21"/>
      <c r="OPO163" s="21"/>
      <c r="OPP163" s="7"/>
      <c r="OPQ163" s="7"/>
      <c r="OPR163" s="21"/>
      <c r="OPS163" s="20"/>
      <c r="OPT163" s="20"/>
      <c r="OPU163" s="20"/>
      <c r="OPV163" s="21"/>
      <c r="OPW163" s="21"/>
      <c r="OPX163" s="21"/>
      <c r="OPY163" s="21"/>
      <c r="OPZ163" s="21"/>
      <c r="OQA163" s="20"/>
      <c r="OQB163" s="20"/>
      <c r="OQC163" s="20"/>
      <c r="OQD163" s="20"/>
      <c r="OQE163" s="21"/>
      <c r="OQF163" s="21"/>
      <c r="OQG163" s="7"/>
      <c r="OQH163" s="7"/>
      <c r="OQI163" s="21"/>
      <c r="OQJ163" s="20"/>
      <c r="OQK163" s="20"/>
      <c r="OQL163" s="20"/>
      <c r="OQM163" s="21"/>
      <c r="OQN163" s="21"/>
      <c r="OQO163" s="21"/>
      <c r="OQP163" s="21"/>
      <c r="OQQ163" s="21"/>
      <c r="OQR163" s="20"/>
      <c r="OQS163" s="20"/>
      <c r="OQT163" s="20"/>
      <c r="OQU163" s="20"/>
      <c r="OQV163" s="21"/>
      <c r="OQW163" s="21"/>
      <c r="OQX163" s="7"/>
      <c r="OQY163" s="7"/>
      <c r="OQZ163" s="21"/>
      <c r="ORA163" s="20"/>
      <c r="ORB163" s="20"/>
      <c r="ORC163" s="20"/>
      <c r="ORD163" s="21"/>
      <c r="ORE163" s="21"/>
      <c r="ORF163" s="21"/>
      <c r="ORG163" s="21"/>
      <c r="ORH163" s="21"/>
      <c r="ORI163" s="20"/>
      <c r="ORJ163" s="20"/>
      <c r="ORK163" s="20"/>
      <c r="ORL163" s="20"/>
      <c r="ORM163" s="21"/>
      <c r="ORN163" s="21"/>
      <c r="ORO163" s="7"/>
      <c r="ORP163" s="7"/>
      <c r="ORQ163" s="21"/>
      <c r="ORR163" s="20"/>
      <c r="ORS163" s="20"/>
      <c r="ORT163" s="20"/>
      <c r="ORU163" s="21"/>
      <c r="ORV163" s="21"/>
      <c r="ORW163" s="21"/>
      <c r="ORX163" s="21"/>
      <c r="ORY163" s="21"/>
      <c r="ORZ163" s="20"/>
      <c r="OSA163" s="20"/>
      <c r="OSB163" s="20"/>
      <c r="OSC163" s="20"/>
      <c r="OSD163" s="21"/>
      <c r="OSE163" s="21"/>
      <c r="OSF163" s="7"/>
      <c r="OSG163" s="7"/>
      <c r="OSH163" s="21"/>
      <c r="OSI163" s="20"/>
      <c r="OSJ163" s="20"/>
      <c r="OSK163" s="20"/>
      <c r="OSL163" s="21"/>
      <c r="OSM163" s="21"/>
      <c r="OSN163" s="21"/>
      <c r="OSO163" s="21"/>
      <c r="OSP163" s="21"/>
      <c r="OSQ163" s="20"/>
      <c r="OSR163" s="20"/>
      <c r="OSS163" s="20"/>
      <c r="OST163" s="20"/>
      <c r="OSU163" s="21"/>
      <c r="OSV163" s="21"/>
      <c r="OSW163" s="7"/>
      <c r="OSX163" s="7"/>
      <c r="OSY163" s="21"/>
      <c r="OSZ163" s="20"/>
      <c r="OTA163" s="20"/>
      <c r="OTB163" s="20"/>
      <c r="OTC163" s="21"/>
      <c r="OTD163" s="21"/>
      <c r="OTE163" s="21"/>
      <c r="OTF163" s="21"/>
      <c r="OTG163" s="21"/>
      <c r="OTH163" s="20"/>
      <c r="OTI163" s="20"/>
      <c r="OTJ163" s="20"/>
      <c r="OTK163" s="20"/>
      <c r="OTL163" s="21"/>
      <c r="OTM163" s="21"/>
      <c r="OTN163" s="7"/>
      <c r="OTO163" s="7"/>
      <c r="OTP163" s="21"/>
      <c r="OTQ163" s="20"/>
      <c r="OTR163" s="20"/>
      <c r="OTS163" s="20"/>
      <c r="OTT163" s="21"/>
      <c r="OTU163" s="21"/>
      <c r="OTV163" s="21"/>
      <c r="OTW163" s="21"/>
      <c r="OTX163" s="21"/>
      <c r="OTY163" s="20"/>
      <c r="OTZ163" s="20"/>
      <c r="OUA163" s="20"/>
      <c r="OUB163" s="20"/>
      <c r="OUC163" s="21"/>
      <c r="OUD163" s="21"/>
      <c r="OUE163" s="7"/>
      <c r="OUF163" s="7"/>
      <c r="OUG163" s="21"/>
      <c r="OUH163" s="20"/>
      <c r="OUI163" s="20"/>
      <c r="OUJ163" s="20"/>
      <c r="OUK163" s="21"/>
      <c r="OUL163" s="21"/>
      <c r="OUM163" s="21"/>
      <c r="OUN163" s="21"/>
      <c r="OUO163" s="21"/>
      <c r="OUP163" s="20"/>
      <c r="OUQ163" s="20"/>
      <c r="OUR163" s="20"/>
      <c r="OUS163" s="20"/>
      <c r="OUT163" s="21"/>
      <c r="OUU163" s="21"/>
      <c r="OUV163" s="7"/>
      <c r="OUW163" s="7"/>
      <c r="OUX163" s="21"/>
      <c r="OUY163" s="20"/>
      <c r="OUZ163" s="20"/>
      <c r="OVA163" s="20"/>
      <c r="OVB163" s="21"/>
      <c r="OVC163" s="21"/>
      <c r="OVD163" s="21"/>
      <c r="OVE163" s="21"/>
      <c r="OVF163" s="21"/>
      <c r="OVG163" s="20"/>
      <c r="OVH163" s="20"/>
      <c r="OVI163" s="20"/>
      <c r="OVJ163" s="20"/>
      <c r="OVK163" s="21"/>
      <c r="OVL163" s="21"/>
      <c r="OVM163" s="7"/>
      <c r="OVN163" s="7"/>
      <c r="OVO163" s="21"/>
      <c r="OVP163" s="20"/>
      <c r="OVQ163" s="20"/>
      <c r="OVR163" s="20"/>
      <c r="OVS163" s="21"/>
      <c r="OVT163" s="21"/>
      <c r="OVU163" s="21"/>
      <c r="OVV163" s="21"/>
      <c r="OVW163" s="21"/>
      <c r="OVX163" s="20"/>
      <c r="OVY163" s="20"/>
      <c r="OVZ163" s="20"/>
      <c r="OWA163" s="20"/>
      <c r="OWB163" s="21"/>
      <c r="OWC163" s="21"/>
      <c r="OWD163" s="7"/>
      <c r="OWE163" s="7"/>
      <c r="OWF163" s="21"/>
      <c r="OWG163" s="20"/>
      <c r="OWH163" s="20"/>
      <c r="OWI163" s="20"/>
      <c r="OWJ163" s="21"/>
      <c r="OWK163" s="21"/>
      <c r="OWL163" s="21"/>
      <c r="OWM163" s="21"/>
      <c r="OWN163" s="21"/>
      <c r="OWO163" s="20"/>
      <c r="OWP163" s="20"/>
      <c r="OWQ163" s="20"/>
      <c r="OWR163" s="20"/>
      <c r="OWS163" s="21"/>
      <c r="OWT163" s="21"/>
      <c r="OWU163" s="7"/>
      <c r="OWV163" s="7"/>
      <c r="OWW163" s="21"/>
      <c r="OWX163" s="20"/>
      <c r="OWY163" s="20"/>
      <c r="OWZ163" s="20"/>
      <c r="OXA163" s="21"/>
      <c r="OXB163" s="21"/>
      <c r="OXC163" s="21"/>
      <c r="OXD163" s="21"/>
      <c r="OXE163" s="21"/>
      <c r="OXF163" s="20"/>
      <c r="OXG163" s="20"/>
      <c r="OXH163" s="20"/>
      <c r="OXI163" s="20"/>
      <c r="OXJ163" s="21"/>
      <c r="OXK163" s="21"/>
      <c r="OXL163" s="7"/>
      <c r="OXM163" s="7"/>
      <c r="OXN163" s="21"/>
      <c r="OXO163" s="20"/>
      <c r="OXP163" s="20"/>
      <c r="OXQ163" s="20"/>
      <c r="OXR163" s="21"/>
      <c r="OXS163" s="21"/>
      <c r="OXT163" s="21"/>
      <c r="OXU163" s="21"/>
      <c r="OXV163" s="21"/>
      <c r="OXW163" s="20"/>
      <c r="OXX163" s="20"/>
      <c r="OXY163" s="20"/>
      <c r="OXZ163" s="20"/>
      <c r="OYA163" s="21"/>
      <c r="OYB163" s="21"/>
      <c r="OYC163" s="7"/>
      <c r="OYD163" s="7"/>
      <c r="OYE163" s="21"/>
      <c r="OYF163" s="20"/>
      <c r="OYG163" s="20"/>
      <c r="OYH163" s="20"/>
      <c r="OYI163" s="21"/>
      <c r="OYJ163" s="21"/>
      <c r="OYK163" s="21"/>
      <c r="OYL163" s="21"/>
      <c r="OYM163" s="21"/>
      <c r="OYN163" s="20"/>
      <c r="OYO163" s="20"/>
      <c r="OYP163" s="20"/>
      <c r="OYQ163" s="20"/>
      <c r="OYR163" s="21"/>
      <c r="OYS163" s="21"/>
      <c r="OYT163" s="7"/>
      <c r="OYU163" s="7"/>
      <c r="OYV163" s="21"/>
      <c r="OYW163" s="20"/>
      <c r="OYX163" s="20"/>
      <c r="OYY163" s="20"/>
      <c r="OYZ163" s="21"/>
      <c r="OZA163" s="21"/>
      <c r="OZB163" s="21"/>
      <c r="OZC163" s="21"/>
      <c r="OZD163" s="21"/>
      <c r="OZE163" s="20"/>
      <c r="OZF163" s="20"/>
      <c r="OZG163" s="20"/>
      <c r="OZH163" s="20"/>
      <c r="OZI163" s="21"/>
      <c r="OZJ163" s="21"/>
      <c r="OZK163" s="7"/>
      <c r="OZL163" s="7"/>
      <c r="OZM163" s="21"/>
      <c r="OZN163" s="20"/>
      <c r="OZO163" s="20"/>
      <c r="OZP163" s="20"/>
      <c r="OZQ163" s="21"/>
      <c r="OZR163" s="21"/>
      <c r="OZS163" s="21"/>
      <c r="OZT163" s="21"/>
      <c r="OZU163" s="21"/>
      <c r="OZV163" s="20"/>
      <c r="OZW163" s="20"/>
      <c r="OZX163" s="20"/>
      <c r="OZY163" s="20"/>
      <c r="OZZ163" s="21"/>
      <c r="PAA163" s="21"/>
      <c r="PAB163" s="7"/>
      <c r="PAC163" s="7"/>
      <c r="PAD163" s="21"/>
      <c r="PAE163" s="20"/>
      <c r="PAF163" s="20"/>
      <c r="PAG163" s="20"/>
      <c r="PAH163" s="21"/>
      <c r="PAI163" s="21"/>
      <c r="PAJ163" s="21"/>
      <c r="PAK163" s="21"/>
      <c r="PAL163" s="21"/>
      <c r="PAM163" s="20"/>
      <c r="PAN163" s="20"/>
      <c r="PAO163" s="20"/>
      <c r="PAP163" s="20"/>
      <c r="PAQ163" s="21"/>
      <c r="PAR163" s="21"/>
      <c r="PAS163" s="7"/>
      <c r="PAT163" s="7"/>
      <c r="PAU163" s="21"/>
      <c r="PAV163" s="20"/>
      <c r="PAW163" s="20"/>
      <c r="PAX163" s="20"/>
      <c r="PAY163" s="21"/>
      <c r="PAZ163" s="21"/>
      <c r="PBA163" s="21"/>
      <c r="PBB163" s="21"/>
      <c r="PBC163" s="21"/>
      <c r="PBD163" s="20"/>
      <c r="PBE163" s="20"/>
      <c r="PBF163" s="20"/>
      <c r="PBG163" s="20"/>
      <c r="PBH163" s="21"/>
      <c r="PBI163" s="21"/>
      <c r="PBJ163" s="7"/>
      <c r="PBK163" s="7"/>
      <c r="PBL163" s="21"/>
      <c r="PBM163" s="20"/>
      <c r="PBN163" s="20"/>
      <c r="PBO163" s="20"/>
      <c r="PBP163" s="21"/>
      <c r="PBQ163" s="21"/>
      <c r="PBR163" s="21"/>
      <c r="PBS163" s="21"/>
      <c r="PBT163" s="21"/>
      <c r="PBU163" s="20"/>
      <c r="PBV163" s="20"/>
      <c r="PBW163" s="20"/>
      <c r="PBX163" s="20"/>
      <c r="PBY163" s="21"/>
      <c r="PBZ163" s="21"/>
      <c r="PCA163" s="7"/>
      <c r="PCB163" s="7"/>
      <c r="PCC163" s="21"/>
      <c r="PCD163" s="20"/>
      <c r="PCE163" s="20"/>
      <c r="PCF163" s="20"/>
      <c r="PCG163" s="21"/>
      <c r="PCH163" s="21"/>
      <c r="PCI163" s="21"/>
      <c r="PCJ163" s="21"/>
      <c r="PCK163" s="21"/>
      <c r="PCL163" s="20"/>
      <c r="PCM163" s="20"/>
      <c r="PCN163" s="20"/>
      <c r="PCO163" s="20"/>
      <c r="PCP163" s="21"/>
      <c r="PCQ163" s="21"/>
      <c r="PCR163" s="7"/>
      <c r="PCS163" s="7"/>
      <c r="PCT163" s="21"/>
      <c r="PCU163" s="20"/>
      <c r="PCV163" s="20"/>
      <c r="PCW163" s="20"/>
      <c r="PCX163" s="21"/>
      <c r="PCY163" s="21"/>
      <c r="PCZ163" s="21"/>
      <c r="PDA163" s="21"/>
      <c r="PDB163" s="21"/>
      <c r="PDC163" s="20"/>
      <c r="PDD163" s="20"/>
      <c r="PDE163" s="20"/>
      <c r="PDF163" s="20"/>
      <c r="PDG163" s="21"/>
      <c r="PDH163" s="21"/>
      <c r="PDI163" s="7"/>
      <c r="PDJ163" s="7"/>
      <c r="PDK163" s="21"/>
      <c r="PDL163" s="20"/>
      <c r="PDM163" s="20"/>
      <c r="PDN163" s="20"/>
      <c r="PDO163" s="21"/>
      <c r="PDP163" s="21"/>
      <c r="PDQ163" s="21"/>
      <c r="PDR163" s="21"/>
      <c r="PDS163" s="21"/>
      <c r="PDT163" s="20"/>
      <c r="PDU163" s="20"/>
      <c r="PDV163" s="20"/>
      <c r="PDW163" s="20"/>
      <c r="PDX163" s="21"/>
      <c r="PDY163" s="21"/>
      <c r="PDZ163" s="7"/>
      <c r="PEA163" s="7"/>
      <c r="PEB163" s="21"/>
      <c r="PEC163" s="20"/>
      <c r="PED163" s="20"/>
      <c r="PEE163" s="20"/>
      <c r="PEF163" s="21"/>
      <c r="PEG163" s="21"/>
      <c r="PEH163" s="21"/>
      <c r="PEI163" s="21"/>
      <c r="PEJ163" s="21"/>
      <c r="PEK163" s="20"/>
      <c r="PEL163" s="20"/>
      <c r="PEM163" s="20"/>
      <c r="PEN163" s="20"/>
      <c r="PEO163" s="21"/>
      <c r="PEP163" s="21"/>
      <c r="PEQ163" s="7"/>
      <c r="PER163" s="7"/>
      <c r="PES163" s="21"/>
      <c r="PET163" s="20"/>
      <c r="PEU163" s="20"/>
      <c r="PEV163" s="20"/>
      <c r="PEW163" s="21"/>
      <c r="PEX163" s="21"/>
      <c r="PEY163" s="21"/>
      <c r="PEZ163" s="21"/>
      <c r="PFA163" s="21"/>
      <c r="PFB163" s="20"/>
      <c r="PFC163" s="20"/>
      <c r="PFD163" s="20"/>
      <c r="PFE163" s="20"/>
      <c r="PFF163" s="21"/>
      <c r="PFG163" s="21"/>
      <c r="PFH163" s="7"/>
      <c r="PFI163" s="7"/>
      <c r="PFJ163" s="21"/>
      <c r="PFK163" s="20"/>
      <c r="PFL163" s="20"/>
      <c r="PFM163" s="20"/>
      <c r="PFN163" s="21"/>
      <c r="PFO163" s="21"/>
      <c r="PFP163" s="21"/>
      <c r="PFQ163" s="21"/>
      <c r="PFR163" s="21"/>
      <c r="PFS163" s="20"/>
      <c r="PFT163" s="20"/>
      <c r="PFU163" s="20"/>
      <c r="PFV163" s="20"/>
      <c r="PFW163" s="21"/>
      <c r="PFX163" s="21"/>
      <c r="PFY163" s="7"/>
      <c r="PFZ163" s="7"/>
      <c r="PGA163" s="21"/>
      <c r="PGB163" s="20"/>
      <c r="PGC163" s="20"/>
      <c r="PGD163" s="20"/>
      <c r="PGE163" s="21"/>
      <c r="PGF163" s="21"/>
      <c r="PGG163" s="21"/>
      <c r="PGH163" s="21"/>
      <c r="PGI163" s="21"/>
      <c r="PGJ163" s="20"/>
      <c r="PGK163" s="20"/>
      <c r="PGL163" s="20"/>
      <c r="PGM163" s="20"/>
      <c r="PGN163" s="21"/>
      <c r="PGO163" s="21"/>
      <c r="PGP163" s="7"/>
      <c r="PGQ163" s="7"/>
      <c r="PGR163" s="21"/>
      <c r="PGS163" s="20"/>
      <c r="PGT163" s="20"/>
      <c r="PGU163" s="20"/>
      <c r="PGV163" s="21"/>
      <c r="PGW163" s="21"/>
      <c r="PGX163" s="21"/>
      <c r="PGY163" s="21"/>
      <c r="PGZ163" s="21"/>
      <c r="PHA163" s="20"/>
      <c r="PHB163" s="20"/>
      <c r="PHC163" s="20"/>
      <c r="PHD163" s="20"/>
      <c r="PHE163" s="21"/>
      <c r="PHF163" s="21"/>
      <c r="PHG163" s="7"/>
      <c r="PHH163" s="7"/>
      <c r="PHI163" s="21"/>
      <c r="PHJ163" s="20"/>
      <c r="PHK163" s="20"/>
      <c r="PHL163" s="20"/>
      <c r="PHM163" s="21"/>
      <c r="PHN163" s="21"/>
      <c r="PHO163" s="21"/>
      <c r="PHP163" s="21"/>
      <c r="PHQ163" s="21"/>
      <c r="PHR163" s="20"/>
      <c r="PHS163" s="20"/>
      <c r="PHT163" s="20"/>
      <c r="PHU163" s="20"/>
      <c r="PHV163" s="21"/>
      <c r="PHW163" s="21"/>
      <c r="PHX163" s="7"/>
      <c r="PHY163" s="7"/>
      <c r="PHZ163" s="21"/>
      <c r="PIA163" s="20"/>
      <c r="PIB163" s="20"/>
      <c r="PIC163" s="20"/>
      <c r="PID163" s="21"/>
      <c r="PIE163" s="21"/>
      <c r="PIF163" s="21"/>
      <c r="PIG163" s="21"/>
      <c r="PIH163" s="21"/>
      <c r="PII163" s="20"/>
      <c r="PIJ163" s="20"/>
      <c r="PIK163" s="20"/>
      <c r="PIL163" s="20"/>
      <c r="PIM163" s="21"/>
      <c r="PIN163" s="21"/>
      <c r="PIO163" s="7"/>
      <c r="PIP163" s="7"/>
      <c r="PIQ163" s="21"/>
      <c r="PIR163" s="20"/>
      <c r="PIS163" s="20"/>
      <c r="PIT163" s="20"/>
      <c r="PIU163" s="21"/>
      <c r="PIV163" s="21"/>
      <c r="PIW163" s="21"/>
      <c r="PIX163" s="21"/>
      <c r="PIY163" s="21"/>
      <c r="PIZ163" s="20"/>
      <c r="PJA163" s="20"/>
      <c r="PJB163" s="20"/>
      <c r="PJC163" s="20"/>
      <c r="PJD163" s="21"/>
      <c r="PJE163" s="21"/>
      <c r="PJF163" s="7"/>
      <c r="PJG163" s="7"/>
      <c r="PJH163" s="21"/>
      <c r="PJI163" s="20"/>
      <c r="PJJ163" s="20"/>
      <c r="PJK163" s="20"/>
      <c r="PJL163" s="21"/>
      <c r="PJM163" s="21"/>
      <c r="PJN163" s="21"/>
      <c r="PJO163" s="21"/>
      <c r="PJP163" s="21"/>
      <c r="PJQ163" s="20"/>
      <c r="PJR163" s="20"/>
      <c r="PJS163" s="20"/>
      <c r="PJT163" s="20"/>
      <c r="PJU163" s="21"/>
      <c r="PJV163" s="21"/>
      <c r="PJW163" s="7"/>
      <c r="PJX163" s="7"/>
      <c r="PJY163" s="21"/>
      <c r="PJZ163" s="20"/>
      <c r="PKA163" s="20"/>
      <c r="PKB163" s="20"/>
      <c r="PKC163" s="21"/>
      <c r="PKD163" s="21"/>
      <c r="PKE163" s="21"/>
      <c r="PKF163" s="21"/>
      <c r="PKG163" s="21"/>
      <c r="PKH163" s="20"/>
      <c r="PKI163" s="20"/>
      <c r="PKJ163" s="20"/>
      <c r="PKK163" s="20"/>
      <c r="PKL163" s="21"/>
      <c r="PKM163" s="21"/>
      <c r="PKN163" s="7"/>
      <c r="PKO163" s="7"/>
      <c r="PKP163" s="21"/>
      <c r="PKQ163" s="20"/>
      <c r="PKR163" s="20"/>
      <c r="PKS163" s="20"/>
      <c r="PKT163" s="21"/>
      <c r="PKU163" s="21"/>
      <c r="PKV163" s="21"/>
      <c r="PKW163" s="21"/>
      <c r="PKX163" s="21"/>
      <c r="PKY163" s="20"/>
      <c r="PKZ163" s="20"/>
      <c r="PLA163" s="20"/>
      <c r="PLB163" s="20"/>
      <c r="PLC163" s="21"/>
      <c r="PLD163" s="21"/>
      <c r="PLE163" s="7"/>
      <c r="PLF163" s="7"/>
      <c r="PLG163" s="21"/>
      <c r="PLH163" s="20"/>
      <c r="PLI163" s="20"/>
      <c r="PLJ163" s="20"/>
      <c r="PLK163" s="21"/>
      <c r="PLL163" s="21"/>
      <c r="PLM163" s="21"/>
      <c r="PLN163" s="21"/>
      <c r="PLO163" s="21"/>
      <c r="PLP163" s="20"/>
      <c r="PLQ163" s="20"/>
      <c r="PLR163" s="20"/>
      <c r="PLS163" s="20"/>
      <c r="PLT163" s="21"/>
      <c r="PLU163" s="21"/>
      <c r="PLV163" s="7"/>
      <c r="PLW163" s="7"/>
      <c r="PLX163" s="21"/>
      <c r="PLY163" s="20"/>
      <c r="PLZ163" s="20"/>
      <c r="PMA163" s="20"/>
      <c r="PMB163" s="21"/>
      <c r="PMC163" s="21"/>
      <c r="PMD163" s="21"/>
      <c r="PME163" s="21"/>
      <c r="PMF163" s="21"/>
      <c r="PMG163" s="20"/>
      <c r="PMH163" s="20"/>
      <c r="PMI163" s="20"/>
      <c r="PMJ163" s="20"/>
      <c r="PMK163" s="21"/>
      <c r="PML163" s="21"/>
      <c r="PMM163" s="7"/>
      <c r="PMN163" s="7"/>
      <c r="PMO163" s="21"/>
      <c r="PMP163" s="20"/>
      <c r="PMQ163" s="20"/>
      <c r="PMR163" s="20"/>
      <c r="PMS163" s="21"/>
      <c r="PMT163" s="21"/>
      <c r="PMU163" s="21"/>
      <c r="PMV163" s="21"/>
      <c r="PMW163" s="21"/>
      <c r="PMX163" s="20"/>
      <c r="PMY163" s="20"/>
      <c r="PMZ163" s="20"/>
      <c r="PNA163" s="20"/>
      <c r="PNB163" s="21"/>
      <c r="PNC163" s="21"/>
      <c r="PND163" s="7"/>
      <c r="PNE163" s="7"/>
      <c r="PNF163" s="21"/>
      <c r="PNG163" s="20"/>
      <c r="PNH163" s="20"/>
      <c r="PNI163" s="20"/>
      <c r="PNJ163" s="21"/>
      <c r="PNK163" s="21"/>
      <c r="PNL163" s="21"/>
      <c r="PNM163" s="21"/>
      <c r="PNN163" s="21"/>
      <c r="PNO163" s="20"/>
      <c r="PNP163" s="20"/>
      <c r="PNQ163" s="20"/>
      <c r="PNR163" s="20"/>
      <c r="PNS163" s="21"/>
      <c r="PNT163" s="21"/>
      <c r="PNU163" s="7"/>
      <c r="PNV163" s="7"/>
      <c r="PNW163" s="21"/>
      <c r="PNX163" s="20"/>
      <c r="PNY163" s="20"/>
      <c r="PNZ163" s="20"/>
      <c r="POA163" s="21"/>
      <c r="POB163" s="21"/>
      <c r="POC163" s="21"/>
      <c r="POD163" s="21"/>
      <c r="POE163" s="21"/>
      <c r="POF163" s="20"/>
      <c r="POG163" s="20"/>
      <c r="POH163" s="20"/>
      <c r="POI163" s="20"/>
      <c r="POJ163" s="21"/>
      <c r="POK163" s="21"/>
      <c r="POL163" s="7"/>
      <c r="POM163" s="7"/>
      <c r="PON163" s="21"/>
      <c r="POO163" s="20"/>
      <c r="POP163" s="20"/>
      <c r="POQ163" s="20"/>
      <c r="POR163" s="21"/>
      <c r="POS163" s="21"/>
      <c r="POT163" s="21"/>
      <c r="POU163" s="21"/>
      <c r="POV163" s="21"/>
      <c r="POW163" s="20"/>
      <c r="POX163" s="20"/>
      <c r="POY163" s="20"/>
      <c r="POZ163" s="20"/>
      <c r="PPA163" s="21"/>
      <c r="PPB163" s="21"/>
      <c r="PPC163" s="7"/>
      <c r="PPD163" s="7"/>
      <c r="PPE163" s="21"/>
      <c r="PPF163" s="20"/>
      <c r="PPG163" s="20"/>
      <c r="PPH163" s="20"/>
      <c r="PPI163" s="21"/>
      <c r="PPJ163" s="21"/>
      <c r="PPK163" s="21"/>
      <c r="PPL163" s="21"/>
      <c r="PPM163" s="21"/>
      <c r="PPN163" s="20"/>
      <c r="PPO163" s="20"/>
      <c r="PPP163" s="20"/>
      <c r="PPQ163" s="20"/>
      <c r="PPR163" s="21"/>
      <c r="PPS163" s="21"/>
      <c r="PPT163" s="7"/>
      <c r="PPU163" s="7"/>
      <c r="PPV163" s="21"/>
      <c r="PPW163" s="20"/>
      <c r="PPX163" s="20"/>
      <c r="PPY163" s="20"/>
      <c r="PPZ163" s="21"/>
      <c r="PQA163" s="21"/>
      <c r="PQB163" s="21"/>
      <c r="PQC163" s="21"/>
      <c r="PQD163" s="21"/>
      <c r="PQE163" s="20"/>
      <c r="PQF163" s="20"/>
      <c r="PQG163" s="20"/>
      <c r="PQH163" s="20"/>
      <c r="PQI163" s="21"/>
      <c r="PQJ163" s="21"/>
      <c r="PQK163" s="7"/>
      <c r="PQL163" s="7"/>
      <c r="PQM163" s="21"/>
      <c r="PQN163" s="20"/>
      <c r="PQO163" s="20"/>
      <c r="PQP163" s="20"/>
      <c r="PQQ163" s="21"/>
      <c r="PQR163" s="21"/>
      <c r="PQS163" s="21"/>
      <c r="PQT163" s="21"/>
      <c r="PQU163" s="21"/>
      <c r="PQV163" s="20"/>
      <c r="PQW163" s="20"/>
      <c r="PQX163" s="20"/>
      <c r="PQY163" s="20"/>
      <c r="PQZ163" s="21"/>
      <c r="PRA163" s="21"/>
      <c r="PRB163" s="7"/>
      <c r="PRC163" s="7"/>
      <c r="PRD163" s="21"/>
      <c r="PRE163" s="20"/>
      <c r="PRF163" s="20"/>
      <c r="PRG163" s="20"/>
      <c r="PRH163" s="21"/>
      <c r="PRI163" s="21"/>
      <c r="PRJ163" s="21"/>
      <c r="PRK163" s="21"/>
      <c r="PRL163" s="21"/>
      <c r="PRM163" s="20"/>
      <c r="PRN163" s="20"/>
      <c r="PRO163" s="20"/>
      <c r="PRP163" s="20"/>
      <c r="PRQ163" s="21"/>
      <c r="PRR163" s="21"/>
      <c r="PRS163" s="7"/>
      <c r="PRT163" s="7"/>
      <c r="PRU163" s="21"/>
      <c r="PRV163" s="20"/>
      <c r="PRW163" s="20"/>
      <c r="PRX163" s="20"/>
      <c r="PRY163" s="21"/>
      <c r="PRZ163" s="21"/>
      <c r="PSA163" s="21"/>
      <c r="PSB163" s="21"/>
      <c r="PSC163" s="21"/>
      <c r="PSD163" s="20"/>
      <c r="PSE163" s="20"/>
      <c r="PSF163" s="20"/>
      <c r="PSG163" s="20"/>
      <c r="PSH163" s="21"/>
      <c r="PSI163" s="21"/>
      <c r="PSJ163" s="7"/>
      <c r="PSK163" s="7"/>
      <c r="PSL163" s="21"/>
      <c r="PSM163" s="20"/>
      <c r="PSN163" s="20"/>
      <c r="PSO163" s="20"/>
      <c r="PSP163" s="21"/>
      <c r="PSQ163" s="21"/>
      <c r="PSR163" s="21"/>
      <c r="PSS163" s="21"/>
      <c r="PST163" s="21"/>
      <c r="PSU163" s="20"/>
      <c r="PSV163" s="20"/>
      <c r="PSW163" s="20"/>
      <c r="PSX163" s="20"/>
      <c r="PSY163" s="21"/>
      <c r="PSZ163" s="21"/>
      <c r="PTA163" s="7"/>
      <c r="PTB163" s="7"/>
      <c r="PTC163" s="21"/>
      <c r="PTD163" s="20"/>
      <c r="PTE163" s="20"/>
      <c r="PTF163" s="20"/>
      <c r="PTG163" s="21"/>
      <c r="PTH163" s="21"/>
      <c r="PTI163" s="21"/>
      <c r="PTJ163" s="21"/>
      <c r="PTK163" s="21"/>
      <c r="PTL163" s="20"/>
      <c r="PTM163" s="20"/>
      <c r="PTN163" s="20"/>
      <c r="PTO163" s="20"/>
      <c r="PTP163" s="21"/>
      <c r="PTQ163" s="21"/>
      <c r="PTR163" s="7"/>
      <c r="PTS163" s="7"/>
      <c r="PTT163" s="21"/>
      <c r="PTU163" s="20"/>
      <c r="PTV163" s="20"/>
      <c r="PTW163" s="20"/>
      <c r="PTX163" s="21"/>
      <c r="PTY163" s="21"/>
      <c r="PTZ163" s="21"/>
      <c r="PUA163" s="21"/>
      <c r="PUB163" s="21"/>
      <c r="PUC163" s="20"/>
      <c r="PUD163" s="20"/>
      <c r="PUE163" s="20"/>
      <c r="PUF163" s="20"/>
      <c r="PUG163" s="21"/>
      <c r="PUH163" s="21"/>
      <c r="PUI163" s="7"/>
      <c r="PUJ163" s="7"/>
      <c r="PUK163" s="21"/>
      <c r="PUL163" s="20"/>
      <c r="PUM163" s="20"/>
      <c r="PUN163" s="20"/>
      <c r="PUO163" s="21"/>
      <c r="PUP163" s="21"/>
      <c r="PUQ163" s="21"/>
      <c r="PUR163" s="21"/>
      <c r="PUS163" s="21"/>
      <c r="PUT163" s="20"/>
      <c r="PUU163" s="20"/>
      <c r="PUV163" s="20"/>
      <c r="PUW163" s="20"/>
      <c r="PUX163" s="21"/>
      <c r="PUY163" s="21"/>
      <c r="PUZ163" s="7"/>
      <c r="PVA163" s="7"/>
      <c r="PVB163" s="21"/>
      <c r="PVC163" s="20"/>
      <c r="PVD163" s="20"/>
      <c r="PVE163" s="20"/>
      <c r="PVF163" s="21"/>
      <c r="PVG163" s="21"/>
      <c r="PVH163" s="21"/>
      <c r="PVI163" s="21"/>
      <c r="PVJ163" s="21"/>
      <c r="PVK163" s="20"/>
      <c r="PVL163" s="20"/>
      <c r="PVM163" s="20"/>
      <c r="PVN163" s="20"/>
      <c r="PVO163" s="21"/>
      <c r="PVP163" s="21"/>
      <c r="PVQ163" s="7"/>
      <c r="PVR163" s="7"/>
      <c r="PVS163" s="21"/>
      <c r="PVT163" s="20"/>
      <c r="PVU163" s="20"/>
      <c r="PVV163" s="20"/>
      <c r="PVW163" s="21"/>
      <c r="PVX163" s="21"/>
      <c r="PVY163" s="21"/>
      <c r="PVZ163" s="21"/>
      <c r="PWA163" s="21"/>
      <c r="PWB163" s="20"/>
      <c r="PWC163" s="20"/>
      <c r="PWD163" s="20"/>
      <c r="PWE163" s="20"/>
      <c r="PWF163" s="21"/>
      <c r="PWG163" s="21"/>
      <c r="PWH163" s="7"/>
      <c r="PWI163" s="7"/>
      <c r="PWJ163" s="21"/>
      <c r="PWK163" s="20"/>
      <c r="PWL163" s="20"/>
      <c r="PWM163" s="20"/>
      <c r="PWN163" s="21"/>
      <c r="PWO163" s="21"/>
      <c r="PWP163" s="21"/>
      <c r="PWQ163" s="21"/>
      <c r="PWR163" s="21"/>
      <c r="PWS163" s="20"/>
      <c r="PWT163" s="20"/>
      <c r="PWU163" s="20"/>
      <c r="PWV163" s="20"/>
      <c r="PWW163" s="21"/>
      <c r="PWX163" s="21"/>
      <c r="PWY163" s="7"/>
      <c r="PWZ163" s="7"/>
      <c r="PXA163" s="21"/>
      <c r="PXB163" s="20"/>
      <c r="PXC163" s="20"/>
      <c r="PXD163" s="20"/>
      <c r="PXE163" s="21"/>
      <c r="PXF163" s="21"/>
      <c r="PXG163" s="21"/>
      <c r="PXH163" s="21"/>
      <c r="PXI163" s="21"/>
      <c r="PXJ163" s="20"/>
      <c r="PXK163" s="20"/>
      <c r="PXL163" s="20"/>
      <c r="PXM163" s="20"/>
      <c r="PXN163" s="21"/>
      <c r="PXO163" s="21"/>
      <c r="PXP163" s="7"/>
      <c r="PXQ163" s="7"/>
      <c r="PXR163" s="21"/>
      <c r="PXS163" s="20"/>
      <c r="PXT163" s="20"/>
      <c r="PXU163" s="20"/>
      <c r="PXV163" s="21"/>
      <c r="PXW163" s="21"/>
      <c r="PXX163" s="21"/>
      <c r="PXY163" s="21"/>
      <c r="PXZ163" s="21"/>
      <c r="PYA163" s="20"/>
      <c r="PYB163" s="20"/>
      <c r="PYC163" s="20"/>
      <c r="PYD163" s="20"/>
      <c r="PYE163" s="21"/>
      <c r="PYF163" s="21"/>
      <c r="PYG163" s="7"/>
      <c r="PYH163" s="7"/>
      <c r="PYI163" s="21"/>
      <c r="PYJ163" s="20"/>
      <c r="PYK163" s="20"/>
      <c r="PYL163" s="20"/>
      <c r="PYM163" s="21"/>
      <c r="PYN163" s="21"/>
      <c r="PYO163" s="21"/>
      <c r="PYP163" s="21"/>
      <c r="PYQ163" s="21"/>
      <c r="PYR163" s="20"/>
      <c r="PYS163" s="20"/>
      <c r="PYT163" s="20"/>
      <c r="PYU163" s="20"/>
      <c r="PYV163" s="21"/>
      <c r="PYW163" s="21"/>
      <c r="PYX163" s="7"/>
      <c r="PYY163" s="7"/>
      <c r="PYZ163" s="21"/>
      <c r="PZA163" s="20"/>
      <c r="PZB163" s="20"/>
      <c r="PZC163" s="20"/>
      <c r="PZD163" s="21"/>
      <c r="PZE163" s="21"/>
      <c r="PZF163" s="21"/>
      <c r="PZG163" s="21"/>
      <c r="PZH163" s="21"/>
      <c r="PZI163" s="20"/>
      <c r="PZJ163" s="20"/>
      <c r="PZK163" s="20"/>
      <c r="PZL163" s="20"/>
      <c r="PZM163" s="21"/>
      <c r="PZN163" s="21"/>
      <c r="PZO163" s="7"/>
      <c r="PZP163" s="7"/>
      <c r="PZQ163" s="21"/>
      <c r="PZR163" s="20"/>
      <c r="PZS163" s="20"/>
      <c r="PZT163" s="20"/>
      <c r="PZU163" s="21"/>
      <c r="PZV163" s="21"/>
      <c r="PZW163" s="21"/>
      <c r="PZX163" s="21"/>
      <c r="PZY163" s="21"/>
      <c r="PZZ163" s="20"/>
      <c r="QAA163" s="20"/>
      <c r="QAB163" s="20"/>
      <c r="QAC163" s="20"/>
      <c r="QAD163" s="21"/>
      <c r="QAE163" s="21"/>
      <c r="QAF163" s="7"/>
      <c r="QAG163" s="7"/>
      <c r="QAH163" s="21"/>
      <c r="QAI163" s="20"/>
      <c r="QAJ163" s="20"/>
      <c r="QAK163" s="20"/>
      <c r="QAL163" s="21"/>
      <c r="QAM163" s="21"/>
      <c r="QAN163" s="21"/>
      <c r="QAO163" s="21"/>
      <c r="QAP163" s="21"/>
      <c r="QAQ163" s="20"/>
      <c r="QAR163" s="20"/>
      <c r="QAS163" s="20"/>
      <c r="QAT163" s="20"/>
      <c r="QAU163" s="21"/>
      <c r="QAV163" s="21"/>
      <c r="QAW163" s="7"/>
      <c r="QAX163" s="7"/>
      <c r="QAY163" s="21"/>
      <c r="QAZ163" s="20"/>
      <c r="QBA163" s="20"/>
      <c r="QBB163" s="20"/>
      <c r="QBC163" s="21"/>
      <c r="QBD163" s="21"/>
      <c r="QBE163" s="21"/>
      <c r="QBF163" s="21"/>
      <c r="QBG163" s="21"/>
      <c r="QBH163" s="20"/>
      <c r="QBI163" s="20"/>
      <c r="QBJ163" s="20"/>
      <c r="QBK163" s="20"/>
      <c r="QBL163" s="21"/>
      <c r="QBM163" s="21"/>
      <c r="QBN163" s="7"/>
      <c r="QBO163" s="7"/>
      <c r="QBP163" s="21"/>
      <c r="QBQ163" s="20"/>
      <c r="QBR163" s="20"/>
      <c r="QBS163" s="20"/>
      <c r="QBT163" s="21"/>
      <c r="QBU163" s="21"/>
      <c r="QBV163" s="21"/>
      <c r="QBW163" s="21"/>
      <c r="QBX163" s="21"/>
      <c r="QBY163" s="20"/>
      <c r="QBZ163" s="20"/>
      <c r="QCA163" s="20"/>
      <c r="QCB163" s="20"/>
      <c r="QCC163" s="21"/>
      <c r="QCD163" s="21"/>
      <c r="QCE163" s="7"/>
      <c r="QCF163" s="7"/>
      <c r="QCG163" s="21"/>
      <c r="QCH163" s="20"/>
      <c r="QCI163" s="20"/>
      <c r="QCJ163" s="20"/>
      <c r="QCK163" s="21"/>
      <c r="QCL163" s="21"/>
      <c r="QCM163" s="21"/>
      <c r="QCN163" s="21"/>
      <c r="QCO163" s="21"/>
      <c r="QCP163" s="20"/>
      <c r="QCQ163" s="20"/>
      <c r="QCR163" s="20"/>
      <c r="QCS163" s="20"/>
      <c r="QCT163" s="21"/>
      <c r="QCU163" s="21"/>
      <c r="QCV163" s="7"/>
      <c r="QCW163" s="7"/>
      <c r="QCX163" s="21"/>
      <c r="QCY163" s="20"/>
      <c r="QCZ163" s="20"/>
      <c r="QDA163" s="20"/>
      <c r="QDB163" s="21"/>
      <c r="QDC163" s="21"/>
      <c r="QDD163" s="21"/>
      <c r="QDE163" s="21"/>
      <c r="QDF163" s="21"/>
      <c r="QDG163" s="20"/>
      <c r="QDH163" s="20"/>
      <c r="QDI163" s="20"/>
      <c r="QDJ163" s="20"/>
      <c r="QDK163" s="21"/>
      <c r="QDL163" s="21"/>
      <c r="QDM163" s="7"/>
      <c r="QDN163" s="7"/>
      <c r="QDO163" s="21"/>
      <c r="QDP163" s="20"/>
      <c r="QDQ163" s="20"/>
      <c r="QDR163" s="20"/>
      <c r="QDS163" s="21"/>
      <c r="QDT163" s="21"/>
      <c r="QDU163" s="21"/>
      <c r="QDV163" s="21"/>
      <c r="QDW163" s="21"/>
      <c r="QDX163" s="20"/>
      <c r="QDY163" s="20"/>
      <c r="QDZ163" s="20"/>
      <c r="QEA163" s="20"/>
      <c r="QEB163" s="21"/>
      <c r="QEC163" s="21"/>
      <c r="QED163" s="7"/>
      <c r="QEE163" s="7"/>
      <c r="QEF163" s="21"/>
      <c r="QEG163" s="20"/>
      <c r="QEH163" s="20"/>
      <c r="QEI163" s="20"/>
      <c r="QEJ163" s="21"/>
      <c r="QEK163" s="21"/>
      <c r="QEL163" s="21"/>
      <c r="QEM163" s="21"/>
      <c r="QEN163" s="21"/>
      <c r="QEO163" s="20"/>
      <c r="QEP163" s="20"/>
      <c r="QEQ163" s="20"/>
      <c r="QER163" s="20"/>
      <c r="QES163" s="21"/>
      <c r="QET163" s="21"/>
      <c r="QEU163" s="7"/>
      <c r="QEV163" s="7"/>
      <c r="QEW163" s="21"/>
      <c r="QEX163" s="20"/>
      <c r="QEY163" s="20"/>
      <c r="QEZ163" s="20"/>
      <c r="QFA163" s="21"/>
      <c r="QFB163" s="21"/>
      <c r="QFC163" s="21"/>
      <c r="QFD163" s="21"/>
      <c r="QFE163" s="21"/>
      <c r="QFF163" s="20"/>
      <c r="QFG163" s="20"/>
      <c r="QFH163" s="20"/>
      <c r="QFI163" s="20"/>
      <c r="QFJ163" s="21"/>
      <c r="QFK163" s="21"/>
      <c r="QFL163" s="7"/>
      <c r="QFM163" s="7"/>
      <c r="QFN163" s="21"/>
      <c r="QFO163" s="20"/>
      <c r="QFP163" s="20"/>
      <c r="QFQ163" s="20"/>
      <c r="QFR163" s="21"/>
      <c r="QFS163" s="21"/>
      <c r="QFT163" s="21"/>
      <c r="QFU163" s="21"/>
      <c r="QFV163" s="21"/>
      <c r="QFW163" s="20"/>
      <c r="QFX163" s="20"/>
      <c r="QFY163" s="20"/>
      <c r="QFZ163" s="20"/>
      <c r="QGA163" s="21"/>
      <c r="QGB163" s="21"/>
      <c r="QGC163" s="7"/>
      <c r="QGD163" s="7"/>
      <c r="QGE163" s="21"/>
      <c r="QGF163" s="20"/>
      <c r="QGG163" s="20"/>
      <c r="QGH163" s="20"/>
      <c r="QGI163" s="21"/>
      <c r="QGJ163" s="21"/>
      <c r="QGK163" s="21"/>
      <c r="QGL163" s="21"/>
      <c r="QGM163" s="21"/>
      <c r="QGN163" s="20"/>
      <c r="QGO163" s="20"/>
      <c r="QGP163" s="20"/>
      <c r="QGQ163" s="20"/>
      <c r="QGR163" s="21"/>
      <c r="QGS163" s="21"/>
      <c r="QGT163" s="7"/>
      <c r="QGU163" s="7"/>
      <c r="QGV163" s="21"/>
      <c r="QGW163" s="20"/>
      <c r="QGX163" s="20"/>
      <c r="QGY163" s="20"/>
      <c r="QGZ163" s="21"/>
      <c r="QHA163" s="21"/>
      <c r="QHB163" s="21"/>
      <c r="QHC163" s="21"/>
      <c r="QHD163" s="21"/>
      <c r="QHE163" s="20"/>
      <c r="QHF163" s="20"/>
      <c r="QHG163" s="20"/>
      <c r="QHH163" s="20"/>
      <c r="QHI163" s="21"/>
      <c r="QHJ163" s="21"/>
      <c r="QHK163" s="7"/>
      <c r="QHL163" s="7"/>
      <c r="QHM163" s="21"/>
      <c r="QHN163" s="20"/>
      <c r="QHO163" s="20"/>
      <c r="QHP163" s="20"/>
      <c r="QHQ163" s="21"/>
      <c r="QHR163" s="21"/>
      <c r="QHS163" s="21"/>
      <c r="QHT163" s="21"/>
      <c r="QHU163" s="21"/>
      <c r="QHV163" s="20"/>
      <c r="QHW163" s="20"/>
      <c r="QHX163" s="20"/>
      <c r="QHY163" s="20"/>
      <c r="QHZ163" s="21"/>
      <c r="QIA163" s="21"/>
      <c r="QIB163" s="7"/>
      <c r="QIC163" s="7"/>
      <c r="QID163" s="21"/>
      <c r="QIE163" s="20"/>
      <c r="QIF163" s="20"/>
      <c r="QIG163" s="20"/>
      <c r="QIH163" s="21"/>
      <c r="QII163" s="21"/>
      <c r="QIJ163" s="21"/>
      <c r="QIK163" s="21"/>
      <c r="QIL163" s="21"/>
      <c r="QIM163" s="20"/>
      <c r="QIN163" s="20"/>
      <c r="QIO163" s="20"/>
      <c r="QIP163" s="20"/>
      <c r="QIQ163" s="21"/>
      <c r="QIR163" s="21"/>
      <c r="QIS163" s="7"/>
      <c r="QIT163" s="7"/>
      <c r="QIU163" s="21"/>
      <c r="QIV163" s="20"/>
      <c r="QIW163" s="20"/>
      <c r="QIX163" s="20"/>
      <c r="QIY163" s="21"/>
      <c r="QIZ163" s="21"/>
      <c r="QJA163" s="21"/>
      <c r="QJB163" s="21"/>
      <c r="QJC163" s="21"/>
      <c r="QJD163" s="20"/>
      <c r="QJE163" s="20"/>
      <c r="QJF163" s="20"/>
      <c r="QJG163" s="20"/>
      <c r="QJH163" s="21"/>
      <c r="QJI163" s="21"/>
      <c r="QJJ163" s="7"/>
      <c r="QJK163" s="7"/>
      <c r="QJL163" s="21"/>
      <c r="QJM163" s="20"/>
      <c r="QJN163" s="20"/>
      <c r="QJO163" s="20"/>
      <c r="QJP163" s="21"/>
      <c r="QJQ163" s="21"/>
      <c r="QJR163" s="21"/>
      <c r="QJS163" s="21"/>
      <c r="QJT163" s="21"/>
      <c r="QJU163" s="20"/>
      <c r="QJV163" s="20"/>
      <c r="QJW163" s="20"/>
      <c r="QJX163" s="20"/>
      <c r="QJY163" s="21"/>
      <c r="QJZ163" s="21"/>
      <c r="QKA163" s="7"/>
      <c r="QKB163" s="7"/>
      <c r="QKC163" s="21"/>
      <c r="QKD163" s="20"/>
      <c r="QKE163" s="20"/>
      <c r="QKF163" s="20"/>
      <c r="QKG163" s="21"/>
      <c r="QKH163" s="21"/>
      <c r="QKI163" s="21"/>
      <c r="QKJ163" s="21"/>
      <c r="QKK163" s="21"/>
      <c r="QKL163" s="20"/>
      <c r="QKM163" s="20"/>
      <c r="QKN163" s="20"/>
      <c r="QKO163" s="20"/>
      <c r="QKP163" s="21"/>
      <c r="QKQ163" s="21"/>
      <c r="QKR163" s="7"/>
      <c r="QKS163" s="7"/>
      <c r="QKT163" s="21"/>
      <c r="QKU163" s="20"/>
      <c r="QKV163" s="20"/>
      <c r="QKW163" s="20"/>
      <c r="QKX163" s="21"/>
      <c r="QKY163" s="21"/>
      <c r="QKZ163" s="21"/>
      <c r="QLA163" s="21"/>
      <c r="QLB163" s="21"/>
      <c r="QLC163" s="20"/>
      <c r="QLD163" s="20"/>
      <c r="QLE163" s="20"/>
      <c r="QLF163" s="20"/>
      <c r="QLG163" s="21"/>
      <c r="QLH163" s="21"/>
      <c r="QLI163" s="7"/>
      <c r="QLJ163" s="7"/>
      <c r="QLK163" s="21"/>
      <c r="QLL163" s="20"/>
      <c r="QLM163" s="20"/>
      <c r="QLN163" s="20"/>
      <c r="QLO163" s="21"/>
      <c r="QLP163" s="21"/>
      <c r="QLQ163" s="21"/>
      <c r="QLR163" s="21"/>
      <c r="QLS163" s="21"/>
      <c r="QLT163" s="20"/>
      <c r="QLU163" s="20"/>
      <c r="QLV163" s="20"/>
      <c r="QLW163" s="20"/>
      <c r="QLX163" s="21"/>
      <c r="QLY163" s="21"/>
      <c r="QLZ163" s="7"/>
      <c r="QMA163" s="7"/>
      <c r="QMB163" s="21"/>
      <c r="QMC163" s="20"/>
      <c r="QMD163" s="20"/>
      <c r="QME163" s="20"/>
      <c r="QMF163" s="21"/>
      <c r="QMG163" s="21"/>
      <c r="QMH163" s="21"/>
      <c r="QMI163" s="21"/>
      <c r="QMJ163" s="21"/>
      <c r="QMK163" s="20"/>
      <c r="QML163" s="20"/>
      <c r="QMM163" s="20"/>
      <c r="QMN163" s="20"/>
      <c r="QMO163" s="21"/>
      <c r="QMP163" s="21"/>
      <c r="QMQ163" s="7"/>
      <c r="QMR163" s="7"/>
      <c r="QMS163" s="21"/>
      <c r="QMT163" s="20"/>
      <c r="QMU163" s="20"/>
      <c r="QMV163" s="20"/>
      <c r="QMW163" s="21"/>
      <c r="QMX163" s="21"/>
      <c r="QMY163" s="21"/>
      <c r="QMZ163" s="21"/>
      <c r="QNA163" s="21"/>
      <c r="QNB163" s="20"/>
      <c r="QNC163" s="20"/>
      <c r="QND163" s="20"/>
      <c r="QNE163" s="20"/>
      <c r="QNF163" s="21"/>
      <c r="QNG163" s="21"/>
      <c r="QNH163" s="7"/>
      <c r="QNI163" s="7"/>
      <c r="QNJ163" s="21"/>
      <c r="QNK163" s="20"/>
      <c r="QNL163" s="20"/>
      <c r="QNM163" s="20"/>
      <c r="QNN163" s="21"/>
      <c r="QNO163" s="21"/>
      <c r="QNP163" s="21"/>
      <c r="QNQ163" s="21"/>
      <c r="QNR163" s="21"/>
      <c r="QNS163" s="20"/>
      <c r="QNT163" s="20"/>
      <c r="QNU163" s="20"/>
      <c r="QNV163" s="20"/>
      <c r="QNW163" s="21"/>
      <c r="QNX163" s="21"/>
      <c r="QNY163" s="7"/>
      <c r="QNZ163" s="7"/>
      <c r="QOA163" s="21"/>
      <c r="QOB163" s="20"/>
      <c r="QOC163" s="20"/>
      <c r="QOD163" s="20"/>
      <c r="QOE163" s="21"/>
      <c r="QOF163" s="21"/>
      <c r="QOG163" s="21"/>
      <c r="QOH163" s="21"/>
      <c r="QOI163" s="21"/>
      <c r="QOJ163" s="20"/>
      <c r="QOK163" s="20"/>
      <c r="QOL163" s="20"/>
      <c r="QOM163" s="20"/>
      <c r="QON163" s="21"/>
      <c r="QOO163" s="21"/>
      <c r="QOP163" s="7"/>
      <c r="QOQ163" s="7"/>
      <c r="QOR163" s="21"/>
      <c r="QOS163" s="20"/>
      <c r="QOT163" s="20"/>
      <c r="QOU163" s="20"/>
      <c r="QOV163" s="21"/>
      <c r="QOW163" s="21"/>
      <c r="QOX163" s="21"/>
      <c r="QOY163" s="21"/>
      <c r="QOZ163" s="21"/>
      <c r="QPA163" s="20"/>
      <c r="QPB163" s="20"/>
      <c r="QPC163" s="20"/>
      <c r="QPD163" s="20"/>
      <c r="QPE163" s="21"/>
      <c r="QPF163" s="21"/>
      <c r="QPG163" s="7"/>
      <c r="QPH163" s="7"/>
      <c r="QPI163" s="21"/>
      <c r="QPJ163" s="20"/>
      <c r="QPK163" s="20"/>
      <c r="QPL163" s="20"/>
      <c r="QPM163" s="21"/>
      <c r="QPN163" s="21"/>
      <c r="QPO163" s="21"/>
      <c r="QPP163" s="21"/>
      <c r="QPQ163" s="21"/>
      <c r="QPR163" s="20"/>
      <c r="QPS163" s="20"/>
      <c r="QPT163" s="20"/>
      <c r="QPU163" s="20"/>
      <c r="QPV163" s="21"/>
      <c r="QPW163" s="21"/>
      <c r="QPX163" s="7"/>
      <c r="QPY163" s="7"/>
      <c r="QPZ163" s="21"/>
      <c r="QQA163" s="20"/>
      <c r="QQB163" s="20"/>
      <c r="QQC163" s="20"/>
      <c r="QQD163" s="21"/>
      <c r="QQE163" s="21"/>
      <c r="QQF163" s="21"/>
      <c r="QQG163" s="21"/>
      <c r="QQH163" s="21"/>
      <c r="QQI163" s="20"/>
      <c r="QQJ163" s="20"/>
      <c r="QQK163" s="20"/>
      <c r="QQL163" s="20"/>
      <c r="QQM163" s="21"/>
      <c r="QQN163" s="21"/>
      <c r="QQO163" s="7"/>
      <c r="QQP163" s="7"/>
      <c r="QQQ163" s="21"/>
      <c r="QQR163" s="20"/>
      <c r="QQS163" s="20"/>
      <c r="QQT163" s="20"/>
      <c r="QQU163" s="21"/>
      <c r="QQV163" s="21"/>
      <c r="QQW163" s="21"/>
      <c r="QQX163" s="21"/>
      <c r="QQY163" s="21"/>
      <c r="QQZ163" s="20"/>
      <c r="QRA163" s="20"/>
      <c r="QRB163" s="20"/>
      <c r="QRC163" s="20"/>
      <c r="QRD163" s="21"/>
      <c r="QRE163" s="21"/>
      <c r="QRF163" s="7"/>
      <c r="QRG163" s="7"/>
      <c r="QRH163" s="21"/>
      <c r="QRI163" s="20"/>
      <c r="QRJ163" s="20"/>
      <c r="QRK163" s="20"/>
      <c r="QRL163" s="21"/>
      <c r="QRM163" s="21"/>
      <c r="QRN163" s="21"/>
      <c r="QRO163" s="21"/>
      <c r="QRP163" s="21"/>
      <c r="QRQ163" s="20"/>
      <c r="QRR163" s="20"/>
      <c r="QRS163" s="20"/>
      <c r="QRT163" s="20"/>
      <c r="QRU163" s="21"/>
      <c r="QRV163" s="21"/>
      <c r="QRW163" s="7"/>
      <c r="QRX163" s="7"/>
      <c r="QRY163" s="21"/>
      <c r="QRZ163" s="20"/>
      <c r="QSA163" s="20"/>
      <c r="QSB163" s="20"/>
      <c r="QSC163" s="21"/>
      <c r="QSD163" s="21"/>
      <c r="QSE163" s="21"/>
      <c r="QSF163" s="21"/>
      <c r="QSG163" s="21"/>
      <c r="QSH163" s="20"/>
      <c r="QSI163" s="20"/>
      <c r="QSJ163" s="20"/>
      <c r="QSK163" s="20"/>
      <c r="QSL163" s="21"/>
      <c r="QSM163" s="21"/>
      <c r="QSN163" s="7"/>
      <c r="QSO163" s="7"/>
      <c r="QSP163" s="21"/>
      <c r="QSQ163" s="20"/>
      <c r="QSR163" s="20"/>
      <c r="QSS163" s="20"/>
      <c r="QST163" s="21"/>
      <c r="QSU163" s="21"/>
      <c r="QSV163" s="21"/>
      <c r="QSW163" s="21"/>
      <c r="QSX163" s="21"/>
      <c r="QSY163" s="20"/>
      <c r="QSZ163" s="20"/>
      <c r="QTA163" s="20"/>
      <c r="QTB163" s="20"/>
      <c r="QTC163" s="21"/>
      <c r="QTD163" s="21"/>
      <c r="QTE163" s="7"/>
      <c r="QTF163" s="7"/>
      <c r="QTG163" s="21"/>
      <c r="QTH163" s="20"/>
      <c r="QTI163" s="20"/>
      <c r="QTJ163" s="20"/>
      <c r="QTK163" s="21"/>
      <c r="QTL163" s="21"/>
      <c r="QTM163" s="21"/>
      <c r="QTN163" s="21"/>
      <c r="QTO163" s="21"/>
      <c r="QTP163" s="20"/>
      <c r="QTQ163" s="20"/>
      <c r="QTR163" s="20"/>
      <c r="QTS163" s="20"/>
      <c r="QTT163" s="21"/>
      <c r="QTU163" s="21"/>
      <c r="QTV163" s="7"/>
      <c r="QTW163" s="7"/>
      <c r="QTX163" s="21"/>
      <c r="QTY163" s="20"/>
      <c r="QTZ163" s="20"/>
      <c r="QUA163" s="20"/>
      <c r="QUB163" s="21"/>
      <c r="QUC163" s="21"/>
      <c r="QUD163" s="21"/>
      <c r="QUE163" s="21"/>
      <c r="QUF163" s="21"/>
      <c r="QUG163" s="20"/>
      <c r="QUH163" s="20"/>
      <c r="QUI163" s="20"/>
      <c r="QUJ163" s="20"/>
      <c r="QUK163" s="21"/>
      <c r="QUL163" s="21"/>
      <c r="QUM163" s="7"/>
      <c r="QUN163" s="7"/>
      <c r="QUO163" s="21"/>
      <c r="QUP163" s="20"/>
      <c r="QUQ163" s="20"/>
      <c r="QUR163" s="20"/>
      <c r="QUS163" s="21"/>
      <c r="QUT163" s="21"/>
      <c r="QUU163" s="21"/>
      <c r="QUV163" s="21"/>
      <c r="QUW163" s="21"/>
      <c r="QUX163" s="20"/>
      <c r="QUY163" s="20"/>
      <c r="QUZ163" s="20"/>
      <c r="QVA163" s="20"/>
      <c r="QVB163" s="21"/>
      <c r="QVC163" s="21"/>
      <c r="QVD163" s="7"/>
      <c r="QVE163" s="7"/>
      <c r="QVF163" s="21"/>
      <c r="QVG163" s="20"/>
      <c r="QVH163" s="20"/>
      <c r="QVI163" s="20"/>
      <c r="QVJ163" s="21"/>
      <c r="QVK163" s="21"/>
      <c r="QVL163" s="21"/>
      <c r="QVM163" s="21"/>
      <c r="QVN163" s="21"/>
      <c r="QVO163" s="20"/>
      <c r="QVP163" s="20"/>
      <c r="QVQ163" s="20"/>
      <c r="QVR163" s="20"/>
      <c r="QVS163" s="21"/>
      <c r="QVT163" s="21"/>
      <c r="QVU163" s="7"/>
      <c r="QVV163" s="7"/>
      <c r="QVW163" s="21"/>
      <c r="QVX163" s="20"/>
      <c r="QVY163" s="20"/>
      <c r="QVZ163" s="20"/>
      <c r="QWA163" s="21"/>
      <c r="QWB163" s="21"/>
      <c r="QWC163" s="21"/>
      <c r="QWD163" s="21"/>
      <c r="QWE163" s="21"/>
      <c r="QWF163" s="20"/>
      <c r="QWG163" s="20"/>
      <c r="QWH163" s="20"/>
      <c r="QWI163" s="20"/>
      <c r="QWJ163" s="21"/>
      <c r="QWK163" s="21"/>
      <c r="QWL163" s="7"/>
      <c r="QWM163" s="7"/>
      <c r="QWN163" s="21"/>
      <c r="QWO163" s="20"/>
      <c r="QWP163" s="20"/>
      <c r="QWQ163" s="20"/>
      <c r="QWR163" s="21"/>
      <c r="QWS163" s="21"/>
      <c r="QWT163" s="21"/>
      <c r="QWU163" s="21"/>
      <c r="QWV163" s="21"/>
      <c r="QWW163" s="20"/>
      <c r="QWX163" s="20"/>
      <c r="QWY163" s="20"/>
      <c r="QWZ163" s="20"/>
      <c r="QXA163" s="21"/>
      <c r="QXB163" s="21"/>
      <c r="QXC163" s="7"/>
      <c r="QXD163" s="7"/>
      <c r="QXE163" s="21"/>
      <c r="QXF163" s="20"/>
      <c r="QXG163" s="20"/>
      <c r="QXH163" s="20"/>
      <c r="QXI163" s="21"/>
      <c r="QXJ163" s="21"/>
      <c r="QXK163" s="21"/>
      <c r="QXL163" s="21"/>
      <c r="QXM163" s="21"/>
      <c r="QXN163" s="20"/>
      <c r="QXO163" s="20"/>
      <c r="QXP163" s="20"/>
      <c r="QXQ163" s="20"/>
      <c r="QXR163" s="21"/>
      <c r="QXS163" s="21"/>
      <c r="QXT163" s="7"/>
      <c r="QXU163" s="7"/>
      <c r="QXV163" s="21"/>
      <c r="QXW163" s="20"/>
      <c r="QXX163" s="20"/>
      <c r="QXY163" s="20"/>
      <c r="QXZ163" s="21"/>
      <c r="QYA163" s="21"/>
      <c r="QYB163" s="21"/>
      <c r="QYC163" s="21"/>
      <c r="QYD163" s="21"/>
      <c r="QYE163" s="20"/>
      <c r="QYF163" s="20"/>
      <c r="QYG163" s="20"/>
      <c r="QYH163" s="20"/>
      <c r="QYI163" s="21"/>
      <c r="QYJ163" s="21"/>
      <c r="QYK163" s="7"/>
      <c r="QYL163" s="7"/>
      <c r="QYM163" s="21"/>
      <c r="QYN163" s="20"/>
      <c r="QYO163" s="20"/>
      <c r="QYP163" s="20"/>
      <c r="QYQ163" s="21"/>
      <c r="QYR163" s="21"/>
      <c r="QYS163" s="21"/>
      <c r="QYT163" s="21"/>
      <c r="QYU163" s="21"/>
      <c r="QYV163" s="20"/>
      <c r="QYW163" s="20"/>
      <c r="QYX163" s="20"/>
      <c r="QYY163" s="20"/>
      <c r="QYZ163" s="21"/>
      <c r="QZA163" s="21"/>
      <c r="QZB163" s="7"/>
      <c r="QZC163" s="7"/>
      <c r="QZD163" s="21"/>
      <c r="QZE163" s="20"/>
      <c r="QZF163" s="20"/>
      <c r="QZG163" s="20"/>
      <c r="QZH163" s="21"/>
      <c r="QZI163" s="21"/>
      <c r="QZJ163" s="21"/>
      <c r="QZK163" s="21"/>
      <c r="QZL163" s="21"/>
      <c r="QZM163" s="20"/>
      <c r="QZN163" s="20"/>
      <c r="QZO163" s="20"/>
      <c r="QZP163" s="20"/>
      <c r="QZQ163" s="21"/>
      <c r="QZR163" s="21"/>
      <c r="QZS163" s="7"/>
      <c r="QZT163" s="7"/>
      <c r="QZU163" s="21"/>
      <c r="QZV163" s="20"/>
      <c r="QZW163" s="20"/>
      <c r="QZX163" s="20"/>
      <c r="QZY163" s="21"/>
      <c r="QZZ163" s="21"/>
      <c r="RAA163" s="21"/>
      <c r="RAB163" s="21"/>
      <c r="RAC163" s="21"/>
      <c r="RAD163" s="20"/>
      <c r="RAE163" s="20"/>
      <c r="RAF163" s="20"/>
      <c r="RAG163" s="20"/>
      <c r="RAH163" s="21"/>
      <c r="RAI163" s="21"/>
      <c r="RAJ163" s="7"/>
      <c r="RAK163" s="7"/>
      <c r="RAL163" s="21"/>
      <c r="RAM163" s="20"/>
      <c r="RAN163" s="20"/>
      <c r="RAO163" s="20"/>
      <c r="RAP163" s="21"/>
      <c r="RAQ163" s="21"/>
      <c r="RAR163" s="21"/>
      <c r="RAS163" s="21"/>
      <c r="RAT163" s="21"/>
      <c r="RAU163" s="20"/>
      <c r="RAV163" s="20"/>
      <c r="RAW163" s="20"/>
      <c r="RAX163" s="20"/>
      <c r="RAY163" s="21"/>
      <c r="RAZ163" s="21"/>
      <c r="RBA163" s="7"/>
      <c r="RBB163" s="7"/>
      <c r="RBC163" s="21"/>
      <c r="RBD163" s="20"/>
      <c r="RBE163" s="20"/>
      <c r="RBF163" s="20"/>
      <c r="RBG163" s="21"/>
      <c r="RBH163" s="21"/>
      <c r="RBI163" s="21"/>
      <c r="RBJ163" s="21"/>
      <c r="RBK163" s="21"/>
      <c r="RBL163" s="20"/>
      <c r="RBM163" s="20"/>
      <c r="RBN163" s="20"/>
      <c r="RBO163" s="20"/>
      <c r="RBP163" s="21"/>
      <c r="RBQ163" s="21"/>
      <c r="RBR163" s="7"/>
      <c r="RBS163" s="7"/>
      <c r="RBT163" s="21"/>
      <c r="RBU163" s="20"/>
      <c r="RBV163" s="20"/>
      <c r="RBW163" s="20"/>
      <c r="RBX163" s="21"/>
      <c r="RBY163" s="21"/>
      <c r="RBZ163" s="21"/>
      <c r="RCA163" s="21"/>
      <c r="RCB163" s="21"/>
      <c r="RCC163" s="20"/>
      <c r="RCD163" s="20"/>
      <c r="RCE163" s="20"/>
      <c r="RCF163" s="20"/>
      <c r="RCG163" s="21"/>
      <c r="RCH163" s="21"/>
      <c r="RCI163" s="7"/>
      <c r="RCJ163" s="7"/>
      <c r="RCK163" s="21"/>
      <c r="RCL163" s="20"/>
      <c r="RCM163" s="20"/>
      <c r="RCN163" s="20"/>
      <c r="RCO163" s="21"/>
      <c r="RCP163" s="21"/>
      <c r="RCQ163" s="21"/>
      <c r="RCR163" s="21"/>
      <c r="RCS163" s="21"/>
      <c r="RCT163" s="20"/>
      <c r="RCU163" s="20"/>
      <c r="RCV163" s="20"/>
      <c r="RCW163" s="20"/>
      <c r="RCX163" s="21"/>
      <c r="RCY163" s="21"/>
      <c r="RCZ163" s="7"/>
      <c r="RDA163" s="7"/>
      <c r="RDB163" s="21"/>
      <c r="RDC163" s="20"/>
      <c r="RDD163" s="20"/>
      <c r="RDE163" s="20"/>
      <c r="RDF163" s="21"/>
      <c r="RDG163" s="21"/>
      <c r="RDH163" s="21"/>
      <c r="RDI163" s="21"/>
      <c r="RDJ163" s="21"/>
      <c r="RDK163" s="20"/>
      <c r="RDL163" s="20"/>
      <c r="RDM163" s="20"/>
      <c r="RDN163" s="20"/>
      <c r="RDO163" s="21"/>
      <c r="RDP163" s="21"/>
      <c r="RDQ163" s="7"/>
      <c r="RDR163" s="7"/>
      <c r="RDS163" s="21"/>
      <c r="RDT163" s="20"/>
      <c r="RDU163" s="20"/>
      <c r="RDV163" s="20"/>
      <c r="RDW163" s="21"/>
      <c r="RDX163" s="21"/>
      <c r="RDY163" s="21"/>
      <c r="RDZ163" s="21"/>
      <c r="REA163" s="21"/>
      <c r="REB163" s="20"/>
      <c r="REC163" s="20"/>
      <c r="RED163" s="20"/>
      <c r="REE163" s="20"/>
      <c r="REF163" s="21"/>
      <c r="REG163" s="21"/>
      <c r="REH163" s="7"/>
      <c r="REI163" s="7"/>
      <c r="REJ163" s="21"/>
      <c r="REK163" s="20"/>
      <c r="REL163" s="20"/>
      <c r="REM163" s="20"/>
      <c r="REN163" s="21"/>
      <c r="REO163" s="21"/>
      <c r="REP163" s="21"/>
      <c r="REQ163" s="21"/>
      <c r="RER163" s="21"/>
      <c r="RES163" s="20"/>
      <c r="RET163" s="20"/>
      <c r="REU163" s="20"/>
      <c r="REV163" s="20"/>
      <c r="REW163" s="21"/>
      <c r="REX163" s="21"/>
      <c r="REY163" s="7"/>
      <c r="REZ163" s="7"/>
      <c r="RFA163" s="21"/>
      <c r="RFB163" s="20"/>
      <c r="RFC163" s="20"/>
      <c r="RFD163" s="20"/>
      <c r="RFE163" s="21"/>
      <c r="RFF163" s="21"/>
      <c r="RFG163" s="21"/>
      <c r="RFH163" s="21"/>
      <c r="RFI163" s="21"/>
      <c r="RFJ163" s="20"/>
      <c r="RFK163" s="20"/>
      <c r="RFL163" s="20"/>
      <c r="RFM163" s="20"/>
      <c r="RFN163" s="21"/>
      <c r="RFO163" s="21"/>
      <c r="RFP163" s="7"/>
      <c r="RFQ163" s="7"/>
      <c r="RFR163" s="21"/>
      <c r="RFS163" s="20"/>
      <c r="RFT163" s="20"/>
      <c r="RFU163" s="20"/>
      <c r="RFV163" s="21"/>
      <c r="RFW163" s="21"/>
      <c r="RFX163" s="21"/>
      <c r="RFY163" s="21"/>
      <c r="RFZ163" s="21"/>
      <c r="RGA163" s="20"/>
      <c r="RGB163" s="20"/>
      <c r="RGC163" s="20"/>
      <c r="RGD163" s="20"/>
      <c r="RGE163" s="21"/>
      <c r="RGF163" s="21"/>
      <c r="RGG163" s="7"/>
      <c r="RGH163" s="7"/>
      <c r="RGI163" s="21"/>
      <c r="RGJ163" s="20"/>
      <c r="RGK163" s="20"/>
      <c r="RGL163" s="20"/>
      <c r="RGM163" s="21"/>
      <c r="RGN163" s="21"/>
      <c r="RGO163" s="21"/>
      <c r="RGP163" s="21"/>
      <c r="RGQ163" s="21"/>
      <c r="RGR163" s="20"/>
      <c r="RGS163" s="20"/>
      <c r="RGT163" s="20"/>
      <c r="RGU163" s="20"/>
      <c r="RGV163" s="21"/>
      <c r="RGW163" s="21"/>
      <c r="RGX163" s="7"/>
      <c r="RGY163" s="7"/>
      <c r="RGZ163" s="21"/>
      <c r="RHA163" s="20"/>
      <c r="RHB163" s="20"/>
      <c r="RHC163" s="20"/>
      <c r="RHD163" s="21"/>
      <c r="RHE163" s="21"/>
      <c r="RHF163" s="21"/>
      <c r="RHG163" s="21"/>
      <c r="RHH163" s="21"/>
      <c r="RHI163" s="20"/>
      <c r="RHJ163" s="20"/>
      <c r="RHK163" s="20"/>
      <c r="RHL163" s="20"/>
      <c r="RHM163" s="21"/>
      <c r="RHN163" s="21"/>
      <c r="RHO163" s="7"/>
      <c r="RHP163" s="7"/>
      <c r="RHQ163" s="21"/>
      <c r="RHR163" s="20"/>
      <c r="RHS163" s="20"/>
      <c r="RHT163" s="20"/>
      <c r="RHU163" s="21"/>
      <c r="RHV163" s="21"/>
      <c r="RHW163" s="21"/>
      <c r="RHX163" s="21"/>
      <c r="RHY163" s="21"/>
      <c r="RHZ163" s="20"/>
      <c r="RIA163" s="20"/>
      <c r="RIB163" s="20"/>
      <c r="RIC163" s="20"/>
      <c r="RID163" s="21"/>
      <c r="RIE163" s="21"/>
      <c r="RIF163" s="7"/>
      <c r="RIG163" s="7"/>
      <c r="RIH163" s="21"/>
      <c r="RII163" s="20"/>
      <c r="RIJ163" s="20"/>
      <c r="RIK163" s="20"/>
      <c r="RIL163" s="21"/>
      <c r="RIM163" s="21"/>
      <c r="RIN163" s="21"/>
      <c r="RIO163" s="21"/>
      <c r="RIP163" s="21"/>
      <c r="RIQ163" s="20"/>
      <c r="RIR163" s="20"/>
      <c r="RIS163" s="20"/>
      <c r="RIT163" s="20"/>
      <c r="RIU163" s="21"/>
      <c r="RIV163" s="21"/>
      <c r="RIW163" s="7"/>
      <c r="RIX163" s="7"/>
      <c r="RIY163" s="21"/>
      <c r="RIZ163" s="20"/>
      <c r="RJA163" s="20"/>
      <c r="RJB163" s="20"/>
      <c r="RJC163" s="21"/>
      <c r="RJD163" s="21"/>
      <c r="RJE163" s="21"/>
      <c r="RJF163" s="21"/>
      <c r="RJG163" s="21"/>
      <c r="RJH163" s="20"/>
      <c r="RJI163" s="20"/>
      <c r="RJJ163" s="20"/>
      <c r="RJK163" s="20"/>
      <c r="RJL163" s="21"/>
      <c r="RJM163" s="21"/>
      <c r="RJN163" s="7"/>
      <c r="RJO163" s="7"/>
      <c r="RJP163" s="21"/>
      <c r="RJQ163" s="20"/>
      <c r="RJR163" s="20"/>
      <c r="RJS163" s="20"/>
      <c r="RJT163" s="21"/>
      <c r="RJU163" s="21"/>
      <c r="RJV163" s="21"/>
      <c r="RJW163" s="21"/>
      <c r="RJX163" s="21"/>
      <c r="RJY163" s="20"/>
      <c r="RJZ163" s="20"/>
      <c r="RKA163" s="20"/>
      <c r="RKB163" s="20"/>
      <c r="RKC163" s="21"/>
      <c r="RKD163" s="21"/>
      <c r="RKE163" s="7"/>
      <c r="RKF163" s="7"/>
      <c r="RKG163" s="21"/>
      <c r="RKH163" s="20"/>
      <c r="RKI163" s="20"/>
      <c r="RKJ163" s="20"/>
      <c r="RKK163" s="21"/>
      <c r="RKL163" s="21"/>
      <c r="RKM163" s="21"/>
      <c r="RKN163" s="21"/>
      <c r="RKO163" s="21"/>
      <c r="RKP163" s="20"/>
      <c r="RKQ163" s="20"/>
      <c r="RKR163" s="20"/>
      <c r="RKS163" s="20"/>
      <c r="RKT163" s="21"/>
      <c r="RKU163" s="21"/>
      <c r="RKV163" s="7"/>
      <c r="RKW163" s="7"/>
      <c r="RKX163" s="21"/>
      <c r="RKY163" s="20"/>
      <c r="RKZ163" s="20"/>
      <c r="RLA163" s="20"/>
      <c r="RLB163" s="21"/>
      <c r="RLC163" s="21"/>
      <c r="RLD163" s="21"/>
      <c r="RLE163" s="21"/>
      <c r="RLF163" s="21"/>
      <c r="RLG163" s="20"/>
      <c r="RLH163" s="20"/>
      <c r="RLI163" s="20"/>
      <c r="RLJ163" s="20"/>
      <c r="RLK163" s="21"/>
      <c r="RLL163" s="21"/>
      <c r="RLM163" s="7"/>
      <c r="RLN163" s="7"/>
      <c r="RLO163" s="21"/>
      <c r="RLP163" s="20"/>
      <c r="RLQ163" s="20"/>
      <c r="RLR163" s="20"/>
      <c r="RLS163" s="21"/>
      <c r="RLT163" s="21"/>
      <c r="RLU163" s="21"/>
      <c r="RLV163" s="21"/>
      <c r="RLW163" s="21"/>
      <c r="RLX163" s="20"/>
      <c r="RLY163" s="20"/>
      <c r="RLZ163" s="20"/>
      <c r="RMA163" s="20"/>
      <c r="RMB163" s="21"/>
      <c r="RMC163" s="21"/>
      <c r="RMD163" s="7"/>
      <c r="RME163" s="7"/>
      <c r="RMF163" s="21"/>
      <c r="RMG163" s="20"/>
      <c r="RMH163" s="20"/>
      <c r="RMI163" s="20"/>
      <c r="RMJ163" s="21"/>
      <c r="RMK163" s="21"/>
      <c r="RML163" s="21"/>
      <c r="RMM163" s="21"/>
      <c r="RMN163" s="21"/>
      <c r="RMO163" s="20"/>
      <c r="RMP163" s="20"/>
      <c r="RMQ163" s="20"/>
      <c r="RMR163" s="20"/>
      <c r="RMS163" s="21"/>
      <c r="RMT163" s="21"/>
      <c r="RMU163" s="7"/>
      <c r="RMV163" s="7"/>
      <c r="RMW163" s="21"/>
      <c r="RMX163" s="20"/>
      <c r="RMY163" s="20"/>
      <c r="RMZ163" s="20"/>
      <c r="RNA163" s="21"/>
      <c r="RNB163" s="21"/>
      <c r="RNC163" s="21"/>
      <c r="RND163" s="21"/>
      <c r="RNE163" s="21"/>
      <c r="RNF163" s="20"/>
      <c r="RNG163" s="20"/>
      <c r="RNH163" s="20"/>
      <c r="RNI163" s="20"/>
      <c r="RNJ163" s="21"/>
      <c r="RNK163" s="21"/>
      <c r="RNL163" s="7"/>
      <c r="RNM163" s="7"/>
      <c r="RNN163" s="21"/>
      <c r="RNO163" s="20"/>
      <c r="RNP163" s="20"/>
      <c r="RNQ163" s="20"/>
      <c r="RNR163" s="21"/>
      <c r="RNS163" s="21"/>
      <c r="RNT163" s="21"/>
      <c r="RNU163" s="21"/>
      <c r="RNV163" s="21"/>
      <c r="RNW163" s="20"/>
      <c r="RNX163" s="20"/>
      <c r="RNY163" s="20"/>
      <c r="RNZ163" s="20"/>
      <c r="ROA163" s="21"/>
      <c r="ROB163" s="21"/>
      <c r="ROC163" s="7"/>
      <c r="ROD163" s="7"/>
      <c r="ROE163" s="21"/>
      <c r="ROF163" s="20"/>
      <c r="ROG163" s="20"/>
      <c r="ROH163" s="20"/>
      <c r="ROI163" s="21"/>
      <c r="ROJ163" s="21"/>
      <c r="ROK163" s="21"/>
      <c r="ROL163" s="21"/>
      <c r="ROM163" s="21"/>
      <c r="RON163" s="20"/>
      <c r="ROO163" s="20"/>
      <c r="ROP163" s="20"/>
      <c r="ROQ163" s="20"/>
      <c r="ROR163" s="21"/>
      <c r="ROS163" s="21"/>
      <c r="ROT163" s="7"/>
      <c r="ROU163" s="7"/>
      <c r="ROV163" s="21"/>
      <c r="ROW163" s="20"/>
      <c r="ROX163" s="20"/>
      <c r="ROY163" s="20"/>
      <c r="ROZ163" s="21"/>
      <c r="RPA163" s="21"/>
      <c r="RPB163" s="21"/>
      <c r="RPC163" s="21"/>
      <c r="RPD163" s="21"/>
      <c r="RPE163" s="20"/>
      <c r="RPF163" s="20"/>
      <c r="RPG163" s="20"/>
      <c r="RPH163" s="20"/>
      <c r="RPI163" s="21"/>
      <c r="RPJ163" s="21"/>
      <c r="RPK163" s="7"/>
      <c r="RPL163" s="7"/>
      <c r="RPM163" s="21"/>
      <c r="RPN163" s="20"/>
      <c r="RPO163" s="20"/>
      <c r="RPP163" s="20"/>
      <c r="RPQ163" s="21"/>
      <c r="RPR163" s="21"/>
      <c r="RPS163" s="21"/>
      <c r="RPT163" s="21"/>
      <c r="RPU163" s="21"/>
      <c r="RPV163" s="20"/>
      <c r="RPW163" s="20"/>
      <c r="RPX163" s="20"/>
      <c r="RPY163" s="20"/>
      <c r="RPZ163" s="21"/>
      <c r="RQA163" s="21"/>
      <c r="RQB163" s="7"/>
      <c r="RQC163" s="7"/>
      <c r="RQD163" s="21"/>
      <c r="RQE163" s="20"/>
      <c r="RQF163" s="20"/>
      <c r="RQG163" s="20"/>
      <c r="RQH163" s="21"/>
      <c r="RQI163" s="21"/>
      <c r="RQJ163" s="21"/>
      <c r="RQK163" s="21"/>
      <c r="RQL163" s="21"/>
      <c r="RQM163" s="20"/>
      <c r="RQN163" s="20"/>
      <c r="RQO163" s="20"/>
      <c r="RQP163" s="20"/>
      <c r="RQQ163" s="21"/>
      <c r="RQR163" s="21"/>
      <c r="RQS163" s="7"/>
      <c r="RQT163" s="7"/>
      <c r="RQU163" s="21"/>
      <c r="RQV163" s="20"/>
      <c r="RQW163" s="20"/>
      <c r="RQX163" s="20"/>
      <c r="RQY163" s="21"/>
      <c r="RQZ163" s="21"/>
      <c r="RRA163" s="21"/>
      <c r="RRB163" s="21"/>
      <c r="RRC163" s="21"/>
      <c r="RRD163" s="20"/>
      <c r="RRE163" s="20"/>
      <c r="RRF163" s="20"/>
      <c r="RRG163" s="20"/>
      <c r="RRH163" s="21"/>
      <c r="RRI163" s="21"/>
      <c r="RRJ163" s="7"/>
      <c r="RRK163" s="7"/>
      <c r="RRL163" s="21"/>
      <c r="RRM163" s="20"/>
      <c r="RRN163" s="20"/>
      <c r="RRO163" s="20"/>
      <c r="RRP163" s="21"/>
      <c r="RRQ163" s="21"/>
      <c r="RRR163" s="21"/>
      <c r="RRS163" s="21"/>
      <c r="RRT163" s="21"/>
      <c r="RRU163" s="20"/>
      <c r="RRV163" s="20"/>
      <c r="RRW163" s="20"/>
      <c r="RRX163" s="20"/>
      <c r="RRY163" s="21"/>
      <c r="RRZ163" s="21"/>
      <c r="RSA163" s="7"/>
      <c r="RSB163" s="7"/>
      <c r="RSC163" s="21"/>
      <c r="RSD163" s="20"/>
      <c r="RSE163" s="20"/>
      <c r="RSF163" s="20"/>
      <c r="RSG163" s="21"/>
      <c r="RSH163" s="21"/>
      <c r="RSI163" s="21"/>
      <c r="RSJ163" s="21"/>
      <c r="RSK163" s="21"/>
      <c r="RSL163" s="20"/>
      <c r="RSM163" s="20"/>
      <c r="RSN163" s="20"/>
      <c r="RSO163" s="20"/>
      <c r="RSP163" s="21"/>
      <c r="RSQ163" s="21"/>
      <c r="RSR163" s="7"/>
      <c r="RSS163" s="7"/>
      <c r="RST163" s="21"/>
      <c r="RSU163" s="20"/>
      <c r="RSV163" s="20"/>
      <c r="RSW163" s="20"/>
      <c r="RSX163" s="21"/>
      <c r="RSY163" s="21"/>
      <c r="RSZ163" s="21"/>
      <c r="RTA163" s="21"/>
      <c r="RTB163" s="21"/>
      <c r="RTC163" s="20"/>
      <c r="RTD163" s="20"/>
      <c r="RTE163" s="20"/>
      <c r="RTF163" s="20"/>
      <c r="RTG163" s="21"/>
      <c r="RTH163" s="21"/>
      <c r="RTI163" s="7"/>
      <c r="RTJ163" s="7"/>
      <c r="RTK163" s="21"/>
      <c r="RTL163" s="20"/>
      <c r="RTM163" s="20"/>
      <c r="RTN163" s="20"/>
      <c r="RTO163" s="21"/>
      <c r="RTP163" s="21"/>
      <c r="RTQ163" s="21"/>
      <c r="RTR163" s="21"/>
      <c r="RTS163" s="21"/>
      <c r="RTT163" s="20"/>
      <c r="RTU163" s="20"/>
      <c r="RTV163" s="20"/>
      <c r="RTW163" s="20"/>
      <c r="RTX163" s="21"/>
      <c r="RTY163" s="21"/>
      <c r="RTZ163" s="7"/>
      <c r="RUA163" s="7"/>
      <c r="RUB163" s="21"/>
      <c r="RUC163" s="20"/>
      <c r="RUD163" s="20"/>
      <c r="RUE163" s="20"/>
      <c r="RUF163" s="21"/>
      <c r="RUG163" s="21"/>
      <c r="RUH163" s="21"/>
      <c r="RUI163" s="21"/>
      <c r="RUJ163" s="21"/>
      <c r="RUK163" s="20"/>
      <c r="RUL163" s="20"/>
      <c r="RUM163" s="20"/>
      <c r="RUN163" s="20"/>
      <c r="RUO163" s="21"/>
      <c r="RUP163" s="21"/>
      <c r="RUQ163" s="7"/>
      <c r="RUR163" s="7"/>
      <c r="RUS163" s="21"/>
      <c r="RUT163" s="20"/>
      <c r="RUU163" s="20"/>
      <c r="RUV163" s="20"/>
      <c r="RUW163" s="21"/>
      <c r="RUX163" s="21"/>
      <c r="RUY163" s="21"/>
      <c r="RUZ163" s="21"/>
      <c r="RVA163" s="21"/>
      <c r="RVB163" s="20"/>
      <c r="RVC163" s="20"/>
      <c r="RVD163" s="20"/>
      <c r="RVE163" s="20"/>
      <c r="RVF163" s="21"/>
      <c r="RVG163" s="21"/>
      <c r="RVH163" s="7"/>
      <c r="RVI163" s="7"/>
      <c r="RVJ163" s="21"/>
      <c r="RVK163" s="20"/>
      <c r="RVL163" s="20"/>
      <c r="RVM163" s="20"/>
      <c r="RVN163" s="21"/>
      <c r="RVO163" s="21"/>
      <c r="RVP163" s="21"/>
      <c r="RVQ163" s="21"/>
      <c r="RVR163" s="21"/>
      <c r="RVS163" s="20"/>
      <c r="RVT163" s="20"/>
      <c r="RVU163" s="20"/>
      <c r="RVV163" s="20"/>
      <c r="RVW163" s="21"/>
      <c r="RVX163" s="21"/>
      <c r="RVY163" s="7"/>
      <c r="RVZ163" s="7"/>
      <c r="RWA163" s="21"/>
      <c r="RWB163" s="20"/>
      <c r="RWC163" s="20"/>
      <c r="RWD163" s="20"/>
      <c r="RWE163" s="21"/>
      <c r="RWF163" s="21"/>
      <c r="RWG163" s="21"/>
      <c r="RWH163" s="21"/>
      <c r="RWI163" s="21"/>
      <c r="RWJ163" s="20"/>
      <c r="RWK163" s="20"/>
      <c r="RWL163" s="20"/>
      <c r="RWM163" s="20"/>
      <c r="RWN163" s="21"/>
      <c r="RWO163" s="21"/>
      <c r="RWP163" s="7"/>
      <c r="RWQ163" s="7"/>
      <c r="RWR163" s="21"/>
      <c r="RWS163" s="20"/>
      <c r="RWT163" s="20"/>
      <c r="RWU163" s="20"/>
      <c r="RWV163" s="21"/>
      <c r="RWW163" s="21"/>
      <c r="RWX163" s="21"/>
      <c r="RWY163" s="21"/>
      <c r="RWZ163" s="21"/>
      <c r="RXA163" s="20"/>
      <c r="RXB163" s="20"/>
      <c r="RXC163" s="20"/>
      <c r="RXD163" s="20"/>
      <c r="RXE163" s="21"/>
      <c r="RXF163" s="21"/>
      <c r="RXG163" s="7"/>
      <c r="RXH163" s="7"/>
      <c r="RXI163" s="21"/>
      <c r="RXJ163" s="20"/>
      <c r="RXK163" s="20"/>
      <c r="RXL163" s="20"/>
      <c r="RXM163" s="21"/>
      <c r="RXN163" s="21"/>
      <c r="RXO163" s="21"/>
      <c r="RXP163" s="21"/>
      <c r="RXQ163" s="21"/>
      <c r="RXR163" s="20"/>
      <c r="RXS163" s="20"/>
      <c r="RXT163" s="20"/>
      <c r="RXU163" s="20"/>
      <c r="RXV163" s="21"/>
      <c r="RXW163" s="21"/>
      <c r="RXX163" s="7"/>
      <c r="RXY163" s="7"/>
      <c r="RXZ163" s="21"/>
      <c r="RYA163" s="20"/>
      <c r="RYB163" s="20"/>
      <c r="RYC163" s="20"/>
      <c r="RYD163" s="21"/>
      <c r="RYE163" s="21"/>
      <c r="RYF163" s="21"/>
      <c r="RYG163" s="21"/>
      <c r="RYH163" s="21"/>
      <c r="RYI163" s="20"/>
      <c r="RYJ163" s="20"/>
      <c r="RYK163" s="20"/>
      <c r="RYL163" s="20"/>
      <c r="RYM163" s="21"/>
      <c r="RYN163" s="21"/>
      <c r="RYO163" s="7"/>
      <c r="RYP163" s="7"/>
      <c r="RYQ163" s="21"/>
      <c r="RYR163" s="20"/>
      <c r="RYS163" s="20"/>
      <c r="RYT163" s="20"/>
      <c r="RYU163" s="21"/>
      <c r="RYV163" s="21"/>
      <c r="RYW163" s="21"/>
      <c r="RYX163" s="21"/>
      <c r="RYY163" s="21"/>
      <c r="RYZ163" s="20"/>
      <c r="RZA163" s="20"/>
      <c r="RZB163" s="20"/>
      <c r="RZC163" s="20"/>
      <c r="RZD163" s="21"/>
      <c r="RZE163" s="21"/>
      <c r="RZF163" s="7"/>
      <c r="RZG163" s="7"/>
      <c r="RZH163" s="21"/>
      <c r="RZI163" s="20"/>
      <c r="RZJ163" s="20"/>
      <c r="RZK163" s="20"/>
      <c r="RZL163" s="21"/>
      <c r="RZM163" s="21"/>
      <c r="RZN163" s="21"/>
      <c r="RZO163" s="21"/>
      <c r="RZP163" s="21"/>
      <c r="RZQ163" s="20"/>
      <c r="RZR163" s="20"/>
      <c r="RZS163" s="20"/>
      <c r="RZT163" s="20"/>
      <c r="RZU163" s="21"/>
      <c r="RZV163" s="21"/>
      <c r="RZW163" s="7"/>
      <c r="RZX163" s="7"/>
      <c r="RZY163" s="21"/>
      <c r="RZZ163" s="20"/>
      <c r="SAA163" s="20"/>
      <c r="SAB163" s="20"/>
      <c r="SAC163" s="21"/>
      <c r="SAD163" s="21"/>
      <c r="SAE163" s="21"/>
      <c r="SAF163" s="21"/>
      <c r="SAG163" s="21"/>
      <c r="SAH163" s="20"/>
      <c r="SAI163" s="20"/>
      <c r="SAJ163" s="20"/>
      <c r="SAK163" s="20"/>
      <c r="SAL163" s="21"/>
      <c r="SAM163" s="21"/>
      <c r="SAN163" s="7"/>
      <c r="SAO163" s="7"/>
      <c r="SAP163" s="21"/>
      <c r="SAQ163" s="20"/>
      <c r="SAR163" s="20"/>
      <c r="SAS163" s="20"/>
      <c r="SAT163" s="21"/>
      <c r="SAU163" s="21"/>
      <c r="SAV163" s="21"/>
      <c r="SAW163" s="21"/>
      <c r="SAX163" s="21"/>
      <c r="SAY163" s="20"/>
      <c r="SAZ163" s="20"/>
      <c r="SBA163" s="20"/>
      <c r="SBB163" s="20"/>
      <c r="SBC163" s="21"/>
      <c r="SBD163" s="21"/>
      <c r="SBE163" s="7"/>
      <c r="SBF163" s="7"/>
      <c r="SBG163" s="21"/>
      <c r="SBH163" s="20"/>
      <c r="SBI163" s="20"/>
      <c r="SBJ163" s="20"/>
      <c r="SBK163" s="21"/>
      <c r="SBL163" s="21"/>
      <c r="SBM163" s="21"/>
      <c r="SBN163" s="21"/>
      <c r="SBO163" s="21"/>
      <c r="SBP163" s="20"/>
      <c r="SBQ163" s="20"/>
      <c r="SBR163" s="20"/>
      <c r="SBS163" s="20"/>
      <c r="SBT163" s="21"/>
      <c r="SBU163" s="21"/>
      <c r="SBV163" s="7"/>
      <c r="SBW163" s="7"/>
      <c r="SBX163" s="21"/>
      <c r="SBY163" s="20"/>
      <c r="SBZ163" s="20"/>
      <c r="SCA163" s="20"/>
      <c r="SCB163" s="21"/>
      <c r="SCC163" s="21"/>
      <c r="SCD163" s="21"/>
      <c r="SCE163" s="21"/>
      <c r="SCF163" s="21"/>
      <c r="SCG163" s="20"/>
      <c r="SCH163" s="20"/>
      <c r="SCI163" s="20"/>
      <c r="SCJ163" s="20"/>
      <c r="SCK163" s="21"/>
      <c r="SCL163" s="21"/>
      <c r="SCM163" s="7"/>
      <c r="SCN163" s="7"/>
      <c r="SCO163" s="21"/>
      <c r="SCP163" s="20"/>
      <c r="SCQ163" s="20"/>
      <c r="SCR163" s="20"/>
      <c r="SCS163" s="21"/>
      <c r="SCT163" s="21"/>
      <c r="SCU163" s="21"/>
      <c r="SCV163" s="21"/>
      <c r="SCW163" s="21"/>
      <c r="SCX163" s="20"/>
      <c r="SCY163" s="20"/>
      <c r="SCZ163" s="20"/>
      <c r="SDA163" s="20"/>
      <c r="SDB163" s="21"/>
      <c r="SDC163" s="21"/>
      <c r="SDD163" s="7"/>
      <c r="SDE163" s="7"/>
      <c r="SDF163" s="21"/>
      <c r="SDG163" s="20"/>
      <c r="SDH163" s="20"/>
      <c r="SDI163" s="20"/>
      <c r="SDJ163" s="21"/>
      <c r="SDK163" s="21"/>
      <c r="SDL163" s="21"/>
      <c r="SDM163" s="21"/>
      <c r="SDN163" s="21"/>
      <c r="SDO163" s="20"/>
      <c r="SDP163" s="20"/>
      <c r="SDQ163" s="20"/>
      <c r="SDR163" s="20"/>
      <c r="SDS163" s="21"/>
      <c r="SDT163" s="21"/>
      <c r="SDU163" s="7"/>
      <c r="SDV163" s="7"/>
      <c r="SDW163" s="21"/>
      <c r="SDX163" s="20"/>
      <c r="SDY163" s="20"/>
      <c r="SDZ163" s="20"/>
      <c r="SEA163" s="21"/>
      <c r="SEB163" s="21"/>
      <c r="SEC163" s="21"/>
      <c r="SED163" s="21"/>
      <c r="SEE163" s="21"/>
      <c r="SEF163" s="20"/>
      <c r="SEG163" s="20"/>
      <c r="SEH163" s="20"/>
      <c r="SEI163" s="20"/>
      <c r="SEJ163" s="21"/>
      <c r="SEK163" s="21"/>
      <c r="SEL163" s="7"/>
      <c r="SEM163" s="7"/>
      <c r="SEN163" s="21"/>
      <c r="SEO163" s="20"/>
      <c r="SEP163" s="20"/>
      <c r="SEQ163" s="20"/>
      <c r="SER163" s="21"/>
      <c r="SES163" s="21"/>
      <c r="SET163" s="21"/>
      <c r="SEU163" s="21"/>
      <c r="SEV163" s="21"/>
      <c r="SEW163" s="20"/>
      <c r="SEX163" s="20"/>
      <c r="SEY163" s="20"/>
      <c r="SEZ163" s="20"/>
      <c r="SFA163" s="21"/>
      <c r="SFB163" s="21"/>
      <c r="SFC163" s="7"/>
      <c r="SFD163" s="7"/>
      <c r="SFE163" s="21"/>
      <c r="SFF163" s="20"/>
      <c r="SFG163" s="20"/>
      <c r="SFH163" s="20"/>
      <c r="SFI163" s="21"/>
      <c r="SFJ163" s="21"/>
      <c r="SFK163" s="21"/>
      <c r="SFL163" s="21"/>
      <c r="SFM163" s="21"/>
      <c r="SFN163" s="20"/>
      <c r="SFO163" s="20"/>
      <c r="SFP163" s="20"/>
      <c r="SFQ163" s="20"/>
      <c r="SFR163" s="21"/>
      <c r="SFS163" s="21"/>
      <c r="SFT163" s="7"/>
      <c r="SFU163" s="7"/>
      <c r="SFV163" s="21"/>
      <c r="SFW163" s="20"/>
      <c r="SFX163" s="20"/>
      <c r="SFY163" s="20"/>
      <c r="SFZ163" s="21"/>
      <c r="SGA163" s="21"/>
      <c r="SGB163" s="21"/>
      <c r="SGC163" s="21"/>
      <c r="SGD163" s="21"/>
      <c r="SGE163" s="20"/>
      <c r="SGF163" s="20"/>
      <c r="SGG163" s="20"/>
      <c r="SGH163" s="20"/>
      <c r="SGI163" s="21"/>
      <c r="SGJ163" s="21"/>
      <c r="SGK163" s="7"/>
      <c r="SGL163" s="7"/>
      <c r="SGM163" s="21"/>
      <c r="SGN163" s="20"/>
      <c r="SGO163" s="20"/>
      <c r="SGP163" s="20"/>
      <c r="SGQ163" s="21"/>
      <c r="SGR163" s="21"/>
      <c r="SGS163" s="21"/>
      <c r="SGT163" s="21"/>
      <c r="SGU163" s="21"/>
      <c r="SGV163" s="20"/>
      <c r="SGW163" s="20"/>
      <c r="SGX163" s="20"/>
      <c r="SGY163" s="20"/>
      <c r="SGZ163" s="21"/>
      <c r="SHA163" s="21"/>
      <c r="SHB163" s="7"/>
      <c r="SHC163" s="7"/>
      <c r="SHD163" s="21"/>
      <c r="SHE163" s="20"/>
      <c r="SHF163" s="20"/>
      <c r="SHG163" s="20"/>
      <c r="SHH163" s="21"/>
      <c r="SHI163" s="21"/>
      <c r="SHJ163" s="21"/>
      <c r="SHK163" s="21"/>
      <c r="SHL163" s="21"/>
      <c r="SHM163" s="20"/>
      <c r="SHN163" s="20"/>
      <c r="SHO163" s="20"/>
      <c r="SHP163" s="20"/>
      <c r="SHQ163" s="21"/>
      <c r="SHR163" s="21"/>
      <c r="SHS163" s="7"/>
      <c r="SHT163" s="7"/>
      <c r="SHU163" s="21"/>
      <c r="SHV163" s="20"/>
      <c r="SHW163" s="20"/>
      <c r="SHX163" s="20"/>
      <c r="SHY163" s="21"/>
      <c r="SHZ163" s="21"/>
      <c r="SIA163" s="21"/>
      <c r="SIB163" s="21"/>
      <c r="SIC163" s="21"/>
      <c r="SID163" s="20"/>
      <c r="SIE163" s="20"/>
      <c r="SIF163" s="20"/>
      <c r="SIG163" s="20"/>
      <c r="SIH163" s="21"/>
      <c r="SII163" s="21"/>
      <c r="SIJ163" s="7"/>
      <c r="SIK163" s="7"/>
      <c r="SIL163" s="21"/>
      <c r="SIM163" s="20"/>
      <c r="SIN163" s="20"/>
      <c r="SIO163" s="20"/>
      <c r="SIP163" s="21"/>
      <c r="SIQ163" s="21"/>
      <c r="SIR163" s="21"/>
      <c r="SIS163" s="21"/>
      <c r="SIT163" s="21"/>
      <c r="SIU163" s="20"/>
      <c r="SIV163" s="20"/>
      <c r="SIW163" s="20"/>
      <c r="SIX163" s="20"/>
      <c r="SIY163" s="21"/>
      <c r="SIZ163" s="21"/>
      <c r="SJA163" s="7"/>
      <c r="SJB163" s="7"/>
      <c r="SJC163" s="21"/>
      <c r="SJD163" s="20"/>
      <c r="SJE163" s="20"/>
      <c r="SJF163" s="20"/>
      <c r="SJG163" s="21"/>
      <c r="SJH163" s="21"/>
      <c r="SJI163" s="21"/>
      <c r="SJJ163" s="21"/>
      <c r="SJK163" s="21"/>
      <c r="SJL163" s="20"/>
      <c r="SJM163" s="20"/>
      <c r="SJN163" s="20"/>
      <c r="SJO163" s="20"/>
      <c r="SJP163" s="21"/>
      <c r="SJQ163" s="21"/>
      <c r="SJR163" s="7"/>
      <c r="SJS163" s="7"/>
      <c r="SJT163" s="21"/>
      <c r="SJU163" s="20"/>
      <c r="SJV163" s="20"/>
      <c r="SJW163" s="20"/>
      <c r="SJX163" s="21"/>
      <c r="SJY163" s="21"/>
      <c r="SJZ163" s="21"/>
      <c r="SKA163" s="21"/>
      <c r="SKB163" s="21"/>
      <c r="SKC163" s="20"/>
      <c r="SKD163" s="20"/>
      <c r="SKE163" s="20"/>
      <c r="SKF163" s="20"/>
      <c r="SKG163" s="21"/>
      <c r="SKH163" s="21"/>
      <c r="SKI163" s="7"/>
      <c r="SKJ163" s="7"/>
      <c r="SKK163" s="21"/>
      <c r="SKL163" s="20"/>
      <c r="SKM163" s="20"/>
      <c r="SKN163" s="20"/>
      <c r="SKO163" s="21"/>
      <c r="SKP163" s="21"/>
      <c r="SKQ163" s="21"/>
      <c r="SKR163" s="21"/>
      <c r="SKS163" s="21"/>
      <c r="SKT163" s="20"/>
      <c r="SKU163" s="20"/>
      <c r="SKV163" s="20"/>
      <c r="SKW163" s="20"/>
      <c r="SKX163" s="21"/>
      <c r="SKY163" s="21"/>
      <c r="SKZ163" s="7"/>
      <c r="SLA163" s="7"/>
      <c r="SLB163" s="21"/>
      <c r="SLC163" s="20"/>
      <c r="SLD163" s="20"/>
      <c r="SLE163" s="20"/>
      <c r="SLF163" s="21"/>
      <c r="SLG163" s="21"/>
      <c r="SLH163" s="21"/>
      <c r="SLI163" s="21"/>
      <c r="SLJ163" s="21"/>
      <c r="SLK163" s="20"/>
      <c r="SLL163" s="20"/>
      <c r="SLM163" s="20"/>
      <c r="SLN163" s="20"/>
      <c r="SLO163" s="21"/>
      <c r="SLP163" s="21"/>
      <c r="SLQ163" s="7"/>
      <c r="SLR163" s="7"/>
      <c r="SLS163" s="21"/>
      <c r="SLT163" s="20"/>
      <c r="SLU163" s="20"/>
      <c r="SLV163" s="20"/>
      <c r="SLW163" s="21"/>
      <c r="SLX163" s="21"/>
      <c r="SLY163" s="21"/>
      <c r="SLZ163" s="21"/>
      <c r="SMA163" s="21"/>
      <c r="SMB163" s="20"/>
      <c r="SMC163" s="20"/>
      <c r="SMD163" s="20"/>
      <c r="SME163" s="20"/>
      <c r="SMF163" s="21"/>
      <c r="SMG163" s="21"/>
      <c r="SMH163" s="7"/>
      <c r="SMI163" s="7"/>
      <c r="SMJ163" s="21"/>
      <c r="SMK163" s="20"/>
      <c r="SML163" s="20"/>
      <c r="SMM163" s="20"/>
      <c r="SMN163" s="21"/>
      <c r="SMO163" s="21"/>
      <c r="SMP163" s="21"/>
      <c r="SMQ163" s="21"/>
      <c r="SMR163" s="21"/>
      <c r="SMS163" s="20"/>
      <c r="SMT163" s="20"/>
      <c r="SMU163" s="20"/>
      <c r="SMV163" s="20"/>
      <c r="SMW163" s="21"/>
      <c r="SMX163" s="21"/>
      <c r="SMY163" s="7"/>
      <c r="SMZ163" s="7"/>
      <c r="SNA163" s="21"/>
      <c r="SNB163" s="20"/>
      <c r="SNC163" s="20"/>
      <c r="SND163" s="20"/>
      <c r="SNE163" s="21"/>
      <c r="SNF163" s="21"/>
      <c r="SNG163" s="21"/>
      <c r="SNH163" s="21"/>
      <c r="SNI163" s="21"/>
      <c r="SNJ163" s="20"/>
      <c r="SNK163" s="20"/>
      <c r="SNL163" s="20"/>
      <c r="SNM163" s="20"/>
      <c r="SNN163" s="21"/>
      <c r="SNO163" s="21"/>
      <c r="SNP163" s="7"/>
      <c r="SNQ163" s="7"/>
      <c r="SNR163" s="21"/>
      <c r="SNS163" s="20"/>
      <c r="SNT163" s="20"/>
      <c r="SNU163" s="20"/>
      <c r="SNV163" s="21"/>
      <c r="SNW163" s="21"/>
      <c r="SNX163" s="21"/>
      <c r="SNY163" s="21"/>
      <c r="SNZ163" s="21"/>
      <c r="SOA163" s="20"/>
      <c r="SOB163" s="20"/>
      <c r="SOC163" s="20"/>
      <c r="SOD163" s="20"/>
      <c r="SOE163" s="21"/>
      <c r="SOF163" s="21"/>
      <c r="SOG163" s="7"/>
      <c r="SOH163" s="7"/>
      <c r="SOI163" s="21"/>
      <c r="SOJ163" s="20"/>
      <c r="SOK163" s="20"/>
      <c r="SOL163" s="20"/>
      <c r="SOM163" s="21"/>
      <c r="SON163" s="21"/>
      <c r="SOO163" s="21"/>
      <c r="SOP163" s="21"/>
      <c r="SOQ163" s="21"/>
      <c r="SOR163" s="20"/>
      <c r="SOS163" s="20"/>
      <c r="SOT163" s="20"/>
      <c r="SOU163" s="20"/>
      <c r="SOV163" s="21"/>
      <c r="SOW163" s="21"/>
      <c r="SOX163" s="7"/>
      <c r="SOY163" s="7"/>
      <c r="SOZ163" s="21"/>
      <c r="SPA163" s="20"/>
      <c r="SPB163" s="20"/>
      <c r="SPC163" s="20"/>
      <c r="SPD163" s="21"/>
      <c r="SPE163" s="21"/>
      <c r="SPF163" s="21"/>
      <c r="SPG163" s="21"/>
      <c r="SPH163" s="21"/>
      <c r="SPI163" s="20"/>
      <c r="SPJ163" s="20"/>
      <c r="SPK163" s="20"/>
      <c r="SPL163" s="20"/>
      <c r="SPM163" s="21"/>
      <c r="SPN163" s="21"/>
      <c r="SPO163" s="7"/>
      <c r="SPP163" s="7"/>
      <c r="SPQ163" s="21"/>
      <c r="SPR163" s="20"/>
      <c r="SPS163" s="20"/>
      <c r="SPT163" s="20"/>
      <c r="SPU163" s="21"/>
      <c r="SPV163" s="21"/>
      <c r="SPW163" s="21"/>
      <c r="SPX163" s="21"/>
      <c r="SPY163" s="21"/>
      <c r="SPZ163" s="20"/>
      <c r="SQA163" s="20"/>
      <c r="SQB163" s="20"/>
      <c r="SQC163" s="20"/>
      <c r="SQD163" s="21"/>
      <c r="SQE163" s="21"/>
      <c r="SQF163" s="7"/>
      <c r="SQG163" s="7"/>
      <c r="SQH163" s="21"/>
      <c r="SQI163" s="20"/>
      <c r="SQJ163" s="20"/>
      <c r="SQK163" s="20"/>
      <c r="SQL163" s="21"/>
      <c r="SQM163" s="21"/>
      <c r="SQN163" s="21"/>
      <c r="SQO163" s="21"/>
      <c r="SQP163" s="21"/>
      <c r="SQQ163" s="20"/>
      <c r="SQR163" s="20"/>
      <c r="SQS163" s="20"/>
      <c r="SQT163" s="20"/>
      <c r="SQU163" s="21"/>
      <c r="SQV163" s="21"/>
      <c r="SQW163" s="7"/>
      <c r="SQX163" s="7"/>
      <c r="SQY163" s="21"/>
      <c r="SQZ163" s="20"/>
      <c r="SRA163" s="20"/>
      <c r="SRB163" s="20"/>
      <c r="SRC163" s="21"/>
      <c r="SRD163" s="21"/>
      <c r="SRE163" s="21"/>
      <c r="SRF163" s="21"/>
      <c r="SRG163" s="21"/>
      <c r="SRH163" s="20"/>
      <c r="SRI163" s="20"/>
      <c r="SRJ163" s="20"/>
      <c r="SRK163" s="20"/>
      <c r="SRL163" s="21"/>
      <c r="SRM163" s="21"/>
      <c r="SRN163" s="7"/>
      <c r="SRO163" s="7"/>
      <c r="SRP163" s="21"/>
      <c r="SRQ163" s="20"/>
      <c r="SRR163" s="20"/>
      <c r="SRS163" s="20"/>
      <c r="SRT163" s="21"/>
      <c r="SRU163" s="21"/>
      <c r="SRV163" s="21"/>
      <c r="SRW163" s="21"/>
      <c r="SRX163" s="21"/>
      <c r="SRY163" s="20"/>
      <c r="SRZ163" s="20"/>
      <c r="SSA163" s="20"/>
      <c r="SSB163" s="20"/>
      <c r="SSC163" s="21"/>
      <c r="SSD163" s="21"/>
      <c r="SSE163" s="7"/>
      <c r="SSF163" s="7"/>
      <c r="SSG163" s="21"/>
      <c r="SSH163" s="20"/>
      <c r="SSI163" s="20"/>
      <c r="SSJ163" s="20"/>
      <c r="SSK163" s="21"/>
      <c r="SSL163" s="21"/>
      <c r="SSM163" s="21"/>
      <c r="SSN163" s="21"/>
      <c r="SSO163" s="21"/>
      <c r="SSP163" s="20"/>
      <c r="SSQ163" s="20"/>
      <c r="SSR163" s="20"/>
      <c r="SSS163" s="20"/>
      <c r="SST163" s="21"/>
      <c r="SSU163" s="21"/>
      <c r="SSV163" s="7"/>
      <c r="SSW163" s="7"/>
      <c r="SSX163" s="21"/>
      <c r="SSY163" s="20"/>
      <c r="SSZ163" s="20"/>
      <c r="STA163" s="20"/>
      <c r="STB163" s="21"/>
      <c r="STC163" s="21"/>
      <c r="STD163" s="21"/>
      <c r="STE163" s="21"/>
      <c r="STF163" s="21"/>
      <c r="STG163" s="20"/>
      <c r="STH163" s="20"/>
      <c r="STI163" s="20"/>
      <c r="STJ163" s="20"/>
      <c r="STK163" s="21"/>
      <c r="STL163" s="21"/>
      <c r="STM163" s="7"/>
      <c r="STN163" s="7"/>
      <c r="STO163" s="21"/>
      <c r="STP163" s="20"/>
      <c r="STQ163" s="20"/>
      <c r="STR163" s="20"/>
      <c r="STS163" s="21"/>
      <c r="STT163" s="21"/>
      <c r="STU163" s="21"/>
      <c r="STV163" s="21"/>
      <c r="STW163" s="21"/>
      <c r="STX163" s="20"/>
      <c r="STY163" s="20"/>
      <c r="STZ163" s="20"/>
      <c r="SUA163" s="20"/>
      <c r="SUB163" s="21"/>
      <c r="SUC163" s="21"/>
      <c r="SUD163" s="7"/>
      <c r="SUE163" s="7"/>
      <c r="SUF163" s="21"/>
      <c r="SUG163" s="20"/>
      <c r="SUH163" s="20"/>
      <c r="SUI163" s="20"/>
      <c r="SUJ163" s="21"/>
      <c r="SUK163" s="21"/>
      <c r="SUL163" s="21"/>
      <c r="SUM163" s="21"/>
      <c r="SUN163" s="21"/>
      <c r="SUO163" s="20"/>
      <c r="SUP163" s="20"/>
      <c r="SUQ163" s="20"/>
      <c r="SUR163" s="20"/>
      <c r="SUS163" s="21"/>
      <c r="SUT163" s="21"/>
      <c r="SUU163" s="7"/>
      <c r="SUV163" s="7"/>
      <c r="SUW163" s="21"/>
      <c r="SUX163" s="20"/>
      <c r="SUY163" s="20"/>
      <c r="SUZ163" s="20"/>
      <c r="SVA163" s="21"/>
      <c r="SVB163" s="21"/>
      <c r="SVC163" s="21"/>
      <c r="SVD163" s="21"/>
      <c r="SVE163" s="21"/>
      <c r="SVF163" s="20"/>
      <c r="SVG163" s="20"/>
      <c r="SVH163" s="20"/>
      <c r="SVI163" s="20"/>
      <c r="SVJ163" s="21"/>
      <c r="SVK163" s="21"/>
      <c r="SVL163" s="7"/>
      <c r="SVM163" s="7"/>
      <c r="SVN163" s="21"/>
      <c r="SVO163" s="20"/>
      <c r="SVP163" s="20"/>
      <c r="SVQ163" s="20"/>
      <c r="SVR163" s="21"/>
      <c r="SVS163" s="21"/>
      <c r="SVT163" s="21"/>
      <c r="SVU163" s="21"/>
      <c r="SVV163" s="21"/>
      <c r="SVW163" s="20"/>
      <c r="SVX163" s="20"/>
      <c r="SVY163" s="20"/>
      <c r="SVZ163" s="20"/>
      <c r="SWA163" s="21"/>
      <c r="SWB163" s="21"/>
      <c r="SWC163" s="7"/>
      <c r="SWD163" s="7"/>
      <c r="SWE163" s="21"/>
      <c r="SWF163" s="20"/>
      <c r="SWG163" s="20"/>
      <c r="SWH163" s="20"/>
      <c r="SWI163" s="21"/>
      <c r="SWJ163" s="21"/>
      <c r="SWK163" s="21"/>
      <c r="SWL163" s="21"/>
      <c r="SWM163" s="21"/>
      <c r="SWN163" s="20"/>
      <c r="SWO163" s="20"/>
      <c r="SWP163" s="20"/>
      <c r="SWQ163" s="20"/>
      <c r="SWR163" s="21"/>
      <c r="SWS163" s="21"/>
      <c r="SWT163" s="7"/>
      <c r="SWU163" s="7"/>
      <c r="SWV163" s="21"/>
      <c r="SWW163" s="20"/>
      <c r="SWX163" s="20"/>
      <c r="SWY163" s="20"/>
      <c r="SWZ163" s="21"/>
      <c r="SXA163" s="21"/>
      <c r="SXB163" s="21"/>
      <c r="SXC163" s="21"/>
      <c r="SXD163" s="21"/>
      <c r="SXE163" s="20"/>
      <c r="SXF163" s="20"/>
      <c r="SXG163" s="20"/>
      <c r="SXH163" s="20"/>
      <c r="SXI163" s="21"/>
      <c r="SXJ163" s="21"/>
      <c r="SXK163" s="7"/>
      <c r="SXL163" s="7"/>
      <c r="SXM163" s="21"/>
      <c r="SXN163" s="20"/>
      <c r="SXO163" s="20"/>
      <c r="SXP163" s="20"/>
      <c r="SXQ163" s="21"/>
      <c r="SXR163" s="21"/>
      <c r="SXS163" s="21"/>
      <c r="SXT163" s="21"/>
      <c r="SXU163" s="21"/>
      <c r="SXV163" s="20"/>
      <c r="SXW163" s="20"/>
      <c r="SXX163" s="20"/>
      <c r="SXY163" s="20"/>
      <c r="SXZ163" s="21"/>
      <c r="SYA163" s="21"/>
      <c r="SYB163" s="7"/>
      <c r="SYC163" s="7"/>
      <c r="SYD163" s="21"/>
      <c r="SYE163" s="20"/>
      <c r="SYF163" s="20"/>
      <c r="SYG163" s="20"/>
      <c r="SYH163" s="21"/>
      <c r="SYI163" s="21"/>
      <c r="SYJ163" s="21"/>
      <c r="SYK163" s="21"/>
      <c r="SYL163" s="21"/>
      <c r="SYM163" s="20"/>
      <c r="SYN163" s="20"/>
      <c r="SYO163" s="20"/>
      <c r="SYP163" s="20"/>
      <c r="SYQ163" s="21"/>
      <c r="SYR163" s="21"/>
      <c r="SYS163" s="7"/>
      <c r="SYT163" s="7"/>
      <c r="SYU163" s="21"/>
      <c r="SYV163" s="20"/>
      <c r="SYW163" s="20"/>
      <c r="SYX163" s="20"/>
      <c r="SYY163" s="21"/>
      <c r="SYZ163" s="21"/>
      <c r="SZA163" s="21"/>
      <c r="SZB163" s="21"/>
      <c r="SZC163" s="21"/>
      <c r="SZD163" s="20"/>
      <c r="SZE163" s="20"/>
      <c r="SZF163" s="20"/>
      <c r="SZG163" s="20"/>
      <c r="SZH163" s="21"/>
      <c r="SZI163" s="21"/>
      <c r="SZJ163" s="7"/>
      <c r="SZK163" s="7"/>
      <c r="SZL163" s="21"/>
      <c r="SZM163" s="20"/>
      <c r="SZN163" s="20"/>
      <c r="SZO163" s="20"/>
      <c r="SZP163" s="21"/>
      <c r="SZQ163" s="21"/>
      <c r="SZR163" s="21"/>
      <c r="SZS163" s="21"/>
      <c r="SZT163" s="21"/>
      <c r="SZU163" s="20"/>
      <c r="SZV163" s="20"/>
      <c r="SZW163" s="20"/>
      <c r="SZX163" s="20"/>
      <c r="SZY163" s="21"/>
      <c r="SZZ163" s="21"/>
      <c r="TAA163" s="7"/>
      <c r="TAB163" s="7"/>
      <c r="TAC163" s="21"/>
      <c r="TAD163" s="20"/>
      <c r="TAE163" s="20"/>
      <c r="TAF163" s="20"/>
      <c r="TAG163" s="21"/>
      <c r="TAH163" s="21"/>
      <c r="TAI163" s="21"/>
      <c r="TAJ163" s="21"/>
      <c r="TAK163" s="21"/>
      <c r="TAL163" s="20"/>
      <c r="TAM163" s="20"/>
      <c r="TAN163" s="20"/>
      <c r="TAO163" s="20"/>
      <c r="TAP163" s="21"/>
      <c r="TAQ163" s="21"/>
      <c r="TAR163" s="7"/>
      <c r="TAS163" s="7"/>
      <c r="TAT163" s="21"/>
      <c r="TAU163" s="20"/>
      <c r="TAV163" s="20"/>
      <c r="TAW163" s="20"/>
      <c r="TAX163" s="21"/>
      <c r="TAY163" s="21"/>
      <c r="TAZ163" s="21"/>
      <c r="TBA163" s="21"/>
      <c r="TBB163" s="21"/>
      <c r="TBC163" s="20"/>
      <c r="TBD163" s="20"/>
      <c r="TBE163" s="20"/>
      <c r="TBF163" s="20"/>
      <c r="TBG163" s="21"/>
      <c r="TBH163" s="21"/>
      <c r="TBI163" s="7"/>
      <c r="TBJ163" s="7"/>
      <c r="TBK163" s="21"/>
      <c r="TBL163" s="20"/>
      <c r="TBM163" s="20"/>
      <c r="TBN163" s="20"/>
      <c r="TBO163" s="21"/>
      <c r="TBP163" s="21"/>
      <c r="TBQ163" s="21"/>
      <c r="TBR163" s="21"/>
      <c r="TBS163" s="21"/>
      <c r="TBT163" s="20"/>
      <c r="TBU163" s="20"/>
      <c r="TBV163" s="20"/>
      <c r="TBW163" s="20"/>
      <c r="TBX163" s="21"/>
      <c r="TBY163" s="21"/>
      <c r="TBZ163" s="7"/>
      <c r="TCA163" s="7"/>
      <c r="TCB163" s="21"/>
      <c r="TCC163" s="20"/>
      <c r="TCD163" s="20"/>
      <c r="TCE163" s="20"/>
      <c r="TCF163" s="21"/>
      <c r="TCG163" s="21"/>
      <c r="TCH163" s="21"/>
      <c r="TCI163" s="21"/>
      <c r="TCJ163" s="21"/>
      <c r="TCK163" s="20"/>
      <c r="TCL163" s="20"/>
      <c r="TCM163" s="20"/>
      <c r="TCN163" s="20"/>
      <c r="TCO163" s="21"/>
      <c r="TCP163" s="21"/>
      <c r="TCQ163" s="7"/>
      <c r="TCR163" s="7"/>
      <c r="TCS163" s="21"/>
      <c r="TCT163" s="20"/>
      <c r="TCU163" s="20"/>
      <c r="TCV163" s="20"/>
      <c r="TCW163" s="21"/>
      <c r="TCX163" s="21"/>
      <c r="TCY163" s="21"/>
      <c r="TCZ163" s="21"/>
      <c r="TDA163" s="21"/>
      <c r="TDB163" s="20"/>
      <c r="TDC163" s="20"/>
      <c r="TDD163" s="20"/>
      <c r="TDE163" s="20"/>
      <c r="TDF163" s="21"/>
      <c r="TDG163" s="21"/>
      <c r="TDH163" s="7"/>
      <c r="TDI163" s="7"/>
      <c r="TDJ163" s="21"/>
      <c r="TDK163" s="20"/>
      <c r="TDL163" s="20"/>
      <c r="TDM163" s="20"/>
      <c r="TDN163" s="21"/>
      <c r="TDO163" s="21"/>
      <c r="TDP163" s="21"/>
      <c r="TDQ163" s="21"/>
      <c r="TDR163" s="21"/>
      <c r="TDS163" s="20"/>
      <c r="TDT163" s="20"/>
      <c r="TDU163" s="20"/>
      <c r="TDV163" s="20"/>
      <c r="TDW163" s="21"/>
      <c r="TDX163" s="21"/>
      <c r="TDY163" s="7"/>
      <c r="TDZ163" s="7"/>
      <c r="TEA163" s="21"/>
      <c r="TEB163" s="20"/>
      <c r="TEC163" s="20"/>
      <c r="TED163" s="20"/>
      <c r="TEE163" s="21"/>
      <c r="TEF163" s="21"/>
      <c r="TEG163" s="21"/>
      <c r="TEH163" s="21"/>
      <c r="TEI163" s="21"/>
      <c r="TEJ163" s="20"/>
      <c r="TEK163" s="20"/>
      <c r="TEL163" s="20"/>
      <c r="TEM163" s="20"/>
      <c r="TEN163" s="21"/>
      <c r="TEO163" s="21"/>
      <c r="TEP163" s="7"/>
      <c r="TEQ163" s="7"/>
      <c r="TER163" s="21"/>
      <c r="TES163" s="20"/>
      <c r="TET163" s="20"/>
      <c r="TEU163" s="20"/>
      <c r="TEV163" s="21"/>
      <c r="TEW163" s="21"/>
      <c r="TEX163" s="21"/>
      <c r="TEY163" s="21"/>
      <c r="TEZ163" s="21"/>
      <c r="TFA163" s="20"/>
      <c r="TFB163" s="20"/>
      <c r="TFC163" s="20"/>
      <c r="TFD163" s="20"/>
      <c r="TFE163" s="21"/>
      <c r="TFF163" s="21"/>
      <c r="TFG163" s="7"/>
      <c r="TFH163" s="7"/>
      <c r="TFI163" s="21"/>
      <c r="TFJ163" s="20"/>
      <c r="TFK163" s="20"/>
      <c r="TFL163" s="20"/>
      <c r="TFM163" s="21"/>
      <c r="TFN163" s="21"/>
      <c r="TFO163" s="21"/>
      <c r="TFP163" s="21"/>
      <c r="TFQ163" s="21"/>
      <c r="TFR163" s="20"/>
      <c r="TFS163" s="20"/>
      <c r="TFT163" s="20"/>
      <c r="TFU163" s="20"/>
      <c r="TFV163" s="21"/>
      <c r="TFW163" s="21"/>
      <c r="TFX163" s="7"/>
      <c r="TFY163" s="7"/>
      <c r="TFZ163" s="21"/>
      <c r="TGA163" s="20"/>
      <c r="TGB163" s="20"/>
      <c r="TGC163" s="20"/>
      <c r="TGD163" s="21"/>
      <c r="TGE163" s="21"/>
      <c r="TGF163" s="21"/>
      <c r="TGG163" s="21"/>
      <c r="TGH163" s="21"/>
      <c r="TGI163" s="20"/>
      <c r="TGJ163" s="20"/>
      <c r="TGK163" s="20"/>
      <c r="TGL163" s="20"/>
      <c r="TGM163" s="21"/>
      <c r="TGN163" s="21"/>
      <c r="TGO163" s="7"/>
      <c r="TGP163" s="7"/>
      <c r="TGQ163" s="21"/>
      <c r="TGR163" s="20"/>
      <c r="TGS163" s="20"/>
      <c r="TGT163" s="20"/>
      <c r="TGU163" s="21"/>
      <c r="TGV163" s="21"/>
      <c r="TGW163" s="21"/>
      <c r="TGX163" s="21"/>
      <c r="TGY163" s="21"/>
      <c r="TGZ163" s="20"/>
      <c r="THA163" s="20"/>
      <c r="THB163" s="20"/>
      <c r="THC163" s="20"/>
      <c r="THD163" s="21"/>
      <c r="THE163" s="21"/>
      <c r="THF163" s="7"/>
      <c r="THG163" s="7"/>
      <c r="THH163" s="21"/>
      <c r="THI163" s="20"/>
      <c r="THJ163" s="20"/>
      <c r="THK163" s="20"/>
      <c r="THL163" s="21"/>
      <c r="THM163" s="21"/>
      <c r="THN163" s="21"/>
      <c r="THO163" s="21"/>
      <c r="THP163" s="21"/>
      <c r="THQ163" s="20"/>
      <c r="THR163" s="20"/>
      <c r="THS163" s="20"/>
      <c r="THT163" s="20"/>
      <c r="THU163" s="21"/>
      <c r="THV163" s="21"/>
      <c r="THW163" s="7"/>
      <c r="THX163" s="7"/>
      <c r="THY163" s="21"/>
      <c r="THZ163" s="20"/>
      <c r="TIA163" s="20"/>
      <c r="TIB163" s="20"/>
      <c r="TIC163" s="21"/>
      <c r="TID163" s="21"/>
      <c r="TIE163" s="21"/>
      <c r="TIF163" s="21"/>
      <c r="TIG163" s="21"/>
      <c r="TIH163" s="20"/>
      <c r="TII163" s="20"/>
      <c r="TIJ163" s="20"/>
      <c r="TIK163" s="20"/>
      <c r="TIL163" s="21"/>
      <c r="TIM163" s="21"/>
      <c r="TIN163" s="7"/>
      <c r="TIO163" s="7"/>
      <c r="TIP163" s="21"/>
      <c r="TIQ163" s="20"/>
      <c r="TIR163" s="20"/>
      <c r="TIS163" s="20"/>
      <c r="TIT163" s="21"/>
      <c r="TIU163" s="21"/>
      <c r="TIV163" s="21"/>
      <c r="TIW163" s="21"/>
      <c r="TIX163" s="21"/>
      <c r="TIY163" s="20"/>
      <c r="TIZ163" s="20"/>
      <c r="TJA163" s="20"/>
      <c r="TJB163" s="20"/>
      <c r="TJC163" s="21"/>
      <c r="TJD163" s="21"/>
      <c r="TJE163" s="7"/>
      <c r="TJF163" s="7"/>
      <c r="TJG163" s="21"/>
      <c r="TJH163" s="20"/>
      <c r="TJI163" s="20"/>
      <c r="TJJ163" s="20"/>
      <c r="TJK163" s="21"/>
      <c r="TJL163" s="21"/>
      <c r="TJM163" s="21"/>
      <c r="TJN163" s="21"/>
      <c r="TJO163" s="21"/>
      <c r="TJP163" s="20"/>
      <c r="TJQ163" s="20"/>
      <c r="TJR163" s="20"/>
      <c r="TJS163" s="20"/>
      <c r="TJT163" s="21"/>
      <c r="TJU163" s="21"/>
      <c r="TJV163" s="7"/>
      <c r="TJW163" s="7"/>
      <c r="TJX163" s="21"/>
      <c r="TJY163" s="20"/>
      <c r="TJZ163" s="20"/>
      <c r="TKA163" s="20"/>
      <c r="TKB163" s="21"/>
      <c r="TKC163" s="21"/>
      <c r="TKD163" s="21"/>
      <c r="TKE163" s="21"/>
      <c r="TKF163" s="21"/>
      <c r="TKG163" s="20"/>
      <c r="TKH163" s="20"/>
      <c r="TKI163" s="20"/>
      <c r="TKJ163" s="20"/>
      <c r="TKK163" s="21"/>
      <c r="TKL163" s="21"/>
      <c r="TKM163" s="7"/>
      <c r="TKN163" s="7"/>
      <c r="TKO163" s="21"/>
      <c r="TKP163" s="20"/>
      <c r="TKQ163" s="20"/>
      <c r="TKR163" s="20"/>
      <c r="TKS163" s="21"/>
      <c r="TKT163" s="21"/>
      <c r="TKU163" s="21"/>
      <c r="TKV163" s="21"/>
      <c r="TKW163" s="21"/>
      <c r="TKX163" s="20"/>
      <c r="TKY163" s="20"/>
      <c r="TKZ163" s="20"/>
      <c r="TLA163" s="20"/>
      <c r="TLB163" s="21"/>
      <c r="TLC163" s="21"/>
      <c r="TLD163" s="7"/>
      <c r="TLE163" s="7"/>
      <c r="TLF163" s="21"/>
      <c r="TLG163" s="20"/>
      <c r="TLH163" s="20"/>
      <c r="TLI163" s="20"/>
      <c r="TLJ163" s="21"/>
      <c r="TLK163" s="21"/>
      <c r="TLL163" s="21"/>
      <c r="TLM163" s="21"/>
      <c r="TLN163" s="21"/>
      <c r="TLO163" s="20"/>
      <c r="TLP163" s="20"/>
      <c r="TLQ163" s="20"/>
      <c r="TLR163" s="20"/>
      <c r="TLS163" s="21"/>
      <c r="TLT163" s="21"/>
      <c r="TLU163" s="7"/>
      <c r="TLV163" s="7"/>
      <c r="TLW163" s="21"/>
      <c r="TLX163" s="20"/>
      <c r="TLY163" s="20"/>
      <c r="TLZ163" s="20"/>
      <c r="TMA163" s="21"/>
      <c r="TMB163" s="21"/>
      <c r="TMC163" s="21"/>
      <c r="TMD163" s="21"/>
      <c r="TME163" s="21"/>
      <c r="TMF163" s="20"/>
      <c r="TMG163" s="20"/>
      <c r="TMH163" s="20"/>
      <c r="TMI163" s="20"/>
      <c r="TMJ163" s="21"/>
      <c r="TMK163" s="21"/>
      <c r="TML163" s="7"/>
      <c r="TMM163" s="7"/>
      <c r="TMN163" s="21"/>
      <c r="TMO163" s="20"/>
      <c r="TMP163" s="20"/>
      <c r="TMQ163" s="20"/>
      <c r="TMR163" s="21"/>
      <c r="TMS163" s="21"/>
      <c r="TMT163" s="21"/>
      <c r="TMU163" s="21"/>
      <c r="TMV163" s="21"/>
      <c r="TMW163" s="20"/>
      <c r="TMX163" s="20"/>
      <c r="TMY163" s="20"/>
      <c r="TMZ163" s="20"/>
      <c r="TNA163" s="21"/>
      <c r="TNB163" s="21"/>
      <c r="TNC163" s="7"/>
      <c r="TND163" s="7"/>
      <c r="TNE163" s="21"/>
      <c r="TNF163" s="20"/>
      <c r="TNG163" s="20"/>
      <c r="TNH163" s="20"/>
      <c r="TNI163" s="21"/>
      <c r="TNJ163" s="21"/>
      <c r="TNK163" s="21"/>
      <c r="TNL163" s="21"/>
      <c r="TNM163" s="21"/>
      <c r="TNN163" s="20"/>
      <c r="TNO163" s="20"/>
      <c r="TNP163" s="20"/>
      <c r="TNQ163" s="20"/>
      <c r="TNR163" s="21"/>
      <c r="TNS163" s="21"/>
      <c r="TNT163" s="7"/>
      <c r="TNU163" s="7"/>
      <c r="TNV163" s="21"/>
      <c r="TNW163" s="20"/>
      <c r="TNX163" s="20"/>
      <c r="TNY163" s="20"/>
      <c r="TNZ163" s="21"/>
      <c r="TOA163" s="21"/>
      <c r="TOB163" s="21"/>
      <c r="TOC163" s="21"/>
      <c r="TOD163" s="21"/>
      <c r="TOE163" s="20"/>
      <c r="TOF163" s="20"/>
      <c r="TOG163" s="20"/>
      <c r="TOH163" s="20"/>
      <c r="TOI163" s="21"/>
      <c r="TOJ163" s="21"/>
      <c r="TOK163" s="7"/>
      <c r="TOL163" s="7"/>
      <c r="TOM163" s="21"/>
      <c r="TON163" s="20"/>
      <c r="TOO163" s="20"/>
      <c r="TOP163" s="20"/>
      <c r="TOQ163" s="21"/>
      <c r="TOR163" s="21"/>
      <c r="TOS163" s="21"/>
      <c r="TOT163" s="21"/>
      <c r="TOU163" s="21"/>
      <c r="TOV163" s="20"/>
      <c r="TOW163" s="20"/>
      <c r="TOX163" s="20"/>
      <c r="TOY163" s="20"/>
      <c r="TOZ163" s="21"/>
      <c r="TPA163" s="21"/>
      <c r="TPB163" s="7"/>
      <c r="TPC163" s="7"/>
      <c r="TPD163" s="21"/>
      <c r="TPE163" s="20"/>
      <c r="TPF163" s="20"/>
      <c r="TPG163" s="20"/>
      <c r="TPH163" s="21"/>
      <c r="TPI163" s="21"/>
      <c r="TPJ163" s="21"/>
      <c r="TPK163" s="21"/>
      <c r="TPL163" s="21"/>
      <c r="TPM163" s="20"/>
      <c r="TPN163" s="20"/>
      <c r="TPO163" s="20"/>
      <c r="TPP163" s="20"/>
      <c r="TPQ163" s="21"/>
      <c r="TPR163" s="21"/>
      <c r="TPS163" s="7"/>
      <c r="TPT163" s="7"/>
      <c r="TPU163" s="21"/>
      <c r="TPV163" s="20"/>
      <c r="TPW163" s="20"/>
      <c r="TPX163" s="20"/>
      <c r="TPY163" s="21"/>
      <c r="TPZ163" s="21"/>
      <c r="TQA163" s="21"/>
      <c r="TQB163" s="21"/>
      <c r="TQC163" s="21"/>
      <c r="TQD163" s="20"/>
      <c r="TQE163" s="20"/>
      <c r="TQF163" s="20"/>
      <c r="TQG163" s="20"/>
      <c r="TQH163" s="21"/>
      <c r="TQI163" s="21"/>
      <c r="TQJ163" s="7"/>
      <c r="TQK163" s="7"/>
      <c r="TQL163" s="21"/>
      <c r="TQM163" s="20"/>
      <c r="TQN163" s="20"/>
      <c r="TQO163" s="20"/>
      <c r="TQP163" s="21"/>
      <c r="TQQ163" s="21"/>
      <c r="TQR163" s="21"/>
      <c r="TQS163" s="21"/>
      <c r="TQT163" s="21"/>
      <c r="TQU163" s="20"/>
      <c r="TQV163" s="20"/>
      <c r="TQW163" s="20"/>
      <c r="TQX163" s="20"/>
      <c r="TQY163" s="21"/>
      <c r="TQZ163" s="21"/>
      <c r="TRA163" s="7"/>
      <c r="TRB163" s="7"/>
      <c r="TRC163" s="21"/>
      <c r="TRD163" s="20"/>
      <c r="TRE163" s="20"/>
      <c r="TRF163" s="20"/>
      <c r="TRG163" s="21"/>
      <c r="TRH163" s="21"/>
      <c r="TRI163" s="21"/>
      <c r="TRJ163" s="21"/>
      <c r="TRK163" s="21"/>
      <c r="TRL163" s="20"/>
      <c r="TRM163" s="20"/>
      <c r="TRN163" s="20"/>
      <c r="TRO163" s="20"/>
      <c r="TRP163" s="21"/>
      <c r="TRQ163" s="21"/>
      <c r="TRR163" s="7"/>
      <c r="TRS163" s="7"/>
      <c r="TRT163" s="21"/>
      <c r="TRU163" s="20"/>
      <c r="TRV163" s="20"/>
      <c r="TRW163" s="20"/>
      <c r="TRX163" s="21"/>
      <c r="TRY163" s="21"/>
      <c r="TRZ163" s="21"/>
      <c r="TSA163" s="21"/>
      <c r="TSB163" s="21"/>
      <c r="TSC163" s="20"/>
      <c r="TSD163" s="20"/>
      <c r="TSE163" s="20"/>
      <c r="TSF163" s="20"/>
      <c r="TSG163" s="21"/>
      <c r="TSH163" s="21"/>
      <c r="TSI163" s="7"/>
      <c r="TSJ163" s="7"/>
      <c r="TSK163" s="21"/>
      <c r="TSL163" s="20"/>
      <c r="TSM163" s="20"/>
      <c r="TSN163" s="20"/>
      <c r="TSO163" s="21"/>
      <c r="TSP163" s="21"/>
      <c r="TSQ163" s="21"/>
      <c r="TSR163" s="21"/>
      <c r="TSS163" s="21"/>
      <c r="TST163" s="20"/>
      <c r="TSU163" s="20"/>
      <c r="TSV163" s="20"/>
      <c r="TSW163" s="20"/>
      <c r="TSX163" s="21"/>
      <c r="TSY163" s="21"/>
      <c r="TSZ163" s="7"/>
      <c r="TTA163" s="7"/>
      <c r="TTB163" s="21"/>
      <c r="TTC163" s="20"/>
      <c r="TTD163" s="20"/>
      <c r="TTE163" s="20"/>
      <c r="TTF163" s="21"/>
      <c r="TTG163" s="21"/>
      <c r="TTH163" s="21"/>
      <c r="TTI163" s="21"/>
      <c r="TTJ163" s="21"/>
      <c r="TTK163" s="20"/>
      <c r="TTL163" s="20"/>
      <c r="TTM163" s="20"/>
      <c r="TTN163" s="20"/>
      <c r="TTO163" s="21"/>
      <c r="TTP163" s="21"/>
      <c r="TTQ163" s="7"/>
      <c r="TTR163" s="7"/>
      <c r="TTS163" s="21"/>
      <c r="TTT163" s="20"/>
      <c r="TTU163" s="20"/>
      <c r="TTV163" s="20"/>
      <c r="TTW163" s="21"/>
      <c r="TTX163" s="21"/>
      <c r="TTY163" s="21"/>
      <c r="TTZ163" s="21"/>
      <c r="TUA163" s="21"/>
      <c r="TUB163" s="20"/>
      <c r="TUC163" s="20"/>
      <c r="TUD163" s="20"/>
      <c r="TUE163" s="20"/>
      <c r="TUF163" s="21"/>
      <c r="TUG163" s="21"/>
      <c r="TUH163" s="7"/>
      <c r="TUI163" s="7"/>
      <c r="TUJ163" s="21"/>
      <c r="TUK163" s="20"/>
      <c r="TUL163" s="20"/>
      <c r="TUM163" s="20"/>
      <c r="TUN163" s="21"/>
      <c r="TUO163" s="21"/>
      <c r="TUP163" s="21"/>
      <c r="TUQ163" s="21"/>
      <c r="TUR163" s="21"/>
      <c r="TUS163" s="20"/>
      <c r="TUT163" s="20"/>
      <c r="TUU163" s="20"/>
      <c r="TUV163" s="20"/>
      <c r="TUW163" s="21"/>
      <c r="TUX163" s="21"/>
      <c r="TUY163" s="7"/>
      <c r="TUZ163" s="7"/>
      <c r="TVA163" s="21"/>
      <c r="TVB163" s="20"/>
      <c r="TVC163" s="20"/>
      <c r="TVD163" s="20"/>
      <c r="TVE163" s="21"/>
      <c r="TVF163" s="21"/>
      <c r="TVG163" s="21"/>
      <c r="TVH163" s="21"/>
      <c r="TVI163" s="21"/>
      <c r="TVJ163" s="20"/>
      <c r="TVK163" s="20"/>
      <c r="TVL163" s="20"/>
      <c r="TVM163" s="20"/>
      <c r="TVN163" s="21"/>
      <c r="TVO163" s="21"/>
      <c r="TVP163" s="7"/>
      <c r="TVQ163" s="7"/>
      <c r="TVR163" s="21"/>
      <c r="TVS163" s="20"/>
      <c r="TVT163" s="20"/>
      <c r="TVU163" s="20"/>
      <c r="TVV163" s="21"/>
      <c r="TVW163" s="21"/>
      <c r="TVX163" s="21"/>
      <c r="TVY163" s="21"/>
      <c r="TVZ163" s="21"/>
      <c r="TWA163" s="20"/>
      <c r="TWB163" s="20"/>
      <c r="TWC163" s="20"/>
      <c r="TWD163" s="20"/>
      <c r="TWE163" s="21"/>
      <c r="TWF163" s="21"/>
      <c r="TWG163" s="7"/>
      <c r="TWH163" s="7"/>
      <c r="TWI163" s="21"/>
      <c r="TWJ163" s="20"/>
      <c r="TWK163" s="20"/>
      <c r="TWL163" s="20"/>
      <c r="TWM163" s="21"/>
      <c r="TWN163" s="21"/>
      <c r="TWO163" s="21"/>
      <c r="TWP163" s="21"/>
      <c r="TWQ163" s="21"/>
      <c r="TWR163" s="20"/>
      <c r="TWS163" s="20"/>
      <c r="TWT163" s="20"/>
      <c r="TWU163" s="20"/>
      <c r="TWV163" s="21"/>
      <c r="TWW163" s="21"/>
      <c r="TWX163" s="7"/>
      <c r="TWY163" s="7"/>
      <c r="TWZ163" s="21"/>
      <c r="TXA163" s="20"/>
      <c r="TXB163" s="20"/>
      <c r="TXC163" s="20"/>
      <c r="TXD163" s="21"/>
      <c r="TXE163" s="21"/>
      <c r="TXF163" s="21"/>
      <c r="TXG163" s="21"/>
      <c r="TXH163" s="21"/>
      <c r="TXI163" s="20"/>
      <c r="TXJ163" s="20"/>
      <c r="TXK163" s="20"/>
      <c r="TXL163" s="20"/>
      <c r="TXM163" s="21"/>
      <c r="TXN163" s="21"/>
      <c r="TXO163" s="7"/>
      <c r="TXP163" s="7"/>
      <c r="TXQ163" s="21"/>
      <c r="TXR163" s="20"/>
      <c r="TXS163" s="20"/>
      <c r="TXT163" s="20"/>
      <c r="TXU163" s="21"/>
      <c r="TXV163" s="21"/>
      <c r="TXW163" s="21"/>
      <c r="TXX163" s="21"/>
      <c r="TXY163" s="21"/>
      <c r="TXZ163" s="20"/>
      <c r="TYA163" s="20"/>
      <c r="TYB163" s="20"/>
      <c r="TYC163" s="20"/>
      <c r="TYD163" s="21"/>
      <c r="TYE163" s="21"/>
      <c r="TYF163" s="7"/>
      <c r="TYG163" s="7"/>
      <c r="TYH163" s="21"/>
      <c r="TYI163" s="20"/>
      <c r="TYJ163" s="20"/>
      <c r="TYK163" s="20"/>
      <c r="TYL163" s="21"/>
      <c r="TYM163" s="21"/>
      <c r="TYN163" s="21"/>
      <c r="TYO163" s="21"/>
      <c r="TYP163" s="21"/>
      <c r="TYQ163" s="20"/>
      <c r="TYR163" s="20"/>
      <c r="TYS163" s="20"/>
      <c r="TYT163" s="20"/>
      <c r="TYU163" s="21"/>
      <c r="TYV163" s="21"/>
      <c r="TYW163" s="7"/>
      <c r="TYX163" s="7"/>
      <c r="TYY163" s="21"/>
      <c r="TYZ163" s="20"/>
      <c r="TZA163" s="20"/>
      <c r="TZB163" s="20"/>
      <c r="TZC163" s="21"/>
      <c r="TZD163" s="21"/>
      <c r="TZE163" s="21"/>
      <c r="TZF163" s="21"/>
      <c r="TZG163" s="21"/>
      <c r="TZH163" s="20"/>
      <c r="TZI163" s="20"/>
      <c r="TZJ163" s="20"/>
      <c r="TZK163" s="20"/>
      <c r="TZL163" s="21"/>
      <c r="TZM163" s="21"/>
      <c r="TZN163" s="7"/>
      <c r="TZO163" s="7"/>
      <c r="TZP163" s="21"/>
      <c r="TZQ163" s="20"/>
      <c r="TZR163" s="20"/>
      <c r="TZS163" s="20"/>
      <c r="TZT163" s="21"/>
      <c r="TZU163" s="21"/>
      <c r="TZV163" s="21"/>
      <c r="TZW163" s="21"/>
      <c r="TZX163" s="21"/>
      <c r="TZY163" s="20"/>
      <c r="TZZ163" s="20"/>
      <c r="UAA163" s="20"/>
      <c r="UAB163" s="20"/>
      <c r="UAC163" s="21"/>
      <c r="UAD163" s="21"/>
      <c r="UAE163" s="7"/>
      <c r="UAF163" s="7"/>
      <c r="UAG163" s="21"/>
      <c r="UAH163" s="20"/>
      <c r="UAI163" s="20"/>
      <c r="UAJ163" s="20"/>
      <c r="UAK163" s="21"/>
      <c r="UAL163" s="21"/>
      <c r="UAM163" s="21"/>
      <c r="UAN163" s="21"/>
      <c r="UAO163" s="21"/>
      <c r="UAP163" s="20"/>
      <c r="UAQ163" s="20"/>
      <c r="UAR163" s="20"/>
      <c r="UAS163" s="20"/>
      <c r="UAT163" s="21"/>
      <c r="UAU163" s="21"/>
      <c r="UAV163" s="7"/>
      <c r="UAW163" s="7"/>
      <c r="UAX163" s="21"/>
      <c r="UAY163" s="20"/>
      <c r="UAZ163" s="20"/>
      <c r="UBA163" s="20"/>
      <c r="UBB163" s="21"/>
      <c r="UBC163" s="21"/>
      <c r="UBD163" s="21"/>
      <c r="UBE163" s="21"/>
      <c r="UBF163" s="21"/>
      <c r="UBG163" s="20"/>
      <c r="UBH163" s="20"/>
      <c r="UBI163" s="20"/>
      <c r="UBJ163" s="20"/>
      <c r="UBK163" s="21"/>
      <c r="UBL163" s="21"/>
      <c r="UBM163" s="7"/>
      <c r="UBN163" s="7"/>
      <c r="UBO163" s="21"/>
      <c r="UBP163" s="20"/>
      <c r="UBQ163" s="20"/>
      <c r="UBR163" s="20"/>
      <c r="UBS163" s="21"/>
      <c r="UBT163" s="21"/>
      <c r="UBU163" s="21"/>
      <c r="UBV163" s="21"/>
      <c r="UBW163" s="21"/>
      <c r="UBX163" s="20"/>
      <c r="UBY163" s="20"/>
      <c r="UBZ163" s="20"/>
      <c r="UCA163" s="20"/>
      <c r="UCB163" s="21"/>
      <c r="UCC163" s="21"/>
      <c r="UCD163" s="7"/>
      <c r="UCE163" s="7"/>
      <c r="UCF163" s="21"/>
      <c r="UCG163" s="20"/>
      <c r="UCH163" s="20"/>
      <c r="UCI163" s="20"/>
      <c r="UCJ163" s="21"/>
      <c r="UCK163" s="21"/>
      <c r="UCL163" s="21"/>
      <c r="UCM163" s="21"/>
      <c r="UCN163" s="21"/>
      <c r="UCO163" s="20"/>
      <c r="UCP163" s="20"/>
      <c r="UCQ163" s="20"/>
      <c r="UCR163" s="20"/>
      <c r="UCS163" s="21"/>
      <c r="UCT163" s="21"/>
      <c r="UCU163" s="7"/>
      <c r="UCV163" s="7"/>
      <c r="UCW163" s="21"/>
      <c r="UCX163" s="20"/>
      <c r="UCY163" s="20"/>
      <c r="UCZ163" s="20"/>
      <c r="UDA163" s="21"/>
      <c r="UDB163" s="21"/>
      <c r="UDC163" s="21"/>
      <c r="UDD163" s="21"/>
      <c r="UDE163" s="21"/>
      <c r="UDF163" s="20"/>
      <c r="UDG163" s="20"/>
      <c r="UDH163" s="20"/>
      <c r="UDI163" s="20"/>
      <c r="UDJ163" s="21"/>
      <c r="UDK163" s="21"/>
      <c r="UDL163" s="7"/>
      <c r="UDM163" s="7"/>
      <c r="UDN163" s="21"/>
      <c r="UDO163" s="20"/>
      <c r="UDP163" s="20"/>
      <c r="UDQ163" s="20"/>
      <c r="UDR163" s="21"/>
      <c r="UDS163" s="21"/>
      <c r="UDT163" s="21"/>
      <c r="UDU163" s="21"/>
      <c r="UDV163" s="21"/>
      <c r="UDW163" s="20"/>
      <c r="UDX163" s="20"/>
      <c r="UDY163" s="20"/>
      <c r="UDZ163" s="20"/>
      <c r="UEA163" s="21"/>
      <c r="UEB163" s="21"/>
      <c r="UEC163" s="7"/>
      <c r="UED163" s="7"/>
      <c r="UEE163" s="21"/>
      <c r="UEF163" s="20"/>
      <c r="UEG163" s="20"/>
      <c r="UEH163" s="20"/>
      <c r="UEI163" s="21"/>
      <c r="UEJ163" s="21"/>
      <c r="UEK163" s="21"/>
      <c r="UEL163" s="21"/>
      <c r="UEM163" s="21"/>
      <c r="UEN163" s="20"/>
      <c r="UEO163" s="20"/>
      <c r="UEP163" s="20"/>
      <c r="UEQ163" s="20"/>
      <c r="UER163" s="21"/>
      <c r="UES163" s="21"/>
      <c r="UET163" s="7"/>
      <c r="UEU163" s="7"/>
      <c r="UEV163" s="21"/>
      <c r="UEW163" s="20"/>
      <c r="UEX163" s="20"/>
      <c r="UEY163" s="20"/>
      <c r="UEZ163" s="21"/>
      <c r="UFA163" s="21"/>
      <c r="UFB163" s="21"/>
      <c r="UFC163" s="21"/>
      <c r="UFD163" s="21"/>
      <c r="UFE163" s="20"/>
      <c r="UFF163" s="20"/>
      <c r="UFG163" s="20"/>
      <c r="UFH163" s="20"/>
      <c r="UFI163" s="21"/>
      <c r="UFJ163" s="21"/>
      <c r="UFK163" s="7"/>
      <c r="UFL163" s="7"/>
      <c r="UFM163" s="21"/>
      <c r="UFN163" s="20"/>
      <c r="UFO163" s="20"/>
      <c r="UFP163" s="20"/>
      <c r="UFQ163" s="21"/>
      <c r="UFR163" s="21"/>
      <c r="UFS163" s="21"/>
      <c r="UFT163" s="21"/>
      <c r="UFU163" s="21"/>
      <c r="UFV163" s="20"/>
      <c r="UFW163" s="20"/>
      <c r="UFX163" s="20"/>
      <c r="UFY163" s="20"/>
      <c r="UFZ163" s="21"/>
      <c r="UGA163" s="21"/>
      <c r="UGB163" s="7"/>
      <c r="UGC163" s="7"/>
      <c r="UGD163" s="21"/>
      <c r="UGE163" s="20"/>
      <c r="UGF163" s="20"/>
      <c r="UGG163" s="20"/>
      <c r="UGH163" s="21"/>
      <c r="UGI163" s="21"/>
      <c r="UGJ163" s="21"/>
      <c r="UGK163" s="21"/>
      <c r="UGL163" s="21"/>
      <c r="UGM163" s="20"/>
      <c r="UGN163" s="20"/>
      <c r="UGO163" s="20"/>
      <c r="UGP163" s="20"/>
      <c r="UGQ163" s="21"/>
      <c r="UGR163" s="21"/>
      <c r="UGS163" s="7"/>
      <c r="UGT163" s="7"/>
      <c r="UGU163" s="21"/>
      <c r="UGV163" s="20"/>
      <c r="UGW163" s="20"/>
      <c r="UGX163" s="20"/>
      <c r="UGY163" s="21"/>
      <c r="UGZ163" s="21"/>
      <c r="UHA163" s="21"/>
      <c r="UHB163" s="21"/>
      <c r="UHC163" s="21"/>
      <c r="UHD163" s="20"/>
      <c r="UHE163" s="20"/>
      <c r="UHF163" s="20"/>
      <c r="UHG163" s="20"/>
      <c r="UHH163" s="21"/>
      <c r="UHI163" s="21"/>
      <c r="UHJ163" s="7"/>
      <c r="UHK163" s="7"/>
      <c r="UHL163" s="21"/>
      <c r="UHM163" s="20"/>
      <c r="UHN163" s="20"/>
      <c r="UHO163" s="20"/>
      <c r="UHP163" s="21"/>
      <c r="UHQ163" s="21"/>
      <c r="UHR163" s="21"/>
      <c r="UHS163" s="21"/>
      <c r="UHT163" s="21"/>
      <c r="UHU163" s="20"/>
      <c r="UHV163" s="20"/>
      <c r="UHW163" s="20"/>
      <c r="UHX163" s="20"/>
      <c r="UHY163" s="21"/>
      <c r="UHZ163" s="21"/>
      <c r="UIA163" s="7"/>
      <c r="UIB163" s="7"/>
      <c r="UIC163" s="21"/>
      <c r="UID163" s="20"/>
      <c r="UIE163" s="20"/>
      <c r="UIF163" s="20"/>
      <c r="UIG163" s="21"/>
      <c r="UIH163" s="21"/>
      <c r="UII163" s="21"/>
      <c r="UIJ163" s="21"/>
      <c r="UIK163" s="21"/>
      <c r="UIL163" s="20"/>
      <c r="UIM163" s="20"/>
      <c r="UIN163" s="20"/>
      <c r="UIO163" s="20"/>
      <c r="UIP163" s="21"/>
      <c r="UIQ163" s="21"/>
      <c r="UIR163" s="7"/>
      <c r="UIS163" s="7"/>
      <c r="UIT163" s="21"/>
      <c r="UIU163" s="20"/>
      <c r="UIV163" s="20"/>
      <c r="UIW163" s="20"/>
      <c r="UIX163" s="21"/>
      <c r="UIY163" s="21"/>
      <c r="UIZ163" s="21"/>
      <c r="UJA163" s="21"/>
      <c r="UJB163" s="21"/>
      <c r="UJC163" s="20"/>
      <c r="UJD163" s="20"/>
      <c r="UJE163" s="20"/>
      <c r="UJF163" s="20"/>
      <c r="UJG163" s="21"/>
      <c r="UJH163" s="21"/>
      <c r="UJI163" s="7"/>
      <c r="UJJ163" s="7"/>
      <c r="UJK163" s="21"/>
      <c r="UJL163" s="20"/>
      <c r="UJM163" s="20"/>
      <c r="UJN163" s="20"/>
      <c r="UJO163" s="21"/>
      <c r="UJP163" s="21"/>
      <c r="UJQ163" s="21"/>
      <c r="UJR163" s="21"/>
      <c r="UJS163" s="21"/>
      <c r="UJT163" s="20"/>
      <c r="UJU163" s="20"/>
      <c r="UJV163" s="20"/>
      <c r="UJW163" s="20"/>
      <c r="UJX163" s="21"/>
      <c r="UJY163" s="21"/>
      <c r="UJZ163" s="7"/>
      <c r="UKA163" s="7"/>
      <c r="UKB163" s="21"/>
      <c r="UKC163" s="20"/>
      <c r="UKD163" s="20"/>
      <c r="UKE163" s="20"/>
      <c r="UKF163" s="21"/>
      <c r="UKG163" s="21"/>
      <c r="UKH163" s="21"/>
      <c r="UKI163" s="21"/>
      <c r="UKJ163" s="21"/>
      <c r="UKK163" s="20"/>
      <c r="UKL163" s="20"/>
      <c r="UKM163" s="20"/>
      <c r="UKN163" s="20"/>
      <c r="UKO163" s="21"/>
      <c r="UKP163" s="21"/>
      <c r="UKQ163" s="7"/>
      <c r="UKR163" s="7"/>
      <c r="UKS163" s="21"/>
      <c r="UKT163" s="20"/>
      <c r="UKU163" s="20"/>
      <c r="UKV163" s="20"/>
      <c r="UKW163" s="21"/>
      <c r="UKX163" s="21"/>
      <c r="UKY163" s="21"/>
      <c r="UKZ163" s="21"/>
      <c r="ULA163" s="21"/>
      <c r="ULB163" s="20"/>
      <c r="ULC163" s="20"/>
      <c r="ULD163" s="20"/>
      <c r="ULE163" s="20"/>
      <c r="ULF163" s="21"/>
      <c r="ULG163" s="21"/>
      <c r="ULH163" s="7"/>
      <c r="ULI163" s="7"/>
      <c r="ULJ163" s="21"/>
      <c r="ULK163" s="20"/>
      <c r="ULL163" s="20"/>
      <c r="ULM163" s="20"/>
      <c r="ULN163" s="21"/>
      <c r="ULO163" s="21"/>
      <c r="ULP163" s="21"/>
      <c r="ULQ163" s="21"/>
      <c r="ULR163" s="21"/>
      <c r="ULS163" s="20"/>
      <c r="ULT163" s="20"/>
      <c r="ULU163" s="20"/>
      <c r="ULV163" s="20"/>
      <c r="ULW163" s="21"/>
      <c r="ULX163" s="21"/>
      <c r="ULY163" s="7"/>
      <c r="ULZ163" s="7"/>
      <c r="UMA163" s="21"/>
      <c r="UMB163" s="20"/>
      <c r="UMC163" s="20"/>
      <c r="UMD163" s="20"/>
      <c r="UME163" s="21"/>
      <c r="UMF163" s="21"/>
      <c r="UMG163" s="21"/>
      <c r="UMH163" s="21"/>
      <c r="UMI163" s="21"/>
      <c r="UMJ163" s="20"/>
      <c r="UMK163" s="20"/>
      <c r="UML163" s="20"/>
      <c r="UMM163" s="20"/>
      <c r="UMN163" s="21"/>
      <c r="UMO163" s="21"/>
      <c r="UMP163" s="7"/>
      <c r="UMQ163" s="7"/>
      <c r="UMR163" s="21"/>
      <c r="UMS163" s="20"/>
      <c r="UMT163" s="20"/>
      <c r="UMU163" s="20"/>
      <c r="UMV163" s="21"/>
      <c r="UMW163" s="21"/>
      <c r="UMX163" s="21"/>
      <c r="UMY163" s="21"/>
      <c r="UMZ163" s="21"/>
      <c r="UNA163" s="20"/>
      <c r="UNB163" s="20"/>
      <c r="UNC163" s="20"/>
      <c r="UND163" s="20"/>
      <c r="UNE163" s="21"/>
      <c r="UNF163" s="21"/>
      <c r="UNG163" s="7"/>
      <c r="UNH163" s="7"/>
      <c r="UNI163" s="21"/>
      <c r="UNJ163" s="20"/>
      <c r="UNK163" s="20"/>
      <c r="UNL163" s="20"/>
      <c r="UNM163" s="21"/>
      <c r="UNN163" s="21"/>
      <c r="UNO163" s="21"/>
      <c r="UNP163" s="21"/>
      <c r="UNQ163" s="21"/>
      <c r="UNR163" s="20"/>
      <c r="UNS163" s="20"/>
      <c r="UNT163" s="20"/>
      <c r="UNU163" s="20"/>
      <c r="UNV163" s="21"/>
      <c r="UNW163" s="21"/>
      <c r="UNX163" s="7"/>
      <c r="UNY163" s="7"/>
      <c r="UNZ163" s="21"/>
      <c r="UOA163" s="20"/>
      <c r="UOB163" s="20"/>
      <c r="UOC163" s="20"/>
      <c r="UOD163" s="21"/>
      <c r="UOE163" s="21"/>
      <c r="UOF163" s="21"/>
      <c r="UOG163" s="21"/>
      <c r="UOH163" s="21"/>
      <c r="UOI163" s="20"/>
      <c r="UOJ163" s="20"/>
      <c r="UOK163" s="20"/>
      <c r="UOL163" s="20"/>
      <c r="UOM163" s="21"/>
      <c r="UON163" s="21"/>
      <c r="UOO163" s="7"/>
      <c r="UOP163" s="7"/>
      <c r="UOQ163" s="21"/>
      <c r="UOR163" s="20"/>
      <c r="UOS163" s="20"/>
      <c r="UOT163" s="20"/>
      <c r="UOU163" s="21"/>
      <c r="UOV163" s="21"/>
      <c r="UOW163" s="21"/>
      <c r="UOX163" s="21"/>
      <c r="UOY163" s="21"/>
      <c r="UOZ163" s="20"/>
      <c r="UPA163" s="20"/>
      <c r="UPB163" s="20"/>
      <c r="UPC163" s="20"/>
      <c r="UPD163" s="21"/>
      <c r="UPE163" s="21"/>
      <c r="UPF163" s="7"/>
      <c r="UPG163" s="7"/>
      <c r="UPH163" s="21"/>
      <c r="UPI163" s="20"/>
      <c r="UPJ163" s="20"/>
      <c r="UPK163" s="20"/>
      <c r="UPL163" s="21"/>
      <c r="UPM163" s="21"/>
      <c r="UPN163" s="21"/>
      <c r="UPO163" s="21"/>
      <c r="UPP163" s="21"/>
      <c r="UPQ163" s="20"/>
      <c r="UPR163" s="20"/>
      <c r="UPS163" s="20"/>
      <c r="UPT163" s="20"/>
      <c r="UPU163" s="21"/>
      <c r="UPV163" s="21"/>
      <c r="UPW163" s="7"/>
      <c r="UPX163" s="7"/>
      <c r="UPY163" s="21"/>
      <c r="UPZ163" s="20"/>
      <c r="UQA163" s="20"/>
      <c r="UQB163" s="20"/>
      <c r="UQC163" s="21"/>
      <c r="UQD163" s="21"/>
      <c r="UQE163" s="21"/>
      <c r="UQF163" s="21"/>
      <c r="UQG163" s="21"/>
      <c r="UQH163" s="20"/>
      <c r="UQI163" s="20"/>
      <c r="UQJ163" s="20"/>
      <c r="UQK163" s="20"/>
      <c r="UQL163" s="21"/>
      <c r="UQM163" s="21"/>
      <c r="UQN163" s="7"/>
      <c r="UQO163" s="7"/>
      <c r="UQP163" s="21"/>
      <c r="UQQ163" s="20"/>
      <c r="UQR163" s="20"/>
      <c r="UQS163" s="20"/>
      <c r="UQT163" s="21"/>
      <c r="UQU163" s="21"/>
      <c r="UQV163" s="21"/>
      <c r="UQW163" s="21"/>
      <c r="UQX163" s="21"/>
      <c r="UQY163" s="20"/>
      <c r="UQZ163" s="20"/>
      <c r="URA163" s="20"/>
      <c r="URB163" s="20"/>
      <c r="URC163" s="21"/>
      <c r="URD163" s="21"/>
      <c r="URE163" s="7"/>
      <c r="URF163" s="7"/>
      <c r="URG163" s="21"/>
      <c r="URH163" s="20"/>
      <c r="URI163" s="20"/>
      <c r="URJ163" s="20"/>
      <c r="URK163" s="21"/>
      <c r="URL163" s="21"/>
      <c r="URM163" s="21"/>
      <c r="URN163" s="21"/>
      <c r="URO163" s="21"/>
      <c r="URP163" s="20"/>
      <c r="URQ163" s="20"/>
      <c r="URR163" s="20"/>
      <c r="URS163" s="20"/>
      <c r="URT163" s="21"/>
      <c r="URU163" s="21"/>
      <c r="URV163" s="7"/>
      <c r="URW163" s="7"/>
      <c r="URX163" s="21"/>
      <c r="URY163" s="20"/>
      <c r="URZ163" s="20"/>
      <c r="USA163" s="20"/>
      <c r="USB163" s="21"/>
      <c r="USC163" s="21"/>
      <c r="USD163" s="21"/>
      <c r="USE163" s="21"/>
      <c r="USF163" s="21"/>
      <c r="USG163" s="20"/>
      <c r="USH163" s="20"/>
      <c r="USI163" s="20"/>
      <c r="USJ163" s="20"/>
      <c r="USK163" s="21"/>
      <c r="USL163" s="21"/>
      <c r="USM163" s="7"/>
      <c r="USN163" s="7"/>
      <c r="USO163" s="21"/>
      <c r="USP163" s="20"/>
      <c r="USQ163" s="20"/>
      <c r="USR163" s="20"/>
      <c r="USS163" s="21"/>
      <c r="UST163" s="21"/>
      <c r="USU163" s="21"/>
      <c r="USV163" s="21"/>
      <c r="USW163" s="21"/>
      <c r="USX163" s="20"/>
      <c r="USY163" s="20"/>
      <c r="USZ163" s="20"/>
      <c r="UTA163" s="20"/>
      <c r="UTB163" s="21"/>
      <c r="UTC163" s="21"/>
      <c r="UTD163" s="7"/>
      <c r="UTE163" s="7"/>
      <c r="UTF163" s="21"/>
      <c r="UTG163" s="20"/>
      <c r="UTH163" s="20"/>
      <c r="UTI163" s="20"/>
      <c r="UTJ163" s="21"/>
      <c r="UTK163" s="21"/>
      <c r="UTL163" s="21"/>
      <c r="UTM163" s="21"/>
      <c r="UTN163" s="21"/>
      <c r="UTO163" s="20"/>
      <c r="UTP163" s="20"/>
      <c r="UTQ163" s="20"/>
      <c r="UTR163" s="20"/>
      <c r="UTS163" s="21"/>
      <c r="UTT163" s="21"/>
      <c r="UTU163" s="7"/>
      <c r="UTV163" s="7"/>
      <c r="UTW163" s="21"/>
      <c r="UTX163" s="20"/>
      <c r="UTY163" s="20"/>
      <c r="UTZ163" s="20"/>
      <c r="UUA163" s="21"/>
      <c r="UUB163" s="21"/>
      <c r="UUC163" s="21"/>
      <c r="UUD163" s="21"/>
      <c r="UUE163" s="21"/>
      <c r="UUF163" s="20"/>
      <c r="UUG163" s="20"/>
      <c r="UUH163" s="20"/>
      <c r="UUI163" s="20"/>
      <c r="UUJ163" s="21"/>
      <c r="UUK163" s="21"/>
      <c r="UUL163" s="7"/>
      <c r="UUM163" s="7"/>
      <c r="UUN163" s="21"/>
      <c r="UUO163" s="20"/>
      <c r="UUP163" s="20"/>
      <c r="UUQ163" s="20"/>
      <c r="UUR163" s="21"/>
      <c r="UUS163" s="21"/>
      <c r="UUT163" s="21"/>
      <c r="UUU163" s="21"/>
      <c r="UUV163" s="21"/>
      <c r="UUW163" s="20"/>
      <c r="UUX163" s="20"/>
      <c r="UUY163" s="20"/>
      <c r="UUZ163" s="20"/>
      <c r="UVA163" s="21"/>
      <c r="UVB163" s="21"/>
      <c r="UVC163" s="7"/>
      <c r="UVD163" s="7"/>
      <c r="UVE163" s="21"/>
      <c r="UVF163" s="20"/>
      <c r="UVG163" s="20"/>
      <c r="UVH163" s="20"/>
      <c r="UVI163" s="21"/>
      <c r="UVJ163" s="21"/>
      <c r="UVK163" s="21"/>
      <c r="UVL163" s="21"/>
      <c r="UVM163" s="21"/>
      <c r="UVN163" s="20"/>
      <c r="UVO163" s="20"/>
      <c r="UVP163" s="20"/>
      <c r="UVQ163" s="20"/>
      <c r="UVR163" s="21"/>
      <c r="UVS163" s="21"/>
      <c r="UVT163" s="7"/>
      <c r="UVU163" s="7"/>
      <c r="UVV163" s="21"/>
      <c r="UVW163" s="20"/>
      <c r="UVX163" s="20"/>
      <c r="UVY163" s="20"/>
      <c r="UVZ163" s="21"/>
      <c r="UWA163" s="21"/>
      <c r="UWB163" s="21"/>
      <c r="UWC163" s="21"/>
      <c r="UWD163" s="21"/>
      <c r="UWE163" s="20"/>
      <c r="UWF163" s="20"/>
      <c r="UWG163" s="20"/>
      <c r="UWH163" s="20"/>
      <c r="UWI163" s="21"/>
      <c r="UWJ163" s="21"/>
      <c r="UWK163" s="7"/>
      <c r="UWL163" s="7"/>
      <c r="UWM163" s="21"/>
      <c r="UWN163" s="20"/>
      <c r="UWO163" s="20"/>
      <c r="UWP163" s="20"/>
      <c r="UWQ163" s="21"/>
      <c r="UWR163" s="21"/>
      <c r="UWS163" s="21"/>
      <c r="UWT163" s="21"/>
      <c r="UWU163" s="21"/>
      <c r="UWV163" s="20"/>
      <c r="UWW163" s="20"/>
      <c r="UWX163" s="20"/>
      <c r="UWY163" s="20"/>
      <c r="UWZ163" s="21"/>
      <c r="UXA163" s="21"/>
      <c r="UXB163" s="7"/>
      <c r="UXC163" s="7"/>
      <c r="UXD163" s="21"/>
      <c r="UXE163" s="20"/>
      <c r="UXF163" s="20"/>
      <c r="UXG163" s="20"/>
      <c r="UXH163" s="21"/>
      <c r="UXI163" s="21"/>
      <c r="UXJ163" s="21"/>
      <c r="UXK163" s="21"/>
      <c r="UXL163" s="21"/>
      <c r="UXM163" s="20"/>
      <c r="UXN163" s="20"/>
      <c r="UXO163" s="20"/>
      <c r="UXP163" s="20"/>
      <c r="UXQ163" s="21"/>
      <c r="UXR163" s="21"/>
      <c r="UXS163" s="7"/>
      <c r="UXT163" s="7"/>
      <c r="UXU163" s="21"/>
      <c r="UXV163" s="20"/>
      <c r="UXW163" s="20"/>
      <c r="UXX163" s="20"/>
      <c r="UXY163" s="21"/>
      <c r="UXZ163" s="21"/>
      <c r="UYA163" s="21"/>
      <c r="UYB163" s="21"/>
      <c r="UYC163" s="21"/>
      <c r="UYD163" s="20"/>
      <c r="UYE163" s="20"/>
      <c r="UYF163" s="20"/>
      <c r="UYG163" s="20"/>
      <c r="UYH163" s="21"/>
      <c r="UYI163" s="21"/>
      <c r="UYJ163" s="7"/>
      <c r="UYK163" s="7"/>
      <c r="UYL163" s="21"/>
      <c r="UYM163" s="20"/>
      <c r="UYN163" s="20"/>
      <c r="UYO163" s="20"/>
      <c r="UYP163" s="21"/>
      <c r="UYQ163" s="21"/>
      <c r="UYR163" s="21"/>
      <c r="UYS163" s="21"/>
      <c r="UYT163" s="21"/>
      <c r="UYU163" s="20"/>
      <c r="UYV163" s="20"/>
      <c r="UYW163" s="20"/>
      <c r="UYX163" s="20"/>
      <c r="UYY163" s="21"/>
      <c r="UYZ163" s="21"/>
      <c r="UZA163" s="7"/>
      <c r="UZB163" s="7"/>
      <c r="UZC163" s="21"/>
      <c r="UZD163" s="20"/>
      <c r="UZE163" s="20"/>
      <c r="UZF163" s="20"/>
      <c r="UZG163" s="21"/>
      <c r="UZH163" s="21"/>
      <c r="UZI163" s="21"/>
      <c r="UZJ163" s="21"/>
      <c r="UZK163" s="21"/>
      <c r="UZL163" s="20"/>
      <c r="UZM163" s="20"/>
      <c r="UZN163" s="20"/>
      <c r="UZO163" s="20"/>
      <c r="UZP163" s="21"/>
      <c r="UZQ163" s="21"/>
      <c r="UZR163" s="7"/>
      <c r="UZS163" s="7"/>
      <c r="UZT163" s="21"/>
      <c r="UZU163" s="20"/>
      <c r="UZV163" s="20"/>
      <c r="UZW163" s="20"/>
      <c r="UZX163" s="21"/>
      <c r="UZY163" s="21"/>
      <c r="UZZ163" s="21"/>
      <c r="VAA163" s="21"/>
      <c r="VAB163" s="21"/>
      <c r="VAC163" s="20"/>
      <c r="VAD163" s="20"/>
      <c r="VAE163" s="20"/>
      <c r="VAF163" s="20"/>
      <c r="VAG163" s="21"/>
      <c r="VAH163" s="21"/>
      <c r="VAI163" s="7"/>
      <c r="VAJ163" s="7"/>
      <c r="VAK163" s="21"/>
      <c r="VAL163" s="20"/>
      <c r="VAM163" s="20"/>
      <c r="VAN163" s="20"/>
      <c r="VAO163" s="21"/>
      <c r="VAP163" s="21"/>
      <c r="VAQ163" s="21"/>
      <c r="VAR163" s="21"/>
      <c r="VAS163" s="21"/>
      <c r="VAT163" s="20"/>
      <c r="VAU163" s="20"/>
      <c r="VAV163" s="20"/>
      <c r="VAW163" s="20"/>
      <c r="VAX163" s="21"/>
      <c r="VAY163" s="21"/>
      <c r="VAZ163" s="7"/>
      <c r="VBA163" s="7"/>
      <c r="VBB163" s="21"/>
      <c r="VBC163" s="20"/>
      <c r="VBD163" s="20"/>
      <c r="VBE163" s="20"/>
      <c r="VBF163" s="21"/>
      <c r="VBG163" s="21"/>
      <c r="VBH163" s="21"/>
      <c r="VBI163" s="21"/>
      <c r="VBJ163" s="21"/>
      <c r="VBK163" s="20"/>
      <c r="VBL163" s="20"/>
      <c r="VBM163" s="20"/>
      <c r="VBN163" s="20"/>
      <c r="VBO163" s="21"/>
      <c r="VBP163" s="21"/>
      <c r="VBQ163" s="7"/>
      <c r="VBR163" s="7"/>
      <c r="VBS163" s="21"/>
      <c r="VBT163" s="20"/>
      <c r="VBU163" s="20"/>
      <c r="VBV163" s="20"/>
      <c r="VBW163" s="21"/>
      <c r="VBX163" s="21"/>
      <c r="VBY163" s="21"/>
      <c r="VBZ163" s="21"/>
      <c r="VCA163" s="21"/>
      <c r="VCB163" s="20"/>
      <c r="VCC163" s="20"/>
      <c r="VCD163" s="20"/>
      <c r="VCE163" s="20"/>
      <c r="VCF163" s="21"/>
      <c r="VCG163" s="21"/>
      <c r="VCH163" s="7"/>
      <c r="VCI163" s="7"/>
      <c r="VCJ163" s="21"/>
      <c r="VCK163" s="20"/>
      <c r="VCL163" s="20"/>
      <c r="VCM163" s="20"/>
      <c r="VCN163" s="21"/>
      <c r="VCO163" s="21"/>
      <c r="VCP163" s="21"/>
      <c r="VCQ163" s="21"/>
      <c r="VCR163" s="21"/>
      <c r="VCS163" s="20"/>
      <c r="VCT163" s="20"/>
      <c r="VCU163" s="20"/>
      <c r="VCV163" s="20"/>
      <c r="VCW163" s="21"/>
      <c r="VCX163" s="21"/>
      <c r="VCY163" s="7"/>
      <c r="VCZ163" s="7"/>
      <c r="VDA163" s="21"/>
      <c r="VDB163" s="20"/>
      <c r="VDC163" s="20"/>
      <c r="VDD163" s="20"/>
      <c r="VDE163" s="21"/>
      <c r="VDF163" s="21"/>
      <c r="VDG163" s="21"/>
      <c r="VDH163" s="21"/>
      <c r="VDI163" s="21"/>
      <c r="VDJ163" s="20"/>
      <c r="VDK163" s="20"/>
      <c r="VDL163" s="20"/>
      <c r="VDM163" s="20"/>
      <c r="VDN163" s="21"/>
      <c r="VDO163" s="21"/>
      <c r="VDP163" s="7"/>
      <c r="VDQ163" s="7"/>
      <c r="VDR163" s="21"/>
      <c r="VDS163" s="20"/>
      <c r="VDT163" s="20"/>
      <c r="VDU163" s="20"/>
      <c r="VDV163" s="21"/>
      <c r="VDW163" s="21"/>
      <c r="VDX163" s="21"/>
      <c r="VDY163" s="21"/>
      <c r="VDZ163" s="21"/>
      <c r="VEA163" s="20"/>
      <c r="VEB163" s="20"/>
      <c r="VEC163" s="20"/>
      <c r="VED163" s="20"/>
      <c r="VEE163" s="21"/>
      <c r="VEF163" s="21"/>
      <c r="VEG163" s="7"/>
      <c r="VEH163" s="7"/>
      <c r="VEI163" s="21"/>
      <c r="VEJ163" s="20"/>
      <c r="VEK163" s="20"/>
      <c r="VEL163" s="20"/>
      <c r="VEM163" s="21"/>
      <c r="VEN163" s="21"/>
      <c r="VEO163" s="21"/>
      <c r="VEP163" s="21"/>
      <c r="VEQ163" s="21"/>
      <c r="VER163" s="20"/>
      <c r="VES163" s="20"/>
      <c r="VET163" s="20"/>
      <c r="VEU163" s="20"/>
      <c r="VEV163" s="21"/>
      <c r="VEW163" s="21"/>
      <c r="VEX163" s="7"/>
      <c r="VEY163" s="7"/>
      <c r="VEZ163" s="21"/>
      <c r="VFA163" s="20"/>
      <c r="VFB163" s="20"/>
      <c r="VFC163" s="20"/>
      <c r="VFD163" s="21"/>
      <c r="VFE163" s="21"/>
      <c r="VFF163" s="21"/>
      <c r="VFG163" s="21"/>
      <c r="VFH163" s="21"/>
      <c r="VFI163" s="20"/>
      <c r="VFJ163" s="20"/>
      <c r="VFK163" s="20"/>
      <c r="VFL163" s="20"/>
      <c r="VFM163" s="21"/>
      <c r="VFN163" s="21"/>
      <c r="VFO163" s="7"/>
      <c r="VFP163" s="7"/>
      <c r="VFQ163" s="21"/>
      <c r="VFR163" s="20"/>
      <c r="VFS163" s="20"/>
      <c r="VFT163" s="20"/>
      <c r="VFU163" s="21"/>
      <c r="VFV163" s="21"/>
      <c r="VFW163" s="21"/>
      <c r="VFX163" s="21"/>
      <c r="VFY163" s="21"/>
      <c r="VFZ163" s="20"/>
      <c r="VGA163" s="20"/>
      <c r="VGB163" s="20"/>
      <c r="VGC163" s="20"/>
      <c r="VGD163" s="21"/>
      <c r="VGE163" s="21"/>
      <c r="VGF163" s="7"/>
      <c r="VGG163" s="7"/>
      <c r="VGH163" s="21"/>
      <c r="VGI163" s="20"/>
      <c r="VGJ163" s="20"/>
      <c r="VGK163" s="20"/>
      <c r="VGL163" s="21"/>
      <c r="VGM163" s="21"/>
      <c r="VGN163" s="21"/>
      <c r="VGO163" s="21"/>
      <c r="VGP163" s="21"/>
      <c r="VGQ163" s="20"/>
      <c r="VGR163" s="20"/>
      <c r="VGS163" s="20"/>
      <c r="VGT163" s="20"/>
      <c r="VGU163" s="21"/>
      <c r="VGV163" s="21"/>
      <c r="VGW163" s="7"/>
      <c r="VGX163" s="7"/>
      <c r="VGY163" s="21"/>
      <c r="VGZ163" s="20"/>
      <c r="VHA163" s="20"/>
      <c r="VHB163" s="20"/>
      <c r="VHC163" s="21"/>
      <c r="VHD163" s="21"/>
      <c r="VHE163" s="21"/>
      <c r="VHF163" s="21"/>
      <c r="VHG163" s="21"/>
      <c r="VHH163" s="20"/>
      <c r="VHI163" s="20"/>
      <c r="VHJ163" s="20"/>
      <c r="VHK163" s="20"/>
      <c r="VHL163" s="21"/>
      <c r="VHM163" s="21"/>
      <c r="VHN163" s="7"/>
      <c r="VHO163" s="7"/>
      <c r="VHP163" s="21"/>
      <c r="VHQ163" s="20"/>
      <c r="VHR163" s="20"/>
      <c r="VHS163" s="20"/>
      <c r="VHT163" s="21"/>
      <c r="VHU163" s="21"/>
      <c r="VHV163" s="21"/>
      <c r="VHW163" s="21"/>
      <c r="VHX163" s="21"/>
      <c r="VHY163" s="20"/>
      <c r="VHZ163" s="20"/>
      <c r="VIA163" s="20"/>
      <c r="VIB163" s="20"/>
      <c r="VIC163" s="21"/>
      <c r="VID163" s="21"/>
      <c r="VIE163" s="7"/>
      <c r="VIF163" s="7"/>
      <c r="VIG163" s="21"/>
      <c r="VIH163" s="20"/>
      <c r="VII163" s="20"/>
      <c r="VIJ163" s="20"/>
      <c r="VIK163" s="21"/>
      <c r="VIL163" s="21"/>
      <c r="VIM163" s="21"/>
      <c r="VIN163" s="21"/>
      <c r="VIO163" s="21"/>
      <c r="VIP163" s="20"/>
      <c r="VIQ163" s="20"/>
      <c r="VIR163" s="20"/>
      <c r="VIS163" s="20"/>
      <c r="VIT163" s="21"/>
      <c r="VIU163" s="21"/>
      <c r="VIV163" s="7"/>
      <c r="VIW163" s="7"/>
      <c r="VIX163" s="21"/>
      <c r="VIY163" s="20"/>
      <c r="VIZ163" s="20"/>
      <c r="VJA163" s="20"/>
      <c r="VJB163" s="21"/>
      <c r="VJC163" s="21"/>
      <c r="VJD163" s="21"/>
      <c r="VJE163" s="21"/>
      <c r="VJF163" s="21"/>
      <c r="VJG163" s="20"/>
      <c r="VJH163" s="20"/>
      <c r="VJI163" s="20"/>
      <c r="VJJ163" s="20"/>
      <c r="VJK163" s="21"/>
      <c r="VJL163" s="21"/>
      <c r="VJM163" s="7"/>
      <c r="VJN163" s="7"/>
      <c r="VJO163" s="21"/>
      <c r="VJP163" s="20"/>
      <c r="VJQ163" s="20"/>
      <c r="VJR163" s="20"/>
      <c r="VJS163" s="21"/>
      <c r="VJT163" s="21"/>
      <c r="VJU163" s="21"/>
      <c r="VJV163" s="21"/>
      <c r="VJW163" s="21"/>
      <c r="VJX163" s="20"/>
      <c r="VJY163" s="20"/>
      <c r="VJZ163" s="20"/>
      <c r="VKA163" s="20"/>
      <c r="VKB163" s="21"/>
      <c r="VKC163" s="21"/>
      <c r="VKD163" s="7"/>
      <c r="VKE163" s="7"/>
      <c r="VKF163" s="21"/>
      <c r="VKG163" s="20"/>
      <c r="VKH163" s="20"/>
      <c r="VKI163" s="20"/>
      <c r="VKJ163" s="21"/>
      <c r="VKK163" s="21"/>
      <c r="VKL163" s="21"/>
      <c r="VKM163" s="21"/>
      <c r="VKN163" s="21"/>
      <c r="VKO163" s="20"/>
      <c r="VKP163" s="20"/>
      <c r="VKQ163" s="20"/>
      <c r="VKR163" s="20"/>
      <c r="VKS163" s="21"/>
      <c r="VKT163" s="21"/>
      <c r="VKU163" s="7"/>
      <c r="VKV163" s="7"/>
      <c r="VKW163" s="21"/>
      <c r="VKX163" s="20"/>
      <c r="VKY163" s="20"/>
      <c r="VKZ163" s="20"/>
      <c r="VLA163" s="21"/>
      <c r="VLB163" s="21"/>
      <c r="VLC163" s="21"/>
      <c r="VLD163" s="21"/>
      <c r="VLE163" s="21"/>
      <c r="VLF163" s="20"/>
      <c r="VLG163" s="20"/>
      <c r="VLH163" s="20"/>
      <c r="VLI163" s="20"/>
      <c r="VLJ163" s="21"/>
      <c r="VLK163" s="21"/>
      <c r="VLL163" s="7"/>
      <c r="VLM163" s="7"/>
      <c r="VLN163" s="21"/>
      <c r="VLO163" s="20"/>
      <c r="VLP163" s="20"/>
      <c r="VLQ163" s="20"/>
      <c r="VLR163" s="21"/>
      <c r="VLS163" s="21"/>
      <c r="VLT163" s="21"/>
      <c r="VLU163" s="21"/>
      <c r="VLV163" s="21"/>
      <c r="VLW163" s="20"/>
      <c r="VLX163" s="20"/>
      <c r="VLY163" s="20"/>
      <c r="VLZ163" s="20"/>
      <c r="VMA163" s="21"/>
      <c r="VMB163" s="21"/>
      <c r="VMC163" s="7"/>
      <c r="VMD163" s="7"/>
      <c r="VME163" s="21"/>
      <c r="VMF163" s="20"/>
      <c r="VMG163" s="20"/>
      <c r="VMH163" s="20"/>
      <c r="VMI163" s="21"/>
      <c r="VMJ163" s="21"/>
      <c r="VMK163" s="21"/>
      <c r="VML163" s="21"/>
      <c r="VMM163" s="21"/>
      <c r="VMN163" s="20"/>
      <c r="VMO163" s="20"/>
      <c r="VMP163" s="20"/>
      <c r="VMQ163" s="20"/>
      <c r="VMR163" s="21"/>
      <c r="VMS163" s="21"/>
      <c r="VMT163" s="7"/>
      <c r="VMU163" s="7"/>
      <c r="VMV163" s="21"/>
      <c r="VMW163" s="20"/>
      <c r="VMX163" s="20"/>
      <c r="VMY163" s="20"/>
      <c r="VMZ163" s="21"/>
      <c r="VNA163" s="21"/>
      <c r="VNB163" s="21"/>
      <c r="VNC163" s="21"/>
      <c r="VND163" s="21"/>
      <c r="VNE163" s="20"/>
      <c r="VNF163" s="20"/>
      <c r="VNG163" s="20"/>
      <c r="VNH163" s="20"/>
      <c r="VNI163" s="21"/>
      <c r="VNJ163" s="21"/>
      <c r="VNK163" s="7"/>
      <c r="VNL163" s="7"/>
      <c r="VNM163" s="21"/>
      <c r="VNN163" s="20"/>
      <c r="VNO163" s="20"/>
      <c r="VNP163" s="20"/>
      <c r="VNQ163" s="21"/>
      <c r="VNR163" s="21"/>
      <c r="VNS163" s="21"/>
      <c r="VNT163" s="21"/>
      <c r="VNU163" s="21"/>
      <c r="VNV163" s="20"/>
      <c r="VNW163" s="20"/>
      <c r="VNX163" s="20"/>
      <c r="VNY163" s="20"/>
      <c r="VNZ163" s="21"/>
      <c r="VOA163" s="21"/>
      <c r="VOB163" s="7"/>
      <c r="VOC163" s="7"/>
      <c r="VOD163" s="21"/>
      <c r="VOE163" s="20"/>
      <c r="VOF163" s="20"/>
      <c r="VOG163" s="20"/>
      <c r="VOH163" s="21"/>
      <c r="VOI163" s="21"/>
      <c r="VOJ163" s="21"/>
      <c r="VOK163" s="21"/>
      <c r="VOL163" s="21"/>
      <c r="VOM163" s="20"/>
      <c r="VON163" s="20"/>
      <c r="VOO163" s="20"/>
      <c r="VOP163" s="20"/>
      <c r="VOQ163" s="21"/>
      <c r="VOR163" s="21"/>
      <c r="VOS163" s="7"/>
      <c r="VOT163" s="7"/>
      <c r="VOU163" s="21"/>
      <c r="VOV163" s="20"/>
      <c r="VOW163" s="20"/>
      <c r="VOX163" s="20"/>
      <c r="VOY163" s="21"/>
      <c r="VOZ163" s="21"/>
      <c r="VPA163" s="21"/>
      <c r="VPB163" s="21"/>
      <c r="VPC163" s="21"/>
      <c r="VPD163" s="20"/>
      <c r="VPE163" s="20"/>
      <c r="VPF163" s="20"/>
      <c r="VPG163" s="20"/>
      <c r="VPH163" s="21"/>
      <c r="VPI163" s="21"/>
      <c r="VPJ163" s="7"/>
      <c r="VPK163" s="7"/>
      <c r="VPL163" s="21"/>
      <c r="VPM163" s="20"/>
      <c r="VPN163" s="20"/>
      <c r="VPO163" s="20"/>
      <c r="VPP163" s="21"/>
      <c r="VPQ163" s="21"/>
      <c r="VPR163" s="21"/>
      <c r="VPS163" s="21"/>
      <c r="VPT163" s="21"/>
      <c r="VPU163" s="20"/>
      <c r="VPV163" s="20"/>
      <c r="VPW163" s="20"/>
      <c r="VPX163" s="20"/>
      <c r="VPY163" s="21"/>
      <c r="VPZ163" s="21"/>
      <c r="VQA163" s="7"/>
      <c r="VQB163" s="7"/>
      <c r="VQC163" s="21"/>
      <c r="VQD163" s="20"/>
      <c r="VQE163" s="20"/>
      <c r="VQF163" s="20"/>
      <c r="VQG163" s="21"/>
      <c r="VQH163" s="21"/>
      <c r="VQI163" s="21"/>
      <c r="VQJ163" s="21"/>
      <c r="VQK163" s="21"/>
      <c r="VQL163" s="20"/>
      <c r="VQM163" s="20"/>
      <c r="VQN163" s="20"/>
      <c r="VQO163" s="20"/>
      <c r="VQP163" s="21"/>
      <c r="VQQ163" s="21"/>
      <c r="VQR163" s="7"/>
      <c r="VQS163" s="7"/>
      <c r="VQT163" s="21"/>
      <c r="VQU163" s="20"/>
      <c r="VQV163" s="20"/>
      <c r="VQW163" s="20"/>
      <c r="VQX163" s="21"/>
      <c r="VQY163" s="21"/>
      <c r="VQZ163" s="21"/>
      <c r="VRA163" s="21"/>
      <c r="VRB163" s="21"/>
      <c r="VRC163" s="20"/>
      <c r="VRD163" s="20"/>
      <c r="VRE163" s="20"/>
      <c r="VRF163" s="20"/>
      <c r="VRG163" s="21"/>
      <c r="VRH163" s="21"/>
      <c r="VRI163" s="7"/>
      <c r="VRJ163" s="7"/>
      <c r="VRK163" s="21"/>
      <c r="VRL163" s="20"/>
      <c r="VRM163" s="20"/>
      <c r="VRN163" s="20"/>
      <c r="VRO163" s="21"/>
      <c r="VRP163" s="21"/>
      <c r="VRQ163" s="21"/>
      <c r="VRR163" s="21"/>
      <c r="VRS163" s="21"/>
      <c r="VRT163" s="20"/>
      <c r="VRU163" s="20"/>
      <c r="VRV163" s="20"/>
      <c r="VRW163" s="20"/>
      <c r="VRX163" s="21"/>
      <c r="VRY163" s="21"/>
      <c r="VRZ163" s="7"/>
      <c r="VSA163" s="7"/>
      <c r="VSB163" s="21"/>
      <c r="VSC163" s="20"/>
      <c r="VSD163" s="20"/>
      <c r="VSE163" s="20"/>
      <c r="VSF163" s="21"/>
      <c r="VSG163" s="21"/>
      <c r="VSH163" s="21"/>
      <c r="VSI163" s="21"/>
      <c r="VSJ163" s="21"/>
      <c r="VSK163" s="20"/>
      <c r="VSL163" s="20"/>
      <c r="VSM163" s="20"/>
      <c r="VSN163" s="20"/>
      <c r="VSO163" s="21"/>
      <c r="VSP163" s="21"/>
      <c r="VSQ163" s="7"/>
      <c r="VSR163" s="7"/>
      <c r="VSS163" s="21"/>
      <c r="VST163" s="20"/>
      <c r="VSU163" s="20"/>
      <c r="VSV163" s="20"/>
      <c r="VSW163" s="21"/>
      <c r="VSX163" s="21"/>
      <c r="VSY163" s="21"/>
      <c r="VSZ163" s="21"/>
      <c r="VTA163" s="21"/>
      <c r="VTB163" s="20"/>
      <c r="VTC163" s="20"/>
      <c r="VTD163" s="20"/>
      <c r="VTE163" s="20"/>
      <c r="VTF163" s="21"/>
      <c r="VTG163" s="21"/>
      <c r="VTH163" s="7"/>
      <c r="VTI163" s="7"/>
      <c r="VTJ163" s="21"/>
      <c r="VTK163" s="20"/>
      <c r="VTL163" s="20"/>
      <c r="VTM163" s="20"/>
      <c r="VTN163" s="21"/>
      <c r="VTO163" s="21"/>
      <c r="VTP163" s="21"/>
      <c r="VTQ163" s="21"/>
      <c r="VTR163" s="21"/>
      <c r="VTS163" s="20"/>
      <c r="VTT163" s="20"/>
      <c r="VTU163" s="20"/>
      <c r="VTV163" s="20"/>
      <c r="VTW163" s="21"/>
      <c r="VTX163" s="21"/>
      <c r="VTY163" s="7"/>
      <c r="VTZ163" s="7"/>
      <c r="VUA163" s="21"/>
      <c r="VUB163" s="20"/>
      <c r="VUC163" s="20"/>
      <c r="VUD163" s="20"/>
      <c r="VUE163" s="21"/>
      <c r="VUF163" s="21"/>
      <c r="VUG163" s="21"/>
      <c r="VUH163" s="21"/>
      <c r="VUI163" s="21"/>
      <c r="VUJ163" s="20"/>
      <c r="VUK163" s="20"/>
      <c r="VUL163" s="20"/>
      <c r="VUM163" s="20"/>
      <c r="VUN163" s="21"/>
      <c r="VUO163" s="21"/>
      <c r="VUP163" s="7"/>
      <c r="VUQ163" s="7"/>
      <c r="VUR163" s="21"/>
      <c r="VUS163" s="20"/>
      <c r="VUT163" s="20"/>
      <c r="VUU163" s="20"/>
      <c r="VUV163" s="21"/>
      <c r="VUW163" s="21"/>
      <c r="VUX163" s="21"/>
      <c r="VUY163" s="21"/>
      <c r="VUZ163" s="21"/>
      <c r="VVA163" s="20"/>
      <c r="VVB163" s="20"/>
      <c r="VVC163" s="20"/>
      <c r="VVD163" s="20"/>
      <c r="VVE163" s="21"/>
      <c r="VVF163" s="21"/>
      <c r="VVG163" s="7"/>
      <c r="VVH163" s="7"/>
      <c r="VVI163" s="21"/>
      <c r="VVJ163" s="20"/>
      <c r="VVK163" s="20"/>
      <c r="VVL163" s="20"/>
      <c r="VVM163" s="21"/>
      <c r="VVN163" s="21"/>
      <c r="VVO163" s="21"/>
      <c r="VVP163" s="21"/>
      <c r="VVQ163" s="21"/>
      <c r="VVR163" s="20"/>
      <c r="VVS163" s="20"/>
      <c r="VVT163" s="20"/>
      <c r="VVU163" s="20"/>
      <c r="VVV163" s="21"/>
      <c r="VVW163" s="21"/>
      <c r="VVX163" s="7"/>
      <c r="VVY163" s="7"/>
      <c r="VVZ163" s="21"/>
      <c r="VWA163" s="20"/>
      <c r="VWB163" s="20"/>
      <c r="VWC163" s="20"/>
      <c r="VWD163" s="21"/>
      <c r="VWE163" s="21"/>
      <c r="VWF163" s="21"/>
      <c r="VWG163" s="21"/>
      <c r="VWH163" s="21"/>
      <c r="VWI163" s="20"/>
      <c r="VWJ163" s="20"/>
      <c r="VWK163" s="20"/>
      <c r="VWL163" s="20"/>
      <c r="VWM163" s="21"/>
      <c r="VWN163" s="21"/>
      <c r="VWO163" s="7"/>
      <c r="VWP163" s="7"/>
      <c r="VWQ163" s="21"/>
      <c r="VWR163" s="20"/>
      <c r="VWS163" s="20"/>
      <c r="VWT163" s="20"/>
      <c r="VWU163" s="21"/>
      <c r="VWV163" s="21"/>
      <c r="VWW163" s="21"/>
      <c r="VWX163" s="21"/>
      <c r="VWY163" s="21"/>
      <c r="VWZ163" s="20"/>
      <c r="VXA163" s="20"/>
      <c r="VXB163" s="20"/>
      <c r="VXC163" s="20"/>
      <c r="VXD163" s="21"/>
      <c r="VXE163" s="21"/>
      <c r="VXF163" s="7"/>
      <c r="VXG163" s="7"/>
      <c r="VXH163" s="21"/>
      <c r="VXI163" s="20"/>
      <c r="VXJ163" s="20"/>
      <c r="VXK163" s="20"/>
      <c r="VXL163" s="21"/>
      <c r="VXM163" s="21"/>
      <c r="VXN163" s="21"/>
      <c r="VXO163" s="21"/>
      <c r="VXP163" s="21"/>
      <c r="VXQ163" s="20"/>
      <c r="VXR163" s="20"/>
      <c r="VXS163" s="20"/>
      <c r="VXT163" s="20"/>
      <c r="VXU163" s="21"/>
      <c r="VXV163" s="21"/>
      <c r="VXW163" s="7"/>
      <c r="VXX163" s="7"/>
      <c r="VXY163" s="21"/>
      <c r="VXZ163" s="20"/>
      <c r="VYA163" s="20"/>
      <c r="VYB163" s="20"/>
      <c r="VYC163" s="21"/>
      <c r="VYD163" s="21"/>
      <c r="VYE163" s="21"/>
      <c r="VYF163" s="21"/>
      <c r="VYG163" s="21"/>
      <c r="VYH163" s="20"/>
      <c r="VYI163" s="20"/>
      <c r="VYJ163" s="20"/>
      <c r="VYK163" s="20"/>
      <c r="VYL163" s="21"/>
      <c r="VYM163" s="21"/>
      <c r="VYN163" s="7"/>
      <c r="VYO163" s="7"/>
      <c r="VYP163" s="21"/>
      <c r="VYQ163" s="20"/>
      <c r="VYR163" s="20"/>
      <c r="VYS163" s="20"/>
      <c r="VYT163" s="21"/>
      <c r="VYU163" s="21"/>
      <c r="VYV163" s="21"/>
      <c r="VYW163" s="21"/>
      <c r="VYX163" s="21"/>
      <c r="VYY163" s="20"/>
      <c r="VYZ163" s="20"/>
      <c r="VZA163" s="20"/>
      <c r="VZB163" s="20"/>
      <c r="VZC163" s="21"/>
      <c r="VZD163" s="21"/>
      <c r="VZE163" s="7"/>
      <c r="VZF163" s="7"/>
      <c r="VZG163" s="21"/>
      <c r="VZH163" s="20"/>
      <c r="VZI163" s="20"/>
      <c r="VZJ163" s="20"/>
      <c r="VZK163" s="21"/>
      <c r="VZL163" s="21"/>
      <c r="VZM163" s="21"/>
      <c r="VZN163" s="21"/>
      <c r="VZO163" s="21"/>
      <c r="VZP163" s="20"/>
      <c r="VZQ163" s="20"/>
      <c r="VZR163" s="20"/>
      <c r="VZS163" s="20"/>
      <c r="VZT163" s="21"/>
      <c r="VZU163" s="21"/>
      <c r="VZV163" s="7"/>
      <c r="VZW163" s="7"/>
      <c r="VZX163" s="21"/>
      <c r="VZY163" s="20"/>
      <c r="VZZ163" s="20"/>
      <c r="WAA163" s="20"/>
      <c r="WAB163" s="21"/>
      <c r="WAC163" s="21"/>
      <c r="WAD163" s="21"/>
      <c r="WAE163" s="21"/>
      <c r="WAF163" s="21"/>
      <c r="WAG163" s="20"/>
      <c r="WAH163" s="20"/>
      <c r="WAI163" s="20"/>
      <c r="WAJ163" s="20"/>
      <c r="WAK163" s="21"/>
      <c r="WAL163" s="21"/>
      <c r="WAM163" s="7"/>
      <c r="WAN163" s="7"/>
      <c r="WAO163" s="21"/>
      <c r="WAP163" s="20"/>
      <c r="WAQ163" s="20"/>
      <c r="WAR163" s="20"/>
      <c r="WAS163" s="21"/>
      <c r="WAT163" s="21"/>
      <c r="WAU163" s="21"/>
      <c r="WAV163" s="21"/>
      <c r="WAW163" s="21"/>
      <c r="WAX163" s="20"/>
      <c r="WAY163" s="20"/>
      <c r="WAZ163" s="20"/>
      <c r="WBA163" s="20"/>
      <c r="WBB163" s="21"/>
      <c r="WBC163" s="21"/>
      <c r="WBD163" s="7"/>
      <c r="WBE163" s="7"/>
      <c r="WBF163" s="21"/>
      <c r="WBG163" s="20"/>
      <c r="WBH163" s="20"/>
      <c r="WBI163" s="20"/>
      <c r="WBJ163" s="21"/>
      <c r="WBK163" s="21"/>
      <c r="WBL163" s="21"/>
      <c r="WBM163" s="21"/>
      <c r="WBN163" s="21"/>
      <c r="WBO163" s="20"/>
      <c r="WBP163" s="20"/>
      <c r="WBQ163" s="20"/>
      <c r="WBR163" s="20"/>
      <c r="WBS163" s="21"/>
      <c r="WBT163" s="21"/>
      <c r="WBU163" s="7"/>
      <c r="WBV163" s="7"/>
      <c r="WBW163" s="21"/>
      <c r="WBX163" s="20"/>
      <c r="WBY163" s="20"/>
      <c r="WBZ163" s="20"/>
      <c r="WCA163" s="21"/>
      <c r="WCB163" s="21"/>
      <c r="WCC163" s="21"/>
      <c r="WCD163" s="21"/>
      <c r="WCE163" s="21"/>
      <c r="WCF163" s="20"/>
      <c r="WCG163" s="20"/>
      <c r="WCH163" s="20"/>
      <c r="WCI163" s="20"/>
      <c r="WCJ163" s="21"/>
      <c r="WCK163" s="21"/>
      <c r="WCL163" s="7"/>
      <c r="WCM163" s="7"/>
      <c r="WCN163" s="21"/>
      <c r="WCO163" s="20"/>
      <c r="WCP163" s="20"/>
      <c r="WCQ163" s="20"/>
      <c r="WCR163" s="21"/>
      <c r="WCS163" s="21"/>
      <c r="WCT163" s="21"/>
      <c r="WCU163" s="21"/>
      <c r="WCV163" s="21"/>
      <c r="WCW163" s="20"/>
      <c r="WCX163" s="20"/>
      <c r="WCY163" s="20"/>
      <c r="WCZ163" s="20"/>
      <c r="WDA163" s="21"/>
      <c r="WDB163" s="21"/>
      <c r="WDC163" s="7"/>
      <c r="WDD163" s="7"/>
      <c r="WDE163" s="21"/>
      <c r="WDF163" s="20"/>
      <c r="WDG163" s="20"/>
      <c r="WDH163" s="20"/>
      <c r="WDI163" s="21"/>
      <c r="WDJ163" s="21"/>
      <c r="WDK163" s="21"/>
      <c r="WDL163" s="21"/>
      <c r="WDM163" s="21"/>
      <c r="WDN163" s="20"/>
      <c r="WDO163" s="20"/>
      <c r="WDP163" s="20"/>
      <c r="WDQ163" s="20"/>
      <c r="WDR163" s="21"/>
      <c r="WDS163" s="21"/>
      <c r="WDT163" s="7"/>
      <c r="WDU163" s="7"/>
      <c r="WDV163" s="21"/>
      <c r="WDW163" s="20"/>
      <c r="WDX163" s="20"/>
      <c r="WDY163" s="20"/>
      <c r="WDZ163" s="21"/>
      <c r="WEA163" s="21"/>
      <c r="WEB163" s="21"/>
      <c r="WEC163" s="21"/>
      <c r="WED163" s="21"/>
      <c r="WEE163" s="20"/>
      <c r="WEF163" s="20"/>
      <c r="WEG163" s="20"/>
      <c r="WEH163" s="20"/>
      <c r="WEI163" s="21"/>
      <c r="WEJ163" s="21"/>
      <c r="WEK163" s="7"/>
      <c r="WEL163" s="7"/>
      <c r="WEM163" s="21"/>
      <c r="WEN163" s="20"/>
      <c r="WEO163" s="20"/>
      <c r="WEP163" s="20"/>
      <c r="WEQ163" s="21"/>
      <c r="WER163" s="21"/>
      <c r="WES163" s="21"/>
      <c r="WET163" s="21"/>
      <c r="WEU163" s="21"/>
      <c r="WEV163" s="20"/>
      <c r="WEW163" s="20"/>
      <c r="WEX163" s="20"/>
      <c r="WEY163" s="20"/>
      <c r="WEZ163" s="21"/>
      <c r="WFA163" s="21"/>
      <c r="WFB163" s="7"/>
      <c r="WFC163" s="7"/>
      <c r="WFD163" s="21"/>
      <c r="WFE163" s="20"/>
      <c r="WFF163" s="20"/>
      <c r="WFG163" s="20"/>
      <c r="WFH163" s="21"/>
      <c r="WFI163" s="21"/>
      <c r="WFJ163" s="21"/>
      <c r="WFK163" s="21"/>
      <c r="WFL163" s="21"/>
      <c r="WFM163" s="20"/>
      <c r="WFN163" s="20"/>
      <c r="WFO163" s="20"/>
      <c r="WFP163" s="20"/>
      <c r="WFQ163" s="21"/>
      <c r="WFR163" s="21"/>
      <c r="WFS163" s="7"/>
      <c r="WFT163" s="7"/>
      <c r="WFU163" s="21"/>
      <c r="WFV163" s="20"/>
      <c r="WFW163" s="20"/>
      <c r="WFX163" s="20"/>
      <c r="WFY163" s="21"/>
      <c r="WFZ163" s="21"/>
      <c r="WGA163" s="21"/>
      <c r="WGB163" s="21"/>
      <c r="WGC163" s="21"/>
      <c r="WGD163" s="20"/>
      <c r="WGE163" s="20"/>
      <c r="WGF163" s="20"/>
      <c r="WGG163" s="20"/>
      <c r="WGH163" s="21"/>
      <c r="WGI163" s="21"/>
      <c r="WGJ163" s="7"/>
      <c r="WGK163" s="7"/>
      <c r="WGL163" s="21"/>
      <c r="WGM163" s="20"/>
      <c r="WGN163" s="20"/>
      <c r="WGO163" s="20"/>
      <c r="WGP163" s="21"/>
      <c r="WGQ163" s="21"/>
      <c r="WGR163" s="21"/>
      <c r="WGS163" s="21"/>
      <c r="WGT163" s="21"/>
      <c r="WGU163" s="20"/>
      <c r="WGV163" s="20"/>
      <c r="WGW163" s="20"/>
      <c r="WGX163" s="20"/>
      <c r="WGY163" s="21"/>
      <c r="WGZ163" s="21"/>
      <c r="WHA163" s="7"/>
      <c r="WHB163" s="7"/>
      <c r="WHC163" s="21"/>
      <c r="WHD163" s="20"/>
      <c r="WHE163" s="20"/>
      <c r="WHF163" s="20"/>
      <c r="WHG163" s="21"/>
      <c r="WHH163" s="21"/>
      <c r="WHI163" s="21"/>
      <c r="WHJ163" s="21"/>
      <c r="WHK163" s="21"/>
      <c r="WHL163" s="20"/>
      <c r="WHM163" s="20"/>
      <c r="WHN163" s="20"/>
      <c r="WHO163" s="20"/>
      <c r="WHP163" s="21"/>
      <c r="WHQ163" s="21"/>
      <c r="WHR163" s="7"/>
      <c r="WHS163" s="7"/>
      <c r="WHT163" s="21"/>
      <c r="WHU163" s="20"/>
      <c r="WHV163" s="20"/>
      <c r="WHW163" s="20"/>
      <c r="WHX163" s="21"/>
      <c r="WHY163" s="21"/>
      <c r="WHZ163" s="21"/>
      <c r="WIA163" s="21"/>
      <c r="WIB163" s="21"/>
      <c r="WIC163" s="20"/>
      <c r="WID163" s="20"/>
      <c r="WIE163" s="20"/>
      <c r="WIF163" s="20"/>
      <c r="WIG163" s="21"/>
      <c r="WIH163" s="21"/>
      <c r="WII163" s="7"/>
      <c r="WIJ163" s="7"/>
      <c r="WIK163" s="21"/>
      <c r="WIL163" s="20"/>
      <c r="WIM163" s="20"/>
      <c r="WIN163" s="20"/>
      <c r="WIO163" s="21"/>
      <c r="WIP163" s="21"/>
      <c r="WIQ163" s="21"/>
      <c r="WIR163" s="21"/>
      <c r="WIS163" s="21"/>
      <c r="WIT163" s="20"/>
      <c r="WIU163" s="20"/>
      <c r="WIV163" s="20"/>
      <c r="WIW163" s="20"/>
      <c r="WIX163" s="21"/>
      <c r="WIY163" s="21"/>
      <c r="WIZ163" s="7"/>
      <c r="WJA163" s="7"/>
      <c r="WJB163" s="21"/>
      <c r="WJC163" s="20"/>
      <c r="WJD163" s="20"/>
      <c r="WJE163" s="20"/>
      <c r="WJF163" s="21"/>
      <c r="WJG163" s="21"/>
      <c r="WJH163" s="21"/>
      <c r="WJI163" s="21"/>
      <c r="WJJ163" s="21"/>
      <c r="WJK163" s="20"/>
      <c r="WJL163" s="20"/>
      <c r="WJM163" s="20"/>
      <c r="WJN163" s="20"/>
      <c r="WJO163" s="21"/>
      <c r="WJP163" s="21"/>
      <c r="WJQ163" s="7"/>
      <c r="WJR163" s="7"/>
      <c r="WJS163" s="21"/>
      <c r="WJT163" s="20"/>
      <c r="WJU163" s="20"/>
      <c r="WJV163" s="20"/>
      <c r="WJW163" s="21"/>
      <c r="WJX163" s="21"/>
      <c r="WJY163" s="21"/>
      <c r="WJZ163" s="21"/>
      <c r="WKA163" s="21"/>
      <c r="WKB163" s="20"/>
      <c r="WKC163" s="20"/>
      <c r="WKD163" s="20"/>
      <c r="WKE163" s="20"/>
      <c r="WKF163" s="21"/>
      <c r="WKG163" s="21"/>
      <c r="WKH163" s="7"/>
      <c r="WKI163" s="7"/>
      <c r="WKJ163" s="21"/>
      <c r="WKK163" s="20"/>
      <c r="WKL163" s="20"/>
      <c r="WKM163" s="20"/>
      <c r="WKN163" s="21"/>
      <c r="WKO163" s="21"/>
      <c r="WKP163" s="21"/>
      <c r="WKQ163" s="21"/>
      <c r="WKR163" s="21"/>
      <c r="WKS163" s="20"/>
      <c r="WKT163" s="20"/>
      <c r="WKU163" s="20"/>
      <c r="WKV163" s="20"/>
      <c r="WKW163" s="21"/>
      <c r="WKX163" s="21"/>
      <c r="WKY163" s="7"/>
      <c r="WKZ163" s="7"/>
      <c r="WLA163" s="21"/>
      <c r="WLB163" s="20"/>
      <c r="WLC163" s="20"/>
      <c r="WLD163" s="20"/>
      <c r="WLE163" s="21"/>
      <c r="WLF163" s="21"/>
      <c r="WLG163" s="21"/>
      <c r="WLH163" s="21"/>
      <c r="WLI163" s="21"/>
      <c r="WLJ163" s="20"/>
      <c r="WLK163" s="20"/>
      <c r="WLL163" s="20"/>
      <c r="WLM163" s="20"/>
      <c r="WLN163" s="21"/>
      <c r="WLO163" s="21"/>
      <c r="WLP163" s="7"/>
      <c r="WLQ163" s="7"/>
      <c r="WLR163" s="21"/>
      <c r="WLS163" s="20"/>
      <c r="WLT163" s="20"/>
      <c r="WLU163" s="20"/>
      <c r="WLV163" s="21"/>
      <c r="WLW163" s="21"/>
      <c r="WLX163" s="21"/>
      <c r="WLY163" s="21"/>
      <c r="WLZ163" s="21"/>
      <c r="WMA163" s="20"/>
      <c r="WMB163" s="20"/>
      <c r="WMC163" s="20"/>
      <c r="WMD163" s="20"/>
      <c r="WME163" s="21"/>
      <c r="WMF163" s="21"/>
      <c r="WMG163" s="7"/>
      <c r="WMH163" s="7"/>
      <c r="WMI163" s="21"/>
      <c r="WMJ163" s="20"/>
      <c r="WMK163" s="20"/>
      <c r="WML163" s="20"/>
      <c r="WMM163" s="21"/>
      <c r="WMN163" s="21"/>
      <c r="WMO163" s="21"/>
      <c r="WMP163" s="21"/>
      <c r="WMQ163" s="21"/>
      <c r="WMR163" s="20"/>
      <c r="WMS163" s="20"/>
      <c r="WMT163" s="20"/>
      <c r="WMU163" s="20"/>
      <c r="WMV163" s="21"/>
      <c r="WMW163" s="21"/>
      <c r="WMX163" s="7"/>
      <c r="WMY163" s="7"/>
      <c r="WMZ163" s="21"/>
      <c r="WNA163" s="20"/>
      <c r="WNB163" s="20"/>
      <c r="WNC163" s="20"/>
      <c r="WND163" s="21"/>
      <c r="WNE163" s="21"/>
      <c r="WNF163" s="21"/>
      <c r="WNG163" s="21"/>
      <c r="WNH163" s="21"/>
      <c r="WNI163" s="20"/>
      <c r="WNJ163" s="20"/>
      <c r="WNK163" s="20"/>
      <c r="WNL163" s="20"/>
      <c r="WNM163" s="21"/>
      <c r="WNN163" s="21"/>
      <c r="WNO163" s="7"/>
      <c r="WNP163" s="7"/>
      <c r="WNQ163" s="21"/>
      <c r="WNR163" s="20"/>
      <c r="WNS163" s="20"/>
      <c r="WNT163" s="20"/>
      <c r="WNU163" s="21"/>
      <c r="WNV163" s="21"/>
      <c r="WNW163" s="21"/>
      <c r="WNX163" s="21"/>
      <c r="WNY163" s="21"/>
      <c r="WNZ163" s="20"/>
      <c r="WOA163" s="20"/>
      <c r="WOB163" s="20"/>
      <c r="WOC163" s="20"/>
      <c r="WOD163" s="21"/>
      <c r="WOE163" s="21"/>
      <c r="WOF163" s="7"/>
      <c r="WOG163" s="7"/>
      <c r="WOH163" s="21"/>
      <c r="WOI163" s="20"/>
      <c r="WOJ163" s="20"/>
      <c r="WOK163" s="20"/>
      <c r="WOL163" s="21"/>
      <c r="WOM163" s="21"/>
      <c r="WON163" s="21"/>
      <c r="WOO163" s="21"/>
      <c r="WOP163" s="21"/>
      <c r="WOQ163" s="20"/>
      <c r="WOR163" s="20"/>
      <c r="WOS163" s="20"/>
      <c r="WOT163" s="20"/>
      <c r="WOU163" s="21"/>
      <c r="WOV163" s="21"/>
      <c r="WOW163" s="7"/>
      <c r="WOX163" s="7"/>
      <c r="WOY163" s="21"/>
      <c r="WOZ163" s="20"/>
      <c r="WPA163" s="20"/>
      <c r="WPB163" s="20"/>
      <c r="WPC163" s="21"/>
      <c r="WPD163" s="21"/>
      <c r="WPE163" s="21"/>
      <c r="WPF163" s="21"/>
      <c r="WPG163" s="21"/>
      <c r="WPH163" s="20"/>
      <c r="WPI163" s="20"/>
      <c r="WPJ163" s="20"/>
      <c r="WPK163" s="20"/>
      <c r="WPL163" s="21"/>
      <c r="WPM163" s="21"/>
      <c r="WPN163" s="7"/>
      <c r="WPO163" s="7"/>
      <c r="WPP163" s="21"/>
      <c r="WPQ163" s="20"/>
      <c r="WPR163" s="20"/>
      <c r="WPS163" s="20"/>
      <c r="WPT163" s="21"/>
      <c r="WPU163" s="21"/>
      <c r="WPV163" s="21"/>
      <c r="WPW163" s="21"/>
      <c r="WPX163" s="21"/>
      <c r="WPY163" s="20"/>
      <c r="WPZ163" s="20"/>
      <c r="WQA163" s="20"/>
      <c r="WQB163" s="20"/>
      <c r="WQC163" s="21"/>
      <c r="WQD163" s="21"/>
      <c r="WQE163" s="7"/>
      <c r="WQF163" s="7"/>
      <c r="WQG163" s="21"/>
      <c r="WQH163" s="20"/>
      <c r="WQI163" s="20"/>
      <c r="WQJ163" s="20"/>
      <c r="WQK163" s="21"/>
      <c r="WQL163" s="21"/>
      <c r="WQM163" s="21"/>
      <c r="WQN163" s="21"/>
      <c r="WQO163" s="21"/>
      <c r="WQP163" s="20"/>
      <c r="WQQ163" s="20"/>
      <c r="WQR163" s="20"/>
      <c r="WQS163" s="20"/>
      <c r="WQT163" s="21"/>
      <c r="WQU163" s="21"/>
      <c r="WQV163" s="7"/>
      <c r="WQW163" s="7"/>
      <c r="WQX163" s="21"/>
      <c r="WQY163" s="20"/>
      <c r="WQZ163" s="20"/>
      <c r="WRA163" s="20"/>
      <c r="WRB163" s="21"/>
      <c r="WRC163" s="21"/>
      <c r="WRD163" s="21"/>
      <c r="WRE163" s="21"/>
      <c r="WRF163" s="21"/>
      <c r="WRG163" s="20"/>
      <c r="WRH163" s="20"/>
      <c r="WRI163" s="20"/>
      <c r="WRJ163" s="20"/>
      <c r="WRK163" s="21"/>
      <c r="WRL163" s="21"/>
      <c r="WRM163" s="7"/>
      <c r="WRN163" s="7"/>
      <c r="WRO163" s="21"/>
      <c r="WRP163" s="20"/>
      <c r="WRQ163" s="20"/>
      <c r="WRR163" s="20"/>
      <c r="WRS163" s="21"/>
      <c r="WRT163" s="21"/>
      <c r="WRU163" s="21"/>
      <c r="WRV163" s="21"/>
      <c r="WRW163" s="21"/>
      <c r="WRX163" s="20"/>
      <c r="WRY163" s="20"/>
      <c r="WRZ163" s="20"/>
      <c r="WSA163" s="20"/>
      <c r="WSB163" s="21"/>
      <c r="WSC163" s="21"/>
      <c r="WSD163" s="7"/>
      <c r="WSE163" s="7"/>
      <c r="WSF163" s="21"/>
      <c r="WSG163" s="20"/>
      <c r="WSH163" s="20"/>
      <c r="WSI163" s="20"/>
      <c r="WSJ163" s="21"/>
      <c r="WSK163" s="21"/>
      <c r="WSL163" s="21"/>
      <c r="WSM163" s="21"/>
      <c r="WSN163" s="21"/>
      <c r="WSO163" s="20"/>
      <c r="WSP163" s="20"/>
      <c r="WSQ163" s="20"/>
      <c r="WSR163" s="20"/>
      <c r="WSS163" s="21"/>
      <c r="WST163" s="21"/>
      <c r="WSU163" s="7"/>
      <c r="WSV163" s="7"/>
      <c r="WSW163" s="21"/>
      <c r="WSX163" s="20"/>
      <c r="WSY163" s="20"/>
      <c r="WSZ163" s="20"/>
      <c r="WTA163" s="21"/>
      <c r="WTB163" s="21"/>
      <c r="WTC163" s="21"/>
      <c r="WTD163" s="21"/>
      <c r="WTE163" s="21"/>
      <c r="WTF163" s="20"/>
      <c r="WTG163" s="20"/>
      <c r="WTH163" s="20"/>
      <c r="WTI163" s="20"/>
      <c r="WTJ163" s="21"/>
      <c r="WTK163" s="21"/>
      <c r="WTL163" s="7"/>
      <c r="WTM163" s="7"/>
      <c r="WTN163" s="21"/>
      <c r="WTO163" s="20"/>
      <c r="WTP163" s="20"/>
      <c r="WTQ163" s="20"/>
      <c r="WTR163" s="21"/>
      <c r="WTS163" s="21"/>
      <c r="WTT163" s="21"/>
      <c r="WTU163" s="21"/>
      <c r="WTV163" s="21"/>
      <c r="WTW163" s="20"/>
      <c r="WTX163" s="20"/>
      <c r="WTY163" s="20"/>
      <c r="WTZ163" s="20"/>
      <c r="WUA163" s="21"/>
      <c r="WUB163" s="21"/>
      <c r="WUC163" s="7"/>
      <c r="WUD163" s="7"/>
      <c r="WUE163" s="21"/>
      <c r="WUF163" s="20"/>
      <c r="WUG163" s="20"/>
      <c r="WUH163" s="20"/>
      <c r="WUI163" s="21"/>
      <c r="WUJ163" s="21"/>
      <c r="WUK163" s="21"/>
      <c r="WUL163" s="21"/>
      <c r="WUM163" s="21"/>
      <c r="WUN163" s="20"/>
      <c r="WUO163" s="20"/>
      <c r="WUP163" s="20"/>
      <c r="WUQ163" s="20"/>
      <c r="WUR163" s="21"/>
      <c r="WUS163" s="21"/>
      <c r="WUT163" s="7"/>
      <c r="WUU163" s="7"/>
      <c r="WUV163" s="21"/>
      <c r="WUW163" s="20"/>
      <c r="WUX163" s="20"/>
      <c r="WUY163" s="20"/>
      <c r="WUZ163" s="21"/>
      <c r="WVA163" s="21"/>
      <c r="WVB163" s="21"/>
      <c r="WVC163" s="21"/>
      <c r="WVD163" s="21"/>
      <c r="WVE163" s="20"/>
      <c r="WVF163" s="20"/>
      <c r="WVG163" s="20"/>
      <c r="WVH163" s="20"/>
      <c r="WVI163" s="21"/>
      <c r="WVJ163" s="21"/>
      <c r="WVK163" s="7"/>
      <c r="WVL163" s="7"/>
      <c r="WVM163" s="21"/>
      <c r="WVN163" s="20"/>
      <c r="WVO163" s="20"/>
      <c r="WVP163" s="20"/>
      <c r="WVQ163" s="21"/>
      <c r="WVR163" s="21"/>
      <c r="WVS163" s="21"/>
      <c r="WVT163" s="21"/>
      <c r="WVU163" s="21"/>
      <c r="WVV163" s="20"/>
      <c r="WVW163" s="20"/>
      <c r="WVX163" s="20"/>
      <c r="WVY163" s="20"/>
      <c r="WVZ163" s="21"/>
      <c r="WWA163" s="21"/>
      <c r="WWB163" s="7"/>
      <c r="WWC163" s="7"/>
      <c r="WWD163" s="21"/>
      <c r="WWE163" s="20"/>
      <c r="WWF163" s="20"/>
      <c r="WWG163" s="20"/>
      <c r="WWH163" s="21"/>
      <c r="WWI163" s="21"/>
      <c r="WWJ163" s="21"/>
      <c r="WWK163" s="21"/>
      <c r="WWL163" s="21"/>
      <c r="WWM163" s="20"/>
      <c r="WWN163" s="20"/>
      <c r="WWO163" s="20"/>
      <c r="WWP163" s="20"/>
      <c r="WWQ163" s="21"/>
      <c r="WWR163" s="21"/>
      <c r="WWS163" s="7"/>
      <c r="WWT163" s="7"/>
      <c r="WWU163" s="21"/>
      <c r="WWV163" s="20"/>
      <c r="WWW163" s="20"/>
      <c r="WWX163" s="20"/>
      <c r="WWY163" s="21"/>
      <c r="WWZ163" s="21"/>
      <c r="WXA163" s="21"/>
      <c r="WXB163" s="21"/>
      <c r="WXC163" s="21"/>
      <c r="WXD163" s="20"/>
      <c r="WXE163" s="20"/>
      <c r="WXF163" s="20"/>
      <c r="WXG163" s="20"/>
      <c r="WXH163" s="21"/>
      <c r="WXI163" s="21"/>
      <c r="WXJ163" s="7"/>
      <c r="WXK163" s="7"/>
      <c r="WXL163" s="21"/>
      <c r="WXM163" s="20"/>
      <c r="WXN163" s="20"/>
      <c r="WXO163" s="20"/>
      <c r="WXP163" s="21"/>
      <c r="WXQ163" s="21"/>
      <c r="WXR163" s="21"/>
      <c r="WXS163" s="21"/>
      <c r="WXT163" s="21"/>
      <c r="WXU163" s="20"/>
      <c r="WXV163" s="20"/>
      <c r="WXW163" s="20"/>
      <c r="WXX163" s="20"/>
      <c r="WXY163" s="21"/>
      <c r="WXZ163" s="21"/>
      <c r="WYA163" s="7"/>
      <c r="WYB163" s="7"/>
      <c r="WYC163" s="21"/>
      <c r="WYD163" s="20"/>
      <c r="WYE163" s="20"/>
      <c r="WYF163" s="20"/>
      <c r="WYG163" s="21"/>
      <c r="WYH163" s="21"/>
      <c r="WYI163" s="21"/>
      <c r="WYJ163" s="21"/>
      <c r="WYK163" s="21"/>
      <c r="WYL163" s="20"/>
      <c r="WYM163" s="20"/>
      <c r="WYN163" s="20"/>
      <c r="WYO163" s="20"/>
      <c r="WYP163" s="21"/>
      <c r="WYQ163" s="21"/>
      <c r="WYR163" s="7"/>
      <c r="WYS163" s="7"/>
      <c r="WYT163" s="21"/>
      <c r="WYU163" s="20"/>
      <c r="WYV163" s="20"/>
      <c r="WYW163" s="20"/>
      <c r="WYX163" s="21"/>
      <c r="WYY163" s="21"/>
      <c r="WYZ163" s="21"/>
      <c r="WZA163" s="21"/>
      <c r="WZB163" s="21"/>
      <c r="WZC163" s="20"/>
      <c r="WZD163" s="20"/>
      <c r="WZE163" s="20"/>
      <c r="WZF163" s="20"/>
      <c r="WZG163" s="21"/>
      <c r="WZH163" s="21"/>
      <c r="WZI163" s="7"/>
      <c r="WZJ163" s="7"/>
      <c r="WZK163" s="21"/>
      <c r="WZL163" s="20"/>
      <c r="WZM163" s="20"/>
      <c r="WZN163" s="20"/>
      <c r="WZO163" s="21"/>
      <c r="WZP163" s="21"/>
      <c r="WZQ163" s="21"/>
      <c r="WZR163" s="21"/>
      <c r="WZS163" s="21"/>
      <c r="WZT163" s="20"/>
      <c r="WZU163" s="20"/>
      <c r="WZV163" s="20"/>
      <c r="WZW163" s="20"/>
      <c r="WZX163" s="21"/>
      <c r="WZY163" s="21"/>
      <c r="WZZ163" s="7"/>
      <c r="XAA163" s="7"/>
      <c r="XAB163" s="21"/>
      <c r="XAC163" s="20"/>
      <c r="XAD163" s="20"/>
      <c r="XAE163" s="20"/>
      <c r="XAF163" s="21"/>
      <c r="XAG163" s="21"/>
      <c r="XAH163" s="21"/>
      <c r="XAI163" s="21"/>
      <c r="XAJ163" s="21"/>
      <c r="XAK163" s="20"/>
      <c r="XAL163" s="20"/>
      <c r="XAM163" s="20"/>
      <c r="XAN163" s="20"/>
      <c r="XAO163" s="21"/>
      <c r="XAP163" s="21"/>
      <c r="XAQ163" s="7"/>
      <c r="XAR163" s="7"/>
      <c r="XAS163" s="21"/>
      <c r="XAT163" s="20"/>
      <c r="XAU163" s="20"/>
      <c r="XAV163" s="20"/>
      <c r="XAW163" s="21"/>
      <c r="XAX163" s="21"/>
      <c r="XAY163" s="21"/>
      <c r="XAZ163" s="21"/>
      <c r="XBA163" s="21"/>
      <c r="XBB163" s="20"/>
      <c r="XBC163" s="20"/>
      <c r="XBD163" s="20"/>
      <c r="XBE163" s="20"/>
      <c r="XBF163" s="21"/>
      <c r="XBG163" s="21"/>
      <c r="XBH163" s="7"/>
      <c r="XBI163" s="7"/>
      <c r="XBJ163" s="21"/>
      <c r="XBK163" s="20"/>
      <c r="XBL163" s="20"/>
      <c r="XBM163" s="20"/>
      <c r="XBN163" s="21"/>
      <c r="XBO163" s="21"/>
      <c r="XBP163" s="21"/>
      <c r="XBQ163" s="21"/>
      <c r="XBR163" s="21"/>
      <c r="XBS163" s="20"/>
      <c r="XBT163" s="20"/>
      <c r="XBU163" s="20"/>
      <c r="XBV163" s="20"/>
      <c r="XBW163" s="21"/>
      <c r="XBX163" s="21"/>
      <c r="XBY163" s="7"/>
      <c r="XBZ163" s="7"/>
      <c r="XCA163" s="21"/>
      <c r="XCB163" s="20"/>
      <c r="XCC163" s="20"/>
      <c r="XCD163" s="20"/>
      <c r="XCE163" s="21"/>
      <c r="XCF163" s="21"/>
      <c r="XCG163" s="21"/>
      <c r="XCH163" s="21"/>
      <c r="XCI163" s="21"/>
      <c r="XCJ163" s="20"/>
      <c r="XCK163" s="20"/>
      <c r="XCL163" s="20"/>
      <c r="XCM163" s="20"/>
      <c r="XCN163" s="21"/>
      <c r="XCO163" s="21"/>
      <c r="XCP163" s="7"/>
      <c r="XCQ163" s="7"/>
      <c r="XCR163" s="21"/>
      <c r="XCS163" s="20"/>
      <c r="XCT163" s="20"/>
      <c r="XCU163" s="20"/>
      <c r="XCV163" s="21"/>
      <c r="XCW163" s="21"/>
      <c r="XCX163" s="21"/>
      <c r="XCY163" s="21"/>
      <c r="XCZ163" s="21"/>
      <c r="XDA163" s="20"/>
      <c r="XDB163" s="20"/>
      <c r="XDC163" s="20"/>
      <c r="XDD163" s="20"/>
      <c r="XDE163" s="21"/>
      <c r="XDF163" s="21"/>
      <c r="XDG163" s="7"/>
      <c r="XDH163" s="7"/>
      <c r="XDI163" s="21"/>
      <c r="XDJ163" s="20"/>
      <c r="XDK163" s="20"/>
      <c r="XDL163" s="20"/>
      <c r="XDM163" s="21"/>
      <c r="XDN163" s="21"/>
      <c r="XDO163" s="21"/>
      <c r="XDP163" s="21"/>
      <c r="XDQ163" s="21"/>
      <c r="XDR163" s="20"/>
      <c r="XDS163" s="20"/>
      <c r="XDT163" s="20"/>
      <c r="XDU163" s="20"/>
      <c r="XDV163" s="21"/>
      <c r="XDW163" s="21"/>
      <c r="XDX163" s="7"/>
      <c r="XDY163" s="7"/>
      <c r="XDZ163" s="21"/>
      <c r="XEA163" s="20"/>
      <c r="XEB163" s="20"/>
      <c r="XEC163" s="20"/>
      <c r="XED163" s="21"/>
      <c r="XEE163" s="21"/>
      <c r="XEF163" s="21"/>
      <c r="XEG163" s="21"/>
      <c r="XEH163" s="21"/>
      <c r="XEI163" s="20"/>
      <c r="XEJ163" s="20"/>
      <c r="XEK163" s="20"/>
      <c r="XEL163" s="20"/>
      <c r="XEM163" s="21"/>
      <c r="XEN163" s="21"/>
      <c r="XEO163" s="7"/>
      <c r="XEP163" s="7"/>
      <c r="XEQ163" s="21"/>
      <c r="XER163" s="20"/>
      <c r="XES163" s="20"/>
      <c r="XET163" s="20"/>
      <c r="XEU163" s="21"/>
      <c r="XEV163" s="21"/>
      <c r="XEW163" s="21"/>
      <c r="XEX163" s="21"/>
      <c r="XEY163" s="21"/>
      <c r="XEZ163" s="20"/>
      <c r="XFA163" s="20"/>
      <c r="XFB163" s="20"/>
      <c r="XFC163" s="20"/>
      <c r="XFD163" s="21"/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983</v>
      </c>
      <c r="E164" s="30" t="s">
        <v>980</v>
      </c>
      <c r="F164" s="30" t="s">
        <v>981</v>
      </c>
      <c r="G164" s="30" t="s">
        <v>137</v>
      </c>
      <c r="H164" s="30" t="s">
        <v>165</v>
      </c>
      <c r="I164" s="29" t="s">
        <v>982</v>
      </c>
      <c r="J164" s="29">
        <v>1</v>
      </c>
      <c r="K164" s="29" t="s">
        <v>376</v>
      </c>
      <c r="L164" s="29"/>
      <c r="M164" s="30"/>
      <c r="N164" s="30" t="s">
        <v>882</v>
      </c>
      <c r="O164" s="31">
        <v>1</v>
      </c>
      <c r="P164" s="31">
        <v>1</v>
      </c>
      <c r="Q164" s="30" t="s">
        <v>984</v>
      </c>
      <c r="R164" s="2"/>
      <c r="S164" s="2">
        <f t="shared" si="71"/>
        <v>1</v>
      </c>
      <c r="T164" s="2">
        <f t="shared" si="72"/>
        <v>0</v>
      </c>
      <c r="U164" s="2">
        <f t="shared" si="73"/>
        <v>0</v>
      </c>
      <c r="V164" s="2">
        <f t="shared" si="74"/>
        <v>0</v>
      </c>
      <c r="W164" s="2">
        <f t="shared" si="75"/>
        <v>0</v>
      </c>
      <c r="X164" s="2">
        <f t="shared" si="76"/>
        <v>0</v>
      </c>
      <c r="Y164" s="2">
        <f t="shared" si="77"/>
        <v>0</v>
      </c>
      <c r="Z164" s="2">
        <f t="shared" si="78"/>
        <v>0</v>
      </c>
      <c r="AA164" s="2">
        <f t="shared" si="79"/>
        <v>0</v>
      </c>
      <c r="AB164" s="2">
        <f t="shared" si="80"/>
        <v>0</v>
      </c>
      <c r="AC164" s="2"/>
      <c r="AD164" s="2">
        <f t="shared" si="81"/>
        <v>1</v>
      </c>
      <c r="AE164" s="2">
        <f t="shared" si="82"/>
        <v>0</v>
      </c>
      <c r="AF164" s="2">
        <f t="shared" si="83"/>
        <v>1</v>
      </c>
      <c r="AG164" s="2">
        <f t="shared" si="84"/>
        <v>0</v>
      </c>
      <c r="AH164" s="2">
        <f t="shared" si="85"/>
        <v>1</v>
      </c>
      <c r="AI164" s="2">
        <f t="shared" si="86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931</v>
      </c>
      <c r="E165" s="30" t="s">
        <v>468</v>
      </c>
      <c r="F165" s="30" t="s">
        <v>932</v>
      </c>
      <c r="G165" s="30" t="s">
        <v>96</v>
      </c>
      <c r="H165" s="30" t="s">
        <v>165</v>
      </c>
      <c r="I165" s="29" t="s">
        <v>933</v>
      </c>
      <c r="J165" s="29"/>
      <c r="K165" s="29" t="s">
        <v>376</v>
      </c>
      <c r="L165" s="29"/>
      <c r="M165" s="30"/>
      <c r="N165" s="30" t="s">
        <v>882</v>
      </c>
      <c r="O165" s="31">
        <v>1</v>
      </c>
      <c r="P165" s="31">
        <v>1</v>
      </c>
      <c r="Q165" s="30" t="s">
        <v>986</v>
      </c>
      <c r="R165" s="20"/>
      <c r="S165" s="2">
        <f t="shared" si="71"/>
        <v>0</v>
      </c>
      <c r="T165" s="2">
        <f t="shared" si="72"/>
        <v>0</v>
      </c>
      <c r="U165" s="2">
        <f t="shared" si="73"/>
        <v>0</v>
      </c>
      <c r="V165" s="2">
        <f t="shared" si="74"/>
        <v>0</v>
      </c>
      <c r="W165" s="2">
        <f t="shared" si="75"/>
        <v>0</v>
      </c>
      <c r="X165" s="2">
        <f t="shared" si="76"/>
        <v>0</v>
      </c>
      <c r="Y165" s="2">
        <f t="shared" si="77"/>
        <v>0</v>
      </c>
      <c r="Z165" s="2">
        <f t="shared" si="78"/>
        <v>0</v>
      </c>
      <c r="AA165" s="2">
        <f t="shared" si="79"/>
        <v>0</v>
      </c>
      <c r="AB165" s="2">
        <f t="shared" si="80"/>
        <v>0</v>
      </c>
      <c r="AC165" s="2"/>
      <c r="AD165" s="2">
        <f t="shared" si="81"/>
        <v>1</v>
      </c>
      <c r="AE165" s="2">
        <f t="shared" si="82"/>
        <v>0</v>
      </c>
      <c r="AF165" s="2">
        <f t="shared" si="83"/>
        <v>1</v>
      </c>
      <c r="AG165" s="2">
        <f t="shared" si="84"/>
        <v>0</v>
      </c>
      <c r="AH165" s="2">
        <f t="shared" si="85"/>
        <v>1</v>
      </c>
      <c r="AI165" s="2">
        <f t="shared" si="86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707</v>
      </c>
      <c r="E166" s="30" t="s">
        <v>30</v>
      </c>
      <c r="F166" s="30" t="s">
        <v>709</v>
      </c>
      <c r="G166" s="30" t="s">
        <v>710</v>
      </c>
      <c r="H166" s="30" t="s">
        <v>165</v>
      </c>
      <c r="I166" s="29" t="s">
        <v>711</v>
      </c>
      <c r="J166" s="29">
        <v>99</v>
      </c>
      <c r="K166" s="29" t="s">
        <v>320</v>
      </c>
      <c r="L166" s="29">
        <v>55</v>
      </c>
      <c r="M166" s="30" t="s">
        <v>987</v>
      </c>
      <c r="N166" s="30" t="s">
        <v>902</v>
      </c>
      <c r="O166" s="31">
        <v>1</v>
      </c>
      <c r="P166" s="31"/>
      <c r="Q166" s="30" t="s">
        <v>985</v>
      </c>
      <c r="R166" s="2"/>
      <c r="S166" s="2">
        <f t="shared" si="71"/>
        <v>0</v>
      </c>
      <c r="T166" s="2">
        <f t="shared" si="72"/>
        <v>0</v>
      </c>
      <c r="U166" s="2">
        <f t="shared" si="73"/>
        <v>0</v>
      </c>
      <c r="V166" s="2">
        <f t="shared" si="74"/>
        <v>0</v>
      </c>
      <c r="W166" s="2">
        <f t="shared" si="75"/>
        <v>0</v>
      </c>
      <c r="X166" s="2">
        <f t="shared" si="76"/>
        <v>0</v>
      </c>
      <c r="Y166" s="2">
        <f t="shared" si="77"/>
        <v>0</v>
      </c>
      <c r="Z166" s="2">
        <f t="shared" si="78"/>
        <v>0</v>
      </c>
      <c r="AA166" s="2">
        <f t="shared" si="79"/>
        <v>0</v>
      </c>
      <c r="AB166" s="2">
        <f t="shared" si="80"/>
        <v>0</v>
      </c>
      <c r="AC166" s="2"/>
      <c r="AD166" s="2">
        <f t="shared" si="81"/>
        <v>0</v>
      </c>
      <c r="AE166" s="2">
        <f t="shared" si="82"/>
        <v>1</v>
      </c>
      <c r="AF166" s="2">
        <f t="shared" si="83"/>
        <v>0</v>
      </c>
      <c r="AG166" s="2">
        <f t="shared" si="84"/>
        <v>1</v>
      </c>
      <c r="AH166" s="2">
        <f t="shared" si="85"/>
        <v>0</v>
      </c>
      <c r="AI166" s="2">
        <f t="shared" si="86"/>
        <v>1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440</v>
      </c>
      <c r="E167" s="30" t="s">
        <v>441</v>
      </c>
      <c r="F167" s="30" t="s">
        <v>443</v>
      </c>
      <c r="G167" s="30" t="s">
        <v>93</v>
      </c>
      <c r="H167" s="30" t="s">
        <v>165</v>
      </c>
      <c r="I167" s="29" t="s">
        <v>442</v>
      </c>
      <c r="J167" s="29">
        <v>8</v>
      </c>
      <c r="K167" s="29" t="s">
        <v>318</v>
      </c>
      <c r="L167" s="29">
        <v>40</v>
      </c>
      <c r="M167" s="30" t="s">
        <v>874</v>
      </c>
      <c r="N167" s="30" t="s">
        <v>896</v>
      </c>
      <c r="O167" s="31">
        <v>1</v>
      </c>
      <c r="P167" s="31"/>
      <c r="Q167" s="30"/>
      <c r="R167" s="2"/>
      <c r="S167" s="2">
        <f t="shared" si="71"/>
        <v>0</v>
      </c>
      <c r="T167" s="2">
        <f t="shared" si="72"/>
        <v>0</v>
      </c>
      <c r="U167" s="2">
        <f t="shared" si="73"/>
        <v>0</v>
      </c>
      <c r="V167" s="2">
        <f t="shared" si="74"/>
        <v>0</v>
      </c>
      <c r="W167" s="2">
        <f t="shared" si="75"/>
        <v>0</v>
      </c>
      <c r="X167" s="2">
        <f t="shared" si="76"/>
        <v>0</v>
      </c>
      <c r="Y167" s="2">
        <f t="shared" si="77"/>
        <v>0</v>
      </c>
      <c r="Z167" s="2">
        <f t="shared" si="78"/>
        <v>1</v>
      </c>
      <c r="AA167" s="2">
        <f t="shared" si="79"/>
        <v>0</v>
      </c>
      <c r="AB167" s="2">
        <f t="shared" si="80"/>
        <v>0</v>
      </c>
      <c r="AC167" s="2"/>
      <c r="AD167" s="2">
        <f t="shared" si="81"/>
        <v>0</v>
      </c>
      <c r="AE167" s="2">
        <f t="shared" si="82"/>
        <v>1</v>
      </c>
      <c r="AF167" s="2">
        <f t="shared" si="83"/>
        <v>0</v>
      </c>
      <c r="AG167" s="2">
        <f t="shared" si="84"/>
        <v>1</v>
      </c>
      <c r="AH167" s="2">
        <f t="shared" si="85"/>
        <v>0</v>
      </c>
      <c r="AI167" s="2">
        <f t="shared" si="86"/>
        <v>1</v>
      </c>
    </row>
    <row r="168" spans="1:16384" s="3" customFormat="1" ht="14.25" customHeight="1" x14ac:dyDescent="0.25">
      <c r="A168" s="32">
        <v>0</v>
      </c>
      <c r="B168" s="32">
        <v>2</v>
      </c>
      <c r="C168" s="32">
        <v>2</v>
      </c>
      <c r="D168" s="33" t="s">
        <v>806</v>
      </c>
      <c r="E168" s="33" t="s">
        <v>454</v>
      </c>
      <c r="F168" s="33" t="s">
        <v>787</v>
      </c>
      <c r="G168" s="33" t="s">
        <v>668</v>
      </c>
      <c r="H168" s="33" t="s">
        <v>165</v>
      </c>
      <c r="I168" s="32" t="s">
        <v>786</v>
      </c>
      <c r="J168" s="32">
        <v>99</v>
      </c>
      <c r="K168" s="32" t="s">
        <v>319</v>
      </c>
      <c r="L168" s="32">
        <v>20</v>
      </c>
      <c r="M168" s="33" t="s">
        <v>887</v>
      </c>
      <c r="N168" s="33" t="s">
        <v>889</v>
      </c>
      <c r="O168" s="34"/>
      <c r="P168" s="34"/>
      <c r="Q168" s="33"/>
      <c r="R168" s="2"/>
      <c r="S168" s="2">
        <f t="shared" si="71"/>
        <v>0</v>
      </c>
      <c r="T168" s="2">
        <f t="shared" si="72"/>
        <v>0</v>
      </c>
      <c r="U168" s="2">
        <f t="shared" si="73"/>
        <v>0</v>
      </c>
      <c r="V168" s="2">
        <f t="shared" si="74"/>
        <v>0</v>
      </c>
      <c r="W168" s="2">
        <f t="shared" si="75"/>
        <v>0</v>
      </c>
      <c r="X168" s="2">
        <f t="shared" si="76"/>
        <v>0</v>
      </c>
      <c r="Y168" s="2">
        <f t="shared" si="77"/>
        <v>0</v>
      </c>
      <c r="Z168" s="2">
        <f t="shared" si="78"/>
        <v>0</v>
      </c>
      <c r="AA168" s="2">
        <f t="shared" si="79"/>
        <v>0</v>
      </c>
      <c r="AB168" s="2">
        <f t="shared" si="80"/>
        <v>0</v>
      </c>
      <c r="AC168" s="2"/>
      <c r="AD168" s="2">
        <f t="shared" si="81"/>
        <v>0</v>
      </c>
      <c r="AE168" s="2">
        <f t="shared" si="82"/>
        <v>0</v>
      </c>
      <c r="AF168" s="2">
        <f t="shared" si="83"/>
        <v>0</v>
      </c>
      <c r="AG168" s="2">
        <f t="shared" si="84"/>
        <v>0</v>
      </c>
      <c r="AH168" s="2">
        <f t="shared" si="85"/>
        <v>0</v>
      </c>
      <c r="AI168" s="2">
        <f t="shared" si="86"/>
        <v>1</v>
      </c>
    </row>
    <row r="169" spans="1:16384" s="3" customFormat="1" ht="14.25" customHeight="1" x14ac:dyDescent="0.25">
      <c r="A169" s="32">
        <v>0</v>
      </c>
      <c r="B169" s="32">
        <v>2</v>
      </c>
      <c r="C169" s="32">
        <v>2</v>
      </c>
      <c r="D169" s="33" t="s">
        <v>715</v>
      </c>
      <c r="E169" s="33" t="s">
        <v>810</v>
      </c>
      <c r="F169" s="33" t="s">
        <v>824</v>
      </c>
      <c r="G169" s="33" t="s">
        <v>137</v>
      </c>
      <c r="H169" s="33" t="s">
        <v>165</v>
      </c>
      <c r="I169" s="32" t="s">
        <v>716</v>
      </c>
      <c r="J169" s="32">
        <v>1</v>
      </c>
      <c r="K169" s="32" t="s">
        <v>318</v>
      </c>
      <c r="L169" s="32">
        <v>40</v>
      </c>
      <c r="M169" s="33" t="s">
        <v>875</v>
      </c>
      <c r="N169" s="33" t="s">
        <v>884</v>
      </c>
      <c r="O169" s="34"/>
      <c r="P169" s="34"/>
      <c r="Q169" s="33"/>
      <c r="R169" s="2"/>
      <c r="S169" s="2">
        <f t="shared" si="71"/>
        <v>1</v>
      </c>
      <c r="T169" s="2">
        <f t="shared" si="72"/>
        <v>0</v>
      </c>
      <c r="U169" s="2">
        <f t="shared" si="73"/>
        <v>0</v>
      </c>
      <c r="V169" s="2">
        <f t="shared" si="74"/>
        <v>0</v>
      </c>
      <c r="W169" s="2">
        <f t="shared" si="75"/>
        <v>0</v>
      </c>
      <c r="X169" s="2">
        <f t="shared" si="76"/>
        <v>0</v>
      </c>
      <c r="Y169" s="2">
        <f t="shared" si="77"/>
        <v>0</v>
      </c>
      <c r="Z169" s="2">
        <f t="shared" si="78"/>
        <v>0</v>
      </c>
      <c r="AA169" s="2">
        <f t="shared" si="79"/>
        <v>0</v>
      </c>
      <c r="AB169" s="2">
        <f t="shared" si="80"/>
        <v>0</v>
      </c>
      <c r="AC169" s="2"/>
      <c r="AD169" s="2">
        <f t="shared" si="81"/>
        <v>0</v>
      </c>
      <c r="AE169" s="2">
        <f t="shared" si="82"/>
        <v>0</v>
      </c>
      <c r="AF169" s="2">
        <f t="shared" si="83"/>
        <v>0</v>
      </c>
      <c r="AG169" s="2">
        <f t="shared" si="84"/>
        <v>0</v>
      </c>
      <c r="AH169" s="2">
        <f t="shared" si="85"/>
        <v>0</v>
      </c>
      <c r="AI169" s="2">
        <f t="shared" si="86"/>
        <v>1</v>
      </c>
    </row>
    <row r="170" spans="1:16384" s="3" customFormat="1" ht="14.25" customHeight="1" x14ac:dyDescent="0.25">
      <c r="A170" s="29">
        <v>0</v>
      </c>
      <c r="B170" s="29">
        <v>2</v>
      </c>
      <c r="C170" s="29">
        <v>2</v>
      </c>
      <c r="D170" s="30" t="s">
        <v>464</v>
      </c>
      <c r="E170" s="30" t="s">
        <v>30</v>
      </c>
      <c r="F170" s="30" t="s">
        <v>422</v>
      </c>
      <c r="G170" s="30" t="s">
        <v>160</v>
      </c>
      <c r="H170" s="30" t="s">
        <v>165</v>
      </c>
      <c r="I170" s="29" t="s">
        <v>423</v>
      </c>
      <c r="J170" s="29">
        <v>1</v>
      </c>
      <c r="K170" s="29" t="s">
        <v>321</v>
      </c>
      <c r="L170" s="29" t="s">
        <v>40</v>
      </c>
      <c r="M170" s="30" t="s">
        <v>40</v>
      </c>
      <c r="N170" s="30" t="s">
        <v>882</v>
      </c>
      <c r="O170" s="31">
        <v>1</v>
      </c>
      <c r="P170" s="31">
        <v>1</v>
      </c>
      <c r="Q170" s="30"/>
      <c r="R170" s="2"/>
      <c r="S170" s="2">
        <f t="shared" si="71"/>
        <v>1</v>
      </c>
      <c r="T170" s="2">
        <f t="shared" si="72"/>
        <v>0</v>
      </c>
      <c r="U170" s="2">
        <f t="shared" si="73"/>
        <v>0</v>
      </c>
      <c r="V170" s="2">
        <f t="shared" si="74"/>
        <v>0</v>
      </c>
      <c r="W170" s="2">
        <f t="shared" si="75"/>
        <v>0</v>
      </c>
      <c r="X170" s="2">
        <f t="shared" si="76"/>
        <v>0</v>
      </c>
      <c r="Y170" s="2">
        <f t="shared" si="77"/>
        <v>0</v>
      </c>
      <c r="Z170" s="2">
        <f t="shared" si="78"/>
        <v>0</v>
      </c>
      <c r="AA170" s="2">
        <f t="shared" si="79"/>
        <v>0</v>
      </c>
      <c r="AB170" s="2">
        <f t="shared" si="80"/>
        <v>0</v>
      </c>
      <c r="AC170" s="2"/>
      <c r="AD170" s="2">
        <f t="shared" si="81"/>
        <v>1</v>
      </c>
      <c r="AE170" s="2">
        <f t="shared" si="82"/>
        <v>0</v>
      </c>
      <c r="AF170" s="2">
        <f t="shared" si="83"/>
        <v>1</v>
      </c>
      <c r="AG170" s="2">
        <f t="shared" si="84"/>
        <v>0</v>
      </c>
      <c r="AH170" s="2">
        <f t="shared" si="85"/>
        <v>1</v>
      </c>
      <c r="AI170" s="2">
        <f t="shared" si="86"/>
        <v>0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3</v>
      </c>
      <c r="D171" s="30" t="s">
        <v>354</v>
      </c>
      <c r="E171" s="30" t="s">
        <v>83</v>
      </c>
      <c r="F171" s="30" t="s">
        <v>355</v>
      </c>
      <c r="G171" s="30" t="s">
        <v>368</v>
      </c>
      <c r="H171" s="30" t="s">
        <v>165</v>
      </c>
      <c r="I171" s="29" t="s">
        <v>356</v>
      </c>
      <c r="J171" s="29">
        <v>99</v>
      </c>
      <c r="K171" s="29" t="s">
        <v>321</v>
      </c>
      <c r="L171" s="29" t="s">
        <v>40</v>
      </c>
      <c r="M171" s="30" t="s">
        <v>40</v>
      </c>
      <c r="N171" s="30" t="s">
        <v>882</v>
      </c>
      <c r="O171" s="31">
        <v>1</v>
      </c>
      <c r="P171" s="31">
        <v>1</v>
      </c>
      <c r="Q171" s="30"/>
      <c r="R171" s="2"/>
      <c r="S171" s="2">
        <f t="shared" si="71"/>
        <v>0</v>
      </c>
      <c r="T171" s="2">
        <f t="shared" si="72"/>
        <v>0</v>
      </c>
      <c r="U171" s="2">
        <f t="shared" si="73"/>
        <v>0</v>
      </c>
      <c r="V171" s="2">
        <f t="shared" si="74"/>
        <v>0</v>
      </c>
      <c r="W171" s="2">
        <f t="shared" si="75"/>
        <v>0</v>
      </c>
      <c r="X171" s="2">
        <f t="shared" si="76"/>
        <v>0</v>
      </c>
      <c r="Y171" s="2">
        <f t="shared" si="77"/>
        <v>0</v>
      </c>
      <c r="Z171" s="2">
        <f t="shared" si="78"/>
        <v>0</v>
      </c>
      <c r="AA171" s="2">
        <f t="shared" si="79"/>
        <v>0</v>
      </c>
      <c r="AB171" s="2">
        <f t="shared" si="80"/>
        <v>0</v>
      </c>
      <c r="AC171" s="2"/>
      <c r="AD171" s="2">
        <f t="shared" si="81"/>
        <v>1</v>
      </c>
      <c r="AE171" s="2">
        <f t="shared" si="82"/>
        <v>0</v>
      </c>
      <c r="AF171" s="2">
        <f t="shared" si="83"/>
        <v>1</v>
      </c>
      <c r="AG171" s="2">
        <f t="shared" si="84"/>
        <v>0</v>
      </c>
      <c r="AH171" s="2">
        <f t="shared" si="85"/>
        <v>1</v>
      </c>
      <c r="AI171" s="2">
        <f t="shared" si="86"/>
        <v>0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794</v>
      </c>
      <c r="E172" s="30" t="s">
        <v>570</v>
      </c>
      <c r="F172" s="30" t="s">
        <v>943</v>
      </c>
      <c r="G172" s="30" t="s">
        <v>38</v>
      </c>
      <c r="H172" s="30" t="s">
        <v>165</v>
      </c>
      <c r="I172" s="29">
        <v>2799979385</v>
      </c>
      <c r="J172" s="29">
        <v>1</v>
      </c>
      <c r="K172" s="29" t="s">
        <v>318</v>
      </c>
      <c r="L172" s="29" t="s">
        <v>329</v>
      </c>
      <c r="M172" s="30" t="s">
        <v>270</v>
      </c>
      <c r="N172" s="30" t="s">
        <v>882</v>
      </c>
      <c r="O172" s="31">
        <v>1</v>
      </c>
      <c r="P172" s="31">
        <v>1</v>
      </c>
      <c r="Q172" s="30"/>
      <c r="R172" s="2"/>
      <c r="S172" s="2">
        <f t="shared" si="71"/>
        <v>1</v>
      </c>
      <c r="T172" s="2">
        <f t="shared" si="72"/>
        <v>0</v>
      </c>
      <c r="U172" s="2">
        <f t="shared" si="73"/>
        <v>0</v>
      </c>
      <c r="V172" s="2">
        <f t="shared" si="74"/>
        <v>0</v>
      </c>
      <c r="W172" s="2">
        <f t="shared" si="75"/>
        <v>0</v>
      </c>
      <c r="X172" s="2">
        <f t="shared" si="76"/>
        <v>0</v>
      </c>
      <c r="Y172" s="2">
        <f t="shared" si="77"/>
        <v>0</v>
      </c>
      <c r="Z172" s="2">
        <f t="shared" si="78"/>
        <v>0</v>
      </c>
      <c r="AA172" s="2">
        <f t="shared" si="79"/>
        <v>0</v>
      </c>
      <c r="AB172" s="2">
        <f t="shared" si="80"/>
        <v>0</v>
      </c>
      <c r="AC172" s="2"/>
      <c r="AD172" s="2">
        <f t="shared" si="81"/>
        <v>1</v>
      </c>
      <c r="AE172" s="2">
        <f t="shared" si="82"/>
        <v>0</v>
      </c>
      <c r="AF172" s="2">
        <f t="shared" si="83"/>
        <v>1</v>
      </c>
      <c r="AG172" s="2">
        <f t="shared" si="84"/>
        <v>0</v>
      </c>
      <c r="AH172" s="2">
        <f t="shared" si="85"/>
        <v>1</v>
      </c>
      <c r="AI172" s="2">
        <f t="shared" si="86"/>
        <v>0</v>
      </c>
    </row>
    <row r="173" spans="1:16384" s="3" customFormat="1" ht="14.25" customHeight="1" x14ac:dyDescent="0.25">
      <c r="A173" s="29">
        <v>1</v>
      </c>
      <c r="B173" s="29">
        <v>2</v>
      </c>
      <c r="C173" s="29">
        <v>3</v>
      </c>
      <c r="D173" s="30" t="s">
        <v>794</v>
      </c>
      <c r="E173" s="30" t="s">
        <v>570</v>
      </c>
      <c r="F173" s="30" t="s">
        <v>815</v>
      </c>
      <c r="G173" s="30" t="s">
        <v>160</v>
      </c>
      <c r="H173" s="30" t="s">
        <v>165</v>
      </c>
      <c r="I173" s="29" t="s">
        <v>500</v>
      </c>
      <c r="J173" s="29">
        <v>1</v>
      </c>
      <c r="K173" s="29" t="s">
        <v>318</v>
      </c>
      <c r="L173" s="29" t="s">
        <v>329</v>
      </c>
      <c r="M173" s="30" t="s">
        <v>270</v>
      </c>
      <c r="N173" s="30" t="s">
        <v>882</v>
      </c>
      <c r="O173" s="31">
        <v>1</v>
      </c>
      <c r="P173" s="31">
        <v>1</v>
      </c>
      <c r="Q173" s="30"/>
      <c r="R173" s="2"/>
      <c r="S173" s="2">
        <f t="shared" si="71"/>
        <v>1</v>
      </c>
      <c r="T173" s="2">
        <f t="shared" si="72"/>
        <v>0</v>
      </c>
      <c r="U173" s="2">
        <f t="shared" si="73"/>
        <v>0</v>
      </c>
      <c r="V173" s="2">
        <f t="shared" si="74"/>
        <v>0</v>
      </c>
      <c r="W173" s="2">
        <f t="shared" si="75"/>
        <v>0</v>
      </c>
      <c r="X173" s="2">
        <f t="shared" si="76"/>
        <v>0</v>
      </c>
      <c r="Y173" s="2">
        <f t="shared" si="77"/>
        <v>0</v>
      </c>
      <c r="Z173" s="2">
        <f t="shared" si="78"/>
        <v>0</v>
      </c>
      <c r="AA173" s="2">
        <f t="shared" si="79"/>
        <v>0</v>
      </c>
      <c r="AB173" s="2">
        <f t="shared" si="80"/>
        <v>0</v>
      </c>
      <c r="AC173" s="2"/>
      <c r="AD173" s="2">
        <f t="shared" si="81"/>
        <v>1</v>
      </c>
      <c r="AE173" s="2">
        <f t="shared" si="82"/>
        <v>0</v>
      </c>
      <c r="AF173" s="2">
        <f t="shared" si="83"/>
        <v>0</v>
      </c>
      <c r="AG173" s="2">
        <f t="shared" si="84"/>
        <v>0</v>
      </c>
      <c r="AH173" s="2">
        <f t="shared" si="85"/>
        <v>0</v>
      </c>
      <c r="AI173" s="2">
        <f t="shared" si="86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447</v>
      </c>
      <c r="E174" s="21" t="s">
        <v>448</v>
      </c>
      <c r="F174" s="21" t="s">
        <v>449</v>
      </c>
      <c r="G174" s="21" t="s">
        <v>107</v>
      </c>
      <c r="H174" s="21" t="s">
        <v>165</v>
      </c>
      <c r="I174" s="20" t="s">
        <v>450</v>
      </c>
      <c r="J174" s="20">
        <v>99</v>
      </c>
      <c r="K174" s="20" t="s">
        <v>376</v>
      </c>
      <c r="L174" s="20">
        <v>10</v>
      </c>
      <c r="M174" s="21" t="s">
        <v>598</v>
      </c>
      <c r="N174" s="21"/>
      <c r="O174" s="7"/>
      <c r="P174" s="7"/>
      <c r="Q174" s="21"/>
      <c r="R174" s="2"/>
      <c r="S174" s="2">
        <f t="shared" si="71"/>
        <v>0</v>
      </c>
      <c r="T174" s="2">
        <f t="shared" si="72"/>
        <v>0</v>
      </c>
      <c r="U174" s="2">
        <f t="shared" si="73"/>
        <v>0</v>
      </c>
      <c r="V174" s="2">
        <f t="shared" si="74"/>
        <v>0</v>
      </c>
      <c r="W174" s="2">
        <f t="shared" si="75"/>
        <v>0</v>
      </c>
      <c r="X174" s="2">
        <f t="shared" si="76"/>
        <v>0</v>
      </c>
      <c r="Y174" s="2">
        <f t="shared" si="77"/>
        <v>0</v>
      </c>
      <c r="Z174" s="2">
        <f t="shared" si="78"/>
        <v>0</v>
      </c>
      <c r="AA174" s="2">
        <f t="shared" si="79"/>
        <v>0</v>
      </c>
      <c r="AB174" s="2">
        <f t="shared" si="80"/>
        <v>0</v>
      </c>
      <c r="AC174" s="2"/>
      <c r="AD174" s="2">
        <f t="shared" si="81"/>
        <v>0</v>
      </c>
      <c r="AE174" s="2">
        <f t="shared" si="82"/>
        <v>0</v>
      </c>
      <c r="AF174" s="2">
        <f t="shared" si="83"/>
        <v>0</v>
      </c>
      <c r="AG174" s="2">
        <f t="shared" si="84"/>
        <v>0</v>
      </c>
      <c r="AH174" s="2">
        <f t="shared" si="85"/>
        <v>0</v>
      </c>
      <c r="AI174" s="2">
        <f t="shared" si="86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3</v>
      </c>
      <c r="D175" s="30" t="s">
        <v>48</v>
      </c>
      <c r="E175" s="30" t="s">
        <v>83</v>
      </c>
      <c r="F175" s="30" t="s">
        <v>100</v>
      </c>
      <c r="G175" s="30" t="s">
        <v>96</v>
      </c>
      <c r="H175" s="30" t="s">
        <v>165</v>
      </c>
      <c r="I175" s="29" t="s">
        <v>168</v>
      </c>
      <c r="J175" s="29">
        <v>3</v>
      </c>
      <c r="K175" s="29" t="s">
        <v>321</v>
      </c>
      <c r="L175" s="29" t="s">
        <v>329</v>
      </c>
      <c r="M175" s="30" t="s">
        <v>270</v>
      </c>
      <c r="N175" s="30" t="s">
        <v>882</v>
      </c>
      <c r="O175" s="31">
        <v>1</v>
      </c>
      <c r="P175" s="31">
        <v>1</v>
      </c>
      <c r="Q175" s="30"/>
      <c r="R175" s="2"/>
      <c r="S175" s="2">
        <f t="shared" si="71"/>
        <v>0</v>
      </c>
      <c r="T175" s="2">
        <f t="shared" si="72"/>
        <v>0</v>
      </c>
      <c r="U175" s="2">
        <f t="shared" si="73"/>
        <v>1</v>
      </c>
      <c r="V175" s="2">
        <f t="shared" si="74"/>
        <v>0</v>
      </c>
      <c r="W175" s="2">
        <f t="shared" si="75"/>
        <v>0</v>
      </c>
      <c r="X175" s="2">
        <f t="shared" si="76"/>
        <v>0</v>
      </c>
      <c r="Y175" s="2">
        <f t="shared" si="77"/>
        <v>0</v>
      </c>
      <c r="Z175" s="2">
        <f t="shared" si="78"/>
        <v>0</v>
      </c>
      <c r="AA175" s="2">
        <f t="shared" si="79"/>
        <v>0</v>
      </c>
      <c r="AB175" s="2">
        <f t="shared" si="80"/>
        <v>0</v>
      </c>
      <c r="AC175" s="2"/>
      <c r="AD175" s="2">
        <f t="shared" si="81"/>
        <v>1</v>
      </c>
      <c r="AE175" s="2">
        <f t="shared" si="82"/>
        <v>0</v>
      </c>
      <c r="AF175" s="2">
        <f t="shared" si="83"/>
        <v>1</v>
      </c>
      <c r="AG175" s="2">
        <f t="shared" si="84"/>
        <v>0</v>
      </c>
      <c r="AH175" s="2">
        <f t="shared" si="85"/>
        <v>1</v>
      </c>
      <c r="AI175" s="2">
        <f t="shared" si="86"/>
        <v>0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3</v>
      </c>
      <c r="D176" s="30" t="s">
        <v>919</v>
      </c>
      <c r="E176" s="30"/>
      <c r="F176" s="30" t="s">
        <v>920</v>
      </c>
      <c r="G176" s="30"/>
      <c r="H176" s="30" t="s">
        <v>165</v>
      </c>
      <c r="I176" s="29" t="s">
        <v>921</v>
      </c>
      <c r="J176" s="29"/>
      <c r="K176" s="29" t="s">
        <v>376</v>
      </c>
      <c r="L176" s="29"/>
      <c r="M176" s="30"/>
      <c r="N176" s="30" t="s">
        <v>882</v>
      </c>
      <c r="O176" s="31">
        <v>1</v>
      </c>
      <c r="P176" s="31">
        <v>1</v>
      </c>
      <c r="Q176" s="30"/>
      <c r="R176" s="2"/>
      <c r="S176" s="2">
        <f t="shared" si="71"/>
        <v>0</v>
      </c>
      <c r="T176" s="2">
        <f t="shared" si="72"/>
        <v>0</v>
      </c>
      <c r="U176" s="2">
        <f t="shared" si="73"/>
        <v>0</v>
      </c>
      <c r="V176" s="2">
        <f t="shared" si="74"/>
        <v>0</v>
      </c>
      <c r="W176" s="2">
        <f t="shared" si="75"/>
        <v>0</v>
      </c>
      <c r="X176" s="2">
        <f t="shared" si="76"/>
        <v>0</v>
      </c>
      <c r="Y176" s="2">
        <f t="shared" si="77"/>
        <v>0</v>
      </c>
      <c r="Z176" s="2">
        <f t="shared" si="78"/>
        <v>0</v>
      </c>
      <c r="AA176" s="2">
        <f t="shared" si="79"/>
        <v>0</v>
      </c>
      <c r="AB176" s="2">
        <f t="shared" si="80"/>
        <v>0</v>
      </c>
      <c r="AC176" s="2"/>
      <c r="AD176" s="2">
        <f t="shared" si="81"/>
        <v>1</v>
      </c>
      <c r="AE176" s="2">
        <f t="shared" si="82"/>
        <v>0</v>
      </c>
      <c r="AF176" s="2">
        <f t="shared" si="83"/>
        <v>1</v>
      </c>
      <c r="AG176" s="2">
        <f t="shared" si="84"/>
        <v>0</v>
      </c>
      <c r="AH176" s="2">
        <f t="shared" si="85"/>
        <v>1</v>
      </c>
      <c r="AI176" s="2">
        <f t="shared" si="86"/>
        <v>0</v>
      </c>
    </row>
    <row r="177" spans="1:35" ht="14.25" customHeight="1" x14ac:dyDescent="0.25">
      <c r="A177" s="20">
        <v>0</v>
      </c>
      <c r="B177" s="20">
        <v>2</v>
      </c>
      <c r="C177" s="20">
        <v>3</v>
      </c>
      <c r="D177" s="21" t="s">
        <v>649</v>
      </c>
      <c r="E177" s="21" t="s">
        <v>37</v>
      </c>
      <c r="F177" s="21" t="s">
        <v>650</v>
      </c>
      <c r="G177" s="21" t="s">
        <v>117</v>
      </c>
      <c r="H177" s="21" t="s">
        <v>165</v>
      </c>
      <c r="I177" s="20" t="s">
        <v>651</v>
      </c>
      <c r="J177" s="20">
        <v>1</v>
      </c>
      <c r="K177" s="20" t="s">
        <v>319</v>
      </c>
      <c r="L177" s="20" t="s">
        <v>329</v>
      </c>
      <c r="M177" s="21" t="s">
        <v>270</v>
      </c>
      <c r="N177" s="21"/>
      <c r="O177" s="7"/>
      <c r="P177" s="7"/>
      <c r="Q177" s="21"/>
      <c r="S177" s="2">
        <f t="shared" si="71"/>
        <v>1</v>
      </c>
      <c r="T177" s="2">
        <f t="shared" si="72"/>
        <v>0</v>
      </c>
      <c r="U177" s="2">
        <f t="shared" si="73"/>
        <v>0</v>
      </c>
      <c r="V177" s="2">
        <f t="shared" si="74"/>
        <v>0</v>
      </c>
      <c r="W177" s="2">
        <f t="shared" si="75"/>
        <v>0</v>
      </c>
      <c r="X177" s="2">
        <f t="shared" si="76"/>
        <v>0</v>
      </c>
      <c r="Y177" s="2">
        <f t="shared" si="77"/>
        <v>0</v>
      </c>
      <c r="Z177" s="2">
        <f t="shared" si="78"/>
        <v>0</v>
      </c>
      <c r="AA177" s="2">
        <f t="shared" si="79"/>
        <v>0</v>
      </c>
      <c r="AB177" s="2">
        <f t="shared" si="80"/>
        <v>0</v>
      </c>
      <c r="AD177" s="2">
        <f t="shared" si="81"/>
        <v>0</v>
      </c>
      <c r="AE177" s="2">
        <f t="shared" si="82"/>
        <v>0</v>
      </c>
      <c r="AF177" s="2">
        <f t="shared" si="83"/>
        <v>0</v>
      </c>
      <c r="AG177" s="2">
        <f t="shared" si="84"/>
        <v>0</v>
      </c>
      <c r="AH177" s="2">
        <f t="shared" si="85"/>
        <v>0</v>
      </c>
      <c r="AI177" s="2">
        <f t="shared" si="86"/>
        <v>1</v>
      </c>
    </row>
    <row r="178" spans="1:35" ht="14.25" customHeight="1" x14ac:dyDescent="0.25">
      <c r="A178" s="29">
        <v>0</v>
      </c>
      <c r="B178" s="29">
        <v>2</v>
      </c>
      <c r="C178" s="29">
        <v>4</v>
      </c>
      <c r="D178" s="30" t="s">
        <v>544</v>
      </c>
      <c r="E178" s="30" t="s">
        <v>29</v>
      </c>
      <c r="F178" s="30" t="s">
        <v>405</v>
      </c>
      <c r="G178" s="30" t="s">
        <v>403</v>
      </c>
      <c r="H178" s="30" t="s">
        <v>165</v>
      </c>
      <c r="I178" s="29" t="s">
        <v>545</v>
      </c>
      <c r="J178" s="29">
        <v>99</v>
      </c>
      <c r="K178" s="29" t="s">
        <v>376</v>
      </c>
      <c r="L178" s="29">
        <v>35</v>
      </c>
      <c r="M178" s="30" t="s">
        <v>915</v>
      </c>
      <c r="N178" s="30" t="s">
        <v>923</v>
      </c>
      <c r="O178" s="31">
        <v>1</v>
      </c>
      <c r="P178" s="31"/>
      <c r="Q178" s="30"/>
      <c r="S178" s="2">
        <f t="shared" si="71"/>
        <v>0</v>
      </c>
      <c r="T178" s="2">
        <f t="shared" si="72"/>
        <v>0</v>
      </c>
      <c r="U178" s="2">
        <f t="shared" si="73"/>
        <v>0</v>
      </c>
      <c r="V178" s="2">
        <f t="shared" si="74"/>
        <v>0</v>
      </c>
      <c r="W178" s="2">
        <f t="shared" si="75"/>
        <v>0</v>
      </c>
      <c r="X178" s="2">
        <f t="shared" si="76"/>
        <v>0</v>
      </c>
      <c r="Y178" s="2">
        <f t="shared" si="77"/>
        <v>0</v>
      </c>
      <c r="Z178" s="2">
        <f t="shared" si="78"/>
        <v>0</v>
      </c>
      <c r="AA178" s="2">
        <f t="shared" si="79"/>
        <v>0</v>
      </c>
      <c r="AB178" s="2">
        <f t="shared" si="80"/>
        <v>0</v>
      </c>
      <c r="AD178" s="2">
        <f t="shared" si="81"/>
        <v>0</v>
      </c>
      <c r="AE178" s="2">
        <f t="shared" si="82"/>
        <v>1</v>
      </c>
      <c r="AF178" s="2">
        <f t="shared" si="83"/>
        <v>0</v>
      </c>
      <c r="AG178" s="2">
        <f t="shared" si="84"/>
        <v>1</v>
      </c>
      <c r="AH178" s="2">
        <f t="shared" si="85"/>
        <v>0</v>
      </c>
      <c r="AI178" s="2">
        <f t="shared" si="86"/>
        <v>1</v>
      </c>
    </row>
    <row r="179" spans="1:35" ht="14.25" customHeight="1" x14ac:dyDescent="0.25">
      <c r="A179" s="29">
        <v>0</v>
      </c>
      <c r="B179" s="29">
        <v>2</v>
      </c>
      <c r="C179" s="29">
        <v>4</v>
      </c>
      <c r="D179" s="30" t="s">
        <v>1002</v>
      </c>
      <c r="E179" s="30" t="s">
        <v>1003</v>
      </c>
      <c r="F179" s="30" t="s">
        <v>1004</v>
      </c>
      <c r="G179" s="30" t="s">
        <v>91</v>
      </c>
      <c r="H179" s="30" t="s">
        <v>165</v>
      </c>
      <c r="I179" s="29" t="s">
        <v>33</v>
      </c>
      <c r="J179" s="29"/>
      <c r="K179" s="29" t="s">
        <v>376</v>
      </c>
      <c r="L179" s="29"/>
      <c r="M179" s="30"/>
      <c r="N179" s="30" t="s">
        <v>882</v>
      </c>
      <c r="O179" s="31">
        <v>1</v>
      </c>
      <c r="P179" s="31">
        <v>1</v>
      </c>
      <c r="Q179" s="30" t="s">
        <v>1005</v>
      </c>
      <c r="S179" s="2">
        <f t="shared" si="71"/>
        <v>0</v>
      </c>
      <c r="T179" s="2">
        <f t="shared" si="72"/>
        <v>0</v>
      </c>
      <c r="U179" s="2">
        <f t="shared" si="73"/>
        <v>0</v>
      </c>
      <c r="V179" s="2">
        <f t="shared" si="74"/>
        <v>0</v>
      </c>
      <c r="W179" s="2">
        <f t="shared" si="75"/>
        <v>0</v>
      </c>
      <c r="X179" s="2">
        <f t="shared" si="76"/>
        <v>0</v>
      </c>
      <c r="Y179" s="2">
        <f t="shared" si="77"/>
        <v>0</v>
      </c>
      <c r="Z179" s="2">
        <f t="shared" si="78"/>
        <v>0</v>
      </c>
      <c r="AA179" s="2">
        <f t="shared" si="79"/>
        <v>0</v>
      </c>
      <c r="AB179" s="2">
        <f t="shared" si="80"/>
        <v>0</v>
      </c>
      <c r="AD179" s="2">
        <f t="shared" si="81"/>
        <v>1</v>
      </c>
      <c r="AE179" s="2">
        <f t="shared" si="82"/>
        <v>0</v>
      </c>
      <c r="AF179" s="2">
        <f t="shared" si="83"/>
        <v>1</v>
      </c>
      <c r="AG179" s="2">
        <f t="shared" si="84"/>
        <v>0</v>
      </c>
      <c r="AH179" s="2">
        <f t="shared" si="85"/>
        <v>1</v>
      </c>
      <c r="AI179" s="2">
        <f t="shared" si="86"/>
        <v>0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62</v>
      </c>
      <c r="E180" s="30" t="s">
        <v>36</v>
      </c>
      <c r="F180" s="30" t="s">
        <v>134</v>
      </c>
      <c r="G180" s="30" t="s">
        <v>40</v>
      </c>
      <c r="H180" s="30" t="s">
        <v>165</v>
      </c>
      <c r="I180" s="29" t="s">
        <v>183</v>
      </c>
      <c r="J180" s="29">
        <v>4</v>
      </c>
      <c r="K180" s="29" t="s">
        <v>320</v>
      </c>
      <c r="L180" s="29" t="s">
        <v>846</v>
      </c>
      <c r="M180" s="30" t="s">
        <v>740</v>
      </c>
      <c r="N180" s="30" t="s">
        <v>918</v>
      </c>
      <c r="O180" s="31">
        <v>1</v>
      </c>
      <c r="P180" s="31"/>
      <c r="Q180" s="30"/>
      <c r="S180" s="2">
        <f t="shared" si="71"/>
        <v>0</v>
      </c>
      <c r="T180" s="2">
        <f t="shared" si="72"/>
        <v>0</v>
      </c>
      <c r="U180" s="2">
        <f t="shared" si="73"/>
        <v>0</v>
      </c>
      <c r="V180" s="2">
        <f t="shared" si="74"/>
        <v>1</v>
      </c>
      <c r="W180" s="2">
        <f t="shared" si="75"/>
        <v>0</v>
      </c>
      <c r="X180" s="2">
        <f t="shared" si="76"/>
        <v>0</v>
      </c>
      <c r="Y180" s="2">
        <f t="shared" si="77"/>
        <v>0</v>
      </c>
      <c r="Z180" s="2">
        <f t="shared" si="78"/>
        <v>0</v>
      </c>
      <c r="AA180" s="2">
        <f t="shared" si="79"/>
        <v>0</v>
      </c>
      <c r="AB180" s="2">
        <f t="shared" si="80"/>
        <v>0</v>
      </c>
      <c r="AD180" s="2">
        <f t="shared" si="81"/>
        <v>0</v>
      </c>
      <c r="AE180" s="2">
        <f t="shared" si="82"/>
        <v>1</v>
      </c>
      <c r="AF180" s="2">
        <f t="shared" si="83"/>
        <v>0</v>
      </c>
      <c r="AG180" s="2">
        <f t="shared" si="84"/>
        <v>1</v>
      </c>
      <c r="AH180" s="2">
        <f t="shared" si="85"/>
        <v>0</v>
      </c>
      <c r="AI180" s="2">
        <f t="shared" si="86"/>
        <v>1</v>
      </c>
    </row>
    <row r="181" spans="1:35" ht="14.25" customHeight="1" x14ac:dyDescent="0.25">
      <c r="A181" s="32">
        <v>0</v>
      </c>
      <c r="B181" s="32">
        <v>2</v>
      </c>
      <c r="C181" s="32">
        <v>4</v>
      </c>
      <c r="D181" s="33" t="s">
        <v>65</v>
      </c>
      <c r="E181" s="33" t="s">
        <v>88</v>
      </c>
      <c r="F181" s="33" t="s">
        <v>141</v>
      </c>
      <c r="G181" s="33" t="s">
        <v>140</v>
      </c>
      <c r="H181" s="33" t="s">
        <v>165</v>
      </c>
      <c r="I181" s="32" t="s">
        <v>186</v>
      </c>
      <c r="J181" s="32">
        <v>99</v>
      </c>
      <c r="K181" s="32" t="s">
        <v>320</v>
      </c>
      <c r="L181" s="32" t="s">
        <v>338</v>
      </c>
      <c r="M181" s="33" t="s">
        <v>205</v>
      </c>
      <c r="N181" s="33" t="s">
        <v>884</v>
      </c>
      <c r="O181" s="34"/>
      <c r="P181" s="34"/>
      <c r="Q181" s="33"/>
      <c r="S181" s="2">
        <f t="shared" si="71"/>
        <v>0</v>
      </c>
      <c r="T181" s="2">
        <f t="shared" si="72"/>
        <v>0</v>
      </c>
      <c r="U181" s="2">
        <f t="shared" si="73"/>
        <v>0</v>
      </c>
      <c r="V181" s="2">
        <f t="shared" si="74"/>
        <v>0</v>
      </c>
      <c r="W181" s="2">
        <f t="shared" si="75"/>
        <v>0</v>
      </c>
      <c r="X181" s="2">
        <f t="shared" si="76"/>
        <v>0</v>
      </c>
      <c r="Y181" s="2">
        <f t="shared" si="77"/>
        <v>0</v>
      </c>
      <c r="Z181" s="2">
        <f t="shared" si="78"/>
        <v>0</v>
      </c>
      <c r="AA181" s="2">
        <f t="shared" si="79"/>
        <v>0</v>
      </c>
      <c r="AB181" s="2">
        <f t="shared" si="80"/>
        <v>0</v>
      </c>
      <c r="AD181" s="2">
        <f t="shared" si="81"/>
        <v>0</v>
      </c>
      <c r="AE181" s="2">
        <f t="shared" si="82"/>
        <v>0</v>
      </c>
      <c r="AF181" s="2">
        <f t="shared" si="83"/>
        <v>0</v>
      </c>
      <c r="AG181" s="2">
        <f t="shared" si="84"/>
        <v>0</v>
      </c>
      <c r="AH181" s="2">
        <f t="shared" si="85"/>
        <v>0</v>
      </c>
      <c r="AI181" s="2">
        <f t="shared" si="86"/>
        <v>1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81</v>
      </c>
      <c r="E182" s="30" t="s">
        <v>36</v>
      </c>
      <c r="F182" s="30" t="s">
        <v>164</v>
      </c>
      <c r="G182" s="30" t="s">
        <v>130</v>
      </c>
      <c r="H182" s="30" t="s">
        <v>165</v>
      </c>
      <c r="I182" s="29" t="s">
        <v>204</v>
      </c>
      <c r="J182" s="29">
        <v>10</v>
      </c>
      <c r="K182" s="29" t="s">
        <v>318</v>
      </c>
      <c r="L182" s="29" t="s">
        <v>847</v>
      </c>
      <c r="M182" s="30" t="s">
        <v>741</v>
      </c>
      <c r="N182" s="30" t="s">
        <v>918</v>
      </c>
      <c r="O182" s="31">
        <v>1</v>
      </c>
      <c r="P182" s="31"/>
      <c r="Q182" s="30"/>
      <c r="S182" s="2">
        <f t="shared" si="71"/>
        <v>0</v>
      </c>
      <c r="T182" s="2">
        <f t="shared" si="72"/>
        <v>0</v>
      </c>
      <c r="U182" s="2">
        <f t="shared" si="73"/>
        <v>0</v>
      </c>
      <c r="V182" s="2">
        <f t="shared" si="74"/>
        <v>0</v>
      </c>
      <c r="W182" s="2">
        <f t="shared" si="75"/>
        <v>0</v>
      </c>
      <c r="X182" s="2">
        <f t="shared" si="76"/>
        <v>0</v>
      </c>
      <c r="Y182" s="2">
        <f t="shared" si="77"/>
        <v>0</v>
      </c>
      <c r="Z182" s="2">
        <f t="shared" si="78"/>
        <v>0</v>
      </c>
      <c r="AA182" s="2">
        <f t="shared" si="79"/>
        <v>0</v>
      </c>
      <c r="AB182" s="2">
        <f t="shared" si="80"/>
        <v>1</v>
      </c>
      <c r="AD182" s="2">
        <f t="shared" si="81"/>
        <v>0</v>
      </c>
      <c r="AE182" s="2">
        <f t="shared" si="82"/>
        <v>1</v>
      </c>
      <c r="AF182" s="2">
        <f t="shared" si="83"/>
        <v>0</v>
      </c>
      <c r="AG182" s="2">
        <f t="shared" si="84"/>
        <v>1</v>
      </c>
      <c r="AH182" s="2">
        <f t="shared" si="85"/>
        <v>0</v>
      </c>
      <c r="AI182" s="2">
        <f t="shared" si="86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964</v>
      </c>
      <c r="E183" s="21" t="s">
        <v>965</v>
      </c>
      <c r="F183" s="21" t="s">
        <v>966</v>
      </c>
      <c r="G183" s="21" t="s">
        <v>967</v>
      </c>
      <c r="H183" s="21" t="s">
        <v>165</v>
      </c>
      <c r="I183" s="20"/>
      <c r="J183" s="20"/>
      <c r="K183" s="20" t="s">
        <v>376</v>
      </c>
      <c r="L183" s="20">
        <v>35</v>
      </c>
      <c r="M183" s="21" t="s">
        <v>968</v>
      </c>
      <c r="N183" s="21"/>
      <c r="O183" s="20"/>
      <c r="P183" s="20"/>
      <c r="Q183" s="21"/>
      <c r="S183" s="2">
        <f t="shared" si="71"/>
        <v>0</v>
      </c>
      <c r="T183" s="2">
        <f t="shared" si="72"/>
        <v>0</v>
      </c>
      <c r="U183" s="2">
        <f t="shared" si="73"/>
        <v>0</v>
      </c>
      <c r="V183" s="2">
        <f t="shared" si="74"/>
        <v>0</v>
      </c>
      <c r="W183" s="2">
        <f t="shared" si="75"/>
        <v>0</v>
      </c>
      <c r="X183" s="2">
        <f t="shared" si="76"/>
        <v>0</v>
      </c>
      <c r="Y183" s="2">
        <f t="shared" si="77"/>
        <v>0</v>
      </c>
      <c r="Z183" s="2">
        <f t="shared" si="78"/>
        <v>0</v>
      </c>
      <c r="AA183" s="2">
        <f t="shared" si="79"/>
        <v>0</v>
      </c>
      <c r="AB183" s="2">
        <f t="shared" si="80"/>
        <v>0</v>
      </c>
      <c r="AD183" s="2">
        <f t="shared" si="81"/>
        <v>0</v>
      </c>
      <c r="AE183" s="2">
        <f t="shared" si="82"/>
        <v>0</v>
      </c>
      <c r="AF183" s="2">
        <f t="shared" si="83"/>
        <v>0</v>
      </c>
      <c r="AG183" s="2">
        <f t="shared" si="84"/>
        <v>0</v>
      </c>
      <c r="AH183" s="2">
        <f t="shared" si="85"/>
        <v>0</v>
      </c>
      <c r="AI183" s="2">
        <f t="shared" si="86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288</v>
      </c>
      <c r="E184" s="21" t="s">
        <v>85</v>
      </c>
      <c r="F184" s="21" t="s">
        <v>366</v>
      </c>
      <c r="G184" s="21" t="s">
        <v>308</v>
      </c>
      <c r="H184" s="21" t="s">
        <v>165</v>
      </c>
      <c r="I184" s="20" t="s">
        <v>289</v>
      </c>
      <c r="J184" s="20">
        <v>6</v>
      </c>
      <c r="K184" s="20" t="s">
        <v>319</v>
      </c>
      <c r="L184" s="20">
        <v>30</v>
      </c>
      <c r="M184" s="38" t="s">
        <v>892</v>
      </c>
      <c r="N184" s="21"/>
      <c r="O184" s="7"/>
      <c r="P184" s="7"/>
      <c r="Q184" s="21"/>
      <c r="S184" s="2">
        <f t="shared" si="71"/>
        <v>0</v>
      </c>
      <c r="T184" s="2">
        <f t="shared" si="72"/>
        <v>0</v>
      </c>
      <c r="U184" s="2">
        <f t="shared" si="73"/>
        <v>0</v>
      </c>
      <c r="V184" s="2">
        <f t="shared" si="74"/>
        <v>0</v>
      </c>
      <c r="W184" s="2">
        <f t="shared" si="75"/>
        <v>0</v>
      </c>
      <c r="X184" s="2">
        <f t="shared" si="76"/>
        <v>1</v>
      </c>
      <c r="Y184" s="2">
        <f t="shared" si="77"/>
        <v>0</v>
      </c>
      <c r="Z184" s="2">
        <f t="shared" si="78"/>
        <v>0</v>
      </c>
      <c r="AA184" s="2">
        <f t="shared" si="79"/>
        <v>0</v>
      </c>
      <c r="AB184" s="2">
        <f t="shared" si="80"/>
        <v>0</v>
      </c>
      <c r="AD184" s="2">
        <f t="shared" si="81"/>
        <v>0</v>
      </c>
      <c r="AE184" s="2">
        <f t="shared" si="82"/>
        <v>0</v>
      </c>
      <c r="AF184" s="2">
        <f t="shared" si="83"/>
        <v>0</v>
      </c>
      <c r="AG184" s="2">
        <f t="shared" si="84"/>
        <v>0</v>
      </c>
      <c r="AH184" s="2">
        <f t="shared" si="85"/>
        <v>0</v>
      </c>
      <c r="AI184" s="2">
        <f t="shared" si="86"/>
        <v>1</v>
      </c>
    </row>
    <row r="185" spans="1:35" ht="14.25" customHeight="1" x14ac:dyDescent="0.25">
      <c r="A185" s="29">
        <v>0</v>
      </c>
      <c r="B185" s="29">
        <v>2</v>
      </c>
      <c r="C185" s="29">
        <v>4</v>
      </c>
      <c r="D185" s="30" t="s">
        <v>565</v>
      </c>
      <c r="E185" s="30" t="s">
        <v>36</v>
      </c>
      <c r="F185" s="30" t="s">
        <v>527</v>
      </c>
      <c r="G185" s="30" t="s">
        <v>103</v>
      </c>
      <c r="H185" s="30" t="s">
        <v>165</v>
      </c>
      <c r="I185" s="29" t="s">
        <v>528</v>
      </c>
      <c r="J185" s="29">
        <v>6</v>
      </c>
      <c r="K185" s="29" t="s">
        <v>318</v>
      </c>
      <c r="L185" s="29">
        <v>35</v>
      </c>
      <c r="M185" s="30" t="s">
        <v>694</v>
      </c>
      <c r="N185" s="30" t="s">
        <v>923</v>
      </c>
      <c r="O185" s="31">
        <v>1</v>
      </c>
      <c r="P185" s="31"/>
      <c r="Q185" s="30"/>
      <c r="S185" s="2">
        <f t="shared" si="71"/>
        <v>0</v>
      </c>
      <c r="T185" s="2">
        <f t="shared" si="72"/>
        <v>0</v>
      </c>
      <c r="U185" s="2">
        <f t="shared" si="73"/>
        <v>0</v>
      </c>
      <c r="V185" s="2">
        <f t="shared" si="74"/>
        <v>0</v>
      </c>
      <c r="W185" s="2">
        <f t="shared" si="75"/>
        <v>0</v>
      </c>
      <c r="X185" s="2">
        <f t="shared" si="76"/>
        <v>1</v>
      </c>
      <c r="Y185" s="2">
        <f t="shared" si="77"/>
        <v>0</v>
      </c>
      <c r="Z185" s="2">
        <f t="shared" si="78"/>
        <v>0</v>
      </c>
      <c r="AA185" s="2">
        <f t="shared" si="79"/>
        <v>0</v>
      </c>
      <c r="AB185" s="2">
        <f t="shared" si="80"/>
        <v>0</v>
      </c>
      <c r="AD185" s="2">
        <f t="shared" si="81"/>
        <v>0</v>
      </c>
      <c r="AE185" s="2">
        <f t="shared" si="82"/>
        <v>1</v>
      </c>
      <c r="AF185" s="2">
        <f t="shared" si="83"/>
        <v>0</v>
      </c>
      <c r="AG185" s="2">
        <f t="shared" si="84"/>
        <v>1</v>
      </c>
      <c r="AH185" s="2">
        <f t="shared" si="85"/>
        <v>0</v>
      </c>
      <c r="AI185" s="2">
        <f t="shared" si="86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804</v>
      </c>
      <c r="E186" s="21" t="s">
        <v>29</v>
      </c>
      <c r="F186" s="21" t="s">
        <v>817</v>
      </c>
      <c r="G186" s="21" t="s">
        <v>818</v>
      </c>
      <c r="H186" s="21" t="s">
        <v>165</v>
      </c>
      <c r="I186" s="20" t="s">
        <v>837</v>
      </c>
      <c r="J186" s="20">
        <v>99</v>
      </c>
      <c r="K186" s="20" t="s">
        <v>318</v>
      </c>
      <c r="L186" s="20" t="s">
        <v>343</v>
      </c>
      <c r="M186" s="21" t="s">
        <v>642</v>
      </c>
      <c r="N186" s="21"/>
      <c r="O186" s="7"/>
      <c r="P186" s="7"/>
      <c r="Q186" s="21"/>
      <c r="S186" s="2">
        <f t="shared" si="71"/>
        <v>0</v>
      </c>
      <c r="T186" s="2">
        <f t="shared" si="72"/>
        <v>0</v>
      </c>
      <c r="U186" s="2">
        <f t="shared" si="73"/>
        <v>0</v>
      </c>
      <c r="V186" s="2">
        <f t="shared" si="74"/>
        <v>0</v>
      </c>
      <c r="W186" s="2">
        <f t="shared" si="75"/>
        <v>0</v>
      </c>
      <c r="X186" s="2">
        <f t="shared" si="76"/>
        <v>0</v>
      </c>
      <c r="Y186" s="2">
        <f t="shared" si="77"/>
        <v>0</v>
      </c>
      <c r="Z186" s="2">
        <f t="shared" si="78"/>
        <v>0</v>
      </c>
      <c r="AA186" s="2">
        <f t="shared" si="79"/>
        <v>0</v>
      </c>
      <c r="AB186" s="2">
        <f t="shared" si="80"/>
        <v>0</v>
      </c>
      <c r="AD186" s="2">
        <f t="shared" si="81"/>
        <v>0</v>
      </c>
      <c r="AE186" s="2">
        <f t="shared" si="82"/>
        <v>0</v>
      </c>
      <c r="AF186" s="2">
        <f t="shared" si="83"/>
        <v>0</v>
      </c>
      <c r="AG186" s="2">
        <f t="shared" si="84"/>
        <v>0</v>
      </c>
      <c r="AH186" s="2">
        <f t="shared" si="85"/>
        <v>0</v>
      </c>
      <c r="AI186" s="2">
        <f t="shared" si="86"/>
        <v>1</v>
      </c>
    </row>
    <row r="187" spans="1:35" ht="14.25" customHeight="1" x14ac:dyDescent="0.25">
      <c r="A187" s="20">
        <v>0</v>
      </c>
      <c r="B187" s="20">
        <v>2</v>
      </c>
      <c r="C187" s="20">
        <v>4</v>
      </c>
      <c r="D187" s="21" t="s">
        <v>567</v>
      </c>
      <c r="E187" s="21" t="s">
        <v>36</v>
      </c>
      <c r="F187" s="21" t="s">
        <v>579</v>
      </c>
      <c r="G187" s="21" t="s">
        <v>517</v>
      </c>
      <c r="H187" s="21" t="s">
        <v>165</v>
      </c>
      <c r="I187" s="20" t="s">
        <v>538</v>
      </c>
      <c r="J187" s="20">
        <v>7</v>
      </c>
      <c r="K187" s="20" t="s">
        <v>376</v>
      </c>
      <c r="L187" s="20">
        <v>30</v>
      </c>
      <c r="M187" s="21" t="s">
        <v>599</v>
      </c>
      <c r="N187" s="21"/>
      <c r="O187" s="7"/>
      <c r="P187" s="7"/>
      <c r="Q187" s="21"/>
      <c r="S187" s="2">
        <f t="shared" si="71"/>
        <v>0</v>
      </c>
      <c r="T187" s="2">
        <f t="shared" si="72"/>
        <v>0</v>
      </c>
      <c r="U187" s="2">
        <f t="shared" si="73"/>
        <v>0</v>
      </c>
      <c r="V187" s="2">
        <f t="shared" si="74"/>
        <v>0</v>
      </c>
      <c r="W187" s="2">
        <f t="shared" si="75"/>
        <v>0</v>
      </c>
      <c r="X187" s="2">
        <f t="shared" si="76"/>
        <v>0</v>
      </c>
      <c r="Y187" s="2">
        <f t="shared" si="77"/>
        <v>1</v>
      </c>
      <c r="Z187" s="2">
        <f t="shared" si="78"/>
        <v>0</v>
      </c>
      <c r="AA187" s="2">
        <f t="shared" si="79"/>
        <v>0</v>
      </c>
      <c r="AB187" s="2">
        <f t="shared" si="80"/>
        <v>0</v>
      </c>
      <c r="AD187" s="2">
        <f t="shared" si="81"/>
        <v>0</v>
      </c>
      <c r="AE187" s="2">
        <f t="shared" si="82"/>
        <v>0</v>
      </c>
      <c r="AF187" s="2">
        <f t="shared" si="83"/>
        <v>0</v>
      </c>
      <c r="AG187" s="2">
        <f t="shared" si="84"/>
        <v>0</v>
      </c>
      <c r="AH187" s="2">
        <f t="shared" si="85"/>
        <v>0</v>
      </c>
      <c r="AI187" s="2">
        <f t="shared" si="86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679</v>
      </c>
      <c r="E188" s="30" t="s">
        <v>673</v>
      </c>
      <c r="F188" s="30" t="s">
        <v>612</v>
      </c>
      <c r="G188" s="30" t="s">
        <v>125</v>
      </c>
      <c r="H188" s="30" t="s">
        <v>165</v>
      </c>
      <c r="I188" s="29" t="s">
        <v>613</v>
      </c>
      <c r="J188" s="29">
        <v>99</v>
      </c>
      <c r="K188" s="29" t="s">
        <v>318</v>
      </c>
      <c r="L188" s="29" t="s">
        <v>343</v>
      </c>
      <c r="M188" s="30" t="s">
        <v>781</v>
      </c>
      <c r="N188" s="30" t="s">
        <v>918</v>
      </c>
      <c r="O188" s="31">
        <v>1</v>
      </c>
      <c r="P188" s="31"/>
      <c r="Q188" s="30"/>
      <c r="S188" s="2">
        <f t="shared" si="71"/>
        <v>0</v>
      </c>
      <c r="T188" s="2">
        <f t="shared" si="72"/>
        <v>0</v>
      </c>
      <c r="U188" s="2">
        <f t="shared" si="73"/>
        <v>0</v>
      </c>
      <c r="V188" s="2">
        <f t="shared" si="74"/>
        <v>0</v>
      </c>
      <c r="W188" s="2">
        <f t="shared" si="75"/>
        <v>0</v>
      </c>
      <c r="X188" s="2">
        <f t="shared" si="76"/>
        <v>0</v>
      </c>
      <c r="Y188" s="2">
        <f t="shared" si="77"/>
        <v>0</v>
      </c>
      <c r="Z188" s="2">
        <f t="shared" si="78"/>
        <v>0</v>
      </c>
      <c r="AA188" s="2">
        <f t="shared" si="79"/>
        <v>0</v>
      </c>
      <c r="AB188" s="2">
        <f t="shared" si="80"/>
        <v>0</v>
      </c>
      <c r="AD188" s="2">
        <f t="shared" si="81"/>
        <v>0</v>
      </c>
      <c r="AE188" s="2">
        <f t="shared" si="82"/>
        <v>1</v>
      </c>
      <c r="AF188" s="2">
        <f t="shared" si="83"/>
        <v>0</v>
      </c>
      <c r="AG188" s="2">
        <f t="shared" si="84"/>
        <v>1</v>
      </c>
      <c r="AH188" s="2">
        <f t="shared" si="85"/>
        <v>0</v>
      </c>
      <c r="AI188" s="2">
        <f t="shared" si="86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761</v>
      </c>
      <c r="E189" s="30" t="s">
        <v>762</v>
      </c>
      <c r="F189" s="30" t="s">
        <v>763</v>
      </c>
      <c r="G189" s="30"/>
      <c r="H189" s="30" t="s">
        <v>165</v>
      </c>
      <c r="I189" s="29" t="s">
        <v>764</v>
      </c>
      <c r="J189" s="29">
        <v>99</v>
      </c>
      <c r="K189" s="29" t="s">
        <v>376</v>
      </c>
      <c r="L189" s="29">
        <v>35</v>
      </c>
      <c r="M189" s="30" t="s">
        <v>938</v>
      </c>
      <c r="N189" s="30" t="s">
        <v>888</v>
      </c>
      <c r="O189" s="31">
        <v>1</v>
      </c>
      <c r="P189" s="31"/>
      <c r="Q189" s="30"/>
      <c r="S189" s="2">
        <f t="shared" si="71"/>
        <v>0</v>
      </c>
      <c r="T189" s="2">
        <f t="shared" si="72"/>
        <v>0</v>
      </c>
      <c r="U189" s="2">
        <f t="shared" si="73"/>
        <v>0</v>
      </c>
      <c r="V189" s="2">
        <f t="shared" si="74"/>
        <v>0</v>
      </c>
      <c r="W189" s="2">
        <f t="shared" si="75"/>
        <v>0</v>
      </c>
      <c r="X189" s="2">
        <f t="shared" si="76"/>
        <v>0</v>
      </c>
      <c r="Y189" s="2">
        <f t="shared" si="77"/>
        <v>0</v>
      </c>
      <c r="Z189" s="2">
        <f t="shared" si="78"/>
        <v>0</v>
      </c>
      <c r="AA189" s="2">
        <f t="shared" si="79"/>
        <v>0</v>
      </c>
      <c r="AB189" s="2">
        <f t="shared" si="80"/>
        <v>0</v>
      </c>
      <c r="AD189" s="2">
        <f t="shared" si="81"/>
        <v>0</v>
      </c>
      <c r="AE189" s="2">
        <f t="shared" si="82"/>
        <v>1</v>
      </c>
      <c r="AF189" s="2">
        <f t="shared" si="83"/>
        <v>0</v>
      </c>
      <c r="AG189" s="2">
        <f t="shared" si="84"/>
        <v>1</v>
      </c>
      <c r="AH189" s="2">
        <f t="shared" si="85"/>
        <v>0</v>
      </c>
      <c r="AI189" s="2">
        <f t="shared" si="86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</v>
      </c>
      <c r="E190" s="30" t="s">
        <v>89</v>
      </c>
      <c r="F190" s="30" t="s">
        <v>144</v>
      </c>
      <c r="G190" s="30" t="s">
        <v>129</v>
      </c>
      <c r="H190" s="30" t="s">
        <v>165</v>
      </c>
      <c r="I190" s="29" t="s">
        <v>190</v>
      </c>
      <c r="J190" s="29">
        <v>99</v>
      </c>
      <c r="K190" s="29" t="s">
        <v>321</v>
      </c>
      <c r="L190" s="29">
        <v>25</v>
      </c>
      <c r="M190" s="30" t="s">
        <v>988</v>
      </c>
      <c r="N190" s="30" t="s">
        <v>888</v>
      </c>
      <c r="O190" s="31">
        <v>1</v>
      </c>
      <c r="P190" s="31"/>
      <c r="Q190" s="30"/>
      <c r="S190" s="2">
        <f t="shared" si="71"/>
        <v>0</v>
      </c>
      <c r="T190" s="2">
        <f t="shared" si="72"/>
        <v>0</v>
      </c>
      <c r="U190" s="2">
        <f t="shared" si="73"/>
        <v>0</v>
      </c>
      <c r="V190" s="2">
        <f t="shared" si="74"/>
        <v>0</v>
      </c>
      <c r="W190" s="2">
        <f t="shared" si="75"/>
        <v>0</v>
      </c>
      <c r="X190" s="2">
        <f t="shared" si="76"/>
        <v>0</v>
      </c>
      <c r="Y190" s="2">
        <f t="shared" si="77"/>
        <v>0</v>
      </c>
      <c r="Z190" s="2">
        <f t="shared" si="78"/>
        <v>0</v>
      </c>
      <c r="AA190" s="2">
        <f t="shared" si="79"/>
        <v>0</v>
      </c>
      <c r="AB190" s="2">
        <f t="shared" si="80"/>
        <v>0</v>
      </c>
      <c r="AD190" s="2">
        <f t="shared" si="81"/>
        <v>0</v>
      </c>
      <c r="AE190" s="2">
        <f t="shared" si="82"/>
        <v>1</v>
      </c>
      <c r="AF190" s="2">
        <f t="shared" si="83"/>
        <v>0</v>
      </c>
      <c r="AG190" s="2">
        <f t="shared" si="84"/>
        <v>1</v>
      </c>
      <c r="AH190" s="2">
        <f t="shared" si="85"/>
        <v>0</v>
      </c>
      <c r="AI190" s="2">
        <f t="shared" si="86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424</v>
      </c>
      <c r="E191" s="30" t="s">
        <v>234</v>
      </c>
      <c r="F191" s="30" t="s">
        <v>425</v>
      </c>
      <c r="G191" s="30" t="s">
        <v>96</v>
      </c>
      <c r="H191" s="30" t="s">
        <v>165</v>
      </c>
      <c r="I191" s="29" t="s">
        <v>426</v>
      </c>
      <c r="J191" s="29">
        <v>3</v>
      </c>
      <c r="K191" s="29" t="s">
        <v>318</v>
      </c>
      <c r="L191" s="29" t="s">
        <v>339</v>
      </c>
      <c r="M191" s="30" t="s">
        <v>742</v>
      </c>
      <c r="N191" s="30" t="s">
        <v>901</v>
      </c>
      <c r="O191" s="31">
        <v>1</v>
      </c>
      <c r="P191" s="31"/>
      <c r="Q191" s="30"/>
      <c r="S191" s="2">
        <f t="shared" si="71"/>
        <v>0</v>
      </c>
      <c r="T191" s="2">
        <f t="shared" si="72"/>
        <v>0</v>
      </c>
      <c r="U191" s="2">
        <f t="shared" si="73"/>
        <v>1</v>
      </c>
      <c r="V191" s="2">
        <f t="shared" si="74"/>
        <v>0</v>
      </c>
      <c r="W191" s="2">
        <f t="shared" si="75"/>
        <v>0</v>
      </c>
      <c r="X191" s="2">
        <f t="shared" si="76"/>
        <v>0</v>
      </c>
      <c r="Y191" s="2">
        <f t="shared" si="77"/>
        <v>0</v>
      </c>
      <c r="Z191" s="2">
        <f t="shared" si="78"/>
        <v>0</v>
      </c>
      <c r="AA191" s="2">
        <f t="shared" si="79"/>
        <v>0</v>
      </c>
      <c r="AB191" s="2">
        <f t="shared" si="80"/>
        <v>0</v>
      </c>
      <c r="AD191" s="2">
        <f t="shared" si="81"/>
        <v>0</v>
      </c>
      <c r="AE191" s="2">
        <f t="shared" si="82"/>
        <v>1</v>
      </c>
      <c r="AF191" s="2">
        <f t="shared" si="83"/>
        <v>0</v>
      </c>
      <c r="AG191" s="2">
        <f t="shared" si="84"/>
        <v>1</v>
      </c>
      <c r="AH191" s="2">
        <f t="shared" si="85"/>
        <v>0</v>
      </c>
      <c r="AI191" s="2">
        <f t="shared" si="86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214</v>
      </c>
      <c r="E192" s="30" t="s">
        <v>36</v>
      </c>
      <c r="F192" s="30" t="s">
        <v>213</v>
      </c>
      <c r="G192" s="30" t="s">
        <v>97</v>
      </c>
      <c r="H192" s="30" t="s">
        <v>165</v>
      </c>
      <c r="I192" s="29" t="s">
        <v>212</v>
      </c>
      <c r="J192" s="29">
        <v>99</v>
      </c>
      <c r="K192" s="29" t="s">
        <v>376</v>
      </c>
      <c r="L192" s="29">
        <v>25</v>
      </c>
      <c r="M192" s="30" t="s">
        <v>916</v>
      </c>
      <c r="N192" s="30" t="s">
        <v>923</v>
      </c>
      <c r="O192" s="31">
        <v>1</v>
      </c>
      <c r="P192" s="31"/>
      <c r="Q192" s="30"/>
      <c r="S192" s="2">
        <f t="shared" si="71"/>
        <v>0</v>
      </c>
      <c r="T192" s="2">
        <f t="shared" si="72"/>
        <v>0</v>
      </c>
      <c r="U192" s="2">
        <f t="shared" si="73"/>
        <v>0</v>
      </c>
      <c r="V192" s="2">
        <f t="shared" si="74"/>
        <v>0</v>
      </c>
      <c r="W192" s="2">
        <f t="shared" si="75"/>
        <v>0</v>
      </c>
      <c r="X192" s="2">
        <f t="shared" si="76"/>
        <v>0</v>
      </c>
      <c r="Y192" s="2">
        <f t="shared" si="77"/>
        <v>0</v>
      </c>
      <c r="Z192" s="2">
        <f t="shared" si="78"/>
        <v>0</v>
      </c>
      <c r="AA192" s="2">
        <f t="shared" si="79"/>
        <v>0</v>
      </c>
      <c r="AB192" s="2">
        <f t="shared" si="80"/>
        <v>0</v>
      </c>
      <c r="AD192" s="2">
        <f t="shared" si="81"/>
        <v>0</v>
      </c>
      <c r="AE192" s="2">
        <f t="shared" si="82"/>
        <v>1</v>
      </c>
      <c r="AF192" s="2">
        <f t="shared" si="83"/>
        <v>0</v>
      </c>
      <c r="AG192" s="2">
        <f t="shared" si="84"/>
        <v>1</v>
      </c>
      <c r="AH192" s="2">
        <f t="shared" si="85"/>
        <v>0</v>
      </c>
      <c r="AI192" s="2">
        <f t="shared" si="86"/>
        <v>1</v>
      </c>
    </row>
    <row r="193" spans="1:35" ht="14.25" customHeight="1" x14ac:dyDescent="0.25">
      <c r="A193" s="32">
        <v>0</v>
      </c>
      <c r="B193" s="32">
        <v>2</v>
      </c>
      <c r="C193" s="32">
        <v>4</v>
      </c>
      <c r="D193" s="33" t="s">
        <v>215</v>
      </c>
      <c r="E193" s="33" t="s">
        <v>216</v>
      </c>
      <c r="F193" s="33" t="s">
        <v>217</v>
      </c>
      <c r="G193" s="33" t="s">
        <v>107</v>
      </c>
      <c r="H193" s="33" t="s">
        <v>165</v>
      </c>
      <c r="I193" s="32" t="s">
        <v>218</v>
      </c>
      <c r="J193" s="32">
        <v>99</v>
      </c>
      <c r="K193" s="32" t="s">
        <v>376</v>
      </c>
      <c r="L193" s="32">
        <v>25</v>
      </c>
      <c r="M193" s="33" t="s">
        <v>496</v>
      </c>
      <c r="N193" s="33" t="s">
        <v>917</v>
      </c>
      <c r="O193" s="34"/>
      <c r="P193" s="34"/>
      <c r="Q193" s="33"/>
      <c r="S193" s="2">
        <f t="shared" si="71"/>
        <v>0</v>
      </c>
      <c r="T193" s="2">
        <f t="shared" si="72"/>
        <v>0</v>
      </c>
      <c r="U193" s="2">
        <f t="shared" si="73"/>
        <v>0</v>
      </c>
      <c r="V193" s="2">
        <f t="shared" si="74"/>
        <v>0</v>
      </c>
      <c r="W193" s="2">
        <f t="shared" si="75"/>
        <v>0</v>
      </c>
      <c r="X193" s="2">
        <f t="shared" si="76"/>
        <v>0</v>
      </c>
      <c r="Y193" s="2">
        <f t="shared" si="77"/>
        <v>0</v>
      </c>
      <c r="Z193" s="2">
        <f t="shared" si="78"/>
        <v>0</v>
      </c>
      <c r="AA193" s="2">
        <f t="shared" si="79"/>
        <v>0</v>
      </c>
      <c r="AB193" s="2">
        <f t="shared" si="80"/>
        <v>0</v>
      </c>
      <c r="AD193" s="2">
        <f t="shared" si="81"/>
        <v>0</v>
      </c>
      <c r="AE193" s="2">
        <f t="shared" si="82"/>
        <v>0</v>
      </c>
      <c r="AF193" s="2">
        <f t="shared" si="83"/>
        <v>0</v>
      </c>
      <c r="AG193" s="2">
        <f t="shared" si="84"/>
        <v>0</v>
      </c>
      <c r="AH193" s="2">
        <f t="shared" si="85"/>
        <v>0</v>
      </c>
      <c r="AI193" s="2">
        <f t="shared" si="86"/>
        <v>1</v>
      </c>
    </row>
    <row r="194" spans="1:35" ht="14.25" customHeight="1" x14ac:dyDescent="0.25">
      <c r="A194" s="32">
        <v>0</v>
      </c>
      <c r="B194" s="32">
        <v>2</v>
      </c>
      <c r="C194" s="32">
        <v>5</v>
      </c>
      <c r="D194" s="33" t="s">
        <v>419</v>
      </c>
      <c r="E194" s="33" t="s">
        <v>421</v>
      </c>
      <c r="F194" s="33" t="s">
        <v>574</v>
      </c>
      <c r="G194" s="33" t="s">
        <v>154</v>
      </c>
      <c r="H194" s="33" t="s">
        <v>165</v>
      </c>
      <c r="I194" s="32" t="s">
        <v>420</v>
      </c>
      <c r="J194" s="32">
        <v>99</v>
      </c>
      <c r="K194" s="32" t="s">
        <v>376</v>
      </c>
      <c r="L194" s="32">
        <v>30</v>
      </c>
      <c r="M194" s="33" t="s">
        <v>600</v>
      </c>
      <c r="N194" s="33" t="s">
        <v>917</v>
      </c>
      <c r="O194" s="34"/>
      <c r="P194" s="34"/>
      <c r="Q194" s="33"/>
      <c r="S194" s="2">
        <f t="shared" si="71"/>
        <v>0</v>
      </c>
      <c r="T194" s="2">
        <f t="shared" si="72"/>
        <v>0</v>
      </c>
      <c r="U194" s="2">
        <f t="shared" si="73"/>
        <v>0</v>
      </c>
      <c r="V194" s="2">
        <f t="shared" si="74"/>
        <v>0</v>
      </c>
      <c r="W194" s="2">
        <f t="shared" si="75"/>
        <v>0</v>
      </c>
      <c r="X194" s="2">
        <f t="shared" si="76"/>
        <v>0</v>
      </c>
      <c r="Y194" s="2">
        <f t="shared" si="77"/>
        <v>0</v>
      </c>
      <c r="Z194" s="2">
        <f t="shared" si="78"/>
        <v>0</v>
      </c>
      <c r="AA194" s="2">
        <f t="shared" si="79"/>
        <v>0</v>
      </c>
      <c r="AB194" s="2">
        <f t="shared" si="80"/>
        <v>0</v>
      </c>
      <c r="AD194" s="2">
        <f t="shared" si="81"/>
        <v>0</v>
      </c>
      <c r="AE194" s="2">
        <f t="shared" si="82"/>
        <v>0</v>
      </c>
      <c r="AF194" s="2">
        <f t="shared" si="83"/>
        <v>0</v>
      </c>
      <c r="AG194" s="2">
        <f t="shared" si="84"/>
        <v>0</v>
      </c>
      <c r="AH194" s="2">
        <f t="shared" si="85"/>
        <v>0</v>
      </c>
      <c r="AI194" s="2">
        <f t="shared" si="86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757</v>
      </c>
      <c r="E195" s="30" t="s">
        <v>263</v>
      </c>
      <c r="F195" s="30" t="s">
        <v>758</v>
      </c>
      <c r="G195" s="30" t="s">
        <v>456</v>
      </c>
      <c r="H195" s="30" t="s">
        <v>165</v>
      </c>
      <c r="I195" s="29" t="s">
        <v>33</v>
      </c>
      <c r="J195" s="29">
        <v>99</v>
      </c>
      <c r="K195" s="29" t="s">
        <v>693</v>
      </c>
      <c r="L195" s="29">
        <v>45</v>
      </c>
      <c r="M195" s="30" t="s">
        <v>989</v>
      </c>
      <c r="N195" s="30" t="s">
        <v>895</v>
      </c>
      <c r="O195" s="31">
        <v>1</v>
      </c>
      <c r="P195" s="31"/>
      <c r="Q195" s="30"/>
      <c r="S195" s="2">
        <f t="shared" si="71"/>
        <v>0</v>
      </c>
      <c r="T195" s="2">
        <f t="shared" si="72"/>
        <v>0</v>
      </c>
      <c r="U195" s="2">
        <f t="shared" si="73"/>
        <v>0</v>
      </c>
      <c r="V195" s="2">
        <f t="shared" si="74"/>
        <v>0</v>
      </c>
      <c r="W195" s="2">
        <f t="shared" si="75"/>
        <v>0</v>
      </c>
      <c r="X195" s="2">
        <f t="shared" si="76"/>
        <v>0</v>
      </c>
      <c r="Y195" s="2">
        <f t="shared" si="77"/>
        <v>0</v>
      </c>
      <c r="Z195" s="2">
        <f t="shared" si="78"/>
        <v>0</v>
      </c>
      <c r="AA195" s="2">
        <f t="shared" si="79"/>
        <v>0</v>
      </c>
      <c r="AB195" s="2">
        <f t="shared" si="80"/>
        <v>0</v>
      </c>
      <c r="AD195" s="2">
        <f t="shared" si="81"/>
        <v>0</v>
      </c>
      <c r="AE195" s="2">
        <f t="shared" si="82"/>
        <v>1</v>
      </c>
      <c r="AF195" s="2">
        <f t="shared" si="83"/>
        <v>0</v>
      </c>
      <c r="AG195" s="2">
        <f t="shared" si="84"/>
        <v>1</v>
      </c>
      <c r="AH195" s="2">
        <f t="shared" si="85"/>
        <v>0</v>
      </c>
      <c r="AI195" s="2">
        <f t="shared" si="86"/>
        <v>1</v>
      </c>
    </row>
    <row r="196" spans="1:35" ht="14.25" customHeight="1" x14ac:dyDescent="0.25">
      <c r="A196" s="29">
        <v>0</v>
      </c>
      <c r="B196" s="29">
        <v>2</v>
      </c>
      <c r="C196" s="29">
        <v>5</v>
      </c>
      <c r="D196" s="30" t="s">
        <v>402</v>
      </c>
      <c r="E196" s="30" t="s">
        <v>29</v>
      </c>
      <c r="F196" s="30" t="s">
        <v>287</v>
      </c>
      <c r="G196" s="30" t="s">
        <v>96</v>
      </c>
      <c r="H196" s="30" t="s">
        <v>165</v>
      </c>
      <c r="I196" s="29" t="s">
        <v>489</v>
      </c>
      <c r="J196" s="29">
        <v>3</v>
      </c>
      <c r="K196" s="29" t="s">
        <v>319</v>
      </c>
      <c r="L196" s="29" t="s">
        <v>334</v>
      </c>
      <c r="M196" s="30" t="s">
        <v>746</v>
      </c>
      <c r="N196" s="30" t="s">
        <v>888</v>
      </c>
      <c r="O196" s="31">
        <v>1</v>
      </c>
      <c r="P196" s="31"/>
      <c r="Q196" s="30"/>
      <c r="S196" s="2">
        <f t="shared" si="71"/>
        <v>0</v>
      </c>
      <c r="T196" s="2">
        <f t="shared" si="72"/>
        <v>0</v>
      </c>
      <c r="U196" s="2">
        <f t="shared" si="73"/>
        <v>1</v>
      </c>
      <c r="V196" s="2">
        <f t="shared" si="74"/>
        <v>0</v>
      </c>
      <c r="W196" s="2">
        <f t="shared" si="75"/>
        <v>0</v>
      </c>
      <c r="X196" s="2">
        <f t="shared" si="76"/>
        <v>0</v>
      </c>
      <c r="Y196" s="2">
        <f t="shared" si="77"/>
        <v>0</v>
      </c>
      <c r="Z196" s="2">
        <f t="shared" si="78"/>
        <v>0</v>
      </c>
      <c r="AA196" s="2">
        <f t="shared" si="79"/>
        <v>0</v>
      </c>
      <c r="AB196" s="2">
        <f t="shared" si="80"/>
        <v>0</v>
      </c>
      <c r="AD196" s="2">
        <f t="shared" si="81"/>
        <v>0</v>
      </c>
      <c r="AE196" s="2">
        <f t="shared" si="82"/>
        <v>1</v>
      </c>
      <c r="AF196" s="2">
        <f t="shared" si="83"/>
        <v>0</v>
      </c>
      <c r="AG196" s="2">
        <f t="shared" si="84"/>
        <v>1</v>
      </c>
      <c r="AH196" s="2">
        <f t="shared" si="85"/>
        <v>0</v>
      </c>
      <c r="AI196" s="2">
        <f t="shared" si="86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568</v>
      </c>
      <c r="E197" s="30" t="s">
        <v>36</v>
      </c>
      <c r="F197" s="30" t="s">
        <v>947</v>
      </c>
      <c r="G197" s="30" t="s">
        <v>668</v>
      </c>
      <c r="H197" s="30" t="s">
        <v>165</v>
      </c>
      <c r="I197" s="29" t="s">
        <v>33</v>
      </c>
      <c r="J197" s="29">
        <v>99</v>
      </c>
      <c r="K197" s="29" t="s">
        <v>320</v>
      </c>
      <c r="L197" s="29" t="s">
        <v>335</v>
      </c>
      <c r="M197" s="30" t="s">
        <v>601</v>
      </c>
      <c r="N197" s="30" t="s">
        <v>902</v>
      </c>
      <c r="O197" s="31">
        <v>1</v>
      </c>
      <c r="P197" s="31"/>
      <c r="Q197" s="30" t="s">
        <v>948</v>
      </c>
      <c r="S197" s="2">
        <f t="shared" si="71"/>
        <v>0</v>
      </c>
      <c r="T197" s="2">
        <f t="shared" si="72"/>
        <v>0</v>
      </c>
      <c r="U197" s="2">
        <f t="shared" si="73"/>
        <v>0</v>
      </c>
      <c r="V197" s="2">
        <f t="shared" si="74"/>
        <v>0</v>
      </c>
      <c r="W197" s="2">
        <f t="shared" si="75"/>
        <v>0</v>
      </c>
      <c r="X197" s="2">
        <f t="shared" si="76"/>
        <v>0</v>
      </c>
      <c r="Y197" s="2">
        <f t="shared" si="77"/>
        <v>0</v>
      </c>
      <c r="Z197" s="2">
        <f t="shared" si="78"/>
        <v>0</v>
      </c>
      <c r="AA197" s="2">
        <f t="shared" si="79"/>
        <v>0</v>
      </c>
      <c r="AB197" s="2">
        <f t="shared" si="80"/>
        <v>0</v>
      </c>
      <c r="AD197" s="2">
        <f t="shared" si="81"/>
        <v>0</v>
      </c>
      <c r="AE197" s="2">
        <f t="shared" si="82"/>
        <v>1</v>
      </c>
      <c r="AF197" s="2">
        <f t="shared" si="83"/>
        <v>0</v>
      </c>
      <c r="AG197" s="2">
        <f t="shared" si="84"/>
        <v>1</v>
      </c>
      <c r="AH197" s="2">
        <f t="shared" si="85"/>
        <v>0</v>
      </c>
      <c r="AI197" s="2">
        <f t="shared" si="86"/>
        <v>1</v>
      </c>
    </row>
    <row r="198" spans="1:35" ht="14.25" customHeight="1" x14ac:dyDescent="0.25">
      <c r="A198" s="20">
        <v>0</v>
      </c>
      <c r="B198" s="20">
        <v>2</v>
      </c>
      <c r="C198" s="20">
        <v>5</v>
      </c>
      <c r="D198" s="21" t="s">
        <v>233</v>
      </c>
      <c r="E198" s="21" t="s">
        <v>86</v>
      </c>
      <c r="F198" s="21" t="s">
        <v>254</v>
      </c>
      <c r="G198" s="21" t="s">
        <v>130</v>
      </c>
      <c r="H198" s="21" t="s">
        <v>165</v>
      </c>
      <c r="I198" s="20" t="s">
        <v>592</v>
      </c>
      <c r="J198" s="20">
        <v>10</v>
      </c>
      <c r="K198" s="20" t="s">
        <v>376</v>
      </c>
      <c r="L198" s="20" t="s">
        <v>333</v>
      </c>
      <c r="M198" s="21" t="s">
        <v>271</v>
      </c>
      <c r="N198" s="21"/>
      <c r="O198" s="7"/>
      <c r="P198" s="7"/>
      <c r="Q198" s="21"/>
      <c r="S198" s="2">
        <f t="shared" si="71"/>
        <v>0</v>
      </c>
      <c r="T198" s="2">
        <f t="shared" si="72"/>
        <v>0</v>
      </c>
      <c r="U198" s="2">
        <f t="shared" si="73"/>
        <v>0</v>
      </c>
      <c r="V198" s="2">
        <f t="shared" si="74"/>
        <v>0</v>
      </c>
      <c r="W198" s="2">
        <f t="shared" si="75"/>
        <v>0</v>
      </c>
      <c r="X198" s="2">
        <f t="shared" si="76"/>
        <v>0</v>
      </c>
      <c r="Y198" s="2">
        <f t="shared" si="77"/>
        <v>0</v>
      </c>
      <c r="Z198" s="2">
        <f t="shared" si="78"/>
        <v>0</v>
      </c>
      <c r="AA198" s="2">
        <f t="shared" si="79"/>
        <v>0</v>
      </c>
      <c r="AB198" s="2">
        <f t="shared" si="80"/>
        <v>1</v>
      </c>
      <c r="AD198" s="2">
        <f t="shared" si="81"/>
        <v>0</v>
      </c>
      <c r="AE198" s="2">
        <f t="shared" si="82"/>
        <v>0</v>
      </c>
      <c r="AF198" s="2">
        <f t="shared" si="83"/>
        <v>0</v>
      </c>
      <c r="AG198" s="2">
        <f t="shared" si="84"/>
        <v>0</v>
      </c>
      <c r="AH198" s="2">
        <f t="shared" si="85"/>
        <v>0</v>
      </c>
      <c r="AI198" s="2">
        <f t="shared" si="86"/>
        <v>1</v>
      </c>
    </row>
    <row r="199" spans="1:35" ht="14.25" customHeight="1" x14ac:dyDescent="0.25">
      <c r="A199" s="32">
        <v>0</v>
      </c>
      <c r="B199" s="32">
        <v>2</v>
      </c>
      <c r="C199" s="32">
        <v>5</v>
      </c>
      <c r="D199" s="33" t="s">
        <v>626</v>
      </c>
      <c r="E199" s="33" t="s">
        <v>29</v>
      </c>
      <c r="F199" s="33" t="s">
        <v>628</v>
      </c>
      <c r="G199" s="33" t="s">
        <v>821</v>
      </c>
      <c r="H199" s="33" t="s">
        <v>165</v>
      </c>
      <c r="I199" s="32" t="s">
        <v>629</v>
      </c>
      <c r="J199" s="32">
        <v>99</v>
      </c>
      <c r="K199" s="32" t="s">
        <v>320</v>
      </c>
      <c r="L199" s="32" t="s">
        <v>341</v>
      </c>
      <c r="M199" s="33" t="s">
        <v>779</v>
      </c>
      <c r="N199" s="33" t="s">
        <v>889</v>
      </c>
      <c r="O199" s="34"/>
      <c r="P199" s="34"/>
      <c r="Q199" s="33"/>
      <c r="S199" s="2">
        <f t="shared" si="71"/>
        <v>0</v>
      </c>
      <c r="T199" s="2">
        <f t="shared" si="72"/>
        <v>0</v>
      </c>
      <c r="U199" s="2">
        <f t="shared" si="73"/>
        <v>0</v>
      </c>
      <c r="V199" s="2">
        <f t="shared" si="74"/>
        <v>0</v>
      </c>
      <c r="W199" s="2">
        <f t="shared" si="75"/>
        <v>0</v>
      </c>
      <c r="X199" s="2">
        <f t="shared" si="76"/>
        <v>0</v>
      </c>
      <c r="Y199" s="2">
        <f t="shared" si="77"/>
        <v>0</v>
      </c>
      <c r="Z199" s="2">
        <f t="shared" si="78"/>
        <v>0</v>
      </c>
      <c r="AA199" s="2">
        <f t="shared" si="79"/>
        <v>0</v>
      </c>
      <c r="AB199" s="2">
        <f t="shared" si="80"/>
        <v>0</v>
      </c>
      <c r="AD199" s="2">
        <f t="shared" si="81"/>
        <v>0</v>
      </c>
      <c r="AE199" s="2">
        <f t="shared" si="82"/>
        <v>0</v>
      </c>
      <c r="AF199" s="2">
        <f t="shared" si="83"/>
        <v>0</v>
      </c>
      <c r="AG199" s="2">
        <f t="shared" si="84"/>
        <v>0</v>
      </c>
      <c r="AH199" s="2">
        <f t="shared" si="85"/>
        <v>0</v>
      </c>
      <c r="AI199" s="2">
        <f t="shared" si="86"/>
        <v>1</v>
      </c>
    </row>
    <row r="200" spans="1:35" ht="14.25" customHeight="1" x14ac:dyDescent="0.25">
      <c r="A200" s="29">
        <v>0</v>
      </c>
      <c r="B200" s="29">
        <v>2</v>
      </c>
      <c r="C200" s="29">
        <v>5</v>
      </c>
      <c r="D200" s="30" t="s">
        <v>805</v>
      </c>
      <c r="E200" s="30" t="s">
        <v>29</v>
      </c>
      <c r="F200" s="30" t="s">
        <v>640</v>
      </c>
      <c r="G200" s="30" t="s">
        <v>514</v>
      </c>
      <c r="H200" s="30" t="s">
        <v>165</v>
      </c>
      <c r="I200" s="29" t="s">
        <v>641</v>
      </c>
      <c r="J200" s="29">
        <v>99</v>
      </c>
      <c r="K200" s="29" t="s">
        <v>320</v>
      </c>
      <c r="L200" s="29" t="s">
        <v>346</v>
      </c>
      <c r="M200" s="30" t="s">
        <v>639</v>
      </c>
      <c r="N200" s="30" t="s">
        <v>902</v>
      </c>
      <c r="O200" s="31">
        <v>1</v>
      </c>
      <c r="P200" s="31"/>
      <c r="Q200" s="30"/>
      <c r="S200" s="2">
        <f t="shared" si="71"/>
        <v>0</v>
      </c>
      <c r="T200" s="2">
        <f t="shared" si="72"/>
        <v>0</v>
      </c>
      <c r="U200" s="2">
        <f t="shared" si="73"/>
        <v>0</v>
      </c>
      <c r="V200" s="2">
        <f t="shared" si="74"/>
        <v>0</v>
      </c>
      <c r="W200" s="2">
        <f t="shared" si="75"/>
        <v>0</v>
      </c>
      <c r="X200" s="2">
        <f t="shared" si="76"/>
        <v>0</v>
      </c>
      <c r="Y200" s="2">
        <f t="shared" si="77"/>
        <v>0</v>
      </c>
      <c r="Z200" s="2">
        <f t="shared" si="78"/>
        <v>0</v>
      </c>
      <c r="AA200" s="2">
        <f t="shared" si="79"/>
        <v>0</v>
      </c>
      <c r="AB200" s="2">
        <f t="shared" si="80"/>
        <v>0</v>
      </c>
      <c r="AD200" s="2">
        <f t="shared" si="81"/>
        <v>0</v>
      </c>
      <c r="AE200" s="2">
        <f t="shared" si="82"/>
        <v>1</v>
      </c>
      <c r="AF200" s="2">
        <f t="shared" si="83"/>
        <v>0</v>
      </c>
      <c r="AG200" s="2">
        <f t="shared" si="84"/>
        <v>1</v>
      </c>
      <c r="AH200" s="2">
        <f t="shared" si="85"/>
        <v>0</v>
      </c>
      <c r="AI200" s="2">
        <f t="shared" si="86"/>
        <v>1</v>
      </c>
    </row>
    <row r="201" spans="1:35" ht="14.25" customHeight="1" x14ac:dyDescent="0.25">
      <c r="A201" s="32">
        <v>0</v>
      </c>
      <c r="B201" s="32">
        <v>2</v>
      </c>
      <c r="C201" s="32">
        <v>6</v>
      </c>
      <c r="D201" s="33" t="s">
        <v>676</v>
      </c>
      <c r="E201" s="33" t="s">
        <v>34</v>
      </c>
      <c r="F201" s="33" t="s">
        <v>814</v>
      </c>
      <c r="G201" s="33" t="s">
        <v>96</v>
      </c>
      <c r="H201" s="33" t="s">
        <v>165</v>
      </c>
      <c r="I201" s="32" t="s">
        <v>614</v>
      </c>
      <c r="J201" s="32">
        <v>1</v>
      </c>
      <c r="K201" s="32" t="s">
        <v>318</v>
      </c>
      <c r="L201" s="32" t="s">
        <v>343</v>
      </c>
      <c r="M201" s="33" t="s">
        <v>615</v>
      </c>
      <c r="N201" s="33" t="s">
        <v>917</v>
      </c>
      <c r="O201" s="34"/>
      <c r="P201" s="34"/>
      <c r="Q201" s="33"/>
      <c r="S201" s="2">
        <f t="shared" si="71"/>
        <v>1</v>
      </c>
      <c r="T201" s="2">
        <f t="shared" si="72"/>
        <v>0</v>
      </c>
      <c r="U201" s="2">
        <f t="shared" si="73"/>
        <v>0</v>
      </c>
      <c r="V201" s="2">
        <f t="shared" si="74"/>
        <v>0</v>
      </c>
      <c r="W201" s="2">
        <f t="shared" si="75"/>
        <v>0</v>
      </c>
      <c r="X201" s="2">
        <f t="shared" si="76"/>
        <v>0</v>
      </c>
      <c r="Y201" s="2">
        <f t="shared" si="77"/>
        <v>0</v>
      </c>
      <c r="Z201" s="2">
        <f t="shared" si="78"/>
        <v>0</v>
      </c>
      <c r="AA201" s="2">
        <f t="shared" si="79"/>
        <v>0</v>
      </c>
      <c r="AB201" s="2">
        <f t="shared" si="80"/>
        <v>0</v>
      </c>
      <c r="AD201" s="2">
        <f t="shared" si="81"/>
        <v>0</v>
      </c>
      <c r="AE201" s="2">
        <f t="shared" si="82"/>
        <v>0</v>
      </c>
      <c r="AF201" s="2">
        <f t="shared" si="83"/>
        <v>0</v>
      </c>
      <c r="AG201" s="2">
        <f t="shared" si="84"/>
        <v>0</v>
      </c>
      <c r="AH201" s="2">
        <f t="shared" si="85"/>
        <v>0</v>
      </c>
      <c r="AI201" s="2">
        <f t="shared" si="86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52</v>
      </c>
      <c r="E202" s="30" t="s">
        <v>34</v>
      </c>
      <c r="F202" s="30" t="s">
        <v>105</v>
      </c>
      <c r="G202" s="30" t="s">
        <v>39</v>
      </c>
      <c r="H202" s="30" t="s">
        <v>165</v>
      </c>
      <c r="I202" s="29" t="s">
        <v>840</v>
      </c>
      <c r="J202" s="29">
        <v>8</v>
      </c>
      <c r="K202" s="29" t="s">
        <v>318</v>
      </c>
      <c r="L202" s="29" t="s">
        <v>339</v>
      </c>
      <c r="M202" s="30" t="s">
        <v>272</v>
      </c>
      <c r="N202" s="30" t="s">
        <v>901</v>
      </c>
      <c r="O202" s="31">
        <v>1</v>
      </c>
      <c r="P202" s="31"/>
      <c r="Q202" s="30"/>
      <c r="S202" s="2">
        <f t="shared" si="71"/>
        <v>0</v>
      </c>
      <c r="T202" s="2">
        <f t="shared" si="72"/>
        <v>0</v>
      </c>
      <c r="U202" s="2">
        <f t="shared" si="73"/>
        <v>0</v>
      </c>
      <c r="V202" s="2">
        <f t="shared" si="74"/>
        <v>0</v>
      </c>
      <c r="W202" s="2">
        <f t="shared" si="75"/>
        <v>0</v>
      </c>
      <c r="X202" s="2">
        <f t="shared" si="76"/>
        <v>0</v>
      </c>
      <c r="Y202" s="2">
        <f t="shared" si="77"/>
        <v>0</v>
      </c>
      <c r="Z202" s="2">
        <f t="shared" si="78"/>
        <v>1</v>
      </c>
      <c r="AA202" s="2">
        <f t="shared" si="79"/>
        <v>0</v>
      </c>
      <c r="AB202" s="2">
        <f t="shared" si="80"/>
        <v>0</v>
      </c>
      <c r="AD202" s="2">
        <f t="shared" si="81"/>
        <v>0</v>
      </c>
      <c r="AE202" s="2">
        <f t="shared" si="82"/>
        <v>1</v>
      </c>
      <c r="AF202" s="2">
        <f t="shared" si="83"/>
        <v>0</v>
      </c>
      <c r="AG202" s="2">
        <f t="shared" si="84"/>
        <v>1</v>
      </c>
      <c r="AH202" s="2">
        <f t="shared" si="85"/>
        <v>0</v>
      </c>
      <c r="AI202" s="2">
        <f t="shared" si="86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461</v>
      </c>
      <c r="E203" s="30" t="s">
        <v>34</v>
      </c>
      <c r="F203" s="30" t="s">
        <v>942</v>
      </c>
      <c r="G203" s="30" t="s">
        <v>103</v>
      </c>
      <c r="H203" s="30" t="s">
        <v>165</v>
      </c>
      <c r="I203" s="29" t="s">
        <v>392</v>
      </c>
      <c r="J203" s="29">
        <v>6</v>
      </c>
      <c r="K203" s="29" t="s">
        <v>321</v>
      </c>
      <c r="L203" s="29" t="s">
        <v>339</v>
      </c>
      <c r="M203" s="30" t="s">
        <v>696</v>
      </c>
      <c r="N203" s="30" t="s">
        <v>923</v>
      </c>
      <c r="O203" s="31">
        <v>1</v>
      </c>
      <c r="P203" s="31"/>
      <c r="Q203" s="30"/>
      <c r="S203" s="2">
        <f t="shared" si="71"/>
        <v>0</v>
      </c>
      <c r="T203" s="2">
        <f t="shared" si="72"/>
        <v>0</v>
      </c>
      <c r="U203" s="2">
        <f t="shared" si="73"/>
        <v>0</v>
      </c>
      <c r="V203" s="2">
        <f t="shared" si="74"/>
        <v>0</v>
      </c>
      <c r="W203" s="2">
        <f t="shared" si="75"/>
        <v>0</v>
      </c>
      <c r="X203" s="2">
        <f t="shared" si="76"/>
        <v>1</v>
      </c>
      <c r="Y203" s="2">
        <f t="shared" si="77"/>
        <v>0</v>
      </c>
      <c r="Z203" s="2">
        <f t="shared" si="78"/>
        <v>0</v>
      </c>
      <c r="AA203" s="2">
        <f t="shared" si="79"/>
        <v>0</v>
      </c>
      <c r="AB203" s="2">
        <f t="shared" si="80"/>
        <v>0</v>
      </c>
      <c r="AD203" s="2">
        <f t="shared" si="81"/>
        <v>0</v>
      </c>
      <c r="AE203" s="2">
        <f t="shared" si="82"/>
        <v>1</v>
      </c>
      <c r="AF203" s="2">
        <f t="shared" si="83"/>
        <v>0</v>
      </c>
      <c r="AG203" s="2">
        <f t="shared" si="84"/>
        <v>1</v>
      </c>
      <c r="AH203" s="2">
        <f t="shared" si="85"/>
        <v>0</v>
      </c>
      <c r="AI203" s="2">
        <f t="shared" si="86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680</v>
      </c>
      <c r="E204" s="30" t="s">
        <v>34</v>
      </c>
      <c r="F204" s="30" t="s">
        <v>602</v>
      </c>
      <c r="G204" s="30" t="s">
        <v>163</v>
      </c>
      <c r="H204" s="30" t="s">
        <v>165</v>
      </c>
      <c r="I204" s="29" t="s">
        <v>691</v>
      </c>
      <c r="J204" s="29">
        <v>5</v>
      </c>
      <c r="K204" s="29" t="s">
        <v>320</v>
      </c>
      <c r="L204" s="29">
        <v>30</v>
      </c>
      <c r="M204" s="30" t="s">
        <v>743</v>
      </c>
      <c r="N204" s="30" t="s">
        <v>901</v>
      </c>
      <c r="O204" s="31">
        <v>1</v>
      </c>
      <c r="P204" s="31"/>
      <c r="Q204" s="30"/>
      <c r="S204" s="2">
        <f t="shared" ref="S204:S238" si="103">IF(J204=$S$7,1,0)</f>
        <v>0</v>
      </c>
      <c r="T204" s="2">
        <f t="shared" ref="T204:T238" si="104">IF(J204=$T$7,1,0)</f>
        <v>0</v>
      </c>
      <c r="U204" s="2">
        <f t="shared" ref="U204:U238" si="105">IF(J204=$U$7,1,0)</f>
        <v>0</v>
      </c>
      <c r="V204" s="2">
        <f t="shared" ref="V204:V238" si="106">IF(J204=$V$7,1,0)</f>
        <v>0</v>
      </c>
      <c r="W204" s="2">
        <f t="shared" ref="W204:W238" si="107">IF(J204=$W$7,1,0)</f>
        <v>1</v>
      </c>
      <c r="X204" s="2">
        <f t="shared" ref="X204:X238" si="108">IF(J204=$X$7,1,0)</f>
        <v>0</v>
      </c>
      <c r="Y204" s="2">
        <f t="shared" ref="Y204:Y238" si="109">IF(J204=$Y$7,1,0)</f>
        <v>0</v>
      </c>
      <c r="Z204" s="2">
        <f t="shared" ref="Z204:Z238" si="110">IF(J204=$Z$7,1,0)</f>
        <v>0</v>
      </c>
      <c r="AA204" s="2">
        <f t="shared" ref="AA204:AA238" si="111">IF(J204=$AA$7,1,0)</f>
        <v>0</v>
      </c>
      <c r="AB204" s="2">
        <f t="shared" ref="AB204:AB238" si="112">IF(J204=$AB$7,1,0)</f>
        <v>0</v>
      </c>
      <c r="AD204" s="2">
        <f t="shared" ref="AD204:AD240" si="113">+O204*P204</f>
        <v>0</v>
      </c>
      <c r="AE204" s="2">
        <f t="shared" ref="AE204:AE240" si="114">O204*(1-P204)</f>
        <v>1</v>
      </c>
      <c r="AF204" s="2">
        <f t="shared" ref="AF204:AF240" si="115">+O204*P204*(1-A204)</f>
        <v>0</v>
      </c>
      <c r="AG204" s="2">
        <f t="shared" ref="AG204:AG240" si="116">O204*(1-P204)*(1-A204)</f>
        <v>1</v>
      </c>
      <c r="AH204" s="2">
        <f t="shared" ref="AH204:AH240" si="117">+P204*(1-A204)</f>
        <v>0</v>
      </c>
      <c r="AI204" s="2">
        <f t="shared" ref="AI204:AI240" si="118">+(1-A204)*(1-P204)</f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58</v>
      </c>
      <c r="E205" s="30" t="s">
        <v>34</v>
      </c>
      <c r="F205" s="30" t="s">
        <v>480</v>
      </c>
      <c r="G205" s="30" t="s">
        <v>103</v>
      </c>
      <c r="H205" s="30" t="s">
        <v>165</v>
      </c>
      <c r="I205" s="29" t="s">
        <v>179</v>
      </c>
      <c r="J205" s="29">
        <v>6</v>
      </c>
      <c r="K205" s="29" t="s">
        <v>321</v>
      </c>
      <c r="L205" s="29" t="s">
        <v>339</v>
      </c>
      <c r="M205" s="30" t="s">
        <v>697</v>
      </c>
      <c r="N205" s="30" t="s">
        <v>923</v>
      </c>
      <c r="O205" s="31">
        <v>1</v>
      </c>
      <c r="P205" s="31"/>
      <c r="Q205" s="30"/>
      <c r="S205" s="2">
        <f t="shared" si="103"/>
        <v>0</v>
      </c>
      <c r="T205" s="2">
        <f t="shared" si="104"/>
        <v>0</v>
      </c>
      <c r="U205" s="2">
        <f t="shared" si="105"/>
        <v>0</v>
      </c>
      <c r="V205" s="2">
        <f t="shared" si="106"/>
        <v>0</v>
      </c>
      <c r="W205" s="2">
        <f t="shared" si="107"/>
        <v>0</v>
      </c>
      <c r="X205" s="2">
        <f t="shared" si="108"/>
        <v>1</v>
      </c>
      <c r="Y205" s="2">
        <f t="shared" si="109"/>
        <v>0</v>
      </c>
      <c r="Z205" s="2">
        <f t="shared" si="110"/>
        <v>0</v>
      </c>
      <c r="AA205" s="2">
        <f t="shared" si="111"/>
        <v>0</v>
      </c>
      <c r="AB205" s="2">
        <f t="shared" si="112"/>
        <v>0</v>
      </c>
      <c r="AD205" s="2">
        <f t="shared" si="113"/>
        <v>0</v>
      </c>
      <c r="AE205" s="2">
        <f t="shared" si="114"/>
        <v>1</v>
      </c>
      <c r="AF205" s="2">
        <f t="shared" si="115"/>
        <v>0</v>
      </c>
      <c r="AG205" s="2">
        <f t="shared" si="116"/>
        <v>1</v>
      </c>
      <c r="AH205" s="2">
        <f t="shared" si="117"/>
        <v>0</v>
      </c>
      <c r="AI205" s="2">
        <f t="shared" si="118"/>
        <v>1</v>
      </c>
    </row>
    <row r="206" spans="1:35" ht="14.25" customHeight="1" x14ac:dyDescent="0.25">
      <c r="A206" s="32">
        <v>0</v>
      </c>
      <c r="B206" s="32">
        <v>2</v>
      </c>
      <c r="C206" s="32">
        <v>6</v>
      </c>
      <c r="D206" s="33" t="s">
        <v>609</v>
      </c>
      <c r="E206" s="33" t="s">
        <v>34</v>
      </c>
      <c r="F206" s="33" t="s">
        <v>610</v>
      </c>
      <c r="G206" s="33" t="s">
        <v>514</v>
      </c>
      <c r="H206" s="33" t="s">
        <v>165</v>
      </c>
      <c r="I206" s="32" t="s">
        <v>611</v>
      </c>
      <c r="J206" s="32"/>
      <c r="K206" s="32" t="s">
        <v>376</v>
      </c>
      <c r="L206" s="32">
        <v>30</v>
      </c>
      <c r="M206" s="33" t="s">
        <v>272</v>
      </c>
      <c r="N206" s="33" t="s">
        <v>885</v>
      </c>
      <c r="O206" s="34"/>
      <c r="P206" s="34"/>
      <c r="Q206" s="33"/>
      <c r="S206" s="2">
        <f t="shared" si="103"/>
        <v>0</v>
      </c>
      <c r="T206" s="2">
        <f t="shared" si="104"/>
        <v>0</v>
      </c>
      <c r="U206" s="2">
        <f t="shared" si="105"/>
        <v>0</v>
      </c>
      <c r="V206" s="2">
        <f t="shared" si="106"/>
        <v>0</v>
      </c>
      <c r="W206" s="2">
        <f t="shared" si="107"/>
        <v>0</v>
      </c>
      <c r="X206" s="2">
        <f t="shared" si="108"/>
        <v>0</v>
      </c>
      <c r="Y206" s="2">
        <f t="shared" si="109"/>
        <v>0</v>
      </c>
      <c r="Z206" s="2">
        <f t="shared" si="110"/>
        <v>0</v>
      </c>
      <c r="AA206" s="2">
        <f t="shared" si="111"/>
        <v>0</v>
      </c>
      <c r="AB206" s="2">
        <f t="shared" si="112"/>
        <v>0</v>
      </c>
      <c r="AD206" s="2">
        <f t="shared" si="113"/>
        <v>0</v>
      </c>
      <c r="AE206" s="2">
        <f t="shared" si="114"/>
        <v>0</v>
      </c>
      <c r="AF206" s="2">
        <f t="shared" si="115"/>
        <v>0</v>
      </c>
      <c r="AG206" s="2">
        <f t="shared" si="116"/>
        <v>0</v>
      </c>
      <c r="AH206" s="2">
        <f t="shared" si="117"/>
        <v>0</v>
      </c>
      <c r="AI206" s="2">
        <f t="shared" si="118"/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532</v>
      </c>
      <c r="E207" s="30" t="s">
        <v>674</v>
      </c>
      <c r="F207" s="30" t="s">
        <v>939</v>
      </c>
      <c r="G207" s="30" t="s">
        <v>581</v>
      </c>
      <c r="H207" s="30" t="s">
        <v>165</v>
      </c>
      <c r="I207" s="29" t="s">
        <v>533</v>
      </c>
      <c r="J207" s="29">
        <v>2</v>
      </c>
      <c r="K207" s="29" t="s">
        <v>320</v>
      </c>
      <c r="L207" s="29" t="s">
        <v>339</v>
      </c>
      <c r="M207" s="30" t="s">
        <v>272</v>
      </c>
      <c r="N207" s="30" t="s">
        <v>896</v>
      </c>
      <c r="O207" s="31">
        <v>1</v>
      </c>
      <c r="P207" s="31"/>
      <c r="Q207" s="30"/>
      <c r="S207" s="2">
        <f t="shared" si="103"/>
        <v>0</v>
      </c>
      <c r="T207" s="2">
        <f t="shared" si="104"/>
        <v>1</v>
      </c>
      <c r="U207" s="2">
        <f t="shared" si="105"/>
        <v>0</v>
      </c>
      <c r="V207" s="2">
        <f t="shared" si="106"/>
        <v>0</v>
      </c>
      <c r="W207" s="2">
        <f t="shared" si="107"/>
        <v>0</v>
      </c>
      <c r="X207" s="2">
        <f t="shared" si="108"/>
        <v>0</v>
      </c>
      <c r="Y207" s="2">
        <f t="shared" si="109"/>
        <v>0</v>
      </c>
      <c r="Z207" s="2">
        <f t="shared" si="110"/>
        <v>0</v>
      </c>
      <c r="AA207" s="2">
        <f t="shared" si="111"/>
        <v>0</v>
      </c>
      <c r="AB207" s="2">
        <f t="shared" si="112"/>
        <v>0</v>
      </c>
      <c r="AD207" s="2">
        <f t="shared" si="113"/>
        <v>0</v>
      </c>
      <c r="AE207" s="2">
        <f t="shared" si="114"/>
        <v>1</v>
      </c>
      <c r="AF207" s="2">
        <f t="shared" si="115"/>
        <v>0</v>
      </c>
      <c r="AG207" s="2">
        <f t="shared" si="116"/>
        <v>1</v>
      </c>
      <c r="AH207" s="2">
        <f t="shared" si="117"/>
        <v>0</v>
      </c>
      <c r="AI207" s="2">
        <f t="shared" si="118"/>
        <v>1</v>
      </c>
    </row>
    <row r="208" spans="1:35" ht="14.25" customHeight="1" x14ac:dyDescent="0.25">
      <c r="A208" s="29">
        <v>1</v>
      </c>
      <c r="B208" s="29">
        <v>2</v>
      </c>
      <c r="C208" s="29">
        <v>6</v>
      </c>
      <c r="D208" s="30" t="s">
        <v>532</v>
      </c>
      <c r="E208" s="30" t="s">
        <v>674</v>
      </c>
      <c r="F208" s="30" t="s">
        <v>940</v>
      </c>
      <c r="G208" s="30" t="s">
        <v>103</v>
      </c>
      <c r="H208" s="30" t="s">
        <v>165</v>
      </c>
      <c r="I208" s="29" t="s">
        <v>839</v>
      </c>
      <c r="J208" s="29">
        <v>6</v>
      </c>
      <c r="K208" s="29" t="s">
        <v>320</v>
      </c>
      <c r="L208" s="29" t="s">
        <v>339</v>
      </c>
      <c r="M208" s="30" t="s">
        <v>272</v>
      </c>
      <c r="N208" s="30" t="s">
        <v>896</v>
      </c>
      <c r="O208" s="31">
        <v>1</v>
      </c>
      <c r="P208" s="31"/>
      <c r="Q208" s="30"/>
      <c r="S208" s="2">
        <f t="shared" si="103"/>
        <v>0</v>
      </c>
      <c r="T208" s="2">
        <f t="shared" si="104"/>
        <v>0</v>
      </c>
      <c r="U208" s="2">
        <f t="shared" si="105"/>
        <v>0</v>
      </c>
      <c r="V208" s="2">
        <f t="shared" si="106"/>
        <v>0</v>
      </c>
      <c r="W208" s="2">
        <f t="shared" si="107"/>
        <v>0</v>
      </c>
      <c r="X208" s="2">
        <f t="shared" si="108"/>
        <v>1</v>
      </c>
      <c r="Y208" s="2">
        <f t="shared" si="109"/>
        <v>0</v>
      </c>
      <c r="Z208" s="2">
        <f t="shared" si="110"/>
        <v>0</v>
      </c>
      <c r="AA208" s="2">
        <f t="shared" si="111"/>
        <v>0</v>
      </c>
      <c r="AB208" s="2">
        <f t="shared" si="112"/>
        <v>0</v>
      </c>
      <c r="AD208" s="2">
        <f t="shared" si="113"/>
        <v>0</v>
      </c>
      <c r="AE208" s="2">
        <f t="shared" si="114"/>
        <v>1</v>
      </c>
      <c r="AF208" s="2">
        <f t="shared" si="115"/>
        <v>0</v>
      </c>
      <c r="AG208" s="2">
        <f t="shared" si="116"/>
        <v>0</v>
      </c>
      <c r="AH208" s="2">
        <f t="shared" si="117"/>
        <v>0</v>
      </c>
      <c r="AI208" s="2">
        <f t="shared" si="118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408</v>
      </c>
      <c r="E209" s="30" t="s">
        <v>31</v>
      </c>
      <c r="F209" s="30" t="s">
        <v>409</v>
      </c>
      <c r="G209" s="30" t="s">
        <v>469</v>
      </c>
      <c r="H209" s="30" t="s">
        <v>165</v>
      </c>
      <c r="I209" s="29" t="s">
        <v>410</v>
      </c>
      <c r="J209" s="29">
        <v>9</v>
      </c>
      <c r="K209" s="29" t="s">
        <v>320</v>
      </c>
      <c r="L209" s="29" t="s">
        <v>318</v>
      </c>
      <c r="M209" s="30" t="s">
        <v>273</v>
      </c>
      <c r="N209" s="30" t="s">
        <v>882</v>
      </c>
      <c r="O209" s="31">
        <v>1</v>
      </c>
      <c r="P209" s="31">
        <v>1</v>
      </c>
      <c r="Q209" s="30"/>
      <c r="S209" s="2">
        <f t="shared" si="103"/>
        <v>0</v>
      </c>
      <c r="T209" s="2">
        <f t="shared" si="104"/>
        <v>0</v>
      </c>
      <c r="U209" s="2">
        <f t="shared" si="105"/>
        <v>0</v>
      </c>
      <c r="V209" s="2">
        <f t="shared" si="106"/>
        <v>0</v>
      </c>
      <c r="W209" s="2">
        <f t="shared" si="107"/>
        <v>0</v>
      </c>
      <c r="X209" s="2">
        <f t="shared" si="108"/>
        <v>0</v>
      </c>
      <c r="Y209" s="2">
        <f t="shared" si="109"/>
        <v>0</v>
      </c>
      <c r="Z209" s="2">
        <f t="shared" si="110"/>
        <v>0</v>
      </c>
      <c r="AA209" s="2">
        <f t="shared" si="111"/>
        <v>1</v>
      </c>
      <c r="AB209" s="2">
        <f t="shared" si="112"/>
        <v>0</v>
      </c>
      <c r="AD209" s="2">
        <f t="shared" si="113"/>
        <v>1</v>
      </c>
      <c r="AE209" s="2">
        <f t="shared" si="114"/>
        <v>0</v>
      </c>
      <c r="AF209" s="2">
        <f t="shared" si="115"/>
        <v>1</v>
      </c>
      <c r="AG209" s="2">
        <f t="shared" si="116"/>
        <v>0</v>
      </c>
      <c r="AH209" s="2">
        <f t="shared" si="117"/>
        <v>1</v>
      </c>
      <c r="AI209" s="2">
        <f t="shared" si="118"/>
        <v>0</v>
      </c>
    </row>
    <row r="210" spans="1:35" ht="14.25" customHeight="1" x14ac:dyDescent="0.25">
      <c r="A210" s="29">
        <v>0</v>
      </c>
      <c r="B210" s="29">
        <v>2</v>
      </c>
      <c r="C210" s="29">
        <v>7</v>
      </c>
      <c r="D210" s="30" t="s">
        <v>913</v>
      </c>
      <c r="E210" s="30" t="s">
        <v>907</v>
      </c>
      <c r="F210" s="30" t="s">
        <v>911</v>
      </c>
      <c r="G210" s="30" t="s">
        <v>132</v>
      </c>
      <c r="H210" s="30" t="s">
        <v>165</v>
      </c>
      <c r="I210" s="29" t="s">
        <v>914</v>
      </c>
      <c r="J210" s="29">
        <v>99</v>
      </c>
      <c r="K210" s="29" t="s">
        <v>376</v>
      </c>
      <c r="L210" s="29"/>
      <c r="M210" s="30"/>
      <c r="N210" s="30" t="s">
        <v>882</v>
      </c>
      <c r="O210" s="31">
        <v>1</v>
      </c>
      <c r="P210" s="31">
        <v>1</v>
      </c>
      <c r="Q210" s="30"/>
      <c r="S210" s="2">
        <f t="shared" si="103"/>
        <v>0</v>
      </c>
      <c r="T210" s="2">
        <f t="shared" si="104"/>
        <v>0</v>
      </c>
      <c r="U210" s="2">
        <f t="shared" si="105"/>
        <v>0</v>
      </c>
      <c r="V210" s="2">
        <f t="shared" si="106"/>
        <v>0</v>
      </c>
      <c r="W210" s="2">
        <f t="shared" si="107"/>
        <v>0</v>
      </c>
      <c r="X210" s="2">
        <f t="shared" si="108"/>
        <v>0</v>
      </c>
      <c r="Y210" s="2">
        <f t="shared" si="109"/>
        <v>0</v>
      </c>
      <c r="Z210" s="2">
        <f t="shared" si="110"/>
        <v>0</v>
      </c>
      <c r="AA210" s="2">
        <f t="shared" si="111"/>
        <v>0</v>
      </c>
      <c r="AB210" s="2">
        <f t="shared" si="112"/>
        <v>0</v>
      </c>
      <c r="AD210" s="2">
        <f t="shared" si="113"/>
        <v>1</v>
      </c>
      <c r="AE210" s="2">
        <f t="shared" si="114"/>
        <v>0</v>
      </c>
      <c r="AF210" s="2">
        <f t="shared" si="115"/>
        <v>1</v>
      </c>
      <c r="AG210" s="2">
        <f t="shared" si="116"/>
        <v>0</v>
      </c>
      <c r="AH210" s="2">
        <f t="shared" si="117"/>
        <v>1</v>
      </c>
      <c r="AI210" s="2">
        <f t="shared" si="118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518</v>
      </c>
      <c r="E211" s="30" t="s">
        <v>31</v>
      </c>
      <c r="F211" s="30" t="s">
        <v>519</v>
      </c>
      <c r="G211" s="30" t="s">
        <v>124</v>
      </c>
      <c r="H211" s="30" t="s">
        <v>165</v>
      </c>
      <c r="I211" s="29" t="s">
        <v>520</v>
      </c>
      <c r="J211" s="29">
        <v>7</v>
      </c>
      <c r="K211" s="29" t="s">
        <v>319</v>
      </c>
      <c r="L211" s="29" t="s">
        <v>318</v>
      </c>
      <c r="M211" s="30" t="s">
        <v>273</v>
      </c>
      <c r="N211" s="30" t="s">
        <v>888</v>
      </c>
      <c r="O211" s="31">
        <v>1</v>
      </c>
      <c r="P211" s="31"/>
      <c r="Q211" s="30"/>
      <c r="S211" s="2">
        <f t="shared" si="103"/>
        <v>0</v>
      </c>
      <c r="T211" s="2">
        <f t="shared" si="104"/>
        <v>0</v>
      </c>
      <c r="U211" s="2">
        <f t="shared" si="105"/>
        <v>0</v>
      </c>
      <c r="V211" s="2">
        <f t="shared" si="106"/>
        <v>0</v>
      </c>
      <c r="W211" s="2">
        <f t="shared" si="107"/>
        <v>0</v>
      </c>
      <c r="X211" s="2">
        <f t="shared" si="108"/>
        <v>0</v>
      </c>
      <c r="Y211" s="2">
        <f t="shared" si="109"/>
        <v>1</v>
      </c>
      <c r="Z211" s="2">
        <f t="shared" si="110"/>
        <v>0</v>
      </c>
      <c r="AA211" s="2">
        <f t="shared" si="111"/>
        <v>0</v>
      </c>
      <c r="AB211" s="2">
        <f t="shared" si="112"/>
        <v>0</v>
      </c>
      <c r="AD211" s="2">
        <f t="shared" si="113"/>
        <v>0</v>
      </c>
      <c r="AE211" s="2">
        <f t="shared" si="114"/>
        <v>1</v>
      </c>
      <c r="AF211" s="2">
        <f t="shared" si="115"/>
        <v>0</v>
      </c>
      <c r="AG211" s="2">
        <f t="shared" si="116"/>
        <v>1</v>
      </c>
      <c r="AH211" s="2">
        <f t="shared" si="117"/>
        <v>0</v>
      </c>
      <c r="AI211" s="2">
        <f t="shared" si="118"/>
        <v>1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430</v>
      </c>
      <c r="E212" s="30" t="s">
        <v>31</v>
      </c>
      <c r="F212" s="30" t="s">
        <v>431</v>
      </c>
      <c r="G212" s="30" t="s">
        <v>117</v>
      </c>
      <c r="H212" s="30" t="s">
        <v>165</v>
      </c>
      <c r="I212" s="29" t="s">
        <v>482</v>
      </c>
      <c r="J212" s="29">
        <v>1</v>
      </c>
      <c r="K212" s="29" t="s">
        <v>320</v>
      </c>
      <c r="L212" s="29" t="s">
        <v>318</v>
      </c>
      <c r="M212" s="30" t="s">
        <v>273</v>
      </c>
      <c r="N212" s="30" t="s">
        <v>918</v>
      </c>
      <c r="O212" s="31">
        <v>1</v>
      </c>
      <c r="P212" s="31"/>
      <c r="Q212" s="30"/>
      <c r="S212" s="2">
        <f t="shared" si="103"/>
        <v>1</v>
      </c>
      <c r="T212" s="2">
        <f t="shared" si="104"/>
        <v>0</v>
      </c>
      <c r="U212" s="2">
        <f t="shared" si="105"/>
        <v>0</v>
      </c>
      <c r="V212" s="2">
        <f t="shared" si="106"/>
        <v>0</v>
      </c>
      <c r="W212" s="2">
        <f t="shared" si="107"/>
        <v>0</v>
      </c>
      <c r="X212" s="2">
        <f t="shared" si="108"/>
        <v>0</v>
      </c>
      <c r="Y212" s="2">
        <f t="shared" si="109"/>
        <v>0</v>
      </c>
      <c r="Z212" s="2">
        <f t="shared" si="110"/>
        <v>0</v>
      </c>
      <c r="AA212" s="2">
        <f t="shared" si="111"/>
        <v>0</v>
      </c>
      <c r="AB212" s="2">
        <f t="shared" si="112"/>
        <v>0</v>
      </c>
      <c r="AD212" s="2">
        <f t="shared" si="113"/>
        <v>0</v>
      </c>
      <c r="AE212" s="2">
        <f t="shared" si="114"/>
        <v>1</v>
      </c>
      <c r="AF212" s="2">
        <f t="shared" si="115"/>
        <v>0</v>
      </c>
      <c r="AG212" s="2">
        <f t="shared" si="116"/>
        <v>1</v>
      </c>
      <c r="AH212" s="2">
        <f t="shared" si="117"/>
        <v>0</v>
      </c>
      <c r="AI212" s="2">
        <f t="shared" si="118"/>
        <v>1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460</v>
      </c>
      <c r="E213" s="30" t="s">
        <v>31</v>
      </c>
      <c r="F213" s="30" t="s">
        <v>155</v>
      </c>
      <c r="G213" s="30" t="s">
        <v>122</v>
      </c>
      <c r="H213" s="30" t="s">
        <v>165</v>
      </c>
      <c r="I213" s="29" t="s">
        <v>198</v>
      </c>
      <c r="J213" s="29">
        <v>6</v>
      </c>
      <c r="K213" s="29" t="s">
        <v>321</v>
      </c>
      <c r="L213" s="29" t="s">
        <v>318</v>
      </c>
      <c r="M213" s="30" t="s">
        <v>273</v>
      </c>
      <c r="N213" s="30" t="s">
        <v>882</v>
      </c>
      <c r="O213" s="31">
        <v>1</v>
      </c>
      <c r="P213" s="31">
        <v>1</v>
      </c>
      <c r="Q213" s="30"/>
      <c r="S213" s="2">
        <f t="shared" si="103"/>
        <v>0</v>
      </c>
      <c r="T213" s="2">
        <f t="shared" si="104"/>
        <v>0</v>
      </c>
      <c r="U213" s="2">
        <f t="shared" si="105"/>
        <v>0</v>
      </c>
      <c r="V213" s="2">
        <f t="shared" si="106"/>
        <v>0</v>
      </c>
      <c r="W213" s="2">
        <f t="shared" si="107"/>
        <v>0</v>
      </c>
      <c r="X213" s="2">
        <f t="shared" si="108"/>
        <v>1</v>
      </c>
      <c r="Y213" s="2">
        <f t="shared" si="109"/>
        <v>0</v>
      </c>
      <c r="Z213" s="2">
        <f t="shared" si="110"/>
        <v>0</v>
      </c>
      <c r="AA213" s="2">
        <f t="shared" si="111"/>
        <v>0</v>
      </c>
      <c r="AB213" s="2">
        <f t="shared" si="112"/>
        <v>0</v>
      </c>
      <c r="AD213" s="2">
        <f t="shared" si="113"/>
        <v>1</v>
      </c>
      <c r="AE213" s="2">
        <f t="shared" si="114"/>
        <v>0</v>
      </c>
      <c r="AF213" s="2">
        <f t="shared" si="115"/>
        <v>1</v>
      </c>
      <c r="AG213" s="2">
        <f t="shared" si="116"/>
        <v>0</v>
      </c>
      <c r="AH213" s="2">
        <f t="shared" si="117"/>
        <v>1</v>
      </c>
      <c r="AI213" s="2">
        <f t="shared" si="118"/>
        <v>0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63</v>
      </c>
      <c r="E214" s="30" t="s">
        <v>31</v>
      </c>
      <c r="F214" s="30" t="s">
        <v>138</v>
      </c>
      <c r="G214" s="30" t="s">
        <v>125</v>
      </c>
      <c r="H214" s="30" t="s">
        <v>165</v>
      </c>
      <c r="I214" s="29" t="s">
        <v>373</v>
      </c>
      <c r="J214" s="29">
        <v>99</v>
      </c>
      <c r="K214" s="29" t="s">
        <v>320</v>
      </c>
      <c r="L214" s="29" t="s">
        <v>318</v>
      </c>
      <c r="M214" s="30" t="s">
        <v>273</v>
      </c>
      <c r="N214" s="30" t="s">
        <v>882</v>
      </c>
      <c r="O214" s="31">
        <v>1</v>
      </c>
      <c r="P214" s="31">
        <v>1</v>
      </c>
      <c r="Q214" s="30"/>
      <c r="S214" s="2">
        <f t="shared" si="103"/>
        <v>0</v>
      </c>
      <c r="T214" s="2">
        <f t="shared" si="104"/>
        <v>0</v>
      </c>
      <c r="U214" s="2">
        <f t="shared" si="105"/>
        <v>0</v>
      </c>
      <c r="V214" s="2">
        <f t="shared" si="106"/>
        <v>0</v>
      </c>
      <c r="W214" s="2">
        <f t="shared" si="107"/>
        <v>0</v>
      </c>
      <c r="X214" s="2">
        <f t="shared" si="108"/>
        <v>0</v>
      </c>
      <c r="Y214" s="2">
        <f t="shared" si="109"/>
        <v>0</v>
      </c>
      <c r="Z214" s="2">
        <f t="shared" si="110"/>
        <v>0</v>
      </c>
      <c r="AA214" s="2">
        <f t="shared" si="111"/>
        <v>0</v>
      </c>
      <c r="AB214" s="2">
        <f t="shared" si="112"/>
        <v>0</v>
      </c>
      <c r="AD214" s="2">
        <f t="shared" si="113"/>
        <v>1</v>
      </c>
      <c r="AE214" s="2">
        <f t="shared" si="114"/>
        <v>0</v>
      </c>
      <c r="AF214" s="2">
        <f t="shared" si="115"/>
        <v>1</v>
      </c>
      <c r="AG214" s="2">
        <f t="shared" si="116"/>
        <v>0</v>
      </c>
      <c r="AH214" s="2">
        <f t="shared" si="117"/>
        <v>1</v>
      </c>
      <c r="AI214" s="2">
        <f t="shared" si="118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427</v>
      </c>
      <c r="E215" s="30" t="s">
        <v>31</v>
      </c>
      <c r="F215" s="30" t="s">
        <v>428</v>
      </c>
      <c r="G215" s="30" t="s">
        <v>126</v>
      </c>
      <c r="H215" s="30" t="s">
        <v>165</v>
      </c>
      <c r="I215" s="29" t="s">
        <v>590</v>
      </c>
      <c r="J215" s="29">
        <v>99</v>
      </c>
      <c r="K215" s="29" t="s">
        <v>318</v>
      </c>
      <c r="L215" s="29" t="s">
        <v>318</v>
      </c>
      <c r="M215" s="30" t="s">
        <v>273</v>
      </c>
      <c r="N215" s="30" t="s">
        <v>918</v>
      </c>
      <c r="O215" s="31">
        <v>1</v>
      </c>
      <c r="P215" s="31"/>
      <c r="Q215" s="30"/>
      <c r="S215" s="2">
        <f t="shared" si="103"/>
        <v>0</v>
      </c>
      <c r="T215" s="2">
        <f t="shared" si="104"/>
        <v>0</v>
      </c>
      <c r="U215" s="2">
        <f t="shared" si="105"/>
        <v>0</v>
      </c>
      <c r="V215" s="2">
        <f t="shared" si="106"/>
        <v>0</v>
      </c>
      <c r="W215" s="2">
        <f t="shared" si="107"/>
        <v>0</v>
      </c>
      <c r="X215" s="2">
        <f t="shared" si="108"/>
        <v>0</v>
      </c>
      <c r="Y215" s="2">
        <f t="shared" si="109"/>
        <v>0</v>
      </c>
      <c r="Z215" s="2">
        <f t="shared" si="110"/>
        <v>0</v>
      </c>
      <c r="AA215" s="2">
        <f t="shared" si="111"/>
        <v>0</v>
      </c>
      <c r="AB215" s="2">
        <f t="shared" si="112"/>
        <v>0</v>
      </c>
      <c r="AD215" s="2">
        <f t="shared" si="113"/>
        <v>0</v>
      </c>
      <c r="AE215" s="2">
        <f t="shared" si="114"/>
        <v>1</v>
      </c>
      <c r="AF215" s="2">
        <f t="shared" si="115"/>
        <v>0</v>
      </c>
      <c r="AG215" s="2">
        <f t="shared" si="116"/>
        <v>1</v>
      </c>
      <c r="AH215" s="2">
        <f t="shared" si="117"/>
        <v>0</v>
      </c>
      <c r="AI215" s="2">
        <f t="shared" si="118"/>
        <v>1</v>
      </c>
    </row>
    <row r="216" spans="1:35" ht="14.25" customHeight="1" x14ac:dyDescent="0.25">
      <c r="A216" s="29">
        <v>1</v>
      </c>
      <c r="B216" s="29">
        <v>2</v>
      </c>
      <c r="C216" s="29">
        <v>7</v>
      </c>
      <c r="D216" s="30" t="s">
        <v>427</v>
      </c>
      <c r="E216" s="30" t="s">
        <v>31</v>
      </c>
      <c r="F216" s="30" t="s">
        <v>659</v>
      </c>
      <c r="G216" s="30" t="s">
        <v>660</v>
      </c>
      <c r="H216" s="30" t="s">
        <v>165</v>
      </c>
      <c r="I216" s="29" t="s">
        <v>590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918</v>
      </c>
      <c r="O216" s="31">
        <v>1</v>
      </c>
      <c r="P216" s="31"/>
      <c r="Q216" s="30"/>
      <c r="S216" s="2">
        <f t="shared" si="103"/>
        <v>0</v>
      </c>
      <c r="T216" s="2">
        <f t="shared" si="104"/>
        <v>0</v>
      </c>
      <c r="U216" s="2">
        <f t="shared" si="105"/>
        <v>0</v>
      </c>
      <c r="V216" s="2">
        <f t="shared" si="106"/>
        <v>0</v>
      </c>
      <c r="W216" s="2">
        <f t="shared" si="107"/>
        <v>0</v>
      </c>
      <c r="X216" s="2">
        <f t="shared" si="108"/>
        <v>0</v>
      </c>
      <c r="Y216" s="2">
        <f t="shared" si="109"/>
        <v>0</v>
      </c>
      <c r="Z216" s="2">
        <f t="shared" si="110"/>
        <v>0</v>
      </c>
      <c r="AA216" s="2">
        <f t="shared" si="111"/>
        <v>0</v>
      </c>
      <c r="AB216" s="2">
        <f t="shared" si="112"/>
        <v>0</v>
      </c>
      <c r="AD216" s="2">
        <f t="shared" si="113"/>
        <v>0</v>
      </c>
      <c r="AE216" s="2">
        <f t="shared" si="114"/>
        <v>1</v>
      </c>
      <c r="AF216" s="2">
        <f t="shared" si="115"/>
        <v>0</v>
      </c>
      <c r="AG216" s="2">
        <f t="shared" si="116"/>
        <v>0</v>
      </c>
      <c r="AH216" s="2">
        <f t="shared" si="117"/>
        <v>0</v>
      </c>
      <c r="AI216" s="2">
        <f t="shared" si="118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72</v>
      </c>
      <c r="E217" s="30" t="s">
        <v>31</v>
      </c>
      <c r="F217" s="30" t="s">
        <v>151</v>
      </c>
      <c r="G217" s="30" t="s">
        <v>99</v>
      </c>
      <c r="H217" s="30" t="s">
        <v>165</v>
      </c>
      <c r="I217" s="29" t="s">
        <v>195</v>
      </c>
      <c r="J217" s="29">
        <v>3</v>
      </c>
      <c r="K217" s="29" t="s">
        <v>320</v>
      </c>
      <c r="L217" s="29" t="s">
        <v>318</v>
      </c>
      <c r="M217" s="30" t="s">
        <v>273</v>
      </c>
      <c r="N217" s="30" t="s">
        <v>918</v>
      </c>
      <c r="O217" s="31">
        <v>1</v>
      </c>
      <c r="P217" s="31"/>
      <c r="Q217" s="30"/>
      <c r="S217" s="2">
        <f t="shared" si="103"/>
        <v>0</v>
      </c>
      <c r="T217" s="2">
        <f t="shared" si="104"/>
        <v>0</v>
      </c>
      <c r="U217" s="2">
        <f t="shared" si="105"/>
        <v>1</v>
      </c>
      <c r="V217" s="2">
        <f t="shared" si="106"/>
        <v>0</v>
      </c>
      <c r="W217" s="2">
        <f t="shared" si="107"/>
        <v>0</v>
      </c>
      <c r="X217" s="2">
        <f t="shared" si="108"/>
        <v>0</v>
      </c>
      <c r="Y217" s="2">
        <f t="shared" si="109"/>
        <v>0</v>
      </c>
      <c r="Z217" s="2">
        <f t="shared" si="110"/>
        <v>0</v>
      </c>
      <c r="AA217" s="2">
        <f t="shared" si="111"/>
        <v>0</v>
      </c>
      <c r="AB217" s="2">
        <f t="shared" si="112"/>
        <v>0</v>
      </c>
      <c r="AD217" s="2">
        <f t="shared" si="113"/>
        <v>0</v>
      </c>
      <c r="AE217" s="2">
        <f t="shared" si="114"/>
        <v>1</v>
      </c>
      <c r="AF217" s="2">
        <f t="shared" si="115"/>
        <v>0</v>
      </c>
      <c r="AG217" s="2">
        <f t="shared" si="116"/>
        <v>1</v>
      </c>
      <c r="AH217" s="2">
        <f t="shared" si="117"/>
        <v>0</v>
      </c>
      <c r="AI217" s="2">
        <f t="shared" si="118"/>
        <v>1</v>
      </c>
    </row>
    <row r="218" spans="1:35" ht="14.25" customHeight="1" x14ac:dyDescent="0.25">
      <c r="A218" s="29">
        <v>0</v>
      </c>
      <c r="B218" s="29">
        <v>2</v>
      </c>
      <c r="C218" s="29">
        <v>7</v>
      </c>
      <c r="D218" s="30" t="s">
        <v>305</v>
      </c>
      <c r="E218" s="30" t="s">
        <v>31</v>
      </c>
      <c r="F218" s="30" t="s">
        <v>813</v>
      </c>
      <c r="G218" s="30" t="s">
        <v>575</v>
      </c>
      <c r="H218" s="30" t="s">
        <v>165</v>
      </c>
      <c r="I218" s="29" t="s">
        <v>297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923</v>
      </c>
      <c r="O218" s="31">
        <v>1</v>
      </c>
      <c r="P218" s="31"/>
      <c r="Q218" s="30"/>
      <c r="S218" s="2">
        <f t="shared" si="103"/>
        <v>0</v>
      </c>
      <c r="T218" s="2">
        <f t="shared" si="104"/>
        <v>0</v>
      </c>
      <c r="U218" s="2">
        <f t="shared" si="105"/>
        <v>0</v>
      </c>
      <c r="V218" s="2">
        <f t="shared" si="106"/>
        <v>0</v>
      </c>
      <c r="W218" s="2">
        <f t="shared" si="107"/>
        <v>0</v>
      </c>
      <c r="X218" s="2">
        <f t="shared" si="108"/>
        <v>0</v>
      </c>
      <c r="Y218" s="2">
        <f t="shared" si="109"/>
        <v>0</v>
      </c>
      <c r="Z218" s="2">
        <f t="shared" si="110"/>
        <v>0</v>
      </c>
      <c r="AA218" s="2">
        <f t="shared" si="111"/>
        <v>0</v>
      </c>
      <c r="AB218" s="2">
        <f t="shared" si="112"/>
        <v>0</v>
      </c>
      <c r="AD218" s="2">
        <f t="shared" si="113"/>
        <v>0</v>
      </c>
      <c r="AE218" s="2">
        <f t="shared" si="114"/>
        <v>1</v>
      </c>
      <c r="AF218" s="2">
        <f t="shared" si="115"/>
        <v>0</v>
      </c>
      <c r="AG218" s="2">
        <f t="shared" si="116"/>
        <v>1</v>
      </c>
      <c r="AH218" s="2">
        <f t="shared" si="117"/>
        <v>0</v>
      </c>
      <c r="AI218" s="2">
        <f t="shared" si="118"/>
        <v>1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73</v>
      </c>
      <c r="E219" s="30" t="s">
        <v>31</v>
      </c>
      <c r="F219" s="30" t="s">
        <v>152</v>
      </c>
      <c r="G219" s="30" t="s">
        <v>120</v>
      </c>
      <c r="H219" s="30" t="s">
        <v>165</v>
      </c>
      <c r="I219" s="29" t="s">
        <v>196</v>
      </c>
      <c r="J219" s="29">
        <v>6</v>
      </c>
      <c r="K219" s="29" t="s">
        <v>320</v>
      </c>
      <c r="L219" s="29" t="s">
        <v>318</v>
      </c>
      <c r="M219" s="30" t="s">
        <v>273</v>
      </c>
      <c r="N219" s="30" t="s">
        <v>895</v>
      </c>
      <c r="O219" s="31">
        <v>1</v>
      </c>
      <c r="P219" s="31"/>
      <c r="Q219" s="30"/>
      <c r="S219" s="2">
        <f t="shared" si="103"/>
        <v>0</v>
      </c>
      <c r="T219" s="2">
        <f t="shared" si="104"/>
        <v>0</v>
      </c>
      <c r="U219" s="2">
        <f t="shared" si="105"/>
        <v>0</v>
      </c>
      <c r="V219" s="2">
        <f t="shared" si="106"/>
        <v>0</v>
      </c>
      <c r="W219" s="2">
        <f t="shared" si="107"/>
        <v>0</v>
      </c>
      <c r="X219" s="2">
        <f t="shared" si="108"/>
        <v>1</v>
      </c>
      <c r="Y219" s="2">
        <f t="shared" si="109"/>
        <v>0</v>
      </c>
      <c r="Z219" s="2">
        <f t="shared" si="110"/>
        <v>0</v>
      </c>
      <c r="AA219" s="2">
        <f t="shared" si="111"/>
        <v>0</v>
      </c>
      <c r="AB219" s="2">
        <f t="shared" si="112"/>
        <v>0</v>
      </c>
      <c r="AD219" s="2">
        <f t="shared" si="113"/>
        <v>0</v>
      </c>
      <c r="AE219" s="2">
        <f t="shared" si="114"/>
        <v>1</v>
      </c>
      <c r="AF219" s="2">
        <f t="shared" si="115"/>
        <v>0</v>
      </c>
      <c r="AG219" s="2">
        <f t="shared" si="116"/>
        <v>1</v>
      </c>
      <c r="AH219" s="2">
        <f t="shared" si="117"/>
        <v>0</v>
      </c>
      <c r="AI219" s="2">
        <f t="shared" si="118"/>
        <v>1</v>
      </c>
    </row>
    <row r="220" spans="1:35" ht="14.25" customHeight="1" x14ac:dyDescent="0.25">
      <c r="A220" s="29">
        <v>1</v>
      </c>
      <c r="B220" s="29">
        <v>2</v>
      </c>
      <c r="C220" s="29">
        <v>7</v>
      </c>
      <c r="D220" s="30" t="s">
        <v>73</v>
      </c>
      <c r="E220" s="30" t="s">
        <v>31</v>
      </c>
      <c r="F220" s="30" t="s">
        <v>310</v>
      </c>
      <c r="G220" s="30" t="s">
        <v>102</v>
      </c>
      <c r="H220" s="30" t="s">
        <v>165</v>
      </c>
      <c r="I220" s="29" t="s">
        <v>316</v>
      </c>
      <c r="J220" s="29">
        <v>4</v>
      </c>
      <c r="K220" s="29" t="s">
        <v>320</v>
      </c>
      <c r="L220" s="29" t="s">
        <v>318</v>
      </c>
      <c r="M220" s="30" t="s">
        <v>273</v>
      </c>
      <c r="N220" s="30" t="s">
        <v>895</v>
      </c>
      <c r="O220" s="31">
        <v>1</v>
      </c>
      <c r="P220" s="31"/>
      <c r="Q220" s="30"/>
      <c r="S220" s="2">
        <f t="shared" si="103"/>
        <v>0</v>
      </c>
      <c r="T220" s="2">
        <f t="shared" si="104"/>
        <v>0</v>
      </c>
      <c r="U220" s="2">
        <f t="shared" si="105"/>
        <v>0</v>
      </c>
      <c r="V220" s="2">
        <f t="shared" si="106"/>
        <v>1</v>
      </c>
      <c r="W220" s="2">
        <f t="shared" si="107"/>
        <v>0</v>
      </c>
      <c r="X220" s="2">
        <f t="shared" si="108"/>
        <v>0</v>
      </c>
      <c r="Y220" s="2">
        <f t="shared" si="109"/>
        <v>0</v>
      </c>
      <c r="Z220" s="2">
        <f t="shared" si="110"/>
        <v>0</v>
      </c>
      <c r="AA220" s="2">
        <f t="shared" si="111"/>
        <v>0</v>
      </c>
      <c r="AB220" s="2">
        <f t="shared" si="112"/>
        <v>0</v>
      </c>
      <c r="AD220" s="2">
        <f t="shared" si="113"/>
        <v>0</v>
      </c>
      <c r="AE220" s="2">
        <f t="shared" si="114"/>
        <v>1</v>
      </c>
      <c r="AF220" s="2">
        <f t="shared" si="115"/>
        <v>0</v>
      </c>
      <c r="AG220" s="2">
        <f t="shared" si="116"/>
        <v>0</v>
      </c>
      <c r="AH220" s="2">
        <f t="shared" si="117"/>
        <v>0</v>
      </c>
      <c r="AI220" s="2">
        <f t="shared" si="118"/>
        <v>0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393</v>
      </c>
      <c r="E221" s="30" t="s">
        <v>31</v>
      </c>
      <c r="F221" s="30" t="s">
        <v>474</v>
      </c>
      <c r="G221" s="30" t="s">
        <v>475</v>
      </c>
      <c r="H221" s="30" t="s">
        <v>165</v>
      </c>
      <c r="I221" s="29" t="s">
        <v>394</v>
      </c>
      <c r="J221" s="29">
        <v>99</v>
      </c>
      <c r="K221" s="29" t="s">
        <v>318</v>
      </c>
      <c r="L221" s="29" t="s">
        <v>318</v>
      </c>
      <c r="M221" s="30" t="s">
        <v>273</v>
      </c>
      <c r="N221" s="30" t="s">
        <v>888</v>
      </c>
      <c r="O221" s="31">
        <v>1</v>
      </c>
      <c r="P221" s="31"/>
      <c r="Q221" s="30"/>
      <c r="S221" s="2">
        <f t="shared" si="103"/>
        <v>0</v>
      </c>
      <c r="T221" s="2">
        <f t="shared" si="104"/>
        <v>0</v>
      </c>
      <c r="U221" s="2">
        <f t="shared" si="105"/>
        <v>0</v>
      </c>
      <c r="V221" s="2">
        <f t="shared" si="106"/>
        <v>0</v>
      </c>
      <c r="W221" s="2">
        <f t="shared" si="107"/>
        <v>0</v>
      </c>
      <c r="X221" s="2">
        <f t="shared" si="108"/>
        <v>0</v>
      </c>
      <c r="Y221" s="2">
        <f t="shared" si="109"/>
        <v>0</v>
      </c>
      <c r="Z221" s="2">
        <f t="shared" si="110"/>
        <v>0</v>
      </c>
      <c r="AA221" s="2">
        <f t="shared" si="111"/>
        <v>0</v>
      </c>
      <c r="AB221" s="2">
        <f t="shared" si="112"/>
        <v>0</v>
      </c>
      <c r="AD221" s="2">
        <f t="shared" si="113"/>
        <v>0</v>
      </c>
      <c r="AE221" s="2">
        <f t="shared" si="114"/>
        <v>1</v>
      </c>
      <c r="AF221" s="2">
        <f t="shared" si="115"/>
        <v>0</v>
      </c>
      <c r="AG221" s="2">
        <f t="shared" si="116"/>
        <v>1</v>
      </c>
      <c r="AH221" s="2">
        <f t="shared" si="117"/>
        <v>0</v>
      </c>
      <c r="AI221" s="2">
        <f t="shared" si="118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566</v>
      </c>
      <c r="E222" s="33" t="s">
        <v>31</v>
      </c>
      <c r="F222" s="33" t="s">
        <v>576</v>
      </c>
      <c r="G222" s="33" t="s">
        <v>132</v>
      </c>
      <c r="H222" s="33" t="s">
        <v>165</v>
      </c>
      <c r="I222" s="32" t="s">
        <v>835</v>
      </c>
      <c r="J222" s="32">
        <v>3</v>
      </c>
      <c r="K222" s="32" t="s">
        <v>320</v>
      </c>
      <c r="L222" s="32" t="s">
        <v>318</v>
      </c>
      <c r="M222" s="33" t="s">
        <v>273</v>
      </c>
      <c r="N222" s="33" t="s">
        <v>917</v>
      </c>
      <c r="O222" s="34"/>
      <c r="P222" s="34"/>
      <c r="Q222" s="33"/>
      <c r="S222" s="2">
        <f t="shared" si="103"/>
        <v>0</v>
      </c>
      <c r="T222" s="2">
        <f t="shared" si="104"/>
        <v>0</v>
      </c>
      <c r="U222" s="2">
        <f t="shared" si="105"/>
        <v>1</v>
      </c>
      <c r="V222" s="2">
        <f t="shared" si="106"/>
        <v>0</v>
      </c>
      <c r="W222" s="2">
        <f t="shared" si="107"/>
        <v>0</v>
      </c>
      <c r="X222" s="2">
        <f t="shared" si="108"/>
        <v>0</v>
      </c>
      <c r="Y222" s="2">
        <f t="shared" si="109"/>
        <v>0</v>
      </c>
      <c r="Z222" s="2">
        <f t="shared" si="110"/>
        <v>0</v>
      </c>
      <c r="AA222" s="2">
        <f t="shared" si="111"/>
        <v>0</v>
      </c>
      <c r="AB222" s="2">
        <f t="shared" si="112"/>
        <v>0</v>
      </c>
      <c r="AD222" s="2">
        <f t="shared" si="113"/>
        <v>0</v>
      </c>
      <c r="AE222" s="2">
        <f t="shared" si="114"/>
        <v>0</v>
      </c>
      <c r="AF222" s="2">
        <f t="shared" si="115"/>
        <v>0</v>
      </c>
      <c r="AG222" s="2">
        <f t="shared" si="116"/>
        <v>0</v>
      </c>
      <c r="AH222" s="2">
        <f t="shared" si="117"/>
        <v>0</v>
      </c>
      <c r="AI222" s="2">
        <f t="shared" si="118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74</v>
      </c>
      <c r="E223" s="30" t="s">
        <v>31</v>
      </c>
      <c r="F223" s="30" t="s">
        <v>311</v>
      </c>
      <c r="G223" s="30" t="s">
        <v>103</v>
      </c>
      <c r="H223" s="30" t="s">
        <v>165</v>
      </c>
      <c r="I223" s="29" t="s">
        <v>836</v>
      </c>
      <c r="J223" s="29">
        <v>6</v>
      </c>
      <c r="K223" s="29" t="s">
        <v>318</v>
      </c>
      <c r="L223" s="29" t="s">
        <v>318</v>
      </c>
      <c r="M223" s="30" t="s">
        <v>273</v>
      </c>
      <c r="N223" s="30" t="s">
        <v>923</v>
      </c>
      <c r="O223" s="31">
        <v>1</v>
      </c>
      <c r="P223" s="31"/>
      <c r="Q223" s="30"/>
      <c r="S223" s="2">
        <f t="shared" si="103"/>
        <v>0</v>
      </c>
      <c r="T223" s="2">
        <f t="shared" si="104"/>
        <v>0</v>
      </c>
      <c r="U223" s="2">
        <f t="shared" si="105"/>
        <v>0</v>
      </c>
      <c r="V223" s="2">
        <f t="shared" si="106"/>
        <v>0</v>
      </c>
      <c r="W223" s="2">
        <f t="shared" si="107"/>
        <v>0</v>
      </c>
      <c r="X223" s="2">
        <f t="shared" si="108"/>
        <v>1</v>
      </c>
      <c r="Y223" s="2">
        <f t="shared" si="109"/>
        <v>0</v>
      </c>
      <c r="Z223" s="2">
        <f t="shared" si="110"/>
        <v>0</v>
      </c>
      <c r="AA223" s="2">
        <f t="shared" si="111"/>
        <v>0</v>
      </c>
      <c r="AB223" s="2">
        <f t="shared" si="112"/>
        <v>0</v>
      </c>
      <c r="AD223" s="2">
        <f t="shared" si="113"/>
        <v>0</v>
      </c>
      <c r="AE223" s="2">
        <f t="shared" si="114"/>
        <v>1</v>
      </c>
      <c r="AF223" s="2">
        <f t="shared" si="115"/>
        <v>0</v>
      </c>
      <c r="AG223" s="2">
        <f t="shared" si="116"/>
        <v>1</v>
      </c>
      <c r="AH223" s="2">
        <f t="shared" si="117"/>
        <v>0</v>
      </c>
      <c r="AI223" s="2">
        <f t="shared" si="118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68</v>
      </c>
      <c r="E224" s="30" t="s">
        <v>90</v>
      </c>
      <c r="F224" s="30" t="s">
        <v>146</v>
      </c>
      <c r="G224" s="30" t="s">
        <v>103</v>
      </c>
      <c r="H224" s="30" t="s">
        <v>165</v>
      </c>
      <c r="I224" s="29" t="s">
        <v>191</v>
      </c>
      <c r="J224" s="29">
        <v>6</v>
      </c>
      <c r="K224" s="29" t="s">
        <v>321</v>
      </c>
      <c r="L224" s="29" t="s">
        <v>333</v>
      </c>
      <c r="M224" s="30" t="s">
        <v>274</v>
      </c>
      <c r="N224" s="30" t="s">
        <v>918</v>
      </c>
      <c r="O224" s="31">
        <v>1</v>
      </c>
      <c r="P224" s="31"/>
      <c r="Q224" s="30"/>
      <c r="S224" s="2">
        <f t="shared" si="103"/>
        <v>0</v>
      </c>
      <c r="T224" s="2">
        <f t="shared" si="104"/>
        <v>0</v>
      </c>
      <c r="U224" s="2">
        <f t="shared" si="105"/>
        <v>0</v>
      </c>
      <c r="V224" s="2">
        <f t="shared" si="106"/>
        <v>0</v>
      </c>
      <c r="W224" s="2">
        <f t="shared" si="107"/>
        <v>0</v>
      </c>
      <c r="X224" s="2">
        <f t="shared" si="108"/>
        <v>1</v>
      </c>
      <c r="Y224" s="2">
        <f t="shared" si="109"/>
        <v>0</v>
      </c>
      <c r="Z224" s="2">
        <f t="shared" si="110"/>
        <v>0</v>
      </c>
      <c r="AA224" s="2">
        <f t="shared" si="111"/>
        <v>0</v>
      </c>
      <c r="AB224" s="2">
        <f t="shared" si="112"/>
        <v>0</v>
      </c>
      <c r="AD224" s="2">
        <f t="shared" si="113"/>
        <v>0</v>
      </c>
      <c r="AE224" s="2">
        <f t="shared" si="114"/>
        <v>1</v>
      </c>
      <c r="AF224" s="2">
        <f t="shared" si="115"/>
        <v>0</v>
      </c>
      <c r="AG224" s="2">
        <f t="shared" si="116"/>
        <v>1</v>
      </c>
      <c r="AH224" s="2">
        <f t="shared" si="117"/>
        <v>0</v>
      </c>
      <c r="AI224" s="2">
        <f t="shared" si="118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462</v>
      </c>
      <c r="E225" s="30" t="s">
        <v>31</v>
      </c>
      <c r="F225" s="30" t="s">
        <v>395</v>
      </c>
      <c r="G225" s="30" t="s">
        <v>478</v>
      </c>
      <c r="H225" s="30" t="s">
        <v>165</v>
      </c>
      <c r="I225" s="29" t="s">
        <v>488</v>
      </c>
      <c r="J225" s="29">
        <v>99</v>
      </c>
      <c r="K225" s="29" t="s">
        <v>376</v>
      </c>
      <c r="L225" s="29" t="s">
        <v>318</v>
      </c>
      <c r="M225" s="30" t="s">
        <v>273</v>
      </c>
      <c r="N225" s="30" t="s">
        <v>923</v>
      </c>
      <c r="O225" s="31">
        <v>1</v>
      </c>
      <c r="P225" s="31"/>
      <c r="Q225" s="30"/>
      <c r="S225" s="2">
        <f t="shared" si="103"/>
        <v>0</v>
      </c>
      <c r="T225" s="2">
        <f t="shared" si="104"/>
        <v>0</v>
      </c>
      <c r="U225" s="2">
        <f t="shared" si="105"/>
        <v>0</v>
      </c>
      <c r="V225" s="2">
        <f t="shared" si="106"/>
        <v>0</v>
      </c>
      <c r="W225" s="2">
        <f t="shared" si="107"/>
        <v>0</v>
      </c>
      <c r="X225" s="2">
        <f t="shared" si="108"/>
        <v>0</v>
      </c>
      <c r="Y225" s="2">
        <f t="shared" si="109"/>
        <v>0</v>
      </c>
      <c r="Z225" s="2">
        <f t="shared" si="110"/>
        <v>0</v>
      </c>
      <c r="AA225" s="2">
        <f t="shared" si="111"/>
        <v>0</v>
      </c>
      <c r="AB225" s="2">
        <f t="shared" si="112"/>
        <v>0</v>
      </c>
      <c r="AD225" s="2">
        <f t="shared" si="113"/>
        <v>0</v>
      </c>
      <c r="AE225" s="2">
        <f t="shared" si="114"/>
        <v>1</v>
      </c>
      <c r="AF225" s="2">
        <f t="shared" si="115"/>
        <v>0</v>
      </c>
      <c r="AG225" s="2">
        <f t="shared" si="116"/>
        <v>1</v>
      </c>
      <c r="AH225" s="2">
        <f t="shared" si="117"/>
        <v>0</v>
      </c>
      <c r="AI225" s="2">
        <f t="shared" si="118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504</v>
      </c>
      <c r="E226" s="30" t="s">
        <v>31</v>
      </c>
      <c r="F226" s="30" t="s">
        <v>505</v>
      </c>
      <c r="G226" s="30" t="s">
        <v>96</v>
      </c>
      <c r="H226" s="30" t="s">
        <v>165</v>
      </c>
      <c r="I226" s="29" t="s">
        <v>506</v>
      </c>
      <c r="J226" s="29">
        <v>3</v>
      </c>
      <c r="K226" s="29" t="s">
        <v>318</v>
      </c>
      <c r="L226" s="29" t="s">
        <v>318</v>
      </c>
      <c r="M226" s="30" t="s">
        <v>273</v>
      </c>
      <c r="N226" s="30" t="s">
        <v>902</v>
      </c>
      <c r="O226" s="31">
        <v>1</v>
      </c>
      <c r="P226" s="31"/>
      <c r="Q226" s="30"/>
      <c r="S226" s="2">
        <f t="shared" si="103"/>
        <v>0</v>
      </c>
      <c r="T226" s="2">
        <f t="shared" si="104"/>
        <v>0</v>
      </c>
      <c r="U226" s="2">
        <f t="shared" si="105"/>
        <v>1</v>
      </c>
      <c r="V226" s="2">
        <f t="shared" si="106"/>
        <v>0</v>
      </c>
      <c r="W226" s="2">
        <f t="shared" si="107"/>
        <v>0</v>
      </c>
      <c r="X226" s="2">
        <f t="shared" si="108"/>
        <v>0</v>
      </c>
      <c r="Y226" s="2">
        <f t="shared" si="109"/>
        <v>0</v>
      </c>
      <c r="Z226" s="2">
        <f t="shared" si="110"/>
        <v>0</v>
      </c>
      <c r="AA226" s="2">
        <f t="shared" si="111"/>
        <v>0</v>
      </c>
      <c r="AB226" s="2">
        <f t="shared" si="112"/>
        <v>0</v>
      </c>
      <c r="AD226" s="2">
        <f t="shared" si="113"/>
        <v>0</v>
      </c>
      <c r="AE226" s="2">
        <f t="shared" si="114"/>
        <v>1</v>
      </c>
      <c r="AF226" s="2">
        <f t="shared" si="115"/>
        <v>0</v>
      </c>
      <c r="AG226" s="2">
        <f t="shared" si="116"/>
        <v>1</v>
      </c>
      <c r="AH226" s="2">
        <f t="shared" si="117"/>
        <v>0</v>
      </c>
      <c r="AI226" s="2">
        <f t="shared" si="118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906</v>
      </c>
      <c r="E227" s="30" t="s">
        <v>907</v>
      </c>
      <c r="F227" s="30" t="s">
        <v>146</v>
      </c>
      <c r="G227" s="30" t="s">
        <v>103</v>
      </c>
      <c r="H227" s="30" t="s">
        <v>165</v>
      </c>
      <c r="I227" s="29" t="s">
        <v>33</v>
      </c>
      <c r="J227" s="29">
        <v>6</v>
      </c>
      <c r="K227" s="29" t="s">
        <v>376</v>
      </c>
      <c r="L227" s="29"/>
      <c r="M227" s="30"/>
      <c r="N227" s="30" t="s">
        <v>882</v>
      </c>
      <c r="O227" s="31">
        <v>1</v>
      </c>
      <c r="P227" s="31">
        <v>1</v>
      </c>
      <c r="Q227" s="30"/>
      <c r="S227" s="2">
        <f t="shared" si="103"/>
        <v>0</v>
      </c>
      <c r="T227" s="2">
        <f t="shared" si="104"/>
        <v>0</v>
      </c>
      <c r="U227" s="2">
        <f t="shared" si="105"/>
        <v>0</v>
      </c>
      <c r="V227" s="2">
        <f t="shared" si="106"/>
        <v>0</v>
      </c>
      <c r="W227" s="2">
        <f t="shared" si="107"/>
        <v>0</v>
      </c>
      <c r="X227" s="2">
        <f t="shared" si="108"/>
        <v>1</v>
      </c>
      <c r="Y227" s="2">
        <f t="shared" si="109"/>
        <v>0</v>
      </c>
      <c r="Z227" s="2">
        <f t="shared" si="110"/>
        <v>0</v>
      </c>
      <c r="AA227" s="2">
        <f t="shared" si="111"/>
        <v>0</v>
      </c>
      <c r="AB227" s="2">
        <f t="shared" si="112"/>
        <v>0</v>
      </c>
      <c r="AD227" s="2">
        <f t="shared" si="113"/>
        <v>1</v>
      </c>
      <c r="AE227" s="2">
        <f t="shared" si="114"/>
        <v>0</v>
      </c>
      <c r="AF227" s="2">
        <f t="shared" si="115"/>
        <v>1</v>
      </c>
      <c r="AG227" s="2">
        <f t="shared" si="116"/>
        <v>0</v>
      </c>
      <c r="AH227" s="2">
        <f t="shared" si="117"/>
        <v>1</v>
      </c>
      <c r="AI227" s="2">
        <f t="shared" si="118"/>
        <v>0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906</v>
      </c>
      <c r="E228" s="30" t="s">
        <v>907</v>
      </c>
      <c r="F228" s="30" t="s">
        <v>908</v>
      </c>
      <c r="G228" s="30" t="s">
        <v>909</v>
      </c>
      <c r="H228" s="30" t="s">
        <v>165</v>
      </c>
      <c r="I228" s="29"/>
      <c r="J228" s="29"/>
      <c r="K228" s="29" t="s">
        <v>376</v>
      </c>
      <c r="L228" s="29"/>
      <c r="M228" s="30"/>
      <c r="N228" s="30" t="s">
        <v>882</v>
      </c>
      <c r="O228" s="31">
        <v>1</v>
      </c>
      <c r="P228" s="31">
        <v>1</v>
      </c>
      <c r="Q228" s="30"/>
      <c r="S228" s="2">
        <f t="shared" si="103"/>
        <v>0</v>
      </c>
      <c r="T228" s="2">
        <f t="shared" si="104"/>
        <v>0</v>
      </c>
      <c r="U228" s="2">
        <f t="shared" si="105"/>
        <v>0</v>
      </c>
      <c r="V228" s="2">
        <f t="shared" si="106"/>
        <v>0</v>
      </c>
      <c r="W228" s="2">
        <f t="shared" si="107"/>
        <v>0</v>
      </c>
      <c r="X228" s="2">
        <f t="shared" si="108"/>
        <v>0</v>
      </c>
      <c r="Y228" s="2">
        <f t="shared" si="109"/>
        <v>0</v>
      </c>
      <c r="Z228" s="2">
        <f t="shared" si="110"/>
        <v>0</v>
      </c>
      <c r="AA228" s="2">
        <f t="shared" si="111"/>
        <v>0</v>
      </c>
      <c r="AB228" s="2">
        <f t="shared" si="112"/>
        <v>0</v>
      </c>
      <c r="AD228" s="2">
        <f t="shared" si="113"/>
        <v>1</v>
      </c>
      <c r="AE228" s="2">
        <f t="shared" si="114"/>
        <v>0</v>
      </c>
      <c r="AF228" s="2">
        <f t="shared" si="115"/>
        <v>0</v>
      </c>
      <c r="AG228" s="2">
        <f t="shared" si="116"/>
        <v>0</v>
      </c>
      <c r="AH228" s="2">
        <f t="shared" si="117"/>
        <v>0</v>
      </c>
      <c r="AI228" s="2">
        <f t="shared" si="118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361</v>
      </c>
      <c r="E229" s="30" t="s">
        <v>31</v>
      </c>
      <c r="F229" s="30" t="s">
        <v>153</v>
      </c>
      <c r="G229" s="30" t="s">
        <v>109</v>
      </c>
      <c r="H229" s="30" t="s">
        <v>165</v>
      </c>
      <c r="I229" s="29" t="s">
        <v>197</v>
      </c>
      <c r="J229" s="29">
        <v>9</v>
      </c>
      <c r="K229" s="29" t="s">
        <v>320</v>
      </c>
      <c r="L229" s="29" t="s">
        <v>318</v>
      </c>
      <c r="M229" s="30" t="s">
        <v>273</v>
      </c>
      <c r="N229" s="30" t="s">
        <v>902</v>
      </c>
      <c r="O229" s="31">
        <v>1</v>
      </c>
      <c r="P229" s="31"/>
      <c r="Q229" s="30"/>
      <c r="S229" s="2">
        <f t="shared" si="103"/>
        <v>0</v>
      </c>
      <c r="T229" s="2">
        <f t="shared" si="104"/>
        <v>0</v>
      </c>
      <c r="U229" s="2">
        <f t="shared" si="105"/>
        <v>0</v>
      </c>
      <c r="V229" s="2">
        <f t="shared" si="106"/>
        <v>0</v>
      </c>
      <c r="W229" s="2">
        <f t="shared" si="107"/>
        <v>0</v>
      </c>
      <c r="X229" s="2">
        <f t="shared" si="108"/>
        <v>0</v>
      </c>
      <c r="Y229" s="2">
        <f t="shared" si="109"/>
        <v>0</v>
      </c>
      <c r="Z229" s="2">
        <f t="shared" si="110"/>
        <v>0</v>
      </c>
      <c r="AA229" s="2">
        <f t="shared" si="111"/>
        <v>1</v>
      </c>
      <c r="AB229" s="2">
        <f t="shared" si="112"/>
        <v>0</v>
      </c>
      <c r="AD229" s="2">
        <f t="shared" si="113"/>
        <v>0</v>
      </c>
      <c r="AE229" s="2">
        <f t="shared" si="114"/>
        <v>1</v>
      </c>
      <c r="AF229" s="2">
        <f t="shared" si="115"/>
        <v>0</v>
      </c>
      <c r="AG229" s="2">
        <f t="shared" si="116"/>
        <v>1</v>
      </c>
      <c r="AH229" s="2">
        <f t="shared" si="117"/>
        <v>0</v>
      </c>
      <c r="AI229" s="2">
        <f t="shared" si="118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361</v>
      </c>
      <c r="E230" s="30" t="s">
        <v>31</v>
      </c>
      <c r="F230" s="30" t="s">
        <v>367</v>
      </c>
      <c r="G230" s="30" t="s">
        <v>109</v>
      </c>
      <c r="H230" s="30" t="s">
        <v>165</v>
      </c>
      <c r="I230" s="29" t="s">
        <v>374</v>
      </c>
      <c r="J230" s="29">
        <v>9</v>
      </c>
      <c r="K230" s="29" t="s">
        <v>320</v>
      </c>
      <c r="L230" s="29" t="s">
        <v>318</v>
      </c>
      <c r="M230" s="30" t="s">
        <v>273</v>
      </c>
      <c r="N230" s="30" t="s">
        <v>902</v>
      </c>
      <c r="O230" s="31">
        <v>1</v>
      </c>
      <c r="P230" s="31"/>
      <c r="Q230" s="30" t="s">
        <v>946</v>
      </c>
      <c r="S230" s="2">
        <f t="shared" si="103"/>
        <v>0</v>
      </c>
      <c r="T230" s="2">
        <f t="shared" si="104"/>
        <v>0</v>
      </c>
      <c r="U230" s="2">
        <f t="shared" si="105"/>
        <v>0</v>
      </c>
      <c r="V230" s="2">
        <f t="shared" si="106"/>
        <v>0</v>
      </c>
      <c r="W230" s="2">
        <f t="shared" si="107"/>
        <v>0</v>
      </c>
      <c r="X230" s="2">
        <f t="shared" si="108"/>
        <v>0</v>
      </c>
      <c r="Y230" s="2">
        <f t="shared" si="109"/>
        <v>0</v>
      </c>
      <c r="Z230" s="2">
        <f t="shared" si="110"/>
        <v>0</v>
      </c>
      <c r="AA230" s="2">
        <f t="shared" si="111"/>
        <v>1</v>
      </c>
      <c r="AB230" s="2">
        <f t="shared" si="112"/>
        <v>0</v>
      </c>
      <c r="AD230" s="2">
        <f t="shared" si="113"/>
        <v>0</v>
      </c>
      <c r="AE230" s="2">
        <f t="shared" si="114"/>
        <v>1</v>
      </c>
      <c r="AF230" s="2">
        <f t="shared" si="115"/>
        <v>0</v>
      </c>
      <c r="AG230" s="2">
        <f t="shared" si="116"/>
        <v>0</v>
      </c>
      <c r="AH230" s="2">
        <f t="shared" si="117"/>
        <v>0</v>
      </c>
      <c r="AI230" s="2">
        <f t="shared" si="118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396</v>
      </c>
      <c r="E231" s="30" t="s">
        <v>31</v>
      </c>
      <c r="F231" s="30" t="s">
        <v>399</v>
      </c>
      <c r="G231" s="30" t="s">
        <v>479</v>
      </c>
      <c r="H231" s="30" t="s">
        <v>165</v>
      </c>
      <c r="I231" s="29" t="s">
        <v>491</v>
      </c>
      <c r="J231" s="29">
        <v>6</v>
      </c>
      <c r="K231" s="29" t="s">
        <v>319</v>
      </c>
      <c r="L231" s="29" t="s">
        <v>318</v>
      </c>
      <c r="M231" s="30" t="s">
        <v>273</v>
      </c>
      <c r="N231" s="30" t="s">
        <v>923</v>
      </c>
      <c r="O231" s="31">
        <v>1</v>
      </c>
      <c r="P231" s="31"/>
      <c r="Q231" s="30"/>
      <c r="S231" s="2">
        <f t="shared" si="103"/>
        <v>0</v>
      </c>
      <c r="T231" s="2">
        <f t="shared" si="104"/>
        <v>0</v>
      </c>
      <c r="U231" s="2">
        <f t="shared" si="105"/>
        <v>0</v>
      </c>
      <c r="V231" s="2">
        <f t="shared" si="106"/>
        <v>0</v>
      </c>
      <c r="W231" s="2">
        <f t="shared" si="107"/>
        <v>0</v>
      </c>
      <c r="X231" s="2">
        <f t="shared" si="108"/>
        <v>1</v>
      </c>
      <c r="Y231" s="2">
        <f t="shared" si="109"/>
        <v>0</v>
      </c>
      <c r="Z231" s="2">
        <f t="shared" si="110"/>
        <v>0</v>
      </c>
      <c r="AA231" s="2">
        <f t="shared" si="111"/>
        <v>0</v>
      </c>
      <c r="AB231" s="2">
        <f t="shared" si="112"/>
        <v>0</v>
      </c>
      <c r="AD231" s="2">
        <f t="shared" si="113"/>
        <v>0</v>
      </c>
      <c r="AE231" s="2">
        <f t="shared" si="114"/>
        <v>1</v>
      </c>
      <c r="AF231" s="2">
        <f t="shared" si="115"/>
        <v>0</v>
      </c>
      <c r="AG231" s="2">
        <f t="shared" si="116"/>
        <v>1</v>
      </c>
      <c r="AH231" s="2">
        <f t="shared" si="117"/>
        <v>0</v>
      </c>
      <c r="AI231" s="2">
        <f t="shared" si="118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396</v>
      </c>
      <c r="E232" s="30" t="s">
        <v>31</v>
      </c>
      <c r="F232" s="30" t="s">
        <v>397</v>
      </c>
      <c r="G232" s="30" t="s">
        <v>124</v>
      </c>
      <c r="H232" s="30" t="s">
        <v>165</v>
      </c>
      <c r="I232" s="29" t="s">
        <v>398</v>
      </c>
      <c r="J232" s="29">
        <v>7</v>
      </c>
      <c r="K232" s="29" t="s">
        <v>319</v>
      </c>
      <c r="L232" s="29" t="s">
        <v>318</v>
      </c>
      <c r="M232" s="30" t="s">
        <v>273</v>
      </c>
      <c r="N232" s="30" t="s">
        <v>923</v>
      </c>
      <c r="O232" s="31">
        <v>1</v>
      </c>
      <c r="P232" s="31"/>
      <c r="Q232" s="30"/>
      <c r="S232" s="2">
        <f t="shared" si="103"/>
        <v>0</v>
      </c>
      <c r="T232" s="2">
        <f t="shared" si="104"/>
        <v>0</v>
      </c>
      <c r="U232" s="2">
        <f t="shared" si="105"/>
        <v>0</v>
      </c>
      <c r="V232" s="2">
        <f t="shared" si="106"/>
        <v>0</v>
      </c>
      <c r="W232" s="2">
        <f t="shared" si="107"/>
        <v>0</v>
      </c>
      <c r="X232" s="2">
        <f t="shared" si="108"/>
        <v>0</v>
      </c>
      <c r="Y232" s="2">
        <f t="shared" si="109"/>
        <v>1</v>
      </c>
      <c r="Z232" s="2">
        <f t="shared" si="110"/>
        <v>0</v>
      </c>
      <c r="AA232" s="2">
        <f t="shared" si="111"/>
        <v>0</v>
      </c>
      <c r="AB232" s="2">
        <f t="shared" si="112"/>
        <v>0</v>
      </c>
      <c r="AD232" s="2">
        <f t="shared" si="113"/>
        <v>0</v>
      </c>
      <c r="AE232" s="2">
        <f t="shared" si="114"/>
        <v>1</v>
      </c>
      <c r="AF232" s="2">
        <f t="shared" si="115"/>
        <v>0</v>
      </c>
      <c r="AG232" s="2">
        <f t="shared" si="116"/>
        <v>0</v>
      </c>
      <c r="AH232" s="2">
        <f t="shared" si="117"/>
        <v>0</v>
      </c>
      <c r="AI232" s="2">
        <f t="shared" si="118"/>
        <v>0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400</v>
      </c>
      <c r="G233" s="30" t="s">
        <v>401</v>
      </c>
      <c r="H233" s="30" t="s">
        <v>165</v>
      </c>
      <c r="I233" s="29" t="s">
        <v>492</v>
      </c>
      <c r="J233" s="29">
        <v>99</v>
      </c>
      <c r="K233" s="29" t="s">
        <v>319</v>
      </c>
      <c r="L233" s="29" t="s">
        <v>318</v>
      </c>
      <c r="M233" s="30" t="s">
        <v>273</v>
      </c>
      <c r="N233" s="30" t="s">
        <v>923</v>
      </c>
      <c r="O233" s="31">
        <v>1</v>
      </c>
      <c r="P233" s="31"/>
      <c r="Q233" s="30"/>
      <c r="S233" s="2">
        <f t="shared" si="103"/>
        <v>0</v>
      </c>
      <c r="T233" s="2">
        <f t="shared" si="104"/>
        <v>0</v>
      </c>
      <c r="U233" s="2">
        <f t="shared" si="105"/>
        <v>0</v>
      </c>
      <c r="V233" s="2">
        <f t="shared" si="106"/>
        <v>0</v>
      </c>
      <c r="W233" s="2">
        <f t="shared" si="107"/>
        <v>0</v>
      </c>
      <c r="X233" s="2">
        <f t="shared" si="108"/>
        <v>0</v>
      </c>
      <c r="Y233" s="2">
        <f t="shared" si="109"/>
        <v>0</v>
      </c>
      <c r="Z233" s="2">
        <f t="shared" si="110"/>
        <v>0</v>
      </c>
      <c r="AA233" s="2">
        <f t="shared" si="111"/>
        <v>0</v>
      </c>
      <c r="AB233" s="2">
        <f t="shared" si="112"/>
        <v>0</v>
      </c>
      <c r="AD233" s="2">
        <f t="shared" si="113"/>
        <v>0</v>
      </c>
      <c r="AE233" s="2">
        <f t="shared" si="114"/>
        <v>1</v>
      </c>
      <c r="AF233" s="2">
        <f t="shared" si="115"/>
        <v>0</v>
      </c>
      <c r="AG233" s="2">
        <f t="shared" si="116"/>
        <v>0</v>
      </c>
      <c r="AH233" s="2">
        <f t="shared" si="117"/>
        <v>0</v>
      </c>
      <c r="AI233" s="2">
        <f t="shared" si="118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463</v>
      </c>
      <c r="E234" s="30" t="s">
        <v>31</v>
      </c>
      <c r="F234" s="30" t="s">
        <v>429</v>
      </c>
      <c r="G234" s="30" t="s">
        <v>125</v>
      </c>
      <c r="H234" s="30" t="s">
        <v>165</v>
      </c>
      <c r="I234" s="29" t="s">
        <v>493</v>
      </c>
      <c r="J234" s="29">
        <v>99</v>
      </c>
      <c r="K234" s="29" t="s">
        <v>320</v>
      </c>
      <c r="L234" s="29" t="s">
        <v>318</v>
      </c>
      <c r="M234" s="30" t="s">
        <v>273</v>
      </c>
      <c r="N234" s="30" t="s">
        <v>900</v>
      </c>
      <c r="O234" s="31">
        <v>1</v>
      </c>
      <c r="P234" s="31"/>
      <c r="Q234" s="30"/>
      <c r="S234" s="2">
        <f t="shared" si="103"/>
        <v>0</v>
      </c>
      <c r="T234" s="2">
        <f t="shared" si="104"/>
        <v>0</v>
      </c>
      <c r="U234" s="2">
        <f t="shared" si="105"/>
        <v>0</v>
      </c>
      <c r="V234" s="2">
        <f t="shared" si="106"/>
        <v>0</v>
      </c>
      <c r="W234" s="2">
        <f t="shared" si="107"/>
        <v>0</v>
      </c>
      <c r="X234" s="2">
        <f t="shared" si="108"/>
        <v>0</v>
      </c>
      <c r="Y234" s="2">
        <f t="shared" si="109"/>
        <v>0</v>
      </c>
      <c r="Z234" s="2">
        <f t="shared" si="110"/>
        <v>0</v>
      </c>
      <c r="AA234" s="2">
        <f t="shared" si="111"/>
        <v>0</v>
      </c>
      <c r="AB234" s="2">
        <f t="shared" si="112"/>
        <v>0</v>
      </c>
      <c r="AD234" s="2">
        <f t="shared" si="113"/>
        <v>0</v>
      </c>
      <c r="AE234" s="2">
        <f t="shared" si="114"/>
        <v>1</v>
      </c>
      <c r="AF234" s="2">
        <f t="shared" si="115"/>
        <v>0</v>
      </c>
      <c r="AG234" s="2">
        <f t="shared" si="116"/>
        <v>1</v>
      </c>
      <c r="AH234" s="2">
        <f t="shared" si="117"/>
        <v>0</v>
      </c>
      <c r="AI234" s="2">
        <f t="shared" si="118"/>
        <v>1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463</v>
      </c>
      <c r="E235" s="30" t="s">
        <v>31</v>
      </c>
      <c r="F235" s="30" t="s">
        <v>687</v>
      </c>
      <c r="G235" s="30" t="s">
        <v>140</v>
      </c>
      <c r="H235" s="30" t="s">
        <v>165</v>
      </c>
      <c r="I235" s="29" t="s">
        <v>692</v>
      </c>
      <c r="J235" s="29">
        <v>99</v>
      </c>
      <c r="K235" s="29" t="s">
        <v>320</v>
      </c>
      <c r="L235" s="29" t="s">
        <v>318</v>
      </c>
      <c r="M235" s="30" t="s">
        <v>273</v>
      </c>
      <c r="N235" s="30" t="s">
        <v>900</v>
      </c>
      <c r="O235" s="31">
        <v>1</v>
      </c>
      <c r="P235" s="31"/>
      <c r="Q235" s="30"/>
      <c r="S235" s="2">
        <f t="shared" ref="S235" si="119">IF(J235=$S$7,1,0)</f>
        <v>0</v>
      </c>
      <c r="T235" s="2">
        <f t="shared" ref="T235" si="120">IF(J235=$T$7,1,0)</f>
        <v>0</v>
      </c>
      <c r="U235" s="2">
        <f t="shared" ref="U235" si="121">IF(J235=$U$7,1,0)</f>
        <v>0</v>
      </c>
      <c r="V235" s="2">
        <f t="shared" ref="V235" si="122">IF(J235=$V$7,1,0)</f>
        <v>0</v>
      </c>
      <c r="W235" s="2">
        <f t="shared" ref="W235" si="123">IF(J235=$W$7,1,0)</f>
        <v>0</v>
      </c>
      <c r="X235" s="2">
        <f t="shared" ref="X235" si="124">IF(J235=$X$7,1,0)</f>
        <v>0</v>
      </c>
      <c r="Y235" s="2">
        <f t="shared" ref="Y235" si="125">IF(J235=$Y$7,1,0)</f>
        <v>0</v>
      </c>
      <c r="Z235" s="2">
        <f t="shared" ref="Z235" si="126">IF(J235=$Z$7,1,0)</f>
        <v>0</v>
      </c>
      <c r="AA235" s="2">
        <f t="shared" ref="AA235" si="127">IF(J235=$AA$7,1,0)</f>
        <v>0</v>
      </c>
      <c r="AB235" s="2">
        <f t="shared" ref="AB235" si="128">IF(J235=$AB$7,1,0)</f>
        <v>0</v>
      </c>
      <c r="AD235" s="2">
        <f t="shared" ref="AD235" si="129">+O235*P235</f>
        <v>0</v>
      </c>
      <c r="AE235" s="2">
        <f t="shared" ref="AE235" si="130">O235*(1-P235)</f>
        <v>1</v>
      </c>
      <c r="AF235" s="2">
        <f t="shared" ref="AF235" si="131">+O235*P235*(1-A235)</f>
        <v>0</v>
      </c>
      <c r="AG235" s="2">
        <f t="shared" ref="AG235" si="132">O235*(1-P235)*(1-A235)</f>
        <v>0</v>
      </c>
      <c r="AH235" s="2">
        <f t="shared" ref="AH235" si="133">+P235*(1-A235)</f>
        <v>0</v>
      </c>
      <c r="AI235" s="2">
        <f t="shared" ref="AI235" si="134">+(1-A235)*(1-P235)</f>
        <v>0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1001</v>
      </c>
      <c r="G236" s="30" t="s">
        <v>103</v>
      </c>
      <c r="H236" s="30" t="s">
        <v>165</v>
      </c>
      <c r="I236" s="29" t="s">
        <v>33</v>
      </c>
      <c r="J236" s="29">
        <v>6</v>
      </c>
      <c r="K236" s="29" t="s">
        <v>320</v>
      </c>
      <c r="L236" s="29" t="s">
        <v>318</v>
      </c>
      <c r="M236" s="30" t="s">
        <v>273</v>
      </c>
      <c r="N236" s="30" t="s">
        <v>900</v>
      </c>
      <c r="O236" s="31">
        <v>1</v>
      </c>
      <c r="P236" s="31"/>
      <c r="Q236" s="30"/>
      <c r="S236" s="2">
        <f t="shared" si="103"/>
        <v>0</v>
      </c>
      <c r="T236" s="2">
        <f t="shared" si="104"/>
        <v>0</v>
      </c>
      <c r="U236" s="2">
        <f t="shared" si="105"/>
        <v>0</v>
      </c>
      <c r="V236" s="2">
        <f t="shared" si="106"/>
        <v>0</v>
      </c>
      <c r="W236" s="2">
        <f t="shared" si="107"/>
        <v>0</v>
      </c>
      <c r="X236" s="2">
        <f t="shared" si="108"/>
        <v>1</v>
      </c>
      <c r="Y236" s="2">
        <f t="shared" si="109"/>
        <v>0</v>
      </c>
      <c r="Z236" s="2">
        <f t="shared" si="110"/>
        <v>0</v>
      </c>
      <c r="AA236" s="2">
        <f t="shared" si="111"/>
        <v>0</v>
      </c>
      <c r="AB236" s="2">
        <f t="shared" si="112"/>
        <v>0</v>
      </c>
      <c r="AD236" s="2">
        <f t="shared" si="113"/>
        <v>0</v>
      </c>
      <c r="AE236" s="2">
        <f t="shared" si="114"/>
        <v>1</v>
      </c>
      <c r="AF236" s="2">
        <f t="shared" si="115"/>
        <v>0</v>
      </c>
      <c r="AG236" s="2">
        <f t="shared" si="116"/>
        <v>0</v>
      </c>
      <c r="AH236" s="2">
        <f t="shared" si="117"/>
        <v>0</v>
      </c>
      <c r="AI236" s="2">
        <f t="shared" si="118"/>
        <v>0</v>
      </c>
    </row>
    <row r="237" spans="1:35" ht="14.25" customHeight="1" x14ac:dyDescent="0.25">
      <c r="A237" s="29">
        <v>0</v>
      </c>
      <c r="B237" s="29">
        <v>2</v>
      </c>
      <c r="C237" s="29">
        <v>7</v>
      </c>
      <c r="D237" s="30" t="s">
        <v>79</v>
      </c>
      <c r="E237" s="30" t="s">
        <v>31</v>
      </c>
      <c r="F237" s="30" t="s">
        <v>162</v>
      </c>
      <c r="G237" s="30" t="s">
        <v>163</v>
      </c>
      <c r="H237" s="30" t="s">
        <v>165</v>
      </c>
      <c r="I237" s="29" t="s">
        <v>202</v>
      </c>
      <c r="J237" s="29">
        <v>5</v>
      </c>
      <c r="K237" s="29" t="s">
        <v>376</v>
      </c>
      <c r="L237" s="29" t="s">
        <v>318</v>
      </c>
      <c r="M237" s="30" t="s">
        <v>273</v>
      </c>
      <c r="N237" s="30" t="s">
        <v>902</v>
      </c>
      <c r="O237" s="31">
        <v>1</v>
      </c>
      <c r="P237" s="31"/>
      <c r="Q237" s="30"/>
      <c r="S237" s="2">
        <f t="shared" si="103"/>
        <v>0</v>
      </c>
      <c r="T237" s="2">
        <f t="shared" si="104"/>
        <v>0</v>
      </c>
      <c r="U237" s="2">
        <f t="shared" si="105"/>
        <v>0</v>
      </c>
      <c r="V237" s="2">
        <f t="shared" si="106"/>
        <v>0</v>
      </c>
      <c r="W237" s="2">
        <f t="shared" si="107"/>
        <v>1</v>
      </c>
      <c r="X237" s="2">
        <f t="shared" si="108"/>
        <v>0</v>
      </c>
      <c r="Y237" s="2">
        <f t="shared" si="109"/>
        <v>0</v>
      </c>
      <c r="Z237" s="2">
        <f t="shared" si="110"/>
        <v>0</v>
      </c>
      <c r="AA237" s="2">
        <f t="shared" si="111"/>
        <v>0</v>
      </c>
      <c r="AB237" s="2">
        <f t="shared" si="112"/>
        <v>0</v>
      </c>
      <c r="AD237" s="2">
        <f t="shared" si="113"/>
        <v>0</v>
      </c>
      <c r="AE237" s="2">
        <f t="shared" si="114"/>
        <v>1</v>
      </c>
      <c r="AF237" s="2">
        <f t="shared" si="115"/>
        <v>0</v>
      </c>
      <c r="AG237" s="2">
        <f t="shared" si="116"/>
        <v>1</v>
      </c>
      <c r="AH237" s="2">
        <f t="shared" si="117"/>
        <v>0</v>
      </c>
      <c r="AI237" s="2">
        <f t="shared" si="118"/>
        <v>1</v>
      </c>
    </row>
    <row r="238" spans="1:35" ht="14.25" customHeight="1" x14ac:dyDescent="0.25">
      <c r="A238" s="29">
        <v>0</v>
      </c>
      <c r="B238" s="29">
        <v>2</v>
      </c>
      <c r="C238" s="29">
        <v>7</v>
      </c>
      <c r="D238" s="30" t="s">
        <v>59</v>
      </c>
      <c r="E238" s="30" t="s">
        <v>87</v>
      </c>
      <c r="F238" s="30" t="s">
        <v>351</v>
      </c>
      <c r="G238" s="30" t="s">
        <v>103</v>
      </c>
      <c r="H238" s="30" t="s">
        <v>165</v>
      </c>
      <c r="I238" s="29" t="s">
        <v>350</v>
      </c>
      <c r="J238" s="29">
        <v>6</v>
      </c>
      <c r="K238" s="29" t="s">
        <v>320</v>
      </c>
      <c r="L238" s="29" t="s">
        <v>336</v>
      </c>
      <c r="M238" s="30" t="s">
        <v>275</v>
      </c>
      <c r="N238" s="30" t="s">
        <v>890</v>
      </c>
      <c r="O238" s="31">
        <v>1</v>
      </c>
      <c r="P238" s="31"/>
      <c r="Q238" s="30"/>
      <c r="S238" s="2">
        <f t="shared" si="103"/>
        <v>0</v>
      </c>
      <c r="T238" s="2">
        <f t="shared" si="104"/>
        <v>0</v>
      </c>
      <c r="U238" s="2">
        <f t="shared" si="105"/>
        <v>0</v>
      </c>
      <c r="V238" s="2">
        <f t="shared" si="106"/>
        <v>0</v>
      </c>
      <c r="W238" s="2">
        <f t="shared" si="107"/>
        <v>0</v>
      </c>
      <c r="X238" s="2">
        <f t="shared" si="108"/>
        <v>1</v>
      </c>
      <c r="Y238" s="2">
        <f t="shared" si="109"/>
        <v>0</v>
      </c>
      <c r="Z238" s="2">
        <f t="shared" si="110"/>
        <v>0</v>
      </c>
      <c r="AA238" s="2">
        <f t="shared" si="111"/>
        <v>0</v>
      </c>
      <c r="AB238" s="2">
        <f t="shared" si="112"/>
        <v>0</v>
      </c>
      <c r="AD238" s="2">
        <f t="shared" si="113"/>
        <v>0</v>
      </c>
      <c r="AE238" s="2">
        <f t="shared" si="114"/>
        <v>1</v>
      </c>
      <c r="AF238" s="2">
        <f t="shared" si="115"/>
        <v>0</v>
      </c>
      <c r="AG238" s="2">
        <f t="shared" si="116"/>
        <v>1</v>
      </c>
      <c r="AH238" s="2">
        <f t="shared" si="117"/>
        <v>0</v>
      </c>
      <c r="AI238" s="2">
        <f t="shared" si="118"/>
        <v>1</v>
      </c>
    </row>
    <row r="239" spans="1:35" ht="14.25" customHeight="1" x14ac:dyDescent="0.25">
      <c r="A239" s="29">
        <v>1</v>
      </c>
      <c r="B239" s="29">
        <v>2</v>
      </c>
      <c r="C239" s="29">
        <v>7</v>
      </c>
      <c r="D239" s="30" t="s">
        <v>59</v>
      </c>
      <c r="E239" s="30" t="s">
        <v>87</v>
      </c>
      <c r="F239" s="30" t="s">
        <v>123</v>
      </c>
      <c r="G239" s="30" t="s">
        <v>124</v>
      </c>
      <c r="H239" s="30" t="s">
        <v>165</v>
      </c>
      <c r="I239" s="29" t="s">
        <v>180</v>
      </c>
      <c r="J239" s="29">
        <v>7</v>
      </c>
      <c r="K239" s="29" t="s">
        <v>320</v>
      </c>
      <c r="L239" s="29" t="s">
        <v>336</v>
      </c>
      <c r="M239" s="30" t="s">
        <v>275</v>
      </c>
      <c r="N239" s="30" t="s">
        <v>890</v>
      </c>
      <c r="O239" s="31">
        <v>1</v>
      </c>
      <c r="P239" s="31"/>
      <c r="Q239" s="30"/>
      <c r="S239" s="2">
        <f t="shared" ref="S239:S240" si="135">IF(J239=$S$7,1,0)</f>
        <v>0</v>
      </c>
      <c r="T239" s="2">
        <f t="shared" ref="T239:T240" si="136">IF(J239=$T$7,1,0)</f>
        <v>0</v>
      </c>
      <c r="U239" s="2">
        <f t="shared" ref="U239:U240" si="137">IF(J239=$U$7,1,0)</f>
        <v>0</v>
      </c>
      <c r="V239" s="2">
        <f t="shared" ref="V239:V240" si="138">IF(J239=$V$7,1,0)</f>
        <v>0</v>
      </c>
      <c r="W239" s="2">
        <f t="shared" ref="W239:W240" si="139">IF(J239=$W$7,1,0)</f>
        <v>0</v>
      </c>
      <c r="X239" s="2">
        <f t="shared" ref="X239:X240" si="140">IF(J239=$X$7,1,0)</f>
        <v>0</v>
      </c>
      <c r="Y239" s="2">
        <f t="shared" ref="Y239:Y240" si="141">IF(J239=$Y$7,1,0)</f>
        <v>1</v>
      </c>
      <c r="Z239" s="2">
        <f t="shared" ref="Z239:Z240" si="142">IF(J239=$Z$7,1,0)</f>
        <v>0</v>
      </c>
      <c r="AA239" s="2">
        <f t="shared" ref="AA239:AA240" si="143">IF(J239=$AA$7,1,0)</f>
        <v>0</v>
      </c>
      <c r="AB239" s="2">
        <f t="shared" ref="AB239:AB240" si="144">IF(J239=$AB$7,1,0)</f>
        <v>0</v>
      </c>
      <c r="AD239" s="2">
        <f t="shared" si="113"/>
        <v>0</v>
      </c>
      <c r="AE239" s="2">
        <f t="shared" si="114"/>
        <v>1</v>
      </c>
      <c r="AF239" s="2">
        <f t="shared" si="115"/>
        <v>0</v>
      </c>
      <c r="AG239" s="2">
        <f t="shared" si="116"/>
        <v>0</v>
      </c>
      <c r="AH239" s="2">
        <f t="shared" si="117"/>
        <v>0</v>
      </c>
      <c r="AI239" s="2">
        <f t="shared" si="118"/>
        <v>0</v>
      </c>
    </row>
    <row r="240" spans="1:35" ht="14.25" customHeight="1" x14ac:dyDescent="0.25">
      <c r="A240" s="29">
        <v>1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348</v>
      </c>
      <c r="G240" s="30" t="s">
        <v>93</v>
      </c>
      <c r="H240" s="30" t="s">
        <v>165</v>
      </c>
      <c r="I240" s="29" t="s">
        <v>349</v>
      </c>
      <c r="J240" s="29">
        <v>8</v>
      </c>
      <c r="K240" s="29" t="s">
        <v>320</v>
      </c>
      <c r="L240" s="29" t="s">
        <v>336</v>
      </c>
      <c r="M240" s="30" t="s">
        <v>275</v>
      </c>
      <c r="N240" s="30" t="s">
        <v>890</v>
      </c>
      <c r="O240" s="31">
        <v>1</v>
      </c>
      <c r="P240" s="31"/>
      <c r="Q240" s="30"/>
      <c r="S240" s="2">
        <f t="shared" si="135"/>
        <v>0</v>
      </c>
      <c r="T240" s="2">
        <f t="shared" si="136"/>
        <v>0</v>
      </c>
      <c r="U240" s="2">
        <f t="shared" si="137"/>
        <v>0</v>
      </c>
      <c r="V240" s="2">
        <f t="shared" si="138"/>
        <v>0</v>
      </c>
      <c r="W240" s="2">
        <f t="shared" si="139"/>
        <v>0</v>
      </c>
      <c r="X240" s="2">
        <f t="shared" si="140"/>
        <v>0</v>
      </c>
      <c r="Y240" s="2">
        <f t="shared" si="141"/>
        <v>0</v>
      </c>
      <c r="Z240" s="2">
        <f t="shared" si="142"/>
        <v>1</v>
      </c>
      <c r="AA240" s="2">
        <f t="shared" si="143"/>
        <v>0</v>
      </c>
      <c r="AB240" s="2">
        <f t="shared" si="144"/>
        <v>0</v>
      </c>
      <c r="AD240" s="2">
        <f t="shared" si="113"/>
        <v>0</v>
      </c>
      <c r="AE240" s="2">
        <f t="shared" si="114"/>
        <v>1</v>
      </c>
      <c r="AF240" s="2">
        <f t="shared" si="115"/>
        <v>0</v>
      </c>
      <c r="AG240" s="2">
        <f t="shared" si="116"/>
        <v>0</v>
      </c>
      <c r="AH240" s="2">
        <f t="shared" si="117"/>
        <v>0</v>
      </c>
      <c r="AI240" s="2">
        <f t="shared" si="118"/>
        <v>0</v>
      </c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</sheetData>
  <autoFilter ref="A7:AI240" xr:uid="{11EDAB9D-D4E1-484F-984E-C23E0F5BA036}">
    <sortState xmlns:xlrd2="http://schemas.microsoft.com/office/spreadsheetml/2017/richdata2" ref="A8:AI169">
      <sortCondition ref="J7:J155"/>
    </sortState>
  </autoFilter>
  <sortState xmlns:xlrd2="http://schemas.microsoft.com/office/spreadsheetml/2017/richdata2" ref="A8:Q240">
    <sortCondition ref="B8:B240"/>
    <sortCondition ref="C8:C240"/>
    <sortCondition ref="D8:D240"/>
    <sortCondition ref="A8:A240"/>
  </sortState>
  <phoneticPr fontId="0" type="noConversion"/>
  <hyperlinks>
    <hyperlink ref="I135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2026-09-29T14:09:29Z</dcterms:modified>
</cp:coreProperties>
</file>