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55DA6DD4-A652-4AA0-8728-4A6B893CFA45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golose'!$A$7:$AI$237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" i="6" l="1"/>
  <c r="T11" i="6"/>
  <c r="U11" i="6"/>
  <c r="V11" i="6"/>
  <c r="W11" i="6"/>
  <c r="X11" i="6"/>
  <c r="Y11" i="6"/>
  <c r="Z11" i="6"/>
  <c r="AA11" i="6"/>
  <c r="AB11" i="6"/>
  <c r="AD11" i="6"/>
  <c r="AE11" i="6"/>
  <c r="AF11" i="6"/>
  <c r="AG11" i="6"/>
  <c r="AH11" i="6"/>
  <c r="AI11" i="6"/>
  <c r="S12" i="6"/>
  <c r="T12" i="6"/>
  <c r="U12" i="6"/>
  <c r="V12" i="6"/>
  <c r="W12" i="6"/>
  <c r="X12" i="6"/>
  <c r="Y12" i="6"/>
  <c r="Z12" i="6"/>
  <c r="AA12" i="6"/>
  <c r="AB12" i="6"/>
  <c r="AD12" i="6"/>
  <c r="AE12" i="6"/>
  <c r="AF12" i="6"/>
  <c r="AG12" i="6"/>
  <c r="AH12" i="6"/>
  <c r="AI12" i="6"/>
  <c r="S13" i="6"/>
  <c r="T13" i="6"/>
  <c r="U13" i="6"/>
  <c r="V13" i="6"/>
  <c r="W13" i="6"/>
  <c r="X13" i="6"/>
  <c r="Y13" i="6"/>
  <c r="Z13" i="6"/>
  <c r="AA13" i="6"/>
  <c r="AB13" i="6"/>
  <c r="AD13" i="6"/>
  <c r="AE13" i="6"/>
  <c r="AF13" i="6"/>
  <c r="AG13" i="6"/>
  <c r="AH13" i="6"/>
  <c r="AI13" i="6"/>
  <c r="S14" i="6"/>
  <c r="T14" i="6"/>
  <c r="U14" i="6"/>
  <c r="V14" i="6"/>
  <c r="W14" i="6"/>
  <c r="X14" i="6"/>
  <c r="Y14" i="6"/>
  <c r="Z14" i="6"/>
  <c r="AA14" i="6"/>
  <c r="AB14" i="6"/>
  <c r="AD14" i="6"/>
  <c r="AE14" i="6"/>
  <c r="AF14" i="6"/>
  <c r="AG14" i="6"/>
  <c r="AH14" i="6"/>
  <c r="AI14" i="6"/>
  <c r="S15" i="6"/>
  <c r="T15" i="6"/>
  <c r="U15" i="6"/>
  <c r="V15" i="6"/>
  <c r="W15" i="6"/>
  <c r="X15" i="6"/>
  <c r="Y15" i="6"/>
  <c r="Z15" i="6"/>
  <c r="AA15" i="6"/>
  <c r="AB15" i="6"/>
  <c r="AD15" i="6"/>
  <c r="AE15" i="6"/>
  <c r="AF15" i="6"/>
  <c r="AG15" i="6"/>
  <c r="AH15" i="6"/>
  <c r="AI15" i="6"/>
  <c r="S16" i="6"/>
  <c r="T16" i="6"/>
  <c r="U16" i="6"/>
  <c r="V16" i="6"/>
  <c r="W16" i="6"/>
  <c r="X16" i="6"/>
  <c r="Y16" i="6"/>
  <c r="Z16" i="6"/>
  <c r="AA16" i="6"/>
  <c r="AB16" i="6"/>
  <c r="AD16" i="6"/>
  <c r="AE16" i="6"/>
  <c r="AF16" i="6"/>
  <c r="AG16" i="6"/>
  <c r="AH16" i="6"/>
  <c r="AI16" i="6"/>
  <c r="S17" i="6"/>
  <c r="T17" i="6"/>
  <c r="U17" i="6"/>
  <c r="V17" i="6"/>
  <c r="W17" i="6"/>
  <c r="X17" i="6"/>
  <c r="Y17" i="6"/>
  <c r="Z17" i="6"/>
  <c r="AA17" i="6"/>
  <c r="AB17" i="6"/>
  <c r="AD17" i="6"/>
  <c r="AE17" i="6"/>
  <c r="AF17" i="6"/>
  <c r="AG17" i="6"/>
  <c r="AH17" i="6"/>
  <c r="AI17" i="6"/>
  <c r="S18" i="6"/>
  <c r="T18" i="6"/>
  <c r="U18" i="6"/>
  <c r="V18" i="6"/>
  <c r="W18" i="6"/>
  <c r="X18" i="6"/>
  <c r="Y18" i="6"/>
  <c r="Z18" i="6"/>
  <c r="AA18" i="6"/>
  <c r="AB18" i="6"/>
  <c r="AD18" i="6"/>
  <c r="AE18" i="6"/>
  <c r="AF18" i="6"/>
  <c r="AG18" i="6"/>
  <c r="AH18" i="6"/>
  <c r="AI18" i="6"/>
  <c r="S19" i="6"/>
  <c r="T19" i="6"/>
  <c r="U19" i="6"/>
  <c r="V19" i="6"/>
  <c r="W19" i="6"/>
  <c r="X19" i="6"/>
  <c r="Y19" i="6"/>
  <c r="Z19" i="6"/>
  <c r="AA19" i="6"/>
  <c r="AB19" i="6"/>
  <c r="AD19" i="6"/>
  <c r="AE19" i="6"/>
  <c r="AF19" i="6"/>
  <c r="AG19" i="6"/>
  <c r="AH19" i="6"/>
  <c r="AI19" i="6"/>
  <c r="S20" i="6"/>
  <c r="T20" i="6"/>
  <c r="U20" i="6"/>
  <c r="V20" i="6"/>
  <c r="W20" i="6"/>
  <c r="X20" i="6"/>
  <c r="Y20" i="6"/>
  <c r="Z20" i="6"/>
  <c r="AA20" i="6"/>
  <c r="AB20" i="6"/>
  <c r="AD20" i="6"/>
  <c r="AE20" i="6"/>
  <c r="AF20" i="6"/>
  <c r="AG20" i="6"/>
  <c r="AH20" i="6"/>
  <c r="AI20" i="6"/>
  <c r="S21" i="6"/>
  <c r="T21" i="6"/>
  <c r="U21" i="6"/>
  <c r="V21" i="6"/>
  <c r="W21" i="6"/>
  <c r="X21" i="6"/>
  <c r="Y21" i="6"/>
  <c r="Z21" i="6"/>
  <c r="AA21" i="6"/>
  <c r="AB21" i="6"/>
  <c r="AD21" i="6"/>
  <c r="AE21" i="6"/>
  <c r="AF21" i="6"/>
  <c r="AG21" i="6"/>
  <c r="AH21" i="6"/>
  <c r="AI21" i="6"/>
  <c r="S22" i="6"/>
  <c r="T22" i="6"/>
  <c r="U22" i="6"/>
  <c r="V22" i="6"/>
  <c r="W22" i="6"/>
  <c r="X22" i="6"/>
  <c r="Y22" i="6"/>
  <c r="Z22" i="6"/>
  <c r="AA22" i="6"/>
  <c r="AB22" i="6"/>
  <c r="AD22" i="6"/>
  <c r="AE22" i="6"/>
  <c r="AF22" i="6"/>
  <c r="AG22" i="6"/>
  <c r="AH22" i="6"/>
  <c r="AI22" i="6"/>
  <c r="S23" i="6"/>
  <c r="T23" i="6"/>
  <c r="U23" i="6"/>
  <c r="V23" i="6"/>
  <c r="W23" i="6"/>
  <c r="X23" i="6"/>
  <c r="Y23" i="6"/>
  <c r="Z23" i="6"/>
  <c r="AA23" i="6"/>
  <c r="AB23" i="6"/>
  <c r="AD23" i="6"/>
  <c r="AE23" i="6"/>
  <c r="AF23" i="6"/>
  <c r="AG23" i="6"/>
  <c r="AH23" i="6"/>
  <c r="AI23" i="6"/>
  <c r="S24" i="6"/>
  <c r="T24" i="6"/>
  <c r="U24" i="6"/>
  <c r="V24" i="6"/>
  <c r="W24" i="6"/>
  <c r="X24" i="6"/>
  <c r="Y24" i="6"/>
  <c r="Z24" i="6"/>
  <c r="AA24" i="6"/>
  <c r="AB24" i="6"/>
  <c r="AD24" i="6"/>
  <c r="AE24" i="6"/>
  <c r="AF24" i="6"/>
  <c r="AG24" i="6"/>
  <c r="AH24" i="6"/>
  <c r="AI24" i="6"/>
  <c r="S25" i="6"/>
  <c r="T25" i="6"/>
  <c r="U25" i="6"/>
  <c r="V25" i="6"/>
  <c r="W25" i="6"/>
  <c r="X25" i="6"/>
  <c r="Y25" i="6"/>
  <c r="Z25" i="6"/>
  <c r="AA25" i="6"/>
  <c r="AB25" i="6"/>
  <c r="AD25" i="6"/>
  <c r="AE25" i="6"/>
  <c r="AF25" i="6"/>
  <c r="AG25" i="6"/>
  <c r="AH25" i="6"/>
  <c r="AI25" i="6"/>
  <c r="S26" i="6"/>
  <c r="T26" i="6"/>
  <c r="U26" i="6"/>
  <c r="V26" i="6"/>
  <c r="W26" i="6"/>
  <c r="X26" i="6"/>
  <c r="Y26" i="6"/>
  <c r="Z26" i="6"/>
  <c r="AA26" i="6"/>
  <c r="AB26" i="6"/>
  <c r="AD26" i="6"/>
  <c r="AE26" i="6"/>
  <c r="AF26" i="6"/>
  <c r="AG26" i="6"/>
  <c r="AH26" i="6"/>
  <c r="AI26" i="6"/>
  <c r="S27" i="6"/>
  <c r="T27" i="6"/>
  <c r="U27" i="6"/>
  <c r="V27" i="6"/>
  <c r="W27" i="6"/>
  <c r="X27" i="6"/>
  <c r="Y27" i="6"/>
  <c r="Z27" i="6"/>
  <c r="AA27" i="6"/>
  <c r="AB27" i="6"/>
  <c r="AD27" i="6"/>
  <c r="AE27" i="6"/>
  <c r="AF27" i="6"/>
  <c r="AG27" i="6"/>
  <c r="AH27" i="6"/>
  <c r="AI27" i="6"/>
  <c r="S28" i="6"/>
  <c r="T28" i="6"/>
  <c r="U28" i="6"/>
  <c r="V28" i="6"/>
  <c r="W28" i="6"/>
  <c r="X28" i="6"/>
  <c r="Y28" i="6"/>
  <c r="Z28" i="6"/>
  <c r="AA28" i="6"/>
  <c r="AB28" i="6"/>
  <c r="AD28" i="6"/>
  <c r="AE28" i="6"/>
  <c r="AF28" i="6"/>
  <c r="AG28" i="6"/>
  <c r="AH28" i="6"/>
  <c r="AI28" i="6"/>
  <c r="S29" i="6"/>
  <c r="T29" i="6"/>
  <c r="U29" i="6"/>
  <c r="V29" i="6"/>
  <c r="W29" i="6"/>
  <c r="X29" i="6"/>
  <c r="Y29" i="6"/>
  <c r="Z29" i="6"/>
  <c r="AA29" i="6"/>
  <c r="AB29" i="6"/>
  <c r="AD29" i="6"/>
  <c r="AE29" i="6"/>
  <c r="AF29" i="6"/>
  <c r="AG29" i="6"/>
  <c r="AH29" i="6"/>
  <c r="AI29" i="6"/>
  <c r="S30" i="6"/>
  <c r="T30" i="6"/>
  <c r="U30" i="6"/>
  <c r="V30" i="6"/>
  <c r="W30" i="6"/>
  <c r="X30" i="6"/>
  <c r="Y30" i="6"/>
  <c r="Z30" i="6"/>
  <c r="AA30" i="6"/>
  <c r="AB30" i="6"/>
  <c r="AD30" i="6"/>
  <c r="AE30" i="6"/>
  <c r="AF30" i="6"/>
  <c r="AG30" i="6"/>
  <c r="AH30" i="6"/>
  <c r="AI30" i="6"/>
  <c r="S31" i="6"/>
  <c r="T31" i="6"/>
  <c r="U31" i="6"/>
  <c r="V31" i="6"/>
  <c r="W31" i="6"/>
  <c r="X31" i="6"/>
  <c r="Y31" i="6"/>
  <c r="Z31" i="6"/>
  <c r="AA31" i="6"/>
  <c r="AB31" i="6"/>
  <c r="AD31" i="6"/>
  <c r="AE31" i="6"/>
  <c r="AF31" i="6"/>
  <c r="AG31" i="6"/>
  <c r="AH31" i="6"/>
  <c r="AI31" i="6"/>
  <c r="S32" i="6"/>
  <c r="T32" i="6"/>
  <c r="U32" i="6"/>
  <c r="V32" i="6"/>
  <c r="W32" i="6"/>
  <c r="X32" i="6"/>
  <c r="Y32" i="6"/>
  <c r="Z32" i="6"/>
  <c r="AA32" i="6"/>
  <c r="AB32" i="6"/>
  <c r="AD32" i="6"/>
  <c r="AE32" i="6"/>
  <c r="AF32" i="6"/>
  <c r="AG32" i="6"/>
  <c r="AH32" i="6"/>
  <c r="AI32" i="6"/>
  <c r="S33" i="6"/>
  <c r="T33" i="6"/>
  <c r="U33" i="6"/>
  <c r="V33" i="6"/>
  <c r="W33" i="6"/>
  <c r="X33" i="6"/>
  <c r="Y33" i="6"/>
  <c r="Z33" i="6"/>
  <c r="AA33" i="6"/>
  <c r="AB33" i="6"/>
  <c r="AD33" i="6"/>
  <c r="AE33" i="6"/>
  <c r="AF33" i="6"/>
  <c r="AG33" i="6"/>
  <c r="AH33" i="6"/>
  <c r="AI33" i="6"/>
  <c r="S34" i="6"/>
  <c r="T34" i="6"/>
  <c r="U34" i="6"/>
  <c r="V34" i="6"/>
  <c r="W34" i="6"/>
  <c r="X34" i="6"/>
  <c r="Y34" i="6"/>
  <c r="Z34" i="6"/>
  <c r="AA34" i="6"/>
  <c r="AB34" i="6"/>
  <c r="AD34" i="6"/>
  <c r="AE34" i="6"/>
  <c r="AF34" i="6"/>
  <c r="AG34" i="6"/>
  <c r="AH34" i="6"/>
  <c r="AI34" i="6"/>
  <c r="S35" i="6"/>
  <c r="T35" i="6"/>
  <c r="U35" i="6"/>
  <c r="V35" i="6"/>
  <c r="W35" i="6"/>
  <c r="X35" i="6"/>
  <c r="Y35" i="6"/>
  <c r="Z35" i="6"/>
  <c r="AA35" i="6"/>
  <c r="AB35" i="6"/>
  <c r="AD35" i="6"/>
  <c r="AE35" i="6"/>
  <c r="AF35" i="6"/>
  <c r="AG35" i="6"/>
  <c r="AH35" i="6"/>
  <c r="AI35" i="6"/>
  <c r="S36" i="6"/>
  <c r="T36" i="6"/>
  <c r="U36" i="6"/>
  <c r="V36" i="6"/>
  <c r="W36" i="6"/>
  <c r="X36" i="6"/>
  <c r="Y36" i="6"/>
  <c r="Z36" i="6"/>
  <c r="AA36" i="6"/>
  <c r="AB36" i="6"/>
  <c r="AD36" i="6"/>
  <c r="AE36" i="6"/>
  <c r="AF36" i="6"/>
  <c r="AG36" i="6"/>
  <c r="AH36" i="6"/>
  <c r="AI36" i="6"/>
  <c r="S37" i="6"/>
  <c r="T37" i="6"/>
  <c r="U37" i="6"/>
  <c r="V37" i="6"/>
  <c r="W37" i="6"/>
  <c r="X37" i="6"/>
  <c r="Y37" i="6"/>
  <c r="Z37" i="6"/>
  <c r="AA37" i="6"/>
  <c r="AB37" i="6"/>
  <c r="AD37" i="6"/>
  <c r="AE37" i="6"/>
  <c r="AF37" i="6"/>
  <c r="AG37" i="6"/>
  <c r="AH37" i="6"/>
  <c r="AI37" i="6"/>
  <c r="S38" i="6"/>
  <c r="T38" i="6"/>
  <c r="U38" i="6"/>
  <c r="V38" i="6"/>
  <c r="W38" i="6"/>
  <c r="X38" i="6"/>
  <c r="Y38" i="6"/>
  <c r="Z38" i="6"/>
  <c r="AA38" i="6"/>
  <c r="AB38" i="6"/>
  <c r="AD38" i="6"/>
  <c r="AE38" i="6"/>
  <c r="AF38" i="6"/>
  <c r="AG38" i="6"/>
  <c r="AH38" i="6"/>
  <c r="AI38" i="6"/>
  <c r="S39" i="6"/>
  <c r="T39" i="6"/>
  <c r="U39" i="6"/>
  <c r="V39" i="6"/>
  <c r="W39" i="6"/>
  <c r="X39" i="6"/>
  <c r="Y39" i="6"/>
  <c r="Z39" i="6"/>
  <c r="AA39" i="6"/>
  <c r="AB39" i="6"/>
  <c r="AD39" i="6"/>
  <c r="AE39" i="6"/>
  <c r="AF39" i="6"/>
  <c r="AG39" i="6"/>
  <c r="AH39" i="6"/>
  <c r="AI39" i="6"/>
  <c r="S40" i="6"/>
  <c r="T40" i="6"/>
  <c r="U40" i="6"/>
  <c r="V40" i="6"/>
  <c r="W40" i="6"/>
  <c r="X40" i="6"/>
  <c r="Y40" i="6"/>
  <c r="Z40" i="6"/>
  <c r="AA40" i="6"/>
  <c r="AB40" i="6"/>
  <c r="AD40" i="6"/>
  <c r="AE40" i="6"/>
  <c r="AF40" i="6"/>
  <c r="AG40" i="6"/>
  <c r="AH40" i="6"/>
  <c r="AI40" i="6"/>
  <c r="S41" i="6"/>
  <c r="T41" i="6"/>
  <c r="U41" i="6"/>
  <c r="V41" i="6"/>
  <c r="W41" i="6"/>
  <c r="X41" i="6"/>
  <c r="Y41" i="6"/>
  <c r="Z41" i="6"/>
  <c r="AA41" i="6"/>
  <c r="AB41" i="6"/>
  <c r="AD41" i="6"/>
  <c r="AE41" i="6"/>
  <c r="AF41" i="6"/>
  <c r="AG41" i="6"/>
  <c r="AH41" i="6"/>
  <c r="AI41" i="6"/>
  <c r="S42" i="6"/>
  <c r="T42" i="6"/>
  <c r="U42" i="6"/>
  <c r="V42" i="6"/>
  <c r="W42" i="6"/>
  <c r="X42" i="6"/>
  <c r="Y42" i="6"/>
  <c r="Z42" i="6"/>
  <c r="AA42" i="6"/>
  <c r="AB42" i="6"/>
  <c r="AD42" i="6"/>
  <c r="AE42" i="6"/>
  <c r="AF42" i="6"/>
  <c r="AG42" i="6"/>
  <c r="AH42" i="6"/>
  <c r="AI42" i="6"/>
  <c r="S43" i="6"/>
  <c r="T43" i="6"/>
  <c r="U43" i="6"/>
  <c r="V43" i="6"/>
  <c r="W43" i="6"/>
  <c r="X43" i="6"/>
  <c r="Y43" i="6"/>
  <c r="Z43" i="6"/>
  <c r="AA43" i="6"/>
  <c r="AB43" i="6"/>
  <c r="AD43" i="6"/>
  <c r="AE43" i="6"/>
  <c r="AF43" i="6"/>
  <c r="AG43" i="6"/>
  <c r="AH43" i="6"/>
  <c r="AI43" i="6"/>
  <c r="S44" i="6"/>
  <c r="T44" i="6"/>
  <c r="U44" i="6"/>
  <c r="V44" i="6"/>
  <c r="W44" i="6"/>
  <c r="X44" i="6"/>
  <c r="Y44" i="6"/>
  <c r="Z44" i="6"/>
  <c r="AA44" i="6"/>
  <c r="AB44" i="6"/>
  <c r="AD44" i="6"/>
  <c r="AE44" i="6"/>
  <c r="AF44" i="6"/>
  <c r="AG44" i="6"/>
  <c r="AH44" i="6"/>
  <c r="AI44" i="6"/>
  <c r="S45" i="6"/>
  <c r="T45" i="6"/>
  <c r="U45" i="6"/>
  <c r="V45" i="6"/>
  <c r="W45" i="6"/>
  <c r="X45" i="6"/>
  <c r="Y45" i="6"/>
  <c r="Z45" i="6"/>
  <c r="AA45" i="6"/>
  <c r="AB45" i="6"/>
  <c r="AD45" i="6"/>
  <c r="AE45" i="6"/>
  <c r="AF45" i="6"/>
  <c r="AG45" i="6"/>
  <c r="AH45" i="6"/>
  <c r="AI45" i="6"/>
  <c r="S46" i="6"/>
  <c r="T46" i="6"/>
  <c r="U46" i="6"/>
  <c r="V46" i="6"/>
  <c r="W46" i="6"/>
  <c r="X46" i="6"/>
  <c r="Y46" i="6"/>
  <c r="Z46" i="6"/>
  <c r="AA46" i="6"/>
  <c r="AB46" i="6"/>
  <c r="AD46" i="6"/>
  <c r="AE46" i="6"/>
  <c r="AF46" i="6"/>
  <c r="AG46" i="6"/>
  <c r="AH46" i="6"/>
  <c r="AI46" i="6"/>
  <c r="S47" i="6"/>
  <c r="T47" i="6"/>
  <c r="U47" i="6"/>
  <c r="V47" i="6"/>
  <c r="W47" i="6"/>
  <c r="X47" i="6"/>
  <c r="Y47" i="6"/>
  <c r="Z47" i="6"/>
  <c r="AA47" i="6"/>
  <c r="AB47" i="6"/>
  <c r="AD47" i="6"/>
  <c r="AE47" i="6"/>
  <c r="AF47" i="6"/>
  <c r="AG47" i="6"/>
  <c r="AH47" i="6"/>
  <c r="AI47" i="6"/>
  <c r="S48" i="6"/>
  <c r="T48" i="6"/>
  <c r="U48" i="6"/>
  <c r="V48" i="6"/>
  <c r="W48" i="6"/>
  <c r="X48" i="6"/>
  <c r="Y48" i="6"/>
  <c r="Z48" i="6"/>
  <c r="AA48" i="6"/>
  <c r="AB48" i="6"/>
  <c r="AD48" i="6"/>
  <c r="AE48" i="6"/>
  <c r="AF48" i="6"/>
  <c r="AG48" i="6"/>
  <c r="AH48" i="6"/>
  <c r="AI48" i="6"/>
  <c r="S49" i="6"/>
  <c r="T49" i="6"/>
  <c r="U49" i="6"/>
  <c r="V49" i="6"/>
  <c r="W49" i="6"/>
  <c r="X49" i="6"/>
  <c r="Y49" i="6"/>
  <c r="Z49" i="6"/>
  <c r="AA49" i="6"/>
  <c r="AB49" i="6"/>
  <c r="AD49" i="6"/>
  <c r="AE49" i="6"/>
  <c r="AF49" i="6"/>
  <c r="AG49" i="6"/>
  <c r="AH49" i="6"/>
  <c r="AI49" i="6"/>
  <c r="S50" i="6"/>
  <c r="T50" i="6"/>
  <c r="U50" i="6"/>
  <c r="V50" i="6"/>
  <c r="W50" i="6"/>
  <c r="X50" i="6"/>
  <c r="Y50" i="6"/>
  <c r="Z50" i="6"/>
  <c r="AA50" i="6"/>
  <c r="AB50" i="6"/>
  <c r="AD50" i="6"/>
  <c r="AE50" i="6"/>
  <c r="AF50" i="6"/>
  <c r="AG50" i="6"/>
  <c r="AH50" i="6"/>
  <c r="AI50" i="6"/>
  <c r="S51" i="6"/>
  <c r="T51" i="6"/>
  <c r="U51" i="6"/>
  <c r="V51" i="6"/>
  <c r="W51" i="6"/>
  <c r="X51" i="6"/>
  <c r="Y51" i="6"/>
  <c r="Z51" i="6"/>
  <c r="AA51" i="6"/>
  <c r="AB51" i="6"/>
  <c r="AD51" i="6"/>
  <c r="AE51" i="6"/>
  <c r="AF51" i="6"/>
  <c r="AG51" i="6"/>
  <c r="AH51" i="6"/>
  <c r="AI51" i="6"/>
  <c r="S52" i="6"/>
  <c r="T52" i="6"/>
  <c r="U52" i="6"/>
  <c r="V52" i="6"/>
  <c r="W52" i="6"/>
  <c r="X52" i="6"/>
  <c r="Y52" i="6"/>
  <c r="Z52" i="6"/>
  <c r="AA52" i="6"/>
  <c r="AB52" i="6"/>
  <c r="AD52" i="6"/>
  <c r="AE52" i="6"/>
  <c r="AF52" i="6"/>
  <c r="AG52" i="6"/>
  <c r="AH52" i="6"/>
  <c r="AI52" i="6"/>
  <c r="S53" i="6"/>
  <c r="T53" i="6"/>
  <c r="U53" i="6"/>
  <c r="V53" i="6"/>
  <c r="W53" i="6"/>
  <c r="X53" i="6"/>
  <c r="Y53" i="6"/>
  <c r="Z53" i="6"/>
  <c r="AA53" i="6"/>
  <c r="AB53" i="6"/>
  <c r="AD53" i="6"/>
  <c r="AE53" i="6"/>
  <c r="AF53" i="6"/>
  <c r="AG53" i="6"/>
  <c r="AH53" i="6"/>
  <c r="AI53" i="6"/>
  <c r="S54" i="6"/>
  <c r="T54" i="6"/>
  <c r="U54" i="6"/>
  <c r="V54" i="6"/>
  <c r="W54" i="6"/>
  <c r="X54" i="6"/>
  <c r="Y54" i="6"/>
  <c r="Z54" i="6"/>
  <c r="AA54" i="6"/>
  <c r="AB54" i="6"/>
  <c r="AD54" i="6"/>
  <c r="AE54" i="6"/>
  <c r="AF54" i="6"/>
  <c r="AG54" i="6"/>
  <c r="AH54" i="6"/>
  <c r="AI54" i="6"/>
  <c r="S55" i="6"/>
  <c r="T55" i="6"/>
  <c r="U55" i="6"/>
  <c r="V55" i="6"/>
  <c r="W55" i="6"/>
  <c r="X55" i="6"/>
  <c r="Y55" i="6"/>
  <c r="Z55" i="6"/>
  <c r="AA55" i="6"/>
  <c r="AB55" i="6"/>
  <c r="AD55" i="6"/>
  <c r="AE55" i="6"/>
  <c r="AF55" i="6"/>
  <c r="AG55" i="6"/>
  <c r="AH55" i="6"/>
  <c r="AI55" i="6"/>
  <c r="S56" i="6"/>
  <c r="T56" i="6"/>
  <c r="U56" i="6"/>
  <c r="V56" i="6"/>
  <c r="W56" i="6"/>
  <c r="X56" i="6"/>
  <c r="Y56" i="6"/>
  <c r="Z56" i="6"/>
  <c r="AA56" i="6"/>
  <c r="AB56" i="6"/>
  <c r="AD56" i="6"/>
  <c r="AE56" i="6"/>
  <c r="AF56" i="6"/>
  <c r="AG56" i="6"/>
  <c r="AH56" i="6"/>
  <c r="AI56" i="6"/>
  <c r="S57" i="6"/>
  <c r="T57" i="6"/>
  <c r="U57" i="6"/>
  <c r="V57" i="6"/>
  <c r="W57" i="6"/>
  <c r="X57" i="6"/>
  <c r="Y57" i="6"/>
  <c r="Z57" i="6"/>
  <c r="AA57" i="6"/>
  <c r="AB57" i="6"/>
  <c r="AD57" i="6"/>
  <c r="AE57" i="6"/>
  <c r="AF57" i="6"/>
  <c r="AG57" i="6"/>
  <c r="AH57" i="6"/>
  <c r="AI57" i="6"/>
  <c r="S58" i="6"/>
  <c r="T58" i="6"/>
  <c r="U58" i="6"/>
  <c r="V58" i="6"/>
  <c r="W58" i="6"/>
  <c r="X58" i="6"/>
  <c r="Y58" i="6"/>
  <c r="Z58" i="6"/>
  <c r="AA58" i="6"/>
  <c r="AB58" i="6"/>
  <c r="AD58" i="6"/>
  <c r="AE58" i="6"/>
  <c r="AF58" i="6"/>
  <c r="AG58" i="6"/>
  <c r="AH58" i="6"/>
  <c r="AI58" i="6"/>
  <c r="S59" i="6"/>
  <c r="T59" i="6"/>
  <c r="U59" i="6"/>
  <c r="V59" i="6"/>
  <c r="W59" i="6"/>
  <c r="X59" i="6"/>
  <c r="Y59" i="6"/>
  <c r="Z59" i="6"/>
  <c r="AA59" i="6"/>
  <c r="AB59" i="6"/>
  <c r="AD59" i="6"/>
  <c r="AE59" i="6"/>
  <c r="AF59" i="6"/>
  <c r="AG59" i="6"/>
  <c r="AH59" i="6"/>
  <c r="AI59" i="6"/>
  <c r="S60" i="6"/>
  <c r="T60" i="6"/>
  <c r="U60" i="6"/>
  <c r="V60" i="6"/>
  <c r="W60" i="6"/>
  <c r="X60" i="6"/>
  <c r="Y60" i="6"/>
  <c r="Z60" i="6"/>
  <c r="AA60" i="6"/>
  <c r="AB60" i="6"/>
  <c r="AD60" i="6"/>
  <c r="AE60" i="6"/>
  <c r="AF60" i="6"/>
  <c r="AG60" i="6"/>
  <c r="AH60" i="6"/>
  <c r="AI60" i="6"/>
  <c r="S61" i="6"/>
  <c r="T61" i="6"/>
  <c r="U61" i="6"/>
  <c r="V61" i="6"/>
  <c r="W61" i="6"/>
  <c r="X61" i="6"/>
  <c r="Y61" i="6"/>
  <c r="Z61" i="6"/>
  <c r="AA61" i="6"/>
  <c r="AB61" i="6"/>
  <c r="AD61" i="6"/>
  <c r="AE61" i="6"/>
  <c r="AF61" i="6"/>
  <c r="AG61" i="6"/>
  <c r="AH61" i="6"/>
  <c r="AI61" i="6"/>
  <c r="S62" i="6"/>
  <c r="T62" i="6"/>
  <c r="U62" i="6"/>
  <c r="V62" i="6"/>
  <c r="W62" i="6"/>
  <c r="X62" i="6"/>
  <c r="Y62" i="6"/>
  <c r="Z62" i="6"/>
  <c r="AA62" i="6"/>
  <c r="AB62" i="6"/>
  <c r="AD62" i="6"/>
  <c r="AE62" i="6"/>
  <c r="AF62" i="6"/>
  <c r="AG62" i="6"/>
  <c r="AH62" i="6"/>
  <c r="AI62" i="6"/>
  <c r="S63" i="6"/>
  <c r="T63" i="6"/>
  <c r="U63" i="6"/>
  <c r="V63" i="6"/>
  <c r="W63" i="6"/>
  <c r="X63" i="6"/>
  <c r="Y63" i="6"/>
  <c r="Z63" i="6"/>
  <c r="AA63" i="6"/>
  <c r="AB63" i="6"/>
  <c r="AD63" i="6"/>
  <c r="AE63" i="6"/>
  <c r="AF63" i="6"/>
  <c r="AG63" i="6"/>
  <c r="AH63" i="6"/>
  <c r="AI63" i="6"/>
  <c r="S64" i="6"/>
  <c r="T64" i="6"/>
  <c r="U64" i="6"/>
  <c r="V64" i="6"/>
  <c r="W64" i="6"/>
  <c r="X64" i="6"/>
  <c r="Y64" i="6"/>
  <c r="Z64" i="6"/>
  <c r="AA64" i="6"/>
  <c r="AB64" i="6"/>
  <c r="AD64" i="6"/>
  <c r="AE64" i="6"/>
  <c r="AF64" i="6"/>
  <c r="AG64" i="6"/>
  <c r="AH64" i="6"/>
  <c r="AI64" i="6"/>
  <c r="S65" i="6"/>
  <c r="T65" i="6"/>
  <c r="U65" i="6"/>
  <c r="V65" i="6"/>
  <c r="W65" i="6"/>
  <c r="X65" i="6"/>
  <c r="Y65" i="6"/>
  <c r="Z65" i="6"/>
  <c r="AA65" i="6"/>
  <c r="AB65" i="6"/>
  <c r="AD65" i="6"/>
  <c r="AE65" i="6"/>
  <c r="AF65" i="6"/>
  <c r="AG65" i="6"/>
  <c r="AH65" i="6"/>
  <c r="AI65" i="6"/>
  <c r="S66" i="6"/>
  <c r="T66" i="6"/>
  <c r="U66" i="6"/>
  <c r="V66" i="6"/>
  <c r="W66" i="6"/>
  <c r="X66" i="6"/>
  <c r="Y66" i="6"/>
  <c r="Z66" i="6"/>
  <c r="AA66" i="6"/>
  <c r="AB66" i="6"/>
  <c r="AD66" i="6"/>
  <c r="AE66" i="6"/>
  <c r="AF66" i="6"/>
  <c r="AG66" i="6"/>
  <c r="AH66" i="6"/>
  <c r="AI66" i="6"/>
  <c r="S67" i="6"/>
  <c r="T67" i="6"/>
  <c r="U67" i="6"/>
  <c r="V67" i="6"/>
  <c r="W67" i="6"/>
  <c r="X67" i="6"/>
  <c r="Y67" i="6"/>
  <c r="Z67" i="6"/>
  <c r="AA67" i="6"/>
  <c r="AB67" i="6"/>
  <c r="AD67" i="6"/>
  <c r="AE67" i="6"/>
  <c r="AF67" i="6"/>
  <c r="AG67" i="6"/>
  <c r="AH67" i="6"/>
  <c r="AI67" i="6"/>
  <c r="S68" i="6"/>
  <c r="T68" i="6"/>
  <c r="U68" i="6"/>
  <c r="V68" i="6"/>
  <c r="W68" i="6"/>
  <c r="X68" i="6"/>
  <c r="Y68" i="6"/>
  <c r="Z68" i="6"/>
  <c r="AA68" i="6"/>
  <c r="AB68" i="6"/>
  <c r="AD68" i="6"/>
  <c r="AE68" i="6"/>
  <c r="AF68" i="6"/>
  <c r="AG68" i="6"/>
  <c r="AH68" i="6"/>
  <c r="AI68" i="6"/>
  <c r="S69" i="6"/>
  <c r="T69" i="6"/>
  <c r="U69" i="6"/>
  <c r="V69" i="6"/>
  <c r="W69" i="6"/>
  <c r="X69" i="6"/>
  <c r="Y69" i="6"/>
  <c r="Z69" i="6"/>
  <c r="AA69" i="6"/>
  <c r="AB69" i="6"/>
  <c r="AD69" i="6"/>
  <c r="AE69" i="6"/>
  <c r="AF69" i="6"/>
  <c r="AG69" i="6"/>
  <c r="AH69" i="6"/>
  <c r="AI69" i="6"/>
  <c r="S70" i="6"/>
  <c r="T70" i="6"/>
  <c r="U70" i="6"/>
  <c r="V70" i="6"/>
  <c r="W70" i="6"/>
  <c r="X70" i="6"/>
  <c r="Y70" i="6"/>
  <c r="Z70" i="6"/>
  <c r="AA70" i="6"/>
  <c r="AB70" i="6"/>
  <c r="AD70" i="6"/>
  <c r="AE70" i="6"/>
  <c r="AF70" i="6"/>
  <c r="AG70" i="6"/>
  <c r="AH70" i="6"/>
  <c r="AI70" i="6"/>
  <c r="S71" i="6"/>
  <c r="T71" i="6"/>
  <c r="U71" i="6"/>
  <c r="V71" i="6"/>
  <c r="W71" i="6"/>
  <c r="X71" i="6"/>
  <c r="Y71" i="6"/>
  <c r="Z71" i="6"/>
  <c r="AA71" i="6"/>
  <c r="AB71" i="6"/>
  <c r="AD71" i="6"/>
  <c r="AE71" i="6"/>
  <c r="AF71" i="6"/>
  <c r="AG71" i="6"/>
  <c r="AH71" i="6"/>
  <c r="AI71" i="6"/>
  <c r="S72" i="6"/>
  <c r="T72" i="6"/>
  <c r="U72" i="6"/>
  <c r="V72" i="6"/>
  <c r="W72" i="6"/>
  <c r="X72" i="6"/>
  <c r="Y72" i="6"/>
  <c r="Z72" i="6"/>
  <c r="AA72" i="6"/>
  <c r="AB72" i="6"/>
  <c r="AD72" i="6"/>
  <c r="AE72" i="6"/>
  <c r="AF72" i="6"/>
  <c r="AG72" i="6"/>
  <c r="AH72" i="6"/>
  <c r="AI72" i="6"/>
  <c r="S73" i="6"/>
  <c r="T73" i="6"/>
  <c r="U73" i="6"/>
  <c r="V73" i="6"/>
  <c r="W73" i="6"/>
  <c r="X73" i="6"/>
  <c r="Y73" i="6"/>
  <c r="Z73" i="6"/>
  <c r="AA73" i="6"/>
  <c r="AB73" i="6"/>
  <c r="AD73" i="6"/>
  <c r="AE73" i="6"/>
  <c r="AF73" i="6"/>
  <c r="AG73" i="6"/>
  <c r="AH73" i="6"/>
  <c r="AI73" i="6"/>
  <c r="S74" i="6"/>
  <c r="T74" i="6"/>
  <c r="U74" i="6"/>
  <c r="V74" i="6"/>
  <c r="W74" i="6"/>
  <c r="X74" i="6"/>
  <c r="Y74" i="6"/>
  <c r="Z74" i="6"/>
  <c r="AA74" i="6"/>
  <c r="AB74" i="6"/>
  <c r="AD74" i="6"/>
  <c r="AE74" i="6"/>
  <c r="AF74" i="6"/>
  <c r="AG74" i="6"/>
  <c r="AH74" i="6"/>
  <c r="AI74" i="6"/>
  <c r="S75" i="6"/>
  <c r="T75" i="6"/>
  <c r="U75" i="6"/>
  <c r="V75" i="6"/>
  <c r="W75" i="6"/>
  <c r="X75" i="6"/>
  <c r="Y75" i="6"/>
  <c r="Z75" i="6"/>
  <c r="AA75" i="6"/>
  <c r="AB75" i="6"/>
  <c r="AD75" i="6"/>
  <c r="AE75" i="6"/>
  <c r="AF75" i="6"/>
  <c r="AG75" i="6"/>
  <c r="AH75" i="6"/>
  <c r="AI75" i="6"/>
  <c r="S76" i="6"/>
  <c r="T76" i="6"/>
  <c r="U76" i="6"/>
  <c r="V76" i="6"/>
  <c r="W76" i="6"/>
  <c r="X76" i="6"/>
  <c r="Y76" i="6"/>
  <c r="Z76" i="6"/>
  <c r="AA76" i="6"/>
  <c r="AB76" i="6"/>
  <c r="AD76" i="6"/>
  <c r="AE76" i="6"/>
  <c r="AF76" i="6"/>
  <c r="AG76" i="6"/>
  <c r="AH76" i="6"/>
  <c r="AI76" i="6"/>
  <c r="S77" i="6"/>
  <c r="T77" i="6"/>
  <c r="U77" i="6"/>
  <c r="V77" i="6"/>
  <c r="W77" i="6"/>
  <c r="X77" i="6"/>
  <c r="Y77" i="6"/>
  <c r="Z77" i="6"/>
  <c r="AA77" i="6"/>
  <c r="AB77" i="6"/>
  <c r="AD77" i="6"/>
  <c r="AE77" i="6"/>
  <c r="AF77" i="6"/>
  <c r="AG77" i="6"/>
  <c r="AH77" i="6"/>
  <c r="AI77" i="6"/>
  <c r="S78" i="6"/>
  <c r="T78" i="6"/>
  <c r="U78" i="6"/>
  <c r="V78" i="6"/>
  <c r="W78" i="6"/>
  <c r="X78" i="6"/>
  <c r="Y78" i="6"/>
  <c r="Z78" i="6"/>
  <c r="AA78" i="6"/>
  <c r="AB78" i="6"/>
  <c r="AD78" i="6"/>
  <c r="AE78" i="6"/>
  <c r="AF78" i="6"/>
  <c r="AG78" i="6"/>
  <c r="AH78" i="6"/>
  <c r="AI78" i="6"/>
  <c r="S79" i="6"/>
  <c r="T79" i="6"/>
  <c r="U79" i="6"/>
  <c r="V79" i="6"/>
  <c r="W79" i="6"/>
  <c r="X79" i="6"/>
  <c r="Y79" i="6"/>
  <c r="Z79" i="6"/>
  <c r="AA79" i="6"/>
  <c r="AB79" i="6"/>
  <c r="AD79" i="6"/>
  <c r="AE79" i="6"/>
  <c r="AF79" i="6"/>
  <c r="AG79" i="6"/>
  <c r="AH79" i="6"/>
  <c r="AI79" i="6"/>
  <c r="S80" i="6"/>
  <c r="T80" i="6"/>
  <c r="U80" i="6"/>
  <c r="V80" i="6"/>
  <c r="W80" i="6"/>
  <c r="X80" i="6"/>
  <c r="Y80" i="6"/>
  <c r="Z80" i="6"/>
  <c r="AA80" i="6"/>
  <c r="AB80" i="6"/>
  <c r="AD80" i="6"/>
  <c r="AE80" i="6"/>
  <c r="AF80" i="6"/>
  <c r="AG80" i="6"/>
  <c r="AH80" i="6"/>
  <c r="AI80" i="6"/>
  <c r="S81" i="6"/>
  <c r="T81" i="6"/>
  <c r="U81" i="6"/>
  <c r="V81" i="6"/>
  <c r="W81" i="6"/>
  <c r="X81" i="6"/>
  <c r="Y81" i="6"/>
  <c r="Z81" i="6"/>
  <c r="AA81" i="6"/>
  <c r="AB81" i="6"/>
  <c r="AD81" i="6"/>
  <c r="AE81" i="6"/>
  <c r="AF81" i="6"/>
  <c r="AG81" i="6"/>
  <c r="AH81" i="6"/>
  <c r="AI81" i="6"/>
  <c r="S82" i="6"/>
  <c r="T82" i="6"/>
  <c r="U82" i="6"/>
  <c r="V82" i="6"/>
  <c r="W82" i="6"/>
  <c r="X82" i="6"/>
  <c r="Y82" i="6"/>
  <c r="Z82" i="6"/>
  <c r="AA82" i="6"/>
  <c r="AB82" i="6"/>
  <c r="AD82" i="6"/>
  <c r="AE82" i="6"/>
  <c r="AF82" i="6"/>
  <c r="AG82" i="6"/>
  <c r="AH82" i="6"/>
  <c r="AI82" i="6"/>
  <c r="S83" i="6"/>
  <c r="T83" i="6"/>
  <c r="U83" i="6"/>
  <c r="V83" i="6"/>
  <c r="W83" i="6"/>
  <c r="X83" i="6"/>
  <c r="Y83" i="6"/>
  <c r="Z83" i="6"/>
  <c r="AA83" i="6"/>
  <c r="AB83" i="6"/>
  <c r="AD83" i="6"/>
  <c r="AE83" i="6"/>
  <c r="AF83" i="6"/>
  <c r="AG83" i="6"/>
  <c r="AH83" i="6"/>
  <c r="AI83" i="6"/>
  <c r="S84" i="6"/>
  <c r="T84" i="6"/>
  <c r="U84" i="6"/>
  <c r="V84" i="6"/>
  <c r="W84" i="6"/>
  <c r="X84" i="6"/>
  <c r="Y84" i="6"/>
  <c r="Z84" i="6"/>
  <c r="AA84" i="6"/>
  <c r="AB84" i="6"/>
  <c r="AD84" i="6"/>
  <c r="AE84" i="6"/>
  <c r="AF84" i="6"/>
  <c r="AG84" i="6"/>
  <c r="AH84" i="6"/>
  <c r="AI84" i="6"/>
  <c r="S85" i="6"/>
  <c r="T85" i="6"/>
  <c r="U85" i="6"/>
  <c r="V85" i="6"/>
  <c r="W85" i="6"/>
  <c r="X85" i="6"/>
  <c r="Y85" i="6"/>
  <c r="Z85" i="6"/>
  <c r="AA85" i="6"/>
  <c r="AB85" i="6"/>
  <c r="AD85" i="6"/>
  <c r="AE85" i="6"/>
  <c r="AF85" i="6"/>
  <c r="AG85" i="6"/>
  <c r="AH85" i="6"/>
  <c r="AI85" i="6"/>
  <c r="S86" i="6"/>
  <c r="T86" i="6"/>
  <c r="U86" i="6"/>
  <c r="V86" i="6"/>
  <c r="W86" i="6"/>
  <c r="X86" i="6"/>
  <c r="Y86" i="6"/>
  <c r="Z86" i="6"/>
  <c r="AA86" i="6"/>
  <c r="AB86" i="6"/>
  <c r="AD86" i="6"/>
  <c r="AE86" i="6"/>
  <c r="AF86" i="6"/>
  <c r="AG86" i="6"/>
  <c r="AH86" i="6"/>
  <c r="AI86" i="6"/>
  <c r="S87" i="6"/>
  <c r="T87" i="6"/>
  <c r="U87" i="6"/>
  <c r="V87" i="6"/>
  <c r="W87" i="6"/>
  <c r="X87" i="6"/>
  <c r="Y87" i="6"/>
  <c r="Z87" i="6"/>
  <c r="AA87" i="6"/>
  <c r="AB87" i="6"/>
  <c r="AD87" i="6"/>
  <c r="AE87" i="6"/>
  <c r="AF87" i="6"/>
  <c r="AG87" i="6"/>
  <c r="AH87" i="6"/>
  <c r="AI87" i="6"/>
  <c r="S88" i="6"/>
  <c r="T88" i="6"/>
  <c r="U88" i="6"/>
  <c r="V88" i="6"/>
  <c r="W88" i="6"/>
  <c r="X88" i="6"/>
  <c r="Y88" i="6"/>
  <c r="Z88" i="6"/>
  <c r="AA88" i="6"/>
  <c r="AB88" i="6"/>
  <c r="AD88" i="6"/>
  <c r="AE88" i="6"/>
  <c r="AF88" i="6"/>
  <c r="AG88" i="6"/>
  <c r="AH88" i="6"/>
  <c r="AI88" i="6"/>
  <c r="S89" i="6"/>
  <c r="T89" i="6"/>
  <c r="U89" i="6"/>
  <c r="V89" i="6"/>
  <c r="W89" i="6"/>
  <c r="X89" i="6"/>
  <c r="Y89" i="6"/>
  <c r="Z89" i="6"/>
  <c r="AA89" i="6"/>
  <c r="AB89" i="6"/>
  <c r="AD89" i="6"/>
  <c r="AE89" i="6"/>
  <c r="AF89" i="6"/>
  <c r="AG89" i="6"/>
  <c r="AH89" i="6"/>
  <c r="AI89" i="6"/>
  <c r="S90" i="6"/>
  <c r="T90" i="6"/>
  <c r="U90" i="6"/>
  <c r="V90" i="6"/>
  <c r="W90" i="6"/>
  <c r="X90" i="6"/>
  <c r="Y90" i="6"/>
  <c r="Z90" i="6"/>
  <c r="AA90" i="6"/>
  <c r="AB90" i="6"/>
  <c r="AD90" i="6"/>
  <c r="AE90" i="6"/>
  <c r="AF90" i="6"/>
  <c r="AG90" i="6"/>
  <c r="AH90" i="6"/>
  <c r="AI90" i="6"/>
  <c r="S91" i="6"/>
  <c r="T91" i="6"/>
  <c r="U91" i="6"/>
  <c r="V91" i="6"/>
  <c r="W91" i="6"/>
  <c r="X91" i="6"/>
  <c r="Y91" i="6"/>
  <c r="Z91" i="6"/>
  <c r="AA91" i="6"/>
  <c r="AB91" i="6"/>
  <c r="AD91" i="6"/>
  <c r="AE91" i="6"/>
  <c r="AF91" i="6"/>
  <c r="AG91" i="6"/>
  <c r="AH91" i="6"/>
  <c r="AI91" i="6"/>
  <c r="S92" i="6"/>
  <c r="T92" i="6"/>
  <c r="U92" i="6"/>
  <c r="V92" i="6"/>
  <c r="W92" i="6"/>
  <c r="X92" i="6"/>
  <c r="Y92" i="6"/>
  <c r="Z92" i="6"/>
  <c r="AA92" i="6"/>
  <c r="AB92" i="6"/>
  <c r="AD92" i="6"/>
  <c r="AE92" i="6"/>
  <c r="AF92" i="6"/>
  <c r="AG92" i="6"/>
  <c r="AH92" i="6"/>
  <c r="AI92" i="6"/>
  <c r="S93" i="6"/>
  <c r="T93" i="6"/>
  <c r="U93" i="6"/>
  <c r="V93" i="6"/>
  <c r="W93" i="6"/>
  <c r="X93" i="6"/>
  <c r="Y93" i="6"/>
  <c r="Z93" i="6"/>
  <c r="AA93" i="6"/>
  <c r="AB93" i="6"/>
  <c r="AD93" i="6"/>
  <c r="AE93" i="6"/>
  <c r="AF93" i="6"/>
  <c r="AG93" i="6"/>
  <c r="AH93" i="6"/>
  <c r="AI93" i="6"/>
  <c r="S94" i="6"/>
  <c r="T94" i="6"/>
  <c r="U94" i="6"/>
  <c r="V94" i="6"/>
  <c r="W94" i="6"/>
  <c r="X94" i="6"/>
  <c r="Y94" i="6"/>
  <c r="Z94" i="6"/>
  <c r="AA94" i="6"/>
  <c r="AB94" i="6"/>
  <c r="AD94" i="6"/>
  <c r="AE94" i="6"/>
  <c r="AF94" i="6"/>
  <c r="AG94" i="6"/>
  <c r="AH94" i="6"/>
  <c r="AI94" i="6"/>
  <c r="S95" i="6"/>
  <c r="T95" i="6"/>
  <c r="U95" i="6"/>
  <c r="V95" i="6"/>
  <c r="W95" i="6"/>
  <c r="X95" i="6"/>
  <c r="Y95" i="6"/>
  <c r="Z95" i="6"/>
  <c r="AA95" i="6"/>
  <c r="AB95" i="6"/>
  <c r="AD95" i="6"/>
  <c r="AE95" i="6"/>
  <c r="AF95" i="6"/>
  <c r="AG95" i="6"/>
  <c r="AH95" i="6"/>
  <c r="AI95" i="6"/>
  <c r="S96" i="6"/>
  <c r="T96" i="6"/>
  <c r="U96" i="6"/>
  <c r="V96" i="6"/>
  <c r="W96" i="6"/>
  <c r="X96" i="6"/>
  <c r="Y96" i="6"/>
  <c r="Z96" i="6"/>
  <c r="AA96" i="6"/>
  <c r="AB96" i="6"/>
  <c r="AD96" i="6"/>
  <c r="AE96" i="6"/>
  <c r="AF96" i="6"/>
  <c r="AG96" i="6"/>
  <c r="AH96" i="6"/>
  <c r="AI96" i="6"/>
  <c r="S97" i="6"/>
  <c r="T97" i="6"/>
  <c r="U97" i="6"/>
  <c r="V97" i="6"/>
  <c r="W97" i="6"/>
  <c r="X97" i="6"/>
  <c r="Y97" i="6"/>
  <c r="Z97" i="6"/>
  <c r="AA97" i="6"/>
  <c r="AB97" i="6"/>
  <c r="AD97" i="6"/>
  <c r="AE97" i="6"/>
  <c r="AF97" i="6"/>
  <c r="AG97" i="6"/>
  <c r="AH97" i="6"/>
  <c r="AI97" i="6"/>
  <c r="S98" i="6"/>
  <c r="T98" i="6"/>
  <c r="U98" i="6"/>
  <c r="V98" i="6"/>
  <c r="W98" i="6"/>
  <c r="X98" i="6"/>
  <c r="Y98" i="6"/>
  <c r="Z98" i="6"/>
  <c r="AA98" i="6"/>
  <c r="AB98" i="6"/>
  <c r="AD98" i="6"/>
  <c r="AE98" i="6"/>
  <c r="AF98" i="6"/>
  <c r="AG98" i="6"/>
  <c r="AH98" i="6"/>
  <c r="AI98" i="6"/>
  <c r="S99" i="6"/>
  <c r="T99" i="6"/>
  <c r="U99" i="6"/>
  <c r="V99" i="6"/>
  <c r="W99" i="6"/>
  <c r="X99" i="6"/>
  <c r="Y99" i="6"/>
  <c r="Z99" i="6"/>
  <c r="AA99" i="6"/>
  <c r="AB99" i="6"/>
  <c r="AD99" i="6"/>
  <c r="AE99" i="6"/>
  <c r="AF99" i="6"/>
  <c r="AG99" i="6"/>
  <c r="AH99" i="6"/>
  <c r="AI99" i="6"/>
  <c r="S100" i="6"/>
  <c r="T100" i="6"/>
  <c r="U100" i="6"/>
  <c r="V100" i="6"/>
  <c r="W100" i="6"/>
  <c r="X100" i="6"/>
  <c r="Y100" i="6"/>
  <c r="Z100" i="6"/>
  <c r="AA100" i="6"/>
  <c r="AB100" i="6"/>
  <c r="AD100" i="6"/>
  <c r="AE100" i="6"/>
  <c r="AF100" i="6"/>
  <c r="AG100" i="6"/>
  <c r="AH100" i="6"/>
  <c r="AI100" i="6"/>
  <c r="S101" i="6"/>
  <c r="T101" i="6"/>
  <c r="U101" i="6"/>
  <c r="V101" i="6"/>
  <c r="W101" i="6"/>
  <c r="X101" i="6"/>
  <c r="Y101" i="6"/>
  <c r="Z101" i="6"/>
  <c r="AA101" i="6"/>
  <c r="AB101" i="6"/>
  <c r="AD101" i="6"/>
  <c r="AE101" i="6"/>
  <c r="AF101" i="6"/>
  <c r="AG101" i="6"/>
  <c r="AH101" i="6"/>
  <c r="AI101" i="6"/>
  <c r="S102" i="6"/>
  <c r="T102" i="6"/>
  <c r="U102" i="6"/>
  <c r="V102" i="6"/>
  <c r="W102" i="6"/>
  <c r="X102" i="6"/>
  <c r="Y102" i="6"/>
  <c r="Z102" i="6"/>
  <c r="AA102" i="6"/>
  <c r="AB102" i="6"/>
  <c r="AD102" i="6"/>
  <c r="AE102" i="6"/>
  <c r="AF102" i="6"/>
  <c r="AG102" i="6"/>
  <c r="AH102" i="6"/>
  <c r="AI102" i="6"/>
  <c r="S103" i="6"/>
  <c r="T103" i="6"/>
  <c r="U103" i="6"/>
  <c r="V103" i="6"/>
  <c r="W103" i="6"/>
  <c r="X103" i="6"/>
  <c r="Y103" i="6"/>
  <c r="Z103" i="6"/>
  <c r="AA103" i="6"/>
  <c r="AB103" i="6"/>
  <c r="AD103" i="6"/>
  <c r="AE103" i="6"/>
  <c r="AF103" i="6"/>
  <c r="AG103" i="6"/>
  <c r="AH103" i="6"/>
  <c r="AI103" i="6"/>
  <c r="S104" i="6"/>
  <c r="T104" i="6"/>
  <c r="U104" i="6"/>
  <c r="V104" i="6"/>
  <c r="W104" i="6"/>
  <c r="X104" i="6"/>
  <c r="Y104" i="6"/>
  <c r="Z104" i="6"/>
  <c r="AA104" i="6"/>
  <c r="AB104" i="6"/>
  <c r="AD104" i="6"/>
  <c r="AE104" i="6"/>
  <c r="AF104" i="6"/>
  <c r="AG104" i="6"/>
  <c r="AH104" i="6"/>
  <c r="AI104" i="6"/>
  <c r="S105" i="6"/>
  <c r="T105" i="6"/>
  <c r="U105" i="6"/>
  <c r="V105" i="6"/>
  <c r="W105" i="6"/>
  <c r="X105" i="6"/>
  <c r="Y105" i="6"/>
  <c r="Z105" i="6"/>
  <c r="AA105" i="6"/>
  <c r="AB105" i="6"/>
  <c r="AD105" i="6"/>
  <c r="AE105" i="6"/>
  <c r="AF105" i="6"/>
  <c r="AG105" i="6"/>
  <c r="AH105" i="6"/>
  <c r="AI105" i="6"/>
  <c r="S106" i="6"/>
  <c r="T106" i="6"/>
  <c r="U106" i="6"/>
  <c r="V106" i="6"/>
  <c r="W106" i="6"/>
  <c r="X106" i="6"/>
  <c r="Y106" i="6"/>
  <c r="Z106" i="6"/>
  <c r="AA106" i="6"/>
  <c r="AB106" i="6"/>
  <c r="AD106" i="6"/>
  <c r="AE106" i="6"/>
  <c r="AF106" i="6"/>
  <c r="AG106" i="6"/>
  <c r="AH106" i="6"/>
  <c r="AI106" i="6"/>
  <c r="S107" i="6"/>
  <c r="T107" i="6"/>
  <c r="U107" i="6"/>
  <c r="V107" i="6"/>
  <c r="W107" i="6"/>
  <c r="X107" i="6"/>
  <c r="Y107" i="6"/>
  <c r="Z107" i="6"/>
  <c r="AA107" i="6"/>
  <c r="AB107" i="6"/>
  <c r="AD107" i="6"/>
  <c r="AE107" i="6"/>
  <c r="AF107" i="6"/>
  <c r="AG107" i="6"/>
  <c r="AH107" i="6"/>
  <c r="AI107" i="6"/>
  <c r="S108" i="6"/>
  <c r="T108" i="6"/>
  <c r="U108" i="6"/>
  <c r="V108" i="6"/>
  <c r="W108" i="6"/>
  <c r="X108" i="6"/>
  <c r="Y108" i="6"/>
  <c r="Z108" i="6"/>
  <c r="AA108" i="6"/>
  <c r="AB108" i="6"/>
  <c r="AD108" i="6"/>
  <c r="AE108" i="6"/>
  <c r="AF108" i="6"/>
  <c r="AG108" i="6"/>
  <c r="AH108" i="6"/>
  <c r="AI108" i="6"/>
  <c r="S109" i="6"/>
  <c r="T109" i="6"/>
  <c r="U109" i="6"/>
  <c r="V109" i="6"/>
  <c r="W109" i="6"/>
  <c r="X109" i="6"/>
  <c r="Y109" i="6"/>
  <c r="Z109" i="6"/>
  <c r="AA109" i="6"/>
  <c r="AB109" i="6"/>
  <c r="AD109" i="6"/>
  <c r="AE109" i="6"/>
  <c r="AF109" i="6"/>
  <c r="AG109" i="6"/>
  <c r="AH109" i="6"/>
  <c r="AI109" i="6"/>
  <c r="S110" i="6"/>
  <c r="T110" i="6"/>
  <c r="U110" i="6"/>
  <c r="V110" i="6"/>
  <c r="W110" i="6"/>
  <c r="X110" i="6"/>
  <c r="Y110" i="6"/>
  <c r="Z110" i="6"/>
  <c r="AA110" i="6"/>
  <c r="AB110" i="6"/>
  <c r="AD110" i="6"/>
  <c r="AE110" i="6"/>
  <c r="AF110" i="6"/>
  <c r="AG110" i="6"/>
  <c r="AH110" i="6"/>
  <c r="AI110" i="6"/>
  <c r="S111" i="6"/>
  <c r="T111" i="6"/>
  <c r="U111" i="6"/>
  <c r="V111" i="6"/>
  <c r="W111" i="6"/>
  <c r="X111" i="6"/>
  <c r="Y111" i="6"/>
  <c r="Z111" i="6"/>
  <c r="AA111" i="6"/>
  <c r="AB111" i="6"/>
  <c r="AD111" i="6"/>
  <c r="AE111" i="6"/>
  <c r="AF111" i="6"/>
  <c r="AG111" i="6"/>
  <c r="AH111" i="6"/>
  <c r="AI111" i="6"/>
  <c r="S112" i="6"/>
  <c r="T112" i="6"/>
  <c r="U112" i="6"/>
  <c r="V112" i="6"/>
  <c r="W112" i="6"/>
  <c r="X112" i="6"/>
  <c r="Y112" i="6"/>
  <c r="Z112" i="6"/>
  <c r="AA112" i="6"/>
  <c r="AB112" i="6"/>
  <c r="AD112" i="6"/>
  <c r="AE112" i="6"/>
  <c r="AF112" i="6"/>
  <c r="AG112" i="6"/>
  <c r="AH112" i="6"/>
  <c r="AI112" i="6"/>
  <c r="S113" i="6"/>
  <c r="T113" i="6"/>
  <c r="U113" i="6"/>
  <c r="V113" i="6"/>
  <c r="W113" i="6"/>
  <c r="X113" i="6"/>
  <c r="Y113" i="6"/>
  <c r="Z113" i="6"/>
  <c r="AA113" i="6"/>
  <c r="AB113" i="6"/>
  <c r="AD113" i="6"/>
  <c r="AE113" i="6"/>
  <c r="AF113" i="6"/>
  <c r="AG113" i="6"/>
  <c r="AH113" i="6"/>
  <c r="AI113" i="6"/>
  <c r="S114" i="6"/>
  <c r="T114" i="6"/>
  <c r="U114" i="6"/>
  <c r="V114" i="6"/>
  <c r="W114" i="6"/>
  <c r="X114" i="6"/>
  <c r="Y114" i="6"/>
  <c r="Z114" i="6"/>
  <c r="AA114" i="6"/>
  <c r="AB114" i="6"/>
  <c r="AD114" i="6"/>
  <c r="AE114" i="6"/>
  <c r="AF114" i="6"/>
  <c r="AG114" i="6"/>
  <c r="AH114" i="6"/>
  <c r="AI114" i="6"/>
  <c r="S115" i="6"/>
  <c r="T115" i="6"/>
  <c r="U115" i="6"/>
  <c r="V115" i="6"/>
  <c r="W115" i="6"/>
  <c r="X115" i="6"/>
  <c r="Y115" i="6"/>
  <c r="Z115" i="6"/>
  <c r="AA115" i="6"/>
  <c r="AB115" i="6"/>
  <c r="AD115" i="6"/>
  <c r="AE115" i="6"/>
  <c r="AF115" i="6"/>
  <c r="AG115" i="6"/>
  <c r="AH115" i="6"/>
  <c r="AI115" i="6"/>
  <c r="S116" i="6"/>
  <c r="T116" i="6"/>
  <c r="U116" i="6"/>
  <c r="V116" i="6"/>
  <c r="W116" i="6"/>
  <c r="X116" i="6"/>
  <c r="Y116" i="6"/>
  <c r="Z116" i="6"/>
  <c r="AA116" i="6"/>
  <c r="AB116" i="6"/>
  <c r="AD116" i="6"/>
  <c r="AE116" i="6"/>
  <c r="AF116" i="6"/>
  <c r="AG116" i="6"/>
  <c r="AH116" i="6"/>
  <c r="AI116" i="6"/>
  <c r="S117" i="6"/>
  <c r="T117" i="6"/>
  <c r="U117" i="6"/>
  <c r="V117" i="6"/>
  <c r="W117" i="6"/>
  <c r="X117" i="6"/>
  <c r="Y117" i="6"/>
  <c r="Z117" i="6"/>
  <c r="AA117" i="6"/>
  <c r="AB117" i="6"/>
  <c r="AD117" i="6"/>
  <c r="AE117" i="6"/>
  <c r="AF117" i="6"/>
  <c r="AG117" i="6"/>
  <c r="AH117" i="6"/>
  <c r="AI117" i="6"/>
  <c r="S118" i="6"/>
  <c r="T118" i="6"/>
  <c r="U118" i="6"/>
  <c r="V118" i="6"/>
  <c r="W118" i="6"/>
  <c r="X118" i="6"/>
  <c r="Y118" i="6"/>
  <c r="Z118" i="6"/>
  <c r="AA118" i="6"/>
  <c r="AB118" i="6"/>
  <c r="AD118" i="6"/>
  <c r="AE118" i="6"/>
  <c r="AF118" i="6"/>
  <c r="AG118" i="6"/>
  <c r="AH118" i="6"/>
  <c r="AI118" i="6"/>
  <c r="S119" i="6"/>
  <c r="T119" i="6"/>
  <c r="U119" i="6"/>
  <c r="V119" i="6"/>
  <c r="W119" i="6"/>
  <c r="X119" i="6"/>
  <c r="Y119" i="6"/>
  <c r="Z119" i="6"/>
  <c r="AA119" i="6"/>
  <c r="AB119" i="6"/>
  <c r="AD119" i="6"/>
  <c r="AE119" i="6"/>
  <c r="AF119" i="6"/>
  <c r="AG119" i="6"/>
  <c r="AH119" i="6"/>
  <c r="AI119" i="6"/>
  <c r="S120" i="6"/>
  <c r="T120" i="6"/>
  <c r="U120" i="6"/>
  <c r="V120" i="6"/>
  <c r="W120" i="6"/>
  <c r="X120" i="6"/>
  <c r="Y120" i="6"/>
  <c r="Z120" i="6"/>
  <c r="AA120" i="6"/>
  <c r="AB120" i="6"/>
  <c r="AD120" i="6"/>
  <c r="AE120" i="6"/>
  <c r="AF120" i="6"/>
  <c r="AG120" i="6"/>
  <c r="AH120" i="6"/>
  <c r="AI120" i="6"/>
  <c r="S121" i="6"/>
  <c r="T121" i="6"/>
  <c r="U121" i="6"/>
  <c r="V121" i="6"/>
  <c r="W121" i="6"/>
  <c r="X121" i="6"/>
  <c r="Y121" i="6"/>
  <c r="Z121" i="6"/>
  <c r="AA121" i="6"/>
  <c r="AB121" i="6"/>
  <c r="AD121" i="6"/>
  <c r="AE121" i="6"/>
  <c r="AF121" i="6"/>
  <c r="AG121" i="6"/>
  <c r="AH121" i="6"/>
  <c r="AI121" i="6"/>
  <c r="S122" i="6"/>
  <c r="T122" i="6"/>
  <c r="U122" i="6"/>
  <c r="V122" i="6"/>
  <c r="W122" i="6"/>
  <c r="X122" i="6"/>
  <c r="Y122" i="6"/>
  <c r="Z122" i="6"/>
  <c r="AA122" i="6"/>
  <c r="AB122" i="6"/>
  <c r="AD122" i="6"/>
  <c r="AE122" i="6"/>
  <c r="AF122" i="6"/>
  <c r="AG122" i="6"/>
  <c r="AH122" i="6"/>
  <c r="AI122" i="6"/>
  <c r="S123" i="6"/>
  <c r="T123" i="6"/>
  <c r="U123" i="6"/>
  <c r="V123" i="6"/>
  <c r="W123" i="6"/>
  <c r="X123" i="6"/>
  <c r="Y123" i="6"/>
  <c r="Z123" i="6"/>
  <c r="AA123" i="6"/>
  <c r="AB123" i="6"/>
  <c r="AD123" i="6"/>
  <c r="AE123" i="6"/>
  <c r="AF123" i="6"/>
  <c r="AG123" i="6"/>
  <c r="AH123" i="6"/>
  <c r="AI123" i="6"/>
  <c r="S124" i="6"/>
  <c r="T124" i="6"/>
  <c r="U124" i="6"/>
  <c r="V124" i="6"/>
  <c r="W124" i="6"/>
  <c r="X124" i="6"/>
  <c r="Y124" i="6"/>
  <c r="Z124" i="6"/>
  <c r="AA124" i="6"/>
  <c r="AB124" i="6"/>
  <c r="AD124" i="6"/>
  <c r="AE124" i="6"/>
  <c r="AF124" i="6"/>
  <c r="AG124" i="6"/>
  <c r="AH124" i="6"/>
  <c r="AI124" i="6"/>
  <c r="S125" i="6"/>
  <c r="T125" i="6"/>
  <c r="U125" i="6"/>
  <c r="V125" i="6"/>
  <c r="W125" i="6"/>
  <c r="X125" i="6"/>
  <c r="Y125" i="6"/>
  <c r="Z125" i="6"/>
  <c r="AA125" i="6"/>
  <c r="AB125" i="6"/>
  <c r="AD125" i="6"/>
  <c r="AE125" i="6"/>
  <c r="AF125" i="6"/>
  <c r="AG125" i="6"/>
  <c r="AH125" i="6"/>
  <c r="AI125" i="6"/>
  <c r="S126" i="6"/>
  <c r="T126" i="6"/>
  <c r="U126" i="6"/>
  <c r="V126" i="6"/>
  <c r="W126" i="6"/>
  <c r="X126" i="6"/>
  <c r="Y126" i="6"/>
  <c r="Z126" i="6"/>
  <c r="AA126" i="6"/>
  <c r="AB126" i="6"/>
  <c r="AD126" i="6"/>
  <c r="AE126" i="6"/>
  <c r="AF126" i="6"/>
  <c r="AG126" i="6"/>
  <c r="AH126" i="6"/>
  <c r="AI126" i="6"/>
  <c r="S127" i="6"/>
  <c r="T127" i="6"/>
  <c r="U127" i="6"/>
  <c r="V127" i="6"/>
  <c r="W127" i="6"/>
  <c r="X127" i="6"/>
  <c r="Y127" i="6"/>
  <c r="Z127" i="6"/>
  <c r="AA127" i="6"/>
  <c r="AB127" i="6"/>
  <c r="AD127" i="6"/>
  <c r="AE127" i="6"/>
  <c r="AF127" i="6"/>
  <c r="AG127" i="6"/>
  <c r="AH127" i="6"/>
  <c r="AI127" i="6"/>
  <c r="S128" i="6"/>
  <c r="T128" i="6"/>
  <c r="U128" i="6"/>
  <c r="V128" i="6"/>
  <c r="W128" i="6"/>
  <c r="X128" i="6"/>
  <c r="Y128" i="6"/>
  <c r="Z128" i="6"/>
  <c r="AA128" i="6"/>
  <c r="AB128" i="6"/>
  <c r="AD128" i="6"/>
  <c r="AE128" i="6"/>
  <c r="AF128" i="6"/>
  <c r="AG128" i="6"/>
  <c r="AH128" i="6"/>
  <c r="AI128" i="6"/>
  <c r="S129" i="6"/>
  <c r="T129" i="6"/>
  <c r="U129" i="6"/>
  <c r="V129" i="6"/>
  <c r="W129" i="6"/>
  <c r="X129" i="6"/>
  <c r="Y129" i="6"/>
  <c r="Z129" i="6"/>
  <c r="AA129" i="6"/>
  <c r="AB129" i="6"/>
  <c r="AD129" i="6"/>
  <c r="AE129" i="6"/>
  <c r="AF129" i="6"/>
  <c r="AG129" i="6"/>
  <c r="AH129" i="6"/>
  <c r="AI129" i="6"/>
  <c r="S130" i="6"/>
  <c r="T130" i="6"/>
  <c r="U130" i="6"/>
  <c r="V130" i="6"/>
  <c r="W130" i="6"/>
  <c r="X130" i="6"/>
  <c r="Y130" i="6"/>
  <c r="Z130" i="6"/>
  <c r="AA130" i="6"/>
  <c r="AB130" i="6"/>
  <c r="AD130" i="6"/>
  <c r="AE130" i="6"/>
  <c r="AF130" i="6"/>
  <c r="AG130" i="6"/>
  <c r="AH130" i="6"/>
  <c r="AI130" i="6"/>
  <c r="S131" i="6"/>
  <c r="T131" i="6"/>
  <c r="U131" i="6"/>
  <c r="V131" i="6"/>
  <c r="W131" i="6"/>
  <c r="X131" i="6"/>
  <c r="Y131" i="6"/>
  <c r="Z131" i="6"/>
  <c r="AA131" i="6"/>
  <c r="AB131" i="6"/>
  <c r="AD131" i="6"/>
  <c r="AE131" i="6"/>
  <c r="AF131" i="6"/>
  <c r="AG131" i="6"/>
  <c r="AH131" i="6"/>
  <c r="AI131" i="6"/>
  <c r="S132" i="6"/>
  <c r="T132" i="6"/>
  <c r="U132" i="6"/>
  <c r="V132" i="6"/>
  <c r="W132" i="6"/>
  <c r="X132" i="6"/>
  <c r="Y132" i="6"/>
  <c r="Z132" i="6"/>
  <c r="AA132" i="6"/>
  <c r="AB132" i="6"/>
  <c r="AD132" i="6"/>
  <c r="AE132" i="6"/>
  <c r="AF132" i="6"/>
  <c r="AG132" i="6"/>
  <c r="AH132" i="6"/>
  <c r="AI132" i="6"/>
  <c r="S133" i="6"/>
  <c r="T133" i="6"/>
  <c r="U133" i="6"/>
  <c r="V133" i="6"/>
  <c r="W133" i="6"/>
  <c r="X133" i="6"/>
  <c r="Y133" i="6"/>
  <c r="Z133" i="6"/>
  <c r="AA133" i="6"/>
  <c r="AB133" i="6"/>
  <c r="AD133" i="6"/>
  <c r="AE133" i="6"/>
  <c r="AF133" i="6"/>
  <c r="AG133" i="6"/>
  <c r="AH133" i="6"/>
  <c r="AI133" i="6"/>
  <c r="S134" i="6"/>
  <c r="T134" i="6"/>
  <c r="U134" i="6"/>
  <c r="V134" i="6"/>
  <c r="W134" i="6"/>
  <c r="X134" i="6"/>
  <c r="Y134" i="6"/>
  <c r="Z134" i="6"/>
  <c r="AA134" i="6"/>
  <c r="AB134" i="6"/>
  <c r="AD134" i="6"/>
  <c r="AE134" i="6"/>
  <c r="AF134" i="6"/>
  <c r="AG134" i="6"/>
  <c r="AH134" i="6"/>
  <c r="AI134" i="6"/>
  <c r="S135" i="6"/>
  <c r="T135" i="6"/>
  <c r="U135" i="6"/>
  <c r="V135" i="6"/>
  <c r="W135" i="6"/>
  <c r="X135" i="6"/>
  <c r="Y135" i="6"/>
  <c r="Z135" i="6"/>
  <c r="AA135" i="6"/>
  <c r="AB135" i="6"/>
  <c r="AD135" i="6"/>
  <c r="AE135" i="6"/>
  <c r="AF135" i="6"/>
  <c r="AG135" i="6"/>
  <c r="AH135" i="6"/>
  <c r="AI135" i="6"/>
  <c r="S136" i="6"/>
  <c r="T136" i="6"/>
  <c r="U136" i="6"/>
  <c r="V136" i="6"/>
  <c r="W136" i="6"/>
  <c r="X136" i="6"/>
  <c r="Y136" i="6"/>
  <c r="Z136" i="6"/>
  <c r="AA136" i="6"/>
  <c r="AB136" i="6"/>
  <c r="AD136" i="6"/>
  <c r="AE136" i="6"/>
  <c r="AF136" i="6"/>
  <c r="AG136" i="6"/>
  <c r="AH136" i="6"/>
  <c r="AI136" i="6"/>
  <c r="S137" i="6"/>
  <c r="T137" i="6"/>
  <c r="U137" i="6"/>
  <c r="V137" i="6"/>
  <c r="W137" i="6"/>
  <c r="X137" i="6"/>
  <c r="Y137" i="6"/>
  <c r="Z137" i="6"/>
  <c r="AA137" i="6"/>
  <c r="AB137" i="6"/>
  <c r="AD137" i="6"/>
  <c r="AE137" i="6"/>
  <c r="AF137" i="6"/>
  <c r="AG137" i="6"/>
  <c r="AH137" i="6"/>
  <c r="AI137" i="6"/>
  <c r="S138" i="6"/>
  <c r="T138" i="6"/>
  <c r="U138" i="6"/>
  <c r="V138" i="6"/>
  <c r="W138" i="6"/>
  <c r="X138" i="6"/>
  <c r="Y138" i="6"/>
  <c r="Z138" i="6"/>
  <c r="AA138" i="6"/>
  <c r="AB138" i="6"/>
  <c r="AD138" i="6"/>
  <c r="AE138" i="6"/>
  <c r="AF138" i="6"/>
  <c r="AG138" i="6"/>
  <c r="AH138" i="6"/>
  <c r="AI138" i="6"/>
  <c r="S139" i="6"/>
  <c r="T139" i="6"/>
  <c r="U139" i="6"/>
  <c r="V139" i="6"/>
  <c r="W139" i="6"/>
  <c r="X139" i="6"/>
  <c r="Y139" i="6"/>
  <c r="Z139" i="6"/>
  <c r="AA139" i="6"/>
  <c r="AB139" i="6"/>
  <c r="AD139" i="6"/>
  <c r="AE139" i="6"/>
  <c r="AF139" i="6"/>
  <c r="AG139" i="6"/>
  <c r="AH139" i="6"/>
  <c r="AI139" i="6"/>
  <c r="S140" i="6"/>
  <c r="T140" i="6"/>
  <c r="U140" i="6"/>
  <c r="V140" i="6"/>
  <c r="W140" i="6"/>
  <c r="X140" i="6"/>
  <c r="Y140" i="6"/>
  <c r="Z140" i="6"/>
  <c r="AA140" i="6"/>
  <c r="AB140" i="6"/>
  <c r="AD140" i="6"/>
  <c r="AE140" i="6"/>
  <c r="AF140" i="6"/>
  <c r="AG140" i="6"/>
  <c r="AH140" i="6"/>
  <c r="AI140" i="6"/>
  <c r="S141" i="6"/>
  <c r="T141" i="6"/>
  <c r="U141" i="6"/>
  <c r="V141" i="6"/>
  <c r="W141" i="6"/>
  <c r="X141" i="6"/>
  <c r="Y141" i="6"/>
  <c r="Z141" i="6"/>
  <c r="AA141" i="6"/>
  <c r="AB141" i="6"/>
  <c r="AD141" i="6"/>
  <c r="AE141" i="6"/>
  <c r="AF141" i="6"/>
  <c r="AG141" i="6"/>
  <c r="AH141" i="6"/>
  <c r="AI141" i="6"/>
  <c r="S142" i="6"/>
  <c r="T142" i="6"/>
  <c r="U142" i="6"/>
  <c r="V142" i="6"/>
  <c r="W142" i="6"/>
  <c r="X142" i="6"/>
  <c r="Y142" i="6"/>
  <c r="Z142" i="6"/>
  <c r="AA142" i="6"/>
  <c r="AB142" i="6"/>
  <c r="AD142" i="6"/>
  <c r="AE142" i="6"/>
  <c r="AF142" i="6"/>
  <c r="AG142" i="6"/>
  <c r="AH142" i="6"/>
  <c r="AI142" i="6"/>
  <c r="S143" i="6"/>
  <c r="T143" i="6"/>
  <c r="U143" i="6"/>
  <c r="V143" i="6"/>
  <c r="W143" i="6"/>
  <c r="X143" i="6"/>
  <c r="Y143" i="6"/>
  <c r="Z143" i="6"/>
  <c r="AA143" i="6"/>
  <c r="AB143" i="6"/>
  <c r="AD143" i="6"/>
  <c r="AE143" i="6"/>
  <c r="AF143" i="6"/>
  <c r="AG143" i="6"/>
  <c r="AH143" i="6"/>
  <c r="AI143" i="6"/>
  <c r="S144" i="6"/>
  <c r="T144" i="6"/>
  <c r="U144" i="6"/>
  <c r="V144" i="6"/>
  <c r="W144" i="6"/>
  <c r="X144" i="6"/>
  <c r="Y144" i="6"/>
  <c r="Z144" i="6"/>
  <c r="AA144" i="6"/>
  <c r="AB144" i="6"/>
  <c r="AD144" i="6"/>
  <c r="AE144" i="6"/>
  <c r="AF144" i="6"/>
  <c r="AG144" i="6"/>
  <c r="AH144" i="6"/>
  <c r="AI144" i="6"/>
  <c r="S145" i="6"/>
  <c r="T145" i="6"/>
  <c r="U145" i="6"/>
  <c r="V145" i="6"/>
  <c r="W145" i="6"/>
  <c r="X145" i="6"/>
  <c r="Y145" i="6"/>
  <c r="Z145" i="6"/>
  <c r="AA145" i="6"/>
  <c r="AB145" i="6"/>
  <c r="AD145" i="6"/>
  <c r="AE145" i="6"/>
  <c r="AF145" i="6"/>
  <c r="AG145" i="6"/>
  <c r="AH145" i="6"/>
  <c r="AI145" i="6"/>
  <c r="S146" i="6"/>
  <c r="T146" i="6"/>
  <c r="U146" i="6"/>
  <c r="V146" i="6"/>
  <c r="W146" i="6"/>
  <c r="X146" i="6"/>
  <c r="Y146" i="6"/>
  <c r="Z146" i="6"/>
  <c r="AA146" i="6"/>
  <c r="AB146" i="6"/>
  <c r="AD146" i="6"/>
  <c r="AE146" i="6"/>
  <c r="AF146" i="6"/>
  <c r="AG146" i="6"/>
  <c r="AH146" i="6"/>
  <c r="AI146" i="6"/>
  <c r="S147" i="6"/>
  <c r="T147" i="6"/>
  <c r="U147" i="6"/>
  <c r="V147" i="6"/>
  <c r="W147" i="6"/>
  <c r="X147" i="6"/>
  <c r="Y147" i="6"/>
  <c r="Z147" i="6"/>
  <c r="AA147" i="6"/>
  <c r="AB147" i="6"/>
  <c r="AD147" i="6"/>
  <c r="AE147" i="6"/>
  <c r="AF147" i="6"/>
  <c r="AG147" i="6"/>
  <c r="AH147" i="6"/>
  <c r="AI147" i="6"/>
  <c r="S148" i="6"/>
  <c r="T148" i="6"/>
  <c r="U148" i="6"/>
  <c r="V148" i="6"/>
  <c r="W148" i="6"/>
  <c r="X148" i="6"/>
  <c r="Y148" i="6"/>
  <c r="Z148" i="6"/>
  <c r="AA148" i="6"/>
  <c r="AB148" i="6"/>
  <c r="AD148" i="6"/>
  <c r="AE148" i="6"/>
  <c r="AF148" i="6"/>
  <c r="AG148" i="6"/>
  <c r="AH148" i="6"/>
  <c r="AI148" i="6"/>
  <c r="S149" i="6"/>
  <c r="T149" i="6"/>
  <c r="U149" i="6"/>
  <c r="V149" i="6"/>
  <c r="W149" i="6"/>
  <c r="X149" i="6"/>
  <c r="Y149" i="6"/>
  <c r="Z149" i="6"/>
  <c r="AA149" i="6"/>
  <c r="AB149" i="6"/>
  <c r="AD149" i="6"/>
  <c r="AE149" i="6"/>
  <c r="AF149" i="6"/>
  <c r="AG149" i="6"/>
  <c r="AH149" i="6"/>
  <c r="AI149" i="6"/>
  <c r="S150" i="6"/>
  <c r="T150" i="6"/>
  <c r="U150" i="6"/>
  <c r="V150" i="6"/>
  <c r="W150" i="6"/>
  <c r="X150" i="6"/>
  <c r="Y150" i="6"/>
  <c r="Z150" i="6"/>
  <c r="AA150" i="6"/>
  <c r="AB150" i="6"/>
  <c r="AD150" i="6"/>
  <c r="AE150" i="6"/>
  <c r="AF150" i="6"/>
  <c r="AG150" i="6"/>
  <c r="AH150" i="6"/>
  <c r="AI150" i="6"/>
  <c r="S151" i="6"/>
  <c r="T151" i="6"/>
  <c r="U151" i="6"/>
  <c r="V151" i="6"/>
  <c r="W151" i="6"/>
  <c r="X151" i="6"/>
  <c r="Y151" i="6"/>
  <c r="Z151" i="6"/>
  <c r="AA151" i="6"/>
  <c r="AB151" i="6"/>
  <c r="AD151" i="6"/>
  <c r="AE151" i="6"/>
  <c r="AF151" i="6"/>
  <c r="AG151" i="6"/>
  <c r="AH151" i="6"/>
  <c r="AI151" i="6"/>
  <c r="S152" i="6"/>
  <c r="T152" i="6"/>
  <c r="U152" i="6"/>
  <c r="V152" i="6"/>
  <c r="W152" i="6"/>
  <c r="X152" i="6"/>
  <c r="Y152" i="6"/>
  <c r="Z152" i="6"/>
  <c r="AA152" i="6"/>
  <c r="AB152" i="6"/>
  <c r="AD152" i="6"/>
  <c r="AE152" i="6"/>
  <c r="AF152" i="6"/>
  <c r="AG152" i="6"/>
  <c r="AH152" i="6"/>
  <c r="AI152" i="6"/>
  <c r="S153" i="6"/>
  <c r="T153" i="6"/>
  <c r="U153" i="6"/>
  <c r="V153" i="6"/>
  <c r="W153" i="6"/>
  <c r="X153" i="6"/>
  <c r="Y153" i="6"/>
  <c r="Z153" i="6"/>
  <c r="AA153" i="6"/>
  <c r="AB153" i="6"/>
  <c r="AD153" i="6"/>
  <c r="AE153" i="6"/>
  <c r="AF153" i="6"/>
  <c r="AG153" i="6"/>
  <c r="AH153" i="6"/>
  <c r="AI153" i="6"/>
  <c r="S154" i="6"/>
  <c r="T154" i="6"/>
  <c r="U154" i="6"/>
  <c r="V154" i="6"/>
  <c r="W154" i="6"/>
  <c r="X154" i="6"/>
  <c r="Y154" i="6"/>
  <c r="Z154" i="6"/>
  <c r="AA154" i="6"/>
  <c r="AB154" i="6"/>
  <c r="AD154" i="6"/>
  <c r="AE154" i="6"/>
  <c r="AF154" i="6"/>
  <c r="AG154" i="6"/>
  <c r="AH154" i="6"/>
  <c r="AI154" i="6"/>
  <c r="S155" i="6"/>
  <c r="T155" i="6"/>
  <c r="U155" i="6"/>
  <c r="V155" i="6"/>
  <c r="W155" i="6"/>
  <c r="X155" i="6"/>
  <c r="Y155" i="6"/>
  <c r="Z155" i="6"/>
  <c r="AA155" i="6"/>
  <c r="AB155" i="6"/>
  <c r="AD155" i="6"/>
  <c r="AE155" i="6"/>
  <c r="AF155" i="6"/>
  <c r="AG155" i="6"/>
  <c r="AH155" i="6"/>
  <c r="AI155" i="6"/>
  <c r="S156" i="6"/>
  <c r="T156" i="6"/>
  <c r="U156" i="6"/>
  <c r="V156" i="6"/>
  <c r="W156" i="6"/>
  <c r="X156" i="6"/>
  <c r="Y156" i="6"/>
  <c r="Z156" i="6"/>
  <c r="AA156" i="6"/>
  <c r="AB156" i="6"/>
  <c r="AD156" i="6"/>
  <c r="AE156" i="6"/>
  <c r="AF156" i="6"/>
  <c r="AG156" i="6"/>
  <c r="AH156" i="6"/>
  <c r="AI156" i="6"/>
  <c r="S157" i="6"/>
  <c r="T157" i="6"/>
  <c r="U157" i="6"/>
  <c r="V157" i="6"/>
  <c r="W157" i="6"/>
  <c r="X157" i="6"/>
  <c r="Y157" i="6"/>
  <c r="Z157" i="6"/>
  <c r="AA157" i="6"/>
  <c r="AB157" i="6"/>
  <c r="AD157" i="6"/>
  <c r="AE157" i="6"/>
  <c r="AF157" i="6"/>
  <c r="AG157" i="6"/>
  <c r="AH157" i="6"/>
  <c r="AI157" i="6"/>
  <c r="S158" i="6"/>
  <c r="T158" i="6"/>
  <c r="U158" i="6"/>
  <c r="V158" i="6"/>
  <c r="W158" i="6"/>
  <c r="X158" i="6"/>
  <c r="Y158" i="6"/>
  <c r="Z158" i="6"/>
  <c r="AA158" i="6"/>
  <c r="AB158" i="6"/>
  <c r="AD158" i="6"/>
  <c r="AE158" i="6"/>
  <c r="AF158" i="6"/>
  <c r="AG158" i="6"/>
  <c r="AH158" i="6"/>
  <c r="AI158" i="6"/>
  <c r="S159" i="6"/>
  <c r="T159" i="6"/>
  <c r="U159" i="6"/>
  <c r="V159" i="6"/>
  <c r="W159" i="6"/>
  <c r="X159" i="6"/>
  <c r="Y159" i="6"/>
  <c r="Z159" i="6"/>
  <c r="AA159" i="6"/>
  <c r="AB159" i="6"/>
  <c r="AD159" i="6"/>
  <c r="AE159" i="6"/>
  <c r="AF159" i="6"/>
  <c r="AG159" i="6"/>
  <c r="AH159" i="6"/>
  <c r="AI159" i="6"/>
  <c r="S160" i="6"/>
  <c r="T160" i="6"/>
  <c r="U160" i="6"/>
  <c r="V160" i="6"/>
  <c r="W160" i="6"/>
  <c r="X160" i="6"/>
  <c r="Y160" i="6"/>
  <c r="Z160" i="6"/>
  <c r="AA160" i="6"/>
  <c r="AB160" i="6"/>
  <c r="AD160" i="6"/>
  <c r="AE160" i="6"/>
  <c r="AF160" i="6"/>
  <c r="AG160" i="6"/>
  <c r="AH160" i="6"/>
  <c r="AI160" i="6"/>
  <c r="S161" i="6"/>
  <c r="T161" i="6"/>
  <c r="U161" i="6"/>
  <c r="V161" i="6"/>
  <c r="W161" i="6"/>
  <c r="X161" i="6"/>
  <c r="Y161" i="6"/>
  <c r="Z161" i="6"/>
  <c r="AA161" i="6"/>
  <c r="AB161" i="6"/>
  <c r="AD161" i="6"/>
  <c r="AE161" i="6"/>
  <c r="AF161" i="6"/>
  <c r="AG161" i="6"/>
  <c r="AH161" i="6"/>
  <c r="AI161" i="6"/>
  <c r="S162" i="6"/>
  <c r="T162" i="6"/>
  <c r="U162" i="6"/>
  <c r="V162" i="6"/>
  <c r="W162" i="6"/>
  <c r="X162" i="6"/>
  <c r="Y162" i="6"/>
  <c r="Z162" i="6"/>
  <c r="AA162" i="6"/>
  <c r="AB162" i="6"/>
  <c r="AD162" i="6"/>
  <c r="AE162" i="6"/>
  <c r="AF162" i="6"/>
  <c r="AG162" i="6"/>
  <c r="AH162" i="6"/>
  <c r="AI162" i="6"/>
  <c r="S163" i="6"/>
  <c r="T163" i="6"/>
  <c r="U163" i="6"/>
  <c r="V163" i="6"/>
  <c r="W163" i="6"/>
  <c r="X163" i="6"/>
  <c r="Y163" i="6"/>
  <c r="Z163" i="6"/>
  <c r="AA163" i="6"/>
  <c r="AB163" i="6"/>
  <c r="AD163" i="6"/>
  <c r="AE163" i="6"/>
  <c r="AF163" i="6"/>
  <c r="AG163" i="6"/>
  <c r="AH163" i="6"/>
  <c r="AI163" i="6"/>
  <c r="S164" i="6"/>
  <c r="T164" i="6"/>
  <c r="U164" i="6"/>
  <c r="V164" i="6"/>
  <c r="W164" i="6"/>
  <c r="X164" i="6"/>
  <c r="Y164" i="6"/>
  <c r="Z164" i="6"/>
  <c r="AA164" i="6"/>
  <c r="AB164" i="6"/>
  <c r="AD164" i="6"/>
  <c r="AE164" i="6"/>
  <c r="AF164" i="6"/>
  <c r="AG164" i="6"/>
  <c r="AH164" i="6"/>
  <c r="AI164" i="6"/>
  <c r="S165" i="6"/>
  <c r="T165" i="6"/>
  <c r="U165" i="6"/>
  <c r="V165" i="6"/>
  <c r="W165" i="6"/>
  <c r="X165" i="6"/>
  <c r="Y165" i="6"/>
  <c r="Z165" i="6"/>
  <c r="AA165" i="6"/>
  <c r="AB165" i="6"/>
  <c r="AD165" i="6"/>
  <c r="AE165" i="6"/>
  <c r="AF165" i="6"/>
  <c r="AG165" i="6"/>
  <c r="AH165" i="6"/>
  <c r="AI165" i="6"/>
  <c r="S166" i="6"/>
  <c r="T166" i="6"/>
  <c r="U166" i="6"/>
  <c r="V166" i="6"/>
  <c r="W166" i="6"/>
  <c r="X166" i="6"/>
  <c r="Y166" i="6"/>
  <c r="Z166" i="6"/>
  <c r="AA166" i="6"/>
  <c r="AB166" i="6"/>
  <c r="AD166" i="6"/>
  <c r="AE166" i="6"/>
  <c r="AF166" i="6"/>
  <c r="AG166" i="6"/>
  <c r="AH166" i="6"/>
  <c r="AI166" i="6"/>
  <c r="S167" i="6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S172" i="6"/>
  <c r="T172" i="6"/>
  <c r="U172" i="6"/>
  <c r="V172" i="6"/>
  <c r="W172" i="6"/>
  <c r="X172" i="6"/>
  <c r="Y172" i="6"/>
  <c r="Z172" i="6"/>
  <c r="AA172" i="6"/>
  <c r="AB172" i="6"/>
  <c r="AD172" i="6"/>
  <c r="AE172" i="6"/>
  <c r="AF172" i="6"/>
  <c r="AG172" i="6"/>
  <c r="AH172" i="6"/>
  <c r="AI172" i="6"/>
  <c r="S173" i="6"/>
  <c r="T173" i="6"/>
  <c r="U173" i="6"/>
  <c r="V173" i="6"/>
  <c r="W173" i="6"/>
  <c r="X173" i="6"/>
  <c r="Y173" i="6"/>
  <c r="Z173" i="6"/>
  <c r="AA173" i="6"/>
  <c r="AB173" i="6"/>
  <c r="AD173" i="6"/>
  <c r="AE173" i="6"/>
  <c r="AF173" i="6"/>
  <c r="AG173" i="6"/>
  <c r="AH173" i="6"/>
  <c r="AI173" i="6"/>
  <c r="S174" i="6"/>
  <c r="T174" i="6"/>
  <c r="U174" i="6"/>
  <c r="V174" i="6"/>
  <c r="W174" i="6"/>
  <c r="X174" i="6"/>
  <c r="Y174" i="6"/>
  <c r="Z174" i="6"/>
  <c r="AA174" i="6"/>
  <c r="AB174" i="6"/>
  <c r="AD174" i="6"/>
  <c r="AE174" i="6"/>
  <c r="AF174" i="6"/>
  <c r="AG174" i="6"/>
  <c r="AH174" i="6"/>
  <c r="AI174" i="6"/>
  <c r="S175" i="6"/>
  <c r="T175" i="6"/>
  <c r="U175" i="6"/>
  <c r="V175" i="6"/>
  <c r="W175" i="6"/>
  <c r="X175" i="6"/>
  <c r="Y175" i="6"/>
  <c r="Z175" i="6"/>
  <c r="AA175" i="6"/>
  <c r="AB175" i="6"/>
  <c r="AD175" i="6"/>
  <c r="AE175" i="6"/>
  <c r="AF175" i="6"/>
  <c r="AG175" i="6"/>
  <c r="AH175" i="6"/>
  <c r="AI175" i="6"/>
  <c r="S176" i="6"/>
  <c r="T176" i="6"/>
  <c r="U176" i="6"/>
  <c r="V176" i="6"/>
  <c r="W176" i="6"/>
  <c r="X176" i="6"/>
  <c r="Y176" i="6"/>
  <c r="Z176" i="6"/>
  <c r="AA176" i="6"/>
  <c r="AB176" i="6"/>
  <c r="AD176" i="6"/>
  <c r="AE176" i="6"/>
  <c r="AF176" i="6"/>
  <c r="AG176" i="6"/>
  <c r="AH176" i="6"/>
  <c r="AI176" i="6"/>
  <c r="S177" i="6"/>
  <c r="T177" i="6"/>
  <c r="U177" i="6"/>
  <c r="V177" i="6"/>
  <c r="W177" i="6"/>
  <c r="X177" i="6"/>
  <c r="Y177" i="6"/>
  <c r="Z177" i="6"/>
  <c r="AA177" i="6"/>
  <c r="AB177" i="6"/>
  <c r="AD177" i="6"/>
  <c r="AE177" i="6"/>
  <c r="AF177" i="6"/>
  <c r="AG177" i="6"/>
  <c r="AH177" i="6"/>
  <c r="AI177" i="6"/>
  <c r="S178" i="6"/>
  <c r="T178" i="6"/>
  <c r="U178" i="6"/>
  <c r="V178" i="6"/>
  <c r="W178" i="6"/>
  <c r="X178" i="6"/>
  <c r="Y178" i="6"/>
  <c r="Z178" i="6"/>
  <c r="AA178" i="6"/>
  <c r="AB178" i="6"/>
  <c r="AD178" i="6"/>
  <c r="AE178" i="6"/>
  <c r="AF178" i="6"/>
  <c r="AG178" i="6"/>
  <c r="AH178" i="6"/>
  <c r="AI178" i="6"/>
  <c r="S179" i="6"/>
  <c r="T179" i="6"/>
  <c r="U179" i="6"/>
  <c r="V179" i="6"/>
  <c r="W179" i="6"/>
  <c r="X179" i="6"/>
  <c r="Y179" i="6"/>
  <c r="Z179" i="6"/>
  <c r="AA179" i="6"/>
  <c r="AB179" i="6"/>
  <c r="AD179" i="6"/>
  <c r="AE179" i="6"/>
  <c r="AF179" i="6"/>
  <c r="AG179" i="6"/>
  <c r="AH179" i="6"/>
  <c r="AI179" i="6"/>
  <c r="S180" i="6"/>
  <c r="T180" i="6"/>
  <c r="U180" i="6"/>
  <c r="V180" i="6"/>
  <c r="W180" i="6"/>
  <c r="X180" i="6"/>
  <c r="Y180" i="6"/>
  <c r="Z180" i="6"/>
  <c r="AA180" i="6"/>
  <c r="AB180" i="6"/>
  <c r="AD180" i="6"/>
  <c r="AE180" i="6"/>
  <c r="AF180" i="6"/>
  <c r="AG180" i="6"/>
  <c r="AH180" i="6"/>
  <c r="AI180" i="6"/>
  <c r="S181" i="6"/>
  <c r="T181" i="6"/>
  <c r="U181" i="6"/>
  <c r="V181" i="6"/>
  <c r="W181" i="6"/>
  <c r="X181" i="6"/>
  <c r="Y181" i="6"/>
  <c r="Z181" i="6"/>
  <c r="AA181" i="6"/>
  <c r="AB181" i="6"/>
  <c r="AD181" i="6"/>
  <c r="AE181" i="6"/>
  <c r="AF181" i="6"/>
  <c r="AG181" i="6"/>
  <c r="AH181" i="6"/>
  <c r="AI181" i="6"/>
  <c r="S182" i="6"/>
  <c r="T182" i="6"/>
  <c r="U182" i="6"/>
  <c r="V182" i="6"/>
  <c r="W182" i="6"/>
  <c r="X182" i="6"/>
  <c r="Y182" i="6"/>
  <c r="Z182" i="6"/>
  <c r="AA182" i="6"/>
  <c r="AB182" i="6"/>
  <c r="AD182" i="6"/>
  <c r="AE182" i="6"/>
  <c r="AF182" i="6"/>
  <c r="AG182" i="6"/>
  <c r="AH182" i="6"/>
  <c r="AI182" i="6"/>
  <c r="S183" i="6"/>
  <c r="T183" i="6"/>
  <c r="U183" i="6"/>
  <c r="V183" i="6"/>
  <c r="W183" i="6"/>
  <c r="X183" i="6"/>
  <c r="Y183" i="6"/>
  <c r="Z183" i="6"/>
  <c r="AA183" i="6"/>
  <c r="AB183" i="6"/>
  <c r="AD183" i="6"/>
  <c r="AE183" i="6"/>
  <c r="AF183" i="6"/>
  <c r="AG183" i="6"/>
  <c r="AH183" i="6"/>
  <c r="AI183" i="6"/>
  <c r="S184" i="6"/>
  <c r="T184" i="6"/>
  <c r="U184" i="6"/>
  <c r="V184" i="6"/>
  <c r="W184" i="6"/>
  <c r="X184" i="6"/>
  <c r="Y184" i="6"/>
  <c r="Z184" i="6"/>
  <c r="AA184" i="6"/>
  <c r="AB184" i="6"/>
  <c r="AD184" i="6"/>
  <c r="AE184" i="6"/>
  <c r="AF184" i="6"/>
  <c r="AG184" i="6"/>
  <c r="AH184" i="6"/>
  <c r="AI184" i="6"/>
  <c r="S185" i="6"/>
  <c r="T185" i="6"/>
  <c r="U185" i="6"/>
  <c r="V185" i="6"/>
  <c r="W185" i="6"/>
  <c r="X185" i="6"/>
  <c r="Y185" i="6"/>
  <c r="Z185" i="6"/>
  <c r="AA185" i="6"/>
  <c r="AB185" i="6"/>
  <c r="AD185" i="6"/>
  <c r="AE185" i="6"/>
  <c r="AF185" i="6"/>
  <c r="AG185" i="6"/>
  <c r="AH185" i="6"/>
  <c r="AI185" i="6"/>
  <c r="S186" i="6"/>
  <c r="T186" i="6"/>
  <c r="U186" i="6"/>
  <c r="V186" i="6"/>
  <c r="W186" i="6"/>
  <c r="X186" i="6"/>
  <c r="Y186" i="6"/>
  <c r="Z186" i="6"/>
  <c r="AA186" i="6"/>
  <c r="AB186" i="6"/>
  <c r="AD186" i="6"/>
  <c r="AE186" i="6"/>
  <c r="AF186" i="6"/>
  <c r="AG186" i="6"/>
  <c r="AH186" i="6"/>
  <c r="AI186" i="6"/>
  <c r="S187" i="6"/>
  <c r="T187" i="6"/>
  <c r="U187" i="6"/>
  <c r="V187" i="6"/>
  <c r="W187" i="6"/>
  <c r="X187" i="6"/>
  <c r="Y187" i="6"/>
  <c r="Z187" i="6"/>
  <c r="AA187" i="6"/>
  <c r="AB187" i="6"/>
  <c r="AD187" i="6"/>
  <c r="AE187" i="6"/>
  <c r="AF187" i="6"/>
  <c r="AG187" i="6"/>
  <c r="AH187" i="6"/>
  <c r="AI187" i="6"/>
  <c r="S188" i="6"/>
  <c r="T188" i="6"/>
  <c r="U188" i="6"/>
  <c r="V188" i="6"/>
  <c r="W188" i="6"/>
  <c r="X188" i="6"/>
  <c r="Y188" i="6"/>
  <c r="Z188" i="6"/>
  <c r="AA188" i="6"/>
  <c r="AB188" i="6"/>
  <c r="AD188" i="6"/>
  <c r="AE188" i="6"/>
  <c r="AF188" i="6"/>
  <c r="AG188" i="6"/>
  <c r="AH188" i="6"/>
  <c r="AI188" i="6"/>
  <c r="S189" i="6"/>
  <c r="T189" i="6"/>
  <c r="U189" i="6"/>
  <c r="V189" i="6"/>
  <c r="W189" i="6"/>
  <c r="X189" i="6"/>
  <c r="Y189" i="6"/>
  <c r="Z189" i="6"/>
  <c r="AA189" i="6"/>
  <c r="AB189" i="6"/>
  <c r="AD189" i="6"/>
  <c r="AE189" i="6"/>
  <c r="AF189" i="6"/>
  <c r="AG189" i="6"/>
  <c r="AH189" i="6"/>
  <c r="AI189" i="6"/>
  <c r="S190" i="6"/>
  <c r="T190" i="6"/>
  <c r="U190" i="6"/>
  <c r="V190" i="6"/>
  <c r="W190" i="6"/>
  <c r="X190" i="6"/>
  <c r="Y190" i="6"/>
  <c r="Z190" i="6"/>
  <c r="AA190" i="6"/>
  <c r="AB190" i="6"/>
  <c r="AD190" i="6"/>
  <c r="AE190" i="6"/>
  <c r="AF190" i="6"/>
  <c r="AG190" i="6"/>
  <c r="AH190" i="6"/>
  <c r="AI190" i="6"/>
  <c r="S191" i="6"/>
  <c r="T191" i="6"/>
  <c r="U191" i="6"/>
  <c r="V191" i="6"/>
  <c r="W191" i="6"/>
  <c r="X191" i="6"/>
  <c r="Y191" i="6"/>
  <c r="Z191" i="6"/>
  <c r="AA191" i="6"/>
  <c r="AB191" i="6"/>
  <c r="AD191" i="6"/>
  <c r="AE191" i="6"/>
  <c r="AF191" i="6"/>
  <c r="AG191" i="6"/>
  <c r="AH191" i="6"/>
  <c r="AI191" i="6"/>
  <c r="S192" i="6"/>
  <c r="T192" i="6"/>
  <c r="U192" i="6"/>
  <c r="V192" i="6"/>
  <c r="W192" i="6"/>
  <c r="X192" i="6"/>
  <c r="Y192" i="6"/>
  <c r="Z192" i="6"/>
  <c r="AA192" i="6"/>
  <c r="AB192" i="6"/>
  <c r="AD192" i="6"/>
  <c r="AE192" i="6"/>
  <c r="AF192" i="6"/>
  <c r="AG192" i="6"/>
  <c r="AH192" i="6"/>
  <c r="AI192" i="6"/>
  <c r="S193" i="6"/>
  <c r="T193" i="6"/>
  <c r="U193" i="6"/>
  <c r="V193" i="6"/>
  <c r="W193" i="6"/>
  <c r="X193" i="6"/>
  <c r="Y193" i="6"/>
  <c r="Z193" i="6"/>
  <c r="AA193" i="6"/>
  <c r="AB193" i="6"/>
  <c r="AD193" i="6"/>
  <c r="AE193" i="6"/>
  <c r="AF193" i="6"/>
  <c r="AG193" i="6"/>
  <c r="AH193" i="6"/>
  <c r="AI193" i="6"/>
  <c r="S194" i="6"/>
  <c r="T194" i="6"/>
  <c r="U194" i="6"/>
  <c r="V194" i="6"/>
  <c r="W194" i="6"/>
  <c r="X194" i="6"/>
  <c r="Y194" i="6"/>
  <c r="Z194" i="6"/>
  <c r="AA194" i="6"/>
  <c r="AB194" i="6"/>
  <c r="AD194" i="6"/>
  <c r="AE194" i="6"/>
  <c r="AF194" i="6"/>
  <c r="AG194" i="6"/>
  <c r="AH194" i="6"/>
  <c r="AI194" i="6"/>
  <c r="S195" i="6"/>
  <c r="T195" i="6"/>
  <c r="U195" i="6"/>
  <c r="V195" i="6"/>
  <c r="W195" i="6"/>
  <c r="X195" i="6"/>
  <c r="Y195" i="6"/>
  <c r="Z195" i="6"/>
  <c r="AA195" i="6"/>
  <c r="AB195" i="6"/>
  <c r="AD195" i="6"/>
  <c r="AE195" i="6"/>
  <c r="AF195" i="6"/>
  <c r="AG195" i="6"/>
  <c r="AH195" i="6"/>
  <c r="AI195" i="6"/>
  <c r="S196" i="6"/>
  <c r="T196" i="6"/>
  <c r="U196" i="6"/>
  <c r="V196" i="6"/>
  <c r="W196" i="6"/>
  <c r="X196" i="6"/>
  <c r="Y196" i="6"/>
  <c r="Z196" i="6"/>
  <c r="AA196" i="6"/>
  <c r="AB196" i="6"/>
  <c r="AD196" i="6"/>
  <c r="AE196" i="6"/>
  <c r="AF196" i="6"/>
  <c r="AG196" i="6"/>
  <c r="AH196" i="6"/>
  <c r="AI196" i="6"/>
  <c r="S197" i="6"/>
  <c r="T197" i="6"/>
  <c r="U197" i="6"/>
  <c r="V197" i="6"/>
  <c r="W197" i="6"/>
  <c r="X197" i="6"/>
  <c r="Y197" i="6"/>
  <c r="Z197" i="6"/>
  <c r="AA197" i="6"/>
  <c r="AB197" i="6"/>
  <c r="AD197" i="6"/>
  <c r="AE197" i="6"/>
  <c r="AF197" i="6"/>
  <c r="AG197" i="6"/>
  <c r="AH197" i="6"/>
  <c r="AI197" i="6"/>
  <c r="S198" i="6"/>
  <c r="T198" i="6"/>
  <c r="U198" i="6"/>
  <c r="V198" i="6"/>
  <c r="W198" i="6"/>
  <c r="X198" i="6"/>
  <c r="Y198" i="6"/>
  <c r="Z198" i="6"/>
  <c r="AA198" i="6"/>
  <c r="AB198" i="6"/>
  <c r="AD198" i="6"/>
  <c r="AE198" i="6"/>
  <c r="AF198" i="6"/>
  <c r="AG198" i="6"/>
  <c r="AH198" i="6"/>
  <c r="AI198" i="6"/>
  <c r="S199" i="6"/>
  <c r="T199" i="6"/>
  <c r="U199" i="6"/>
  <c r="V199" i="6"/>
  <c r="W199" i="6"/>
  <c r="X199" i="6"/>
  <c r="Y199" i="6"/>
  <c r="Z199" i="6"/>
  <c r="AA199" i="6"/>
  <c r="AB199" i="6"/>
  <c r="AD199" i="6"/>
  <c r="AE199" i="6"/>
  <c r="AF199" i="6"/>
  <c r="AG199" i="6"/>
  <c r="AH199" i="6"/>
  <c r="AI199" i="6"/>
  <c r="S200" i="6"/>
  <c r="T200" i="6"/>
  <c r="U200" i="6"/>
  <c r="V200" i="6"/>
  <c r="W200" i="6"/>
  <c r="X200" i="6"/>
  <c r="Y200" i="6"/>
  <c r="Z200" i="6"/>
  <c r="AA200" i="6"/>
  <c r="AB200" i="6"/>
  <c r="AD200" i="6"/>
  <c r="AE200" i="6"/>
  <c r="AF200" i="6"/>
  <c r="AG200" i="6"/>
  <c r="AH200" i="6"/>
  <c r="AI200" i="6"/>
  <c r="S201" i="6"/>
  <c r="T201" i="6"/>
  <c r="U201" i="6"/>
  <c r="V201" i="6"/>
  <c r="W201" i="6"/>
  <c r="X201" i="6"/>
  <c r="Y201" i="6"/>
  <c r="Z201" i="6"/>
  <c r="AA201" i="6"/>
  <c r="AB201" i="6"/>
  <c r="AD201" i="6"/>
  <c r="AE201" i="6"/>
  <c r="AF201" i="6"/>
  <c r="AG201" i="6"/>
  <c r="AH201" i="6"/>
  <c r="AI201" i="6"/>
  <c r="S202" i="6"/>
  <c r="T202" i="6"/>
  <c r="U202" i="6"/>
  <c r="V202" i="6"/>
  <c r="W202" i="6"/>
  <c r="X202" i="6"/>
  <c r="Y202" i="6"/>
  <c r="Z202" i="6"/>
  <c r="AA202" i="6"/>
  <c r="AB202" i="6"/>
  <c r="AD202" i="6"/>
  <c r="AE202" i="6"/>
  <c r="AF202" i="6"/>
  <c r="AG202" i="6"/>
  <c r="AH202" i="6"/>
  <c r="AI202" i="6"/>
  <c r="S203" i="6"/>
  <c r="T203" i="6"/>
  <c r="U203" i="6"/>
  <c r="V203" i="6"/>
  <c r="W203" i="6"/>
  <c r="X203" i="6"/>
  <c r="Y203" i="6"/>
  <c r="Z203" i="6"/>
  <c r="AA203" i="6"/>
  <c r="AB203" i="6"/>
  <c r="AD203" i="6"/>
  <c r="AE203" i="6"/>
  <c r="AF203" i="6"/>
  <c r="AG203" i="6"/>
  <c r="AH203" i="6"/>
  <c r="AI203" i="6"/>
  <c r="S204" i="6"/>
  <c r="T204" i="6"/>
  <c r="U204" i="6"/>
  <c r="V204" i="6"/>
  <c r="W204" i="6"/>
  <c r="X204" i="6"/>
  <c r="Y204" i="6"/>
  <c r="Z204" i="6"/>
  <c r="AA204" i="6"/>
  <c r="AB204" i="6"/>
  <c r="AD204" i="6"/>
  <c r="AE204" i="6"/>
  <c r="AF204" i="6"/>
  <c r="AG204" i="6"/>
  <c r="AH204" i="6"/>
  <c r="AI204" i="6"/>
  <c r="S205" i="6"/>
  <c r="T205" i="6"/>
  <c r="U205" i="6"/>
  <c r="V205" i="6"/>
  <c r="W205" i="6"/>
  <c r="X205" i="6"/>
  <c r="Y205" i="6"/>
  <c r="Z205" i="6"/>
  <c r="AA205" i="6"/>
  <c r="AB205" i="6"/>
  <c r="AD205" i="6"/>
  <c r="AE205" i="6"/>
  <c r="AF205" i="6"/>
  <c r="AG205" i="6"/>
  <c r="AH205" i="6"/>
  <c r="AI205" i="6"/>
  <c r="S206" i="6"/>
  <c r="T206" i="6"/>
  <c r="U206" i="6"/>
  <c r="V206" i="6"/>
  <c r="W206" i="6"/>
  <c r="X206" i="6"/>
  <c r="Y206" i="6"/>
  <c r="Z206" i="6"/>
  <c r="AA206" i="6"/>
  <c r="AB206" i="6"/>
  <c r="AD206" i="6"/>
  <c r="AE206" i="6"/>
  <c r="AF206" i="6"/>
  <c r="AG206" i="6"/>
  <c r="AH206" i="6"/>
  <c r="AI206" i="6"/>
  <c r="S207" i="6"/>
  <c r="T207" i="6"/>
  <c r="U207" i="6"/>
  <c r="V207" i="6"/>
  <c r="W207" i="6"/>
  <c r="X207" i="6"/>
  <c r="Y207" i="6"/>
  <c r="Z207" i="6"/>
  <c r="AA207" i="6"/>
  <c r="AB207" i="6"/>
  <c r="AD207" i="6"/>
  <c r="AE207" i="6"/>
  <c r="AF207" i="6"/>
  <c r="AG207" i="6"/>
  <c r="AH207" i="6"/>
  <c r="AI207" i="6"/>
  <c r="S208" i="6"/>
  <c r="T208" i="6"/>
  <c r="U208" i="6"/>
  <c r="V208" i="6"/>
  <c r="W208" i="6"/>
  <c r="X208" i="6"/>
  <c r="Y208" i="6"/>
  <c r="Z208" i="6"/>
  <c r="AA208" i="6"/>
  <c r="AB208" i="6"/>
  <c r="AD208" i="6"/>
  <c r="AE208" i="6"/>
  <c r="AF208" i="6"/>
  <c r="AG208" i="6"/>
  <c r="AH208" i="6"/>
  <c r="AI208" i="6"/>
  <c r="S209" i="6"/>
  <c r="T209" i="6"/>
  <c r="U209" i="6"/>
  <c r="V209" i="6"/>
  <c r="W209" i="6"/>
  <c r="X209" i="6"/>
  <c r="Y209" i="6"/>
  <c r="Z209" i="6"/>
  <c r="AA209" i="6"/>
  <c r="AB209" i="6"/>
  <c r="AD209" i="6"/>
  <c r="AE209" i="6"/>
  <c r="AF209" i="6"/>
  <c r="AG209" i="6"/>
  <c r="AH209" i="6"/>
  <c r="AI209" i="6"/>
  <c r="S210" i="6"/>
  <c r="T210" i="6"/>
  <c r="U210" i="6"/>
  <c r="V210" i="6"/>
  <c r="W210" i="6"/>
  <c r="X210" i="6"/>
  <c r="Y210" i="6"/>
  <c r="Z210" i="6"/>
  <c r="AA210" i="6"/>
  <c r="AB210" i="6"/>
  <c r="AD210" i="6"/>
  <c r="AE210" i="6"/>
  <c r="AF210" i="6"/>
  <c r="AG210" i="6"/>
  <c r="AH210" i="6"/>
  <c r="AI210" i="6"/>
  <c r="S211" i="6"/>
  <c r="T211" i="6"/>
  <c r="U211" i="6"/>
  <c r="V211" i="6"/>
  <c r="W211" i="6"/>
  <c r="X211" i="6"/>
  <c r="Y211" i="6"/>
  <c r="Z211" i="6"/>
  <c r="AA211" i="6"/>
  <c r="AB211" i="6"/>
  <c r="AD211" i="6"/>
  <c r="AE211" i="6"/>
  <c r="AF211" i="6"/>
  <c r="AG211" i="6"/>
  <c r="AH211" i="6"/>
  <c r="AI211" i="6"/>
  <c r="S212" i="6"/>
  <c r="T212" i="6"/>
  <c r="U212" i="6"/>
  <c r="V212" i="6"/>
  <c r="W212" i="6"/>
  <c r="X212" i="6"/>
  <c r="Y212" i="6"/>
  <c r="Z212" i="6"/>
  <c r="AA212" i="6"/>
  <c r="AB212" i="6"/>
  <c r="AD212" i="6"/>
  <c r="AE212" i="6"/>
  <c r="AF212" i="6"/>
  <c r="AG212" i="6"/>
  <c r="AH212" i="6"/>
  <c r="AI212" i="6"/>
  <c r="S213" i="6"/>
  <c r="T213" i="6"/>
  <c r="U213" i="6"/>
  <c r="V213" i="6"/>
  <c r="W213" i="6"/>
  <c r="X213" i="6"/>
  <c r="Y213" i="6"/>
  <c r="Z213" i="6"/>
  <c r="AA213" i="6"/>
  <c r="AB213" i="6"/>
  <c r="AD213" i="6"/>
  <c r="AE213" i="6"/>
  <c r="AF213" i="6"/>
  <c r="AG213" i="6"/>
  <c r="AH213" i="6"/>
  <c r="AI213" i="6"/>
  <c r="S214" i="6"/>
  <c r="T214" i="6"/>
  <c r="U214" i="6"/>
  <c r="V214" i="6"/>
  <c r="W214" i="6"/>
  <c r="X214" i="6"/>
  <c r="Y214" i="6"/>
  <c r="Z214" i="6"/>
  <c r="AA214" i="6"/>
  <c r="AB214" i="6"/>
  <c r="AD214" i="6"/>
  <c r="AE214" i="6"/>
  <c r="AF214" i="6"/>
  <c r="AG214" i="6"/>
  <c r="AH214" i="6"/>
  <c r="AI214" i="6"/>
  <c r="S215" i="6"/>
  <c r="T215" i="6"/>
  <c r="U215" i="6"/>
  <c r="V215" i="6"/>
  <c r="W215" i="6"/>
  <c r="X215" i="6"/>
  <c r="Y215" i="6"/>
  <c r="Z215" i="6"/>
  <c r="AA215" i="6"/>
  <c r="AB215" i="6"/>
  <c r="AD215" i="6"/>
  <c r="AE215" i="6"/>
  <c r="AF215" i="6"/>
  <c r="AG215" i="6"/>
  <c r="AH215" i="6"/>
  <c r="AI215" i="6"/>
  <c r="S216" i="6"/>
  <c r="T216" i="6"/>
  <c r="U216" i="6"/>
  <c r="V216" i="6"/>
  <c r="W216" i="6"/>
  <c r="X216" i="6"/>
  <c r="Y216" i="6"/>
  <c r="Z216" i="6"/>
  <c r="AA216" i="6"/>
  <c r="AB216" i="6"/>
  <c r="AD216" i="6"/>
  <c r="AE216" i="6"/>
  <c r="AF216" i="6"/>
  <c r="AG216" i="6"/>
  <c r="AH216" i="6"/>
  <c r="AI216" i="6"/>
  <c r="S217" i="6"/>
  <c r="T217" i="6"/>
  <c r="U217" i="6"/>
  <c r="V217" i="6"/>
  <c r="W217" i="6"/>
  <c r="X217" i="6"/>
  <c r="Y217" i="6"/>
  <c r="Z217" i="6"/>
  <c r="AA217" i="6"/>
  <c r="AB217" i="6"/>
  <c r="AD217" i="6"/>
  <c r="AE217" i="6"/>
  <c r="AF217" i="6"/>
  <c r="AG217" i="6"/>
  <c r="AH217" i="6"/>
  <c r="AI217" i="6"/>
  <c r="S218" i="6"/>
  <c r="T218" i="6"/>
  <c r="U218" i="6"/>
  <c r="V218" i="6"/>
  <c r="W218" i="6"/>
  <c r="X218" i="6"/>
  <c r="Y218" i="6"/>
  <c r="Z218" i="6"/>
  <c r="AA218" i="6"/>
  <c r="AB218" i="6"/>
  <c r="AD218" i="6"/>
  <c r="AE218" i="6"/>
  <c r="AF218" i="6"/>
  <c r="AG218" i="6"/>
  <c r="AH218" i="6"/>
  <c r="AI218" i="6"/>
  <c r="S219" i="6"/>
  <c r="T219" i="6"/>
  <c r="U219" i="6"/>
  <c r="V219" i="6"/>
  <c r="W219" i="6"/>
  <c r="X219" i="6"/>
  <c r="Y219" i="6"/>
  <c r="Z219" i="6"/>
  <c r="AA219" i="6"/>
  <c r="AB219" i="6"/>
  <c r="AD219" i="6"/>
  <c r="AE219" i="6"/>
  <c r="AF219" i="6"/>
  <c r="AG219" i="6"/>
  <c r="AH219" i="6"/>
  <c r="AI219" i="6"/>
  <c r="S220" i="6"/>
  <c r="T220" i="6"/>
  <c r="U220" i="6"/>
  <c r="V220" i="6"/>
  <c r="W220" i="6"/>
  <c r="X220" i="6"/>
  <c r="Y220" i="6"/>
  <c r="Z220" i="6"/>
  <c r="AA220" i="6"/>
  <c r="AB220" i="6"/>
  <c r="AD220" i="6"/>
  <c r="AE220" i="6"/>
  <c r="AF220" i="6"/>
  <c r="AG220" i="6"/>
  <c r="AH220" i="6"/>
  <c r="AI220" i="6"/>
  <c r="S221" i="6"/>
  <c r="T221" i="6"/>
  <c r="U221" i="6"/>
  <c r="V221" i="6"/>
  <c r="W221" i="6"/>
  <c r="X221" i="6"/>
  <c r="Y221" i="6"/>
  <c r="Z221" i="6"/>
  <c r="AA221" i="6"/>
  <c r="AB221" i="6"/>
  <c r="AD221" i="6"/>
  <c r="AE221" i="6"/>
  <c r="AF221" i="6"/>
  <c r="AG221" i="6"/>
  <c r="AH221" i="6"/>
  <c r="AI221" i="6"/>
  <c r="S222" i="6"/>
  <c r="T222" i="6"/>
  <c r="U222" i="6"/>
  <c r="V222" i="6"/>
  <c r="W222" i="6"/>
  <c r="X222" i="6"/>
  <c r="Y222" i="6"/>
  <c r="Z222" i="6"/>
  <c r="AA222" i="6"/>
  <c r="AB222" i="6"/>
  <c r="AD222" i="6"/>
  <c r="AE222" i="6"/>
  <c r="AF222" i="6"/>
  <c r="AG222" i="6"/>
  <c r="AH222" i="6"/>
  <c r="AI222" i="6"/>
  <c r="S223" i="6"/>
  <c r="T223" i="6"/>
  <c r="U223" i="6"/>
  <c r="V223" i="6"/>
  <c r="W223" i="6"/>
  <c r="X223" i="6"/>
  <c r="Y223" i="6"/>
  <c r="Z223" i="6"/>
  <c r="AA223" i="6"/>
  <c r="AB223" i="6"/>
  <c r="AD223" i="6"/>
  <c r="AE223" i="6"/>
  <c r="AF223" i="6"/>
  <c r="AG223" i="6"/>
  <c r="AH223" i="6"/>
  <c r="AI223" i="6"/>
  <c r="S224" i="6"/>
  <c r="T224" i="6"/>
  <c r="U224" i="6"/>
  <c r="V224" i="6"/>
  <c r="W224" i="6"/>
  <c r="X224" i="6"/>
  <c r="Y224" i="6"/>
  <c r="Z224" i="6"/>
  <c r="AA224" i="6"/>
  <c r="AB224" i="6"/>
  <c r="AD224" i="6"/>
  <c r="AE224" i="6"/>
  <c r="AF224" i="6"/>
  <c r="AG224" i="6"/>
  <c r="AH224" i="6"/>
  <c r="AI224" i="6"/>
  <c r="S225" i="6"/>
  <c r="T225" i="6"/>
  <c r="U225" i="6"/>
  <c r="V225" i="6"/>
  <c r="W225" i="6"/>
  <c r="X225" i="6"/>
  <c r="Y225" i="6"/>
  <c r="Z225" i="6"/>
  <c r="AA225" i="6"/>
  <c r="AB225" i="6"/>
  <c r="AD225" i="6"/>
  <c r="AE225" i="6"/>
  <c r="AF225" i="6"/>
  <c r="AG225" i="6"/>
  <c r="AH225" i="6"/>
  <c r="AI225" i="6"/>
  <c r="S226" i="6"/>
  <c r="T226" i="6"/>
  <c r="U226" i="6"/>
  <c r="V226" i="6"/>
  <c r="W226" i="6"/>
  <c r="X226" i="6"/>
  <c r="Y226" i="6"/>
  <c r="Z226" i="6"/>
  <c r="AA226" i="6"/>
  <c r="AB226" i="6"/>
  <c r="AD226" i="6"/>
  <c r="AE226" i="6"/>
  <c r="AF226" i="6"/>
  <c r="AG226" i="6"/>
  <c r="AH226" i="6"/>
  <c r="AI226" i="6"/>
  <c r="S227" i="6"/>
  <c r="T227" i="6"/>
  <c r="U227" i="6"/>
  <c r="V227" i="6"/>
  <c r="W227" i="6"/>
  <c r="X227" i="6"/>
  <c r="Y227" i="6"/>
  <c r="Z227" i="6"/>
  <c r="AA227" i="6"/>
  <c r="AB227" i="6"/>
  <c r="AD227" i="6"/>
  <c r="AE227" i="6"/>
  <c r="AF227" i="6"/>
  <c r="AG227" i="6"/>
  <c r="AH227" i="6"/>
  <c r="AI227" i="6"/>
  <c r="S228" i="6"/>
  <c r="T228" i="6"/>
  <c r="U228" i="6"/>
  <c r="V228" i="6"/>
  <c r="W228" i="6"/>
  <c r="X228" i="6"/>
  <c r="Y228" i="6"/>
  <c r="Z228" i="6"/>
  <c r="AA228" i="6"/>
  <c r="AB228" i="6"/>
  <c r="AD228" i="6"/>
  <c r="AE228" i="6"/>
  <c r="AF228" i="6"/>
  <c r="AG228" i="6"/>
  <c r="AH228" i="6"/>
  <c r="AI228" i="6"/>
  <c r="S229" i="6"/>
  <c r="T229" i="6"/>
  <c r="U229" i="6"/>
  <c r="V229" i="6"/>
  <c r="W229" i="6"/>
  <c r="X229" i="6"/>
  <c r="Y229" i="6"/>
  <c r="Z229" i="6"/>
  <c r="AA229" i="6"/>
  <c r="AB229" i="6"/>
  <c r="AD229" i="6"/>
  <c r="AE229" i="6"/>
  <c r="AF229" i="6"/>
  <c r="AG229" i="6"/>
  <c r="AH229" i="6"/>
  <c r="AI229" i="6"/>
  <c r="S230" i="6"/>
  <c r="T230" i="6"/>
  <c r="U230" i="6"/>
  <c r="V230" i="6"/>
  <c r="W230" i="6"/>
  <c r="X230" i="6"/>
  <c r="Y230" i="6"/>
  <c r="Z230" i="6"/>
  <c r="AA230" i="6"/>
  <c r="AB230" i="6"/>
  <c r="AD230" i="6"/>
  <c r="AE230" i="6"/>
  <c r="AF230" i="6"/>
  <c r="AG230" i="6"/>
  <c r="AH230" i="6"/>
  <c r="AI230" i="6"/>
  <c r="S231" i="6"/>
  <c r="T231" i="6"/>
  <c r="U231" i="6"/>
  <c r="V231" i="6"/>
  <c r="W231" i="6"/>
  <c r="X231" i="6"/>
  <c r="Y231" i="6"/>
  <c r="Z231" i="6"/>
  <c r="AA231" i="6"/>
  <c r="AB231" i="6"/>
  <c r="AD231" i="6"/>
  <c r="AE231" i="6"/>
  <c r="AF231" i="6"/>
  <c r="AG231" i="6"/>
  <c r="AH231" i="6"/>
  <c r="AI231" i="6"/>
  <c r="S232" i="6"/>
  <c r="T232" i="6"/>
  <c r="U232" i="6"/>
  <c r="V232" i="6"/>
  <c r="W232" i="6"/>
  <c r="X232" i="6"/>
  <c r="Y232" i="6"/>
  <c r="Z232" i="6"/>
  <c r="AA232" i="6"/>
  <c r="AB232" i="6"/>
  <c r="AD232" i="6"/>
  <c r="AE232" i="6"/>
  <c r="AF232" i="6"/>
  <c r="AG232" i="6"/>
  <c r="AH232" i="6"/>
  <c r="AI232" i="6"/>
  <c r="S233" i="6"/>
  <c r="T233" i="6"/>
  <c r="U233" i="6"/>
  <c r="V233" i="6"/>
  <c r="W233" i="6"/>
  <c r="X233" i="6"/>
  <c r="Y233" i="6"/>
  <c r="Z233" i="6"/>
  <c r="AA233" i="6"/>
  <c r="AB233" i="6"/>
  <c r="AD233" i="6"/>
  <c r="AE233" i="6"/>
  <c r="AF233" i="6"/>
  <c r="AG233" i="6"/>
  <c r="AH233" i="6"/>
  <c r="AI233" i="6"/>
  <c r="S234" i="6"/>
  <c r="T234" i="6"/>
  <c r="U234" i="6"/>
  <c r="V234" i="6"/>
  <c r="W234" i="6"/>
  <c r="X234" i="6"/>
  <c r="Y234" i="6"/>
  <c r="Z234" i="6"/>
  <c r="AA234" i="6"/>
  <c r="AB234" i="6"/>
  <c r="AD234" i="6"/>
  <c r="AE234" i="6"/>
  <c r="AF234" i="6"/>
  <c r="AG234" i="6"/>
  <c r="AH234" i="6"/>
  <c r="AI234" i="6"/>
  <c r="S235" i="6"/>
  <c r="T235" i="6"/>
  <c r="U235" i="6"/>
  <c r="V235" i="6"/>
  <c r="W235" i="6"/>
  <c r="X235" i="6"/>
  <c r="Y235" i="6"/>
  <c r="Z235" i="6"/>
  <c r="AA235" i="6"/>
  <c r="AB235" i="6"/>
  <c r="AD235" i="6"/>
  <c r="AE235" i="6"/>
  <c r="AF235" i="6"/>
  <c r="AG235" i="6"/>
  <c r="AH235" i="6"/>
  <c r="AI235" i="6"/>
  <c r="S236" i="6"/>
  <c r="T236" i="6"/>
  <c r="U236" i="6"/>
  <c r="V236" i="6"/>
  <c r="W236" i="6"/>
  <c r="X236" i="6"/>
  <c r="Y236" i="6"/>
  <c r="Z236" i="6"/>
  <c r="AA236" i="6"/>
  <c r="AB236" i="6"/>
  <c r="AD236" i="6"/>
  <c r="AE236" i="6"/>
  <c r="AF236" i="6"/>
  <c r="AG236" i="6"/>
  <c r="AH236" i="6"/>
  <c r="AI236" i="6"/>
  <c r="S237" i="6"/>
  <c r="T237" i="6"/>
  <c r="U237" i="6"/>
  <c r="V237" i="6"/>
  <c r="W237" i="6"/>
  <c r="X237" i="6"/>
  <c r="Y237" i="6"/>
  <c r="Z237" i="6"/>
  <c r="AA237" i="6"/>
  <c r="AB237" i="6"/>
  <c r="AD237" i="6"/>
  <c r="AE237" i="6"/>
  <c r="AF237" i="6"/>
  <c r="AG237" i="6"/>
  <c r="AH237" i="6"/>
  <c r="AI237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S8" i="6"/>
  <c r="AD8" i="6"/>
  <c r="AE8" i="6"/>
  <c r="AF8" i="6"/>
  <c r="AG8" i="6"/>
  <c r="AH8" i="6"/>
  <c r="AI8" i="6"/>
  <c r="T10" i="6" l="1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T5" i="6" l="1"/>
  <c r="U8" i="6"/>
  <c r="V7" i="6"/>
  <c r="U10" i="6"/>
  <c r="U9" i="6"/>
  <c r="H4" i="6"/>
  <c r="H3" i="6"/>
  <c r="E5" i="6"/>
  <c r="F5" i="6"/>
  <c r="G5" i="6"/>
  <c r="V9" i="6" l="1"/>
  <c r="V8" i="6"/>
  <c r="V10" i="6"/>
  <c r="W7" i="6"/>
  <c r="U5" i="6"/>
  <c r="H5" i="6"/>
  <c r="V5" i="6" l="1"/>
  <c r="W10" i="6"/>
  <c r="W8" i="6"/>
  <c r="X7" i="6"/>
  <c r="W9" i="6"/>
  <c r="X10" i="6" l="1"/>
  <c r="X8" i="6"/>
  <c r="X9" i="6"/>
  <c r="Y7" i="6"/>
  <c r="W5" i="6"/>
  <c r="Y10" i="6" l="1"/>
  <c r="Y9" i="6"/>
  <c r="Y8" i="6"/>
  <c r="Z7" i="6"/>
  <c r="X5" i="6"/>
  <c r="Z8" i="6" l="1"/>
  <c r="Z10" i="6"/>
  <c r="AA7" i="6"/>
  <c r="Z9" i="6"/>
  <c r="Y5" i="6"/>
  <c r="Z5" i="6" l="1"/>
  <c r="AA9" i="6"/>
  <c r="AA8" i="6"/>
  <c r="AB7" i="6"/>
  <c r="AA10" i="6"/>
  <c r="AA5" i="6" l="1"/>
  <c r="AB9" i="6"/>
  <c r="AB10" i="6"/>
  <c r="AB8" i="6"/>
  <c r="AB5" i="6" l="1"/>
</calcChain>
</file>

<file path=xl/sharedStrings.xml><?xml version="1.0" encoding="utf-8"?>
<sst xmlns="http://schemas.openxmlformats.org/spreadsheetml/2006/main" count="2202" uniqueCount="1004">
  <si>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</si>
  <si>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</si>
  <si>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</si>
  <si>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</si>
  <si>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</si>
  <si>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</si>
  <si>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</si>
  <si>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</si>
  <si>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</si>
  <si>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</si>
  <si>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</si>
  <si>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</si>
  <si>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</si>
  <si>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</si>
  <si>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</si>
  <si>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</si>
  <si>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</si>
  <si>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</si>
  <si>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</si>
  <si>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</si>
  <si>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</si>
  <si>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</si>
  <si>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</si>
  <si>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</si>
  <si>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</si>
  <si>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</si>
  <si>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</si>
  <si>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</si>
  <si>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</si>
  <si>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</si>
  <si>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</si>
  <si>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</si>
  <si>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</si>
  <si>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</si>
  <si>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</si>
  <si>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</si>
  <si>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</si>
  <si>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</si>
  <si>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</si>
  <si>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</si>
  <si>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</si>
  <si>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</si>
  <si>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</si>
  <si>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</si>
  <si>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</si>
  <si>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</si>
  <si>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</si>
  <si>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</si>
  <si>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</si>
  <si>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</si>
  <si>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</si>
  <si>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</si>
  <si>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</si>
  <si>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</si>
  <si>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</si>
  <si>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</si>
  <si>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</si>
  <si>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</si>
  <si>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</si>
  <si>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</si>
  <si>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</si>
  <si>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</si>
  <si>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</si>
  <si>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</si>
  <si>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</si>
  <si>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</si>
  <si>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</si>
  <si>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</si>
  <si>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</si>
  <si>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</si>
  <si>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</si>
  <si>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</si>
  <si>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</si>
  <si>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</si>
  <si>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</si>
  <si>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</si>
  <si>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</si>
  <si>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</si>
  <si>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</si>
  <si>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</si>
  <si>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</si>
  <si>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</si>
  <si>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</si>
  <si>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</si>
  <si>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</si>
  <si>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</si>
  <si>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</si>
  <si>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</si>
  <si>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</si>
  <si>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</si>
  <si>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</si>
  <si>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</si>
  <si>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</si>
  <si>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</si>
  <si>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</si>
  <si>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</si>
  <si>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</si>
  <si>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</si>
  <si>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</si>
  <si>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</si>
  <si>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</si>
  <si>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</si>
  <si>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</si>
  <si>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</si>
  <si>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</si>
  <si>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</si>
  <si>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</si>
  <si>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</si>
  <si>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</si>
  <si>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</si>
  <si>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</si>
  <si>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</si>
  <si>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</si>
  <si>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</si>
  <si>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</si>
  <si>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</si>
  <si>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</si>
  <si>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</si>
  <si>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</si>
  <si>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</si>
  <si>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</si>
  <si>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</si>
  <si>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</si>
  <si>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</si>
  <si>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</si>
  <si>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</si>
  <si>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</si>
  <si>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</si>
  <si>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</si>
  <si>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</si>
  <si>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</si>
  <si>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</si>
  <si>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</si>
  <si>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</si>
  <si>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</si>
  <si>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</si>
  <si>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</si>
  <si>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</si>
  <si>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</si>
  <si>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</si>
  <si>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</si>
  <si>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</si>
  <si>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</si>
  <si>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</si>
  <si>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</si>
  <si>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</si>
  <si>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</si>
  <si>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</si>
  <si>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</si>
  <si>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</si>
  <si>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</si>
  <si>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</si>
  <si>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</si>
  <si>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</si>
  <si>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</si>
  <si>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</si>
  <si>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</si>
  <si>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</si>
  <si>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</si>
  <si>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</si>
  <si>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</si>
  <si>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</si>
  <si>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</si>
  <si>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</si>
  <si>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</si>
  <si>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</si>
  <si>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</si>
  <si>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</si>
  <si>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</si>
  <si>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</si>
  <si>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</si>
  <si>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</si>
  <si>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</si>
  <si>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</si>
  <si>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</si>
  <si>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</si>
  <si>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</si>
  <si>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</si>
  <si>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</si>
  <si>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</si>
  <si>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</si>
  <si>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</si>
  <si>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</si>
  <si>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</si>
  <si>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</si>
  <si>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</si>
  <si>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</si>
  <si>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</si>
  <si>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</si>
  <si>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</si>
  <si>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</si>
  <si>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</si>
  <si>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</si>
  <si>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</si>
  <si>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</si>
  <si>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</si>
  <si>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</si>
  <si>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</si>
  <si>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</si>
  <si>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</si>
  <si>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</si>
  <si>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</si>
  <si>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</si>
  <si>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</si>
  <si>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</si>
  <si>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</si>
  <si>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</si>
  <si>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</si>
  <si>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</si>
  <si>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</si>
  <si>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</si>
  <si>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</si>
  <si>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</si>
  <si>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</si>
  <si>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</si>
  <si>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</si>
  <si>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</si>
  <si>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</si>
  <si>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</si>
  <si>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</si>
  <si>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</si>
  <si>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</si>
  <si>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</si>
  <si>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</si>
  <si>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</si>
  <si>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</si>
  <si>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</si>
  <si>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</si>
  <si>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</si>
  <si>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</si>
  <si>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</si>
  <si>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</si>
  <si>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</si>
  <si>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</si>
  <si>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</si>
  <si>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</si>
  <si>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</si>
  <si>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</si>
  <si>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</si>
  <si>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</si>
  <si>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</si>
  <si>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</si>
  <si>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</si>
  <si>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</si>
  <si>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</si>
  <si>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</si>
  <si>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</si>
  <si>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</si>
  <si>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</si>
  <si>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</si>
  <si>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</si>
  <si>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</si>
  <si>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</si>
  <si>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</si>
  <si>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</si>
  <si>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</si>
  <si>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</si>
  <si>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</si>
  <si>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</si>
  <si>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</si>
  <si>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</si>
  <si>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</si>
  <si>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</si>
  <si>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</si>
  <si>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</si>
  <si>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</si>
  <si>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</si>
  <si>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</si>
  <si>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</si>
  <si>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</si>
  <si>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</si>
  <si>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</si>
  <si>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</si>
  <si>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</si>
  <si>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</si>
  <si>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</si>
  <si>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</si>
  <si>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</si>
  <si>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</si>
  <si>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</si>
  <si>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</si>
  <si>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</si>
  <si>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</si>
  <si>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</si>
  <si>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</si>
  <si>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</si>
  <si>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</si>
  <si>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</si>
  <si>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</si>
  <si>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</si>
  <si>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</si>
  <si>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</si>
  <si>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</si>
  <si>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</si>
  <si>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</si>
  <si>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</si>
  <si>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</si>
  <si>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</si>
  <si>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</si>
  <si>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</si>
  <si>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</si>
  <si>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</si>
  <si>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</si>
  <si>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</si>
  <si>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</si>
  <si>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</si>
  <si>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</si>
  <si>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</si>
  <si>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</si>
  <si>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</si>
  <si>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</si>
  <si>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</si>
  <si>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</si>
  <si>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</si>
  <si>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</si>
  <si>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</si>
  <si>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</si>
  <si>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</si>
  <si>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</si>
  <si>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</si>
  <si>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</si>
  <si>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</si>
  <si>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</si>
  <si>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</si>
  <si>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</si>
  <si>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</si>
  <si>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</si>
  <si>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</si>
  <si>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</si>
  <si>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</si>
  <si>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</si>
  <si>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</si>
  <si>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</si>
  <si>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</si>
  <si>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</si>
  <si>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</si>
  <si>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</si>
  <si>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</si>
  <si>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</si>
  <si>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</si>
  <si>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</si>
  <si>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</si>
  <si>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</si>
  <si>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</si>
  <si>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</si>
  <si>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</si>
  <si>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</si>
  <si>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</si>
  <si>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</si>
  <si>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</si>
  <si>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</si>
  <si>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</si>
  <si>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</si>
  <si>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</si>
  <si>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</si>
  <si>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</si>
  <si>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</si>
  <si>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</si>
  <si>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</si>
  <si>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</si>
  <si>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</si>
  <si>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</si>
  <si>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</si>
  <si>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</si>
  <si>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</si>
  <si>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</si>
  <si>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</si>
  <si>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</si>
  <si>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</si>
  <si>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</si>
  <si>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</si>
  <si>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</si>
  <si>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</si>
  <si>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</si>
  <si>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</si>
  <si>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</si>
  <si>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</si>
  <si>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</si>
  <si>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</si>
  <si>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</si>
  <si>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</si>
  <si>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</si>
  <si>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</si>
  <si>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</si>
  <si>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</si>
  <si>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</si>
  <si>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</si>
  <si>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</si>
  <si>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</si>
  <si>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</si>
  <si>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</si>
  <si>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</si>
  <si>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</si>
  <si>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</si>
  <si>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</si>
  <si>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</si>
  <si>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</si>
  <si>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</si>
  <si>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</si>
  <si>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</si>
  <si>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</si>
  <si>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</si>
  <si>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</si>
  <si>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</si>
  <si>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</si>
  <si>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</si>
  <si>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</si>
  <si>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</si>
  <si>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</si>
  <si>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</si>
  <si>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</si>
  <si>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</si>
  <si>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</si>
  <si>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</si>
  <si>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</si>
  <si>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</si>
  <si>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</si>
  <si>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</si>
  <si>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</si>
  <si>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</si>
  <si>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</si>
  <si>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</si>
  <si>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</si>
  <si>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</si>
  <si>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</si>
  <si>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</si>
  <si>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</si>
  <si>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</si>
  <si>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</si>
  <si>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</si>
  <si>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</si>
  <si>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</si>
  <si>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</si>
  <si>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</si>
  <si>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</si>
  <si>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</si>
  <si>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</si>
  <si>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</si>
  <si>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</si>
  <si>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</si>
  <si>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</si>
  <si>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</si>
  <si>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</si>
  <si>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</si>
  <si>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</si>
  <si>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</si>
  <si>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</si>
  <si>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</si>
  <si>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</si>
  <si>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</si>
  <si>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</si>
  <si>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</si>
  <si>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</si>
  <si>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</si>
  <si>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</si>
  <si>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</si>
  <si>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</si>
  <si>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</si>
  <si>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</si>
  <si>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</si>
  <si>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</si>
  <si>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</si>
  <si>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</si>
  <si>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</si>
  <si>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</si>
  <si>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</si>
  <si>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</si>
  <si>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</si>
  <si>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</si>
  <si>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</si>
  <si>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</si>
  <si>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</si>
  <si>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</si>
  <si>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</si>
  <si>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</si>
  <si>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</si>
  <si>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</si>
  <si>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</si>
  <si>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</si>
  <si>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</si>
  <si>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</si>
  <si>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</si>
  <si>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</si>
  <si>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</si>
  <si>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</si>
  <si>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</si>
  <si>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</si>
  <si>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</si>
  <si>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</si>
  <si>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</si>
  <si>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</si>
  <si>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</si>
  <si>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</si>
  <si>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</si>
  <si>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</si>
  <si>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</si>
  <si>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</si>
  <si>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</si>
  <si>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</si>
  <si>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</si>
  <si>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</si>
  <si>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</si>
  <si>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</si>
  <si>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</si>
  <si>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</si>
  <si>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</si>
  <si>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</si>
  <si>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</si>
  <si>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</si>
  <si>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</si>
  <si>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</si>
  <si>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</si>
  <si>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</si>
  <si>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</si>
  <si>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</si>
  <si>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</si>
  <si>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</si>
  <si>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</si>
  <si>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</si>
  <si>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</si>
  <si>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</si>
  <si>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</si>
  <si>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</si>
  <si>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</si>
  <si>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</si>
  <si>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</si>
  <si>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</si>
  <si>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</si>
  <si>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</si>
  <si>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</si>
  <si>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</si>
  <si>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</si>
  <si>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</si>
  <si>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</si>
  <si>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</si>
  <si>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</si>
  <si>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</si>
  <si>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</si>
  <si>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</si>
  <si>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</si>
  <si>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</si>
  <si>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</si>
  <si>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</si>
  <si>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</si>
  <si>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</si>
  <si>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</si>
  <si>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</si>
  <si>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</si>
  <si>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</si>
  <si>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</si>
  <si>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</si>
  <si>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</si>
  <si>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</si>
  <si>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</si>
  <si>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</si>
  <si>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</si>
  <si>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</si>
  <si>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</si>
  <si>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</si>
  <si>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</si>
  <si>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</si>
  <si>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</si>
  <si>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</si>
  <si>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</si>
  <si>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</si>
  <si>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</si>
  <si>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</si>
  <si>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</si>
  <si>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</si>
  <si>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</si>
  <si>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</si>
  <si>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</si>
  <si>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</si>
  <si>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</si>
  <si>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</si>
  <si>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</si>
  <si>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</si>
  <si>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</si>
  <si>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</si>
  <si>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</si>
  <si>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</si>
  <si>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</si>
  <si>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</si>
  <si>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</si>
  <si>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</si>
  <si>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</si>
  <si>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</si>
  <si>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</si>
  <si>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</si>
  <si>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</si>
  <si>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</si>
  <si>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</si>
  <si>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</si>
  <si>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</si>
  <si>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</si>
  <si>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</si>
  <si>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</si>
  <si>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</si>
  <si>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</si>
  <si>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</si>
  <si>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</si>
  <si>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</si>
  <si>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</si>
  <si>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</si>
  <si>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</si>
  <si>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</si>
  <si>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</si>
  <si>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</si>
  <si>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</si>
  <si>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</si>
  <si>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</si>
  <si>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</si>
  <si>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</si>
  <si>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</si>
  <si>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</si>
  <si>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</si>
  <si>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</si>
  <si>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</si>
  <si>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</si>
  <si>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</si>
  <si>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</si>
  <si>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</si>
  <si>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</si>
  <si>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</si>
  <si>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</si>
  <si>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</si>
  <si>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</si>
  <si>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</si>
  <si>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</si>
  <si>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</si>
  <si>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</si>
  <si>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</si>
  <si>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</si>
  <si>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</si>
  <si>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</si>
  <si>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</si>
  <si>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</si>
  <si>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</si>
  <si>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</si>
  <si>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</si>
  <si>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</si>
  <si>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</si>
  <si>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</si>
  <si>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</si>
  <si>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</si>
  <si>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</si>
  <si>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</si>
  <si>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</si>
  <si>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</si>
  <si>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</si>
  <si>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</si>
  <si>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</si>
  <si>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</si>
  <si>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</si>
  <si>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</si>
  <si>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</si>
  <si>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</si>
  <si>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</si>
  <si>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</si>
  <si>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</si>
  <si>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</si>
  <si>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</si>
  <si>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</si>
  <si>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</si>
  <si>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</si>
  <si>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</si>
  <si>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</si>
  <si>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</si>
  <si>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</si>
  <si>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</si>
  <si>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</si>
  <si>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</si>
  <si>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</si>
  <si>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</si>
  <si>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</si>
  <si>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</si>
  <si>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</si>
  <si>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</si>
  <si>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</si>
  <si>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</si>
  <si>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</si>
  <si>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</si>
  <si>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</si>
  <si>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</si>
  <si>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</si>
  <si>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</si>
  <si>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</si>
  <si>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</si>
  <si>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</si>
  <si>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</si>
  <si>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</si>
  <si>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</si>
  <si>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</si>
  <si>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</si>
  <si>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</si>
  <si>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</si>
  <si>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</si>
  <si>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</si>
  <si>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</si>
  <si>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</si>
  <si>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</si>
  <si>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</si>
  <si>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</si>
  <si>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</si>
  <si>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</si>
  <si>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</si>
  <si>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</si>
  <si>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</si>
  <si>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</si>
  <si>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</si>
  <si>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</si>
  <si>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</si>
  <si>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</si>
  <si>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</si>
  <si>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</si>
  <si>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</si>
  <si>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</si>
  <si>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</si>
  <si>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</si>
  <si>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</si>
  <si>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</si>
  <si>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</si>
  <si>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</si>
  <si>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</si>
  <si>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</si>
  <si>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</si>
  <si>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</si>
  <si>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</si>
  <si>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</si>
  <si>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</si>
  <si>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</si>
  <si>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</si>
  <si>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</si>
  <si>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</si>
  <si>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</si>
  <si>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</si>
  <si>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</si>
  <si>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</si>
  <si>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</si>
  <si>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</si>
  <si>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</si>
  <si>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</si>
  <si>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</si>
  <si>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</si>
  <si>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</si>
  <si>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</si>
  <si>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</si>
  <si>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</si>
  <si>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</si>
  <si>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</si>
  <si>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</si>
  <si>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</si>
  <si>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</si>
  <si>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</si>
  <si>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</si>
  <si>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</si>
  <si>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</si>
  <si>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</si>
  <si>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</si>
  <si>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</si>
  <si>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</si>
  <si>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</si>
  <si>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</si>
  <si>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</si>
  <si>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</si>
  <si>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</si>
  <si>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</si>
  <si>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</si>
  <si>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</si>
  <si>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</si>
  <si>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</si>
  <si>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</si>
  <si>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</si>
  <si>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</si>
  <si>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</si>
  <si>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</si>
  <si>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</si>
  <si>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</si>
  <si>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</si>
  <si>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</si>
  <si>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</si>
  <si>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</si>
  <si>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</si>
  <si>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</si>
  <si>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</si>
  <si>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</si>
  <si>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</si>
  <si>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</si>
  <si>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</si>
  <si>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</si>
  <si>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</si>
  <si>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</si>
  <si>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</si>
  <si>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</si>
  <si>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</si>
  <si>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</si>
  <si>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</si>
  <si>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</si>
  <si>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</si>
  <si>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</si>
  <si>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</si>
  <si>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</si>
  <si>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</si>
  <si>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</si>
  <si>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</si>
  <si>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</si>
  <si>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</si>
  <si>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</si>
  <si>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</si>
  <si>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</si>
  <si>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</si>
  <si>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</si>
  <si>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</si>
  <si>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</si>
  <si>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</si>
  <si>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</si>
  <si>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</si>
  <si>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</si>
  <si>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</si>
  <si>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</si>
  <si>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</si>
  <si>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</si>
  <si>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</si>
  <si>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</si>
  <si>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</si>
  <si>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</si>
  <si>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</si>
  <si>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</si>
  <si>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</si>
  <si>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</si>
  <si>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</si>
  <si>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</si>
  <si>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</si>
  <si>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</si>
  <si>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</si>
  <si>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</si>
  <si>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</si>
  <si>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</si>
  <si>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</si>
  <si>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</si>
  <si>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</si>
  <si>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</si>
  <si>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</si>
  <si>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</si>
  <si>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</si>
  <si>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</si>
  <si>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</si>
  <si>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</si>
  <si>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</si>
  <si>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</si>
  <si>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</si>
  <si>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</si>
  <si>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</si>
  <si>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</si>
  <si>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</si>
  <si>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</si>
  <si>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</si>
  <si>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</si>
  <si>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</si>
  <si>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</si>
  <si>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</si>
  <si>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</si>
  <si>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</si>
  <si>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</si>
  <si>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</si>
  <si>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</si>
  <si>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</si>
  <si>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</si>
  <si>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</si>
  <si>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</si>
  <si>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</si>
  <si>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</si>
  <si>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</si>
  <si>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</si>
  <si>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</si>
  <si>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</si>
  <si>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</si>
  <si>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</si>
  <si>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</si>
  <si>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</si>
  <si>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</si>
  <si>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</si>
  <si>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</si>
  <si>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</si>
  <si>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</si>
  <si>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</si>
  <si>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</si>
  <si>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</si>
  <si>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</si>
  <si>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</si>
  <si>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</si>
  <si>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</si>
  <si>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</si>
  <si>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</si>
  <si>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</si>
  <si>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</si>
  <si>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</si>
  <si>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</si>
  <si>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</si>
  <si>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</si>
  <si>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</si>
  <si>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</si>
  <si>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</si>
  <si>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</si>
  <si>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</si>
  <si>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</si>
  <si>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</si>
  <si>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</si>
  <si>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</si>
  <si>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</si>
  <si>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</si>
  <si>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</si>
  <si>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</si>
  <si>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</si>
  <si>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</si>
  <si>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</si>
  <si>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</si>
  <si>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</si>
  <si>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</si>
  <si>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</si>
  <si>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</si>
  <si>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</si>
  <si>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</si>
  <si>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</si>
  <si>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</si>
  <si>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</si>
  <si>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</si>
  <si>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</si>
  <si>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</si>
  <si>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</si>
  <si>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</si>
  <si>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</si>
  <si>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</si>
  <si>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</si>
  <si>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</si>
  <si>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</si>
  <si>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</si>
  <si>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</si>
  <si>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</si>
  <si>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</si>
  <si>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</si>
  <si>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</si>
  <si>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</si>
  <si>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</si>
  <si>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</si>
  <si>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</si>
  <si>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</si>
  <si>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</si>
  <si>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</si>
  <si>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</si>
  <si>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</si>
  <si>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</si>
  <si>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</si>
  <si>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</si>
  <si>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</si>
  <si>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</si>
  <si>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</si>
  <si>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</si>
  <si>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</si>
  <si>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</si>
  <si>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</si>
  <si>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</si>
  <si>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</si>
  <si>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</si>
  <si>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</si>
  <si>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</si>
  <si>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</si>
  <si>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</si>
  <si>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</si>
  <si>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</si>
  <si>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</si>
  <si>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</si>
  <si>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</si>
  <si>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</si>
  <si>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</si>
  <si>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</si>
  <si>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</si>
  <si>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</si>
  <si>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</si>
  <si>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</si>
  <si>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</si>
  <si>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</si>
  <si>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</si>
  <si>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</si>
  <si>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</si>
  <si>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</si>
  <si>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</si>
  <si>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</si>
  <si>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</si>
  <si>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</si>
  <si>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Alberto Magrì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</si>
  <si>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</si>
  <si>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</si>
  <si>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</si>
  <si>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</si>
  <si>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</si>
  <si>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</si>
  <si>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</si>
  <si>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</si>
  <si>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</si>
  <si>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</si>
  <si>
    <t>1 calice di vino e due preparazioni (no semplici cetriolini e giardiniera, ma cose più strutturate)</t>
  </si>
  <si>
    <t>tre piatti salati (non piatti semplici e di sole verdure; due dalla sezione paradiso e uno da quella inferno) + dolce</t>
  </si>
  <si>
    <t>1 supplì, 1 margherita, 1 pizza speciale, 1 pain au chocolat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</si>
</sst>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39"/>
  <sheetViews>
    <sheetView tabSelected="1" zoomScale="110" zoomScaleNormal="110" workbookViewId="0">
      <pane ySplit="7" topLeftCell="A41" activePane="bottomLeft" state="frozen"/>
      <selection pane="bottomLeft" activeCell="A51" sqref="A51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51</v>
      </c>
      <c r="F3" s="7">
        <f>+AD6</f>
        <v>59</v>
      </c>
      <c r="G3" s="7">
        <f>+AF6</f>
        <v>46</v>
      </c>
      <c r="H3" s="7">
        <f>+E3-G3</f>
        <v>5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97</v>
      </c>
      <c r="G4" s="9">
        <f>+AG6</f>
        <v>76</v>
      </c>
      <c r="H4" s="7">
        <f>+E4-G4</f>
        <v>65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192</v>
      </c>
      <c r="F5" s="11">
        <f>+F3+F4</f>
        <v>156</v>
      </c>
      <c r="G5" s="11">
        <f>+G3+G4</f>
        <v>122</v>
      </c>
      <c r="H5" s="11">
        <f>+H3+H4</f>
        <v>70</v>
      </c>
      <c r="I5" s="25" t="s">
        <v>43</v>
      </c>
      <c r="J5" s="12"/>
      <c r="K5" s="12"/>
      <c r="N5" s="13"/>
      <c r="R5" s="12"/>
      <c r="S5" s="12">
        <f t="shared" ref="S5:AB5" si="0">SUM(S8:S1881)</f>
        <v>25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21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8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SUM(AD8:AD1880)</f>
        <v>59</v>
      </c>
      <c r="AE6" s="2">
        <f t="shared" si="1"/>
        <v>97</v>
      </c>
      <c r="AF6" s="2">
        <f t="shared" si="1"/>
        <v>46</v>
      </c>
      <c r="AG6" s="2">
        <f t="shared" si="1"/>
        <v>76</v>
      </c>
      <c r="AH6" s="2">
        <f t="shared" si="1"/>
        <v>51</v>
      </c>
      <c r="AI6" s="2">
        <f t="shared" si="1"/>
        <v>141</v>
      </c>
    </row>
    <row r="7" spans="1:35" s="40" customFormat="1" ht="14.25" customHeight="1" x14ac:dyDescent="0.25">
      <c r="A7" s="35" t="s">
        <v>706</v>
      </c>
      <c r="B7" s="35" t="s">
        <v>703</v>
      </c>
      <c r="C7" s="35" t="s">
        <v>704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861</v>
      </c>
      <c r="L7" s="35" t="s">
        <v>19</v>
      </c>
      <c r="M7" s="36" t="s">
        <v>705</v>
      </c>
      <c r="N7" s="37" t="s">
        <v>0</v>
      </c>
      <c r="O7" s="36" t="s">
        <v>1</v>
      </c>
      <c r="P7" s="36" t="s">
        <v>2</v>
      </c>
      <c r="Q7" s="36" t="s">
        <v>956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453</v>
      </c>
      <c r="E8" s="30" t="s">
        <v>260</v>
      </c>
      <c r="F8" s="30" t="s">
        <v>472</v>
      </c>
      <c r="G8" s="30" t="s">
        <v>96</v>
      </c>
      <c r="H8" s="30" t="s">
        <v>165</v>
      </c>
      <c r="I8" s="29" t="s">
        <v>454</v>
      </c>
      <c r="J8" s="29">
        <v>3</v>
      </c>
      <c r="K8" s="29" t="s">
        <v>323</v>
      </c>
      <c r="L8" s="29">
        <v>260</v>
      </c>
      <c r="M8" s="30" t="s">
        <v>876</v>
      </c>
      <c r="N8" s="30" t="s">
        <v>907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3">+O8*P8*(1-A8)</f>
        <v>0</v>
      </c>
      <c r="AG8" s="2">
        <f t="shared" ref="AG8:AG10" si="4">O8*(1-P8)*(1-A8)</f>
        <v>1</v>
      </c>
      <c r="AH8" s="2">
        <f t="shared" ref="AH8:AH10" si="5">+P8*(1-A8)</f>
        <v>0</v>
      </c>
      <c r="AI8" s="2">
        <f t="shared" ref="AI8:AI10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659</v>
      </c>
      <c r="E9" s="30" t="s">
        <v>260</v>
      </c>
      <c r="F9" s="30" t="s">
        <v>660</v>
      </c>
      <c r="G9" s="30" t="s">
        <v>93</v>
      </c>
      <c r="H9" s="30" t="s">
        <v>165</v>
      </c>
      <c r="I9" s="29" t="s">
        <v>661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893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893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32">
        <v>0</v>
      </c>
      <c r="B11" s="32">
        <v>1</v>
      </c>
      <c r="C11" s="32">
        <v>1</v>
      </c>
      <c r="D11" s="33" t="s">
        <v>69</v>
      </c>
      <c r="E11" s="33" t="s">
        <v>260</v>
      </c>
      <c r="F11" s="33" t="s">
        <v>147</v>
      </c>
      <c r="G11" s="33" t="s">
        <v>103</v>
      </c>
      <c r="H11" s="33" t="s">
        <v>165</v>
      </c>
      <c r="I11" s="32" t="s">
        <v>192</v>
      </c>
      <c r="J11" s="32">
        <v>6</v>
      </c>
      <c r="K11" s="32" t="s">
        <v>323</v>
      </c>
      <c r="L11" s="32">
        <v>180</v>
      </c>
      <c r="M11" s="33" t="s">
        <v>206</v>
      </c>
      <c r="N11" s="33" t="s">
        <v>896</v>
      </c>
      <c r="O11" s="34"/>
      <c r="P11" s="34"/>
      <c r="Q11" s="33"/>
      <c r="S11" s="2">
        <f t="shared" ref="S11:S74" si="7">IF(J11=$S$7,1,0)</f>
        <v>0</v>
      </c>
      <c r="T11" s="2">
        <f t="shared" ref="T11:T74" si="8">IF(J11=$T$7,1,0)</f>
        <v>0</v>
      </c>
      <c r="U11" s="2">
        <f t="shared" ref="U11:U74" si="9">IF(J11=$U$7,1,0)</f>
        <v>0</v>
      </c>
      <c r="V11" s="2">
        <f t="shared" ref="V11:V74" si="10">IF(J11=$V$7,1,0)</f>
        <v>0</v>
      </c>
      <c r="W11" s="2">
        <f t="shared" ref="W11:W74" si="11">IF(J11=$W$7,1,0)</f>
        <v>0</v>
      </c>
      <c r="X11" s="2">
        <f t="shared" ref="X11:X74" si="12">IF(J11=$X$7,1,0)</f>
        <v>1</v>
      </c>
      <c r="Y11" s="2">
        <f t="shared" ref="Y11:Y74" si="13">IF(J11=$Y$7,1,0)</f>
        <v>0</v>
      </c>
      <c r="Z11" s="2">
        <f t="shared" ref="Z11:Z74" si="14">IF(J11=$Z$7,1,0)</f>
        <v>0</v>
      </c>
      <c r="AA11" s="2">
        <f t="shared" ref="AA11:AA74" si="15">IF(J11=$AA$7,1,0)</f>
        <v>0</v>
      </c>
      <c r="AB11" s="2">
        <f t="shared" ref="AB11:AB74" si="16">IF(J11=$AB$7,1,0)</f>
        <v>0</v>
      </c>
      <c r="AD11" s="2">
        <f t="shared" ref="AD11:AD74" si="17">+O11*P11</f>
        <v>0</v>
      </c>
      <c r="AE11" s="2">
        <f t="shared" ref="AE11:AE74" si="18">O11*(1-P11)</f>
        <v>0</v>
      </c>
      <c r="AF11" s="2">
        <f t="shared" ref="AF11:AF74" si="19">+O11*P11*(1-A11)</f>
        <v>0</v>
      </c>
      <c r="AG11" s="2">
        <f t="shared" ref="AG11:AG74" si="20">O11*(1-P11)*(1-A11)</f>
        <v>0</v>
      </c>
      <c r="AH11" s="2">
        <f t="shared" ref="AH11:AH74" si="21">+P11*(1-A11)</f>
        <v>0</v>
      </c>
      <c r="AI11" s="2">
        <f t="shared" ref="AI11:AI74" si="22">+(1-A11)*(1-P11)</f>
        <v>1</v>
      </c>
    </row>
    <row r="12" spans="1:35" ht="14.25" customHeight="1" x14ac:dyDescent="0.25">
      <c r="A12" s="29">
        <v>0</v>
      </c>
      <c r="B12" s="29">
        <v>1</v>
      </c>
      <c r="C12" s="29">
        <v>1</v>
      </c>
      <c r="D12" s="30" t="s">
        <v>764</v>
      </c>
      <c r="E12" s="30" t="s">
        <v>260</v>
      </c>
      <c r="F12" s="30" t="s">
        <v>517</v>
      </c>
      <c r="G12" s="30" t="s">
        <v>587</v>
      </c>
      <c r="H12" s="30" t="s">
        <v>165</v>
      </c>
      <c r="I12" s="29" t="s">
        <v>518</v>
      </c>
      <c r="J12" s="29">
        <v>1</v>
      </c>
      <c r="K12" s="29" t="s">
        <v>378</v>
      </c>
      <c r="L12" s="29">
        <v>160</v>
      </c>
      <c r="M12" s="30" t="s">
        <v>877</v>
      </c>
      <c r="N12" s="30" t="s">
        <v>907</v>
      </c>
      <c r="O12" s="31">
        <v>1</v>
      </c>
      <c r="P12" s="31"/>
      <c r="Q12" s="30"/>
      <c r="S12" s="2">
        <f t="shared" si="7"/>
        <v>1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D12" s="2">
        <f t="shared" si="17"/>
        <v>0</v>
      </c>
      <c r="AE12" s="2">
        <f t="shared" si="18"/>
        <v>1</v>
      </c>
      <c r="AF12" s="2">
        <f t="shared" si="19"/>
        <v>0</v>
      </c>
      <c r="AG12" s="2">
        <f t="shared" si="20"/>
        <v>1</v>
      </c>
      <c r="AH12" s="2">
        <f t="shared" si="21"/>
        <v>0</v>
      </c>
      <c r="AI12" s="2">
        <f t="shared" si="22"/>
        <v>1</v>
      </c>
    </row>
    <row r="13" spans="1:35" ht="14.25" customHeight="1" x14ac:dyDescent="0.25">
      <c r="A13" s="32">
        <v>0</v>
      </c>
      <c r="B13" s="32">
        <v>1</v>
      </c>
      <c r="C13" s="32">
        <v>1</v>
      </c>
      <c r="D13" s="33" t="s">
        <v>810</v>
      </c>
      <c r="E13" s="33" t="s">
        <v>260</v>
      </c>
      <c r="F13" s="33" t="s">
        <v>115</v>
      </c>
      <c r="G13" s="33" t="s">
        <v>116</v>
      </c>
      <c r="H13" s="33" t="s">
        <v>165</v>
      </c>
      <c r="I13" s="32" t="s">
        <v>177</v>
      </c>
      <c r="J13" s="32">
        <v>99</v>
      </c>
      <c r="K13" s="32" t="s">
        <v>327</v>
      </c>
      <c r="L13" s="32">
        <v>210</v>
      </c>
      <c r="M13" s="33" t="s">
        <v>878</v>
      </c>
      <c r="N13" s="33" t="s">
        <v>894</v>
      </c>
      <c r="O13" s="34"/>
      <c r="P13" s="34"/>
      <c r="Q13" s="33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19"/>
        <v>0</v>
      </c>
      <c r="AG13" s="2">
        <f t="shared" si="20"/>
        <v>0</v>
      </c>
      <c r="AH13" s="2">
        <f t="shared" si="21"/>
        <v>0</v>
      </c>
      <c r="AI13" s="2">
        <f t="shared" si="22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574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893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ht="14.25" customHeight="1" x14ac:dyDescent="0.25">
      <c r="A15" s="32">
        <v>0</v>
      </c>
      <c r="B15" s="32">
        <v>1</v>
      </c>
      <c r="C15" s="32">
        <v>1</v>
      </c>
      <c r="D15" s="33" t="s">
        <v>64</v>
      </c>
      <c r="E15" s="33" t="s">
        <v>262</v>
      </c>
      <c r="F15" s="33" t="s">
        <v>139</v>
      </c>
      <c r="G15" s="33" t="s">
        <v>140</v>
      </c>
      <c r="H15" s="33" t="s">
        <v>165</v>
      </c>
      <c r="I15" s="32" t="s">
        <v>185</v>
      </c>
      <c r="J15" s="32">
        <v>99</v>
      </c>
      <c r="K15" s="32" t="s">
        <v>325</v>
      </c>
      <c r="L15" s="32" t="s">
        <v>859</v>
      </c>
      <c r="M15" s="33" t="s">
        <v>736</v>
      </c>
      <c r="N15" s="33" t="s">
        <v>928</v>
      </c>
      <c r="O15" s="34"/>
      <c r="P15" s="34"/>
      <c r="Q15" s="3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19"/>
        <v>0</v>
      </c>
      <c r="AG15" s="2">
        <f t="shared" si="20"/>
        <v>0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857</v>
      </c>
      <c r="M16" s="21" t="s">
        <v>737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ht="14.25" customHeight="1" x14ac:dyDescent="0.25">
      <c r="A17" s="32">
        <v>0</v>
      </c>
      <c r="B17" s="32">
        <v>1</v>
      </c>
      <c r="C17" s="32">
        <v>1</v>
      </c>
      <c r="D17" s="33" t="s">
        <v>379</v>
      </c>
      <c r="E17" s="33" t="s">
        <v>260</v>
      </c>
      <c r="F17" s="33" t="s">
        <v>380</v>
      </c>
      <c r="G17" s="33" t="s">
        <v>381</v>
      </c>
      <c r="H17" s="33" t="s">
        <v>382</v>
      </c>
      <c r="I17" s="32" t="s">
        <v>383</v>
      </c>
      <c r="J17" s="32">
        <v>99</v>
      </c>
      <c r="K17" s="32" t="s">
        <v>378</v>
      </c>
      <c r="L17" s="32">
        <v>170</v>
      </c>
      <c r="M17" s="33" t="s">
        <v>892</v>
      </c>
      <c r="N17" s="33" t="s">
        <v>897</v>
      </c>
      <c r="O17" s="34"/>
      <c r="P17" s="34"/>
      <c r="Q17" s="3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D17" s="2">
        <f t="shared" si="17"/>
        <v>0</v>
      </c>
      <c r="AE17" s="2">
        <f t="shared" si="18"/>
        <v>0</v>
      </c>
      <c r="AF17" s="2">
        <f t="shared" si="19"/>
        <v>0</v>
      </c>
      <c r="AG17" s="2">
        <f t="shared" si="20"/>
        <v>0</v>
      </c>
      <c r="AH17" s="2">
        <f t="shared" si="21"/>
        <v>0</v>
      </c>
      <c r="AI17" s="2">
        <f t="shared" si="22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377</v>
      </c>
      <c r="L18" s="29" t="s">
        <v>40</v>
      </c>
      <c r="M18" s="30" t="s">
        <v>40</v>
      </c>
      <c r="N18" s="30" t="s">
        <v>893</v>
      </c>
      <c r="O18" s="31">
        <v>1</v>
      </c>
      <c r="P18" s="31">
        <v>1</v>
      </c>
      <c r="Q18" s="30"/>
      <c r="S18" s="2">
        <f t="shared" si="7"/>
        <v>1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D18" s="2">
        <f t="shared" si="17"/>
        <v>1</v>
      </c>
      <c r="AE18" s="2">
        <f t="shared" si="18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ht="14.25" customHeight="1" x14ac:dyDescent="0.25">
      <c r="A19" s="32">
        <v>0</v>
      </c>
      <c r="B19" s="32">
        <v>1</v>
      </c>
      <c r="C19" s="32">
        <v>1</v>
      </c>
      <c r="D19" s="33" t="s">
        <v>545</v>
      </c>
      <c r="E19" s="33" t="s">
        <v>262</v>
      </c>
      <c r="F19" s="33" t="s">
        <v>544</v>
      </c>
      <c r="G19" s="33" t="s">
        <v>565</v>
      </c>
      <c r="H19" s="33" t="s">
        <v>165</v>
      </c>
      <c r="I19" s="32" t="s">
        <v>848</v>
      </c>
      <c r="J19" s="32">
        <v>99</v>
      </c>
      <c r="K19" s="32" t="s">
        <v>328</v>
      </c>
      <c r="L19" s="32" t="s">
        <v>857</v>
      </c>
      <c r="M19" s="33" t="s">
        <v>739</v>
      </c>
      <c r="N19" s="33" t="s">
        <v>895</v>
      </c>
      <c r="O19" s="34"/>
      <c r="P19" s="34"/>
      <c r="Q19" s="3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0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D19" s="2">
        <f t="shared" si="17"/>
        <v>0</v>
      </c>
      <c r="AE19" s="2">
        <f t="shared" si="18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858</v>
      </c>
      <c r="M20" s="21" t="s">
        <v>206</v>
      </c>
      <c r="N20" s="21"/>
      <c r="O20" s="7"/>
      <c r="P20" s="7"/>
      <c r="Q20" s="21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D20" s="2">
        <f t="shared" si="17"/>
        <v>0</v>
      </c>
      <c r="AE20" s="2">
        <f t="shared" si="18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ht="14.25" customHeight="1" x14ac:dyDescent="0.25">
      <c r="A21" s="32">
        <v>0</v>
      </c>
      <c r="B21" s="32">
        <v>1</v>
      </c>
      <c r="C21" s="32">
        <v>2</v>
      </c>
      <c r="D21" s="33" t="s">
        <v>66</v>
      </c>
      <c r="E21" s="33" t="s">
        <v>262</v>
      </c>
      <c r="F21" s="33" t="s">
        <v>121</v>
      </c>
      <c r="G21" s="33" t="s">
        <v>122</v>
      </c>
      <c r="H21" s="33" t="s">
        <v>165</v>
      </c>
      <c r="I21" s="32" t="s">
        <v>187</v>
      </c>
      <c r="J21" s="32">
        <v>6</v>
      </c>
      <c r="K21" s="32" t="s">
        <v>326</v>
      </c>
      <c r="L21" s="32">
        <v>75</v>
      </c>
      <c r="M21" s="33" t="s">
        <v>902</v>
      </c>
      <c r="N21" s="33" t="s">
        <v>929</v>
      </c>
      <c r="O21" s="34"/>
      <c r="P21" s="34"/>
      <c r="Q21" s="3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0</v>
      </c>
      <c r="W21" s="2">
        <f t="shared" si="11"/>
        <v>0</v>
      </c>
      <c r="X21" s="2">
        <f t="shared" si="12"/>
        <v>1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D21" s="2">
        <f t="shared" si="17"/>
        <v>0</v>
      </c>
      <c r="AE21" s="2">
        <f t="shared" si="18"/>
        <v>0</v>
      </c>
      <c r="AF21" s="2">
        <f t="shared" si="19"/>
        <v>0</v>
      </c>
      <c r="AG21" s="2">
        <f t="shared" si="20"/>
        <v>0</v>
      </c>
      <c r="AH21" s="2">
        <f t="shared" si="21"/>
        <v>0</v>
      </c>
      <c r="AI21" s="2">
        <f t="shared" si="22"/>
        <v>1</v>
      </c>
    </row>
    <row r="22" spans="1:35" ht="14.25" customHeight="1" x14ac:dyDescent="0.25">
      <c r="A22" s="32">
        <v>0</v>
      </c>
      <c r="B22" s="32">
        <v>1</v>
      </c>
      <c r="C22" s="32">
        <v>2</v>
      </c>
      <c r="D22" s="33" t="s">
        <v>460</v>
      </c>
      <c r="E22" s="33" t="s">
        <v>467</v>
      </c>
      <c r="F22" s="33" t="s">
        <v>833</v>
      </c>
      <c r="G22" s="33" t="s">
        <v>834</v>
      </c>
      <c r="H22" s="33" t="s">
        <v>165</v>
      </c>
      <c r="I22" s="32" t="s">
        <v>418</v>
      </c>
      <c r="J22" s="32">
        <v>99</v>
      </c>
      <c r="K22" s="32" t="s">
        <v>325</v>
      </c>
      <c r="L22" s="32" t="s">
        <v>346</v>
      </c>
      <c r="M22" s="33" t="s">
        <v>206</v>
      </c>
      <c r="N22" s="33" t="s">
        <v>928</v>
      </c>
      <c r="O22" s="34"/>
      <c r="P22" s="34"/>
      <c r="Q22" s="33"/>
      <c r="S22" s="2">
        <f t="shared" si="7"/>
        <v>0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D22" s="2">
        <f t="shared" si="17"/>
        <v>0</v>
      </c>
      <c r="AE22" s="2">
        <f t="shared" si="18"/>
        <v>0</v>
      </c>
      <c r="AF22" s="2">
        <f t="shared" si="19"/>
        <v>0</v>
      </c>
      <c r="AG22" s="2">
        <f t="shared" si="20"/>
        <v>0</v>
      </c>
      <c r="AH22" s="2">
        <f t="shared" si="21"/>
        <v>0</v>
      </c>
      <c r="AI22" s="2">
        <f t="shared" si="22"/>
        <v>1</v>
      </c>
    </row>
    <row r="23" spans="1:35" ht="14.25" customHeight="1" x14ac:dyDescent="0.25">
      <c r="A23" s="32">
        <v>0</v>
      </c>
      <c r="B23" s="32">
        <v>1</v>
      </c>
      <c r="C23" s="32">
        <v>2</v>
      </c>
      <c r="D23" s="33" t="s">
        <v>75</v>
      </c>
      <c r="E23" s="33" t="s">
        <v>263</v>
      </c>
      <c r="F23" s="33" t="s">
        <v>156</v>
      </c>
      <c r="G23" s="33" t="s">
        <v>157</v>
      </c>
      <c r="H23" s="33" t="s">
        <v>165</v>
      </c>
      <c r="I23" s="32" t="s">
        <v>840</v>
      </c>
      <c r="J23" s="32">
        <v>99</v>
      </c>
      <c r="K23" s="32" t="s">
        <v>325</v>
      </c>
      <c r="L23" s="32">
        <v>45</v>
      </c>
      <c r="M23" s="33" t="s">
        <v>904</v>
      </c>
      <c r="N23" s="33" t="s">
        <v>929</v>
      </c>
      <c r="O23" s="34"/>
      <c r="P23" s="34"/>
      <c r="Q23" s="3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D23" s="2">
        <f t="shared" si="17"/>
        <v>0</v>
      </c>
      <c r="AE23" s="2">
        <f t="shared" si="18"/>
        <v>0</v>
      </c>
      <c r="AF23" s="2">
        <f t="shared" si="19"/>
        <v>0</v>
      </c>
      <c r="AG23" s="2">
        <f t="shared" si="20"/>
        <v>0</v>
      </c>
      <c r="AH23" s="2">
        <f t="shared" si="21"/>
        <v>0</v>
      </c>
      <c r="AI23" s="2">
        <f t="shared" si="22"/>
        <v>1</v>
      </c>
    </row>
    <row r="24" spans="1:35" ht="14.25" customHeight="1" x14ac:dyDescent="0.25">
      <c r="A24" s="32">
        <v>0</v>
      </c>
      <c r="B24" s="32">
        <v>1</v>
      </c>
      <c r="C24" s="32">
        <v>2</v>
      </c>
      <c r="D24" s="33" t="s">
        <v>525</v>
      </c>
      <c r="E24" s="33" t="s">
        <v>263</v>
      </c>
      <c r="F24" s="33" t="s">
        <v>526</v>
      </c>
      <c r="G24" s="33" t="s">
        <v>154</v>
      </c>
      <c r="H24" s="33" t="s">
        <v>165</v>
      </c>
      <c r="I24" s="32" t="s">
        <v>527</v>
      </c>
      <c r="J24" s="32">
        <v>99</v>
      </c>
      <c r="K24" s="32" t="s">
        <v>330</v>
      </c>
      <c r="L24" s="32" t="s">
        <v>855</v>
      </c>
      <c r="M24" s="33" t="s">
        <v>738</v>
      </c>
      <c r="N24" s="33" t="s">
        <v>900</v>
      </c>
      <c r="O24" s="34"/>
      <c r="P24" s="34"/>
      <c r="Q24" s="33"/>
      <c r="S24" s="2">
        <f t="shared" si="7"/>
        <v>0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D24" s="2">
        <f t="shared" si="17"/>
        <v>0</v>
      </c>
      <c r="AE24" s="2">
        <f t="shared" si="18"/>
        <v>0</v>
      </c>
      <c r="AF24" s="2">
        <f t="shared" si="19"/>
        <v>0</v>
      </c>
      <c r="AG24" s="2">
        <f t="shared" si="20"/>
        <v>0</v>
      </c>
      <c r="AH24" s="2">
        <f t="shared" si="21"/>
        <v>0</v>
      </c>
      <c r="AI24" s="2">
        <f t="shared" si="22"/>
        <v>1</v>
      </c>
    </row>
    <row r="25" spans="1:35" ht="14.25" customHeight="1" x14ac:dyDescent="0.25">
      <c r="A25" s="20">
        <v>0</v>
      </c>
      <c r="B25" s="20">
        <v>1</v>
      </c>
      <c r="C25" s="20">
        <v>2</v>
      </c>
      <c r="D25" s="21" t="s">
        <v>406</v>
      </c>
      <c r="E25" s="21" t="s">
        <v>263</v>
      </c>
      <c r="F25" s="21" t="s">
        <v>407</v>
      </c>
      <c r="G25" s="21" t="s">
        <v>405</v>
      </c>
      <c r="H25" s="21" t="s">
        <v>165</v>
      </c>
      <c r="I25" s="20" t="s">
        <v>408</v>
      </c>
      <c r="J25" s="20">
        <v>99</v>
      </c>
      <c r="K25" s="20" t="s">
        <v>329</v>
      </c>
      <c r="L25" s="20" t="s">
        <v>855</v>
      </c>
      <c r="M25" s="21" t="s">
        <v>779</v>
      </c>
      <c r="N25" s="21"/>
      <c r="O25" s="7"/>
      <c r="P25" s="7"/>
      <c r="Q25" s="21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D25" s="2">
        <f t="shared" si="17"/>
        <v>0</v>
      </c>
      <c r="AE25" s="2">
        <f t="shared" si="18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ht="14.25" customHeight="1" x14ac:dyDescent="0.25">
      <c r="A26" s="29">
        <v>0</v>
      </c>
      <c r="B26" s="29">
        <v>1</v>
      </c>
      <c r="C26" s="29">
        <v>2</v>
      </c>
      <c r="D26" s="30" t="s">
        <v>384</v>
      </c>
      <c r="E26" s="30" t="s">
        <v>262</v>
      </c>
      <c r="F26" s="30" t="s">
        <v>385</v>
      </c>
      <c r="G26" s="30" t="s">
        <v>588</v>
      </c>
      <c r="H26" s="30" t="s">
        <v>165</v>
      </c>
      <c r="I26" s="29" t="s">
        <v>386</v>
      </c>
      <c r="J26" s="29">
        <v>99</v>
      </c>
      <c r="K26" s="29" t="s">
        <v>378</v>
      </c>
      <c r="L26" s="29">
        <v>40</v>
      </c>
      <c r="M26" s="30" t="s">
        <v>206</v>
      </c>
      <c r="N26" s="30" t="s">
        <v>908</v>
      </c>
      <c r="O26" s="31">
        <v>1</v>
      </c>
      <c r="P26" s="31"/>
      <c r="Q26" s="30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0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893</v>
      </c>
      <c r="O27" s="31">
        <v>1</v>
      </c>
      <c r="P27" s="31">
        <v>1</v>
      </c>
      <c r="Q27" s="30"/>
      <c r="S27" s="2">
        <f t="shared" si="7"/>
        <v>0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D27" s="2">
        <f t="shared" si="17"/>
        <v>1</v>
      </c>
      <c r="AE27" s="2">
        <f t="shared" si="18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</row>
    <row r="28" spans="1:35" ht="14.25" customHeight="1" x14ac:dyDescent="0.25">
      <c r="A28" s="32">
        <v>0</v>
      </c>
      <c r="B28" s="32">
        <v>1</v>
      </c>
      <c r="C28" s="32">
        <v>2</v>
      </c>
      <c r="D28" s="33" t="s">
        <v>280</v>
      </c>
      <c r="E28" s="33" t="s">
        <v>263</v>
      </c>
      <c r="F28" s="33" t="s">
        <v>281</v>
      </c>
      <c r="G28" s="33" t="s">
        <v>109</v>
      </c>
      <c r="H28" s="33" t="s">
        <v>165</v>
      </c>
      <c r="I28" s="32" t="s">
        <v>282</v>
      </c>
      <c r="J28" s="32">
        <v>99</v>
      </c>
      <c r="K28" s="32" t="s">
        <v>329</v>
      </c>
      <c r="L28" s="32" t="s">
        <v>342</v>
      </c>
      <c r="M28" s="33" t="s">
        <v>206</v>
      </c>
      <c r="N28" s="33" t="s">
        <v>894</v>
      </c>
      <c r="O28" s="34"/>
      <c r="P28" s="34"/>
      <c r="Q28" s="3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0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D28" s="2">
        <f t="shared" si="17"/>
        <v>0</v>
      </c>
      <c r="AE28" s="2">
        <f t="shared" si="18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</row>
    <row r="29" spans="1:35" ht="14.25" customHeight="1" x14ac:dyDescent="0.25">
      <c r="A29" s="32">
        <v>0</v>
      </c>
      <c r="B29" s="32">
        <v>1</v>
      </c>
      <c r="C29" s="32">
        <v>2</v>
      </c>
      <c r="D29" s="33" t="s">
        <v>435</v>
      </c>
      <c r="E29" s="33" t="s">
        <v>262</v>
      </c>
      <c r="F29" s="33" t="s">
        <v>434</v>
      </c>
      <c r="G29" s="33" t="s">
        <v>125</v>
      </c>
      <c r="H29" s="33" t="s">
        <v>165</v>
      </c>
      <c r="I29" s="32" t="s">
        <v>436</v>
      </c>
      <c r="J29" s="32">
        <v>99</v>
      </c>
      <c r="K29" s="32" t="s">
        <v>378</v>
      </c>
      <c r="L29" s="32">
        <v>150</v>
      </c>
      <c r="M29" s="33" t="s">
        <v>879</v>
      </c>
      <c r="N29" s="33" t="s">
        <v>897</v>
      </c>
      <c r="O29" s="34"/>
      <c r="P29" s="34"/>
      <c r="Q29" s="33"/>
      <c r="S29" s="2">
        <f t="shared" si="7"/>
        <v>0</v>
      </c>
      <c r="T29" s="2">
        <f t="shared" si="8"/>
        <v>0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D29" s="2">
        <f t="shared" si="17"/>
        <v>0</v>
      </c>
      <c r="AE29" s="2">
        <f t="shared" si="18"/>
        <v>0</v>
      </c>
      <c r="AF29" s="2">
        <f t="shared" si="19"/>
        <v>0</v>
      </c>
      <c r="AG29" s="2">
        <f t="shared" si="20"/>
        <v>0</v>
      </c>
      <c r="AH29" s="2">
        <f t="shared" si="21"/>
        <v>0</v>
      </c>
      <c r="AI29" s="2">
        <f t="shared" si="22"/>
        <v>1</v>
      </c>
    </row>
    <row r="30" spans="1:35" ht="14.25" customHeight="1" x14ac:dyDescent="0.25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364</v>
      </c>
      <c r="G30" s="30" t="s">
        <v>40</v>
      </c>
      <c r="H30" s="30" t="s">
        <v>165</v>
      </c>
      <c r="I30" s="29" t="s">
        <v>371</v>
      </c>
      <c r="J30" s="29">
        <v>99</v>
      </c>
      <c r="K30" s="29" t="s">
        <v>322</v>
      </c>
      <c r="L30" s="29">
        <v>90</v>
      </c>
      <c r="M30" s="30" t="s">
        <v>905</v>
      </c>
      <c r="N30" s="30" t="s">
        <v>912</v>
      </c>
      <c r="O30" s="31">
        <v>1</v>
      </c>
      <c r="P30" s="31"/>
      <c r="Q30" s="30"/>
      <c r="S30" s="2">
        <f t="shared" si="7"/>
        <v>0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D30" s="2">
        <f t="shared" si="17"/>
        <v>0</v>
      </c>
      <c r="AE30" s="2">
        <f t="shared" si="18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901</v>
      </c>
      <c r="O31" s="31">
        <v>1</v>
      </c>
      <c r="P31" s="31"/>
      <c r="Q31" s="30"/>
      <c r="S31" s="2">
        <f t="shared" si="7"/>
        <v>0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1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D31" s="2">
        <f t="shared" si="17"/>
        <v>0</v>
      </c>
      <c r="AE31" s="2">
        <f t="shared" si="18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20">
        <v>0</v>
      </c>
      <c r="B32" s="20">
        <v>1</v>
      </c>
      <c r="C32" s="20">
        <v>2</v>
      </c>
      <c r="D32" s="21" t="s">
        <v>802</v>
      </c>
      <c r="E32" s="21" t="s">
        <v>262</v>
      </c>
      <c r="F32" s="21" t="s">
        <v>753</v>
      </c>
      <c r="G32" s="21" t="s">
        <v>689</v>
      </c>
      <c r="H32" s="21" t="s">
        <v>165</v>
      </c>
      <c r="I32" s="20" t="s">
        <v>845</v>
      </c>
      <c r="J32" s="20">
        <v>4</v>
      </c>
      <c r="K32" s="20" t="s">
        <v>326</v>
      </c>
      <c r="L32" s="20">
        <v>130</v>
      </c>
      <c r="M32" s="21" t="s">
        <v>880</v>
      </c>
      <c r="N32" s="21"/>
      <c r="O32" s="7"/>
      <c r="P32" s="7"/>
      <c r="Q32" s="21"/>
      <c r="S32" s="2">
        <f t="shared" si="7"/>
        <v>0</v>
      </c>
      <c r="T32" s="2">
        <f t="shared" si="8"/>
        <v>0</v>
      </c>
      <c r="U32" s="2">
        <f t="shared" si="9"/>
        <v>0</v>
      </c>
      <c r="V32" s="2">
        <f t="shared" si="10"/>
        <v>1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D32" s="2">
        <f t="shared" si="17"/>
        <v>0</v>
      </c>
      <c r="AE32" s="2">
        <f t="shared" si="18"/>
        <v>0</v>
      </c>
      <c r="AF32" s="2">
        <f t="shared" si="19"/>
        <v>0</v>
      </c>
      <c r="AG32" s="2">
        <f t="shared" si="20"/>
        <v>0</v>
      </c>
      <c r="AH32" s="2">
        <f t="shared" si="21"/>
        <v>0</v>
      </c>
      <c r="AI32" s="2">
        <f t="shared" si="22"/>
        <v>1</v>
      </c>
    </row>
    <row r="33" spans="1:16384" s="3" customFormat="1" ht="14.25" customHeight="1" x14ac:dyDescent="0.25">
      <c r="A33" s="29">
        <v>0</v>
      </c>
      <c r="B33" s="29">
        <v>1</v>
      </c>
      <c r="C33" s="29">
        <v>2</v>
      </c>
      <c r="D33" s="30" t="s">
        <v>415</v>
      </c>
      <c r="E33" s="30" t="s">
        <v>262</v>
      </c>
      <c r="F33" s="30" t="s">
        <v>416</v>
      </c>
      <c r="G33" s="30" t="s">
        <v>96</v>
      </c>
      <c r="H33" s="30" t="s">
        <v>165</v>
      </c>
      <c r="I33" s="29" t="s">
        <v>417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893</v>
      </c>
      <c r="O33" s="31">
        <v>1</v>
      </c>
      <c r="P33" s="31">
        <v>1</v>
      </c>
      <c r="Q33" s="30"/>
      <c r="R33" s="2"/>
      <c r="S33" s="2">
        <f t="shared" si="7"/>
        <v>0</v>
      </c>
      <c r="T33" s="2">
        <f t="shared" si="8"/>
        <v>0</v>
      </c>
      <c r="U33" s="2">
        <f t="shared" si="9"/>
        <v>1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633</v>
      </c>
      <c r="E34" s="30" t="s">
        <v>262</v>
      </c>
      <c r="F34" s="30" t="s">
        <v>691</v>
      </c>
      <c r="G34" s="30" t="s">
        <v>93</v>
      </c>
      <c r="H34" s="30" t="s">
        <v>165</v>
      </c>
      <c r="I34" s="29" t="s">
        <v>634</v>
      </c>
      <c r="J34" s="29">
        <v>8</v>
      </c>
      <c r="K34" s="29" t="s">
        <v>325</v>
      </c>
      <c r="L34" s="29">
        <v>45</v>
      </c>
      <c r="M34" s="30" t="s">
        <v>881</v>
      </c>
      <c r="N34" s="30" t="s">
        <v>906</v>
      </c>
      <c r="O34" s="31">
        <v>1</v>
      </c>
      <c r="P34" s="31"/>
      <c r="Q34" s="30"/>
      <c r="R34" s="2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1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1</v>
      </c>
      <c r="AF34" s="2">
        <f t="shared" si="19"/>
        <v>0</v>
      </c>
      <c r="AG34" s="2">
        <f t="shared" si="20"/>
        <v>1</v>
      </c>
      <c r="AH34" s="2">
        <f t="shared" si="21"/>
        <v>0</v>
      </c>
      <c r="AI34" s="2">
        <f t="shared" si="22"/>
        <v>1</v>
      </c>
    </row>
    <row r="35" spans="1:16384" s="3" customFormat="1" ht="14.25" customHeight="1" x14ac:dyDescent="0.25">
      <c r="A35" s="20">
        <v>0</v>
      </c>
      <c r="B35" s="20">
        <v>1</v>
      </c>
      <c r="C35" s="20">
        <v>3</v>
      </c>
      <c r="D35" s="21" t="s">
        <v>387</v>
      </c>
      <c r="E35" s="21" t="s">
        <v>259</v>
      </c>
      <c r="F35" s="21" t="s">
        <v>388</v>
      </c>
      <c r="G35" s="21" t="s">
        <v>157</v>
      </c>
      <c r="H35" s="21" t="s">
        <v>165</v>
      </c>
      <c r="I35" s="20" t="s">
        <v>389</v>
      </c>
      <c r="J35" s="20">
        <v>99</v>
      </c>
      <c r="K35" s="20" t="s">
        <v>330</v>
      </c>
      <c r="L35" s="20">
        <v>65</v>
      </c>
      <c r="M35" s="21" t="s">
        <v>740</v>
      </c>
      <c r="N35" s="21"/>
      <c r="O35" s="7"/>
      <c r="P35" s="7"/>
      <c r="Q35" s="21"/>
      <c r="R35" s="2"/>
      <c r="S35" s="2">
        <f t="shared" si="7"/>
        <v>0</v>
      </c>
      <c r="T35" s="2">
        <f t="shared" si="8"/>
        <v>0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</row>
    <row r="36" spans="1:16384" s="3" customFormat="1" ht="14.25" customHeight="1" x14ac:dyDescent="0.25">
      <c r="A36" s="29">
        <v>0</v>
      </c>
      <c r="B36" s="29">
        <v>1</v>
      </c>
      <c r="C36" s="29">
        <v>3</v>
      </c>
      <c r="D36" s="30" t="s">
        <v>302</v>
      </c>
      <c r="E36" s="30" t="s">
        <v>263</v>
      </c>
      <c r="F36" s="30" t="s">
        <v>312</v>
      </c>
      <c r="G36" s="30" t="s">
        <v>40</v>
      </c>
      <c r="H36" s="30" t="s">
        <v>303</v>
      </c>
      <c r="I36" s="29" t="s">
        <v>304</v>
      </c>
      <c r="J36" s="29">
        <v>99</v>
      </c>
      <c r="K36" s="29" t="s">
        <v>378</v>
      </c>
      <c r="L36" s="29">
        <v>90</v>
      </c>
      <c r="M36" s="30" t="s">
        <v>598</v>
      </c>
      <c r="N36" s="30" t="s">
        <v>912</v>
      </c>
      <c r="O36" s="31">
        <v>1</v>
      </c>
      <c r="P36" s="31"/>
      <c r="Q36" s="30"/>
      <c r="R36" s="2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0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438</v>
      </c>
      <c r="E37" s="30" t="s">
        <v>259</v>
      </c>
      <c r="F37" s="30" t="s">
        <v>439</v>
      </c>
      <c r="G37" s="30" t="s">
        <v>440</v>
      </c>
      <c r="H37" s="30" t="s">
        <v>165</v>
      </c>
      <c r="I37" s="29" t="s">
        <v>441</v>
      </c>
      <c r="J37" s="29">
        <v>99</v>
      </c>
      <c r="K37" s="29" t="s">
        <v>378</v>
      </c>
      <c r="L37" s="29">
        <v>60</v>
      </c>
      <c r="M37" s="30" t="s">
        <v>599</v>
      </c>
      <c r="N37" s="30" t="s">
        <v>893</v>
      </c>
      <c r="O37" s="31">
        <v>1</v>
      </c>
      <c r="P37" s="31">
        <v>1</v>
      </c>
      <c r="Q37" s="30"/>
      <c r="R37" s="2"/>
      <c r="S37" s="2">
        <f t="shared" si="7"/>
        <v>0</v>
      </c>
      <c r="T37" s="2">
        <f t="shared" si="8"/>
        <v>0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19"/>
        <v>1</v>
      </c>
      <c r="AG37" s="2">
        <f t="shared" si="20"/>
        <v>0</v>
      </c>
      <c r="AH37" s="2">
        <f t="shared" si="21"/>
        <v>1</v>
      </c>
      <c r="AI37" s="2">
        <f t="shared" si="22"/>
        <v>0</v>
      </c>
    </row>
    <row r="38" spans="1:16384" s="3" customFormat="1" ht="14.25" customHeight="1" x14ac:dyDescent="0.25">
      <c r="A38" s="20">
        <v>0</v>
      </c>
      <c r="B38" s="20">
        <v>1</v>
      </c>
      <c r="C38" s="20">
        <v>3</v>
      </c>
      <c r="D38" s="21" t="s">
        <v>809</v>
      </c>
      <c r="E38" s="21" t="s">
        <v>499</v>
      </c>
      <c r="F38" s="21" t="s">
        <v>500</v>
      </c>
      <c r="G38" s="21" t="s">
        <v>93</v>
      </c>
      <c r="H38" s="21" t="s">
        <v>165</v>
      </c>
      <c r="I38" s="20" t="s">
        <v>501</v>
      </c>
      <c r="J38" s="20">
        <v>8</v>
      </c>
      <c r="K38" s="20" t="s">
        <v>329</v>
      </c>
      <c r="L38" s="20" t="s">
        <v>852</v>
      </c>
      <c r="M38" s="21" t="s">
        <v>599</v>
      </c>
      <c r="N38" s="21"/>
      <c r="O38" s="7"/>
      <c r="P38" s="7"/>
      <c r="Q38" s="21"/>
      <c r="R38" s="2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1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19"/>
        <v>0</v>
      </c>
      <c r="AG38" s="2">
        <f t="shared" si="20"/>
        <v>0</v>
      </c>
      <c r="AH38" s="2">
        <f t="shared" si="21"/>
        <v>0</v>
      </c>
      <c r="AI38" s="2">
        <f t="shared" si="22"/>
        <v>1</v>
      </c>
    </row>
    <row r="39" spans="1:16384" s="3" customFormat="1" ht="14.25" customHeight="1" x14ac:dyDescent="0.25">
      <c r="A39" s="29">
        <v>0</v>
      </c>
      <c r="B39" s="29">
        <v>1</v>
      </c>
      <c r="C39" s="29">
        <v>3</v>
      </c>
      <c r="D39" s="30" t="s">
        <v>512</v>
      </c>
      <c r="E39" s="30" t="s">
        <v>676</v>
      </c>
      <c r="F39" s="30" t="s">
        <v>513</v>
      </c>
      <c r="G39" s="30" t="s">
        <v>39</v>
      </c>
      <c r="H39" s="30" t="s">
        <v>165</v>
      </c>
      <c r="I39" s="29" t="s">
        <v>514</v>
      </c>
      <c r="J39" s="29">
        <v>8</v>
      </c>
      <c r="K39" s="29" t="s">
        <v>326</v>
      </c>
      <c r="L39" s="29" t="s">
        <v>856</v>
      </c>
      <c r="M39" s="30" t="s">
        <v>741</v>
      </c>
      <c r="N39" s="30" t="s">
        <v>912</v>
      </c>
      <c r="O39" s="31">
        <v>1</v>
      </c>
      <c r="P39" s="31"/>
      <c r="Q39" s="30"/>
      <c r="R39" s="2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1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1</v>
      </c>
      <c r="AF39" s="2">
        <f t="shared" si="19"/>
        <v>0</v>
      </c>
      <c r="AG39" s="2">
        <f t="shared" si="20"/>
        <v>1</v>
      </c>
      <c r="AH39" s="2">
        <f t="shared" si="21"/>
        <v>0</v>
      </c>
      <c r="AI39" s="2">
        <f t="shared" si="22"/>
        <v>1</v>
      </c>
    </row>
    <row r="40" spans="1:16384" s="3" customFormat="1" ht="14.25" customHeight="1" x14ac:dyDescent="0.25">
      <c r="A40" s="32">
        <v>0</v>
      </c>
      <c r="B40" s="32">
        <v>1</v>
      </c>
      <c r="C40" s="32">
        <v>3</v>
      </c>
      <c r="D40" s="33" t="s">
        <v>77</v>
      </c>
      <c r="E40" s="33" t="s">
        <v>259</v>
      </c>
      <c r="F40" s="33" t="s">
        <v>256</v>
      </c>
      <c r="G40" s="33" t="s">
        <v>148</v>
      </c>
      <c r="H40" s="33" t="s">
        <v>165</v>
      </c>
      <c r="I40" s="32" t="s">
        <v>201</v>
      </c>
      <c r="J40" s="32">
        <v>99</v>
      </c>
      <c r="K40" s="32" t="s">
        <v>326</v>
      </c>
      <c r="L40" s="32" t="s">
        <v>860</v>
      </c>
      <c r="M40" s="33" t="s">
        <v>783</v>
      </c>
      <c r="N40" s="33" t="s">
        <v>909</v>
      </c>
      <c r="O40" s="34"/>
      <c r="P40" s="34"/>
      <c r="Q40" s="33"/>
      <c r="R40" s="2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19"/>
        <v>0</v>
      </c>
      <c r="AG40" s="2">
        <f t="shared" si="20"/>
        <v>0</v>
      </c>
      <c r="AH40" s="2">
        <f t="shared" si="21"/>
        <v>0</v>
      </c>
      <c r="AI40" s="2">
        <f t="shared" si="22"/>
        <v>1</v>
      </c>
    </row>
    <row r="41" spans="1:16384" s="3" customFormat="1" ht="14.25" customHeight="1" x14ac:dyDescent="0.25">
      <c r="A41" s="29">
        <v>0</v>
      </c>
      <c r="B41" s="29">
        <v>1</v>
      </c>
      <c r="C41" s="29">
        <v>3</v>
      </c>
      <c r="D41" s="30" t="s">
        <v>754</v>
      </c>
      <c r="E41" s="30" t="s">
        <v>755</v>
      </c>
      <c r="F41" s="30" t="s">
        <v>756</v>
      </c>
      <c r="G41" s="30" t="s">
        <v>92</v>
      </c>
      <c r="H41" s="30" t="s">
        <v>165</v>
      </c>
      <c r="I41" s="29" t="s">
        <v>757</v>
      </c>
      <c r="J41" s="29">
        <v>1</v>
      </c>
      <c r="K41" s="29" t="s">
        <v>378</v>
      </c>
      <c r="L41" s="29">
        <v>35</v>
      </c>
      <c r="M41" s="30" t="s">
        <v>758</v>
      </c>
      <c r="N41" s="30" t="s">
        <v>901</v>
      </c>
      <c r="O41" s="31">
        <v>1</v>
      </c>
      <c r="P41" s="31"/>
      <c r="Q41" s="30"/>
      <c r="R41" s="2"/>
      <c r="S41" s="2">
        <f t="shared" si="7"/>
        <v>1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19"/>
        <v>0</v>
      </c>
      <c r="AG41" s="2">
        <f t="shared" si="20"/>
        <v>1</v>
      </c>
      <c r="AH41" s="2">
        <f t="shared" si="21"/>
        <v>0</v>
      </c>
      <c r="AI41" s="2">
        <f t="shared" si="22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413</v>
      </c>
      <c r="E42" s="30" t="s">
        <v>259</v>
      </c>
      <c r="F42" s="30" t="s">
        <v>589</v>
      </c>
      <c r="G42" s="30" t="s">
        <v>284</v>
      </c>
      <c r="H42" s="30" t="s">
        <v>165</v>
      </c>
      <c r="I42" s="29" t="s">
        <v>414</v>
      </c>
      <c r="J42" s="29">
        <v>99</v>
      </c>
      <c r="K42" s="29" t="s">
        <v>331</v>
      </c>
      <c r="L42" s="29" t="s">
        <v>341</v>
      </c>
      <c r="M42" s="30" t="s">
        <v>741</v>
      </c>
      <c r="N42" s="30" t="s">
        <v>907</v>
      </c>
      <c r="O42" s="31">
        <v>1</v>
      </c>
      <c r="P42" s="31"/>
      <c r="Q42" s="30"/>
      <c r="R42" s="2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</row>
    <row r="43" spans="1:16384" s="3" customFormat="1" ht="14.25" customHeight="1" x14ac:dyDescent="0.25">
      <c r="A43" s="32">
        <v>0</v>
      </c>
      <c r="B43" s="32">
        <v>1</v>
      </c>
      <c r="C43" s="32">
        <v>3</v>
      </c>
      <c r="D43" s="33" t="s">
        <v>683</v>
      </c>
      <c r="E43" s="33" t="s">
        <v>624</v>
      </c>
      <c r="F43" s="33" t="s">
        <v>622</v>
      </c>
      <c r="G43" s="33" t="s">
        <v>40</v>
      </c>
      <c r="H43" s="33" t="s">
        <v>623</v>
      </c>
      <c r="I43" s="32" t="s">
        <v>625</v>
      </c>
      <c r="J43" s="32">
        <v>99</v>
      </c>
      <c r="K43" s="32" t="s">
        <v>378</v>
      </c>
      <c r="L43" s="32">
        <v>60</v>
      </c>
      <c r="M43" s="33" t="s">
        <v>599</v>
      </c>
      <c r="N43" s="33" t="s">
        <v>900</v>
      </c>
      <c r="O43" s="34"/>
      <c r="P43" s="34"/>
      <c r="Q43" s="33"/>
      <c r="R43" s="2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19"/>
        <v>0</v>
      </c>
      <c r="AG43" s="2">
        <f t="shared" si="20"/>
        <v>0</v>
      </c>
      <c r="AH43" s="2">
        <f t="shared" si="21"/>
        <v>0</v>
      </c>
      <c r="AI43" s="2">
        <f t="shared" si="22"/>
        <v>1</v>
      </c>
    </row>
    <row r="44" spans="1:16384" s="3" customFormat="1" ht="14.25" customHeight="1" x14ac:dyDescent="0.25">
      <c r="A44" s="29">
        <v>0</v>
      </c>
      <c r="B44" s="29">
        <v>1</v>
      </c>
      <c r="C44" s="29">
        <v>3</v>
      </c>
      <c r="D44" s="30" t="s">
        <v>572</v>
      </c>
      <c r="E44" s="30" t="s">
        <v>509</v>
      </c>
      <c r="F44" s="30" t="s">
        <v>591</v>
      </c>
      <c r="G44" s="30" t="s">
        <v>93</v>
      </c>
      <c r="H44" s="30" t="s">
        <v>165</v>
      </c>
      <c r="I44" s="29" t="s">
        <v>596</v>
      </c>
      <c r="J44" s="29">
        <v>8</v>
      </c>
      <c r="K44" s="29" t="s">
        <v>378</v>
      </c>
      <c r="L44" s="29" t="s">
        <v>346</v>
      </c>
      <c r="M44" s="30" t="s">
        <v>510</v>
      </c>
      <c r="N44" s="30" t="s">
        <v>907</v>
      </c>
      <c r="O44" s="31">
        <v>1</v>
      </c>
      <c r="P44" s="31"/>
      <c r="Q44" s="30"/>
      <c r="R44" s="2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1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1</v>
      </c>
      <c r="AF44" s="2">
        <f t="shared" si="19"/>
        <v>0</v>
      </c>
      <c r="AG44" s="2">
        <f t="shared" si="20"/>
        <v>1</v>
      </c>
      <c r="AH44" s="2">
        <f t="shared" si="21"/>
        <v>0</v>
      </c>
      <c r="AI44" s="2">
        <f t="shared" si="22"/>
        <v>1</v>
      </c>
    </row>
    <row r="45" spans="1:16384" s="3" customFormat="1" ht="14.25" customHeight="1" x14ac:dyDescent="0.25">
      <c r="A45" s="32">
        <v>0</v>
      </c>
      <c r="B45" s="32">
        <v>1</v>
      </c>
      <c r="C45" s="32">
        <v>3</v>
      </c>
      <c r="D45" s="33" t="s">
        <v>772</v>
      </c>
      <c r="E45" s="33" t="s">
        <v>259</v>
      </c>
      <c r="F45" s="33" t="s">
        <v>773</v>
      </c>
      <c r="G45" s="33" t="s">
        <v>103</v>
      </c>
      <c r="H45" s="33" t="s">
        <v>165</v>
      </c>
      <c r="I45" s="32" t="s">
        <v>774</v>
      </c>
      <c r="J45" s="32">
        <v>6</v>
      </c>
      <c r="K45" s="32" t="s">
        <v>378</v>
      </c>
      <c r="L45" s="32">
        <v>70</v>
      </c>
      <c r="M45" s="33" t="s">
        <v>775</v>
      </c>
      <c r="N45" s="33" t="s">
        <v>909</v>
      </c>
      <c r="O45" s="34"/>
      <c r="P45" s="34"/>
      <c r="Q45" s="33"/>
      <c r="R45" s="2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1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19"/>
        <v>0</v>
      </c>
      <c r="AG45" s="2">
        <f t="shared" si="20"/>
        <v>0</v>
      </c>
      <c r="AH45" s="2">
        <f t="shared" si="21"/>
        <v>0</v>
      </c>
      <c r="AI45" s="2">
        <f t="shared" si="22"/>
        <v>1</v>
      </c>
    </row>
    <row r="46" spans="1:16384" s="3" customFormat="1" ht="14.25" customHeight="1" x14ac:dyDescent="0.25">
      <c r="A46" s="32">
        <v>0</v>
      </c>
      <c r="B46" s="32">
        <v>1</v>
      </c>
      <c r="C46" s="32">
        <v>3</v>
      </c>
      <c r="D46" s="33" t="s">
        <v>609</v>
      </c>
      <c r="E46" s="33" t="s">
        <v>259</v>
      </c>
      <c r="F46" s="33" t="s">
        <v>610</v>
      </c>
      <c r="G46" s="33" t="s">
        <v>826</v>
      </c>
      <c r="H46" s="33" t="s">
        <v>165</v>
      </c>
      <c r="I46" s="32" t="s">
        <v>611</v>
      </c>
      <c r="J46" s="32">
        <v>99</v>
      </c>
      <c r="K46" s="32" t="s">
        <v>332</v>
      </c>
      <c r="L46" s="32" t="s">
        <v>341</v>
      </c>
      <c r="M46" s="33" t="s">
        <v>741</v>
      </c>
      <c r="N46" s="33" t="s">
        <v>894</v>
      </c>
      <c r="O46" s="34"/>
      <c r="P46" s="34"/>
      <c r="Q46" s="33"/>
      <c r="R46" s="2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19"/>
        <v>0</v>
      </c>
      <c r="AG46" s="2">
        <f t="shared" si="20"/>
        <v>0</v>
      </c>
      <c r="AH46" s="2">
        <f t="shared" si="21"/>
        <v>0</v>
      </c>
      <c r="AI46" s="2">
        <f t="shared" si="22"/>
        <v>1</v>
      </c>
    </row>
    <row r="47" spans="1:16384" s="3" customFormat="1" ht="14.25" customHeight="1" x14ac:dyDescent="0.25">
      <c r="A47" s="29">
        <v>0</v>
      </c>
      <c r="B47" s="29">
        <v>1</v>
      </c>
      <c r="C47" s="29">
        <v>3</v>
      </c>
      <c r="D47" s="30" t="s">
        <v>686</v>
      </c>
      <c r="E47" s="30" t="s">
        <v>263</v>
      </c>
      <c r="F47" s="30" t="s">
        <v>690</v>
      </c>
      <c r="G47" s="30" t="s">
        <v>93</v>
      </c>
      <c r="H47" s="30" t="s">
        <v>165</v>
      </c>
      <c r="I47" s="29" t="s">
        <v>511</v>
      </c>
      <c r="J47" s="29">
        <v>8</v>
      </c>
      <c r="K47" s="29" t="s">
        <v>332</v>
      </c>
      <c r="L47" s="29" t="s">
        <v>597</v>
      </c>
      <c r="M47" s="30" t="s">
        <v>206</v>
      </c>
      <c r="N47" s="30" t="s">
        <v>907</v>
      </c>
      <c r="O47" s="31">
        <v>1</v>
      </c>
      <c r="P47" s="31"/>
      <c r="Q47" s="30"/>
      <c r="R47" s="2"/>
      <c r="S47" s="2">
        <f t="shared" si="7"/>
        <v>0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1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19"/>
        <v>0</v>
      </c>
      <c r="AG47" s="2">
        <f t="shared" si="20"/>
        <v>1</v>
      </c>
      <c r="AH47" s="2">
        <f t="shared" si="21"/>
        <v>0</v>
      </c>
      <c r="AI47" s="2">
        <f t="shared" si="22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687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907</v>
      </c>
      <c r="O48" s="31">
        <v>1</v>
      </c>
      <c r="P48" s="31"/>
      <c r="Q48" s="30"/>
      <c r="R48" s="20"/>
      <c r="S48" s="2">
        <f t="shared" si="7"/>
        <v>0</v>
      </c>
      <c r="T48" s="2">
        <f t="shared" si="8"/>
        <v>0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1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35" ht="14.25" customHeight="1" x14ac:dyDescent="0.25">
      <c r="A49" s="26">
        <v>0</v>
      </c>
      <c r="B49" s="26">
        <v>1</v>
      </c>
      <c r="C49" s="26">
        <v>3</v>
      </c>
      <c r="D49" s="27" t="s">
        <v>76</v>
      </c>
      <c r="E49" s="27" t="s">
        <v>259</v>
      </c>
      <c r="F49" s="27" t="s">
        <v>159</v>
      </c>
      <c r="G49" s="27" t="s">
        <v>130</v>
      </c>
      <c r="H49" s="27" t="s">
        <v>165</v>
      </c>
      <c r="I49" s="26" t="s">
        <v>200</v>
      </c>
      <c r="J49" s="26">
        <v>10</v>
      </c>
      <c r="K49" s="26" t="s">
        <v>322</v>
      </c>
      <c r="L49" s="26" t="s">
        <v>341</v>
      </c>
      <c r="M49" s="27" t="s">
        <v>266</v>
      </c>
      <c r="N49" s="27"/>
      <c r="O49" s="28"/>
      <c r="P49" s="28">
        <v>1</v>
      </c>
      <c r="Q49" s="27"/>
      <c r="S49" s="2">
        <f t="shared" si="7"/>
        <v>0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1</v>
      </c>
      <c r="AD49" s="2">
        <f t="shared" si="17"/>
        <v>0</v>
      </c>
      <c r="AE49" s="2">
        <f t="shared" si="18"/>
        <v>0</v>
      </c>
      <c r="AF49" s="2">
        <f t="shared" si="19"/>
        <v>0</v>
      </c>
      <c r="AG49" s="2">
        <f t="shared" si="20"/>
        <v>0</v>
      </c>
      <c r="AH49" s="2">
        <f t="shared" si="21"/>
        <v>1</v>
      </c>
      <c r="AI49" s="2">
        <f t="shared" si="22"/>
        <v>0</v>
      </c>
    </row>
    <row r="50" spans="1:35" s="3" customFormat="1" ht="14.25" customHeight="1" x14ac:dyDescent="0.25">
      <c r="A50" s="29">
        <v>0</v>
      </c>
      <c r="B50" s="29">
        <v>1</v>
      </c>
      <c r="C50" s="29">
        <v>3</v>
      </c>
      <c r="D50" s="30" t="s">
        <v>637</v>
      </c>
      <c r="E50" s="30" t="s">
        <v>638</v>
      </c>
      <c r="F50" s="30" t="s">
        <v>639</v>
      </c>
      <c r="G50" s="30" t="s">
        <v>516</v>
      </c>
      <c r="H50" s="30" t="s">
        <v>165</v>
      </c>
      <c r="I50" s="29" t="s">
        <v>640</v>
      </c>
      <c r="J50" s="29"/>
      <c r="K50" s="29" t="s">
        <v>378</v>
      </c>
      <c r="L50" s="29">
        <v>55</v>
      </c>
      <c r="M50" s="30" t="s">
        <v>641</v>
      </c>
      <c r="N50" s="30" t="s">
        <v>935</v>
      </c>
      <c r="O50" s="31">
        <v>1</v>
      </c>
      <c r="P50" s="31"/>
      <c r="Q50" s="30"/>
      <c r="R50" s="2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C50" s="2"/>
      <c r="AD50" s="2">
        <f t="shared" si="17"/>
        <v>0</v>
      </c>
      <c r="AE50" s="2">
        <f t="shared" si="18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</row>
    <row r="51" spans="1:35" ht="14.25" customHeight="1" x14ac:dyDescent="0.25">
      <c r="A51" s="32">
        <v>0</v>
      </c>
      <c r="B51" s="32">
        <v>1</v>
      </c>
      <c r="C51" s="32">
        <v>3</v>
      </c>
      <c r="D51" s="33" t="s">
        <v>728</v>
      </c>
      <c r="E51" s="33" t="s">
        <v>259</v>
      </c>
      <c r="F51" s="33" t="s">
        <v>832</v>
      </c>
      <c r="G51" s="33" t="s">
        <v>731</v>
      </c>
      <c r="H51" s="33" t="s">
        <v>165</v>
      </c>
      <c r="I51" s="32" t="s">
        <v>730</v>
      </c>
      <c r="J51" s="32">
        <v>99</v>
      </c>
      <c r="K51" s="32" t="s">
        <v>331</v>
      </c>
      <c r="L51" s="32" t="s">
        <v>346</v>
      </c>
      <c r="M51" s="33" t="s">
        <v>729</v>
      </c>
      <c r="N51" s="33" t="s">
        <v>928</v>
      </c>
      <c r="O51" s="34"/>
      <c r="P51" s="34"/>
      <c r="Q51" s="33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0</v>
      </c>
      <c r="AF51" s="2">
        <f t="shared" si="19"/>
        <v>0</v>
      </c>
      <c r="AG51" s="2">
        <f t="shared" si="20"/>
        <v>0</v>
      </c>
      <c r="AH51" s="2">
        <f t="shared" si="21"/>
        <v>0</v>
      </c>
      <c r="AI51" s="2">
        <f t="shared" si="22"/>
        <v>1</v>
      </c>
    </row>
    <row r="52" spans="1:35" ht="14.25" customHeight="1" x14ac:dyDescent="0.25">
      <c r="A52" s="20">
        <v>0</v>
      </c>
      <c r="B52" s="20">
        <v>1</v>
      </c>
      <c r="C52" s="20">
        <v>3</v>
      </c>
      <c r="D52" s="21" t="s">
        <v>985</v>
      </c>
      <c r="E52" s="21" t="s">
        <v>259</v>
      </c>
      <c r="F52" s="21" t="s">
        <v>986</v>
      </c>
      <c r="G52" s="21" t="s">
        <v>987</v>
      </c>
      <c r="H52" s="21" t="s">
        <v>165</v>
      </c>
      <c r="I52" s="20" t="s">
        <v>988</v>
      </c>
      <c r="J52" s="20"/>
      <c r="K52" s="20" t="s">
        <v>378</v>
      </c>
      <c r="L52" s="20">
        <v>65</v>
      </c>
      <c r="M52" s="21" t="s">
        <v>989</v>
      </c>
      <c r="N52" s="21"/>
      <c r="O52" s="20"/>
      <c r="P52" s="20"/>
      <c r="Q52" s="21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D52" s="2">
        <f t="shared" si="17"/>
        <v>0</v>
      </c>
      <c r="AE52" s="2">
        <f t="shared" si="18"/>
        <v>0</v>
      </c>
      <c r="AF52" s="2">
        <f t="shared" si="19"/>
        <v>0</v>
      </c>
      <c r="AG52" s="2">
        <f t="shared" si="20"/>
        <v>0</v>
      </c>
      <c r="AH52" s="2">
        <f t="shared" si="21"/>
        <v>0</v>
      </c>
      <c r="AI52" s="2">
        <f t="shared" si="22"/>
        <v>1</v>
      </c>
    </row>
    <row r="53" spans="1:35" s="3" customFormat="1" ht="14.25" customHeight="1" x14ac:dyDescent="0.25">
      <c r="A53" s="29">
        <v>0</v>
      </c>
      <c r="B53" s="29">
        <v>1</v>
      </c>
      <c r="C53" s="29">
        <v>3</v>
      </c>
      <c r="D53" s="30" t="s">
        <v>56</v>
      </c>
      <c r="E53" s="30" t="s">
        <v>259</v>
      </c>
      <c r="F53" s="30" t="s">
        <v>111</v>
      </c>
      <c r="G53" s="30" t="s">
        <v>112</v>
      </c>
      <c r="H53" s="30" t="s">
        <v>165</v>
      </c>
      <c r="I53" s="29" t="s">
        <v>175</v>
      </c>
      <c r="J53" s="29">
        <v>99</v>
      </c>
      <c r="K53" s="29" t="s">
        <v>326</v>
      </c>
      <c r="L53" s="29">
        <v>65</v>
      </c>
      <c r="M53" s="30" t="s">
        <v>736</v>
      </c>
      <c r="N53" s="30" t="s">
        <v>935</v>
      </c>
      <c r="O53" s="31">
        <v>1</v>
      </c>
      <c r="P53" s="31"/>
      <c r="Q53" s="30"/>
      <c r="R53" s="2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C53" s="2"/>
      <c r="AD53" s="2">
        <f t="shared" si="17"/>
        <v>0</v>
      </c>
      <c r="AE53" s="2">
        <f t="shared" si="18"/>
        <v>1</v>
      </c>
      <c r="AF53" s="2">
        <f t="shared" si="19"/>
        <v>0</v>
      </c>
      <c r="AG53" s="2">
        <f t="shared" si="20"/>
        <v>1</v>
      </c>
      <c r="AH53" s="2">
        <f t="shared" si="21"/>
        <v>0</v>
      </c>
      <c r="AI53" s="2">
        <f t="shared" si="22"/>
        <v>1</v>
      </c>
    </row>
    <row r="54" spans="1:35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910</v>
      </c>
      <c r="N54" s="21"/>
      <c r="O54" s="7"/>
      <c r="P54" s="7"/>
      <c r="Q54" s="21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1</v>
      </c>
      <c r="AA54" s="2">
        <f t="shared" si="15"/>
        <v>0</v>
      </c>
      <c r="AB54" s="2">
        <f t="shared" si="16"/>
        <v>0</v>
      </c>
      <c r="AD54" s="2">
        <f t="shared" si="17"/>
        <v>0</v>
      </c>
      <c r="AE54" s="2">
        <f t="shared" si="18"/>
        <v>0</v>
      </c>
      <c r="AF54" s="2">
        <f t="shared" si="19"/>
        <v>0</v>
      </c>
      <c r="AG54" s="2">
        <f t="shared" si="20"/>
        <v>0</v>
      </c>
      <c r="AH54" s="2">
        <f t="shared" si="21"/>
        <v>0</v>
      </c>
      <c r="AI54" s="2">
        <f t="shared" si="22"/>
        <v>1</v>
      </c>
    </row>
    <row r="55" spans="1:35" ht="14.25" customHeight="1" x14ac:dyDescent="0.25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781</v>
      </c>
      <c r="N55" s="30" t="s">
        <v>893</v>
      </c>
      <c r="O55" s="31">
        <v>1</v>
      </c>
      <c r="P55" s="31">
        <v>1</v>
      </c>
      <c r="Q55" s="30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1</v>
      </c>
      <c r="AB55" s="2">
        <f t="shared" si="16"/>
        <v>0</v>
      </c>
      <c r="AD55" s="2">
        <f t="shared" si="17"/>
        <v>1</v>
      </c>
      <c r="AE55" s="2">
        <f t="shared" si="18"/>
        <v>0</v>
      </c>
      <c r="AF55" s="2">
        <f t="shared" si="19"/>
        <v>1</v>
      </c>
      <c r="AG55" s="2">
        <f t="shared" si="20"/>
        <v>0</v>
      </c>
      <c r="AH55" s="2">
        <f t="shared" si="21"/>
        <v>1</v>
      </c>
      <c r="AI55" s="2">
        <f t="shared" si="22"/>
        <v>0</v>
      </c>
    </row>
    <row r="56" spans="1:35" ht="14.25" customHeight="1" x14ac:dyDescent="0.25">
      <c r="A56" s="32">
        <v>0</v>
      </c>
      <c r="B56" s="32">
        <v>1</v>
      </c>
      <c r="C56" s="32">
        <v>4</v>
      </c>
      <c r="D56" s="33" t="s">
        <v>307</v>
      </c>
      <c r="E56" s="33" t="s">
        <v>29</v>
      </c>
      <c r="F56" s="33" t="s">
        <v>283</v>
      </c>
      <c r="G56" s="33" t="s">
        <v>284</v>
      </c>
      <c r="H56" s="33" t="s">
        <v>165</v>
      </c>
      <c r="I56" s="32" t="s">
        <v>285</v>
      </c>
      <c r="J56" s="32">
        <v>99</v>
      </c>
      <c r="K56" s="32" t="s">
        <v>378</v>
      </c>
      <c r="L56" s="32" t="s">
        <v>334</v>
      </c>
      <c r="M56" s="33" t="s">
        <v>266</v>
      </c>
      <c r="N56" s="33" t="s">
        <v>929</v>
      </c>
      <c r="O56" s="34"/>
      <c r="P56" s="34"/>
      <c r="Q56" s="3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D56" s="2">
        <f t="shared" si="17"/>
        <v>0</v>
      </c>
      <c r="AE56" s="2">
        <f t="shared" si="18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</row>
    <row r="57" spans="1:35" ht="14.25" customHeight="1" x14ac:dyDescent="0.25">
      <c r="A57" s="20">
        <v>0</v>
      </c>
      <c r="B57" s="20">
        <v>1</v>
      </c>
      <c r="C57" s="20">
        <v>5</v>
      </c>
      <c r="D57" s="21" t="s">
        <v>713</v>
      </c>
      <c r="E57" s="21" t="s">
        <v>710</v>
      </c>
      <c r="F57" s="21" t="s">
        <v>709</v>
      </c>
      <c r="G57" s="21" t="s">
        <v>303</v>
      </c>
      <c r="H57" s="21" t="s">
        <v>165</v>
      </c>
      <c r="I57" s="20" t="s">
        <v>711</v>
      </c>
      <c r="J57" s="20">
        <v>99</v>
      </c>
      <c r="K57" s="20" t="s">
        <v>378</v>
      </c>
      <c r="L57" s="20">
        <v>55</v>
      </c>
      <c r="M57" s="21" t="s">
        <v>708</v>
      </c>
      <c r="N57" s="21"/>
      <c r="O57" s="7"/>
      <c r="P57" s="7"/>
      <c r="Q57" s="21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D57" s="2">
        <f t="shared" si="17"/>
        <v>0</v>
      </c>
      <c r="AE57" s="2">
        <f t="shared" si="18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35" ht="14.25" customHeight="1" x14ac:dyDescent="0.25">
      <c r="A58" s="29">
        <v>0</v>
      </c>
      <c r="B58" s="29">
        <v>1</v>
      </c>
      <c r="C58" s="29">
        <v>5</v>
      </c>
      <c r="D58" s="30" t="s">
        <v>887</v>
      </c>
      <c r="E58" s="30" t="s">
        <v>890</v>
      </c>
      <c r="F58" s="30" t="s">
        <v>888</v>
      </c>
      <c r="G58" s="30" t="s">
        <v>403</v>
      </c>
      <c r="H58" s="30" t="s">
        <v>165</v>
      </c>
      <c r="I58" s="29" t="s">
        <v>889</v>
      </c>
      <c r="J58" s="29"/>
      <c r="K58" s="29" t="s">
        <v>378</v>
      </c>
      <c r="L58" s="29">
        <v>55</v>
      </c>
      <c r="M58" s="30" t="s">
        <v>891</v>
      </c>
      <c r="N58" s="30" t="s">
        <v>935</v>
      </c>
      <c r="O58" s="31">
        <v>1</v>
      </c>
      <c r="P58" s="31"/>
      <c r="Q58" s="30"/>
      <c r="S58" s="2">
        <f t="shared" si="7"/>
        <v>0</v>
      </c>
      <c r="T58" s="2">
        <f t="shared" si="8"/>
        <v>0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D58" s="2">
        <f t="shared" si="17"/>
        <v>0</v>
      </c>
      <c r="AE58" s="2">
        <f t="shared" si="18"/>
        <v>1</v>
      </c>
      <c r="AF58" s="2">
        <f t="shared" si="19"/>
        <v>0</v>
      </c>
      <c r="AG58" s="2">
        <f t="shared" si="20"/>
        <v>1</v>
      </c>
      <c r="AH58" s="2">
        <f t="shared" si="21"/>
        <v>0</v>
      </c>
      <c r="AI58" s="2">
        <f t="shared" si="22"/>
        <v>1</v>
      </c>
    </row>
    <row r="59" spans="1:35" ht="14.25" customHeight="1" x14ac:dyDescent="0.25">
      <c r="A59" s="29">
        <v>0</v>
      </c>
      <c r="B59" s="29">
        <v>1</v>
      </c>
      <c r="C59" s="29">
        <v>5</v>
      </c>
      <c r="D59" s="30" t="s">
        <v>872</v>
      </c>
      <c r="E59" s="30" t="s">
        <v>803</v>
      </c>
      <c r="F59" s="30" t="s">
        <v>873</v>
      </c>
      <c r="G59" s="30" t="s">
        <v>309</v>
      </c>
      <c r="H59" s="30" t="s">
        <v>165</v>
      </c>
      <c r="I59" s="29" t="s">
        <v>874</v>
      </c>
      <c r="J59" s="29"/>
      <c r="K59" s="29" t="s">
        <v>378</v>
      </c>
      <c r="L59" s="29">
        <v>50</v>
      </c>
      <c r="M59" s="30" t="s">
        <v>875</v>
      </c>
      <c r="N59" s="30" t="s">
        <v>935</v>
      </c>
      <c r="O59" s="31">
        <v>1</v>
      </c>
      <c r="P59" s="31"/>
      <c r="Q59" s="30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D59" s="2">
        <f t="shared" si="17"/>
        <v>0</v>
      </c>
      <c r="AE59" s="2">
        <f t="shared" si="18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35" ht="14.25" customHeight="1" x14ac:dyDescent="0.25">
      <c r="A60" s="20">
        <v>0</v>
      </c>
      <c r="B60" s="20">
        <v>1</v>
      </c>
      <c r="C60" s="20">
        <v>5</v>
      </c>
      <c r="D60" s="21" t="s">
        <v>804</v>
      </c>
      <c r="E60" s="21" t="s">
        <v>803</v>
      </c>
      <c r="F60" s="21" t="s">
        <v>837</v>
      </c>
      <c r="G60" s="21" t="s">
        <v>93</v>
      </c>
      <c r="H60" s="21" t="s">
        <v>165</v>
      </c>
      <c r="I60" s="20" t="s">
        <v>851</v>
      </c>
      <c r="J60" s="20">
        <v>8</v>
      </c>
      <c r="K60" s="20" t="s">
        <v>332</v>
      </c>
      <c r="L60" s="20">
        <v>50</v>
      </c>
      <c r="M60" s="21" t="s">
        <v>875</v>
      </c>
      <c r="N60" s="21"/>
      <c r="O60" s="7"/>
      <c r="P60" s="7"/>
      <c r="Q60" s="21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1</v>
      </c>
      <c r="AA60" s="2">
        <f t="shared" si="15"/>
        <v>0</v>
      </c>
      <c r="AB60" s="2">
        <f t="shared" si="16"/>
        <v>0</v>
      </c>
      <c r="AD60" s="2">
        <f t="shared" si="17"/>
        <v>0</v>
      </c>
      <c r="AE60" s="2">
        <f t="shared" si="18"/>
        <v>0</v>
      </c>
      <c r="AF60" s="2">
        <f t="shared" si="19"/>
        <v>0</v>
      </c>
      <c r="AG60" s="2">
        <f t="shared" si="20"/>
        <v>0</v>
      </c>
      <c r="AH60" s="2">
        <f t="shared" si="21"/>
        <v>0</v>
      </c>
      <c r="AI60" s="2">
        <f t="shared" si="22"/>
        <v>1</v>
      </c>
    </row>
    <row r="61" spans="1:35" ht="14.25" customHeight="1" x14ac:dyDescent="0.25">
      <c r="A61" s="29">
        <v>0</v>
      </c>
      <c r="B61" s="29">
        <v>1</v>
      </c>
      <c r="C61" s="29">
        <v>5</v>
      </c>
      <c r="D61" s="30" t="s">
        <v>869</v>
      </c>
      <c r="E61" s="30" t="s">
        <v>803</v>
      </c>
      <c r="F61" s="30" t="s">
        <v>870</v>
      </c>
      <c r="G61" s="30" t="s">
        <v>370</v>
      </c>
      <c r="H61" s="30" t="s">
        <v>165</v>
      </c>
      <c r="I61" s="29" t="s">
        <v>871</v>
      </c>
      <c r="J61" s="29"/>
      <c r="K61" s="29" t="s">
        <v>378</v>
      </c>
      <c r="L61" s="29">
        <v>45</v>
      </c>
      <c r="M61" s="30" t="s">
        <v>420</v>
      </c>
      <c r="N61" s="30" t="s">
        <v>893</v>
      </c>
      <c r="O61" s="31">
        <v>1</v>
      </c>
      <c r="P61" s="31">
        <v>1</v>
      </c>
      <c r="Q61" s="30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D61" s="2">
        <f t="shared" si="17"/>
        <v>1</v>
      </c>
      <c r="AE61" s="2">
        <f t="shared" si="18"/>
        <v>0</v>
      </c>
      <c r="AF61" s="2">
        <f t="shared" si="19"/>
        <v>1</v>
      </c>
      <c r="AG61" s="2">
        <f t="shared" si="20"/>
        <v>0</v>
      </c>
      <c r="AH61" s="2">
        <f t="shared" si="21"/>
        <v>1</v>
      </c>
      <c r="AI61" s="2">
        <f t="shared" si="22"/>
        <v>0</v>
      </c>
    </row>
    <row r="62" spans="1:35" ht="14.25" customHeight="1" x14ac:dyDescent="0.25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378</v>
      </c>
      <c r="L62" s="29">
        <v>30</v>
      </c>
      <c r="M62" s="30" t="s">
        <v>266</v>
      </c>
      <c r="N62" s="30" t="s">
        <v>912</v>
      </c>
      <c r="O62" s="31">
        <v>1</v>
      </c>
      <c r="P62" s="31"/>
      <c r="Q62" s="30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D62" s="2">
        <f t="shared" si="17"/>
        <v>0</v>
      </c>
      <c r="AE62" s="2">
        <f t="shared" si="18"/>
        <v>1</v>
      </c>
      <c r="AF62" s="2">
        <f t="shared" si="19"/>
        <v>0</v>
      </c>
      <c r="AG62" s="2">
        <f t="shared" si="20"/>
        <v>1</v>
      </c>
      <c r="AH62" s="2">
        <f t="shared" si="21"/>
        <v>0</v>
      </c>
      <c r="AI62" s="2">
        <f t="shared" si="22"/>
        <v>1</v>
      </c>
    </row>
    <row r="63" spans="1:35" ht="14.25" customHeight="1" x14ac:dyDescent="0.25">
      <c r="A63" s="29">
        <v>0</v>
      </c>
      <c r="B63" s="29">
        <v>1</v>
      </c>
      <c r="C63" s="29">
        <v>5</v>
      </c>
      <c r="D63" s="30" t="s">
        <v>358</v>
      </c>
      <c r="E63" s="30" t="s">
        <v>363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378</v>
      </c>
      <c r="L63" s="29">
        <v>42</v>
      </c>
      <c r="M63" s="30" t="s">
        <v>420</v>
      </c>
      <c r="N63" s="30" t="s">
        <v>912</v>
      </c>
      <c r="O63" s="31">
        <v>1</v>
      </c>
      <c r="P63" s="31"/>
      <c r="Q63" s="30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D63" s="2">
        <f t="shared" si="17"/>
        <v>0</v>
      </c>
      <c r="AE63" s="2">
        <f t="shared" si="18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35" ht="14.25" customHeight="1" x14ac:dyDescent="0.25">
      <c r="A64" s="29">
        <v>0</v>
      </c>
      <c r="B64" s="29">
        <v>1</v>
      </c>
      <c r="C64" s="29">
        <v>5</v>
      </c>
      <c r="D64" s="30" t="s">
        <v>557</v>
      </c>
      <c r="E64" s="30" t="s">
        <v>296</v>
      </c>
      <c r="F64" s="30" t="s">
        <v>558</v>
      </c>
      <c r="G64" s="30" t="s">
        <v>592</v>
      </c>
      <c r="H64" s="30" t="s">
        <v>165</v>
      </c>
      <c r="I64" s="29" t="s">
        <v>559</v>
      </c>
      <c r="J64" s="29">
        <v>99</v>
      </c>
      <c r="K64" s="29" t="s">
        <v>330</v>
      </c>
      <c r="L64" s="29" t="s">
        <v>597</v>
      </c>
      <c r="M64" s="30" t="s">
        <v>420</v>
      </c>
      <c r="N64" s="30" t="s">
        <v>912</v>
      </c>
      <c r="O64" s="31">
        <v>1</v>
      </c>
      <c r="P64" s="31"/>
      <c r="Q64" s="30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D64" s="2">
        <f t="shared" si="17"/>
        <v>0</v>
      </c>
      <c r="AE64" s="2">
        <f t="shared" si="18"/>
        <v>1</v>
      </c>
      <c r="AF64" s="2">
        <f t="shared" si="19"/>
        <v>0</v>
      </c>
      <c r="AG64" s="2">
        <f t="shared" si="20"/>
        <v>1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372</v>
      </c>
      <c r="J65" s="29">
        <v>99</v>
      </c>
      <c r="K65" s="29" t="s">
        <v>329</v>
      </c>
      <c r="L65" s="29" t="s">
        <v>341</v>
      </c>
      <c r="M65" s="30" t="s">
        <v>785</v>
      </c>
      <c r="N65" s="30" t="s">
        <v>912</v>
      </c>
      <c r="O65" s="31">
        <v>1</v>
      </c>
      <c r="P65" s="31"/>
      <c r="Q65" s="30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D65" s="2">
        <f t="shared" si="17"/>
        <v>0</v>
      </c>
      <c r="AE65" s="2">
        <f t="shared" si="18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378</v>
      </c>
      <c r="L66" s="29" t="s">
        <v>335</v>
      </c>
      <c r="M66" s="30" t="s">
        <v>496</v>
      </c>
      <c r="N66" s="30" t="s">
        <v>930</v>
      </c>
      <c r="O66" s="31">
        <v>1</v>
      </c>
      <c r="P66" s="31"/>
      <c r="Q66" s="30"/>
      <c r="S66" s="2">
        <f t="shared" si="7"/>
        <v>0</v>
      </c>
      <c r="T66" s="2">
        <f t="shared" si="8"/>
        <v>0</v>
      </c>
      <c r="U66" s="2">
        <f t="shared" si="9"/>
        <v>1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D66" s="2">
        <f t="shared" si="17"/>
        <v>0</v>
      </c>
      <c r="AE66" s="2">
        <f t="shared" si="18"/>
        <v>1</v>
      </c>
      <c r="AF66" s="2">
        <f t="shared" si="19"/>
        <v>0</v>
      </c>
      <c r="AG66" s="2">
        <f t="shared" si="20"/>
        <v>1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627</v>
      </c>
      <c r="E67" s="21" t="s">
        <v>630</v>
      </c>
      <c r="F67" s="21" t="s">
        <v>626</v>
      </c>
      <c r="G67" s="21" t="s">
        <v>163</v>
      </c>
      <c r="H67" s="21" t="s">
        <v>165</v>
      </c>
      <c r="I67" s="20" t="s">
        <v>628</v>
      </c>
      <c r="J67" s="20">
        <v>5</v>
      </c>
      <c r="K67" s="20" t="s">
        <v>378</v>
      </c>
      <c r="L67" s="20">
        <v>40</v>
      </c>
      <c r="M67" s="21" t="s">
        <v>742</v>
      </c>
      <c r="N67" s="21"/>
      <c r="O67" s="7"/>
      <c r="P67" s="7"/>
      <c r="Q67" s="21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0</v>
      </c>
      <c r="W67" s="2">
        <f t="shared" si="11"/>
        <v>1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D67" s="2">
        <f t="shared" si="17"/>
        <v>0</v>
      </c>
      <c r="AE67" s="2">
        <f t="shared" si="18"/>
        <v>0</v>
      </c>
      <c r="AF67" s="2">
        <f t="shared" si="19"/>
        <v>0</v>
      </c>
      <c r="AG67" s="2">
        <f t="shared" si="20"/>
        <v>0</v>
      </c>
      <c r="AH67" s="2">
        <f t="shared" si="21"/>
        <v>0</v>
      </c>
      <c r="AI67" s="2">
        <f t="shared" si="22"/>
        <v>1</v>
      </c>
    </row>
    <row r="68" spans="1:35" ht="14.25" customHeight="1" x14ac:dyDescent="0.25">
      <c r="A68" s="32">
        <v>0</v>
      </c>
      <c r="B68" s="32">
        <v>1</v>
      </c>
      <c r="C68" s="32">
        <v>5</v>
      </c>
      <c r="D68" s="33" t="s">
        <v>46</v>
      </c>
      <c r="E68" s="33" t="s">
        <v>469</v>
      </c>
      <c r="F68" s="33" t="s">
        <v>693</v>
      </c>
      <c r="G68" s="33" t="s">
        <v>93</v>
      </c>
      <c r="H68" s="33" t="s">
        <v>165</v>
      </c>
      <c r="I68" s="32" t="s">
        <v>166</v>
      </c>
      <c r="J68" s="32">
        <v>8</v>
      </c>
      <c r="K68" s="32" t="s">
        <v>326</v>
      </c>
      <c r="L68" s="32" t="s">
        <v>346</v>
      </c>
      <c r="M68" s="33" t="s">
        <v>420</v>
      </c>
      <c r="N68" s="33" t="s">
        <v>894</v>
      </c>
      <c r="O68" s="34"/>
      <c r="P68" s="34"/>
      <c r="Q68" s="33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0</v>
      </c>
      <c r="X68" s="2">
        <f t="shared" si="12"/>
        <v>0</v>
      </c>
      <c r="Y68" s="2">
        <f t="shared" si="13"/>
        <v>0</v>
      </c>
      <c r="Z68" s="2">
        <f t="shared" si="14"/>
        <v>1</v>
      </c>
      <c r="AA68" s="2">
        <f t="shared" si="15"/>
        <v>0</v>
      </c>
      <c r="AB68" s="2">
        <f t="shared" si="16"/>
        <v>0</v>
      </c>
      <c r="AD68" s="2">
        <f t="shared" si="17"/>
        <v>0</v>
      </c>
      <c r="AE68" s="2">
        <f t="shared" si="18"/>
        <v>0</v>
      </c>
      <c r="AF68" s="2">
        <f t="shared" si="19"/>
        <v>0</v>
      </c>
      <c r="AG68" s="2">
        <f t="shared" si="20"/>
        <v>0</v>
      </c>
      <c r="AH68" s="2">
        <f t="shared" si="21"/>
        <v>0</v>
      </c>
      <c r="AI68" s="2">
        <f t="shared" si="22"/>
        <v>1</v>
      </c>
    </row>
    <row r="69" spans="1:35" ht="14.25" customHeight="1" x14ac:dyDescent="0.25">
      <c r="A69" s="32">
        <v>0</v>
      </c>
      <c r="B69" s="32">
        <v>1</v>
      </c>
      <c r="C69" s="32">
        <v>5</v>
      </c>
      <c r="D69" s="33" t="s">
        <v>814</v>
      </c>
      <c r="E69" s="33" t="s">
        <v>264</v>
      </c>
      <c r="F69" s="33" t="s">
        <v>118</v>
      </c>
      <c r="G69" s="33" t="s">
        <v>119</v>
      </c>
      <c r="H69" s="33" t="s">
        <v>165</v>
      </c>
      <c r="I69" s="32" t="s">
        <v>178</v>
      </c>
      <c r="J69" s="32">
        <v>8</v>
      </c>
      <c r="K69" s="32" t="s">
        <v>329</v>
      </c>
      <c r="L69" s="32" t="s">
        <v>343</v>
      </c>
      <c r="M69" s="33" t="s">
        <v>266</v>
      </c>
      <c r="N69" s="33" t="s">
        <v>894</v>
      </c>
      <c r="O69" s="34"/>
      <c r="P69" s="34"/>
      <c r="Q69" s="3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1</v>
      </c>
      <c r="AA69" s="2">
        <f t="shared" si="15"/>
        <v>0</v>
      </c>
      <c r="AB69" s="2">
        <f t="shared" si="16"/>
        <v>0</v>
      </c>
      <c r="AD69" s="2">
        <f t="shared" si="17"/>
        <v>0</v>
      </c>
      <c r="AE69" s="2">
        <f t="shared" si="18"/>
        <v>0</v>
      </c>
      <c r="AF69" s="2">
        <f t="shared" si="19"/>
        <v>0</v>
      </c>
      <c r="AG69" s="2">
        <f t="shared" si="20"/>
        <v>0</v>
      </c>
      <c r="AH69" s="2">
        <f t="shared" si="21"/>
        <v>0</v>
      </c>
      <c r="AI69" s="2">
        <f t="shared" si="22"/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815</v>
      </c>
      <c r="E70" s="21" t="s">
        <v>803</v>
      </c>
      <c r="F70" s="21" t="s">
        <v>805</v>
      </c>
      <c r="G70" s="21" t="s">
        <v>117</v>
      </c>
      <c r="H70" s="21" t="s">
        <v>165</v>
      </c>
      <c r="I70" s="20" t="s">
        <v>806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D70" s="2">
        <f t="shared" si="17"/>
        <v>0</v>
      </c>
      <c r="AE70" s="2">
        <f t="shared" si="18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815</v>
      </c>
      <c r="E71" s="21" t="s">
        <v>803</v>
      </c>
      <c r="F71" s="21" t="s">
        <v>838</v>
      </c>
      <c r="G71" s="21" t="s">
        <v>96</v>
      </c>
      <c r="H71" s="21" t="s">
        <v>165</v>
      </c>
      <c r="I71" s="20" t="s">
        <v>807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7"/>
        <v>0</v>
      </c>
      <c r="T71" s="2">
        <f t="shared" si="8"/>
        <v>0</v>
      </c>
      <c r="U71" s="2">
        <f t="shared" si="9"/>
        <v>1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D71" s="2">
        <f t="shared" si="17"/>
        <v>0</v>
      </c>
      <c r="AE71" s="2">
        <f t="shared" si="18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0</v>
      </c>
    </row>
    <row r="72" spans="1:35" ht="14.25" customHeight="1" x14ac:dyDescent="0.25">
      <c r="A72" s="29">
        <v>0</v>
      </c>
      <c r="B72" s="29">
        <v>1</v>
      </c>
      <c r="C72" s="29">
        <v>6</v>
      </c>
      <c r="D72" s="30" t="s">
        <v>808</v>
      </c>
      <c r="E72" s="30" t="s">
        <v>261</v>
      </c>
      <c r="F72" s="30" t="s">
        <v>770</v>
      </c>
      <c r="G72" s="30" t="s">
        <v>519</v>
      </c>
      <c r="H72" s="30" t="s">
        <v>165</v>
      </c>
      <c r="I72" s="29" t="s">
        <v>771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893</v>
      </c>
      <c r="O72" s="31">
        <v>1</v>
      </c>
      <c r="P72" s="31">
        <v>1</v>
      </c>
      <c r="Q72" s="30"/>
      <c r="S72" s="2">
        <f t="shared" si="7"/>
        <v>0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D72" s="2">
        <f t="shared" si="17"/>
        <v>1</v>
      </c>
      <c r="AE72" s="2">
        <f t="shared" si="18"/>
        <v>0</v>
      </c>
      <c r="AF72" s="2">
        <f t="shared" si="19"/>
        <v>1</v>
      </c>
      <c r="AG72" s="2">
        <f t="shared" si="20"/>
        <v>0</v>
      </c>
      <c r="AH72" s="2">
        <f t="shared" si="21"/>
        <v>1</v>
      </c>
      <c r="AI72" s="2">
        <f t="shared" si="22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893</v>
      </c>
      <c r="O73" s="31">
        <v>1</v>
      </c>
      <c r="P73" s="31">
        <v>1</v>
      </c>
      <c r="Q73" s="30"/>
      <c r="S73" s="2">
        <f t="shared" si="7"/>
        <v>1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D73" s="2">
        <f t="shared" si="17"/>
        <v>1</v>
      </c>
      <c r="AE73" s="2">
        <f t="shared" si="18"/>
        <v>0</v>
      </c>
      <c r="AF73" s="2">
        <f t="shared" si="19"/>
        <v>1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227</v>
      </c>
      <c r="E74" s="30" t="s">
        <v>674</v>
      </c>
      <c r="F74" s="30" t="s">
        <v>666</v>
      </c>
      <c r="G74" s="30" t="s">
        <v>667</v>
      </c>
      <c r="H74" s="30" t="s">
        <v>165</v>
      </c>
      <c r="I74" s="29" t="s">
        <v>668</v>
      </c>
      <c r="J74" s="29"/>
      <c r="K74" s="29" t="s">
        <v>332</v>
      </c>
      <c r="L74" s="29">
        <v>45</v>
      </c>
      <c r="M74" s="30" t="s">
        <v>752</v>
      </c>
      <c r="N74" s="30" t="s">
        <v>899</v>
      </c>
      <c r="O74" s="31">
        <v>1</v>
      </c>
      <c r="P74" s="31"/>
      <c r="Q74" s="30"/>
      <c r="S74" s="2">
        <f t="shared" si="7"/>
        <v>0</v>
      </c>
      <c r="T74" s="2">
        <f t="shared" si="8"/>
        <v>0</v>
      </c>
      <c r="U74" s="2">
        <f t="shared" si="9"/>
        <v>0</v>
      </c>
      <c r="V74" s="2">
        <f t="shared" si="10"/>
        <v>0</v>
      </c>
      <c r="W74" s="2">
        <f t="shared" si="11"/>
        <v>0</v>
      </c>
      <c r="X74" s="2">
        <f t="shared" si="12"/>
        <v>0</v>
      </c>
      <c r="Y74" s="2">
        <f t="shared" si="13"/>
        <v>0</v>
      </c>
      <c r="Z74" s="2">
        <f t="shared" si="14"/>
        <v>0</v>
      </c>
      <c r="AA74" s="2">
        <f t="shared" si="15"/>
        <v>0</v>
      </c>
      <c r="AB74" s="2">
        <f t="shared" si="16"/>
        <v>0</v>
      </c>
      <c r="AD74" s="2">
        <f t="shared" si="17"/>
        <v>0</v>
      </c>
      <c r="AE74" s="2">
        <f t="shared" si="18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</row>
    <row r="75" spans="1:35" ht="14.25" customHeight="1" x14ac:dyDescent="0.25">
      <c r="A75" s="29">
        <v>1</v>
      </c>
      <c r="B75" s="29">
        <v>1</v>
      </c>
      <c r="C75" s="29">
        <v>6</v>
      </c>
      <c r="D75" s="30" t="s">
        <v>227</v>
      </c>
      <c r="E75" s="30" t="s">
        <v>674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752</v>
      </c>
      <c r="N75" s="30" t="s">
        <v>899</v>
      </c>
      <c r="O75" s="31">
        <v>1</v>
      </c>
      <c r="P75" s="31"/>
      <c r="Q75" s="30"/>
      <c r="S75" s="2">
        <f t="shared" ref="S75:S138" si="23">IF(J75=$S$7,1,0)</f>
        <v>0</v>
      </c>
      <c r="T75" s="2">
        <f t="shared" ref="T75:T138" si="24">IF(J75=$T$7,1,0)</f>
        <v>0</v>
      </c>
      <c r="U75" s="2">
        <f t="shared" ref="U75:U138" si="25">IF(J75=$U$7,1,0)</f>
        <v>0</v>
      </c>
      <c r="V75" s="2">
        <f t="shared" ref="V75:V138" si="26">IF(J75=$V$7,1,0)</f>
        <v>0</v>
      </c>
      <c r="W75" s="2">
        <f t="shared" ref="W75:W138" si="27">IF(J75=$W$7,1,0)</f>
        <v>0</v>
      </c>
      <c r="X75" s="2">
        <f t="shared" ref="X75:X138" si="28">IF(J75=$X$7,1,0)</f>
        <v>1</v>
      </c>
      <c r="Y75" s="2">
        <f t="shared" ref="Y75:Y138" si="29">IF(J75=$Y$7,1,0)</f>
        <v>0</v>
      </c>
      <c r="Z75" s="2">
        <f t="shared" ref="Z75:Z138" si="30">IF(J75=$Z$7,1,0)</f>
        <v>0</v>
      </c>
      <c r="AA75" s="2">
        <f t="shared" ref="AA75:AA138" si="31">IF(J75=$AA$7,1,0)</f>
        <v>0</v>
      </c>
      <c r="AB75" s="2">
        <f t="shared" ref="AB75:AB138" si="32">IF(J75=$AB$7,1,0)</f>
        <v>0</v>
      </c>
      <c r="AD75" s="2">
        <f t="shared" ref="AD75:AD138" si="33">+O75*P75</f>
        <v>0</v>
      </c>
      <c r="AE75" s="2">
        <f t="shared" ref="AE75:AE138" si="34">O75*(1-P75)</f>
        <v>1</v>
      </c>
      <c r="AF75" s="2">
        <f t="shared" ref="AF75:AF138" si="35">+O75*P75*(1-A75)</f>
        <v>0</v>
      </c>
      <c r="AG75" s="2">
        <f t="shared" ref="AG75:AG138" si="36">O75*(1-P75)*(1-A75)</f>
        <v>0</v>
      </c>
      <c r="AH75" s="2">
        <f t="shared" ref="AH75:AH138" si="37">+P75*(1-A75)</f>
        <v>0</v>
      </c>
      <c r="AI75" s="2">
        <f t="shared" ref="AI75:AI138" si="38">+(1-A75)*(1-P75)</f>
        <v>0</v>
      </c>
    </row>
    <row r="76" spans="1:35" ht="14.25" customHeight="1" x14ac:dyDescent="0.25">
      <c r="A76" s="29">
        <v>0</v>
      </c>
      <c r="B76" s="29">
        <v>1</v>
      </c>
      <c r="C76" s="29">
        <v>6</v>
      </c>
      <c r="D76" s="30" t="s">
        <v>717</v>
      </c>
      <c r="E76" s="30" t="s">
        <v>258</v>
      </c>
      <c r="F76" s="30" t="s">
        <v>718</v>
      </c>
      <c r="G76" s="30" t="s">
        <v>130</v>
      </c>
      <c r="H76" s="30" t="s">
        <v>165</v>
      </c>
      <c r="I76" s="29" t="s">
        <v>719</v>
      </c>
      <c r="J76" s="29"/>
      <c r="K76" s="29" t="s">
        <v>329</v>
      </c>
      <c r="L76" s="29">
        <v>35</v>
      </c>
      <c r="M76" s="30" t="s">
        <v>882</v>
      </c>
      <c r="N76" s="30" t="s">
        <v>899</v>
      </c>
      <c r="O76" s="31">
        <v>1</v>
      </c>
      <c r="P76" s="31"/>
      <c r="Q76" s="30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35"/>
        <v>0</v>
      </c>
      <c r="AG76" s="2">
        <f t="shared" si="36"/>
        <v>1</v>
      </c>
      <c r="AH76" s="2">
        <f t="shared" si="37"/>
        <v>0</v>
      </c>
      <c r="AI76" s="2">
        <f t="shared" si="38"/>
        <v>1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934</v>
      </c>
      <c r="N77" s="30" t="s">
        <v>899</v>
      </c>
      <c r="O77" s="31">
        <v>1</v>
      </c>
      <c r="P77" s="31"/>
      <c r="Q77" s="30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1</v>
      </c>
      <c r="AD77" s="2">
        <f t="shared" si="33"/>
        <v>0</v>
      </c>
      <c r="AE77" s="2">
        <f t="shared" si="34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893</v>
      </c>
      <c r="O78" s="31">
        <v>1</v>
      </c>
      <c r="P78" s="31">
        <v>1</v>
      </c>
      <c r="Q78" s="30"/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1</v>
      </c>
      <c r="AB78" s="2">
        <f t="shared" si="32"/>
        <v>0</v>
      </c>
      <c r="AD78" s="2">
        <f t="shared" si="33"/>
        <v>1</v>
      </c>
      <c r="AE78" s="2">
        <f t="shared" si="34"/>
        <v>0</v>
      </c>
      <c r="AF78" s="2">
        <f t="shared" si="35"/>
        <v>1</v>
      </c>
      <c r="AG78" s="2">
        <f t="shared" si="36"/>
        <v>0</v>
      </c>
      <c r="AH78" s="2">
        <f t="shared" si="37"/>
        <v>1</v>
      </c>
      <c r="AI78" s="2">
        <f t="shared" si="38"/>
        <v>0</v>
      </c>
    </row>
    <row r="79" spans="1:35" ht="14.25" customHeight="1" x14ac:dyDescent="0.25">
      <c r="A79" s="32">
        <v>0</v>
      </c>
      <c r="B79" s="32">
        <v>1</v>
      </c>
      <c r="C79" s="32">
        <v>6</v>
      </c>
      <c r="D79" s="33" t="s">
        <v>359</v>
      </c>
      <c r="E79" s="33" t="s">
        <v>261</v>
      </c>
      <c r="F79" s="33" t="s">
        <v>293</v>
      </c>
      <c r="G79" s="33" t="s">
        <v>127</v>
      </c>
      <c r="H79" s="33" t="s">
        <v>165</v>
      </c>
      <c r="I79" s="32" t="s">
        <v>487</v>
      </c>
      <c r="J79" s="32">
        <v>2</v>
      </c>
      <c r="K79" s="32" t="s">
        <v>330</v>
      </c>
      <c r="L79" s="32" t="s">
        <v>334</v>
      </c>
      <c r="M79" s="33" t="s">
        <v>206</v>
      </c>
      <c r="N79" s="33" t="s">
        <v>929</v>
      </c>
      <c r="O79" s="34"/>
      <c r="P79" s="34"/>
      <c r="Q79" s="33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D79" s="2">
        <f t="shared" si="33"/>
        <v>0</v>
      </c>
      <c r="AE79" s="2">
        <f t="shared" si="34"/>
        <v>0</v>
      </c>
      <c r="AF79" s="2">
        <f t="shared" si="35"/>
        <v>0</v>
      </c>
      <c r="AG79" s="2">
        <f t="shared" si="36"/>
        <v>0</v>
      </c>
      <c r="AH79" s="2">
        <f t="shared" si="37"/>
        <v>0</v>
      </c>
      <c r="AI79" s="2">
        <f t="shared" si="38"/>
        <v>1</v>
      </c>
    </row>
    <row r="80" spans="1:35" ht="14.25" customHeight="1" x14ac:dyDescent="0.25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893</v>
      </c>
      <c r="O80" s="31">
        <v>1</v>
      </c>
      <c r="P80" s="31">
        <v>1</v>
      </c>
      <c r="Q80" s="30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1</v>
      </c>
      <c r="AE80" s="2">
        <f t="shared" si="34"/>
        <v>0</v>
      </c>
      <c r="AF80" s="2">
        <f t="shared" si="35"/>
        <v>1</v>
      </c>
      <c r="AG80" s="2">
        <f t="shared" si="36"/>
        <v>0</v>
      </c>
      <c r="AH80" s="2">
        <f t="shared" si="37"/>
        <v>1</v>
      </c>
      <c r="AI80" s="2">
        <f t="shared" si="38"/>
        <v>0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841</v>
      </c>
      <c r="J81" s="29">
        <v>3</v>
      </c>
      <c r="K81" s="29" t="s">
        <v>330</v>
      </c>
      <c r="L81" s="29" t="s">
        <v>346</v>
      </c>
      <c r="M81" s="30" t="s">
        <v>765</v>
      </c>
      <c r="N81" s="30" t="s">
        <v>901</v>
      </c>
      <c r="O81" s="31">
        <v>1</v>
      </c>
      <c r="P81" s="31"/>
      <c r="Q81" s="30"/>
      <c r="R81" s="20"/>
      <c r="S81" s="2">
        <f t="shared" si="23"/>
        <v>0</v>
      </c>
      <c r="T81" s="2">
        <f t="shared" si="24"/>
        <v>0</v>
      </c>
      <c r="U81" s="2">
        <f t="shared" si="25"/>
        <v>1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29">
        <v>0</v>
      </c>
      <c r="B82" s="29">
        <v>1</v>
      </c>
      <c r="C82" s="29">
        <v>6</v>
      </c>
      <c r="D82" s="30" t="s">
        <v>61</v>
      </c>
      <c r="E82" s="30" t="s">
        <v>261</v>
      </c>
      <c r="F82" s="30" t="s">
        <v>131</v>
      </c>
      <c r="G82" s="30" t="s">
        <v>132</v>
      </c>
      <c r="H82" s="30" t="s">
        <v>165</v>
      </c>
      <c r="I82" s="29" t="s">
        <v>182</v>
      </c>
      <c r="J82" s="29">
        <v>99</v>
      </c>
      <c r="K82" s="29" t="s">
        <v>329</v>
      </c>
      <c r="L82" s="29" t="s">
        <v>854</v>
      </c>
      <c r="M82" s="30" t="s">
        <v>700</v>
      </c>
      <c r="N82" s="30" t="s">
        <v>901</v>
      </c>
      <c r="O82" s="31">
        <v>1</v>
      </c>
      <c r="P82" s="31"/>
      <c r="Q82" s="30"/>
      <c r="R82" s="2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35"/>
        <v>0</v>
      </c>
      <c r="AG82" s="2">
        <f t="shared" si="36"/>
        <v>1</v>
      </c>
      <c r="AH82" s="2">
        <f t="shared" si="37"/>
        <v>0</v>
      </c>
      <c r="AI82" s="2">
        <f t="shared" si="38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590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749</v>
      </c>
      <c r="N83" s="30" t="s">
        <v>899</v>
      </c>
      <c r="O83" s="31">
        <v>1</v>
      </c>
      <c r="P83" s="31"/>
      <c r="Q83" s="30"/>
      <c r="R83" s="2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16384" s="3" customFormat="1" ht="14.25" customHeight="1" x14ac:dyDescent="0.25">
      <c r="A84" s="20">
        <v>0</v>
      </c>
      <c r="B84" s="20">
        <v>1</v>
      </c>
      <c r="C84" s="20">
        <v>6</v>
      </c>
      <c r="D84" s="21" t="s">
        <v>390</v>
      </c>
      <c r="E84" s="21" t="s">
        <v>391</v>
      </c>
      <c r="F84" s="21" t="s">
        <v>479</v>
      </c>
      <c r="G84" s="21" t="s">
        <v>133</v>
      </c>
      <c r="H84" s="21" t="s">
        <v>165</v>
      </c>
      <c r="I84" s="20" t="s">
        <v>489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0</v>
      </c>
      <c r="AF84" s="2">
        <f t="shared" si="35"/>
        <v>0</v>
      </c>
      <c r="AG84" s="2">
        <f t="shared" si="36"/>
        <v>0</v>
      </c>
      <c r="AH84" s="2">
        <f t="shared" si="37"/>
        <v>0</v>
      </c>
      <c r="AI84" s="2">
        <f t="shared" si="38"/>
        <v>1</v>
      </c>
    </row>
    <row r="85" spans="1:16384" s="3" customFormat="1" ht="14.25" customHeight="1" x14ac:dyDescent="0.25">
      <c r="A85" s="26">
        <v>0</v>
      </c>
      <c r="B85" s="26">
        <v>1</v>
      </c>
      <c r="C85" s="26">
        <v>6</v>
      </c>
      <c r="D85" s="27" t="s">
        <v>249</v>
      </c>
      <c r="E85" s="27" t="s">
        <v>261</v>
      </c>
      <c r="F85" s="27" t="s">
        <v>255</v>
      </c>
      <c r="G85" s="27" t="s">
        <v>125</v>
      </c>
      <c r="H85" s="27" t="s">
        <v>165</v>
      </c>
      <c r="I85" s="26" t="s">
        <v>222</v>
      </c>
      <c r="J85" s="26">
        <v>99</v>
      </c>
      <c r="K85" s="26" t="s">
        <v>330</v>
      </c>
      <c r="L85" s="26" t="s">
        <v>40</v>
      </c>
      <c r="M85" s="27" t="s">
        <v>40</v>
      </c>
      <c r="N85" s="27"/>
      <c r="O85" s="28"/>
      <c r="P85" s="28">
        <v>1</v>
      </c>
      <c r="Q85" s="27"/>
      <c r="R85" s="2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C85" s="2"/>
      <c r="AD85" s="2">
        <f t="shared" si="33"/>
        <v>0</v>
      </c>
      <c r="AE85" s="2">
        <f t="shared" si="34"/>
        <v>0</v>
      </c>
      <c r="AF85" s="2">
        <f t="shared" si="35"/>
        <v>0</v>
      </c>
      <c r="AG85" s="2">
        <f t="shared" si="36"/>
        <v>0</v>
      </c>
      <c r="AH85" s="2">
        <f t="shared" si="37"/>
        <v>1</v>
      </c>
      <c r="AI85" s="2">
        <f t="shared" si="38"/>
        <v>0</v>
      </c>
    </row>
    <row r="86" spans="1:16384" s="3" customFormat="1" ht="14.25" customHeight="1" x14ac:dyDescent="0.25">
      <c r="A86" s="20">
        <v>0</v>
      </c>
      <c r="B86" s="20">
        <v>1</v>
      </c>
      <c r="C86" s="20">
        <v>6</v>
      </c>
      <c r="D86" s="21" t="s">
        <v>733</v>
      </c>
      <c r="E86" s="21" t="s">
        <v>258</v>
      </c>
      <c r="F86" s="21" t="s">
        <v>734</v>
      </c>
      <c r="G86" s="21" t="s">
        <v>735</v>
      </c>
      <c r="H86" s="21" t="s">
        <v>165</v>
      </c>
      <c r="I86" s="20"/>
      <c r="J86" s="20">
        <v>99</v>
      </c>
      <c r="K86" s="20" t="s">
        <v>378</v>
      </c>
      <c r="L86" s="20">
        <v>75</v>
      </c>
      <c r="M86" s="21" t="s">
        <v>732</v>
      </c>
      <c r="N86" s="21"/>
      <c r="O86" s="7"/>
      <c r="P86" s="7"/>
      <c r="Q86" s="21"/>
      <c r="R86" s="2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C86" s="2"/>
      <c r="AD86" s="2">
        <f t="shared" si="33"/>
        <v>0</v>
      </c>
      <c r="AE86" s="2">
        <f t="shared" si="34"/>
        <v>0</v>
      </c>
      <c r="AF86" s="2">
        <f t="shared" si="35"/>
        <v>0</v>
      </c>
      <c r="AG86" s="2">
        <f t="shared" si="36"/>
        <v>0</v>
      </c>
      <c r="AH86" s="2">
        <f t="shared" si="37"/>
        <v>0</v>
      </c>
      <c r="AI86" s="2">
        <f t="shared" si="38"/>
        <v>1</v>
      </c>
    </row>
    <row r="87" spans="1:16384" s="3" customFormat="1" ht="14.25" customHeight="1" x14ac:dyDescent="0.25">
      <c r="A87" s="32">
        <v>0</v>
      </c>
      <c r="B87" s="32">
        <v>1</v>
      </c>
      <c r="C87" s="32">
        <v>6</v>
      </c>
      <c r="D87" s="33" t="s">
        <v>541</v>
      </c>
      <c r="E87" s="33" t="s">
        <v>575</v>
      </c>
      <c r="F87" s="33" t="s">
        <v>829</v>
      </c>
      <c r="G87" s="33" t="s">
        <v>542</v>
      </c>
      <c r="H87" s="33" t="s">
        <v>165</v>
      </c>
      <c r="I87" s="32" t="s">
        <v>543</v>
      </c>
      <c r="J87" s="32">
        <v>99</v>
      </c>
      <c r="K87" s="32" t="s">
        <v>330</v>
      </c>
      <c r="L87" s="32" t="s">
        <v>334</v>
      </c>
      <c r="M87" s="33" t="s">
        <v>743</v>
      </c>
      <c r="N87" s="33" t="s">
        <v>900</v>
      </c>
      <c r="O87" s="34"/>
      <c r="P87" s="34"/>
      <c r="Q87" s="33"/>
      <c r="R87" s="2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35"/>
        <v>0</v>
      </c>
      <c r="AG87" s="2">
        <f t="shared" si="36"/>
        <v>0</v>
      </c>
      <c r="AH87" s="2">
        <f t="shared" si="37"/>
        <v>0</v>
      </c>
      <c r="AI87" s="2">
        <f t="shared" si="38"/>
        <v>1</v>
      </c>
    </row>
    <row r="88" spans="1:16384" s="3" customFormat="1" ht="14.25" customHeight="1" x14ac:dyDescent="0.25">
      <c r="A88" s="29">
        <v>0</v>
      </c>
      <c r="B88" s="29">
        <v>1</v>
      </c>
      <c r="C88" s="29">
        <v>6</v>
      </c>
      <c r="D88" s="30" t="s">
        <v>360</v>
      </c>
      <c r="E88" s="30" t="s">
        <v>576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378</v>
      </c>
      <c r="L88" s="29">
        <v>92</v>
      </c>
      <c r="M88" s="30" t="s">
        <v>782</v>
      </c>
      <c r="N88" s="30" t="s">
        <v>907</v>
      </c>
      <c r="O88" s="31">
        <v>1</v>
      </c>
      <c r="P88" s="31"/>
      <c r="Q88" s="30"/>
      <c r="R88" s="2"/>
      <c r="S88" s="2">
        <f t="shared" si="23"/>
        <v>1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35"/>
        <v>0</v>
      </c>
      <c r="AG88" s="2">
        <f t="shared" si="36"/>
        <v>1</v>
      </c>
      <c r="AH88" s="2">
        <f t="shared" si="37"/>
        <v>0</v>
      </c>
      <c r="AI88" s="2">
        <f t="shared" si="38"/>
        <v>1</v>
      </c>
    </row>
    <row r="89" spans="1:16384" s="3" customFormat="1" ht="14.25" customHeight="1" x14ac:dyDescent="0.25">
      <c r="A89" s="26">
        <v>0</v>
      </c>
      <c r="B89" s="26">
        <v>1</v>
      </c>
      <c r="C89" s="26">
        <v>6</v>
      </c>
      <c r="D89" s="27" t="s">
        <v>981</v>
      </c>
      <c r="E89" s="27" t="s">
        <v>258</v>
      </c>
      <c r="F89" s="27" t="s">
        <v>982</v>
      </c>
      <c r="G89" s="27" t="s">
        <v>983</v>
      </c>
      <c r="H89" s="27" t="s">
        <v>165</v>
      </c>
      <c r="I89" s="26" t="s">
        <v>984</v>
      </c>
      <c r="J89" s="26"/>
      <c r="K89" s="26" t="s">
        <v>378</v>
      </c>
      <c r="L89" s="26"/>
      <c r="M89" s="27"/>
      <c r="N89" s="27"/>
      <c r="O89" s="28"/>
      <c r="P89" s="28">
        <v>1</v>
      </c>
      <c r="Q89" s="27"/>
      <c r="R89" s="2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35"/>
        <v>0</v>
      </c>
      <c r="AG89" s="2">
        <f t="shared" si="36"/>
        <v>0</v>
      </c>
      <c r="AH89" s="2">
        <f t="shared" si="37"/>
        <v>1</v>
      </c>
      <c r="AI89" s="2">
        <f t="shared" si="38"/>
        <v>0</v>
      </c>
    </row>
    <row r="90" spans="1:16384" s="3" customFormat="1" ht="14.25" customHeight="1" x14ac:dyDescent="0.25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23"/>
        <v>0</v>
      </c>
      <c r="T90" s="2">
        <f t="shared" si="24"/>
        <v>1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35"/>
        <v>0</v>
      </c>
      <c r="AG90" s="2">
        <f t="shared" si="36"/>
        <v>0</v>
      </c>
      <c r="AH90" s="2">
        <f t="shared" si="37"/>
        <v>0</v>
      </c>
      <c r="AI90" s="2">
        <f t="shared" si="38"/>
        <v>1</v>
      </c>
    </row>
    <row r="91" spans="1:16384" s="3" customFormat="1" ht="14.25" customHeight="1" x14ac:dyDescent="0.25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366</v>
      </c>
      <c r="G91" s="30" t="s">
        <v>91</v>
      </c>
      <c r="H91" s="30" t="s">
        <v>165</v>
      </c>
      <c r="I91" s="29" t="s">
        <v>374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912</v>
      </c>
      <c r="O91" s="31">
        <v>1</v>
      </c>
      <c r="P91" s="31"/>
      <c r="Q91" s="30"/>
      <c r="R91" s="2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1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</row>
    <row r="92" spans="1:16384" s="3" customFormat="1" ht="14.25" customHeight="1" x14ac:dyDescent="0.25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912</v>
      </c>
      <c r="O92" s="31">
        <v>1</v>
      </c>
      <c r="P92" s="31"/>
      <c r="Q92" s="30"/>
      <c r="R92" s="2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1</v>
      </c>
      <c r="AC92" s="2"/>
      <c r="AD92" s="2">
        <f t="shared" si="33"/>
        <v>0</v>
      </c>
      <c r="AE92" s="2">
        <f t="shared" si="34"/>
        <v>1</v>
      </c>
      <c r="AF92" s="2">
        <f t="shared" si="35"/>
        <v>0</v>
      </c>
      <c r="AG92" s="2">
        <f t="shared" si="36"/>
        <v>0</v>
      </c>
      <c r="AH92" s="2">
        <f t="shared" si="37"/>
        <v>0</v>
      </c>
      <c r="AI92" s="2">
        <f t="shared" si="38"/>
        <v>0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912</v>
      </c>
      <c r="O93" s="31">
        <v>1</v>
      </c>
      <c r="P93" s="31"/>
      <c r="Q93" s="30"/>
      <c r="R93" s="2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1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671</v>
      </c>
      <c r="G94" s="30" t="s">
        <v>673</v>
      </c>
      <c r="H94" s="30" t="s">
        <v>165</v>
      </c>
      <c r="I94" s="29" t="s">
        <v>672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912</v>
      </c>
      <c r="O94" s="31">
        <v>1</v>
      </c>
      <c r="P94" s="31"/>
      <c r="Q94" s="30"/>
      <c r="R94" s="2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0</v>
      </c>
      <c r="AE94" s="2">
        <f t="shared" si="34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365</v>
      </c>
      <c r="G95" s="30" t="s">
        <v>93</v>
      </c>
      <c r="H95" s="30" t="s">
        <v>165</v>
      </c>
      <c r="I95" s="29" t="s">
        <v>373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912</v>
      </c>
      <c r="O95" s="31">
        <v>1</v>
      </c>
      <c r="P95" s="31"/>
      <c r="Q95" s="30"/>
      <c r="R95" s="2"/>
      <c r="S95" s="2">
        <f t="shared" si="23"/>
        <v>0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1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0</v>
      </c>
      <c r="AE95" s="2">
        <f t="shared" si="34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912</v>
      </c>
      <c r="O96" s="31">
        <v>1</v>
      </c>
      <c r="P96" s="31"/>
      <c r="Q96" s="30"/>
      <c r="R96" s="2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</row>
    <row r="97" spans="1:35" ht="14.25" customHeight="1" x14ac:dyDescent="0.25">
      <c r="A97" s="29">
        <v>0</v>
      </c>
      <c r="B97" s="29">
        <v>1</v>
      </c>
      <c r="C97" s="29">
        <v>7</v>
      </c>
      <c r="D97" s="30" t="s">
        <v>571</v>
      </c>
      <c r="E97" s="30" t="s">
        <v>32</v>
      </c>
      <c r="F97" s="30" t="s">
        <v>586</v>
      </c>
      <c r="G97" s="30" t="s">
        <v>309</v>
      </c>
      <c r="H97" s="30" t="s">
        <v>165</v>
      </c>
      <c r="I97" s="29" t="s">
        <v>528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893</v>
      </c>
      <c r="O97" s="31">
        <v>1</v>
      </c>
      <c r="P97" s="31">
        <v>1</v>
      </c>
      <c r="Q97" s="30"/>
      <c r="S97" s="2">
        <f t="shared" si="23"/>
        <v>1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1</v>
      </c>
      <c r="AE97" s="2">
        <f t="shared" si="34"/>
        <v>0</v>
      </c>
      <c r="AF97" s="2">
        <f t="shared" si="35"/>
        <v>1</v>
      </c>
      <c r="AG97" s="2">
        <f t="shared" si="36"/>
        <v>0</v>
      </c>
      <c r="AH97" s="2">
        <f t="shared" si="37"/>
        <v>1</v>
      </c>
      <c r="AI97" s="2">
        <f t="shared" si="38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908</v>
      </c>
      <c r="O98" s="31">
        <v>1</v>
      </c>
      <c r="P98" s="31"/>
      <c r="Q98" s="30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D98" s="2">
        <f t="shared" si="33"/>
        <v>0</v>
      </c>
      <c r="AE98" s="2">
        <f t="shared" si="34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669</v>
      </c>
      <c r="G99" s="30" t="s">
        <v>96</v>
      </c>
      <c r="H99" s="30" t="s">
        <v>165</v>
      </c>
      <c r="I99" s="29" t="s">
        <v>839</v>
      </c>
      <c r="J99" s="29">
        <v>1</v>
      </c>
      <c r="K99" s="29" t="s">
        <v>320</v>
      </c>
      <c r="L99" s="29" t="s">
        <v>343</v>
      </c>
      <c r="M99" s="30" t="s">
        <v>750</v>
      </c>
      <c r="N99" s="30" t="s">
        <v>901</v>
      </c>
      <c r="O99" s="31">
        <v>1</v>
      </c>
      <c r="P99" s="31"/>
      <c r="Q99" s="30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D99" s="2">
        <f t="shared" si="33"/>
        <v>0</v>
      </c>
      <c r="AE99" s="2">
        <f t="shared" si="34"/>
        <v>1</v>
      </c>
      <c r="AF99" s="2">
        <f t="shared" si="35"/>
        <v>0</v>
      </c>
      <c r="AG99" s="2">
        <f t="shared" si="36"/>
        <v>1</v>
      </c>
      <c r="AH99" s="2">
        <f t="shared" si="37"/>
        <v>0</v>
      </c>
      <c r="AI99" s="2">
        <f t="shared" si="38"/>
        <v>1</v>
      </c>
    </row>
    <row r="100" spans="1:35" ht="14.25" customHeight="1" x14ac:dyDescent="0.25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750</v>
      </c>
      <c r="N100" s="30" t="s">
        <v>901</v>
      </c>
      <c r="O100" s="31">
        <v>1</v>
      </c>
      <c r="P100" s="31"/>
      <c r="Q100" s="30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D100" s="2">
        <f t="shared" si="33"/>
        <v>0</v>
      </c>
      <c r="AE100" s="2">
        <f t="shared" si="34"/>
        <v>1</v>
      </c>
      <c r="AF100" s="2">
        <f t="shared" si="35"/>
        <v>0</v>
      </c>
      <c r="AG100" s="2">
        <f t="shared" si="36"/>
        <v>0</v>
      </c>
      <c r="AH100" s="2">
        <f t="shared" si="37"/>
        <v>0</v>
      </c>
      <c r="AI100" s="2">
        <f t="shared" si="38"/>
        <v>0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473</v>
      </c>
      <c r="G101" s="30" t="s">
        <v>92</v>
      </c>
      <c r="H101" s="30" t="s">
        <v>165</v>
      </c>
      <c r="I101" s="29" t="s">
        <v>485</v>
      </c>
      <c r="J101" s="29">
        <v>2</v>
      </c>
      <c r="K101" s="29" t="s">
        <v>320</v>
      </c>
      <c r="L101" s="29" t="s">
        <v>343</v>
      </c>
      <c r="M101" s="30" t="s">
        <v>750</v>
      </c>
      <c r="N101" s="30" t="s">
        <v>901</v>
      </c>
      <c r="O101" s="31">
        <v>1</v>
      </c>
      <c r="P101" s="31"/>
      <c r="Q101" s="30"/>
      <c r="S101" s="2">
        <f t="shared" si="23"/>
        <v>0</v>
      </c>
      <c r="T101" s="2">
        <f t="shared" si="24"/>
        <v>1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D101" s="2">
        <f t="shared" si="33"/>
        <v>0</v>
      </c>
      <c r="AE101" s="2">
        <f t="shared" si="34"/>
        <v>1</v>
      </c>
      <c r="AF101" s="2">
        <f t="shared" si="35"/>
        <v>0</v>
      </c>
      <c r="AG101" s="2">
        <f t="shared" si="36"/>
        <v>0</v>
      </c>
      <c r="AH101" s="2">
        <f t="shared" si="37"/>
        <v>0</v>
      </c>
      <c r="AI101" s="2">
        <f t="shared" si="38"/>
        <v>0</v>
      </c>
    </row>
    <row r="102" spans="1:35" ht="14.25" customHeight="1" x14ac:dyDescent="0.25">
      <c r="A102" s="29">
        <v>0</v>
      </c>
      <c r="B102" s="29">
        <v>1</v>
      </c>
      <c r="C102" s="29">
        <v>7</v>
      </c>
      <c r="D102" s="30" t="s">
        <v>446</v>
      </c>
      <c r="E102" s="30" t="s">
        <v>32</v>
      </c>
      <c r="F102" s="30" t="s">
        <v>657</v>
      </c>
      <c r="G102" s="30" t="s">
        <v>96</v>
      </c>
      <c r="H102" s="30" t="s">
        <v>165</v>
      </c>
      <c r="I102" s="29" t="s">
        <v>658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893</v>
      </c>
      <c r="O102" s="31">
        <v>1</v>
      </c>
      <c r="P102" s="31">
        <v>1</v>
      </c>
      <c r="Q102" s="30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D102" s="2">
        <f t="shared" si="33"/>
        <v>1</v>
      </c>
      <c r="AE102" s="2">
        <f t="shared" si="34"/>
        <v>0</v>
      </c>
      <c r="AF102" s="2">
        <f t="shared" si="35"/>
        <v>1</v>
      </c>
      <c r="AG102" s="2">
        <f t="shared" si="36"/>
        <v>0</v>
      </c>
      <c r="AH102" s="2">
        <f t="shared" si="37"/>
        <v>1</v>
      </c>
      <c r="AI102" s="2">
        <f t="shared" si="38"/>
        <v>0</v>
      </c>
    </row>
    <row r="103" spans="1:35" ht="14.25" customHeight="1" x14ac:dyDescent="0.25">
      <c r="A103" s="29">
        <v>1</v>
      </c>
      <c r="B103" s="29">
        <v>1</v>
      </c>
      <c r="C103" s="29">
        <v>7</v>
      </c>
      <c r="D103" s="30" t="s">
        <v>446</v>
      </c>
      <c r="E103" s="30" t="s">
        <v>32</v>
      </c>
      <c r="F103" s="30" t="s">
        <v>447</v>
      </c>
      <c r="G103" s="30" t="s">
        <v>145</v>
      </c>
      <c r="H103" s="30" t="s">
        <v>165</v>
      </c>
      <c r="I103" s="29" t="s">
        <v>448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893</v>
      </c>
      <c r="O103" s="31">
        <v>1</v>
      </c>
      <c r="P103" s="31">
        <v>1</v>
      </c>
      <c r="Q103" s="30"/>
      <c r="S103" s="2">
        <f t="shared" si="23"/>
        <v>0</v>
      </c>
      <c r="T103" s="2">
        <f t="shared" si="24"/>
        <v>1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1</v>
      </c>
      <c r="AE103" s="2">
        <f t="shared" si="34"/>
        <v>0</v>
      </c>
      <c r="AF103" s="2">
        <f t="shared" si="35"/>
        <v>0</v>
      </c>
      <c r="AG103" s="2">
        <f t="shared" si="36"/>
        <v>0</v>
      </c>
      <c r="AH103" s="2">
        <f t="shared" si="37"/>
        <v>0</v>
      </c>
      <c r="AI103" s="2">
        <f t="shared" si="38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446</v>
      </c>
      <c r="E104" s="30" t="s">
        <v>32</v>
      </c>
      <c r="F104" s="30" t="s">
        <v>835</v>
      </c>
      <c r="G104" s="30" t="s">
        <v>124</v>
      </c>
      <c r="H104" s="30" t="s">
        <v>165</v>
      </c>
      <c r="I104" s="29" t="s">
        <v>849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893</v>
      </c>
      <c r="O104" s="31">
        <v>1</v>
      </c>
      <c r="P104" s="31">
        <v>1</v>
      </c>
      <c r="Q104" s="30"/>
      <c r="S104" s="2">
        <f t="shared" si="23"/>
        <v>0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D104" s="2">
        <f t="shared" si="33"/>
        <v>1</v>
      </c>
      <c r="AE104" s="2">
        <f t="shared" si="34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446</v>
      </c>
      <c r="E105" s="30" t="s">
        <v>32</v>
      </c>
      <c r="F105" s="30" t="s">
        <v>836</v>
      </c>
      <c r="G105" s="30" t="s">
        <v>103</v>
      </c>
      <c r="H105" s="30" t="s">
        <v>165</v>
      </c>
      <c r="I105" s="29" t="s">
        <v>850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893</v>
      </c>
      <c r="O105" s="31">
        <v>1</v>
      </c>
      <c r="P105" s="31">
        <v>1</v>
      </c>
      <c r="Q105" s="30"/>
      <c r="S105" s="2">
        <f t="shared" si="23"/>
        <v>0</v>
      </c>
      <c r="T105" s="2">
        <f t="shared" si="24"/>
        <v>1</v>
      </c>
      <c r="U105" s="2">
        <f t="shared" si="25"/>
        <v>0</v>
      </c>
      <c r="V105" s="2">
        <f t="shared" si="26"/>
        <v>0</v>
      </c>
      <c r="W105" s="2">
        <f t="shared" si="27"/>
        <v>0</v>
      </c>
      <c r="X105" s="2">
        <f t="shared" si="28"/>
        <v>0</v>
      </c>
      <c r="Y105" s="2">
        <f t="shared" si="29"/>
        <v>0</v>
      </c>
      <c r="Z105" s="2">
        <f t="shared" si="30"/>
        <v>0</v>
      </c>
      <c r="AA105" s="2">
        <f t="shared" si="31"/>
        <v>0</v>
      </c>
      <c r="AB105" s="2">
        <f t="shared" si="32"/>
        <v>0</v>
      </c>
      <c r="AD105" s="2">
        <f t="shared" si="33"/>
        <v>1</v>
      </c>
      <c r="AE105" s="2">
        <f t="shared" si="34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0</v>
      </c>
    </row>
    <row r="106" spans="1:35" ht="14.25" customHeight="1" x14ac:dyDescent="0.25">
      <c r="A106" s="32">
        <v>0</v>
      </c>
      <c r="B106" s="32">
        <v>1</v>
      </c>
      <c r="C106" s="32">
        <v>7</v>
      </c>
      <c r="D106" s="33" t="s">
        <v>71</v>
      </c>
      <c r="E106" s="33" t="s">
        <v>32</v>
      </c>
      <c r="F106" s="33" t="s">
        <v>150</v>
      </c>
      <c r="G106" s="33" t="s">
        <v>92</v>
      </c>
      <c r="H106" s="33" t="s">
        <v>165</v>
      </c>
      <c r="I106" s="32" t="s">
        <v>194</v>
      </c>
      <c r="J106" s="32">
        <v>2</v>
      </c>
      <c r="K106" s="32" t="s">
        <v>320</v>
      </c>
      <c r="L106" s="32" t="s">
        <v>335</v>
      </c>
      <c r="M106" s="33" t="s">
        <v>268</v>
      </c>
      <c r="N106" s="33" t="s">
        <v>929</v>
      </c>
      <c r="O106" s="34"/>
      <c r="P106" s="34"/>
      <c r="Q106" s="33"/>
      <c r="S106" s="2">
        <f t="shared" si="23"/>
        <v>0</v>
      </c>
      <c r="T106" s="2">
        <f t="shared" si="24"/>
        <v>1</v>
      </c>
      <c r="U106" s="2">
        <f t="shared" si="25"/>
        <v>0</v>
      </c>
      <c r="V106" s="2">
        <f t="shared" si="26"/>
        <v>0</v>
      </c>
      <c r="W106" s="2">
        <f t="shared" si="27"/>
        <v>0</v>
      </c>
      <c r="X106" s="2">
        <f t="shared" si="28"/>
        <v>0</v>
      </c>
      <c r="Y106" s="2">
        <f t="shared" si="29"/>
        <v>0</v>
      </c>
      <c r="Z106" s="2">
        <f t="shared" si="30"/>
        <v>0</v>
      </c>
      <c r="AA106" s="2">
        <f t="shared" si="31"/>
        <v>0</v>
      </c>
      <c r="AB106" s="2">
        <f t="shared" si="32"/>
        <v>0</v>
      </c>
      <c r="AD106" s="2">
        <f t="shared" si="33"/>
        <v>0</v>
      </c>
      <c r="AE106" s="2">
        <f t="shared" si="34"/>
        <v>0</v>
      </c>
      <c r="AF106" s="2">
        <f t="shared" si="35"/>
        <v>0</v>
      </c>
      <c r="AG106" s="2">
        <f t="shared" si="36"/>
        <v>0</v>
      </c>
      <c r="AH106" s="2">
        <f t="shared" si="37"/>
        <v>0</v>
      </c>
      <c r="AI106" s="2">
        <f t="shared" si="38"/>
        <v>1</v>
      </c>
    </row>
    <row r="107" spans="1:35" ht="14.25" customHeight="1" x14ac:dyDescent="0.25">
      <c r="A107" s="32">
        <v>1</v>
      </c>
      <c r="B107" s="32">
        <v>1</v>
      </c>
      <c r="C107" s="32">
        <v>7</v>
      </c>
      <c r="D107" s="33" t="s">
        <v>71</v>
      </c>
      <c r="E107" s="33" t="s">
        <v>32</v>
      </c>
      <c r="F107" s="33" t="s">
        <v>315</v>
      </c>
      <c r="G107" s="33" t="s">
        <v>154</v>
      </c>
      <c r="H107" s="33" t="s">
        <v>165</v>
      </c>
      <c r="I107" s="32" t="s">
        <v>317</v>
      </c>
      <c r="J107" s="32">
        <v>99</v>
      </c>
      <c r="K107" s="32" t="s">
        <v>320</v>
      </c>
      <c r="L107" s="32" t="s">
        <v>335</v>
      </c>
      <c r="M107" s="33" t="s">
        <v>268</v>
      </c>
      <c r="N107" s="33" t="s">
        <v>929</v>
      </c>
      <c r="O107" s="34"/>
      <c r="P107" s="34"/>
      <c r="Q107" s="33"/>
      <c r="S107" s="2">
        <f t="shared" si="23"/>
        <v>0</v>
      </c>
      <c r="T107" s="2">
        <f t="shared" si="24"/>
        <v>0</v>
      </c>
      <c r="U107" s="2">
        <f t="shared" si="25"/>
        <v>0</v>
      </c>
      <c r="V107" s="2">
        <f t="shared" si="26"/>
        <v>0</v>
      </c>
      <c r="W107" s="2">
        <f t="shared" si="27"/>
        <v>0</v>
      </c>
      <c r="X107" s="2">
        <f t="shared" si="28"/>
        <v>0</v>
      </c>
      <c r="Y107" s="2">
        <f t="shared" si="29"/>
        <v>0</v>
      </c>
      <c r="Z107" s="2">
        <f t="shared" si="30"/>
        <v>0</v>
      </c>
      <c r="AA107" s="2">
        <f t="shared" si="31"/>
        <v>0</v>
      </c>
      <c r="AB107" s="2">
        <f t="shared" si="32"/>
        <v>0</v>
      </c>
      <c r="AD107" s="2">
        <f t="shared" si="33"/>
        <v>0</v>
      </c>
      <c r="AE107" s="2">
        <f t="shared" si="34"/>
        <v>0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0</v>
      </c>
    </row>
    <row r="108" spans="1:35" ht="14.25" customHeight="1" x14ac:dyDescent="0.25">
      <c r="A108" s="29">
        <v>0</v>
      </c>
      <c r="B108" s="29">
        <v>1</v>
      </c>
      <c r="C108" s="29">
        <v>7</v>
      </c>
      <c r="D108" s="30" t="s">
        <v>946</v>
      </c>
      <c r="E108" s="30" t="s">
        <v>32</v>
      </c>
      <c r="F108" s="30" t="s">
        <v>947</v>
      </c>
      <c r="G108" s="30"/>
      <c r="H108" s="30" t="s">
        <v>165</v>
      </c>
      <c r="I108" s="29" t="s">
        <v>948</v>
      </c>
      <c r="J108" s="29"/>
      <c r="K108" s="29" t="s">
        <v>378</v>
      </c>
      <c r="L108" s="29">
        <v>30</v>
      </c>
      <c r="M108" s="30" t="s">
        <v>949</v>
      </c>
      <c r="N108" s="30" t="s">
        <v>893</v>
      </c>
      <c r="O108" s="31">
        <v>1</v>
      </c>
      <c r="P108" s="31">
        <v>1</v>
      </c>
      <c r="Q108" s="30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D108" s="2">
        <f t="shared" si="33"/>
        <v>1</v>
      </c>
      <c r="AE108" s="2">
        <f t="shared" si="34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</row>
    <row r="109" spans="1:35" ht="14.25" customHeight="1" x14ac:dyDescent="0.25">
      <c r="A109" s="32">
        <v>0</v>
      </c>
      <c r="B109" s="32">
        <v>1</v>
      </c>
      <c r="C109" s="32">
        <v>7</v>
      </c>
      <c r="D109" s="33" t="s">
        <v>961</v>
      </c>
      <c r="E109" s="33" t="s">
        <v>32</v>
      </c>
      <c r="F109" s="33" t="s">
        <v>962</v>
      </c>
      <c r="G109" s="33" t="s">
        <v>130</v>
      </c>
      <c r="H109" s="33" t="s">
        <v>165</v>
      </c>
      <c r="I109" s="32" t="s">
        <v>963</v>
      </c>
      <c r="J109" s="32">
        <v>10</v>
      </c>
      <c r="K109" s="32" t="s">
        <v>378</v>
      </c>
      <c r="L109" s="32">
        <v>40</v>
      </c>
      <c r="M109" s="33" t="s">
        <v>1003</v>
      </c>
      <c r="N109" s="33" t="s">
        <v>909</v>
      </c>
      <c r="O109" s="34"/>
      <c r="P109" s="34"/>
      <c r="Q109" s="33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1</v>
      </c>
      <c r="AD109" s="2">
        <f t="shared" si="33"/>
        <v>0</v>
      </c>
      <c r="AE109" s="2">
        <f t="shared" si="34"/>
        <v>0</v>
      </c>
      <c r="AF109" s="2">
        <f t="shared" si="35"/>
        <v>0</v>
      </c>
      <c r="AG109" s="2">
        <f t="shared" si="36"/>
        <v>0</v>
      </c>
      <c r="AH109" s="2">
        <f t="shared" si="37"/>
        <v>0</v>
      </c>
      <c r="AI109" s="2">
        <f t="shared" si="38"/>
        <v>1</v>
      </c>
    </row>
    <row r="110" spans="1:35" ht="14.25" customHeight="1" x14ac:dyDescent="0.25">
      <c r="A110" s="32">
        <v>0</v>
      </c>
      <c r="B110" s="32">
        <v>1</v>
      </c>
      <c r="C110" s="32">
        <v>7</v>
      </c>
      <c r="D110" s="33" t="s">
        <v>647</v>
      </c>
      <c r="E110" s="33" t="s">
        <v>32</v>
      </c>
      <c r="F110" s="33" t="s">
        <v>649</v>
      </c>
      <c r="G110" s="33" t="s">
        <v>117</v>
      </c>
      <c r="H110" s="33" t="s">
        <v>165</v>
      </c>
      <c r="I110" s="32" t="s">
        <v>694</v>
      </c>
      <c r="J110" s="32">
        <v>1</v>
      </c>
      <c r="K110" s="32" t="s">
        <v>320</v>
      </c>
      <c r="L110" s="32" t="s">
        <v>335</v>
      </c>
      <c r="M110" s="33" t="s">
        <v>648</v>
      </c>
      <c r="N110" s="33" t="s">
        <v>895</v>
      </c>
      <c r="O110" s="34"/>
      <c r="P110" s="34"/>
      <c r="Q110" s="33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D110" s="2">
        <f t="shared" si="33"/>
        <v>0</v>
      </c>
      <c r="AE110" s="2">
        <f t="shared" si="34"/>
        <v>0</v>
      </c>
      <c r="AF110" s="2">
        <f t="shared" si="35"/>
        <v>0</v>
      </c>
      <c r="AG110" s="2">
        <f t="shared" si="36"/>
        <v>0</v>
      </c>
      <c r="AH110" s="2">
        <f t="shared" si="37"/>
        <v>0</v>
      </c>
      <c r="AI110" s="2">
        <f t="shared" si="38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548</v>
      </c>
      <c r="E111" s="30" t="s">
        <v>32</v>
      </c>
      <c r="F111" s="30" t="s">
        <v>549</v>
      </c>
      <c r="G111" s="30" t="s">
        <v>550</v>
      </c>
      <c r="H111" s="30" t="s">
        <v>165</v>
      </c>
      <c r="I111" s="29" t="s">
        <v>551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913</v>
      </c>
      <c r="O111" s="31">
        <v>1</v>
      </c>
      <c r="P111" s="31"/>
      <c r="Q111" s="30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D111" s="2">
        <f t="shared" si="33"/>
        <v>0</v>
      </c>
      <c r="AE111" s="2">
        <f t="shared" si="34"/>
        <v>1</v>
      </c>
      <c r="AF111" s="2">
        <f t="shared" si="35"/>
        <v>0</v>
      </c>
      <c r="AG111" s="2">
        <f t="shared" si="36"/>
        <v>1</v>
      </c>
      <c r="AH111" s="2">
        <f t="shared" si="37"/>
        <v>0</v>
      </c>
      <c r="AI111" s="2">
        <f t="shared" si="38"/>
        <v>1</v>
      </c>
    </row>
    <row r="112" spans="1:35" ht="14.25" customHeight="1" x14ac:dyDescent="0.25">
      <c r="A112" s="29">
        <v>1</v>
      </c>
      <c r="B112" s="29">
        <v>1</v>
      </c>
      <c r="C112" s="29">
        <v>7</v>
      </c>
      <c r="D112" s="30" t="s">
        <v>548</v>
      </c>
      <c r="E112" s="30" t="s">
        <v>32</v>
      </c>
      <c r="F112" s="30" t="s">
        <v>662</v>
      </c>
      <c r="G112" s="30" t="s">
        <v>40</v>
      </c>
      <c r="H112" s="30" t="s">
        <v>165</v>
      </c>
      <c r="I112" s="29" t="s">
        <v>695</v>
      </c>
      <c r="J112" s="29"/>
      <c r="K112" s="29" t="s">
        <v>320</v>
      </c>
      <c r="L112" s="29">
        <v>30</v>
      </c>
      <c r="M112" s="30" t="s">
        <v>298</v>
      </c>
      <c r="N112" s="30" t="s">
        <v>913</v>
      </c>
      <c r="O112" s="31">
        <v>1</v>
      </c>
      <c r="P112" s="31"/>
      <c r="Q112" s="30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D112" s="2">
        <f t="shared" si="33"/>
        <v>0</v>
      </c>
      <c r="AE112" s="2">
        <f t="shared" si="34"/>
        <v>1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</row>
    <row r="113" spans="1:35" ht="14.25" customHeight="1" x14ac:dyDescent="0.25">
      <c r="A113" s="20">
        <v>0</v>
      </c>
      <c r="B113" s="20">
        <v>1</v>
      </c>
      <c r="C113" s="20">
        <v>7</v>
      </c>
      <c r="D113" s="21" t="s">
        <v>964</v>
      </c>
      <c r="E113" s="21" t="s">
        <v>32</v>
      </c>
      <c r="F113" s="21" t="s">
        <v>965</v>
      </c>
      <c r="G113" s="21" t="s">
        <v>403</v>
      </c>
      <c r="H113" s="21" t="s">
        <v>165</v>
      </c>
      <c r="I113" s="20" t="s">
        <v>966</v>
      </c>
      <c r="J113" s="20"/>
      <c r="K113" s="20" t="s">
        <v>378</v>
      </c>
      <c r="L113" s="20">
        <v>50</v>
      </c>
      <c r="M113" s="21" t="s">
        <v>967</v>
      </c>
      <c r="N113" s="21"/>
      <c r="O113" s="7"/>
      <c r="P113" s="7"/>
      <c r="Q113" s="21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D113" s="2">
        <f t="shared" si="33"/>
        <v>0</v>
      </c>
      <c r="AE113" s="2">
        <f t="shared" si="34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1</v>
      </c>
    </row>
    <row r="114" spans="1:35" ht="14.25" customHeight="1" x14ac:dyDescent="0.25">
      <c r="A114" s="29">
        <v>0</v>
      </c>
      <c r="B114" s="29">
        <v>2</v>
      </c>
      <c r="C114" s="29">
        <v>1</v>
      </c>
      <c r="D114" s="30" t="s">
        <v>670</v>
      </c>
      <c r="E114" s="30" t="s">
        <v>44</v>
      </c>
      <c r="F114" s="30" t="s">
        <v>619</v>
      </c>
      <c r="G114" s="30" t="s">
        <v>471</v>
      </c>
      <c r="H114" s="30" t="s">
        <v>165</v>
      </c>
      <c r="I114" s="29" t="s">
        <v>620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893</v>
      </c>
      <c r="O114" s="31">
        <v>1</v>
      </c>
      <c r="P114" s="31">
        <v>1</v>
      </c>
      <c r="Q114" s="30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D114" s="2">
        <f t="shared" si="33"/>
        <v>1</v>
      </c>
      <c r="AE114" s="2">
        <f t="shared" si="34"/>
        <v>0</v>
      </c>
      <c r="AF114" s="2">
        <f t="shared" si="35"/>
        <v>1</v>
      </c>
      <c r="AG114" s="2">
        <f t="shared" si="36"/>
        <v>0</v>
      </c>
      <c r="AH114" s="2">
        <f t="shared" si="37"/>
        <v>1</v>
      </c>
      <c r="AI114" s="2">
        <f t="shared" si="38"/>
        <v>0</v>
      </c>
    </row>
    <row r="115" spans="1:35" ht="14.25" customHeight="1" x14ac:dyDescent="0.25">
      <c r="A115" s="29">
        <v>1</v>
      </c>
      <c r="B115" s="29">
        <v>2</v>
      </c>
      <c r="C115" s="29">
        <v>1</v>
      </c>
      <c r="D115" s="30" t="s">
        <v>670</v>
      </c>
      <c r="E115" s="30" t="s">
        <v>44</v>
      </c>
      <c r="F115" s="30" t="s">
        <v>621</v>
      </c>
      <c r="G115" s="30" t="s">
        <v>91</v>
      </c>
      <c r="H115" s="30" t="s">
        <v>165</v>
      </c>
      <c r="I115" s="29" t="s">
        <v>620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893</v>
      </c>
      <c r="O115" s="31">
        <v>1</v>
      </c>
      <c r="P115" s="31">
        <v>1</v>
      </c>
      <c r="Q115" s="30"/>
      <c r="S115" s="2">
        <f t="shared" si="23"/>
        <v>1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D115" s="2">
        <f t="shared" si="33"/>
        <v>1</v>
      </c>
      <c r="AE115" s="2">
        <f t="shared" si="34"/>
        <v>0</v>
      </c>
      <c r="AF115" s="2">
        <f t="shared" si="35"/>
        <v>0</v>
      </c>
      <c r="AG115" s="2">
        <f t="shared" si="36"/>
        <v>0</v>
      </c>
      <c r="AH115" s="2">
        <f t="shared" si="37"/>
        <v>0</v>
      </c>
      <c r="AI115" s="2">
        <f t="shared" si="38"/>
        <v>0</v>
      </c>
    </row>
    <row r="116" spans="1:35" ht="14.25" customHeight="1" x14ac:dyDescent="0.25">
      <c r="A116" s="29">
        <v>0</v>
      </c>
      <c r="B116" s="29">
        <v>2</v>
      </c>
      <c r="C116" s="29">
        <v>1</v>
      </c>
      <c r="D116" s="30" t="s">
        <v>990</v>
      </c>
      <c r="E116" s="30" t="s">
        <v>44</v>
      </c>
      <c r="F116" s="30" t="s">
        <v>991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378</v>
      </c>
      <c r="L116" s="29"/>
      <c r="M116" s="30"/>
      <c r="N116" s="30" t="s">
        <v>893</v>
      </c>
      <c r="O116" s="31">
        <v>1</v>
      </c>
      <c r="P116" s="31">
        <v>1</v>
      </c>
      <c r="Q116" s="30" t="s">
        <v>992</v>
      </c>
      <c r="S116" s="2">
        <f t="shared" si="23"/>
        <v>1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D116" s="2">
        <f t="shared" si="33"/>
        <v>1</v>
      </c>
      <c r="AE116" s="2">
        <f t="shared" si="34"/>
        <v>0</v>
      </c>
      <c r="AF116" s="2">
        <f t="shared" si="35"/>
        <v>1</v>
      </c>
      <c r="AG116" s="2">
        <f t="shared" si="36"/>
        <v>0</v>
      </c>
      <c r="AH116" s="2">
        <f t="shared" si="37"/>
        <v>1</v>
      </c>
      <c r="AI116" s="2">
        <f t="shared" si="38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793</v>
      </c>
      <c r="E117" s="21" t="s">
        <v>470</v>
      </c>
      <c r="F117" s="21" t="s">
        <v>794</v>
      </c>
      <c r="G117" s="21" t="s">
        <v>114</v>
      </c>
      <c r="H117" s="21" t="s">
        <v>165</v>
      </c>
      <c r="I117" s="20" t="s">
        <v>795</v>
      </c>
      <c r="J117" s="20">
        <v>99</v>
      </c>
      <c r="K117" s="20" t="s">
        <v>378</v>
      </c>
      <c r="L117" s="20">
        <v>6</v>
      </c>
      <c r="M117" s="21" t="s">
        <v>942</v>
      </c>
      <c r="N117" s="21"/>
      <c r="O117" s="7"/>
      <c r="P117" s="7"/>
      <c r="Q117" s="21"/>
      <c r="S117" s="2">
        <f t="shared" si="23"/>
        <v>0</v>
      </c>
      <c r="T117" s="2">
        <f t="shared" si="24"/>
        <v>0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D117" s="2">
        <f t="shared" si="33"/>
        <v>0</v>
      </c>
      <c r="AE117" s="2">
        <f t="shared" si="34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</row>
    <row r="118" spans="1:35" ht="14.25" customHeight="1" x14ac:dyDescent="0.25">
      <c r="A118" s="29">
        <v>0</v>
      </c>
      <c r="B118" s="29">
        <v>2</v>
      </c>
      <c r="C118" s="29">
        <v>1</v>
      </c>
      <c r="D118" s="30" t="s">
        <v>788</v>
      </c>
      <c r="E118" s="30" t="s">
        <v>470</v>
      </c>
      <c r="F118" s="30" t="s">
        <v>789</v>
      </c>
      <c r="G118" s="30" t="s">
        <v>103</v>
      </c>
      <c r="H118" s="30" t="s">
        <v>165</v>
      </c>
      <c r="I118" s="29" t="s">
        <v>790</v>
      </c>
      <c r="J118" s="29">
        <v>2</v>
      </c>
      <c r="K118" s="29" t="s">
        <v>321</v>
      </c>
      <c r="L118" s="29">
        <v>15</v>
      </c>
      <c r="M118" s="30" t="s">
        <v>862</v>
      </c>
      <c r="N118" s="30" t="s">
        <v>893</v>
      </c>
      <c r="O118" s="31">
        <v>1</v>
      </c>
      <c r="P118" s="31">
        <v>1</v>
      </c>
      <c r="Q118" s="30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D118" s="2">
        <f t="shared" si="33"/>
        <v>1</v>
      </c>
      <c r="AE118" s="2">
        <f t="shared" si="34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531</v>
      </c>
      <c r="E119" s="30" t="s">
        <v>470</v>
      </c>
      <c r="F119" s="30" t="s">
        <v>536</v>
      </c>
      <c r="G119" s="30" t="s">
        <v>471</v>
      </c>
      <c r="H119" s="30" t="s">
        <v>165</v>
      </c>
      <c r="I119" s="29" t="s">
        <v>538</v>
      </c>
      <c r="J119" s="29">
        <v>99</v>
      </c>
      <c r="K119" s="29" t="s">
        <v>318</v>
      </c>
      <c r="L119" s="29">
        <v>13</v>
      </c>
      <c r="M119" s="30" t="s">
        <v>862</v>
      </c>
      <c r="N119" s="30" t="s">
        <v>893</v>
      </c>
      <c r="O119" s="31">
        <v>1</v>
      </c>
      <c r="P119" s="31">
        <v>1</v>
      </c>
      <c r="Q119" s="30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D119" s="2">
        <f t="shared" si="33"/>
        <v>1</v>
      </c>
      <c r="AE119" s="2">
        <f t="shared" si="34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</row>
    <row r="120" spans="1:35" ht="14.25" customHeight="1" x14ac:dyDescent="0.25">
      <c r="A120" s="29">
        <v>1</v>
      </c>
      <c r="B120" s="29">
        <v>2</v>
      </c>
      <c r="C120" s="29">
        <v>1</v>
      </c>
      <c r="D120" s="30" t="s">
        <v>531</v>
      </c>
      <c r="E120" s="30" t="s">
        <v>470</v>
      </c>
      <c r="F120" s="30" t="s">
        <v>532</v>
      </c>
      <c r="G120" s="30" t="s">
        <v>92</v>
      </c>
      <c r="H120" s="30" t="s">
        <v>165</v>
      </c>
      <c r="I120" s="29" t="s">
        <v>533</v>
      </c>
      <c r="J120" s="29">
        <v>2</v>
      </c>
      <c r="K120" s="29" t="s">
        <v>318</v>
      </c>
      <c r="L120" s="29">
        <v>13</v>
      </c>
      <c r="M120" s="30" t="s">
        <v>863</v>
      </c>
      <c r="N120" s="30" t="s">
        <v>893</v>
      </c>
      <c r="O120" s="31">
        <v>1</v>
      </c>
      <c r="P120" s="31">
        <v>1</v>
      </c>
      <c r="Q120" s="30"/>
      <c r="S120" s="2">
        <f t="shared" si="23"/>
        <v>0</v>
      </c>
      <c r="T120" s="2">
        <f t="shared" si="24"/>
        <v>1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D120" s="2">
        <f t="shared" si="33"/>
        <v>1</v>
      </c>
      <c r="AE120" s="2">
        <f t="shared" si="34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531</v>
      </c>
      <c r="E121" s="30" t="s">
        <v>470</v>
      </c>
      <c r="F121" s="30" t="s">
        <v>537</v>
      </c>
      <c r="G121" s="30" t="s">
        <v>405</v>
      </c>
      <c r="H121" s="30" t="s">
        <v>165</v>
      </c>
      <c r="I121" s="29" t="s">
        <v>539</v>
      </c>
      <c r="J121" s="29">
        <v>99</v>
      </c>
      <c r="K121" s="29" t="s">
        <v>318</v>
      </c>
      <c r="L121" s="29">
        <v>13</v>
      </c>
      <c r="M121" s="30" t="s">
        <v>864</v>
      </c>
      <c r="N121" s="30" t="s">
        <v>893</v>
      </c>
      <c r="O121" s="31">
        <v>1</v>
      </c>
      <c r="P121" s="31">
        <v>1</v>
      </c>
      <c r="Q121" s="30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D121" s="2">
        <f t="shared" si="33"/>
        <v>1</v>
      </c>
      <c r="AE121" s="2">
        <f t="shared" si="34"/>
        <v>0</v>
      </c>
      <c r="AF121" s="2">
        <f t="shared" si="35"/>
        <v>0</v>
      </c>
      <c r="AG121" s="2">
        <f t="shared" si="36"/>
        <v>0</v>
      </c>
      <c r="AH121" s="2">
        <f t="shared" si="37"/>
        <v>0</v>
      </c>
      <c r="AI121" s="2">
        <f t="shared" si="38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531</v>
      </c>
      <c r="E122" s="30" t="s">
        <v>470</v>
      </c>
      <c r="F122" s="30" t="s">
        <v>776</v>
      </c>
      <c r="G122" s="30" t="s">
        <v>777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865</v>
      </c>
      <c r="N122" s="30" t="s">
        <v>893</v>
      </c>
      <c r="O122" s="31">
        <v>1</v>
      </c>
      <c r="P122" s="31">
        <v>1</v>
      </c>
      <c r="Q122" s="30"/>
      <c r="S122" s="2">
        <f t="shared" si="23"/>
        <v>0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D122" s="2">
        <f t="shared" si="33"/>
        <v>1</v>
      </c>
      <c r="AE122" s="2">
        <f t="shared" si="34"/>
        <v>0</v>
      </c>
      <c r="AF122" s="2">
        <f t="shared" si="35"/>
        <v>0</v>
      </c>
      <c r="AG122" s="2">
        <f t="shared" si="36"/>
        <v>0</v>
      </c>
      <c r="AH122" s="2">
        <f t="shared" si="37"/>
        <v>0</v>
      </c>
      <c r="AI122" s="2">
        <f t="shared" si="38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531</v>
      </c>
      <c r="E123" s="30" t="s">
        <v>470</v>
      </c>
      <c r="F123" s="30" t="s">
        <v>778</v>
      </c>
      <c r="G123" s="30" t="s">
        <v>818</v>
      </c>
      <c r="H123" s="30" t="s">
        <v>165</v>
      </c>
      <c r="I123" s="29" t="s">
        <v>538</v>
      </c>
      <c r="J123" s="29">
        <v>3</v>
      </c>
      <c r="K123" s="29" t="s">
        <v>318</v>
      </c>
      <c r="L123" s="29">
        <v>13</v>
      </c>
      <c r="M123" s="30" t="s">
        <v>866</v>
      </c>
      <c r="N123" s="30" t="s">
        <v>893</v>
      </c>
      <c r="O123" s="31">
        <v>1</v>
      </c>
      <c r="P123" s="31">
        <v>1</v>
      </c>
      <c r="Q123" s="30"/>
      <c r="S123" s="2">
        <f t="shared" si="23"/>
        <v>0</v>
      </c>
      <c r="T123" s="2">
        <f t="shared" si="24"/>
        <v>0</v>
      </c>
      <c r="U123" s="2">
        <f t="shared" si="25"/>
        <v>1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D123" s="2">
        <f t="shared" si="33"/>
        <v>1</v>
      </c>
      <c r="AE123" s="2">
        <f t="shared" si="34"/>
        <v>0</v>
      </c>
      <c r="AF123" s="2">
        <f t="shared" si="35"/>
        <v>0</v>
      </c>
      <c r="AG123" s="2">
        <f t="shared" si="36"/>
        <v>0</v>
      </c>
      <c r="AH123" s="2">
        <f t="shared" si="37"/>
        <v>0</v>
      </c>
      <c r="AI123" s="2">
        <f t="shared" si="38"/>
        <v>0</v>
      </c>
    </row>
    <row r="124" spans="1:35" ht="14.25" customHeight="1" x14ac:dyDescent="0.25">
      <c r="A124" s="29">
        <v>0</v>
      </c>
      <c r="B124" s="29">
        <v>2</v>
      </c>
      <c r="C124" s="29">
        <v>1</v>
      </c>
      <c r="D124" s="30" t="s">
        <v>663</v>
      </c>
      <c r="E124" s="30" t="s">
        <v>35</v>
      </c>
      <c r="F124" s="30" t="s">
        <v>635</v>
      </c>
      <c r="G124" s="30" t="s">
        <v>688</v>
      </c>
      <c r="H124" s="30" t="s">
        <v>165</v>
      </c>
      <c r="I124" s="29" t="s">
        <v>636</v>
      </c>
      <c r="J124" s="29">
        <v>99</v>
      </c>
      <c r="K124" s="29" t="s">
        <v>318</v>
      </c>
      <c r="L124" s="29" t="s">
        <v>318</v>
      </c>
      <c r="M124" s="30" t="s">
        <v>269</v>
      </c>
      <c r="N124" s="30" t="s">
        <v>899</v>
      </c>
      <c r="O124" s="31">
        <v>1</v>
      </c>
      <c r="P124" s="31"/>
      <c r="Q124" s="30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0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D124" s="2">
        <f t="shared" si="33"/>
        <v>0</v>
      </c>
      <c r="AE124" s="2">
        <f t="shared" si="34"/>
        <v>1</v>
      </c>
      <c r="AF124" s="2">
        <f t="shared" si="35"/>
        <v>0</v>
      </c>
      <c r="AG124" s="2">
        <f t="shared" si="36"/>
        <v>1</v>
      </c>
      <c r="AH124" s="2">
        <f t="shared" si="37"/>
        <v>0</v>
      </c>
      <c r="AI124" s="2">
        <f t="shared" si="38"/>
        <v>1</v>
      </c>
    </row>
    <row r="125" spans="1:35" ht="14.25" customHeight="1" x14ac:dyDescent="0.25">
      <c r="A125" s="29">
        <v>0</v>
      </c>
      <c r="B125" s="29">
        <v>2</v>
      </c>
      <c r="C125" s="29">
        <v>1</v>
      </c>
      <c r="D125" s="30" t="s">
        <v>936</v>
      </c>
      <c r="E125" s="30" t="s">
        <v>470</v>
      </c>
      <c r="F125" s="30" t="s">
        <v>937</v>
      </c>
      <c r="G125" s="30" t="s">
        <v>38</v>
      </c>
      <c r="H125" s="30" t="s">
        <v>165</v>
      </c>
      <c r="I125" s="29" t="s">
        <v>938</v>
      </c>
      <c r="J125" s="29">
        <v>1</v>
      </c>
      <c r="K125" s="29" t="s">
        <v>378</v>
      </c>
      <c r="L125" s="29"/>
      <c r="M125" s="30"/>
      <c r="N125" s="30" t="s">
        <v>893</v>
      </c>
      <c r="O125" s="31">
        <v>1</v>
      </c>
      <c r="P125" s="31">
        <v>1</v>
      </c>
      <c r="Q125" s="30"/>
      <c r="S125" s="2">
        <f t="shared" si="23"/>
        <v>1</v>
      </c>
      <c r="T125" s="2">
        <f t="shared" si="24"/>
        <v>0</v>
      </c>
      <c r="U125" s="2">
        <f t="shared" si="25"/>
        <v>0</v>
      </c>
      <c r="V125" s="2">
        <f t="shared" si="26"/>
        <v>0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D125" s="2">
        <f t="shared" si="33"/>
        <v>1</v>
      </c>
      <c r="AE125" s="2">
        <f t="shared" si="34"/>
        <v>0</v>
      </c>
      <c r="AF125" s="2">
        <f t="shared" si="35"/>
        <v>1</v>
      </c>
      <c r="AG125" s="2">
        <f t="shared" si="36"/>
        <v>0</v>
      </c>
      <c r="AH125" s="2">
        <f t="shared" si="37"/>
        <v>1</v>
      </c>
      <c r="AI125" s="2">
        <f t="shared" si="38"/>
        <v>0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759</v>
      </c>
      <c r="E126" s="30" t="s">
        <v>470</v>
      </c>
      <c r="F126" s="30" t="s">
        <v>760</v>
      </c>
      <c r="G126" s="30" t="s">
        <v>819</v>
      </c>
      <c r="H126" s="30" t="s">
        <v>165</v>
      </c>
      <c r="I126" s="29" t="s">
        <v>761</v>
      </c>
      <c r="J126" s="29">
        <v>99</v>
      </c>
      <c r="K126" s="29" t="s">
        <v>320</v>
      </c>
      <c r="L126" s="29"/>
      <c r="M126" s="30" t="s">
        <v>707</v>
      </c>
      <c r="N126" s="30" t="s">
        <v>893</v>
      </c>
      <c r="O126" s="31">
        <v>1</v>
      </c>
      <c r="P126" s="31">
        <v>1</v>
      </c>
      <c r="Q126" s="30"/>
      <c r="S126" s="2">
        <f t="shared" si="23"/>
        <v>0</v>
      </c>
      <c r="T126" s="2">
        <f t="shared" si="24"/>
        <v>0</v>
      </c>
      <c r="U126" s="2">
        <f t="shared" si="25"/>
        <v>0</v>
      </c>
      <c r="V126" s="2">
        <f t="shared" si="26"/>
        <v>0</v>
      </c>
      <c r="W126" s="2">
        <f t="shared" si="27"/>
        <v>0</v>
      </c>
      <c r="X126" s="2">
        <f t="shared" si="28"/>
        <v>0</v>
      </c>
      <c r="Y126" s="2">
        <f t="shared" si="29"/>
        <v>0</v>
      </c>
      <c r="Z126" s="2">
        <f t="shared" si="30"/>
        <v>0</v>
      </c>
      <c r="AA126" s="2">
        <f t="shared" si="31"/>
        <v>0</v>
      </c>
      <c r="AB126" s="2">
        <f t="shared" si="32"/>
        <v>0</v>
      </c>
      <c r="AD126" s="2">
        <f t="shared" si="33"/>
        <v>1</v>
      </c>
      <c r="AE126" s="2">
        <f t="shared" si="34"/>
        <v>0</v>
      </c>
      <c r="AF126" s="2">
        <f t="shared" si="35"/>
        <v>1</v>
      </c>
      <c r="AG126" s="2">
        <f t="shared" si="36"/>
        <v>0</v>
      </c>
      <c r="AH126" s="2">
        <f t="shared" si="37"/>
        <v>1</v>
      </c>
      <c r="AI126" s="2">
        <f t="shared" si="38"/>
        <v>0</v>
      </c>
    </row>
    <row r="127" spans="1:35" ht="14.25" customHeight="1" x14ac:dyDescent="0.25">
      <c r="A127" s="29">
        <v>0</v>
      </c>
      <c r="B127" s="29">
        <v>2</v>
      </c>
      <c r="C127" s="29">
        <v>1</v>
      </c>
      <c r="D127" s="30" t="s">
        <v>680</v>
      </c>
      <c r="E127" s="30" t="s">
        <v>211</v>
      </c>
      <c r="F127" s="30" t="s">
        <v>223</v>
      </c>
      <c r="G127" s="30" t="s">
        <v>96</v>
      </c>
      <c r="H127" s="30" t="s">
        <v>165</v>
      </c>
      <c r="I127" s="29" t="s">
        <v>486</v>
      </c>
      <c r="J127" s="29">
        <v>3</v>
      </c>
      <c r="K127" s="29" t="s">
        <v>319</v>
      </c>
      <c r="L127" s="29" t="s">
        <v>318</v>
      </c>
      <c r="M127" s="30" t="s">
        <v>269</v>
      </c>
      <c r="N127" s="30" t="s">
        <v>893</v>
      </c>
      <c r="O127" s="31">
        <v>1</v>
      </c>
      <c r="P127" s="31">
        <v>1</v>
      </c>
      <c r="Q127" s="30"/>
      <c r="S127" s="2">
        <f t="shared" si="23"/>
        <v>0</v>
      </c>
      <c r="T127" s="2">
        <f t="shared" si="24"/>
        <v>0</v>
      </c>
      <c r="U127" s="2">
        <f t="shared" si="25"/>
        <v>1</v>
      </c>
      <c r="V127" s="2">
        <f t="shared" si="26"/>
        <v>0</v>
      </c>
      <c r="W127" s="2">
        <f t="shared" si="27"/>
        <v>0</v>
      </c>
      <c r="X127" s="2">
        <f t="shared" si="28"/>
        <v>0</v>
      </c>
      <c r="Y127" s="2">
        <f t="shared" si="29"/>
        <v>0</v>
      </c>
      <c r="Z127" s="2">
        <f t="shared" si="30"/>
        <v>0</v>
      </c>
      <c r="AA127" s="2">
        <f t="shared" si="31"/>
        <v>0</v>
      </c>
      <c r="AB127" s="2">
        <f t="shared" si="32"/>
        <v>0</v>
      </c>
      <c r="AD127" s="2">
        <f t="shared" si="33"/>
        <v>1</v>
      </c>
      <c r="AE127" s="2">
        <f t="shared" si="34"/>
        <v>0</v>
      </c>
      <c r="AF127" s="2">
        <f t="shared" si="35"/>
        <v>1</v>
      </c>
      <c r="AG127" s="2">
        <f t="shared" si="36"/>
        <v>0</v>
      </c>
      <c r="AH127" s="2">
        <f t="shared" si="37"/>
        <v>1</v>
      </c>
      <c r="AI127" s="2">
        <f t="shared" si="38"/>
        <v>0</v>
      </c>
    </row>
    <row r="128" spans="1:35" ht="14.25" customHeight="1" x14ac:dyDescent="0.25">
      <c r="A128" s="29">
        <v>1</v>
      </c>
      <c r="B128" s="29">
        <v>2</v>
      </c>
      <c r="C128" s="29">
        <v>1</v>
      </c>
      <c r="D128" s="30" t="s">
        <v>680</v>
      </c>
      <c r="E128" s="30" t="s">
        <v>211</v>
      </c>
      <c r="F128" s="30" t="s">
        <v>651</v>
      </c>
      <c r="G128" s="30" t="s">
        <v>92</v>
      </c>
      <c r="H128" s="30" t="s">
        <v>165</v>
      </c>
      <c r="I128" s="29" t="s">
        <v>652</v>
      </c>
      <c r="J128" s="29">
        <v>2</v>
      </c>
      <c r="K128" s="29" t="s">
        <v>319</v>
      </c>
      <c r="L128" s="29" t="s">
        <v>318</v>
      </c>
      <c r="M128" s="30" t="s">
        <v>269</v>
      </c>
      <c r="N128" s="30" t="s">
        <v>893</v>
      </c>
      <c r="O128" s="31">
        <v>1</v>
      </c>
      <c r="P128" s="31">
        <v>1</v>
      </c>
      <c r="Q128" s="30"/>
      <c r="S128" s="2">
        <f t="shared" si="23"/>
        <v>0</v>
      </c>
      <c r="T128" s="2">
        <f t="shared" si="24"/>
        <v>1</v>
      </c>
      <c r="U128" s="2">
        <f t="shared" si="25"/>
        <v>0</v>
      </c>
      <c r="V128" s="2">
        <f t="shared" si="26"/>
        <v>0</v>
      </c>
      <c r="W128" s="2">
        <f t="shared" si="27"/>
        <v>0</v>
      </c>
      <c r="X128" s="2">
        <f t="shared" si="28"/>
        <v>0</v>
      </c>
      <c r="Y128" s="2">
        <f t="shared" si="29"/>
        <v>0</v>
      </c>
      <c r="Z128" s="2">
        <f t="shared" si="30"/>
        <v>0</v>
      </c>
      <c r="AA128" s="2">
        <f t="shared" si="31"/>
        <v>0</v>
      </c>
      <c r="AB128" s="2">
        <f t="shared" si="32"/>
        <v>0</v>
      </c>
      <c r="AD128" s="2">
        <f t="shared" si="33"/>
        <v>1</v>
      </c>
      <c r="AE128" s="2">
        <f t="shared" si="34"/>
        <v>0</v>
      </c>
      <c r="AF128" s="2">
        <f t="shared" si="35"/>
        <v>0</v>
      </c>
      <c r="AG128" s="2">
        <f t="shared" si="36"/>
        <v>0</v>
      </c>
      <c r="AH128" s="2">
        <f t="shared" si="37"/>
        <v>0</v>
      </c>
      <c r="AI128" s="2">
        <f t="shared" si="38"/>
        <v>0</v>
      </c>
    </row>
    <row r="129" spans="1:16384" s="3" customFormat="1" ht="14.25" customHeight="1" x14ac:dyDescent="0.25">
      <c r="A129" s="29">
        <v>1</v>
      </c>
      <c r="B129" s="29">
        <v>2</v>
      </c>
      <c r="C129" s="29">
        <v>1</v>
      </c>
      <c r="D129" s="30" t="s">
        <v>680</v>
      </c>
      <c r="E129" s="30" t="s">
        <v>211</v>
      </c>
      <c r="F129" s="30" t="s">
        <v>650</v>
      </c>
      <c r="G129" s="30" t="s">
        <v>40</v>
      </c>
      <c r="H129" s="30" t="s">
        <v>165</v>
      </c>
      <c r="I129" s="29" t="s">
        <v>653</v>
      </c>
      <c r="J129" s="29">
        <v>4</v>
      </c>
      <c r="K129" s="29" t="s">
        <v>319</v>
      </c>
      <c r="L129" s="29" t="s">
        <v>318</v>
      </c>
      <c r="M129" s="30" t="s">
        <v>269</v>
      </c>
      <c r="N129" s="30" t="s">
        <v>893</v>
      </c>
      <c r="O129" s="31">
        <v>1</v>
      </c>
      <c r="P129" s="31">
        <v>1</v>
      </c>
      <c r="Q129" s="30"/>
      <c r="R129" s="2"/>
      <c r="S129" s="2">
        <f t="shared" si="23"/>
        <v>0</v>
      </c>
      <c r="T129" s="2">
        <f t="shared" si="24"/>
        <v>0</v>
      </c>
      <c r="U129" s="2">
        <f t="shared" si="25"/>
        <v>0</v>
      </c>
      <c r="V129" s="2">
        <f t="shared" si="26"/>
        <v>1</v>
      </c>
      <c r="W129" s="2">
        <f t="shared" si="27"/>
        <v>0</v>
      </c>
      <c r="X129" s="2">
        <f t="shared" si="28"/>
        <v>0</v>
      </c>
      <c r="Y129" s="2">
        <f t="shared" si="29"/>
        <v>0</v>
      </c>
      <c r="Z129" s="2">
        <f t="shared" si="30"/>
        <v>0</v>
      </c>
      <c r="AA129" s="2">
        <f t="shared" si="31"/>
        <v>0</v>
      </c>
      <c r="AB129" s="2">
        <f t="shared" si="32"/>
        <v>0</v>
      </c>
      <c r="AC129" s="2"/>
      <c r="AD129" s="2">
        <f t="shared" si="33"/>
        <v>1</v>
      </c>
      <c r="AE129" s="2">
        <f t="shared" si="34"/>
        <v>0</v>
      </c>
      <c r="AF129" s="2">
        <f t="shared" si="35"/>
        <v>0</v>
      </c>
      <c r="AG129" s="2">
        <f t="shared" si="36"/>
        <v>0</v>
      </c>
      <c r="AH129" s="2">
        <f t="shared" si="37"/>
        <v>0</v>
      </c>
      <c r="AI129" s="2">
        <f t="shared" si="38"/>
        <v>0</v>
      </c>
    </row>
    <row r="130" spans="1:16384" s="3" customFormat="1" ht="14.25" customHeight="1" x14ac:dyDescent="0.25">
      <c r="A130" s="29">
        <v>0</v>
      </c>
      <c r="B130" s="29">
        <v>2</v>
      </c>
      <c r="C130" s="29">
        <v>1</v>
      </c>
      <c r="D130" s="30" t="s">
        <v>973</v>
      </c>
      <c r="E130" s="30" t="s">
        <v>470</v>
      </c>
      <c r="F130" s="30" t="s">
        <v>974</v>
      </c>
      <c r="G130" s="30"/>
      <c r="H130" s="30" t="s">
        <v>165</v>
      </c>
      <c r="I130" s="29" t="s">
        <v>975</v>
      </c>
      <c r="J130" s="29"/>
      <c r="K130" s="29" t="s">
        <v>378</v>
      </c>
      <c r="L130" s="29"/>
      <c r="M130" s="30"/>
      <c r="N130" s="30" t="s">
        <v>893</v>
      </c>
      <c r="O130" s="31">
        <v>1</v>
      </c>
      <c r="P130" s="31">
        <v>1</v>
      </c>
      <c r="Q130" s="30"/>
      <c r="R130" s="2"/>
      <c r="S130" s="2">
        <f t="shared" si="23"/>
        <v>0</v>
      </c>
      <c r="T130" s="2">
        <f t="shared" si="24"/>
        <v>0</v>
      </c>
      <c r="U130" s="2">
        <f t="shared" si="25"/>
        <v>0</v>
      </c>
      <c r="V130" s="2">
        <f t="shared" si="26"/>
        <v>0</v>
      </c>
      <c r="W130" s="2">
        <f t="shared" si="27"/>
        <v>0</v>
      </c>
      <c r="X130" s="2">
        <f t="shared" si="28"/>
        <v>0</v>
      </c>
      <c r="Y130" s="2">
        <f t="shared" si="29"/>
        <v>0</v>
      </c>
      <c r="Z130" s="2">
        <f t="shared" si="30"/>
        <v>0</v>
      </c>
      <c r="AA130" s="2">
        <f t="shared" si="31"/>
        <v>0</v>
      </c>
      <c r="AB130" s="2">
        <f t="shared" si="32"/>
        <v>0</v>
      </c>
      <c r="AC130" s="2"/>
      <c r="AD130" s="2">
        <f t="shared" si="33"/>
        <v>1</v>
      </c>
      <c r="AE130" s="2">
        <f t="shared" si="34"/>
        <v>0</v>
      </c>
      <c r="AF130" s="2">
        <f t="shared" si="35"/>
        <v>1</v>
      </c>
      <c r="AG130" s="2">
        <f t="shared" si="36"/>
        <v>0</v>
      </c>
      <c r="AH130" s="2">
        <f t="shared" si="37"/>
        <v>1</v>
      </c>
      <c r="AI130" s="2">
        <f t="shared" si="38"/>
        <v>0</v>
      </c>
    </row>
    <row r="131" spans="1:16384" s="3" customFormat="1" ht="14.25" customHeight="1" x14ac:dyDescent="0.25">
      <c r="A131" s="29">
        <v>0</v>
      </c>
      <c r="B131" s="29">
        <v>2</v>
      </c>
      <c r="C131" s="29">
        <v>1</v>
      </c>
      <c r="D131" s="30" t="s">
        <v>461</v>
      </c>
      <c r="E131" s="30" t="s">
        <v>468</v>
      </c>
      <c r="F131" s="30" t="s">
        <v>474</v>
      </c>
      <c r="G131" s="30" t="s">
        <v>475</v>
      </c>
      <c r="H131" s="30" t="s">
        <v>165</v>
      </c>
      <c r="I131" s="29" t="s">
        <v>409</v>
      </c>
      <c r="J131" s="29">
        <v>99</v>
      </c>
      <c r="K131" s="29" t="s">
        <v>320</v>
      </c>
      <c r="L131" s="29" t="s">
        <v>318</v>
      </c>
      <c r="M131" s="30" t="s">
        <v>269</v>
      </c>
      <c r="N131" s="30" t="s">
        <v>930</v>
      </c>
      <c r="O131" s="31">
        <v>1</v>
      </c>
      <c r="P131" s="31"/>
      <c r="Q131" s="30"/>
      <c r="R131" s="20"/>
      <c r="S131" s="2">
        <f t="shared" si="23"/>
        <v>0</v>
      </c>
      <c r="T131" s="2">
        <f t="shared" si="24"/>
        <v>0</v>
      </c>
      <c r="U131" s="2">
        <f t="shared" si="25"/>
        <v>0</v>
      </c>
      <c r="V131" s="2">
        <f t="shared" si="26"/>
        <v>0</v>
      </c>
      <c r="W131" s="2">
        <f t="shared" si="27"/>
        <v>0</v>
      </c>
      <c r="X131" s="2">
        <f t="shared" si="28"/>
        <v>0</v>
      </c>
      <c r="Y131" s="2">
        <f t="shared" si="29"/>
        <v>0</v>
      </c>
      <c r="Z131" s="2">
        <f t="shared" si="30"/>
        <v>0</v>
      </c>
      <c r="AA131" s="2">
        <f t="shared" si="31"/>
        <v>0</v>
      </c>
      <c r="AB131" s="2">
        <f t="shared" si="32"/>
        <v>0</v>
      </c>
      <c r="AC131" s="2"/>
      <c r="AD131" s="2">
        <f t="shared" si="33"/>
        <v>0</v>
      </c>
      <c r="AE131" s="2">
        <f t="shared" si="34"/>
        <v>1</v>
      </c>
      <c r="AF131" s="2">
        <f t="shared" si="35"/>
        <v>0</v>
      </c>
      <c r="AG131" s="2">
        <f t="shared" si="36"/>
        <v>1</v>
      </c>
      <c r="AH131" s="2">
        <f t="shared" si="37"/>
        <v>0</v>
      </c>
      <c r="AI131" s="2">
        <f t="shared" si="38"/>
        <v>1</v>
      </c>
      <c r="AJ131" s="20"/>
      <c r="AK131" s="20"/>
      <c r="AL131" s="21"/>
      <c r="AM131" s="21"/>
      <c r="AN131" s="21"/>
      <c r="AO131" s="21"/>
      <c r="AP131" s="21"/>
      <c r="AQ131" s="20"/>
      <c r="AR131" s="20"/>
      <c r="AS131" s="20"/>
      <c r="AT131" s="20"/>
      <c r="AU131" s="21"/>
      <c r="AV131" s="21"/>
      <c r="AW131" s="7"/>
      <c r="AX131" s="7"/>
      <c r="AY131" s="21"/>
      <c r="AZ131" s="20"/>
      <c r="BA131" s="20"/>
      <c r="BB131" s="20"/>
      <c r="BC131" s="21"/>
      <c r="BD131" s="21"/>
      <c r="BE131" s="21"/>
      <c r="BF131" s="21"/>
      <c r="BG131" s="21"/>
      <c r="BH131" s="20"/>
      <c r="BI131" s="20"/>
      <c r="BJ131" s="20"/>
      <c r="BK131" s="20"/>
      <c r="BL131" s="21"/>
      <c r="BM131" s="21"/>
      <c r="BN131" s="7"/>
      <c r="BO131" s="7"/>
      <c r="BP131" s="21"/>
      <c r="BQ131" s="20"/>
      <c r="BR131" s="20"/>
      <c r="BS131" s="20"/>
      <c r="BT131" s="21"/>
      <c r="BU131" s="21"/>
      <c r="BV131" s="21"/>
      <c r="BW131" s="21"/>
      <c r="BX131" s="21"/>
      <c r="BY131" s="20"/>
      <c r="BZ131" s="20"/>
      <c r="CA131" s="20"/>
      <c r="CB131" s="20"/>
      <c r="CC131" s="21"/>
      <c r="CD131" s="21"/>
      <c r="CE131" s="7"/>
      <c r="CF131" s="7"/>
      <c r="CG131" s="21"/>
      <c r="CH131" s="20"/>
      <c r="CI131" s="20"/>
      <c r="CJ131" s="20"/>
      <c r="CK131" s="21"/>
      <c r="CL131" s="21"/>
      <c r="CM131" s="21"/>
      <c r="CN131" s="21"/>
      <c r="CO131" s="21"/>
      <c r="CP131" s="20"/>
      <c r="CQ131" s="20"/>
      <c r="CR131" s="20"/>
      <c r="CS131" s="20"/>
      <c r="CT131" s="21"/>
      <c r="CU131" s="21"/>
      <c r="CV131" s="7"/>
      <c r="CW131" s="7"/>
      <c r="CX131" s="21"/>
      <c r="CY131" s="20"/>
      <c r="CZ131" s="20"/>
      <c r="DA131" s="20"/>
      <c r="DB131" s="21"/>
      <c r="DC131" s="21"/>
      <c r="DD131" s="21"/>
      <c r="DE131" s="21"/>
      <c r="DF131" s="21"/>
      <c r="DG131" s="20"/>
      <c r="DH131" s="20"/>
      <c r="DI131" s="20"/>
      <c r="DJ131" s="20"/>
      <c r="DK131" s="21"/>
      <c r="DL131" s="21"/>
      <c r="DM131" s="7"/>
      <c r="DN131" s="7"/>
      <c r="DO131" s="21"/>
      <c r="DP131" s="20"/>
      <c r="DQ131" s="20"/>
      <c r="DR131" s="20"/>
      <c r="DS131" s="21"/>
      <c r="DT131" s="21"/>
      <c r="DU131" s="21"/>
      <c r="DV131" s="21"/>
      <c r="DW131" s="21"/>
      <c r="DX131" s="20"/>
      <c r="DY131" s="20"/>
      <c r="DZ131" s="20"/>
      <c r="EA131" s="20"/>
      <c r="EB131" s="21"/>
      <c r="EC131" s="21"/>
      <c r="ED131" s="7"/>
      <c r="EE131" s="7"/>
      <c r="EF131" s="21"/>
      <c r="EG131" s="20"/>
      <c r="EH131" s="20"/>
      <c r="EI131" s="20"/>
      <c r="EJ131" s="21"/>
      <c r="EK131" s="21"/>
      <c r="EL131" s="21"/>
      <c r="EM131" s="21"/>
      <c r="EN131" s="21"/>
      <c r="EO131" s="20"/>
      <c r="EP131" s="20"/>
      <c r="EQ131" s="20"/>
      <c r="ER131" s="20"/>
      <c r="ES131" s="21"/>
      <c r="ET131" s="21"/>
      <c r="EU131" s="7"/>
      <c r="EV131" s="7"/>
      <c r="EW131" s="21"/>
      <c r="EX131" s="20"/>
      <c r="EY131" s="20"/>
      <c r="EZ131" s="20"/>
      <c r="FA131" s="21"/>
      <c r="FB131" s="21"/>
      <c r="FC131" s="21"/>
      <c r="FD131" s="21"/>
      <c r="FE131" s="21"/>
      <c r="FF131" s="20"/>
      <c r="FG131" s="20"/>
      <c r="FH131" s="20"/>
      <c r="FI131" s="20"/>
      <c r="FJ131" s="21"/>
      <c r="FK131" s="21"/>
      <c r="FL131" s="7"/>
      <c r="FM131" s="7"/>
      <c r="FN131" s="21"/>
      <c r="FO131" s="20"/>
      <c r="FP131" s="20"/>
      <c r="FQ131" s="20"/>
      <c r="FR131" s="21"/>
      <c r="FS131" s="21"/>
      <c r="FT131" s="21"/>
      <c r="FU131" s="21"/>
      <c r="FV131" s="21"/>
      <c r="FW131" s="20"/>
      <c r="FX131" s="20"/>
      <c r="FY131" s="20"/>
      <c r="FZ131" s="20"/>
      <c r="GA131" s="21"/>
      <c r="GB131" s="21"/>
      <c r="GC131" s="7"/>
      <c r="GD131" s="7"/>
      <c r="GE131" s="21"/>
      <c r="GF131" s="20"/>
      <c r="GG131" s="20"/>
      <c r="GH131" s="20"/>
      <c r="GI131" s="21"/>
      <c r="GJ131" s="21"/>
      <c r="GK131" s="21"/>
      <c r="GL131" s="21"/>
      <c r="GM131" s="21"/>
      <c r="GN131" s="20"/>
      <c r="GO131" s="20"/>
      <c r="GP131" s="20"/>
      <c r="GQ131" s="20"/>
      <c r="GR131" s="21"/>
      <c r="GS131" s="21"/>
      <c r="GT131" s="7"/>
      <c r="GU131" s="7"/>
      <c r="GV131" s="21"/>
      <c r="GW131" s="20"/>
      <c r="GX131" s="20"/>
      <c r="GY131" s="20"/>
      <c r="GZ131" s="21"/>
      <c r="HA131" s="21"/>
      <c r="HB131" s="21"/>
      <c r="HC131" s="21"/>
      <c r="HD131" s="21"/>
      <c r="HE131" s="20"/>
      <c r="HF131" s="20"/>
      <c r="HG131" s="20"/>
      <c r="HH131" s="20"/>
      <c r="HI131" s="21"/>
      <c r="HJ131" s="21"/>
      <c r="HK131" s="7"/>
      <c r="HL131" s="7"/>
      <c r="HM131" s="21"/>
      <c r="HN131" s="20"/>
      <c r="HO131" s="20"/>
      <c r="HP131" s="20"/>
      <c r="HQ131" s="21"/>
      <c r="HR131" s="21"/>
      <c r="HS131" s="21"/>
      <c r="HT131" s="21"/>
      <c r="HU131" s="21"/>
      <c r="HV131" s="20"/>
      <c r="HW131" s="20"/>
      <c r="HX131" s="20"/>
      <c r="HY131" s="20"/>
      <c r="HZ131" s="21"/>
      <c r="IA131" s="21"/>
      <c r="IB131" s="7"/>
      <c r="IC131" s="7"/>
      <c r="ID131" s="21"/>
      <c r="IE131" s="20"/>
      <c r="IF131" s="20"/>
      <c r="IG131" s="20"/>
      <c r="IH131" s="21"/>
      <c r="II131" s="21"/>
      <c r="IJ131" s="21"/>
      <c r="IK131" s="21"/>
      <c r="IL131" s="21"/>
      <c r="IM131" s="20"/>
      <c r="IN131" s="20"/>
      <c r="IO131" s="20"/>
      <c r="IP131" s="20"/>
      <c r="IQ131" s="21"/>
      <c r="IR131" s="21"/>
      <c r="IS131" s="7"/>
      <c r="IT131" s="7"/>
      <c r="IU131" s="21"/>
      <c r="IV131" s="20"/>
      <c r="IW131" s="20"/>
      <c r="IX131" s="20"/>
      <c r="IY131" s="21"/>
      <c r="IZ131" s="21"/>
      <c r="JA131" s="21"/>
      <c r="JB131" s="21"/>
      <c r="JC131" s="21"/>
      <c r="JD131" s="20"/>
      <c r="JE131" s="20"/>
      <c r="JF131" s="20"/>
      <c r="JG131" s="20"/>
      <c r="JH131" s="21"/>
      <c r="JI131" s="21"/>
      <c r="JJ131" s="7"/>
      <c r="JK131" s="7"/>
      <c r="JL131" s="21"/>
      <c r="JM131" s="20"/>
      <c r="JN131" s="20"/>
      <c r="JO131" s="20"/>
      <c r="JP131" s="21"/>
      <c r="JQ131" s="21"/>
      <c r="JR131" s="21"/>
      <c r="JS131" s="21"/>
      <c r="JT131" s="21"/>
      <c r="JU131" s="20"/>
      <c r="JV131" s="20"/>
      <c r="JW131" s="20"/>
      <c r="JX131" s="20"/>
      <c r="JY131" s="21"/>
      <c r="JZ131" s="21"/>
      <c r="KA131" s="7"/>
      <c r="KB131" s="7"/>
      <c r="KC131" s="21"/>
      <c r="KD131" s="20"/>
      <c r="KE131" s="20"/>
      <c r="KF131" s="20"/>
      <c r="KG131" s="21"/>
      <c r="KH131" s="21"/>
      <c r="KI131" s="21"/>
      <c r="KJ131" s="21"/>
      <c r="KK131" s="21"/>
      <c r="KL131" s="20"/>
      <c r="KM131" s="20"/>
      <c r="KN131" s="20"/>
      <c r="KO131" s="20"/>
      <c r="KP131" s="21"/>
      <c r="KQ131" s="21"/>
      <c r="KR131" s="7"/>
      <c r="KS131" s="7"/>
      <c r="KT131" s="21"/>
      <c r="KU131" s="20"/>
      <c r="KV131" s="20"/>
      <c r="KW131" s="20"/>
      <c r="KX131" s="21"/>
      <c r="KY131" s="21"/>
      <c r="KZ131" s="21"/>
      <c r="LA131" s="21"/>
      <c r="LB131" s="21"/>
      <c r="LC131" s="20"/>
      <c r="LD131" s="20"/>
      <c r="LE131" s="20"/>
      <c r="LF131" s="20"/>
      <c r="LG131" s="21"/>
      <c r="LH131" s="21"/>
      <c r="LI131" s="7"/>
      <c r="LJ131" s="7"/>
      <c r="LK131" s="21"/>
      <c r="LL131" s="20"/>
      <c r="LM131" s="20"/>
      <c r="LN131" s="20"/>
      <c r="LO131" s="21"/>
      <c r="LP131" s="21"/>
      <c r="LQ131" s="21"/>
      <c r="LR131" s="21"/>
      <c r="LS131" s="21"/>
      <c r="LT131" s="20"/>
      <c r="LU131" s="20"/>
      <c r="LV131" s="20"/>
      <c r="LW131" s="20"/>
      <c r="LX131" s="21"/>
      <c r="LY131" s="21"/>
      <c r="LZ131" s="7"/>
      <c r="MA131" s="7"/>
      <c r="MB131" s="21"/>
      <c r="MC131" s="20"/>
      <c r="MD131" s="20"/>
      <c r="ME131" s="20"/>
      <c r="MF131" s="21"/>
      <c r="MG131" s="21"/>
      <c r="MH131" s="21"/>
      <c r="MI131" s="21"/>
      <c r="MJ131" s="21"/>
      <c r="MK131" s="20"/>
      <c r="ML131" s="20"/>
      <c r="MM131" s="20"/>
      <c r="MN131" s="20"/>
      <c r="MO131" s="21"/>
      <c r="MP131" s="21"/>
      <c r="MQ131" s="7"/>
      <c r="MR131" s="7"/>
      <c r="MS131" s="21"/>
      <c r="MT131" s="20"/>
      <c r="MU131" s="20"/>
      <c r="MV131" s="20"/>
      <c r="MW131" s="21"/>
      <c r="MX131" s="21"/>
      <c r="MY131" s="21"/>
      <c r="MZ131" s="21"/>
      <c r="NA131" s="21"/>
      <c r="NB131" s="20"/>
      <c r="NC131" s="20"/>
      <c r="ND131" s="20"/>
      <c r="NE131" s="20"/>
      <c r="NF131" s="21"/>
      <c r="NG131" s="21"/>
      <c r="NH131" s="7"/>
      <c r="NI131" s="7"/>
      <c r="NJ131" s="21"/>
      <c r="NK131" s="20"/>
      <c r="NL131" s="20"/>
      <c r="NM131" s="20"/>
      <c r="NN131" s="21"/>
      <c r="NO131" s="21"/>
      <c r="NP131" s="21"/>
      <c r="NQ131" s="21"/>
      <c r="NR131" s="21"/>
      <c r="NS131" s="20"/>
      <c r="NT131" s="20"/>
      <c r="NU131" s="20"/>
      <c r="NV131" s="20"/>
      <c r="NW131" s="21"/>
      <c r="NX131" s="21"/>
      <c r="NY131" s="7"/>
      <c r="NZ131" s="7"/>
      <c r="OA131" s="21"/>
      <c r="OB131" s="20"/>
      <c r="OC131" s="20"/>
      <c r="OD131" s="20"/>
      <c r="OE131" s="21"/>
      <c r="OF131" s="21"/>
      <c r="OG131" s="21"/>
      <c r="OH131" s="21"/>
      <c r="OI131" s="21"/>
      <c r="OJ131" s="20"/>
      <c r="OK131" s="20"/>
      <c r="OL131" s="20"/>
      <c r="OM131" s="20"/>
      <c r="ON131" s="21"/>
      <c r="OO131" s="21"/>
      <c r="OP131" s="7"/>
      <c r="OQ131" s="7"/>
      <c r="OR131" s="21"/>
      <c r="OS131" s="20"/>
      <c r="OT131" s="20"/>
      <c r="OU131" s="20"/>
      <c r="OV131" s="21"/>
      <c r="OW131" s="21"/>
      <c r="OX131" s="21"/>
      <c r="OY131" s="21"/>
      <c r="OZ131" s="21"/>
      <c r="PA131" s="20"/>
      <c r="PB131" s="20"/>
      <c r="PC131" s="20"/>
      <c r="PD131" s="20"/>
      <c r="PE131" s="21"/>
      <c r="PF131" s="21"/>
      <c r="PG131" s="7"/>
      <c r="PH131" s="7"/>
      <c r="PI131" s="21"/>
      <c r="PJ131" s="20"/>
      <c r="PK131" s="20"/>
      <c r="PL131" s="20"/>
      <c r="PM131" s="21"/>
      <c r="PN131" s="21"/>
      <c r="PO131" s="21"/>
      <c r="PP131" s="21"/>
      <c r="PQ131" s="21"/>
      <c r="PR131" s="20"/>
      <c r="PS131" s="20"/>
      <c r="PT131" s="20"/>
      <c r="PU131" s="20"/>
      <c r="PV131" s="21"/>
      <c r="PW131" s="21"/>
      <c r="PX131" s="7"/>
      <c r="PY131" s="7"/>
      <c r="PZ131" s="21"/>
      <c r="QA131" s="20"/>
      <c r="QB131" s="20"/>
      <c r="QC131" s="20"/>
      <c r="QD131" s="21"/>
      <c r="QE131" s="21"/>
      <c r="QF131" s="21"/>
      <c r="QG131" s="21"/>
      <c r="QH131" s="21"/>
      <c r="QI131" s="20"/>
      <c r="QJ131" s="20"/>
      <c r="QK131" s="20"/>
      <c r="QL131" s="20"/>
      <c r="QM131" s="21"/>
      <c r="QN131" s="21"/>
      <c r="QO131" s="7"/>
      <c r="QP131" s="7"/>
      <c r="QQ131" s="21"/>
      <c r="QR131" s="20"/>
      <c r="QS131" s="20"/>
      <c r="QT131" s="20"/>
      <c r="QU131" s="21"/>
      <c r="QV131" s="21"/>
      <c r="QW131" s="21"/>
      <c r="QX131" s="21"/>
      <c r="QY131" s="21"/>
      <c r="QZ131" s="20"/>
      <c r="RA131" s="20"/>
      <c r="RB131" s="20"/>
      <c r="RC131" s="20"/>
      <c r="RD131" s="21"/>
      <c r="RE131" s="21"/>
      <c r="RF131" s="7"/>
      <c r="RG131" s="7"/>
      <c r="RH131" s="21"/>
      <c r="RI131" s="20"/>
      <c r="RJ131" s="20"/>
      <c r="RK131" s="20"/>
      <c r="RL131" s="21"/>
      <c r="RM131" s="21"/>
      <c r="RN131" s="21"/>
      <c r="RO131" s="21"/>
      <c r="RP131" s="21"/>
      <c r="RQ131" s="20"/>
      <c r="RR131" s="20"/>
      <c r="RS131" s="20"/>
      <c r="RT131" s="20"/>
      <c r="RU131" s="21"/>
      <c r="RV131" s="21"/>
      <c r="RW131" s="7"/>
      <c r="RX131" s="7"/>
      <c r="RY131" s="21"/>
      <c r="RZ131" s="20"/>
      <c r="SA131" s="20"/>
      <c r="SB131" s="20"/>
      <c r="SC131" s="21"/>
      <c r="SD131" s="21"/>
      <c r="SE131" s="21"/>
      <c r="SF131" s="21"/>
      <c r="SG131" s="21"/>
      <c r="SH131" s="20"/>
      <c r="SI131" s="20"/>
      <c r="SJ131" s="20"/>
      <c r="SK131" s="20"/>
      <c r="SL131" s="21"/>
      <c r="SM131" s="21"/>
      <c r="SN131" s="7"/>
      <c r="SO131" s="7"/>
      <c r="SP131" s="21"/>
      <c r="SQ131" s="20"/>
      <c r="SR131" s="20"/>
      <c r="SS131" s="20"/>
      <c r="ST131" s="21"/>
      <c r="SU131" s="21"/>
      <c r="SV131" s="21"/>
      <c r="SW131" s="21"/>
      <c r="SX131" s="21"/>
      <c r="SY131" s="20"/>
      <c r="SZ131" s="20"/>
      <c r="TA131" s="20"/>
      <c r="TB131" s="20"/>
      <c r="TC131" s="21"/>
      <c r="TD131" s="21"/>
      <c r="TE131" s="7"/>
      <c r="TF131" s="7"/>
      <c r="TG131" s="21"/>
      <c r="TH131" s="20"/>
      <c r="TI131" s="20"/>
      <c r="TJ131" s="20"/>
      <c r="TK131" s="21"/>
      <c r="TL131" s="21"/>
      <c r="TM131" s="21"/>
      <c r="TN131" s="21"/>
      <c r="TO131" s="21"/>
      <c r="TP131" s="20"/>
      <c r="TQ131" s="20"/>
      <c r="TR131" s="20"/>
      <c r="TS131" s="20"/>
      <c r="TT131" s="21"/>
      <c r="TU131" s="21"/>
      <c r="TV131" s="7"/>
      <c r="TW131" s="7"/>
      <c r="TX131" s="21"/>
      <c r="TY131" s="20"/>
      <c r="TZ131" s="20"/>
      <c r="UA131" s="20"/>
      <c r="UB131" s="21"/>
      <c r="UC131" s="21"/>
      <c r="UD131" s="21"/>
      <c r="UE131" s="21"/>
      <c r="UF131" s="21"/>
      <c r="UG131" s="20"/>
      <c r="UH131" s="20"/>
      <c r="UI131" s="20"/>
      <c r="UJ131" s="20"/>
      <c r="UK131" s="21"/>
      <c r="UL131" s="21"/>
      <c r="UM131" s="7"/>
      <c r="UN131" s="7"/>
      <c r="UO131" s="21"/>
      <c r="UP131" s="20"/>
      <c r="UQ131" s="20"/>
      <c r="UR131" s="20"/>
      <c r="US131" s="21"/>
      <c r="UT131" s="21"/>
      <c r="UU131" s="21"/>
      <c r="UV131" s="21"/>
      <c r="UW131" s="21"/>
      <c r="UX131" s="20"/>
      <c r="UY131" s="20"/>
      <c r="UZ131" s="20"/>
      <c r="VA131" s="20"/>
      <c r="VB131" s="21"/>
      <c r="VC131" s="21"/>
      <c r="VD131" s="7"/>
      <c r="VE131" s="7"/>
      <c r="VF131" s="21"/>
      <c r="VG131" s="20"/>
      <c r="VH131" s="20"/>
      <c r="VI131" s="20"/>
      <c r="VJ131" s="21"/>
      <c r="VK131" s="21"/>
      <c r="VL131" s="21"/>
      <c r="VM131" s="21"/>
      <c r="VN131" s="21"/>
      <c r="VO131" s="20"/>
      <c r="VP131" s="20"/>
      <c r="VQ131" s="20"/>
      <c r="VR131" s="20"/>
      <c r="VS131" s="21"/>
      <c r="VT131" s="21"/>
      <c r="VU131" s="7"/>
      <c r="VV131" s="7"/>
      <c r="VW131" s="21"/>
      <c r="VX131" s="20"/>
      <c r="VY131" s="20"/>
      <c r="VZ131" s="20"/>
      <c r="WA131" s="21"/>
      <c r="WB131" s="21"/>
      <c r="WC131" s="21"/>
      <c r="WD131" s="21"/>
      <c r="WE131" s="21"/>
      <c r="WF131" s="20"/>
      <c r="WG131" s="20"/>
      <c r="WH131" s="20"/>
      <c r="WI131" s="20"/>
      <c r="WJ131" s="21"/>
      <c r="WK131" s="21"/>
      <c r="WL131" s="7"/>
      <c r="WM131" s="7"/>
      <c r="WN131" s="21"/>
      <c r="WO131" s="20"/>
      <c r="WP131" s="20"/>
      <c r="WQ131" s="20"/>
      <c r="WR131" s="21"/>
      <c r="WS131" s="21"/>
      <c r="WT131" s="21"/>
      <c r="WU131" s="21"/>
      <c r="WV131" s="21"/>
      <c r="WW131" s="20"/>
      <c r="WX131" s="20"/>
      <c r="WY131" s="20"/>
      <c r="WZ131" s="20"/>
      <c r="XA131" s="21"/>
      <c r="XB131" s="21"/>
      <c r="XC131" s="7"/>
      <c r="XD131" s="7"/>
      <c r="XE131" s="21"/>
      <c r="XF131" s="20"/>
      <c r="XG131" s="20"/>
      <c r="XH131" s="20"/>
      <c r="XI131" s="21"/>
      <c r="XJ131" s="21"/>
      <c r="XK131" s="21"/>
      <c r="XL131" s="21"/>
      <c r="XM131" s="21"/>
      <c r="XN131" s="20"/>
      <c r="XO131" s="20"/>
      <c r="XP131" s="20"/>
      <c r="XQ131" s="20"/>
      <c r="XR131" s="21"/>
      <c r="XS131" s="21"/>
      <c r="XT131" s="7"/>
      <c r="XU131" s="7"/>
      <c r="XV131" s="21"/>
      <c r="XW131" s="20"/>
      <c r="XX131" s="20"/>
      <c r="XY131" s="20"/>
      <c r="XZ131" s="21"/>
      <c r="YA131" s="21"/>
      <c r="YB131" s="21"/>
      <c r="YC131" s="21"/>
      <c r="YD131" s="21"/>
      <c r="YE131" s="20"/>
      <c r="YF131" s="20"/>
      <c r="YG131" s="20"/>
      <c r="YH131" s="20"/>
      <c r="YI131" s="21"/>
      <c r="YJ131" s="21"/>
      <c r="YK131" s="7"/>
      <c r="YL131" s="7"/>
      <c r="YM131" s="21"/>
      <c r="YN131" s="20"/>
      <c r="YO131" s="20"/>
      <c r="YP131" s="20"/>
      <c r="YQ131" s="21"/>
      <c r="YR131" s="21"/>
      <c r="YS131" s="21"/>
      <c r="YT131" s="21"/>
      <c r="YU131" s="21"/>
      <c r="YV131" s="20"/>
      <c r="YW131" s="20"/>
      <c r="YX131" s="20"/>
      <c r="YY131" s="20"/>
      <c r="YZ131" s="21"/>
      <c r="ZA131" s="21"/>
      <c r="ZB131" s="7"/>
      <c r="ZC131" s="7"/>
      <c r="ZD131" s="21"/>
      <c r="ZE131" s="20"/>
      <c r="ZF131" s="20"/>
      <c r="ZG131" s="20"/>
      <c r="ZH131" s="21"/>
      <c r="ZI131" s="21"/>
      <c r="ZJ131" s="21"/>
      <c r="ZK131" s="21"/>
      <c r="ZL131" s="21"/>
      <c r="ZM131" s="20"/>
      <c r="ZN131" s="20"/>
      <c r="ZO131" s="20"/>
      <c r="ZP131" s="20"/>
      <c r="ZQ131" s="21"/>
      <c r="ZR131" s="21"/>
      <c r="ZS131" s="7"/>
      <c r="ZT131" s="7"/>
      <c r="ZU131" s="21"/>
      <c r="ZV131" s="20"/>
      <c r="ZW131" s="20"/>
      <c r="ZX131" s="20"/>
      <c r="ZY131" s="21"/>
      <c r="ZZ131" s="21"/>
      <c r="AAA131" s="21"/>
      <c r="AAB131" s="21"/>
      <c r="AAC131" s="21"/>
      <c r="AAD131" s="20"/>
      <c r="AAE131" s="20"/>
      <c r="AAF131" s="20"/>
      <c r="AAG131" s="20"/>
      <c r="AAH131" s="21"/>
      <c r="AAI131" s="21"/>
      <c r="AAJ131" s="7"/>
      <c r="AAK131" s="7"/>
      <c r="AAL131" s="21"/>
      <c r="AAM131" s="20"/>
      <c r="AAN131" s="20"/>
      <c r="AAO131" s="20"/>
      <c r="AAP131" s="21"/>
      <c r="AAQ131" s="21"/>
      <c r="AAR131" s="21"/>
      <c r="AAS131" s="21"/>
      <c r="AAT131" s="21"/>
      <c r="AAU131" s="20"/>
      <c r="AAV131" s="20"/>
      <c r="AAW131" s="20"/>
      <c r="AAX131" s="20"/>
      <c r="AAY131" s="21"/>
      <c r="AAZ131" s="21"/>
      <c r="ABA131" s="7"/>
      <c r="ABB131" s="7"/>
      <c r="ABC131" s="21"/>
      <c r="ABD131" s="20"/>
      <c r="ABE131" s="20"/>
      <c r="ABF131" s="20"/>
      <c r="ABG131" s="21"/>
      <c r="ABH131" s="21"/>
      <c r="ABI131" s="21"/>
      <c r="ABJ131" s="21"/>
      <c r="ABK131" s="21"/>
      <c r="ABL131" s="20"/>
      <c r="ABM131" s="20"/>
      <c r="ABN131" s="20"/>
      <c r="ABO131" s="20"/>
      <c r="ABP131" s="21"/>
      <c r="ABQ131" s="21"/>
      <c r="ABR131" s="7"/>
      <c r="ABS131" s="7"/>
      <c r="ABT131" s="21"/>
      <c r="ABU131" s="20"/>
      <c r="ABV131" s="20"/>
      <c r="ABW131" s="20"/>
      <c r="ABX131" s="21"/>
      <c r="ABY131" s="21"/>
      <c r="ABZ131" s="21"/>
      <c r="ACA131" s="21"/>
      <c r="ACB131" s="21"/>
      <c r="ACC131" s="20"/>
      <c r="ACD131" s="20"/>
      <c r="ACE131" s="20"/>
      <c r="ACF131" s="20"/>
      <c r="ACG131" s="21"/>
      <c r="ACH131" s="21"/>
      <c r="ACI131" s="7"/>
      <c r="ACJ131" s="7"/>
      <c r="ACK131" s="21"/>
      <c r="ACL131" s="20"/>
      <c r="ACM131" s="20"/>
      <c r="ACN131" s="20"/>
      <c r="ACO131" s="21"/>
      <c r="ACP131" s="21"/>
      <c r="ACQ131" s="21"/>
      <c r="ACR131" s="21"/>
      <c r="ACS131" s="21"/>
      <c r="ACT131" s="20"/>
      <c r="ACU131" s="20"/>
      <c r="ACV131" s="20"/>
      <c r="ACW131" s="20"/>
      <c r="ACX131" s="21"/>
      <c r="ACY131" s="21"/>
      <c r="ACZ131" s="7"/>
      <c r="ADA131" s="7"/>
      <c r="ADB131" s="21"/>
      <c r="ADC131" s="20"/>
      <c r="ADD131" s="20"/>
      <c r="ADE131" s="20"/>
      <c r="ADF131" s="21"/>
      <c r="ADG131" s="21"/>
      <c r="ADH131" s="21"/>
      <c r="ADI131" s="21"/>
      <c r="ADJ131" s="21"/>
      <c r="ADK131" s="20"/>
      <c r="ADL131" s="20"/>
      <c r="ADM131" s="20"/>
      <c r="ADN131" s="20"/>
      <c r="ADO131" s="21"/>
      <c r="ADP131" s="21"/>
      <c r="ADQ131" s="7"/>
      <c r="ADR131" s="7"/>
      <c r="ADS131" s="21"/>
      <c r="ADT131" s="20"/>
      <c r="ADU131" s="20"/>
      <c r="ADV131" s="20"/>
      <c r="ADW131" s="21"/>
      <c r="ADX131" s="21"/>
      <c r="ADY131" s="21"/>
      <c r="ADZ131" s="21"/>
      <c r="AEA131" s="21"/>
      <c r="AEB131" s="20"/>
      <c r="AEC131" s="20"/>
      <c r="AED131" s="20"/>
      <c r="AEE131" s="20"/>
      <c r="AEF131" s="21"/>
      <c r="AEG131" s="21"/>
      <c r="AEH131" s="7"/>
      <c r="AEI131" s="7"/>
      <c r="AEJ131" s="21"/>
      <c r="AEK131" s="20"/>
      <c r="AEL131" s="20"/>
      <c r="AEM131" s="20"/>
      <c r="AEN131" s="21"/>
      <c r="AEO131" s="21"/>
      <c r="AEP131" s="21"/>
      <c r="AEQ131" s="21"/>
      <c r="AER131" s="21"/>
      <c r="AES131" s="20"/>
      <c r="AET131" s="20"/>
      <c r="AEU131" s="20"/>
      <c r="AEV131" s="20"/>
      <c r="AEW131" s="21"/>
      <c r="AEX131" s="21"/>
      <c r="AEY131" s="7"/>
      <c r="AEZ131" s="7"/>
      <c r="AFA131" s="21"/>
      <c r="AFB131" s="20"/>
      <c r="AFC131" s="20"/>
      <c r="AFD131" s="20"/>
      <c r="AFE131" s="21"/>
      <c r="AFF131" s="21"/>
      <c r="AFG131" s="21"/>
      <c r="AFH131" s="21"/>
      <c r="AFI131" s="21"/>
      <c r="AFJ131" s="20"/>
      <c r="AFK131" s="20"/>
      <c r="AFL131" s="20"/>
      <c r="AFM131" s="20"/>
      <c r="AFN131" s="21"/>
      <c r="AFO131" s="21"/>
      <c r="AFP131" s="7"/>
      <c r="AFQ131" s="7"/>
      <c r="AFR131" s="21"/>
      <c r="AFS131" s="20"/>
      <c r="AFT131" s="20"/>
      <c r="AFU131" s="20"/>
      <c r="AFV131" s="21"/>
      <c r="AFW131" s="21"/>
      <c r="AFX131" s="21"/>
      <c r="AFY131" s="21"/>
      <c r="AFZ131" s="21"/>
      <c r="AGA131" s="20"/>
      <c r="AGB131" s="20"/>
      <c r="AGC131" s="20"/>
      <c r="AGD131" s="20"/>
      <c r="AGE131" s="21"/>
      <c r="AGF131" s="21"/>
      <c r="AGG131" s="7"/>
      <c r="AGH131" s="7"/>
      <c r="AGI131" s="21"/>
      <c r="AGJ131" s="20"/>
      <c r="AGK131" s="20"/>
      <c r="AGL131" s="20"/>
      <c r="AGM131" s="21"/>
      <c r="AGN131" s="21"/>
      <c r="AGO131" s="21"/>
      <c r="AGP131" s="21"/>
      <c r="AGQ131" s="21"/>
      <c r="AGR131" s="20"/>
      <c r="AGS131" s="20"/>
      <c r="AGT131" s="20"/>
      <c r="AGU131" s="20"/>
      <c r="AGV131" s="21"/>
      <c r="AGW131" s="21"/>
      <c r="AGX131" s="7"/>
      <c r="AGY131" s="7"/>
      <c r="AGZ131" s="21"/>
      <c r="AHA131" s="20"/>
      <c r="AHB131" s="20"/>
      <c r="AHC131" s="20"/>
      <c r="AHD131" s="21"/>
      <c r="AHE131" s="21"/>
      <c r="AHF131" s="21"/>
      <c r="AHG131" s="21"/>
      <c r="AHH131" s="21"/>
      <c r="AHI131" s="20"/>
      <c r="AHJ131" s="20"/>
      <c r="AHK131" s="20"/>
      <c r="AHL131" s="20"/>
      <c r="AHM131" s="21"/>
      <c r="AHN131" s="21"/>
      <c r="AHO131" s="7"/>
      <c r="AHP131" s="7"/>
      <c r="AHQ131" s="21"/>
      <c r="AHR131" s="20"/>
      <c r="AHS131" s="20"/>
      <c r="AHT131" s="20"/>
      <c r="AHU131" s="21"/>
      <c r="AHV131" s="21"/>
      <c r="AHW131" s="21"/>
      <c r="AHX131" s="21"/>
      <c r="AHY131" s="21"/>
      <c r="AHZ131" s="20"/>
      <c r="AIA131" s="20"/>
      <c r="AIB131" s="20"/>
      <c r="AIC131" s="20"/>
      <c r="AID131" s="21"/>
      <c r="AIE131" s="21"/>
      <c r="AIF131" s="7"/>
      <c r="AIG131" s="7"/>
      <c r="AIH131" s="21"/>
      <c r="AII131" s="20"/>
      <c r="AIJ131" s="20"/>
      <c r="AIK131" s="20"/>
      <c r="AIL131" s="21"/>
      <c r="AIM131" s="21"/>
      <c r="AIN131" s="21"/>
      <c r="AIO131" s="21"/>
      <c r="AIP131" s="21"/>
      <c r="AIQ131" s="20"/>
      <c r="AIR131" s="20"/>
      <c r="AIS131" s="20"/>
      <c r="AIT131" s="20"/>
      <c r="AIU131" s="21"/>
      <c r="AIV131" s="21"/>
      <c r="AIW131" s="7"/>
      <c r="AIX131" s="7"/>
      <c r="AIY131" s="21"/>
      <c r="AIZ131" s="20"/>
      <c r="AJA131" s="20"/>
      <c r="AJB131" s="20"/>
      <c r="AJC131" s="21"/>
      <c r="AJD131" s="21"/>
      <c r="AJE131" s="21"/>
      <c r="AJF131" s="21"/>
      <c r="AJG131" s="21"/>
      <c r="AJH131" s="20"/>
      <c r="AJI131" s="20"/>
      <c r="AJJ131" s="20"/>
      <c r="AJK131" s="20"/>
      <c r="AJL131" s="21"/>
      <c r="AJM131" s="21"/>
      <c r="AJN131" s="7"/>
      <c r="AJO131" s="7"/>
      <c r="AJP131" s="21"/>
      <c r="AJQ131" s="20"/>
      <c r="AJR131" s="20"/>
      <c r="AJS131" s="20"/>
      <c r="AJT131" s="21"/>
      <c r="AJU131" s="21"/>
      <c r="AJV131" s="21"/>
      <c r="AJW131" s="21"/>
      <c r="AJX131" s="21"/>
      <c r="AJY131" s="20"/>
      <c r="AJZ131" s="20"/>
      <c r="AKA131" s="20"/>
      <c r="AKB131" s="20"/>
      <c r="AKC131" s="21"/>
      <c r="AKD131" s="21"/>
      <c r="AKE131" s="7"/>
      <c r="AKF131" s="7"/>
      <c r="AKG131" s="21"/>
      <c r="AKH131" s="20"/>
      <c r="AKI131" s="20"/>
      <c r="AKJ131" s="20"/>
      <c r="AKK131" s="21"/>
      <c r="AKL131" s="21"/>
      <c r="AKM131" s="21"/>
      <c r="AKN131" s="21"/>
      <c r="AKO131" s="21"/>
      <c r="AKP131" s="20"/>
      <c r="AKQ131" s="20"/>
      <c r="AKR131" s="20"/>
      <c r="AKS131" s="20"/>
      <c r="AKT131" s="21"/>
      <c r="AKU131" s="21"/>
      <c r="AKV131" s="7"/>
      <c r="AKW131" s="7"/>
      <c r="AKX131" s="21"/>
      <c r="AKY131" s="20"/>
      <c r="AKZ131" s="20"/>
      <c r="ALA131" s="20"/>
      <c r="ALB131" s="21"/>
      <c r="ALC131" s="21"/>
      <c r="ALD131" s="21"/>
      <c r="ALE131" s="21"/>
      <c r="ALF131" s="21"/>
      <c r="ALG131" s="20"/>
      <c r="ALH131" s="20"/>
      <c r="ALI131" s="20"/>
      <c r="ALJ131" s="20"/>
      <c r="ALK131" s="21"/>
      <c r="ALL131" s="21"/>
      <c r="ALM131" s="7"/>
      <c r="ALN131" s="7"/>
      <c r="ALO131" s="21"/>
      <c r="ALP131" s="20"/>
      <c r="ALQ131" s="20"/>
      <c r="ALR131" s="20"/>
      <c r="ALS131" s="21"/>
      <c r="ALT131" s="21"/>
      <c r="ALU131" s="21"/>
      <c r="ALV131" s="21"/>
      <c r="ALW131" s="21"/>
      <c r="ALX131" s="20"/>
      <c r="ALY131" s="20"/>
      <c r="ALZ131" s="20"/>
      <c r="AMA131" s="20"/>
      <c r="AMB131" s="21"/>
      <c r="AMC131" s="21"/>
      <c r="AMD131" s="7"/>
      <c r="AME131" s="7"/>
      <c r="AMF131" s="21"/>
      <c r="AMG131" s="20"/>
      <c r="AMH131" s="20"/>
      <c r="AMI131" s="20"/>
      <c r="AMJ131" s="21"/>
      <c r="AMK131" s="21"/>
      <c r="AML131" s="21"/>
      <c r="AMM131" s="21"/>
      <c r="AMN131" s="21"/>
      <c r="AMO131" s="20"/>
      <c r="AMP131" s="20"/>
      <c r="AMQ131" s="20"/>
      <c r="AMR131" s="20"/>
      <c r="AMS131" s="21"/>
      <c r="AMT131" s="21"/>
      <c r="AMU131" s="7"/>
      <c r="AMV131" s="7"/>
      <c r="AMW131" s="21"/>
      <c r="AMX131" s="20"/>
      <c r="AMY131" s="20"/>
      <c r="AMZ131" s="20"/>
      <c r="ANA131" s="21"/>
      <c r="ANB131" s="21"/>
      <c r="ANC131" s="21"/>
      <c r="AND131" s="21"/>
      <c r="ANE131" s="21"/>
      <c r="ANF131" s="20"/>
      <c r="ANG131" s="20"/>
      <c r="ANH131" s="20"/>
      <c r="ANI131" s="20"/>
      <c r="ANJ131" s="21"/>
      <c r="ANK131" s="21"/>
      <c r="ANL131" s="7"/>
      <c r="ANM131" s="7"/>
      <c r="ANN131" s="21"/>
      <c r="ANO131" s="20"/>
      <c r="ANP131" s="20"/>
      <c r="ANQ131" s="20"/>
      <c r="ANR131" s="21"/>
      <c r="ANS131" s="21"/>
      <c r="ANT131" s="21"/>
      <c r="ANU131" s="21"/>
      <c r="ANV131" s="21"/>
      <c r="ANW131" s="20"/>
      <c r="ANX131" s="20"/>
      <c r="ANY131" s="20"/>
      <c r="ANZ131" s="20"/>
      <c r="AOA131" s="21"/>
      <c r="AOB131" s="21"/>
      <c r="AOC131" s="7"/>
      <c r="AOD131" s="7"/>
      <c r="AOE131" s="21"/>
      <c r="AOF131" s="20"/>
      <c r="AOG131" s="20"/>
      <c r="AOH131" s="20"/>
      <c r="AOI131" s="21"/>
      <c r="AOJ131" s="21"/>
      <c r="AOK131" s="21"/>
      <c r="AOL131" s="21"/>
      <c r="AOM131" s="21"/>
      <c r="AON131" s="20"/>
      <c r="AOO131" s="20"/>
      <c r="AOP131" s="20"/>
      <c r="AOQ131" s="20"/>
      <c r="AOR131" s="21"/>
      <c r="AOS131" s="21"/>
      <c r="AOT131" s="7"/>
      <c r="AOU131" s="7"/>
      <c r="AOV131" s="21"/>
      <c r="AOW131" s="20"/>
      <c r="AOX131" s="20"/>
      <c r="AOY131" s="20"/>
      <c r="AOZ131" s="21"/>
      <c r="APA131" s="21"/>
      <c r="APB131" s="21"/>
      <c r="APC131" s="21"/>
      <c r="APD131" s="21"/>
      <c r="APE131" s="20"/>
      <c r="APF131" s="20"/>
      <c r="APG131" s="20"/>
      <c r="APH131" s="20"/>
      <c r="API131" s="21"/>
      <c r="APJ131" s="21"/>
      <c r="APK131" s="7"/>
      <c r="APL131" s="7"/>
      <c r="APM131" s="21"/>
      <c r="APN131" s="20"/>
      <c r="APO131" s="20"/>
      <c r="APP131" s="20"/>
      <c r="APQ131" s="21"/>
      <c r="APR131" s="21"/>
      <c r="APS131" s="21"/>
      <c r="APT131" s="21"/>
      <c r="APU131" s="21"/>
      <c r="APV131" s="20"/>
      <c r="APW131" s="20"/>
      <c r="APX131" s="20"/>
      <c r="APY131" s="20"/>
      <c r="APZ131" s="21"/>
      <c r="AQA131" s="21"/>
      <c r="AQB131" s="7"/>
      <c r="AQC131" s="7"/>
      <c r="AQD131" s="21"/>
      <c r="AQE131" s="20"/>
      <c r="AQF131" s="20"/>
      <c r="AQG131" s="20"/>
      <c r="AQH131" s="21"/>
      <c r="AQI131" s="21"/>
      <c r="AQJ131" s="21"/>
      <c r="AQK131" s="21"/>
      <c r="AQL131" s="21"/>
      <c r="AQM131" s="20"/>
      <c r="AQN131" s="20"/>
      <c r="AQO131" s="20"/>
      <c r="AQP131" s="20"/>
      <c r="AQQ131" s="21"/>
      <c r="AQR131" s="21"/>
      <c r="AQS131" s="7"/>
      <c r="AQT131" s="7"/>
      <c r="AQU131" s="21"/>
      <c r="AQV131" s="20"/>
      <c r="AQW131" s="20"/>
      <c r="AQX131" s="20"/>
      <c r="AQY131" s="21"/>
      <c r="AQZ131" s="21"/>
      <c r="ARA131" s="21"/>
      <c r="ARB131" s="21"/>
      <c r="ARC131" s="21"/>
      <c r="ARD131" s="20"/>
      <c r="ARE131" s="20"/>
      <c r="ARF131" s="20"/>
      <c r="ARG131" s="20"/>
      <c r="ARH131" s="21"/>
      <c r="ARI131" s="21"/>
      <c r="ARJ131" s="7"/>
      <c r="ARK131" s="7"/>
      <c r="ARL131" s="21"/>
      <c r="ARM131" s="20"/>
      <c r="ARN131" s="20"/>
      <c r="ARO131" s="20"/>
      <c r="ARP131" s="21"/>
      <c r="ARQ131" s="21"/>
      <c r="ARR131" s="21"/>
      <c r="ARS131" s="21"/>
      <c r="ART131" s="21"/>
      <c r="ARU131" s="20"/>
      <c r="ARV131" s="20"/>
      <c r="ARW131" s="20"/>
      <c r="ARX131" s="20"/>
      <c r="ARY131" s="21"/>
      <c r="ARZ131" s="21"/>
      <c r="ASA131" s="7"/>
      <c r="ASB131" s="7"/>
      <c r="ASC131" s="21"/>
      <c r="ASD131" s="20"/>
      <c r="ASE131" s="20"/>
      <c r="ASF131" s="20"/>
      <c r="ASG131" s="21"/>
      <c r="ASH131" s="21"/>
      <c r="ASI131" s="21"/>
      <c r="ASJ131" s="21"/>
      <c r="ASK131" s="21"/>
      <c r="ASL131" s="20"/>
      <c r="ASM131" s="20"/>
      <c r="ASN131" s="20"/>
      <c r="ASO131" s="20"/>
      <c r="ASP131" s="21"/>
      <c r="ASQ131" s="21"/>
      <c r="ASR131" s="7"/>
      <c r="ASS131" s="7"/>
      <c r="AST131" s="21"/>
      <c r="ASU131" s="20"/>
      <c r="ASV131" s="20"/>
      <c r="ASW131" s="20"/>
      <c r="ASX131" s="21"/>
      <c r="ASY131" s="21"/>
      <c r="ASZ131" s="21"/>
      <c r="ATA131" s="21"/>
      <c r="ATB131" s="21"/>
      <c r="ATC131" s="20"/>
      <c r="ATD131" s="20"/>
      <c r="ATE131" s="20"/>
      <c r="ATF131" s="20"/>
      <c r="ATG131" s="21"/>
      <c r="ATH131" s="21"/>
      <c r="ATI131" s="7"/>
      <c r="ATJ131" s="7"/>
      <c r="ATK131" s="21"/>
      <c r="ATL131" s="20"/>
      <c r="ATM131" s="20"/>
      <c r="ATN131" s="20"/>
      <c r="ATO131" s="21"/>
      <c r="ATP131" s="21"/>
      <c r="ATQ131" s="21"/>
      <c r="ATR131" s="21"/>
      <c r="ATS131" s="21"/>
      <c r="ATT131" s="20"/>
      <c r="ATU131" s="20"/>
      <c r="ATV131" s="20"/>
      <c r="ATW131" s="20"/>
      <c r="ATX131" s="21"/>
      <c r="ATY131" s="21"/>
      <c r="ATZ131" s="7"/>
      <c r="AUA131" s="7"/>
      <c r="AUB131" s="21"/>
      <c r="AUC131" s="20"/>
      <c r="AUD131" s="20"/>
      <c r="AUE131" s="20"/>
      <c r="AUF131" s="21"/>
      <c r="AUG131" s="21"/>
      <c r="AUH131" s="21"/>
      <c r="AUI131" s="21"/>
      <c r="AUJ131" s="21"/>
      <c r="AUK131" s="20"/>
      <c r="AUL131" s="20"/>
      <c r="AUM131" s="20"/>
      <c r="AUN131" s="20"/>
      <c r="AUO131" s="21"/>
      <c r="AUP131" s="21"/>
      <c r="AUQ131" s="7"/>
      <c r="AUR131" s="7"/>
      <c r="AUS131" s="21"/>
      <c r="AUT131" s="20"/>
      <c r="AUU131" s="20"/>
      <c r="AUV131" s="20"/>
      <c r="AUW131" s="21"/>
      <c r="AUX131" s="21"/>
      <c r="AUY131" s="21"/>
      <c r="AUZ131" s="21"/>
      <c r="AVA131" s="21"/>
      <c r="AVB131" s="20"/>
      <c r="AVC131" s="20"/>
      <c r="AVD131" s="20"/>
      <c r="AVE131" s="20"/>
      <c r="AVF131" s="21"/>
      <c r="AVG131" s="21"/>
      <c r="AVH131" s="7"/>
      <c r="AVI131" s="7"/>
      <c r="AVJ131" s="21"/>
      <c r="AVK131" s="20"/>
      <c r="AVL131" s="20"/>
      <c r="AVM131" s="20"/>
      <c r="AVN131" s="21"/>
      <c r="AVO131" s="21"/>
      <c r="AVP131" s="21"/>
      <c r="AVQ131" s="21"/>
      <c r="AVR131" s="21"/>
      <c r="AVS131" s="20"/>
      <c r="AVT131" s="20"/>
      <c r="AVU131" s="20"/>
      <c r="AVV131" s="20"/>
      <c r="AVW131" s="21"/>
      <c r="AVX131" s="21"/>
      <c r="AVY131" s="7"/>
      <c r="AVZ131" s="7"/>
      <c r="AWA131" s="21"/>
      <c r="AWB131" s="20"/>
      <c r="AWC131" s="20"/>
      <c r="AWD131" s="20"/>
      <c r="AWE131" s="21"/>
      <c r="AWF131" s="21"/>
      <c r="AWG131" s="21"/>
      <c r="AWH131" s="21"/>
      <c r="AWI131" s="21"/>
      <c r="AWJ131" s="20"/>
      <c r="AWK131" s="20"/>
      <c r="AWL131" s="20"/>
      <c r="AWM131" s="20"/>
      <c r="AWN131" s="21"/>
      <c r="AWO131" s="21"/>
      <c r="AWP131" s="7"/>
      <c r="AWQ131" s="7"/>
      <c r="AWR131" s="21"/>
      <c r="AWS131" s="20"/>
      <c r="AWT131" s="20"/>
      <c r="AWU131" s="20"/>
      <c r="AWV131" s="21"/>
      <c r="AWW131" s="21"/>
      <c r="AWX131" s="21"/>
      <c r="AWY131" s="21"/>
      <c r="AWZ131" s="21"/>
      <c r="AXA131" s="20"/>
      <c r="AXB131" s="20"/>
      <c r="AXC131" s="20"/>
      <c r="AXD131" s="20"/>
      <c r="AXE131" s="21"/>
      <c r="AXF131" s="21"/>
      <c r="AXG131" s="7"/>
      <c r="AXH131" s="7"/>
      <c r="AXI131" s="21"/>
      <c r="AXJ131" s="20"/>
      <c r="AXK131" s="20"/>
      <c r="AXL131" s="20"/>
      <c r="AXM131" s="21"/>
      <c r="AXN131" s="21"/>
      <c r="AXO131" s="21"/>
      <c r="AXP131" s="21"/>
      <c r="AXQ131" s="21"/>
      <c r="AXR131" s="20"/>
      <c r="AXS131" s="20"/>
      <c r="AXT131" s="20"/>
      <c r="AXU131" s="20"/>
      <c r="AXV131" s="21"/>
      <c r="AXW131" s="21"/>
      <c r="AXX131" s="7"/>
      <c r="AXY131" s="7"/>
      <c r="AXZ131" s="21"/>
      <c r="AYA131" s="20"/>
      <c r="AYB131" s="20"/>
      <c r="AYC131" s="20"/>
      <c r="AYD131" s="21"/>
      <c r="AYE131" s="21"/>
      <c r="AYF131" s="21"/>
      <c r="AYG131" s="21"/>
      <c r="AYH131" s="21"/>
      <c r="AYI131" s="20"/>
      <c r="AYJ131" s="20"/>
      <c r="AYK131" s="20"/>
      <c r="AYL131" s="20"/>
      <c r="AYM131" s="21"/>
      <c r="AYN131" s="21"/>
      <c r="AYO131" s="7"/>
      <c r="AYP131" s="7"/>
      <c r="AYQ131" s="21"/>
      <c r="AYR131" s="20"/>
      <c r="AYS131" s="20"/>
      <c r="AYT131" s="20"/>
      <c r="AYU131" s="21"/>
      <c r="AYV131" s="21"/>
      <c r="AYW131" s="21"/>
      <c r="AYX131" s="21"/>
      <c r="AYY131" s="21"/>
      <c r="AYZ131" s="20"/>
      <c r="AZA131" s="20"/>
      <c r="AZB131" s="20"/>
      <c r="AZC131" s="20"/>
      <c r="AZD131" s="21"/>
      <c r="AZE131" s="21"/>
      <c r="AZF131" s="7"/>
      <c r="AZG131" s="7"/>
      <c r="AZH131" s="21"/>
      <c r="AZI131" s="20"/>
      <c r="AZJ131" s="20"/>
      <c r="AZK131" s="20"/>
      <c r="AZL131" s="21"/>
      <c r="AZM131" s="21"/>
      <c r="AZN131" s="21"/>
      <c r="AZO131" s="21"/>
      <c r="AZP131" s="21"/>
      <c r="AZQ131" s="20"/>
      <c r="AZR131" s="20"/>
      <c r="AZS131" s="20"/>
      <c r="AZT131" s="20"/>
      <c r="AZU131" s="21"/>
      <c r="AZV131" s="21"/>
      <c r="AZW131" s="7"/>
      <c r="AZX131" s="7"/>
      <c r="AZY131" s="21"/>
      <c r="AZZ131" s="20"/>
      <c r="BAA131" s="20"/>
      <c r="BAB131" s="20"/>
      <c r="BAC131" s="21"/>
      <c r="BAD131" s="21"/>
      <c r="BAE131" s="21"/>
      <c r="BAF131" s="21"/>
      <c r="BAG131" s="21"/>
      <c r="BAH131" s="20"/>
      <c r="BAI131" s="20"/>
      <c r="BAJ131" s="20"/>
      <c r="BAK131" s="20"/>
      <c r="BAL131" s="21"/>
      <c r="BAM131" s="21"/>
      <c r="BAN131" s="7"/>
      <c r="BAO131" s="7"/>
      <c r="BAP131" s="21"/>
      <c r="BAQ131" s="20"/>
      <c r="BAR131" s="20"/>
      <c r="BAS131" s="20"/>
      <c r="BAT131" s="21"/>
      <c r="BAU131" s="21"/>
      <c r="BAV131" s="21"/>
      <c r="BAW131" s="21"/>
      <c r="BAX131" s="21"/>
      <c r="BAY131" s="20"/>
      <c r="BAZ131" s="20"/>
      <c r="BBA131" s="20"/>
      <c r="BBB131" s="20"/>
      <c r="BBC131" s="21"/>
      <c r="BBD131" s="21"/>
      <c r="BBE131" s="7"/>
      <c r="BBF131" s="7"/>
      <c r="BBG131" s="21"/>
      <c r="BBH131" s="20"/>
      <c r="BBI131" s="20"/>
      <c r="BBJ131" s="20"/>
      <c r="BBK131" s="21"/>
      <c r="BBL131" s="21"/>
      <c r="BBM131" s="21"/>
      <c r="BBN131" s="21"/>
      <c r="BBO131" s="21"/>
      <c r="BBP131" s="20"/>
      <c r="BBQ131" s="20"/>
      <c r="BBR131" s="20"/>
      <c r="BBS131" s="20"/>
      <c r="BBT131" s="21"/>
      <c r="BBU131" s="21"/>
      <c r="BBV131" s="7"/>
      <c r="BBW131" s="7"/>
      <c r="BBX131" s="21"/>
      <c r="BBY131" s="20"/>
      <c r="BBZ131" s="20"/>
      <c r="BCA131" s="20"/>
      <c r="BCB131" s="21"/>
      <c r="BCC131" s="21"/>
      <c r="BCD131" s="21"/>
      <c r="BCE131" s="21"/>
      <c r="BCF131" s="21"/>
      <c r="BCG131" s="20"/>
      <c r="BCH131" s="20"/>
      <c r="BCI131" s="20"/>
      <c r="BCJ131" s="20"/>
      <c r="BCK131" s="21"/>
      <c r="BCL131" s="21"/>
      <c r="BCM131" s="7"/>
      <c r="BCN131" s="7"/>
      <c r="BCO131" s="21"/>
      <c r="BCP131" s="20"/>
      <c r="BCQ131" s="20"/>
      <c r="BCR131" s="20"/>
      <c r="BCS131" s="21"/>
      <c r="BCT131" s="21"/>
      <c r="BCU131" s="21"/>
      <c r="BCV131" s="21"/>
      <c r="BCW131" s="21"/>
      <c r="BCX131" s="20"/>
      <c r="BCY131" s="20"/>
      <c r="BCZ131" s="20"/>
      <c r="BDA131" s="20"/>
      <c r="BDB131" s="21"/>
      <c r="BDC131" s="21"/>
      <c r="BDD131" s="7"/>
      <c r="BDE131" s="7"/>
      <c r="BDF131" s="21"/>
      <c r="BDG131" s="20"/>
      <c r="BDH131" s="20"/>
      <c r="BDI131" s="20"/>
      <c r="BDJ131" s="21"/>
      <c r="BDK131" s="21"/>
      <c r="BDL131" s="21"/>
      <c r="BDM131" s="21"/>
      <c r="BDN131" s="21"/>
      <c r="BDO131" s="20"/>
      <c r="BDP131" s="20"/>
      <c r="BDQ131" s="20"/>
      <c r="BDR131" s="20"/>
      <c r="BDS131" s="21"/>
      <c r="BDT131" s="21"/>
      <c r="BDU131" s="7"/>
      <c r="BDV131" s="7"/>
      <c r="BDW131" s="21"/>
      <c r="BDX131" s="20"/>
      <c r="BDY131" s="20"/>
      <c r="BDZ131" s="20"/>
      <c r="BEA131" s="21"/>
      <c r="BEB131" s="21"/>
      <c r="BEC131" s="21"/>
      <c r="BED131" s="21"/>
      <c r="BEE131" s="21"/>
      <c r="BEF131" s="20"/>
      <c r="BEG131" s="20"/>
      <c r="BEH131" s="20"/>
      <c r="BEI131" s="20"/>
      <c r="BEJ131" s="21"/>
      <c r="BEK131" s="21"/>
      <c r="BEL131" s="7"/>
      <c r="BEM131" s="7"/>
      <c r="BEN131" s="21"/>
      <c r="BEO131" s="20"/>
      <c r="BEP131" s="20"/>
      <c r="BEQ131" s="20"/>
      <c r="BER131" s="21"/>
      <c r="BES131" s="21"/>
      <c r="BET131" s="21"/>
      <c r="BEU131" s="21"/>
      <c r="BEV131" s="21"/>
      <c r="BEW131" s="20"/>
      <c r="BEX131" s="20"/>
      <c r="BEY131" s="20"/>
      <c r="BEZ131" s="20"/>
      <c r="BFA131" s="21"/>
      <c r="BFB131" s="21"/>
      <c r="BFC131" s="7"/>
      <c r="BFD131" s="7"/>
      <c r="BFE131" s="21"/>
      <c r="BFF131" s="20"/>
      <c r="BFG131" s="20"/>
      <c r="BFH131" s="20"/>
      <c r="BFI131" s="21"/>
      <c r="BFJ131" s="21"/>
      <c r="BFK131" s="21"/>
      <c r="BFL131" s="21"/>
      <c r="BFM131" s="21"/>
      <c r="BFN131" s="20"/>
      <c r="BFO131" s="20"/>
      <c r="BFP131" s="20"/>
      <c r="BFQ131" s="20"/>
      <c r="BFR131" s="21"/>
      <c r="BFS131" s="21"/>
      <c r="BFT131" s="7"/>
      <c r="BFU131" s="7"/>
      <c r="BFV131" s="21"/>
      <c r="BFW131" s="20"/>
      <c r="BFX131" s="20"/>
      <c r="BFY131" s="20"/>
      <c r="BFZ131" s="21"/>
      <c r="BGA131" s="21"/>
      <c r="BGB131" s="21"/>
      <c r="BGC131" s="21"/>
      <c r="BGD131" s="21"/>
      <c r="BGE131" s="20"/>
      <c r="BGF131" s="20"/>
      <c r="BGG131" s="20"/>
      <c r="BGH131" s="20"/>
      <c r="BGI131" s="21"/>
      <c r="BGJ131" s="21"/>
      <c r="BGK131" s="7"/>
      <c r="BGL131" s="7"/>
      <c r="BGM131" s="21"/>
      <c r="BGN131" s="20"/>
      <c r="BGO131" s="20"/>
      <c r="BGP131" s="20"/>
      <c r="BGQ131" s="21"/>
      <c r="BGR131" s="21"/>
      <c r="BGS131" s="21"/>
      <c r="BGT131" s="21"/>
      <c r="BGU131" s="21"/>
      <c r="BGV131" s="20"/>
      <c r="BGW131" s="20"/>
      <c r="BGX131" s="20"/>
      <c r="BGY131" s="20"/>
      <c r="BGZ131" s="21"/>
      <c r="BHA131" s="21"/>
      <c r="BHB131" s="7"/>
      <c r="BHC131" s="7"/>
      <c r="BHD131" s="21"/>
      <c r="BHE131" s="20"/>
      <c r="BHF131" s="20"/>
      <c r="BHG131" s="20"/>
      <c r="BHH131" s="21"/>
      <c r="BHI131" s="21"/>
      <c r="BHJ131" s="21"/>
      <c r="BHK131" s="21"/>
      <c r="BHL131" s="21"/>
      <c r="BHM131" s="20"/>
      <c r="BHN131" s="20"/>
      <c r="BHO131" s="20"/>
      <c r="BHP131" s="20"/>
      <c r="BHQ131" s="21"/>
      <c r="BHR131" s="21"/>
      <c r="BHS131" s="7"/>
      <c r="BHT131" s="7"/>
      <c r="BHU131" s="21"/>
      <c r="BHV131" s="20"/>
      <c r="BHW131" s="20"/>
      <c r="BHX131" s="20"/>
      <c r="BHY131" s="21"/>
      <c r="BHZ131" s="21"/>
      <c r="BIA131" s="21"/>
      <c r="BIB131" s="21"/>
      <c r="BIC131" s="21"/>
      <c r="BID131" s="20"/>
      <c r="BIE131" s="20"/>
      <c r="BIF131" s="20"/>
      <c r="BIG131" s="20"/>
      <c r="BIH131" s="21"/>
      <c r="BII131" s="21"/>
      <c r="BIJ131" s="7"/>
      <c r="BIK131" s="7"/>
      <c r="BIL131" s="21"/>
      <c r="BIM131" s="20"/>
      <c r="BIN131" s="20"/>
      <c r="BIO131" s="20"/>
      <c r="BIP131" s="21"/>
      <c r="BIQ131" s="21"/>
      <c r="BIR131" s="21"/>
      <c r="BIS131" s="21"/>
      <c r="BIT131" s="21"/>
      <c r="BIU131" s="20"/>
      <c r="BIV131" s="20"/>
      <c r="BIW131" s="20"/>
      <c r="BIX131" s="20"/>
      <c r="BIY131" s="21"/>
      <c r="BIZ131" s="21"/>
      <c r="BJA131" s="7"/>
      <c r="BJB131" s="7"/>
      <c r="BJC131" s="21"/>
      <c r="BJD131" s="20"/>
      <c r="BJE131" s="20"/>
      <c r="BJF131" s="20"/>
      <c r="BJG131" s="21"/>
      <c r="BJH131" s="21"/>
      <c r="BJI131" s="21"/>
      <c r="BJJ131" s="21"/>
      <c r="BJK131" s="21"/>
      <c r="BJL131" s="20"/>
      <c r="BJM131" s="20"/>
      <c r="BJN131" s="20"/>
      <c r="BJO131" s="20"/>
      <c r="BJP131" s="21"/>
      <c r="BJQ131" s="21"/>
      <c r="BJR131" s="7"/>
      <c r="BJS131" s="7"/>
      <c r="BJT131" s="21"/>
      <c r="BJU131" s="20"/>
      <c r="BJV131" s="20"/>
      <c r="BJW131" s="20"/>
      <c r="BJX131" s="21"/>
      <c r="BJY131" s="21"/>
      <c r="BJZ131" s="21"/>
      <c r="BKA131" s="21"/>
      <c r="BKB131" s="21"/>
      <c r="BKC131" s="20"/>
      <c r="BKD131" s="20"/>
      <c r="BKE131" s="20"/>
      <c r="BKF131" s="20"/>
      <c r="BKG131" s="21"/>
      <c r="BKH131" s="21"/>
      <c r="BKI131" s="7"/>
      <c r="BKJ131" s="7"/>
      <c r="BKK131" s="21"/>
      <c r="BKL131" s="20"/>
      <c r="BKM131" s="20"/>
      <c r="BKN131" s="20"/>
      <c r="BKO131" s="21"/>
      <c r="BKP131" s="21"/>
      <c r="BKQ131" s="21"/>
      <c r="BKR131" s="21"/>
      <c r="BKS131" s="21"/>
      <c r="BKT131" s="20"/>
      <c r="BKU131" s="20"/>
      <c r="BKV131" s="20"/>
      <c r="BKW131" s="20"/>
      <c r="BKX131" s="21"/>
      <c r="BKY131" s="21"/>
      <c r="BKZ131" s="7"/>
      <c r="BLA131" s="7"/>
      <c r="BLB131" s="21"/>
      <c r="BLC131" s="20"/>
      <c r="BLD131" s="20"/>
      <c r="BLE131" s="20"/>
      <c r="BLF131" s="21"/>
      <c r="BLG131" s="21"/>
      <c r="BLH131" s="21"/>
      <c r="BLI131" s="21"/>
      <c r="BLJ131" s="21"/>
      <c r="BLK131" s="20"/>
      <c r="BLL131" s="20"/>
      <c r="BLM131" s="20"/>
      <c r="BLN131" s="20"/>
      <c r="BLO131" s="21"/>
      <c r="BLP131" s="21"/>
      <c r="BLQ131" s="7"/>
      <c r="BLR131" s="7"/>
      <c r="BLS131" s="21"/>
      <c r="BLT131" s="20"/>
      <c r="BLU131" s="20"/>
      <c r="BLV131" s="20"/>
      <c r="BLW131" s="21"/>
      <c r="BLX131" s="21"/>
      <c r="BLY131" s="21"/>
      <c r="BLZ131" s="21"/>
      <c r="BMA131" s="21"/>
      <c r="BMB131" s="20"/>
      <c r="BMC131" s="20"/>
      <c r="BMD131" s="20"/>
      <c r="BME131" s="20"/>
      <c r="BMF131" s="21"/>
      <c r="BMG131" s="21"/>
      <c r="BMH131" s="7"/>
      <c r="BMI131" s="7"/>
      <c r="BMJ131" s="21"/>
      <c r="BMK131" s="20"/>
      <c r="BML131" s="20"/>
      <c r="BMM131" s="20"/>
      <c r="BMN131" s="21"/>
      <c r="BMO131" s="21"/>
      <c r="BMP131" s="21"/>
      <c r="BMQ131" s="21"/>
      <c r="BMR131" s="21"/>
      <c r="BMS131" s="20"/>
      <c r="BMT131" s="20"/>
      <c r="BMU131" s="20"/>
      <c r="BMV131" s="20"/>
      <c r="BMW131" s="21"/>
      <c r="BMX131" s="21"/>
      <c r="BMY131" s="7"/>
      <c r="BMZ131" s="7"/>
      <c r="BNA131" s="21"/>
      <c r="BNB131" s="20"/>
      <c r="BNC131" s="20"/>
      <c r="BND131" s="20"/>
      <c r="BNE131" s="21"/>
      <c r="BNF131" s="21"/>
      <c r="BNG131" s="21"/>
      <c r="BNH131" s="21"/>
      <c r="BNI131" s="21"/>
      <c r="BNJ131" s="20"/>
      <c r="BNK131" s="20"/>
      <c r="BNL131" s="20"/>
      <c r="BNM131" s="20"/>
      <c r="BNN131" s="21"/>
      <c r="BNO131" s="21"/>
      <c r="BNP131" s="7"/>
      <c r="BNQ131" s="7"/>
      <c r="BNR131" s="21"/>
      <c r="BNS131" s="20"/>
      <c r="BNT131" s="20"/>
      <c r="BNU131" s="20"/>
      <c r="BNV131" s="21"/>
      <c r="BNW131" s="21"/>
      <c r="BNX131" s="21"/>
      <c r="BNY131" s="21"/>
      <c r="BNZ131" s="21"/>
      <c r="BOA131" s="20"/>
      <c r="BOB131" s="20"/>
      <c r="BOC131" s="20"/>
      <c r="BOD131" s="20"/>
      <c r="BOE131" s="21"/>
      <c r="BOF131" s="21"/>
      <c r="BOG131" s="7"/>
      <c r="BOH131" s="7"/>
      <c r="BOI131" s="21"/>
      <c r="BOJ131" s="20"/>
      <c r="BOK131" s="20"/>
      <c r="BOL131" s="20"/>
      <c r="BOM131" s="21"/>
      <c r="BON131" s="21"/>
      <c r="BOO131" s="21"/>
      <c r="BOP131" s="21"/>
      <c r="BOQ131" s="21"/>
      <c r="BOR131" s="20"/>
      <c r="BOS131" s="20"/>
      <c r="BOT131" s="20"/>
      <c r="BOU131" s="20"/>
      <c r="BOV131" s="21"/>
      <c r="BOW131" s="21"/>
      <c r="BOX131" s="7"/>
      <c r="BOY131" s="7"/>
      <c r="BOZ131" s="21"/>
      <c r="BPA131" s="20"/>
      <c r="BPB131" s="20"/>
      <c r="BPC131" s="20"/>
      <c r="BPD131" s="21"/>
      <c r="BPE131" s="21"/>
      <c r="BPF131" s="21"/>
      <c r="BPG131" s="21"/>
      <c r="BPH131" s="21"/>
      <c r="BPI131" s="20"/>
      <c r="BPJ131" s="20"/>
      <c r="BPK131" s="20"/>
      <c r="BPL131" s="20"/>
      <c r="BPM131" s="21"/>
      <c r="BPN131" s="21"/>
      <c r="BPO131" s="7"/>
      <c r="BPP131" s="7"/>
      <c r="BPQ131" s="21"/>
      <c r="BPR131" s="20"/>
      <c r="BPS131" s="20"/>
      <c r="BPT131" s="20"/>
      <c r="BPU131" s="21"/>
      <c r="BPV131" s="21"/>
      <c r="BPW131" s="21"/>
      <c r="BPX131" s="21"/>
      <c r="BPY131" s="21"/>
      <c r="BPZ131" s="20"/>
      <c r="BQA131" s="20"/>
      <c r="BQB131" s="20"/>
      <c r="BQC131" s="20"/>
      <c r="BQD131" s="21"/>
      <c r="BQE131" s="21"/>
      <c r="BQF131" s="7"/>
      <c r="BQG131" s="7"/>
      <c r="BQH131" s="21"/>
      <c r="BQI131" s="20"/>
      <c r="BQJ131" s="20"/>
      <c r="BQK131" s="20"/>
      <c r="BQL131" s="21"/>
      <c r="BQM131" s="21"/>
      <c r="BQN131" s="21"/>
      <c r="BQO131" s="21"/>
      <c r="BQP131" s="21"/>
      <c r="BQQ131" s="20"/>
      <c r="BQR131" s="20"/>
      <c r="BQS131" s="20"/>
      <c r="BQT131" s="20"/>
      <c r="BQU131" s="21"/>
      <c r="BQV131" s="21"/>
      <c r="BQW131" s="7"/>
      <c r="BQX131" s="7"/>
      <c r="BQY131" s="21"/>
      <c r="BQZ131" s="20"/>
      <c r="BRA131" s="20"/>
      <c r="BRB131" s="20"/>
      <c r="BRC131" s="21"/>
      <c r="BRD131" s="21"/>
      <c r="BRE131" s="21"/>
      <c r="BRF131" s="21"/>
      <c r="BRG131" s="21"/>
      <c r="BRH131" s="20"/>
      <c r="BRI131" s="20"/>
      <c r="BRJ131" s="20"/>
      <c r="BRK131" s="20"/>
      <c r="BRL131" s="21"/>
      <c r="BRM131" s="21"/>
      <c r="BRN131" s="7"/>
      <c r="BRO131" s="7"/>
      <c r="BRP131" s="21"/>
      <c r="BRQ131" s="20"/>
      <c r="BRR131" s="20"/>
      <c r="BRS131" s="20"/>
      <c r="BRT131" s="21"/>
      <c r="BRU131" s="21"/>
      <c r="BRV131" s="21"/>
      <c r="BRW131" s="21"/>
      <c r="BRX131" s="21"/>
      <c r="BRY131" s="20"/>
      <c r="BRZ131" s="20"/>
      <c r="BSA131" s="20"/>
      <c r="BSB131" s="20"/>
      <c r="BSC131" s="21"/>
      <c r="BSD131" s="21"/>
      <c r="BSE131" s="7"/>
      <c r="BSF131" s="7"/>
      <c r="BSG131" s="21"/>
      <c r="BSH131" s="20"/>
      <c r="BSI131" s="20"/>
      <c r="BSJ131" s="20"/>
      <c r="BSK131" s="21"/>
      <c r="BSL131" s="21"/>
      <c r="BSM131" s="21"/>
      <c r="BSN131" s="21"/>
      <c r="BSO131" s="21"/>
      <c r="BSP131" s="20"/>
      <c r="BSQ131" s="20"/>
      <c r="BSR131" s="20"/>
      <c r="BSS131" s="20"/>
      <c r="BST131" s="21"/>
      <c r="BSU131" s="21"/>
      <c r="BSV131" s="7"/>
      <c r="BSW131" s="7"/>
      <c r="BSX131" s="21"/>
      <c r="BSY131" s="20"/>
      <c r="BSZ131" s="20"/>
      <c r="BTA131" s="20"/>
      <c r="BTB131" s="21"/>
      <c r="BTC131" s="21"/>
      <c r="BTD131" s="21"/>
      <c r="BTE131" s="21"/>
      <c r="BTF131" s="21"/>
      <c r="BTG131" s="20"/>
      <c r="BTH131" s="20"/>
      <c r="BTI131" s="20"/>
      <c r="BTJ131" s="20"/>
      <c r="BTK131" s="21"/>
      <c r="BTL131" s="21"/>
      <c r="BTM131" s="7"/>
      <c r="BTN131" s="7"/>
      <c r="BTO131" s="21"/>
      <c r="BTP131" s="20"/>
      <c r="BTQ131" s="20"/>
      <c r="BTR131" s="20"/>
      <c r="BTS131" s="21"/>
      <c r="BTT131" s="21"/>
      <c r="BTU131" s="21"/>
      <c r="BTV131" s="21"/>
      <c r="BTW131" s="21"/>
      <c r="BTX131" s="20"/>
      <c r="BTY131" s="20"/>
      <c r="BTZ131" s="20"/>
      <c r="BUA131" s="20"/>
      <c r="BUB131" s="21"/>
      <c r="BUC131" s="21"/>
      <c r="BUD131" s="7"/>
      <c r="BUE131" s="7"/>
      <c r="BUF131" s="21"/>
      <c r="BUG131" s="20"/>
      <c r="BUH131" s="20"/>
      <c r="BUI131" s="20"/>
      <c r="BUJ131" s="21"/>
      <c r="BUK131" s="21"/>
      <c r="BUL131" s="21"/>
      <c r="BUM131" s="21"/>
      <c r="BUN131" s="21"/>
      <c r="BUO131" s="20"/>
      <c r="BUP131" s="20"/>
      <c r="BUQ131" s="20"/>
      <c r="BUR131" s="20"/>
      <c r="BUS131" s="21"/>
      <c r="BUT131" s="21"/>
      <c r="BUU131" s="7"/>
      <c r="BUV131" s="7"/>
      <c r="BUW131" s="21"/>
      <c r="BUX131" s="20"/>
      <c r="BUY131" s="20"/>
      <c r="BUZ131" s="20"/>
      <c r="BVA131" s="21"/>
      <c r="BVB131" s="21"/>
      <c r="BVC131" s="21"/>
      <c r="BVD131" s="21"/>
      <c r="BVE131" s="21"/>
      <c r="BVF131" s="20"/>
      <c r="BVG131" s="20"/>
      <c r="BVH131" s="20"/>
      <c r="BVI131" s="20"/>
      <c r="BVJ131" s="21"/>
      <c r="BVK131" s="21"/>
      <c r="BVL131" s="7"/>
      <c r="BVM131" s="7"/>
      <c r="BVN131" s="21"/>
      <c r="BVO131" s="20"/>
      <c r="BVP131" s="20"/>
      <c r="BVQ131" s="20"/>
      <c r="BVR131" s="21"/>
      <c r="BVS131" s="21"/>
      <c r="BVT131" s="21"/>
      <c r="BVU131" s="21"/>
      <c r="BVV131" s="21"/>
      <c r="BVW131" s="20"/>
      <c r="BVX131" s="20"/>
      <c r="BVY131" s="20"/>
      <c r="BVZ131" s="20"/>
      <c r="BWA131" s="21"/>
      <c r="BWB131" s="21"/>
      <c r="BWC131" s="7"/>
      <c r="BWD131" s="7"/>
      <c r="BWE131" s="21"/>
      <c r="BWF131" s="20"/>
      <c r="BWG131" s="20"/>
      <c r="BWH131" s="20"/>
      <c r="BWI131" s="21"/>
      <c r="BWJ131" s="21"/>
      <c r="BWK131" s="21"/>
      <c r="BWL131" s="21"/>
      <c r="BWM131" s="21"/>
      <c r="BWN131" s="20"/>
      <c r="BWO131" s="20"/>
      <c r="BWP131" s="20"/>
      <c r="BWQ131" s="20"/>
      <c r="BWR131" s="21"/>
      <c r="BWS131" s="21"/>
      <c r="BWT131" s="7"/>
      <c r="BWU131" s="7"/>
      <c r="BWV131" s="21"/>
      <c r="BWW131" s="20"/>
      <c r="BWX131" s="20"/>
      <c r="BWY131" s="20"/>
      <c r="BWZ131" s="21"/>
      <c r="BXA131" s="21"/>
      <c r="BXB131" s="21"/>
      <c r="BXC131" s="21"/>
      <c r="BXD131" s="21"/>
      <c r="BXE131" s="20"/>
      <c r="BXF131" s="20"/>
      <c r="BXG131" s="20"/>
      <c r="BXH131" s="20"/>
      <c r="BXI131" s="21"/>
      <c r="BXJ131" s="21"/>
      <c r="BXK131" s="7"/>
      <c r="BXL131" s="7"/>
      <c r="BXM131" s="21"/>
      <c r="BXN131" s="20"/>
      <c r="BXO131" s="20"/>
      <c r="BXP131" s="20"/>
      <c r="BXQ131" s="21"/>
      <c r="BXR131" s="21"/>
      <c r="BXS131" s="21"/>
      <c r="BXT131" s="21"/>
      <c r="BXU131" s="21"/>
      <c r="BXV131" s="20"/>
      <c r="BXW131" s="20"/>
      <c r="BXX131" s="20"/>
      <c r="BXY131" s="20"/>
      <c r="BXZ131" s="21"/>
      <c r="BYA131" s="21"/>
      <c r="BYB131" s="7"/>
      <c r="BYC131" s="7"/>
      <c r="BYD131" s="21"/>
      <c r="BYE131" s="20"/>
      <c r="BYF131" s="20"/>
      <c r="BYG131" s="20"/>
      <c r="BYH131" s="21"/>
      <c r="BYI131" s="21"/>
      <c r="BYJ131" s="21"/>
      <c r="BYK131" s="21"/>
      <c r="BYL131" s="21"/>
      <c r="BYM131" s="20"/>
      <c r="BYN131" s="20"/>
      <c r="BYO131" s="20"/>
      <c r="BYP131" s="20"/>
      <c r="BYQ131" s="21"/>
      <c r="BYR131" s="21"/>
      <c r="BYS131" s="7"/>
      <c r="BYT131" s="7"/>
      <c r="BYU131" s="21"/>
      <c r="BYV131" s="20"/>
      <c r="BYW131" s="20"/>
      <c r="BYX131" s="20"/>
      <c r="BYY131" s="21"/>
      <c r="BYZ131" s="21"/>
      <c r="BZA131" s="21"/>
      <c r="BZB131" s="21"/>
      <c r="BZC131" s="21"/>
      <c r="BZD131" s="20"/>
      <c r="BZE131" s="20"/>
      <c r="BZF131" s="20"/>
      <c r="BZG131" s="20"/>
      <c r="BZH131" s="21"/>
      <c r="BZI131" s="21"/>
      <c r="BZJ131" s="7"/>
      <c r="BZK131" s="7"/>
      <c r="BZL131" s="21"/>
      <c r="BZM131" s="20"/>
      <c r="BZN131" s="20"/>
      <c r="BZO131" s="20"/>
      <c r="BZP131" s="21"/>
      <c r="BZQ131" s="21"/>
      <c r="BZR131" s="21"/>
      <c r="BZS131" s="21"/>
      <c r="BZT131" s="21"/>
      <c r="BZU131" s="20"/>
      <c r="BZV131" s="20"/>
      <c r="BZW131" s="20"/>
      <c r="BZX131" s="20"/>
      <c r="BZY131" s="21"/>
      <c r="BZZ131" s="21"/>
      <c r="CAA131" s="7"/>
      <c r="CAB131" s="7"/>
      <c r="CAC131" s="21"/>
      <c r="CAD131" s="20"/>
      <c r="CAE131" s="20"/>
      <c r="CAF131" s="20"/>
      <c r="CAG131" s="21"/>
      <c r="CAH131" s="21"/>
      <c r="CAI131" s="21"/>
      <c r="CAJ131" s="21"/>
      <c r="CAK131" s="21"/>
      <c r="CAL131" s="20"/>
      <c r="CAM131" s="20"/>
      <c r="CAN131" s="20"/>
      <c r="CAO131" s="20"/>
      <c r="CAP131" s="21"/>
      <c r="CAQ131" s="21"/>
      <c r="CAR131" s="7"/>
      <c r="CAS131" s="7"/>
      <c r="CAT131" s="21"/>
      <c r="CAU131" s="20"/>
      <c r="CAV131" s="20"/>
      <c r="CAW131" s="20"/>
      <c r="CAX131" s="21"/>
      <c r="CAY131" s="21"/>
      <c r="CAZ131" s="21"/>
      <c r="CBA131" s="21"/>
      <c r="CBB131" s="21"/>
      <c r="CBC131" s="20"/>
      <c r="CBD131" s="20"/>
      <c r="CBE131" s="20"/>
      <c r="CBF131" s="20"/>
      <c r="CBG131" s="21"/>
      <c r="CBH131" s="21"/>
      <c r="CBI131" s="7"/>
      <c r="CBJ131" s="7"/>
      <c r="CBK131" s="21"/>
      <c r="CBL131" s="20"/>
      <c r="CBM131" s="20"/>
      <c r="CBN131" s="20"/>
      <c r="CBO131" s="21"/>
      <c r="CBP131" s="21"/>
      <c r="CBQ131" s="21"/>
      <c r="CBR131" s="21"/>
      <c r="CBS131" s="21"/>
      <c r="CBT131" s="20"/>
      <c r="CBU131" s="20"/>
      <c r="CBV131" s="20"/>
      <c r="CBW131" s="20"/>
      <c r="CBX131" s="21"/>
      <c r="CBY131" s="21"/>
      <c r="CBZ131" s="7"/>
      <c r="CCA131" s="7"/>
      <c r="CCB131" s="21"/>
      <c r="CCC131" s="20"/>
      <c r="CCD131" s="20"/>
      <c r="CCE131" s="20"/>
      <c r="CCF131" s="21"/>
      <c r="CCG131" s="21"/>
      <c r="CCH131" s="21"/>
      <c r="CCI131" s="21"/>
      <c r="CCJ131" s="21"/>
      <c r="CCK131" s="20"/>
      <c r="CCL131" s="20"/>
      <c r="CCM131" s="20"/>
      <c r="CCN131" s="20"/>
      <c r="CCO131" s="21"/>
      <c r="CCP131" s="21"/>
      <c r="CCQ131" s="7"/>
      <c r="CCR131" s="7"/>
      <c r="CCS131" s="21"/>
      <c r="CCT131" s="20"/>
      <c r="CCU131" s="20"/>
      <c r="CCV131" s="20"/>
      <c r="CCW131" s="21"/>
      <c r="CCX131" s="21"/>
      <c r="CCY131" s="21"/>
      <c r="CCZ131" s="21"/>
      <c r="CDA131" s="21"/>
      <c r="CDB131" s="20"/>
      <c r="CDC131" s="20"/>
      <c r="CDD131" s="20"/>
      <c r="CDE131" s="20"/>
      <c r="CDF131" s="21"/>
      <c r="CDG131" s="21"/>
      <c r="CDH131" s="7"/>
      <c r="CDI131" s="7"/>
      <c r="CDJ131" s="21"/>
      <c r="CDK131" s="20"/>
      <c r="CDL131" s="20"/>
      <c r="CDM131" s="20"/>
      <c r="CDN131" s="21"/>
      <c r="CDO131" s="21"/>
      <c r="CDP131" s="21"/>
      <c r="CDQ131" s="21"/>
      <c r="CDR131" s="21"/>
      <c r="CDS131" s="20"/>
      <c r="CDT131" s="20"/>
      <c r="CDU131" s="20"/>
      <c r="CDV131" s="20"/>
      <c r="CDW131" s="21"/>
      <c r="CDX131" s="21"/>
      <c r="CDY131" s="7"/>
      <c r="CDZ131" s="7"/>
      <c r="CEA131" s="21"/>
      <c r="CEB131" s="20"/>
      <c r="CEC131" s="20"/>
      <c r="CED131" s="20"/>
      <c r="CEE131" s="21"/>
      <c r="CEF131" s="21"/>
      <c r="CEG131" s="21"/>
      <c r="CEH131" s="21"/>
      <c r="CEI131" s="21"/>
      <c r="CEJ131" s="20"/>
      <c r="CEK131" s="20"/>
      <c r="CEL131" s="20"/>
      <c r="CEM131" s="20"/>
      <c r="CEN131" s="21"/>
      <c r="CEO131" s="21"/>
      <c r="CEP131" s="7"/>
      <c r="CEQ131" s="7"/>
      <c r="CER131" s="21"/>
      <c r="CES131" s="20"/>
      <c r="CET131" s="20"/>
      <c r="CEU131" s="20"/>
      <c r="CEV131" s="21"/>
      <c r="CEW131" s="21"/>
      <c r="CEX131" s="21"/>
      <c r="CEY131" s="21"/>
      <c r="CEZ131" s="21"/>
      <c r="CFA131" s="20"/>
      <c r="CFB131" s="20"/>
      <c r="CFC131" s="20"/>
      <c r="CFD131" s="20"/>
      <c r="CFE131" s="21"/>
      <c r="CFF131" s="21"/>
      <c r="CFG131" s="7"/>
      <c r="CFH131" s="7"/>
      <c r="CFI131" s="21"/>
      <c r="CFJ131" s="20"/>
      <c r="CFK131" s="20"/>
      <c r="CFL131" s="20"/>
      <c r="CFM131" s="21"/>
      <c r="CFN131" s="21"/>
      <c r="CFO131" s="21"/>
      <c r="CFP131" s="21"/>
      <c r="CFQ131" s="21"/>
      <c r="CFR131" s="20"/>
      <c r="CFS131" s="20"/>
      <c r="CFT131" s="20"/>
      <c r="CFU131" s="20"/>
      <c r="CFV131" s="21"/>
      <c r="CFW131" s="21"/>
      <c r="CFX131" s="7"/>
      <c r="CFY131" s="7"/>
      <c r="CFZ131" s="21"/>
      <c r="CGA131" s="20"/>
      <c r="CGB131" s="20"/>
      <c r="CGC131" s="20"/>
      <c r="CGD131" s="21"/>
      <c r="CGE131" s="21"/>
      <c r="CGF131" s="21"/>
      <c r="CGG131" s="21"/>
      <c r="CGH131" s="21"/>
      <c r="CGI131" s="20"/>
      <c r="CGJ131" s="20"/>
      <c r="CGK131" s="20"/>
      <c r="CGL131" s="20"/>
      <c r="CGM131" s="21"/>
      <c r="CGN131" s="21"/>
      <c r="CGO131" s="7"/>
      <c r="CGP131" s="7"/>
      <c r="CGQ131" s="21"/>
      <c r="CGR131" s="20"/>
      <c r="CGS131" s="20"/>
      <c r="CGT131" s="20"/>
      <c r="CGU131" s="21"/>
      <c r="CGV131" s="21"/>
      <c r="CGW131" s="21"/>
      <c r="CGX131" s="21"/>
      <c r="CGY131" s="21"/>
      <c r="CGZ131" s="20"/>
      <c r="CHA131" s="20"/>
      <c r="CHB131" s="20"/>
      <c r="CHC131" s="20"/>
      <c r="CHD131" s="21"/>
      <c r="CHE131" s="21"/>
      <c r="CHF131" s="7"/>
      <c r="CHG131" s="7"/>
      <c r="CHH131" s="21"/>
      <c r="CHI131" s="20"/>
      <c r="CHJ131" s="20"/>
      <c r="CHK131" s="20"/>
      <c r="CHL131" s="21"/>
      <c r="CHM131" s="21"/>
      <c r="CHN131" s="21"/>
      <c r="CHO131" s="21"/>
      <c r="CHP131" s="21"/>
      <c r="CHQ131" s="20"/>
      <c r="CHR131" s="20"/>
      <c r="CHS131" s="20"/>
      <c r="CHT131" s="20"/>
      <c r="CHU131" s="21"/>
      <c r="CHV131" s="21"/>
      <c r="CHW131" s="7"/>
      <c r="CHX131" s="7"/>
      <c r="CHY131" s="21"/>
      <c r="CHZ131" s="20"/>
      <c r="CIA131" s="20"/>
      <c r="CIB131" s="20"/>
      <c r="CIC131" s="21"/>
      <c r="CID131" s="21"/>
      <c r="CIE131" s="21"/>
      <c r="CIF131" s="21"/>
      <c r="CIG131" s="21"/>
      <c r="CIH131" s="20"/>
      <c r="CII131" s="20"/>
      <c r="CIJ131" s="20"/>
      <c r="CIK131" s="20"/>
      <c r="CIL131" s="21"/>
      <c r="CIM131" s="21"/>
      <c r="CIN131" s="7"/>
      <c r="CIO131" s="7"/>
      <c r="CIP131" s="21"/>
      <c r="CIQ131" s="20"/>
      <c r="CIR131" s="20"/>
      <c r="CIS131" s="20"/>
      <c r="CIT131" s="21"/>
      <c r="CIU131" s="21"/>
      <c r="CIV131" s="21"/>
      <c r="CIW131" s="21"/>
      <c r="CIX131" s="21"/>
      <c r="CIY131" s="20"/>
      <c r="CIZ131" s="20"/>
      <c r="CJA131" s="20"/>
      <c r="CJB131" s="20"/>
      <c r="CJC131" s="21"/>
      <c r="CJD131" s="21"/>
      <c r="CJE131" s="7"/>
      <c r="CJF131" s="7"/>
      <c r="CJG131" s="21"/>
      <c r="CJH131" s="20"/>
      <c r="CJI131" s="20"/>
      <c r="CJJ131" s="20"/>
      <c r="CJK131" s="21"/>
      <c r="CJL131" s="21"/>
      <c r="CJM131" s="21"/>
      <c r="CJN131" s="21"/>
      <c r="CJO131" s="21"/>
      <c r="CJP131" s="20"/>
      <c r="CJQ131" s="20"/>
      <c r="CJR131" s="20"/>
      <c r="CJS131" s="20"/>
      <c r="CJT131" s="21"/>
      <c r="CJU131" s="21"/>
      <c r="CJV131" s="7"/>
      <c r="CJW131" s="7"/>
      <c r="CJX131" s="21"/>
      <c r="CJY131" s="20"/>
      <c r="CJZ131" s="20"/>
      <c r="CKA131" s="20"/>
      <c r="CKB131" s="21"/>
      <c r="CKC131" s="21"/>
      <c r="CKD131" s="21"/>
      <c r="CKE131" s="21"/>
      <c r="CKF131" s="21"/>
      <c r="CKG131" s="20"/>
      <c r="CKH131" s="20"/>
      <c r="CKI131" s="20"/>
      <c r="CKJ131" s="20"/>
      <c r="CKK131" s="21"/>
      <c r="CKL131" s="21"/>
      <c r="CKM131" s="7"/>
      <c r="CKN131" s="7"/>
      <c r="CKO131" s="21"/>
      <c r="CKP131" s="20"/>
      <c r="CKQ131" s="20"/>
      <c r="CKR131" s="20"/>
      <c r="CKS131" s="21"/>
      <c r="CKT131" s="21"/>
      <c r="CKU131" s="21"/>
      <c r="CKV131" s="21"/>
      <c r="CKW131" s="21"/>
      <c r="CKX131" s="20"/>
      <c r="CKY131" s="20"/>
      <c r="CKZ131" s="20"/>
      <c r="CLA131" s="20"/>
      <c r="CLB131" s="21"/>
      <c r="CLC131" s="21"/>
      <c r="CLD131" s="7"/>
      <c r="CLE131" s="7"/>
      <c r="CLF131" s="21"/>
      <c r="CLG131" s="20"/>
      <c r="CLH131" s="20"/>
      <c r="CLI131" s="20"/>
      <c r="CLJ131" s="21"/>
      <c r="CLK131" s="21"/>
      <c r="CLL131" s="21"/>
      <c r="CLM131" s="21"/>
      <c r="CLN131" s="21"/>
      <c r="CLO131" s="20"/>
      <c r="CLP131" s="20"/>
      <c r="CLQ131" s="20"/>
      <c r="CLR131" s="20"/>
      <c r="CLS131" s="21"/>
      <c r="CLT131" s="21"/>
      <c r="CLU131" s="7"/>
      <c r="CLV131" s="7"/>
      <c r="CLW131" s="21"/>
      <c r="CLX131" s="20"/>
      <c r="CLY131" s="20"/>
      <c r="CLZ131" s="20"/>
      <c r="CMA131" s="21"/>
      <c r="CMB131" s="21"/>
      <c r="CMC131" s="21"/>
      <c r="CMD131" s="21"/>
      <c r="CME131" s="21"/>
      <c r="CMF131" s="20"/>
      <c r="CMG131" s="20"/>
      <c r="CMH131" s="20"/>
      <c r="CMI131" s="20"/>
      <c r="CMJ131" s="21"/>
      <c r="CMK131" s="21"/>
      <c r="CML131" s="7"/>
      <c r="CMM131" s="7"/>
      <c r="CMN131" s="21"/>
      <c r="CMO131" s="20"/>
      <c r="CMP131" s="20"/>
      <c r="CMQ131" s="20"/>
      <c r="CMR131" s="21"/>
      <c r="CMS131" s="21"/>
      <c r="CMT131" s="21"/>
      <c r="CMU131" s="21"/>
      <c r="CMV131" s="21"/>
      <c r="CMW131" s="20"/>
      <c r="CMX131" s="20"/>
      <c r="CMY131" s="20"/>
      <c r="CMZ131" s="20"/>
      <c r="CNA131" s="21"/>
      <c r="CNB131" s="21"/>
      <c r="CNC131" s="7"/>
      <c r="CND131" s="7"/>
      <c r="CNE131" s="21"/>
      <c r="CNF131" s="20"/>
      <c r="CNG131" s="20"/>
      <c r="CNH131" s="20"/>
      <c r="CNI131" s="21"/>
      <c r="CNJ131" s="21"/>
      <c r="CNK131" s="21"/>
      <c r="CNL131" s="21"/>
      <c r="CNM131" s="21"/>
      <c r="CNN131" s="20"/>
      <c r="CNO131" s="20"/>
      <c r="CNP131" s="20"/>
      <c r="CNQ131" s="20"/>
      <c r="CNR131" s="21"/>
      <c r="CNS131" s="21"/>
      <c r="CNT131" s="7"/>
      <c r="CNU131" s="7"/>
      <c r="CNV131" s="21"/>
      <c r="CNW131" s="20"/>
      <c r="CNX131" s="20"/>
      <c r="CNY131" s="20"/>
      <c r="CNZ131" s="21"/>
      <c r="COA131" s="21"/>
      <c r="COB131" s="21"/>
      <c r="COC131" s="21"/>
      <c r="COD131" s="21"/>
      <c r="COE131" s="20"/>
      <c r="COF131" s="20"/>
      <c r="COG131" s="20"/>
      <c r="COH131" s="20"/>
      <c r="COI131" s="21"/>
      <c r="COJ131" s="21"/>
      <c r="COK131" s="7"/>
      <c r="COL131" s="7"/>
      <c r="COM131" s="21"/>
      <c r="CON131" s="20"/>
      <c r="COO131" s="20"/>
      <c r="COP131" s="20"/>
      <c r="COQ131" s="21"/>
      <c r="COR131" s="21"/>
      <c r="COS131" s="21"/>
      <c r="COT131" s="21"/>
      <c r="COU131" s="21"/>
      <c r="COV131" s="20"/>
      <c r="COW131" s="20"/>
      <c r="COX131" s="20"/>
      <c r="COY131" s="20"/>
      <c r="COZ131" s="21"/>
      <c r="CPA131" s="21"/>
      <c r="CPB131" s="7"/>
      <c r="CPC131" s="7"/>
      <c r="CPD131" s="21"/>
      <c r="CPE131" s="20"/>
      <c r="CPF131" s="20"/>
      <c r="CPG131" s="20"/>
      <c r="CPH131" s="21"/>
      <c r="CPI131" s="21"/>
      <c r="CPJ131" s="21"/>
      <c r="CPK131" s="21"/>
      <c r="CPL131" s="21"/>
      <c r="CPM131" s="20"/>
      <c r="CPN131" s="20"/>
      <c r="CPO131" s="20"/>
      <c r="CPP131" s="20"/>
      <c r="CPQ131" s="21"/>
      <c r="CPR131" s="21"/>
      <c r="CPS131" s="7"/>
      <c r="CPT131" s="7"/>
      <c r="CPU131" s="21"/>
      <c r="CPV131" s="20"/>
      <c r="CPW131" s="20"/>
      <c r="CPX131" s="20"/>
      <c r="CPY131" s="21"/>
      <c r="CPZ131" s="21"/>
      <c r="CQA131" s="21"/>
      <c r="CQB131" s="21"/>
      <c r="CQC131" s="21"/>
      <c r="CQD131" s="20"/>
      <c r="CQE131" s="20"/>
      <c r="CQF131" s="20"/>
      <c r="CQG131" s="20"/>
      <c r="CQH131" s="21"/>
      <c r="CQI131" s="21"/>
      <c r="CQJ131" s="7"/>
      <c r="CQK131" s="7"/>
      <c r="CQL131" s="21"/>
      <c r="CQM131" s="20"/>
      <c r="CQN131" s="20"/>
      <c r="CQO131" s="20"/>
      <c r="CQP131" s="21"/>
      <c r="CQQ131" s="21"/>
      <c r="CQR131" s="21"/>
      <c r="CQS131" s="21"/>
      <c r="CQT131" s="21"/>
      <c r="CQU131" s="20"/>
      <c r="CQV131" s="20"/>
      <c r="CQW131" s="20"/>
      <c r="CQX131" s="20"/>
      <c r="CQY131" s="21"/>
      <c r="CQZ131" s="21"/>
      <c r="CRA131" s="7"/>
      <c r="CRB131" s="7"/>
      <c r="CRC131" s="21"/>
      <c r="CRD131" s="20"/>
      <c r="CRE131" s="20"/>
      <c r="CRF131" s="20"/>
      <c r="CRG131" s="21"/>
      <c r="CRH131" s="21"/>
      <c r="CRI131" s="21"/>
      <c r="CRJ131" s="21"/>
      <c r="CRK131" s="21"/>
      <c r="CRL131" s="20"/>
      <c r="CRM131" s="20"/>
      <c r="CRN131" s="20"/>
      <c r="CRO131" s="20"/>
      <c r="CRP131" s="21"/>
      <c r="CRQ131" s="21"/>
      <c r="CRR131" s="7"/>
      <c r="CRS131" s="7"/>
      <c r="CRT131" s="21"/>
      <c r="CRU131" s="20"/>
      <c r="CRV131" s="20"/>
      <c r="CRW131" s="20"/>
      <c r="CRX131" s="21"/>
      <c r="CRY131" s="21"/>
      <c r="CRZ131" s="21"/>
      <c r="CSA131" s="21"/>
      <c r="CSB131" s="21"/>
      <c r="CSC131" s="20"/>
      <c r="CSD131" s="20"/>
      <c r="CSE131" s="20"/>
      <c r="CSF131" s="20"/>
      <c r="CSG131" s="21"/>
      <c r="CSH131" s="21"/>
      <c r="CSI131" s="7"/>
      <c r="CSJ131" s="7"/>
      <c r="CSK131" s="21"/>
      <c r="CSL131" s="20"/>
      <c r="CSM131" s="20"/>
      <c r="CSN131" s="20"/>
      <c r="CSO131" s="21"/>
      <c r="CSP131" s="21"/>
      <c r="CSQ131" s="21"/>
      <c r="CSR131" s="21"/>
      <c r="CSS131" s="21"/>
      <c r="CST131" s="20"/>
      <c r="CSU131" s="20"/>
      <c r="CSV131" s="20"/>
      <c r="CSW131" s="20"/>
      <c r="CSX131" s="21"/>
      <c r="CSY131" s="21"/>
      <c r="CSZ131" s="7"/>
      <c r="CTA131" s="7"/>
      <c r="CTB131" s="21"/>
      <c r="CTC131" s="20"/>
      <c r="CTD131" s="20"/>
      <c r="CTE131" s="20"/>
      <c r="CTF131" s="21"/>
      <c r="CTG131" s="21"/>
      <c r="CTH131" s="21"/>
      <c r="CTI131" s="21"/>
      <c r="CTJ131" s="21"/>
      <c r="CTK131" s="20"/>
      <c r="CTL131" s="20"/>
      <c r="CTM131" s="20"/>
      <c r="CTN131" s="20"/>
      <c r="CTO131" s="21"/>
      <c r="CTP131" s="21"/>
      <c r="CTQ131" s="7"/>
      <c r="CTR131" s="7"/>
      <c r="CTS131" s="21"/>
      <c r="CTT131" s="20"/>
      <c r="CTU131" s="20"/>
      <c r="CTV131" s="20"/>
      <c r="CTW131" s="21"/>
      <c r="CTX131" s="21"/>
      <c r="CTY131" s="21"/>
      <c r="CTZ131" s="21"/>
      <c r="CUA131" s="21"/>
      <c r="CUB131" s="20"/>
      <c r="CUC131" s="20"/>
      <c r="CUD131" s="20"/>
      <c r="CUE131" s="20"/>
      <c r="CUF131" s="21"/>
      <c r="CUG131" s="21"/>
      <c r="CUH131" s="7"/>
      <c r="CUI131" s="7"/>
      <c r="CUJ131" s="21"/>
      <c r="CUK131" s="20"/>
      <c r="CUL131" s="20"/>
      <c r="CUM131" s="20"/>
      <c r="CUN131" s="21"/>
      <c r="CUO131" s="21"/>
      <c r="CUP131" s="21"/>
      <c r="CUQ131" s="21"/>
      <c r="CUR131" s="21"/>
      <c r="CUS131" s="20"/>
      <c r="CUT131" s="20"/>
      <c r="CUU131" s="20"/>
      <c r="CUV131" s="20"/>
      <c r="CUW131" s="21"/>
      <c r="CUX131" s="21"/>
      <c r="CUY131" s="7"/>
      <c r="CUZ131" s="7"/>
      <c r="CVA131" s="21"/>
      <c r="CVB131" s="20"/>
      <c r="CVC131" s="20"/>
      <c r="CVD131" s="20"/>
      <c r="CVE131" s="21"/>
      <c r="CVF131" s="21"/>
      <c r="CVG131" s="21"/>
      <c r="CVH131" s="21"/>
      <c r="CVI131" s="21"/>
      <c r="CVJ131" s="20"/>
      <c r="CVK131" s="20"/>
      <c r="CVL131" s="20"/>
      <c r="CVM131" s="20"/>
      <c r="CVN131" s="21"/>
      <c r="CVO131" s="21"/>
      <c r="CVP131" s="7"/>
      <c r="CVQ131" s="7"/>
      <c r="CVR131" s="21"/>
      <c r="CVS131" s="20"/>
      <c r="CVT131" s="20"/>
      <c r="CVU131" s="20"/>
      <c r="CVV131" s="21"/>
      <c r="CVW131" s="21"/>
      <c r="CVX131" s="21"/>
      <c r="CVY131" s="21"/>
      <c r="CVZ131" s="21"/>
      <c r="CWA131" s="20"/>
      <c r="CWB131" s="20"/>
      <c r="CWC131" s="20"/>
      <c r="CWD131" s="20"/>
      <c r="CWE131" s="21"/>
      <c r="CWF131" s="21"/>
      <c r="CWG131" s="7"/>
      <c r="CWH131" s="7"/>
      <c r="CWI131" s="21"/>
      <c r="CWJ131" s="20"/>
      <c r="CWK131" s="20"/>
      <c r="CWL131" s="20"/>
      <c r="CWM131" s="21"/>
      <c r="CWN131" s="21"/>
      <c r="CWO131" s="21"/>
      <c r="CWP131" s="21"/>
      <c r="CWQ131" s="21"/>
      <c r="CWR131" s="20"/>
      <c r="CWS131" s="20"/>
      <c r="CWT131" s="20"/>
      <c r="CWU131" s="20"/>
      <c r="CWV131" s="21"/>
      <c r="CWW131" s="21"/>
      <c r="CWX131" s="7"/>
      <c r="CWY131" s="7"/>
      <c r="CWZ131" s="21"/>
      <c r="CXA131" s="20"/>
      <c r="CXB131" s="20"/>
      <c r="CXC131" s="20"/>
      <c r="CXD131" s="21"/>
      <c r="CXE131" s="21"/>
      <c r="CXF131" s="21"/>
      <c r="CXG131" s="21"/>
      <c r="CXH131" s="21"/>
      <c r="CXI131" s="20"/>
      <c r="CXJ131" s="20"/>
      <c r="CXK131" s="20"/>
      <c r="CXL131" s="20"/>
      <c r="CXM131" s="21"/>
      <c r="CXN131" s="21"/>
      <c r="CXO131" s="7"/>
      <c r="CXP131" s="7"/>
      <c r="CXQ131" s="21"/>
      <c r="CXR131" s="20"/>
      <c r="CXS131" s="20"/>
      <c r="CXT131" s="20"/>
      <c r="CXU131" s="21"/>
      <c r="CXV131" s="21"/>
      <c r="CXW131" s="21"/>
      <c r="CXX131" s="21"/>
      <c r="CXY131" s="21"/>
      <c r="CXZ131" s="20"/>
      <c r="CYA131" s="20"/>
      <c r="CYB131" s="20"/>
      <c r="CYC131" s="20"/>
      <c r="CYD131" s="21"/>
      <c r="CYE131" s="21"/>
      <c r="CYF131" s="7"/>
      <c r="CYG131" s="7"/>
      <c r="CYH131" s="21"/>
      <c r="CYI131" s="20"/>
      <c r="CYJ131" s="20"/>
      <c r="CYK131" s="20"/>
      <c r="CYL131" s="21"/>
      <c r="CYM131" s="21"/>
      <c r="CYN131" s="21"/>
      <c r="CYO131" s="21"/>
      <c r="CYP131" s="21"/>
      <c r="CYQ131" s="20"/>
      <c r="CYR131" s="20"/>
      <c r="CYS131" s="20"/>
      <c r="CYT131" s="20"/>
      <c r="CYU131" s="21"/>
      <c r="CYV131" s="21"/>
      <c r="CYW131" s="7"/>
      <c r="CYX131" s="7"/>
      <c r="CYY131" s="21"/>
      <c r="CYZ131" s="20"/>
      <c r="CZA131" s="20"/>
      <c r="CZB131" s="20"/>
      <c r="CZC131" s="21"/>
      <c r="CZD131" s="21"/>
      <c r="CZE131" s="21"/>
      <c r="CZF131" s="21"/>
      <c r="CZG131" s="21"/>
      <c r="CZH131" s="20"/>
      <c r="CZI131" s="20"/>
      <c r="CZJ131" s="20"/>
      <c r="CZK131" s="20"/>
      <c r="CZL131" s="21"/>
      <c r="CZM131" s="21"/>
      <c r="CZN131" s="7"/>
      <c r="CZO131" s="7"/>
      <c r="CZP131" s="21"/>
      <c r="CZQ131" s="20"/>
      <c r="CZR131" s="20"/>
      <c r="CZS131" s="20"/>
      <c r="CZT131" s="21"/>
      <c r="CZU131" s="21"/>
      <c r="CZV131" s="21"/>
      <c r="CZW131" s="21"/>
      <c r="CZX131" s="21"/>
      <c r="CZY131" s="20"/>
      <c r="CZZ131" s="20"/>
      <c r="DAA131" s="20"/>
      <c r="DAB131" s="20"/>
      <c r="DAC131" s="21"/>
      <c r="DAD131" s="21"/>
      <c r="DAE131" s="7"/>
      <c r="DAF131" s="7"/>
      <c r="DAG131" s="21"/>
      <c r="DAH131" s="20"/>
      <c r="DAI131" s="20"/>
      <c r="DAJ131" s="20"/>
      <c r="DAK131" s="21"/>
      <c r="DAL131" s="21"/>
      <c r="DAM131" s="21"/>
      <c r="DAN131" s="21"/>
      <c r="DAO131" s="21"/>
      <c r="DAP131" s="20"/>
      <c r="DAQ131" s="20"/>
      <c r="DAR131" s="20"/>
      <c r="DAS131" s="20"/>
      <c r="DAT131" s="21"/>
      <c r="DAU131" s="21"/>
      <c r="DAV131" s="7"/>
      <c r="DAW131" s="7"/>
      <c r="DAX131" s="21"/>
      <c r="DAY131" s="20"/>
      <c r="DAZ131" s="20"/>
      <c r="DBA131" s="20"/>
      <c r="DBB131" s="21"/>
      <c r="DBC131" s="21"/>
      <c r="DBD131" s="21"/>
      <c r="DBE131" s="21"/>
      <c r="DBF131" s="21"/>
      <c r="DBG131" s="20"/>
      <c r="DBH131" s="20"/>
      <c r="DBI131" s="20"/>
      <c r="DBJ131" s="20"/>
      <c r="DBK131" s="21"/>
      <c r="DBL131" s="21"/>
      <c r="DBM131" s="7"/>
      <c r="DBN131" s="7"/>
      <c r="DBO131" s="21"/>
      <c r="DBP131" s="20"/>
      <c r="DBQ131" s="20"/>
      <c r="DBR131" s="20"/>
      <c r="DBS131" s="21"/>
      <c r="DBT131" s="21"/>
      <c r="DBU131" s="21"/>
      <c r="DBV131" s="21"/>
      <c r="DBW131" s="21"/>
      <c r="DBX131" s="20"/>
      <c r="DBY131" s="20"/>
      <c r="DBZ131" s="20"/>
      <c r="DCA131" s="20"/>
      <c r="DCB131" s="21"/>
      <c r="DCC131" s="21"/>
      <c r="DCD131" s="7"/>
      <c r="DCE131" s="7"/>
      <c r="DCF131" s="21"/>
      <c r="DCG131" s="20"/>
      <c r="DCH131" s="20"/>
      <c r="DCI131" s="20"/>
      <c r="DCJ131" s="21"/>
      <c r="DCK131" s="21"/>
      <c r="DCL131" s="21"/>
      <c r="DCM131" s="21"/>
      <c r="DCN131" s="21"/>
      <c r="DCO131" s="20"/>
      <c r="DCP131" s="20"/>
      <c r="DCQ131" s="20"/>
      <c r="DCR131" s="20"/>
      <c r="DCS131" s="21"/>
      <c r="DCT131" s="21"/>
      <c r="DCU131" s="7"/>
      <c r="DCV131" s="7"/>
      <c r="DCW131" s="21"/>
      <c r="DCX131" s="20"/>
      <c r="DCY131" s="20"/>
      <c r="DCZ131" s="20"/>
      <c r="DDA131" s="21"/>
      <c r="DDB131" s="21"/>
      <c r="DDC131" s="21"/>
      <c r="DDD131" s="21"/>
      <c r="DDE131" s="21"/>
      <c r="DDF131" s="20"/>
      <c r="DDG131" s="20"/>
      <c r="DDH131" s="20"/>
      <c r="DDI131" s="20"/>
      <c r="DDJ131" s="21"/>
      <c r="DDK131" s="21"/>
      <c r="DDL131" s="7"/>
      <c r="DDM131" s="7"/>
      <c r="DDN131" s="21"/>
      <c r="DDO131" s="20"/>
      <c r="DDP131" s="20"/>
      <c r="DDQ131" s="20"/>
      <c r="DDR131" s="21"/>
      <c r="DDS131" s="21"/>
      <c r="DDT131" s="21"/>
      <c r="DDU131" s="21"/>
      <c r="DDV131" s="21"/>
      <c r="DDW131" s="20"/>
      <c r="DDX131" s="20"/>
      <c r="DDY131" s="20"/>
      <c r="DDZ131" s="20"/>
      <c r="DEA131" s="21"/>
      <c r="DEB131" s="21"/>
      <c r="DEC131" s="7"/>
      <c r="DED131" s="7"/>
      <c r="DEE131" s="21"/>
      <c r="DEF131" s="20"/>
      <c r="DEG131" s="20"/>
      <c r="DEH131" s="20"/>
      <c r="DEI131" s="21"/>
      <c r="DEJ131" s="21"/>
      <c r="DEK131" s="21"/>
      <c r="DEL131" s="21"/>
      <c r="DEM131" s="21"/>
      <c r="DEN131" s="20"/>
      <c r="DEO131" s="20"/>
      <c r="DEP131" s="20"/>
      <c r="DEQ131" s="20"/>
      <c r="DER131" s="21"/>
      <c r="DES131" s="21"/>
      <c r="DET131" s="7"/>
      <c r="DEU131" s="7"/>
      <c r="DEV131" s="21"/>
      <c r="DEW131" s="20"/>
      <c r="DEX131" s="20"/>
      <c r="DEY131" s="20"/>
      <c r="DEZ131" s="21"/>
      <c r="DFA131" s="21"/>
      <c r="DFB131" s="21"/>
      <c r="DFC131" s="21"/>
      <c r="DFD131" s="21"/>
      <c r="DFE131" s="20"/>
      <c r="DFF131" s="20"/>
      <c r="DFG131" s="20"/>
      <c r="DFH131" s="20"/>
      <c r="DFI131" s="21"/>
      <c r="DFJ131" s="21"/>
      <c r="DFK131" s="7"/>
      <c r="DFL131" s="7"/>
      <c r="DFM131" s="21"/>
      <c r="DFN131" s="20"/>
      <c r="DFO131" s="20"/>
      <c r="DFP131" s="20"/>
      <c r="DFQ131" s="21"/>
      <c r="DFR131" s="21"/>
      <c r="DFS131" s="21"/>
      <c r="DFT131" s="21"/>
      <c r="DFU131" s="21"/>
      <c r="DFV131" s="20"/>
      <c r="DFW131" s="20"/>
      <c r="DFX131" s="20"/>
      <c r="DFY131" s="20"/>
      <c r="DFZ131" s="21"/>
      <c r="DGA131" s="21"/>
      <c r="DGB131" s="7"/>
      <c r="DGC131" s="7"/>
      <c r="DGD131" s="21"/>
      <c r="DGE131" s="20"/>
      <c r="DGF131" s="20"/>
      <c r="DGG131" s="20"/>
      <c r="DGH131" s="21"/>
      <c r="DGI131" s="21"/>
      <c r="DGJ131" s="21"/>
      <c r="DGK131" s="21"/>
      <c r="DGL131" s="21"/>
      <c r="DGM131" s="20"/>
      <c r="DGN131" s="20"/>
      <c r="DGO131" s="20"/>
      <c r="DGP131" s="20"/>
      <c r="DGQ131" s="21"/>
      <c r="DGR131" s="21"/>
      <c r="DGS131" s="7"/>
      <c r="DGT131" s="7"/>
      <c r="DGU131" s="21"/>
      <c r="DGV131" s="20"/>
      <c r="DGW131" s="20"/>
      <c r="DGX131" s="20"/>
      <c r="DGY131" s="21"/>
      <c r="DGZ131" s="21"/>
      <c r="DHA131" s="21"/>
      <c r="DHB131" s="21"/>
      <c r="DHC131" s="21"/>
      <c r="DHD131" s="20"/>
      <c r="DHE131" s="20"/>
      <c r="DHF131" s="20"/>
      <c r="DHG131" s="20"/>
      <c r="DHH131" s="21"/>
      <c r="DHI131" s="21"/>
      <c r="DHJ131" s="7"/>
      <c r="DHK131" s="7"/>
      <c r="DHL131" s="21"/>
      <c r="DHM131" s="20"/>
      <c r="DHN131" s="20"/>
      <c r="DHO131" s="20"/>
      <c r="DHP131" s="21"/>
      <c r="DHQ131" s="21"/>
      <c r="DHR131" s="21"/>
      <c r="DHS131" s="21"/>
      <c r="DHT131" s="21"/>
      <c r="DHU131" s="20"/>
      <c r="DHV131" s="20"/>
      <c r="DHW131" s="20"/>
      <c r="DHX131" s="20"/>
      <c r="DHY131" s="21"/>
      <c r="DHZ131" s="21"/>
      <c r="DIA131" s="7"/>
      <c r="DIB131" s="7"/>
      <c r="DIC131" s="21"/>
      <c r="DID131" s="20"/>
      <c r="DIE131" s="20"/>
      <c r="DIF131" s="20"/>
      <c r="DIG131" s="21"/>
      <c r="DIH131" s="21"/>
      <c r="DII131" s="21"/>
      <c r="DIJ131" s="21"/>
      <c r="DIK131" s="21"/>
      <c r="DIL131" s="20"/>
      <c r="DIM131" s="20"/>
      <c r="DIN131" s="20"/>
      <c r="DIO131" s="20"/>
      <c r="DIP131" s="21"/>
      <c r="DIQ131" s="21"/>
      <c r="DIR131" s="7"/>
      <c r="DIS131" s="7"/>
      <c r="DIT131" s="21"/>
      <c r="DIU131" s="20"/>
      <c r="DIV131" s="20"/>
      <c r="DIW131" s="20"/>
      <c r="DIX131" s="21"/>
      <c r="DIY131" s="21"/>
      <c r="DIZ131" s="21"/>
      <c r="DJA131" s="21"/>
      <c r="DJB131" s="21"/>
      <c r="DJC131" s="20"/>
      <c r="DJD131" s="20"/>
      <c r="DJE131" s="20"/>
      <c r="DJF131" s="20"/>
      <c r="DJG131" s="21"/>
      <c r="DJH131" s="21"/>
      <c r="DJI131" s="7"/>
      <c r="DJJ131" s="7"/>
      <c r="DJK131" s="21"/>
      <c r="DJL131" s="20"/>
      <c r="DJM131" s="20"/>
      <c r="DJN131" s="20"/>
      <c r="DJO131" s="21"/>
      <c r="DJP131" s="21"/>
      <c r="DJQ131" s="21"/>
      <c r="DJR131" s="21"/>
      <c r="DJS131" s="21"/>
      <c r="DJT131" s="20"/>
      <c r="DJU131" s="20"/>
      <c r="DJV131" s="20"/>
      <c r="DJW131" s="20"/>
      <c r="DJX131" s="21"/>
      <c r="DJY131" s="21"/>
      <c r="DJZ131" s="7"/>
      <c r="DKA131" s="7"/>
      <c r="DKB131" s="21"/>
      <c r="DKC131" s="20"/>
      <c r="DKD131" s="20"/>
      <c r="DKE131" s="20"/>
      <c r="DKF131" s="21"/>
      <c r="DKG131" s="21"/>
      <c r="DKH131" s="21"/>
      <c r="DKI131" s="21"/>
      <c r="DKJ131" s="21"/>
      <c r="DKK131" s="20"/>
      <c r="DKL131" s="20"/>
      <c r="DKM131" s="20"/>
      <c r="DKN131" s="20"/>
      <c r="DKO131" s="21"/>
      <c r="DKP131" s="21"/>
      <c r="DKQ131" s="7"/>
      <c r="DKR131" s="7"/>
      <c r="DKS131" s="21"/>
      <c r="DKT131" s="20"/>
      <c r="DKU131" s="20"/>
      <c r="DKV131" s="20"/>
      <c r="DKW131" s="21"/>
      <c r="DKX131" s="21"/>
      <c r="DKY131" s="21"/>
      <c r="DKZ131" s="21"/>
      <c r="DLA131" s="21"/>
      <c r="DLB131" s="20"/>
      <c r="DLC131" s="20"/>
      <c r="DLD131" s="20"/>
      <c r="DLE131" s="20"/>
      <c r="DLF131" s="21"/>
      <c r="DLG131" s="21"/>
      <c r="DLH131" s="7"/>
      <c r="DLI131" s="7"/>
      <c r="DLJ131" s="21"/>
      <c r="DLK131" s="20"/>
      <c r="DLL131" s="20"/>
      <c r="DLM131" s="20"/>
      <c r="DLN131" s="21"/>
      <c r="DLO131" s="21"/>
      <c r="DLP131" s="21"/>
      <c r="DLQ131" s="21"/>
      <c r="DLR131" s="21"/>
      <c r="DLS131" s="20"/>
      <c r="DLT131" s="20"/>
      <c r="DLU131" s="20"/>
      <c r="DLV131" s="20"/>
      <c r="DLW131" s="21"/>
      <c r="DLX131" s="21"/>
      <c r="DLY131" s="7"/>
      <c r="DLZ131" s="7"/>
      <c r="DMA131" s="21"/>
      <c r="DMB131" s="20"/>
      <c r="DMC131" s="20"/>
      <c r="DMD131" s="20"/>
      <c r="DME131" s="21"/>
      <c r="DMF131" s="21"/>
      <c r="DMG131" s="21"/>
      <c r="DMH131" s="21"/>
      <c r="DMI131" s="21"/>
      <c r="DMJ131" s="20"/>
      <c r="DMK131" s="20"/>
      <c r="DML131" s="20"/>
      <c r="DMM131" s="20"/>
      <c r="DMN131" s="21"/>
      <c r="DMO131" s="21"/>
      <c r="DMP131" s="7"/>
      <c r="DMQ131" s="7"/>
      <c r="DMR131" s="21"/>
      <c r="DMS131" s="20"/>
      <c r="DMT131" s="20"/>
      <c r="DMU131" s="20"/>
      <c r="DMV131" s="21"/>
      <c r="DMW131" s="21"/>
      <c r="DMX131" s="21"/>
      <c r="DMY131" s="21"/>
      <c r="DMZ131" s="21"/>
      <c r="DNA131" s="20"/>
      <c r="DNB131" s="20"/>
      <c r="DNC131" s="20"/>
      <c r="DND131" s="20"/>
      <c r="DNE131" s="21"/>
      <c r="DNF131" s="21"/>
      <c r="DNG131" s="7"/>
      <c r="DNH131" s="7"/>
      <c r="DNI131" s="21"/>
      <c r="DNJ131" s="20"/>
      <c r="DNK131" s="20"/>
      <c r="DNL131" s="20"/>
      <c r="DNM131" s="21"/>
      <c r="DNN131" s="21"/>
      <c r="DNO131" s="21"/>
      <c r="DNP131" s="21"/>
      <c r="DNQ131" s="21"/>
      <c r="DNR131" s="20"/>
      <c r="DNS131" s="20"/>
      <c r="DNT131" s="20"/>
      <c r="DNU131" s="20"/>
      <c r="DNV131" s="21"/>
      <c r="DNW131" s="21"/>
      <c r="DNX131" s="7"/>
      <c r="DNY131" s="7"/>
      <c r="DNZ131" s="21"/>
      <c r="DOA131" s="20"/>
      <c r="DOB131" s="20"/>
      <c r="DOC131" s="20"/>
      <c r="DOD131" s="21"/>
      <c r="DOE131" s="21"/>
      <c r="DOF131" s="21"/>
      <c r="DOG131" s="21"/>
      <c r="DOH131" s="21"/>
      <c r="DOI131" s="20"/>
      <c r="DOJ131" s="20"/>
      <c r="DOK131" s="20"/>
      <c r="DOL131" s="20"/>
      <c r="DOM131" s="21"/>
      <c r="DON131" s="21"/>
      <c r="DOO131" s="7"/>
      <c r="DOP131" s="7"/>
      <c r="DOQ131" s="21"/>
      <c r="DOR131" s="20"/>
      <c r="DOS131" s="20"/>
      <c r="DOT131" s="20"/>
      <c r="DOU131" s="21"/>
      <c r="DOV131" s="21"/>
      <c r="DOW131" s="21"/>
      <c r="DOX131" s="21"/>
      <c r="DOY131" s="21"/>
      <c r="DOZ131" s="20"/>
      <c r="DPA131" s="20"/>
      <c r="DPB131" s="20"/>
      <c r="DPC131" s="20"/>
      <c r="DPD131" s="21"/>
      <c r="DPE131" s="21"/>
      <c r="DPF131" s="7"/>
      <c r="DPG131" s="7"/>
      <c r="DPH131" s="21"/>
      <c r="DPI131" s="20"/>
      <c r="DPJ131" s="20"/>
      <c r="DPK131" s="20"/>
      <c r="DPL131" s="21"/>
      <c r="DPM131" s="21"/>
      <c r="DPN131" s="21"/>
      <c r="DPO131" s="21"/>
      <c r="DPP131" s="21"/>
      <c r="DPQ131" s="20"/>
      <c r="DPR131" s="20"/>
      <c r="DPS131" s="20"/>
      <c r="DPT131" s="20"/>
      <c r="DPU131" s="21"/>
      <c r="DPV131" s="21"/>
      <c r="DPW131" s="7"/>
      <c r="DPX131" s="7"/>
      <c r="DPY131" s="21"/>
      <c r="DPZ131" s="20"/>
      <c r="DQA131" s="20"/>
      <c r="DQB131" s="20"/>
      <c r="DQC131" s="21"/>
      <c r="DQD131" s="21"/>
      <c r="DQE131" s="21"/>
      <c r="DQF131" s="21"/>
      <c r="DQG131" s="21"/>
      <c r="DQH131" s="20"/>
      <c r="DQI131" s="20"/>
      <c r="DQJ131" s="20"/>
      <c r="DQK131" s="20"/>
      <c r="DQL131" s="21"/>
      <c r="DQM131" s="21"/>
      <c r="DQN131" s="7"/>
      <c r="DQO131" s="7"/>
      <c r="DQP131" s="21"/>
      <c r="DQQ131" s="20"/>
      <c r="DQR131" s="20"/>
      <c r="DQS131" s="20"/>
      <c r="DQT131" s="21"/>
      <c r="DQU131" s="21"/>
      <c r="DQV131" s="21"/>
      <c r="DQW131" s="21"/>
      <c r="DQX131" s="21"/>
      <c r="DQY131" s="20"/>
      <c r="DQZ131" s="20"/>
      <c r="DRA131" s="20"/>
      <c r="DRB131" s="20"/>
      <c r="DRC131" s="21"/>
      <c r="DRD131" s="21"/>
      <c r="DRE131" s="7"/>
      <c r="DRF131" s="7"/>
      <c r="DRG131" s="21"/>
      <c r="DRH131" s="20"/>
      <c r="DRI131" s="20"/>
      <c r="DRJ131" s="20"/>
      <c r="DRK131" s="21"/>
      <c r="DRL131" s="21"/>
      <c r="DRM131" s="21"/>
      <c r="DRN131" s="21"/>
      <c r="DRO131" s="21"/>
      <c r="DRP131" s="20"/>
      <c r="DRQ131" s="20"/>
      <c r="DRR131" s="20"/>
      <c r="DRS131" s="20"/>
      <c r="DRT131" s="21"/>
      <c r="DRU131" s="21"/>
      <c r="DRV131" s="7"/>
      <c r="DRW131" s="7"/>
      <c r="DRX131" s="21"/>
      <c r="DRY131" s="20"/>
      <c r="DRZ131" s="20"/>
      <c r="DSA131" s="20"/>
      <c r="DSB131" s="21"/>
      <c r="DSC131" s="21"/>
      <c r="DSD131" s="21"/>
      <c r="DSE131" s="21"/>
      <c r="DSF131" s="21"/>
      <c r="DSG131" s="20"/>
      <c r="DSH131" s="20"/>
      <c r="DSI131" s="20"/>
      <c r="DSJ131" s="20"/>
      <c r="DSK131" s="21"/>
      <c r="DSL131" s="21"/>
      <c r="DSM131" s="7"/>
      <c r="DSN131" s="7"/>
      <c r="DSO131" s="21"/>
      <c r="DSP131" s="20"/>
      <c r="DSQ131" s="20"/>
      <c r="DSR131" s="20"/>
      <c r="DSS131" s="21"/>
      <c r="DST131" s="21"/>
      <c r="DSU131" s="21"/>
      <c r="DSV131" s="21"/>
      <c r="DSW131" s="21"/>
      <c r="DSX131" s="20"/>
      <c r="DSY131" s="20"/>
      <c r="DSZ131" s="20"/>
      <c r="DTA131" s="20"/>
      <c r="DTB131" s="21"/>
      <c r="DTC131" s="21"/>
      <c r="DTD131" s="7"/>
      <c r="DTE131" s="7"/>
      <c r="DTF131" s="21"/>
      <c r="DTG131" s="20"/>
      <c r="DTH131" s="20"/>
      <c r="DTI131" s="20"/>
      <c r="DTJ131" s="21"/>
      <c r="DTK131" s="21"/>
      <c r="DTL131" s="21"/>
      <c r="DTM131" s="21"/>
      <c r="DTN131" s="21"/>
      <c r="DTO131" s="20"/>
      <c r="DTP131" s="20"/>
      <c r="DTQ131" s="20"/>
      <c r="DTR131" s="20"/>
      <c r="DTS131" s="21"/>
      <c r="DTT131" s="21"/>
      <c r="DTU131" s="7"/>
      <c r="DTV131" s="7"/>
      <c r="DTW131" s="21"/>
      <c r="DTX131" s="20"/>
      <c r="DTY131" s="20"/>
      <c r="DTZ131" s="20"/>
      <c r="DUA131" s="21"/>
      <c r="DUB131" s="21"/>
      <c r="DUC131" s="21"/>
      <c r="DUD131" s="21"/>
      <c r="DUE131" s="21"/>
      <c r="DUF131" s="20"/>
      <c r="DUG131" s="20"/>
      <c r="DUH131" s="20"/>
      <c r="DUI131" s="20"/>
      <c r="DUJ131" s="21"/>
      <c r="DUK131" s="21"/>
      <c r="DUL131" s="7"/>
      <c r="DUM131" s="7"/>
      <c r="DUN131" s="21"/>
      <c r="DUO131" s="20"/>
      <c r="DUP131" s="20"/>
      <c r="DUQ131" s="20"/>
      <c r="DUR131" s="21"/>
      <c r="DUS131" s="21"/>
      <c r="DUT131" s="21"/>
      <c r="DUU131" s="21"/>
      <c r="DUV131" s="21"/>
      <c r="DUW131" s="20"/>
      <c r="DUX131" s="20"/>
      <c r="DUY131" s="20"/>
      <c r="DUZ131" s="20"/>
      <c r="DVA131" s="21"/>
      <c r="DVB131" s="21"/>
      <c r="DVC131" s="7"/>
      <c r="DVD131" s="7"/>
      <c r="DVE131" s="21"/>
      <c r="DVF131" s="20"/>
      <c r="DVG131" s="20"/>
      <c r="DVH131" s="20"/>
      <c r="DVI131" s="21"/>
      <c r="DVJ131" s="21"/>
      <c r="DVK131" s="21"/>
      <c r="DVL131" s="21"/>
      <c r="DVM131" s="21"/>
      <c r="DVN131" s="20"/>
      <c r="DVO131" s="20"/>
      <c r="DVP131" s="20"/>
      <c r="DVQ131" s="20"/>
      <c r="DVR131" s="21"/>
      <c r="DVS131" s="21"/>
      <c r="DVT131" s="7"/>
      <c r="DVU131" s="7"/>
      <c r="DVV131" s="21"/>
      <c r="DVW131" s="20"/>
      <c r="DVX131" s="20"/>
      <c r="DVY131" s="20"/>
      <c r="DVZ131" s="21"/>
      <c r="DWA131" s="21"/>
      <c r="DWB131" s="21"/>
      <c r="DWC131" s="21"/>
      <c r="DWD131" s="21"/>
      <c r="DWE131" s="20"/>
      <c r="DWF131" s="20"/>
      <c r="DWG131" s="20"/>
      <c r="DWH131" s="20"/>
      <c r="DWI131" s="21"/>
      <c r="DWJ131" s="21"/>
      <c r="DWK131" s="7"/>
      <c r="DWL131" s="7"/>
      <c r="DWM131" s="21"/>
      <c r="DWN131" s="20"/>
      <c r="DWO131" s="20"/>
      <c r="DWP131" s="20"/>
      <c r="DWQ131" s="21"/>
      <c r="DWR131" s="21"/>
      <c r="DWS131" s="21"/>
      <c r="DWT131" s="21"/>
      <c r="DWU131" s="21"/>
      <c r="DWV131" s="20"/>
      <c r="DWW131" s="20"/>
      <c r="DWX131" s="20"/>
      <c r="DWY131" s="20"/>
      <c r="DWZ131" s="21"/>
      <c r="DXA131" s="21"/>
      <c r="DXB131" s="7"/>
      <c r="DXC131" s="7"/>
      <c r="DXD131" s="21"/>
      <c r="DXE131" s="20"/>
      <c r="DXF131" s="20"/>
      <c r="DXG131" s="20"/>
      <c r="DXH131" s="21"/>
      <c r="DXI131" s="21"/>
      <c r="DXJ131" s="21"/>
      <c r="DXK131" s="21"/>
      <c r="DXL131" s="21"/>
      <c r="DXM131" s="20"/>
      <c r="DXN131" s="20"/>
      <c r="DXO131" s="20"/>
      <c r="DXP131" s="20"/>
      <c r="DXQ131" s="21"/>
      <c r="DXR131" s="21"/>
      <c r="DXS131" s="7"/>
      <c r="DXT131" s="7"/>
      <c r="DXU131" s="21"/>
      <c r="DXV131" s="20"/>
      <c r="DXW131" s="20"/>
      <c r="DXX131" s="20"/>
      <c r="DXY131" s="21"/>
      <c r="DXZ131" s="21"/>
      <c r="DYA131" s="21"/>
      <c r="DYB131" s="21"/>
      <c r="DYC131" s="21"/>
      <c r="DYD131" s="20"/>
      <c r="DYE131" s="20"/>
      <c r="DYF131" s="20"/>
      <c r="DYG131" s="20"/>
      <c r="DYH131" s="21"/>
      <c r="DYI131" s="21"/>
      <c r="DYJ131" s="7"/>
      <c r="DYK131" s="7"/>
      <c r="DYL131" s="21"/>
      <c r="DYM131" s="20"/>
      <c r="DYN131" s="20"/>
      <c r="DYO131" s="20"/>
      <c r="DYP131" s="21"/>
      <c r="DYQ131" s="21"/>
      <c r="DYR131" s="21"/>
      <c r="DYS131" s="21"/>
      <c r="DYT131" s="21"/>
      <c r="DYU131" s="20"/>
      <c r="DYV131" s="20"/>
      <c r="DYW131" s="20"/>
      <c r="DYX131" s="20"/>
      <c r="DYY131" s="21"/>
      <c r="DYZ131" s="21"/>
      <c r="DZA131" s="7"/>
      <c r="DZB131" s="7"/>
      <c r="DZC131" s="21"/>
      <c r="DZD131" s="20"/>
      <c r="DZE131" s="20"/>
      <c r="DZF131" s="20"/>
      <c r="DZG131" s="21"/>
      <c r="DZH131" s="21"/>
      <c r="DZI131" s="21"/>
      <c r="DZJ131" s="21"/>
      <c r="DZK131" s="21"/>
      <c r="DZL131" s="20"/>
      <c r="DZM131" s="20"/>
      <c r="DZN131" s="20"/>
      <c r="DZO131" s="20"/>
      <c r="DZP131" s="21"/>
      <c r="DZQ131" s="21"/>
      <c r="DZR131" s="7"/>
      <c r="DZS131" s="7"/>
      <c r="DZT131" s="21"/>
      <c r="DZU131" s="20"/>
      <c r="DZV131" s="20"/>
      <c r="DZW131" s="20"/>
      <c r="DZX131" s="21"/>
      <c r="DZY131" s="21"/>
      <c r="DZZ131" s="21"/>
      <c r="EAA131" s="21"/>
      <c r="EAB131" s="21"/>
      <c r="EAC131" s="20"/>
      <c r="EAD131" s="20"/>
      <c r="EAE131" s="20"/>
      <c r="EAF131" s="20"/>
      <c r="EAG131" s="21"/>
      <c r="EAH131" s="21"/>
      <c r="EAI131" s="7"/>
      <c r="EAJ131" s="7"/>
      <c r="EAK131" s="21"/>
      <c r="EAL131" s="20"/>
      <c r="EAM131" s="20"/>
      <c r="EAN131" s="20"/>
      <c r="EAO131" s="21"/>
      <c r="EAP131" s="21"/>
      <c r="EAQ131" s="21"/>
      <c r="EAR131" s="21"/>
      <c r="EAS131" s="21"/>
      <c r="EAT131" s="20"/>
      <c r="EAU131" s="20"/>
      <c r="EAV131" s="20"/>
      <c r="EAW131" s="20"/>
      <c r="EAX131" s="21"/>
      <c r="EAY131" s="21"/>
      <c r="EAZ131" s="7"/>
      <c r="EBA131" s="7"/>
      <c r="EBB131" s="21"/>
      <c r="EBC131" s="20"/>
      <c r="EBD131" s="20"/>
      <c r="EBE131" s="20"/>
      <c r="EBF131" s="21"/>
      <c r="EBG131" s="21"/>
      <c r="EBH131" s="21"/>
      <c r="EBI131" s="21"/>
      <c r="EBJ131" s="21"/>
      <c r="EBK131" s="20"/>
      <c r="EBL131" s="20"/>
      <c r="EBM131" s="20"/>
      <c r="EBN131" s="20"/>
      <c r="EBO131" s="21"/>
      <c r="EBP131" s="21"/>
      <c r="EBQ131" s="7"/>
      <c r="EBR131" s="7"/>
      <c r="EBS131" s="21"/>
      <c r="EBT131" s="20"/>
      <c r="EBU131" s="20"/>
      <c r="EBV131" s="20"/>
      <c r="EBW131" s="21"/>
      <c r="EBX131" s="21"/>
      <c r="EBY131" s="21"/>
      <c r="EBZ131" s="21"/>
      <c r="ECA131" s="21"/>
      <c r="ECB131" s="20"/>
      <c r="ECC131" s="20"/>
      <c r="ECD131" s="20"/>
      <c r="ECE131" s="20"/>
      <c r="ECF131" s="21"/>
      <c r="ECG131" s="21"/>
      <c r="ECH131" s="7"/>
      <c r="ECI131" s="7"/>
      <c r="ECJ131" s="21"/>
      <c r="ECK131" s="20"/>
      <c r="ECL131" s="20"/>
      <c r="ECM131" s="20"/>
      <c r="ECN131" s="21"/>
      <c r="ECO131" s="21"/>
      <c r="ECP131" s="21"/>
      <c r="ECQ131" s="21"/>
      <c r="ECR131" s="21"/>
      <c r="ECS131" s="20"/>
      <c r="ECT131" s="20"/>
      <c r="ECU131" s="20"/>
      <c r="ECV131" s="20"/>
      <c r="ECW131" s="21"/>
      <c r="ECX131" s="21"/>
      <c r="ECY131" s="7"/>
      <c r="ECZ131" s="7"/>
      <c r="EDA131" s="21"/>
      <c r="EDB131" s="20"/>
      <c r="EDC131" s="20"/>
      <c r="EDD131" s="20"/>
      <c r="EDE131" s="21"/>
      <c r="EDF131" s="21"/>
      <c r="EDG131" s="21"/>
      <c r="EDH131" s="21"/>
      <c r="EDI131" s="21"/>
      <c r="EDJ131" s="20"/>
      <c r="EDK131" s="20"/>
      <c r="EDL131" s="20"/>
      <c r="EDM131" s="20"/>
      <c r="EDN131" s="21"/>
      <c r="EDO131" s="21"/>
      <c r="EDP131" s="7"/>
      <c r="EDQ131" s="7"/>
      <c r="EDR131" s="21"/>
      <c r="EDS131" s="20"/>
      <c r="EDT131" s="20"/>
      <c r="EDU131" s="20"/>
      <c r="EDV131" s="21"/>
      <c r="EDW131" s="21"/>
      <c r="EDX131" s="21"/>
      <c r="EDY131" s="21"/>
      <c r="EDZ131" s="21"/>
      <c r="EEA131" s="20"/>
      <c r="EEB131" s="20"/>
      <c r="EEC131" s="20"/>
      <c r="EED131" s="20"/>
      <c r="EEE131" s="21"/>
      <c r="EEF131" s="21"/>
      <c r="EEG131" s="7"/>
      <c r="EEH131" s="7"/>
      <c r="EEI131" s="21"/>
      <c r="EEJ131" s="20"/>
      <c r="EEK131" s="20"/>
      <c r="EEL131" s="20"/>
      <c r="EEM131" s="21"/>
      <c r="EEN131" s="21"/>
      <c r="EEO131" s="21"/>
      <c r="EEP131" s="21"/>
      <c r="EEQ131" s="21"/>
      <c r="EER131" s="20"/>
      <c r="EES131" s="20"/>
      <c r="EET131" s="20"/>
      <c r="EEU131" s="20"/>
      <c r="EEV131" s="21"/>
      <c r="EEW131" s="21"/>
      <c r="EEX131" s="7"/>
      <c r="EEY131" s="7"/>
      <c r="EEZ131" s="21"/>
      <c r="EFA131" s="20"/>
      <c r="EFB131" s="20"/>
      <c r="EFC131" s="20"/>
      <c r="EFD131" s="21"/>
      <c r="EFE131" s="21"/>
      <c r="EFF131" s="21"/>
      <c r="EFG131" s="21"/>
      <c r="EFH131" s="21"/>
      <c r="EFI131" s="20"/>
      <c r="EFJ131" s="20"/>
      <c r="EFK131" s="20"/>
      <c r="EFL131" s="20"/>
      <c r="EFM131" s="21"/>
      <c r="EFN131" s="21"/>
      <c r="EFO131" s="7"/>
      <c r="EFP131" s="7"/>
      <c r="EFQ131" s="21"/>
      <c r="EFR131" s="20"/>
      <c r="EFS131" s="20"/>
      <c r="EFT131" s="20"/>
      <c r="EFU131" s="21"/>
      <c r="EFV131" s="21"/>
      <c r="EFW131" s="21"/>
      <c r="EFX131" s="21"/>
      <c r="EFY131" s="21"/>
      <c r="EFZ131" s="20"/>
      <c r="EGA131" s="20"/>
      <c r="EGB131" s="20"/>
      <c r="EGC131" s="20"/>
      <c r="EGD131" s="21"/>
      <c r="EGE131" s="21"/>
      <c r="EGF131" s="7"/>
      <c r="EGG131" s="7"/>
      <c r="EGH131" s="21"/>
      <c r="EGI131" s="20"/>
      <c r="EGJ131" s="20"/>
      <c r="EGK131" s="20"/>
      <c r="EGL131" s="21"/>
      <c r="EGM131" s="21"/>
      <c r="EGN131" s="21"/>
      <c r="EGO131" s="21"/>
      <c r="EGP131" s="21"/>
      <c r="EGQ131" s="20"/>
      <c r="EGR131" s="20"/>
      <c r="EGS131" s="20"/>
      <c r="EGT131" s="20"/>
      <c r="EGU131" s="21"/>
      <c r="EGV131" s="21"/>
      <c r="EGW131" s="7"/>
      <c r="EGX131" s="7"/>
      <c r="EGY131" s="21"/>
      <c r="EGZ131" s="20"/>
      <c r="EHA131" s="20"/>
      <c r="EHB131" s="20"/>
      <c r="EHC131" s="21"/>
      <c r="EHD131" s="21"/>
      <c r="EHE131" s="21"/>
      <c r="EHF131" s="21"/>
      <c r="EHG131" s="21"/>
      <c r="EHH131" s="20"/>
      <c r="EHI131" s="20"/>
      <c r="EHJ131" s="20"/>
      <c r="EHK131" s="20"/>
      <c r="EHL131" s="21"/>
      <c r="EHM131" s="21"/>
      <c r="EHN131" s="7"/>
      <c r="EHO131" s="7"/>
      <c r="EHP131" s="21"/>
      <c r="EHQ131" s="20"/>
      <c r="EHR131" s="20"/>
      <c r="EHS131" s="20"/>
      <c r="EHT131" s="21"/>
      <c r="EHU131" s="21"/>
      <c r="EHV131" s="21"/>
      <c r="EHW131" s="21"/>
      <c r="EHX131" s="21"/>
      <c r="EHY131" s="20"/>
      <c r="EHZ131" s="20"/>
      <c r="EIA131" s="20"/>
      <c r="EIB131" s="20"/>
      <c r="EIC131" s="21"/>
      <c r="EID131" s="21"/>
      <c r="EIE131" s="7"/>
      <c r="EIF131" s="7"/>
      <c r="EIG131" s="21"/>
      <c r="EIH131" s="20"/>
      <c r="EII131" s="20"/>
      <c r="EIJ131" s="20"/>
      <c r="EIK131" s="21"/>
      <c r="EIL131" s="21"/>
      <c r="EIM131" s="21"/>
      <c r="EIN131" s="21"/>
      <c r="EIO131" s="21"/>
      <c r="EIP131" s="20"/>
      <c r="EIQ131" s="20"/>
      <c r="EIR131" s="20"/>
      <c r="EIS131" s="20"/>
      <c r="EIT131" s="21"/>
      <c r="EIU131" s="21"/>
      <c r="EIV131" s="7"/>
      <c r="EIW131" s="7"/>
      <c r="EIX131" s="21"/>
      <c r="EIY131" s="20"/>
      <c r="EIZ131" s="20"/>
      <c r="EJA131" s="20"/>
      <c r="EJB131" s="21"/>
      <c r="EJC131" s="21"/>
      <c r="EJD131" s="21"/>
      <c r="EJE131" s="21"/>
      <c r="EJF131" s="21"/>
      <c r="EJG131" s="20"/>
      <c r="EJH131" s="20"/>
      <c r="EJI131" s="20"/>
      <c r="EJJ131" s="20"/>
      <c r="EJK131" s="21"/>
      <c r="EJL131" s="21"/>
      <c r="EJM131" s="7"/>
      <c r="EJN131" s="7"/>
      <c r="EJO131" s="21"/>
      <c r="EJP131" s="20"/>
      <c r="EJQ131" s="20"/>
      <c r="EJR131" s="20"/>
      <c r="EJS131" s="21"/>
      <c r="EJT131" s="21"/>
      <c r="EJU131" s="21"/>
      <c r="EJV131" s="21"/>
      <c r="EJW131" s="21"/>
      <c r="EJX131" s="20"/>
      <c r="EJY131" s="20"/>
      <c r="EJZ131" s="20"/>
      <c r="EKA131" s="20"/>
      <c r="EKB131" s="21"/>
      <c r="EKC131" s="21"/>
      <c r="EKD131" s="7"/>
      <c r="EKE131" s="7"/>
      <c r="EKF131" s="21"/>
      <c r="EKG131" s="20"/>
      <c r="EKH131" s="20"/>
      <c r="EKI131" s="20"/>
      <c r="EKJ131" s="21"/>
      <c r="EKK131" s="21"/>
      <c r="EKL131" s="21"/>
      <c r="EKM131" s="21"/>
      <c r="EKN131" s="21"/>
      <c r="EKO131" s="20"/>
      <c r="EKP131" s="20"/>
      <c r="EKQ131" s="20"/>
      <c r="EKR131" s="20"/>
      <c r="EKS131" s="21"/>
      <c r="EKT131" s="21"/>
      <c r="EKU131" s="7"/>
      <c r="EKV131" s="7"/>
      <c r="EKW131" s="21"/>
      <c r="EKX131" s="20"/>
      <c r="EKY131" s="20"/>
      <c r="EKZ131" s="20"/>
      <c r="ELA131" s="21"/>
      <c r="ELB131" s="21"/>
      <c r="ELC131" s="21"/>
      <c r="ELD131" s="21"/>
      <c r="ELE131" s="21"/>
      <c r="ELF131" s="20"/>
      <c r="ELG131" s="20"/>
      <c r="ELH131" s="20"/>
      <c r="ELI131" s="20"/>
      <c r="ELJ131" s="21"/>
      <c r="ELK131" s="21"/>
      <c r="ELL131" s="7"/>
      <c r="ELM131" s="7"/>
      <c r="ELN131" s="21"/>
      <c r="ELO131" s="20"/>
      <c r="ELP131" s="20"/>
      <c r="ELQ131" s="20"/>
      <c r="ELR131" s="21"/>
      <c r="ELS131" s="21"/>
      <c r="ELT131" s="21"/>
      <c r="ELU131" s="21"/>
      <c r="ELV131" s="21"/>
      <c r="ELW131" s="20"/>
      <c r="ELX131" s="20"/>
      <c r="ELY131" s="20"/>
      <c r="ELZ131" s="20"/>
      <c r="EMA131" s="21"/>
      <c r="EMB131" s="21"/>
      <c r="EMC131" s="7"/>
      <c r="EMD131" s="7"/>
      <c r="EME131" s="21"/>
      <c r="EMF131" s="20"/>
      <c r="EMG131" s="20"/>
      <c r="EMH131" s="20"/>
      <c r="EMI131" s="21"/>
      <c r="EMJ131" s="21"/>
      <c r="EMK131" s="21"/>
      <c r="EML131" s="21"/>
      <c r="EMM131" s="21"/>
      <c r="EMN131" s="20"/>
      <c r="EMO131" s="20"/>
      <c r="EMP131" s="20"/>
      <c r="EMQ131" s="20"/>
      <c r="EMR131" s="21"/>
      <c r="EMS131" s="21"/>
      <c r="EMT131" s="7"/>
      <c r="EMU131" s="7"/>
      <c r="EMV131" s="21"/>
      <c r="EMW131" s="20"/>
      <c r="EMX131" s="20"/>
      <c r="EMY131" s="20"/>
      <c r="EMZ131" s="21"/>
      <c r="ENA131" s="21"/>
      <c r="ENB131" s="21"/>
      <c r="ENC131" s="21"/>
      <c r="END131" s="21"/>
      <c r="ENE131" s="20"/>
      <c r="ENF131" s="20"/>
      <c r="ENG131" s="20"/>
      <c r="ENH131" s="20"/>
      <c r="ENI131" s="21"/>
      <c r="ENJ131" s="21"/>
      <c r="ENK131" s="7"/>
      <c r="ENL131" s="7"/>
      <c r="ENM131" s="21"/>
      <c r="ENN131" s="20"/>
      <c r="ENO131" s="20"/>
      <c r="ENP131" s="20"/>
      <c r="ENQ131" s="21"/>
      <c r="ENR131" s="21"/>
      <c r="ENS131" s="21"/>
      <c r="ENT131" s="21"/>
      <c r="ENU131" s="21"/>
      <c r="ENV131" s="20"/>
      <c r="ENW131" s="20"/>
      <c r="ENX131" s="20"/>
      <c r="ENY131" s="20"/>
      <c r="ENZ131" s="21"/>
      <c r="EOA131" s="21"/>
      <c r="EOB131" s="7"/>
      <c r="EOC131" s="7"/>
      <c r="EOD131" s="21"/>
      <c r="EOE131" s="20"/>
      <c r="EOF131" s="20"/>
      <c r="EOG131" s="20"/>
      <c r="EOH131" s="21"/>
      <c r="EOI131" s="21"/>
      <c r="EOJ131" s="21"/>
      <c r="EOK131" s="21"/>
      <c r="EOL131" s="21"/>
      <c r="EOM131" s="20"/>
      <c r="EON131" s="20"/>
      <c r="EOO131" s="20"/>
      <c r="EOP131" s="20"/>
      <c r="EOQ131" s="21"/>
      <c r="EOR131" s="21"/>
      <c r="EOS131" s="7"/>
      <c r="EOT131" s="7"/>
      <c r="EOU131" s="21"/>
      <c r="EOV131" s="20"/>
      <c r="EOW131" s="20"/>
      <c r="EOX131" s="20"/>
      <c r="EOY131" s="21"/>
      <c r="EOZ131" s="21"/>
      <c r="EPA131" s="21"/>
      <c r="EPB131" s="21"/>
      <c r="EPC131" s="21"/>
      <c r="EPD131" s="20"/>
      <c r="EPE131" s="20"/>
      <c r="EPF131" s="20"/>
      <c r="EPG131" s="20"/>
      <c r="EPH131" s="21"/>
      <c r="EPI131" s="21"/>
      <c r="EPJ131" s="7"/>
      <c r="EPK131" s="7"/>
      <c r="EPL131" s="21"/>
      <c r="EPM131" s="20"/>
      <c r="EPN131" s="20"/>
      <c r="EPO131" s="20"/>
      <c r="EPP131" s="21"/>
      <c r="EPQ131" s="21"/>
      <c r="EPR131" s="21"/>
      <c r="EPS131" s="21"/>
      <c r="EPT131" s="21"/>
      <c r="EPU131" s="20"/>
      <c r="EPV131" s="20"/>
      <c r="EPW131" s="20"/>
      <c r="EPX131" s="20"/>
      <c r="EPY131" s="21"/>
      <c r="EPZ131" s="21"/>
      <c r="EQA131" s="7"/>
      <c r="EQB131" s="7"/>
      <c r="EQC131" s="21"/>
      <c r="EQD131" s="20"/>
      <c r="EQE131" s="20"/>
      <c r="EQF131" s="20"/>
      <c r="EQG131" s="21"/>
      <c r="EQH131" s="21"/>
      <c r="EQI131" s="21"/>
      <c r="EQJ131" s="21"/>
      <c r="EQK131" s="21"/>
      <c r="EQL131" s="20"/>
      <c r="EQM131" s="20"/>
      <c r="EQN131" s="20"/>
      <c r="EQO131" s="20"/>
      <c r="EQP131" s="21"/>
      <c r="EQQ131" s="21"/>
      <c r="EQR131" s="7"/>
      <c r="EQS131" s="7"/>
      <c r="EQT131" s="21"/>
      <c r="EQU131" s="20"/>
      <c r="EQV131" s="20"/>
      <c r="EQW131" s="20"/>
      <c r="EQX131" s="21"/>
      <c r="EQY131" s="21"/>
      <c r="EQZ131" s="21"/>
      <c r="ERA131" s="21"/>
      <c r="ERB131" s="21"/>
      <c r="ERC131" s="20"/>
      <c r="ERD131" s="20"/>
      <c r="ERE131" s="20"/>
      <c r="ERF131" s="20"/>
      <c r="ERG131" s="21"/>
      <c r="ERH131" s="21"/>
      <c r="ERI131" s="7"/>
      <c r="ERJ131" s="7"/>
      <c r="ERK131" s="21"/>
      <c r="ERL131" s="20"/>
      <c r="ERM131" s="20"/>
      <c r="ERN131" s="20"/>
      <c r="ERO131" s="21"/>
      <c r="ERP131" s="21"/>
      <c r="ERQ131" s="21"/>
      <c r="ERR131" s="21"/>
      <c r="ERS131" s="21"/>
      <c r="ERT131" s="20"/>
      <c r="ERU131" s="20"/>
      <c r="ERV131" s="20"/>
      <c r="ERW131" s="20"/>
      <c r="ERX131" s="21"/>
      <c r="ERY131" s="21"/>
      <c r="ERZ131" s="7"/>
      <c r="ESA131" s="7"/>
      <c r="ESB131" s="21"/>
      <c r="ESC131" s="20"/>
      <c r="ESD131" s="20"/>
      <c r="ESE131" s="20"/>
      <c r="ESF131" s="21"/>
      <c r="ESG131" s="21"/>
      <c r="ESH131" s="21"/>
      <c r="ESI131" s="21"/>
      <c r="ESJ131" s="21"/>
      <c r="ESK131" s="20"/>
      <c r="ESL131" s="20"/>
      <c r="ESM131" s="20"/>
      <c r="ESN131" s="20"/>
      <c r="ESO131" s="21"/>
      <c r="ESP131" s="21"/>
      <c r="ESQ131" s="7"/>
      <c r="ESR131" s="7"/>
      <c r="ESS131" s="21"/>
      <c r="EST131" s="20"/>
      <c r="ESU131" s="20"/>
      <c r="ESV131" s="20"/>
      <c r="ESW131" s="21"/>
      <c r="ESX131" s="21"/>
      <c r="ESY131" s="21"/>
      <c r="ESZ131" s="21"/>
      <c r="ETA131" s="21"/>
      <c r="ETB131" s="20"/>
      <c r="ETC131" s="20"/>
      <c r="ETD131" s="20"/>
      <c r="ETE131" s="20"/>
      <c r="ETF131" s="21"/>
      <c r="ETG131" s="21"/>
      <c r="ETH131" s="7"/>
      <c r="ETI131" s="7"/>
      <c r="ETJ131" s="21"/>
      <c r="ETK131" s="20"/>
      <c r="ETL131" s="20"/>
      <c r="ETM131" s="20"/>
      <c r="ETN131" s="21"/>
      <c r="ETO131" s="21"/>
      <c r="ETP131" s="21"/>
      <c r="ETQ131" s="21"/>
      <c r="ETR131" s="21"/>
      <c r="ETS131" s="20"/>
      <c r="ETT131" s="20"/>
      <c r="ETU131" s="20"/>
      <c r="ETV131" s="20"/>
      <c r="ETW131" s="21"/>
      <c r="ETX131" s="21"/>
      <c r="ETY131" s="7"/>
      <c r="ETZ131" s="7"/>
      <c r="EUA131" s="21"/>
      <c r="EUB131" s="20"/>
      <c r="EUC131" s="20"/>
      <c r="EUD131" s="20"/>
      <c r="EUE131" s="21"/>
      <c r="EUF131" s="21"/>
      <c r="EUG131" s="21"/>
      <c r="EUH131" s="21"/>
      <c r="EUI131" s="21"/>
      <c r="EUJ131" s="20"/>
      <c r="EUK131" s="20"/>
      <c r="EUL131" s="20"/>
      <c r="EUM131" s="20"/>
      <c r="EUN131" s="21"/>
      <c r="EUO131" s="21"/>
      <c r="EUP131" s="7"/>
      <c r="EUQ131" s="7"/>
      <c r="EUR131" s="21"/>
      <c r="EUS131" s="20"/>
      <c r="EUT131" s="20"/>
      <c r="EUU131" s="20"/>
      <c r="EUV131" s="21"/>
      <c r="EUW131" s="21"/>
      <c r="EUX131" s="21"/>
      <c r="EUY131" s="21"/>
      <c r="EUZ131" s="21"/>
      <c r="EVA131" s="20"/>
      <c r="EVB131" s="20"/>
      <c r="EVC131" s="20"/>
      <c r="EVD131" s="20"/>
      <c r="EVE131" s="21"/>
      <c r="EVF131" s="21"/>
      <c r="EVG131" s="7"/>
      <c r="EVH131" s="7"/>
      <c r="EVI131" s="21"/>
      <c r="EVJ131" s="20"/>
      <c r="EVK131" s="20"/>
      <c r="EVL131" s="20"/>
      <c r="EVM131" s="21"/>
      <c r="EVN131" s="21"/>
      <c r="EVO131" s="21"/>
      <c r="EVP131" s="21"/>
      <c r="EVQ131" s="21"/>
      <c r="EVR131" s="20"/>
      <c r="EVS131" s="20"/>
      <c r="EVT131" s="20"/>
      <c r="EVU131" s="20"/>
      <c r="EVV131" s="21"/>
      <c r="EVW131" s="21"/>
      <c r="EVX131" s="7"/>
      <c r="EVY131" s="7"/>
      <c r="EVZ131" s="21"/>
      <c r="EWA131" s="20"/>
      <c r="EWB131" s="20"/>
      <c r="EWC131" s="20"/>
      <c r="EWD131" s="21"/>
      <c r="EWE131" s="21"/>
      <c r="EWF131" s="21"/>
      <c r="EWG131" s="21"/>
      <c r="EWH131" s="21"/>
      <c r="EWI131" s="20"/>
      <c r="EWJ131" s="20"/>
      <c r="EWK131" s="20"/>
      <c r="EWL131" s="20"/>
      <c r="EWM131" s="21"/>
      <c r="EWN131" s="21"/>
      <c r="EWO131" s="7"/>
      <c r="EWP131" s="7"/>
      <c r="EWQ131" s="21"/>
      <c r="EWR131" s="20"/>
      <c r="EWS131" s="20"/>
      <c r="EWT131" s="20"/>
      <c r="EWU131" s="21"/>
      <c r="EWV131" s="21"/>
      <c r="EWW131" s="21"/>
      <c r="EWX131" s="21"/>
      <c r="EWY131" s="21"/>
      <c r="EWZ131" s="20"/>
      <c r="EXA131" s="20"/>
      <c r="EXB131" s="20"/>
      <c r="EXC131" s="20"/>
      <c r="EXD131" s="21"/>
      <c r="EXE131" s="21"/>
      <c r="EXF131" s="7"/>
      <c r="EXG131" s="7"/>
      <c r="EXH131" s="21"/>
      <c r="EXI131" s="20"/>
      <c r="EXJ131" s="20"/>
      <c r="EXK131" s="20"/>
      <c r="EXL131" s="21"/>
      <c r="EXM131" s="21"/>
      <c r="EXN131" s="21"/>
      <c r="EXO131" s="21"/>
      <c r="EXP131" s="21"/>
      <c r="EXQ131" s="20"/>
      <c r="EXR131" s="20"/>
      <c r="EXS131" s="20"/>
      <c r="EXT131" s="20"/>
      <c r="EXU131" s="21"/>
      <c r="EXV131" s="21"/>
      <c r="EXW131" s="7"/>
      <c r="EXX131" s="7"/>
      <c r="EXY131" s="21"/>
      <c r="EXZ131" s="20"/>
      <c r="EYA131" s="20"/>
      <c r="EYB131" s="20"/>
      <c r="EYC131" s="21"/>
      <c r="EYD131" s="21"/>
      <c r="EYE131" s="21"/>
      <c r="EYF131" s="21"/>
      <c r="EYG131" s="21"/>
      <c r="EYH131" s="20"/>
      <c r="EYI131" s="20"/>
      <c r="EYJ131" s="20"/>
      <c r="EYK131" s="20"/>
      <c r="EYL131" s="21"/>
      <c r="EYM131" s="21"/>
      <c r="EYN131" s="7"/>
      <c r="EYO131" s="7"/>
      <c r="EYP131" s="21"/>
      <c r="EYQ131" s="20"/>
      <c r="EYR131" s="20"/>
      <c r="EYS131" s="20"/>
      <c r="EYT131" s="21"/>
      <c r="EYU131" s="21"/>
      <c r="EYV131" s="21"/>
      <c r="EYW131" s="21"/>
      <c r="EYX131" s="21"/>
      <c r="EYY131" s="20"/>
      <c r="EYZ131" s="20"/>
      <c r="EZA131" s="20"/>
      <c r="EZB131" s="20"/>
      <c r="EZC131" s="21"/>
      <c r="EZD131" s="21"/>
      <c r="EZE131" s="7"/>
      <c r="EZF131" s="7"/>
      <c r="EZG131" s="21"/>
      <c r="EZH131" s="20"/>
      <c r="EZI131" s="20"/>
      <c r="EZJ131" s="20"/>
      <c r="EZK131" s="21"/>
      <c r="EZL131" s="21"/>
      <c r="EZM131" s="21"/>
      <c r="EZN131" s="21"/>
      <c r="EZO131" s="21"/>
      <c r="EZP131" s="20"/>
      <c r="EZQ131" s="20"/>
      <c r="EZR131" s="20"/>
      <c r="EZS131" s="20"/>
      <c r="EZT131" s="21"/>
      <c r="EZU131" s="21"/>
      <c r="EZV131" s="7"/>
      <c r="EZW131" s="7"/>
      <c r="EZX131" s="21"/>
      <c r="EZY131" s="20"/>
      <c r="EZZ131" s="20"/>
      <c r="FAA131" s="20"/>
      <c r="FAB131" s="21"/>
      <c r="FAC131" s="21"/>
      <c r="FAD131" s="21"/>
      <c r="FAE131" s="21"/>
      <c r="FAF131" s="21"/>
      <c r="FAG131" s="20"/>
      <c r="FAH131" s="20"/>
      <c r="FAI131" s="20"/>
      <c r="FAJ131" s="20"/>
      <c r="FAK131" s="21"/>
      <c r="FAL131" s="21"/>
      <c r="FAM131" s="7"/>
      <c r="FAN131" s="7"/>
      <c r="FAO131" s="21"/>
      <c r="FAP131" s="20"/>
      <c r="FAQ131" s="20"/>
      <c r="FAR131" s="20"/>
      <c r="FAS131" s="21"/>
      <c r="FAT131" s="21"/>
      <c r="FAU131" s="21"/>
      <c r="FAV131" s="21"/>
      <c r="FAW131" s="21"/>
      <c r="FAX131" s="20"/>
      <c r="FAY131" s="20"/>
      <c r="FAZ131" s="20"/>
      <c r="FBA131" s="20"/>
      <c r="FBB131" s="21"/>
      <c r="FBC131" s="21"/>
      <c r="FBD131" s="7"/>
      <c r="FBE131" s="7"/>
      <c r="FBF131" s="21"/>
      <c r="FBG131" s="20"/>
      <c r="FBH131" s="20"/>
      <c r="FBI131" s="20"/>
      <c r="FBJ131" s="21"/>
      <c r="FBK131" s="21"/>
      <c r="FBL131" s="21"/>
      <c r="FBM131" s="21"/>
      <c r="FBN131" s="21"/>
      <c r="FBO131" s="20"/>
      <c r="FBP131" s="20"/>
      <c r="FBQ131" s="20"/>
      <c r="FBR131" s="20"/>
      <c r="FBS131" s="21"/>
      <c r="FBT131" s="21"/>
      <c r="FBU131" s="7"/>
      <c r="FBV131" s="7"/>
      <c r="FBW131" s="21"/>
      <c r="FBX131" s="20"/>
      <c r="FBY131" s="20"/>
      <c r="FBZ131" s="20"/>
      <c r="FCA131" s="21"/>
      <c r="FCB131" s="21"/>
      <c r="FCC131" s="21"/>
      <c r="FCD131" s="21"/>
      <c r="FCE131" s="21"/>
      <c r="FCF131" s="20"/>
      <c r="FCG131" s="20"/>
      <c r="FCH131" s="20"/>
      <c r="FCI131" s="20"/>
      <c r="FCJ131" s="21"/>
      <c r="FCK131" s="21"/>
      <c r="FCL131" s="7"/>
      <c r="FCM131" s="7"/>
      <c r="FCN131" s="21"/>
      <c r="FCO131" s="20"/>
      <c r="FCP131" s="20"/>
      <c r="FCQ131" s="20"/>
      <c r="FCR131" s="21"/>
      <c r="FCS131" s="21"/>
      <c r="FCT131" s="21"/>
      <c r="FCU131" s="21"/>
      <c r="FCV131" s="21"/>
      <c r="FCW131" s="20"/>
      <c r="FCX131" s="20"/>
      <c r="FCY131" s="20"/>
      <c r="FCZ131" s="20"/>
      <c r="FDA131" s="21"/>
      <c r="FDB131" s="21"/>
      <c r="FDC131" s="7"/>
      <c r="FDD131" s="7"/>
      <c r="FDE131" s="21"/>
      <c r="FDF131" s="20"/>
      <c r="FDG131" s="20"/>
      <c r="FDH131" s="20"/>
      <c r="FDI131" s="21"/>
      <c r="FDJ131" s="21"/>
      <c r="FDK131" s="21"/>
      <c r="FDL131" s="21"/>
      <c r="FDM131" s="21"/>
      <c r="FDN131" s="20"/>
      <c r="FDO131" s="20"/>
      <c r="FDP131" s="20"/>
      <c r="FDQ131" s="20"/>
      <c r="FDR131" s="21"/>
      <c r="FDS131" s="21"/>
      <c r="FDT131" s="7"/>
      <c r="FDU131" s="7"/>
      <c r="FDV131" s="21"/>
      <c r="FDW131" s="20"/>
      <c r="FDX131" s="20"/>
      <c r="FDY131" s="20"/>
      <c r="FDZ131" s="21"/>
      <c r="FEA131" s="21"/>
      <c r="FEB131" s="21"/>
      <c r="FEC131" s="21"/>
      <c r="FED131" s="21"/>
      <c r="FEE131" s="20"/>
      <c r="FEF131" s="20"/>
      <c r="FEG131" s="20"/>
      <c r="FEH131" s="20"/>
      <c r="FEI131" s="21"/>
      <c r="FEJ131" s="21"/>
      <c r="FEK131" s="7"/>
      <c r="FEL131" s="7"/>
      <c r="FEM131" s="21"/>
      <c r="FEN131" s="20"/>
      <c r="FEO131" s="20"/>
      <c r="FEP131" s="20"/>
      <c r="FEQ131" s="21"/>
      <c r="FER131" s="21"/>
      <c r="FES131" s="21"/>
      <c r="FET131" s="21"/>
      <c r="FEU131" s="21"/>
      <c r="FEV131" s="20"/>
      <c r="FEW131" s="20"/>
      <c r="FEX131" s="20"/>
      <c r="FEY131" s="20"/>
      <c r="FEZ131" s="21"/>
      <c r="FFA131" s="21"/>
      <c r="FFB131" s="7"/>
      <c r="FFC131" s="7"/>
      <c r="FFD131" s="21"/>
      <c r="FFE131" s="20"/>
      <c r="FFF131" s="20"/>
      <c r="FFG131" s="20"/>
      <c r="FFH131" s="21"/>
      <c r="FFI131" s="21"/>
      <c r="FFJ131" s="21"/>
      <c r="FFK131" s="21"/>
      <c r="FFL131" s="21"/>
      <c r="FFM131" s="20"/>
      <c r="FFN131" s="20"/>
      <c r="FFO131" s="20"/>
      <c r="FFP131" s="20"/>
      <c r="FFQ131" s="21"/>
      <c r="FFR131" s="21"/>
      <c r="FFS131" s="7"/>
      <c r="FFT131" s="7"/>
      <c r="FFU131" s="21"/>
      <c r="FFV131" s="20"/>
      <c r="FFW131" s="20"/>
      <c r="FFX131" s="20"/>
      <c r="FFY131" s="21"/>
      <c r="FFZ131" s="21"/>
      <c r="FGA131" s="21"/>
      <c r="FGB131" s="21"/>
      <c r="FGC131" s="21"/>
      <c r="FGD131" s="20"/>
      <c r="FGE131" s="20"/>
      <c r="FGF131" s="20"/>
      <c r="FGG131" s="20"/>
      <c r="FGH131" s="21"/>
      <c r="FGI131" s="21"/>
      <c r="FGJ131" s="7"/>
      <c r="FGK131" s="7"/>
      <c r="FGL131" s="21"/>
      <c r="FGM131" s="20"/>
      <c r="FGN131" s="20"/>
      <c r="FGO131" s="20"/>
      <c r="FGP131" s="21"/>
      <c r="FGQ131" s="21"/>
      <c r="FGR131" s="21"/>
      <c r="FGS131" s="21"/>
      <c r="FGT131" s="21"/>
      <c r="FGU131" s="20"/>
      <c r="FGV131" s="20"/>
      <c r="FGW131" s="20"/>
      <c r="FGX131" s="20"/>
      <c r="FGY131" s="21"/>
      <c r="FGZ131" s="21"/>
      <c r="FHA131" s="7"/>
      <c r="FHB131" s="7"/>
      <c r="FHC131" s="21"/>
      <c r="FHD131" s="20"/>
      <c r="FHE131" s="20"/>
      <c r="FHF131" s="20"/>
      <c r="FHG131" s="21"/>
      <c r="FHH131" s="21"/>
      <c r="FHI131" s="21"/>
      <c r="FHJ131" s="21"/>
      <c r="FHK131" s="21"/>
      <c r="FHL131" s="20"/>
      <c r="FHM131" s="20"/>
      <c r="FHN131" s="20"/>
      <c r="FHO131" s="20"/>
      <c r="FHP131" s="21"/>
      <c r="FHQ131" s="21"/>
      <c r="FHR131" s="7"/>
      <c r="FHS131" s="7"/>
      <c r="FHT131" s="21"/>
      <c r="FHU131" s="20"/>
      <c r="FHV131" s="20"/>
      <c r="FHW131" s="20"/>
      <c r="FHX131" s="21"/>
      <c r="FHY131" s="21"/>
      <c r="FHZ131" s="21"/>
      <c r="FIA131" s="21"/>
      <c r="FIB131" s="21"/>
      <c r="FIC131" s="20"/>
      <c r="FID131" s="20"/>
      <c r="FIE131" s="20"/>
      <c r="FIF131" s="20"/>
      <c r="FIG131" s="21"/>
      <c r="FIH131" s="21"/>
      <c r="FII131" s="7"/>
      <c r="FIJ131" s="7"/>
      <c r="FIK131" s="21"/>
      <c r="FIL131" s="20"/>
      <c r="FIM131" s="20"/>
      <c r="FIN131" s="20"/>
      <c r="FIO131" s="21"/>
      <c r="FIP131" s="21"/>
      <c r="FIQ131" s="21"/>
      <c r="FIR131" s="21"/>
      <c r="FIS131" s="21"/>
      <c r="FIT131" s="20"/>
      <c r="FIU131" s="20"/>
      <c r="FIV131" s="20"/>
      <c r="FIW131" s="20"/>
      <c r="FIX131" s="21"/>
      <c r="FIY131" s="21"/>
      <c r="FIZ131" s="7"/>
      <c r="FJA131" s="7"/>
      <c r="FJB131" s="21"/>
      <c r="FJC131" s="20"/>
      <c r="FJD131" s="20"/>
      <c r="FJE131" s="20"/>
      <c r="FJF131" s="21"/>
      <c r="FJG131" s="21"/>
      <c r="FJH131" s="21"/>
      <c r="FJI131" s="21"/>
      <c r="FJJ131" s="21"/>
      <c r="FJK131" s="20"/>
      <c r="FJL131" s="20"/>
      <c r="FJM131" s="20"/>
      <c r="FJN131" s="20"/>
      <c r="FJO131" s="21"/>
      <c r="FJP131" s="21"/>
      <c r="FJQ131" s="7"/>
      <c r="FJR131" s="7"/>
      <c r="FJS131" s="21"/>
      <c r="FJT131" s="20"/>
      <c r="FJU131" s="20"/>
      <c r="FJV131" s="20"/>
      <c r="FJW131" s="21"/>
      <c r="FJX131" s="21"/>
      <c r="FJY131" s="21"/>
      <c r="FJZ131" s="21"/>
      <c r="FKA131" s="21"/>
      <c r="FKB131" s="20"/>
      <c r="FKC131" s="20"/>
      <c r="FKD131" s="20"/>
      <c r="FKE131" s="20"/>
      <c r="FKF131" s="21"/>
      <c r="FKG131" s="21"/>
      <c r="FKH131" s="7"/>
      <c r="FKI131" s="7"/>
      <c r="FKJ131" s="21"/>
      <c r="FKK131" s="20"/>
      <c r="FKL131" s="20"/>
      <c r="FKM131" s="20"/>
      <c r="FKN131" s="21"/>
      <c r="FKO131" s="21"/>
      <c r="FKP131" s="21"/>
      <c r="FKQ131" s="21"/>
      <c r="FKR131" s="21"/>
      <c r="FKS131" s="20"/>
      <c r="FKT131" s="20"/>
      <c r="FKU131" s="20"/>
      <c r="FKV131" s="20"/>
      <c r="FKW131" s="21"/>
      <c r="FKX131" s="21"/>
      <c r="FKY131" s="7"/>
      <c r="FKZ131" s="7"/>
      <c r="FLA131" s="21"/>
      <c r="FLB131" s="20"/>
      <c r="FLC131" s="20"/>
      <c r="FLD131" s="20"/>
      <c r="FLE131" s="21"/>
      <c r="FLF131" s="21"/>
      <c r="FLG131" s="21"/>
      <c r="FLH131" s="21"/>
      <c r="FLI131" s="21"/>
      <c r="FLJ131" s="20"/>
      <c r="FLK131" s="20"/>
      <c r="FLL131" s="20"/>
      <c r="FLM131" s="20"/>
      <c r="FLN131" s="21"/>
      <c r="FLO131" s="21"/>
      <c r="FLP131" s="7"/>
      <c r="FLQ131" s="7"/>
      <c r="FLR131" s="21"/>
      <c r="FLS131" s="20"/>
      <c r="FLT131" s="20"/>
      <c r="FLU131" s="20"/>
      <c r="FLV131" s="21"/>
      <c r="FLW131" s="21"/>
      <c r="FLX131" s="21"/>
      <c r="FLY131" s="21"/>
      <c r="FLZ131" s="21"/>
      <c r="FMA131" s="20"/>
      <c r="FMB131" s="20"/>
      <c r="FMC131" s="20"/>
      <c r="FMD131" s="20"/>
      <c r="FME131" s="21"/>
      <c r="FMF131" s="21"/>
      <c r="FMG131" s="7"/>
      <c r="FMH131" s="7"/>
      <c r="FMI131" s="21"/>
      <c r="FMJ131" s="20"/>
      <c r="FMK131" s="20"/>
      <c r="FML131" s="20"/>
      <c r="FMM131" s="21"/>
      <c r="FMN131" s="21"/>
      <c r="FMO131" s="21"/>
      <c r="FMP131" s="21"/>
      <c r="FMQ131" s="21"/>
      <c r="FMR131" s="20"/>
      <c r="FMS131" s="20"/>
      <c r="FMT131" s="20"/>
      <c r="FMU131" s="20"/>
      <c r="FMV131" s="21"/>
      <c r="FMW131" s="21"/>
      <c r="FMX131" s="7"/>
      <c r="FMY131" s="7"/>
      <c r="FMZ131" s="21"/>
      <c r="FNA131" s="20"/>
      <c r="FNB131" s="20"/>
      <c r="FNC131" s="20"/>
      <c r="FND131" s="21"/>
      <c r="FNE131" s="21"/>
      <c r="FNF131" s="21"/>
      <c r="FNG131" s="21"/>
      <c r="FNH131" s="21"/>
      <c r="FNI131" s="20"/>
      <c r="FNJ131" s="20"/>
      <c r="FNK131" s="20"/>
      <c r="FNL131" s="20"/>
      <c r="FNM131" s="21"/>
      <c r="FNN131" s="21"/>
      <c r="FNO131" s="7"/>
      <c r="FNP131" s="7"/>
      <c r="FNQ131" s="21"/>
      <c r="FNR131" s="20"/>
      <c r="FNS131" s="20"/>
      <c r="FNT131" s="20"/>
      <c r="FNU131" s="21"/>
      <c r="FNV131" s="21"/>
      <c r="FNW131" s="21"/>
      <c r="FNX131" s="21"/>
      <c r="FNY131" s="21"/>
      <c r="FNZ131" s="20"/>
      <c r="FOA131" s="20"/>
      <c r="FOB131" s="20"/>
      <c r="FOC131" s="20"/>
      <c r="FOD131" s="21"/>
      <c r="FOE131" s="21"/>
      <c r="FOF131" s="7"/>
      <c r="FOG131" s="7"/>
      <c r="FOH131" s="21"/>
      <c r="FOI131" s="20"/>
      <c r="FOJ131" s="20"/>
      <c r="FOK131" s="20"/>
      <c r="FOL131" s="21"/>
      <c r="FOM131" s="21"/>
      <c r="FON131" s="21"/>
      <c r="FOO131" s="21"/>
      <c r="FOP131" s="21"/>
      <c r="FOQ131" s="20"/>
      <c r="FOR131" s="20"/>
      <c r="FOS131" s="20"/>
      <c r="FOT131" s="20"/>
      <c r="FOU131" s="21"/>
      <c r="FOV131" s="21"/>
      <c r="FOW131" s="7"/>
      <c r="FOX131" s="7"/>
      <c r="FOY131" s="21"/>
      <c r="FOZ131" s="20"/>
      <c r="FPA131" s="20"/>
      <c r="FPB131" s="20"/>
      <c r="FPC131" s="21"/>
      <c r="FPD131" s="21"/>
      <c r="FPE131" s="21"/>
      <c r="FPF131" s="21"/>
      <c r="FPG131" s="21"/>
      <c r="FPH131" s="20"/>
      <c r="FPI131" s="20"/>
      <c r="FPJ131" s="20"/>
      <c r="FPK131" s="20"/>
      <c r="FPL131" s="21"/>
      <c r="FPM131" s="21"/>
      <c r="FPN131" s="7"/>
      <c r="FPO131" s="7"/>
      <c r="FPP131" s="21"/>
      <c r="FPQ131" s="20"/>
      <c r="FPR131" s="20"/>
      <c r="FPS131" s="20"/>
      <c r="FPT131" s="21"/>
      <c r="FPU131" s="21"/>
      <c r="FPV131" s="21"/>
      <c r="FPW131" s="21"/>
      <c r="FPX131" s="21"/>
      <c r="FPY131" s="20"/>
      <c r="FPZ131" s="20"/>
      <c r="FQA131" s="20"/>
      <c r="FQB131" s="20"/>
      <c r="FQC131" s="21"/>
      <c r="FQD131" s="21"/>
      <c r="FQE131" s="7"/>
      <c r="FQF131" s="7"/>
      <c r="FQG131" s="21"/>
      <c r="FQH131" s="20"/>
      <c r="FQI131" s="20"/>
      <c r="FQJ131" s="20"/>
      <c r="FQK131" s="21"/>
      <c r="FQL131" s="21"/>
      <c r="FQM131" s="21"/>
      <c r="FQN131" s="21"/>
      <c r="FQO131" s="21"/>
      <c r="FQP131" s="20"/>
      <c r="FQQ131" s="20"/>
      <c r="FQR131" s="20"/>
      <c r="FQS131" s="20"/>
      <c r="FQT131" s="21"/>
      <c r="FQU131" s="21"/>
      <c r="FQV131" s="7"/>
      <c r="FQW131" s="7"/>
      <c r="FQX131" s="21"/>
      <c r="FQY131" s="20"/>
      <c r="FQZ131" s="20"/>
      <c r="FRA131" s="20"/>
      <c r="FRB131" s="21"/>
      <c r="FRC131" s="21"/>
      <c r="FRD131" s="21"/>
      <c r="FRE131" s="21"/>
      <c r="FRF131" s="21"/>
      <c r="FRG131" s="20"/>
      <c r="FRH131" s="20"/>
      <c r="FRI131" s="20"/>
      <c r="FRJ131" s="20"/>
      <c r="FRK131" s="21"/>
      <c r="FRL131" s="21"/>
      <c r="FRM131" s="7"/>
      <c r="FRN131" s="7"/>
      <c r="FRO131" s="21"/>
      <c r="FRP131" s="20"/>
      <c r="FRQ131" s="20"/>
      <c r="FRR131" s="20"/>
      <c r="FRS131" s="21"/>
      <c r="FRT131" s="21"/>
      <c r="FRU131" s="21"/>
      <c r="FRV131" s="21"/>
      <c r="FRW131" s="21"/>
      <c r="FRX131" s="20"/>
      <c r="FRY131" s="20"/>
      <c r="FRZ131" s="20"/>
      <c r="FSA131" s="20"/>
      <c r="FSB131" s="21"/>
      <c r="FSC131" s="21"/>
      <c r="FSD131" s="7"/>
      <c r="FSE131" s="7"/>
      <c r="FSF131" s="21"/>
      <c r="FSG131" s="20"/>
      <c r="FSH131" s="20"/>
      <c r="FSI131" s="20"/>
      <c r="FSJ131" s="21"/>
      <c r="FSK131" s="21"/>
      <c r="FSL131" s="21"/>
      <c r="FSM131" s="21"/>
      <c r="FSN131" s="21"/>
      <c r="FSO131" s="20"/>
      <c r="FSP131" s="20"/>
      <c r="FSQ131" s="20"/>
      <c r="FSR131" s="20"/>
      <c r="FSS131" s="21"/>
      <c r="FST131" s="21"/>
      <c r="FSU131" s="7"/>
      <c r="FSV131" s="7"/>
      <c r="FSW131" s="21"/>
      <c r="FSX131" s="20"/>
      <c r="FSY131" s="20"/>
      <c r="FSZ131" s="20"/>
      <c r="FTA131" s="21"/>
      <c r="FTB131" s="21"/>
      <c r="FTC131" s="21"/>
      <c r="FTD131" s="21"/>
      <c r="FTE131" s="21"/>
      <c r="FTF131" s="20"/>
      <c r="FTG131" s="20"/>
      <c r="FTH131" s="20"/>
      <c r="FTI131" s="20"/>
      <c r="FTJ131" s="21"/>
      <c r="FTK131" s="21"/>
      <c r="FTL131" s="7"/>
      <c r="FTM131" s="7"/>
      <c r="FTN131" s="21"/>
      <c r="FTO131" s="20"/>
      <c r="FTP131" s="20"/>
      <c r="FTQ131" s="20"/>
      <c r="FTR131" s="21"/>
      <c r="FTS131" s="21"/>
      <c r="FTT131" s="21"/>
      <c r="FTU131" s="21"/>
      <c r="FTV131" s="21"/>
      <c r="FTW131" s="20"/>
      <c r="FTX131" s="20"/>
      <c r="FTY131" s="20"/>
      <c r="FTZ131" s="20"/>
      <c r="FUA131" s="21"/>
      <c r="FUB131" s="21"/>
      <c r="FUC131" s="7"/>
      <c r="FUD131" s="7"/>
      <c r="FUE131" s="21"/>
      <c r="FUF131" s="20"/>
      <c r="FUG131" s="20"/>
      <c r="FUH131" s="20"/>
      <c r="FUI131" s="21"/>
      <c r="FUJ131" s="21"/>
      <c r="FUK131" s="21"/>
      <c r="FUL131" s="21"/>
      <c r="FUM131" s="21"/>
      <c r="FUN131" s="20"/>
      <c r="FUO131" s="20"/>
      <c r="FUP131" s="20"/>
      <c r="FUQ131" s="20"/>
      <c r="FUR131" s="21"/>
      <c r="FUS131" s="21"/>
      <c r="FUT131" s="7"/>
      <c r="FUU131" s="7"/>
      <c r="FUV131" s="21"/>
      <c r="FUW131" s="20"/>
      <c r="FUX131" s="20"/>
      <c r="FUY131" s="20"/>
      <c r="FUZ131" s="21"/>
      <c r="FVA131" s="21"/>
      <c r="FVB131" s="21"/>
      <c r="FVC131" s="21"/>
      <c r="FVD131" s="21"/>
      <c r="FVE131" s="20"/>
      <c r="FVF131" s="20"/>
      <c r="FVG131" s="20"/>
      <c r="FVH131" s="20"/>
      <c r="FVI131" s="21"/>
      <c r="FVJ131" s="21"/>
      <c r="FVK131" s="7"/>
      <c r="FVL131" s="7"/>
      <c r="FVM131" s="21"/>
      <c r="FVN131" s="20"/>
      <c r="FVO131" s="20"/>
      <c r="FVP131" s="20"/>
      <c r="FVQ131" s="21"/>
      <c r="FVR131" s="21"/>
      <c r="FVS131" s="21"/>
      <c r="FVT131" s="21"/>
      <c r="FVU131" s="21"/>
      <c r="FVV131" s="20"/>
      <c r="FVW131" s="20"/>
      <c r="FVX131" s="20"/>
      <c r="FVY131" s="20"/>
      <c r="FVZ131" s="21"/>
      <c r="FWA131" s="21"/>
      <c r="FWB131" s="7"/>
      <c r="FWC131" s="7"/>
      <c r="FWD131" s="21"/>
      <c r="FWE131" s="20"/>
      <c r="FWF131" s="20"/>
      <c r="FWG131" s="20"/>
      <c r="FWH131" s="21"/>
      <c r="FWI131" s="21"/>
      <c r="FWJ131" s="21"/>
      <c r="FWK131" s="21"/>
      <c r="FWL131" s="21"/>
      <c r="FWM131" s="20"/>
      <c r="FWN131" s="20"/>
      <c r="FWO131" s="20"/>
      <c r="FWP131" s="20"/>
      <c r="FWQ131" s="21"/>
      <c r="FWR131" s="21"/>
      <c r="FWS131" s="7"/>
      <c r="FWT131" s="7"/>
      <c r="FWU131" s="21"/>
      <c r="FWV131" s="20"/>
      <c r="FWW131" s="20"/>
      <c r="FWX131" s="20"/>
      <c r="FWY131" s="21"/>
      <c r="FWZ131" s="21"/>
      <c r="FXA131" s="21"/>
      <c r="FXB131" s="21"/>
      <c r="FXC131" s="21"/>
      <c r="FXD131" s="20"/>
      <c r="FXE131" s="20"/>
      <c r="FXF131" s="20"/>
      <c r="FXG131" s="20"/>
      <c r="FXH131" s="21"/>
      <c r="FXI131" s="21"/>
      <c r="FXJ131" s="7"/>
      <c r="FXK131" s="7"/>
      <c r="FXL131" s="21"/>
      <c r="FXM131" s="20"/>
      <c r="FXN131" s="20"/>
      <c r="FXO131" s="20"/>
      <c r="FXP131" s="21"/>
      <c r="FXQ131" s="21"/>
      <c r="FXR131" s="21"/>
      <c r="FXS131" s="21"/>
      <c r="FXT131" s="21"/>
      <c r="FXU131" s="20"/>
      <c r="FXV131" s="20"/>
      <c r="FXW131" s="20"/>
      <c r="FXX131" s="20"/>
      <c r="FXY131" s="21"/>
      <c r="FXZ131" s="21"/>
      <c r="FYA131" s="7"/>
      <c r="FYB131" s="7"/>
      <c r="FYC131" s="21"/>
      <c r="FYD131" s="20"/>
      <c r="FYE131" s="20"/>
      <c r="FYF131" s="20"/>
      <c r="FYG131" s="21"/>
      <c r="FYH131" s="21"/>
      <c r="FYI131" s="21"/>
      <c r="FYJ131" s="21"/>
      <c r="FYK131" s="21"/>
      <c r="FYL131" s="20"/>
      <c r="FYM131" s="20"/>
      <c r="FYN131" s="20"/>
      <c r="FYO131" s="20"/>
      <c r="FYP131" s="21"/>
      <c r="FYQ131" s="21"/>
      <c r="FYR131" s="7"/>
      <c r="FYS131" s="7"/>
      <c r="FYT131" s="21"/>
      <c r="FYU131" s="20"/>
      <c r="FYV131" s="20"/>
      <c r="FYW131" s="20"/>
      <c r="FYX131" s="21"/>
      <c r="FYY131" s="21"/>
      <c r="FYZ131" s="21"/>
      <c r="FZA131" s="21"/>
      <c r="FZB131" s="21"/>
      <c r="FZC131" s="20"/>
      <c r="FZD131" s="20"/>
      <c r="FZE131" s="20"/>
      <c r="FZF131" s="20"/>
      <c r="FZG131" s="21"/>
      <c r="FZH131" s="21"/>
      <c r="FZI131" s="7"/>
      <c r="FZJ131" s="7"/>
      <c r="FZK131" s="21"/>
      <c r="FZL131" s="20"/>
      <c r="FZM131" s="20"/>
      <c r="FZN131" s="20"/>
      <c r="FZO131" s="21"/>
      <c r="FZP131" s="21"/>
      <c r="FZQ131" s="21"/>
      <c r="FZR131" s="21"/>
      <c r="FZS131" s="21"/>
      <c r="FZT131" s="20"/>
      <c r="FZU131" s="20"/>
      <c r="FZV131" s="20"/>
      <c r="FZW131" s="20"/>
      <c r="FZX131" s="21"/>
      <c r="FZY131" s="21"/>
      <c r="FZZ131" s="7"/>
      <c r="GAA131" s="7"/>
      <c r="GAB131" s="21"/>
      <c r="GAC131" s="20"/>
      <c r="GAD131" s="20"/>
      <c r="GAE131" s="20"/>
      <c r="GAF131" s="21"/>
      <c r="GAG131" s="21"/>
      <c r="GAH131" s="21"/>
      <c r="GAI131" s="21"/>
      <c r="GAJ131" s="21"/>
      <c r="GAK131" s="20"/>
      <c r="GAL131" s="20"/>
      <c r="GAM131" s="20"/>
      <c r="GAN131" s="20"/>
      <c r="GAO131" s="21"/>
      <c r="GAP131" s="21"/>
      <c r="GAQ131" s="7"/>
      <c r="GAR131" s="7"/>
      <c r="GAS131" s="21"/>
      <c r="GAT131" s="20"/>
      <c r="GAU131" s="20"/>
      <c r="GAV131" s="20"/>
      <c r="GAW131" s="21"/>
      <c r="GAX131" s="21"/>
      <c r="GAY131" s="21"/>
      <c r="GAZ131" s="21"/>
      <c r="GBA131" s="21"/>
      <c r="GBB131" s="20"/>
      <c r="GBC131" s="20"/>
      <c r="GBD131" s="20"/>
      <c r="GBE131" s="20"/>
      <c r="GBF131" s="21"/>
      <c r="GBG131" s="21"/>
      <c r="GBH131" s="7"/>
      <c r="GBI131" s="7"/>
      <c r="GBJ131" s="21"/>
      <c r="GBK131" s="20"/>
      <c r="GBL131" s="20"/>
      <c r="GBM131" s="20"/>
      <c r="GBN131" s="21"/>
      <c r="GBO131" s="21"/>
      <c r="GBP131" s="21"/>
      <c r="GBQ131" s="21"/>
      <c r="GBR131" s="21"/>
      <c r="GBS131" s="20"/>
      <c r="GBT131" s="20"/>
      <c r="GBU131" s="20"/>
      <c r="GBV131" s="20"/>
      <c r="GBW131" s="21"/>
      <c r="GBX131" s="21"/>
      <c r="GBY131" s="7"/>
      <c r="GBZ131" s="7"/>
      <c r="GCA131" s="21"/>
      <c r="GCB131" s="20"/>
      <c r="GCC131" s="20"/>
      <c r="GCD131" s="20"/>
      <c r="GCE131" s="21"/>
      <c r="GCF131" s="21"/>
      <c r="GCG131" s="21"/>
      <c r="GCH131" s="21"/>
      <c r="GCI131" s="21"/>
      <c r="GCJ131" s="20"/>
      <c r="GCK131" s="20"/>
      <c r="GCL131" s="20"/>
      <c r="GCM131" s="20"/>
      <c r="GCN131" s="21"/>
      <c r="GCO131" s="21"/>
      <c r="GCP131" s="7"/>
      <c r="GCQ131" s="7"/>
      <c r="GCR131" s="21"/>
      <c r="GCS131" s="20"/>
      <c r="GCT131" s="20"/>
      <c r="GCU131" s="20"/>
      <c r="GCV131" s="21"/>
      <c r="GCW131" s="21"/>
      <c r="GCX131" s="21"/>
      <c r="GCY131" s="21"/>
      <c r="GCZ131" s="21"/>
      <c r="GDA131" s="20"/>
      <c r="GDB131" s="20"/>
      <c r="GDC131" s="20"/>
      <c r="GDD131" s="20"/>
      <c r="GDE131" s="21"/>
      <c r="GDF131" s="21"/>
      <c r="GDG131" s="7"/>
      <c r="GDH131" s="7"/>
      <c r="GDI131" s="21"/>
      <c r="GDJ131" s="20"/>
      <c r="GDK131" s="20"/>
      <c r="GDL131" s="20"/>
      <c r="GDM131" s="21"/>
      <c r="GDN131" s="21"/>
      <c r="GDO131" s="21"/>
      <c r="GDP131" s="21"/>
      <c r="GDQ131" s="21"/>
      <c r="GDR131" s="20"/>
      <c r="GDS131" s="20"/>
      <c r="GDT131" s="20"/>
      <c r="GDU131" s="20"/>
      <c r="GDV131" s="21"/>
      <c r="GDW131" s="21"/>
      <c r="GDX131" s="7"/>
      <c r="GDY131" s="7"/>
      <c r="GDZ131" s="21"/>
      <c r="GEA131" s="20"/>
      <c r="GEB131" s="20"/>
      <c r="GEC131" s="20"/>
      <c r="GED131" s="21"/>
      <c r="GEE131" s="21"/>
      <c r="GEF131" s="21"/>
      <c r="GEG131" s="21"/>
      <c r="GEH131" s="21"/>
      <c r="GEI131" s="20"/>
      <c r="GEJ131" s="20"/>
      <c r="GEK131" s="20"/>
      <c r="GEL131" s="20"/>
      <c r="GEM131" s="21"/>
      <c r="GEN131" s="21"/>
      <c r="GEO131" s="7"/>
      <c r="GEP131" s="7"/>
      <c r="GEQ131" s="21"/>
      <c r="GER131" s="20"/>
      <c r="GES131" s="20"/>
      <c r="GET131" s="20"/>
      <c r="GEU131" s="21"/>
      <c r="GEV131" s="21"/>
      <c r="GEW131" s="21"/>
      <c r="GEX131" s="21"/>
      <c r="GEY131" s="21"/>
      <c r="GEZ131" s="20"/>
      <c r="GFA131" s="20"/>
      <c r="GFB131" s="20"/>
      <c r="GFC131" s="20"/>
      <c r="GFD131" s="21"/>
      <c r="GFE131" s="21"/>
      <c r="GFF131" s="7"/>
      <c r="GFG131" s="7"/>
      <c r="GFH131" s="21"/>
      <c r="GFI131" s="20"/>
      <c r="GFJ131" s="20"/>
      <c r="GFK131" s="20"/>
      <c r="GFL131" s="21"/>
      <c r="GFM131" s="21"/>
      <c r="GFN131" s="21"/>
      <c r="GFO131" s="21"/>
      <c r="GFP131" s="21"/>
      <c r="GFQ131" s="20"/>
      <c r="GFR131" s="20"/>
      <c r="GFS131" s="20"/>
      <c r="GFT131" s="20"/>
      <c r="GFU131" s="21"/>
      <c r="GFV131" s="21"/>
      <c r="GFW131" s="7"/>
      <c r="GFX131" s="7"/>
      <c r="GFY131" s="21"/>
      <c r="GFZ131" s="20"/>
      <c r="GGA131" s="20"/>
      <c r="GGB131" s="20"/>
      <c r="GGC131" s="21"/>
      <c r="GGD131" s="21"/>
      <c r="GGE131" s="21"/>
      <c r="GGF131" s="21"/>
      <c r="GGG131" s="21"/>
      <c r="GGH131" s="20"/>
      <c r="GGI131" s="20"/>
      <c r="GGJ131" s="20"/>
      <c r="GGK131" s="20"/>
      <c r="GGL131" s="21"/>
      <c r="GGM131" s="21"/>
      <c r="GGN131" s="7"/>
      <c r="GGO131" s="7"/>
      <c r="GGP131" s="21"/>
      <c r="GGQ131" s="20"/>
      <c r="GGR131" s="20"/>
      <c r="GGS131" s="20"/>
      <c r="GGT131" s="21"/>
      <c r="GGU131" s="21"/>
      <c r="GGV131" s="21"/>
      <c r="GGW131" s="21"/>
      <c r="GGX131" s="21"/>
      <c r="GGY131" s="20"/>
      <c r="GGZ131" s="20"/>
      <c r="GHA131" s="20"/>
      <c r="GHB131" s="20"/>
      <c r="GHC131" s="21"/>
      <c r="GHD131" s="21"/>
      <c r="GHE131" s="7"/>
      <c r="GHF131" s="7"/>
      <c r="GHG131" s="21"/>
      <c r="GHH131" s="20"/>
      <c r="GHI131" s="20"/>
      <c r="GHJ131" s="20"/>
      <c r="GHK131" s="21"/>
      <c r="GHL131" s="21"/>
      <c r="GHM131" s="21"/>
      <c r="GHN131" s="21"/>
      <c r="GHO131" s="21"/>
      <c r="GHP131" s="20"/>
      <c r="GHQ131" s="20"/>
      <c r="GHR131" s="20"/>
      <c r="GHS131" s="20"/>
      <c r="GHT131" s="21"/>
      <c r="GHU131" s="21"/>
      <c r="GHV131" s="7"/>
      <c r="GHW131" s="7"/>
      <c r="GHX131" s="21"/>
      <c r="GHY131" s="20"/>
      <c r="GHZ131" s="20"/>
      <c r="GIA131" s="20"/>
      <c r="GIB131" s="21"/>
      <c r="GIC131" s="21"/>
      <c r="GID131" s="21"/>
      <c r="GIE131" s="21"/>
      <c r="GIF131" s="21"/>
      <c r="GIG131" s="20"/>
      <c r="GIH131" s="20"/>
      <c r="GII131" s="20"/>
      <c r="GIJ131" s="20"/>
      <c r="GIK131" s="21"/>
      <c r="GIL131" s="21"/>
      <c r="GIM131" s="7"/>
      <c r="GIN131" s="7"/>
      <c r="GIO131" s="21"/>
      <c r="GIP131" s="20"/>
      <c r="GIQ131" s="20"/>
      <c r="GIR131" s="20"/>
      <c r="GIS131" s="21"/>
      <c r="GIT131" s="21"/>
      <c r="GIU131" s="21"/>
      <c r="GIV131" s="21"/>
      <c r="GIW131" s="21"/>
      <c r="GIX131" s="20"/>
      <c r="GIY131" s="20"/>
      <c r="GIZ131" s="20"/>
      <c r="GJA131" s="20"/>
      <c r="GJB131" s="21"/>
      <c r="GJC131" s="21"/>
      <c r="GJD131" s="7"/>
      <c r="GJE131" s="7"/>
      <c r="GJF131" s="21"/>
      <c r="GJG131" s="20"/>
      <c r="GJH131" s="20"/>
      <c r="GJI131" s="20"/>
      <c r="GJJ131" s="21"/>
      <c r="GJK131" s="21"/>
      <c r="GJL131" s="21"/>
      <c r="GJM131" s="21"/>
      <c r="GJN131" s="21"/>
      <c r="GJO131" s="20"/>
      <c r="GJP131" s="20"/>
      <c r="GJQ131" s="20"/>
      <c r="GJR131" s="20"/>
      <c r="GJS131" s="21"/>
      <c r="GJT131" s="21"/>
      <c r="GJU131" s="7"/>
      <c r="GJV131" s="7"/>
      <c r="GJW131" s="21"/>
      <c r="GJX131" s="20"/>
      <c r="GJY131" s="20"/>
      <c r="GJZ131" s="20"/>
      <c r="GKA131" s="21"/>
      <c r="GKB131" s="21"/>
      <c r="GKC131" s="21"/>
      <c r="GKD131" s="21"/>
      <c r="GKE131" s="21"/>
      <c r="GKF131" s="20"/>
      <c r="GKG131" s="20"/>
      <c r="GKH131" s="20"/>
      <c r="GKI131" s="20"/>
      <c r="GKJ131" s="21"/>
      <c r="GKK131" s="21"/>
      <c r="GKL131" s="7"/>
      <c r="GKM131" s="7"/>
      <c r="GKN131" s="21"/>
      <c r="GKO131" s="20"/>
      <c r="GKP131" s="20"/>
      <c r="GKQ131" s="20"/>
      <c r="GKR131" s="21"/>
      <c r="GKS131" s="21"/>
      <c r="GKT131" s="21"/>
      <c r="GKU131" s="21"/>
      <c r="GKV131" s="21"/>
      <c r="GKW131" s="20"/>
      <c r="GKX131" s="20"/>
      <c r="GKY131" s="20"/>
      <c r="GKZ131" s="20"/>
      <c r="GLA131" s="21"/>
      <c r="GLB131" s="21"/>
      <c r="GLC131" s="7"/>
      <c r="GLD131" s="7"/>
      <c r="GLE131" s="21"/>
      <c r="GLF131" s="20"/>
      <c r="GLG131" s="20"/>
      <c r="GLH131" s="20"/>
      <c r="GLI131" s="21"/>
      <c r="GLJ131" s="21"/>
      <c r="GLK131" s="21"/>
      <c r="GLL131" s="21"/>
      <c r="GLM131" s="21"/>
      <c r="GLN131" s="20"/>
      <c r="GLO131" s="20"/>
      <c r="GLP131" s="20"/>
      <c r="GLQ131" s="20"/>
      <c r="GLR131" s="21"/>
      <c r="GLS131" s="21"/>
      <c r="GLT131" s="7"/>
      <c r="GLU131" s="7"/>
      <c r="GLV131" s="21"/>
      <c r="GLW131" s="20"/>
      <c r="GLX131" s="20"/>
      <c r="GLY131" s="20"/>
      <c r="GLZ131" s="21"/>
      <c r="GMA131" s="21"/>
      <c r="GMB131" s="21"/>
      <c r="GMC131" s="21"/>
      <c r="GMD131" s="21"/>
      <c r="GME131" s="20"/>
      <c r="GMF131" s="20"/>
      <c r="GMG131" s="20"/>
      <c r="GMH131" s="20"/>
      <c r="GMI131" s="21"/>
      <c r="GMJ131" s="21"/>
      <c r="GMK131" s="7"/>
      <c r="GML131" s="7"/>
      <c r="GMM131" s="21"/>
      <c r="GMN131" s="20"/>
      <c r="GMO131" s="20"/>
      <c r="GMP131" s="20"/>
      <c r="GMQ131" s="21"/>
      <c r="GMR131" s="21"/>
      <c r="GMS131" s="21"/>
      <c r="GMT131" s="21"/>
      <c r="GMU131" s="21"/>
      <c r="GMV131" s="20"/>
      <c r="GMW131" s="20"/>
      <c r="GMX131" s="20"/>
      <c r="GMY131" s="20"/>
      <c r="GMZ131" s="21"/>
      <c r="GNA131" s="21"/>
      <c r="GNB131" s="7"/>
      <c r="GNC131" s="7"/>
      <c r="GND131" s="21"/>
      <c r="GNE131" s="20"/>
      <c r="GNF131" s="20"/>
      <c r="GNG131" s="20"/>
      <c r="GNH131" s="21"/>
      <c r="GNI131" s="21"/>
      <c r="GNJ131" s="21"/>
      <c r="GNK131" s="21"/>
      <c r="GNL131" s="21"/>
      <c r="GNM131" s="20"/>
      <c r="GNN131" s="20"/>
      <c r="GNO131" s="20"/>
      <c r="GNP131" s="20"/>
      <c r="GNQ131" s="21"/>
      <c r="GNR131" s="21"/>
      <c r="GNS131" s="7"/>
      <c r="GNT131" s="7"/>
      <c r="GNU131" s="21"/>
      <c r="GNV131" s="20"/>
      <c r="GNW131" s="20"/>
      <c r="GNX131" s="20"/>
      <c r="GNY131" s="21"/>
      <c r="GNZ131" s="21"/>
      <c r="GOA131" s="21"/>
      <c r="GOB131" s="21"/>
      <c r="GOC131" s="21"/>
      <c r="GOD131" s="20"/>
      <c r="GOE131" s="20"/>
      <c r="GOF131" s="20"/>
      <c r="GOG131" s="20"/>
      <c r="GOH131" s="21"/>
      <c r="GOI131" s="21"/>
      <c r="GOJ131" s="7"/>
      <c r="GOK131" s="7"/>
      <c r="GOL131" s="21"/>
      <c r="GOM131" s="20"/>
      <c r="GON131" s="20"/>
      <c r="GOO131" s="20"/>
      <c r="GOP131" s="21"/>
      <c r="GOQ131" s="21"/>
      <c r="GOR131" s="21"/>
      <c r="GOS131" s="21"/>
      <c r="GOT131" s="21"/>
      <c r="GOU131" s="20"/>
      <c r="GOV131" s="20"/>
      <c r="GOW131" s="20"/>
      <c r="GOX131" s="20"/>
      <c r="GOY131" s="21"/>
      <c r="GOZ131" s="21"/>
      <c r="GPA131" s="7"/>
      <c r="GPB131" s="7"/>
      <c r="GPC131" s="21"/>
      <c r="GPD131" s="20"/>
      <c r="GPE131" s="20"/>
      <c r="GPF131" s="20"/>
      <c r="GPG131" s="21"/>
      <c r="GPH131" s="21"/>
      <c r="GPI131" s="21"/>
      <c r="GPJ131" s="21"/>
      <c r="GPK131" s="21"/>
      <c r="GPL131" s="20"/>
      <c r="GPM131" s="20"/>
      <c r="GPN131" s="20"/>
      <c r="GPO131" s="20"/>
      <c r="GPP131" s="21"/>
      <c r="GPQ131" s="21"/>
      <c r="GPR131" s="7"/>
      <c r="GPS131" s="7"/>
      <c r="GPT131" s="21"/>
      <c r="GPU131" s="20"/>
      <c r="GPV131" s="20"/>
      <c r="GPW131" s="20"/>
      <c r="GPX131" s="21"/>
      <c r="GPY131" s="21"/>
      <c r="GPZ131" s="21"/>
      <c r="GQA131" s="21"/>
      <c r="GQB131" s="21"/>
      <c r="GQC131" s="20"/>
      <c r="GQD131" s="20"/>
      <c r="GQE131" s="20"/>
      <c r="GQF131" s="20"/>
      <c r="GQG131" s="21"/>
      <c r="GQH131" s="21"/>
      <c r="GQI131" s="7"/>
      <c r="GQJ131" s="7"/>
      <c r="GQK131" s="21"/>
      <c r="GQL131" s="20"/>
      <c r="GQM131" s="20"/>
      <c r="GQN131" s="20"/>
      <c r="GQO131" s="21"/>
      <c r="GQP131" s="21"/>
      <c r="GQQ131" s="21"/>
      <c r="GQR131" s="21"/>
      <c r="GQS131" s="21"/>
      <c r="GQT131" s="20"/>
      <c r="GQU131" s="20"/>
      <c r="GQV131" s="20"/>
      <c r="GQW131" s="20"/>
      <c r="GQX131" s="21"/>
      <c r="GQY131" s="21"/>
      <c r="GQZ131" s="7"/>
      <c r="GRA131" s="7"/>
      <c r="GRB131" s="21"/>
      <c r="GRC131" s="20"/>
      <c r="GRD131" s="20"/>
      <c r="GRE131" s="20"/>
      <c r="GRF131" s="21"/>
      <c r="GRG131" s="21"/>
      <c r="GRH131" s="21"/>
      <c r="GRI131" s="21"/>
      <c r="GRJ131" s="21"/>
      <c r="GRK131" s="20"/>
      <c r="GRL131" s="20"/>
      <c r="GRM131" s="20"/>
      <c r="GRN131" s="20"/>
      <c r="GRO131" s="21"/>
      <c r="GRP131" s="21"/>
      <c r="GRQ131" s="7"/>
      <c r="GRR131" s="7"/>
      <c r="GRS131" s="21"/>
      <c r="GRT131" s="20"/>
      <c r="GRU131" s="20"/>
      <c r="GRV131" s="20"/>
      <c r="GRW131" s="21"/>
      <c r="GRX131" s="21"/>
      <c r="GRY131" s="21"/>
      <c r="GRZ131" s="21"/>
      <c r="GSA131" s="21"/>
      <c r="GSB131" s="20"/>
      <c r="GSC131" s="20"/>
      <c r="GSD131" s="20"/>
      <c r="GSE131" s="20"/>
      <c r="GSF131" s="21"/>
      <c r="GSG131" s="21"/>
      <c r="GSH131" s="7"/>
      <c r="GSI131" s="7"/>
      <c r="GSJ131" s="21"/>
      <c r="GSK131" s="20"/>
      <c r="GSL131" s="20"/>
      <c r="GSM131" s="20"/>
      <c r="GSN131" s="21"/>
      <c r="GSO131" s="21"/>
      <c r="GSP131" s="21"/>
      <c r="GSQ131" s="21"/>
      <c r="GSR131" s="21"/>
      <c r="GSS131" s="20"/>
      <c r="GST131" s="20"/>
      <c r="GSU131" s="20"/>
      <c r="GSV131" s="20"/>
      <c r="GSW131" s="21"/>
      <c r="GSX131" s="21"/>
      <c r="GSY131" s="7"/>
      <c r="GSZ131" s="7"/>
      <c r="GTA131" s="21"/>
      <c r="GTB131" s="20"/>
      <c r="GTC131" s="20"/>
      <c r="GTD131" s="20"/>
      <c r="GTE131" s="21"/>
      <c r="GTF131" s="21"/>
      <c r="GTG131" s="21"/>
      <c r="GTH131" s="21"/>
      <c r="GTI131" s="21"/>
      <c r="GTJ131" s="20"/>
      <c r="GTK131" s="20"/>
      <c r="GTL131" s="20"/>
      <c r="GTM131" s="20"/>
      <c r="GTN131" s="21"/>
      <c r="GTO131" s="21"/>
      <c r="GTP131" s="7"/>
      <c r="GTQ131" s="7"/>
      <c r="GTR131" s="21"/>
      <c r="GTS131" s="20"/>
      <c r="GTT131" s="20"/>
      <c r="GTU131" s="20"/>
      <c r="GTV131" s="21"/>
      <c r="GTW131" s="21"/>
      <c r="GTX131" s="21"/>
      <c r="GTY131" s="21"/>
      <c r="GTZ131" s="21"/>
      <c r="GUA131" s="20"/>
      <c r="GUB131" s="20"/>
      <c r="GUC131" s="20"/>
      <c r="GUD131" s="20"/>
      <c r="GUE131" s="21"/>
      <c r="GUF131" s="21"/>
      <c r="GUG131" s="7"/>
      <c r="GUH131" s="7"/>
      <c r="GUI131" s="21"/>
      <c r="GUJ131" s="20"/>
      <c r="GUK131" s="20"/>
      <c r="GUL131" s="20"/>
      <c r="GUM131" s="21"/>
      <c r="GUN131" s="21"/>
      <c r="GUO131" s="21"/>
      <c r="GUP131" s="21"/>
      <c r="GUQ131" s="21"/>
      <c r="GUR131" s="20"/>
      <c r="GUS131" s="20"/>
      <c r="GUT131" s="20"/>
      <c r="GUU131" s="20"/>
      <c r="GUV131" s="21"/>
      <c r="GUW131" s="21"/>
      <c r="GUX131" s="7"/>
      <c r="GUY131" s="7"/>
      <c r="GUZ131" s="21"/>
      <c r="GVA131" s="20"/>
      <c r="GVB131" s="20"/>
      <c r="GVC131" s="20"/>
      <c r="GVD131" s="21"/>
      <c r="GVE131" s="21"/>
      <c r="GVF131" s="21"/>
      <c r="GVG131" s="21"/>
      <c r="GVH131" s="21"/>
      <c r="GVI131" s="20"/>
      <c r="GVJ131" s="20"/>
      <c r="GVK131" s="20"/>
      <c r="GVL131" s="20"/>
      <c r="GVM131" s="21"/>
      <c r="GVN131" s="21"/>
      <c r="GVO131" s="7"/>
      <c r="GVP131" s="7"/>
      <c r="GVQ131" s="21"/>
      <c r="GVR131" s="20"/>
      <c r="GVS131" s="20"/>
      <c r="GVT131" s="20"/>
      <c r="GVU131" s="21"/>
      <c r="GVV131" s="21"/>
      <c r="GVW131" s="21"/>
      <c r="GVX131" s="21"/>
      <c r="GVY131" s="21"/>
      <c r="GVZ131" s="20"/>
      <c r="GWA131" s="20"/>
      <c r="GWB131" s="20"/>
      <c r="GWC131" s="20"/>
      <c r="GWD131" s="21"/>
      <c r="GWE131" s="21"/>
      <c r="GWF131" s="7"/>
      <c r="GWG131" s="7"/>
      <c r="GWH131" s="21"/>
      <c r="GWI131" s="20"/>
      <c r="GWJ131" s="20"/>
      <c r="GWK131" s="20"/>
      <c r="GWL131" s="21"/>
      <c r="GWM131" s="21"/>
      <c r="GWN131" s="21"/>
      <c r="GWO131" s="21"/>
      <c r="GWP131" s="21"/>
      <c r="GWQ131" s="20"/>
      <c r="GWR131" s="20"/>
      <c r="GWS131" s="20"/>
      <c r="GWT131" s="20"/>
      <c r="GWU131" s="21"/>
      <c r="GWV131" s="21"/>
      <c r="GWW131" s="7"/>
      <c r="GWX131" s="7"/>
      <c r="GWY131" s="21"/>
      <c r="GWZ131" s="20"/>
      <c r="GXA131" s="20"/>
      <c r="GXB131" s="20"/>
      <c r="GXC131" s="21"/>
      <c r="GXD131" s="21"/>
      <c r="GXE131" s="21"/>
      <c r="GXF131" s="21"/>
      <c r="GXG131" s="21"/>
      <c r="GXH131" s="20"/>
      <c r="GXI131" s="20"/>
      <c r="GXJ131" s="20"/>
      <c r="GXK131" s="20"/>
      <c r="GXL131" s="21"/>
      <c r="GXM131" s="21"/>
      <c r="GXN131" s="7"/>
      <c r="GXO131" s="7"/>
      <c r="GXP131" s="21"/>
      <c r="GXQ131" s="20"/>
      <c r="GXR131" s="20"/>
      <c r="GXS131" s="20"/>
      <c r="GXT131" s="21"/>
      <c r="GXU131" s="21"/>
      <c r="GXV131" s="21"/>
      <c r="GXW131" s="21"/>
      <c r="GXX131" s="21"/>
      <c r="GXY131" s="20"/>
      <c r="GXZ131" s="20"/>
      <c r="GYA131" s="20"/>
      <c r="GYB131" s="20"/>
      <c r="GYC131" s="21"/>
      <c r="GYD131" s="21"/>
      <c r="GYE131" s="7"/>
      <c r="GYF131" s="7"/>
      <c r="GYG131" s="21"/>
      <c r="GYH131" s="20"/>
      <c r="GYI131" s="20"/>
      <c r="GYJ131" s="20"/>
      <c r="GYK131" s="21"/>
      <c r="GYL131" s="21"/>
      <c r="GYM131" s="21"/>
      <c r="GYN131" s="21"/>
      <c r="GYO131" s="21"/>
      <c r="GYP131" s="20"/>
      <c r="GYQ131" s="20"/>
      <c r="GYR131" s="20"/>
      <c r="GYS131" s="20"/>
      <c r="GYT131" s="21"/>
      <c r="GYU131" s="21"/>
      <c r="GYV131" s="7"/>
      <c r="GYW131" s="7"/>
      <c r="GYX131" s="21"/>
      <c r="GYY131" s="20"/>
      <c r="GYZ131" s="20"/>
      <c r="GZA131" s="20"/>
      <c r="GZB131" s="21"/>
      <c r="GZC131" s="21"/>
      <c r="GZD131" s="21"/>
      <c r="GZE131" s="21"/>
      <c r="GZF131" s="21"/>
      <c r="GZG131" s="20"/>
      <c r="GZH131" s="20"/>
      <c r="GZI131" s="20"/>
      <c r="GZJ131" s="20"/>
      <c r="GZK131" s="21"/>
      <c r="GZL131" s="21"/>
      <c r="GZM131" s="7"/>
      <c r="GZN131" s="7"/>
      <c r="GZO131" s="21"/>
      <c r="GZP131" s="20"/>
      <c r="GZQ131" s="20"/>
      <c r="GZR131" s="20"/>
      <c r="GZS131" s="21"/>
      <c r="GZT131" s="21"/>
      <c r="GZU131" s="21"/>
      <c r="GZV131" s="21"/>
      <c r="GZW131" s="21"/>
      <c r="GZX131" s="20"/>
      <c r="GZY131" s="20"/>
      <c r="GZZ131" s="20"/>
      <c r="HAA131" s="20"/>
      <c r="HAB131" s="21"/>
      <c r="HAC131" s="21"/>
      <c r="HAD131" s="7"/>
      <c r="HAE131" s="7"/>
      <c r="HAF131" s="21"/>
      <c r="HAG131" s="20"/>
      <c r="HAH131" s="20"/>
      <c r="HAI131" s="20"/>
      <c r="HAJ131" s="21"/>
      <c r="HAK131" s="21"/>
      <c r="HAL131" s="21"/>
      <c r="HAM131" s="21"/>
      <c r="HAN131" s="21"/>
      <c r="HAO131" s="20"/>
      <c r="HAP131" s="20"/>
      <c r="HAQ131" s="20"/>
      <c r="HAR131" s="20"/>
      <c r="HAS131" s="21"/>
      <c r="HAT131" s="21"/>
      <c r="HAU131" s="7"/>
      <c r="HAV131" s="7"/>
      <c r="HAW131" s="21"/>
      <c r="HAX131" s="20"/>
      <c r="HAY131" s="20"/>
      <c r="HAZ131" s="20"/>
      <c r="HBA131" s="21"/>
      <c r="HBB131" s="21"/>
      <c r="HBC131" s="21"/>
      <c r="HBD131" s="21"/>
      <c r="HBE131" s="21"/>
      <c r="HBF131" s="20"/>
      <c r="HBG131" s="20"/>
      <c r="HBH131" s="20"/>
      <c r="HBI131" s="20"/>
      <c r="HBJ131" s="21"/>
      <c r="HBK131" s="21"/>
      <c r="HBL131" s="7"/>
      <c r="HBM131" s="7"/>
      <c r="HBN131" s="21"/>
      <c r="HBO131" s="20"/>
      <c r="HBP131" s="20"/>
      <c r="HBQ131" s="20"/>
      <c r="HBR131" s="21"/>
      <c r="HBS131" s="21"/>
      <c r="HBT131" s="21"/>
      <c r="HBU131" s="21"/>
      <c r="HBV131" s="21"/>
      <c r="HBW131" s="20"/>
      <c r="HBX131" s="20"/>
      <c r="HBY131" s="20"/>
      <c r="HBZ131" s="20"/>
      <c r="HCA131" s="21"/>
      <c r="HCB131" s="21"/>
      <c r="HCC131" s="7"/>
      <c r="HCD131" s="7"/>
      <c r="HCE131" s="21"/>
      <c r="HCF131" s="20"/>
      <c r="HCG131" s="20"/>
      <c r="HCH131" s="20"/>
      <c r="HCI131" s="21"/>
      <c r="HCJ131" s="21"/>
      <c r="HCK131" s="21"/>
      <c r="HCL131" s="21"/>
      <c r="HCM131" s="21"/>
      <c r="HCN131" s="20"/>
      <c r="HCO131" s="20"/>
      <c r="HCP131" s="20"/>
      <c r="HCQ131" s="20"/>
      <c r="HCR131" s="21"/>
      <c r="HCS131" s="21"/>
      <c r="HCT131" s="7"/>
      <c r="HCU131" s="7"/>
      <c r="HCV131" s="21"/>
      <c r="HCW131" s="20"/>
      <c r="HCX131" s="20"/>
      <c r="HCY131" s="20"/>
      <c r="HCZ131" s="21"/>
      <c r="HDA131" s="21"/>
      <c r="HDB131" s="21"/>
      <c r="HDC131" s="21"/>
      <c r="HDD131" s="21"/>
      <c r="HDE131" s="20"/>
      <c r="HDF131" s="20"/>
      <c r="HDG131" s="20"/>
      <c r="HDH131" s="20"/>
      <c r="HDI131" s="21"/>
      <c r="HDJ131" s="21"/>
      <c r="HDK131" s="7"/>
      <c r="HDL131" s="7"/>
      <c r="HDM131" s="21"/>
      <c r="HDN131" s="20"/>
      <c r="HDO131" s="20"/>
      <c r="HDP131" s="20"/>
      <c r="HDQ131" s="21"/>
      <c r="HDR131" s="21"/>
      <c r="HDS131" s="21"/>
      <c r="HDT131" s="21"/>
      <c r="HDU131" s="21"/>
      <c r="HDV131" s="20"/>
      <c r="HDW131" s="20"/>
      <c r="HDX131" s="20"/>
      <c r="HDY131" s="20"/>
      <c r="HDZ131" s="21"/>
      <c r="HEA131" s="21"/>
      <c r="HEB131" s="7"/>
      <c r="HEC131" s="7"/>
      <c r="HED131" s="21"/>
      <c r="HEE131" s="20"/>
      <c r="HEF131" s="20"/>
      <c r="HEG131" s="20"/>
      <c r="HEH131" s="21"/>
      <c r="HEI131" s="21"/>
      <c r="HEJ131" s="21"/>
      <c r="HEK131" s="21"/>
      <c r="HEL131" s="21"/>
      <c r="HEM131" s="20"/>
      <c r="HEN131" s="20"/>
      <c r="HEO131" s="20"/>
      <c r="HEP131" s="20"/>
      <c r="HEQ131" s="21"/>
      <c r="HER131" s="21"/>
      <c r="HES131" s="7"/>
      <c r="HET131" s="7"/>
      <c r="HEU131" s="21"/>
      <c r="HEV131" s="20"/>
      <c r="HEW131" s="20"/>
      <c r="HEX131" s="20"/>
      <c r="HEY131" s="21"/>
      <c r="HEZ131" s="21"/>
      <c r="HFA131" s="21"/>
      <c r="HFB131" s="21"/>
      <c r="HFC131" s="21"/>
      <c r="HFD131" s="20"/>
      <c r="HFE131" s="20"/>
      <c r="HFF131" s="20"/>
      <c r="HFG131" s="20"/>
      <c r="HFH131" s="21"/>
      <c r="HFI131" s="21"/>
      <c r="HFJ131" s="7"/>
      <c r="HFK131" s="7"/>
      <c r="HFL131" s="21"/>
      <c r="HFM131" s="20"/>
      <c r="HFN131" s="20"/>
      <c r="HFO131" s="20"/>
      <c r="HFP131" s="21"/>
      <c r="HFQ131" s="21"/>
      <c r="HFR131" s="21"/>
      <c r="HFS131" s="21"/>
      <c r="HFT131" s="21"/>
      <c r="HFU131" s="20"/>
      <c r="HFV131" s="20"/>
      <c r="HFW131" s="20"/>
      <c r="HFX131" s="20"/>
      <c r="HFY131" s="21"/>
      <c r="HFZ131" s="21"/>
      <c r="HGA131" s="7"/>
      <c r="HGB131" s="7"/>
      <c r="HGC131" s="21"/>
      <c r="HGD131" s="20"/>
      <c r="HGE131" s="20"/>
      <c r="HGF131" s="20"/>
      <c r="HGG131" s="21"/>
      <c r="HGH131" s="21"/>
      <c r="HGI131" s="21"/>
      <c r="HGJ131" s="21"/>
      <c r="HGK131" s="21"/>
      <c r="HGL131" s="20"/>
      <c r="HGM131" s="20"/>
      <c r="HGN131" s="20"/>
      <c r="HGO131" s="20"/>
      <c r="HGP131" s="21"/>
      <c r="HGQ131" s="21"/>
      <c r="HGR131" s="7"/>
      <c r="HGS131" s="7"/>
      <c r="HGT131" s="21"/>
      <c r="HGU131" s="20"/>
      <c r="HGV131" s="20"/>
      <c r="HGW131" s="20"/>
      <c r="HGX131" s="21"/>
      <c r="HGY131" s="21"/>
      <c r="HGZ131" s="21"/>
      <c r="HHA131" s="21"/>
      <c r="HHB131" s="21"/>
      <c r="HHC131" s="20"/>
      <c r="HHD131" s="20"/>
      <c r="HHE131" s="20"/>
      <c r="HHF131" s="20"/>
      <c r="HHG131" s="21"/>
      <c r="HHH131" s="21"/>
      <c r="HHI131" s="7"/>
      <c r="HHJ131" s="7"/>
      <c r="HHK131" s="21"/>
      <c r="HHL131" s="20"/>
      <c r="HHM131" s="20"/>
      <c r="HHN131" s="20"/>
      <c r="HHO131" s="21"/>
      <c r="HHP131" s="21"/>
      <c r="HHQ131" s="21"/>
      <c r="HHR131" s="21"/>
      <c r="HHS131" s="21"/>
      <c r="HHT131" s="20"/>
      <c r="HHU131" s="20"/>
      <c r="HHV131" s="20"/>
      <c r="HHW131" s="20"/>
      <c r="HHX131" s="21"/>
      <c r="HHY131" s="21"/>
      <c r="HHZ131" s="7"/>
      <c r="HIA131" s="7"/>
      <c r="HIB131" s="21"/>
      <c r="HIC131" s="20"/>
      <c r="HID131" s="20"/>
      <c r="HIE131" s="20"/>
      <c r="HIF131" s="21"/>
      <c r="HIG131" s="21"/>
      <c r="HIH131" s="21"/>
      <c r="HII131" s="21"/>
      <c r="HIJ131" s="21"/>
      <c r="HIK131" s="20"/>
      <c r="HIL131" s="20"/>
      <c r="HIM131" s="20"/>
      <c r="HIN131" s="20"/>
      <c r="HIO131" s="21"/>
      <c r="HIP131" s="21"/>
      <c r="HIQ131" s="7"/>
      <c r="HIR131" s="7"/>
      <c r="HIS131" s="21"/>
      <c r="HIT131" s="20"/>
      <c r="HIU131" s="20"/>
      <c r="HIV131" s="20"/>
      <c r="HIW131" s="21"/>
      <c r="HIX131" s="21"/>
      <c r="HIY131" s="21"/>
      <c r="HIZ131" s="21"/>
      <c r="HJA131" s="21"/>
      <c r="HJB131" s="20"/>
      <c r="HJC131" s="20"/>
      <c r="HJD131" s="20"/>
      <c r="HJE131" s="20"/>
      <c r="HJF131" s="21"/>
      <c r="HJG131" s="21"/>
      <c r="HJH131" s="7"/>
      <c r="HJI131" s="7"/>
      <c r="HJJ131" s="21"/>
      <c r="HJK131" s="20"/>
      <c r="HJL131" s="20"/>
      <c r="HJM131" s="20"/>
      <c r="HJN131" s="21"/>
      <c r="HJO131" s="21"/>
      <c r="HJP131" s="21"/>
      <c r="HJQ131" s="21"/>
      <c r="HJR131" s="21"/>
      <c r="HJS131" s="20"/>
      <c r="HJT131" s="20"/>
      <c r="HJU131" s="20"/>
      <c r="HJV131" s="20"/>
      <c r="HJW131" s="21"/>
      <c r="HJX131" s="21"/>
      <c r="HJY131" s="7"/>
      <c r="HJZ131" s="7"/>
      <c r="HKA131" s="21"/>
      <c r="HKB131" s="20"/>
      <c r="HKC131" s="20"/>
      <c r="HKD131" s="20"/>
      <c r="HKE131" s="21"/>
      <c r="HKF131" s="21"/>
      <c r="HKG131" s="21"/>
      <c r="HKH131" s="21"/>
      <c r="HKI131" s="21"/>
      <c r="HKJ131" s="20"/>
      <c r="HKK131" s="20"/>
      <c r="HKL131" s="20"/>
      <c r="HKM131" s="20"/>
      <c r="HKN131" s="21"/>
      <c r="HKO131" s="21"/>
      <c r="HKP131" s="7"/>
      <c r="HKQ131" s="7"/>
      <c r="HKR131" s="21"/>
      <c r="HKS131" s="20"/>
      <c r="HKT131" s="20"/>
      <c r="HKU131" s="20"/>
      <c r="HKV131" s="21"/>
      <c r="HKW131" s="21"/>
      <c r="HKX131" s="21"/>
      <c r="HKY131" s="21"/>
      <c r="HKZ131" s="21"/>
      <c r="HLA131" s="20"/>
      <c r="HLB131" s="20"/>
      <c r="HLC131" s="20"/>
      <c r="HLD131" s="20"/>
      <c r="HLE131" s="21"/>
      <c r="HLF131" s="21"/>
      <c r="HLG131" s="7"/>
      <c r="HLH131" s="7"/>
      <c r="HLI131" s="21"/>
      <c r="HLJ131" s="20"/>
      <c r="HLK131" s="20"/>
      <c r="HLL131" s="20"/>
      <c r="HLM131" s="21"/>
      <c r="HLN131" s="21"/>
      <c r="HLO131" s="21"/>
      <c r="HLP131" s="21"/>
      <c r="HLQ131" s="21"/>
      <c r="HLR131" s="20"/>
      <c r="HLS131" s="20"/>
      <c r="HLT131" s="20"/>
      <c r="HLU131" s="20"/>
      <c r="HLV131" s="21"/>
      <c r="HLW131" s="21"/>
      <c r="HLX131" s="7"/>
      <c r="HLY131" s="7"/>
      <c r="HLZ131" s="21"/>
      <c r="HMA131" s="20"/>
      <c r="HMB131" s="20"/>
      <c r="HMC131" s="20"/>
      <c r="HMD131" s="21"/>
      <c r="HME131" s="21"/>
      <c r="HMF131" s="21"/>
      <c r="HMG131" s="21"/>
      <c r="HMH131" s="21"/>
      <c r="HMI131" s="20"/>
      <c r="HMJ131" s="20"/>
      <c r="HMK131" s="20"/>
      <c r="HML131" s="20"/>
      <c r="HMM131" s="21"/>
      <c r="HMN131" s="21"/>
      <c r="HMO131" s="7"/>
      <c r="HMP131" s="7"/>
      <c r="HMQ131" s="21"/>
      <c r="HMR131" s="20"/>
      <c r="HMS131" s="20"/>
      <c r="HMT131" s="20"/>
      <c r="HMU131" s="21"/>
      <c r="HMV131" s="21"/>
      <c r="HMW131" s="21"/>
      <c r="HMX131" s="21"/>
      <c r="HMY131" s="21"/>
      <c r="HMZ131" s="20"/>
      <c r="HNA131" s="20"/>
      <c r="HNB131" s="20"/>
      <c r="HNC131" s="20"/>
      <c r="HND131" s="21"/>
      <c r="HNE131" s="21"/>
      <c r="HNF131" s="7"/>
      <c r="HNG131" s="7"/>
      <c r="HNH131" s="21"/>
      <c r="HNI131" s="20"/>
      <c r="HNJ131" s="20"/>
      <c r="HNK131" s="20"/>
      <c r="HNL131" s="21"/>
      <c r="HNM131" s="21"/>
      <c r="HNN131" s="21"/>
      <c r="HNO131" s="21"/>
      <c r="HNP131" s="21"/>
      <c r="HNQ131" s="20"/>
      <c r="HNR131" s="20"/>
      <c r="HNS131" s="20"/>
      <c r="HNT131" s="20"/>
      <c r="HNU131" s="21"/>
      <c r="HNV131" s="21"/>
      <c r="HNW131" s="7"/>
      <c r="HNX131" s="7"/>
      <c r="HNY131" s="21"/>
      <c r="HNZ131" s="20"/>
      <c r="HOA131" s="20"/>
      <c r="HOB131" s="20"/>
      <c r="HOC131" s="21"/>
      <c r="HOD131" s="21"/>
      <c r="HOE131" s="21"/>
      <c r="HOF131" s="21"/>
      <c r="HOG131" s="21"/>
      <c r="HOH131" s="20"/>
      <c r="HOI131" s="20"/>
      <c r="HOJ131" s="20"/>
      <c r="HOK131" s="20"/>
      <c r="HOL131" s="21"/>
      <c r="HOM131" s="21"/>
      <c r="HON131" s="7"/>
      <c r="HOO131" s="7"/>
      <c r="HOP131" s="21"/>
      <c r="HOQ131" s="20"/>
      <c r="HOR131" s="20"/>
      <c r="HOS131" s="20"/>
      <c r="HOT131" s="21"/>
      <c r="HOU131" s="21"/>
      <c r="HOV131" s="21"/>
      <c r="HOW131" s="21"/>
      <c r="HOX131" s="21"/>
      <c r="HOY131" s="20"/>
      <c r="HOZ131" s="20"/>
      <c r="HPA131" s="20"/>
      <c r="HPB131" s="20"/>
      <c r="HPC131" s="21"/>
      <c r="HPD131" s="21"/>
      <c r="HPE131" s="7"/>
      <c r="HPF131" s="7"/>
      <c r="HPG131" s="21"/>
      <c r="HPH131" s="20"/>
      <c r="HPI131" s="20"/>
      <c r="HPJ131" s="20"/>
      <c r="HPK131" s="21"/>
      <c r="HPL131" s="21"/>
      <c r="HPM131" s="21"/>
      <c r="HPN131" s="21"/>
      <c r="HPO131" s="21"/>
      <c r="HPP131" s="20"/>
      <c r="HPQ131" s="20"/>
      <c r="HPR131" s="20"/>
      <c r="HPS131" s="20"/>
      <c r="HPT131" s="21"/>
      <c r="HPU131" s="21"/>
      <c r="HPV131" s="7"/>
      <c r="HPW131" s="7"/>
      <c r="HPX131" s="21"/>
      <c r="HPY131" s="20"/>
      <c r="HPZ131" s="20"/>
      <c r="HQA131" s="20"/>
      <c r="HQB131" s="21"/>
      <c r="HQC131" s="21"/>
      <c r="HQD131" s="21"/>
      <c r="HQE131" s="21"/>
      <c r="HQF131" s="21"/>
      <c r="HQG131" s="20"/>
      <c r="HQH131" s="20"/>
      <c r="HQI131" s="20"/>
      <c r="HQJ131" s="20"/>
      <c r="HQK131" s="21"/>
      <c r="HQL131" s="21"/>
      <c r="HQM131" s="7"/>
      <c r="HQN131" s="7"/>
      <c r="HQO131" s="21"/>
      <c r="HQP131" s="20"/>
      <c r="HQQ131" s="20"/>
      <c r="HQR131" s="20"/>
      <c r="HQS131" s="21"/>
      <c r="HQT131" s="21"/>
      <c r="HQU131" s="21"/>
      <c r="HQV131" s="21"/>
      <c r="HQW131" s="21"/>
      <c r="HQX131" s="20"/>
      <c r="HQY131" s="20"/>
      <c r="HQZ131" s="20"/>
      <c r="HRA131" s="20"/>
      <c r="HRB131" s="21"/>
      <c r="HRC131" s="21"/>
      <c r="HRD131" s="7"/>
      <c r="HRE131" s="7"/>
      <c r="HRF131" s="21"/>
      <c r="HRG131" s="20"/>
      <c r="HRH131" s="20"/>
      <c r="HRI131" s="20"/>
      <c r="HRJ131" s="21"/>
      <c r="HRK131" s="21"/>
      <c r="HRL131" s="21"/>
      <c r="HRM131" s="21"/>
      <c r="HRN131" s="21"/>
      <c r="HRO131" s="20"/>
      <c r="HRP131" s="20"/>
      <c r="HRQ131" s="20"/>
      <c r="HRR131" s="20"/>
      <c r="HRS131" s="21"/>
      <c r="HRT131" s="21"/>
      <c r="HRU131" s="7"/>
      <c r="HRV131" s="7"/>
      <c r="HRW131" s="21"/>
      <c r="HRX131" s="20"/>
      <c r="HRY131" s="20"/>
      <c r="HRZ131" s="20"/>
      <c r="HSA131" s="21"/>
      <c r="HSB131" s="21"/>
      <c r="HSC131" s="21"/>
      <c r="HSD131" s="21"/>
      <c r="HSE131" s="21"/>
      <c r="HSF131" s="20"/>
      <c r="HSG131" s="20"/>
      <c r="HSH131" s="20"/>
      <c r="HSI131" s="20"/>
      <c r="HSJ131" s="21"/>
      <c r="HSK131" s="21"/>
      <c r="HSL131" s="7"/>
      <c r="HSM131" s="7"/>
      <c r="HSN131" s="21"/>
      <c r="HSO131" s="20"/>
      <c r="HSP131" s="20"/>
      <c r="HSQ131" s="20"/>
      <c r="HSR131" s="21"/>
      <c r="HSS131" s="21"/>
      <c r="HST131" s="21"/>
      <c r="HSU131" s="21"/>
      <c r="HSV131" s="21"/>
      <c r="HSW131" s="20"/>
      <c r="HSX131" s="20"/>
      <c r="HSY131" s="20"/>
      <c r="HSZ131" s="20"/>
      <c r="HTA131" s="21"/>
      <c r="HTB131" s="21"/>
      <c r="HTC131" s="7"/>
      <c r="HTD131" s="7"/>
      <c r="HTE131" s="21"/>
      <c r="HTF131" s="20"/>
      <c r="HTG131" s="20"/>
      <c r="HTH131" s="20"/>
      <c r="HTI131" s="21"/>
      <c r="HTJ131" s="21"/>
      <c r="HTK131" s="21"/>
      <c r="HTL131" s="21"/>
      <c r="HTM131" s="21"/>
      <c r="HTN131" s="20"/>
      <c r="HTO131" s="20"/>
      <c r="HTP131" s="20"/>
      <c r="HTQ131" s="20"/>
      <c r="HTR131" s="21"/>
      <c r="HTS131" s="21"/>
      <c r="HTT131" s="7"/>
      <c r="HTU131" s="7"/>
      <c r="HTV131" s="21"/>
      <c r="HTW131" s="20"/>
      <c r="HTX131" s="20"/>
      <c r="HTY131" s="20"/>
      <c r="HTZ131" s="21"/>
      <c r="HUA131" s="21"/>
      <c r="HUB131" s="21"/>
      <c r="HUC131" s="21"/>
      <c r="HUD131" s="21"/>
      <c r="HUE131" s="20"/>
      <c r="HUF131" s="20"/>
      <c r="HUG131" s="20"/>
      <c r="HUH131" s="20"/>
      <c r="HUI131" s="21"/>
      <c r="HUJ131" s="21"/>
      <c r="HUK131" s="7"/>
      <c r="HUL131" s="7"/>
      <c r="HUM131" s="21"/>
      <c r="HUN131" s="20"/>
      <c r="HUO131" s="20"/>
      <c r="HUP131" s="20"/>
      <c r="HUQ131" s="21"/>
      <c r="HUR131" s="21"/>
      <c r="HUS131" s="21"/>
      <c r="HUT131" s="21"/>
      <c r="HUU131" s="21"/>
      <c r="HUV131" s="20"/>
      <c r="HUW131" s="20"/>
      <c r="HUX131" s="20"/>
      <c r="HUY131" s="20"/>
      <c r="HUZ131" s="21"/>
      <c r="HVA131" s="21"/>
      <c r="HVB131" s="7"/>
      <c r="HVC131" s="7"/>
      <c r="HVD131" s="21"/>
      <c r="HVE131" s="20"/>
      <c r="HVF131" s="20"/>
      <c r="HVG131" s="20"/>
      <c r="HVH131" s="21"/>
      <c r="HVI131" s="21"/>
      <c r="HVJ131" s="21"/>
      <c r="HVK131" s="21"/>
      <c r="HVL131" s="21"/>
      <c r="HVM131" s="20"/>
      <c r="HVN131" s="20"/>
      <c r="HVO131" s="20"/>
      <c r="HVP131" s="20"/>
      <c r="HVQ131" s="21"/>
      <c r="HVR131" s="21"/>
      <c r="HVS131" s="7"/>
      <c r="HVT131" s="7"/>
      <c r="HVU131" s="21"/>
      <c r="HVV131" s="20"/>
      <c r="HVW131" s="20"/>
      <c r="HVX131" s="20"/>
      <c r="HVY131" s="21"/>
      <c r="HVZ131" s="21"/>
      <c r="HWA131" s="21"/>
      <c r="HWB131" s="21"/>
      <c r="HWC131" s="21"/>
      <c r="HWD131" s="20"/>
      <c r="HWE131" s="20"/>
      <c r="HWF131" s="20"/>
      <c r="HWG131" s="20"/>
      <c r="HWH131" s="21"/>
      <c r="HWI131" s="21"/>
      <c r="HWJ131" s="7"/>
      <c r="HWK131" s="7"/>
      <c r="HWL131" s="21"/>
      <c r="HWM131" s="20"/>
      <c r="HWN131" s="20"/>
      <c r="HWO131" s="20"/>
      <c r="HWP131" s="21"/>
      <c r="HWQ131" s="21"/>
      <c r="HWR131" s="21"/>
      <c r="HWS131" s="21"/>
      <c r="HWT131" s="21"/>
      <c r="HWU131" s="20"/>
      <c r="HWV131" s="20"/>
      <c r="HWW131" s="20"/>
      <c r="HWX131" s="20"/>
      <c r="HWY131" s="21"/>
      <c r="HWZ131" s="21"/>
      <c r="HXA131" s="7"/>
      <c r="HXB131" s="7"/>
      <c r="HXC131" s="21"/>
      <c r="HXD131" s="20"/>
      <c r="HXE131" s="20"/>
      <c r="HXF131" s="20"/>
      <c r="HXG131" s="21"/>
      <c r="HXH131" s="21"/>
      <c r="HXI131" s="21"/>
      <c r="HXJ131" s="21"/>
      <c r="HXK131" s="21"/>
      <c r="HXL131" s="20"/>
      <c r="HXM131" s="20"/>
      <c r="HXN131" s="20"/>
      <c r="HXO131" s="20"/>
      <c r="HXP131" s="21"/>
      <c r="HXQ131" s="21"/>
      <c r="HXR131" s="7"/>
      <c r="HXS131" s="7"/>
      <c r="HXT131" s="21"/>
      <c r="HXU131" s="20"/>
      <c r="HXV131" s="20"/>
      <c r="HXW131" s="20"/>
      <c r="HXX131" s="21"/>
      <c r="HXY131" s="21"/>
      <c r="HXZ131" s="21"/>
      <c r="HYA131" s="21"/>
      <c r="HYB131" s="21"/>
      <c r="HYC131" s="20"/>
      <c r="HYD131" s="20"/>
      <c r="HYE131" s="20"/>
      <c r="HYF131" s="20"/>
      <c r="HYG131" s="21"/>
      <c r="HYH131" s="21"/>
      <c r="HYI131" s="7"/>
      <c r="HYJ131" s="7"/>
      <c r="HYK131" s="21"/>
      <c r="HYL131" s="20"/>
      <c r="HYM131" s="20"/>
      <c r="HYN131" s="20"/>
      <c r="HYO131" s="21"/>
      <c r="HYP131" s="21"/>
      <c r="HYQ131" s="21"/>
      <c r="HYR131" s="21"/>
      <c r="HYS131" s="21"/>
      <c r="HYT131" s="20"/>
      <c r="HYU131" s="20"/>
      <c r="HYV131" s="20"/>
      <c r="HYW131" s="20"/>
      <c r="HYX131" s="21"/>
      <c r="HYY131" s="21"/>
      <c r="HYZ131" s="7"/>
      <c r="HZA131" s="7"/>
      <c r="HZB131" s="21"/>
      <c r="HZC131" s="20"/>
      <c r="HZD131" s="20"/>
      <c r="HZE131" s="20"/>
      <c r="HZF131" s="21"/>
      <c r="HZG131" s="21"/>
      <c r="HZH131" s="21"/>
      <c r="HZI131" s="21"/>
      <c r="HZJ131" s="21"/>
      <c r="HZK131" s="20"/>
      <c r="HZL131" s="20"/>
      <c r="HZM131" s="20"/>
      <c r="HZN131" s="20"/>
      <c r="HZO131" s="21"/>
      <c r="HZP131" s="21"/>
      <c r="HZQ131" s="7"/>
      <c r="HZR131" s="7"/>
      <c r="HZS131" s="21"/>
      <c r="HZT131" s="20"/>
      <c r="HZU131" s="20"/>
      <c r="HZV131" s="20"/>
      <c r="HZW131" s="21"/>
      <c r="HZX131" s="21"/>
      <c r="HZY131" s="21"/>
      <c r="HZZ131" s="21"/>
      <c r="IAA131" s="21"/>
      <c r="IAB131" s="20"/>
      <c r="IAC131" s="20"/>
      <c r="IAD131" s="20"/>
      <c r="IAE131" s="20"/>
      <c r="IAF131" s="21"/>
      <c r="IAG131" s="21"/>
      <c r="IAH131" s="7"/>
      <c r="IAI131" s="7"/>
      <c r="IAJ131" s="21"/>
      <c r="IAK131" s="20"/>
      <c r="IAL131" s="20"/>
      <c r="IAM131" s="20"/>
      <c r="IAN131" s="21"/>
      <c r="IAO131" s="21"/>
      <c r="IAP131" s="21"/>
      <c r="IAQ131" s="21"/>
      <c r="IAR131" s="21"/>
      <c r="IAS131" s="20"/>
      <c r="IAT131" s="20"/>
      <c r="IAU131" s="20"/>
      <c r="IAV131" s="20"/>
      <c r="IAW131" s="21"/>
      <c r="IAX131" s="21"/>
      <c r="IAY131" s="7"/>
      <c r="IAZ131" s="7"/>
      <c r="IBA131" s="21"/>
      <c r="IBB131" s="20"/>
      <c r="IBC131" s="20"/>
      <c r="IBD131" s="20"/>
      <c r="IBE131" s="21"/>
      <c r="IBF131" s="21"/>
      <c r="IBG131" s="21"/>
      <c r="IBH131" s="21"/>
      <c r="IBI131" s="21"/>
      <c r="IBJ131" s="20"/>
      <c r="IBK131" s="20"/>
      <c r="IBL131" s="20"/>
      <c r="IBM131" s="20"/>
      <c r="IBN131" s="21"/>
      <c r="IBO131" s="21"/>
      <c r="IBP131" s="7"/>
      <c r="IBQ131" s="7"/>
      <c r="IBR131" s="21"/>
      <c r="IBS131" s="20"/>
      <c r="IBT131" s="20"/>
      <c r="IBU131" s="20"/>
      <c r="IBV131" s="21"/>
      <c r="IBW131" s="21"/>
      <c r="IBX131" s="21"/>
      <c r="IBY131" s="21"/>
      <c r="IBZ131" s="21"/>
      <c r="ICA131" s="20"/>
      <c r="ICB131" s="20"/>
      <c r="ICC131" s="20"/>
      <c r="ICD131" s="20"/>
      <c r="ICE131" s="21"/>
      <c r="ICF131" s="21"/>
      <c r="ICG131" s="7"/>
      <c r="ICH131" s="7"/>
      <c r="ICI131" s="21"/>
      <c r="ICJ131" s="20"/>
      <c r="ICK131" s="20"/>
      <c r="ICL131" s="20"/>
      <c r="ICM131" s="21"/>
      <c r="ICN131" s="21"/>
      <c r="ICO131" s="21"/>
      <c r="ICP131" s="21"/>
      <c r="ICQ131" s="21"/>
      <c r="ICR131" s="20"/>
      <c r="ICS131" s="20"/>
      <c r="ICT131" s="20"/>
      <c r="ICU131" s="20"/>
      <c r="ICV131" s="21"/>
      <c r="ICW131" s="21"/>
      <c r="ICX131" s="7"/>
      <c r="ICY131" s="7"/>
      <c r="ICZ131" s="21"/>
      <c r="IDA131" s="20"/>
      <c r="IDB131" s="20"/>
      <c r="IDC131" s="20"/>
      <c r="IDD131" s="21"/>
      <c r="IDE131" s="21"/>
      <c r="IDF131" s="21"/>
      <c r="IDG131" s="21"/>
      <c r="IDH131" s="21"/>
      <c r="IDI131" s="20"/>
      <c r="IDJ131" s="20"/>
      <c r="IDK131" s="20"/>
      <c r="IDL131" s="20"/>
      <c r="IDM131" s="21"/>
      <c r="IDN131" s="21"/>
      <c r="IDO131" s="7"/>
      <c r="IDP131" s="7"/>
      <c r="IDQ131" s="21"/>
      <c r="IDR131" s="20"/>
      <c r="IDS131" s="20"/>
      <c r="IDT131" s="20"/>
      <c r="IDU131" s="21"/>
      <c r="IDV131" s="21"/>
      <c r="IDW131" s="21"/>
      <c r="IDX131" s="21"/>
      <c r="IDY131" s="21"/>
      <c r="IDZ131" s="20"/>
      <c r="IEA131" s="20"/>
      <c r="IEB131" s="20"/>
      <c r="IEC131" s="20"/>
      <c r="IED131" s="21"/>
      <c r="IEE131" s="21"/>
      <c r="IEF131" s="7"/>
      <c r="IEG131" s="7"/>
      <c r="IEH131" s="21"/>
      <c r="IEI131" s="20"/>
      <c r="IEJ131" s="20"/>
      <c r="IEK131" s="20"/>
      <c r="IEL131" s="21"/>
      <c r="IEM131" s="21"/>
      <c r="IEN131" s="21"/>
      <c r="IEO131" s="21"/>
      <c r="IEP131" s="21"/>
      <c r="IEQ131" s="20"/>
      <c r="IER131" s="20"/>
      <c r="IES131" s="20"/>
      <c r="IET131" s="20"/>
      <c r="IEU131" s="21"/>
      <c r="IEV131" s="21"/>
      <c r="IEW131" s="7"/>
      <c r="IEX131" s="7"/>
      <c r="IEY131" s="21"/>
      <c r="IEZ131" s="20"/>
      <c r="IFA131" s="20"/>
      <c r="IFB131" s="20"/>
      <c r="IFC131" s="21"/>
      <c r="IFD131" s="21"/>
      <c r="IFE131" s="21"/>
      <c r="IFF131" s="21"/>
      <c r="IFG131" s="21"/>
      <c r="IFH131" s="20"/>
      <c r="IFI131" s="20"/>
      <c r="IFJ131" s="20"/>
      <c r="IFK131" s="20"/>
      <c r="IFL131" s="21"/>
      <c r="IFM131" s="21"/>
      <c r="IFN131" s="7"/>
      <c r="IFO131" s="7"/>
      <c r="IFP131" s="21"/>
      <c r="IFQ131" s="20"/>
      <c r="IFR131" s="20"/>
      <c r="IFS131" s="20"/>
      <c r="IFT131" s="21"/>
      <c r="IFU131" s="21"/>
      <c r="IFV131" s="21"/>
      <c r="IFW131" s="21"/>
      <c r="IFX131" s="21"/>
      <c r="IFY131" s="20"/>
      <c r="IFZ131" s="20"/>
      <c r="IGA131" s="20"/>
      <c r="IGB131" s="20"/>
      <c r="IGC131" s="21"/>
      <c r="IGD131" s="21"/>
      <c r="IGE131" s="7"/>
      <c r="IGF131" s="7"/>
      <c r="IGG131" s="21"/>
      <c r="IGH131" s="20"/>
      <c r="IGI131" s="20"/>
      <c r="IGJ131" s="20"/>
      <c r="IGK131" s="21"/>
      <c r="IGL131" s="21"/>
      <c r="IGM131" s="21"/>
      <c r="IGN131" s="21"/>
      <c r="IGO131" s="21"/>
      <c r="IGP131" s="20"/>
      <c r="IGQ131" s="20"/>
      <c r="IGR131" s="20"/>
      <c r="IGS131" s="20"/>
      <c r="IGT131" s="21"/>
      <c r="IGU131" s="21"/>
      <c r="IGV131" s="7"/>
      <c r="IGW131" s="7"/>
      <c r="IGX131" s="21"/>
      <c r="IGY131" s="20"/>
      <c r="IGZ131" s="20"/>
      <c r="IHA131" s="20"/>
      <c r="IHB131" s="21"/>
      <c r="IHC131" s="21"/>
      <c r="IHD131" s="21"/>
      <c r="IHE131" s="21"/>
      <c r="IHF131" s="21"/>
      <c r="IHG131" s="20"/>
      <c r="IHH131" s="20"/>
      <c r="IHI131" s="20"/>
      <c r="IHJ131" s="20"/>
      <c r="IHK131" s="21"/>
      <c r="IHL131" s="21"/>
      <c r="IHM131" s="7"/>
      <c r="IHN131" s="7"/>
      <c r="IHO131" s="21"/>
      <c r="IHP131" s="20"/>
      <c r="IHQ131" s="20"/>
      <c r="IHR131" s="20"/>
      <c r="IHS131" s="21"/>
      <c r="IHT131" s="21"/>
      <c r="IHU131" s="21"/>
      <c r="IHV131" s="21"/>
      <c r="IHW131" s="21"/>
      <c r="IHX131" s="20"/>
      <c r="IHY131" s="20"/>
      <c r="IHZ131" s="20"/>
      <c r="IIA131" s="20"/>
      <c r="IIB131" s="21"/>
      <c r="IIC131" s="21"/>
      <c r="IID131" s="7"/>
      <c r="IIE131" s="7"/>
      <c r="IIF131" s="21"/>
      <c r="IIG131" s="20"/>
      <c r="IIH131" s="20"/>
      <c r="III131" s="20"/>
      <c r="IIJ131" s="21"/>
      <c r="IIK131" s="21"/>
      <c r="IIL131" s="21"/>
      <c r="IIM131" s="21"/>
      <c r="IIN131" s="21"/>
      <c r="IIO131" s="20"/>
      <c r="IIP131" s="20"/>
      <c r="IIQ131" s="20"/>
      <c r="IIR131" s="20"/>
      <c r="IIS131" s="21"/>
      <c r="IIT131" s="21"/>
      <c r="IIU131" s="7"/>
      <c r="IIV131" s="7"/>
      <c r="IIW131" s="21"/>
      <c r="IIX131" s="20"/>
      <c r="IIY131" s="20"/>
      <c r="IIZ131" s="20"/>
      <c r="IJA131" s="21"/>
      <c r="IJB131" s="21"/>
      <c r="IJC131" s="21"/>
      <c r="IJD131" s="21"/>
      <c r="IJE131" s="21"/>
      <c r="IJF131" s="20"/>
      <c r="IJG131" s="20"/>
      <c r="IJH131" s="20"/>
      <c r="IJI131" s="20"/>
      <c r="IJJ131" s="21"/>
      <c r="IJK131" s="21"/>
      <c r="IJL131" s="7"/>
      <c r="IJM131" s="7"/>
      <c r="IJN131" s="21"/>
      <c r="IJO131" s="20"/>
      <c r="IJP131" s="20"/>
      <c r="IJQ131" s="20"/>
      <c r="IJR131" s="21"/>
      <c r="IJS131" s="21"/>
      <c r="IJT131" s="21"/>
      <c r="IJU131" s="21"/>
      <c r="IJV131" s="21"/>
      <c r="IJW131" s="20"/>
      <c r="IJX131" s="20"/>
      <c r="IJY131" s="20"/>
      <c r="IJZ131" s="20"/>
      <c r="IKA131" s="21"/>
      <c r="IKB131" s="21"/>
      <c r="IKC131" s="7"/>
      <c r="IKD131" s="7"/>
      <c r="IKE131" s="21"/>
      <c r="IKF131" s="20"/>
      <c r="IKG131" s="20"/>
      <c r="IKH131" s="20"/>
      <c r="IKI131" s="21"/>
      <c r="IKJ131" s="21"/>
      <c r="IKK131" s="21"/>
      <c r="IKL131" s="21"/>
      <c r="IKM131" s="21"/>
      <c r="IKN131" s="20"/>
      <c r="IKO131" s="20"/>
      <c r="IKP131" s="20"/>
      <c r="IKQ131" s="20"/>
      <c r="IKR131" s="21"/>
      <c r="IKS131" s="21"/>
      <c r="IKT131" s="7"/>
      <c r="IKU131" s="7"/>
      <c r="IKV131" s="21"/>
      <c r="IKW131" s="20"/>
      <c r="IKX131" s="20"/>
      <c r="IKY131" s="20"/>
      <c r="IKZ131" s="21"/>
      <c r="ILA131" s="21"/>
      <c r="ILB131" s="21"/>
      <c r="ILC131" s="21"/>
      <c r="ILD131" s="21"/>
      <c r="ILE131" s="20"/>
      <c r="ILF131" s="20"/>
      <c r="ILG131" s="20"/>
      <c r="ILH131" s="20"/>
      <c r="ILI131" s="21"/>
      <c r="ILJ131" s="21"/>
      <c r="ILK131" s="7"/>
      <c r="ILL131" s="7"/>
      <c r="ILM131" s="21"/>
      <c r="ILN131" s="20"/>
      <c r="ILO131" s="20"/>
      <c r="ILP131" s="20"/>
      <c r="ILQ131" s="21"/>
      <c r="ILR131" s="21"/>
      <c r="ILS131" s="21"/>
      <c r="ILT131" s="21"/>
      <c r="ILU131" s="21"/>
      <c r="ILV131" s="20"/>
      <c r="ILW131" s="20"/>
      <c r="ILX131" s="20"/>
      <c r="ILY131" s="20"/>
      <c r="ILZ131" s="21"/>
      <c r="IMA131" s="21"/>
      <c r="IMB131" s="7"/>
      <c r="IMC131" s="7"/>
      <c r="IMD131" s="21"/>
      <c r="IME131" s="20"/>
      <c r="IMF131" s="20"/>
      <c r="IMG131" s="20"/>
      <c r="IMH131" s="21"/>
      <c r="IMI131" s="21"/>
      <c r="IMJ131" s="21"/>
      <c r="IMK131" s="21"/>
      <c r="IML131" s="21"/>
      <c r="IMM131" s="20"/>
      <c r="IMN131" s="20"/>
      <c r="IMO131" s="20"/>
      <c r="IMP131" s="20"/>
      <c r="IMQ131" s="21"/>
      <c r="IMR131" s="21"/>
      <c r="IMS131" s="7"/>
      <c r="IMT131" s="7"/>
      <c r="IMU131" s="21"/>
      <c r="IMV131" s="20"/>
      <c r="IMW131" s="20"/>
      <c r="IMX131" s="20"/>
      <c r="IMY131" s="21"/>
      <c r="IMZ131" s="21"/>
      <c r="INA131" s="21"/>
      <c r="INB131" s="21"/>
      <c r="INC131" s="21"/>
      <c r="IND131" s="20"/>
      <c r="INE131" s="20"/>
      <c r="INF131" s="20"/>
      <c r="ING131" s="20"/>
      <c r="INH131" s="21"/>
      <c r="INI131" s="21"/>
      <c r="INJ131" s="7"/>
      <c r="INK131" s="7"/>
      <c r="INL131" s="21"/>
      <c r="INM131" s="20"/>
      <c r="INN131" s="20"/>
      <c r="INO131" s="20"/>
      <c r="INP131" s="21"/>
      <c r="INQ131" s="21"/>
      <c r="INR131" s="21"/>
      <c r="INS131" s="21"/>
      <c r="INT131" s="21"/>
      <c r="INU131" s="20"/>
      <c r="INV131" s="20"/>
      <c r="INW131" s="20"/>
      <c r="INX131" s="20"/>
      <c r="INY131" s="21"/>
      <c r="INZ131" s="21"/>
      <c r="IOA131" s="7"/>
      <c r="IOB131" s="7"/>
      <c r="IOC131" s="21"/>
      <c r="IOD131" s="20"/>
      <c r="IOE131" s="20"/>
      <c r="IOF131" s="20"/>
      <c r="IOG131" s="21"/>
      <c r="IOH131" s="21"/>
      <c r="IOI131" s="21"/>
      <c r="IOJ131" s="21"/>
      <c r="IOK131" s="21"/>
      <c r="IOL131" s="20"/>
      <c r="IOM131" s="20"/>
      <c r="ION131" s="20"/>
      <c r="IOO131" s="20"/>
      <c r="IOP131" s="21"/>
      <c r="IOQ131" s="21"/>
      <c r="IOR131" s="7"/>
      <c r="IOS131" s="7"/>
      <c r="IOT131" s="21"/>
      <c r="IOU131" s="20"/>
      <c r="IOV131" s="20"/>
      <c r="IOW131" s="20"/>
      <c r="IOX131" s="21"/>
      <c r="IOY131" s="21"/>
      <c r="IOZ131" s="21"/>
      <c r="IPA131" s="21"/>
      <c r="IPB131" s="21"/>
      <c r="IPC131" s="20"/>
      <c r="IPD131" s="20"/>
      <c r="IPE131" s="20"/>
      <c r="IPF131" s="20"/>
      <c r="IPG131" s="21"/>
      <c r="IPH131" s="21"/>
      <c r="IPI131" s="7"/>
      <c r="IPJ131" s="7"/>
      <c r="IPK131" s="21"/>
      <c r="IPL131" s="20"/>
      <c r="IPM131" s="20"/>
      <c r="IPN131" s="20"/>
      <c r="IPO131" s="21"/>
      <c r="IPP131" s="21"/>
      <c r="IPQ131" s="21"/>
      <c r="IPR131" s="21"/>
      <c r="IPS131" s="21"/>
      <c r="IPT131" s="20"/>
      <c r="IPU131" s="20"/>
      <c r="IPV131" s="20"/>
      <c r="IPW131" s="20"/>
      <c r="IPX131" s="21"/>
      <c r="IPY131" s="21"/>
      <c r="IPZ131" s="7"/>
      <c r="IQA131" s="7"/>
      <c r="IQB131" s="21"/>
      <c r="IQC131" s="20"/>
      <c r="IQD131" s="20"/>
      <c r="IQE131" s="20"/>
      <c r="IQF131" s="21"/>
      <c r="IQG131" s="21"/>
      <c r="IQH131" s="21"/>
      <c r="IQI131" s="21"/>
      <c r="IQJ131" s="21"/>
      <c r="IQK131" s="20"/>
      <c r="IQL131" s="20"/>
      <c r="IQM131" s="20"/>
      <c r="IQN131" s="20"/>
      <c r="IQO131" s="21"/>
      <c r="IQP131" s="21"/>
      <c r="IQQ131" s="7"/>
      <c r="IQR131" s="7"/>
      <c r="IQS131" s="21"/>
      <c r="IQT131" s="20"/>
      <c r="IQU131" s="20"/>
      <c r="IQV131" s="20"/>
      <c r="IQW131" s="21"/>
      <c r="IQX131" s="21"/>
      <c r="IQY131" s="21"/>
      <c r="IQZ131" s="21"/>
      <c r="IRA131" s="21"/>
      <c r="IRB131" s="20"/>
      <c r="IRC131" s="20"/>
      <c r="IRD131" s="20"/>
      <c r="IRE131" s="20"/>
      <c r="IRF131" s="21"/>
      <c r="IRG131" s="21"/>
      <c r="IRH131" s="7"/>
      <c r="IRI131" s="7"/>
      <c r="IRJ131" s="21"/>
      <c r="IRK131" s="20"/>
      <c r="IRL131" s="20"/>
      <c r="IRM131" s="20"/>
      <c r="IRN131" s="21"/>
      <c r="IRO131" s="21"/>
      <c r="IRP131" s="21"/>
      <c r="IRQ131" s="21"/>
      <c r="IRR131" s="21"/>
      <c r="IRS131" s="20"/>
      <c r="IRT131" s="20"/>
      <c r="IRU131" s="20"/>
      <c r="IRV131" s="20"/>
      <c r="IRW131" s="21"/>
      <c r="IRX131" s="21"/>
      <c r="IRY131" s="7"/>
      <c r="IRZ131" s="7"/>
      <c r="ISA131" s="21"/>
      <c r="ISB131" s="20"/>
      <c r="ISC131" s="20"/>
      <c r="ISD131" s="20"/>
      <c r="ISE131" s="21"/>
      <c r="ISF131" s="21"/>
      <c r="ISG131" s="21"/>
      <c r="ISH131" s="21"/>
      <c r="ISI131" s="21"/>
      <c r="ISJ131" s="20"/>
      <c r="ISK131" s="20"/>
      <c r="ISL131" s="20"/>
      <c r="ISM131" s="20"/>
      <c r="ISN131" s="21"/>
      <c r="ISO131" s="21"/>
      <c r="ISP131" s="7"/>
      <c r="ISQ131" s="7"/>
      <c r="ISR131" s="21"/>
      <c r="ISS131" s="20"/>
      <c r="IST131" s="20"/>
      <c r="ISU131" s="20"/>
      <c r="ISV131" s="21"/>
      <c r="ISW131" s="21"/>
      <c r="ISX131" s="21"/>
      <c r="ISY131" s="21"/>
      <c r="ISZ131" s="21"/>
      <c r="ITA131" s="20"/>
      <c r="ITB131" s="20"/>
      <c r="ITC131" s="20"/>
      <c r="ITD131" s="20"/>
      <c r="ITE131" s="21"/>
      <c r="ITF131" s="21"/>
      <c r="ITG131" s="7"/>
      <c r="ITH131" s="7"/>
      <c r="ITI131" s="21"/>
      <c r="ITJ131" s="20"/>
      <c r="ITK131" s="20"/>
      <c r="ITL131" s="20"/>
      <c r="ITM131" s="21"/>
      <c r="ITN131" s="21"/>
      <c r="ITO131" s="21"/>
      <c r="ITP131" s="21"/>
      <c r="ITQ131" s="21"/>
      <c r="ITR131" s="20"/>
      <c r="ITS131" s="20"/>
      <c r="ITT131" s="20"/>
      <c r="ITU131" s="20"/>
      <c r="ITV131" s="21"/>
      <c r="ITW131" s="21"/>
      <c r="ITX131" s="7"/>
      <c r="ITY131" s="7"/>
      <c r="ITZ131" s="21"/>
      <c r="IUA131" s="20"/>
      <c r="IUB131" s="20"/>
      <c r="IUC131" s="20"/>
      <c r="IUD131" s="21"/>
      <c r="IUE131" s="21"/>
      <c r="IUF131" s="21"/>
      <c r="IUG131" s="21"/>
      <c r="IUH131" s="21"/>
      <c r="IUI131" s="20"/>
      <c r="IUJ131" s="20"/>
      <c r="IUK131" s="20"/>
      <c r="IUL131" s="20"/>
      <c r="IUM131" s="21"/>
      <c r="IUN131" s="21"/>
      <c r="IUO131" s="7"/>
      <c r="IUP131" s="7"/>
      <c r="IUQ131" s="21"/>
      <c r="IUR131" s="20"/>
      <c r="IUS131" s="20"/>
      <c r="IUT131" s="20"/>
      <c r="IUU131" s="21"/>
      <c r="IUV131" s="21"/>
      <c r="IUW131" s="21"/>
      <c r="IUX131" s="21"/>
      <c r="IUY131" s="21"/>
      <c r="IUZ131" s="20"/>
      <c r="IVA131" s="20"/>
      <c r="IVB131" s="20"/>
      <c r="IVC131" s="20"/>
      <c r="IVD131" s="21"/>
      <c r="IVE131" s="21"/>
      <c r="IVF131" s="7"/>
      <c r="IVG131" s="7"/>
      <c r="IVH131" s="21"/>
      <c r="IVI131" s="20"/>
      <c r="IVJ131" s="20"/>
      <c r="IVK131" s="20"/>
      <c r="IVL131" s="21"/>
      <c r="IVM131" s="21"/>
      <c r="IVN131" s="21"/>
      <c r="IVO131" s="21"/>
      <c r="IVP131" s="21"/>
      <c r="IVQ131" s="20"/>
      <c r="IVR131" s="20"/>
      <c r="IVS131" s="20"/>
      <c r="IVT131" s="20"/>
      <c r="IVU131" s="21"/>
      <c r="IVV131" s="21"/>
      <c r="IVW131" s="7"/>
      <c r="IVX131" s="7"/>
      <c r="IVY131" s="21"/>
      <c r="IVZ131" s="20"/>
      <c r="IWA131" s="20"/>
      <c r="IWB131" s="20"/>
      <c r="IWC131" s="21"/>
      <c r="IWD131" s="21"/>
      <c r="IWE131" s="21"/>
      <c r="IWF131" s="21"/>
      <c r="IWG131" s="21"/>
      <c r="IWH131" s="20"/>
      <c r="IWI131" s="20"/>
      <c r="IWJ131" s="20"/>
      <c r="IWK131" s="20"/>
      <c r="IWL131" s="21"/>
      <c r="IWM131" s="21"/>
      <c r="IWN131" s="7"/>
      <c r="IWO131" s="7"/>
      <c r="IWP131" s="21"/>
      <c r="IWQ131" s="20"/>
      <c r="IWR131" s="20"/>
      <c r="IWS131" s="20"/>
      <c r="IWT131" s="21"/>
      <c r="IWU131" s="21"/>
      <c r="IWV131" s="21"/>
      <c r="IWW131" s="21"/>
      <c r="IWX131" s="21"/>
      <c r="IWY131" s="20"/>
      <c r="IWZ131" s="20"/>
      <c r="IXA131" s="20"/>
      <c r="IXB131" s="20"/>
      <c r="IXC131" s="21"/>
      <c r="IXD131" s="21"/>
      <c r="IXE131" s="7"/>
      <c r="IXF131" s="7"/>
      <c r="IXG131" s="21"/>
      <c r="IXH131" s="20"/>
      <c r="IXI131" s="20"/>
      <c r="IXJ131" s="20"/>
      <c r="IXK131" s="21"/>
      <c r="IXL131" s="21"/>
      <c r="IXM131" s="21"/>
      <c r="IXN131" s="21"/>
      <c r="IXO131" s="21"/>
      <c r="IXP131" s="20"/>
      <c r="IXQ131" s="20"/>
      <c r="IXR131" s="20"/>
      <c r="IXS131" s="20"/>
      <c r="IXT131" s="21"/>
      <c r="IXU131" s="21"/>
      <c r="IXV131" s="7"/>
      <c r="IXW131" s="7"/>
      <c r="IXX131" s="21"/>
      <c r="IXY131" s="20"/>
      <c r="IXZ131" s="20"/>
      <c r="IYA131" s="20"/>
      <c r="IYB131" s="21"/>
      <c r="IYC131" s="21"/>
      <c r="IYD131" s="21"/>
      <c r="IYE131" s="21"/>
      <c r="IYF131" s="21"/>
      <c r="IYG131" s="20"/>
      <c r="IYH131" s="20"/>
      <c r="IYI131" s="20"/>
      <c r="IYJ131" s="20"/>
      <c r="IYK131" s="21"/>
      <c r="IYL131" s="21"/>
      <c r="IYM131" s="7"/>
      <c r="IYN131" s="7"/>
      <c r="IYO131" s="21"/>
      <c r="IYP131" s="20"/>
      <c r="IYQ131" s="20"/>
      <c r="IYR131" s="20"/>
      <c r="IYS131" s="21"/>
      <c r="IYT131" s="21"/>
      <c r="IYU131" s="21"/>
      <c r="IYV131" s="21"/>
      <c r="IYW131" s="21"/>
      <c r="IYX131" s="20"/>
      <c r="IYY131" s="20"/>
      <c r="IYZ131" s="20"/>
      <c r="IZA131" s="20"/>
      <c r="IZB131" s="21"/>
      <c r="IZC131" s="21"/>
      <c r="IZD131" s="7"/>
      <c r="IZE131" s="7"/>
      <c r="IZF131" s="21"/>
      <c r="IZG131" s="20"/>
      <c r="IZH131" s="20"/>
      <c r="IZI131" s="20"/>
      <c r="IZJ131" s="21"/>
      <c r="IZK131" s="21"/>
      <c r="IZL131" s="21"/>
      <c r="IZM131" s="21"/>
      <c r="IZN131" s="21"/>
      <c r="IZO131" s="20"/>
      <c r="IZP131" s="20"/>
      <c r="IZQ131" s="20"/>
      <c r="IZR131" s="20"/>
      <c r="IZS131" s="21"/>
      <c r="IZT131" s="21"/>
      <c r="IZU131" s="7"/>
      <c r="IZV131" s="7"/>
      <c r="IZW131" s="21"/>
      <c r="IZX131" s="20"/>
      <c r="IZY131" s="20"/>
      <c r="IZZ131" s="20"/>
      <c r="JAA131" s="21"/>
      <c r="JAB131" s="21"/>
      <c r="JAC131" s="21"/>
      <c r="JAD131" s="21"/>
      <c r="JAE131" s="21"/>
      <c r="JAF131" s="20"/>
      <c r="JAG131" s="20"/>
      <c r="JAH131" s="20"/>
      <c r="JAI131" s="20"/>
      <c r="JAJ131" s="21"/>
      <c r="JAK131" s="21"/>
      <c r="JAL131" s="7"/>
      <c r="JAM131" s="7"/>
      <c r="JAN131" s="21"/>
      <c r="JAO131" s="20"/>
      <c r="JAP131" s="20"/>
      <c r="JAQ131" s="20"/>
      <c r="JAR131" s="21"/>
      <c r="JAS131" s="21"/>
      <c r="JAT131" s="21"/>
      <c r="JAU131" s="21"/>
      <c r="JAV131" s="21"/>
      <c r="JAW131" s="20"/>
      <c r="JAX131" s="20"/>
      <c r="JAY131" s="20"/>
      <c r="JAZ131" s="20"/>
      <c r="JBA131" s="21"/>
      <c r="JBB131" s="21"/>
      <c r="JBC131" s="7"/>
      <c r="JBD131" s="7"/>
      <c r="JBE131" s="21"/>
      <c r="JBF131" s="20"/>
      <c r="JBG131" s="20"/>
      <c r="JBH131" s="20"/>
      <c r="JBI131" s="21"/>
      <c r="JBJ131" s="21"/>
      <c r="JBK131" s="21"/>
      <c r="JBL131" s="21"/>
      <c r="JBM131" s="21"/>
      <c r="JBN131" s="20"/>
      <c r="JBO131" s="20"/>
      <c r="JBP131" s="20"/>
      <c r="JBQ131" s="20"/>
      <c r="JBR131" s="21"/>
      <c r="JBS131" s="21"/>
      <c r="JBT131" s="7"/>
      <c r="JBU131" s="7"/>
      <c r="JBV131" s="21"/>
      <c r="JBW131" s="20"/>
      <c r="JBX131" s="20"/>
      <c r="JBY131" s="20"/>
      <c r="JBZ131" s="21"/>
      <c r="JCA131" s="21"/>
      <c r="JCB131" s="21"/>
      <c r="JCC131" s="21"/>
      <c r="JCD131" s="21"/>
      <c r="JCE131" s="20"/>
      <c r="JCF131" s="20"/>
      <c r="JCG131" s="20"/>
      <c r="JCH131" s="20"/>
      <c r="JCI131" s="21"/>
      <c r="JCJ131" s="21"/>
      <c r="JCK131" s="7"/>
      <c r="JCL131" s="7"/>
      <c r="JCM131" s="21"/>
      <c r="JCN131" s="20"/>
      <c r="JCO131" s="20"/>
      <c r="JCP131" s="20"/>
      <c r="JCQ131" s="21"/>
      <c r="JCR131" s="21"/>
      <c r="JCS131" s="21"/>
      <c r="JCT131" s="21"/>
      <c r="JCU131" s="21"/>
      <c r="JCV131" s="20"/>
      <c r="JCW131" s="20"/>
      <c r="JCX131" s="20"/>
      <c r="JCY131" s="20"/>
      <c r="JCZ131" s="21"/>
      <c r="JDA131" s="21"/>
      <c r="JDB131" s="7"/>
      <c r="JDC131" s="7"/>
      <c r="JDD131" s="21"/>
      <c r="JDE131" s="20"/>
      <c r="JDF131" s="20"/>
      <c r="JDG131" s="20"/>
      <c r="JDH131" s="21"/>
      <c r="JDI131" s="21"/>
      <c r="JDJ131" s="21"/>
      <c r="JDK131" s="21"/>
      <c r="JDL131" s="21"/>
      <c r="JDM131" s="20"/>
      <c r="JDN131" s="20"/>
      <c r="JDO131" s="20"/>
      <c r="JDP131" s="20"/>
      <c r="JDQ131" s="21"/>
      <c r="JDR131" s="21"/>
      <c r="JDS131" s="7"/>
      <c r="JDT131" s="7"/>
      <c r="JDU131" s="21"/>
      <c r="JDV131" s="20"/>
      <c r="JDW131" s="20"/>
      <c r="JDX131" s="20"/>
      <c r="JDY131" s="21"/>
      <c r="JDZ131" s="21"/>
      <c r="JEA131" s="21"/>
      <c r="JEB131" s="21"/>
      <c r="JEC131" s="21"/>
      <c r="JED131" s="20"/>
      <c r="JEE131" s="20"/>
      <c r="JEF131" s="20"/>
      <c r="JEG131" s="20"/>
      <c r="JEH131" s="21"/>
      <c r="JEI131" s="21"/>
      <c r="JEJ131" s="7"/>
      <c r="JEK131" s="7"/>
      <c r="JEL131" s="21"/>
      <c r="JEM131" s="20"/>
      <c r="JEN131" s="20"/>
      <c r="JEO131" s="20"/>
      <c r="JEP131" s="21"/>
      <c r="JEQ131" s="21"/>
      <c r="JER131" s="21"/>
      <c r="JES131" s="21"/>
      <c r="JET131" s="21"/>
      <c r="JEU131" s="20"/>
      <c r="JEV131" s="20"/>
      <c r="JEW131" s="20"/>
      <c r="JEX131" s="20"/>
      <c r="JEY131" s="21"/>
      <c r="JEZ131" s="21"/>
      <c r="JFA131" s="7"/>
      <c r="JFB131" s="7"/>
      <c r="JFC131" s="21"/>
      <c r="JFD131" s="20"/>
      <c r="JFE131" s="20"/>
      <c r="JFF131" s="20"/>
      <c r="JFG131" s="21"/>
      <c r="JFH131" s="21"/>
      <c r="JFI131" s="21"/>
      <c r="JFJ131" s="21"/>
      <c r="JFK131" s="21"/>
      <c r="JFL131" s="20"/>
      <c r="JFM131" s="20"/>
      <c r="JFN131" s="20"/>
      <c r="JFO131" s="20"/>
      <c r="JFP131" s="21"/>
      <c r="JFQ131" s="21"/>
      <c r="JFR131" s="7"/>
      <c r="JFS131" s="7"/>
      <c r="JFT131" s="21"/>
      <c r="JFU131" s="20"/>
      <c r="JFV131" s="20"/>
      <c r="JFW131" s="20"/>
      <c r="JFX131" s="21"/>
      <c r="JFY131" s="21"/>
      <c r="JFZ131" s="21"/>
      <c r="JGA131" s="21"/>
      <c r="JGB131" s="21"/>
      <c r="JGC131" s="20"/>
      <c r="JGD131" s="20"/>
      <c r="JGE131" s="20"/>
      <c r="JGF131" s="20"/>
      <c r="JGG131" s="21"/>
      <c r="JGH131" s="21"/>
      <c r="JGI131" s="7"/>
      <c r="JGJ131" s="7"/>
      <c r="JGK131" s="21"/>
      <c r="JGL131" s="20"/>
      <c r="JGM131" s="20"/>
      <c r="JGN131" s="20"/>
      <c r="JGO131" s="21"/>
      <c r="JGP131" s="21"/>
      <c r="JGQ131" s="21"/>
      <c r="JGR131" s="21"/>
      <c r="JGS131" s="21"/>
      <c r="JGT131" s="20"/>
      <c r="JGU131" s="20"/>
      <c r="JGV131" s="20"/>
      <c r="JGW131" s="20"/>
      <c r="JGX131" s="21"/>
      <c r="JGY131" s="21"/>
      <c r="JGZ131" s="7"/>
      <c r="JHA131" s="7"/>
      <c r="JHB131" s="21"/>
      <c r="JHC131" s="20"/>
      <c r="JHD131" s="20"/>
      <c r="JHE131" s="20"/>
      <c r="JHF131" s="21"/>
      <c r="JHG131" s="21"/>
      <c r="JHH131" s="21"/>
      <c r="JHI131" s="21"/>
      <c r="JHJ131" s="21"/>
      <c r="JHK131" s="20"/>
      <c r="JHL131" s="20"/>
      <c r="JHM131" s="20"/>
      <c r="JHN131" s="20"/>
      <c r="JHO131" s="21"/>
      <c r="JHP131" s="21"/>
      <c r="JHQ131" s="7"/>
      <c r="JHR131" s="7"/>
      <c r="JHS131" s="21"/>
      <c r="JHT131" s="20"/>
      <c r="JHU131" s="20"/>
      <c r="JHV131" s="20"/>
      <c r="JHW131" s="21"/>
      <c r="JHX131" s="21"/>
      <c r="JHY131" s="21"/>
      <c r="JHZ131" s="21"/>
      <c r="JIA131" s="21"/>
      <c r="JIB131" s="20"/>
      <c r="JIC131" s="20"/>
      <c r="JID131" s="20"/>
      <c r="JIE131" s="20"/>
      <c r="JIF131" s="21"/>
      <c r="JIG131" s="21"/>
      <c r="JIH131" s="7"/>
      <c r="JII131" s="7"/>
      <c r="JIJ131" s="21"/>
      <c r="JIK131" s="20"/>
      <c r="JIL131" s="20"/>
      <c r="JIM131" s="20"/>
      <c r="JIN131" s="21"/>
      <c r="JIO131" s="21"/>
      <c r="JIP131" s="21"/>
      <c r="JIQ131" s="21"/>
      <c r="JIR131" s="21"/>
      <c r="JIS131" s="20"/>
      <c r="JIT131" s="20"/>
      <c r="JIU131" s="20"/>
      <c r="JIV131" s="20"/>
      <c r="JIW131" s="21"/>
      <c r="JIX131" s="21"/>
      <c r="JIY131" s="7"/>
      <c r="JIZ131" s="7"/>
      <c r="JJA131" s="21"/>
      <c r="JJB131" s="20"/>
      <c r="JJC131" s="20"/>
      <c r="JJD131" s="20"/>
      <c r="JJE131" s="21"/>
      <c r="JJF131" s="21"/>
      <c r="JJG131" s="21"/>
      <c r="JJH131" s="21"/>
      <c r="JJI131" s="21"/>
      <c r="JJJ131" s="20"/>
      <c r="JJK131" s="20"/>
      <c r="JJL131" s="20"/>
      <c r="JJM131" s="20"/>
      <c r="JJN131" s="21"/>
      <c r="JJO131" s="21"/>
      <c r="JJP131" s="7"/>
      <c r="JJQ131" s="7"/>
      <c r="JJR131" s="21"/>
      <c r="JJS131" s="20"/>
      <c r="JJT131" s="20"/>
      <c r="JJU131" s="20"/>
      <c r="JJV131" s="21"/>
      <c r="JJW131" s="21"/>
      <c r="JJX131" s="21"/>
      <c r="JJY131" s="21"/>
      <c r="JJZ131" s="21"/>
      <c r="JKA131" s="20"/>
      <c r="JKB131" s="20"/>
      <c r="JKC131" s="20"/>
      <c r="JKD131" s="20"/>
      <c r="JKE131" s="21"/>
      <c r="JKF131" s="21"/>
      <c r="JKG131" s="7"/>
      <c r="JKH131" s="7"/>
      <c r="JKI131" s="21"/>
      <c r="JKJ131" s="20"/>
      <c r="JKK131" s="20"/>
      <c r="JKL131" s="20"/>
      <c r="JKM131" s="21"/>
      <c r="JKN131" s="21"/>
      <c r="JKO131" s="21"/>
      <c r="JKP131" s="21"/>
      <c r="JKQ131" s="21"/>
      <c r="JKR131" s="20"/>
      <c r="JKS131" s="20"/>
      <c r="JKT131" s="20"/>
      <c r="JKU131" s="20"/>
      <c r="JKV131" s="21"/>
      <c r="JKW131" s="21"/>
      <c r="JKX131" s="7"/>
      <c r="JKY131" s="7"/>
      <c r="JKZ131" s="21"/>
      <c r="JLA131" s="20"/>
      <c r="JLB131" s="20"/>
      <c r="JLC131" s="20"/>
      <c r="JLD131" s="21"/>
      <c r="JLE131" s="21"/>
      <c r="JLF131" s="21"/>
      <c r="JLG131" s="21"/>
      <c r="JLH131" s="21"/>
      <c r="JLI131" s="20"/>
      <c r="JLJ131" s="20"/>
      <c r="JLK131" s="20"/>
      <c r="JLL131" s="20"/>
      <c r="JLM131" s="21"/>
      <c r="JLN131" s="21"/>
      <c r="JLO131" s="7"/>
      <c r="JLP131" s="7"/>
      <c r="JLQ131" s="21"/>
      <c r="JLR131" s="20"/>
      <c r="JLS131" s="20"/>
      <c r="JLT131" s="20"/>
      <c r="JLU131" s="21"/>
      <c r="JLV131" s="21"/>
      <c r="JLW131" s="21"/>
      <c r="JLX131" s="21"/>
      <c r="JLY131" s="21"/>
      <c r="JLZ131" s="20"/>
      <c r="JMA131" s="20"/>
      <c r="JMB131" s="20"/>
      <c r="JMC131" s="20"/>
      <c r="JMD131" s="21"/>
      <c r="JME131" s="21"/>
      <c r="JMF131" s="7"/>
      <c r="JMG131" s="7"/>
      <c r="JMH131" s="21"/>
      <c r="JMI131" s="20"/>
      <c r="JMJ131" s="20"/>
      <c r="JMK131" s="20"/>
      <c r="JML131" s="21"/>
      <c r="JMM131" s="21"/>
      <c r="JMN131" s="21"/>
      <c r="JMO131" s="21"/>
      <c r="JMP131" s="21"/>
      <c r="JMQ131" s="20"/>
      <c r="JMR131" s="20"/>
      <c r="JMS131" s="20"/>
      <c r="JMT131" s="20"/>
      <c r="JMU131" s="21"/>
      <c r="JMV131" s="21"/>
      <c r="JMW131" s="7"/>
      <c r="JMX131" s="7"/>
      <c r="JMY131" s="21"/>
      <c r="JMZ131" s="20"/>
      <c r="JNA131" s="20"/>
      <c r="JNB131" s="20"/>
      <c r="JNC131" s="21"/>
      <c r="JND131" s="21"/>
      <c r="JNE131" s="21"/>
      <c r="JNF131" s="21"/>
      <c r="JNG131" s="21"/>
      <c r="JNH131" s="20"/>
      <c r="JNI131" s="20"/>
      <c r="JNJ131" s="20"/>
      <c r="JNK131" s="20"/>
      <c r="JNL131" s="21"/>
      <c r="JNM131" s="21"/>
      <c r="JNN131" s="7"/>
      <c r="JNO131" s="7"/>
      <c r="JNP131" s="21"/>
      <c r="JNQ131" s="20"/>
      <c r="JNR131" s="20"/>
      <c r="JNS131" s="20"/>
      <c r="JNT131" s="21"/>
      <c r="JNU131" s="21"/>
      <c r="JNV131" s="21"/>
      <c r="JNW131" s="21"/>
      <c r="JNX131" s="21"/>
      <c r="JNY131" s="20"/>
      <c r="JNZ131" s="20"/>
      <c r="JOA131" s="20"/>
      <c r="JOB131" s="20"/>
      <c r="JOC131" s="21"/>
      <c r="JOD131" s="21"/>
      <c r="JOE131" s="7"/>
      <c r="JOF131" s="7"/>
      <c r="JOG131" s="21"/>
      <c r="JOH131" s="20"/>
      <c r="JOI131" s="20"/>
      <c r="JOJ131" s="20"/>
      <c r="JOK131" s="21"/>
      <c r="JOL131" s="21"/>
      <c r="JOM131" s="21"/>
      <c r="JON131" s="21"/>
      <c r="JOO131" s="21"/>
      <c r="JOP131" s="20"/>
      <c r="JOQ131" s="20"/>
      <c r="JOR131" s="20"/>
      <c r="JOS131" s="20"/>
      <c r="JOT131" s="21"/>
      <c r="JOU131" s="21"/>
      <c r="JOV131" s="7"/>
      <c r="JOW131" s="7"/>
      <c r="JOX131" s="21"/>
      <c r="JOY131" s="20"/>
      <c r="JOZ131" s="20"/>
      <c r="JPA131" s="20"/>
      <c r="JPB131" s="21"/>
      <c r="JPC131" s="21"/>
      <c r="JPD131" s="21"/>
      <c r="JPE131" s="21"/>
      <c r="JPF131" s="21"/>
      <c r="JPG131" s="20"/>
      <c r="JPH131" s="20"/>
      <c r="JPI131" s="20"/>
      <c r="JPJ131" s="20"/>
      <c r="JPK131" s="21"/>
      <c r="JPL131" s="21"/>
      <c r="JPM131" s="7"/>
      <c r="JPN131" s="7"/>
      <c r="JPO131" s="21"/>
      <c r="JPP131" s="20"/>
      <c r="JPQ131" s="20"/>
      <c r="JPR131" s="20"/>
      <c r="JPS131" s="21"/>
      <c r="JPT131" s="21"/>
      <c r="JPU131" s="21"/>
      <c r="JPV131" s="21"/>
      <c r="JPW131" s="21"/>
      <c r="JPX131" s="20"/>
      <c r="JPY131" s="20"/>
      <c r="JPZ131" s="20"/>
      <c r="JQA131" s="20"/>
      <c r="JQB131" s="21"/>
      <c r="JQC131" s="21"/>
      <c r="JQD131" s="7"/>
      <c r="JQE131" s="7"/>
      <c r="JQF131" s="21"/>
      <c r="JQG131" s="20"/>
      <c r="JQH131" s="20"/>
      <c r="JQI131" s="20"/>
      <c r="JQJ131" s="21"/>
      <c r="JQK131" s="21"/>
      <c r="JQL131" s="21"/>
      <c r="JQM131" s="21"/>
      <c r="JQN131" s="21"/>
      <c r="JQO131" s="20"/>
      <c r="JQP131" s="20"/>
      <c r="JQQ131" s="20"/>
      <c r="JQR131" s="20"/>
      <c r="JQS131" s="21"/>
      <c r="JQT131" s="21"/>
      <c r="JQU131" s="7"/>
      <c r="JQV131" s="7"/>
      <c r="JQW131" s="21"/>
      <c r="JQX131" s="20"/>
      <c r="JQY131" s="20"/>
      <c r="JQZ131" s="20"/>
      <c r="JRA131" s="21"/>
      <c r="JRB131" s="21"/>
      <c r="JRC131" s="21"/>
      <c r="JRD131" s="21"/>
      <c r="JRE131" s="21"/>
      <c r="JRF131" s="20"/>
      <c r="JRG131" s="20"/>
      <c r="JRH131" s="20"/>
      <c r="JRI131" s="20"/>
      <c r="JRJ131" s="21"/>
      <c r="JRK131" s="21"/>
      <c r="JRL131" s="7"/>
      <c r="JRM131" s="7"/>
      <c r="JRN131" s="21"/>
      <c r="JRO131" s="20"/>
      <c r="JRP131" s="20"/>
      <c r="JRQ131" s="20"/>
      <c r="JRR131" s="21"/>
      <c r="JRS131" s="21"/>
      <c r="JRT131" s="21"/>
      <c r="JRU131" s="21"/>
      <c r="JRV131" s="21"/>
      <c r="JRW131" s="20"/>
      <c r="JRX131" s="20"/>
      <c r="JRY131" s="20"/>
      <c r="JRZ131" s="20"/>
      <c r="JSA131" s="21"/>
      <c r="JSB131" s="21"/>
      <c r="JSC131" s="7"/>
      <c r="JSD131" s="7"/>
      <c r="JSE131" s="21"/>
      <c r="JSF131" s="20"/>
      <c r="JSG131" s="20"/>
      <c r="JSH131" s="20"/>
      <c r="JSI131" s="21"/>
      <c r="JSJ131" s="21"/>
      <c r="JSK131" s="21"/>
      <c r="JSL131" s="21"/>
      <c r="JSM131" s="21"/>
      <c r="JSN131" s="20"/>
      <c r="JSO131" s="20"/>
      <c r="JSP131" s="20"/>
      <c r="JSQ131" s="20"/>
      <c r="JSR131" s="21"/>
      <c r="JSS131" s="21"/>
      <c r="JST131" s="7"/>
      <c r="JSU131" s="7"/>
      <c r="JSV131" s="21"/>
      <c r="JSW131" s="20"/>
      <c r="JSX131" s="20"/>
      <c r="JSY131" s="20"/>
      <c r="JSZ131" s="21"/>
      <c r="JTA131" s="21"/>
      <c r="JTB131" s="21"/>
      <c r="JTC131" s="21"/>
      <c r="JTD131" s="21"/>
      <c r="JTE131" s="20"/>
      <c r="JTF131" s="20"/>
      <c r="JTG131" s="20"/>
      <c r="JTH131" s="20"/>
      <c r="JTI131" s="21"/>
      <c r="JTJ131" s="21"/>
      <c r="JTK131" s="7"/>
      <c r="JTL131" s="7"/>
      <c r="JTM131" s="21"/>
      <c r="JTN131" s="20"/>
      <c r="JTO131" s="20"/>
      <c r="JTP131" s="20"/>
      <c r="JTQ131" s="21"/>
      <c r="JTR131" s="21"/>
      <c r="JTS131" s="21"/>
      <c r="JTT131" s="21"/>
      <c r="JTU131" s="21"/>
      <c r="JTV131" s="20"/>
      <c r="JTW131" s="20"/>
      <c r="JTX131" s="20"/>
      <c r="JTY131" s="20"/>
      <c r="JTZ131" s="21"/>
      <c r="JUA131" s="21"/>
      <c r="JUB131" s="7"/>
      <c r="JUC131" s="7"/>
      <c r="JUD131" s="21"/>
      <c r="JUE131" s="20"/>
      <c r="JUF131" s="20"/>
      <c r="JUG131" s="20"/>
      <c r="JUH131" s="21"/>
      <c r="JUI131" s="21"/>
      <c r="JUJ131" s="21"/>
      <c r="JUK131" s="21"/>
      <c r="JUL131" s="21"/>
      <c r="JUM131" s="20"/>
      <c r="JUN131" s="20"/>
      <c r="JUO131" s="20"/>
      <c r="JUP131" s="20"/>
      <c r="JUQ131" s="21"/>
      <c r="JUR131" s="21"/>
      <c r="JUS131" s="7"/>
      <c r="JUT131" s="7"/>
      <c r="JUU131" s="21"/>
      <c r="JUV131" s="20"/>
      <c r="JUW131" s="20"/>
      <c r="JUX131" s="20"/>
      <c r="JUY131" s="21"/>
      <c r="JUZ131" s="21"/>
      <c r="JVA131" s="21"/>
      <c r="JVB131" s="21"/>
      <c r="JVC131" s="21"/>
      <c r="JVD131" s="20"/>
      <c r="JVE131" s="20"/>
      <c r="JVF131" s="20"/>
      <c r="JVG131" s="20"/>
      <c r="JVH131" s="21"/>
      <c r="JVI131" s="21"/>
      <c r="JVJ131" s="7"/>
      <c r="JVK131" s="7"/>
      <c r="JVL131" s="21"/>
      <c r="JVM131" s="20"/>
      <c r="JVN131" s="20"/>
      <c r="JVO131" s="20"/>
      <c r="JVP131" s="21"/>
      <c r="JVQ131" s="21"/>
      <c r="JVR131" s="21"/>
      <c r="JVS131" s="21"/>
      <c r="JVT131" s="21"/>
      <c r="JVU131" s="20"/>
      <c r="JVV131" s="20"/>
      <c r="JVW131" s="20"/>
      <c r="JVX131" s="20"/>
      <c r="JVY131" s="21"/>
      <c r="JVZ131" s="21"/>
      <c r="JWA131" s="7"/>
      <c r="JWB131" s="7"/>
      <c r="JWC131" s="21"/>
      <c r="JWD131" s="20"/>
      <c r="JWE131" s="20"/>
      <c r="JWF131" s="20"/>
      <c r="JWG131" s="21"/>
      <c r="JWH131" s="21"/>
      <c r="JWI131" s="21"/>
      <c r="JWJ131" s="21"/>
      <c r="JWK131" s="21"/>
      <c r="JWL131" s="20"/>
      <c r="JWM131" s="20"/>
      <c r="JWN131" s="20"/>
      <c r="JWO131" s="20"/>
      <c r="JWP131" s="21"/>
      <c r="JWQ131" s="21"/>
      <c r="JWR131" s="7"/>
      <c r="JWS131" s="7"/>
      <c r="JWT131" s="21"/>
      <c r="JWU131" s="20"/>
      <c r="JWV131" s="20"/>
      <c r="JWW131" s="20"/>
      <c r="JWX131" s="21"/>
      <c r="JWY131" s="21"/>
      <c r="JWZ131" s="21"/>
      <c r="JXA131" s="21"/>
      <c r="JXB131" s="21"/>
      <c r="JXC131" s="20"/>
      <c r="JXD131" s="20"/>
      <c r="JXE131" s="20"/>
      <c r="JXF131" s="20"/>
      <c r="JXG131" s="21"/>
      <c r="JXH131" s="21"/>
      <c r="JXI131" s="7"/>
      <c r="JXJ131" s="7"/>
      <c r="JXK131" s="21"/>
      <c r="JXL131" s="20"/>
      <c r="JXM131" s="20"/>
      <c r="JXN131" s="20"/>
      <c r="JXO131" s="21"/>
      <c r="JXP131" s="21"/>
      <c r="JXQ131" s="21"/>
      <c r="JXR131" s="21"/>
      <c r="JXS131" s="21"/>
      <c r="JXT131" s="20"/>
      <c r="JXU131" s="20"/>
      <c r="JXV131" s="20"/>
      <c r="JXW131" s="20"/>
      <c r="JXX131" s="21"/>
      <c r="JXY131" s="21"/>
      <c r="JXZ131" s="7"/>
      <c r="JYA131" s="7"/>
      <c r="JYB131" s="21"/>
      <c r="JYC131" s="20"/>
      <c r="JYD131" s="20"/>
      <c r="JYE131" s="20"/>
      <c r="JYF131" s="21"/>
      <c r="JYG131" s="21"/>
      <c r="JYH131" s="21"/>
      <c r="JYI131" s="21"/>
      <c r="JYJ131" s="21"/>
      <c r="JYK131" s="20"/>
      <c r="JYL131" s="20"/>
      <c r="JYM131" s="20"/>
      <c r="JYN131" s="20"/>
      <c r="JYO131" s="21"/>
      <c r="JYP131" s="21"/>
      <c r="JYQ131" s="7"/>
      <c r="JYR131" s="7"/>
      <c r="JYS131" s="21"/>
      <c r="JYT131" s="20"/>
      <c r="JYU131" s="20"/>
      <c r="JYV131" s="20"/>
      <c r="JYW131" s="21"/>
      <c r="JYX131" s="21"/>
      <c r="JYY131" s="21"/>
      <c r="JYZ131" s="21"/>
      <c r="JZA131" s="21"/>
      <c r="JZB131" s="20"/>
      <c r="JZC131" s="20"/>
      <c r="JZD131" s="20"/>
      <c r="JZE131" s="20"/>
      <c r="JZF131" s="21"/>
      <c r="JZG131" s="21"/>
      <c r="JZH131" s="7"/>
      <c r="JZI131" s="7"/>
      <c r="JZJ131" s="21"/>
      <c r="JZK131" s="20"/>
      <c r="JZL131" s="20"/>
      <c r="JZM131" s="20"/>
      <c r="JZN131" s="21"/>
      <c r="JZO131" s="21"/>
      <c r="JZP131" s="21"/>
      <c r="JZQ131" s="21"/>
      <c r="JZR131" s="21"/>
      <c r="JZS131" s="20"/>
      <c r="JZT131" s="20"/>
      <c r="JZU131" s="20"/>
      <c r="JZV131" s="20"/>
      <c r="JZW131" s="21"/>
      <c r="JZX131" s="21"/>
      <c r="JZY131" s="7"/>
      <c r="JZZ131" s="7"/>
      <c r="KAA131" s="21"/>
      <c r="KAB131" s="20"/>
      <c r="KAC131" s="20"/>
      <c r="KAD131" s="20"/>
      <c r="KAE131" s="21"/>
      <c r="KAF131" s="21"/>
      <c r="KAG131" s="21"/>
      <c r="KAH131" s="21"/>
      <c r="KAI131" s="21"/>
      <c r="KAJ131" s="20"/>
      <c r="KAK131" s="20"/>
      <c r="KAL131" s="20"/>
      <c r="KAM131" s="20"/>
      <c r="KAN131" s="21"/>
      <c r="KAO131" s="21"/>
      <c r="KAP131" s="7"/>
      <c r="KAQ131" s="7"/>
      <c r="KAR131" s="21"/>
      <c r="KAS131" s="20"/>
      <c r="KAT131" s="20"/>
      <c r="KAU131" s="20"/>
      <c r="KAV131" s="21"/>
      <c r="KAW131" s="21"/>
      <c r="KAX131" s="21"/>
      <c r="KAY131" s="21"/>
      <c r="KAZ131" s="21"/>
      <c r="KBA131" s="20"/>
      <c r="KBB131" s="20"/>
      <c r="KBC131" s="20"/>
      <c r="KBD131" s="20"/>
      <c r="KBE131" s="21"/>
      <c r="KBF131" s="21"/>
      <c r="KBG131" s="7"/>
      <c r="KBH131" s="7"/>
      <c r="KBI131" s="21"/>
      <c r="KBJ131" s="20"/>
      <c r="KBK131" s="20"/>
      <c r="KBL131" s="20"/>
      <c r="KBM131" s="21"/>
      <c r="KBN131" s="21"/>
      <c r="KBO131" s="21"/>
      <c r="KBP131" s="21"/>
      <c r="KBQ131" s="21"/>
      <c r="KBR131" s="20"/>
      <c r="KBS131" s="20"/>
      <c r="KBT131" s="20"/>
      <c r="KBU131" s="20"/>
      <c r="KBV131" s="21"/>
      <c r="KBW131" s="21"/>
      <c r="KBX131" s="7"/>
      <c r="KBY131" s="7"/>
      <c r="KBZ131" s="21"/>
      <c r="KCA131" s="20"/>
      <c r="KCB131" s="20"/>
      <c r="KCC131" s="20"/>
      <c r="KCD131" s="21"/>
      <c r="KCE131" s="21"/>
      <c r="KCF131" s="21"/>
      <c r="KCG131" s="21"/>
      <c r="KCH131" s="21"/>
      <c r="KCI131" s="20"/>
      <c r="KCJ131" s="20"/>
      <c r="KCK131" s="20"/>
      <c r="KCL131" s="20"/>
      <c r="KCM131" s="21"/>
      <c r="KCN131" s="21"/>
      <c r="KCO131" s="7"/>
      <c r="KCP131" s="7"/>
      <c r="KCQ131" s="21"/>
      <c r="KCR131" s="20"/>
      <c r="KCS131" s="20"/>
      <c r="KCT131" s="20"/>
      <c r="KCU131" s="21"/>
      <c r="KCV131" s="21"/>
      <c r="KCW131" s="21"/>
      <c r="KCX131" s="21"/>
      <c r="KCY131" s="21"/>
      <c r="KCZ131" s="20"/>
      <c r="KDA131" s="20"/>
      <c r="KDB131" s="20"/>
      <c r="KDC131" s="20"/>
      <c r="KDD131" s="21"/>
      <c r="KDE131" s="21"/>
      <c r="KDF131" s="7"/>
      <c r="KDG131" s="7"/>
      <c r="KDH131" s="21"/>
      <c r="KDI131" s="20"/>
      <c r="KDJ131" s="20"/>
      <c r="KDK131" s="20"/>
      <c r="KDL131" s="21"/>
      <c r="KDM131" s="21"/>
      <c r="KDN131" s="21"/>
      <c r="KDO131" s="21"/>
      <c r="KDP131" s="21"/>
      <c r="KDQ131" s="20"/>
      <c r="KDR131" s="20"/>
      <c r="KDS131" s="20"/>
      <c r="KDT131" s="20"/>
      <c r="KDU131" s="21"/>
      <c r="KDV131" s="21"/>
      <c r="KDW131" s="7"/>
      <c r="KDX131" s="7"/>
      <c r="KDY131" s="21"/>
      <c r="KDZ131" s="20"/>
      <c r="KEA131" s="20"/>
      <c r="KEB131" s="20"/>
      <c r="KEC131" s="21"/>
      <c r="KED131" s="21"/>
      <c r="KEE131" s="21"/>
      <c r="KEF131" s="21"/>
      <c r="KEG131" s="21"/>
      <c r="KEH131" s="20"/>
      <c r="KEI131" s="20"/>
      <c r="KEJ131" s="20"/>
      <c r="KEK131" s="20"/>
      <c r="KEL131" s="21"/>
      <c r="KEM131" s="21"/>
      <c r="KEN131" s="7"/>
      <c r="KEO131" s="7"/>
      <c r="KEP131" s="21"/>
      <c r="KEQ131" s="20"/>
      <c r="KER131" s="20"/>
      <c r="KES131" s="20"/>
      <c r="KET131" s="21"/>
      <c r="KEU131" s="21"/>
      <c r="KEV131" s="21"/>
      <c r="KEW131" s="21"/>
      <c r="KEX131" s="21"/>
      <c r="KEY131" s="20"/>
      <c r="KEZ131" s="20"/>
      <c r="KFA131" s="20"/>
      <c r="KFB131" s="20"/>
      <c r="KFC131" s="21"/>
      <c r="KFD131" s="21"/>
      <c r="KFE131" s="7"/>
      <c r="KFF131" s="7"/>
      <c r="KFG131" s="21"/>
      <c r="KFH131" s="20"/>
      <c r="KFI131" s="20"/>
      <c r="KFJ131" s="20"/>
      <c r="KFK131" s="21"/>
      <c r="KFL131" s="21"/>
      <c r="KFM131" s="21"/>
      <c r="KFN131" s="21"/>
      <c r="KFO131" s="21"/>
      <c r="KFP131" s="20"/>
      <c r="KFQ131" s="20"/>
      <c r="KFR131" s="20"/>
      <c r="KFS131" s="20"/>
      <c r="KFT131" s="21"/>
      <c r="KFU131" s="21"/>
      <c r="KFV131" s="7"/>
      <c r="KFW131" s="7"/>
      <c r="KFX131" s="21"/>
      <c r="KFY131" s="20"/>
      <c r="KFZ131" s="20"/>
      <c r="KGA131" s="20"/>
      <c r="KGB131" s="21"/>
      <c r="KGC131" s="21"/>
      <c r="KGD131" s="21"/>
      <c r="KGE131" s="21"/>
      <c r="KGF131" s="21"/>
      <c r="KGG131" s="20"/>
      <c r="KGH131" s="20"/>
      <c r="KGI131" s="20"/>
      <c r="KGJ131" s="20"/>
      <c r="KGK131" s="21"/>
      <c r="KGL131" s="21"/>
      <c r="KGM131" s="7"/>
      <c r="KGN131" s="7"/>
      <c r="KGO131" s="21"/>
      <c r="KGP131" s="20"/>
      <c r="KGQ131" s="20"/>
      <c r="KGR131" s="20"/>
      <c r="KGS131" s="21"/>
      <c r="KGT131" s="21"/>
      <c r="KGU131" s="21"/>
      <c r="KGV131" s="21"/>
      <c r="KGW131" s="21"/>
      <c r="KGX131" s="20"/>
      <c r="KGY131" s="20"/>
      <c r="KGZ131" s="20"/>
      <c r="KHA131" s="20"/>
      <c r="KHB131" s="21"/>
      <c r="KHC131" s="21"/>
      <c r="KHD131" s="7"/>
      <c r="KHE131" s="7"/>
      <c r="KHF131" s="21"/>
      <c r="KHG131" s="20"/>
      <c r="KHH131" s="20"/>
      <c r="KHI131" s="20"/>
      <c r="KHJ131" s="21"/>
      <c r="KHK131" s="21"/>
      <c r="KHL131" s="21"/>
      <c r="KHM131" s="21"/>
      <c r="KHN131" s="21"/>
      <c r="KHO131" s="20"/>
      <c r="KHP131" s="20"/>
      <c r="KHQ131" s="20"/>
      <c r="KHR131" s="20"/>
      <c r="KHS131" s="21"/>
      <c r="KHT131" s="21"/>
      <c r="KHU131" s="7"/>
      <c r="KHV131" s="7"/>
      <c r="KHW131" s="21"/>
      <c r="KHX131" s="20"/>
      <c r="KHY131" s="20"/>
      <c r="KHZ131" s="20"/>
      <c r="KIA131" s="21"/>
      <c r="KIB131" s="21"/>
      <c r="KIC131" s="21"/>
      <c r="KID131" s="21"/>
      <c r="KIE131" s="21"/>
      <c r="KIF131" s="20"/>
      <c r="KIG131" s="20"/>
      <c r="KIH131" s="20"/>
      <c r="KII131" s="20"/>
      <c r="KIJ131" s="21"/>
      <c r="KIK131" s="21"/>
      <c r="KIL131" s="7"/>
      <c r="KIM131" s="7"/>
      <c r="KIN131" s="21"/>
      <c r="KIO131" s="20"/>
      <c r="KIP131" s="20"/>
      <c r="KIQ131" s="20"/>
      <c r="KIR131" s="21"/>
      <c r="KIS131" s="21"/>
      <c r="KIT131" s="21"/>
      <c r="KIU131" s="21"/>
      <c r="KIV131" s="21"/>
      <c r="KIW131" s="20"/>
      <c r="KIX131" s="20"/>
      <c r="KIY131" s="20"/>
      <c r="KIZ131" s="20"/>
      <c r="KJA131" s="21"/>
      <c r="KJB131" s="21"/>
      <c r="KJC131" s="7"/>
      <c r="KJD131" s="7"/>
      <c r="KJE131" s="21"/>
      <c r="KJF131" s="20"/>
      <c r="KJG131" s="20"/>
      <c r="KJH131" s="20"/>
      <c r="KJI131" s="21"/>
      <c r="KJJ131" s="21"/>
      <c r="KJK131" s="21"/>
      <c r="KJL131" s="21"/>
      <c r="KJM131" s="21"/>
      <c r="KJN131" s="20"/>
      <c r="KJO131" s="20"/>
      <c r="KJP131" s="20"/>
      <c r="KJQ131" s="20"/>
      <c r="KJR131" s="21"/>
      <c r="KJS131" s="21"/>
      <c r="KJT131" s="7"/>
      <c r="KJU131" s="7"/>
      <c r="KJV131" s="21"/>
      <c r="KJW131" s="20"/>
      <c r="KJX131" s="20"/>
      <c r="KJY131" s="20"/>
      <c r="KJZ131" s="21"/>
      <c r="KKA131" s="21"/>
      <c r="KKB131" s="21"/>
      <c r="KKC131" s="21"/>
      <c r="KKD131" s="21"/>
      <c r="KKE131" s="20"/>
      <c r="KKF131" s="20"/>
      <c r="KKG131" s="20"/>
      <c r="KKH131" s="20"/>
      <c r="KKI131" s="21"/>
      <c r="KKJ131" s="21"/>
      <c r="KKK131" s="7"/>
      <c r="KKL131" s="7"/>
      <c r="KKM131" s="21"/>
      <c r="KKN131" s="20"/>
      <c r="KKO131" s="20"/>
      <c r="KKP131" s="20"/>
      <c r="KKQ131" s="21"/>
      <c r="KKR131" s="21"/>
      <c r="KKS131" s="21"/>
      <c r="KKT131" s="21"/>
      <c r="KKU131" s="21"/>
      <c r="KKV131" s="20"/>
      <c r="KKW131" s="20"/>
      <c r="KKX131" s="20"/>
      <c r="KKY131" s="20"/>
      <c r="KKZ131" s="21"/>
      <c r="KLA131" s="21"/>
      <c r="KLB131" s="7"/>
      <c r="KLC131" s="7"/>
      <c r="KLD131" s="21"/>
      <c r="KLE131" s="20"/>
      <c r="KLF131" s="20"/>
      <c r="KLG131" s="20"/>
      <c r="KLH131" s="21"/>
      <c r="KLI131" s="21"/>
      <c r="KLJ131" s="21"/>
      <c r="KLK131" s="21"/>
      <c r="KLL131" s="21"/>
      <c r="KLM131" s="20"/>
      <c r="KLN131" s="20"/>
      <c r="KLO131" s="20"/>
      <c r="KLP131" s="20"/>
      <c r="KLQ131" s="21"/>
      <c r="KLR131" s="21"/>
      <c r="KLS131" s="7"/>
      <c r="KLT131" s="7"/>
      <c r="KLU131" s="21"/>
      <c r="KLV131" s="20"/>
      <c r="KLW131" s="20"/>
      <c r="KLX131" s="20"/>
      <c r="KLY131" s="21"/>
      <c r="KLZ131" s="21"/>
      <c r="KMA131" s="21"/>
      <c r="KMB131" s="21"/>
      <c r="KMC131" s="21"/>
      <c r="KMD131" s="20"/>
      <c r="KME131" s="20"/>
      <c r="KMF131" s="20"/>
      <c r="KMG131" s="20"/>
      <c r="KMH131" s="21"/>
      <c r="KMI131" s="21"/>
      <c r="KMJ131" s="7"/>
      <c r="KMK131" s="7"/>
      <c r="KML131" s="21"/>
      <c r="KMM131" s="20"/>
      <c r="KMN131" s="20"/>
      <c r="KMO131" s="20"/>
      <c r="KMP131" s="21"/>
      <c r="KMQ131" s="21"/>
      <c r="KMR131" s="21"/>
      <c r="KMS131" s="21"/>
      <c r="KMT131" s="21"/>
      <c r="KMU131" s="20"/>
      <c r="KMV131" s="20"/>
      <c r="KMW131" s="20"/>
      <c r="KMX131" s="20"/>
      <c r="KMY131" s="21"/>
      <c r="KMZ131" s="21"/>
      <c r="KNA131" s="7"/>
      <c r="KNB131" s="7"/>
      <c r="KNC131" s="21"/>
      <c r="KND131" s="20"/>
      <c r="KNE131" s="20"/>
      <c r="KNF131" s="20"/>
      <c r="KNG131" s="21"/>
      <c r="KNH131" s="21"/>
      <c r="KNI131" s="21"/>
      <c r="KNJ131" s="21"/>
      <c r="KNK131" s="21"/>
      <c r="KNL131" s="20"/>
      <c r="KNM131" s="20"/>
      <c r="KNN131" s="20"/>
      <c r="KNO131" s="20"/>
      <c r="KNP131" s="21"/>
      <c r="KNQ131" s="21"/>
      <c r="KNR131" s="7"/>
      <c r="KNS131" s="7"/>
      <c r="KNT131" s="21"/>
      <c r="KNU131" s="20"/>
      <c r="KNV131" s="20"/>
      <c r="KNW131" s="20"/>
      <c r="KNX131" s="21"/>
      <c r="KNY131" s="21"/>
      <c r="KNZ131" s="21"/>
      <c r="KOA131" s="21"/>
      <c r="KOB131" s="21"/>
      <c r="KOC131" s="20"/>
      <c r="KOD131" s="20"/>
      <c r="KOE131" s="20"/>
      <c r="KOF131" s="20"/>
      <c r="KOG131" s="21"/>
      <c r="KOH131" s="21"/>
      <c r="KOI131" s="7"/>
      <c r="KOJ131" s="7"/>
      <c r="KOK131" s="21"/>
      <c r="KOL131" s="20"/>
      <c r="KOM131" s="20"/>
      <c r="KON131" s="20"/>
      <c r="KOO131" s="21"/>
      <c r="KOP131" s="21"/>
      <c r="KOQ131" s="21"/>
      <c r="KOR131" s="21"/>
      <c r="KOS131" s="21"/>
      <c r="KOT131" s="20"/>
      <c r="KOU131" s="20"/>
      <c r="KOV131" s="20"/>
      <c r="KOW131" s="20"/>
      <c r="KOX131" s="21"/>
      <c r="KOY131" s="21"/>
      <c r="KOZ131" s="7"/>
      <c r="KPA131" s="7"/>
      <c r="KPB131" s="21"/>
      <c r="KPC131" s="20"/>
      <c r="KPD131" s="20"/>
      <c r="KPE131" s="20"/>
      <c r="KPF131" s="21"/>
      <c r="KPG131" s="21"/>
      <c r="KPH131" s="21"/>
      <c r="KPI131" s="21"/>
      <c r="KPJ131" s="21"/>
      <c r="KPK131" s="20"/>
      <c r="KPL131" s="20"/>
      <c r="KPM131" s="20"/>
      <c r="KPN131" s="20"/>
      <c r="KPO131" s="21"/>
      <c r="KPP131" s="21"/>
      <c r="KPQ131" s="7"/>
      <c r="KPR131" s="7"/>
      <c r="KPS131" s="21"/>
      <c r="KPT131" s="20"/>
      <c r="KPU131" s="20"/>
      <c r="KPV131" s="20"/>
      <c r="KPW131" s="21"/>
      <c r="KPX131" s="21"/>
      <c r="KPY131" s="21"/>
      <c r="KPZ131" s="21"/>
      <c r="KQA131" s="21"/>
      <c r="KQB131" s="20"/>
      <c r="KQC131" s="20"/>
      <c r="KQD131" s="20"/>
      <c r="KQE131" s="20"/>
      <c r="KQF131" s="21"/>
      <c r="KQG131" s="21"/>
      <c r="KQH131" s="7"/>
      <c r="KQI131" s="7"/>
      <c r="KQJ131" s="21"/>
      <c r="KQK131" s="20"/>
      <c r="KQL131" s="20"/>
      <c r="KQM131" s="20"/>
      <c r="KQN131" s="21"/>
      <c r="KQO131" s="21"/>
      <c r="KQP131" s="21"/>
      <c r="KQQ131" s="21"/>
      <c r="KQR131" s="21"/>
      <c r="KQS131" s="20"/>
      <c r="KQT131" s="20"/>
      <c r="KQU131" s="20"/>
      <c r="KQV131" s="20"/>
      <c r="KQW131" s="21"/>
      <c r="KQX131" s="21"/>
      <c r="KQY131" s="7"/>
      <c r="KQZ131" s="7"/>
      <c r="KRA131" s="21"/>
      <c r="KRB131" s="20"/>
      <c r="KRC131" s="20"/>
      <c r="KRD131" s="20"/>
      <c r="KRE131" s="21"/>
      <c r="KRF131" s="21"/>
      <c r="KRG131" s="21"/>
      <c r="KRH131" s="21"/>
      <c r="KRI131" s="21"/>
      <c r="KRJ131" s="20"/>
      <c r="KRK131" s="20"/>
      <c r="KRL131" s="20"/>
      <c r="KRM131" s="20"/>
      <c r="KRN131" s="21"/>
      <c r="KRO131" s="21"/>
      <c r="KRP131" s="7"/>
      <c r="KRQ131" s="7"/>
      <c r="KRR131" s="21"/>
      <c r="KRS131" s="20"/>
      <c r="KRT131" s="20"/>
      <c r="KRU131" s="20"/>
      <c r="KRV131" s="21"/>
      <c r="KRW131" s="21"/>
      <c r="KRX131" s="21"/>
      <c r="KRY131" s="21"/>
      <c r="KRZ131" s="21"/>
      <c r="KSA131" s="20"/>
      <c r="KSB131" s="20"/>
      <c r="KSC131" s="20"/>
      <c r="KSD131" s="20"/>
      <c r="KSE131" s="21"/>
      <c r="KSF131" s="21"/>
      <c r="KSG131" s="7"/>
      <c r="KSH131" s="7"/>
      <c r="KSI131" s="21"/>
      <c r="KSJ131" s="20"/>
      <c r="KSK131" s="20"/>
      <c r="KSL131" s="20"/>
      <c r="KSM131" s="21"/>
      <c r="KSN131" s="21"/>
      <c r="KSO131" s="21"/>
      <c r="KSP131" s="21"/>
      <c r="KSQ131" s="21"/>
      <c r="KSR131" s="20"/>
      <c r="KSS131" s="20"/>
      <c r="KST131" s="20"/>
      <c r="KSU131" s="20"/>
      <c r="KSV131" s="21"/>
      <c r="KSW131" s="21"/>
      <c r="KSX131" s="7"/>
      <c r="KSY131" s="7"/>
      <c r="KSZ131" s="21"/>
      <c r="KTA131" s="20"/>
      <c r="KTB131" s="20"/>
      <c r="KTC131" s="20"/>
      <c r="KTD131" s="21"/>
      <c r="KTE131" s="21"/>
      <c r="KTF131" s="21"/>
      <c r="KTG131" s="21"/>
      <c r="KTH131" s="21"/>
      <c r="KTI131" s="20"/>
      <c r="KTJ131" s="20"/>
      <c r="KTK131" s="20"/>
      <c r="KTL131" s="20"/>
      <c r="KTM131" s="21"/>
      <c r="KTN131" s="21"/>
      <c r="KTO131" s="7"/>
      <c r="KTP131" s="7"/>
      <c r="KTQ131" s="21"/>
      <c r="KTR131" s="20"/>
      <c r="KTS131" s="20"/>
      <c r="KTT131" s="20"/>
      <c r="KTU131" s="21"/>
      <c r="KTV131" s="21"/>
      <c r="KTW131" s="21"/>
      <c r="KTX131" s="21"/>
      <c r="KTY131" s="21"/>
      <c r="KTZ131" s="20"/>
      <c r="KUA131" s="20"/>
      <c r="KUB131" s="20"/>
      <c r="KUC131" s="20"/>
      <c r="KUD131" s="21"/>
      <c r="KUE131" s="21"/>
      <c r="KUF131" s="7"/>
      <c r="KUG131" s="7"/>
      <c r="KUH131" s="21"/>
      <c r="KUI131" s="20"/>
      <c r="KUJ131" s="20"/>
      <c r="KUK131" s="20"/>
      <c r="KUL131" s="21"/>
      <c r="KUM131" s="21"/>
      <c r="KUN131" s="21"/>
      <c r="KUO131" s="21"/>
      <c r="KUP131" s="21"/>
      <c r="KUQ131" s="20"/>
      <c r="KUR131" s="20"/>
      <c r="KUS131" s="20"/>
      <c r="KUT131" s="20"/>
      <c r="KUU131" s="21"/>
      <c r="KUV131" s="21"/>
      <c r="KUW131" s="7"/>
      <c r="KUX131" s="7"/>
      <c r="KUY131" s="21"/>
      <c r="KUZ131" s="20"/>
      <c r="KVA131" s="20"/>
      <c r="KVB131" s="20"/>
      <c r="KVC131" s="21"/>
      <c r="KVD131" s="21"/>
      <c r="KVE131" s="21"/>
      <c r="KVF131" s="21"/>
      <c r="KVG131" s="21"/>
      <c r="KVH131" s="20"/>
      <c r="KVI131" s="20"/>
      <c r="KVJ131" s="20"/>
      <c r="KVK131" s="20"/>
      <c r="KVL131" s="21"/>
      <c r="KVM131" s="21"/>
      <c r="KVN131" s="7"/>
      <c r="KVO131" s="7"/>
      <c r="KVP131" s="21"/>
      <c r="KVQ131" s="20"/>
      <c r="KVR131" s="20"/>
      <c r="KVS131" s="20"/>
      <c r="KVT131" s="21"/>
      <c r="KVU131" s="21"/>
      <c r="KVV131" s="21"/>
      <c r="KVW131" s="21"/>
      <c r="KVX131" s="21"/>
      <c r="KVY131" s="20"/>
      <c r="KVZ131" s="20"/>
      <c r="KWA131" s="20"/>
      <c r="KWB131" s="20"/>
      <c r="KWC131" s="21"/>
      <c r="KWD131" s="21"/>
      <c r="KWE131" s="7"/>
      <c r="KWF131" s="7"/>
      <c r="KWG131" s="21"/>
      <c r="KWH131" s="20"/>
      <c r="KWI131" s="20"/>
      <c r="KWJ131" s="20"/>
      <c r="KWK131" s="21"/>
      <c r="KWL131" s="21"/>
      <c r="KWM131" s="21"/>
      <c r="KWN131" s="21"/>
      <c r="KWO131" s="21"/>
      <c r="KWP131" s="20"/>
      <c r="KWQ131" s="20"/>
      <c r="KWR131" s="20"/>
      <c r="KWS131" s="20"/>
      <c r="KWT131" s="21"/>
      <c r="KWU131" s="21"/>
      <c r="KWV131" s="7"/>
      <c r="KWW131" s="7"/>
      <c r="KWX131" s="21"/>
      <c r="KWY131" s="20"/>
      <c r="KWZ131" s="20"/>
      <c r="KXA131" s="20"/>
      <c r="KXB131" s="21"/>
      <c r="KXC131" s="21"/>
      <c r="KXD131" s="21"/>
      <c r="KXE131" s="21"/>
      <c r="KXF131" s="21"/>
      <c r="KXG131" s="20"/>
      <c r="KXH131" s="20"/>
      <c r="KXI131" s="20"/>
      <c r="KXJ131" s="20"/>
      <c r="KXK131" s="21"/>
      <c r="KXL131" s="21"/>
      <c r="KXM131" s="7"/>
      <c r="KXN131" s="7"/>
      <c r="KXO131" s="21"/>
      <c r="KXP131" s="20"/>
      <c r="KXQ131" s="20"/>
      <c r="KXR131" s="20"/>
      <c r="KXS131" s="21"/>
      <c r="KXT131" s="21"/>
      <c r="KXU131" s="21"/>
      <c r="KXV131" s="21"/>
      <c r="KXW131" s="21"/>
      <c r="KXX131" s="20"/>
      <c r="KXY131" s="20"/>
      <c r="KXZ131" s="20"/>
      <c r="KYA131" s="20"/>
      <c r="KYB131" s="21"/>
      <c r="KYC131" s="21"/>
      <c r="KYD131" s="7"/>
      <c r="KYE131" s="7"/>
      <c r="KYF131" s="21"/>
      <c r="KYG131" s="20"/>
      <c r="KYH131" s="20"/>
      <c r="KYI131" s="20"/>
      <c r="KYJ131" s="21"/>
      <c r="KYK131" s="21"/>
      <c r="KYL131" s="21"/>
      <c r="KYM131" s="21"/>
      <c r="KYN131" s="21"/>
      <c r="KYO131" s="20"/>
      <c r="KYP131" s="20"/>
      <c r="KYQ131" s="20"/>
      <c r="KYR131" s="20"/>
      <c r="KYS131" s="21"/>
      <c r="KYT131" s="21"/>
      <c r="KYU131" s="7"/>
      <c r="KYV131" s="7"/>
      <c r="KYW131" s="21"/>
      <c r="KYX131" s="20"/>
      <c r="KYY131" s="20"/>
      <c r="KYZ131" s="20"/>
      <c r="KZA131" s="21"/>
      <c r="KZB131" s="21"/>
      <c r="KZC131" s="21"/>
      <c r="KZD131" s="21"/>
      <c r="KZE131" s="21"/>
      <c r="KZF131" s="20"/>
      <c r="KZG131" s="20"/>
      <c r="KZH131" s="20"/>
      <c r="KZI131" s="20"/>
      <c r="KZJ131" s="21"/>
      <c r="KZK131" s="21"/>
      <c r="KZL131" s="7"/>
      <c r="KZM131" s="7"/>
      <c r="KZN131" s="21"/>
      <c r="KZO131" s="20"/>
      <c r="KZP131" s="20"/>
      <c r="KZQ131" s="20"/>
      <c r="KZR131" s="21"/>
      <c r="KZS131" s="21"/>
      <c r="KZT131" s="21"/>
      <c r="KZU131" s="21"/>
      <c r="KZV131" s="21"/>
      <c r="KZW131" s="20"/>
      <c r="KZX131" s="20"/>
      <c r="KZY131" s="20"/>
      <c r="KZZ131" s="20"/>
      <c r="LAA131" s="21"/>
      <c r="LAB131" s="21"/>
      <c r="LAC131" s="7"/>
      <c r="LAD131" s="7"/>
      <c r="LAE131" s="21"/>
      <c r="LAF131" s="20"/>
      <c r="LAG131" s="20"/>
      <c r="LAH131" s="20"/>
      <c r="LAI131" s="21"/>
      <c r="LAJ131" s="21"/>
      <c r="LAK131" s="21"/>
      <c r="LAL131" s="21"/>
      <c r="LAM131" s="21"/>
      <c r="LAN131" s="20"/>
      <c r="LAO131" s="20"/>
      <c r="LAP131" s="20"/>
      <c r="LAQ131" s="20"/>
      <c r="LAR131" s="21"/>
      <c r="LAS131" s="21"/>
      <c r="LAT131" s="7"/>
      <c r="LAU131" s="7"/>
      <c r="LAV131" s="21"/>
      <c r="LAW131" s="20"/>
      <c r="LAX131" s="20"/>
      <c r="LAY131" s="20"/>
      <c r="LAZ131" s="21"/>
      <c r="LBA131" s="21"/>
      <c r="LBB131" s="21"/>
      <c r="LBC131" s="21"/>
      <c r="LBD131" s="21"/>
      <c r="LBE131" s="20"/>
      <c r="LBF131" s="20"/>
      <c r="LBG131" s="20"/>
      <c r="LBH131" s="20"/>
      <c r="LBI131" s="21"/>
      <c r="LBJ131" s="21"/>
      <c r="LBK131" s="7"/>
      <c r="LBL131" s="7"/>
      <c r="LBM131" s="21"/>
      <c r="LBN131" s="20"/>
      <c r="LBO131" s="20"/>
      <c r="LBP131" s="20"/>
      <c r="LBQ131" s="21"/>
      <c r="LBR131" s="21"/>
      <c r="LBS131" s="21"/>
      <c r="LBT131" s="21"/>
      <c r="LBU131" s="21"/>
      <c r="LBV131" s="20"/>
      <c r="LBW131" s="20"/>
      <c r="LBX131" s="20"/>
      <c r="LBY131" s="20"/>
      <c r="LBZ131" s="21"/>
      <c r="LCA131" s="21"/>
      <c r="LCB131" s="7"/>
      <c r="LCC131" s="7"/>
      <c r="LCD131" s="21"/>
      <c r="LCE131" s="20"/>
      <c r="LCF131" s="20"/>
      <c r="LCG131" s="20"/>
      <c r="LCH131" s="21"/>
      <c r="LCI131" s="21"/>
      <c r="LCJ131" s="21"/>
      <c r="LCK131" s="21"/>
      <c r="LCL131" s="21"/>
      <c r="LCM131" s="20"/>
      <c r="LCN131" s="20"/>
      <c r="LCO131" s="20"/>
      <c r="LCP131" s="20"/>
      <c r="LCQ131" s="21"/>
      <c r="LCR131" s="21"/>
      <c r="LCS131" s="7"/>
      <c r="LCT131" s="7"/>
      <c r="LCU131" s="21"/>
      <c r="LCV131" s="20"/>
      <c r="LCW131" s="20"/>
      <c r="LCX131" s="20"/>
      <c r="LCY131" s="21"/>
      <c r="LCZ131" s="21"/>
      <c r="LDA131" s="21"/>
      <c r="LDB131" s="21"/>
      <c r="LDC131" s="21"/>
      <c r="LDD131" s="20"/>
      <c r="LDE131" s="20"/>
      <c r="LDF131" s="20"/>
      <c r="LDG131" s="20"/>
      <c r="LDH131" s="21"/>
      <c r="LDI131" s="21"/>
      <c r="LDJ131" s="7"/>
      <c r="LDK131" s="7"/>
      <c r="LDL131" s="21"/>
      <c r="LDM131" s="20"/>
      <c r="LDN131" s="20"/>
      <c r="LDO131" s="20"/>
      <c r="LDP131" s="21"/>
      <c r="LDQ131" s="21"/>
      <c r="LDR131" s="21"/>
      <c r="LDS131" s="21"/>
      <c r="LDT131" s="21"/>
      <c r="LDU131" s="20"/>
      <c r="LDV131" s="20"/>
      <c r="LDW131" s="20"/>
      <c r="LDX131" s="20"/>
      <c r="LDY131" s="21"/>
      <c r="LDZ131" s="21"/>
      <c r="LEA131" s="7"/>
      <c r="LEB131" s="7"/>
      <c r="LEC131" s="21"/>
      <c r="LED131" s="20"/>
      <c r="LEE131" s="20"/>
      <c r="LEF131" s="20"/>
      <c r="LEG131" s="21"/>
      <c r="LEH131" s="21"/>
      <c r="LEI131" s="21"/>
      <c r="LEJ131" s="21"/>
      <c r="LEK131" s="21"/>
      <c r="LEL131" s="20"/>
      <c r="LEM131" s="20"/>
      <c r="LEN131" s="20"/>
      <c r="LEO131" s="20"/>
      <c r="LEP131" s="21"/>
      <c r="LEQ131" s="21"/>
      <c r="LER131" s="7"/>
      <c r="LES131" s="7"/>
      <c r="LET131" s="21"/>
      <c r="LEU131" s="20"/>
      <c r="LEV131" s="20"/>
      <c r="LEW131" s="20"/>
      <c r="LEX131" s="21"/>
      <c r="LEY131" s="21"/>
      <c r="LEZ131" s="21"/>
      <c r="LFA131" s="21"/>
      <c r="LFB131" s="21"/>
      <c r="LFC131" s="20"/>
      <c r="LFD131" s="20"/>
      <c r="LFE131" s="20"/>
      <c r="LFF131" s="20"/>
      <c r="LFG131" s="21"/>
      <c r="LFH131" s="21"/>
      <c r="LFI131" s="7"/>
      <c r="LFJ131" s="7"/>
      <c r="LFK131" s="21"/>
      <c r="LFL131" s="20"/>
      <c r="LFM131" s="20"/>
      <c r="LFN131" s="20"/>
      <c r="LFO131" s="21"/>
      <c r="LFP131" s="21"/>
      <c r="LFQ131" s="21"/>
      <c r="LFR131" s="21"/>
      <c r="LFS131" s="21"/>
      <c r="LFT131" s="20"/>
      <c r="LFU131" s="20"/>
      <c r="LFV131" s="20"/>
      <c r="LFW131" s="20"/>
      <c r="LFX131" s="21"/>
      <c r="LFY131" s="21"/>
      <c r="LFZ131" s="7"/>
      <c r="LGA131" s="7"/>
      <c r="LGB131" s="21"/>
      <c r="LGC131" s="20"/>
      <c r="LGD131" s="20"/>
      <c r="LGE131" s="20"/>
      <c r="LGF131" s="21"/>
      <c r="LGG131" s="21"/>
      <c r="LGH131" s="21"/>
      <c r="LGI131" s="21"/>
      <c r="LGJ131" s="21"/>
      <c r="LGK131" s="20"/>
      <c r="LGL131" s="20"/>
      <c r="LGM131" s="20"/>
      <c r="LGN131" s="20"/>
      <c r="LGO131" s="21"/>
      <c r="LGP131" s="21"/>
      <c r="LGQ131" s="7"/>
      <c r="LGR131" s="7"/>
      <c r="LGS131" s="21"/>
      <c r="LGT131" s="20"/>
      <c r="LGU131" s="20"/>
      <c r="LGV131" s="20"/>
      <c r="LGW131" s="21"/>
      <c r="LGX131" s="21"/>
      <c r="LGY131" s="21"/>
      <c r="LGZ131" s="21"/>
      <c r="LHA131" s="21"/>
      <c r="LHB131" s="20"/>
      <c r="LHC131" s="20"/>
      <c r="LHD131" s="20"/>
      <c r="LHE131" s="20"/>
      <c r="LHF131" s="21"/>
      <c r="LHG131" s="21"/>
      <c r="LHH131" s="7"/>
      <c r="LHI131" s="7"/>
      <c r="LHJ131" s="21"/>
      <c r="LHK131" s="20"/>
      <c r="LHL131" s="20"/>
      <c r="LHM131" s="20"/>
      <c r="LHN131" s="21"/>
      <c r="LHO131" s="21"/>
      <c r="LHP131" s="21"/>
      <c r="LHQ131" s="21"/>
      <c r="LHR131" s="21"/>
      <c r="LHS131" s="20"/>
      <c r="LHT131" s="20"/>
      <c r="LHU131" s="20"/>
      <c r="LHV131" s="20"/>
      <c r="LHW131" s="21"/>
      <c r="LHX131" s="21"/>
      <c r="LHY131" s="7"/>
      <c r="LHZ131" s="7"/>
      <c r="LIA131" s="21"/>
      <c r="LIB131" s="20"/>
      <c r="LIC131" s="20"/>
      <c r="LID131" s="20"/>
      <c r="LIE131" s="21"/>
      <c r="LIF131" s="21"/>
      <c r="LIG131" s="21"/>
      <c r="LIH131" s="21"/>
      <c r="LII131" s="21"/>
      <c r="LIJ131" s="20"/>
      <c r="LIK131" s="20"/>
      <c r="LIL131" s="20"/>
      <c r="LIM131" s="20"/>
      <c r="LIN131" s="21"/>
      <c r="LIO131" s="21"/>
      <c r="LIP131" s="7"/>
      <c r="LIQ131" s="7"/>
      <c r="LIR131" s="21"/>
      <c r="LIS131" s="20"/>
      <c r="LIT131" s="20"/>
      <c r="LIU131" s="20"/>
      <c r="LIV131" s="21"/>
      <c r="LIW131" s="21"/>
      <c r="LIX131" s="21"/>
      <c r="LIY131" s="21"/>
      <c r="LIZ131" s="21"/>
      <c r="LJA131" s="20"/>
      <c r="LJB131" s="20"/>
      <c r="LJC131" s="20"/>
      <c r="LJD131" s="20"/>
      <c r="LJE131" s="21"/>
      <c r="LJF131" s="21"/>
      <c r="LJG131" s="7"/>
      <c r="LJH131" s="7"/>
      <c r="LJI131" s="21"/>
      <c r="LJJ131" s="20"/>
      <c r="LJK131" s="20"/>
      <c r="LJL131" s="20"/>
      <c r="LJM131" s="21"/>
      <c r="LJN131" s="21"/>
      <c r="LJO131" s="21"/>
      <c r="LJP131" s="21"/>
      <c r="LJQ131" s="21"/>
      <c r="LJR131" s="20"/>
      <c r="LJS131" s="20"/>
      <c r="LJT131" s="20"/>
      <c r="LJU131" s="20"/>
      <c r="LJV131" s="21"/>
      <c r="LJW131" s="21"/>
      <c r="LJX131" s="7"/>
      <c r="LJY131" s="7"/>
      <c r="LJZ131" s="21"/>
      <c r="LKA131" s="20"/>
      <c r="LKB131" s="20"/>
      <c r="LKC131" s="20"/>
      <c r="LKD131" s="21"/>
      <c r="LKE131" s="21"/>
      <c r="LKF131" s="21"/>
      <c r="LKG131" s="21"/>
      <c r="LKH131" s="21"/>
      <c r="LKI131" s="20"/>
      <c r="LKJ131" s="20"/>
      <c r="LKK131" s="20"/>
      <c r="LKL131" s="20"/>
      <c r="LKM131" s="21"/>
      <c r="LKN131" s="21"/>
      <c r="LKO131" s="7"/>
      <c r="LKP131" s="7"/>
      <c r="LKQ131" s="21"/>
      <c r="LKR131" s="20"/>
      <c r="LKS131" s="20"/>
      <c r="LKT131" s="20"/>
      <c r="LKU131" s="21"/>
      <c r="LKV131" s="21"/>
      <c r="LKW131" s="21"/>
      <c r="LKX131" s="21"/>
      <c r="LKY131" s="21"/>
      <c r="LKZ131" s="20"/>
      <c r="LLA131" s="20"/>
      <c r="LLB131" s="20"/>
      <c r="LLC131" s="20"/>
      <c r="LLD131" s="21"/>
      <c r="LLE131" s="21"/>
      <c r="LLF131" s="7"/>
      <c r="LLG131" s="7"/>
      <c r="LLH131" s="21"/>
      <c r="LLI131" s="20"/>
      <c r="LLJ131" s="20"/>
      <c r="LLK131" s="20"/>
      <c r="LLL131" s="21"/>
      <c r="LLM131" s="21"/>
      <c r="LLN131" s="21"/>
      <c r="LLO131" s="21"/>
      <c r="LLP131" s="21"/>
      <c r="LLQ131" s="20"/>
      <c r="LLR131" s="20"/>
      <c r="LLS131" s="20"/>
      <c r="LLT131" s="20"/>
      <c r="LLU131" s="21"/>
      <c r="LLV131" s="21"/>
      <c r="LLW131" s="7"/>
      <c r="LLX131" s="7"/>
      <c r="LLY131" s="21"/>
      <c r="LLZ131" s="20"/>
      <c r="LMA131" s="20"/>
      <c r="LMB131" s="20"/>
      <c r="LMC131" s="21"/>
      <c r="LMD131" s="21"/>
      <c r="LME131" s="21"/>
      <c r="LMF131" s="21"/>
      <c r="LMG131" s="21"/>
      <c r="LMH131" s="20"/>
      <c r="LMI131" s="20"/>
      <c r="LMJ131" s="20"/>
      <c r="LMK131" s="20"/>
      <c r="LML131" s="21"/>
      <c r="LMM131" s="21"/>
      <c r="LMN131" s="7"/>
      <c r="LMO131" s="7"/>
      <c r="LMP131" s="21"/>
      <c r="LMQ131" s="20"/>
      <c r="LMR131" s="20"/>
      <c r="LMS131" s="20"/>
      <c r="LMT131" s="21"/>
      <c r="LMU131" s="21"/>
      <c r="LMV131" s="21"/>
      <c r="LMW131" s="21"/>
      <c r="LMX131" s="21"/>
      <c r="LMY131" s="20"/>
      <c r="LMZ131" s="20"/>
      <c r="LNA131" s="20"/>
      <c r="LNB131" s="20"/>
      <c r="LNC131" s="21"/>
      <c r="LND131" s="21"/>
      <c r="LNE131" s="7"/>
      <c r="LNF131" s="7"/>
      <c r="LNG131" s="21"/>
      <c r="LNH131" s="20"/>
      <c r="LNI131" s="20"/>
      <c r="LNJ131" s="20"/>
      <c r="LNK131" s="21"/>
      <c r="LNL131" s="21"/>
      <c r="LNM131" s="21"/>
      <c r="LNN131" s="21"/>
      <c r="LNO131" s="21"/>
      <c r="LNP131" s="20"/>
      <c r="LNQ131" s="20"/>
      <c r="LNR131" s="20"/>
      <c r="LNS131" s="20"/>
      <c r="LNT131" s="21"/>
      <c r="LNU131" s="21"/>
      <c r="LNV131" s="7"/>
      <c r="LNW131" s="7"/>
      <c r="LNX131" s="21"/>
      <c r="LNY131" s="20"/>
      <c r="LNZ131" s="20"/>
      <c r="LOA131" s="20"/>
      <c r="LOB131" s="21"/>
      <c r="LOC131" s="21"/>
      <c r="LOD131" s="21"/>
      <c r="LOE131" s="21"/>
      <c r="LOF131" s="21"/>
      <c r="LOG131" s="20"/>
      <c r="LOH131" s="20"/>
      <c r="LOI131" s="20"/>
      <c r="LOJ131" s="20"/>
      <c r="LOK131" s="21"/>
      <c r="LOL131" s="21"/>
      <c r="LOM131" s="7"/>
      <c r="LON131" s="7"/>
      <c r="LOO131" s="21"/>
      <c r="LOP131" s="20"/>
      <c r="LOQ131" s="20"/>
      <c r="LOR131" s="20"/>
      <c r="LOS131" s="21"/>
      <c r="LOT131" s="21"/>
      <c r="LOU131" s="21"/>
      <c r="LOV131" s="21"/>
      <c r="LOW131" s="21"/>
      <c r="LOX131" s="20"/>
      <c r="LOY131" s="20"/>
      <c r="LOZ131" s="20"/>
      <c r="LPA131" s="20"/>
      <c r="LPB131" s="21"/>
      <c r="LPC131" s="21"/>
      <c r="LPD131" s="7"/>
      <c r="LPE131" s="7"/>
      <c r="LPF131" s="21"/>
      <c r="LPG131" s="20"/>
      <c r="LPH131" s="20"/>
      <c r="LPI131" s="20"/>
      <c r="LPJ131" s="21"/>
      <c r="LPK131" s="21"/>
      <c r="LPL131" s="21"/>
      <c r="LPM131" s="21"/>
      <c r="LPN131" s="21"/>
      <c r="LPO131" s="20"/>
      <c r="LPP131" s="20"/>
      <c r="LPQ131" s="20"/>
      <c r="LPR131" s="20"/>
      <c r="LPS131" s="21"/>
      <c r="LPT131" s="21"/>
      <c r="LPU131" s="7"/>
      <c r="LPV131" s="7"/>
      <c r="LPW131" s="21"/>
      <c r="LPX131" s="20"/>
      <c r="LPY131" s="20"/>
      <c r="LPZ131" s="20"/>
      <c r="LQA131" s="21"/>
      <c r="LQB131" s="21"/>
      <c r="LQC131" s="21"/>
      <c r="LQD131" s="21"/>
      <c r="LQE131" s="21"/>
      <c r="LQF131" s="20"/>
      <c r="LQG131" s="20"/>
      <c r="LQH131" s="20"/>
      <c r="LQI131" s="20"/>
      <c r="LQJ131" s="21"/>
      <c r="LQK131" s="21"/>
      <c r="LQL131" s="7"/>
      <c r="LQM131" s="7"/>
      <c r="LQN131" s="21"/>
      <c r="LQO131" s="20"/>
      <c r="LQP131" s="20"/>
      <c r="LQQ131" s="20"/>
      <c r="LQR131" s="21"/>
      <c r="LQS131" s="21"/>
      <c r="LQT131" s="21"/>
      <c r="LQU131" s="21"/>
      <c r="LQV131" s="21"/>
      <c r="LQW131" s="20"/>
      <c r="LQX131" s="20"/>
      <c r="LQY131" s="20"/>
      <c r="LQZ131" s="20"/>
      <c r="LRA131" s="21"/>
      <c r="LRB131" s="21"/>
      <c r="LRC131" s="7"/>
      <c r="LRD131" s="7"/>
      <c r="LRE131" s="21"/>
      <c r="LRF131" s="20"/>
      <c r="LRG131" s="20"/>
      <c r="LRH131" s="20"/>
      <c r="LRI131" s="21"/>
      <c r="LRJ131" s="21"/>
      <c r="LRK131" s="21"/>
      <c r="LRL131" s="21"/>
      <c r="LRM131" s="21"/>
      <c r="LRN131" s="20"/>
      <c r="LRO131" s="20"/>
      <c r="LRP131" s="20"/>
      <c r="LRQ131" s="20"/>
      <c r="LRR131" s="21"/>
      <c r="LRS131" s="21"/>
      <c r="LRT131" s="7"/>
      <c r="LRU131" s="7"/>
      <c r="LRV131" s="21"/>
      <c r="LRW131" s="20"/>
      <c r="LRX131" s="20"/>
      <c r="LRY131" s="20"/>
      <c r="LRZ131" s="21"/>
      <c r="LSA131" s="21"/>
      <c r="LSB131" s="21"/>
      <c r="LSC131" s="21"/>
      <c r="LSD131" s="21"/>
      <c r="LSE131" s="20"/>
      <c r="LSF131" s="20"/>
      <c r="LSG131" s="20"/>
      <c r="LSH131" s="20"/>
      <c r="LSI131" s="21"/>
      <c r="LSJ131" s="21"/>
      <c r="LSK131" s="7"/>
      <c r="LSL131" s="7"/>
      <c r="LSM131" s="21"/>
      <c r="LSN131" s="20"/>
      <c r="LSO131" s="20"/>
      <c r="LSP131" s="20"/>
      <c r="LSQ131" s="21"/>
      <c r="LSR131" s="21"/>
      <c r="LSS131" s="21"/>
      <c r="LST131" s="21"/>
      <c r="LSU131" s="21"/>
      <c r="LSV131" s="20"/>
      <c r="LSW131" s="20"/>
      <c r="LSX131" s="20"/>
      <c r="LSY131" s="20"/>
      <c r="LSZ131" s="21"/>
      <c r="LTA131" s="21"/>
      <c r="LTB131" s="7"/>
      <c r="LTC131" s="7"/>
      <c r="LTD131" s="21"/>
      <c r="LTE131" s="20"/>
      <c r="LTF131" s="20"/>
      <c r="LTG131" s="20"/>
      <c r="LTH131" s="21"/>
      <c r="LTI131" s="21"/>
      <c r="LTJ131" s="21"/>
      <c r="LTK131" s="21"/>
      <c r="LTL131" s="21"/>
      <c r="LTM131" s="20"/>
      <c r="LTN131" s="20"/>
      <c r="LTO131" s="20"/>
      <c r="LTP131" s="20"/>
      <c r="LTQ131" s="21"/>
      <c r="LTR131" s="21"/>
      <c r="LTS131" s="7"/>
      <c r="LTT131" s="7"/>
      <c r="LTU131" s="21"/>
      <c r="LTV131" s="20"/>
      <c r="LTW131" s="20"/>
      <c r="LTX131" s="20"/>
      <c r="LTY131" s="21"/>
      <c r="LTZ131" s="21"/>
      <c r="LUA131" s="21"/>
      <c r="LUB131" s="21"/>
      <c r="LUC131" s="21"/>
      <c r="LUD131" s="20"/>
      <c r="LUE131" s="20"/>
      <c r="LUF131" s="20"/>
      <c r="LUG131" s="20"/>
      <c r="LUH131" s="21"/>
      <c r="LUI131" s="21"/>
      <c r="LUJ131" s="7"/>
      <c r="LUK131" s="7"/>
      <c r="LUL131" s="21"/>
      <c r="LUM131" s="20"/>
      <c r="LUN131" s="20"/>
      <c r="LUO131" s="20"/>
      <c r="LUP131" s="21"/>
      <c r="LUQ131" s="21"/>
      <c r="LUR131" s="21"/>
      <c r="LUS131" s="21"/>
      <c r="LUT131" s="21"/>
      <c r="LUU131" s="20"/>
      <c r="LUV131" s="20"/>
      <c r="LUW131" s="20"/>
      <c r="LUX131" s="20"/>
      <c r="LUY131" s="21"/>
      <c r="LUZ131" s="21"/>
      <c r="LVA131" s="7"/>
      <c r="LVB131" s="7"/>
      <c r="LVC131" s="21"/>
      <c r="LVD131" s="20"/>
      <c r="LVE131" s="20"/>
      <c r="LVF131" s="20"/>
      <c r="LVG131" s="21"/>
      <c r="LVH131" s="21"/>
      <c r="LVI131" s="21"/>
      <c r="LVJ131" s="21"/>
      <c r="LVK131" s="21"/>
      <c r="LVL131" s="20"/>
      <c r="LVM131" s="20"/>
      <c r="LVN131" s="20"/>
      <c r="LVO131" s="20"/>
      <c r="LVP131" s="21"/>
      <c r="LVQ131" s="21"/>
      <c r="LVR131" s="7"/>
      <c r="LVS131" s="7"/>
      <c r="LVT131" s="21"/>
      <c r="LVU131" s="20"/>
      <c r="LVV131" s="20"/>
      <c r="LVW131" s="20"/>
      <c r="LVX131" s="21"/>
      <c r="LVY131" s="21"/>
      <c r="LVZ131" s="21"/>
      <c r="LWA131" s="21"/>
      <c r="LWB131" s="21"/>
      <c r="LWC131" s="20"/>
      <c r="LWD131" s="20"/>
      <c r="LWE131" s="20"/>
      <c r="LWF131" s="20"/>
      <c r="LWG131" s="21"/>
      <c r="LWH131" s="21"/>
      <c r="LWI131" s="7"/>
      <c r="LWJ131" s="7"/>
      <c r="LWK131" s="21"/>
      <c r="LWL131" s="20"/>
      <c r="LWM131" s="20"/>
      <c r="LWN131" s="20"/>
      <c r="LWO131" s="21"/>
      <c r="LWP131" s="21"/>
      <c r="LWQ131" s="21"/>
      <c r="LWR131" s="21"/>
      <c r="LWS131" s="21"/>
      <c r="LWT131" s="20"/>
      <c r="LWU131" s="20"/>
      <c r="LWV131" s="20"/>
      <c r="LWW131" s="20"/>
      <c r="LWX131" s="21"/>
      <c r="LWY131" s="21"/>
      <c r="LWZ131" s="7"/>
      <c r="LXA131" s="7"/>
      <c r="LXB131" s="21"/>
      <c r="LXC131" s="20"/>
      <c r="LXD131" s="20"/>
      <c r="LXE131" s="20"/>
      <c r="LXF131" s="21"/>
      <c r="LXG131" s="21"/>
      <c r="LXH131" s="21"/>
      <c r="LXI131" s="21"/>
      <c r="LXJ131" s="21"/>
      <c r="LXK131" s="20"/>
      <c r="LXL131" s="20"/>
      <c r="LXM131" s="20"/>
      <c r="LXN131" s="20"/>
      <c r="LXO131" s="21"/>
      <c r="LXP131" s="21"/>
      <c r="LXQ131" s="7"/>
      <c r="LXR131" s="7"/>
      <c r="LXS131" s="21"/>
      <c r="LXT131" s="20"/>
      <c r="LXU131" s="20"/>
      <c r="LXV131" s="20"/>
      <c r="LXW131" s="21"/>
      <c r="LXX131" s="21"/>
      <c r="LXY131" s="21"/>
      <c r="LXZ131" s="21"/>
      <c r="LYA131" s="21"/>
      <c r="LYB131" s="20"/>
      <c r="LYC131" s="20"/>
      <c r="LYD131" s="20"/>
      <c r="LYE131" s="20"/>
      <c r="LYF131" s="21"/>
      <c r="LYG131" s="21"/>
      <c r="LYH131" s="7"/>
      <c r="LYI131" s="7"/>
      <c r="LYJ131" s="21"/>
      <c r="LYK131" s="20"/>
      <c r="LYL131" s="20"/>
      <c r="LYM131" s="20"/>
      <c r="LYN131" s="21"/>
      <c r="LYO131" s="21"/>
      <c r="LYP131" s="21"/>
      <c r="LYQ131" s="21"/>
      <c r="LYR131" s="21"/>
      <c r="LYS131" s="20"/>
      <c r="LYT131" s="20"/>
      <c r="LYU131" s="20"/>
      <c r="LYV131" s="20"/>
      <c r="LYW131" s="21"/>
      <c r="LYX131" s="21"/>
      <c r="LYY131" s="7"/>
      <c r="LYZ131" s="7"/>
      <c r="LZA131" s="21"/>
      <c r="LZB131" s="20"/>
      <c r="LZC131" s="20"/>
      <c r="LZD131" s="20"/>
      <c r="LZE131" s="21"/>
      <c r="LZF131" s="21"/>
      <c r="LZG131" s="21"/>
      <c r="LZH131" s="21"/>
      <c r="LZI131" s="21"/>
      <c r="LZJ131" s="20"/>
      <c r="LZK131" s="20"/>
      <c r="LZL131" s="20"/>
      <c r="LZM131" s="20"/>
      <c r="LZN131" s="21"/>
      <c r="LZO131" s="21"/>
      <c r="LZP131" s="7"/>
      <c r="LZQ131" s="7"/>
      <c r="LZR131" s="21"/>
      <c r="LZS131" s="20"/>
      <c r="LZT131" s="20"/>
      <c r="LZU131" s="20"/>
      <c r="LZV131" s="21"/>
      <c r="LZW131" s="21"/>
      <c r="LZX131" s="21"/>
      <c r="LZY131" s="21"/>
      <c r="LZZ131" s="21"/>
      <c r="MAA131" s="20"/>
      <c r="MAB131" s="20"/>
      <c r="MAC131" s="20"/>
      <c r="MAD131" s="20"/>
      <c r="MAE131" s="21"/>
      <c r="MAF131" s="21"/>
      <c r="MAG131" s="7"/>
      <c r="MAH131" s="7"/>
      <c r="MAI131" s="21"/>
      <c r="MAJ131" s="20"/>
      <c r="MAK131" s="20"/>
      <c r="MAL131" s="20"/>
      <c r="MAM131" s="21"/>
      <c r="MAN131" s="21"/>
      <c r="MAO131" s="21"/>
      <c r="MAP131" s="21"/>
      <c r="MAQ131" s="21"/>
      <c r="MAR131" s="20"/>
      <c r="MAS131" s="20"/>
      <c r="MAT131" s="20"/>
      <c r="MAU131" s="20"/>
      <c r="MAV131" s="21"/>
      <c r="MAW131" s="21"/>
      <c r="MAX131" s="7"/>
      <c r="MAY131" s="7"/>
      <c r="MAZ131" s="21"/>
      <c r="MBA131" s="20"/>
      <c r="MBB131" s="20"/>
      <c r="MBC131" s="20"/>
      <c r="MBD131" s="21"/>
      <c r="MBE131" s="21"/>
      <c r="MBF131" s="21"/>
      <c r="MBG131" s="21"/>
      <c r="MBH131" s="21"/>
      <c r="MBI131" s="20"/>
      <c r="MBJ131" s="20"/>
      <c r="MBK131" s="20"/>
      <c r="MBL131" s="20"/>
      <c r="MBM131" s="21"/>
      <c r="MBN131" s="21"/>
      <c r="MBO131" s="7"/>
      <c r="MBP131" s="7"/>
      <c r="MBQ131" s="21"/>
      <c r="MBR131" s="20"/>
      <c r="MBS131" s="20"/>
      <c r="MBT131" s="20"/>
      <c r="MBU131" s="21"/>
      <c r="MBV131" s="21"/>
      <c r="MBW131" s="21"/>
      <c r="MBX131" s="21"/>
      <c r="MBY131" s="21"/>
      <c r="MBZ131" s="20"/>
      <c r="MCA131" s="20"/>
      <c r="MCB131" s="20"/>
      <c r="MCC131" s="20"/>
      <c r="MCD131" s="21"/>
      <c r="MCE131" s="21"/>
      <c r="MCF131" s="7"/>
      <c r="MCG131" s="7"/>
      <c r="MCH131" s="21"/>
      <c r="MCI131" s="20"/>
      <c r="MCJ131" s="20"/>
      <c r="MCK131" s="20"/>
      <c r="MCL131" s="21"/>
      <c r="MCM131" s="21"/>
      <c r="MCN131" s="21"/>
      <c r="MCO131" s="21"/>
      <c r="MCP131" s="21"/>
      <c r="MCQ131" s="20"/>
      <c r="MCR131" s="20"/>
      <c r="MCS131" s="20"/>
      <c r="MCT131" s="20"/>
      <c r="MCU131" s="21"/>
      <c r="MCV131" s="21"/>
      <c r="MCW131" s="7"/>
      <c r="MCX131" s="7"/>
      <c r="MCY131" s="21"/>
      <c r="MCZ131" s="20"/>
      <c r="MDA131" s="20"/>
      <c r="MDB131" s="20"/>
      <c r="MDC131" s="21"/>
      <c r="MDD131" s="21"/>
      <c r="MDE131" s="21"/>
      <c r="MDF131" s="21"/>
      <c r="MDG131" s="21"/>
      <c r="MDH131" s="20"/>
      <c r="MDI131" s="20"/>
      <c r="MDJ131" s="20"/>
      <c r="MDK131" s="20"/>
      <c r="MDL131" s="21"/>
      <c r="MDM131" s="21"/>
      <c r="MDN131" s="7"/>
      <c r="MDO131" s="7"/>
      <c r="MDP131" s="21"/>
      <c r="MDQ131" s="20"/>
      <c r="MDR131" s="20"/>
      <c r="MDS131" s="20"/>
      <c r="MDT131" s="21"/>
      <c r="MDU131" s="21"/>
      <c r="MDV131" s="21"/>
      <c r="MDW131" s="21"/>
      <c r="MDX131" s="21"/>
      <c r="MDY131" s="20"/>
      <c r="MDZ131" s="20"/>
      <c r="MEA131" s="20"/>
      <c r="MEB131" s="20"/>
      <c r="MEC131" s="21"/>
      <c r="MED131" s="21"/>
      <c r="MEE131" s="7"/>
      <c r="MEF131" s="7"/>
      <c r="MEG131" s="21"/>
      <c r="MEH131" s="20"/>
      <c r="MEI131" s="20"/>
      <c r="MEJ131" s="20"/>
      <c r="MEK131" s="21"/>
      <c r="MEL131" s="21"/>
      <c r="MEM131" s="21"/>
      <c r="MEN131" s="21"/>
      <c r="MEO131" s="21"/>
      <c r="MEP131" s="20"/>
      <c r="MEQ131" s="20"/>
      <c r="MER131" s="20"/>
      <c r="MES131" s="20"/>
      <c r="MET131" s="21"/>
      <c r="MEU131" s="21"/>
      <c r="MEV131" s="7"/>
      <c r="MEW131" s="7"/>
      <c r="MEX131" s="21"/>
      <c r="MEY131" s="20"/>
      <c r="MEZ131" s="20"/>
      <c r="MFA131" s="20"/>
      <c r="MFB131" s="21"/>
      <c r="MFC131" s="21"/>
      <c r="MFD131" s="21"/>
      <c r="MFE131" s="21"/>
      <c r="MFF131" s="21"/>
      <c r="MFG131" s="20"/>
      <c r="MFH131" s="20"/>
      <c r="MFI131" s="20"/>
      <c r="MFJ131" s="20"/>
      <c r="MFK131" s="21"/>
      <c r="MFL131" s="21"/>
      <c r="MFM131" s="7"/>
      <c r="MFN131" s="7"/>
      <c r="MFO131" s="21"/>
      <c r="MFP131" s="20"/>
      <c r="MFQ131" s="20"/>
      <c r="MFR131" s="20"/>
      <c r="MFS131" s="21"/>
      <c r="MFT131" s="21"/>
      <c r="MFU131" s="21"/>
      <c r="MFV131" s="21"/>
      <c r="MFW131" s="21"/>
      <c r="MFX131" s="20"/>
      <c r="MFY131" s="20"/>
      <c r="MFZ131" s="20"/>
      <c r="MGA131" s="20"/>
      <c r="MGB131" s="21"/>
      <c r="MGC131" s="21"/>
      <c r="MGD131" s="7"/>
      <c r="MGE131" s="7"/>
      <c r="MGF131" s="21"/>
      <c r="MGG131" s="20"/>
      <c r="MGH131" s="20"/>
      <c r="MGI131" s="20"/>
      <c r="MGJ131" s="21"/>
      <c r="MGK131" s="21"/>
      <c r="MGL131" s="21"/>
      <c r="MGM131" s="21"/>
      <c r="MGN131" s="21"/>
      <c r="MGO131" s="20"/>
      <c r="MGP131" s="20"/>
      <c r="MGQ131" s="20"/>
      <c r="MGR131" s="20"/>
      <c r="MGS131" s="21"/>
      <c r="MGT131" s="21"/>
      <c r="MGU131" s="7"/>
      <c r="MGV131" s="7"/>
      <c r="MGW131" s="21"/>
      <c r="MGX131" s="20"/>
      <c r="MGY131" s="20"/>
      <c r="MGZ131" s="20"/>
      <c r="MHA131" s="21"/>
      <c r="MHB131" s="21"/>
      <c r="MHC131" s="21"/>
      <c r="MHD131" s="21"/>
      <c r="MHE131" s="21"/>
      <c r="MHF131" s="20"/>
      <c r="MHG131" s="20"/>
      <c r="MHH131" s="20"/>
      <c r="MHI131" s="20"/>
      <c r="MHJ131" s="21"/>
      <c r="MHK131" s="21"/>
      <c r="MHL131" s="7"/>
      <c r="MHM131" s="7"/>
      <c r="MHN131" s="21"/>
      <c r="MHO131" s="20"/>
      <c r="MHP131" s="20"/>
      <c r="MHQ131" s="20"/>
      <c r="MHR131" s="21"/>
      <c r="MHS131" s="21"/>
      <c r="MHT131" s="21"/>
      <c r="MHU131" s="21"/>
      <c r="MHV131" s="21"/>
      <c r="MHW131" s="20"/>
      <c r="MHX131" s="20"/>
      <c r="MHY131" s="20"/>
      <c r="MHZ131" s="20"/>
      <c r="MIA131" s="21"/>
      <c r="MIB131" s="21"/>
      <c r="MIC131" s="7"/>
      <c r="MID131" s="7"/>
      <c r="MIE131" s="21"/>
      <c r="MIF131" s="20"/>
      <c r="MIG131" s="20"/>
      <c r="MIH131" s="20"/>
      <c r="MII131" s="21"/>
      <c r="MIJ131" s="21"/>
      <c r="MIK131" s="21"/>
      <c r="MIL131" s="21"/>
      <c r="MIM131" s="21"/>
      <c r="MIN131" s="20"/>
      <c r="MIO131" s="20"/>
      <c r="MIP131" s="20"/>
      <c r="MIQ131" s="20"/>
      <c r="MIR131" s="21"/>
      <c r="MIS131" s="21"/>
      <c r="MIT131" s="7"/>
      <c r="MIU131" s="7"/>
      <c r="MIV131" s="21"/>
      <c r="MIW131" s="20"/>
      <c r="MIX131" s="20"/>
      <c r="MIY131" s="20"/>
      <c r="MIZ131" s="21"/>
      <c r="MJA131" s="21"/>
      <c r="MJB131" s="21"/>
      <c r="MJC131" s="21"/>
      <c r="MJD131" s="21"/>
      <c r="MJE131" s="20"/>
      <c r="MJF131" s="20"/>
      <c r="MJG131" s="20"/>
      <c r="MJH131" s="20"/>
      <c r="MJI131" s="21"/>
      <c r="MJJ131" s="21"/>
      <c r="MJK131" s="7"/>
      <c r="MJL131" s="7"/>
      <c r="MJM131" s="21"/>
      <c r="MJN131" s="20"/>
      <c r="MJO131" s="20"/>
      <c r="MJP131" s="20"/>
      <c r="MJQ131" s="21"/>
      <c r="MJR131" s="21"/>
      <c r="MJS131" s="21"/>
      <c r="MJT131" s="21"/>
      <c r="MJU131" s="21"/>
      <c r="MJV131" s="20"/>
      <c r="MJW131" s="20"/>
      <c r="MJX131" s="20"/>
      <c r="MJY131" s="20"/>
      <c r="MJZ131" s="21"/>
      <c r="MKA131" s="21"/>
      <c r="MKB131" s="7"/>
      <c r="MKC131" s="7"/>
      <c r="MKD131" s="21"/>
      <c r="MKE131" s="20"/>
      <c r="MKF131" s="20"/>
      <c r="MKG131" s="20"/>
      <c r="MKH131" s="21"/>
      <c r="MKI131" s="21"/>
      <c r="MKJ131" s="21"/>
      <c r="MKK131" s="21"/>
      <c r="MKL131" s="21"/>
      <c r="MKM131" s="20"/>
      <c r="MKN131" s="20"/>
      <c r="MKO131" s="20"/>
      <c r="MKP131" s="20"/>
      <c r="MKQ131" s="21"/>
      <c r="MKR131" s="21"/>
      <c r="MKS131" s="7"/>
      <c r="MKT131" s="7"/>
      <c r="MKU131" s="21"/>
      <c r="MKV131" s="20"/>
      <c r="MKW131" s="20"/>
      <c r="MKX131" s="20"/>
      <c r="MKY131" s="21"/>
      <c r="MKZ131" s="21"/>
      <c r="MLA131" s="21"/>
      <c r="MLB131" s="21"/>
      <c r="MLC131" s="21"/>
      <c r="MLD131" s="20"/>
      <c r="MLE131" s="20"/>
      <c r="MLF131" s="20"/>
      <c r="MLG131" s="20"/>
      <c r="MLH131" s="21"/>
      <c r="MLI131" s="21"/>
      <c r="MLJ131" s="7"/>
      <c r="MLK131" s="7"/>
      <c r="MLL131" s="21"/>
      <c r="MLM131" s="20"/>
      <c r="MLN131" s="20"/>
      <c r="MLO131" s="20"/>
      <c r="MLP131" s="21"/>
      <c r="MLQ131" s="21"/>
      <c r="MLR131" s="21"/>
      <c r="MLS131" s="21"/>
      <c r="MLT131" s="21"/>
      <c r="MLU131" s="20"/>
      <c r="MLV131" s="20"/>
      <c r="MLW131" s="20"/>
      <c r="MLX131" s="20"/>
      <c r="MLY131" s="21"/>
      <c r="MLZ131" s="21"/>
      <c r="MMA131" s="7"/>
      <c r="MMB131" s="7"/>
      <c r="MMC131" s="21"/>
      <c r="MMD131" s="20"/>
      <c r="MME131" s="20"/>
      <c r="MMF131" s="20"/>
      <c r="MMG131" s="21"/>
      <c r="MMH131" s="21"/>
      <c r="MMI131" s="21"/>
      <c r="MMJ131" s="21"/>
      <c r="MMK131" s="21"/>
      <c r="MML131" s="20"/>
      <c r="MMM131" s="20"/>
      <c r="MMN131" s="20"/>
      <c r="MMO131" s="20"/>
      <c r="MMP131" s="21"/>
      <c r="MMQ131" s="21"/>
      <c r="MMR131" s="7"/>
      <c r="MMS131" s="7"/>
      <c r="MMT131" s="21"/>
      <c r="MMU131" s="20"/>
      <c r="MMV131" s="20"/>
      <c r="MMW131" s="20"/>
      <c r="MMX131" s="21"/>
      <c r="MMY131" s="21"/>
      <c r="MMZ131" s="21"/>
      <c r="MNA131" s="21"/>
      <c r="MNB131" s="21"/>
      <c r="MNC131" s="20"/>
      <c r="MND131" s="20"/>
      <c r="MNE131" s="20"/>
      <c r="MNF131" s="20"/>
      <c r="MNG131" s="21"/>
      <c r="MNH131" s="21"/>
      <c r="MNI131" s="7"/>
      <c r="MNJ131" s="7"/>
      <c r="MNK131" s="21"/>
      <c r="MNL131" s="20"/>
      <c r="MNM131" s="20"/>
      <c r="MNN131" s="20"/>
      <c r="MNO131" s="21"/>
      <c r="MNP131" s="21"/>
      <c r="MNQ131" s="21"/>
      <c r="MNR131" s="21"/>
      <c r="MNS131" s="21"/>
      <c r="MNT131" s="20"/>
      <c r="MNU131" s="20"/>
      <c r="MNV131" s="20"/>
      <c r="MNW131" s="20"/>
      <c r="MNX131" s="21"/>
      <c r="MNY131" s="21"/>
      <c r="MNZ131" s="7"/>
      <c r="MOA131" s="7"/>
      <c r="MOB131" s="21"/>
      <c r="MOC131" s="20"/>
      <c r="MOD131" s="20"/>
      <c r="MOE131" s="20"/>
      <c r="MOF131" s="21"/>
      <c r="MOG131" s="21"/>
      <c r="MOH131" s="21"/>
      <c r="MOI131" s="21"/>
      <c r="MOJ131" s="21"/>
      <c r="MOK131" s="20"/>
      <c r="MOL131" s="20"/>
      <c r="MOM131" s="20"/>
      <c r="MON131" s="20"/>
      <c r="MOO131" s="21"/>
      <c r="MOP131" s="21"/>
      <c r="MOQ131" s="7"/>
      <c r="MOR131" s="7"/>
      <c r="MOS131" s="21"/>
      <c r="MOT131" s="20"/>
      <c r="MOU131" s="20"/>
      <c r="MOV131" s="20"/>
      <c r="MOW131" s="21"/>
      <c r="MOX131" s="21"/>
      <c r="MOY131" s="21"/>
      <c r="MOZ131" s="21"/>
      <c r="MPA131" s="21"/>
      <c r="MPB131" s="20"/>
      <c r="MPC131" s="20"/>
      <c r="MPD131" s="20"/>
      <c r="MPE131" s="20"/>
      <c r="MPF131" s="21"/>
      <c r="MPG131" s="21"/>
      <c r="MPH131" s="7"/>
      <c r="MPI131" s="7"/>
      <c r="MPJ131" s="21"/>
      <c r="MPK131" s="20"/>
      <c r="MPL131" s="20"/>
      <c r="MPM131" s="20"/>
      <c r="MPN131" s="21"/>
      <c r="MPO131" s="21"/>
      <c r="MPP131" s="21"/>
      <c r="MPQ131" s="21"/>
      <c r="MPR131" s="21"/>
      <c r="MPS131" s="20"/>
      <c r="MPT131" s="20"/>
      <c r="MPU131" s="20"/>
      <c r="MPV131" s="20"/>
      <c r="MPW131" s="21"/>
      <c r="MPX131" s="21"/>
      <c r="MPY131" s="7"/>
      <c r="MPZ131" s="7"/>
      <c r="MQA131" s="21"/>
      <c r="MQB131" s="20"/>
      <c r="MQC131" s="20"/>
      <c r="MQD131" s="20"/>
      <c r="MQE131" s="21"/>
      <c r="MQF131" s="21"/>
      <c r="MQG131" s="21"/>
      <c r="MQH131" s="21"/>
      <c r="MQI131" s="21"/>
      <c r="MQJ131" s="20"/>
      <c r="MQK131" s="20"/>
      <c r="MQL131" s="20"/>
      <c r="MQM131" s="20"/>
      <c r="MQN131" s="21"/>
      <c r="MQO131" s="21"/>
      <c r="MQP131" s="7"/>
      <c r="MQQ131" s="7"/>
      <c r="MQR131" s="21"/>
      <c r="MQS131" s="20"/>
      <c r="MQT131" s="20"/>
      <c r="MQU131" s="20"/>
      <c r="MQV131" s="21"/>
      <c r="MQW131" s="21"/>
      <c r="MQX131" s="21"/>
      <c r="MQY131" s="21"/>
      <c r="MQZ131" s="21"/>
      <c r="MRA131" s="20"/>
      <c r="MRB131" s="20"/>
      <c r="MRC131" s="20"/>
      <c r="MRD131" s="20"/>
      <c r="MRE131" s="21"/>
      <c r="MRF131" s="21"/>
      <c r="MRG131" s="7"/>
      <c r="MRH131" s="7"/>
      <c r="MRI131" s="21"/>
      <c r="MRJ131" s="20"/>
      <c r="MRK131" s="20"/>
      <c r="MRL131" s="20"/>
      <c r="MRM131" s="21"/>
      <c r="MRN131" s="21"/>
      <c r="MRO131" s="21"/>
      <c r="MRP131" s="21"/>
      <c r="MRQ131" s="21"/>
      <c r="MRR131" s="20"/>
      <c r="MRS131" s="20"/>
      <c r="MRT131" s="20"/>
      <c r="MRU131" s="20"/>
      <c r="MRV131" s="21"/>
      <c r="MRW131" s="21"/>
      <c r="MRX131" s="7"/>
      <c r="MRY131" s="7"/>
      <c r="MRZ131" s="21"/>
      <c r="MSA131" s="20"/>
      <c r="MSB131" s="20"/>
      <c r="MSC131" s="20"/>
      <c r="MSD131" s="21"/>
      <c r="MSE131" s="21"/>
      <c r="MSF131" s="21"/>
      <c r="MSG131" s="21"/>
      <c r="MSH131" s="21"/>
      <c r="MSI131" s="20"/>
      <c r="MSJ131" s="20"/>
      <c r="MSK131" s="20"/>
      <c r="MSL131" s="20"/>
      <c r="MSM131" s="21"/>
      <c r="MSN131" s="21"/>
      <c r="MSO131" s="7"/>
      <c r="MSP131" s="7"/>
      <c r="MSQ131" s="21"/>
      <c r="MSR131" s="20"/>
      <c r="MSS131" s="20"/>
      <c r="MST131" s="20"/>
      <c r="MSU131" s="21"/>
      <c r="MSV131" s="21"/>
      <c r="MSW131" s="21"/>
      <c r="MSX131" s="21"/>
      <c r="MSY131" s="21"/>
      <c r="MSZ131" s="20"/>
      <c r="MTA131" s="20"/>
      <c r="MTB131" s="20"/>
      <c r="MTC131" s="20"/>
      <c r="MTD131" s="21"/>
      <c r="MTE131" s="21"/>
      <c r="MTF131" s="7"/>
      <c r="MTG131" s="7"/>
      <c r="MTH131" s="21"/>
      <c r="MTI131" s="20"/>
      <c r="MTJ131" s="20"/>
      <c r="MTK131" s="20"/>
      <c r="MTL131" s="21"/>
      <c r="MTM131" s="21"/>
      <c r="MTN131" s="21"/>
      <c r="MTO131" s="21"/>
      <c r="MTP131" s="21"/>
      <c r="MTQ131" s="20"/>
      <c r="MTR131" s="20"/>
      <c r="MTS131" s="20"/>
      <c r="MTT131" s="20"/>
      <c r="MTU131" s="21"/>
      <c r="MTV131" s="21"/>
      <c r="MTW131" s="7"/>
      <c r="MTX131" s="7"/>
      <c r="MTY131" s="21"/>
      <c r="MTZ131" s="20"/>
      <c r="MUA131" s="20"/>
      <c r="MUB131" s="20"/>
      <c r="MUC131" s="21"/>
      <c r="MUD131" s="21"/>
      <c r="MUE131" s="21"/>
      <c r="MUF131" s="21"/>
      <c r="MUG131" s="21"/>
      <c r="MUH131" s="20"/>
      <c r="MUI131" s="20"/>
      <c r="MUJ131" s="20"/>
      <c r="MUK131" s="20"/>
      <c r="MUL131" s="21"/>
      <c r="MUM131" s="21"/>
      <c r="MUN131" s="7"/>
      <c r="MUO131" s="7"/>
      <c r="MUP131" s="21"/>
      <c r="MUQ131" s="20"/>
      <c r="MUR131" s="20"/>
      <c r="MUS131" s="20"/>
      <c r="MUT131" s="21"/>
      <c r="MUU131" s="21"/>
      <c r="MUV131" s="21"/>
      <c r="MUW131" s="21"/>
      <c r="MUX131" s="21"/>
      <c r="MUY131" s="20"/>
      <c r="MUZ131" s="20"/>
      <c r="MVA131" s="20"/>
      <c r="MVB131" s="20"/>
      <c r="MVC131" s="21"/>
      <c r="MVD131" s="21"/>
      <c r="MVE131" s="7"/>
      <c r="MVF131" s="7"/>
      <c r="MVG131" s="21"/>
      <c r="MVH131" s="20"/>
      <c r="MVI131" s="20"/>
      <c r="MVJ131" s="20"/>
      <c r="MVK131" s="21"/>
      <c r="MVL131" s="21"/>
      <c r="MVM131" s="21"/>
      <c r="MVN131" s="21"/>
      <c r="MVO131" s="21"/>
      <c r="MVP131" s="20"/>
      <c r="MVQ131" s="20"/>
      <c r="MVR131" s="20"/>
      <c r="MVS131" s="20"/>
      <c r="MVT131" s="21"/>
      <c r="MVU131" s="21"/>
      <c r="MVV131" s="7"/>
      <c r="MVW131" s="7"/>
      <c r="MVX131" s="21"/>
      <c r="MVY131" s="20"/>
      <c r="MVZ131" s="20"/>
      <c r="MWA131" s="20"/>
      <c r="MWB131" s="21"/>
      <c r="MWC131" s="21"/>
      <c r="MWD131" s="21"/>
      <c r="MWE131" s="21"/>
      <c r="MWF131" s="21"/>
      <c r="MWG131" s="20"/>
      <c r="MWH131" s="20"/>
      <c r="MWI131" s="20"/>
      <c r="MWJ131" s="20"/>
      <c r="MWK131" s="21"/>
      <c r="MWL131" s="21"/>
      <c r="MWM131" s="7"/>
      <c r="MWN131" s="7"/>
      <c r="MWO131" s="21"/>
      <c r="MWP131" s="20"/>
      <c r="MWQ131" s="20"/>
      <c r="MWR131" s="20"/>
      <c r="MWS131" s="21"/>
      <c r="MWT131" s="21"/>
      <c r="MWU131" s="21"/>
      <c r="MWV131" s="21"/>
      <c r="MWW131" s="21"/>
      <c r="MWX131" s="20"/>
      <c r="MWY131" s="20"/>
      <c r="MWZ131" s="20"/>
      <c r="MXA131" s="20"/>
      <c r="MXB131" s="21"/>
      <c r="MXC131" s="21"/>
      <c r="MXD131" s="7"/>
      <c r="MXE131" s="7"/>
      <c r="MXF131" s="21"/>
      <c r="MXG131" s="20"/>
      <c r="MXH131" s="20"/>
      <c r="MXI131" s="20"/>
      <c r="MXJ131" s="21"/>
      <c r="MXK131" s="21"/>
      <c r="MXL131" s="21"/>
      <c r="MXM131" s="21"/>
      <c r="MXN131" s="21"/>
      <c r="MXO131" s="20"/>
      <c r="MXP131" s="20"/>
      <c r="MXQ131" s="20"/>
      <c r="MXR131" s="20"/>
      <c r="MXS131" s="21"/>
      <c r="MXT131" s="21"/>
      <c r="MXU131" s="7"/>
      <c r="MXV131" s="7"/>
      <c r="MXW131" s="21"/>
      <c r="MXX131" s="20"/>
      <c r="MXY131" s="20"/>
      <c r="MXZ131" s="20"/>
      <c r="MYA131" s="21"/>
      <c r="MYB131" s="21"/>
      <c r="MYC131" s="21"/>
      <c r="MYD131" s="21"/>
      <c r="MYE131" s="21"/>
      <c r="MYF131" s="20"/>
      <c r="MYG131" s="20"/>
      <c r="MYH131" s="20"/>
      <c r="MYI131" s="20"/>
      <c r="MYJ131" s="21"/>
      <c r="MYK131" s="21"/>
      <c r="MYL131" s="7"/>
      <c r="MYM131" s="7"/>
      <c r="MYN131" s="21"/>
      <c r="MYO131" s="20"/>
      <c r="MYP131" s="20"/>
      <c r="MYQ131" s="20"/>
      <c r="MYR131" s="21"/>
      <c r="MYS131" s="21"/>
      <c r="MYT131" s="21"/>
      <c r="MYU131" s="21"/>
      <c r="MYV131" s="21"/>
      <c r="MYW131" s="20"/>
      <c r="MYX131" s="20"/>
      <c r="MYY131" s="20"/>
      <c r="MYZ131" s="20"/>
      <c r="MZA131" s="21"/>
      <c r="MZB131" s="21"/>
      <c r="MZC131" s="7"/>
      <c r="MZD131" s="7"/>
      <c r="MZE131" s="21"/>
      <c r="MZF131" s="20"/>
      <c r="MZG131" s="20"/>
      <c r="MZH131" s="20"/>
      <c r="MZI131" s="21"/>
      <c r="MZJ131" s="21"/>
      <c r="MZK131" s="21"/>
      <c r="MZL131" s="21"/>
      <c r="MZM131" s="21"/>
      <c r="MZN131" s="20"/>
      <c r="MZO131" s="20"/>
      <c r="MZP131" s="20"/>
      <c r="MZQ131" s="20"/>
      <c r="MZR131" s="21"/>
      <c r="MZS131" s="21"/>
      <c r="MZT131" s="7"/>
      <c r="MZU131" s="7"/>
      <c r="MZV131" s="21"/>
      <c r="MZW131" s="20"/>
      <c r="MZX131" s="20"/>
      <c r="MZY131" s="20"/>
      <c r="MZZ131" s="21"/>
      <c r="NAA131" s="21"/>
      <c r="NAB131" s="21"/>
      <c r="NAC131" s="21"/>
      <c r="NAD131" s="21"/>
      <c r="NAE131" s="20"/>
      <c r="NAF131" s="20"/>
      <c r="NAG131" s="20"/>
      <c r="NAH131" s="20"/>
      <c r="NAI131" s="21"/>
      <c r="NAJ131" s="21"/>
      <c r="NAK131" s="7"/>
      <c r="NAL131" s="7"/>
      <c r="NAM131" s="21"/>
      <c r="NAN131" s="20"/>
      <c r="NAO131" s="20"/>
      <c r="NAP131" s="20"/>
      <c r="NAQ131" s="21"/>
      <c r="NAR131" s="21"/>
      <c r="NAS131" s="21"/>
      <c r="NAT131" s="21"/>
      <c r="NAU131" s="21"/>
      <c r="NAV131" s="20"/>
      <c r="NAW131" s="20"/>
      <c r="NAX131" s="20"/>
      <c r="NAY131" s="20"/>
      <c r="NAZ131" s="21"/>
      <c r="NBA131" s="21"/>
      <c r="NBB131" s="7"/>
      <c r="NBC131" s="7"/>
      <c r="NBD131" s="21"/>
      <c r="NBE131" s="20"/>
      <c r="NBF131" s="20"/>
      <c r="NBG131" s="20"/>
      <c r="NBH131" s="21"/>
      <c r="NBI131" s="21"/>
      <c r="NBJ131" s="21"/>
      <c r="NBK131" s="21"/>
      <c r="NBL131" s="21"/>
      <c r="NBM131" s="20"/>
      <c r="NBN131" s="20"/>
      <c r="NBO131" s="20"/>
      <c r="NBP131" s="20"/>
      <c r="NBQ131" s="21"/>
      <c r="NBR131" s="21"/>
      <c r="NBS131" s="7"/>
      <c r="NBT131" s="7"/>
      <c r="NBU131" s="21"/>
      <c r="NBV131" s="20"/>
      <c r="NBW131" s="20"/>
      <c r="NBX131" s="20"/>
      <c r="NBY131" s="21"/>
      <c r="NBZ131" s="21"/>
      <c r="NCA131" s="21"/>
      <c r="NCB131" s="21"/>
      <c r="NCC131" s="21"/>
      <c r="NCD131" s="20"/>
      <c r="NCE131" s="20"/>
      <c r="NCF131" s="20"/>
      <c r="NCG131" s="20"/>
      <c r="NCH131" s="21"/>
      <c r="NCI131" s="21"/>
      <c r="NCJ131" s="7"/>
      <c r="NCK131" s="7"/>
      <c r="NCL131" s="21"/>
      <c r="NCM131" s="20"/>
      <c r="NCN131" s="20"/>
      <c r="NCO131" s="20"/>
      <c r="NCP131" s="21"/>
      <c r="NCQ131" s="21"/>
      <c r="NCR131" s="21"/>
      <c r="NCS131" s="21"/>
      <c r="NCT131" s="21"/>
      <c r="NCU131" s="20"/>
      <c r="NCV131" s="20"/>
      <c r="NCW131" s="20"/>
      <c r="NCX131" s="20"/>
      <c r="NCY131" s="21"/>
      <c r="NCZ131" s="21"/>
      <c r="NDA131" s="7"/>
      <c r="NDB131" s="7"/>
      <c r="NDC131" s="21"/>
      <c r="NDD131" s="20"/>
      <c r="NDE131" s="20"/>
      <c r="NDF131" s="20"/>
      <c r="NDG131" s="21"/>
      <c r="NDH131" s="21"/>
      <c r="NDI131" s="21"/>
      <c r="NDJ131" s="21"/>
      <c r="NDK131" s="21"/>
      <c r="NDL131" s="20"/>
      <c r="NDM131" s="20"/>
      <c r="NDN131" s="20"/>
      <c r="NDO131" s="20"/>
      <c r="NDP131" s="21"/>
      <c r="NDQ131" s="21"/>
      <c r="NDR131" s="7"/>
      <c r="NDS131" s="7"/>
      <c r="NDT131" s="21"/>
      <c r="NDU131" s="20"/>
      <c r="NDV131" s="20"/>
      <c r="NDW131" s="20"/>
      <c r="NDX131" s="21"/>
      <c r="NDY131" s="21"/>
      <c r="NDZ131" s="21"/>
      <c r="NEA131" s="21"/>
      <c r="NEB131" s="21"/>
      <c r="NEC131" s="20"/>
      <c r="NED131" s="20"/>
      <c r="NEE131" s="20"/>
      <c r="NEF131" s="20"/>
      <c r="NEG131" s="21"/>
      <c r="NEH131" s="21"/>
      <c r="NEI131" s="7"/>
      <c r="NEJ131" s="7"/>
      <c r="NEK131" s="21"/>
      <c r="NEL131" s="20"/>
      <c r="NEM131" s="20"/>
      <c r="NEN131" s="20"/>
      <c r="NEO131" s="21"/>
      <c r="NEP131" s="21"/>
      <c r="NEQ131" s="21"/>
      <c r="NER131" s="21"/>
      <c r="NES131" s="21"/>
      <c r="NET131" s="20"/>
      <c r="NEU131" s="20"/>
      <c r="NEV131" s="20"/>
      <c r="NEW131" s="20"/>
      <c r="NEX131" s="21"/>
      <c r="NEY131" s="21"/>
      <c r="NEZ131" s="7"/>
      <c r="NFA131" s="7"/>
      <c r="NFB131" s="21"/>
      <c r="NFC131" s="20"/>
      <c r="NFD131" s="20"/>
      <c r="NFE131" s="20"/>
      <c r="NFF131" s="21"/>
      <c r="NFG131" s="21"/>
      <c r="NFH131" s="21"/>
      <c r="NFI131" s="21"/>
      <c r="NFJ131" s="21"/>
      <c r="NFK131" s="20"/>
      <c r="NFL131" s="20"/>
      <c r="NFM131" s="20"/>
      <c r="NFN131" s="20"/>
      <c r="NFO131" s="21"/>
      <c r="NFP131" s="21"/>
      <c r="NFQ131" s="7"/>
      <c r="NFR131" s="7"/>
      <c r="NFS131" s="21"/>
      <c r="NFT131" s="20"/>
      <c r="NFU131" s="20"/>
      <c r="NFV131" s="20"/>
      <c r="NFW131" s="21"/>
      <c r="NFX131" s="21"/>
      <c r="NFY131" s="21"/>
      <c r="NFZ131" s="21"/>
      <c r="NGA131" s="21"/>
      <c r="NGB131" s="20"/>
      <c r="NGC131" s="20"/>
      <c r="NGD131" s="20"/>
      <c r="NGE131" s="20"/>
      <c r="NGF131" s="21"/>
      <c r="NGG131" s="21"/>
      <c r="NGH131" s="7"/>
      <c r="NGI131" s="7"/>
      <c r="NGJ131" s="21"/>
      <c r="NGK131" s="20"/>
      <c r="NGL131" s="20"/>
      <c r="NGM131" s="20"/>
      <c r="NGN131" s="21"/>
      <c r="NGO131" s="21"/>
      <c r="NGP131" s="21"/>
      <c r="NGQ131" s="21"/>
      <c r="NGR131" s="21"/>
      <c r="NGS131" s="20"/>
      <c r="NGT131" s="20"/>
      <c r="NGU131" s="20"/>
      <c r="NGV131" s="20"/>
      <c r="NGW131" s="21"/>
      <c r="NGX131" s="21"/>
      <c r="NGY131" s="7"/>
      <c r="NGZ131" s="7"/>
      <c r="NHA131" s="21"/>
      <c r="NHB131" s="20"/>
      <c r="NHC131" s="20"/>
      <c r="NHD131" s="20"/>
      <c r="NHE131" s="21"/>
      <c r="NHF131" s="21"/>
      <c r="NHG131" s="21"/>
      <c r="NHH131" s="21"/>
      <c r="NHI131" s="21"/>
      <c r="NHJ131" s="20"/>
      <c r="NHK131" s="20"/>
      <c r="NHL131" s="20"/>
      <c r="NHM131" s="20"/>
      <c r="NHN131" s="21"/>
      <c r="NHO131" s="21"/>
      <c r="NHP131" s="7"/>
      <c r="NHQ131" s="7"/>
      <c r="NHR131" s="21"/>
      <c r="NHS131" s="20"/>
      <c r="NHT131" s="20"/>
      <c r="NHU131" s="20"/>
      <c r="NHV131" s="21"/>
      <c r="NHW131" s="21"/>
      <c r="NHX131" s="21"/>
      <c r="NHY131" s="21"/>
      <c r="NHZ131" s="21"/>
      <c r="NIA131" s="20"/>
      <c r="NIB131" s="20"/>
      <c r="NIC131" s="20"/>
      <c r="NID131" s="20"/>
      <c r="NIE131" s="21"/>
      <c r="NIF131" s="21"/>
      <c r="NIG131" s="7"/>
      <c r="NIH131" s="7"/>
      <c r="NII131" s="21"/>
      <c r="NIJ131" s="20"/>
      <c r="NIK131" s="20"/>
      <c r="NIL131" s="20"/>
      <c r="NIM131" s="21"/>
      <c r="NIN131" s="21"/>
      <c r="NIO131" s="21"/>
      <c r="NIP131" s="21"/>
      <c r="NIQ131" s="21"/>
      <c r="NIR131" s="20"/>
      <c r="NIS131" s="20"/>
      <c r="NIT131" s="20"/>
      <c r="NIU131" s="20"/>
      <c r="NIV131" s="21"/>
      <c r="NIW131" s="21"/>
      <c r="NIX131" s="7"/>
      <c r="NIY131" s="7"/>
      <c r="NIZ131" s="21"/>
      <c r="NJA131" s="20"/>
      <c r="NJB131" s="20"/>
      <c r="NJC131" s="20"/>
      <c r="NJD131" s="21"/>
      <c r="NJE131" s="21"/>
      <c r="NJF131" s="21"/>
      <c r="NJG131" s="21"/>
      <c r="NJH131" s="21"/>
      <c r="NJI131" s="20"/>
      <c r="NJJ131" s="20"/>
      <c r="NJK131" s="20"/>
      <c r="NJL131" s="20"/>
      <c r="NJM131" s="21"/>
      <c r="NJN131" s="21"/>
      <c r="NJO131" s="7"/>
      <c r="NJP131" s="7"/>
      <c r="NJQ131" s="21"/>
      <c r="NJR131" s="20"/>
      <c r="NJS131" s="20"/>
      <c r="NJT131" s="20"/>
      <c r="NJU131" s="21"/>
      <c r="NJV131" s="21"/>
      <c r="NJW131" s="21"/>
      <c r="NJX131" s="21"/>
      <c r="NJY131" s="21"/>
      <c r="NJZ131" s="20"/>
      <c r="NKA131" s="20"/>
      <c r="NKB131" s="20"/>
      <c r="NKC131" s="20"/>
      <c r="NKD131" s="21"/>
      <c r="NKE131" s="21"/>
      <c r="NKF131" s="7"/>
      <c r="NKG131" s="7"/>
      <c r="NKH131" s="21"/>
      <c r="NKI131" s="20"/>
      <c r="NKJ131" s="20"/>
      <c r="NKK131" s="20"/>
      <c r="NKL131" s="21"/>
      <c r="NKM131" s="21"/>
      <c r="NKN131" s="21"/>
      <c r="NKO131" s="21"/>
      <c r="NKP131" s="21"/>
      <c r="NKQ131" s="20"/>
      <c r="NKR131" s="20"/>
      <c r="NKS131" s="20"/>
      <c r="NKT131" s="20"/>
      <c r="NKU131" s="21"/>
      <c r="NKV131" s="21"/>
      <c r="NKW131" s="7"/>
      <c r="NKX131" s="7"/>
      <c r="NKY131" s="21"/>
      <c r="NKZ131" s="20"/>
      <c r="NLA131" s="20"/>
      <c r="NLB131" s="20"/>
      <c r="NLC131" s="21"/>
      <c r="NLD131" s="21"/>
      <c r="NLE131" s="21"/>
      <c r="NLF131" s="21"/>
      <c r="NLG131" s="21"/>
      <c r="NLH131" s="20"/>
      <c r="NLI131" s="20"/>
      <c r="NLJ131" s="20"/>
      <c r="NLK131" s="20"/>
      <c r="NLL131" s="21"/>
      <c r="NLM131" s="21"/>
      <c r="NLN131" s="7"/>
      <c r="NLO131" s="7"/>
      <c r="NLP131" s="21"/>
      <c r="NLQ131" s="20"/>
      <c r="NLR131" s="20"/>
      <c r="NLS131" s="20"/>
      <c r="NLT131" s="21"/>
      <c r="NLU131" s="21"/>
      <c r="NLV131" s="21"/>
      <c r="NLW131" s="21"/>
      <c r="NLX131" s="21"/>
      <c r="NLY131" s="20"/>
      <c r="NLZ131" s="20"/>
      <c r="NMA131" s="20"/>
      <c r="NMB131" s="20"/>
      <c r="NMC131" s="21"/>
      <c r="NMD131" s="21"/>
      <c r="NME131" s="7"/>
      <c r="NMF131" s="7"/>
      <c r="NMG131" s="21"/>
      <c r="NMH131" s="20"/>
      <c r="NMI131" s="20"/>
      <c r="NMJ131" s="20"/>
      <c r="NMK131" s="21"/>
      <c r="NML131" s="21"/>
      <c r="NMM131" s="21"/>
      <c r="NMN131" s="21"/>
      <c r="NMO131" s="21"/>
      <c r="NMP131" s="20"/>
      <c r="NMQ131" s="20"/>
      <c r="NMR131" s="20"/>
      <c r="NMS131" s="20"/>
      <c r="NMT131" s="21"/>
      <c r="NMU131" s="21"/>
      <c r="NMV131" s="7"/>
      <c r="NMW131" s="7"/>
      <c r="NMX131" s="21"/>
      <c r="NMY131" s="20"/>
      <c r="NMZ131" s="20"/>
      <c r="NNA131" s="20"/>
      <c r="NNB131" s="21"/>
      <c r="NNC131" s="21"/>
      <c r="NND131" s="21"/>
      <c r="NNE131" s="21"/>
      <c r="NNF131" s="21"/>
      <c r="NNG131" s="20"/>
      <c r="NNH131" s="20"/>
      <c r="NNI131" s="20"/>
      <c r="NNJ131" s="20"/>
      <c r="NNK131" s="21"/>
      <c r="NNL131" s="21"/>
      <c r="NNM131" s="7"/>
      <c r="NNN131" s="7"/>
      <c r="NNO131" s="21"/>
      <c r="NNP131" s="20"/>
      <c r="NNQ131" s="20"/>
      <c r="NNR131" s="20"/>
      <c r="NNS131" s="21"/>
      <c r="NNT131" s="21"/>
      <c r="NNU131" s="21"/>
      <c r="NNV131" s="21"/>
      <c r="NNW131" s="21"/>
      <c r="NNX131" s="20"/>
      <c r="NNY131" s="20"/>
      <c r="NNZ131" s="20"/>
      <c r="NOA131" s="20"/>
      <c r="NOB131" s="21"/>
      <c r="NOC131" s="21"/>
      <c r="NOD131" s="7"/>
      <c r="NOE131" s="7"/>
      <c r="NOF131" s="21"/>
      <c r="NOG131" s="20"/>
      <c r="NOH131" s="20"/>
      <c r="NOI131" s="20"/>
      <c r="NOJ131" s="21"/>
      <c r="NOK131" s="21"/>
      <c r="NOL131" s="21"/>
      <c r="NOM131" s="21"/>
      <c r="NON131" s="21"/>
      <c r="NOO131" s="20"/>
      <c r="NOP131" s="20"/>
      <c r="NOQ131" s="20"/>
      <c r="NOR131" s="20"/>
      <c r="NOS131" s="21"/>
      <c r="NOT131" s="21"/>
      <c r="NOU131" s="7"/>
      <c r="NOV131" s="7"/>
      <c r="NOW131" s="21"/>
      <c r="NOX131" s="20"/>
      <c r="NOY131" s="20"/>
      <c r="NOZ131" s="20"/>
      <c r="NPA131" s="21"/>
      <c r="NPB131" s="21"/>
      <c r="NPC131" s="21"/>
      <c r="NPD131" s="21"/>
      <c r="NPE131" s="21"/>
      <c r="NPF131" s="20"/>
      <c r="NPG131" s="20"/>
      <c r="NPH131" s="20"/>
      <c r="NPI131" s="20"/>
      <c r="NPJ131" s="21"/>
      <c r="NPK131" s="21"/>
      <c r="NPL131" s="7"/>
      <c r="NPM131" s="7"/>
      <c r="NPN131" s="21"/>
      <c r="NPO131" s="20"/>
      <c r="NPP131" s="20"/>
      <c r="NPQ131" s="20"/>
      <c r="NPR131" s="21"/>
      <c r="NPS131" s="21"/>
      <c r="NPT131" s="21"/>
      <c r="NPU131" s="21"/>
      <c r="NPV131" s="21"/>
      <c r="NPW131" s="20"/>
      <c r="NPX131" s="20"/>
      <c r="NPY131" s="20"/>
      <c r="NPZ131" s="20"/>
      <c r="NQA131" s="21"/>
      <c r="NQB131" s="21"/>
      <c r="NQC131" s="7"/>
      <c r="NQD131" s="7"/>
      <c r="NQE131" s="21"/>
      <c r="NQF131" s="20"/>
      <c r="NQG131" s="20"/>
      <c r="NQH131" s="20"/>
      <c r="NQI131" s="21"/>
      <c r="NQJ131" s="21"/>
      <c r="NQK131" s="21"/>
      <c r="NQL131" s="21"/>
      <c r="NQM131" s="21"/>
      <c r="NQN131" s="20"/>
      <c r="NQO131" s="20"/>
      <c r="NQP131" s="20"/>
      <c r="NQQ131" s="20"/>
      <c r="NQR131" s="21"/>
      <c r="NQS131" s="21"/>
      <c r="NQT131" s="7"/>
      <c r="NQU131" s="7"/>
      <c r="NQV131" s="21"/>
      <c r="NQW131" s="20"/>
      <c r="NQX131" s="20"/>
      <c r="NQY131" s="20"/>
      <c r="NQZ131" s="21"/>
      <c r="NRA131" s="21"/>
      <c r="NRB131" s="21"/>
      <c r="NRC131" s="21"/>
      <c r="NRD131" s="21"/>
      <c r="NRE131" s="20"/>
      <c r="NRF131" s="20"/>
      <c r="NRG131" s="20"/>
      <c r="NRH131" s="20"/>
      <c r="NRI131" s="21"/>
      <c r="NRJ131" s="21"/>
      <c r="NRK131" s="7"/>
      <c r="NRL131" s="7"/>
      <c r="NRM131" s="21"/>
      <c r="NRN131" s="20"/>
      <c r="NRO131" s="20"/>
      <c r="NRP131" s="20"/>
      <c r="NRQ131" s="21"/>
      <c r="NRR131" s="21"/>
      <c r="NRS131" s="21"/>
      <c r="NRT131" s="21"/>
      <c r="NRU131" s="21"/>
      <c r="NRV131" s="20"/>
      <c r="NRW131" s="20"/>
      <c r="NRX131" s="20"/>
      <c r="NRY131" s="20"/>
      <c r="NRZ131" s="21"/>
      <c r="NSA131" s="21"/>
      <c r="NSB131" s="7"/>
      <c r="NSC131" s="7"/>
      <c r="NSD131" s="21"/>
      <c r="NSE131" s="20"/>
      <c r="NSF131" s="20"/>
      <c r="NSG131" s="20"/>
      <c r="NSH131" s="21"/>
      <c r="NSI131" s="21"/>
      <c r="NSJ131" s="21"/>
      <c r="NSK131" s="21"/>
      <c r="NSL131" s="21"/>
      <c r="NSM131" s="20"/>
      <c r="NSN131" s="20"/>
      <c r="NSO131" s="20"/>
      <c r="NSP131" s="20"/>
      <c r="NSQ131" s="21"/>
      <c r="NSR131" s="21"/>
      <c r="NSS131" s="7"/>
      <c r="NST131" s="7"/>
      <c r="NSU131" s="21"/>
      <c r="NSV131" s="20"/>
      <c r="NSW131" s="20"/>
      <c r="NSX131" s="20"/>
      <c r="NSY131" s="21"/>
      <c r="NSZ131" s="21"/>
      <c r="NTA131" s="21"/>
      <c r="NTB131" s="21"/>
      <c r="NTC131" s="21"/>
      <c r="NTD131" s="20"/>
      <c r="NTE131" s="20"/>
      <c r="NTF131" s="20"/>
      <c r="NTG131" s="20"/>
      <c r="NTH131" s="21"/>
      <c r="NTI131" s="21"/>
      <c r="NTJ131" s="7"/>
      <c r="NTK131" s="7"/>
      <c r="NTL131" s="21"/>
      <c r="NTM131" s="20"/>
      <c r="NTN131" s="20"/>
      <c r="NTO131" s="20"/>
      <c r="NTP131" s="21"/>
      <c r="NTQ131" s="21"/>
      <c r="NTR131" s="21"/>
      <c r="NTS131" s="21"/>
      <c r="NTT131" s="21"/>
      <c r="NTU131" s="20"/>
      <c r="NTV131" s="20"/>
      <c r="NTW131" s="20"/>
      <c r="NTX131" s="20"/>
      <c r="NTY131" s="21"/>
      <c r="NTZ131" s="21"/>
      <c r="NUA131" s="7"/>
      <c r="NUB131" s="7"/>
      <c r="NUC131" s="21"/>
      <c r="NUD131" s="20"/>
      <c r="NUE131" s="20"/>
      <c r="NUF131" s="20"/>
      <c r="NUG131" s="21"/>
      <c r="NUH131" s="21"/>
      <c r="NUI131" s="21"/>
      <c r="NUJ131" s="21"/>
      <c r="NUK131" s="21"/>
      <c r="NUL131" s="20"/>
      <c r="NUM131" s="20"/>
      <c r="NUN131" s="20"/>
      <c r="NUO131" s="20"/>
      <c r="NUP131" s="21"/>
      <c r="NUQ131" s="21"/>
      <c r="NUR131" s="7"/>
      <c r="NUS131" s="7"/>
      <c r="NUT131" s="21"/>
      <c r="NUU131" s="20"/>
      <c r="NUV131" s="20"/>
      <c r="NUW131" s="20"/>
      <c r="NUX131" s="21"/>
      <c r="NUY131" s="21"/>
      <c r="NUZ131" s="21"/>
      <c r="NVA131" s="21"/>
      <c r="NVB131" s="21"/>
      <c r="NVC131" s="20"/>
      <c r="NVD131" s="20"/>
      <c r="NVE131" s="20"/>
      <c r="NVF131" s="20"/>
      <c r="NVG131" s="21"/>
      <c r="NVH131" s="21"/>
      <c r="NVI131" s="7"/>
      <c r="NVJ131" s="7"/>
      <c r="NVK131" s="21"/>
      <c r="NVL131" s="20"/>
      <c r="NVM131" s="20"/>
      <c r="NVN131" s="20"/>
      <c r="NVO131" s="21"/>
      <c r="NVP131" s="21"/>
      <c r="NVQ131" s="21"/>
      <c r="NVR131" s="21"/>
      <c r="NVS131" s="21"/>
      <c r="NVT131" s="20"/>
      <c r="NVU131" s="20"/>
      <c r="NVV131" s="20"/>
      <c r="NVW131" s="20"/>
      <c r="NVX131" s="21"/>
      <c r="NVY131" s="21"/>
      <c r="NVZ131" s="7"/>
      <c r="NWA131" s="7"/>
      <c r="NWB131" s="21"/>
      <c r="NWC131" s="20"/>
      <c r="NWD131" s="20"/>
      <c r="NWE131" s="20"/>
      <c r="NWF131" s="21"/>
      <c r="NWG131" s="21"/>
      <c r="NWH131" s="21"/>
      <c r="NWI131" s="21"/>
      <c r="NWJ131" s="21"/>
      <c r="NWK131" s="20"/>
      <c r="NWL131" s="20"/>
      <c r="NWM131" s="20"/>
      <c r="NWN131" s="20"/>
      <c r="NWO131" s="21"/>
      <c r="NWP131" s="21"/>
      <c r="NWQ131" s="7"/>
      <c r="NWR131" s="7"/>
      <c r="NWS131" s="21"/>
      <c r="NWT131" s="20"/>
      <c r="NWU131" s="20"/>
      <c r="NWV131" s="20"/>
      <c r="NWW131" s="21"/>
      <c r="NWX131" s="21"/>
      <c r="NWY131" s="21"/>
      <c r="NWZ131" s="21"/>
      <c r="NXA131" s="21"/>
      <c r="NXB131" s="20"/>
      <c r="NXC131" s="20"/>
      <c r="NXD131" s="20"/>
      <c r="NXE131" s="20"/>
      <c r="NXF131" s="21"/>
      <c r="NXG131" s="21"/>
      <c r="NXH131" s="7"/>
      <c r="NXI131" s="7"/>
      <c r="NXJ131" s="21"/>
      <c r="NXK131" s="20"/>
      <c r="NXL131" s="20"/>
      <c r="NXM131" s="20"/>
      <c r="NXN131" s="21"/>
      <c r="NXO131" s="21"/>
      <c r="NXP131" s="21"/>
      <c r="NXQ131" s="21"/>
      <c r="NXR131" s="21"/>
      <c r="NXS131" s="20"/>
      <c r="NXT131" s="20"/>
      <c r="NXU131" s="20"/>
      <c r="NXV131" s="20"/>
      <c r="NXW131" s="21"/>
      <c r="NXX131" s="21"/>
      <c r="NXY131" s="7"/>
      <c r="NXZ131" s="7"/>
      <c r="NYA131" s="21"/>
      <c r="NYB131" s="20"/>
      <c r="NYC131" s="20"/>
      <c r="NYD131" s="20"/>
      <c r="NYE131" s="21"/>
      <c r="NYF131" s="21"/>
      <c r="NYG131" s="21"/>
      <c r="NYH131" s="21"/>
      <c r="NYI131" s="21"/>
      <c r="NYJ131" s="20"/>
      <c r="NYK131" s="20"/>
      <c r="NYL131" s="20"/>
      <c r="NYM131" s="20"/>
      <c r="NYN131" s="21"/>
      <c r="NYO131" s="21"/>
      <c r="NYP131" s="7"/>
      <c r="NYQ131" s="7"/>
      <c r="NYR131" s="21"/>
      <c r="NYS131" s="20"/>
      <c r="NYT131" s="20"/>
      <c r="NYU131" s="20"/>
      <c r="NYV131" s="21"/>
      <c r="NYW131" s="21"/>
      <c r="NYX131" s="21"/>
      <c r="NYY131" s="21"/>
      <c r="NYZ131" s="21"/>
      <c r="NZA131" s="20"/>
      <c r="NZB131" s="20"/>
      <c r="NZC131" s="20"/>
      <c r="NZD131" s="20"/>
      <c r="NZE131" s="21"/>
      <c r="NZF131" s="21"/>
      <c r="NZG131" s="7"/>
      <c r="NZH131" s="7"/>
      <c r="NZI131" s="21"/>
      <c r="NZJ131" s="20"/>
      <c r="NZK131" s="20"/>
      <c r="NZL131" s="20"/>
      <c r="NZM131" s="21"/>
      <c r="NZN131" s="21"/>
      <c r="NZO131" s="21"/>
      <c r="NZP131" s="21"/>
      <c r="NZQ131" s="21"/>
      <c r="NZR131" s="20"/>
      <c r="NZS131" s="20"/>
      <c r="NZT131" s="20"/>
      <c r="NZU131" s="20"/>
      <c r="NZV131" s="21"/>
      <c r="NZW131" s="21"/>
      <c r="NZX131" s="7"/>
      <c r="NZY131" s="7"/>
      <c r="NZZ131" s="21"/>
      <c r="OAA131" s="20"/>
      <c r="OAB131" s="20"/>
      <c r="OAC131" s="20"/>
      <c r="OAD131" s="21"/>
      <c r="OAE131" s="21"/>
      <c r="OAF131" s="21"/>
      <c r="OAG131" s="21"/>
      <c r="OAH131" s="21"/>
      <c r="OAI131" s="20"/>
      <c r="OAJ131" s="20"/>
      <c r="OAK131" s="20"/>
      <c r="OAL131" s="20"/>
      <c r="OAM131" s="21"/>
      <c r="OAN131" s="21"/>
      <c r="OAO131" s="7"/>
      <c r="OAP131" s="7"/>
      <c r="OAQ131" s="21"/>
      <c r="OAR131" s="20"/>
      <c r="OAS131" s="20"/>
      <c r="OAT131" s="20"/>
      <c r="OAU131" s="21"/>
      <c r="OAV131" s="21"/>
      <c r="OAW131" s="21"/>
      <c r="OAX131" s="21"/>
      <c r="OAY131" s="21"/>
      <c r="OAZ131" s="20"/>
      <c r="OBA131" s="20"/>
      <c r="OBB131" s="20"/>
      <c r="OBC131" s="20"/>
      <c r="OBD131" s="21"/>
      <c r="OBE131" s="21"/>
      <c r="OBF131" s="7"/>
      <c r="OBG131" s="7"/>
      <c r="OBH131" s="21"/>
      <c r="OBI131" s="20"/>
      <c r="OBJ131" s="20"/>
      <c r="OBK131" s="20"/>
      <c r="OBL131" s="21"/>
      <c r="OBM131" s="21"/>
      <c r="OBN131" s="21"/>
      <c r="OBO131" s="21"/>
      <c r="OBP131" s="21"/>
      <c r="OBQ131" s="20"/>
      <c r="OBR131" s="20"/>
      <c r="OBS131" s="20"/>
      <c r="OBT131" s="20"/>
      <c r="OBU131" s="21"/>
      <c r="OBV131" s="21"/>
      <c r="OBW131" s="7"/>
      <c r="OBX131" s="7"/>
      <c r="OBY131" s="21"/>
      <c r="OBZ131" s="20"/>
      <c r="OCA131" s="20"/>
      <c r="OCB131" s="20"/>
      <c r="OCC131" s="21"/>
      <c r="OCD131" s="21"/>
      <c r="OCE131" s="21"/>
      <c r="OCF131" s="21"/>
      <c r="OCG131" s="21"/>
      <c r="OCH131" s="20"/>
      <c r="OCI131" s="20"/>
      <c r="OCJ131" s="20"/>
      <c r="OCK131" s="20"/>
      <c r="OCL131" s="21"/>
      <c r="OCM131" s="21"/>
      <c r="OCN131" s="7"/>
      <c r="OCO131" s="7"/>
      <c r="OCP131" s="21"/>
      <c r="OCQ131" s="20"/>
      <c r="OCR131" s="20"/>
      <c r="OCS131" s="20"/>
      <c r="OCT131" s="21"/>
      <c r="OCU131" s="21"/>
      <c r="OCV131" s="21"/>
      <c r="OCW131" s="21"/>
      <c r="OCX131" s="21"/>
      <c r="OCY131" s="20"/>
      <c r="OCZ131" s="20"/>
      <c r="ODA131" s="20"/>
      <c r="ODB131" s="20"/>
      <c r="ODC131" s="21"/>
      <c r="ODD131" s="21"/>
      <c r="ODE131" s="7"/>
      <c r="ODF131" s="7"/>
      <c r="ODG131" s="21"/>
      <c r="ODH131" s="20"/>
      <c r="ODI131" s="20"/>
      <c r="ODJ131" s="20"/>
      <c r="ODK131" s="21"/>
      <c r="ODL131" s="21"/>
      <c r="ODM131" s="21"/>
      <c r="ODN131" s="21"/>
      <c r="ODO131" s="21"/>
      <c r="ODP131" s="20"/>
      <c r="ODQ131" s="20"/>
      <c r="ODR131" s="20"/>
      <c r="ODS131" s="20"/>
      <c r="ODT131" s="21"/>
      <c r="ODU131" s="21"/>
      <c r="ODV131" s="7"/>
      <c r="ODW131" s="7"/>
      <c r="ODX131" s="21"/>
      <c r="ODY131" s="20"/>
      <c r="ODZ131" s="20"/>
      <c r="OEA131" s="20"/>
      <c r="OEB131" s="21"/>
      <c r="OEC131" s="21"/>
      <c r="OED131" s="21"/>
      <c r="OEE131" s="21"/>
      <c r="OEF131" s="21"/>
      <c r="OEG131" s="20"/>
      <c r="OEH131" s="20"/>
      <c r="OEI131" s="20"/>
      <c r="OEJ131" s="20"/>
      <c r="OEK131" s="21"/>
      <c r="OEL131" s="21"/>
      <c r="OEM131" s="7"/>
      <c r="OEN131" s="7"/>
      <c r="OEO131" s="21"/>
      <c r="OEP131" s="20"/>
      <c r="OEQ131" s="20"/>
      <c r="OER131" s="20"/>
      <c r="OES131" s="21"/>
      <c r="OET131" s="21"/>
      <c r="OEU131" s="21"/>
      <c r="OEV131" s="21"/>
      <c r="OEW131" s="21"/>
      <c r="OEX131" s="20"/>
      <c r="OEY131" s="20"/>
      <c r="OEZ131" s="20"/>
      <c r="OFA131" s="20"/>
      <c r="OFB131" s="21"/>
      <c r="OFC131" s="21"/>
      <c r="OFD131" s="7"/>
      <c r="OFE131" s="7"/>
      <c r="OFF131" s="21"/>
      <c r="OFG131" s="20"/>
      <c r="OFH131" s="20"/>
      <c r="OFI131" s="20"/>
      <c r="OFJ131" s="21"/>
      <c r="OFK131" s="21"/>
      <c r="OFL131" s="21"/>
      <c r="OFM131" s="21"/>
      <c r="OFN131" s="21"/>
      <c r="OFO131" s="20"/>
      <c r="OFP131" s="20"/>
      <c r="OFQ131" s="20"/>
      <c r="OFR131" s="20"/>
      <c r="OFS131" s="21"/>
      <c r="OFT131" s="21"/>
      <c r="OFU131" s="7"/>
      <c r="OFV131" s="7"/>
      <c r="OFW131" s="21"/>
      <c r="OFX131" s="20"/>
      <c r="OFY131" s="20"/>
      <c r="OFZ131" s="20"/>
      <c r="OGA131" s="21"/>
      <c r="OGB131" s="21"/>
      <c r="OGC131" s="21"/>
      <c r="OGD131" s="21"/>
      <c r="OGE131" s="21"/>
      <c r="OGF131" s="20"/>
      <c r="OGG131" s="20"/>
      <c r="OGH131" s="20"/>
      <c r="OGI131" s="20"/>
      <c r="OGJ131" s="21"/>
      <c r="OGK131" s="21"/>
      <c r="OGL131" s="7"/>
      <c r="OGM131" s="7"/>
      <c r="OGN131" s="21"/>
      <c r="OGO131" s="20"/>
      <c r="OGP131" s="20"/>
      <c r="OGQ131" s="20"/>
      <c r="OGR131" s="21"/>
      <c r="OGS131" s="21"/>
      <c r="OGT131" s="21"/>
      <c r="OGU131" s="21"/>
      <c r="OGV131" s="21"/>
      <c r="OGW131" s="20"/>
      <c r="OGX131" s="20"/>
      <c r="OGY131" s="20"/>
      <c r="OGZ131" s="20"/>
      <c r="OHA131" s="21"/>
      <c r="OHB131" s="21"/>
      <c r="OHC131" s="7"/>
      <c r="OHD131" s="7"/>
      <c r="OHE131" s="21"/>
      <c r="OHF131" s="20"/>
      <c r="OHG131" s="20"/>
      <c r="OHH131" s="20"/>
      <c r="OHI131" s="21"/>
      <c r="OHJ131" s="21"/>
      <c r="OHK131" s="21"/>
      <c r="OHL131" s="21"/>
      <c r="OHM131" s="21"/>
      <c r="OHN131" s="20"/>
      <c r="OHO131" s="20"/>
      <c r="OHP131" s="20"/>
      <c r="OHQ131" s="20"/>
      <c r="OHR131" s="21"/>
      <c r="OHS131" s="21"/>
      <c r="OHT131" s="7"/>
      <c r="OHU131" s="7"/>
      <c r="OHV131" s="21"/>
      <c r="OHW131" s="20"/>
      <c r="OHX131" s="20"/>
      <c r="OHY131" s="20"/>
      <c r="OHZ131" s="21"/>
      <c r="OIA131" s="21"/>
      <c r="OIB131" s="21"/>
      <c r="OIC131" s="21"/>
      <c r="OID131" s="21"/>
      <c r="OIE131" s="20"/>
      <c r="OIF131" s="20"/>
      <c r="OIG131" s="20"/>
      <c r="OIH131" s="20"/>
      <c r="OII131" s="21"/>
      <c r="OIJ131" s="21"/>
      <c r="OIK131" s="7"/>
      <c r="OIL131" s="7"/>
      <c r="OIM131" s="21"/>
      <c r="OIN131" s="20"/>
      <c r="OIO131" s="20"/>
      <c r="OIP131" s="20"/>
      <c r="OIQ131" s="21"/>
      <c r="OIR131" s="21"/>
      <c r="OIS131" s="21"/>
      <c r="OIT131" s="21"/>
      <c r="OIU131" s="21"/>
      <c r="OIV131" s="20"/>
      <c r="OIW131" s="20"/>
      <c r="OIX131" s="20"/>
      <c r="OIY131" s="20"/>
      <c r="OIZ131" s="21"/>
      <c r="OJA131" s="21"/>
      <c r="OJB131" s="7"/>
      <c r="OJC131" s="7"/>
      <c r="OJD131" s="21"/>
      <c r="OJE131" s="20"/>
      <c r="OJF131" s="20"/>
      <c r="OJG131" s="20"/>
      <c r="OJH131" s="21"/>
      <c r="OJI131" s="21"/>
      <c r="OJJ131" s="21"/>
      <c r="OJK131" s="21"/>
      <c r="OJL131" s="21"/>
      <c r="OJM131" s="20"/>
      <c r="OJN131" s="20"/>
      <c r="OJO131" s="20"/>
      <c r="OJP131" s="20"/>
      <c r="OJQ131" s="21"/>
      <c r="OJR131" s="21"/>
      <c r="OJS131" s="7"/>
      <c r="OJT131" s="7"/>
      <c r="OJU131" s="21"/>
      <c r="OJV131" s="20"/>
      <c r="OJW131" s="20"/>
      <c r="OJX131" s="20"/>
      <c r="OJY131" s="21"/>
      <c r="OJZ131" s="21"/>
      <c r="OKA131" s="21"/>
      <c r="OKB131" s="21"/>
      <c r="OKC131" s="21"/>
      <c r="OKD131" s="20"/>
      <c r="OKE131" s="20"/>
      <c r="OKF131" s="20"/>
      <c r="OKG131" s="20"/>
      <c r="OKH131" s="21"/>
      <c r="OKI131" s="21"/>
      <c r="OKJ131" s="7"/>
      <c r="OKK131" s="7"/>
      <c r="OKL131" s="21"/>
      <c r="OKM131" s="20"/>
      <c r="OKN131" s="20"/>
      <c r="OKO131" s="20"/>
      <c r="OKP131" s="21"/>
      <c r="OKQ131" s="21"/>
      <c r="OKR131" s="21"/>
      <c r="OKS131" s="21"/>
      <c r="OKT131" s="21"/>
      <c r="OKU131" s="20"/>
      <c r="OKV131" s="20"/>
      <c r="OKW131" s="20"/>
      <c r="OKX131" s="20"/>
      <c r="OKY131" s="21"/>
      <c r="OKZ131" s="21"/>
      <c r="OLA131" s="7"/>
      <c r="OLB131" s="7"/>
      <c r="OLC131" s="21"/>
      <c r="OLD131" s="20"/>
      <c r="OLE131" s="20"/>
      <c r="OLF131" s="20"/>
      <c r="OLG131" s="21"/>
      <c r="OLH131" s="21"/>
      <c r="OLI131" s="21"/>
      <c r="OLJ131" s="21"/>
      <c r="OLK131" s="21"/>
      <c r="OLL131" s="20"/>
      <c r="OLM131" s="20"/>
      <c r="OLN131" s="20"/>
      <c r="OLO131" s="20"/>
      <c r="OLP131" s="21"/>
      <c r="OLQ131" s="21"/>
      <c r="OLR131" s="7"/>
      <c r="OLS131" s="7"/>
      <c r="OLT131" s="21"/>
      <c r="OLU131" s="20"/>
      <c r="OLV131" s="20"/>
      <c r="OLW131" s="20"/>
      <c r="OLX131" s="21"/>
      <c r="OLY131" s="21"/>
      <c r="OLZ131" s="21"/>
      <c r="OMA131" s="21"/>
      <c r="OMB131" s="21"/>
      <c r="OMC131" s="20"/>
      <c r="OMD131" s="20"/>
      <c r="OME131" s="20"/>
      <c r="OMF131" s="20"/>
      <c r="OMG131" s="21"/>
      <c r="OMH131" s="21"/>
      <c r="OMI131" s="7"/>
      <c r="OMJ131" s="7"/>
      <c r="OMK131" s="21"/>
      <c r="OML131" s="20"/>
      <c r="OMM131" s="20"/>
      <c r="OMN131" s="20"/>
      <c r="OMO131" s="21"/>
      <c r="OMP131" s="21"/>
      <c r="OMQ131" s="21"/>
      <c r="OMR131" s="21"/>
      <c r="OMS131" s="21"/>
      <c r="OMT131" s="20"/>
      <c r="OMU131" s="20"/>
      <c r="OMV131" s="20"/>
      <c r="OMW131" s="20"/>
      <c r="OMX131" s="21"/>
      <c r="OMY131" s="21"/>
      <c r="OMZ131" s="7"/>
      <c r="ONA131" s="7"/>
      <c r="ONB131" s="21"/>
      <c r="ONC131" s="20"/>
      <c r="OND131" s="20"/>
      <c r="ONE131" s="20"/>
      <c r="ONF131" s="21"/>
      <c r="ONG131" s="21"/>
      <c r="ONH131" s="21"/>
      <c r="ONI131" s="21"/>
      <c r="ONJ131" s="21"/>
      <c r="ONK131" s="20"/>
      <c r="ONL131" s="20"/>
      <c r="ONM131" s="20"/>
      <c r="ONN131" s="20"/>
      <c r="ONO131" s="21"/>
      <c r="ONP131" s="21"/>
      <c r="ONQ131" s="7"/>
      <c r="ONR131" s="7"/>
      <c r="ONS131" s="21"/>
      <c r="ONT131" s="20"/>
      <c r="ONU131" s="20"/>
      <c r="ONV131" s="20"/>
      <c r="ONW131" s="21"/>
      <c r="ONX131" s="21"/>
      <c r="ONY131" s="21"/>
      <c r="ONZ131" s="21"/>
      <c r="OOA131" s="21"/>
      <c r="OOB131" s="20"/>
      <c r="OOC131" s="20"/>
      <c r="OOD131" s="20"/>
      <c r="OOE131" s="20"/>
      <c r="OOF131" s="21"/>
      <c r="OOG131" s="21"/>
      <c r="OOH131" s="7"/>
      <c r="OOI131" s="7"/>
      <c r="OOJ131" s="21"/>
      <c r="OOK131" s="20"/>
      <c r="OOL131" s="20"/>
      <c r="OOM131" s="20"/>
      <c r="OON131" s="21"/>
      <c r="OOO131" s="21"/>
      <c r="OOP131" s="21"/>
      <c r="OOQ131" s="21"/>
      <c r="OOR131" s="21"/>
      <c r="OOS131" s="20"/>
      <c r="OOT131" s="20"/>
      <c r="OOU131" s="20"/>
      <c r="OOV131" s="20"/>
      <c r="OOW131" s="21"/>
      <c r="OOX131" s="21"/>
      <c r="OOY131" s="7"/>
      <c r="OOZ131" s="7"/>
      <c r="OPA131" s="21"/>
      <c r="OPB131" s="20"/>
      <c r="OPC131" s="20"/>
      <c r="OPD131" s="20"/>
      <c r="OPE131" s="21"/>
      <c r="OPF131" s="21"/>
      <c r="OPG131" s="21"/>
      <c r="OPH131" s="21"/>
      <c r="OPI131" s="21"/>
      <c r="OPJ131" s="20"/>
      <c r="OPK131" s="20"/>
      <c r="OPL131" s="20"/>
      <c r="OPM131" s="20"/>
      <c r="OPN131" s="21"/>
      <c r="OPO131" s="21"/>
      <c r="OPP131" s="7"/>
      <c r="OPQ131" s="7"/>
      <c r="OPR131" s="21"/>
      <c r="OPS131" s="20"/>
      <c r="OPT131" s="20"/>
      <c r="OPU131" s="20"/>
      <c r="OPV131" s="21"/>
      <c r="OPW131" s="21"/>
      <c r="OPX131" s="21"/>
      <c r="OPY131" s="21"/>
      <c r="OPZ131" s="21"/>
      <c r="OQA131" s="20"/>
      <c r="OQB131" s="20"/>
      <c r="OQC131" s="20"/>
      <c r="OQD131" s="20"/>
      <c r="OQE131" s="21"/>
      <c r="OQF131" s="21"/>
      <c r="OQG131" s="7"/>
      <c r="OQH131" s="7"/>
      <c r="OQI131" s="21"/>
      <c r="OQJ131" s="20"/>
      <c r="OQK131" s="20"/>
      <c r="OQL131" s="20"/>
      <c r="OQM131" s="21"/>
      <c r="OQN131" s="21"/>
      <c r="OQO131" s="21"/>
      <c r="OQP131" s="21"/>
      <c r="OQQ131" s="21"/>
      <c r="OQR131" s="20"/>
      <c r="OQS131" s="20"/>
      <c r="OQT131" s="20"/>
      <c r="OQU131" s="20"/>
      <c r="OQV131" s="21"/>
      <c r="OQW131" s="21"/>
      <c r="OQX131" s="7"/>
      <c r="OQY131" s="7"/>
      <c r="OQZ131" s="21"/>
      <c r="ORA131" s="20"/>
      <c r="ORB131" s="20"/>
      <c r="ORC131" s="20"/>
      <c r="ORD131" s="21"/>
      <c r="ORE131" s="21"/>
      <c r="ORF131" s="21"/>
      <c r="ORG131" s="21"/>
      <c r="ORH131" s="21"/>
      <c r="ORI131" s="20"/>
      <c r="ORJ131" s="20"/>
      <c r="ORK131" s="20"/>
      <c r="ORL131" s="20"/>
      <c r="ORM131" s="21"/>
      <c r="ORN131" s="21"/>
      <c r="ORO131" s="7"/>
      <c r="ORP131" s="7"/>
      <c r="ORQ131" s="21"/>
      <c r="ORR131" s="20"/>
      <c r="ORS131" s="20"/>
      <c r="ORT131" s="20"/>
      <c r="ORU131" s="21"/>
      <c r="ORV131" s="21"/>
      <c r="ORW131" s="21"/>
      <c r="ORX131" s="21"/>
      <c r="ORY131" s="21"/>
      <c r="ORZ131" s="20"/>
      <c r="OSA131" s="20"/>
      <c r="OSB131" s="20"/>
      <c r="OSC131" s="20"/>
      <c r="OSD131" s="21"/>
      <c r="OSE131" s="21"/>
      <c r="OSF131" s="7"/>
      <c r="OSG131" s="7"/>
      <c r="OSH131" s="21"/>
      <c r="OSI131" s="20"/>
      <c r="OSJ131" s="20"/>
      <c r="OSK131" s="20"/>
      <c r="OSL131" s="21"/>
      <c r="OSM131" s="21"/>
      <c r="OSN131" s="21"/>
      <c r="OSO131" s="21"/>
      <c r="OSP131" s="21"/>
      <c r="OSQ131" s="20"/>
      <c r="OSR131" s="20"/>
      <c r="OSS131" s="20"/>
      <c r="OST131" s="20"/>
      <c r="OSU131" s="21"/>
      <c r="OSV131" s="21"/>
      <c r="OSW131" s="7"/>
      <c r="OSX131" s="7"/>
      <c r="OSY131" s="21"/>
      <c r="OSZ131" s="20"/>
      <c r="OTA131" s="20"/>
      <c r="OTB131" s="20"/>
      <c r="OTC131" s="21"/>
      <c r="OTD131" s="21"/>
      <c r="OTE131" s="21"/>
      <c r="OTF131" s="21"/>
      <c r="OTG131" s="21"/>
      <c r="OTH131" s="20"/>
      <c r="OTI131" s="20"/>
      <c r="OTJ131" s="20"/>
      <c r="OTK131" s="20"/>
      <c r="OTL131" s="21"/>
      <c r="OTM131" s="21"/>
      <c r="OTN131" s="7"/>
      <c r="OTO131" s="7"/>
      <c r="OTP131" s="21"/>
      <c r="OTQ131" s="20"/>
      <c r="OTR131" s="20"/>
      <c r="OTS131" s="20"/>
      <c r="OTT131" s="21"/>
      <c r="OTU131" s="21"/>
      <c r="OTV131" s="21"/>
      <c r="OTW131" s="21"/>
      <c r="OTX131" s="21"/>
      <c r="OTY131" s="20"/>
      <c r="OTZ131" s="20"/>
      <c r="OUA131" s="20"/>
      <c r="OUB131" s="20"/>
      <c r="OUC131" s="21"/>
      <c r="OUD131" s="21"/>
      <c r="OUE131" s="7"/>
      <c r="OUF131" s="7"/>
      <c r="OUG131" s="21"/>
      <c r="OUH131" s="20"/>
      <c r="OUI131" s="20"/>
      <c r="OUJ131" s="20"/>
      <c r="OUK131" s="21"/>
      <c r="OUL131" s="21"/>
      <c r="OUM131" s="21"/>
      <c r="OUN131" s="21"/>
      <c r="OUO131" s="21"/>
      <c r="OUP131" s="20"/>
      <c r="OUQ131" s="20"/>
      <c r="OUR131" s="20"/>
      <c r="OUS131" s="20"/>
      <c r="OUT131" s="21"/>
      <c r="OUU131" s="21"/>
      <c r="OUV131" s="7"/>
      <c r="OUW131" s="7"/>
      <c r="OUX131" s="21"/>
      <c r="OUY131" s="20"/>
      <c r="OUZ131" s="20"/>
      <c r="OVA131" s="20"/>
      <c r="OVB131" s="21"/>
      <c r="OVC131" s="21"/>
      <c r="OVD131" s="21"/>
      <c r="OVE131" s="21"/>
      <c r="OVF131" s="21"/>
      <c r="OVG131" s="20"/>
      <c r="OVH131" s="20"/>
      <c r="OVI131" s="20"/>
      <c r="OVJ131" s="20"/>
      <c r="OVK131" s="21"/>
      <c r="OVL131" s="21"/>
      <c r="OVM131" s="7"/>
      <c r="OVN131" s="7"/>
      <c r="OVO131" s="21"/>
      <c r="OVP131" s="20"/>
      <c r="OVQ131" s="20"/>
      <c r="OVR131" s="20"/>
      <c r="OVS131" s="21"/>
      <c r="OVT131" s="21"/>
      <c r="OVU131" s="21"/>
      <c r="OVV131" s="21"/>
      <c r="OVW131" s="21"/>
      <c r="OVX131" s="20"/>
      <c r="OVY131" s="20"/>
      <c r="OVZ131" s="20"/>
      <c r="OWA131" s="20"/>
      <c r="OWB131" s="21"/>
      <c r="OWC131" s="21"/>
      <c r="OWD131" s="7"/>
      <c r="OWE131" s="7"/>
      <c r="OWF131" s="21"/>
      <c r="OWG131" s="20"/>
      <c r="OWH131" s="20"/>
      <c r="OWI131" s="20"/>
      <c r="OWJ131" s="21"/>
      <c r="OWK131" s="21"/>
      <c r="OWL131" s="21"/>
      <c r="OWM131" s="21"/>
      <c r="OWN131" s="21"/>
      <c r="OWO131" s="20"/>
      <c r="OWP131" s="20"/>
      <c r="OWQ131" s="20"/>
      <c r="OWR131" s="20"/>
      <c r="OWS131" s="21"/>
      <c r="OWT131" s="21"/>
      <c r="OWU131" s="7"/>
      <c r="OWV131" s="7"/>
      <c r="OWW131" s="21"/>
      <c r="OWX131" s="20"/>
      <c r="OWY131" s="20"/>
      <c r="OWZ131" s="20"/>
      <c r="OXA131" s="21"/>
      <c r="OXB131" s="21"/>
      <c r="OXC131" s="21"/>
      <c r="OXD131" s="21"/>
      <c r="OXE131" s="21"/>
      <c r="OXF131" s="20"/>
      <c r="OXG131" s="20"/>
      <c r="OXH131" s="20"/>
      <c r="OXI131" s="20"/>
      <c r="OXJ131" s="21"/>
      <c r="OXK131" s="21"/>
      <c r="OXL131" s="7"/>
      <c r="OXM131" s="7"/>
      <c r="OXN131" s="21"/>
      <c r="OXO131" s="20"/>
      <c r="OXP131" s="20"/>
      <c r="OXQ131" s="20"/>
      <c r="OXR131" s="21"/>
      <c r="OXS131" s="21"/>
      <c r="OXT131" s="21"/>
      <c r="OXU131" s="21"/>
      <c r="OXV131" s="21"/>
      <c r="OXW131" s="20"/>
      <c r="OXX131" s="20"/>
      <c r="OXY131" s="20"/>
      <c r="OXZ131" s="20"/>
      <c r="OYA131" s="21"/>
      <c r="OYB131" s="21"/>
      <c r="OYC131" s="7"/>
      <c r="OYD131" s="7"/>
      <c r="OYE131" s="21"/>
      <c r="OYF131" s="20"/>
      <c r="OYG131" s="20"/>
      <c r="OYH131" s="20"/>
      <c r="OYI131" s="21"/>
      <c r="OYJ131" s="21"/>
      <c r="OYK131" s="21"/>
      <c r="OYL131" s="21"/>
      <c r="OYM131" s="21"/>
      <c r="OYN131" s="20"/>
      <c r="OYO131" s="20"/>
      <c r="OYP131" s="20"/>
      <c r="OYQ131" s="20"/>
      <c r="OYR131" s="21"/>
      <c r="OYS131" s="21"/>
      <c r="OYT131" s="7"/>
      <c r="OYU131" s="7"/>
      <c r="OYV131" s="21"/>
      <c r="OYW131" s="20"/>
      <c r="OYX131" s="20"/>
      <c r="OYY131" s="20"/>
      <c r="OYZ131" s="21"/>
      <c r="OZA131" s="21"/>
      <c r="OZB131" s="21"/>
      <c r="OZC131" s="21"/>
      <c r="OZD131" s="21"/>
      <c r="OZE131" s="20"/>
      <c r="OZF131" s="20"/>
      <c r="OZG131" s="20"/>
      <c r="OZH131" s="20"/>
      <c r="OZI131" s="21"/>
      <c r="OZJ131" s="21"/>
      <c r="OZK131" s="7"/>
      <c r="OZL131" s="7"/>
      <c r="OZM131" s="21"/>
      <c r="OZN131" s="20"/>
      <c r="OZO131" s="20"/>
      <c r="OZP131" s="20"/>
      <c r="OZQ131" s="21"/>
      <c r="OZR131" s="21"/>
      <c r="OZS131" s="21"/>
      <c r="OZT131" s="21"/>
      <c r="OZU131" s="21"/>
      <c r="OZV131" s="20"/>
      <c r="OZW131" s="20"/>
      <c r="OZX131" s="20"/>
      <c r="OZY131" s="20"/>
      <c r="OZZ131" s="21"/>
      <c r="PAA131" s="21"/>
      <c r="PAB131" s="7"/>
      <c r="PAC131" s="7"/>
      <c r="PAD131" s="21"/>
      <c r="PAE131" s="20"/>
      <c r="PAF131" s="20"/>
      <c r="PAG131" s="20"/>
      <c r="PAH131" s="21"/>
      <c r="PAI131" s="21"/>
      <c r="PAJ131" s="21"/>
      <c r="PAK131" s="21"/>
      <c r="PAL131" s="21"/>
      <c r="PAM131" s="20"/>
      <c r="PAN131" s="20"/>
      <c r="PAO131" s="20"/>
      <c r="PAP131" s="20"/>
      <c r="PAQ131" s="21"/>
      <c r="PAR131" s="21"/>
      <c r="PAS131" s="7"/>
      <c r="PAT131" s="7"/>
      <c r="PAU131" s="21"/>
      <c r="PAV131" s="20"/>
      <c r="PAW131" s="20"/>
      <c r="PAX131" s="20"/>
      <c r="PAY131" s="21"/>
      <c r="PAZ131" s="21"/>
      <c r="PBA131" s="21"/>
      <c r="PBB131" s="21"/>
      <c r="PBC131" s="21"/>
      <c r="PBD131" s="20"/>
      <c r="PBE131" s="20"/>
      <c r="PBF131" s="20"/>
      <c r="PBG131" s="20"/>
      <c r="PBH131" s="21"/>
      <c r="PBI131" s="21"/>
      <c r="PBJ131" s="7"/>
      <c r="PBK131" s="7"/>
      <c r="PBL131" s="21"/>
      <c r="PBM131" s="20"/>
      <c r="PBN131" s="20"/>
      <c r="PBO131" s="20"/>
      <c r="PBP131" s="21"/>
      <c r="PBQ131" s="21"/>
      <c r="PBR131" s="21"/>
      <c r="PBS131" s="21"/>
      <c r="PBT131" s="21"/>
      <c r="PBU131" s="20"/>
      <c r="PBV131" s="20"/>
      <c r="PBW131" s="20"/>
      <c r="PBX131" s="20"/>
      <c r="PBY131" s="21"/>
      <c r="PBZ131" s="21"/>
      <c r="PCA131" s="7"/>
      <c r="PCB131" s="7"/>
      <c r="PCC131" s="21"/>
      <c r="PCD131" s="20"/>
      <c r="PCE131" s="20"/>
      <c r="PCF131" s="20"/>
      <c r="PCG131" s="21"/>
      <c r="PCH131" s="21"/>
      <c r="PCI131" s="21"/>
      <c r="PCJ131" s="21"/>
      <c r="PCK131" s="21"/>
      <c r="PCL131" s="20"/>
      <c r="PCM131" s="20"/>
      <c r="PCN131" s="20"/>
      <c r="PCO131" s="20"/>
      <c r="PCP131" s="21"/>
      <c r="PCQ131" s="21"/>
      <c r="PCR131" s="7"/>
      <c r="PCS131" s="7"/>
      <c r="PCT131" s="21"/>
      <c r="PCU131" s="20"/>
      <c r="PCV131" s="20"/>
      <c r="PCW131" s="20"/>
      <c r="PCX131" s="21"/>
      <c r="PCY131" s="21"/>
      <c r="PCZ131" s="21"/>
      <c r="PDA131" s="21"/>
      <c r="PDB131" s="21"/>
      <c r="PDC131" s="20"/>
      <c r="PDD131" s="20"/>
      <c r="PDE131" s="20"/>
      <c r="PDF131" s="20"/>
      <c r="PDG131" s="21"/>
      <c r="PDH131" s="21"/>
      <c r="PDI131" s="7"/>
      <c r="PDJ131" s="7"/>
      <c r="PDK131" s="21"/>
      <c r="PDL131" s="20"/>
      <c r="PDM131" s="20"/>
      <c r="PDN131" s="20"/>
      <c r="PDO131" s="21"/>
      <c r="PDP131" s="21"/>
      <c r="PDQ131" s="21"/>
      <c r="PDR131" s="21"/>
      <c r="PDS131" s="21"/>
      <c r="PDT131" s="20"/>
      <c r="PDU131" s="20"/>
      <c r="PDV131" s="20"/>
      <c r="PDW131" s="20"/>
      <c r="PDX131" s="21"/>
      <c r="PDY131" s="21"/>
      <c r="PDZ131" s="7"/>
      <c r="PEA131" s="7"/>
      <c r="PEB131" s="21"/>
      <c r="PEC131" s="20"/>
      <c r="PED131" s="20"/>
      <c r="PEE131" s="20"/>
      <c r="PEF131" s="21"/>
      <c r="PEG131" s="21"/>
      <c r="PEH131" s="21"/>
      <c r="PEI131" s="21"/>
      <c r="PEJ131" s="21"/>
      <c r="PEK131" s="20"/>
      <c r="PEL131" s="20"/>
      <c r="PEM131" s="20"/>
      <c r="PEN131" s="20"/>
      <c r="PEO131" s="21"/>
      <c r="PEP131" s="21"/>
      <c r="PEQ131" s="7"/>
      <c r="PER131" s="7"/>
      <c r="PES131" s="21"/>
      <c r="PET131" s="20"/>
      <c r="PEU131" s="20"/>
      <c r="PEV131" s="20"/>
      <c r="PEW131" s="21"/>
      <c r="PEX131" s="21"/>
      <c r="PEY131" s="21"/>
      <c r="PEZ131" s="21"/>
      <c r="PFA131" s="21"/>
      <c r="PFB131" s="20"/>
      <c r="PFC131" s="20"/>
      <c r="PFD131" s="20"/>
      <c r="PFE131" s="20"/>
      <c r="PFF131" s="21"/>
      <c r="PFG131" s="21"/>
      <c r="PFH131" s="7"/>
      <c r="PFI131" s="7"/>
      <c r="PFJ131" s="21"/>
      <c r="PFK131" s="20"/>
      <c r="PFL131" s="20"/>
      <c r="PFM131" s="20"/>
      <c r="PFN131" s="21"/>
      <c r="PFO131" s="21"/>
      <c r="PFP131" s="21"/>
      <c r="PFQ131" s="21"/>
      <c r="PFR131" s="21"/>
      <c r="PFS131" s="20"/>
      <c r="PFT131" s="20"/>
      <c r="PFU131" s="20"/>
      <c r="PFV131" s="20"/>
      <c r="PFW131" s="21"/>
      <c r="PFX131" s="21"/>
      <c r="PFY131" s="7"/>
      <c r="PFZ131" s="7"/>
      <c r="PGA131" s="21"/>
      <c r="PGB131" s="20"/>
      <c r="PGC131" s="20"/>
      <c r="PGD131" s="20"/>
      <c r="PGE131" s="21"/>
      <c r="PGF131" s="21"/>
      <c r="PGG131" s="21"/>
      <c r="PGH131" s="21"/>
      <c r="PGI131" s="21"/>
      <c r="PGJ131" s="20"/>
      <c r="PGK131" s="20"/>
      <c r="PGL131" s="20"/>
      <c r="PGM131" s="20"/>
      <c r="PGN131" s="21"/>
      <c r="PGO131" s="21"/>
      <c r="PGP131" s="7"/>
      <c r="PGQ131" s="7"/>
      <c r="PGR131" s="21"/>
      <c r="PGS131" s="20"/>
      <c r="PGT131" s="20"/>
      <c r="PGU131" s="20"/>
      <c r="PGV131" s="21"/>
      <c r="PGW131" s="21"/>
      <c r="PGX131" s="21"/>
      <c r="PGY131" s="21"/>
      <c r="PGZ131" s="21"/>
      <c r="PHA131" s="20"/>
      <c r="PHB131" s="20"/>
      <c r="PHC131" s="20"/>
      <c r="PHD131" s="20"/>
      <c r="PHE131" s="21"/>
      <c r="PHF131" s="21"/>
      <c r="PHG131" s="7"/>
      <c r="PHH131" s="7"/>
      <c r="PHI131" s="21"/>
      <c r="PHJ131" s="20"/>
      <c r="PHK131" s="20"/>
      <c r="PHL131" s="20"/>
      <c r="PHM131" s="21"/>
      <c r="PHN131" s="21"/>
      <c r="PHO131" s="21"/>
      <c r="PHP131" s="21"/>
      <c r="PHQ131" s="21"/>
      <c r="PHR131" s="20"/>
      <c r="PHS131" s="20"/>
      <c r="PHT131" s="20"/>
      <c r="PHU131" s="20"/>
      <c r="PHV131" s="21"/>
      <c r="PHW131" s="21"/>
      <c r="PHX131" s="7"/>
      <c r="PHY131" s="7"/>
      <c r="PHZ131" s="21"/>
      <c r="PIA131" s="20"/>
      <c r="PIB131" s="20"/>
      <c r="PIC131" s="20"/>
      <c r="PID131" s="21"/>
      <c r="PIE131" s="21"/>
      <c r="PIF131" s="21"/>
      <c r="PIG131" s="21"/>
      <c r="PIH131" s="21"/>
      <c r="PII131" s="20"/>
      <c r="PIJ131" s="20"/>
      <c r="PIK131" s="20"/>
      <c r="PIL131" s="20"/>
      <c r="PIM131" s="21"/>
      <c r="PIN131" s="21"/>
      <c r="PIO131" s="7"/>
      <c r="PIP131" s="7"/>
      <c r="PIQ131" s="21"/>
      <c r="PIR131" s="20"/>
      <c r="PIS131" s="20"/>
      <c r="PIT131" s="20"/>
      <c r="PIU131" s="21"/>
      <c r="PIV131" s="21"/>
      <c r="PIW131" s="21"/>
      <c r="PIX131" s="21"/>
      <c r="PIY131" s="21"/>
      <c r="PIZ131" s="20"/>
      <c r="PJA131" s="20"/>
      <c r="PJB131" s="20"/>
      <c r="PJC131" s="20"/>
      <c r="PJD131" s="21"/>
      <c r="PJE131" s="21"/>
      <c r="PJF131" s="7"/>
      <c r="PJG131" s="7"/>
      <c r="PJH131" s="21"/>
      <c r="PJI131" s="20"/>
      <c r="PJJ131" s="20"/>
      <c r="PJK131" s="20"/>
      <c r="PJL131" s="21"/>
      <c r="PJM131" s="21"/>
      <c r="PJN131" s="21"/>
      <c r="PJO131" s="21"/>
      <c r="PJP131" s="21"/>
      <c r="PJQ131" s="20"/>
      <c r="PJR131" s="20"/>
      <c r="PJS131" s="20"/>
      <c r="PJT131" s="20"/>
      <c r="PJU131" s="21"/>
      <c r="PJV131" s="21"/>
      <c r="PJW131" s="7"/>
      <c r="PJX131" s="7"/>
      <c r="PJY131" s="21"/>
      <c r="PJZ131" s="20"/>
      <c r="PKA131" s="20"/>
      <c r="PKB131" s="20"/>
      <c r="PKC131" s="21"/>
      <c r="PKD131" s="21"/>
      <c r="PKE131" s="21"/>
      <c r="PKF131" s="21"/>
      <c r="PKG131" s="21"/>
      <c r="PKH131" s="20"/>
      <c r="PKI131" s="20"/>
      <c r="PKJ131" s="20"/>
      <c r="PKK131" s="20"/>
      <c r="PKL131" s="21"/>
      <c r="PKM131" s="21"/>
      <c r="PKN131" s="7"/>
      <c r="PKO131" s="7"/>
      <c r="PKP131" s="21"/>
      <c r="PKQ131" s="20"/>
      <c r="PKR131" s="20"/>
      <c r="PKS131" s="20"/>
      <c r="PKT131" s="21"/>
      <c r="PKU131" s="21"/>
      <c r="PKV131" s="21"/>
      <c r="PKW131" s="21"/>
      <c r="PKX131" s="21"/>
      <c r="PKY131" s="20"/>
      <c r="PKZ131" s="20"/>
      <c r="PLA131" s="20"/>
      <c r="PLB131" s="20"/>
      <c r="PLC131" s="21"/>
      <c r="PLD131" s="21"/>
      <c r="PLE131" s="7"/>
      <c r="PLF131" s="7"/>
      <c r="PLG131" s="21"/>
      <c r="PLH131" s="20"/>
      <c r="PLI131" s="20"/>
      <c r="PLJ131" s="20"/>
      <c r="PLK131" s="21"/>
      <c r="PLL131" s="21"/>
      <c r="PLM131" s="21"/>
      <c r="PLN131" s="21"/>
      <c r="PLO131" s="21"/>
      <c r="PLP131" s="20"/>
      <c r="PLQ131" s="20"/>
      <c r="PLR131" s="20"/>
      <c r="PLS131" s="20"/>
      <c r="PLT131" s="21"/>
      <c r="PLU131" s="21"/>
      <c r="PLV131" s="7"/>
      <c r="PLW131" s="7"/>
      <c r="PLX131" s="21"/>
      <c r="PLY131" s="20"/>
      <c r="PLZ131" s="20"/>
      <c r="PMA131" s="20"/>
      <c r="PMB131" s="21"/>
      <c r="PMC131" s="21"/>
      <c r="PMD131" s="21"/>
      <c r="PME131" s="21"/>
      <c r="PMF131" s="21"/>
      <c r="PMG131" s="20"/>
      <c r="PMH131" s="20"/>
      <c r="PMI131" s="20"/>
      <c r="PMJ131" s="20"/>
      <c r="PMK131" s="21"/>
      <c r="PML131" s="21"/>
      <c r="PMM131" s="7"/>
      <c r="PMN131" s="7"/>
      <c r="PMO131" s="21"/>
      <c r="PMP131" s="20"/>
      <c r="PMQ131" s="20"/>
      <c r="PMR131" s="20"/>
      <c r="PMS131" s="21"/>
      <c r="PMT131" s="21"/>
      <c r="PMU131" s="21"/>
      <c r="PMV131" s="21"/>
      <c r="PMW131" s="21"/>
      <c r="PMX131" s="20"/>
      <c r="PMY131" s="20"/>
      <c r="PMZ131" s="20"/>
      <c r="PNA131" s="20"/>
      <c r="PNB131" s="21"/>
      <c r="PNC131" s="21"/>
      <c r="PND131" s="7"/>
      <c r="PNE131" s="7"/>
      <c r="PNF131" s="21"/>
      <c r="PNG131" s="20"/>
      <c r="PNH131" s="20"/>
      <c r="PNI131" s="20"/>
      <c r="PNJ131" s="21"/>
      <c r="PNK131" s="21"/>
      <c r="PNL131" s="21"/>
      <c r="PNM131" s="21"/>
      <c r="PNN131" s="21"/>
      <c r="PNO131" s="20"/>
      <c r="PNP131" s="20"/>
      <c r="PNQ131" s="20"/>
      <c r="PNR131" s="20"/>
      <c r="PNS131" s="21"/>
      <c r="PNT131" s="21"/>
      <c r="PNU131" s="7"/>
      <c r="PNV131" s="7"/>
      <c r="PNW131" s="21"/>
      <c r="PNX131" s="20"/>
      <c r="PNY131" s="20"/>
      <c r="PNZ131" s="20"/>
      <c r="POA131" s="21"/>
      <c r="POB131" s="21"/>
      <c r="POC131" s="21"/>
      <c r="POD131" s="21"/>
      <c r="POE131" s="21"/>
      <c r="POF131" s="20"/>
      <c r="POG131" s="20"/>
      <c r="POH131" s="20"/>
      <c r="POI131" s="20"/>
      <c r="POJ131" s="21"/>
      <c r="POK131" s="21"/>
      <c r="POL131" s="7"/>
      <c r="POM131" s="7"/>
      <c r="PON131" s="21"/>
      <c r="POO131" s="20"/>
      <c r="POP131" s="20"/>
      <c r="POQ131" s="20"/>
      <c r="POR131" s="21"/>
      <c r="POS131" s="21"/>
      <c r="POT131" s="21"/>
      <c r="POU131" s="21"/>
      <c r="POV131" s="21"/>
      <c r="POW131" s="20"/>
      <c r="POX131" s="20"/>
      <c r="POY131" s="20"/>
      <c r="POZ131" s="20"/>
      <c r="PPA131" s="21"/>
      <c r="PPB131" s="21"/>
      <c r="PPC131" s="7"/>
      <c r="PPD131" s="7"/>
      <c r="PPE131" s="21"/>
      <c r="PPF131" s="20"/>
      <c r="PPG131" s="20"/>
      <c r="PPH131" s="20"/>
      <c r="PPI131" s="21"/>
      <c r="PPJ131" s="21"/>
      <c r="PPK131" s="21"/>
      <c r="PPL131" s="21"/>
      <c r="PPM131" s="21"/>
      <c r="PPN131" s="20"/>
      <c r="PPO131" s="20"/>
      <c r="PPP131" s="20"/>
      <c r="PPQ131" s="20"/>
      <c r="PPR131" s="21"/>
      <c r="PPS131" s="21"/>
      <c r="PPT131" s="7"/>
      <c r="PPU131" s="7"/>
      <c r="PPV131" s="21"/>
      <c r="PPW131" s="20"/>
      <c r="PPX131" s="20"/>
      <c r="PPY131" s="20"/>
      <c r="PPZ131" s="21"/>
      <c r="PQA131" s="21"/>
      <c r="PQB131" s="21"/>
      <c r="PQC131" s="21"/>
      <c r="PQD131" s="21"/>
      <c r="PQE131" s="20"/>
      <c r="PQF131" s="20"/>
      <c r="PQG131" s="20"/>
      <c r="PQH131" s="20"/>
      <c r="PQI131" s="21"/>
      <c r="PQJ131" s="21"/>
      <c r="PQK131" s="7"/>
      <c r="PQL131" s="7"/>
      <c r="PQM131" s="21"/>
      <c r="PQN131" s="20"/>
      <c r="PQO131" s="20"/>
      <c r="PQP131" s="20"/>
      <c r="PQQ131" s="21"/>
      <c r="PQR131" s="21"/>
      <c r="PQS131" s="21"/>
      <c r="PQT131" s="21"/>
      <c r="PQU131" s="21"/>
      <c r="PQV131" s="20"/>
      <c r="PQW131" s="20"/>
      <c r="PQX131" s="20"/>
      <c r="PQY131" s="20"/>
      <c r="PQZ131" s="21"/>
      <c r="PRA131" s="21"/>
      <c r="PRB131" s="7"/>
      <c r="PRC131" s="7"/>
      <c r="PRD131" s="21"/>
      <c r="PRE131" s="20"/>
      <c r="PRF131" s="20"/>
      <c r="PRG131" s="20"/>
      <c r="PRH131" s="21"/>
      <c r="PRI131" s="21"/>
      <c r="PRJ131" s="21"/>
      <c r="PRK131" s="21"/>
      <c r="PRL131" s="21"/>
      <c r="PRM131" s="20"/>
      <c r="PRN131" s="20"/>
      <c r="PRO131" s="20"/>
      <c r="PRP131" s="20"/>
      <c r="PRQ131" s="21"/>
      <c r="PRR131" s="21"/>
      <c r="PRS131" s="7"/>
      <c r="PRT131" s="7"/>
      <c r="PRU131" s="21"/>
      <c r="PRV131" s="20"/>
      <c r="PRW131" s="20"/>
      <c r="PRX131" s="20"/>
      <c r="PRY131" s="21"/>
      <c r="PRZ131" s="21"/>
      <c r="PSA131" s="21"/>
      <c r="PSB131" s="21"/>
      <c r="PSC131" s="21"/>
      <c r="PSD131" s="20"/>
      <c r="PSE131" s="20"/>
      <c r="PSF131" s="20"/>
      <c r="PSG131" s="20"/>
      <c r="PSH131" s="21"/>
      <c r="PSI131" s="21"/>
      <c r="PSJ131" s="7"/>
      <c r="PSK131" s="7"/>
      <c r="PSL131" s="21"/>
      <c r="PSM131" s="20"/>
      <c r="PSN131" s="20"/>
      <c r="PSO131" s="20"/>
      <c r="PSP131" s="21"/>
      <c r="PSQ131" s="21"/>
      <c r="PSR131" s="21"/>
      <c r="PSS131" s="21"/>
      <c r="PST131" s="21"/>
      <c r="PSU131" s="20"/>
      <c r="PSV131" s="20"/>
      <c r="PSW131" s="20"/>
      <c r="PSX131" s="20"/>
      <c r="PSY131" s="21"/>
      <c r="PSZ131" s="21"/>
      <c r="PTA131" s="7"/>
      <c r="PTB131" s="7"/>
      <c r="PTC131" s="21"/>
      <c r="PTD131" s="20"/>
      <c r="PTE131" s="20"/>
      <c r="PTF131" s="20"/>
      <c r="PTG131" s="21"/>
      <c r="PTH131" s="21"/>
      <c r="PTI131" s="21"/>
      <c r="PTJ131" s="21"/>
      <c r="PTK131" s="21"/>
      <c r="PTL131" s="20"/>
      <c r="PTM131" s="20"/>
      <c r="PTN131" s="20"/>
      <c r="PTO131" s="20"/>
      <c r="PTP131" s="21"/>
      <c r="PTQ131" s="21"/>
      <c r="PTR131" s="7"/>
      <c r="PTS131" s="7"/>
      <c r="PTT131" s="21"/>
      <c r="PTU131" s="20"/>
      <c r="PTV131" s="20"/>
      <c r="PTW131" s="20"/>
      <c r="PTX131" s="21"/>
      <c r="PTY131" s="21"/>
      <c r="PTZ131" s="21"/>
      <c r="PUA131" s="21"/>
      <c r="PUB131" s="21"/>
      <c r="PUC131" s="20"/>
      <c r="PUD131" s="20"/>
      <c r="PUE131" s="20"/>
      <c r="PUF131" s="20"/>
      <c r="PUG131" s="21"/>
      <c r="PUH131" s="21"/>
      <c r="PUI131" s="7"/>
      <c r="PUJ131" s="7"/>
      <c r="PUK131" s="21"/>
      <c r="PUL131" s="20"/>
      <c r="PUM131" s="20"/>
      <c r="PUN131" s="20"/>
      <c r="PUO131" s="21"/>
      <c r="PUP131" s="21"/>
      <c r="PUQ131" s="21"/>
      <c r="PUR131" s="21"/>
      <c r="PUS131" s="21"/>
      <c r="PUT131" s="20"/>
      <c r="PUU131" s="20"/>
      <c r="PUV131" s="20"/>
      <c r="PUW131" s="20"/>
      <c r="PUX131" s="21"/>
      <c r="PUY131" s="21"/>
      <c r="PUZ131" s="7"/>
      <c r="PVA131" s="7"/>
      <c r="PVB131" s="21"/>
      <c r="PVC131" s="20"/>
      <c r="PVD131" s="20"/>
      <c r="PVE131" s="20"/>
      <c r="PVF131" s="21"/>
      <c r="PVG131" s="21"/>
      <c r="PVH131" s="21"/>
      <c r="PVI131" s="21"/>
      <c r="PVJ131" s="21"/>
      <c r="PVK131" s="20"/>
      <c r="PVL131" s="20"/>
      <c r="PVM131" s="20"/>
      <c r="PVN131" s="20"/>
      <c r="PVO131" s="21"/>
      <c r="PVP131" s="21"/>
      <c r="PVQ131" s="7"/>
      <c r="PVR131" s="7"/>
      <c r="PVS131" s="21"/>
      <c r="PVT131" s="20"/>
      <c r="PVU131" s="20"/>
      <c r="PVV131" s="20"/>
      <c r="PVW131" s="21"/>
      <c r="PVX131" s="21"/>
      <c r="PVY131" s="21"/>
      <c r="PVZ131" s="21"/>
      <c r="PWA131" s="21"/>
      <c r="PWB131" s="20"/>
      <c r="PWC131" s="20"/>
      <c r="PWD131" s="20"/>
      <c r="PWE131" s="20"/>
      <c r="PWF131" s="21"/>
      <c r="PWG131" s="21"/>
      <c r="PWH131" s="7"/>
      <c r="PWI131" s="7"/>
      <c r="PWJ131" s="21"/>
      <c r="PWK131" s="20"/>
      <c r="PWL131" s="20"/>
      <c r="PWM131" s="20"/>
      <c r="PWN131" s="21"/>
      <c r="PWO131" s="21"/>
      <c r="PWP131" s="21"/>
      <c r="PWQ131" s="21"/>
      <c r="PWR131" s="21"/>
      <c r="PWS131" s="20"/>
      <c r="PWT131" s="20"/>
      <c r="PWU131" s="20"/>
      <c r="PWV131" s="20"/>
      <c r="PWW131" s="21"/>
      <c r="PWX131" s="21"/>
      <c r="PWY131" s="7"/>
      <c r="PWZ131" s="7"/>
      <c r="PXA131" s="21"/>
      <c r="PXB131" s="20"/>
      <c r="PXC131" s="20"/>
      <c r="PXD131" s="20"/>
      <c r="PXE131" s="21"/>
      <c r="PXF131" s="21"/>
      <c r="PXG131" s="21"/>
      <c r="PXH131" s="21"/>
      <c r="PXI131" s="21"/>
      <c r="PXJ131" s="20"/>
      <c r="PXK131" s="20"/>
      <c r="PXL131" s="20"/>
      <c r="PXM131" s="20"/>
      <c r="PXN131" s="21"/>
      <c r="PXO131" s="21"/>
      <c r="PXP131" s="7"/>
      <c r="PXQ131" s="7"/>
      <c r="PXR131" s="21"/>
      <c r="PXS131" s="20"/>
      <c r="PXT131" s="20"/>
      <c r="PXU131" s="20"/>
      <c r="PXV131" s="21"/>
      <c r="PXW131" s="21"/>
      <c r="PXX131" s="21"/>
      <c r="PXY131" s="21"/>
      <c r="PXZ131" s="21"/>
      <c r="PYA131" s="20"/>
      <c r="PYB131" s="20"/>
      <c r="PYC131" s="20"/>
      <c r="PYD131" s="20"/>
      <c r="PYE131" s="21"/>
      <c r="PYF131" s="21"/>
      <c r="PYG131" s="7"/>
      <c r="PYH131" s="7"/>
      <c r="PYI131" s="21"/>
      <c r="PYJ131" s="20"/>
      <c r="PYK131" s="20"/>
      <c r="PYL131" s="20"/>
      <c r="PYM131" s="21"/>
      <c r="PYN131" s="21"/>
      <c r="PYO131" s="21"/>
      <c r="PYP131" s="21"/>
      <c r="PYQ131" s="21"/>
      <c r="PYR131" s="20"/>
      <c r="PYS131" s="20"/>
      <c r="PYT131" s="20"/>
      <c r="PYU131" s="20"/>
      <c r="PYV131" s="21"/>
      <c r="PYW131" s="21"/>
      <c r="PYX131" s="7"/>
      <c r="PYY131" s="7"/>
      <c r="PYZ131" s="21"/>
      <c r="PZA131" s="20"/>
      <c r="PZB131" s="20"/>
      <c r="PZC131" s="20"/>
      <c r="PZD131" s="21"/>
      <c r="PZE131" s="21"/>
      <c r="PZF131" s="21"/>
      <c r="PZG131" s="21"/>
      <c r="PZH131" s="21"/>
      <c r="PZI131" s="20"/>
      <c r="PZJ131" s="20"/>
      <c r="PZK131" s="20"/>
      <c r="PZL131" s="20"/>
      <c r="PZM131" s="21"/>
      <c r="PZN131" s="21"/>
      <c r="PZO131" s="7"/>
      <c r="PZP131" s="7"/>
      <c r="PZQ131" s="21"/>
      <c r="PZR131" s="20"/>
      <c r="PZS131" s="20"/>
      <c r="PZT131" s="20"/>
      <c r="PZU131" s="21"/>
      <c r="PZV131" s="21"/>
      <c r="PZW131" s="21"/>
      <c r="PZX131" s="21"/>
      <c r="PZY131" s="21"/>
      <c r="PZZ131" s="20"/>
      <c r="QAA131" s="20"/>
      <c r="QAB131" s="20"/>
      <c r="QAC131" s="20"/>
      <c r="QAD131" s="21"/>
      <c r="QAE131" s="21"/>
      <c r="QAF131" s="7"/>
      <c r="QAG131" s="7"/>
      <c r="QAH131" s="21"/>
      <c r="QAI131" s="20"/>
      <c r="QAJ131" s="20"/>
      <c r="QAK131" s="20"/>
      <c r="QAL131" s="21"/>
      <c r="QAM131" s="21"/>
      <c r="QAN131" s="21"/>
      <c r="QAO131" s="21"/>
      <c r="QAP131" s="21"/>
      <c r="QAQ131" s="20"/>
      <c r="QAR131" s="20"/>
      <c r="QAS131" s="20"/>
      <c r="QAT131" s="20"/>
      <c r="QAU131" s="21"/>
      <c r="QAV131" s="21"/>
      <c r="QAW131" s="7"/>
      <c r="QAX131" s="7"/>
      <c r="QAY131" s="21"/>
      <c r="QAZ131" s="20"/>
      <c r="QBA131" s="20"/>
      <c r="QBB131" s="20"/>
      <c r="QBC131" s="21"/>
      <c r="QBD131" s="21"/>
      <c r="QBE131" s="21"/>
      <c r="QBF131" s="21"/>
      <c r="QBG131" s="21"/>
      <c r="QBH131" s="20"/>
      <c r="QBI131" s="20"/>
      <c r="QBJ131" s="20"/>
      <c r="QBK131" s="20"/>
      <c r="QBL131" s="21"/>
      <c r="QBM131" s="21"/>
      <c r="QBN131" s="7"/>
      <c r="QBO131" s="7"/>
      <c r="QBP131" s="21"/>
      <c r="QBQ131" s="20"/>
      <c r="QBR131" s="20"/>
      <c r="QBS131" s="20"/>
      <c r="QBT131" s="21"/>
      <c r="QBU131" s="21"/>
      <c r="QBV131" s="21"/>
      <c r="QBW131" s="21"/>
      <c r="QBX131" s="21"/>
      <c r="QBY131" s="20"/>
      <c r="QBZ131" s="20"/>
      <c r="QCA131" s="20"/>
      <c r="QCB131" s="20"/>
      <c r="QCC131" s="21"/>
      <c r="QCD131" s="21"/>
      <c r="QCE131" s="7"/>
      <c r="QCF131" s="7"/>
      <c r="QCG131" s="21"/>
      <c r="QCH131" s="20"/>
      <c r="QCI131" s="20"/>
      <c r="QCJ131" s="20"/>
      <c r="QCK131" s="21"/>
      <c r="QCL131" s="21"/>
      <c r="QCM131" s="21"/>
      <c r="QCN131" s="21"/>
      <c r="QCO131" s="21"/>
      <c r="QCP131" s="20"/>
      <c r="QCQ131" s="20"/>
      <c r="QCR131" s="20"/>
      <c r="QCS131" s="20"/>
      <c r="QCT131" s="21"/>
      <c r="QCU131" s="21"/>
      <c r="QCV131" s="7"/>
      <c r="QCW131" s="7"/>
      <c r="QCX131" s="21"/>
      <c r="QCY131" s="20"/>
      <c r="QCZ131" s="20"/>
      <c r="QDA131" s="20"/>
      <c r="QDB131" s="21"/>
      <c r="QDC131" s="21"/>
      <c r="QDD131" s="21"/>
      <c r="QDE131" s="21"/>
      <c r="QDF131" s="21"/>
      <c r="QDG131" s="20"/>
      <c r="QDH131" s="20"/>
      <c r="QDI131" s="20"/>
      <c r="QDJ131" s="20"/>
      <c r="QDK131" s="21"/>
      <c r="QDL131" s="21"/>
      <c r="QDM131" s="7"/>
      <c r="QDN131" s="7"/>
      <c r="QDO131" s="21"/>
      <c r="QDP131" s="20"/>
      <c r="QDQ131" s="20"/>
      <c r="QDR131" s="20"/>
      <c r="QDS131" s="21"/>
      <c r="QDT131" s="21"/>
      <c r="QDU131" s="21"/>
      <c r="QDV131" s="21"/>
      <c r="QDW131" s="21"/>
      <c r="QDX131" s="20"/>
      <c r="QDY131" s="20"/>
      <c r="QDZ131" s="20"/>
      <c r="QEA131" s="20"/>
      <c r="QEB131" s="21"/>
      <c r="QEC131" s="21"/>
      <c r="QED131" s="7"/>
      <c r="QEE131" s="7"/>
      <c r="QEF131" s="21"/>
      <c r="QEG131" s="20"/>
      <c r="QEH131" s="20"/>
      <c r="QEI131" s="20"/>
      <c r="QEJ131" s="21"/>
      <c r="QEK131" s="21"/>
      <c r="QEL131" s="21"/>
      <c r="QEM131" s="21"/>
      <c r="QEN131" s="21"/>
      <c r="QEO131" s="20"/>
      <c r="QEP131" s="20"/>
      <c r="QEQ131" s="20"/>
      <c r="QER131" s="20"/>
      <c r="QES131" s="21"/>
      <c r="QET131" s="21"/>
      <c r="QEU131" s="7"/>
      <c r="QEV131" s="7"/>
      <c r="QEW131" s="21"/>
      <c r="QEX131" s="20"/>
      <c r="QEY131" s="20"/>
      <c r="QEZ131" s="20"/>
      <c r="QFA131" s="21"/>
      <c r="QFB131" s="21"/>
      <c r="QFC131" s="21"/>
      <c r="QFD131" s="21"/>
      <c r="QFE131" s="21"/>
      <c r="QFF131" s="20"/>
      <c r="QFG131" s="20"/>
      <c r="QFH131" s="20"/>
      <c r="QFI131" s="20"/>
      <c r="QFJ131" s="21"/>
      <c r="QFK131" s="21"/>
      <c r="QFL131" s="7"/>
      <c r="QFM131" s="7"/>
      <c r="QFN131" s="21"/>
      <c r="QFO131" s="20"/>
      <c r="QFP131" s="20"/>
      <c r="QFQ131" s="20"/>
      <c r="QFR131" s="21"/>
      <c r="QFS131" s="21"/>
      <c r="QFT131" s="21"/>
      <c r="QFU131" s="21"/>
      <c r="QFV131" s="21"/>
      <c r="QFW131" s="20"/>
      <c r="QFX131" s="20"/>
      <c r="QFY131" s="20"/>
      <c r="QFZ131" s="20"/>
      <c r="QGA131" s="21"/>
      <c r="QGB131" s="21"/>
      <c r="QGC131" s="7"/>
      <c r="QGD131" s="7"/>
      <c r="QGE131" s="21"/>
      <c r="QGF131" s="20"/>
      <c r="QGG131" s="20"/>
      <c r="QGH131" s="20"/>
      <c r="QGI131" s="21"/>
      <c r="QGJ131" s="21"/>
      <c r="QGK131" s="21"/>
      <c r="QGL131" s="21"/>
      <c r="QGM131" s="21"/>
      <c r="QGN131" s="20"/>
      <c r="QGO131" s="20"/>
      <c r="QGP131" s="20"/>
      <c r="QGQ131" s="20"/>
      <c r="QGR131" s="21"/>
      <c r="QGS131" s="21"/>
      <c r="QGT131" s="7"/>
      <c r="QGU131" s="7"/>
      <c r="QGV131" s="21"/>
      <c r="QGW131" s="20"/>
      <c r="QGX131" s="20"/>
      <c r="QGY131" s="20"/>
      <c r="QGZ131" s="21"/>
      <c r="QHA131" s="21"/>
      <c r="QHB131" s="21"/>
      <c r="QHC131" s="21"/>
      <c r="QHD131" s="21"/>
      <c r="QHE131" s="20"/>
      <c r="QHF131" s="20"/>
      <c r="QHG131" s="20"/>
      <c r="QHH131" s="20"/>
      <c r="QHI131" s="21"/>
      <c r="QHJ131" s="21"/>
      <c r="QHK131" s="7"/>
      <c r="QHL131" s="7"/>
      <c r="QHM131" s="21"/>
      <c r="QHN131" s="20"/>
      <c r="QHO131" s="20"/>
      <c r="QHP131" s="20"/>
      <c r="QHQ131" s="21"/>
      <c r="QHR131" s="21"/>
      <c r="QHS131" s="21"/>
      <c r="QHT131" s="21"/>
      <c r="QHU131" s="21"/>
      <c r="QHV131" s="20"/>
      <c r="QHW131" s="20"/>
      <c r="QHX131" s="20"/>
      <c r="QHY131" s="20"/>
      <c r="QHZ131" s="21"/>
      <c r="QIA131" s="21"/>
      <c r="QIB131" s="7"/>
      <c r="QIC131" s="7"/>
      <c r="QID131" s="21"/>
      <c r="QIE131" s="20"/>
      <c r="QIF131" s="20"/>
      <c r="QIG131" s="20"/>
      <c r="QIH131" s="21"/>
      <c r="QII131" s="21"/>
      <c r="QIJ131" s="21"/>
      <c r="QIK131" s="21"/>
      <c r="QIL131" s="21"/>
      <c r="QIM131" s="20"/>
      <c r="QIN131" s="20"/>
      <c r="QIO131" s="20"/>
      <c r="QIP131" s="20"/>
      <c r="QIQ131" s="21"/>
      <c r="QIR131" s="21"/>
      <c r="QIS131" s="7"/>
      <c r="QIT131" s="7"/>
      <c r="QIU131" s="21"/>
      <c r="QIV131" s="20"/>
      <c r="QIW131" s="20"/>
      <c r="QIX131" s="20"/>
      <c r="QIY131" s="21"/>
      <c r="QIZ131" s="21"/>
      <c r="QJA131" s="21"/>
      <c r="QJB131" s="21"/>
      <c r="QJC131" s="21"/>
      <c r="QJD131" s="20"/>
      <c r="QJE131" s="20"/>
      <c r="QJF131" s="20"/>
      <c r="QJG131" s="20"/>
      <c r="QJH131" s="21"/>
      <c r="QJI131" s="21"/>
      <c r="QJJ131" s="7"/>
      <c r="QJK131" s="7"/>
      <c r="QJL131" s="21"/>
      <c r="QJM131" s="20"/>
      <c r="QJN131" s="20"/>
      <c r="QJO131" s="20"/>
      <c r="QJP131" s="21"/>
      <c r="QJQ131" s="21"/>
      <c r="QJR131" s="21"/>
      <c r="QJS131" s="21"/>
      <c r="QJT131" s="21"/>
      <c r="QJU131" s="20"/>
      <c r="QJV131" s="20"/>
      <c r="QJW131" s="20"/>
      <c r="QJX131" s="20"/>
      <c r="QJY131" s="21"/>
      <c r="QJZ131" s="21"/>
      <c r="QKA131" s="7"/>
      <c r="QKB131" s="7"/>
      <c r="QKC131" s="21"/>
      <c r="QKD131" s="20"/>
      <c r="QKE131" s="20"/>
      <c r="QKF131" s="20"/>
      <c r="QKG131" s="21"/>
      <c r="QKH131" s="21"/>
      <c r="QKI131" s="21"/>
      <c r="QKJ131" s="21"/>
      <c r="QKK131" s="21"/>
      <c r="QKL131" s="20"/>
      <c r="QKM131" s="20"/>
      <c r="QKN131" s="20"/>
      <c r="QKO131" s="20"/>
      <c r="QKP131" s="21"/>
      <c r="QKQ131" s="21"/>
      <c r="QKR131" s="7"/>
      <c r="QKS131" s="7"/>
      <c r="QKT131" s="21"/>
      <c r="QKU131" s="20"/>
      <c r="QKV131" s="20"/>
      <c r="QKW131" s="20"/>
      <c r="QKX131" s="21"/>
      <c r="QKY131" s="21"/>
      <c r="QKZ131" s="21"/>
      <c r="QLA131" s="21"/>
      <c r="QLB131" s="21"/>
      <c r="QLC131" s="20"/>
      <c r="QLD131" s="20"/>
      <c r="QLE131" s="20"/>
      <c r="QLF131" s="20"/>
      <c r="QLG131" s="21"/>
      <c r="QLH131" s="21"/>
      <c r="QLI131" s="7"/>
      <c r="QLJ131" s="7"/>
      <c r="QLK131" s="21"/>
      <c r="QLL131" s="20"/>
      <c r="QLM131" s="20"/>
      <c r="QLN131" s="20"/>
      <c r="QLO131" s="21"/>
      <c r="QLP131" s="21"/>
      <c r="QLQ131" s="21"/>
      <c r="QLR131" s="21"/>
      <c r="QLS131" s="21"/>
      <c r="QLT131" s="20"/>
      <c r="QLU131" s="20"/>
      <c r="QLV131" s="20"/>
      <c r="QLW131" s="20"/>
      <c r="QLX131" s="21"/>
      <c r="QLY131" s="21"/>
      <c r="QLZ131" s="7"/>
      <c r="QMA131" s="7"/>
      <c r="QMB131" s="21"/>
      <c r="QMC131" s="20"/>
      <c r="QMD131" s="20"/>
      <c r="QME131" s="20"/>
      <c r="QMF131" s="21"/>
      <c r="QMG131" s="21"/>
      <c r="QMH131" s="21"/>
      <c r="QMI131" s="21"/>
      <c r="QMJ131" s="21"/>
      <c r="QMK131" s="20"/>
      <c r="QML131" s="20"/>
      <c r="QMM131" s="20"/>
      <c r="QMN131" s="20"/>
      <c r="QMO131" s="21"/>
      <c r="QMP131" s="21"/>
      <c r="QMQ131" s="7"/>
      <c r="QMR131" s="7"/>
      <c r="QMS131" s="21"/>
      <c r="QMT131" s="20"/>
      <c r="QMU131" s="20"/>
      <c r="QMV131" s="20"/>
      <c r="QMW131" s="21"/>
      <c r="QMX131" s="21"/>
      <c r="QMY131" s="21"/>
      <c r="QMZ131" s="21"/>
      <c r="QNA131" s="21"/>
      <c r="QNB131" s="20"/>
      <c r="QNC131" s="20"/>
      <c r="QND131" s="20"/>
      <c r="QNE131" s="20"/>
      <c r="QNF131" s="21"/>
      <c r="QNG131" s="21"/>
      <c r="QNH131" s="7"/>
      <c r="QNI131" s="7"/>
      <c r="QNJ131" s="21"/>
      <c r="QNK131" s="20"/>
      <c r="QNL131" s="20"/>
      <c r="QNM131" s="20"/>
      <c r="QNN131" s="21"/>
      <c r="QNO131" s="21"/>
      <c r="QNP131" s="21"/>
      <c r="QNQ131" s="21"/>
      <c r="QNR131" s="21"/>
      <c r="QNS131" s="20"/>
      <c r="QNT131" s="20"/>
      <c r="QNU131" s="20"/>
      <c r="QNV131" s="20"/>
      <c r="QNW131" s="21"/>
      <c r="QNX131" s="21"/>
      <c r="QNY131" s="7"/>
      <c r="QNZ131" s="7"/>
      <c r="QOA131" s="21"/>
      <c r="QOB131" s="20"/>
      <c r="QOC131" s="20"/>
      <c r="QOD131" s="20"/>
      <c r="QOE131" s="21"/>
      <c r="QOF131" s="21"/>
      <c r="QOG131" s="21"/>
      <c r="QOH131" s="21"/>
      <c r="QOI131" s="21"/>
      <c r="QOJ131" s="20"/>
      <c r="QOK131" s="20"/>
      <c r="QOL131" s="20"/>
      <c r="QOM131" s="20"/>
      <c r="QON131" s="21"/>
      <c r="QOO131" s="21"/>
      <c r="QOP131" s="7"/>
      <c r="QOQ131" s="7"/>
      <c r="QOR131" s="21"/>
      <c r="QOS131" s="20"/>
      <c r="QOT131" s="20"/>
      <c r="QOU131" s="20"/>
      <c r="QOV131" s="21"/>
      <c r="QOW131" s="21"/>
      <c r="QOX131" s="21"/>
      <c r="QOY131" s="21"/>
      <c r="QOZ131" s="21"/>
      <c r="QPA131" s="20"/>
      <c r="QPB131" s="20"/>
      <c r="QPC131" s="20"/>
      <c r="QPD131" s="20"/>
      <c r="QPE131" s="21"/>
      <c r="QPF131" s="21"/>
      <c r="QPG131" s="7"/>
      <c r="QPH131" s="7"/>
      <c r="QPI131" s="21"/>
      <c r="QPJ131" s="20"/>
      <c r="QPK131" s="20"/>
      <c r="QPL131" s="20"/>
      <c r="QPM131" s="21"/>
      <c r="QPN131" s="21"/>
      <c r="QPO131" s="21"/>
      <c r="QPP131" s="21"/>
      <c r="QPQ131" s="21"/>
      <c r="QPR131" s="20"/>
      <c r="QPS131" s="20"/>
      <c r="QPT131" s="20"/>
      <c r="QPU131" s="20"/>
      <c r="QPV131" s="21"/>
      <c r="QPW131" s="21"/>
      <c r="QPX131" s="7"/>
      <c r="QPY131" s="7"/>
      <c r="QPZ131" s="21"/>
      <c r="QQA131" s="20"/>
      <c r="QQB131" s="20"/>
      <c r="QQC131" s="20"/>
      <c r="QQD131" s="21"/>
      <c r="QQE131" s="21"/>
      <c r="QQF131" s="21"/>
      <c r="QQG131" s="21"/>
      <c r="QQH131" s="21"/>
      <c r="QQI131" s="20"/>
      <c r="QQJ131" s="20"/>
      <c r="QQK131" s="20"/>
      <c r="QQL131" s="20"/>
      <c r="QQM131" s="21"/>
      <c r="QQN131" s="21"/>
      <c r="QQO131" s="7"/>
      <c r="QQP131" s="7"/>
      <c r="QQQ131" s="21"/>
      <c r="QQR131" s="20"/>
      <c r="QQS131" s="20"/>
      <c r="QQT131" s="20"/>
      <c r="QQU131" s="21"/>
      <c r="QQV131" s="21"/>
      <c r="QQW131" s="21"/>
      <c r="QQX131" s="21"/>
      <c r="QQY131" s="21"/>
      <c r="QQZ131" s="20"/>
      <c r="QRA131" s="20"/>
      <c r="QRB131" s="20"/>
      <c r="QRC131" s="20"/>
      <c r="QRD131" s="21"/>
      <c r="QRE131" s="21"/>
      <c r="QRF131" s="7"/>
      <c r="QRG131" s="7"/>
      <c r="QRH131" s="21"/>
      <c r="QRI131" s="20"/>
      <c r="QRJ131" s="20"/>
      <c r="QRK131" s="20"/>
      <c r="QRL131" s="21"/>
      <c r="QRM131" s="21"/>
      <c r="QRN131" s="21"/>
      <c r="QRO131" s="21"/>
      <c r="QRP131" s="21"/>
      <c r="QRQ131" s="20"/>
      <c r="QRR131" s="20"/>
      <c r="QRS131" s="20"/>
      <c r="QRT131" s="20"/>
      <c r="QRU131" s="21"/>
      <c r="QRV131" s="21"/>
      <c r="QRW131" s="7"/>
      <c r="QRX131" s="7"/>
      <c r="QRY131" s="21"/>
      <c r="QRZ131" s="20"/>
      <c r="QSA131" s="20"/>
      <c r="QSB131" s="20"/>
      <c r="QSC131" s="21"/>
      <c r="QSD131" s="21"/>
      <c r="QSE131" s="21"/>
      <c r="QSF131" s="21"/>
      <c r="QSG131" s="21"/>
      <c r="QSH131" s="20"/>
      <c r="QSI131" s="20"/>
      <c r="QSJ131" s="20"/>
      <c r="QSK131" s="20"/>
      <c r="QSL131" s="21"/>
      <c r="QSM131" s="21"/>
      <c r="QSN131" s="7"/>
      <c r="QSO131" s="7"/>
      <c r="QSP131" s="21"/>
      <c r="QSQ131" s="20"/>
      <c r="QSR131" s="20"/>
      <c r="QSS131" s="20"/>
      <c r="QST131" s="21"/>
      <c r="QSU131" s="21"/>
      <c r="QSV131" s="21"/>
      <c r="QSW131" s="21"/>
      <c r="QSX131" s="21"/>
      <c r="QSY131" s="20"/>
      <c r="QSZ131" s="20"/>
      <c r="QTA131" s="20"/>
      <c r="QTB131" s="20"/>
      <c r="QTC131" s="21"/>
      <c r="QTD131" s="21"/>
      <c r="QTE131" s="7"/>
      <c r="QTF131" s="7"/>
      <c r="QTG131" s="21"/>
      <c r="QTH131" s="20"/>
      <c r="QTI131" s="20"/>
      <c r="QTJ131" s="20"/>
      <c r="QTK131" s="21"/>
      <c r="QTL131" s="21"/>
      <c r="QTM131" s="21"/>
      <c r="QTN131" s="21"/>
      <c r="QTO131" s="21"/>
      <c r="QTP131" s="20"/>
      <c r="QTQ131" s="20"/>
      <c r="QTR131" s="20"/>
      <c r="QTS131" s="20"/>
      <c r="QTT131" s="21"/>
      <c r="QTU131" s="21"/>
      <c r="QTV131" s="7"/>
      <c r="QTW131" s="7"/>
      <c r="QTX131" s="21"/>
      <c r="QTY131" s="20"/>
      <c r="QTZ131" s="20"/>
      <c r="QUA131" s="20"/>
      <c r="QUB131" s="21"/>
      <c r="QUC131" s="21"/>
      <c r="QUD131" s="21"/>
      <c r="QUE131" s="21"/>
      <c r="QUF131" s="21"/>
      <c r="QUG131" s="20"/>
      <c r="QUH131" s="20"/>
      <c r="QUI131" s="20"/>
      <c r="QUJ131" s="20"/>
      <c r="QUK131" s="21"/>
      <c r="QUL131" s="21"/>
      <c r="QUM131" s="7"/>
      <c r="QUN131" s="7"/>
      <c r="QUO131" s="21"/>
      <c r="QUP131" s="20"/>
      <c r="QUQ131" s="20"/>
      <c r="QUR131" s="20"/>
      <c r="QUS131" s="21"/>
      <c r="QUT131" s="21"/>
      <c r="QUU131" s="21"/>
      <c r="QUV131" s="21"/>
      <c r="QUW131" s="21"/>
      <c r="QUX131" s="20"/>
      <c r="QUY131" s="20"/>
      <c r="QUZ131" s="20"/>
      <c r="QVA131" s="20"/>
      <c r="QVB131" s="21"/>
      <c r="QVC131" s="21"/>
      <c r="QVD131" s="7"/>
      <c r="QVE131" s="7"/>
      <c r="QVF131" s="21"/>
      <c r="QVG131" s="20"/>
      <c r="QVH131" s="20"/>
      <c r="QVI131" s="20"/>
      <c r="QVJ131" s="21"/>
      <c r="QVK131" s="21"/>
      <c r="QVL131" s="21"/>
      <c r="QVM131" s="21"/>
      <c r="QVN131" s="21"/>
      <c r="QVO131" s="20"/>
      <c r="QVP131" s="20"/>
      <c r="QVQ131" s="20"/>
      <c r="QVR131" s="20"/>
      <c r="QVS131" s="21"/>
      <c r="QVT131" s="21"/>
      <c r="QVU131" s="7"/>
      <c r="QVV131" s="7"/>
      <c r="QVW131" s="21"/>
      <c r="QVX131" s="20"/>
      <c r="QVY131" s="20"/>
      <c r="QVZ131" s="20"/>
      <c r="QWA131" s="21"/>
      <c r="QWB131" s="21"/>
      <c r="QWC131" s="21"/>
      <c r="QWD131" s="21"/>
      <c r="QWE131" s="21"/>
      <c r="QWF131" s="20"/>
      <c r="QWG131" s="20"/>
      <c r="QWH131" s="20"/>
      <c r="QWI131" s="20"/>
      <c r="QWJ131" s="21"/>
      <c r="QWK131" s="21"/>
      <c r="QWL131" s="7"/>
      <c r="QWM131" s="7"/>
      <c r="QWN131" s="21"/>
      <c r="QWO131" s="20"/>
      <c r="QWP131" s="20"/>
      <c r="QWQ131" s="20"/>
      <c r="QWR131" s="21"/>
      <c r="QWS131" s="21"/>
      <c r="QWT131" s="21"/>
      <c r="QWU131" s="21"/>
      <c r="QWV131" s="21"/>
      <c r="QWW131" s="20"/>
      <c r="QWX131" s="20"/>
      <c r="QWY131" s="20"/>
      <c r="QWZ131" s="20"/>
      <c r="QXA131" s="21"/>
      <c r="QXB131" s="21"/>
      <c r="QXC131" s="7"/>
      <c r="QXD131" s="7"/>
      <c r="QXE131" s="21"/>
      <c r="QXF131" s="20"/>
      <c r="QXG131" s="20"/>
      <c r="QXH131" s="20"/>
      <c r="QXI131" s="21"/>
      <c r="QXJ131" s="21"/>
      <c r="QXK131" s="21"/>
      <c r="QXL131" s="21"/>
      <c r="QXM131" s="21"/>
      <c r="QXN131" s="20"/>
      <c r="QXO131" s="20"/>
      <c r="QXP131" s="20"/>
      <c r="QXQ131" s="20"/>
      <c r="QXR131" s="21"/>
      <c r="QXS131" s="21"/>
      <c r="QXT131" s="7"/>
      <c r="QXU131" s="7"/>
      <c r="QXV131" s="21"/>
      <c r="QXW131" s="20"/>
      <c r="QXX131" s="20"/>
      <c r="QXY131" s="20"/>
      <c r="QXZ131" s="21"/>
      <c r="QYA131" s="21"/>
      <c r="QYB131" s="21"/>
      <c r="QYC131" s="21"/>
      <c r="QYD131" s="21"/>
      <c r="QYE131" s="20"/>
      <c r="QYF131" s="20"/>
      <c r="QYG131" s="20"/>
      <c r="QYH131" s="20"/>
      <c r="QYI131" s="21"/>
      <c r="QYJ131" s="21"/>
      <c r="QYK131" s="7"/>
      <c r="QYL131" s="7"/>
      <c r="QYM131" s="21"/>
      <c r="QYN131" s="20"/>
      <c r="QYO131" s="20"/>
      <c r="QYP131" s="20"/>
      <c r="QYQ131" s="21"/>
      <c r="QYR131" s="21"/>
      <c r="QYS131" s="21"/>
      <c r="QYT131" s="21"/>
      <c r="QYU131" s="21"/>
      <c r="QYV131" s="20"/>
      <c r="QYW131" s="20"/>
      <c r="QYX131" s="20"/>
      <c r="QYY131" s="20"/>
      <c r="QYZ131" s="21"/>
      <c r="QZA131" s="21"/>
      <c r="QZB131" s="7"/>
      <c r="QZC131" s="7"/>
      <c r="QZD131" s="21"/>
      <c r="QZE131" s="20"/>
      <c r="QZF131" s="20"/>
      <c r="QZG131" s="20"/>
      <c r="QZH131" s="21"/>
      <c r="QZI131" s="21"/>
      <c r="QZJ131" s="21"/>
      <c r="QZK131" s="21"/>
      <c r="QZL131" s="21"/>
      <c r="QZM131" s="20"/>
      <c r="QZN131" s="20"/>
      <c r="QZO131" s="20"/>
      <c r="QZP131" s="20"/>
      <c r="QZQ131" s="21"/>
      <c r="QZR131" s="21"/>
      <c r="QZS131" s="7"/>
      <c r="QZT131" s="7"/>
      <c r="QZU131" s="21"/>
      <c r="QZV131" s="20"/>
      <c r="QZW131" s="20"/>
      <c r="QZX131" s="20"/>
      <c r="QZY131" s="21"/>
      <c r="QZZ131" s="21"/>
      <c r="RAA131" s="21"/>
      <c r="RAB131" s="21"/>
      <c r="RAC131" s="21"/>
      <c r="RAD131" s="20"/>
      <c r="RAE131" s="20"/>
      <c r="RAF131" s="20"/>
      <c r="RAG131" s="20"/>
      <c r="RAH131" s="21"/>
      <c r="RAI131" s="21"/>
      <c r="RAJ131" s="7"/>
      <c r="RAK131" s="7"/>
      <c r="RAL131" s="21"/>
      <c r="RAM131" s="20"/>
      <c r="RAN131" s="20"/>
      <c r="RAO131" s="20"/>
      <c r="RAP131" s="21"/>
      <c r="RAQ131" s="21"/>
      <c r="RAR131" s="21"/>
      <c r="RAS131" s="21"/>
      <c r="RAT131" s="21"/>
      <c r="RAU131" s="20"/>
      <c r="RAV131" s="20"/>
      <c r="RAW131" s="20"/>
      <c r="RAX131" s="20"/>
      <c r="RAY131" s="21"/>
      <c r="RAZ131" s="21"/>
      <c r="RBA131" s="7"/>
      <c r="RBB131" s="7"/>
      <c r="RBC131" s="21"/>
      <c r="RBD131" s="20"/>
      <c r="RBE131" s="20"/>
      <c r="RBF131" s="20"/>
      <c r="RBG131" s="21"/>
      <c r="RBH131" s="21"/>
      <c r="RBI131" s="21"/>
      <c r="RBJ131" s="21"/>
      <c r="RBK131" s="21"/>
      <c r="RBL131" s="20"/>
      <c r="RBM131" s="20"/>
      <c r="RBN131" s="20"/>
      <c r="RBO131" s="20"/>
      <c r="RBP131" s="21"/>
      <c r="RBQ131" s="21"/>
      <c r="RBR131" s="7"/>
      <c r="RBS131" s="7"/>
      <c r="RBT131" s="21"/>
      <c r="RBU131" s="20"/>
      <c r="RBV131" s="20"/>
      <c r="RBW131" s="20"/>
      <c r="RBX131" s="21"/>
      <c r="RBY131" s="21"/>
      <c r="RBZ131" s="21"/>
      <c r="RCA131" s="21"/>
      <c r="RCB131" s="21"/>
      <c r="RCC131" s="20"/>
      <c r="RCD131" s="20"/>
      <c r="RCE131" s="20"/>
      <c r="RCF131" s="20"/>
      <c r="RCG131" s="21"/>
      <c r="RCH131" s="21"/>
      <c r="RCI131" s="7"/>
      <c r="RCJ131" s="7"/>
      <c r="RCK131" s="21"/>
      <c r="RCL131" s="20"/>
      <c r="RCM131" s="20"/>
      <c r="RCN131" s="20"/>
      <c r="RCO131" s="21"/>
      <c r="RCP131" s="21"/>
      <c r="RCQ131" s="21"/>
      <c r="RCR131" s="21"/>
      <c r="RCS131" s="21"/>
      <c r="RCT131" s="20"/>
      <c r="RCU131" s="20"/>
      <c r="RCV131" s="20"/>
      <c r="RCW131" s="20"/>
      <c r="RCX131" s="21"/>
      <c r="RCY131" s="21"/>
      <c r="RCZ131" s="7"/>
      <c r="RDA131" s="7"/>
      <c r="RDB131" s="21"/>
      <c r="RDC131" s="20"/>
      <c r="RDD131" s="20"/>
      <c r="RDE131" s="20"/>
      <c r="RDF131" s="21"/>
      <c r="RDG131" s="21"/>
      <c r="RDH131" s="21"/>
      <c r="RDI131" s="21"/>
      <c r="RDJ131" s="21"/>
      <c r="RDK131" s="20"/>
      <c r="RDL131" s="20"/>
      <c r="RDM131" s="20"/>
      <c r="RDN131" s="20"/>
      <c r="RDO131" s="21"/>
      <c r="RDP131" s="21"/>
      <c r="RDQ131" s="7"/>
      <c r="RDR131" s="7"/>
      <c r="RDS131" s="21"/>
      <c r="RDT131" s="20"/>
      <c r="RDU131" s="20"/>
      <c r="RDV131" s="20"/>
      <c r="RDW131" s="21"/>
      <c r="RDX131" s="21"/>
      <c r="RDY131" s="21"/>
      <c r="RDZ131" s="21"/>
      <c r="REA131" s="21"/>
      <c r="REB131" s="20"/>
      <c r="REC131" s="20"/>
      <c r="RED131" s="20"/>
      <c r="REE131" s="20"/>
      <c r="REF131" s="21"/>
      <c r="REG131" s="21"/>
      <c r="REH131" s="7"/>
      <c r="REI131" s="7"/>
      <c r="REJ131" s="21"/>
      <c r="REK131" s="20"/>
      <c r="REL131" s="20"/>
      <c r="REM131" s="20"/>
      <c r="REN131" s="21"/>
      <c r="REO131" s="21"/>
      <c r="REP131" s="21"/>
      <c r="REQ131" s="21"/>
      <c r="RER131" s="21"/>
      <c r="RES131" s="20"/>
      <c r="RET131" s="20"/>
      <c r="REU131" s="20"/>
      <c r="REV131" s="20"/>
      <c r="REW131" s="21"/>
      <c r="REX131" s="21"/>
      <c r="REY131" s="7"/>
      <c r="REZ131" s="7"/>
      <c r="RFA131" s="21"/>
      <c r="RFB131" s="20"/>
      <c r="RFC131" s="20"/>
      <c r="RFD131" s="20"/>
      <c r="RFE131" s="21"/>
      <c r="RFF131" s="21"/>
      <c r="RFG131" s="21"/>
      <c r="RFH131" s="21"/>
      <c r="RFI131" s="21"/>
      <c r="RFJ131" s="20"/>
      <c r="RFK131" s="20"/>
      <c r="RFL131" s="20"/>
      <c r="RFM131" s="20"/>
      <c r="RFN131" s="21"/>
      <c r="RFO131" s="21"/>
      <c r="RFP131" s="7"/>
      <c r="RFQ131" s="7"/>
      <c r="RFR131" s="21"/>
      <c r="RFS131" s="20"/>
      <c r="RFT131" s="20"/>
      <c r="RFU131" s="20"/>
      <c r="RFV131" s="21"/>
      <c r="RFW131" s="21"/>
      <c r="RFX131" s="21"/>
      <c r="RFY131" s="21"/>
      <c r="RFZ131" s="21"/>
      <c r="RGA131" s="20"/>
      <c r="RGB131" s="20"/>
      <c r="RGC131" s="20"/>
      <c r="RGD131" s="20"/>
      <c r="RGE131" s="21"/>
      <c r="RGF131" s="21"/>
      <c r="RGG131" s="7"/>
      <c r="RGH131" s="7"/>
      <c r="RGI131" s="21"/>
      <c r="RGJ131" s="20"/>
      <c r="RGK131" s="20"/>
      <c r="RGL131" s="20"/>
      <c r="RGM131" s="21"/>
      <c r="RGN131" s="21"/>
      <c r="RGO131" s="21"/>
      <c r="RGP131" s="21"/>
      <c r="RGQ131" s="21"/>
      <c r="RGR131" s="20"/>
      <c r="RGS131" s="20"/>
      <c r="RGT131" s="20"/>
      <c r="RGU131" s="20"/>
      <c r="RGV131" s="21"/>
      <c r="RGW131" s="21"/>
      <c r="RGX131" s="7"/>
      <c r="RGY131" s="7"/>
      <c r="RGZ131" s="21"/>
      <c r="RHA131" s="20"/>
      <c r="RHB131" s="20"/>
      <c r="RHC131" s="20"/>
      <c r="RHD131" s="21"/>
      <c r="RHE131" s="21"/>
      <c r="RHF131" s="21"/>
      <c r="RHG131" s="21"/>
      <c r="RHH131" s="21"/>
      <c r="RHI131" s="20"/>
      <c r="RHJ131" s="20"/>
      <c r="RHK131" s="20"/>
      <c r="RHL131" s="20"/>
      <c r="RHM131" s="21"/>
      <c r="RHN131" s="21"/>
      <c r="RHO131" s="7"/>
      <c r="RHP131" s="7"/>
      <c r="RHQ131" s="21"/>
      <c r="RHR131" s="20"/>
      <c r="RHS131" s="20"/>
      <c r="RHT131" s="20"/>
      <c r="RHU131" s="21"/>
      <c r="RHV131" s="21"/>
      <c r="RHW131" s="21"/>
      <c r="RHX131" s="21"/>
      <c r="RHY131" s="21"/>
      <c r="RHZ131" s="20"/>
      <c r="RIA131" s="20"/>
      <c r="RIB131" s="20"/>
      <c r="RIC131" s="20"/>
      <c r="RID131" s="21"/>
      <c r="RIE131" s="21"/>
      <c r="RIF131" s="7"/>
      <c r="RIG131" s="7"/>
      <c r="RIH131" s="21"/>
      <c r="RII131" s="20"/>
      <c r="RIJ131" s="20"/>
      <c r="RIK131" s="20"/>
      <c r="RIL131" s="21"/>
      <c r="RIM131" s="21"/>
      <c r="RIN131" s="21"/>
      <c r="RIO131" s="21"/>
      <c r="RIP131" s="21"/>
      <c r="RIQ131" s="20"/>
      <c r="RIR131" s="20"/>
      <c r="RIS131" s="20"/>
      <c r="RIT131" s="20"/>
      <c r="RIU131" s="21"/>
      <c r="RIV131" s="21"/>
      <c r="RIW131" s="7"/>
      <c r="RIX131" s="7"/>
      <c r="RIY131" s="21"/>
      <c r="RIZ131" s="20"/>
      <c r="RJA131" s="20"/>
      <c r="RJB131" s="20"/>
      <c r="RJC131" s="21"/>
      <c r="RJD131" s="21"/>
      <c r="RJE131" s="21"/>
      <c r="RJF131" s="21"/>
      <c r="RJG131" s="21"/>
      <c r="RJH131" s="20"/>
      <c r="RJI131" s="20"/>
      <c r="RJJ131" s="20"/>
      <c r="RJK131" s="20"/>
      <c r="RJL131" s="21"/>
      <c r="RJM131" s="21"/>
      <c r="RJN131" s="7"/>
      <c r="RJO131" s="7"/>
      <c r="RJP131" s="21"/>
      <c r="RJQ131" s="20"/>
      <c r="RJR131" s="20"/>
      <c r="RJS131" s="20"/>
      <c r="RJT131" s="21"/>
      <c r="RJU131" s="21"/>
      <c r="RJV131" s="21"/>
      <c r="RJW131" s="21"/>
      <c r="RJX131" s="21"/>
      <c r="RJY131" s="20"/>
      <c r="RJZ131" s="20"/>
      <c r="RKA131" s="20"/>
      <c r="RKB131" s="20"/>
      <c r="RKC131" s="21"/>
      <c r="RKD131" s="21"/>
      <c r="RKE131" s="7"/>
      <c r="RKF131" s="7"/>
      <c r="RKG131" s="21"/>
      <c r="RKH131" s="20"/>
      <c r="RKI131" s="20"/>
      <c r="RKJ131" s="20"/>
      <c r="RKK131" s="21"/>
      <c r="RKL131" s="21"/>
      <c r="RKM131" s="21"/>
      <c r="RKN131" s="21"/>
      <c r="RKO131" s="21"/>
      <c r="RKP131" s="20"/>
      <c r="RKQ131" s="20"/>
      <c r="RKR131" s="20"/>
      <c r="RKS131" s="20"/>
      <c r="RKT131" s="21"/>
      <c r="RKU131" s="21"/>
      <c r="RKV131" s="7"/>
      <c r="RKW131" s="7"/>
      <c r="RKX131" s="21"/>
      <c r="RKY131" s="20"/>
      <c r="RKZ131" s="20"/>
      <c r="RLA131" s="20"/>
      <c r="RLB131" s="21"/>
      <c r="RLC131" s="21"/>
      <c r="RLD131" s="21"/>
      <c r="RLE131" s="21"/>
      <c r="RLF131" s="21"/>
      <c r="RLG131" s="20"/>
      <c r="RLH131" s="20"/>
      <c r="RLI131" s="20"/>
      <c r="RLJ131" s="20"/>
      <c r="RLK131" s="21"/>
      <c r="RLL131" s="21"/>
      <c r="RLM131" s="7"/>
      <c r="RLN131" s="7"/>
      <c r="RLO131" s="21"/>
      <c r="RLP131" s="20"/>
      <c r="RLQ131" s="20"/>
      <c r="RLR131" s="20"/>
      <c r="RLS131" s="21"/>
      <c r="RLT131" s="21"/>
      <c r="RLU131" s="21"/>
      <c r="RLV131" s="21"/>
      <c r="RLW131" s="21"/>
      <c r="RLX131" s="20"/>
      <c r="RLY131" s="20"/>
      <c r="RLZ131" s="20"/>
      <c r="RMA131" s="20"/>
      <c r="RMB131" s="21"/>
      <c r="RMC131" s="21"/>
      <c r="RMD131" s="7"/>
      <c r="RME131" s="7"/>
      <c r="RMF131" s="21"/>
      <c r="RMG131" s="20"/>
      <c r="RMH131" s="20"/>
      <c r="RMI131" s="20"/>
      <c r="RMJ131" s="21"/>
      <c r="RMK131" s="21"/>
      <c r="RML131" s="21"/>
      <c r="RMM131" s="21"/>
      <c r="RMN131" s="21"/>
      <c r="RMO131" s="20"/>
      <c r="RMP131" s="20"/>
      <c r="RMQ131" s="20"/>
      <c r="RMR131" s="20"/>
      <c r="RMS131" s="21"/>
      <c r="RMT131" s="21"/>
      <c r="RMU131" s="7"/>
      <c r="RMV131" s="7"/>
      <c r="RMW131" s="21"/>
      <c r="RMX131" s="20"/>
      <c r="RMY131" s="20"/>
      <c r="RMZ131" s="20"/>
      <c r="RNA131" s="21"/>
      <c r="RNB131" s="21"/>
      <c r="RNC131" s="21"/>
      <c r="RND131" s="21"/>
      <c r="RNE131" s="21"/>
      <c r="RNF131" s="20"/>
      <c r="RNG131" s="20"/>
      <c r="RNH131" s="20"/>
      <c r="RNI131" s="20"/>
      <c r="RNJ131" s="21"/>
      <c r="RNK131" s="21"/>
      <c r="RNL131" s="7"/>
      <c r="RNM131" s="7"/>
      <c r="RNN131" s="21"/>
      <c r="RNO131" s="20"/>
      <c r="RNP131" s="20"/>
      <c r="RNQ131" s="20"/>
      <c r="RNR131" s="21"/>
      <c r="RNS131" s="21"/>
      <c r="RNT131" s="21"/>
      <c r="RNU131" s="21"/>
      <c r="RNV131" s="21"/>
      <c r="RNW131" s="20"/>
      <c r="RNX131" s="20"/>
      <c r="RNY131" s="20"/>
      <c r="RNZ131" s="20"/>
      <c r="ROA131" s="21"/>
      <c r="ROB131" s="21"/>
      <c r="ROC131" s="7"/>
      <c r="ROD131" s="7"/>
      <c r="ROE131" s="21"/>
      <c r="ROF131" s="20"/>
      <c r="ROG131" s="20"/>
      <c r="ROH131" s="20"/>
      <c r="ROI131" s="21"/>
      <c r="ROJ131" s="21"/>
      <c r="ROK131" s="21"/>
      <c r="ROL131" s="21"/>
      <c r="ROM131" s="21"/>
      <c r="RON131" s="20"/>
      <c r="ROO131" s="20"/>
      <c r="ROP131" s="20"/>
      <c r="ROQ131" s="20"/>
      <c r="ROR131" s="21"/>
      <c r="ROS131" s="21"/>
      <c r="ROT131" s="7"/>
      <c r="ROU131" s="7"/>
      <c r="ROV131" s="21"/>
      <c r="ROW131" s="20"/>
      <c r="ROX131" s="20"/>
      <c r="ROY131" s="20"/>
      <c r="ROZ131" s="21"/>
      <c r="RPA131" s="21"/>
      <c r="RPB131" s="21"/>
      <c r="RPC131" s="21"/>
      <c r="RPD131" s="21"/>
      <c r="RPE131" s="20"/>
      <c r="RPF131" s="20"/>
      <c r="RPG131" s="20"/>
      <c r="RPH131" s="20"/>
      <c r="RPI131" s="21"/>
      <c r="RPJ131" s="21"/>
      <c r="RPK131" s="7"/>
      <c r="RPL131" s="7"/>
      <c r="RPM131" s="21"/>
      <c r="RPN131" s="20"/>
      <c r="RPO131" s="20"/>
      <c r="RPP131" s="20"/>
      <c r="RPQ131" s="21"/>
      <c r="RPR131" s="21"/>
      <c r="RPS131" s="21"/>
      <c r="RPT131" s="21"/>
      <c r="RPU131" s="21"/>
      <c r="RPV131" s="20"/>
      <c r="RPW131" s="20"/>
      <c r="RPX131" s="20"/>
      <c r="RPY131" s="20"/>
      <c r="RPZ131" s="21"/>
      <c r="RQA131" s="21"/>
      <c r="RQB131" s="7"/>
      <c r="RQC131" s="7"/>
      <c r="RQD131" s="21"/>
      <c r="RQE131" s="20"/>
      <c r="RQF131" s="20"/>
      <c r="RQG131" s="20"/>
      <c r="RQH131" s="21"/>
      <c r="RQI131" s="21"/>
      <c r="RQJ131" s="21"/>
      <c r="RQK131" s="21"/>
      <c r="RQL131" s="21"/>
      <c r="RQM131" s="20"/>
      <c r="RQN131" s="20"/>
      <c r="RQO131" s="20"/>
      <c r="RQP131" s="20"/>
      <c r="RQQ131" s="21"/>
      <c r="RQR131" s="21"/>
      <c r="RQS131" s="7"/>
      <c r="RQT131" s="7"/>
      <c r="RQU131" s="21"/>
      <c r="RQV131" s="20"/>
      <c r="RQW131" s="20"/>
      <c r="RQX131" s="20"/>
      <c r="RQY131" s="21"/>
      <c r="RQZ131" s="21"/>
      <c r="RRA131" s="21"/>
      <c r="RRB131" s="21"/>
      <c r="RRC131" s="21"/>
      <c r="RRD131" s="20"/>
      <c r="RRE131" s="20"/>
      <c r="RRF131" s="20"/>
      <c r="RRG131" s="20"/>
      <c r="RRH131" s="21"/>
      <c r="RRI131" s="21"/>
      <c r="RRJ131" s="7"/>
      <c r="RRK131" s="7"/>
      <c r="RRL131" s="21"/>
      <c r="RRM131" s="20"/>
      <c r="RRN131" s="20"/>
      <c r="RRO131" s="20"/>
      <c r="RRP131" s="21"/>
      <c r="RRQ131" s="21"/>
      <c r="RRR131" s="21"/>
      <c r="RRS131" s="21"/>
      <c r="RRT131" s="21"/>
      <c r="RRU131" s="20"/>
      <c r="RRV131" s="20"/>
      <c r="RRW131" s="20"/>
      <c r="RRX131" s="20"/>
      <c r="RRY131" s="21"/>
      <c r="RRZ131" s="21"/>
      <c r="RSA131" s="7"/>
      <c r="RSB131" s="7"/>
      <c r="RSC131" s="21"/>
      <c r="RSD131" s="20"/>
      <c r="RSE131" s="20"/>
      <c r="RSF131" s="20"/>
      <c r="RSG131" s="21"/>
      <c r="RSH131" s="21"/>
      <c r="RSI131" s="21"/>
      <c r="RSJ131" s="21"/>
      <c r="RSK131" s="21"/>
      <c r="RSL131" s="20"/>
      <c r="RSM131" s="20"/>
      <c r="RSN131" s="20"/>
      <c r="RSO131" s="20"/>
      <c r="RSP131" s="21"/>
      <c r="RSQ131" s="21"/>
      <c r="RSR131" s="7"/>
      <c r="RSS131" s="7"/>
      <c r="RST131" s="21"/>
      <c r="RSU131" s="20"/>
      <c r="RSV131" s="20"/>
      <c r="RSW131" s="20"/>
      <c r="RSX131" s="21"/>
      <c r="RSY131" s="21"/>
      <c r="RSZ131" s="21"/>
      <c r="RTA131" s="21"/>
      <c r="RTB131" s="21"/>
      <c r="RTC131" s="20"/>
      <c r="RTD131" s="20"/>
      <c r="RTE131" s="20"/>
      <c r="RTF131" s="20"/>
      <c r="RTG131" s="21"/>
      <c r="RTH131" s="21"/>
      <c r="RTI131" s="7"/>
      <c r="RTJ131" s="7"/>
      <c r="RTK131" s="21"/>
      <c r="RTL131" s="20"/>
      <c r="RTM131" s="20"/>
      <c r="RTN131" s="20"/>
      <c r="RTO131" s="21"/>
      <c r="RTP131" s="21"/>
      <c r="RTQ131" s="21"/>
      <c r="RTR131" s="21"/>
      <c r="RTS131" s="21"/>
      <c r="RTT131" s="20"/>
      <c r="RTU131" s="20"/>
      <c r="RTV131" s="20"/>
      <c r="RTW131" s="20"/>
      <c r="RTX131" s="21"/>
      <c r="RTY131" s="21"/>
      <c r="RTZ131" s="7"/>
      <c r="RUA131" s="7"/>
      <c r="RUB131" s="21"/>
      <c r="RUC131" s="20"/>
      <c r="RUD131" s="20"/>
      <c r="RUE131" s="20"/>
      <c r="RUF131" s="21"/>
      <c r="RUG131" s="21"/>
      <c r="RUH131" s="21"/>
      <c r="RUI131" s="21"/>
      <c r="RUJ131" s="21"/>
      <c r="RUK131" s="20"/>
      <c r="RUL131" s="20"/>
      <c r="RUM131" s="20"/>
      <c r="RUN131" s="20"/>
      <c r="RUO131" s="21"/>
      <c r="RUP131" s="21"/>
      <c r="RUQ131" s="7"/>
      <c r="RUR131" s="7"/>
      <c r="RUS131" s="21"/>
      <c r="RUT131" s="20"/>
      <c r="RUU131" s="20"/>
      <c r="RUV131" s="20"/>
      <c r="RUW131" s="21"/>
      <c r="RUX131" s="21"/>
      <c r="RUY131" s="21"/>
      <c r="RUZ131" s="21"/>
      <c r="RVA131" s="21"/>
      <c r="RVB131" s="20"/>
      <c r="RVC131" s="20"/>
      <c r="RVD131" s="20"/>
      <c r="RVE131" s="20"/>
      <c r="RVF131" s="21"/>
      <c r="RVG131" s="21"/>
      <c r="RVH131" s="7"/>
      <c r="RVI131" s="7"/>
      <c r="RVJ131" s="21"/>
      <c r="RVK131" s="20"/>
      <c r="RVL131" s="20"/>
      <c r="RVM131" s="20"/>
      <c r="RVN131" s="21"/>
      <c r="RVO131" s="21"/>
      <c r="RVP131" s="21"/>
      <c r="RVQ131" s="21"/>
      <c r="RVR131" s="21"/>
      <c r="RVS131" s="20"/>
      <c r="RVT131" s="20"/>
      <c r="RVU131" s="20"/>
      <c r="RVV131" s="20"/>
      <c r="RVW131" s="21"/>
      <c r="RVX131" s="21"/>
      <c r="RVY131" s="7"/>
      <c r="RVZ131" s="7"/>
      <c r="RWA131" s="21"/>
      <c r="RWB131" s="20"/>
      <c r="RWC131" s="20"/>
      <c r="RWD131" s="20"/>
      <c r="RWE131" s="21"/>
      <c r="RWF131" s="21"/>
      <c r="RWG131" s="21"/>
      <c r="RWH131" s="21"/>
      <c r="RWI131" s="21"/>
      <c r="RWJ131" s="20"/>
      <c r="RWK131" s="20"/>
      <c r="RWL131" s="20"/>
      <c r="RWM131" s="20"/>
      <c r="RWN131" s="21"/>
      <c r="RWO131" s="21"/>
      <c r="RWP131" s="7"/>
      <c r="RWQ131" s="7"/>
      <c r="RWR131" s="21"/>
      <c r="RWS131" s="20"/>
      <c r="RWT131" s="20"/>
      <c r="RWU131" s="20"/>
      <c r="RWV131" s="21"/>
      <c r="RWW131" s="21"/>
      <c r="RWX131" s="21"/>
      <c r="RWY131" s="21"/>
      <c r="RWZ131" s="21"/>
      <c r="RXA131" s="20"/>
      <c r="RXB131" s="20"/>
      <c r="RXC131" s="20"/>
      <c r="RXD131" s="20"/>
      <c r="RXE131" s="21"/>
      <c r="RXF131" s="21"/>
      <c r="RXG131" s="7"/>
      <c r="RXH131" s="7"/>
      <c r="RXI131" s="21"/>
      <c r="RXJ131" s="20"/>
      <c r="RXK131" s="20"/>
      <c r="RXL131" s="20"/>
      <c r="RXM131" s="21"/>
      <c r="RXN131" s="21"/>
      <c r="RXO131" s="21"/>
      <c r="RXP131" s="21"/>
      <c r="RXQ131" s="21"/>
      <c r="RXR131" s="20"/>
      <c r="RXS131" s="20"/>
      <c r="RXT131" s="20"/>
      <c r="RXU131" s="20"/>
      <c r="RXV131" s="21"/>
      <c r="RXW131" s="21"/>
      <c r="RXX131" s="7"/>
      <c r="RXY131" s="7"/>
      <c r="RXZ131" s="21"/>
      <c r="RYA131" s="20"/>
      <c r="RYB131" s="20"/>
      <c r="RYC131" s="20"/>
      <c r="RYD131" s="21"/>
      <c r="RYE131" s="21"/>
      <c r="RYF131" s="21"/>
      <c r="RYG131" s="21"/>
      <c r="RYH131" s="21"/>
      <c r="RYI131" s="20"/>
      <c r="RYJ131" s="20"/>
      <c r="RYK131" s="20"/>
      <c r="RYL131" s="20"/>
      <c r="RYM131" s="21"/>
      <c r="RYN131" s="21"/>
      <c r="RYO131" s="7"/>
      <c r="RYP131" s="7"/>
      <c r="RYQ131" s="21"/>
      <c r="RYR131" s="20"/>
      <c r="RYS131" s="20"/>
      <c r="RYT131" s="20"/>
      <c r="RYU131" s="21"/>
      <c r="RYV131" s="21"/>
      <c r="RYW131" s="21"/>
      <c r="RYX131" s="21"/>
      <c r="RYY131" s="21"/>
      <c r="RYZ131" s="20"/>
      <c r="RZA131" s="20"/>
      <c r="RZB131" s="20"/>
      <c r="RZC131" s="20"/>
      <c r="RZD131" s="21"/>
      <c r="RZE131" s="21"/>
      <c r="RZF131" s="7"/>
      <c r="RZG131" s="7"/>
      <c r="RZH131" s="21"/>
      <c r="RZI131" s="20"/>
      <c r="RZJ131" s="20"/>
      <c r="RZK131" s="20"/>
      <c r="RZL131" s="21"/>
      <c r="RZM131" s="21"/>
      <c r="RZN131" s="21"/>
      <c r="RZO131" s="21"/>
      <c r="RZP131" s="21"/>
      <c r="RZQ131" s="20"/>
      <c r="RZR131" s="20"/>
      <c r="RZS131" s="20"/>
      <c r="RZT131" s="20"/>
      <c r="RZU131" s="21"/>
      <c r="RZV131" s="21"/>
      <c r="RZW131" s="7"/>
      <c r="RZX131" s="7"/>
      <c r="RZY131" s="21"/>
      <c r="RZZ131" s="20"/>
      <c r="SAA131" s="20"/>
      <c r="SAB131" s="20"/>
      <c r="SAC131" s="21"/>
      <c r="SAD131" s="21"/>
      <c r="SAE131" s="21"/>
      <c r="SAF131" s="21"/>
      <c r="SAG131" s="21"/>
      <c r="SAH131" s="20"/>
      <c r="SAI131" s="20"/>
      <c r="SAJ131" s="20"/>
      <c r="SAK131" s="20"/>
      <c r="SAL131" s="21"/>
      <c r="SAM131" s="21"/>
      <c r="SAN131" s="7"/>
      <c r="SAO131" s="7"/>
      <c r="SAP131" s="21"/>
      <c r="SAQ131" s="20"/>
      <c r="SAR131" s="20"/>
      <c r="SAS131" s="20"/>
      <c r="SAT131" s="21"/>
      <c r="SAU131" s="21"/>
      <c r="SAV131" s="21"/>
      <c r="SAW131" s="21"/>
      <c r="SAX131" s="21"/>
      <c r="SAY131" s="20"/>
      <c r="SAZ131" s="20"/>
      <c r="SBA131" s="20"/>
      <c r="SBB131" s="20"/>
      <c r="SBC131" s="21"/>
      <c r="SBD131" s="21"/>
      <c r="SBE131" s="7"/>
      <c r="SBF131" s="7"/>
      <c r="SBG131" s="21"/>
      <c r="SBH131" s="20"/>
      <c r="SBI131" s="20"/>
      <c r="SBJ131" s="20"/>
      <c r="SBK131" s="21"/>
      <c r="SBL131" s="21"/>
      <c r="SBM131" s="21"/>
      <c r="SBN131" s="21"/>
      <c r="SBO131" s="21"/>
      <c r="SBP131" s="20"/>
      <c r="SBQ131" s="20"/>
      <c r="SBR131" s="20"/>
      <c r="SBS131" s="20"/>
      <c r="SBT131" s="21"/>
      <c r="SBU131" s="21"/>
      <c r="SBV131" s="7"/>
      <c r="SBW131" s="7"/>
      <c r="SBX131" s="21"/>
      <c r="SBY131" s="20"/>
      <c r="SBZ131" s="20"/>
      <c r="SCA131" s="20"/>
      <c r="SCB131" s="21"/>
      <c r="SCC131" s="21"/>
      <c r="SCD131" s="21"/>
      <c r="SCE131" s="21"/>
      <c r="SCF131" s="21"/>
      <c r="SCG131" s="20"/>
      <c r="SCH131" s="20"/>
      <c r="SCI131" s="20"/>
      <c r="SCJ131" s="20"/>
      <c r="SCK131" s="21"/>
      <c r="SCL131" s="21"/>
      <c r="SCM131" s="7"/>
      <c r="SCN131" s="7"/>
      <c r="SCO131" s="21"/>
      <c r="SCP131" s="20"/>
      <c r="SCQ131" s="20"/>
      <c r="SCR131" s="20"/>
      <c r="SCS131" s="21"/>
      <c r="SCT131" s="21"/>
      <c r="SCU131" s="21"/>
      <c r="SCV131" s="21"/>
      <c r="SCW131" s="21"/>
      <c r="SCX131" s="20"/>
      <c r="SCY131" s="20"/>
      <c r="SCZ131" s="20"/>
      <c r="SDA131" s="20"/>
      <c r="SDB131" s="21"/>
      <c r="SDC131" s="21"/>
      <c r="SDD131" s="7"/>
      <c r="SDE131" s="7"/>
      <c r="SDF131" s="21"/>
      <c r="SDG131" s="20"/>
      <c r="SDH131" s="20"/>
      <c r="SDI131" s="20"/>
      <c r="SDJ131" s="21"/>
      <c r="SDK131" s="21"/>
      <c r="SDL131" s="21"/>
      <c r="SDM131" s="21"/>
      <c r="SDN131" s="21"/>
      <c r="SDO131" s="20"/>
      <c r="SDP131" s="20"/>
      <c r="SDQ131" s="20"/>
      <c r="SDR131" s="20"/>
      <c r="SDS131" s="21"/>
      <c r="SDT131" s="21"/>
      <c r="SDU131" s="7"/>
      <c r="SDV131" s="7"/>
      <c r="SDW131" s="21"/>
      <c r="SDX131" s="20"/>
      <c r="SDY131" s="20"/>
      <c r="SDZ131" s="20"/>
      <c r="SEA131" s="21"/>
      <c r="SEB131" s="21"/>
      <c r="SEC131" s="21"/>
      <c r="SED131" s="21"/>
      <c r="SEE131" s="21"/>
      <c r="SEF131" s="20"/>
      <c r="SEG131" s="20"/>
      <c r="SEH131" s="20"/>
      <c r="SEI131" s="20"/>
      <c r="SEJ131" s="21"/>
      <c r="SEK131" s="21"/>
      <c r="SEL131" s="7"/>
      <c r="SEM131" s="7"/>
      <c r="SEN131" s="21"/>
      <c r="SEO131" s="20"/>
      <c r="SEP131" s="20"/>
      <c r="SEQ131" s="20"/>
      <c r="SER131" s="21"/>
      <c r="SES131" s="21"/>
      <c r="SET131" s="21"/>
      <c r="SEU131" s="21"/>
      <c r="SEV131" s="21"/>
      <c r="SEW131" s="20"/>
      <c r="SEX131" s="20"/>
      <c r="SEY131" s="20"/>
      <c r="SEZ131" s="20"/>
      <c r="SFA131" s="21"/>
      <c r="SFB131" s="21"/>
      <c r="SFC131" s="7"/>
      <c r="SFD131" s="7"/>
      <c r="SFE131" s="21"/>
      <c r="SFF131" s="20"/>
      <c r="SFG131" s="20"/>
      <c r="SFH131" s="20"/>
      <c r="SFI131" s="21"/>
      <c r="SFJ131" s="21"/>
      <c r="SFK131" s="21"/>
      <c r="SFL131" s="21"/>
      <c r="SFM131" s="21"/>
      <c r="SFN131" s="20"/>
      <c r="SFO131" s="20"/>
      <c r="SFP131" s="20"/>
      <c r="SFQ131" s="20"/>
      <c r="SFR131" s="21"/>
      <c r="SFS131" s="21"/>
      <c r="SFT131" s="7"/>
      <c r="SFU131" s="7"/>
      <c r="SFV131" s="21"/>
      <c r="SFW131" s="20"/>
      <c r="SFX131" s="20"/>
      <c r="SFY131" s="20"/>
      <c r="SFZ131" s="21"/>
      <c r="SGA131" s="21"/>
      <c r="SGB131" s="21"/>
      <c r="SGC131" s="21"/>
      <c r="SGD131" s="21"/>
      <c r="SGE131" s="20"/>
      <c r="SGF131" s="20"/>
      <c r="SGG131" s="20"/>
      <c r="SGH131" s="20"/>
      <c r="SGI131" s="21"/>
      <c r="SGJ131" s="21"/>
      <c r="SGK131" s="7"/>
      <c r="SGL131" s="7"/>
      <c r="SGM131" s="21"/>
      <c r="SGN131" s="20"/>
      <c r="SGO131" s="20"/>
      <c r="SGP131" s="20"/>
      <c r="SGQ131" s="21"/>
      <c r="SGR131" s="21"/>
      <c r="SGS131" s="21"/>
      <c r="SGT131" s="21"/>
      <c r="SGU131" s="21"/>
      <c r="SGV131" s="20"/>
      <c r="SGW131" s="20"/>
      <c r="SGX131" s="20"/>
      <c r="SGY131" s="20"/>
      <c r="SGZ131" s="21"/>
      <c r="SHA131" s="21"/>
      <c r="SHB131" s="7"/>
      <c r="SHC131" s="7"/>
      <c r="SHD131" s="21"/>
      <c r="SHE131" s="20"/>
      <c r="SHF131" s="20"/>
      <c r="SHG131" s="20"/>
      <c r="SHH131" s="21"/>
      <c r="SHI131" s="21"/>
      <c r="SHJ131" s="21"/>
      <c r="SHK131" s="21"/>
      <c r="SHL131" s="21"/>
      <c r="SHM131" s="20"/>
      <c r="SHN131" s="20"/>
      <c r="SHO131" s="20"/>
      <c r="SHP131" s="20"/>
      <c r="SHQ131" s="21"/>
      <c r="SHR131" s="21"/>
      <c r="SHS131" s="7"/>
      <c r="SHT131" s="7"/>
      <c r="SHU131" s="21"/>
      <c r="SHV131" s="20"/>
      <c r="SHW131" s="20"/>
      <c r="SHX131" s="20"/>
      <c r="SHY131" s="21"/>
      <c r="SHZ131" s="21"/>
      <c r="SIA131" s="21"/>
      <c r="SIB131" s="21"/>
      <c r="SIC131" s="21"/>
      <c r="SID131" s="20"/>
      <c r="SIE131" s="20"/>
      <c r="SIF131" s="20"/>
      <c r="SIG131" s="20"/>
      <c r="SIH131" s="21"/>
      <c r="SII131" s="21"/>
      <c r="SIJ131" s="7"/>
      <c r="SIK131" s="7"/>
      <c r="SIL131" s="21"/>
      <c r="SIM131" s="20"/>
      <c r="SIN131" s="20"/>
      <c r="SIO131" s="20"/>
      <c r="SIP131" s="21"/>
      <c r="SIQ131" s="21"/>
      <c r="SIR131" s="21"/>
      <c r="SIS131" s="21"/>
      <c r="SIT131" s="21"/>
      <c r="SIU131" s="20"/>
      <c r="SIV131" s="20"/>
      <c r="SIW131" s="20"/>
      <c r="SIX131" s="20"/>
      <c r="SIY131" s="21"/>
      <c r="SIZ131" s="21"/>
      <c r="SJA131" s="7"/>
      <c r="SJB131" s="7"/>
      <c r="SJC131" s="21"/>
      <c r="SJD131" s="20"/>
      <c r="SJE131" s="20"/>
      <c r="SJF131" s="20"/>
      <c r="SJG131" s="21"/>
      <c r="SJH131" s="21"/>
      <c r="SJI131" s="21"/>
      <c r="SJJ131" s="21"/>
      <c r="SJK131" s="21"/>
      <c r="SJL131" s="20"/>
      <c r="SJM131" s="20"/>
      <c r="SJN131" s="20"/>
      <c r="SJO131" s="20"/>
      <c r="SJP131" s="21"/>
      <c r="SJQ131" s="21"/>
      <c r="SJR131" s="7"/>
      <c r="SJS131" s="7"/>
      <c r="SJT131" s="21"/>
      <c r="SJU131" s="20"/>
      <c r="SJV131" s="20"/>
      <c r="SJW131" s="20"/>
      <c r="SJX131" s="21"/>
      <c r="SJY131" s="21"/>
      <c r="SJZ131" s="21"/>
      <c r="SKA131" s="21"/>
      <c r="SKB131" s="21"/>
      <c r="SKC131" s="20"/>
      <c r="SKD131" s="20"/>
      <c r="SKE131" s="20"/>
      <c r="SKF131" s="20"/>
      <c r="SKG131" s="21"/>
      <c r="SKH131" s="21"/>
      <c r="SKI131" s="7"/>
      <c r="SKJ131" s="7"/>
      <c r="SKK131" s="21"/>
      <c r="SKL131" s="20"/>
      <c r="SKM131" s="20"/>
      <c r="SKN131" s="20"/>
      <c r="SKO131" s="21"/>
      <c r="SKP131" s="21"/>
      <c r="SKQ131" s="21"/>
      <c r="SKR131" s="21"/>
      <c r="SKS131" s="21"/>
      <c r="SKT131" s="20"/>
      <c r="SKU131" s="20"/>
      <c r="SKV131" s="20"/>
      <c r="SKW131" s="20"/>
      <c r="SKX131" s="21"/>
      <c r="SKY131" s="21"/>
      <c r="SKZ131" s="7"/>
      <c r="SLA131" s="7"/>
      <c r="SLB131" s="21"/>
      <c r="SLC131" s="20"/>
      <c r="SLD131" s="20"/>
      <c r="SLE131" s="20"/>
      <c r="SLF131" s="21"/>
      <c r="SLG131" s="21"/>
      <c r="SLH131" s="21"/>
      <c r="SLI131" s="21"/>
      <c r="SLJ131" s="21"/>
      <c r="SLK131" s="20"/>
      <c r="SLL131" s="20"/>
      <c r="SLM131" s="20"/>
      <c r="SLN131" s="20"/>
      <c r="SLO131" s="21"/>
      <c r="SLP131" s="21"/>
      <c r="SLQ131" s="7"/>
      <c r="SLR131" s="7"/>
      <c r="SLS131" s="21"/>
      <c r="SLT131" s="20"/>
      <c r="SLU131" s="20"/>
      <c r="SLV131" s="20"/>
      <c r="SLW131" s="21"/>
      <c r="SLX131" s="21"/>
      <c r="SLY131" s="21"/>
      <c r="SLZ131" s="21"/>
      <c r="SMA131" s="21"/>
      <c r="SMB131" s="20"/>
      <c r="SMC131" s="20"/>
      <c r="SMD131" s="20"/>
      <c r="SME131" s="20"/>
      <c r="SMF131" s="21"/>
      <c r="SMG131" s="21"/>
      <c r="SMH131" s="7"/>
      <c r="SMI131" s="7"/>
      <c r="SMJ131" s="21"/>
      <c r="SMK131" s="20"/>
      <c r="SML131" s="20"/>
      <c r="SMM131" s="20"/>
      <c r="SMN131" s="21"/>
      <c r="SMO131" s="21"/>
      <c r="SMP131" s="21"/>
      <c r="SMQ131" s="21"/>
      <c r="SMR131" s="21"/>
      <c r="SMS131" s="20"/>
      <c r="SMT131" s="20"/>
      <c r="SMU131" s="20"/>
      <c r="SMV131" s="20"/>
      <c r="SMW131" s="21"/>
      <c r="SMX131" s="21"/>
      <c r="SMY131" s="7"/>
      <c r="SMZ131" s="7"/>
      <c r="SNA131" s="21"/>
      <c r="SNB131" s="20"/>
      <c r="SNC131" s="20"/>
      <c r="SND131" s="20"/>
      <c r="SNE131" s="21"/>
      <c r="SNF131" s="21"/>
      <c r="SNG131" s="21"/>
      <c r="SNH131" s="21"/>
      <c r="SNI131" s="21"/>
      <c r="SNJ131" s="20"/>
      <c r="SNK131" s="20"/>
      <c r="SNL131" s="20"/>
      <c r="SNM131" s="20"/>
      <c r="SNN131" s="21"/>
      <c r="SNO131" s="21"/>
      <c r="SNP131" s="7"/>
      <c r="SNQ131" s="7"/>
      <c r="SNR131" s="21"/>
      <c r="SNS131" s="20"/>
      <c r="SNT131" s="20"/>
      <c r="SNU131" s="20"/>
      <c r="SNV131" s="21"/>
      <c r="SNW131" s="21"/>
      <c r="SNX131" s="21"/>
      <c r="SNY131" s="21"/>
      <c r="SNZ131" s="21"/>
      <c r="SOA131" s="20"/>
      <c r="SOB131" s="20"/>
      <c r="SOC131" s="20"/>
      <c r="SOD131" s="20"/>
      <c r="SOE131" s="21"/>
      <c r="SOF131" s="21"/>
      <c r="SOG131" s="7"/>
      <c r="SOH131" s="7"/>
      <c r="SOI131" s="21"/>
      <c r="SOJ131" s="20"/>
      <c r="SOK131" s="20"/>
      <c r="SOL131" s="20"/>
      <c r="SOM131" s="21"/>
      <c r="SON131" s="21"/>
      <c r="SOO131" s="21"/>
      <c r="SOP131" s="21"/>
      <c r="SOQ131" s="21"/>
      <c r="SOR131" s="20"/>
      <c r="SOS131" s="20"/>
      <c r="SOT131" s="20"/>
      <c r="SOU131" s="20"/>
      <c r="SOV131" s="21"/>
      <c r="SOW131" s="21"/>
      <c r="SOX131" s="7"/>
      <c r="SOY131" s="7"/>
      <c r="SOZ131" s="21"/>
      <c r="SPA131" s="20"/>
      <c r="SPB131" s="20"/>
      <c r="SPC131" s="20"/>
      <c r="SPD131" s="21"/>
      <c r="SPE131" s="21"/>
      <c r="SPF131" s="21"/>
      <c r="SPG131" s="21"/>
      <c r="SPH131" s="21"/>
      <c r="SPI131" s="20"/>
      <c r="SPJ131" s="20"/>
      <c r="SPK131" s="20"/>
      <c r="SPL131" s="20"/>
      <c r="SPM131" s="21"/>
      <c r="SPN131" s="21"/>
      <c r="SPO131" s="7"/>
      <c r="SPP131" s="7"/>
      <c r="SPQ131" s="21"/>
      <c r="SPR131" s="20"/>
      <c r="SPS131" s="20"/>
      <c r="SPT131" s="20"/>
      <c r="SPU131" s="21"/>
      <c r="SPV131" s="21"/>
      <c r="SPW131" s="21"/>
      <c r="SPX131" s="21"/>
      <c r="SPY131" s="21"/>
      <c r="SPZ131" s="20"/>
      <c r="SQA131" s="20"/>
      <c r="SQB131" s="20"/>
      <c r="SQC131" s="20"/>
      <c r="SQD131" s="21"/>
      <c r="SQE131" s="21"/>
      <c r="SQF131" s="7"/>
      <c r="SQG131" s="7"/>
      <c r="SQH131" s="21"/>
      <c r="SQI131" s="20"/>
      <c r="SQJ131" s="20"/>
      <c r="SQK131" s="20"/>
      <c r="SQL131" s="21"/>
      <c r="SQM131" s="21"/>
      <c r="SQN131" s="21"/>
      <c r="SQO131" s="21"/>
      <c r="SQP131" s="21"/>
      <c r="SQQ131" s="20"/>
      <c r="SQR131" s="20"/>
      <c r="SQS131" s="20"/>
      <c r="SQT131" s="20"/>
      <c r="SQU131" s="21"/>
      <c r="SQV131" s="21"/>
      <c r="SQW131" s="7"/>
      <c r="SQX131" s="7"/>
      <c r="SQY131" s="21"/>
      <c r="SQZ131" s="20"/>
      <c r="SRA131" s="20"/>
      <c r="SRB131" s="20"/>
      <c r="SRC131" s="21"/>
      <c r="SRD131" s="21"/>
      <c r="SRE131" s="21"/>
      <c r="SRF131" s="21"/>
      <c r="SRG131" s="21"/>
      <c r="SRH131" s="20"/>
      <c r="SRI131" s="20"/>
      <c r="SRJ131" s="20"/>
      <c r="SRK131" s="20"/>
      <c r="SRL131" s="21"/>
      <c r="SRM131" s="21"/>
      <c r="SRN131" s="7"/>
      <c r="SRO131" s="7"/>
      <c r="SRP131" s="21"/>
      <c r="SRQ131" s="20"/>
      <c r="SRR131" s="20"/>
      <c r="SRS131" s="20"/>
      <c r="SRT131" s="21"/>
      <c r="SRU131" s="21"/>
      <c r="SRV131" s="21"/>
      <c r="SRW131" s="21"/>
      <c r="SRX131" s="21"/>
      <c r="SRY131" s="20"/>
      <c r="SRZ131" s="20"/>
      <c r="SSA131" s="20"/>
      <c r="SSB131" s="20"/>
      <c r="SSC131" s="21"/>
      <c r="SSD131" s="21"/>
      <c r="SSE131" s="7"/>
      <c r="SSF131" s="7"/>
      <c r="SSG131" s="21"/>
      <c r="SSH131" s="20"/>
      <c r="SSI131" s="20"/>
      <c r="SSJ131" s="20"/>
      <c r="SSK131" s="21"/>
      <c r="SSL131" s="21"/>
      <c r="SSM131" s="21"/>
      <c r="SSN131" s="21"/>
      <c r="SSO131" s="21"/>
      <c r="SSP131" s="20"/>
      <c r="SSQ131" s="20"/>
      <c r="SSR131" s="20"/>
      <c r="SSS131" s="20"/>
      <c r="SST131" s="21"/>
      <c r="SSU131" s="21"/>
      <c r="SSV131" s="7"/>
      <c r="SSW131" s="7"/>
      <c r="SSX131" s="21"/>
      <c r="SSY131" s="20"/>
      <c r="SSZ131" s="20"/>
      <c r="STA131" s="20"/>
      <c r="STB131" s="21"/>
      <c r="STC131" s="21"/>
      <c r="STD131" s="21"/>
      <c r="STE131" s="21"/>
      <c r="STF131" s="21"/>
      <c r="STG131" s="20"/>
      <c r="STH131" s="20"/>
      <c r="STI131" s="20"/>
      <c r="STJ131" s="20"/>
      <c r="STK131" s="21"/>
      <c r="STL131" s="21"/>
      <c r="STM131" s="7"/>
      <c r="STN131" s="7"/>
      <c r="STO131" s="21"/>
      <c r="STP131" s="20"/>
      <c r="STQ131" s="20"/>
      <c r="STR131" s="20"/>
      <c r="STS131" s="21"/>
      <c r="STT131" s="21"/>
      <c r="STU131" s="21"/>
      <c r="STV131" s="21"/>
      <c r="STW131" s="21"/>
      <c r="STX131" s="20"/>
      <c r="STY131" s="20"/>
      <c r="STZ131" s="20"/>
      <c r="SUA131" s="20"/>
      <c r="SUB131" s="21"/>
      <c r="SUC131" s="21"/>
      <c r="SUD131" s="7"/>
      <c r="SUE131" s="7"/>
      <c r="SUF131" s="21"/>
      <c r="SUG131" s="20"/>
      <c r="SUH131" s="20"/>
      <c r="SUI131" s="20"/>
      <c r="SUJ131" s="21"/>
      <c r="SUK131" s="21"/>
      <c r="SUL131" s="21"/>
      <c r="SUM131" s="21"/>
      <c r="SUN131" s="21"/>
      <c r="SUO131" s="20"/>
      <c r="SUP131" s="20"/>
      <c r="SUQ131" s="20"/>
      <c r="SUR131" s="20"/>
      <c r="SUS131" s="21"/>
      <c r="SUT131" s="21"/>
      <c r="SUU131" s="7"/>
      <c r="SUV131" s="7"/>
      <c r="SUW131" s="21"/>
      <c r="SUX131" s="20"/>
      <c r="SUY131" s="20"/>
      <c r="SUZ131" s="20"/>
      <c r="SVA131" s="21"/>
      <c r="SVB131" s="21"/>
      <c r="SVC131" s="21"/>
      <c r="SVD131" s="21"/>
      <c r="SVE131" s="21"/>
      <c r="SVF131" s="20"/>
      <c r="SVG131" s="20"/>
      <c r="SVH131" s="20"/>
      <c r="SVI131" s="20"/>
      <c r="SVJ131" s="21"/>
      <c r="SVK131" s="21"/>
      <c r="SVL131" s="7"/>
      <c r="SVM131" s="7"/>
      <c r="SVN131" s="21"/>
      <c r="SVO131" s="20"/>
      <c r="SVP131" s="20"/>
      <c r="SVQ131" s="20"/>
      <c r="SVR131" s="21"/>
      <c r="SVS131" s="21"/>
      <c r="SVT131" s="21"/>
      <c r="SVU131" s="21"/>
      <c r="SVV131" s="21"/>
      <c r="SVW131" s="20"/>
      <c r="SVX131" s="20"/>
      <c r="SVY131" s="20"/>
      <c r="SVZ131" s="20"/>
      <c r="SWA131" s="21"/>
      <c r="SWB131" s="21"/>
      <c r="SWC131" s="7"/>
      <c r="SWD131" s="7"/>
      <c r="SWE131" s="21"/>
      <c r="SWF131" s="20"/>
      <c r="SWG131" s="20"/>
      <c r="SWH131" s="20"/>
      <c r="SWI131" s="21"/>
      <c r="SWJ131" s="21"/>
      <c r="SWK131" s="21"/>
      <c r="SWL131" s="21"/>
      <c r="SWM131" s="21"/>
      <c r="SWN131" s="20"/>
      <c r="SWO131" s="20"/>
      <c r="SWP131" s="20"/>
      <c r="SWQ131" s="20"/>
      <c r="SWR131" s="21"/>
      <c r="SWS131" s="21"/>
      <c r="SWT131" s="7"/>
      <c r="SWU131" s="7"/>
      <c r="SWV131" s="21"/>
      <c r="SWW131" s="20"/>
      <c r="SWX131" s="20"/>
      <c r="SWY131" s="20"/>
      <c r="SWZ131" s="21"/>
      <c r="SXA131" s="21"/>
      <c r="SXB131" s="21"/>
      <c r="SXC131" s="21"/>
      <c r="SXD131" s="21"/>
      <c r="SXE131" s="20"/>
      <c r="SXF131" s="20"/>
      <c r="SXG131" s="20"/>
      <c r="SXH131" s="20"/>
      <c r="SXI131" s="21"/>
      <c r="SXJ131" s="21"/>
      <c r="SXK131" s="7"/>
      <c r="SXL131" s="7"/>
      <c r="SXM131" s="21"/>
      <c r="SXN131" s="20"/>
      <c r="SXO131" s="20"/>
      <c r="SXP131" s="20"/>
      <c r="SXQ131" s="21"/>
      <c r="SXR131" s="21"/>
      <c r="SXS131" s="21"/>
      <c r="SXT131" s="21"/>
      <c r="SXU131" s="21"/>
      <c r="SXV131" s="20"/>
      <c r="SXW131" s="20"/>
      <c r="SXX131" s="20"/>
      <c r="SXY131" s="20"/>
      <c r="SXZ131" s="21"/>
      <c r="SYA131" s="21"/>
      <c r="SYB131" s="7"/>
      <c r="SYC131" s="7"/>
      <c r="SYD131" s="21"/>
      <c r="SYE131" s="20"/>
      <c r="SYF131" s="20"/>
      <c r="SYG131" s="20"/>
      <c r="SYH131" s="21"/>
      <c r="SYI131" s="21"/>
      <c r="SYJ131" s="21"/>
      <c r="SYK131" s="21"/>
      <c r="SYL131" s="21"/>
      <c r="SYM131" s="20"/>
      <c r="SYN131" s="20"/>
      <c r="SYO131" s="20"/>
      <c r="SYP131" s="20"/>
      <c r="SYQ131" s="21"/>
      <c r="SYR131" s="21"/>
      <c r="SYS131" s="7"/>
      <c r="SYT131" s="7"/>
      <c r="SYU131" s="21"/>
      <c r="SYV131" s="20"/>
      <c r="SYW131" s="20"/>
      <c r="SYX131" s="20"/>
      <c r="SYY131" s="21"/>
      <c r="SYZ131" s="21"/>
      <c r="SZA131" s="21"/>
      <c r="SZB131" s="21"/>
      <c r="SZC131" s="21"/>
      <c r="SZD131" s="20"/>
      <c r="SZE131" s="20"/>
      <c r="SZF131" s="20"/>
      <c r="SZG131" s="20"/>
      <c r="SZH131" s="21"/>
      <c r="SZI131" s="21"/>
      <c r="SZJ131" s="7"/>
      <c r="SZK131" s="7"/>
      <c r="SZL131" s="21"/>
      <c r="SZM131" s="20"/>
      <c r="SZN131" s="20"/>
      <c r="SZO131" s="20"/>
      <c r="SZP131" s="21"/>
      <c r="SZQ131" s="21"/>
      <c r="SZR131" s="21"/>
      <c r="SZS131" s="21"/>
      <c r="SZT131" s="21"/>
      <c r="SZU131" s="20"/>
      <c r="SZV131" s="20"/>
      <c r="SZW131" s="20"/>
      <c r="SZX131" s="20"/>
      <c r="SZY131" s="21"/>
      <c r="SZZ131" s="21"/>
      <c r="TAA131" s="7"/>
      <c r="TAB131" s="7"/>
      <c r="TAC131" s="21"/>
      <c r="TAD131" s="20"/>
      <c r="TAE131" s="20"/>
      <c r="TAF131" s="20"/>
      <c r="TAG131" s="21"/>
      <c r="TAH131" s="21"/>
      <c r="TAI131" s="21"/>
      <c r="TAJ131" s="21"/>
      <c r="TAK131" s="21"/>
      <c r="TAL131" s="20"/>
      <c r="TAM131" s="20"/>
      <c r="TAN131" s="20"/>
      <c r="TAO131" s="20"/>
      <c r="TAP131" s="21"/>
      <c r="TAQ131" s="21"/>
      <c r="TAR131" s="7"/>
      <c r="TAS131" s="7"/>
      <c r="TAT131" s="21"/>
      <c r="TAU131" s="20"/>
      <c r="TAV131" s="20"/>
      <c r="TAW131" s="20"/>
      <c r="TAX131" s="21"/>
      <c r="TAY131" s="21"/>
      <c r="TAZ131" s="21"/>
      <c r="TBA131" s="21"/>
      <c r="TBB131" s="21"/>
      <c r="TBC131" s="20"/>
      <c r="TBD131" s="20"/>
      <c r="TBE131" s="20"/>
      <c r="TBF131" s="20"/>
      <c r="TBG131" s="21"/>
      <c r="TBH131" s="21"/>
      <c r="TBI131" s="7"/>
      <c r="TBJ131" s="7"/>
      <c r="TBK131" s="21"/>
      <c r="TBL131" s="20"/>
      <c r="TBM131" s="20"/>
      <c r="TBN131" s="20"/>
      <c r="TBO131" s="21"/>
      <c r="TBP131" s="21"/>
      <c r="TBQ131" s="21"/>
      <c r="TBR131" s="21"/>
      <c r="TBS131" s="21"/>
      <c r="TBT131" s="20"/>
      <c r="TBU131" s="20"/>
      <c r="TBV131" s="20"/>
      <c r="TBW131" s="20"/>
      <c r="TBX131" s="21"/>
      <c r="TBY131" s="21"/>
      <c r="TBZ131" s="7"/>
      <c r="TCA131" s="7"/>
      <c r="TCB131" s="21"/>
      <c r="TCC131" s="20"/>
      <c r="TCD131" s="20"/>
      <c r="TCE131" s="20"/>
      <c r="TCF131" s="21"/>
      <c r="TCG131" s="21"/>
      <c r="TCH131" s="21"/>
      <c r="TCI131" s="21"/>
      <c r="TCJ131" s="21"/>
      <c r="TCK131" s="20"/>
      <c r="TCL131" s="20"/>
      <c r="TCM131" s="20"/>
      <c r="TCN131" s="20"/>
      <c r="TCO131" s="21"/>
      <c r="TCP131" s="21"/>
      <c r="TCQ131" s="7"/>
      <c r="TCR131" s="7"/>
      <c r="TCS131" s="21"/>
      <c r="TCT131" s="20"/>
      <c r="TCU131" s="20"/>
      <c r="TCV131" s="20"/>
      <c r="TCW131" s="21"/>
      <c r="TCX131" s="21"/>
      <c r="TCY131" s="21"/>
      <c r="TCZ131" s="21"/>
      <c r="TDA131" s="21"/>
      <c r="TDB131" s="20"/>
      <c r="TDC131" s="20"/>
      <c r="TDD131" s="20"/>
      <c r="TDE131" s="20"/>
      <c r="TDF131" s="21"/>
      <c r="TDG131" s="21"/>
      <c r="TDH131" s="7"/>
      <c r="TDI131" s="7"/>
      <c r="TDJ131" s="21"/>
      <c r="TDK131" s="20"/>
      <c r="TDL131" s="20"/>
      <c r="TDM131" s="20"/>
      <c r="TDN131" s="21"/>
      <c r="TDO131" s="21"/>
      <c r="TDP131" s="21"/>
      <c r="TDQ131" s="21"/>
      <c r="TDR131" s="21"/>
      <c r="TDS131" s="20"/>
      <c r="TDT131" s="20"/>
      <c r="TDU131" s="20"/>
      <c r="TDV131" s="20"/>
      <c r="TDW131" s="21"/>
      <c r="TDX131" s="21"/>
      <c r="TDY131" s="7"/>
      <c r="TDZ131" s="7"/>
      <c r="TEA131" s="21"/>
      <c r="TEB131" s="20"/>
      <c r="TEC131" s="20"/>
      <c r="TED131" s="20"/>
      <c r="TEE131" s="21"/>
      <c r="TEF131" s="21"/>
      <c r="TEG131" s="21"/>
      <c r="TEH131" s="21"/>
      <c r="TEI131" s="21"/>
      <c r="TEJ131" s="20"/>
      <c r="TEK131" s="20"/>
      <c r="TEL131" s="20"/>
      <c r="TEM131" s="20"/>
      <c r="TEN131" s="21"/>
      <c r="TEO131" s="21"/>
      <c r="TEP131" s="7"/>
      <c r="TEQ131" s="7"/>
      <c r="TER131" s="21"/>
      <c r="TES131" s="20"/>
      <c r="TET131" s="20"/>
      <c r="TEU131" s="20"/>
      <c r="TEV131" s="21"/>
      <c r="TEW131" s="21"/>
      <c r="TEX131" s="21"/>
      <c r="TEY131" s="21"/>
      <c r="TEZ131" s="21"/>
      <c r="TFA131" s="20"/>
      <c r="TFB131" s="20"/>
      <c r="TFC131" s="20"/>
      <c r="TFD131" s="20"/>
      <c r="TFE131" s="21"/>
      <c r="TFF131" s="21"/>
      <c r="TFG131" s="7"/>
      <c r="TFH131" s="7"/>
      <c r="TFI131" s="21"/>
      <c r="TFJ131" s="20"/>
      <c r="TFK131" s="20"/>
      <c r="TFL131" s="20"/>
      <c r="TFM131" s="21"/>
      <c r="TFN131" s="21"/>
      <c r="TFO131" s="21"/>
      <c r="TFP131" s="21"/>
      <c r="TFQ131" s="21"/>
      <c r="TFR131" s="20"/>
      <c r="TFS131" s="20"/>
      <c r="TFT131" s="20"/>
      <c r="TFU131" s="20"/>
      <c r="TFV131" s="21"/>
      <c r="TFW131" s="21"/>
      <c r="TFX131" s="7"/>
      <c r="TFY131" s="7"/>
      <c r="TFZ131" s="21"/>
      <c r="TGA131" s="20"/>
      <c r="TGB131" s="20"/>
      <c r="TGC131" s="20"/>
      <c r="TGD131" s="21"/>
      <c r="TGE131" s="21"/>
      <c r="TGF131" s="21"/>
      <c r="TGG131" s="21"/>
      <c r="TGH131" s="21"/>
      <c r="TGI131" s="20"/>
      <c r="TGJ131" s="20"/>
      <c r="TGK131" s="20"/>
      <c r="TGL131" s="20"/>
      <c r="TGM131" s="21"/>
      <c r="TGN131" s="21"/>
      <c r="TGO131" s="7"/>
      <c r="TGP131" s="7"/>
      <c r="TGQ131" s="21"/>
      <c r="TGR131" s="20"/>
      <c r="TGS131" s="20"/>
      <c r="TGT131" s="20"/>
      <c r="TGU131" s="21"/>
      <c r="TGV131" s="21"/>
      <c r="TGW131" s="21"/>
      <c r="TGX131" s="21"/>
      <c r="TGY131" s="21"/>
      <c r="TGZ131" s="20"/>
      <c r="THA131" s="20"/>
      <c r="THB131" s="20"/>
      <c r="THC131" s="20"/>
      <c r="THD131" s="21"/>
      <c r="THE131" s="21"/>
      <c r="THF131" s="7"/>
      <c r="THG131" s="7"/>
      <c r="THH131" s="21"/>
      <c r="THI131" s="20"/>
      <c r="THJ131" s="20"/>
      <c r="THK131" s="20"/>
      <c r="THL131" s="21"/>
      <c r="THM131" s="21"/>
      <c r="THN131" s="21"/>
      <c r="THO131" s="21"/>
      <c r="THP131" s="21"/>
      <c r="THQ131" s="20"/>
      <c r="THR131" s="20"/>
      <c r="THS131" s="20"/>
      <c r="THT131" s="20"/>
      <c r="THU131" s="21"/>
      <c r="THV131" s="21"/>
      <c r="THW131" s="7"/>
      <c r="THX131" s="7"/>
      <c r="THY131" s="21"/>
      <c r="THZ131" s="20"/>
      <c r="TIA131" s="20"/>
      <c r="TIB131" s="20"/>
      <c r="TIC131" s="21"/>
      <c r="TID131" s="21"/>
      <c r="TIE131" s="21"/>
      <c r="TIF131" s="21"/>
      <c r="TIG131" s="21"/>
      <c r="TIH131" s="20"/>
      <c r="TII131" s="20"/>
      <c r="TIJ131" s="20"/>
      <c r="TIK131" s="20"/>
      <c r="TIL131" s="21"/>
      <c r="TIM131" s="21"/>
      <c r="TIN131" s="7"/>
      <c r="TIO131" s="7"/>
      <c r="TIP131" s="21"/>
      <c r="TIQ131" s="20"/>
      <c r="TIR131" s="20"/>
      <c r="TIS131" s="20"/>
      <c r="TIT131" s="21"/>
      <c r="TIU131" s="21"/>
      <c r="TIV131" s="21"/>
      <c r="TIW131" s="21"/>
      <c r="TIX131" s="21"/>
      <c r="TIY131" s="20"/>
      <c r="TIZ131" s="20"/>
      <c r="TJA131" s="20"/>
      <c r="TJB131" s="20"/>
      <c r="TJC131" s="21"/>
      <c r="TJD131" s="21"/>
      <c r="TJE131" s="7"/>
      <c r="TJF131" s="7"/>
      <c r="TJG131" s="21"/>
      <c r="TJH131" s="20"/>
      <c r="TJI131" s="20"/>
      <c r="TJJ131" s="20"/>
      <c r="TJK131" s="21"/>
      <c r="TJL131" s="21"/>
      <c r="TJM131" s="21"/>
      <c r="TJN131" s="21"/>
      <c r="TJO131" s="21"/>
      <c r="TJP131" s="20"/>
      <c r="TJQ131" s="20"/>
      <c r="TJR131" s="20"/>
      <c r="TJS131" s="20"/>
      <c r="TJT131" s="21"/>
      <c r="TJU131" s="21"/>
      <c r="TJV131" s="7"/>
      <c r="TJW131" s="7"/>
      <c r="TJX131" s="21"/>
      <c r="TJY131" s="20"/>
      <c r="TJZ131" s="20"/>
      <c r="TKA131" s="20"/>
      <c r="TKB131" s="21"/>
      <c r="TKC131" s="21"/>
      <c r="TKD131" s="21"/>
      <c r="TKE131" s="21"/>
      <c r="TKF131" s="21"/>
      <c r="TKG131" s="20"/>
      <c r="TKH131" s="20"/>
      <c r="TKI131" s="20"/>
      <c r="TKJ131" s="20"/>
      <c r="TKK131" s="21"/>
      <c r="TKL131" s="21"/>
      <c r="TKM131" s="7"/>
      <c r="TKN131" s="7"/>
      <c r="TKO131" s="21"/>
      <c r="TKP131" s="20"/>
      <c r="TKQ131" s="20"/>
      <c r="TKR131" s="20"/>
      <c r="TKS131" s="21"/>
      <c r="TKT131" s="21"/>
      <c r="TKU131" s="21"/>
      <c r="TKV131" s="21"/>
      <c r="TKW131" s="21"/>
      <c r="TKX131" s="20"/>
      <c r="TKY131" s="20"/>
      <c r="TKZ131" s="20"/>
      <c r="TLA131" s="20"/>
      <c r="TLB131" s="21"/>
      <c r="TLC131" s="21"/>
      <c r="TLD131" s="7"/>
      <c r="TLE131" s="7"/>
      <c r="TLF131" s="21"/>
      <c r="TLG131" s="20"/>
      <c r="TLH131" s="20"/>
      <c r="TLI131" s="20"/>
      <c r="TLJ131" s="21"/>
      <c r="TLK131" s="21"/>
      <c r="TLL131" s="21"/>
      <c r="TLM131" s="21"/>
      <c r="TLN131" s="21"/>
      <c r="TLO131" s="20"/>
      <c r="TLP131" s="20"/>
      <c r="TLQ131" s="20"/>
      <c r="TLR131" s="20"/>
      <c r="TLS131" s="21"/>
      <c r="TLT131" s="21"/>
      <c r="TLU131" s="7"/>
      <c r="TLV131" s="7"/>
      <c r="TLW131" s="21"/>
      <c r="TLX131" s="20"/>
      <c r="TLY131" s="20"/>
      <c r="TLZ131" s="20"/>
      <c r="TMA131" s="21"/>
      <c r="TMB131" s="21"/>
      <c r="TMC131" s="21"/>
      <c r="TMD131" s="21"/>
      <c r="TME131" s="21"/>
      <c r="TMF131" s="20"/>
      <c r="TMG131" s="20"/>
      <c r="TMH131" s="20"/>
      <c r="TMI131" s="20"/>
      <c r="TMJ131" s="21"/>
      <c r="TMK131" s="21"/>
      <c r="TML131" s="7"/>
      <c r="TMM131" s="7"/>
      <c r="TMN131" s="21"/>
      <c r="TMO131" s="20"/>
      <c r="TMP131" s="20"/>
      <c r="TMQ131" s="20"/>
      <c r="TMR131" s="21"/>
      <c r="TMS131" s="21"/>
      <c r="TMT131" s="21"/>
      <c r="TMU131" s="21"/>
      <c r="TMV131" s="21"/>
      <c r="TMW131" s="20"/>
      <c r="TMX131" s="20"/>
      <c r="TMY131" s="20"/>
      <c r="TMZ131" s="20"/>
      <c r="TNA131" s="21"/>
      <c r="TNB131" s="21"/>
      <c r="TNC131" s="7"/>
      <c r="TND131" s="7"/>
      <c r="TNE131" s="21"/>
      <c r="TNF131" s="20"/>
      <c r="TNG131" s="20"/>
      <c r="TNH131" s="20"/>
      <c r="TNI131" s="21"/>
      <c r="TNJ131" s="21"/>
      <c r="TNK131" s="21"/>
      <c r="TNL131" s="21"/>
      <c r="TNM131" s="21"/>
      <c r="TNN131" s="20"/>
      <c r="TNO131" s="20"/>
      <c r="TNP131" s="20"/>
      <c r="TNQ131" s="20"/>
      <c r="TNR131" s="21"/>
      <c r="TNS131" s="21"/>
      <c r="TNT131" s="7"/>
      <c r="TNU131" s="7"/>
      <c r="TNV131" s="21"/>
      <c r="TNW131" s="20"/>
      <c r="TNX131" s="20"/>
      <c r="TNY131" s="20"/>
      <c r="TNZ131" s="21"/>
      <c r="TOA131" s="21"/>
      <c r="TOB131" s="21"/>
      <c r="TOC131" s="21"/>
      <c r="TOD131" s="21"/>
      <c r="TOE131" s="20"/>
      <c r="TOF131" s="20"/>
      <c r="TOG131" s="20"/>
      <c r="TOH131" s="20"/>
      <c r="TOI131" s="21"/>
      <c r="TOJ131" s="21"/>
      <c r="TOK131" s="7"/>
      <c r="TOL131" s="7"/>
      <c r="TOM131" s="21"/>
      <c r="TON131" s="20"/>
      <c r="TOO131" s="20"/>
      <c r="TOP131" s="20"/>
      <c r="TOQ131" s="21"/>
      <c r="TOR131" s="21"/>
      <c r="TOS131" s="21"/>
      <c r="TOT131" s="21"/>
      <c r="TOU131" s="21"/>
      <c r="TOV131" s="20"/>
      <c r="TOW131" s="20"/>
      <c r="TOX131" s="20"/>
      <c r="TOY131" s="20"/>
      <c r="TOZ131" s="21"/>
      <c r="TPA131" s="21"/>
      <c r="TPB131" s="7"/>
      <c r="TPC131" s="7"/>
      <c r="TPD131" s="21"/>
      <c r="TPE131" s="20"/>
      <c r="TPF131" s="20"/>
      <c r="TPG131" s="20"/>
      <c r="TPH131" s="21"/>
      <c r="TPI131" s="21"/>
      <c r="TPJ131" s="21"/>
      <c r="TPK131" s="21"/>
      <c r="TPL131" s="21"/>
      <c r="TPM131" s="20"/>
      <c r="TPN131" s="20"/>
      <c r="TPO131" s="20"/>
      <c r="TPP131" s="20"/>
      <c r="TPQ131" s="21"/>
      <c r="TPR131" s="21"/>
      <c r="TPS131" s="7"/>
      <c r="TPT131" s="7"/>
      <c r="TPU131" s="21"/>
      <c r="TPV131" s="20"/>
      <c r="TPW131" s="20"/>
      <c r="TPX131" s="20"/>
      <c r="TPY131" s="21"/>
      <c r="TPZ131" s="21"/>
      <c r="TQA131" s="21"/>
      <c r="TQB131" s="21"/>
      <c r="TQC131" s="21"/>
      <c r="TQD131" s="20"/>
      <c r="TQE131" s="20"/>
      <c r="TQF131" s="20"/>
      <c r="TQG131" s="20"/>
      <c r="TQH131" s="21"/>
      <c r="TQI131" s="21"/>
      <c r="TQJ131" s="7"/>
      <c r="TQK131" s="7"/>
      <c r="TQL131" s="21"/>
      <c r="TQM131" s="20"/>
      <c r="TQN131" s="20"/>
      <c r="TQO131" s="20"/>
      <c r="TQP131" s="21"/>
      <c r="TQQ131" s="21"/>
      <c r="TQR131" s="21"/>
      <c r="TQS131" s="21"/>
      <c r="TQT131" s="21"/>
      <c r="TQU131" s="20"/>
      <c r="TQV131" s="20"/>
      <c r="TQW131" s="20"/>
      <c r="TQX131" s="20"/>
      <c r="TQY131" s="21"/>
      <c r="TQZ131" s="21"/>
      <c r="TRA131" s="7"/>
      <c r="TRB131" s="7"/>
      <c r="TRC131" s="21"/>
      <c r="TRD131" s="20"/>
      <c r="TRE131" s="20"/>
      <c r="TRF131" s="20"/>
      <c r="TRG131" s="21"/>
      <c r="TRH131" s="21"/>
      <c r="TRI131" s="21"/>
      <c r="TRJ131" s="21"/>
      <c r="TRK131" s="21"/>
      <c r="TRL131" s="20"/>
      <c r="TRM131" s="20"/>
      <c r="TRN131" s="20"/>
      <c r="TRO131" s="20"/>
      <c r="TRP131" s="21"/>
      <c r="TRQ131" s="21"/>
      <c r="TRR131" s="7"/>
      <c r="TRS131" s="7"/>
      <c r="TRT131" s="21"/>
      <c r="TRU131" s="20"/>
      <c r="TRV131" s="20"/>
      <c r="TRW131" s="20"/>
      <c r="TRX131" s="21"/>
      <c r="TRY131" s="21"/>
      <c r="TRZ131" s="21"/>
      <c r="TSA131" s="21"/>
      <c r="TSB131" s="21"/>
      <c r="TSC131" s="20"/>
      <c r="TSD131" s="20"/>
      <c r="TSE131" s="20"/>
      <c r="TSF131" s="20"/>
      <c r="TSG131" s="21"/>
      <c r="TSH131" s="21"/>
      <c r="TSI131" s="7"/>
      <c r="TSJ131" s="7"/>
      <c r="TSK131" s="21"/>
      <c r="TSL131" s="20"/>
      <c r="TSM131" s="20"/>
      <c r="TSN131" s="20"/>
      <c r="TSO131" s="21"/>
      <c r="TSP131" s="21"/>
      <c r="TSQ131" s="21"/>
      <c r="TSR131" s="21"/>
      <c r="TSS131" s="21"/>
      <c r="TST131" s="20"/>
      <c r="TSU131" s="20"/>
      <c r="TSV131" s="20"/>
      <c r="TSW131" s="20"/>
      <c r="TSX131" s="21"/>
      <c r="TSY131" s="21"/>
      <c r="TSZ131" s="7"/>
      <c r="TTA131" s="7"/>
      <c r="TTB131" s="21"/>
      <c r="TTC131" s="20"/>
      <c r="TTD131" s="20"/>
      <c r="TTE131" s="20"/>
      <c r="TTF131" s="21"/>
      <c r="TTG131" s="21"/>
      <c r="TTH131" s="21"/>
      <c r="TTI131" s="21"/>
      <c r="TTJ131" s="21"/>
      <c r="TTK131" s="20"/>
      <c r="TTL131" s="20"/>
      <c r="TTM131" s="20"/>
      <c r="TTN131" s="20"/>
      <c r="TTO131" s="21"/>
      <c r="TTP131" s="21"/>
      <c r="TTQ131" s="7"/>
      <c r="TTR131" s="7"/>
      <c r="TTS131" s="21"/>
      <c r="TTT131" s="20"/>
      <c r="TTU131" s="20"/>
      <c r="TTV131" s="20"/>
      <c r="TTW131" s="21"/>
      <c r="TTX131" s="21"/>
      <c r="TTY131" s="21"/>
      <c r="TTZ131" s="21"/>
      <c r="TUA131" s="21"/>
      <c r="TUB131" s="20"/>
      <c r="TUC131" s="20"/>
      <c r="TUD131" s="20"/>
      <c r="TUE131" s="20"/>
      <c r="TUF131" s="21"/>
      <c r="TUG131" s="21"/>
      <c r="TUH131" s="7"/>
      <c r="TUI131" s="7"/>
      <c r="TUJ131" s="21"/>
      <c r="TUK131" s="20"/>
      <c r="TUL131" s="20"/>
      <c r="TUM131" s="20"/>
      <c r="TUN131" s="21"/>
      <c r="TUO131" s="21"/>
      <c r="TUP131" s="21"/>
      <c r="TUQ131" s="21"/>
      <c r="TUR131" s="21"/>
      <c r="TUS131" s="20"/>
      <c r="TUT131" s="20"/>
      <c r="TUU131" s="20"/>
      <c r="TUV131" s="20"/>
      <c r="TUW131" s="21"/>
      <c r="TUX131" s="21"/>
      <c r="TUY131" s="7"/>
      <c r="TUZ131" s="7"/>
      <c r="TVA131" s="21"/>
      <c r="TVB131" s="20"/>
      <c r="TVC131" s="20"/>
      <c r="TVD131" s="20"/>
      <c r="TVE131" s="21"/>
      <c r="TVF131" s="21"/>
      <c r="TVG131" s="21"/>
      <c r="TVH131" s="21"/>
      <c r="TVI131" s="21"/>
      <c r="TVJ131" s="20"/>
      <c r="TVK131" s="20"/>
      <c r="TVL131" s="20"/>
      <c r="TVM131" s="20"/>
      <c r="TVN131" s="21"/>
      <c r="TVO131" s="21"/>
      <c r="TVP131" s="7"/>
      <c r="TVQ131" s="7"/>
      <c r="TVR131" s="21"/>
      <c r="TVS131" s="20"/>
      <c r="TVT131" s="20"/>
      <c r="TVU131" s="20"/>
      <c r="TVV131" s="21"/>
      <c r="TVW131" s="21"/>
      <c r="TVX131" s="21"/>
      <c r="TVY131" s="21"/>
      <c r="TVZ131" s="21"/>
      <c r="TWA131" s="20"/>
      <c r="TWB131" s="20"/>
      <c r="TWC131" s="20"/>
      <c r="TWD131" s="20"/>
      <c r="TWE131" s="21"/>
      <c r="TWF131" s="21"/>
      <c r="TWG131" s="7"/>
      <c r="TWH131" s="7"/>
      <c r="TWI131" s="21"/>
      <c r="TWJ131" s="20"/>
      <c r="TWK131" s="20"/>
      <c r="TWL131" s="20"/>
      <c r="TWM131" s="21"/>
      <c r="TWN131" s="21"/>
      <c r="TWO131" s="21"/>
      <c r="TWP131" s="21"/>
      <c r="TWQ131" s="21"/>
      <c r="TWR131" s="20"/>
      <c r="TWS131" s="20"/>
      <c r="TWT131" s="20"/>
      <c r="TWU131" s="20"/>
      <c r="TWV131" s="21"/>
      <c r="TWW131" s="21"/>
      <c r="TWX131" s="7"/>
      <c r="TWY131" s="7"/>
      <c r="TWZ131" s="21"/>
      <c r="TXA131" s="20"/>
      <c r="TXB131" s="20"/>
      <c r="TXC131" s="20"/>
      <c r="TXD131" s="21"/>
      <c r="TXE131" s="21"/>
      <c r="TXF131" s="21"/>
      <c r="TXG131" s="21"/>
      <c r="TXH131" s="21"/>
      <c r="TXI131" s="20"/>
      <c r="TXJ131" s="20"/>
      <c r="TXK131" s="20"/>
      <c r="TXL131" s="20"/>
      <c r="TXM131" s="21"/>
      <c r="TXN131" s="21"/>
      <c r="TXO131" s="7"/>
      <c r="TXP131" s="7"/>
      <c r="TXQ131" s="21"/>
      <c r="TXR131" s="20"/>
      <c r="TXS131" s="20"/>
      <c r="TXT131" s="20"/>
      <c r="TXU131" s="21"/>
      <c r="TXV131" s="21"/>
      <c r="TXW131" s="21"/>
      <c r="TXX131" s="21"/>
      <c r="TXY131" s="21"/>
      <c r="TXZ131" s="20"/>
      <c r="TYA131" s="20"/>
      <c r="TYB131" s="20"/>
      <c r="TYC131" s="20"/>
      <c r="TYD131" s="21"/>
      <c r="TYE131" s="21"/>
      <c r="TYF131" s="7"/>
      <c r="TYG131" s="7"/>
      <c r="TYH131" s="21"/>
      <c r="TYI131" s="20"/>
      <c r="TYJ131" s="20"/>
      <c r="TYK131" s="20"/>
      <c r="TYL131" s="21"/>
      <c r="TYM131" s="21"/>
      <c r="TYN131" s="21"/>
      <c r="TYO131" s="21"/>
      <c r="TYP131" s="21"/>
      <c r="TYQ131" s="20"/>
      <c r="TYR131" s="20"/>
      <c r="TYS131" s="20"/>
      <c r="TYT131" s="20"/>
      <c r="TYU131" s="21"/>
      <c r="TYV131" s="21"/>
      <c r="TYW131" s="7"/>
      <c r="TYX131" s="7"/>
      <c r="TYY131" s="21"/>
      <c r="TYZ131" s="20"/>
      <c r="TZA131" s="20"/>
      <c r="TZB131" s="20"/>
      <c r="TZC131" s="21"/>
      <c r="TZD131" s="21"/>
      <c r="TZE131" s="21"/>
      <c r="TZF131" s="21"/>
      <c r="TZG131" s="21"/>
      <c r="TZH131" s="20"/>
      <c r="TZI131" s="20"/>
      <c r="TZJ131" s="20"/>
      <c r="TZK131" s="20"/>
      <c r="TZL131" s="21"/>
      <c r="TZM131" s="21"/>
      <c r="TZN131" s="7"/>
      <c r="TZO131" s="7"/>
      <c r="TZP131" s="21"/>
      <c r="TZQ131" s="20"/>
      <c r="TZR131" s="20"/>
      <c r="TZS131" s="20"/>
      <c r="TZT131" s="21"/>
      <c r="TZU131" s="21"/>
      <c r="TZV131" s="21"/>
      <c r="TZW131" s="21"/>
      <c r="TZX131" s="21"/>
      <c r="TZY131" s="20"/>
      <c r="TZZ131" s="20"/>
      <c r="UAA131" s="20"/>
      <c r="UAB131" s="20"/>
      <c r="UAC131" s="21"/>
      <c r="UAD131" s="21"/>
      <c r="UAE131" s="7"/>
      <c r="UAF131" s="7"/>
      <c r="UAG131" s="21"/>
      <c r="UAH131" s="20"/>
      <c r="UAI131" s="20"/>
      <c r="UAJ131" s="20"/>
      <c r="UAK131" s="21"/>
      <c r="UAL131" s="21"/>
      <c r="UAM131" s="21"/>
      <c r="UAN131" s="21"/>
      <c r="UAO131" s="21"/>
      <c r="UAP131" s="20"/>
      <c r="UAQ131" s="20"/>
      <c r="UAR131" s="20"/>
      <c r="UAS131" s="20"/>
      <c r="UAT131" s="21"/>
      <c r="UAU131" s="21"/>
      <c r="UAV131" s="7"/>
      <c r="UAW131" s="7"/>
      <c r="UAX131" s="21"/>
      <c r="UAY131" s="20"/>
      <c r="UAZ131" s="20"/>
      <c r="UBA131" s="20"/>
      <c r="UBB131" s="21"/>
      <c r="UBC131" s="21"/>
      <c r="UBD131" s="21"/>
      <c r="UBE131" s="21"/>
      <c r="UBF131" s="21"/>
      <c r="UBG131" s="20"/>
      <c r="UBH131" s="20"/>
      <c r="UBI131" s="20"/>
      <c r="UBJ131" s="20"/>
      <c r="UBK131" s="21"/>
      <c r="UBL131" s="21"/>
      <c r="UBM131" s="7"/>
      <c r="UBN131" s="7"/>
      <c r="UBO131" s="21"/>
      <c r="UBP131" s="20"/>
      <c r="UBQ131" s="20"/>
      <c r="UBR131" s="20"/>
      <c r="UBS131" s="21"/>
      <c r="UBT131" s="21"/>
      <c r="UBU131" s="21"/>
      <c r="UBV131" s="21"/>
      <c r="UBW131" s="21"/>
      <c r="UBX131" s="20"/>
      <c r="UBY131" s="20"/>
      <c r="UBZ131" s="20"/>
      <c r="UCA131" s="20"/>
      <c r="UCB131" s="21"/>
      <c r="UCC131" s="21"/>
      <c r="UCD131" s="7"/>
      <c r="UCE131" s="7"/>
      <c r="UCF131" s="21"/>
      <c r="UCG131" s="20"/>
      <c r="UCH131" s="20"/>
      <c r="UCI131" s="20"/>
      <c r="UCJ131" s="21"/>
      <c r="UCK131" s="21"/>
      <c r="UCL131" s="21"/>
      <c r="UCM131" s="21"/>
      <c r="UCN131" s="21"/>
      <c r="UCO131" s="20"/>
      <c r="UCP131" s="20"/>
      <c r="UCQ131" s="20"/>
      <c r="UCR131" s="20"/>
      <c r="UCS131" s="21"/>
      <c r="UCT131" s="21"/>
      <c r="UCU131" s="7"/>
      <c r="UCV131" s="7"/>
      <c r="UCW131" s="21"/>
      <c r="UCX131" s="20"/>
      <c r="UCY131" s="20"/>
      <c r="UCZ131" s="20"/>
      <c r="UDA131" s="21"/>
      <c r="UDB131" s="21"/>
      <c r="UDC131" s="21"/>
      <c r="UDD131" s="21"/>
      <c r="UDE131" s="21"/>
      <c r="UDF131" s="20"/>
      <c r="UDG131" s="20"/>
      <c r="UDH131" s="20"/>
      <c r="UDI131" s="20"/>
      <c r="UDJ131" s="21"/>
      <c r="UDK131" s="21"/>
      <c r="UDL131" s="7"/>
      <c r="UDM131" s="7"/>
      <c r="UDN131" s="21"/>
      <c r="UDO131" s="20"/>
      <c r="UDP131" s="20"/>
      <c r="UDQ131" s="20"/>
      <c r="UDR131" s="21"/>
      <c r="UDS131" s="21"/>
      <c r="UDT131" s="21"/>
      <c r="UDU131" s="21"/>
      <c r="UDV131" s="21"/>
      <c r="UDW131" s="20"/>
      <c r="UDX131" s="20"/>
      <c r="UDY131" s="20"/>
      <c r="UDZ131" s="20"/>
      <c r="UEA131" s="21"/>
      <c r="UEB131" s="21"/>
      <c r="UEC131" s="7"/>
      <c r="UED131" s="7"/>
      <c r="UEE131" s="21"/>
      <c r="UEF131" s="20"/>
      <c r="UEG131" s="20"/>
      <c r="UEH131" s="20"/>
      <c r="UEI131" s="21"/>
      <c r="UEJ131" s="21"/>
      <c r="UEK131" s="21"/>
      <c r="UEL131" s="21"/>
      <c r="UEM131" s="21"/>
      <c r="UEN131" s="20"/>
      <c r="UEO131" s="20"/>
      <c r="UEP131" s="20"/>
      <c r="UEQ131" s="20"/>
      <c r="UER131" s="21"/>
      <c r="UES131" s="21"/>
      <c r="UET131" s="7"/>
      <c r="UEU131" s="7"/>
      <c r="UEV131" s="21"/>
      <c r="UEW131" s="20"/>
      <c r="UEX131" s="20"/>
      <c r="UEY131" s="20"/>
      <c r="UEZ131" s="21"/>
      <c r="UFA131" s="21"/>
      <c r="UFB131" s="21"/>
      <c r="UFC131" s="21"/>
      <c r="UFD131" s="21"/>
      <c r="UFE131" s="20"/>
      <c r="UFF131" s="20"/>
      <c r="UFG131" s="20"/>
      <c r="UFH131" s="20"/>
      <c r="UFI131" s="21"/>
      <c r="UFJ131" s="21"/>
      <c r="UFK131" s="7"/>
      <c r="UFL131" s="7"/>
      <c r="UFM131" s="21"/>
      <c r="UFN131" s="20"/>
      <c r="UFO131" s="20"/>
      <c r="UFP131" s="20"/>
      <c r="UFQ131" s="21"/>
      <c r="UFR131" s="21"/>
      <c r="UFS131" s="21"/>
      <c r="UFT131" s="21"/>
      <c r="UFU131" s="21"/>
      <c r="UFV131" s="20"/>
      <c r="UFW131" s="20"/>
      <c r="UFX131" s="20"/>
      <c r="UFY131" s="20"/>
      <c r="UFZ131" s="21"/>
      <c r="UGA131" s="21"/>
      <c r="UGB131" s="7"/>
      <c r="UGC131" s="7"/>
      <c r="UGD131" s="21"/>
      <c r="UGE131" s="20"/>
      <c r="UGF131" s="20"/>
      <c r="UGG131" s="20"/>
      <c r="UGH131" s="21"/>
      <c r="UGI131" s="21"/>
      <c r="UGJ131" s="21"/>
      <c r="UGK131" s="21"/>
      <c r="UGL131" s="21"/>
      <c r="UGM131" s="20"/>
      <c r="UGN131" s="20"/>
      <c r="UGO131" s="20"/>
      <c r="UGP131" s="20"/>
      <c r="UGQ131" s="21"/>
      <c r="UGR131" s="21"/>
      <c r="UGS131" s="7"/>
      <c r="UGT131" s="7"/>
      <c r="UGU131" s="21"/>
      <c r="UGV131" s="20"/>
      <c r="UGW131" s="20"/>
      <c r="UGX131" s="20"/>
      <c r="UGY131" s="21"/>
      <c r="UGZ131" s="21"/>
      <c r="UHA131" s="21"/>
      <c r="UHB131" s="21"/>
      <c r="UHC131" s="21"/>
      <c r="UHD131" s="20"/>
      <c r="UHE131" s="20"/>
      <c r="UHF131" s="20"/>
      <c r="UHG131" s="20"/>
      <c r="UHH131" s="21"/>
      <c r="UHI131" s="21"/>
      <c r="UHJ131" s="7"/>
      <c r="UHK131" s="7"/>
      <c r="UHL131" s="21"/>
      <c r="UHM131" s="20"/>
      <c r="UHN131" s="20"/>
      <c r="UHO131" s="20"/>
      <c r="UHP131" s="21"/>
      <c r="UHQ131" s="21"/>
      <c r="UHR131" s="21"/>
      <c r="UHS131" s="21"/>
      <c r="UHT131" s="21"/>
      <c r="UHU131" s="20"/>
      <c r="UHV131" s="20"/>
      <c r="UHW131" s="20"/>
      <c r="UHX131" s="20"/>
      <c r="UHY131" s="21"/>
      <c r="UHZ131" s="21"/>
      <c r="UIA131" s="7"/>
      <c r="UIB131" s="7"/>
      <c r="UIC131" s="21"/>
      <c r="UID131" s="20"/>
      <c r="UIE131" s="20"/>
      <c r="UIF131" s="20"/>
      <c r="UIG131" s="21"/>
      <c r="UIH131" s="21"/>
      <c r="UII131" s="21"/>
      <c r="UIJ131" s="21"/>
      <c r="UIK131" s="21"/>
      <c r="UIL131" s="20"/>
      <c r="UIM131" s="20"/>
      <c r="UIN131" s="20"/>
      <c r="UIO131" s="20"/>
      <c r="UIP131" s="21"/>
      <c r="UIQ131" s="21"/>
      <c r="UIR131" s="7"/>
      <c r="UIS131" s="7"/>
      <c r="UIT131" s="21"/>
      <c r="UIU131" s="20"/>
      <c r="UIV131" s="20"/>
      <c r="UIW131" s="20"/>
      <c r="UIX131" s="21"/>
      <c r="UIY131" s="21"/>
      <c r="UIZ131" s="21"/>
      <c r="UJA131" s="21"/>
      <c r="UJB131" s="21"/>
      <c r="UJC131" s="20"/>
      <c r="UJD131" s="20"/>
      <c r="UJE131" s="20"/>
      <c r="UJF131" s="20"/>
      <c r="UJG131" s="21"/>
      <c r="UJH131" s="21"/>
      <c r="UJI131" s="7"/>
      <c r="UJJ131" s="7"/>
      <c r="UJK131" s="21"/>
      <c r="UJL131" s="20"/>
      <c r="UJM131" s="20"/>
      <c r="UJN131" s="20"/>
      <c r="UJO131" s="21"/>
      <c r="UJP131" s="21"/>
      <c r="UJQ131" s="21"/>
      <c r="UJR131" s="21"/>
      <c r="UJS131" s="21"/>
      <c r="UJT131" s="20"/>
      <c r="UJU131" s="20"/>
      <c r="UJV131" s="20"/>
      <c r="UJW131" s="20"/>
      <c r="UJX131" s="21"/>
      <c r="UJY131" s="21"/>
      <c r="UJZ131" s="7"/>
      <c r="UKA131" s="7"/>
      <c r="UKB131" s="21"/>
      <c r="UKC131" s="20"/>
      <c r="UKD131" s="20"/>
      <c r="UKE131" s="20"/>
      <c r="UKF131" s="21"/>
      <c r="UKG131" s="21"/>
      <c r="UKH131" s="21"/>
      <c r="UKI131" s="21"/>
      <c r="UKJ131" s="21"/>
      <c r="UKK131" s="20"/>
      <c r="UKL131" s="20"/>
      <c r="UKM131" s="20"/>
      <c r="UKN131" s="20"/>
      <c r="UKO131" s="21"/>
      <c r="UKP131" s="21"/>
      <c r="UKQ131" s="7"/>
      <c r="UKR131" s="7"/>
      <c r="UKS131" s="21"/>
      <c r="UKT131" s="20"/>
      <c r="UKU131" s="20"/>
      <c r="UKV131" s="20"/>
      <c r="UKW131" s="21"/>
      <c r="UKX131" s="21"/>
      <c r="UKY131" s="21"/>
      <c r="UKZ131" s="21"/>
      <c r="ULA131" s="21"/>
      <c r="ULB131" s="20"/>
      <c r="ULC131" s="20"/>
      <c r="ULD131" s="20"/>
      <c r="ULE131" s="20"/>
      <c r="ULF131" s="21"/>
      <c r="ULG131" s="21"/>
      <c r="ULH131" s="7"/>
      <c r="ULI131" s="7"/>
      <c r="ULJ131" s="21"/>
      <c r="ULK131" s="20"/>
      <c r="ULL131" s="20"/>
      <c r="ULM131" s="20"/>
      <c r="ULN131" s="21"/>
      <c r="ULO131" s="21"/>
      <c r="ULP131" s="21"/>
      <c r="ULQ131" s="21"/>
      <c r="ULR131" s="21"/>
      <c r="ULS131" s="20"/>
      <c r="ULT131" s="20"/>
      <c r="ULU131" s="20"/>
      <c r="ULV131" s="20"/>
      <c r="ULW131" s="21"/>
      <c r="ULX131" s="21"/>
      <c r="ULY131" s="7"/>
      <c r="ULZ131" s="7"/>
      <c r="UMA131" s="21"/>
      <c r="UMB131" s="20"/>
      <c r="UMC131" s="20"/>
      <c r="UMD131" s="20"/>
      <c r="UME131" s="21"/>
      <c r="UMF131" s="21"/>
      <c r="UMG131" s="21"/>
      <c r="UMH131" s="21"/>
      <c r="UMI131" s="21"/>
      <c r="UMJ131" s="20"/>
      <c r="UMK131" s="20"/>
      <c r="UML131" s="20"/>
      <c r="UMM131" s="20"/>
      <c r="UMN131" s="21"/>
      <c r="UMO131" s="21"/>
      <c r="UMP131" s="7"/>
      <c r="UMQ131" s="7"/>
      <c r="UMR131" s="21"/>
      <c r="UMS131" s="20"/>
      <c r="UMT131" s="20"/>
      <c r="UMU131" s="20"/>
      <c r="UMV131" s="21"/>
      <c r="UMW131" s="21"/>
      <c r="UMX131" s="21"/>
      <c r="UMY131" s="21"/>
      <c r="UMZ131" s="21"/>
      <c r="UNA131" s="20"/>
      <c r="UNB131" s="20"/>
      <c r="UNC131" s="20"/>
      <c r="UND131" s="20"/>
      <c r="UNE131" s="21"/>
      <c r="UNF131" s="21"/>
      <c r="UNG131" s="7"/>
      <c r="UNH131" s="7"/>
      <c r="UNI131" s="21"/>
      <c r="UNJ131" s="20"/>
      <c r="UNK131" s="20"/>
      <c r="UNL131" s="20"/>
      <c r="UNM131" s="21"/>
      <c r="UNN131" s="21"/>
      <c r="UNO131" s="21"/>
      <c r="UNP131" s="21"/>
      <c r="UNQ131" s="21"/>
      <c r="UNR131" s="20"/>
      <c r="UNS131" s="20"/>
      <c r="UNT131" s="20"/>
      <c r="UNU131" s="20"/>
      <c r="UNV131" s="21"/>
      <c r="UNW131" s="21"/>
      <c r="UNX131" s="7"/>
      <c r="UNY131" s="7"/>
      <c r="UNZ131" s="21"/>
      <c r="UOA131" s="20"/>
      <c r="UOB131" s="20"/>
      <c r="UOC131" s="20"/>
      <c r="UOD131" s="21"/>
      <c r="UOE131" s="21"/>
      <c r="UOF131" s="21"/>
      <c r="UOG131" s="21"/>
      <c r="UOH131" s="21"/>
      <c r="UOI131" s="20"/>
      <c r="UOJ131" s="20"/>
      <c r="UOK131" s="20"/>
      <c r="UOL131" s="20"/>
      <c r="UOM131" s="21"/>
      <c r="UON131" s="21"/>
      <c r="UOO131" s="7"/>
      <c r="UOP131" s="7"/>
      <c r="UOQ131" s="21"/>
      <c r="UOR131" s="20"/>
      <c r="UOS131" s="20"/>
      <c r="UOT131" s="20"/>
      <c r="UOU131" s="21"/>
      <c r="UOV131" s="21"/>
      <c r="UOW131" s="21"/>
      <c r="UOX131" s="21"/>
      <c r="UOY131" s="21"/>
      <c r="UOZ131" s="20"/>
      <c r="UPA131" s="20"/>
      <c r="UPB131" s="20"/>
      <c r="UPC131" s="20"/>
      <c r="UPD131" s="21"/>
      <c r="UPE131" s="21"/>
      <c r="UPF131" s="7"/>
      <c r="UPG131" s="7"/>
      <c r="UPH131" s="21"/>
      <c r="UPI131" s="20"/>
      <c r="UPJ131" s="20"/>
      <c r="UPK131" s="20"/>
      <c r="UPL131" s="21"/>
      <c r="UPM131" s="21"/>
      <c r="UPN131" s="21"/>
      <c r="UPO131" s="21"/>
      <c r="UPP131" s="21"/>
      <c r="UPQ131" s="20"/>
      <c r="UPR131" s="20"/>
      <c r="UPS131" s="20"/>
      <c r="UPT131" s="20"/>
      <c r="UPU131" s="21"/>
      <c r="UPV131" s="21"/>
      <c r="UPW131" s="7"/>
      <c r="UPX131" s="7"/>
      <c r="UPY131" s="21"/>
      <c r="UPZ131" s="20"/>
      <c r="UQA131" s="20"/>
      <c r="UQB131" s="20"/>
      <c r="UQC131" s="21"/>
      <c r="UQD131" s="21"/>
      <c r="UQE131" s="21"/>
      <c r="UQF131" s="21"/>
      <c r="UQG131" s="21"/>
      <c r="UQH131" s="20"/>
      <c r="UQI131" s="20"/>
      <c r="UQJ131" s="20"/>
      <c r="UQK131" s="20"/>
      <c r="UQL131" s="21"/>
      <c r="UQM131" s="21"/>
      <c r="UQN131" s="7"/>
      <c r="UQO131" s="7"/>
      <c r="UQP131" s="21"/>
      <c r="UQQ131" s="20"/>
      <c r="UQR131" s="20"/>
      <c r="UQS131" s="20"/>
      <c r="UQT131" s="21"/>
      <c r="UQU131" s="21"/>
      <c r="UQV131" s="21"/>
      <c r="UQW131" s="21"/>
      <c r="UQX131" s="21"/>
      <c r="UQY131" s="20"/>
      <c r="UQZ131" s="20"/>
      <c r="URA131" s="20"/>
      <c r="URB131" s="20"/>
      <c r="URC131" s="21"/>
      <c r="URD131" s="21"/>
      <c r="URE131" s="7"/>
      <c r="URF131" s="7"/>
      <c r="URG131" s="21"/>
      <c r="URH131" s="20"/>
      <c r="URI131" s="20"/>
      <c r="URJ131" s="20"/>
      <c r="URK131" s="21"/>
      <c r="URL131" s="21"/>
      <c r="URM131" s="21"/>
      <c r="URN131" s="21"/>
      <c r="URO131" s="21"/>
      <c r="URP131" s="20"/>
      <c r="URQ131" s="20"/>
      <c r="URR131" s="20"/>
      <c r="URS131" s="20"/>
      <c r="URT131" s="21"/>
      <c r="URU131" s="21"/>
      <c r="URV131" s="7"/>
      <c r="URW131" s="7"/>
      <c r="URX131" s="21"/>
      <c r="URY131" s="20"/>
      <c r="URZ131" s="20"/>
      <c r="USA131" s="20"/>
      <c r="USB131" s="21"/>
      <c r="USC131" s="21"/>
      <c r="USD131" s="21"/>
      <c r="USE131" s="21"/>
      <c r="USF131" s="21"/>
      <c r="USG131" s="20"/>
      <c r="USH131" s="20"/>
      <c r="USI131" s="20"/>
      <c r="USJ131" s="20"/>
      <c r="USK131" s="21"/>
      <c r="USL131" s="21"/>
      <c r="USM131" s="7"/>
      <c r="USN131" s="7"/>
      <c r="USO131" s="21"/>
      <c r="USP131" s="20"/>
      <c r="USQ131" s="20"/>
      <c r="USR131" s="20"/>
      <c r="USS131" s="21"/>
      <c r="UST131" s="21"/>
      <c r="USU131" s="21"/>
      <c r="USV131" s="21"/>
      <c r="USW131" s="21"/>
      <c r="USX131" s="20"/>
      <c r="USY131" s="20"/>
      <c r="USZ131" s="20"/>
      <c r="UTA131" s="20"/>
      <c r="UTB131" s="21"/>
      <c r="UTC131" s="21"/>
      <c r="UTD131" s="7"/>
      <c r="UTE131" s="7"/>
      <c r="UTF131" s="21"/>
      <c r="UTG131" s="20"/>
      <c r="UTH131" s="20"/>
      <c r="UTI131" s="20"/>
      <c r="UTJ131" s="21"/>
      <c r="UTK131" s="21"/>
      <c r="UTL131" s="21"/>
      <c r="UTM131" s="21"/>
      <c r="UTN131" s="21"/>
      <c r="UTO131" s="20"/>
      <c r="UTP131" s="20"/>
      <c r="UTQ131" s="20"/>
      <c r="UTR131" s="20"/>
      <c r="UTS131" s="21"/>
      <c r="UTT131" s="21"/>
      <c r="UTU131" s="7"/>
      <c r="UTV131" s="7"/>
      <c r="UTW131" s="21"/>
      <c r="UTX131" s="20"/>
      <c r="UTY131" s="20"/>
      <c r="UTZ131" s="20"/>
      <c r="UUA131" s="21"/>
      <c r="UUB131" s="21"/>
      <c r="UUC131" s="21"/>
      <c r="UUD131" s="21"/>
      <c r="UUE131" s="21"/>
      <c r="UUF131" s="20"/>
      <c r="UUG131" s="20"/>
      <c r="UUH131" s="20"/>
      <c r="UUI131" s="20"/>
      <c r="UUJ131" s="21"/>
      <c r="UUK131" s="21"/>
      <c r="UUL131" s="7"/>
      <c r="UUM131" s="7"/>
      <c r="UUN131" s="21"/>
      <c r="UUO131" s="20"/>
      <c r="UUP131" s="20"/>
      <c r="UUQ131" s="20"/>
      <c r="UUR131" s="21"/>
      <c r="UUS131" s="21"/>
      <c r="UUT131" s="21"/>
      <c r="UUU131" s="21"/>
      <c r="UUV131" s="21"/>
      <c r="UUW131" s="20"/>
      <c r="UUX131" s="20"/>
      <c r="UUY131" s="20"/>
      <c r="UUZ131" s="20"/>
      <c r="UVA131" s="21"/>
      <c r="UVB131" s="21"/>
      <c r="UVC131" s="7"/>
      <c r="UVD131" s="7"/>
      <c r="UVE131" s="21"/>
      <c r="UVF131" s="20"/>
      <c r="UVG131" s="20"/>
      <c r="UVH131" s="20"/>
      <c r="UVI131" s="21"/>
      <c r="UVJ131" s="21"/>
      <c r="UVK131" s="21"/>
      <c r="UVL131" s="21"/>
      <c r="UVM131" s="21"/>
      <c r="UVN131" s="20"/>
      <c r="UVO131" s="20"/>
      <c r="UVP131" s="20"/>
      <c r="UVQ131" s="20"/>
      <c r="UVR131" s="21"/>
      <c r="UVS131" s="21"/>
      <c r="UVT131" s="7"/>
      <c r="UVU131" s="7"/>
      <c r="UVV131" s="21"/>
      <c r="UVW131" s="20"/>
      <c r="UVX131" s="20"/>
      <c r="UVY131" s="20"/>
      <c r="UVZ131" s="21"/>
      <c r="UWA131" s="21"/>
      <c r="UWB131" s="21"/>
      <c r="UWC131" s="21"/>
      <c r="UWD131" s="21"/>
      <c r="UWE131" s="20"/>
      <c r="UWF131" s="20"/>
      <c r="UWG131" s="20"/>
      <c r="UWH131" s="20"/>
      <c r="UWI131" s="21"/>
      <c r="UWJ131" s="21"/>
      <c r="UWK131" s="7"/>
      <c r="UWL131" s="7"/>
      <c r="UWM131" s="21"/>
      <c r="UWN131" s="20"/>
      <c r="UWO131" s="20"/>
      <c r="UWP131" s="20"/>
      <c r="UWQ131" s="21"/>
      <c r="UWR131" s="21"/>
      <c r="UWS131" s="21"/>
      <c r="UWT131" s="21"/>
      <c r="UWU131" s="21"/>
      <c r="UWV131" s="20"/>
      <c r="UWW131" s="20"/>
      <c r="UWX131" s="20"/>
      <c r="UWY131" s="20"/>
      <c r="UWZ131" s="21"/>
      <c r="UXA131" s="21"/>
      <c r="UXB131" s="7"/>
      <c r="UXC131" s="7"/>
      <c r="UXD131" s="21"/>
      <c r="UXE131" s="20"/>
      <c r="UXF131" s="20"/>
      <c r="UXG131" s="20"/>
      <c r="UXH131" s="21"/>
      <c r="UXI131" s="21"/>
      <c r="UXJ131" s="21"/>
      <c r="UXK131" s="21"/>
      <c r="UXL131" s="21"/>
      <c r="UXM131" s="20"/>
      <c r="UXN131" s="20"/>
      <c r="UXO131" s="20"/>
      <c r="UXP131" s="20"/>
      <c r="UXQ131" s="21"/>
      <c r="UXR131" s="21"/>
      <c r="UXS131" s="7"/>
      <c r="UXT131" s="7"/>
      <c r="UXU131" s="21"/>
      <c r="UXV131" s="20"/>
      <c r="UXW131" s="20"/>
      <c r="UXX131" s="20"/>
      <c r="UXY131" s="21"/>
      <c r="UXZ131" s="21"/>
      <c r="UYA131" s="21"/>
      <c r="UYB131" s="21"/>
      <c r="UYC131" s="21"/>
      <c r="UYD131" s="20"/>
      <c r="UYE131" s="20"/>
      <c r="UYF131" s="20"/>
      <c r="UYG131" s="20"/>
      <c r="UYH131" s="21"/>
      <c r="UYI131" s="21"/>
      <c r="UYJ131" s="7"/>
      <c r="UYK131" s="7"/>
      <c r="UYL131" s="21"/>
      <c r="UYM131" s="20"/>
      <c r="UYN131" s="20"/>
      <c r="UYO131" s="20"/>
      <c r="UYP131" s="21"/>
      <c r="UYQ131" s="21"/>
      <c r="UYR131" s="21"/>
      <c r="UYS131" s="21"/>
      <c r="UYT131" s="21"/>
      <c r="UYU131" s="20"/>
      <c r="UYV131" s="20"/>
      <c r="UYW131" s="20"/>
      <c r="UYX131" s="20"/>
      <c r="UYY131" s="21"/>
      <c r="UYZ131" s="21"/>
      <c r="UZA131" s="7"/>
      <c r="UZB131" s="7"/>
      <c r="UZC131" s="21"/>
      <c r="UZD131" s="20"/>
      <c r="UZE131" s="20"/>
      <c r="UZF131" s="20"/>
      <c r="UZG131" s="21"/>
      <c r="UZH131" s="21"/>
      <c r="UZI131" s="21"/>
      <c r="UZJ131" s="21"/>
      <c r="UZK131" s="21"/>
      <c r="UZL131" s="20"/>
      <c r="UZM131" s="20"/>
      <c r="UZN131" s="20"/>
      <c r="UZO131" s="20"/>
      <c r="UZP131" s="21"/>
      <c r="UZQ131" s="21"/>
      <c r="UZR131" s="7"/>
      <c r="UZS131" s="7"/>
      <c r="UZT131" s="21"/>
      <c r="UZU131" s="20"/>
      <c r="UZV131" s="20"/>
      <c r="UZW131" s="20"/>
      <c r="UZX131" s="21"/>
      <c r="UZY131" s="21"/>
      <c r="UZZ131" s="21"/>
      <c r="VAA131" s="21"/>
      <c r="VAB131" s="21"/>
      <c r="VAC131" s="20"/>
      <c r="VAD131" s="20"/>
      <c r="VAE131" s="20"/>
      <c r="VAF131" s="20"/>
      <c r="VAG131" s="21"/>
      <c r="VAH131" s="21"/>
      <c r="VAI131" s="7"/>
      <c r="VAJ131" s="7"/>
      <c r="VAK131" s="21"/>
      <c r="VAL131" s="20"/>
      <c r="VAM131" s="20"/>
      <c r="VAN131" s="20"/>
      <c r="VAO131" s="21"/>
      <c r="VAP131" s="21"/>
      <c r="VAQ131" s="21"/>
      <c r="VAR131" s="21"/>
      <c r="VAS131" s="21"/>
      <c r="VAT131" s="20"/>
      <c r="VAU131" s="20"/>
      <c r="VAV131" s="20"/>
      <c r="VAW131" s="20"/>
      <c r="VAX131" s="21"/>
      <c r="VAY131" s="21"/>
      <c r="VAZ131" s="7"/>
      <c r="VBA131" s="7"/>
      <c r="VBB131" s="21"/>
      <c r="VBC131" s="20"/>
      <c r="VBD131" s="20"/>
      <c r="VBE131" s="20"/>
      <c r="VBF131" s="21"/>
      <c r="VBG131" s="21"/>
      <c r="VBH131" s="21"/>
      <c r="VBI131" s="21"/>
      <c r="VBJ131" s="21"/>
      <c r="VBK131" s="20"/>
      <c r="VBL131" s="20"/>
      <c r="VBM131" s="20"/>
      <c r="VBN131" s="20"/>
      <c r="VBO131" s="21"/>
      <c r="VBP131" s="21"/>
      <c r="VBQ131" s="7"/>
      <c r="VBR131" s="7"/>
      <c r="VBS131" s="21"/>
      <c r="VBT131" s="20"/>
      <c r="VBU131" s="20"/>
      <c r="VBV131" s="20"/>
      <c r="VBW131" s="21"/>
      <c r="VBX131" s="21"/>
      <c r="VBY131" s="21"/>
      <c r="VBZ131" s="21"/>
      <c r="VCA131" s="21"/>
      <c r="VCB131" s="20"/>
      <c r="VCC131" s="20"/>
      <c r="VCD131" s="20"/>
      <c r="VCE131" s="20"/>
      <c r="VCF131" s="21"/>
      <c r="VCG131" s="21"/>
      <c r="VCH131" s="7"/>
      <c r="VCI131" s="7"/>
      <c r="VCJ131" s="21"/>
      <c r="VCK131" s="20"/>
      <c r="VCL131" s="20"/>
      <c r="VCM131" s="20"/>
      <c r="VCN131" s="21"/>
      <c r="VCO131" s="21"/>
      <c r="VCP131" s="21"/>
      <c r="VCQ131" s="21"/>
      <c r="VCR131" s="21"/>
      <c r="VCS131" s="20"/>
      <c r="VCT131" s="20"/>
      <c r="VCU131" s="20"/>
      <c r="VCV131" s="20"/>
      <c r="VCW131" s="21"/>
      <c r="VCX131" s="21"/>
      <c r="VCY131" s="7"/>
      <c r="VCZ131" s="7"/>
      <c r="VDA131" s="21"/>
      <c r="VDB131" s="20"/>
      <c r="VDC131" s="20"/>
      <c r="VDD131" s="20"/>
      <c r="VDE131" s="21"/>
      <c r="VDF131" s="21"/>
      <c r="VDG131" s="21"/>
      <c r="VDH131" s="21"/>
      <c r="VDI131" s="21"/>
      <c r="VDJ131" s="20"/>
      <c r="VDK131" s="20"/>
      <c r="VDL131" s="20"/>
      <c r="VDM131" s="20"/>
      <c r="VDN131" s="21"/>
      <c r="VDO131" s="21"/>
      <c r="VDP131" s="7"/>
      <c r="VDQ131" s="7"/>
      <c r="VDR131" s="21"/>
      <c r="VDS131" s="20"/>
      <c r="VDT131" s="20"/>
      <c r="VDU131" s="20"/>
      <c r="VDV131" s="21"/>
      <c r="VDW131" s="21"/>
      <c r="VDX131" s="21"/>
      <c r="VDY131" s="21"/>
      <c r="VDZ131" s="21"/>
      <c r="VEA131" s="20"/>
      <c r="VEB131" s="20"/>
      <c r="VEC131" s="20"/>
      <c r="VED131" s="20"/>
      <c r="VEE131" s="21"/>
      <c r="VEF131" s="21"/>
      <c r="VEG131" s="7"/>
      <c r="VEH131" s="7"/>
      <c r="VEI131" s="21"/>
      <c r="VEJ131" s="20"/>
      <c r="VEK131" s="20"/>
      <c r="VEL131" s="20"/>
      <c r="VEM131" s="21"/>
      <c r="VEN131" s="21"/>
      <c r="VEO131" s="21"/>
      <c r="VEP131" s="21"/>
      <c r="VEQ131" s="21"/>
      <c r="VER131" s="20"/>
      <c r="VES131" s="20"/>
      <c r="VET131" s="20"/>
      <c r="VEU131" s="20"/>
      <c r="VEV131" s="21"/>
      <c r="VEW131" s="21"/>
      <c r="VEX131" s="7"/>
      <c r="VEY131" s="7"/>
      <c r="VEZ131" s="21"/>
      <c r="VFA131" s="20"/>
      <c r="VFB131" s="20"/>
      <c r="VFC131" s="20"/>
      <c r="VFD131" s="21"/>
      <c r="VFE131" s="21"/>
      <c r="VFF131" s="21"/>
      <c r="VFG131" s="21"/>
      <c r="VFH131" s="21"/>
      <c r="VFI131" s="20"/>
      <c r="VFJ131" s="20"/>
      <c r="VFK131" s="20"/>
      <c r="VFL131" s="20"/>
      <c r="VFM131" s="21"/>
      <c r="VFN131" s="21"/>
      <c r="VFO131" s="7"/>
      <c r="VFP131" s="7"/>
      <c r="VFQ131" s="21"/>
      <c r="VFR131" s="20"/>
      <c r="VFS131" s="20"/>
      <c r="VFT131" s="20"/>
      <c r="VFU131" s="21"/>
      <c r="VFV131" s="21"/>
      <c r="VFW131" s="21"/>
      <c r="VFX131" s="21"/>
      <c r="VFY131" s="21"/>
      <c r="VFZ131" s="20"/>
      <c r="VGA131" s="20"/>
      <c r="VGB131" s="20"/>
      <c r="VGC131" s="20"/>
      <c r="VGD131" s="21"/>
      <c r="VGE131" s="21"/>
      <c r="VGF131" s="7"/>
      <c r="VGG131" s="7"/>
      <c r="VGH131" s="21"/>
      <c r="VGI131" s="20"/>
      <c r="VGJ131" s="20"/>
      <c r="VGK131" s="20"/>
      <c r="VGL131" s="21"/>
      <c r="VGM131" s="21"/>
      <c r="VGN131" s="21"/>
      <c r="VGO131" s="21"/>
      <c r="VGP131" s="21"/>
      <c r="VGQ131" s="20"/>
      <c r="VGR131" s="20"/>
      <c r="VGS131" s="20"/>
      <c r="VGT131" s="20"/>
      <c r="VGU131" s="21"/>
      <c r="VGV131" s="21"/>
      <c r="VGW131" s="7"/>
      <c r="VGX131" s="7"/>
      <c r="VGY131" s="21"/>
      <c r="VGZ131" s="20"/>
      <c r="VHA131" s="20"/>
      <c r="VHB131" s="20"/>
      <c r="VHC131" s="21"/>
      <c r="VHD131" s="21"/>
      <c r="VHE131" s="21"/>
      <c r="VHF131" s="21"/>
      <c r="VHG131" s="21"/>
      <c r="VHH131" s="20"/>
      <c r="VHI131" s="20"/>
      <c r="VHJ131" s="20"/>
      <c r="VHK131" s="20"/>
      <c r="VHL131" s="21"/>
      <c r="VHM131" s="21"/>
      <c r="VHN131" s="7"/>
      <c r="VHO131" s="7"/>
      <c r="VHP131" s="21"/>
      <c r="VHQ131" s="20"/>
      <c r="VHR131" s="20"/>
      <c r="VHS131" s="20"/>
      <c r="VHT131" s="21"/>
      <c r="VHU131" s="21"/>
      <c r="VHV131" s="21"/>
      <c r="VHW131" s="21"/>
      <c r="VHX131" s="21"/>
      <c r="VHY131" s="20"/>
      <c r="VHZ131" s="20"/>
      <c r="VIA131" s="20"/>
      <c r="VIB131" s="20"/>
      <c r="VIC131" s="21"/>
      <c r="VID131" s="21"/>
      <c r="VIE131" s="7"/>
      <c r="VIF131" s="7"/>
      <c r="VIG131" s="21"/>
      <c r="VIH131" s="20"/>
      <c r="VII131" s="20"/>
      <c r="VIJ131" s="20"/>
      <c r="VIK131" s="21"/>
      <c r="VIL131" s="21"/>
      <c r="VIM131" s="21"/>
      <c r="VIN131" s="21"/>
      <c r="VIO131" s="21"/>
      <c r="VIP131" s="20"/>
      <c r="VIQ131" s="20"/>
      <c r="VIR131" s="20"/>
      <c r="VIS131" s="20"/>
      <c r="VIT131" s="21"/>
      <c r="VIU131" s="21"/>
      <c r="VIV131" s="7"/>
      <c r="VIW131" s="7"/>
      <c r="VIX131" s="21"/>
      <c r="VIY131" s="20"/>
      <c r="VIZ131" s="20"/>
      <c r="VJA131" s="20"/>
      <c r="VJB131" s="21"/>
      <c r="VJC131" s="21"/>
      <c r="VJD131" s="21"/>
      <c r="VJE131" s="21"/>
      <c r="VJF131" s="21"/>
      <c r="VJG131" s="20"/>
      <c r="VJH131" s="20"/>
      <c r="VJI131" s="20"/>
      <c r="VJJ131" s="20"/>
      <c r="VJK131" s="21"/>
      <c r="VJL131" s="21"/>
      <c r="VJM131" s="7"/>
      <c r="VJN131" s="7"/>
      <c r="VJO131" s="21"/>
      <c r="VJP131" s="20"/>
      <c r="VJQ131" s="20"/>
      <c r="VJR131" s="20"/>
      <c r="VJS131" s="21"/>
      <c r="VJT131" s="21"/>
      <c r="VJU131" s="21"/>
      <c r="VJV131" s="21"/>
      <c r="VJW131" s="21"/>
      <c r="VJX131" s="20"/>
      <c r="VJY131" s="20"/>
      <c r="VJZ131" s="20"/>
      <c r="VKA131" s="20"/>
      <c r="VKB131" s="21"/>
      <c r="VKC131" s="21"/>
      <c r="VKD131" s="7"/>
      <c r="VKE131" s="7"/>
      <c r="VKF131" s="21"/>
      <c r="VKG131" s="20"/>
      <c r="VKH131" s="20"/>
      <c r="VKI131" s="20"/>
      <c r="VKJ131" s="21"/>
      <c r="VKK131" s="21"/>
      <c r="VKL131" s="21"/>
      <c r="VKM131" s="21"/>
      <c r="VKN131" s="21"/>
      <c r="VKO131" s="20"/>
      <c r="VKP131" s="20"/>
      <c r="VKQ131" s="20"/>
      <c r="VKR131" s="20"/>
      <c r="VKS131" s="21"/>
      <c r="VKT131" s="21"/>
      <c r="VKU131" s="7"/>
      <c r="VKV131" s="7"/>
      <c r="VKW131" s="21"/>
      <c r="VKX131" s="20"/>
      <c r="VKY131" s="20"/>
      <c r="VKZ131" s="20"/>
      <c r="VLA131" s="21"/>
      <c r="VLB131" s="21"/>
      <c r="VLC131" s="21"/>
      <c r="VLD131" s="21"/>
      <c r="VLE131" s="21"/>
      <c r="VLF131" s="20"/>
      <c r="VLG131" s="20"/>
      <c r="VLH131" s="20"/>
      <c r="VLI131" s="20"/>
      <c r="VLJ131" s="21"/>
      <c r="VLK131" s="21"/>
      <c r="VLL131" s="7"/>
      <c r="VLM131" s="7"/>
      <c r="VLN131" s="21"/>
      <c r="VLO131" s="20"/>
      <c r="VLP131" s="20"/>
      <c r="VLQ131" s="20"/>
      <c r="VLR131" s="21"/>
      <c r="VLS131" s="21"/>
      <c r="VLT131" s="21"/>
      <c r="VLU131" s="21"/>
      <c r="VLV131" s="21"/>
      <c r="VLW131" s="20"/>
      <c r="VLX131" s="20"/>
      <c r="VLY131" s="20"/>
      <c r="VLZ131" s="20"/>
      <c r="VMA131" s="21"/>
      <c r="VMB131" s="21"/>
      <c r="VMC131" s="7"/>
      <c r="VMD131" s="7"/>
      <c r="VME131" s="21"/>
      <c r="VMF131" s="20"/>
      <c r="VMG131" s="20"/>
      <c r="VMH131" s="20"/>
      <c r="VMI131" s="21"/>
      <c r="VMJ131" s="21"/>
      <c r="VMK131" s="21"/>
      <c r="VML131" s="21"/>
      <c r="VMM131" s="21"/>
      <c r="VMN131" s="20"/>
      <c r="VMO131" s="20"/>
      <c r="VMP131" s="20"/>
      <c r="VMQ131" s="20"/>
      <c r="VMR131" s="21"/>
      <c r="VMS131" s="21"/>
      <c r="VMT131" s="7"/>
      <c r="VMU131" s="7"/>
      <c r="VMV131" s="21"/>
      <c r="VMW131" s="20"/>
      <c r="VMX131" s="20"/>
      <c r="VMY131" s="20"/>
      <c r="VMZ131" s="21"/>
      <c r="VNA131" s="21"/>
      <c r="VNB131" s="21"/>
      <c r="VNC131" s="21"/>
      <c r="VND131" s="21"/>
      <c r="VNE131" s="20"/>
      <c r="VNF131" s="20"/>
      <c r="VNG131" s="20"/>
      <c r="VNH131" s="20"/>
      <c r="VNI131" s="21"/>
      <c r="VNJ131" s="21"/>
      <c r="VNK131" s="7"/>
      <c r="VNL131" s="7"/>
      <c r="VNM131" s="21"/>
      <c r="VNN131" s="20"/>
      <c r="VNO131" s="20"/>
      <c r="VNP131" s="20"/>
      <c r="VNQ131" s="21"/>
      <c r="VNR131" s="21"/>
      <c r="VNS131" s="21"/>
      <c r="VNT131" s="21"/>
      <c r="VNU131" s="21"/>
      <c r="VNV131" s="20"/>
      <c r="VNW131" s="20"/>
      <c r="VNX131" s="20"/>
      <c r="VNY131" s="20"/>
      <c r="VNZ131" s="21"/>
      <c r="VOA131" s="21"/>
      <c r="VOB131" s="7"/>
      <c r="VOC131" s="7"/>
      <c r="VOD131" s="21"/>
      <c r="VOE131" s="20"/>
      <c r="VOF131" s="20"/>
      <c r="VOG131" s="20"/>
      <c r="VOH131" s="21"/>
      <c r="VOI131" s="21"/>
      <c r="VOJ131" s="21"/>
      <c r="VOK131" s="21"/>
      <c r="VOL131" s="21"/>
      <c r="VOM131" s="20"/>
      <c r="VON131" s="20"/>
      <c r="VOO131" s="20"/>
      <c r="VOP131" s="20"/>
      <c r="VOQ131" s="21"/>
      <c r="VOR131" s="21"/>
      <c r="VOS131" s="7"/>
      <c r="VOT131" s="7"/>
      <c r="VOU131" s="21"/>
      <c r="VOV131" s="20"/>
      <c r="VOW131" s="20"/>
      <c r="VOX131" s="20"/>
      <c r="VOY131" s="21"/>
      <c r="VOZ131" s="21"/>
      <c r="VPA131" s="21"/>
      <c r="VPB131" s="21"/>
      <c r="VPC131" s="21"/>
      <c r="VPD131" s="20"/>
      <c r="VPE131" s="20"/>
      <c r="VPF131" s="20"/>
      <c r="VPG131" s="20"/>
      <c r="VPH131" s="21"/>
      <c r="VPI131" s="21"/>
      <c r="VPJ131" s="7"/>
      <c r="VPK131" s="7"/>
      <c r="VPL131" s="21"/>
      <c r="VPM131" s="20"/>
      <c r="VPN131" s="20"/>
      <c r="VPO131" s="20"/>
      <c r="VPP131" s="21"/>
      <c r="VPQ131" s="21"/>
      <c r="VPR131" s="21"/>
      <c r="VPS131" s="21"/>
      <c r="VPT131" s="21"/>
      <c r="VPU131" s="20"/>
      <c r="VPV131" s="20"/>
      <c r="VPW131" s="20"/>
      <c r="VPX131" s="20"/>
      <c r="VPY131" s="21"/>
      <c r="VPZ131" s="21"/>
      <c r="VQA131" s="7"/>
      <c r="VQB131" s="7"/>
      <c r="VQC131" s="21"/>
      <c r="VQD131" s="20"/>
      <c r="VQE131" s="20"/>
      <c r="VQF131" s="20"/>
      <c r="VQG131" s="21"/>
      <c r="VQH131" s="21"/>
      <c r="VQI131" s="21"/>
      <c r="VQJ131" s="21"/>
      <c r="VQK131" s="21"/>
      <c r="VQL131" s="20"/>
      <c r="VQM131" s="20"/>
      <c r="VQN131" s="20"/>
      <c r="VQO131" s="20"/>
      <c r="VQP131" s="21"/>
      <c r="VQQ131" s="21"/>
      <c r="VQR131" s="7"/>
      <c r="VQS131" s="7"/>
      <c r="VQT131" s="21"/>
      <c r="VQU131" s="20"/>
      <c r="VQV131" s="20"/>
      <c r="VQW131" s="20"/>
      <c r="VQX131" s="21"/>
      <c r="VQY131" s="21"/>
      <c r="VQZ131" s="21"/>
      <c r="VRA131" s="21"/>
      <c r="VRB131" s="21"/>
      <c r="VRC131" s="20"/>
      <c r="VRD131" s="20"/>
      <c r="VRE131" s="20"/>
      <c r="VRF131" s="20"/>
      <c r="VRG131" s="21"/>
      <c r="VRH131" s="21"/>
      <c r="VRI131" s="7"/>
      <c r="VRJ131" s="7"/>
      <c r="VRK131" s="21"/>
      <c r="VRL131" s="20"/>
      <c r="VRM131" s="20"/>
      <c r="VRN131" s="20"/>
      <c r="VRO131" s="21"/>
      <c r="VRP131" s="21"/>
      <c r="VRQ131" s="21"/>
      <c r="VRR131" s="21"/>
      <c r="VRS131" s="21"/>
      <c r="VRT131" s="20"/>
      <c r="VRU131" s="20"/>
      <c r="VRV131" s="20"/>
      <c r="VRW131" s="20"/>
      <c r="VRX131" s="21"/>
      <c r="VRY131" s="21"/>
      <c r="VRZ131" s="7"/>
      <c r="VSA131" s="7"/>
      <c r="VSB131" s="21"/>
      <c r="VSC131" s="20"/>
      <c r="VSD131" s="20"/>
      <c r="VSE131" s="20"/>
      <c r="VSF131" s="21"/>
      <c r="VSG131" s="21"/>
      <c r="VSH131" s="21"/>
      <c r="VSI131" s="21"/>
      <c r="VSJ131" s="21"/>
      <c r="VSK131" s="20"/>
      <c r="VSL131" s="20"/>
      <c r="VSM131" s="20"/>
      <c r="VSN131" s="20"/>
      <c r="VSO131" s="21"/>
      <c r="VSP131" s="21"/>
      <c r="VSQ131" s="7"/>
      <c r="VSR131" s="7"/>
      <c r="VSS131" s="21"/>
      <c r="VST131" s="20"/>
      <c r="VSU131" s="20"/>
      <c r="VSV131" s="20"/>
      <c r="VSW131" s="21"/>
      <c r="VSX131" s="21"/>
      <c r="VSY131" s="21"/>
      <c r="VSZ131" s="21"/>
      <c r="VTA131" s="21"/>
      <c r="VTB131" s="20"/>
      <c r="VTC131" s="20"/>
      <c r="VTD131" s="20"/>
      <c r="VTE131" s="20"/>
      <c r="VTF131" s="21"/>
      <c r="VTG131" s="21"/>
      <c r="VTH131" s="7"/>
      <c r="VTI131" s="7"/>
      <c r="VTJ131" s="21"/>
      <c r="VTK131" s="20"/>
      <c r="VTL131" s="20"/>
      <c r="VTM131" s="20"/>
      <c r="VTN131" s="21"/>
      <c r="VTO131" s="21"/>
      <c r="VTP131" s="21"/>
      <c r="VTQ131" s="21"/>
      <c r="VTR131" s="21"/>
      <c r="VTS131" s="20"/>
      <c r="VTT131" s="20"/>
      <c r="VTU131" s="20"/>
      <c r="VTV131" s="20"/>
      <c r="VTW131" s="21"/>
      <c r="VTX131" s="21"/>
      <c r="VTY131" s="7"/>
      <c r="VTZ131" s="7"/>
      <c r="VUA131" s="21"/>
      <c r="VUB131" s="20"/>
      <c r="VUC131" s="20"/>
      <c r="VUD131" s="20"/>
      <c r="VUE131" s="21"/>
      <c r="VUF131" s="21"/>
      <c r="VUG131" s="21"/>
      <c r="VUH131" s="21"/>
      <c r="VUI131" s="21"/>
      <c r="VUJ131" s="20"/>
      <c r="VUK131" s="20"/>
      <c r="VUL131" s="20"/>
      <c r="VUM131" s="20"/>
      <c r="VUN131" s="21"/>
      <c r="VUO131" s="21"/>
      <c r="VUP131" s="7"/>
      <c r="VUQ131" s="7"/>
      <c r="VUR131" s="21"/>
      <c r="VUS131" s="20"/>
      <c r="VUT131" s="20"/>
      <c r="VUU131" s="20"/>
      <c r="VUV131" s="21"/>
      <c r="VUW131" s="21"/>
      <c r="VUX131" s="21"/>
      <c r="VUY131" s="21"/>
      <c r="VUZ131" s="21"/>
      <c r="VVA131" s="20"/>
      <c r="VVB131" s="20"/>
      <c r="VVC131" s="20"/>
      <c r="VVD131" s="20"/>
      <c r="VVE131" s="21"/>
      <c r="VVF131" s="21"/>
      <c r="VVG131" s="7"/>
      <c r="VVH131" s="7"/>
      <c r="VVI131" s="21"/>
      <c r="VVJ131" s="20"/>
      <c r="VVK131" s="20"/>
      <c r="VVL131" s="20"/>
      <c r="VVM131" s="21"/>
      <c r="VVN131" s="21"/>
      <c r="VVO131" s="21"/>
      <c r="VVP131" s="21"/>
      <c r="VVQ131" s="21"/>
      <c r="VVR131" s="20"/>
      <c r="VVS131" s="20"/>
      <c r="VVT131" s="20"/>
      <c r="VVU131" s="20"/>
      <c r="VVV131" s="21"/>
      <c r="VVW131" s="21"/>
      <c r="VVX131" s="7"/>
      <c r="VVY131" s="7"/>
      <c r="VVZ131" s="21"/>
      <c r="VWA131" s="20"/>
      <c r="VWB131" s="20"/>
      <c r="VWC131" s="20"/>
      <c r="VWD131" s="21"/>
      <c r="VWE131" s="21"/>
      <c r="VWF131" s="21"/>
      <c r="VWG131" s="21"/>
      <c r="VWH131" s="21"/>
      <c r="VWI131" s="20"/>
      <c r="VWJ131" s="20"/>
      <c r="VWK131" s="20"/>
      <c r="VWL131" s="20"/>
      <c r="VWM131" s="21"/>
      <c r="VWN131" s="21"/>
      <c r="VWO131" s="7"/>
      <c r="VWP131" s="7"/>
      <c r="VWQ131" s="21"/>
      <c r="VWR131" s="20"/>
      <c r="VWS131" s="20"/>
      <c r="VWT131" s="20"/>
      <c r="VWU131" s="21"/>
      <c r="VWV131" s="21"/>
      <c r="VWW131" s="21"/>
      <c r="VWX131" s="21"/>
      <c r="VWY131" s="21"/>
      <c r="VWZ131" s="20"/>
      <c r="VXA131" s="20"/>
      <c r="VXB131" s="20"/>
      <c r="VXC131" s="20"/>
      <c r="VXD131" s="21"/>
      <c r="VXE131" s="21"/>
      <c r="VXF131" s="7"/>
      <c r="VXG131" s="7"/>
      <c r="VXH131" s="21"/>
      <c r="VXI131" s="20"/>
      <c r="VXJ131" s="20"/>
      <c r="VXK131" s="20"/>
      <c r="VXL131" s="21"/>
      <c r="VXM131" s="21"/>
      <c r="VXN131" s="21"/>
      <c r="VXO131" s="21"/>
      <c r="VXP131" s="21"/>
      <c r="VXQ131" s="20"/>
      <c r="VXR131" s="20"/>
      <c r="VXS131" s="20"/>
      <c r="VXT131" s="20"/>
      <c r="VXU131" s="21"/>
      <c r="VXV131" s="21"/>
      <c r="VXW131" s="7"/>
      <c r="VXX131" s="7"/>
      <c r="VXY131" s="21"/>
      <c r="VXZ131" s="20"/>
      <c r="VYA131" s="20"/>
      <c r="VYB131" s="20"/>
      <c r="VYC131" s="21"/>
      <c r="VYD131" s="21"/>
      <c r="VYE131" s="21"/>
      <c r="VYF131" s="21"/>
      <c r="VYG131" s="21"/>
      <c r="VYH131" s="20"/>
      <c r="VYI131" s="20"/>
      <c r="VYJ131" s="20"/>
      <c r="VYK131" s="20"/>
      <c r="VYL131" s="21"/>
      <c r="VYM131" s="21"/>
      <c r="VYN131" s="7"/>
      <c r="VYO131" s="7"/>
      <c r="VYP131" s="21"/>
      <c r="VYQ131" s="20"/>
      <c r="VYR131" s="20"/>
      <c r="VYS131" s="20"/>
      <c r="VYT131" s="21"/>
      <c r="VYU131" s="21"/>
      <c r="VYV131" s="21"/>
      <c r="VYW131" s="21"/>
      <c r="VYX131" s="21"/>
      <c r="VYY131" s="20"/>
      <c r="VYZ131" s="20"/>
      <c r="VZA131" s="20"/>
      <c r="VZB131" s="20"/>
      <c r="VZC131" s="21"/>
      <c r="VZD131" s="21"/>
      <c r="VZE131" s="7"/>
      <c r="VZF131" s="7"/>
      <c r="VZG131" s="21"/>
      <c r="VZH131" s="20"/>
      <c r="VZI131" s="20"/>
      <c r="VZJ131" s="20"/>
      <c r="VZK131" s="21"/>
      <c r="VZL131" s="21"/>
      <c r="VZM131" s="21"/>
      <c r="VZN131" s="21"/>
      <c r="VZO131" s="21"/>
      <c r="VZP131" s="20"/>
      <c r="VZQ131" s="20"/>
      <c r="VZR131" s="20"/>
      <c r="VZS131" s="20"/>
      <c r="VZT131" s="21"/>
      <c r="VZU131" s="21"/>
      <c r="VZV131" s="7"/>
      <c r="VZW131" s="7"/>
      <c r="VZX131" s="21"/>
      <c r="VZY131" s="20"/>
      <c r="VZZ131" s="20"/>
      <c r="WAA131" s="20"/>
      <c r="WAB131" s="21"/>
      <c r="WAC131" s="21"/>
      <c r="WAD131" s="21"/>
      <c r="WAE131" s="21"/>
      <c r="WAF131" s="21"/>
      <c r="WAG131" s="20"/>
      <c r="WAH131" s="20"/>
      <c r="WAI131" s="20"/>
      <c r="WAJ131" s="20"/>
      <c r="WAK131" s="21"/>
      <c r="WAL131" s="21"/>
      <c r="WAM131" s="7"/>
      <c r="WAN131" s="7"/>
      <c r="WAO131" s="21"/>
      <c r="WAP131" s="20"/>
      <c r="WAQ131" s="20"/>
      <c r="WAR131" s="20"/>
      <c r="WAS131" s="21"/>
      <c r="WAT131" s="21"/>
      <c r="WAU131" s="21"/>
      <c r="WAV131" s="21"/>
      <c r="WAW131" s="21"/>
      <c r="WAX131" s="20"/>
      <c r="WAY131" s="20"/>
      <c r="WAZ131" s="20"/>
      <c r="WBA131" s="20"/>
      <c r="WBB131" s="21"/>
      <c r="WBC131" s="21"/>
      <c r="WBD131" s="7"/>
      <c r="WBE131" s="7"/>
      <c r="WBF131" s="21"/>
      <c r="WBG131" s="20"/>
      <c r="WBH131" s="20"/>
      <c r="WBI131" s="20"/>
      <c r="WBJ131" s="21"/>
      <c r="WBK131" s="21"/>
      <c r="WBL131" s="21"/>
      <c r="WBM131" s="21"/>
      <c r="WBN131" s="21"/>
      <c r="WBO131" s="20"/>
      <c r="WBP131" s="20"/>
      <c r="WBQ131" s="20"/>
      <c r="WBR131" s="20"/>
      <c r="WBS131" s="21"/>
      <c r="WBT131" s="21"/>
      <c r="WBU131" s="7"/>
      <c r="WBV131" s="7"/>
      <c r="WBW131" s="21"/>
      <c r="WBX131" s="20"/>
      <c r="WBY131" s="20"/>
      <c r="WBZ131" s="20"/>
      <c r="WCA131" s="21"/>
      <c r="WCB131" s="21"/>
      <c r="WCC131" s="21"/>
      <c r="WCD131" s="21"/>
      <c r="WCE131" s="21"/>
      <c r="WCF131" s="20"/>
      <c r="WCG131" s="20"/>
      <c r="WCH131" s="20"/>
      <c r="WCI131" s="20"/>
      <c r="WCJ131" s="21"/>
      <c r="WCK131" s="21"/>
      <c r="WCL131" s="7"/>
      <c r="WCM131" s="7"/>
      <c r="WCN131" s="21"/>
      <c r="WCO131" s="20"/>
      <c r="WCP131" s="20"/>
      <c r="WCQ131" s="20"/>
      <c r="WCR131" s="21"/>
      <c r="WCS131" s="21"/>
      <c r="WCT131" s="21"/>
      <c r="WCU131" s="21"/>
      <c r="WCV131" s="21"/>
      <c r="WCW131" s="20"/>
      <c r="WCX131" s="20"/>
      <c r="WCY131" s="20"/>
      <c r="WCZ131" s="20"/>
      <c r="WDA131" s="21"/>
      <c r="WDB131" s="21"/>
      <c r="WDC131" s="7"/>
      <c r="WDD131" s="7"/>
      <c r="WDE131" s="21"/>
      <c r="WDF131" s="20"/>
      <c r="WDG131" s="20"/>
      <c r="WDH131" s="20"/>
      <c r="WDI131" s="21"/>
      <c r="WDJ131" s="21"/>
      <c r="WDK131" s="21"/>
      <c r="WDL131" s="21"/>
      <c r="WDM131" s="21"/>
      <c r="WDN131" s="20"/>
      <c r="WDO131" s="20"/>
      <c r="WDP131" s="20"/>
      <c r="WDQ131" s="20"/>
      <c r="WDR131" s="21"/>
      <c r="WDS131" s="21"/>
      <c r="WDT131" s="7"/>
      <c r="WDU131" s="7"/>
      <c r="WDV131" s="21"/>
      <c r="WDW131" s="20"/>
      <c r="WDX131" s="20"/>
      <c r="WDY131" s="20"/>
      <c r="WDZ131" s="21"/>
      <c r="WEA131" s="21"/>
      <c r="WEB131" s="21"/>
      <c r="WEC131" s="21"/>
      <c r="WED131" s="21"/>
      <c r="WEE131" s="20"/>
      <c r="WEF131" s="20"/>
      <c r="WEG131" s="20"/>
      <c r="WEH131" s="20"/>
      <c r="WEI131" s="21"/>
      <c r="WEJ131" s="21"/>
      <c r="WEK131" s="7"/>
      <c r="WEL131" s="7"/>
      <c r="WEM131" s="21"/>
      <c r="WEN131" s="20"/>
      <c r="WEO131" s="20"/>
      <c r="WEP131" s="20"/>
      <c r="WEQ131" s="21"/>
      <c r="WER131" s="21"/>
      <c r="WES131" s="21"/>
      <c r="WET131" s="21"/>
      <c r="WEU131" s="21"/>
      <c r="WEV131" s="20"/>
      <c r="WEW131" s="20"/>
      <c r="WEX131" s="20"/>
      <c r="WEY131" s="20"/>
      <c r="WEZ131" s="21"/>
      <c r="WFA131" s="21"/>
      <c r="WFB131" s="7"/>
      <c r="WFC131" s="7"/>
      <c r="WFD131" s="21"/>
      <c r="WFE131" s="20"/>
      <c r="WFF131" s="20"/>
      <c r="WFG131" s="20"/>
      <c r="WFH131" s="21"/>
      <c r="WFI131" s="21"/>
      <c r="WFJ131" s="21"/>
      <c r="WFK131" s="21"/>
      <c r="WFL131" s="21"/>
      <c r="WFM131" s="20"/>
      <c r="WFN131" s="20"/>
      <c r="WFO131" s="20"/>
      <c r="WFP131" s="20"/>
      <c r="WFQ131" s="21"/>
      <c r="WFR131" s="21"/>
      <c r="WFS131" s="7"/>
      <c r="WFT131" s="7"/>
      <c r="WFU131" s="21"/>
      <c r="WFV131" s="20"/>
      <c r="WFW131" s="20"/>
      <c r="WFX131" s="20"/>
      <c r="WFY131" s="21"/>
      <c r="WFZ131" s="21"/>
      <c r="WGA131" s="21"/>
      <c r="WGB131" s="21"/>
      <c r="WGC131" s="21"/>
      <c r="WGD131" s="20"/>
      <c r="WGE131" s="20"/>
      <c r="WGF131" s="20"/>
      <c r="WGG131" s="20"/>
      <c r="WGH131" s="21"/>
      <c r="WGI131" s="21"/>
      <c r="WGJ131" s="7"/>
      <c r="WGK131" s="7"/>
      <c r="WGL131" s="21"/>
      <c r="WGM131" s="20"/>
      <c r="WGN131" s="20"/>
      <c r="WGO131" s="20"/>
      <c r="WGP131" s="21"/>
      <c r="WGQ131" s="21"/>
      <c r="WGR131" s="21"/>
      <c r="WGS131" s="21"/>
      <c r="WGT131" s="21"/>
      <c r="WGU131" s="20"/>
      <c r="WGV131" s="20"/>
      <c r="WGW131" s="20"/>
      <c r="WGX131" s="20"/>
      <c r="WGY131" s="21"/>
      <c r="WGZ131" s="21"/>
      <c r="WHA131" s="7"/>
      <c r="WHB131" s="7"/>
      <c r="WHC131" s="21"/>
      <c r="WHD131" s="20"/>
      <c r="WHE131" s="20"/>
      <c r="WHF131" s="20"/>
      <c r="WHG131" s="21"/>
      <c r="WHH131" s="21"/>
      <c r="WHI131" s="21"/>
      <c r="WHJ131" s="21"/>
      <c r="WHK131" s="21"/>
      <c r="WHL131" s="20"/>
      <c r="WHM131" s="20"/>
      <c r="WHN131" s="20"/>
      <c r="WHO131" s="20"/>
      <c r="WHP131" s="21"/>
      <c r="WHQ131" s="21"/>
      <c r="WHR131" s="7"/>
      <c r="WHS131" s="7"/>
      <c r="WHT131" s="21"/>
      <c r="WHU131" s="20"/>
      <c r="WHV131" s="20"/>
      <c r="WHW131" s="20"/>
      <c r="WHX131" s="21"/>
      <c r="WHY131" s="21"/>
      <c r="WHZ131" s="21"/>
      <c r="WIA131" s="21"/>
      <c r="WIB131" s="21"/>
      <c r="WIC131" s="20"/>
      <c r="WID131" s="20"/>
      <c r="WIE131" s="20"/>
      <c r="WIF131" s="20"/>
      <c r="WIG131" s="21"/>
      <c r="WIH131" s="21"/>
      <c r="WII131" s="7"/>
      <c r="WIJ131" s="7"/>
      <c r="WIK131" s="21"/>
      <c r="WIL131" s="20"/>
      <c r="WIM131" s="20"/>
      <c r="WIN131" s="20"/>
      <c r="WIO131" s="21"/>
      <c r="WIP131" s="21"/>
      <c r="WIQ131" s="21"/>
      <c r="WIR131" s="21"/>
      <c r="WIS131" s="21"/>
      <c r="WIT131" s="20"/>
      <c r="WIU131" s="20"/>
      <c r="WIV131" s="20"/>
      <c r="WIW131" s="20"/>
      <c r="WIX131" s="21"/>
      <c r="WIY131" s="21"/>
      <c r="WIZ131" s="7"/>
      <c r="WJA131" s="7"/>
      <c r="WJB131" s="21"/>
      <c r="WJC131" s="20"/>
      <c r="WJD131" s="20"/>
      <c r="WJE131" s="20"/>
      <c r="WJF131" s="21"/>
      <c r="WJG131" s="21"/>
      <c r="WJH131" s="21"/>
      <c r="WJI131" s="21"/>
      <c r="WJJ131" s="21"/>
      <c r="WJK131" s="20"/>
      <c r="WJL131" s="20"/>
      <c r="WJM131" s="20"/>
      <c r="WJN131" s="20"/>
      <c r="WJO131" s="21"/>
      <c r="WJP131" s="21"/>
      <c r="WJQ131" s="7"/>
      <c r="WJR131" s="7"/>
      <c r="WJS131" s="21"/>
      <c r="WJT131" s="20"/>
      <c r="WJU131" s="20"/>
      <c r="WJV131" s="20"/>
      <c r="WJW131" s="21"/>
      <c r="WJX131" s="21"/>
      <c r="WJY131" s="21"/>
      <c r="WJZ131" s="21"/>
      <c r="WKA131" s="21"/>
      <c r="WKB131" s="20"/>
      <c r="WKC131" s="20"/>
      <c r="WKD131" s="20"/>
      <c r="WKE131" s="20"/>
      <c r="WKF131" s="21"/>
      <c r="WKG131" s="21"/>
      <c r="WKH131" s="7"/>
      <c r="WKI131" s="7"/>
      <c r="WKJ131" s="21"/>
      <c r="WKK131" s="20"/>
      <c r="WKL131" s="20"/>
      <c r="WKM131" s="20"/>
      <c r="WKN131" s="21"/>
      <c r="WKO131" s="21"/>
      <c r="WKP131" s="21"/>
      <c r="WKQ131" s="21"/>
      <c r="WKR131" s="21"/>
      <c r="WKS131" s="20"/>
      <c r="WKT131" s="20"/>
      <c r="WKU131" s="20"/>
      <c r="WKV131" s="20"/>
      <c r="WKW131" s="21"/>
      <c r="WKX131" s="21"/>
      <c r="WKY131" s="7"/>
      <c r="WKZ131" s="7"/>
      <c r="WLA131" s="21"/>
      <c r="WLB131" s="20"/>
      <c r="WLC131" s="20"/>
      <c r="WLD131" s="20"/>
      <c r="WLE131" s="21"/>
      <c r="WLF131" s="21"/>
      <c r="WLG131" s="21"/>
      <c r="WLH131" s="21"/>
      <c r="WLI131" s="21"/>
      <c r="WLJ131" s="20"/>
      <c r="WLK131" s="20"/>
      <c r="WLL131" s="20"/>
      <c r="WLM131" s="20"/>
      <c r="WLN131" s="21"/>
      <c r="WLO131" s="21"/>
      <c r="WLP131" s="7"/>
      <c r="WLQ131" s="7"/>
      <c r="WLR131" s="21"/>
      <c r="WLS131" s="20"/>
      <c r="WLT131" s="20"/>
      <c r="WLU131" s="20"/>
      <c r="WLV131" s="21"/>
      <c r="WLW131" s="21"/>
      <c r="WLX131" s="21"/>
      <c r="WLY131" s="21"/>
      <c r="WLZ131" s="21"/>
      <c r="WMA131" s="20"/>
      <c r="WMB131" s="20"/>
      <c r="WMC131" s="20"/>
      <c r="WMD131" s="20"/>
      <c r="WME131" s="21"/>
      <c r="WMF131" s="21"/>
      <c r="WMG131" s="7"/>
      <c r="WMH131" s="7"/>
      <c r="WMI131" s="21"/>
      <c r="WMJ131" s="20"/>
      <c r="WMK131" s="20"/>
      <c r="WML131" s="20"/>
      <c r="WMM131" s="21"/>
      <c r="WMN131" s="21"/>
      <c r="WMO131" s="21"/>
      <c r="WMP131" s="21"/>
      <c r="WMQ131" s="21"/>
      <c r="WMR131" s="20"/>
      <c r="WMS131" s="20"/>
      <c r="WMT131" s="20"/>
      <c r="WMU131" s="20"/>
      <c r="WMV131" s="21"/>
      <c r="WMW131" s="21"/>
      <c r="WMX131" s="7"/>
      <c r="WMY131" s="7"/>
      <c r="WMZ131" s="21"/>
      <c r="WNA131" s="20"/>
      <c r="WNB131" s="20"/>
      <c r="WNC131" s="20"/>
      <c r="WND131" s="21"/>
      <c r="WNE131" s="21"/>
      <c r="WNF131" s="21"/>
      <c r="WNG131" s="21"/>
      <c r="WNH131" s="21"/>
      <c r="WNI131" s="20"/>
      <c r="WNJ131" s="20"/>
      <c r="WNK131" s="20"/>
      <c r="WNL131" s="20"/>
      <c r="WNM131" s="21"/>
      <c r="WNN131" s="21"/>
      <c r="WNO131" s="7"/>
      <c r="WNP131" s="7"/>
      <c r="WNQ131" s="21"/>
      <c r="WNR131" s="20"/>
      <c r="WNS131" s="20"/>
      <c r="WNT131" s="20"/>
      <c r="WNU131" s="21"/>
      <c r="WNV131" s="21"/>
      <c r="WNW131" s="21"/>
      <c r="WNX131" s="21"/>
      <c r="WNY131" s="21"/>
      <c r="WNZ131" s="20"/>
      <c r="WOA131" s="20"/>
      <c r="WOB131" s="20"/>
      <c r="WOC131" s="20"/>
      <c r="WOD131" s="21"/>
      <c r="WOE131" s="21"/>
      <c r="WOF131" s="7"/>
      <c r="WOG131" s="7"/>
      <c r="WOH131" s="21"/>
      <c r="WOI131" s="20"/>
      <c r="WOJ131" s="20"/>
      <c r="WOK131" s="20"/>
      <c r="WOL131" s="21"/>
      <c r="WOM131" s="21"/>
      <c r="WON131" s="21"/>
      <c r="WOO131" s="21"/>
      <c r="WOP131" s="21"/>
      <c r="WOQ131" s="20"/>
      <c r="WOR131" s="20"/>
      <c r="WOS131" s="20"/>
      <c r="WOT131" s="20"/>
      <c r="WOU131" s="21"/>
      <c r="WOV131" s="21"/>
      <c r="WOW131" s="7"/>
      <c r="WOX131" s="7"/>
      <c r="WOY131" s="21"/>
      <c r="WOZ131" s="20"/>
      <c r="WPA131" s="20"/>
      <c r="WPB131" s="20"/>
      <c r="WPC131" s="21"/>
      <c r="WPD131" s="21"/>
      <c r="WPE131" s="21"/>
      <c r="WPF131" s="21"/>
      <c r="WPG131" s="21"/>
      <c r="WPH131" s="20"/>
      <c r="WPI131" s="20"/>
      <c r="WPJ131" s="20"/>
      <c r="WPK131" s="20"/>
      <c r="WPL131" s="21"/>
      <c r="WPM131" s="21"/>
      <c r="WPN131" s="7"/>
      <c r="WPO131" s="7"/>
      <c r="WPP131" s="21"/>
      <c r="WPQ131" s="20"/>
      <c r="WPR131" s="20"/>
      <c r="WPS131" s="20"/>
      <c r="WPT131" s="21"/>
      <c r="WPU131" s="21"/>
      <c r="WPV131" s="21"/>
      <c r="WPW131" s="21"/>
      <c r="WPX131" s="21"/>
      <c r="WPY131" s="20"/>
      <c r="WPZ131" s="20"/>
      <c r="WQA131" s="20"/>
      <c r="WQB131" s="20"/>
      <c r="WQC131" s="21"/>
      <c r="WQD131" s="21"/>
      <c r="WQE131" s="7"/>
      <c r="WQF131" s="7"/>
      <c r="WQG131" s="21"/>
      <c r="WQH131" s="20"/>
      <c r="WQI131" s="20"/>
      <c r="WQJ131" s="20"/>
      <c r="WQK131" s="21"/>
      <c r="WQL131" s="21"/>
      <c r="WQM131" s="21"/>
      <c r="WQN131" s="21"/>
      <c r="WQO131" s="21"/>
      <c r="WQP131" s="20"/>
      <c r="WQQ131" s="20"/>
      <c r="WQR131" s="20"/>
      <c r="WQS131" s="20"/>
      <c r="WQT131" s="21"/>
      <c r="WQU131" s="21"/>
      <c r="WQV131" s="7"/>
      <c r="WQW131" s="7"/>
      <c r="WQX131" s="21"/>
      <c r="WQY131" s="20"/>
      <c r="WQZ131" s="20"/>
      <c r="WRA131" s="20"/>
      <c r="WRB131" s="21"/>
      <c r="WRC131" s="21"/>
      <c r="WRD131" s="21"/>
      <c r="WRE131" s="21"/>
      <c r="WRF131" s="21"/>
      <c r="WRG131" s="20"/>
      <c r="WRH131" s="20"/>
      <c r="WRI131" s="20"/>
      <c r="WRJ131" s="20"/>
      <c r="WRK131" s="21"/>
      <c r="WRL131" s="21"/>
      <c r="WRM131" s="7"/>
      <c r="WRN131" s="7"/>
      <c r="WRO131" s="21"/>
      <c r="WRP131" s="20"/>
      <c r="WRQ131" s="20"/>
      <c r="WRR131" s="20"/>
      <c r="WRS131" s="21"/>
      <c r="WRT131" s="21"/>
      <c r="WRU131" s="21"/>
      <c r="WRV131" s="21"/>
      <c r="WRW131" s="21"/>
      <c r="WRX131" s="20"/>
      <c r="WRY131" s="20"/>
      <c r="WRZ131" s="20"/>
      <c r="WSA131" s="20"/>
      <c r="WSB131" s="21"/>
      <c r="WSC131" s="21"/>
      <c r="WSD131" s="7"/>
      <c r="WSE131" s="7"/>
      <c r="WSF131" s="21"/>
      <c r="WSG131" s="20"/>
      <c r="WSH131" s="20"/>
      <c r="WSI131" s="20"/>
      <c r="WSJ131" s="21"/>
      <c r="WSK131" s="21"/>
      <c r="WSL131" s="21"/>
      <c r="WSM131" s="21"/>
      <c r="WSN131" s="21"/>
      <c r="WSO131" s="20"/>
      <c r="WSP131" s="20"/>
      <c r="WSQ131" s="20"/>
      <c r="WSR131" s="20"/>
      <c r="WSS131" s="21"/>
      <c r="WST131" s="21"/>
      <c r="WSU131" s="7"/>
      <c r="WSV131" s="7"/>
      <c r="WSW131" s="21"/>
      <c r="WSX131" s="20"/>
      <c r="WSY131" s="20"/>
      <c r="WSZ131" s="20"/>
      <c r="WTA131" s="21"/>
      <c r="WTB131" s="21"/>
      <c r="WTC131" s="21"/>
      <c r="WTD131" s="21"/>
      <c r="WTE131" s="21"/>
      <c r="WTF131" s="20"/>
      <c r="WTG131" s="20"/>
      <c r="WTH131" s="20"/>
      <c r="WTI131" s="20"/>
      <c r="WTJ131" s="21"/>
      <c r="WTK131" s="21"/>
      <c r="WTL131" s="7"/>
      <c r="WTM131" s="7"/>
      <c r="WTN131" s="21"/>
      <c r="WTO131" s="20"/>
      <c r="WTP131" s="20"/>
      <c r="WTQ131" s="20"/>
      <c r="WTR131" s="21"/>
      <c r="WTS131" s="21"/>
      <c r="WTT131" s="21"/>
      <c r="WTU131" s="21"/>
      <c r="WTV131" s="21"/>
      <c r="WTW131" s="20"/>
      <c r="WTX131" s="20"/>
      <c r="WTY131" s="20"/>
      <c r="WTZ131" s="20"/>
      <c r="WUA131" s="21"/>
      <c r="WUB131" s="21"/>
      <c r="WUC131" s="7"/>
      <c r="WUD131" s="7"/>
      <c r="WUE131" s="21"/>
      <c r="WUF131" s="20"/>
      <c r="WUG131" s="20"/>
      <c r="WUH131" s="20"/>
      <c r="WUI131" s="21"/>
      <c r="WUJ131" s="21"/>
      <c r="WUK131" s="21"/>
      <c r="WUL131" s="21"/>
      <c r="WUM131" s="21"/>
      <c r="WUN131" s="20"/>
      <c r="WUO131" s="20"/>
      <c r="WUP131" s="20"/>
      <c r="WUQ131" s="20"/>
      <c r="WUR131" s="21"/>
      <c r="WUS131" s="21"/>
      <c r="WUT131" s="7"/>
      <c r="WUU131" s="7"/>
      <c r="WUV131" s="21"/>
      <c r="WUW131" s="20"/>
      <c r="WUX131" s="20"/>
      <c r="WUY131" s="20"/>
      <c r="WUZ131" s="21"/>
      <c r="WVA131" s="21"/>
      <c r="WVB131" s="21"/>
      <c r="WVC131" s="21"/>
      <c r="WVD131" s="21"/>
      <c r="WVE131" s="20"/>
      <c r="WVF131" s="20"/>
      <c r="WVG131" s="20"/>
      <c r="WVH131" s="20"/>
      <c r="WVI131" s="21"/>
      <c r="WVJ131" s="21"/>
      <c r="WVK131" s="7"/>
      <c r="WVL131" s="7"/>
      <c r="WVM131" s="21"/>
      <c r="WVN131" s="20"/>
      <c r="WVO131" s="20"/>
      <c r="WVP131" s="20"/>
      <c r="WVQ131" s="21"/>
      <c r="WVR131" s="21"/>
      <c r="WVS131" s="21"/>
      <c r="WVT131" s="21"/>
      <c r="WVU131" s="21"/>
      <c r="WVV131" s="20"/>
      <c r="WVW131" s="20"/>
      <c r="WVX131" s="20"/>
      <c r="WVY131" s="20"/>
      <c r="WVZ131" s="21"/>
      <c r="WWA131" s="21"/>
      <c r="WWB131" s="7"/>
      <c r="WWC131" s="7"/>
      <c r="WWD131" s="21"/>
      <c r="WWE131" s="20"/>
      <c r="WWF131" s="20"/>
      <c r="WWG131" s="20"/>
      <c r="WWH131" s="21"/>
      <c r="WWI131" s="21"/>
      <c r="WWJ131" s="21"/>
      <c r="WWK131" s="21"/>
      <c r="WWL131" s="21"/>
      <c r="WWM131" s="20"/>
      <c r="WWN131" s="20"/>
      <c r="WWO131" s="20"/>
      <c r="WWP131" s="20"/>
      <c r="WWQ131" s="21"/>
      <c r="WWR131" s="21"/>
      <c r="WWS131" s="7"/>
      <c r="WWT131" s="7"/>
      <c r="WWU131" s="21"/>
      <c r="WWV131" s="20"/>
      <c r="WWW131" s="20"/>
      <c r="WWX131" s="20"/>
      <c r="WWY131" s="21"/>
      <c r="WWZ131" s="21"/>
      <c r="WXA131" s="21"/>
      <c r="WXB131" s="21"/>
      <c r="WXC131" s="21"/>
      <c r="WXD131" s="20"/>
      <c r="WXE131" s="20"/>
      <c r="WXF131" s="20"/>
      <c r="WXG131" s="20"/>
      <c r="WXH131" s="21"/>
      <c r="WXI131" s="21"/>
      <c r="WXJ131" s="7"/>
      <c r="WXK131" s="7"/>
      <c r="WXL131" s="21"/>
      <c r="WXM131" s="20"/>
      <c r="WXN131" s="20"/>
      <c r="WXO131" s="20"/>
      <c r="WXP131" s="21"/>
      <c r="WXQ131" s="21"/>
      <c r="WXR131" s="21"/>
      <c r="WXS131" s="21"/>
      <c r="WXT131" s="21"/>
      <c r="WXU131" s="20"/>
      <c r="WXV131" s="20"/>
      <c r="WXW131" s="20"/>
      <c r="WXX131" s="20"/>
      <c r="WXY131" s="21"/>
      <c r="WXZ131" s="21"/>
      <c r="WYA131" s="7"/>
      <c r="WYB131" s="7"/>
      <c r="WYC131" s="21"/>
      <c r="WYD131" s="20"/>
      <c r="WYE131" s="20"/>
      <c r="WYF131" s="20"/>
      <c r="WYG131" s="21"/>
      <c r="WYH131" s="21"/>
      <c r="WYI131" s="21"/>
      <c r="WYJ131" s="21"/>
      <c r="WYK131" s="21"/>
      <c r="WYL131" s="20"/>
      <c r="WYM131" s="20"/>
      <c r="WYN131" s="20"/>
      <c r="WYO131" s="20"/>
      <c r="WYP131" s="21"/>
      <c r="WYQ131" s="21"/>
      <c r="WYR131" s="7"/>
      <c r="WYS131" s="7"/>
      <c r="WYT131" s="21"/>
      <c r="WYU131" s="20"/>
      <c r="WYV131" s="20"/>
      <c r="WYW131" s="20"/>
      <c r="WYX131" s="21"/>
      <c r="WYY131" s="21"/>
      <c r="WYZ131" s="21"/>
      <c r="WZA131" s="21"/>
      <c r="WZB131" s="21"/>
      <c r="WZC131" s="20"/>
      <c r="WZD131" s="20"/>
      <c r="WZE131" s="20"/>
      <c r="WZF131" s="20"/>
      <c r="WZG131" s="21"/>
      <c r="WZH131" s="21"/>
      <c r="WZI131" s="7"/>
      <c r="WZJ131" s="7"/>
      <c r="WZK131" s="21"/>
      <c r="WZL131" s="20"/>
      <c r="WZM131" s="20"/>
      <c r="WZN131" s="20"/>
      <c r="WZO131" s="21"/>
      <c r="WZP131" s="21"/>
      <c r="WZQ131" s="21"/>
      <c r="WZR131" s="21"/>
      <c r="WZS131" s="21"/>
      <c r="WZT131" s="20"/>
      <c r="WZU131" s="20"/>
      <c r="WZV131" s="20"/>
      <c r="WZW131" s="20"/>
      <c r="WZX131" s="21"/>
      <c r="WZY131" s="21"/>
      <c r="WZZ131" s="7"/>
      <c r="XAA131" s="7"/>
      <c r="XAB131" s="21"/>
      <c r="XAC131" s="20"/>
      <c r="XAD131" s="20"/>
      <c r="XAE131" s="20"/>
      <c r="XAF131" s="21"/>
      <c r="XAG131" s="21"/>
      <c r="XAH131" s="21"/>
      <c r="XAI131" s="21"/>
      <c r="XAJ131" s="21"/>
      <c r="XAK131" s="20"/>
      <c r="XAL131" s="20"/>
      <c r="XAM131" s="20"/>
      <c r="XAN131" s="20"/>
      <c r="XAO131" s="21"/>
      <c r="XAP131" s="21"/>
      <c r="XAQ131" s="7"/>
      <c r="XAR131" s="7"/>
      <c r="XAS131" s="21"/>
      <c r="XAT131" s="20"/>
      <c r="XAU131" s="20"/>
      <c r="XAV131" s="20"/>
      <c r="XAW131" s="21"/>
      <c r="XAX131" s="21"/>
      <c r="XAY131" s="21"/>
      <c r="XAZ131" s="21"/>
      <c r="XBA131" s="21"/>
      <c r="XBB131" s="20"/>
      <c r="XBC131" s="20"/>
      <c r="XBD131" s="20"/>
      <c r="XBE131" s="20"/>
      <c r="XBF131" s="21"/>
      <c r="XBG131" s="21"/>
      <c r="XBH131" s="7"/>
      <c r="XBI131" s="7"/>
      <c r="XBJ131" s="21"/>
      <c r="XBK131" s="20"/>
      <c r="XBL131" s="20"/>
      <c r="XBM131" s="20"/>
      <c r="XBN131" s="21"/>
      <c r="XBO131" s="21"/>
      <c r="XBP131" s="21"/>
      <c r="XBQ131" s="21"/>
      <c r="XBR131" s="21"/>
      <c r="XBS131" s="20"/>
      <c r="XBT131" s="20"/>
      <c r="XBU131" s="20"/>
      <c r="XBV131" s="20"/>
      <c r="XBW131" s="21"/>
      <c r="XBX131" s="21"/>
      <c r="XBY131" s="7"/>
      <c r="XBZ131" s="7"/>
      <c r="XCA131" s="21"/>
      <c r="XCB131" s="20"/>
      <c r="XCC131" s="20"/>
      <c r="XCD131" s="20"/>
      <c r="XCE131" s="21"/>
      <c r="XCF131" s="21"/>
      <c r="XCG131" s="21"/>
      <c r="XCH131" s="21"/>
      <c r="XCI131" s="21"/>
      <c r="XCJ131" s="20"/>
      <c r="XCK131" s="20"/>
      <c r="XCL131" s="20"/>
      <c r="XCM131" s="20"/>
      <c r="XCN131" s="21"/>
      <c r="XCO131" s="21"/>
      <c r="XCP131" s="7"/>
      <c r="XCQ131" s="7"/>
      <c r="XCR131" s="21"/>
      <c r="XCS131" s="20"/>
      <c r="XCT131" s="20"/>
      <c r="XCU131" s="20"/>
      <c r="XCV131" s="21"/>
      <c r="XCW131" s="21"/>
      <c r="XCX131" s="21"/>
      <c r="XCY131" s="21"/>
      <c r="XCZ131" s="21"/>
      <c r="XDA131" s="20"/>
      <c r="XDB131" s="20"/>
      <c r="XDC131" s="20"/>
      <c r="XDD131" s="20"/>
      <c r="XDE131" s="21"/>
      <c r="XDF131" s="21"/>
      <c r="XDG131" s="7"/>
      <c r="XDH131" s="7"/>
      <c r="XDI131" s="21"/>
      <c r="XDJ131" s="20"/>
      <c r="XDK131" s="20"/>
      <c r="XDL131" s="20"/>
      <c r="XDM131" s="21"/>
      <c r="XDN131" s="21"/>
      <c r="XDO131" s="21"/>
      <c r="XDP131" s="21"/>
      <c r="XDQ131" s="21"/>
      <c r="XDR131" s="20"/>
      <c r="XDS131" s="20"/>
      <c r="XDT131" s="20"/>
      <c r="XDU131" s="20"/>
      <c r="XDV131" s="21"/>
      <c r="XDW131" s="21"/>
      <c r="XDX131" s="7"/>
      <c r="XDY131" s="7"/>
      <c r="XDZ131" s="21"/>
      <c r="XEA131" s="20"/>
      <c r="XEB131" s="20"/>
      <c r="XEC131" s="20"/>
      <c r="XED131" s="21"/>
      <c r="XEE131" s="21"/>
      <c r="XEF131" s="21"/>
      <c r="XEG131" s="21"/>
      <c r="XEH131" s="21"/>
      <c r="XEI131" s="20"/>
      <c r="XEJ131" s="20"/>
      <c r="XEK131" s="20"/>
      <c r="XEL131" s="20"/>
      <c r="XEM131" s="21"/>
      <c r="XEN131" s="21"/>
      <c r="XEO131" s="7"/>
      <c r="XEP131" s="7"/>
      <c r="XEQ131" s="21"/>
      <c r="XER131" s="20"/>
      <c r="XES131" s="20"/>
      <c r="XET131" s="20"/>
      <c r="XEU131" s="21"/>
      <c r="XEV131" s="21"/>
      <c r="XEW131" s="21"/>
      <c r="XEX131" s="21"/>
      <c r="XEY131" s="21"/>
      <c r="XEZ131" s="20"/>
      <c r="XFA131" s="20"/>
      <c r="XFB131" s="20"/>
      <c r="XFC131" s="20"/>
      <c r="XFD131" s="21"/>
    </row>
    <row r="132" spans="1:16384" s="3" customFormat="1" ht="14.25" customHeight="1" x14ac:dyDescent="0.25">
      <c r="A132" s="20">
        <v>0</v>
      </c>
      <c r="B132" s="20">
        <v>2</v>
      </c>
      <c r="C132" s="20">
        <v>1</v>
      </c>
      <c r="D132" s="21" t="s">
        <v>50</v>
      </c>
      <c r="E132" s="21" t="s">
        <v>44</v>
      </c>
      <c r="F132" s="21" t="s">
        <v>253</v>
      </c>
      <c r="G132" s="21" t="s">
        <v>102</v>
      </c>
      <c r="H132" s="21" t="s">
        <v>165</v>
      </c>
      <c r="I132" s="20" t="s">
        <v>170</v>
      </c>
      <c r="J132" s="20">
        <v>4</v>
      </c>
      <c r="K132" s="20" t="s">
        <v>378</v>
      </c>
      <c r="L132" s="20" t="s">
        <v>318</v>
      </c>
      <c r="M132" s="21" t="s">
        <v>269</v>
      </c>
      <c r="N132" s="21"/>
      <c r="O132" s="7"/>
      <c r="P132" s="7"/>
      <c r="Q132" s="21"/>
      <c r="R132" s="2"/>
      <c r="S132" s="2">
        <f t="shared" si="23"/>
        <v>0</v>
      </c>
      <c r="T132" s="2">
        <f t="shared" si="24"/>
        <v>0</v>
      </c>
      <c r="U132" s="2">
        <f t="shared" si="25"/>
        <v>0</v>
      </c>
      <c r="V132" s="2">
        <f t="shared" si="26"/>
        <v>1</v>
      </c>
      <c r="W132" s="2">
        <f t="shared" si="27"/>
        <v>0</v>
      </c>
      <c r="X132" s="2">
        <f t="shared" si="28"/>
        <v>0</v>
      </c>
      <c r="Y132" s="2">
        <f t="shared" si="29"/>
        <v>0</v>
      </c>
      <c r="Z132" s="2">
        <f t="shared" si="30"/>
        <v>0</v>
      </c>
      <c r="AA132" s="2">
        <f t="shared" si="31"/>
        <v>0</v>
      </c>
      <c r="AB132" s="2">
        <f t="shared" si="32"/>
        <v>0</v>
      </c>
      <c r="AC132" s="2"/>
      <c r="AD132" s="2">
        <f t="shared" si="33"/>
        <v>0</v>
      </c>
      <c r="AE132" s="2">
        <f t="shared" si="34"/>
        <v>0</v>
      </c>
      <c r="AF132" s="2">
        <f t="shared" si="35"/>
        <v>0</v>
      </c>
      <c r="AG132" s="2">
        <f t="shared" si="36"/>
        <v>0</v>
      </c>
      <c r="AH132" s="2">
        <f t="shared" si="37"/>
        <v>0</v>
      </c>
      <c r="AI132" s="2">
        <f t="shared" si="38"/>
        <v>1</v>
      </c>
    </row>
    <row r="133" spans="1:16384" s="3" customFormat="1" ht="14.25" customHeight="1" x14ac:dyDescent="0.25">
      <c r="A133" s="29">
        <v>0</v>
      </c>
      <c r="B133" s="29">
        <v>2</v>
      </c>
      <c r="C133" s="29">
        <v>1</v>
      </c>
      <c r="D133" s="30" t="s">
        <v>939</v>
      </c>
      <c r="E133" s="30" t="s">
        <v>940</v>
      </c>
      <c r="F133" s="30" t="s">
        <v>941</v>
      </c>
      <c r="G133" s="30"/>
      <c r="H133" s="30" t="s">
        <v>165</v>
      </c>
      <c r="I133" s="29" t="s">
        <v>33</v>
      </c>
      <c r="J133" s="29"/>
      <c r="K133" s="29" t="s">
        <v>378</v>
      </c>
      <c r="L133" s="29"/>
      <c r="M133" s="30"/>
      <c r="N133" s="30" t="s">
        <v>893</v>
      </c>
      <c r="O133" s="31">
        <v>1</v>
      </c>
      <c r="P133" s="31">
        <v>1</v>
      </c>
      <c r="Q133" s="30"/>
      <c r="R133" s="2"/>
      <c r="S133" s="2">
        <f t="shared" si="23"/>
        <v>0</v>
      </c>
      <c r="T133" s="2">
        <f t="shared" si="24"/>
        <v>0</v>
      </c>
      <c r="U133" s="2">
        <f t="shared" si="25"/>
        <v>0</v>
      </c>
      <c r="V133" s="2">
        <f t="shared" si="26"/>
        <v>0</v>
      </c>
      <c r="W133" s="2">
        <f t="shared" si="27"/>
        <v>0</v>
      </c>
      <c r="X133" s="2">
        <f t="shared" si="28"/>
        <v>0</v>
      </c>
      <c r="Y133" s="2">
        <f t="shared" si="29"/>
        <v>0</v>
      </c>
      <c r="Z133" s="2">
        <f t="shared" si="30"/>
        <v>0</v>
      </c>
      <c r="AA133" s="2">
        <f t="shared" si="31"/>
        <v>0</v>
      </c>
      <c r="AB133" s="2">
        <f t="shared" si="32"/>
        <v>0</v>
      </c>
      <c r="AC133" s="2"/>
      <c r="AD133" s="2">
        <f t="shared" si="33"/>
        <v>1</v>
      </c>
      <c r="AE133" s="2">
        <f t="shared" si="34"/>
        <v>0</v>
      </c>
      <c r="AF133" s="2">
        <f t="shared" si="35"/>
        <v>1</v>
      </c>
      <c r="AG133" s="2">
        <f t="shared" si="36"/>
        <v>0</v>
      </c>
      <c r="AH133" s="2">
        <f t="shared" si="37"/>
        <v>1</v>
      </c>
      <c r="AI133" s="2">
        <f t="shared" si="38"/>
        <v>0</v>
      </c>
    </row>
    <row r="134" spans="1:16384" s="3" customFormat="1" ht="14.25" customHeight="1" x14ac:dyDescent="0.25">
      <c r="A134" s="29">
        <v>0</v>
      </c>
      <c r="B134" s="29">
        <v>2</v>
      </c>
      <c r="C134" s="29">
        <v>1</v>
      </c>
      <c r="D134" s="30" t="s">
        <v>914</v>
      </c>
      <c r="E134" s="30" t="s">
        <v>35</v>
      </c>
      <c r="F134" s="30" t="s">
        <v>915</v>
      </c>
      <c r="G134" s="30"/>
      <c r="H134" s="30" t="s">
        <v>165</v>
      </c>
      <c r="I134" s="29" t="s">
        <v>916</v>
      </c>
      <c r="J134" s="29">
        <v>99</v>
      </c>
      <c r="K134" s="29" t="s">
        <v>378</v>
      </c>
      <c r="L134" s="29"/>
      <c r="M134" s="30"/>
      <c r="N134" s="30" t="s">
        <v>893</v>
      </c>
      <c r="O134" s="31">
        <v>1</v>
      </c>
      <c r="P134" s="31">
        <v>1</v>
      </c>
      <c r="Q134" s="30"/>
      <c r="R134" s="2"/>
      <c r="S134" s="2">
        <f t="shared" si="23"/>
        <v>0</v>
      </c>
      <c r="T134" s="2">
        <f t="shared" si="24"/>
        <v>0</v>
      </c>
      <c r="U134" s="2">
        <f t="shared" si="25"/>
        <v>0</v>
      </c>
      <c r="V134" s="2">
        <f t="shared" si="26"/>
        <v>0</v>
      </c>
      <c r="W134" s="2">
        <f t="shared" si="27"/>
        <v>0</v>
      </c>
      <c r="X134" s="2">
        <f t="shared" si="28"/>
        <v>0</v>
      </c>
      <c r="Y134" s="2">
        <f t="shared" si="29"/>
        <v>0</v>
      </c>
      <c r="Z134" s="2">
        <f t="shared" si="30"/>
        <v>0</v>
      </c>
      <c r="AA134" s="2">
        <f t="shared" si="31"/>
        <v>0</v>
      </c>
      <c r="AB134" s="2">
        <f t="shared" si="32"/>
        <v>0</v>
      </c>
      <c r="AC134" s="2"/>
      <c r="AD134" s="2">
        <f t="shared" si="33"/>
        <v>1</v>
      </c>
      <c r="AE134" s="2">
        <f t="shared" si="34"/>
        <v>0</v>
      </c>
      <c r="AF134" s="2">
        <f t="shared" si="35"/>
        <v>1</v>
      </c>
      <c r="AG134" s="2">
        <f t="shared" si="36"/>
        <v>0</v>
      </c>
      <c r="AH134" s="2">
        <f t="shared" si="37"/>
        <v>1</v>
      </c>
      <c r="AI134" s="2">
        <f t="shared" si="38"/>
        <v>0</v>
      </c>
    </row>
    <row r="135" spans="1:16384" s="3" customFormat="1" ht="14.25" customHeight="1" x14ac:dyDescent="0.25">
      <c r="A135" s="29">
        <v>0</v>
      </c>
      <c r="B135" s="29">
        <v>2</v>
      </c>
      <c r="C135" s="29">
        <v>1</v>
      </c>
      <c r="D135" s="30" t="s">
        <v>552</v>
      </c>
      <c r="E135" s="30" t="s">
        <v>211</v>
      </c>
      <c r="F135" s="30" t="s">
        <v>553</v>
      </c>
      <c r="G135" s="30" t="s">
        <v>554</v>
      </c>
      <c r="H135" s="30" t="s">
        <v>165</v>
      </c>
      <c r="I135" s="29" t="s">
        <v>33</v>
      </c>
      <c r="J135" s="29">
        <v>99</v>
      </c>
      <c r="K135" s="29" t="s">
        <v>321</v>
      </c>
      <c r="L135" s="29">
        <v>8</v>
      </c>
      <c r="M135" s="30" t="s">
        <v>862</v>
      </c>
      <c r="N135" s="30" t="s">
        <v>893</v>
      </c>
      <c r="O135" s="31">
        <v>1</v>
      </c>
      <c r="P135" s="31">
        <v>1</v>
      </c>
      <c r="Q135" s="30"/>
      <c r="R135" s="2"/>
      <c r="S135" s="2">
        <f t="shared" si="23"/>
        <v>0</v>
      </c>
      <c r="T135" s="2">
        <f t="shared" si="24"/>
        <v>0</v>
      </c>
      <c r="U135" s="2">
        <f t="shared" si="25"/>
        <v>0</v>
      </c>
      <c r="V135" s="2">
        <f t="shared" si="26"/>
        <v>0</v>
      </c>
      <c r="W135" s="2">
        <f t="shared" si="27"/>
        <v>0</v>
      </c>
      <c r="X135" s="2">
        <f t="shared" si="28"/>
        <v>0</v>
      </c>
      <c r="Y135" s="2">
        <f t="shared" si="29"/>
        <v>0</v>
      </c>
      <c r="Z135" s="2">
        <f t="shared" si="30"/>
        <v>0</v>
      </c>
      <c r="AA135" s="2">
        <f t="shared" si="31"/>
        <v>0</v>
      </c>
      <c r="AB135" s="2">
        <f t="shared" si="32"/>
        <v>0</v>
      </c>
      <c r="AC135" s="2"/>
      <c r="AD135" s="2">
        <f t="shared" si="33"/>
        <v>1</v>
      </c>
      <c r="AE135" s="2">
        <f t="shared" si="34"/>
        <v>0</v>
      </c>
      <c r="AF135" s="2">
        <f t="shared" si="35"/>
        <v>1</v>
      </c>
      <c r="AG135" s="2">
        <f t="shared" si="36"/>
        <v>0</v>
      </c>
      <c r="AH135" s="2">
        <f t="shared" si="37"/>
        <v>1</v>
      </c>
      <c r="AI135" s="2">
        <f t="shared" si="38"/>
        <v>0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225</v>
      </c>
      <c r="E136" s="30" t="s">
        <v>44</v>
      </c>
      <c r="F136" s="30" t="s">
        <v>823</v>
      </c>
      <c r="G136" s="30" t="s">
        <v>130</v>
      </c>
      <c r="H136" s="30" t="s">
        <v>165</v>
      </c>
      <c r="I136" s="29" t="s">
        <v>226</v>
      </c>
      <c r="J136" s="29">
        <v>10</v>
      </c>
      <c r="K136" s="29" t="s">
        <v>321</v>
      </c>
      <c r="L136" s="29">
        <v>5</v>
      </c>
      <c r="M136" s="30" t="s">
        <v>269</v>
      </c>
      <c r="N136" s="30" t="s">
        <v>893</v>
      </c>
      <c r="O136" s="31">
        <v>1</v>
      </c>
      <c r="P136" s="31">
        <v>1</v>
      </c>
      <c r="Q136" s="30"/>
      <c r="R136" s="2"/>
      <c r="S136" s="2">
        <f t="shared" si="23"/>
        <v>0</v>
      </c>
      <c r="T136" s="2">
        <f t="shared" si="24"/>
        <v>0</v>
      </c>
      <c r="U136" s="2">
        <f t="shared" si="25"/>
        <v>0</v>
      </c>
      <c r="V136" s="2">
        <f t="shared" si="26"/>
        <v>0</v>
      </c>
      <c r="W136" s="2">
        <f t="shared" si="27"/>
        <v>0</v>
      </c>
      <c r="X136" s="2">
        <f t="shared" si="28"/>
        <v>0</v>
      </c>
      <c r="Y136" s="2">
        <f t="shared" si="29"/>
        <v>0</v>
      </c>
      <c r="Z136" s="2">
        <f t="shared" si="30"/>
        <v>0</v>
      </c>
      <c r="AA136" s="2">
        <f t="shared" si="31"/>
        <v>0</v>
      </c>
      <c r="AB136" s="2">
        <f t="shared" si="32"/>
        <v>1</v>
      </c>
      <c r="AC136" s="2"/>
      <c r="AD136" s="2">
        <f t="shared" si="33"/>
        <v>1</v>
      </c>
      <c r="AE136" s="2">
        <f t="shared" si="34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352</v>
      </c>
      <c r="E137" s="30" t="s">
        <v>470</v>
      </c>
      <c r="F137" s="30" t="s">
        <v>353</v>
      </c>
      <c r="G137" s="30" t="s">
        <v>243</v>
      </c>
      <c r="H137" s="30" t="s">
        <v>165</v>
      </c>
      <c r="I137" s="29" t="s">
        <v>488</v>
      </c>
      <c r="J137" s="29">
        <v>9</v>
      </c>
      <c r="K137" s="29" t="s">
        <v>320</v>
      </c>
      <c r="L137" s="29">
        <v>11</v>
      </c>
      <c r="M137" s="30" t="s">
        <v>867</v>
      </c>
      <c r="N137" s="30" t="s">
        <v>899</v>
      </c>
      <c r="O137" s="31">
        <v>1</v>
      </c>
      <c r="P137" s="31"/>
      <c r="Q137" s="30"/>
      <c r="R137" s="2"/>
      <c r="S137" s="2">
        <f t="shared" si="23"/>
        <v>0</v>
      </c>
      <c r="T137" s="2">
        <f t="shared" si="24"/>
        <v>0</v>
      </c>
      <c r="U137" s="2">
        <f t="shared" si="25"/>
        <v>0</v>
      </c>
      <c r="V137" s="2">
        <f t="shared" si="26"/>
        <v>0</v>
      </c>
      <c r="W137" s="2">
        <f t="shared" si="27"/>
        <v>0</v>
      </c>
      <c r="X137" s="2">
        <f t="shared" si="28"/>
        <v>0</v>
      </c>
      <c r="Y137" s="2">
        <f t="shared" si="29"/>
        <v>0</v>
      </c>
      <c r="Z137" s="2">
        <f t="shared" si="30"/>
        <v>0</v>
      </c>
      <c r="AA137" s="2">
        <f t="shared" si="31"/>
        <v>1</v>
      </c>
      <c r="AB137" s="2">
        <f t="shared" si="32"/>
        <v>0</v>
      </c>
      <c r="AC137" s="2"/>
      <c r="AD137" s="2">
        <f t="shared" si="33"/>
        <v>0</v>
      </c>
      <c r="AE137" s="2">
        <f t="shared" si="34"/>
        <v>1</v>
      </c>
      <c r="AF137" s="2">
        <f t="shared" si="35"/>
        <v>0</v>
      </c>
      <c r="AG137" s="2">
        <f t="shared" si="36"/>
        <v>1</v>
      </c>
      <c r="AH137" s="2">
        <f t="shared" si="37"/>
        <v>0</v>
      </c>
      <c r="AI137" s="2">
        <f t="shared" si="38"/>
        <v>1</v>
      </c>
    </row>
    <row r="138" spans="1:16384" s="3" customFormat="1" ht="14.25" customHeight="1" x14ac:dyDescent="0.25">
      <c r="A138" s="29">
        <v>1</v>
      </c>
      <c r="B138" s="29">
        <v>2</v>
      </c>
      <c r="C138" s="29">
        <v>1</v>
      </c>
      <c r="D138" s="30" t="s">
        <v>352</v>
      </c>
      <c r="E138" s="30" t="s">
        <v>470</v>
      </c>
      <c r="F138" s="30" t="s">
        <v>581</v>
      </c>
      <c r="G138" s="30" t="s">
        <v>555</v>
      </c>
      <c r="H138" s="30" t="s">
        <v>165</v>
      </c>
      <c r="I138" s="29" t="s">
        <v>556</v>
      </c>
      <c r="J138" s="29">
        <v>99</v>
      </c>
      <c r="K138" s="29" t="s">
        <v>320</v>
      </c>
      <c r="L138" s="29">
        <v>11</v>
      </c>
      <c r="M138" s="30" t="s">
        <v>868</v>
      </c>
      <c r="N138" s="30" t="s">
        <v>899</v>
      </c>
      <c r="O138" s="31">
        <v>1</v>
      </c>
      <c r="P138" s="31"/>
      <c r="Q138" s="30"/>
      <c r="R138" s="2"/>
      <c r="S138" s="2">
        <f t="shared" si="23"/>
        <v>0</v>
      </c>
      <c r="T138" s="2">
        <f t="shared" si="24"/>
        <v>0</v>
      </c>
      <c r="U138" s="2">
        <f t="shared" si="25"/>
        <v>0</v>
      </c>
      <c r="V138" s="2">
        <f t="shared" si="26"/>
        <v>0</v>
      </c>
      <c r="W138" s="2">
        <f t="shared" si="27"/>
        <v>0</v>
      </c>
      <c r="X138" s="2">
        <f t="shared" si="28"/>
        <v>0</v>
      </c>
      <c r="Y138" s="2">
        <f t="shared" si="29"/>
        <v>0</v>
      </c>
      <c r="Z138" s="2">
        <f t="shared" si="30"/>
        <v>0</v>
      </c>
      <c r="AA138" s="2">
        <f t="shared" si="31"/>
        <v>0</v>
      </c>
      <c r="AB138" s="2">
        <f t="shared" si="32"/>
        <v>0</v>
      </c>
      <c r="AC138" s="2"/>
      <c r="AD138" s="2">
        <f t="shared" si="33"/>
        <v>0</v>
      </c>
      <c r="AE138" s="2">
        <f t="shared" si="34"/>
        <v>1</v>
      </c>
      <c r="AF138" s="2">
        <f t="shared" si="35"/>
        <v>0</v>
      </c>
      <c r="AG138" s="2">
        <f t="shared" si="36"/>
        <v>0</v>
      </c>
      <c r="AH138" s="2">
        <f t="shared" si="37"/>
        <v>0</v>
      </c>
      <c r="AI138" s="2">
        <f t="shared" si="38"/>
        <v>0</v>
      </c>
    </row>
    <row r="139" spans="1:16384" s="3" customFormat="1" ht="14.25" customHeight="1" x14ac:dyDescent="0.25">
      <c r="A139" s="29">
        <v>0</v>
      </c>
      <c r="B139" s="29">
        <v>2</v>
      </c>
      <c r="C139" s="29">
        <v>1</v>
      </c>
      <c r="D139" s="30" t="s">
        <v>247</v>
      </c>
      <c r="E139" s="30" t="s">
        <v>35</v>
      </c>
      <c r="F139" s="30" t="s">
        <v>209</v>
      </c>
      <c r="G139" s="30" t="s">
        <v>93</v>
      </c>
      <c r="H139" s="30" t="s">
        <v>165</v>
      </c>
      <c r="I139" s="29" t="s">
        <v>210</v>
      </c>
      <c r="J139" s="29">
        <v>8</v>
      </c>
      <c r="K139" s="29" t="s">
        <v>319</v>
      </c>
      <c r="L139" s="29" t="s">
        <v>318</v>
      </c>
      <c r="M139" s="30" t="s">
        <v>269</v>
      </c>
      <c r="N139" s="30" t="s">
        <v>893</v>
      </c>
      <c r="O139" s="31">
        <v>1</v>
      </c>
      <c r="P139" s="31">
        <v>1</v>
      </c>
      <c r="Q139" s="30"/>
      <c r="R139" s="2"/>
      <c r="S139" s="2">
        <f t="shared" ref="S139:S202" si="39">IF(J139=$S$7,1,0)</f>
        <v>0</v>
      </c>
      <c r="T139" s="2">
        <f t="shared" ref="T139:T202" si="40">IF(J139=$T$7,1,0)</f>
        <v>0</v>
      </c>
      <c r="U139" s="2">
        <f t="shared" ref="U139:U202" si="41">IF(J139=$U$7,1,0)</f>
        <v>0</v>
      </c>
      <c r="V139" s="2">
        <f t="shared" ref="V139:V202" si="42">IF(J139=$V$7,1,0)</f>
        <v>0</v>
      </c>
      <c r="W139" s="2">
        <f t="shared" ref="W139:W202" si="43">IF(J139=$W$7,1,0)</f>
        <v>0</v>
      </c>
      <c r="X139" s="2">
        <f t="shared" ref="X139:X202" si="44">IF(J139=$X$7,1,0)</f>
        <v>0</v>
      </c>
      <c r="Y139" s="2">
        <f t="shared" ref="Y139:Y202" si="45">IF(J139=$Y$7,1,0)</f>
        <v>0</v>
      </c>
      <c r="Z139" s="2">
        <f t="shared" ref="Z139:Z202" si="46">IF(J139=$Z$7,1,0)</f>
        <v>1</v>
      </c>
      <c r="AA139" s="2">
        <f t="shared" ref="AA139:AA202" si="47">IF(J139=$AA$7,1,0)</f>
        <v>0</v>
      </c>
      <c r="AB139" s="2">
        <f t="shared" ref="AB139:AB202" si="48">IF(J139=$AB$7,1,0)</f>
        <v>0</v>
      </c>
      <c r="AC139" s="2"/>
      <c r="AD139" s="2">
        <f t="shared" ref="AD139:AD202" si="49">+O139*P139</f>
        <v>1</v>
      </c>
      <c r="AE139" s="2">
        <f t="shared" ref="AE139:AE202" si="50">O139*(1-P139)</f>
        <v>0</v>
      </c>
      <c r="AF139" s="2">
        <f t="shared" ref="AF139:AF202" si="51">+O139*P139*(1-A139)</f>
        <v>1</v>
      </c>
      <c r="AG139" s="2">
        <f t="shared" ref="AG139:AG202" si="52">O139*(1-P139)*(1-A139)</f>
        <v>0</v>
      </c>
      <c r="AH139" s="2">
        <f t="shared" ref="AH139:AH202" si="53">+P139*(1-A139)</f>
        <v>1</v>
      </c>
      <c r="AI139" s="2">
        <f t="shared" ref="AI139:AI202" si="54">+(1-A139)*(1-P139)</f>
        <v>0</v>
      </c>
    </row>
    <row r="140" spans="1:16384" s="3" customFormat="1" ht="14.25" customHeight="1" x14ac:dyDescent="0.25">
      <c r="A140" s="29">
        <v>0</v>
      </c>
      <c r="B140" s="29">
        <v>2</v>
      </c>
      <c r="C140" s="29">
        <v>1</v>
      </c>
      <c r="D140" s="30" t="s">
        <v>361</v>
      </c>
      <c r="E140" s="30" t="s">
        <v>470</v>
      </c>
      <c r="F140" s="30" t="s">
        <v>583</v>
      </c>
      <c r="G140" s="30" t="s">
        <v>91</v>
      </c>
      <c r="H140" s="30" t="s">
        <v>165</v>
      </c>
      <c r="I140" s="29" t="s">
        <v>357</v>
      </c>
      <c r="J140" s="29">
        <v>1</v>
      </c>
      <c r="K140" s="29" t="s">
        <v>321</v>
      </c>
      <c r="L140" s="29" t="s">
        <v>325</v>
      </c>
      <c r="M140" s="30" t="s">
        <v>497</v>
      </c>
      <c r="N140" s="30" t="s">
        <v>893</v>
      </c>
      <c r="O140" s="31">
        <v>1</v>
      </c>
      <c r="P140" s="31">
        <v>1</v>
      </c>
      <c r="Q140" s="30"/>
      <c r="R140" s="2"/>
      <c r="S140" s="2">
        <f t="shared" si="39"/>
        <v>1</v>
      </c>
      <c r="T140" s="2">
        <f t="shared" si="40"/>
        <v>0</v>
      </c>
      <c r="U140" s="2">
        <f t="shared" si="41"/>
        <v>0</v>
      </c>
      <c r="V140" s="2">
        <f t="shared" si="42"/>
        <v>0</v>
      </c>
      <c r="W140" s="2">
        <f t="shared" si="43"/>
        <v>0</v>
      </c>
      <c r="X140" s="2">
        <f t="shared" si="44"/>
        <v>0</v>
      </c>
      <c r="Y140" s="2">
        <f t="shared" si="45"/>
        <v>0</v>
      </c>
      <c r="Z140" s="2">
        <f t="shared" si="46"/>
        <v>0</v>
      </c>
      <c r="AA140" s="2">
        <f t="shared" si="47"/>
        <v>0</v>
      </c>
      <c r="AB140" s="2">
        <f t="shared" si="48"/>
        <v>0</v>
      </c>
      <c r="AC140" s="2"/>
      <c r="AD140" s="2">
        <f t="shared" si="49"/>
        <v>1</v>
      </c>
      <c r="AE140" s="2">
        <f t="shared" si="50"/>
        <v>0</v>
      </c>
      <c r="AF140" s="2">
        <f t="shared" si="51"/>
        <v>1</v>
      </c>
      <c r="AG140" s="2">
        <f t="shared" si="52"/>
        <v>0</v>
      </c>
      <c r="AH140" s="2">
        <f t="shared" si="53"/>
        <v>1</v>
      </c>
      <c r="AI140" s="2">
        <f t="shared" si="54"/>
        <v>0</v>
      </c>
    </row>
    <row r="141" spans="1:16384" s="3" customFormat="1" ht="14.25" customHeight="1" x14ac:dyDescent="0.25">
      <c r="A141" s="29">
        <v>0</v>
      </c>
      <c r="B141" s="29">
        <v>2</v>
      </c>
      <c r="C141" s="29">
        <v>1</v>
      </c>
      <c r="D141" s="30" t="s">
        <v>55</v>
      </c>
      <c r="E141" s="30" t="s">
        <v>470</v>
      </c>
      <c r="F141" s="30" t="s">
        <v>110</v>
      </c>
      <c r="G141" s="30" t="s">
        <v>99</v>
      </c>
      <c r="H141" s="30" t="s">
        <v>165</v>
      </c>
      <c r="I141" s="29" t="s">
        <v>174</v>
      </c>
      <c r="J141" s="29">
        <v>3</v>
      </c>
      <c r="K141" s="29" t="s">
        <v>320</v>
      </c>
      <c r="L141" s="29" t="s">
        <v>325</v>
      </c>
      <c r="M141" s="30" t="s">
        <v>497</v>
      </c>
      <c r="N141" s="30" t="s">
        <v>893</v>
      </c>
      <c r="O141" s="31">
        <v>1</v>
      </c>
      <c r="P141" s="31">
        <v>1</v>
      </c>
      <c r="Q141" s="30"/>
      <c r="R141" s="2"/>
      <c r="S141" s="2">
        <f t="shared" si="39"/>
        <v>0</v>
      </c>
      <c r="T141" s="2">
        <f t="shared" si="40"/>
        <v>0</v>
      </c>
      <c r="U141" s="2">
        <f t="shared" si="41"/>
        <v>1</v>
      </c>
      <c r="V141" s="2">
        <f t="shared" si="42"/>
        <v>0</v>
      </c>
      <c r="W141" s="2">
        <f t="shared" si="43"/>
        <v>0</v>
      </c>
      <c r="X141" s="2">
        <f t="shared" si="44"/>
        <v>0</v>
      </c>
      <c r="Y141" s="2">
        <f t="shared" si="45"/>
        <v>0</v>
      </c>
      <c r="Z141" s="2">
        <f t="shared" si="46"/>
        <v>0</v>
      </c>
      <c r="AA141" s="2">
        <f t="shared" si="47"/>
        <v>0</v>
      </c>
      <c r="AB141" s="2">
        <f t="shared" si="48"/>
        <v>0</v>
      </c>
      <c r="AC141" s="2"/>
      <c r="AD141" s="2">
        <f t="shared" si="49"/>
        <v>1</v>
      </c>
      <c r="AE141" s="2">
        <f t="shared" si="50"/>
        <v>0</v>
      </c>
      <c r="AF141" s="2">
        <f t="shared" si="51"/>
        <v>1</v>
      </c>
      <c r="AG141" s="2">
        <f t="shared" si="52"/>
        <v>0</v>
      </c>
      <c r="AH141" s="2">
        <f t="shared" si="53"/>
        <v>1</v>
      </c>
      <c r="AI141" s="2">
        <f t="shared" si="54"/>
        <v>0</v>
      </c>
    </row>
    <row r="142" spans="1:16384" s="3" customFormat="1" ht="14.25" customHeight="1" x14ac:dyDescent="0.25">
      <c r="A142" s="29">
        <v>0</v>
      </c>
      <c r="B142" s="29">
        <v>2</v>
      </c>
      <c r="C142" s="29">
        <v>1</v>
      </c>
      <c r="D142" s="30" t="s">
        <v>47</v>
      </c>
      <c r="E142" s="30" t="s">
        <v>82</v>
      </c>
      <c r="F142" s="30" t="s">
        <v>827</v>
      </c>
      <c r="G142" s="30" t="s">
        <v>93</v>
      </c>
      <c r="H142" s="30" t="s">
        <v>165</v>
      </c>
      <c r="I142" s="29" t="s">
        <v>167</v>
      </c>
      <c r="J142" s="29">
        <v>8</v>
      </c>
      <c r="K142" s="29" t="s">
        <v>320</v>
      </c>
      <c r="L142" s="29" t="s">
        <v>318</v>
      </c>
      <c r="M142" s="30" t="s">
        <v>269</v>
      </c>
      <c r="N142" s="30" t="s">
        <v>913</v>
      </c>
      <c r="O142" s="31">
        <v>1</v>
      </c>
      <c r="P142" s="31"/>
      <c r="Q142" s="30"/>
      <c r="R142" s="2"/>
      <c r="S142" s="2">
        <f t="shared" si="39"/>
        <v>0</v>
      </c>
      <c r="T142" s="2">
        <f t="shared" si="40"/>
        <v>0</v>
      </c>
      <c r="U142" s="2">
        <f t="shared" si="41"/>
        <v>0</v>
      </c>
      <c r="V142" s="2">
        <f t="shared" si="42"/>
        <v>0</v>
      </c>
      <c r="W142" s="2">
        <f t="shared" si="43"/>
        <v>0</v>
      </c>
      <c r="X142" s="2">
        <f t="shared" si="44"/>
        <v>0</v>
      </c>
      <c r="Y142" s="2">
        <f t="shared" si="45"/>
        <v>0</v>
      </c>
      <c r="Z142" s="2">
        <f t="shared" si="46"/>
        <v>1</v>
      </c>
      <c r="AA142" s="2">
        <f t="shared" si="47"/>
        <v>0</v>
      </c>
      <c r="AB142" s="2">
        <f t="shared" si="48"/>
        <v>0</v>
      </c>
      <c r="AC142" s="2"/>
      <c r="AD142" s="2">
        <f t="shared" si="49"/>
        <v>0</v>
      </c>
      <c r="AE142" s="2">
        <f t="shared" si="50"/>
        <v>1</v>
      </c>
      <c r="AF142" s="2">
        <f t="shared" si="51"/>
        <v>0</v>
      </c>
      <c r="AG142" s="2">
        <f t="shared" si="52"/>
        <v>1</v>
      </c>
      <c r="AH142" s="2">
        <f t="shared" si="53"/>
        <v>0</v>
      </c>
      <c r="AI142" s="2">
        <f t="shared" si="54"/>
        <v>1</v>
      </c>
    </row>
    <row r="143" spans="1:16384" s="3" customFormat="1" ht="14.25" customHeight="1" x14ac:dyDescent="0.25">
      <c r="A143" s="29">
        <v>1</v>
      </c>
      <c r="B143" s="29">
        <v>2</v>
      </c>
      <c r="C143" s="29">
        <v>1</v>
      </c>
      <c r="D143" s="30" t="s">
        <v>47</v>
      </c>
      <c r="E143" s="30" t="s">
        <v>82</v>
      </c>
      <c r="F143" s="30" t="s">
        <v>98</v>
      </c>
      <c r="G143" s="30" t="s">
        <v>99</v>
      </c>
      <c r="H143" s="30" t="s">
        <v>165</v>
      </c>
      <c r="I143" s="29" t="s">
        <v>492</v>
      </c>
      <c r="J143" s="29">
        <v>3</v>
      </c>
      <c r="K143" s="29" t="s">
        <v>320</v>
      </c>
      <c r="L143" s="29" t="s">
        <v>318</v>
      </c>
      <c r="M143" s="30" t="s">
        <v>269</v>
      </c>
      <c r="N143" s="30" t="s">
        <v>913</v>
      </c>
      <c r="O143" s="31">
        <v>1</v>
      </c>
      <c r="P143" s="31"/>
      <c r="Q143" s="30"/>
      <c r="R143" s="2"/>
      <c r="S143" s="2">
        <f t="shared" si="39"/>
        <v>0</v>
      </c>
      <c r="T143" s="2">
        <f t="shared" si="40"/>
        <v>0</v>
      </c>
      <c r="U143" s="2">
        <f t="shared" si="41"/>
        <v>1</v>
      </c>
      <c r="V143" s="2">
        <f t="shared" si="42"/>
        <v>0</v>
      </c>
      <c r="W143" s="2">
        <f t="shared" si="43"/>
        <v>0</v>
      </c>
      <c r="X143" s="2">
        <f t="shared" si="44"/>
        <v>0</v>
      </c>
      <c r="Y143" s="2">
        <f t="shared" si="45"/>
        <v>0</v>
      </c>
      <c r="Z143" s="2">
        <f t="shared" si="46"/>
        <v>0</v>
      </c>
      <c r="AA143" s="2">
        <f t="shared" si="47"/>
        <v>0</v>
      </c>
      <c r="AB143" s="2">
        <f t="shared" si="48"/>
        <v>0</v>
      </c>
      <c r="AC143" s="2"/>
      <c r="AD143" s="2">
        <f t="shared" si="49"/>
        <v>0</v>
      </c>
      <c r="AE143" s="2">
        <f t="shared" si="50"/>
        <v>1</v>
      </c>
      <c r="AF143" s="2">
        <f t="shared" si="51"/>
        <v>0</v>
      </c>
      <c r="AG143" s="2">
        <f t="shared" si="52"/>
        <v>0</v>
      </c>
      <c r="AH143" s="2">
        <f t="shared" si="53"/>
        <v>0</v>
      </c>
      <c r="AI143" s="2">
        <f t="shared" si="54"/>
        <v>0</v>
      </c>
    </row>
    <row r="144" spans="1:16384" s="3" customFormat="1" ht="14.25" customHeight="1" x14ac:dyDescent="0.25">
      <c r="A144" s="29">
        <v>0</v>
      </c>
      <c r="B144" s="29">
        <v>2</v>
      </c>
      <c r="C144" s="29">
        <v>1</v>
      </c>
      <c r="D144" s="30" t="s">
        <v>921</v>
      </c>
      <c r="E144" s="30" t="s">
        <v>35</v>
      </c>
      <c r="F144" s="30" t="s">
        <v>922</v>
      </c>
      <c r="G144" s="30" t="s">
        <v>132</v>
      </c>
      <c r="H144" s="30" t="s">
        <v>165</v>
      </c>
      <c r="I144" s="29" t="s">
        <v>923</v>
      </c>
      <c r="J144" s="29">
        <v>99</v>
      </c>
      <c r="K144" s="29" t="s">
        <v>378</v>
      </c>
      <c r="L144" s="29"/>
      <c r="M144" s="30"/>
      <c r="N144" s="30" t="s">
        <v>893</v>
      </c>
      <c r="O144" s="31">
        <v>1</v>
      </c>
      <c r="P144" s="31">
        <v>1</v>
      </c>
      <c r="Q144" s="30"/>
      <c r="R144" s="2"/>
      <c r="S144" s="2">
        <f t="shared" si="39"/>
        <v>0</v>
      </c>
      <c r="T144" s="2">
        <f t="shared" si="40"/>
        <v>0</v>
      </c>
      <c r="U144" s="2">
        <f t="shared" si="41"/>
        <v>0</v>
      </c>
      <c r="V144" s="2">
        <f t="shared" si="42"/>
        <v>0</v>
      </c>
      <c r="W144" s="2">
        <f t="shared" si="43"/>
        <v>0</v>
      </c>
      <c r="X144" s="2">
        <f t="shared" si="44"/>
        <v>0</v>
      </c>
      <c r="Y144" s="2">
        <f t="shared" si="45"/>
        <v>0</v>
      </c>
      <c r="Z144" s="2">
        <f t="shared" si="46"/>
        <v>0</v>
      </c>
      <c r="AA144" s="2">
        <f t="shared" si="47"/>
        <v>0</v>
      </c>
      <c r="AB144" s="2">
        <f t="shared" si="48"/>
        <v>0</v>
      </c>
      <c r="AC144" s="2"/>
      <c r="AD144" s="2">
        <f t="shared" si="49"/>
        <v>1</v>
      </c>
      <c r="AE144" s="2">
        <f t="shared" si="50"/>
        <v>0</v>
      </c>
      <c r="AF144" s="2">
        <f t="shared" si="51"/>
        <v>1</v>
      </c>
      <c r="AG144" s="2">
        <f t="shared" si="52"/>
        <v>0</v>
      </c>
      <c r="AH144" s="2">
        <f t="shared" si="53"/>
        <v>1</v>
      </c>
      <c r="AI144" s="2">
        <f t="shared" si="54"/>
        <v>0</v>
      </c>
    </row>
    <row r="145" spans="1:16384" s="3" customFormat="1" ht="14.25" customHeight="1" x14ac:dyDescent="0.25">
      <c r="A145" s="29">
        <v>0</v>
      </c>
      <c r="B145" s="29">
        <v>2</v>
      </c>
      <c r="C145" s="29">
        <v>1</v>
      </c>
      <c r="D145" s="30" t="s">
        <v>455</v>
      </c>
      <c r="E145" s="30" t="s">
        <v>456</v>
      </c>
      <c r="F145" s="30" t="s">
        <v>457</v>
      </c>
      <c r="G145" s="30" t="s">
        <v>458</v>
      </c>
      <c r="H145" s="30" t="s">
        <v>165</v>
      </c>
      <c r="I145" s="29" t="s">
        <v>459</v>
      </c>
      <c r="J145" s="29">
        <v>99</v>
      </c>
      <c r="K145" s="29" t="s">
        <v>318</v>
      </c>
      <c r="L145" s="29" t="s">
        <v>321</v>
      </c>
      <c r="M145" s="30" t="s">
        <v>269</v>
      </c>
      <c r="N145" s="30" t="s">
        <v>893</v>
      </c>
      <c r="O145" s="31">
        <v>1</v>
      </c>
      <c r="P145" s="31">
        <v>1</v>
      </c>
      <c r="Q145" s="30"/>
      <c r="R145" s="2"/>
      <c r="S145" s="2">
        <f t="shared" si="39"/>
        <v>0</v>
      </c>
      <c r="T145" s="2">
        <f t="shared" si="40"/>
        <v>0</v>
      </c>
      <c r="U145" s="2">
        <f t="shared" si="41"/>
        <v>0</v>
      </c>
      <c r="V145" s="2">
        <f t="shared" si="42"/>
        <v>0</v>
      </c>
      <c r="W145" s="2">
        <f t="shared" si="43"/>
        <v>0</v>
      </c>
      <c r="X145" s="2">
        <f t="shared" si="44"/>
        <v>0</v>
      </c>
      <c r="Y145" s="2">
        <f t="shared" si="45"/>
        <v>0</v>
      </c>
      <c r="Z145" s="2">
        <f t="shared" si="46"/>
        <v>0</v>
      </c>
      <c r="AA145" s="2">
        <f t="shared" si="47"/>
        <v>0</v>
      </c>
      <c r="AB145" s="2">
        <f t="shared" si="48"/>
        <v>0</v>
      </c>
      <c r="AC145" s="2"/>
      <c r="AD145" s="2">
        <f t="shared" si="49"/>
        <v>1</v>
      </c>
      <c r="AE145" s="2">
        <f t="shared" si="50"/>
        <v>0</v>
      </c>
      <c r="AF145" s="2">
        <f t="shared" si="51"/>
        <v>1</v>
      </c>
      <c r="AG145" s="2">
        <f t="shared" si="52"/>
        <v>0</v>
      </c>
      <c r="AH145" s="2">
        <f t="shared" si="53"/>
        <v>1</v>
      </c>
      <c r="AI145" s="2">
        <f t="shared" si="54"/>
        <v>0</v>
      </c>
    </row>
    <row r="146" spans="1:16384" s="3" customFormat="1" ht="14.25" customHeight="1" x14ac:dyDescent="0.25">
      <c r="A146" s="29">
        <v>0</v>
      </c>
      <c r="B146" s="29">
        <v>2</v>
      </c>
      <c r="C146" s="29">
        <v>1</v>
      </c>
      <c r="D146" s="30" t="s">
        <v>560</v>
      </c>
      <c r="E146" s="30" t="s">
        <v>35</v>
      </c>
      <c r="F146" s="30" t="s">
        <v>830</v>
      </c>
      <c r="G146" s="30" t="s">
        <v>519</v>
      </c>
      <c r="H146" s="30" t="s">
        <v>165</v>
      </c>
      <c r="I146" s="29" t="s">
        <v>561</v>
      </c>
      <c r="J146" s="29">
        <v>99</v>
      </c>
      <c r="K146" s="29" t="s">
        <v>318</v>
      </c>
      <c r="L146" s="29">
        <v>5</v>
      </c>
      <c r="M146" s="30" t="s">
        <v>269</v>
      </c>
      <c r="N146" s="30" t="s">
        <v>899</v>
      </c>
      <c r="O146" s="31">
        <v>1</v>
      </c>
      <c r="P146" s="31"/>
      <c r="Q146" s="30" t="s">
        <v>957</v>
      </c>
      <c r="R146" s="2"/>
      <c r="S146" s="2">
        <f t="shared" si="39"/>
        <v>0</v>
      </c>
      <c r="T146" s="2">
        <f t="shared" si="40"/>
        <v>0</v>
      </c>
      <c r="U146" s="2">
        <f t="shared" si="41"/>
        <v>0</v>
      </c>
      <c r="V146" s="2">
        <f t="shared" si="42"/>
        <v>0</v>
      </c>
      <c r="W146" s="2">
        <f t="shared" si="43"/>
        <v>0</v>
      </c>
      <c r="X146" s="2">
        <f t="shared" si="44"/>
        <v>0</v>
      </c>
      <c r="Y146" s="2">
        <f t="shared" si="45"/>
        <v>0</v>
      </c>
      <c r="Z146" s="2">
        <f t="shared" si="46"/>
        <v>0</v>
      </c>
      <c r="AA146" s="2">
        <f t="shared" si="47"/>
        <v>0</v>
      </c>
      <c r="AB146" s="2">
        <f t="shared" si="48"/>
        <v>0</v>
      </c>
      <c r="AC146" s="2"/>
      <c r="AD146" s="2">
        <f t="shared" si="49"/>
        <v>0</v>
      </c>
      <c r="AE146" s="2">
        <f t="shared" si="50"/>
        <v>1</v>
      </c>
      <c r="AF146" s="2">
        <f t="shared" si="51"/>
        <v>0</v>
      </c>
      <c r="AG146" s="2">
        <f t="shared" si="52"/>
        <v>1</v>
      </c>
      <c r="AH146" s="2">
        <f t="shared" si="53"/>
        <v>0</v>
      </c>
      <c r="AI146" s="2">
        <f t="shared" si="54"/>
        <v>1</v>
      </c>
    </row>
    <row r="147" spans="1:16384" s="3" customFormat="1" ht="14.25" customHeight="1" x14ac:dyDescent="0.25">
      <c r="A147" s="29">
        <v>0</v>
      </c>
      <c r="B147" s="29">
        <v>2</v>
      </c>
      <c r="C147" s="29">
        <v>1</v>
      </c>
      <c r="D147" s="30" t="s">
        <v>392</v>
      </c>
      <c r="E147" s="30" t="s">
        <v>37</v>
      </c>
      <c r="F147" s="30" t="s">
        <v>483</v>
      </c>
      <c r="G147" s="30" t="s">
        <v>130</v>
      </c>
      <c r="H147" s="30" t="s">
        <v>165</v>
      </c>
      <c r="I147" s="29" t="s">
        <v>393</v>
      </c>
      <c r="J147" s="29">
        <v>10</v>
      </c>
      <c r="K147" s="29" t="s">
        <v>319</v>
      </c>
      <c r="L147" s="29">
        <v>5</v>
      </c>
      <c r="M147" s="30" t="s">
        <v>269</v>
      </c>
      <c r="N147" s="30" t="s">
        <v>899</v>
      </c>
      <c r="O147" s="31">
        <v>1</v>
      </c>
      <c r="P147" s="31"/>
      <c r="Q147" s="30"/>
      <c r="R147" s="2"/>
      <c r="S147" s="2">
        <f t="shared" si="39"/>
        <v>0</v>
      </c>
      <c r="T147" s="2">
        <f t="shared" si="40"/>
        <v>0</v>
      </c>
      <c r="U147" s="2">
        <f t="shared" si="41"/>
        <v>0</v>
      </c>
      <c r="V147" s="2">
        <f t="shared" si="42"/>
        <v>0</v>
      </c>
      <c r="W147" s="2">
        <f t="shared" si="43"/>
        <v>0</v>
      </c>
      <c r="X147" s="2">
        <f t="shared" si="44"/>
        <v>0</v>
      </c>
      <c r="Y147" s="2">
        <f t="shared" si="45"/>
        <v>0</v>
      </c>
      <c r="Z147" s="2">
        <f t="shared" si="46"/>
        <v>0</v>
      </c>
      <c r="AA147" s="2">
        <f t="shared" si="47"/>
        <v>0</v>
      </c>
      <c r="AB147" s="2">
        <f t="shared" si="48"/>
        <v>1</v>
      </c>
      <c r="AC147" s="2"/>
      <c r="AD147" s="2">
        <f t="shared" si="49"/>
        <v>0</v>
      </c>
      <c r="AE147" s="2">
        <f t="shared" si="50"/>
        <v>1</v>
      </c>
      <c r="AF147" s="2">
        <f t="shared" si="51"/>
        <v>0</v>
      </c>
      <c r="AG147" s="2">
        <f t="shared" si="52"/>
        <v>1</v>
      </c>
      <c r="AH147" s="2">
        <f t="shared" si="53"/>
        <v>0</v>
      </c>
      <c r="AI147" s="2">
        <f t="shared" si="54"/>
        <v>1</v>
      </c>
    </row>
    <row r="148" spans="1:16384" s="3" customFormat="1" ht="14.25" customHeight="1" x14ac:dyDescent="0.25">
      <c r="A148" s="29">
        <v>0</v>
      </c>
      <c r="B148" s="29">
        <v>2</v>
      </c>
      <c r="C148" s="29">
        <v>1</v>
      </c>
      <c r="D148" s="30" t="s">
        <v>248</v>
      </c>
      <c r="E148" s="30" t="s">
        <v>37</v>
      </c>
      <c r="F148" s="30" t="s">
        <v>232</v>
      </c>
      <c r="G148" s="30" t="s">
        <v>585</v>
      </c>
      <c r="H148" s="30" t="s">
        <v>165</v>
      </c>
      <c r="I148" s="29" t="s">
        <v>265</v>
      </c>
      <c r="J148" s="29">
        <v>99</v>
      </c>
      <c r="K148" s="29" t="s">
        <v>320</v>
      </c>
      <c r="L148" s="29">
        <v>5</v>
      </c>
      <c r="M148" s="30" t="s">
        <v>269</v>
      </c>
      <c r="N148" s="30" t="s">
        <v>899</v>
      </c>
      <c r="O148" s="31">
        <v>1</v>
      </c>
      <c r="P148" s="31"/>
      <c r="Q148" s="30"/>
      <c r="R148" s="2"/>
      <c r="S148" s="2">
        <f t="shared" si="39"/>
        <v>0</v>
      </c>
      <c r="T148" s="2">
        <f t="shared" si="40"/>
        <v>0</v>
      </c>
      <c r="U148" s="2">
        <f t="shared" si="41"/>
        <v>0</v>
      </c>
      <c r="V148" s="2">
        <f t="shared" si="42"/>
        <v>0</v>
      </c>
      <c r="W148" s="2">
        <f t="shared" si="43"/>
        <v>0</v>
      </c>
      <c r="X148" s="2">
        <f t="shared" si="44"/>
        <v>0</v>
      </c>
      <c r="Y148" s="2">
        <f t="shared" si="45"/>
        <v>0</v>
      </c>
      <c r="Z148" s="2">
        <f t="shared" si="46"/>
        <v>0</v>
      </c>
      <c r="AA148" s="2">
        <f t="shared" si="47"/>
        <v>0</v>
      </c>
      <c r="AB148" s="2">
        <f t="shared" si="48"/>
        <v>0</v>
      </c>
      <c r="AC148" s="2"/>
      <c r="AD148" s="2">
        <f t="shared" si="49"/>
        <v>0</v>
      </c>
      <c r="AE148" s="2">
        <f t="shared" si="50"/>
        <v>1</v>
      </c>
      <c r="AF148" s="2">
        <f t="shared" si="51"/>
        <v>0</v>
      </c>
      <c r="AG148" s="2">
        <f t="shared" si="52"/>
        <v>1</v>
      </c>
      <c r="AH148" s="2">
        <f t="shared" si="53"/>
        <v>0</v>
      </c>
      <c r="AI148" s="2">
        <f t="shared" si="54"/>
        <v>1</v>
      </c>
    </row>
    <row r="149" spans="1:16384" s="3" customFormat="1" ht="14.25" customHeight="1" x14ac:dyDescent="0.25">
      <c r="A149" s="20">
        <v>0</v>
      </c>
      <c r="B149" s="20">
        <v>2</v>
      </c>
      <c r="C149" s="20">
        <v>2</v>
      </c>
      <c r="D149" s="21" t="s">
        <v>722</v>
      </c>
      <c r="E149" s="21" t="s">
        <v>816</v>
      </c>
      <c r="F149" s="21" t="s">
        <v>723</v>
      </c>
      <c r="G149" s="21" t="s">
        <v>96</v>
      </c>
      <c r="H149" s="21" t="s">
        <v>165</v>
      </c>
      <c r="I149" s="20" t="s">
        <v>724</v>
      </c>
      <c r="J149" s="20">
        <v>3</v>
      </c>
      <c r="K149" s="20" t="s">
        <v>319</v>
      </c>
      <c r="L149" s="20">
        <v>35</v>
      </c>
      <c r="M149" s="21" t="s">
        <v>883</v>
      </c>
      <c r="N149" s="21"/>
      <c r="O149" s="7"/>
      <c r="P149" s="7"/>
      <c r="Q149" s="21"/>
      <c r="R149" s="2"/>
      <c r="S149" s="2">
        <f t="shared" si="39"/>
        <v>0</v>
      </c>
      <c r="T149" s="2">
        <f t="shared" si="40"/>
        <v>0</v>
      </c>
      <c r="U149" s="2">
        <f t="shared" si="41"/>
        <v>1</v>
      </c>
      <c r="V149" s="2">
        <f t="shared" si="42"/>
        <v>0</v>
      </c>
      <c r="W149" s="2">
        <f t="shared" si="43"/>
        <v>0</v>
      </c>
      <c r="X149" s="2">
        <f t="shared" si="44"/>
        <v>0</v>
      </c>
      <c r="Y149" s="2">
        <f t="shared" si="45"/>
        <v>0</v>
      </c>
      <c r="Z149" s="2">
        <f t="shared" si="46"/>
        <v>0</v>
      </c>
      <c r="AA149" s="2">
        <f t="shared" si="47"/>
        <v>0</v>
      </c>
      <c r="AB149" s="2">
        <f t="shared" si="48"/>
        <v>0</v>
      </c>
      <c r="AC149" s="2"/>
      <c r="AD149" s="2">
        <f t="shared" si="49"/>
        <v>0</v>
      </c>
      <c r="AE149" s="2">
        <f t="shared" si="50"/>
        <v>0</v>
      </c>
      <c r="AF149" s="2">
        <f t="shared" si="51"/>
        <v>0</v>
      </c>
      <c r="AG149" s="2">
        <f t="shared" si="52"/>
        <v>0</v>
      </c>
      <c r="AH149" s="2">
        <f t="shared" si="53"/>
        <v>0</v>
      </c>
      <c r="AI149" s="2">
        <f t="shared" si="54"/>
        <v>1</v>
      </c>
    </row>
    <row r="150" spans="1:16384" s="3" customFormat="1" ht="14.25" customHeight="1" x14ac:dyDescent="0.25">
      <c r="A150" s="29">
        <v>0</v>
      </c>
      <c r="B150" s="29">
        <v>2</v>
      </c>
      <c r="C150" s="29">
        <v>2</v>
      </c>
      <c r="D150" s="30" t="s">
        <v>503</v>
      </c>
      <c r="E150" s="30" t="s">
        <v>675</v>
      </c>
      <c r="F150" s="30" t="s">
        <v>504</v>
      </c>
      <c r="G150" s="30" t="s">
        <v>137</v>
      </c>
      <c r="H150" s="30" t="s">
        <v>165</v>
      </c>
      <c r="I150" s="29" t="s">
        <v>505</v>
      </c>
      <c r="J150" s="29">
        <v>1</v>
      </c>
      <c r="K150" s="29" t="s">
        <v>318</v>
      </c>
      <c r="L150" s="29">
        <v>45</v>
      </c>
      <c r="M150" s="30" t="s">
        <v>884</v>
      </c>
      <c r="N150" s="30" t="s">
        <v>899</v>
      </c>
      <c r="O150" s="31">
        <v>1</v>
      </c>
      <c r="P150" s="31"/>
      <c r="Q150" s="30"/>
      <c r="R150" s="2"/>
      <c r="S150" s="2">
        <f t="shared" si="39"/>
        <v>1</v>
      </c>
      <c r="T150" s="2">
        <f t="shared" si="40"/>
        <v>0</v>
      </c>
      <c r="U150" s="2">
        <f t="shared" si="41"/>
        <v>0</v>
      </c>
      <c r="V150" s="2">
        <f t="shared" si="42"/>
        <v>0</v>
      </c>
      <c r="W150" s="2">
        <f t="shared" si="43"/>
        <v>0</v>
      </c>
      <c r="X150" s="2">
        <f t="shared" si="44"/>
        <v>0</v>
      </c>
      <c r="Y150" s="2">
        <f t="shared" si="45"/>
        <v>0</v>
      </c>
      <c r="Z150" s="2">
        <f t="shared" si="46"/>
        <v>0</v>
      </c>
      <c r="AA150" s="2">
        <f t="shared" si="47"/>
        <v>0</v>
      </c>
      <c r="AB150" s="2">
        <f t="shared" si="48"/>
        <v>0</v>
      </c>
      <c r="AC150" s="2"/>
      <c r="AD150" s="2">
        <f t="shared" si="49"/>
        <v>0</v>
      </c>
      <c r="AE150" s="2">
        <f t="shared" si="50"/>
        <v>1</v>
      </c>
      <c r="AF150" s="2">
        <f t="shared" si="51"/>
        <v>0</v>
      </c>
      <c r="AG150" s="2">
        <f t="shared" si="52"/>
        <v>1</v>
      </c>
      <c r="AH150" s="2">
        <f t="shared" si="53"/>
        <v>0</v>
      </c>
      <c r="AI150" s="2">
        <f t="shared" si="54"/>
        <v>1</v>
      </c>
    </row>
    <row r="151" spans="1:16384" s="3" customFormat="1" ht="14.25" customHeight="1" x14ac:dyDescent="0.25">
      <c r="A151" s="32">
        <v>0</v>
      </c>
      <c r="B151" s="32">
        <v>2</v>
      </c>
      <c r="C151" s="32">
        <v>2</v>
      </c>
      <c r="D151" s="33" t="s">
        <v>796</v>
      </c>
      <c r="E151" s="33"/>
      <c r="F151" s="33" t="s">
        <v>797</v>
      </c>
      <c r="G151" s="33" t="s">
        <v>309</v>
      </c>
      <c r="H151" s="33" t="s">
        <v>165</v>
      </c>
      <c r="I151" s="32" t="s">
        <v>33</v>
      </c>
      <c r="J151" s="32">
        <v>1</v>
      </c>
      <c r="K151" s="32" t="s">
        <v>378</v>
      </c>
      <c r="L151" s="32">
        <v>40</v>
      </c>
      <c r="M151" s="33" t="s">
        <v>798</v>
      </c>
      <c r="N151" s="33" t="s">
        <v>929</v>
      </c>
      <c r="O151" s="34"/>
      <c r="P151" s="34"/>
      <c r="Q151" s="33"/>
      <c r="R151" s="2"/>
      <c r="S151" s="2">
        <f t="shared" si="39"/>
        <v>1</v>
      </c>
      <c r="T151" s="2">
        <f t="shared" si="40"/>
        <v>0</v>
      </c>
      <c r="U151" s="2">
        <f t="shared" si="41"/>
        <v>0</v>
      </c>
      <c r="V151" s="2">
        <f t="shared" si="42"/>
        <v>0</v>
      </c>
      <c r="W151" s="2">
        <f t="shared" si="43"/>
        <v>0</v>
      </c>
      <c r="X151" s="2">
        <f t="shared" si="44"/>
        <v>0</v>
      </c>
      <c r="Y151" s="2">
        <f t="shared" si="45"/>
        <v>0</v>
      </c>
      <c r="Z151" s="2">
        <f t="shared" si="46"/>
        <v>0</v>
      </c>
      <c r="AA151" s="2">
        <f t="shared" si="47"/>
        <v>0</v>
      </c>
      <c r="AB151" s="2">
        <f t="shared" si="48"/>
        <v>0</v>
      </c>
      <c r="AC151" s="2"/>
      <c r="AD151" s="2">
        <f t="shared" si="49"/>
        <v>0</v>
      </c>
      <c r="AE151" s="2">
        <f t="shared" si="50"/>
        <v>0</v>
      </c>
      <c r="AF151" s="2">
        <f t="shared" si="51"/>
        <v>0</v>
      </c>
      <c r="AG151" s="2">
        <f t="shared" si="52"/>
        <v>0</v>
      </c>
      <c r="AH151" s="2">
        <f t="shared" si="53"/>
        <v>0</v>
      </c>
      <c r="AI151" s="2">
        <f t="shared" si="54"/>
        <v>1</v>
      </c>
    </row>
    <row r="152" spans="1:16384" s="3" customFormat="1" ht="14.25" customHeight="1" x14ac:dyDescent="0.25">
      <c r="A152" s="29">
        <v>0</v>
      </c>
      <c r="B152" s="29">
        <v>2</v>
      </c>
      <c r="C152" s="29">
        <v>2</v>
      </c>
      <c r="D152" s="30" t="s">
        <v>726</v>
      </c>
      <c r="E152" s="30" t="s">
        <v>30</v>
      </c>
      <c r="F152" s="30" t="s">
        <v>787</v>
      </c>
      <c r="G152" s="30" t="s">
        <v>40</v>
      </c>
      <c r="H152" s="30" t="s">
        <v>165</v>
      </c>
      <c r="I152" s="29" t="s">
        <v>33</v>
      </c>
      <c r="J152" s="29">
        <v>99</v>
      </c>
      <c r="K152" s="29" t="s">
        <v>320</v>
      </c>
      <c r="L152" s="29" t="s">
        <v>345</v>
      </c>
      <c r="M152" s="30" t="s">
        <v>727</v>
      </c>
      <c r="N152" s="30" t="s">
        <v>899</v>
      </c>
      <c r="O152" s="31">
        <v>1</v>
      </c>
      <c r="P152" s="31"/>
      <c r="Q152" s="30"/>
      <c r="R152" s="2"/>
      <c r="S152" s="2">
        <f t="shared" si="39"/>
        <v>0</v>
      </c>
      <c r="T152" s="2">
        <f t="shared" si="40"/>
        <v>0</v>
      </c>
      <c r="U152" s="2">
        <f t="shared" si="41"/>
        <v>0</v>
      </c>
      <c r="V152" s="2">
        <f t="shared" si="42"/>
        <v>0</v>
      </c>
      <c r="W152" s="2">
        <f t="shared" si="43"/>
        <v>0</v>
      </c>
      <c r="X152" s="2">
        <f t="shared" si="44"/>
        <v>0</v>
      </c>
      <c r="Y152" s="2">
        <f t="shared" si="45"/>
        <v>0</v>
      </c>
      <c r="Z152" s="2">
        <f t="shared" si="46"/>
        <v>0</v>
      </c>
      <c r="AA152" s="2">
        <f t="shared" si="47"/>
        <v>0</v>
      </c>
      <c r="AB152" s="2">
        <f t="shared" si="48"/>
        <v>0</v>
      </c>
      <c r="AC152" s="2"/>
      <c r="AD152" s="2">
        <f t="shared" si="49"/>
        <v>0</v>
      </c>
      <c r="AE152" s="2">
        <f t="shared" si="50"/>
        <v>1</v>
      </c>
      <c r="AF152" s="2">
        <f t="shared" si="51"/>
        <v>0</v>
      </c>
      <c r="AG152" s="2">
        <f t="shared" si="52"/>
        <v>1</v>
      </c>
      <c r="AH152" s="2">
        <f t="shared" si="53"/>
        <v>0</v>
      </c>
      <c r="AI152" s="2">
        <f t="shared" si="54"/>
        <v>1</v>
      </c>
    </row>
    <row r="153" spans="1:16384" s="3" customFormat="1" ht="14.25" customHeight="1" x14ac:dyDescent="0.25">
      <c r="A153" s="29">
        <v>0</v>
      </c>
      <c r="B153" s="29">
        <v>2</v>
      </c>
      <c r="C153" s="29">
        <v>2</v>
      </c>
      <c r="D153" s="30" t="s">
        <v>523</v>
      </c>
      <c r="E153" s="30" t="s">
        <v>524</v>
      </c>
      <c r="F153" s="30" t="s">
        <v>515</v>
      </c>
      <c r="G153" s="30" t="s">
        <v>516</v>
      </c>
      <c r="H153" s="30" t="s">
        <v>165</v>
      </c>
      <c r="I153" s="29" t="s">
        <v>33</v>
      </c>
      <c r="J153" s="29">
        <v>99</v>
      </c>
      <c r="K153" s="29" t="s">
        <v>320</v>
      </c>
      <c r="L153" s="29" t="s">
        <v>40</v>
      </c>
      <c r="M153" s="30" t="s">
        <v>40</v>
      </c>
      <c r="N153" s="30" t="s">
        <v>893</v>
      </c>
      <c r="O153" s="31">
        <v>1</v>
      </c>
      <c r="P153" s="31">
        <v>1</v>
      </c>
      <c r="Q153" s="30"/>
      <c r="R153" s="2"/>
      <c r="S153" s="2">
        <f t="shared" si="39"/>
        <v>0</v>
      </c>
      <c r="T153" s="2">
        <f t="shared" si="40"/>
        <v>0</v>
      </c>
      <c r="U153" s="2">
        <f t="shared" si="41"/>
        <v>0</v>
      </c>
      <c r="V153" s="2">
        <f t="shared" si="42"/>
        <v>0</v>
      </c>
      <c r="W153" s="2">
        <f t="shared" si="43"/>
        <v>0</v>
      </c>
      <c r="X153" s="2">
        <f t="shared" si="44"/>
        <v>0</v>
      </c>
      <c r="Y153" s="2">
        <f t="shared" si="45"/>
        <v>0</v>
      </c>
      <c r="Z153" s="2">
        <f t="shared" si="46"/>
        <v>0</v>
      </c>
      <c r="AA153" s="2">
        <f t="shared" si="47"/>
        <v>0</v>
      </c>
      <c r="AB153" s="2">
        <f t="shared" si="48"/>
        <v>0</v>
      </c>
      <c r="AC153" s="2"/>
      <c r="AD153" s="2">
        <f t="shared" si="49"/>
        <v>1</v>
      </c>
      <c r="AE153" s="2">
        <f t="shared" si="50"/>
        <v>0</v>
      </c>
      <c r="AF153" s="2">
        <f t="shared" si="51"/>
        <v>1</v>
      </c>
      <c r="AG153" s="2">
        <f t="shared" si="52"/>
        <v>0</v>
      </c>
      <c r="AH153" s="2">
        <f t="shared" si="53"/>
        <v>1</v>
      </c>
      <c r="AI153" s="2">
        <f t="shared" si="54"/>
        <v>0</v>
      </c>
    </row>
    <row r="154" spans="1:16384" s="3" customFormat="1" ht="14.25" customHeight="1" x14ac:dyDescent="0.25">
      <c r="A154" s="29">
        <v>1</v>
      </c>
      <c r="B154" s="29">
        <v>2</v>
      </c>
      <c r="C154" s="29">
        <v>2</v>
      </c>
      <c r="D154" s="30" t="s">
        <v>523</v>
      </c>
      <c r="E154" s="30" t="s">
        <v>524</v>
      </c>
      <c r="F154" s="30" t="s">
        <v>780</v>
      </c>
      <c r="G154" s="30" t="s">
        <v>130</v>
      </c>
      <c r="H154" s="30" t="s">
        <v>165</v>
      </c>
      <c r="I154" s="29" t="s">
        <v>33</v>
      </c>
      <c r="J154" s="29"/>
      <c r="K154" s="29" t="s">
        <v>320</v>
      </c>
      <c r="L154" s="29" t="s">
        <v>40</v>
      </c>
      <c r="M154" s="30" t="s">
        <v>40</v>
      </c>
      <c r="N154" s="30" t="s">
        <v>893</v>
      </c>
      <c r="O154" s="31">
        <v>1</v>
      </c>
      <c r="P154" s="31">
        <v>1</v>
      </c>
      <c r="Q154" s="30"/>
      <c r="R154" s="2"/>
      <c r="S154" s="2">
        <f t="shared" si="39"/>
        <v>0</v>
      </c>
      <c r="T154" s="2">
        <f t="shared" si="40"/>
        <v>0</v>
      </c>
      <c r="U154" s="2">
        <f t="shared" si="41"/>
        <v>0</v>
      </c>
      <c r="V154" s="2">
        <f t="shared" si="42"/>
        <v>0</v>
      </c>
      <c r="W154" s="2">
        <f t="shared" si="43"/>
        <v>0</v>
      </c>
      <c r="X154" s="2">
        <f t="shared" si="44"/>
        <v>0</v>
      </c>
      <c r="Y154" s="2">
        <f t="shared" si="45"/>
        <v>0</v>
      </c>
      <c r="Z154" s="2">
        <f t="shared" si="46"/>
        <v>0</v>
      </c>
      <c r="AA154" s="2">
        <f t="shared" si="47"/>
        <v>0</v>
      </c>
      <c r="AB154" s="2">
        <f t="shared" si="48"/>
        <v>0</v>
      </c>
      <c r="AC154" s="2"/>
      <c r="AD154" s="2">
        <f t="shared" si="49"/>
        <v>1</v>
      </c>
      <c r="AE154" s="2">
        <f t="shared" si="50"/>
        <v>0</v>
      </c>
      <c r="AF154" s="2">
        <f t="shared" si="51"/>
        <v>0</v>
      </c>
      <c r="AG154" s="2">
        <f t="shared" si="52"/>
        <v>0</v>
      </c>
      <c r="AH154" s="2">
        <f t="shared" si="53"/>
        <v>0</v>
      </c>
      <c r="AI154" s="2">
        <f t="shared" si="54"/>
        <v>0</v>
      </c>
    </row>
    <row r="155" spans="1:16384" s="3" customFormat="1" ht="14.25" customHeight="1" x14ac:dyDescent="0.25">
      <c r="A155" s="29">
        <v>0</v>
      </c>
      <c r="B155" s="29">
        <v>2</v>
      </c>
      <c r="C155" s="29">
        <v>2</v>
      </c>
      <c r="D155" s="30" t="s">
        <v>54</v>
      </c>
      <c r="E155" s="30" t="s">
        <v>84</v>
      </c>
      <c r="F155" s="30" t="s">
        <v>108</v>
      </c>
      <c r="G155" s="30" t="s">
        <v>40</v>
      </c>
      <c r="H155" s="30" t="s">
        <v>165</v>
      </c>
      <c r="I155" s="29" t="s">
        <v>173</v>
      </c>
      <c r="J155" s="29">
        <v>4</v>
      </c>
      <c r="K155" s="29" t="s">
        <v>320</v>
      </c>
      <c r="L155" s="29" t="s">
        <v>336</v>
      </c>
      <c r="M155" s="30" t="s">
        <v>337</v>
      </c>
      <c r="N155" s="30" t="s">
        <v>911</v>
      </c>
      <c r="O155" s="31">
        <v>1</v>
      </c>
      <c r="P155" s="31"/>
      <c r="Q155" s="30"/>
      <c r="R155" s="2"/>
      <c r="S155" s="2">
        <f t="shared" si="39"/>
        <v>0</v>
      </c>
      <c r="T155" s="2">
        <f t="shared" si="40"/>
        <v>0</v>
      </c>
      <c r="U155" s="2">
        <f t="shared" si="41"/>
        <v>0</v>
      </c>
      <c r="V155" s="2">
        <f t="shared" si="42"/>
        <v>1</v>
      </c>
      <c r="W155" s="2">
        <f t="shared" si="43"/>
        <v>0</v>
      </c>
      <c r="X155" s="2">
        <f t="shared" si="44"/>
        <v>0</v>
      </c>
      <c r="Y155" s="2">
        <f t="shared" si="45"/>
        <v>0</v>
      </c>
      <c r="Z155" s="2">
        <f t="shared" si="46"/>
        <v>0</v>
      </c>
      <c r="AA155" s="2">
        <f t="shared" si="47"/>
        <v>0</v>
      </c>
      <c r="AB155" s="2">
        <f t="shared" si="48"/>
        <v>0</v>
      </c>
      <c r="AC155" s="2"/>
      <c r="AD155" s="2">
        <f t="shared" si="49"/>
        <v>0</v>
      </c>
      <c r="AE155" s="2">
        <f t="shared" si="50"/>
        <v>1</v>
      </c>
      <c r="AF155" s="2">
        <f t="shared" si="51"/>
        <v>0</v>
      </c>
      <c r="AG155" s="2">
        <f t="shared" si="52"/>
        <v>1</v>
      </c>
      <c r="AH155" s="2">
        <f t="shared" si="53"/>
        <v>0</v>
      </c>
      <c r="AI155" s="2">
        <f t="shared" si="54"/>
        <v>1</v>
      </c>
    </row>
    <row r="156" spans="1:16384" s="3" customFormat="1" ht="14.25" customHeight="1" x14ac:dyDescent="0.25">
      <c r="A156" s="29">
        <v>1</v>
      </c>
      <c r="B156" s="29">
        <v>2</v>
      </c>
      <c r="C156" s="29">
        <v>2</v>
      </c>
      <c r="D156" s="30" t="s">
        <v>54</v>
      </c>
      <c r="E156" s="30" t="s">
        <v>84</v>
      </c>
      <c r="F156" s="30" t="s">
        <v>725</v>
      </c>
      <c r="G156" s="30" t="s">
        <v>585</v>
      </c>
      <c r="H156" s="30" t="s">
        <v>165</v>
      </c>
      <c r="I156" s="29" t="s">
        <v>33</v>
      </c>
      <c r="J156" s="29">
        <v>99</v>
      </c>
      <c r="K156" s="29" t="s">
        <v>320</v>
      </c>
      <c r="L156" s="29" t="s">
        <v>336</v>
      </c>
      <c r="M156" s="30" t="s">
        <v>337</v>
      </c>
      <c r="N156" s="30" t="s">
        <v>911</v>
      </c>
      <c r="O156" s="31">
        <v>1</v>
      </c>
      <c r="P156" s="31"/>
      <c r="Q156" s="30"/>
      <c r="R156" s="2"/>
      <c r="S156" s="2">
        <f t="shared" si="39"/>
        <v>0</v>
      </c>
      <c r="T156" s="2">
        <f t="shared" si="40"/>
        <v>0</v>
      </c>
      <c r="U156" s="2">
        <f t="shared" si="41"/>
        <v>0</v>
      </c>
      <c r="V156" s="2">
        <f t="shared" si="42"/>
        <v>0</v>
      </c>
      <c r="W156" s="2">
        <f t="shared" si="43"/>
        <v>0</v>
      </c>
      <c r="X156" s="2">
        <f t="shared" si="44"/>
        <v>0</v>
      </c>
      <c r="Y156" s="2">
        <f t="shared" si="45"/>
        <v>0</v>
      </c>
      <c r="Z156" s="2">
        <f t="shared" si="46"/>
        <v>0</v>
      </c>
      <c r="AA156" s="2">
        <f t="shared" si="47"/>
        <v>0</v>
      </c>
      <c r="AB156" s="2">
        <f t="shared" si="48"/>
        <v>0</v>
      </c>
      <c r="AC156" s="2"/>
      <c r="AD156" s="2">
        <f t="shared" si="49"/>
        <v>0</v>
      </c>
      <c r="AE156" s="2">
        <f t="shared" si="50"/>
        <v>1</v>
      </c>
      <c r="AF156" s="2">
        <f t="shared" si="51"/>
        <v>0</v>
      </c>
      <c r="AG156" s="2">
        <f t="shared" si="52"/>
        <v>0</v>
      </c>
      <c r="AH156" s="2">
        <f t="shared" si="53"/>
        <v>0</v>
      </c>
      <c r="AI156" s="2">
        <f t="shared" si="54"/>
        <v>0</v>
      </c>
    </row>
    <row r="157" spans="1:16384" s="3" customFormat="1" ht="14.25" customHeight="1" x14ac:dyDescent="0.25">
      <c r="A157" s="29">
        <v>0</v>
      </c>
      <c r="B157" s="29">
        <v>2</v>
      </c>
      <c r="C157" s="29">
        <v>2</v>
      </c>
      <c r="D157" s="30" t="s">
        <v>682</v>
      </c>
      <c r="E157" s="30" t="s">
        <v>677</v>
      </c>
      <c r="F157" s="30" t="s">
        <v>478</v>
      </c>
      <c r="G157" s="30" t="s">
        <v>122</v>
      </c>
      <c r="H157" s="30" t="s">
        <v>165</v>
      </c>
      <c r="I157" s="29" t="s">
        <v>419</v>
      </c>
      <c r="J157" s="29">
        <v>6</v>
      </c>
      <c r="K157" s="29" t="s">
        <v>319</v>
      </c>
      <c r="L157" s="29" t="s">
        <v>339</v>
      </c>
      <c r="M157" s="30" t="s">
        <v>744</v>
      </c>
      <c r="N157" s="30" t="s">
        <v>901</v>
      </c>
      <c r="O157" s="31">
        <v>1</v>
      </c>
      <c r="P157" s="31"/>
      <c r="Q157" s="30"/>
      <c r="R157" s="2"/>
      <c r="S157" s="2">
        <f t="shared" si="39"/>
        <v>0</v>
      </c>
      <c r="T157" s="2">
        <f t="shared" si="40"/>
        <v>0</v>
      </c>
      <c r="U157" s="2">
        <f t="shared" si="41"/>
        <v>0</v>
      </c>
      <c r="V157" s="2">
        <f t="shared" si="42"/>
        <v>0</v>
      </c>
      <c r="W157" s="2">
        <f t="shared" si="43"/>
        <v>0</v>
      </c>
      <c r="X157" s="2">
        <f t="shared" si="44"/>
        <v>1</v>
      </c>
      <c r="Y157" s="2">
        <f t="shared" si="45"/>
        <v>0</v>
      </c>
      <c r="Z157" s="2">
        <f t="shared" si="46"/>
        <v>0</v>
      </c>
      <c r="AA157" s="2">
        <f t="shared" si="47"/>
        <v>0</v>
      </c>
      <c r="AB157" s="2">
        <f t="shared" si="48"/>
        <v>0</v>
      </c>
      <c r="AC157" s="2"/>
      <c r="AD157" s="2">
        <f t="shared" si="49"/>
        <v>0</v>
      </c>
      <c r="AE157" s="2">
        <f t="shared" si="50"/>
        <v>1</v>
      </c>
      <c r="AF157" s="2">
        <f t="shared" si="51"/>
        <v>0</v>
      </c>
      <c r="AG157" s="2">
        <f t="shared" si="52"/>
        <v>1</v>
      </c>
      <c r="AH157" s="2">
        <f t="shared" si="53"/>
        <v>0</v>
      </c>
      <c r="AI157" s="2">
        <f t="shared" si="54"/>
        <v>1</v>
      </c>
    </row>
    <row r="158" spans="1:16384" s="3" customFormat="1" ht="14.25" customHeight="1" x14ac:dyDescent="0.25">
      <c r="A158" s="32">
        <v>0</v>
      </c>
      <c r="B158" s="32">
        <v>2</v>
      </c>
      <c r="C158" s="32">
        <v>2</v>
      </c>
      <c r="D158" s="33" t="s">
        <v>437</v>
      </c>
      <c r="E158" s="33" t="s">
        <v>30</v>
      </c>
      <c r="F158" s="33" t="s">
        <v>953</v>
      </c>
      <c r="G158" s="33" t="s">
        <v>580</v>
      </c>
      <c r="H158" s="33" t="s">
        <v>165</v>
      </c>
      <c r="I158" s="32" t="s">
        <v>594</v>
      </c>
      <c r="J158" s="32">
        <v>99</v>
      </c>
      <c r="K158" s="32" t="s">
        <v>378</v>
      </c>
      <c r="L158" s="32">
        <v>35</v>
      </c>
      <c r="M158" s="33" t="s">
        <v>600</v>
      </c>
      <c r="N158" s="33" t="s">
        <v>900</v>
      </c>
      <c r="O158" s="34"/>
      <c r="P158" s="34"/>
      <c r="Q158" s="33"/>
      <c r="R158" s="2"/>
      <c r="S158" s="2">
        <f t="shared" si="39"/>
        <v>0</v>
      </c>
      <c r="T158" s="2">
        <f t="shared" si="40"/>
        <v>0</v>
      </c>
      <c r="U158" s="2">
        <f t="shared" si="41"/>
        <v>0</v>
      </c>
      <c r="V158" s="2">
        <f t="shared" si="42"/>
        <v>0</v>
      </c>
      <c r="W158" s="2">
        <f t="shared" si="43"/>
        <v>0</v>
      </c>
      <c r="X158" s="2">
        <f t="shared" si="44"/>
        <v>0</v>
      </c>
      <c r="Y158" s="2">
        <f t="shared" si="45"/>
        <v>0</v>
      </c>
      <c r="Z158" s="2">
        <f t="shared" si="46"/>
        <v>0</v>
      </c>
      <c r="AA158" s="2">
        <f t="shared" si="47"/>
        <v>0</v>
      </c>
      <c r="AB158" s="2">
        <f t="shared" si="48"/>
        <v>0</v>
      </c>
      <c r="AC158" s="2"/>
      <c r="AD158" s="2">
        <f t="shared" si="49"/>
        <v>0</v>
      </c>
      <c r="AE158" s="2">
        <f t="shared" si="50"/>
        <v>0</v>
      </c>
      <c r="AF158" s="2">
        <f t="shared" si="51"/>
        <v>0</v>
      </c>
      <c r="AG158" s="2">
        <f t="shared" si="52"/>
        <v>0</v>
      </c>
      <c r="AH158" s="2">
        <f t="shared" si="53"/>
        <v>0</v>
      </c>
      <c r="AI158" s="2">
        <f t="shared" si="54"/>
        <v>1</v>
      </c>
    </row>
    <row r="159" spans="1:16384" s="3" customFormat="1" ht="14.25" customHeight="1" x14ac:dyDescent="0.25">
      <c r="A159" s="29">
        <v>0</v>
      </c>
      <c r="B159" s="29">
        <v>2</v>
      </c>
      <c r="C159" s="29">
        <v>2</v>
      </c>
      <c r="D159" s="30" t="s">
        <v>562</v>
      </c>
      <c r="E159" s="30" t="s">
        <v>563</v>
      </c>
      <c r="F159" s="30" t="s">
        <v>564</v>
      </c>
      <c r="G159" s="30" t="s">
        <v>565</v>
      </c>
      <c r="H159" s="30" t="s">
        <v>165</v>
      </c>
      <c r="I159" s="29" t="s">
        <v>566</v>
      </c>
      <c r="J159" s="29">
        <v>99</v>
      </c>
      <c r="K159" s="29" t="s">
        <v>320</v>
      </c>
      <c r="L159" s="29" t="s">
        <v>40</v>
      </c>
      <c r="M159" s="30" t="s">
        <v>40</v>
      </c>
      <c r="N159" s="30" t="s">
        <v>893</v>
      </c>
      <c r="O159" s="31">
        <v>1</v>
      </c>
      <c r="P159" s="31">
        <v>1</v>
      </c>
      <c r="Q159" s="30"/>
      <c r="R159" s="2"/>
      <c r="S159" s="2">
        <f t="shared" si="39"/>
        <v>0</v>
      </c>
      <c r="T159" s="2">
        <f t="shared" si="40"/>
        <v>0</v>
      </c>
      <c r="U159" s="2">
        <f t="shared" si="41"/>
        <v>0</v>
      </c>
      <c r="V159" s="2">
        <f t="shared" si="42"/>
        <v>0</v>
      </c>
      <c r="W159" s="2">
        <f t="shared" si="43"/>
        <v>0</v>
      </c>
      <c r="X159" s="2">
        <f t="shared" si="44"/>
        <v>0</v>
      </c>
      <c r="Y159" s="2">
        <f t="shared" si="45"/>
        <v>0</v>
      </c>
      <c r="Z159" s="2">
        <f t="shared" si="46"/>
        <v>0</v>
      </c>
      <c r="AA159" s="2">
        <f t="shared" si="47"/>
        <v>0</v>
      </c>
      <c r="AB159" s="2">
        <f t="shared" si="48"/>
        <v>0</v>
      </c>
      <c r="AC159" s="2"/>
      <c r="AD159" s="2">
        <f t="shared" si="49"/>
        <v>1</v>
      </c>
      <c r="AE159" s="2">
        <f t="shared" si="50"/>
        <v>0</v>
      </c>
      <c r="AF159" s="2">
        <f t="shared" si="51"/>
        <v>1</v>
      </c>
      <c r="AG159" s="2">
        <f t="shared" si="52"/>
        <v>0</v>
      </c>
      <c r="AH159" s="2">
        <f t="shared" si="53"/>
        <v>1</v>
      </c>
      <c r="AI159" s="2">
        <f t="shared" si="54"/>
        <v>0</v>
      </c>
    </row>
    <row r="160" spans="1:16384" s="3" customFormat="1" ht="14.25" customHeight="1" x14ac:dyDescent="0.25">
      <c r="A160" s="26">
        <v>0</v>
      </c>
      <c r="B160" s="26">
        <v>2</v>
      </c>
      <c r="C160" s="26">
        <v>2</v>
      </c>
      <c r="D160" s="27" t="s">
        <v>968</v>
      </c>
      <c r="E160" s="27" t="s">
        <v>969</v>
      </c>
      <c r="F160" s="27" t="s">
        <v>970</v>
      </c>
      <c r="G160" s="27" t="s">
        <v>971</v>
      </c>
      <c r="H160" s="27" t="s">
        <v>165</v>
      </c>
      <c r="I160" s="26" t="s">
        <v>972</v>
      </c>
      <c r="J160" s="26"/>
      <c r="K160" s="26" t="s">
        <v>378</v>
      </c>
      <c r="L160" s="26"/>
      <c r="M160" s="27"/>
      <c r="N160" s="27"/>
      <c r="O160" s="28"/>
      <c r="P160" s="28">
        <v>1</v>
      </c>
      <c r="Q160" s="27"/>
      <c r="R160" s="20"/>
      <c r="S160" s="2">
        <f t="shared" si="39"/>
        <v>0</v>
      </c>
      <c r="T160" s="2">
        <f t="shared" si="40"/>
        <v>0</v>
      </c>
      <c r="U160" s="2">
        <f t="shared" si="41"/>
        <v>0</v>
      </c>
      <c r="V160" s="2">
        <f t="shared" si="42"/>
        <v>0</v>
      </c>
      <c r="W160" s="2">
        <f t="shared" si="43"/>
        <v>0</v>
      </c>
      <c r="X160" s="2">
        <f t="shared" si="44"/>
        <v>0</v>
      </c>
      <c r="Y160" s="2">
        <f t="shared" si="45"/>
        <v>0</v>
      </c>
      <c r="Z160" s="2">
        <f t="shared" si="46"/>
        <v>0</v>
      </c>
      <c r="AA160" s="2">
        <f t="shared" si="47"/>
        <v>0</v>
      </c>
      <c r="AB160" s="2">
        <f t="shared" si="48"/>
        <v>0</v>
      </c>
      <c r="AC160" s="2"/>
      <c r="AD160" s="2">
        <f t="shared" si="49"/>
        <v>0</v>
      </c>
      <c r="AE160" s="2">
        <f t="shared" si="50"/>
        <v>0</v>
      </c>
      <c r="AF160" s="2">
        <f t="shared" si="51"/>
        <v>0</v>
      </c>
      <c r="AG160" s="2">
        <f t="shared" si="52"/>
        <v>0</v>
      </c>
      <c r="AH160" s="2">
        <f t="shared" si="53"/>
        <v>1</v>
      </c>
      <c r="AI160" s="2">
        <f t="shared" si="54"/>
        <v>0</v>
      </c>
      <c r="AJ160" s="20"/>
      <c r="AK160" s="20"/>
      <c r="AL160" s="21"/>
      <c r="AM160" s="21"/>
      <c r="AN160" s="21"/>
      <c r="AO160" s="21"/>
      <c r="AP160" s="21"/>
      <c r="AQ160" s="20"/>
      <c r="AR160" s="20"/>
      <c r="AS160" s="20"/>
      <c r="AT160" s="20"/>
      <c r="AU160" s="21"/>
      <c r="AV160" s="21"/>
      <c r="AW160" s="7"/>
      <c r="AX160" s="7"/>
      <c r="AY160" s="21"/>
      <c r="AZ160" s="20"/>
      <c r="BA160" s="20"/>
      <c r="BB160" s="20"/>
      <c r="BC160" s="21"/>
      <c r="BD160" s="21"/>
      <c r="BE160" s="21"/>
      <c r="BF160" s="21"/>
      <c r="BG160" s="21"/>
      <c r="BH160" s="20"/>
      <c r="BI160" s="20"/>
      <c r="BJ160" s="20"/>
      <c r="BK160" s="20"/>
      <c r="BL160" s="21"/>
      <c r="BM160" s="21"/>
      <c r="BN160" s="7"/>
      <c r="BO160" s="7"/>
      <c r="BP160" s="21"/>
      <c r="BQ160" s="20"/>
      <c r="BR160" s="20"/>
      <c r="BS160" s="20"/>
      <c r="BT160" s="21"/>
      <c r="BU160" s="21"/>
      <c r="BV160" s="21"/>
      <c r="BW160" s="21"/>
      <c r="BX160" s="21"/>
      <c r="BY160" s="20"/>
      <c r="BZ160" s="20"/>
      <c r="CA160" s="20"/>
      <c r="CB160" s="20"/>
      <c r="CC160" s="21"/>
      <c r="CD160" s="21"/>
      <c r="CE160" s="7"/>
      <c r="CF160" s="7"/>
      <c r="CG160" s="21"/>
      <c r="CH160" s="20"/>
      <c r="CI160" s="20"/>
      <c r="CJ160" s="20"/>
      <c r="CK160" s="21"/>
      <c r="CL160" s="21"/>
      <c r="CM160" s="21"/>
      <c r="CN160" s="21"/>
      <c r="CO160" s="21"/>
      <c r="CP160" s="20"/>
      <c r="CQ160" s="20"/>
      <c r="CR160" s="20"/>
      <c r="CS160" s="20"/>
      <c r="CT160" s="21"/>
      <c r="CU160" s="21"/>
      <c r="CV160" s="7"/>
      <c r="CW160" s="7"/>
      <c r="CX160" s="21"/>
      <c r="CY160" s="20"/>
      <c r="CZ160" s="20"/>
      <c r="DA160" s="20"/>
      <c r="DB160" s="21"/>
      <c r="DC160" s="21"/>
      <c r="DD160" s="21"/>
      <c r="DE160" s="21"/>
      <c r="DF160" s="21"/>
      <c r="DG160" s="20"/>
      <c r="DH160" s="20"/>
      <c r="DI160" s="20"/>
      <c r="DJ160" s="20"/>
      <c r="DK160" s="21"/>
      <c r="DL160" s="21"/>
      <c r="DM160" s="7"/>
      <c r="DN160" s="7"/>
      <c r="DO160" s="21"/>
      <c r="DP160" s="20"/>
      <c r="DQ160" s="20"/>
      <c r="DR160" s="20"/>
      <c r="DS160" s="21"/>
      <c r="DT160" s="21"/>
      <c r="DU160" s="21"/>
      <c r="DV160" s="21"/>
      <c r="DW160" s="21"/>
      <c r="DX160" s="20"/>
      <c r="DY160" s="20"/>
      <c r="DZ160" s="20"/>
      <c r="EA160" s="20"/>
      <c r="EB160" s="21"/>
      <c r="EC160" s="21"/>
      <c r="ED160" s="7"/>
      <c r="EE160" s="7"/>
      <c r="EF160" s="21"/>
      <c r="EG160" s="20"/>
      <c r="EH160" s="20"/>
      <c r="EI160" s="20"/>
      <c r="EJ160" s="21"/>
      <c r="EK160" s="21"/>
      <c r="EL160" s="21"/>
      <c r="EM160" s="21"/>
      <c r="EN160" s="21"/>
      <c r="EO160" s="20"/>
      <c r="EP160" s="20"/>
      <c r="EQ160" s="20"/>
      <c r="ER160" s="20"/>
      <c r="ES160" s="21"/>
      <c r="ET160" s="21"/>
      <c r="EU160" s="7"/>
      <c r="EV160" s="7"/>
      <c r="EW160" s="21"/>
      <c r="EX160" s="20"/>
      <c r="EY160" s="20"/>
      <c r="EZ160" s="20"/>
      <c r="FA160" s="21"/>
      <c r="FB160" s="21"/>
      <c r="FC160" s="21"/>
      <c r="FD160" s="21"/>
      <c r="FE160" s="21"/>
      <c r="FF160" s="20"/>
      <c r="FG160" s="20"/>
      <c r="FH160" s="20"/>
      <c r="FI160" s="20"/>
      <c r="FJ160" s="21"/>
      <c r="FK160" s="21"/>
      <c r="FL160" s="7"/>
      <c r="FM160" s="7"/>
      <c r="FN160" s="21"/>
      <c r="FO160" s="20"/>
      <c r="FP160" s="20"/>
      <c r="FQ160" s="20"/>
      <c r="FR160" s="21"/>
      <c r="FS160" s="21"/>
      <c r="FT160" s="21"/>
      <c r="FU160" s="21"/>
      <c r="FV160" s="21"/>
      <c r="FW160" s="20"/>
      <c r="FX160" s="20"/>
      <c r="FY160" s="20"/>
      <c r="FZ160" s="20"/>
      <c r="GA160" s="21"/>
      <c r="GB160" s="21"/>
      <c r="GC160" s="7"/>
      <c r="GD160" s="7"/>
      <c r="GE160" s="21"/>
      <c r="GF160" s="20"/>
      <c r="GG160" s="20"/>
      <c r="GH160" s="20"/>
      <c r="GI160" s="21"/>
      <c r="GJ160" s="21"/>
      <c r="GK160" s="21"/>
      <c r="GL160" s="21"/>
      <c r="GM160" s="21"/>
      <c r="GN160" s="20"/>
      <c r="GO160" s="20"/>
      <c r="GP160" s="20"/>
      <c r="GQ160" s="20"/>
      <c r="GR160" s="21"/>
      <c r="GS160" s="21"/>
      <c r="GT160" s="7"/>
      <c r="GU160" s="7"/>
      <c r="GV160" s="21"/>
      <c r="GW160" s="20"/>
      <c r="GX160" s="20"/>
      <c r="GY160" s="20"/>
      <c r="GZ160" s="21"/>
      <c r="HA160" s="21"/>
      <c r="HB160" s="21"/>
      <c r="HC160" s="21"/>
      <c r="HD160" s="21"/>
      <c r="HE160" s="20"/>
      <c r="HF160" s="20"/>
      <c r="HG160" s="20"/>
      <c r="HH160" s="20"/>
      <c r="HI160" s="21"/>
      <c r="HJ160" s="21"/>
      <c r="HK160" s="7"/>
      <c r="HL160" s="7"/>
      <c r="HM160" s="21"/>
      <c r="HN160" s="20"/>
      <c r="HO160" s="20"/>
      <c r="HP160" s="20"/>
      <c r="HQ160" s="21"/>
      <c r="HR160" s="21"/>
      <c r="HS160" s="21"/>
      <c r="HT160" s="21"/>
      <c r="HU160" s="21"/>
      <c r="HV160" s="20"/>
      <c r="HW160" s="20"/>
      <c r="HX160" s="20"/>
      <c r="HY160" s="20"/>
      <c r="HZ160" s="21"/>
      <c r="IA160" s="21"/>
      <c r="IB160" s="7"/>
      <c r="IC160" s="7"/>
      <c r="ID160" s="21"/>
      <c r="IE160" s="20"/>
      <c r="IF160" s="20"/>
      <c r="IG160" s="20"/>
      <c r="IH160" s="21"/>
      <c r="II160" s="21"/>
      <c r="IJ160" s="21"/>
      <c r="IK160" s="21"/>
      <c r="IL160" s="21"/>
      <c r="IM160" s="20"/>
      <c r="IN160" s="20"/>
      <c r="IO160" s="20"/>
      <c r="IP160" s="20"/>
      <c r="IQ160" s="21"/>
      <c r="IR160" s="21"/>
      <c r="IS160" s="7"/>
      <c r="IT160" s="7"/>
      <c r="IU160" s="21"/>
      <c r="IV160" s="20"/>
      <c r="IW160" s="20"/>
      <c r="IX160" s="20"/>
      <c r="IY160" s="21"/>
      <c r="IZ160" s="21"/>
      <c r="JA160" s="21"/>
      <c r="JB160" s="21"/>
      <c r="JC160" s="21"/>
      <c r="JD160" s="20"/>
      <c r="JE160" s="20"/>
      <c r="JF160" s="20"/>
      <c r="JG160" s="20"/>
      <c r="JH160" s="21"/>
      <c r="JI160" s="21"/>
      <c r="JJ160" s="7"/>
      <c r="JK160" s="7"/>
      <c r="JL160" s="21"/>
      <c r="JM160" s="20"/>
      <c r="JN160" s="20"/>
      <c r="JO160" s="20"/>
      <c r="JP160" s="21"/>
      <c r="JQ160" s="21"/>
      <c r="JR160" s="21"/>
      <c r="JS160" s="21"/>
      <c r="JT160" s="21"/>
      <c r="JU160" s="20"/>
      <c r="JV160" s="20"/>
      <c r="JW160" s="20"/>
      <c r="JX160" s="20"/>
      <c r="JY160" s="21"/>
      <c r="JZ160" s="21"/>
      <c r="KA160" s="7"/>
      <c r="KB160" s="7"/>
      <c r="KC160" s="21"/>
      <c r="KD160" s="20"/>
      <c r="KE160" s="20"/>
      <c r="KF160" s="20"/>
      <c r="KG160" s="21"/>
      <c r="KH160" s="21"/>
      <c r="KI160" s="21"/>
      <c r="KJ160" s="21"/>
      <c r="KK160" s="21"/>
      <c r="KL160" s="20"/>
      <c r="KM160" s="20"/>
      <c r="KN160" s="20"/>
      <c r="KO160" s="20"/>
      <c r="KP160" s="21"/>
      <c r="KQ160" s="21"/>
      <c r="KR160" s="7"/>
      <c r="KS160" s="7"/>
      <c r="KT160" s="21"/>
      <c r="KU160" s="20"/>
      <c r="KV160" s="20"/>
      <c r="KW160" s="20"/>
      <c r="KX160" s="21"/>
      <c r="KY160" s="21"/>
      <c r="KZ160" s="21"/>
      <c r="LA160" s="21"/>
      <c r="LB160" s="21"/>
      <c r="LC160" s="20"/>
      <c r="LD160" s="20"/>
      <c r="LE160" s="20"/>
      <c r="LF160" s="20"/>
      <c r="LG160" s="21"/>
      <c r="LH160" s="21"/>
      <c r="LI160" s="7"/>
      <c r="LJ160" s="7"/>
      <c r="LK160" s="21"/>
      <c r="LL160" s="20"/>
      <c r="LM160" s="20"/>
      <c r="LN160" s="20"/>
      <c r="LO160" s="21"/>
      <c r="LP160" s="21"/>
      <c r="LQ160" s="21"/>
      <c r="LR160" s="21"/>
      <c r="LS160" s="21"/>
      <c r="LT160" s="20"/>
      <c r="LU160" s="20"/>
      <c r="LV160" s="20"/>
      <c r="LW160" s="20"/>
      <c r="LX160" s="21"/>
      <c r="LY160" s="21"/>
      <c r="LZ160" s="7"/>
      <c r="MA160" s="7"/>
      <c r="MB160" s="21"/>
      <c r="MC160" s="20"/>
      <c r="MD160" s="20"/>
      <c r="ME160" s="20"/>
      <c r="MF160" s="21"/>
      <c r="MG160" s="21"/>
      <c r="MH160" s="21"/>
      <c r="MI160" s="21"/>
      <c r="MJ160" s="21"/>
      <c r="MK160" s="20"/>
      <c r="ML160" s="20"/>
      <c r="MM160" s="20"/>
      <c r="MN160" s="20"/>
      <c r="MO160" s="21"/>
      <c r="MP160" s="21"/>
      <c r="MQ160" s="7"/>
      <c r="MR160" s="7"/>
      <c r="MS160" s="21"/>
      <c r="MT160" s="20"/>
      <c r="MU160" s="20"/>
      <c r="MV160" s="20"/>
      <c r="MW160" s="21"/>
      <c r="MX160" s="21"/>
      <c r="MY160" s="21"/>
      <c r="MZ160" s="21"/>
      <c r="NA160" s="21"/>
      <c r="NB160" s="20"/>
      <c r="NC160" s="20"/>
      <c r="ND160" s="20"/>
      <c r="NE160" s="20"/>
      <c r="NF160" s="21"/>
      <c r="NG160" s="21"/>
      <c r="NH160" s="7"/>
      <c r="NI160" s="7"/>
      <c r="NJ160" s="21"/>
      <c r="NK160" s="20"/>
      <c r="NL160" s="20"/>
      <c r="NM160" s="20"/>
      <c r="NN160" s="21"/>
      <c r="NO160" s="21"/>
      <c r="NP160" s="21"/>
      <c r="NQ160" s="21"/>
      <c r="NR160" s="21"/>
      <c r="NS160" s="20"/>
      <c r="NT160" s="20"/>
      <c r="NU160" s="20"/>
      <c r="NV160" s="20"/>
      <c r="NW160" s="21"/>
      <c r="NX160" s="21"/>
      <c r="NY160" s="7"/>
      <c r="NZ160" s="7"/>
      <c r="OA160" s="21"/>
      <c r="OB160" s="20"/>
      <c r="OC160" s="20"/>
      <c r="OD160" s="20"/>
      <c r="OE160" s="21"/>
      <c r="OF160" s="21"/>
      <c r="OG160" s="21"/>
      <c r="OH160" s="21"/>
      <c r="OI160" s="21"/>
      <c r="OJ160" s="20"/>
      <c r="OK160" s="20"/>
      <c r="OL160" s="20"/>
      <c r="OM160" s="20"/>
      <c r="ON160" s="21"/>
      <c r="OO160" s="21"/>
      <c r="OP160" s="7"/>
      <c r="OQ160" s="7"/>
      <c r="OR160" s="21"/>
      <c r="OS160" s="20"/>
      <c r="OT160" s="20"/>
      <c r="OU160" s="20"/>
      <c r="OV160" s="21"/>
      <c r="OW160" s="21"/>
      <c r="OX160" s="21"/>
      <c r="OY160" s="21"/>
      <c r="OZ160" s="21"/>
      <c r="PA160" s="20"/>
      <c r="PB160" s="20"/>
      <c r="PC160" s="20"/>
      <c r="PD160" s="20"/>
      <c r="PE160" s="21"/>
      <c r="PF160" s="21"/>
      <c r="PG160" s="7"/>
      <c r="PH160" s="7"/>
      <c r="PI160" s="21"/>
      <c r="PJ160" s="20"/>
      <c r="PK160" s="20"/>
      <c r="PL160" s="20"/>
      <c r="PM160" s="21"/>
      <c r="PN160" s="21"/>
      <c r="PO160" s="21"/>
      <c r="PP160" s="21"/>
      <c r="PQ160" s="21"/>
      <c r="PR160" s="20"/>
      <c r="PS160" s="20"/>
      <c r="PT160" s="20"/>
      <c r="PU160" s="20"/>
      <c r="PV160" s="21"/>
      <c r="PW160" s="21"/>
      <c r="PX160" s="7"/>
      <c r="PY160" s="7"/>
      <c r="PZ160" s="21"/>
      <c r="QA160" s="20"/>
      <c r="QB160" s="20"/>
      <c r="QC160" s="20"/>
      <c r="QD160" s="21"/>
      <c r="QE160" s="21"/>
      <c r="QF160" s="21"/>
      <c r="QG160" s="21"/>
      <c r="QH160" s="21"/>
      <c r="QI160" s="20"/>
      <c r="QJ160" s="20"/>
      <c r="QK160" s="20"/>
      <c r="QL160" s="20"/>
      <c r="QM160" s="21"/>
      <c r="QN160" s="21"/>
      <c r="QO160" s="7"/>
      <c r="QP160" s="7"/>
      <c r="QQ160" s="21"/>
      <c r="QR160" s="20"/>
      <c r="QS160" s="20"/>
      <c r="QT160" s="20"/>
      <c r="QU160" s="21"/>
      <c r="QV160" s="21"/>
      <c r="QW160" s="21"/>
      <c r="QX160" s="21"/>
      <c r="QY160" s="21"/>
      <c r="QZ160" s="20"/>
      <c r="RA160" s="20"/>
      <c r="RB160" s="20"/>
      <c r="RC160" s="20"/>
      <c r="RD160" s="21"/>
      <c r="RE160" s="21"/>
      <c r="RF160" s="7"/>
      <c r="RG160" s="7"/>
      <c r="RH160" s="21"/>
      <c r="RI160" s="20"/>
      <c r="RJ160" s="20"/>
      <c r="RK160" s="20"/>
      <c r="RL160" s="21"/>
      <c r="RM160" s="21"/>
      <c r="RN160" s="21"/>
      <c r="RO160" s="21"/>
      <c r="RP160" s="21"/>
      <c r="RQ160" s="20"/>
      <c r="RR160" s="20"/>
      <c r="RS160" s="20"/>
      <c r="RT160" s="20"/>
      <c r="RU160" s="21"/>
      <c r="RV160" s="21"/>
      <c r="RW160" s="7"/>
      <c r="RX160" s="7"/>
      <c r="RY160" s="21"/>
      <c r="RZ160" s="20"/>
      <c r="SA160" s="20"/>
      <c r="SB160" s="20"/>
      <c r="SC160" s="21"/>
      <c r="SD160" s="21"/>
      <c r="SE160" s="21"/>
      <c r="SF160" s="21"/>
      <c r="SG160" s="21"/>
      <c r="SH160" s="20"/>
      <c r="SI160" s="20"/>
      <c r="SJ160" s="20"/>
      <c r="SK160" s="20"/>
      <c r="SL160" s="21"/>
      <c r="SM160" s="21"/>
      <c r="SN160" s="7"/>
      <c r="SO160" s="7"/>
      <c r="SP160" s="21"/>
      <c r="SQ160" s="20"/>
      <c r="SR160" s="20"/>
      <c r="SS160" s="20"/>
      <c r="ST160" s="21"/>
      <c r="SU160" s="21"/>
      <c r="SV160" s="21"/>
      <c r="SW160" s="21"/>
      <c r="SX160" s="21"/>
      <c r="SY160" s="20"/>
      <c r="SZ160" s="20"/>
      <c r="TA160" s="20"/>
      <c r="TB160" s="20"/>
      <c r="TC160" s="21"/>
      <c r="TD160" s="21"/>
      <c r="TE160" s="7"/>
      <c r="TF160" s="7"/>
      <c r="TG160" s="21"/>
      <c r="TH160" s="20"/>
      <c r="TI160" s="20"/>
      <c r="TJ160" s="20"/>
      <c r="TK160" s="21"/>
      <c r="TL160" s="21"/>
      <c r="TM160" s="21"/>
      <c r="TN160" s="21"/>
      <c r="TO160" s="21"/>
      <c r="TP160" s="20"/>
      <c r="TQ160" s="20"/>
      <c r="TR160" s="20"/>
      <c r="TS160" s="20"/>
      <c r="TT160" s="21"/>
      <c r="TU160" s="21"/>
      <c r="TV160" s="7"/>
      <c r="TW160" s="7"/>
      <c r="TX160" s="21"/>
      <c r="TY160" s="20"/>
      <c r="TZ160" s="20"/>
      <c r="UA160" s="20"/>
      <c r="UB160" s="21"/>
      <c r="UC160" s="21"/>
      <c r="UD160" s="21"/>
      <c r="UE160" s="21"/>
      <c r="UF160" s="21"/>
      <c r="UG160" s="20"/>
      <c r="UH160" s="20"/>
      <c r="UI160" s="20"/>
      <c r="UJ160" s="20"/>
      <c r="UK160" s="21"/>
      <c r="UL160" s="21"/>
      <c r="UM160" s="7"/>
      <c r="UN160" s="7"/>
      <c r="UO160" s="21"/>
      <c r="UP160" s="20"/>
      <c r="UQ160" s="20"/>
      <c r="UR160" s="20"/>
      <c r="US160" s="21"/>
      <c r="UT160" s="21"/>
      <c r="UU160" s="21"/>
      <c r="UV160" s="21"/>
      <c r="UW160" s="21"/>
      <c r="UX160" s="20"/>
      <c r="UY160" s="20"/>
      <c r="UZ160" s="20"/>
      <c r="VA160" s="20"/>
      <c r="VB160" s="21"/>
      <c r="VC160" s="21"/>
      <c r="VD160" s="7"/>
      <c r="VE160" s="7"/>
      <c r="VF160" s="21"/>
      <c r="VG160" s="20"/>
      <c r="VH160" s="20"/>
      <c r="VI160" s="20"/>
      <c r="VJ160" s="21"/>
      <c r="VK160" s="21"/>
      <c r="VL160" s="21"/>
      <c r="VM160" s="21"/>
      <c r="VN160" s="21"/>
      <c r="VO160" s="20"/>
      <c r="VP160" s="20"/>
      <c r="VQ160" s="20"/>
      <c r="VR160" s="20"/>
      <c r="VS160" s="21"/>
      <c r="VT160" s="21"/>
      <c r="VU160" s="7"/>
      <c r="VV160" s="7"/>
      <c r="VW160" s="21"/>
      <c r="VX160" s="20"/>
      <c r="VY160" s="20"/>
      <c r="VZ160" s="20"/>
      <c r="WA160" s="21"/>
      <c r="WB160" s="21"/>
      <c r="WC160" s="21"/>
      <c r="WD160" s="21"/>
      <c r="WE160" s="21"/>
      <c r="WF160" s="20"/>
      <c r="WG160" s="20"/>
      <c r="WH160" s="20"/>
      <c r="WI160" s="20"/>
      <c r="WJ160" s="21"/>
      <c r="WK160" s="21"/>
      <c r="WL160" s="7"/>
      <c r="WM160" s="7"/>
      <c r="WN160" s="21"/>
      <c r="WO160" s="20"/>
      <c r="WP160" s="20"/>
      <c r="WQ160" s="20"/>
      <c r="WR160" s="21"/>
      <c r="WS160" s="21"/>
      <c r="WT160" s="21"/>
      <c r="WU160" s="21"/>
      <c r="WV160" s="21"/>
      <c r="WW160" s="20"/>
      <c r="WX160" s="20"/>
      <c r="WY160" s="20"/>
      <c r="WZ160" s="20"/>
      <c r="XA160" s="21"/>
      <c r="XB160" s="21"/>
      <c r="XC160" s="7"/>
      <c r="XD160" s="7"/>
      <c r="XE160" s="21"/>
      <c r="XF160" s="20"/>
      <c r="XG160" s="20"/>
      <c r="XH160" s="20"/>
      <c r="XI160" s="21"/>
      <c r="XJ160" s="21"/>
      <c r="XK160" s="21"/>
      <c r="XL160" s="21"/>
      <c r="XM160" s="21"/>
      <c r="XN160" s="20"/>
      <c r="XO160" s="20"/>
      <c r="XP160" s="20"/>
      <c r="XQ160" s="20"/>
      <c r="XR160" s="21"/>
      <c r="XS160" s="21"/>
      <c r="XT160" s="7"/>
      <c r="XU160" s="7"/>
      <c r="XV160" s="21"/>
      <c r="XW160" s="20"/>
      <c r="XX160" s="20"/>
      <c r="XY160" s="20"/>
      <c r="XZ160" s="21"/>
      <c r="YA160" s="21"/>
      <c r="YB160" s="21"/>
      <c r="YC160" s="21"/>
      <c r="YD160" s="21"/>
      <c r="YE160" s="20"/>
      <c r="YF160" s="20"/>
      <c r="YG160" s="20"/>
      <c r="YH160" s="20"/>
      <c r="YI160" s="21"/>
      <c r="YJ160" s="21"/>
      <c r="YK160" s="7"/>
      <c r="YL160" s="7"/>
      <c r="YM160" s="21"/>
      <c r="YN160" s="20"/>
      <c r="YO160" s="20"/>
      <c r="YP160" s="20"/>
      <c r="YQ160" s="21"/>
      <c r="YR160" s="21"/>
      <c r="YS160" s="21"/>
      <c r="YT160" s="21"/>
      <c r="YU160" s="21"/>
      <c r="YV160" s="20"/>
      <c r="YW160" s="20"/>
      <c r="YX160" s="20"/>
      <c r="YY160" s="20"/>
      <c r="YZ160" s="21"/>
      <c r="ZA160" s="21"/>
      <c r="ZB160" s="7"/>
      <c r="ZC160" s="7"/>
      <c r="ZD160" s="21"/>
      <c r="ZE160" s="20"/>
      <c r="ZF160" s="20"/>
      <c r="ZG160" s="20"/>
      <c r="ZH160" s="21"/>
      <c r="ZI160" s="21"/>
      <c r="ZJ160" s="21"/>
      <c r="ZK160" s="21"/>
      <c r="ZL160" s="21"/>
      <c r="ZM160" s="20"/>
      <c r="ZN160" s="20"/>
      <c r="ZO160" s="20"/>
      <c r="ZP160" s="20"/>
      <c r="ZQ160" s="21"/>
      <c r="ZR160" s="21"/>
      <c r="ZS160" s="7"/>
      <c r="ZT160" s="7"/>
      <c r="ZU160" s="21"/>
      <c r="ZV160" s="20"/>
      <c r="ZW160" s="20"/>
      <c r="ZX160" s="20"/>
      <c r="ZY160" s="21"/>
      <c r="ZZ160" s="21"/>
      <c r="AAA160" s="21"/>
      <c r="AAB160" s="21"/>
      <c r="AAC160" s="21"/>
      <c r="AAD160" s="20"/>
      <c r="AAE160" s="20"/>
      <c r="AAF160" s="20"/>
      <c r="AAG160" s="20"/>
      <c r="AAH160" s="21"/>
      <c r="AAI160" s="21"/>
      <c r="AAJ160" s="7"/>
      <c r="AAK160" s="7"/>
      <c r="AAL160" s="21"/>
      <c r="AAM160" s="20"/>
      <c r="AAN160" s="20"/>
      <c r="AAO160" s="20"/>
      <c r="AAP160" s="21"/>
      <c r="AAQ160" s="21"/>
      <c r="AAR160" s="21"/>
      <c r="AAS160" s="21"/>
      <c r="AAT160" s="21"/>
      <c r="AAU160" s="20"/>
      <c r="AAV160" s="20"/>
      <c r="AAW160" s="20"/>
      <c r="AAX160" s="20"/>
      <c r="AAY160" s="21"/>
      <c r="AAZ160" s="21"/>
      <c r="ABA160" s="7"/>
      <c r="ABB160" s="7"/>
      <c r="ABC160" s="21"/>
      <c r="ABD160" s="20"/>
      <c r="ABE160" s="20"/>
      <c r="ABF160" s="20"/>
      <c r="ABG160" s="21"/>
      <c r="ABH160" s="21"/>
      <c r="ABI160" s="21"/>
      <c r="ABJ160" s="21"/>
      <c r="ABK160" s="21"/>
      <c r="ABL160" s="20"/>
      <c r="ABM160" s="20"/>
      <c r="ABN160" s="20"/>
      <c r="ABO160" s="20"/>
      <c r="ABP160" s="21"/>
      <c r="ABQ160" s="21"/>
      <c r="ABR160" s="7"/>
      <c r="ABS160" s="7"/>
      <c r="ABT160" s="21"/>
      <c r="ABU160" s="20"/>
      <c r="ABV160" s="20"/>
      <c r="ABW160" s="20"/>
      <c r="ABX160" s="21"/>
      <c r="ABY160" s="21"/>
      <c r="ABZ160" s="21"/>
      <c r="ACA160" s="21"/>
      <c r="ACB160" s="21"/>
      <c r="ACC160" s="20"/>
      <c r="ACD160" s="20"/>
      <c r="ACE160" s="20"/>
      <c r="ACF160" s="20"/>
      <c r="ACG160" s="21"/>
      <c r="ACH160" s="21"/>
      <c r="ACI160" s="7"/>
      <c r="ACJ160" s="7"/>
      <c r="ACK160" s="21"/>
      <c r="ACL160" s="20"/>
      <c r="ACM160" s="20"/>
      <c r="ACN160" s="20"/>
      <c r="ACO160" s="21"/>
      <c r="ACP160" s="21"/>
      <c r="ACQ160" s="21"/>
      <c r="ACR160" s="21"/>
      <c r="ACS160" s="21"/>
      <c r="ACT160" s="20"/>
      <c r="ACU160" s="20"/>
      <c r="ACV160" s="20"/>
      <c r="ACW160" s="20"/>
      <c r="ACX160" s="21"/>
      <c r="ACY160" s="21"/>
      <c r="ACZ160" s="7"/>
      <c r="ADA160" s="7"/>
      <c r="ADB160" s="21"/>
      <c r="ADC160" s="20"/>
      <c r="ADD160" s="20"/>
      <c r="ADE160" s="20"/>
      <c r="ADF160" s="21"/>
      <c r="ADG160" s="21"/>
      <c r="ADH160" s="21"/>
      <c r="ADI160" s="21"/>
      <c r="ADJ160" s="21"/>
      <c r="ADK160" s="20"/>
      <c r="ADL160" s="20"/>
      <c r="ADM160" s="20"/>
      <c r="ADN160" s="20"/>
      <c r="ADO160" s="21"/>
      <c r="ADP160" s="21"/>
      <c r="ADQ160" s="7"/>
      <c r="ADR160" s="7"/>
      <c r="ADS160" s="21"/>
      <c r="ADT160" s="20"/>
      <c r="ADU160" s="20"/>
      <c r="ADV160" s="20"/>
      <c r="ADW160" s="21"/>
      <c r="ADX160" s="21"/>
      <c r="ADY160" s="21"/>
      <c r="ADZ160" s="21"/>
      <c r="AEA160" s="21"/>
      <c r="AEB160" s="20"/>
      <c r="AEC160" s="20"/>
      <c r="AED160" s="20"/>
      <c r="AEE160" s="20"/>
      <c r="AEF160" s="21"/>
      <c r="AEG160" s="21"/>
      <c r="AEH160" s="7"/>
      <c r="AEI160" s="7"/>
      <c r="AEJ160" s="21"/>
      <c r="AEK160" s="20"/>
      <c r="AEL160" s="20"/>
      <c r="AEM160" s="20"/>
      <c r="AEN160" s="21"/>
      <c r="AEO160" s="21"/>
      <c r="AEP160" s="21"/>
      <c r="AEQ160" s="21"/>
      <c r="AER160" s="21"/>
      <c r="AES160" s="20"/>
      <c r="AET160" s="20"/>
      <c r="AEU160" s="20"/>
      <c r="AEV160" s="20"/>
      <c r="AEW160" s="21"/>
      <c r="AEX160" s="21"/>
      <c r="AEY160" s="7"/>
      <c r="AEZ160" s="7"/>
      <c r="AFA160" s="21"/>
      <c r="AFB160" s="20"/>
      <c r="AFC160" s="20"/>
      <c r="AFD160" s="20"/>
      <c r="AFE160" s="21"/>
      <c r="AFF160" s="21"/>
      <c r="AFG160" s="21"/>
      <c r="AFH160" s="21"/>
      <c r="AFI160" s="21"/>
      <c r="AFJ160" s="20"/>
      <c r="AFK160" s="20"/>
      <c r="AFL160" s="20"/>
      <c r="AFM160" s="20"/>
      <c r="AFN160" s="21"/>
      <c r="AFO160" s="21"/>
      <c r="AFP160" s="7"/>
      <c r="AFQ160" s="7"/>
      <c r="AFR160" s="21"/>
      <c r="AFS160" s="20"/>
      <c r="AFT160" s="20"/>
      <c r="AFU160" s="20"/>
      <c r="AFV160" s="21"/>
      <c r="AFW160" s="21"/>
      <c r="AFX160" s="21"/>
      <c r="AFY160" s="21"/>
      <c r="AFZ160" s="21"/>
      <c r="AGA160" s="20"/>
      <c r="AGB160" s="20"/>
      <c r="AGC160" s="20"/>
      <c r="AGD160" s="20"/>
      <c r="AGE160" s="21"/>
      <c r="AGF160" s="21"/>
      <c r="AGG160" s="7"/>
      <c r="AGH160" s="7"/>
      <c r="AGI160" s="21"/>
      <c r="AGJ160" s="20"/>
      <c r="AGK160" s="20"/>
      <c r="AGL160" s="20"/>
      <c r="AGM160" s="21"/>
      <c r="AGN160" s="21"/>
      <c r="AGO160" s="21"/>
      <c r="AGP160" s="21"/>
      <c r="AGQ160" s="21"/>
      <c r="AGR160" s="20"/>
      <c r="AGS160" s="20"/>
      <c r="AGT160" s="20"/>
      <c r="AGU160" s="20"/>
      <c r="AGV160" s="21"/>
      <c r="AGW160" s="21"/>
      <c r="AGX160" s="7"/>
      <c r="AGY160" s="7"/>
      <c r="AGZ160" s="21"/>
      <c r="AHA160" s="20"/>
      <c r="AHB160" s="20"/>
      <c r="AHC160" s="20"/>
      <c r="AHD160" s="21"/>
      <c r="AHE160" s="21"/>
      <c r="AHF160" s="21"/>
      <c r="AHG160" s="21"/>
      <c r="AHH160" s="21"/>
      <c r="AHI160" s="20"/>
      <c r="AHJ160" s="20"/>
      <c r="AHK160" s="20"/>
      <c r="AHL160" s="20"/>
      <c r="AHM160" s="21"/>
      <c r="AHN160" s="21"/>
      <c r="AHO160" s="7"/>
      <c r="AHP160" s="7"/>
      <c r="AHQ160" s="21"/>
      <c r="AHR160" s="20"/>
      <c r="AHS160" s="20"/>
      <c r="AHT160" s="20"/>
      <c r="AHU160" s="21"/>
      <c r="AHV160" s="21"/>
      <c r="AHW160" s="21"/>
      <c r="AHX160" s="21"/>
      <c r="AHY160" s="21"/>
      <c r="AHZ160" s="20"/>
      <c r="AIA160" s="20"/>
      <c r="AIB160" s="20"/>
      <c r="AIC160" s="20"/>
      <c r="AID160" s="21"/>
      <c r="AIE160" s="21"/>
      <c r="AIF160" s="7"/>
      <c r="AIG160" s="7"/>
      <c r="AIH160" s="21"/>
      <c r="AII160" s="20"/>
      <c r="AIJ160" s="20"/>
      <c r="AIK160" s="20"/>
      <c r="AIL160" s="21"/>
      <c r="AIM160" s="21"/>
      <c r="AIN160" s="21"/>
      <c r="AIO160" s="21"/>
      <c r="AIP160" s="21"/>
      <c r="AIQ160" s="20"/>
      <c r="AIR160" s="20"/>
      <c r="AIS160" s="20"/>
      <c r="AIT160" s="20"/>
      <c r="AIU160" s="21"/>
      <c r="AIV160" s="21"/>
      <c r="AIW160" s="7"/>
      <c r="AIX160" s="7"/>
      <c r="AIY160" s="21"/>
      <c r="AIZ160" s="20"/>
      <c r="AJA160" s="20"/>
      <c r="AJB160" s="20"/>
      <c r="AJC160" s="21"/>
      <c r="AJD160" s="21"/>
      <c r="AJE160" s="21"/>
      <c r="AJF160" s="21"/>
      <c r="AJG160" s="21"/>
      <c r="AJH160" s="20"/>
      <c r="AJI160" s="20"/>
      <c r="AJJ160" s="20"/>
      <c r="AJK160" s="20"/>
      <c r="AJL160" s="21"/>
      <c r="AJM160" s="21"/>
      <c r="AJN160" s="7"/>
      <c r="AJO160" s="7"/>
      <c r="AJP160" s="21"/>
      <c r="AJQ160" s="20"/>
      <c r="AJR160" s="20"/>
      <c r="AJS160" s="20"/>
      <c r="AJT160" s="21"/>
      <c r="AJU160" s="21"/>
      <c r="AJV160" s="21"/>
      <c r="AJW160" s="21"/>
      <c r="AJX160" s="21"/>
      <c r="AJY160" s="20"/>
      <c r="AJZ160" s="20"/>
      <c r="AKA160" s="20"/>
      <c r="AKB160" s="20"/>
      <c r="AKC160" s="21"/>
      <c r="AKD160" s="21"/>
      <c r="AKE160" s="7"/>
      <c r="AKF160" s="7"/>
      <c r="AKG160" s="21"/>
      <c r="AKH160" s="20"/>
      <c r="AKI160" s="20"/>
      <c r="AKJ160" s="20"/>
      <c r="AKK160" s="21"/>
      <c r="AKL160" s="21"/>
      <c r="AKM160" s="21"/>
      <c r="AKN160" s="21"/>
      <c r="AKO160" s="21"/>
      <c r="AKP160" s="20"/>
      <c r="AKQ160" s="20"/>
      <c r="AKR160" s="20"/>
      <c r="AKS160" s="20"/>
      <c r="AKT160" s="21"/>
      <c r="AKU160" s="21"/>
      <c r="AKV160" s="7"/>
      <c r="AKW160" s="7"/>
      <c r="AKX160" s="21"/>
      <c r="AKY160" s="20"/>
      <c r="AKZ160" s="20"/>
      <c r="ALA160" s="20"/>
      <c r="ALB160" s="21"/>
      <c r="ALC160" s="21"/>
      <c r="ALD160" s="21"/>
      <c r="ALE160" s="21"/>
      <c r="ALF160" s="21"/>
      <c r="ALG160" s="20"/>
      <c r="ALH160" s="20"/>
      <c r="ALI160" s="20"/>
      <c r="ALJ160" s="20"/>
      <c r="ALK160" s="21"/>
      <c r="ALL160" s="21"/>
      <c r="ALM160" s="7"/>
      <c r="ALN160" s="7"/>
      <c r="ALO160" s="21"/>
      <c r="ALP160" s="20"/>
      <c r="ALQ160" s="20"/>
      <c r="ALR160" s="20"/>
      <c r="ALS160" s="21"/>
      <c r="ALT160" s="21"/>
      <c r="ALU160" s="21"/>
      <c r="ALV160" s="21"/>
      <c r="ALW160" s="21"/>
      <c r="ALX160" s="20"/>
      <c r="ALY160" s="20"/>
      <c r="ALZ160" s="20"/>
      <c r="AMA160" s="20"/>
      <c r="AMB160" s="21"/>
      <c r="AMC160" s="21"/>
      <c r="AMD160" s="7"/>
      <c r="AME160" s="7"/>
      <c r="AMF160" s="21"/>
      <c r="AMG160" s="20"/>
      <c r="AMH160" s="20"/>
      <c r="AMI160" s="20"/>
      <c r="AMJ160" s="21"/>
      <c r="AMK160" s="21"/>
      <c r="AML160" s="21"/>
      <c r="AMM160" s="21"/>
      <c r="AMN160" s="21"/>
      <c r="AMO160" s="20"/>
      <c r="AMP160" s="20"/>
      <c r="AMQ160" s="20"/>
      <c r="AMR160" s="20"/>
      <c r="AMS160" s="21"/>
      <c r="AMT160" s="21"/>
      <c r="AMU160" s="7"/>
      <c r="AMV160" s="7"/>
      <c r="AMW160" s="21"/>
      <c r="AMX160" s="20"/>
      <c r="AMY160" s="20"/>
      <c r="AMZ160" s="20"/>
      <c r="ANA160" s="21"/>
      <c r="ANB160" s="21"/>
      <c r="ANC160" s="21"/>
      <c r="AND160" s="21"/>
      <c r="ANE160" s="21"/>
      <c r="ANF160" s="20"/>
      <c r="ANG160" s="20"/>
      <c r="ANH160" s="20"/>
      <c r="ANI160" s="20"/>
      <c r="ANJ160" s="21"/>
      <c r="ANK160" s="21"/>
      <c r="ANL160" s="7"/>
      <c r="ANM160" s="7"/>
      <c r="ANN160" s="21"/>
      <c r="ANO160" s="20"/>
      <c r="ANP160" s="20"/>
      <c r="ANQ160" s="20"/>
      <c r="ANR160" s="21"/>
      <c r="ANS160" s="21"/>
      <c r="ANT160" s="21"/>
      <c r="ANU160" s="21"/>
      <c r="ANV160" s="21"/>
      <c r="ANW160" s="20"/>
      <c r="ANX160" s="20"/>
      <c r="ANY160" s="20"/>
      <c r="ANZ160" s="20"/>
      <c r="AOA160" s="21"/>
      <c r="AOB160" s="21"/>
      <c r="AOC160" s="7"/>
      <c r="AOD160" s="7"/>
      <c r="AOE160" s="21"/>
      <c r="AOF160" s="20"/>
      <c r="AOG160" s="20"/>
      <c r="AOH160" s="20"/>
      <c r="AOI160" s="21"/>
      <c r="AOJ160" s="21"/>
      <c r="AOK160" s="21"/>
      <c r="AOL160" s="21"/>
      <c r="AOM160" s="21"/>
      <c r="AON160" s="20"/>
      <c r="AOO160" s="20"/>
      <c r="AOP160" s="20"/>
      <c r="AOQ160" s="20"/>
      <c r="AOR160" s="21"/>
      <c r="AOS160" s="21"/>
      <c r="AOT160" s="7"/>
      <c r="AOU160" s="7"/>
      <c r="AOV160" s="21"/>
      <c r="AOW160" s="20"/>
      <c r="AOX160" s="20"/>
      <c r="AOY160" s="20"/>
      <c r="AOZ160" s="21"/>
      <c r="APA160" s="21"/>
      <c r="APB160" s="21"/>
      <c r="APC160" s="21"/>
      <c r="APD160" s="21"/>
      <c r="APE160" s="20"/>
      <c r="APF160" s="20"/>
      <c r="APG160" s="20"/>
      <c r="APH160" s="20"/>
      <c r="API160" s="21"/>
      <c r="APJ160" s="21"/>
      <c r="APK160" s="7"/>
      <c r="APL160" s="7"/>
      <c r="APM160" s="21"/>
      <c r="APN160" s="20"/>
      <c r="APO160" s="20"/>
      <c r="APP160" s="20"/>
      <c r="APQ160" s="21"/>
      <c r="APR160" s="21"/>
      <c r="APS160" s="21"/>
      <c r="APT160" s="21"/>
      <c r="APU160" s="21"/>
      <c r="APV160" s="20"/>
      <c r="APW160" s="20"/>
      <c r="APX160" s="20"/>
      <c r="APY160" s="20"/>
      <c r="APZ160" s="21"/>
      <c r="AQA160" s="21"/>
      <c r="AQB160" s="7"/>
      <c r="AQC160" s="7"/>
      <c r="AQD160" s="21"/>
      <c r="AQE160" s="20"/>
      <c r="AQF160" s="20"/>
      <c r="AQG160" s="20"/>
      <c r="AQH160" s="21"/>
      <c r="AQI160" s="21"/>
      <c r="AQJ160" s="21"/>
      <c r="AQK160" s="21"/>
      <c r="AQL160" s="21"/>
      <c r="AQM160" s="20"/>
      <c r="AQN160" s="20"/>
      <c r="AQO160" s="20"/>
      <c r="AQP160" s="20"/>
      <c r="AQQ160" s="21"/>
      <c r="AQR160" s="21"/>
      <c r="AQS160" s="7"/>
      <c r="AQT160" s="7"/>
      <c r="AQU160" s="21"/>
      <c r="AQV160" s="20"/>
      <c r="AQW160" s="20"/>
      <c r="AQX160" s="20"/>
      <c r="AQY160" s="21"/>
      <c r="AQZ160" s="21"/>
      <c r="ARA160" s="21"/>
      <c r="ARB160" s="21"/>
      <c r="ARC160" s="21"/>
      <c r="ARD160" s="20"/>
      <c r="ARE160" s="20"/>
      <c r="ARF160" s="20"/>
      <c r="ARG160" s="20"/>
      <c r="ARH160" s="21"/>
      <c r="ARI160" s="21"/>
      <c r="ARJ160" s="7"/>
      <c r="ARK160" s="7"/>
      <c r="ARL160" s="21"/>
      <c r="ARM160" s="20"/>
      <c r="ARN160" s="20"/>
      <c r="ARO160" s="20"/>
      <c r="ARP160" s="21"/>
      <c r="ARQ160" s="21"/>
      <c r="ARR160" s="21"/>
      <c r="ARS160" s="21"/>
      <c r="ART160" s="21"/>
      <c r="ARU160" s="20"/>
      <c r="ARV160" s="20"/>
      <c r="ARW160" s="20"/>
      <c r="ARX160" s="20"/>
      <c r="ARY160" s="21"/>
      <c r="ARZ160" s="21"/>
      <c r="ASA160" s="7"/>
      <c r="ASB160" s="7"/>
      <c r="ASC160" s="21"/>
      <c r="ASD160" s="20"/>
      <c r="ASE160" s="20"/>
      <c r="ASF160" s="20"/>
      <c r="ASG160" s="21"/>
      <c r="ASH160" s="21"/>
      <c r="ASI160" s="21"/>
      <c r="ASJ160" s="21"/>
      <c r="ASK160" s="21"/>
      <c r="ASL160" s="20"/>
      <c r="ASM160" s="20"/>
      <c r="ASN160" s="20"/>
      <c r="ASO160" s="20"/>
      <c r="ASP160" s="21"/>
      <c r="ASQ160" s="21"/>
      <c r="ASR160" s="7"/>
      <c r="ASS160" s="7"/>
      <c r="AST160" s="21"/>
      <c r="ASU160" s="20"/>
      <c r="ASV160" s="20"/>
      <c r="ASW160" s="20"/>
      <c r="ASX160" s="21"/>
      <c r="ASY160" s="21"/>
      <c r="ASZ160" s="21"/>
      <c r="ATA160" s="21"/>
      <c r="ATB160" s="21"/>
      <c r="ATC160" s="20"/>
      <c r="ATD160" s="20"/>
      <c r="ATE160" s="20"/>
      <c r="ATF160" s="20"/>
      <c r="ATG160" s="21"/>
      <c r="ATH160" s="21"/>
      <c r="ATI160" s="7"/>
      <c r="ATJ160" s="7"/>
      <c r="ATK160" s="21"/>
      <c r="ATL160" s="20"/>
      <c r="ATM160" s="20"/>
      <c r="ATN160" s="20"/>
      <c r="ATO160" s="21"/>
      <c r="ATP160" s="21"/>
      <c r="ATQ160" s="21"/>
      <c r="ATR160" s="21"/>
      <c r="ATS160" s="21"/>
      <c r="ATT160" s="20"/>
      <c r="ATU160" s="20"/>
      <c r="ATV160" s="20"/>
      <c r="ATW160" s="20"/>
      <c r="ATX160" s="21"/>
      <c r="ATY160" s="21"/>
      <c r="ATZ160" s="7"/>
      <c r="AUA160" s="7"/>
      <c r="AUB160" s="21"/>
      <c r="AUC160" s="20"/>
      <c r="AUD160" s="20"/>
      <c r="AUE160" s="20"/>
      <c r="AUF160" s="21"/>
      <c r="AUG160" s="21"/>
      <c r="AUH160" s="21"/>
      <c r="AUI160" s="21"/>
      <c r="AUJ160" s="21"/>
      <c r="AUK160" s="20"/>
      <c r="AUL160" s="20"/>
      <c r="AUM160" s="20"/>
      <c r="AUN160" s="20"/>
      <c r="AUO160" s="21"/>
      <c r="AUP160" s="21"/>
      <c r="AUQ160" s="7"/>
      <c r="AUR160" s="7"/>
      <c r="AUS160" s="21"/>
      <c r="AUT160" s="20"/>
      <c r="AUU160" s="20"/>
      <c r="AUV160" s="20"/>
      <c r="AUW160" s="21"/>
      <c r="AUX160" s="21"/>
      <c r="AUY160" s="21"/>
      <c r="AUZ160" s="21"/>
      <c r="AVA160" s="21"/>
      <c r="AVB160" s="20"/>
      <c r="AVC160" s="20"/>
      <c r="AVD160" s="20"/>
      <c r="AVE160" s="20"/>
      <c r="AVF160" s="21"/>
      <c r="AVG160" s="21"/>
      <c r="AVH160" s="7"/>
      <c r="AVI160" s="7"/>
      <c r="AVJ160" s="21"/>
      <c r="AVK160" s="20"/>
      <c r="AVL160" s="20"/>
      <c r="AVM160" s="20"/>
      <c r="AVN160" s="21"/>
      <c r="AVO160" s="21"/>
      <c r="AVP160" s="21"/>
      <c r="AVQ160" s="21"/>
      <c r="AVR160" s="21"/>
      <c r="AVS160" s="20"/>
      <c r="AVT160" s="20"/>
      <c r="AVU160" s="20"/>
      <c r="AVV160" s="20"/>
      <c r="AVW160" s="21"/>
      <c r="AVX160" s="21"/>
      <c r="AVY160" s="7"/>
      <c r="AVZ160" s="7"/>
      <c r="AWA160" s="21"/>
      <c r="AWB160" s="20"/>
      <c r="AWC160" s="20"/>
      <c r="AWD160" s="20"/>
      <c r="AWE160" s="21"/>
      <c r="AWF160" s="21"/>
      <c r="AWG160" s="21"/>
      <c r="AWH160" s="21"/>
      <c r="AWI160" s="21"/>
      <c r="AWJ160" s="20"/>
      <c r="AWK160" s="20"/>
      <c r="AWL160" s="20"/>
      <c r="AWM160" s="20"/>
      <c r="AWN160" s="21"/>
      <c r="AWO160" s="21"/>
      <c r="AWP160" s="7"/>
      <c r="AWQ160" s="7"/>
      <c r="AWR160" s="21"/>
      <c r="AWS160" s="20"/>
      <c r="AWT160" s="20"/>
      <c r="AWU160" s="20"/>
      <c r="AWV160" s="21"/>
      <c r="AWW160" s="21"/>
      <c r="AWX160" s="21"/>
      <c r="AWY160" s="21"/>
      <c r="AWZ160" s="21"/>
      <c r="AXA160" s="20"/>
      <c r="AXB160" s="20"/>
      <c r="AXC160" s="20"/>
      <c r="AXD160" s="20"/>
      <c r="AXE160" s="21"/>
      <c r="AXF160" s="21"/>
      <c r="AXG160" s="7"/>
      <c r="AXH160" s="7"/>
      <c r="AXI160" s="21"/>
      <c r="AXJ160" s="20"/>
      <c r="AXK160" s="20"/>
      <c r="AXL160" s="20"/>
      <c r="AXM160" s="21"/>
      <c r="AXN160" s="21"/>
      <c r="AXO160" s="21"/>
      <c r="AXP160" s="21"/>
      <c r="AXQ160" s="21"/>
      <c r="AXR160" s="20"/>
      <c r="AXS160" s="20"/>
      <c r="AXT160" s="20"/>
      <c r="AXU160" s="20"/>
      <c r="AXV160" s="21"/>
      <c r="AXW160" s="21"/>
      <c r="AXX160" s="7"/>
      <c r="AXY160" s="7"/>
      <c r="AXZ160" s="21"/>
      <c r="AYA160" s="20"/>
      <c r="AYB160" s="20"/>
      <c r="AYC160" s="20"/>
      <c r="AYD160" s="21"/>
      <c r="AYE160" s="21"/>
      <c r="AYF160" s="21"/>
      <c r="AYG160" s="21"/>
      <c r="AYH160" s="21"/>
      <c r="AYI160" s="20"/>
      <c r="AYJ160" s="20"/>
      <c r="AYK160" s="20"/>
      <c r="AYL160" s="20"/>
      <c r="AYM160" s="21"/>
      <c r="AYN160" s="21"/>
      <c r="AYO160" s="7"/>
      <c r="AYP160" s="7"/>
      <c r="AYQ160" s="21"/>
      <c r="AYR160" s="20"/>
      <c r="AYS160" s="20"/>
      <c r="AYT160" s="20"/>
      <c r="AYU160" s="21"/>
      <c r="AYV160" s="21"/>
      <c r="AYW160" s="21"/>
      <c r="AYX160" s="21"/>
      <c r="AYY160" s="21"/>
      <c r="AYZ160" s="20"/>
      <c r="AZA160" s="20"/>
      <c r="AZB160" s="20"/>
      <c r="AZC160" s="20"/>
      <c r="AZD160" s="21"/>
      <c r="AZE160" s="21"/>
      <c r="AZF160" s="7"/>
      <c r="AZG160" s="7"/>
      <c r="AZH160" s="21"/>
      <c r="AZI160" s="20"/>
      <c r="AZJ160" s="20"/>
      <c r="AZK160" s="20"/>
      <c r="AZL160" s="21"/>
      <c r="AZM160" s="21"/>
      <c r="AZN160" s="21"/>
      <c r="AZO160" s="21"/>
      <c r="AZP160" s="21"/>
      <c r="AZQ160" s="20"/>
      <c r="AZR160" s="20"/>
      <c r="AZS160" s="20"/>
      <c r="AZT160" s="20"/>
      <c r="AZU160" s="21"/>
      <c r="AZV160" s="21"/>
      <c r="AZW160" s="7"/>
      <c r="AZX160" s="7"/>
      <c r="AZY160" s="21"/>
      <c r="AZZ160" s="20"/>
      <c r="BAA160" s="20"/>
      <c r="BAB160" s="20"/>
      <c r="BAC160" s="21"/>
      <c r="BAD160" s="21"/>
      <c r="BAE160" s="21"/>
      <c r="BAF160" s="21"/>
      <c r="BAG160" s="21"/>
      <c r="BAH160" s="20"/>
      <c r="BAI160" s="20"/>
      <c r="BAJ160" s="20"/>
      <c r="BAK160" s="20"/>
      <c r="BAL160" s="21"/>
      <c r="BAM160" s="21"/>
      <c r="BAN160" s="7"/>
      <c r="BAO160" s="7"/>
      <c r="BAP160" s="21"/>
      <c r="BAQ160" s="20"/>
      <c r="BAR160" s="20"/>
      <c r="BAS160" s="20"/>
      <c r="BAT160" s="21"/>
      <c r="BAU160" s="21"/>
      <c r="BAV160" s="21"/>
      <c r="BAW160" s="21"/>
      <c r="BAX160" s="21"/>
      <c r="BAY160" s="20"/>
      <c r="BAZ160" s="20"/>
      <c r="BBA160" s="20"/>
      <c r="BBB160" s="20"/>
      <c r="BBC160" s="21"/>
      <c r="BBD160" s="21"/>
      <c r="BBE160" s="7"/>
      <c r="BBF160" s="7"/>
      <c r="BBG160" s="21"/>
      <c r="BBH160" s="20"/>
      <c r="BBI160" s="20"/>
      <c r="BBJ160" s="20"/>
      <c r="BBK160" s="21"/>
      <c r="BBL160" s="21"/>
      <c r="BBM160" s="21"/>
      <c r="BBN160" s="21"/>
      <c r="BBO160" s="21"/>
      <c r="BBP160" s="20"/>
      <c r="BBQ160" s="20"/>
      <c r="BBR160" s="20"/>
      <c r="BBS160" s="20"/>
      <c r="BBT160" s="21"/>
      <c r="BBU160" s="21"/>
      <c r="BBV160" s="7"/>
      <c r="BBW160" s="7"/>
      <c r="BBX160" s="21"/>
      <c r="BBY160" s="20"/>
      <c r="BBZ160" s="20"/>
      <c r="BCA160" s="20"/>
      <c r="BCB160" s="21"/>
      <c r="BCC160" s="21"/>
      <c r="BCD160" s="21"/>
      <c r="BCE160" s="21"/>
      <c r="BCF160" s="21"/>
      <c r="BCG160" s="20"/>
      <c r="BCH160" s="20"/>
      <c r="BCI160" s="20"/>
      <c r="BCJ160" s="20"/>
      <c r="BCK160" s="21"/>
      <c r="BCL160" s="21"/>
      <c r="BCM160" s="7"/>
      <c r="BCN160" s="7"/>
      <c r="BCO160" s="21"/>
      <c r="BCP160" s="20"/>
      <c r="BCQ160" s="20"/>
      <c r="BCR160" s="20"/>
      <c r="BCS160" s="21"/>
      <c r="BCT160" s="21"/>
      <c r="BCU160" s="21"/>
      <c r="BCV160" s="21"/>
      <c r="BCW160" s="21"/>
      <c r="BCX160" s="20"/>
      <c r="BCY160" s="20"/>
      <c r="BCZ160" s="20"/>
      <c r="BDA160" s="20"/>
      <c r="BDB160" s="21"/>
      <c r="BDC160" s="21"/>
      <c r="BDD160" s="7"/>
      <c r="BDE160" s="7"/>
      <c r="BDF160" s="21"/>
      <c r="BDG160" s="20"/>
      <c r="BDH160" s="20"/>
      <c r="BDI160" s="20"/>
      <c r="BDJ160" s="21"/>
      <c r="BDK160" s="21"/>
      <c r="BDL160" s="21"/>
      <c r="BDM160" s="21"/>
      <c r="BDN160" s="21"/>
      <c r="BDO160" s="20"/>
      <c r="BDP160" s="20"/>
      <c r="BDQ160" s="20"/>
      <c r="BDR160" s="20"/>
      <c r="BDS160" s="21"/>
      <c r="BDT160" s="21"/>
      <c r="BDU160" s="7"/>
      <c r="BDV160" s="7"/>
      <c r="BDW160" s="21"/>
      <c r="BDX160" s="20"/>
      <c r="BDY160" s="20"/>
      <c r="BDZ160" s="20"/>
      <c r="BEA160" s="21"/>
      <c r="BEB160" s="21"/>
      <c r="BEC160" s="21"/>
      <c r="BED160" s="21"/>
      <c r="BEE160" s="21"/>
      <c r="BEF160" s="20"/>
      <c r="BEG160" s="20"/>
      <c r="BEH160" s="20"/>
      <c r="BEI160" s="20"/>
      <c r="BEJ160" s="21"/>
      <c r="BEK160" s="21"/>
      <c r="BEL160" s="7"/>
      <c r="BEM160" s="7"/>
      <c r="BEN160" s="21"/>
      <c r="BEO160" s="20"/>
      <c r="BEP160" s="20"/>
      <c r="BEQ160" s="20"/>
      <c r="BER160" s="21"/>
      <c r="BES160" s="21"/>
      <c r="BET160" s="21"/>
      <c r="BEU160" s="21"/>
      <c r="BEV160" s="21"/>
      <c r="BEW160" s="20"/>
      <c r="BEX160" s="20"/>
      <c r="BEY160" s="20"/>
      <c r="BEZ160" s="20"/>
      <c r="BFA160" s="21"/>
      <c r="BFB160" s="21"/>
      <c r="BFC160" s="7"/>
      <c r="BFD160" s="7"/>
      <c r="BFE160" s="21"/>
      <c r="BFF160" s="20"/>
      <c r="BFG160" s="20"/>
      <c r="BFH160" s="20"/>
      <c r="BFI160" s="21"/>
      <c r="BFJ160" s="21"/>
      <c r="BFK160" s="21"/>
      <c r="BFL160" s="21"/>
      <c r="BFM160" s="21"/>
      <c r="BFN160" s="20"/>
      <c r="BFO160" s="20"/>
      <c r="BFP160" s="20"/>
      <c r="BFQ160" s="20"/>
      <c r="BFR160" s="21"/>
      <c r="BFS160" s="21"/>
      <c r="BFT160" s="7"/>
      <c r="BFU160" s="7"/>
      <c r="BFV160" s="21"/>
      <c r="BFW160" s="20"/>
      <c r="BFX160" s="20"/>
      <c r="BFY160" s="20"/>
      <c r="BFZ160" s="21"/>
      <c r="BGA160" s="21"/>
      <c r="BGB160" s="21"/>
      <c r="BGC160" s="21"/>
      <c r="BGD160" s="21"/>
      <c r="BGE160" s="20"/>
      <c r="BGF160" s="20"/>
      <c r="BGG160" s="20"/>
      <c r="BGH160" s="20"/>
      <c r="BGI160" s="21"/>
      <c r="BGJ160" s="21"/>
      <c r="BGK160" s="7"/>
      <c r="BGL160" s="7"/>
      <c r="BGM160" s="21"/>
      <c r="BGN160" s="20"/>
      <c r="BGO160" s="20"/>
      <c r="BGP160" s="20"/>
      <c r="BGQ160" s="21"/>
      <c r="BGR160" s="21"/>
      <c r="BGS160" s="21"/>
      <c r="BGT160" s="21"/>
      <c r="BGU160" s="21"/>
      <c r="BGV160" s="20"/>
      <c r="BGW160" s="20"/>
      <c r="BGX160" s="20"/>
      <c r="BGY160" s="20"/>
      <c r="BGZ160" s="21"/>
      <c r="BHA160" s="21"/>
      <c r="BHB160" s="7"/>
      <c r="BHC160" s="7"/>
      <c r="BHD160" s="21"/>
      <c r="BHE160" s="20"/>
      <c r="BHF160" s="20"/>
      <c r="BHG160" s="20"/>
      <c r="BHH160" s="21"/>
      <c r="BHI160" s="21"/>
      <c r="BHJ160" s="21"/>
      <c r="BHK160" s="21"/>
      <c r="BHL160" s="21"/>
      <c r="BHM160" s="20"/>
      <c r="BHN160" s="20"/>
      <c r="BHO160" s="20"/>
      <c r="BHP160" s="20"/>
      <c r="BHQ160" s="21"/>
      <c r="BHR160" s="21"/>
      <c r="BHS160" s="7"/>
      <c r="BHT160" s="7"/>
      <c r="BHU160" s="21"/>
      <c r="BHV160" s="20"/>
      <c r="BHW160" s="20"/>
      <c r="BHX160" s="20"/>
      <c r="BHY160" s="21"/>
      <c r="BHZ160" s="21"/>
      <c r="BIA160" s="21"/>
      <c r="BIB160" s="21"/>
      <c r="BIC160" s="21"/>
      <c r="BID160" s="20"/>
      <c r="BIE160" s="20"/>
      <c r="BIF160" s="20"/>
      <c r="BIG160" s="20"/>
      <c r="BIH160" s="21"/>
      <c r="BII160" s="21"/>
      <c r="BIJ160" s="7"/>
      <c r="BIK160" s="7"/>
      <c r="BIL160" s="21"/>
      <c r="BIM160" s="20"/>
      <c r="BIN160" s="20"/>
      <c r="BIO160" s="20"/>
      <c r="BIP160" s="21"/>
      <c r="BIQ160" s="21"/>
      <c r="BIR160" s="21"/>
      <c r="BIS160" s="21"/>
      <c r="BIT160" s="21"/>
      <c r="BIU160" s="20"/>
      <c r="BIV160" s="20"/>
      <c r="BIW160" s="20"/>
      <c r="BIX160" s="20"/>
      <c r="BIY160" s="21"/>
      <c r="BIZ160" s="21"/>
      <c r="BJA160" s="7"/>
      <c r="BJB160" s="7"/>
      <c r="BJC160" s="21"/>
      <c r="BJD160" s="20"/>
      <c r="BJE160" s="20"/>
      <c r="BJF160" s="20"/>
      <c r="BJG160" s="21"/>
      <c r="BJH160" s="21"/>
      <c r="BJI160" s="21"/>
      <c r="BJJ160" s="21"/>
      <c r="BJK160" s="21"/>
      <c r="BJL160" s="20"/>
      <c r="BJM160" s="20"/>
      <c r="BJN160" s="20"/>
      <c r="BJO160" s="20"/>
      <c r="BJP160" s="21"/>
      <c r="BJQ160" s="21"/>
      <c r="BJR160" s="7"/>
      <c r="BJS160" s="7"/>
      <c r="BJT160" s="21"/>
      <c r="BJU160" s="20"/>
      <c r="BJV160" s="20"/>
      <c r="BJW160" s="20"/>
      <c r="BJX160" s="21"/>
      <c r="BJY160" s="21"/>
      <c r="BJZ160" s="21"/>
      <c r="BKA160" s="21"/>
      <c r="BKB160" s="21"/>
      <c r="BKC160" s="20"/>
      <c r="BKD160" s="20"/>
      <c r="BKE160" s="20"/>
      <c r="BKF160" s="20"/>
      <c r="BKG160" s="21"/>
      <c r="BKH160" s="21"/>
      <c r="BKI160" s="7"/>
      <c r="BKJ160" s="7"/>
      <c r="BKK160" s="21"/>
      <c r="BKL160" s="20"/>
      <c r="BKM160" s="20"/>
      <c r="BKN160" s="20"/>
      <c r="BKO160" s="21"/>
      <c r="BKP160" s="21"/>
      <c r="BKQ160" s="21"/>
      <c r="BKR160" s="21"/>
      <c r="BKS160" s="21"/>
      <c r="BKT160" s="20"/>
      <c r="BKU160" s="20"/>
      <c r="BKV160" s="20"/>
      <c r="BKW160" s="20"/>
      <c r="BKX160" s="21"/>
      <c r="BKY160" s="21"/>
      <c r="BKZ160" s="7"/>
      <c r="BLA160" s="7"/>
      <c r="BLB160" s="21"/>
      <c r="BLC160" s="20"/>
      <c r="BLD160" s="20"/>
      <c r="BLE160" s="20"/>
      <c r="BLF160" s="21"/>
      <c r="BLG160" s="21"/>
      <c r="BLH160" s="21"/>
      <c r="BLI160" s="21"/>
      <c r="BLJ160" s="21"/>
      <c r="BLK160" s="20"/>
      <c r="BLL160" s="20"/>
      <c r="BLM160" s="20"/>
      <c r="BLN160" s="20"/>
      <c r="BLO160" s="21"/>
      <c r="BLP160" s="21"/>
      <c r="BLQ160" s="7"/>
      <c r="BLR160" s="7"/>
      <c r="BLS160" s="21"/>
      <c r="BLT160" s="20"/>
      <c r="BLU160" s="20"/>
      <c r="BLV160" s="20"/>
      <c r="BLW160" s="21"/>
      <c r="BLX160" s="21"/>
      <c r="BLY160" s="21"/>
      <c r="BLZ160" s="21"/>
      <c r="BMA160" s="21"/>
      <c r="BMB160" s="20"/>
      <c r="BMC160" s="20"/>
      <c r="BMD160" s="20"/>
      <c r="BME160" s="20"/>
      <c r="BMF160" s="21"/>
      <c r="BMG160" s="21"/>
      <c r="BMH160" s="7"/>
      <c r="BMI160" s="7"/>
      <c r="BMJ160" s="21"/>
      <c r="BMK160" s="20"/>
      <c r="BML160" s="20"/>
      <c r="BMM160" s="20"/>
      <c r="BMN160" s="21"/>
      <c r="BMO160" s="21"/>
      <c r="BMP160" s="21"/>
      <c r="BMQ160" s="21"/>
      <c r="BMR160" s="21"/>
      <c r="BMS160" s="20"/>
      <c r="BMT160" s="20"/>
      <c r="BMU160" s="20"/>
      <c r="BMV160" s="20"/>
      <c r="BMW160" s="21"/>
      <c r="BMX160" s="21"/>
      <c r="BMY160" s="7"/>
      <c r="BMZ160" s="7"/>
      <c r="BNA160" s="21"/>
      <c r="BNB160" s="20"/>
      <c r="BNC160" s="20"/>
      <c r="BND160" s="20"/>
      <c r="BNE160" s="21"/>
      <c r="BNF160" s="21"/>
      <c r="BNG160" s="21"/>
      <c r="BNH160" s="21"/>
      <c r="BNI160" s="21"/>
      <c r="BNJ160" s="20"/>
      <c r="BNK160" s="20"/>
      <c r="BNL160" s="20"/>
      <c r="BNM160" s="20"/>
      <c r="BNN160" s="21"/>
      <c r="BNO160" s="21"/>
      <c r="BNP160" s="7"/>
      <c r="BNQ160" s="7"/>
      <c r="BNR160" s="21"/>
      <c r="BNS160" s="20"/>
      <c r="BNT160" s="20"/>
      <c r="BNU160" s="20"/>
      <c r="BNV160" s="21"/>
      <c r="BNW160" s="21"/>
      <c r="BNX160" s="21"/>
      <c r="BNY160" s="21"/>
      <c r="BNZ160" s="21"/>
      <c r="BOA160" s="20"/>
      <c r="BOB160" s="20"/>
      <c r="BOC160" s="20"/>
      <c r="BOD160" s="20"/>
      <c r="BOE160" s="21"/>
      <c r="BOF160" s="21"/>
      <c r="BOG160" s="7"/>
      <c r="BOH160" s="7"/>
      <c r="BOI160" s="21"/>
      <c r="BOJ160" s="20"/>
      <c r="BOK160" s="20"/>
      <c r="BOL160" s="20"/>
      <c r="BOM160" s="21"/>
      <c r="BON160" s="21"/>
      <c r="BOO160" s="21"/>
      <c r="BOP160" s="21"/>
      <c r="BOQ160" s="21"/>
      <c r="BOR160" s="20"/>
      <c r="BOS160" s="20"/>
      <c r="BOT160" s="20"/>
      <c r="BOU160" s="20"/>
      <c r="BOV160" s="21"/>
      <c r="BOW160" s="21"/>
      <c r="BOX160" s="7"/>
      <c r="BOY160" s="7"/>
      <c r="BOZ160" s="21"/>
      <c r="BPA160" s="20"/>
      <c r="BPB160" s="20"/>
      <c r="BPC160" s="20"/>
      <c r="BPD160" s="21"/>
      <c r="BPE160" s="21"/>
      <c r="BPF160" s="21"/>
      <c r="BPG160" s="21"/>
      <c r="BPH160" s="21"/>
      <c r="BPI160" s="20"/>
      <c r="BPJ160" s="20"/>
      <c r="BPK160" s="20"/>
      <c r="BPL160" s="20"/>
      <c r="BPM160" s="21"/>
      <c r="BPN160" s="21"/>
      <c r="BPO160" s="7"/>
      <c r="BPP160" s="7"/>
      <c r="BPQ160" s="21"/>
      <c r="BPR160" s="20"/>
      <c r="BPS160" s="20"/>
      <c r="BPT160" s="20"/>
      <c r="BPU160" s="21"/>
      <c r="BPV160" s="21"/>
      <c r="BPW160" s="21"/>
      <c r="BPX160" s="21"/>
      <c r="BPY160" s="21"/>
      <c r="BPZ160" s="20"/>
      <c r="BQA160" s="20"/>
      <c r="BQB160" s="20"/>
      <c r="BQC160" s="20"/>
      <c r="BQD160" s="21"/>
      <c r="BQE160" s="21"/>
      <c r="BQF160" s="7"/>
      <c r="BQG160" s="7"/>
      <c r="BQH160" s="21"/>
      <c r="BQI160" s="20"/>
      <c r="BQJ160" s="20"/>
      <c r="BQK160" s="20"/>
      <c r="BQL160" s="21"/>
      <c r="BQM160" s="21"/>
      <c r="BQN160" s="21"/>
      <c r="BQO160" s="21"/>
      <c r="BQP160" s="21"/>
      <c r="BQQ160" s="20"/>
      <c r="BQR160" s="20"/>
      <c r="BQS160" s="20"/>
      <c r="BQT160" s="20"/>
      <c r="BQU160" s="21"/>
      <c r="BQV160" s="21"/>
      <c r="BQW160" s="7"/>
      <c r="BQX160" s="7"/>
      <c r="BQY160" s="21"/>
      <c r="BQZ160" s="20"/>
      <c r="BRA160" s="20"/>
      <c r="BRB160" s="20"/>
      <c r="BRC160" s="21"/>
      <c r="BRD160" s="21"/>
      <c r="BRE160" s="21"/>
      <c r="BRF160" s="21"/>
      <c r="BRG160" s="21"/>
      <c r="BRH160" s="20"/>
      <c r="BRI160" s="20"/>
      <c r="BRJ160" s="20"/>
      <c r="BRK160" s="20"/>
      <c r="BRL160" s="21"/>
      <c r="BRM160" s="21"/>
      <c r="BRN160" s="7"/>
      <c r="BRO160" s="7"/>
      <c r="BRP160" s="21"/>
      <c r="BRQ160" s="20"/>
      <c r="BRR160" s="20"/>
      <c r="BRS160" s="20"/>
      <c r="BRT160" s="21"/>
      <c r="BRU160" s="21"/>
      <c r="BRV160" s="21"/>
      <c r="BRW160" s="21"/>
      <c r="BRX160" s="21"/>
      <c r="BRY160" s="20"/>
      <c r="BRZ160" s="20"/>
      <c r="BSA160" s="20"/>
      <c r="BSB160" s="20"/>
      <c r="BSC160" s="21"/>
      <c r="BSD160" s="21"/>
      <c r="BSE160" s="7"/>
      <c r="BSF160" s="7"/>
      <c r="BSG160" s="21"/>
      <c r="BSH160" s="20"/>
      <c r="BSI160" s="20"/>
      <c r="BSJ160" s="20"/>
      <c r="BSK160" s="21"/>
      <c r="BSL160" s="21"/>
      <c r="BSM160" s="21"/>
      <c r="BSN160" s="21"/>
      <c r="BSO160" s="21"/>
      <c r="BSP160" s="20"/>
      <c r="BSQ160" s="20"/>
      <c r="BSR160" s="20"/>
      <c r="BSS160" s="20"/>
      <c r="BST160" s="21"/>
      <c r="BSU160" s="21"/>
      <c r="BSV160" s="7"/>
      <c r="BSW160" s="7"/>
      <c r="BSX160" s="21"/>
      <c r="BSY160" s="20"/>
      <c r="BSZ160" s="20"/>
      <c r="BTA160" s="20"/>
      <c r="BTB160" s="21"/>
      <c r="BTC160" s="21"/>
      <c r="BTD160" s="21"/>
      <c r="BTE160" s="21"/>
      <c r="BTF160" s="21"/>
      <c r="BTG160" s="20"/>
      <c r="BTH160" s="20"/>
      <c r="BTI160" s="20"/>
      <c r="BTJ160" s="20"/>
      <c r="BTK160" s="21"/>
      <c r="BTL160" s="21"/>
      <c r="BTM160" s="7"/>
      <c r="BTN160" s="7"/>
      <c r="BTO160" s="21"/>
      <c r="BTP160" s="20"/>
      <c r="BTQ160" s="20"/>
      <c r="BTR160" s="20"/>
      <c r="BTS160" s="21"/>
      <c r="BTT160" s="21"/>
      <c r="BTU160" s="21"/>
      <c r="BTV160" s="21"/>
      <c r="BTW160" s="21"/>
      <c r="BTX160" s="20"/>
      <c r="BTY160" s="20"/>
      <c r="BTZ160" s="20"/>
      <c r="BUA160" s="20"/>
      <c r="BUB160" s="21"/>
      <c r="BUC160" s="21"/>
      <c r="BUD160" s="7"/>
      <c r="BUE160" s="7"/>
      <c r="BUF160" s="21"/>
      <c r="BUG160" s="20"/>
      <c r="BUH160" s="20"/>
      <c r="BUI160" s="20"/>
      <c r="BUJ160" s="21"/>
      <c r="BUK160" s="21"/>
      <c r="BUL160" s="21"/>
      <c r="BUM160" s="21"/>
      <c r="BUN160" s="21"/>
      <c r="BUO160" s="20"/>
      <c r="BUP160" s="20"/>
      <c r="BUQ160" s="20"/>
      <c r="BUR160" s="20"/>
      <c r="BUS160" s="21"/>
      <c r="BUT160" s="21"/>
      <c r="BUU160" s="7"/>
      <c r="BUV160" s="7"/>
      <c r="BUW160" s="21"/>
      <c r="BUX160" s="20"/>
      <c r="BUY160" s="20"/>
      <c r="BUZ160" s="20"/>
      <c r="BVA160" s="21"/>
      <c r="BVB160" s="21"/>
      <c r="BVC160" s="21"/>
      <c r="BVD160" s="21"/>
      <c r="BVE160" s="21"/>
      <c r="BVF160" s="20"/>
      <c r="BVG160" s="20"/>
      <c r="BVH160" s="20"/>
      <c r="BVI160" s="20"/>
      <c r="BVJ160" s="21"/>
      <c r="BVK160" s="21"/>
      <c r="BVL160" s="7"/>
      <c r="BVM160" s="7"/>
      <c r="BVN160" s="21"/>
      <c r="BVO160" s="20"/>
      <c r="BVP160" s="20"/>
      <c r="BVQ160" s="20"/>
      <c r="BVR160" s="21"/>
      <c r="BVS160" s="21"/>
      <c r="BVT160" s="21"/>
      <c r="BVU160" s="21"/>
      <c r="BVV160" s="21"/>
      <c r="BVW160" s="20"/>
      <c r="BVX160" s="20"/>
      <c r="BVY160" s="20"/>
      <c r="BVZ160" s="20"/>
      <c r="BWA160" s="21"/>
      <c r="BWB160" s="21"/>
      <c r="BWC160" s="7"/>
      <c r="BWD160" s="7"/>
      <c r="BWE160" s="21"/>
      <c r="BWF160" s="20"/>
      <c r="BWG160" s="20"/>
      <c r="BWH160" s="20"/>
      <c r="BWI160" s="21"/>
      <c r="BWJ160" s="21"/>
      <c r="BWK160" s="21"/>
      <c r="BWL160" s="21"/>
      <c r="BWM160" s="21"/>
      <c r="BWN160" s="20"/>
      <c r="BWO160" s="20"/>
      <c r="BWP160" s="20"/>
      <c r="BWQ160" s="20"/>
      <c r="BWR160" s="21"/>
      <c r="BWS160" s="21"/>
      <c r="BWT160" s="7"/>
      <c r="BWU160" s="7"/>
      <c r="BWV160" s="21"/>
      <c r="BWW160" s="20"/>
      <c r="BWX160" s="20"/>
      <c r="BWY160" s="20"/>
      <c r="BWZ160" s="21"/>
      <c r="BXA160" s="21"/>
      <c r="BXB160" s="21"/>
      <c r="BXC160" s="21"/>
      <c r="BXD160" s="21"/>
      <c r="BXE160" s="20"/>
      <c r="BXF160" s="20"/>
      <c r="BXG160" s="20"/>
      <c r="BXH160" s="20"/>
      <c r="BXI160" s="21"/>
      <c r="BXJ160" s="21"/>
      <c r="BXK160" s="7"/>
      <c r="BXL160" s="7"/>
      <c r="BXM160" s="21"/>
      <c r="BXN160" s="20"/>
      <c r="BXO160" s="20"/>
      <c r="BXP160" s="20"/>
      <c r="BXQ160" s="21"/>
      <c r="BXR160" s="21"/>
      <c r="BXS160" s="21"/>
      <c r="BXT160" s="21"/>
      <c r="BXU160" s="21"/>
      <c r="BXV160" s="20"/>
      <c r="BXW160" s="20"/>
      <c r="BXX160" s="20"/>
      <c r="BXY160" s="20"/>
      <c r="BXZ160" s="21"/>
      <c r="BYA160" s="21"/>
      <c r="BYB160" s="7"/>
      <c r="BYC160" s="7"/>
      <c r="BYD160" s="21"/>
      <c r="BYE160" s="20"/>
      <c r="BYF160" s="20"/>
      <c r="BYG160" s="20"/>
      <c r="BYH160" s="21"/>
      <c r="BYI160" s="21"/>
      <c r="BYJ160" s="21"/>
      <c r="BYK160" s="21"/>
      <c r="BYL160" s="21"/>
      <c r="BYM160" s="20"/>
      <c r="BYN160" s="20"/>
      <c r="BYO160" s="20"/>
      <c r="BYP160" s="20"/>
      <c r="BYQ160" s="21"/>
      <c r="BYR160" s="21"/>
      <c r="BYS160" s="7"/>
      <c r="BYT160" s="7"/>
      <c r="BYU160" s="21"/>
      <c r="BYV160" s="20"/>
      <c r="BYW160" s="20"/>
      <c r="BYX160" s="20"/>
      <c r="BYY160" s="21"/>
      <c r="BYZ160" s="21"/>
      <c r="BZA160" s="21"/>
      <c r="BZB160" s="21"/>
      <c r="BZC160" s="21"/>
      <c r="BZD160" s="20"/>
      <c r="BZE160" s="20"/>
      <c r="BZF160" s="20"/>
      <c r="BZG160" s="20"/>
      <c r="BZH160" s="21"/>
      <c r="BZI160" s="21"/>
      <c r="BZJ160" s="7"/>
      <c r="BZK160" s="7"/>
      <c r="BZL160" s="21"/>
      <c r="BZM160" s="20"/>
      <c r="BZN160" s="20"/>
      <c r="BZO160" s="20"/>
      <c r="BZP160" s="21"/>
      <c r="BZQ160" s="21"/>
      <c r="BZR160" s="21"/>
      <c r="BZS160" s="21"/>
      <c r="BZT160" s="21"/>
      <c r="BZU160" s="20"/>
      <c r="BZV160" s="20"/>
      <c r="BZW160" s="20"/>
      <c r="BZX160" s="20"/>
      <c r="BZY160" s="21"/>
      <c r="BZZ160" s="21"/>
      <c r="CAA160" s="7"/>
      <c r="CAB160" s="7"/>
      <c r="CAC160" s="21"/>
      <c r="CAD160" s="20"/>
      <c r="CAE160" s="20"/>
      <c r="CAF160" s="20"/>
      <c r="CAG160" s="21"/>
      <c r="CAH160" s="21"/>
      <c r="CAI160" s="21"/>
      <c r="CAJ160" s="21"/>
      <c r="CAK160" s="21"/>
      <c r="CAL160" s="20"/>
      <c r="CAM160" s="20"/>
      <c r="CAN160" s="20"/>
      <c r="CAO160" s="20"/>
      <c r="CAP160" s="21"/>
      <c r="CAQ160" s="21"/>
      <c r="CAR160" s="7"/>
      <c r="CAS160" s="7"/>
      <c r="CAT160" s="21"/>
      <c r="CAU160" s="20"/>
      <c r="CAV160" s="20"/>
      <c r="CAW160" s="20"/>
      <c r="CAX160" s="21"/>
      <c r="CAY160" s="21"/>
      <c r="CAZ160" s="21"/>
      <c r="CBA160" s="21"/>
      <c r="CBB160" s="21"/>
      <c r="CBC160" s="20"/>
      <c r="CBD160" s="20"/>
      <c r="CBE160" s="20"/>
      <c r="CBF160" s="20"/>
      <c r="CBG160" s="21"/>
      <c r="CBH160" s="21"/>
      <c r="CBI160" s="7"/>
      <c r="CBJ160" s="7"/>
      <c r="CBK160" s="21"/>
      <c r="CBL160" s="20"/>
      <c r="CBM160" s="20"/>
      <c r="CBN160" s="20"/>
      <c r="CBO160" s="21"/>
      <c r="CBP160" s="21"/>
      <c r="CBQ160" s="21"/>
      <c r="CBR160" s="21"/>
      <c r="CBS160" s="21"/>
      <c r="CBT160" s="20"/>
      <c r="CBU160" s="20"/>
      <c r="CBV160" s="20"/>
      <c r="CBW160" s="20"/>
      <c r="CBX160" s="21"/>
      <c r="CBY160" s="21"/>
      <c r="CBZ160" s="7"/>
      <c r="CCA160" s="7"/>
      <c r="CCB160" s="21"/>
      <c r="CCC160" s="20"/>
      <c r="CCD160" s="20"/>
      <c r="CCE160" s="20"/>
      <c r="CCF160" s="21"/>
      <c r="CCG160" s="21"/>
      <c r="CCH160" s="21"/>
      <c r="CCI160" s="21"/>
      <c r="CCJ160" s="21"/>
      <c r="CCK160" s="20"/>
      <c r="CCL160" s="20"/>
      <c r="CCM160" s="20"/>
      <c r="CCN160" s="20"/>
      <c r="CCO160" s="21"/>
      <c r="CCP160" s="21"/>
      <c r="CCQ160" s="7"/>
      <c r="CCR160" s="7"/>
      <c r="CCS160" s="21"/>
      <c r="CCT160" s="20"/>
      <c r="CCU160" s="20"/>
      <c r="CCV160" s="20"/>
      <c r="CCW160" s="21"/>
      <c r="CCX160" s="21"/>
      <c r="CCY160" s="21"/>
      <c r="CCZ160" s="21"/>
      <c r="CDA160" s="21"/>
      <c r="CDB160" s="20"/>
      <c r="CDC160" s="20"/>
      <c r="CDD160" s="20"/>
      <c r="CDE160" s="20"/>
      <c r="CDF160" s="21"/>
      <c r="CDG160" s="21"/>
      <c r="CDH160" s="7"/>
      <c r="CDI160" s="7"/>
      <c r="CDJ160" s="21"/>
      <c r="CDK160" s="20"/>
      <c r="CDL160" s="20"/>
      <c r="CDM160" s="20"/>
      <c r="CDN160" s="21"/>
      <c r="CDO160" s="21"/>
      <c r="CDP160" s="21"/>
      <c r="CDQ160" s="21"/>
      <c r="CDR160" s="21"/>
      <c r="CDS160" s="20"/>
      <c r="CDT160" s="20"/>
      <c r="CDU160" s="20"/>
      <c r="CDV160" s="20"/>
      <c r="CDW160" s="21"/>
      <c r="CDX160" s="21"/>
      <c r="CDY160" s="7"/>
      <c r="CDZ160" s="7"/>
      <c r="CEA160" s="21"/>
      <c r="CEB160" s="20"/>
      <c r="CEC160" s="20"/>
      <c r="CED160" s="20"/>
      <c r="CEE160" s="21"/>
      <c r="CEF160" s="21"/>
      <c r="CEG160" s="21"/>
      <c r="CEH160" s="21"/>
      <c r="CEI160" s="21"/>
      <c r="CEJ160" s="20"/>
      <c r="CEK160" s="20"/>
      <c r="CEL160" s="20"/>
      <c r="CEM160" s="20"/>
      <c r="CEN160" s="21"/>
      <c r="CEO160" s="21"/>
      <c r="CEP160" s="7"/>
      <c r="CEQ160" s="7"/>
      <c r="CER160" s="21"/>
      <c r="CES160" s="20"/>
      <c r="CET160" s="20"/>
      <c r="CEU160" s="20"/>
      <c r="CEV160" s="21"/>
      <c r="CEW160" s="21"/>
      <c r="CEX160" s="21"/>
      <c r="CEY160" s="21"/>
      <c r="CEZ160" s="21"/>
      <c r="CFA160" s="20"/>
      <c r="CFB160" s="20"/>
      <c r="CFC160" s="20"/>
      <c r="CFD160" s="20"/>
      <c r="CFE160" s="21"/>
      <c r="CFF160" s="21"/>
      <c r="CFG160" s="7"/>
      <c r="CFH160" s="7"/>
      <c r="CFI160" s="21"/>
      <c r="CFJ160" s="20"/>
      <c r="CFK160" s="20"/>
      <c r="CFL160" s="20"/>
      <c r="CFM160" s="21"/>
      <c r="CFN160" s="21"/>
      <c r="CFO160" s="21"/>
      <c r="CFP160" s="21"/>
      <c r="CFQ160" s="21"/>
      <c r="CFR160" s="20"/>
      <c r="CFS160" s="20"/>
      <c r="CFT160" s="20"/>
      <c r="CFU160" s="20"/>
      <c r="CFV160" s="21"/>
      <c r="CFW160" s="21"/>
      <c r="CFX160" s="7"/>
      <c r="CFY160" s="7"/>
      <c r="CFZ160" s="21"/>
      <c r="CGA160" s="20"/>
      <c r="CGB160" s="20"/>
      <c r="CGC160" s="20"/>
      <c r="CGD160" s="21"/>
      <c r="CGE160" s="21"/>
      <c r="CGF160" s="21"/>
      <c r="CGG160" s="21"/>
      <c r="CGH160" s="21"/>
      <c r="CGI160" s="20"/>
      <c r="CGJ160" s="20"/>
      <c r="CGK160" s="20"/>
      <c r="CGL160" s="20"/>
      <c r="CGM160" s="21"/>
      <c r="CGN160" s="21"/>
      <c r="CGO160" s="7"/>
      <c r="CGP160" s="7"/>
      <c r="CGQ160" s="21"/>
      <c r="CGR160" s="20"/>
      <c r="CGS160" s="20"/>
      <c r="CGT160" s="20"/>
      <c r="CGU160" s="21"/>
      <c r="CGV160" s="21"/>
      <c r="CGW160" s="21"/>
      <c r="CGX160" s="21"/>
      <c r="CGY160" s="21"/>
      <c r="CGZ160" s="20"/>
      <c r="CHA160" s="20"/>
      <c r="CHB160" s="20"/>
      <c r="CHC160" s="20"/>
      <c r="CHD160" s="21"/>
      <c r="CHE160" s="21"/>
      <c r="CHF160" s="7"/>
      <c r="CHG160" s="7"/>
      <c r="CHH160" s="21"/>
      <c r="CHI160" s="20"/>
      <c r="CHJ160" s="20"/>
      <c r="CHK160" s="20"/>
      <c r="CHL160" s="21"/>
      <c r="CHM160" s="21"/>
      <c r="CHN160" s="21"/>
      <c r="CHO160" s="21"/>
      <c r="CHP160" s="21"/>
      <c r="CHQ160" s="20"/>
      <c r="CHR160" s="20"/>
      <c r="CHS160" s="20"/>
      <c r="CHT160" s="20"/>
      <c r="CHU160" s="21"/>
      <c r="CHV160" s="21"/>
      <c r="CHW160" s="7"/>
      <c r="CHX160" s="7"/>
      <c r="CHY160" s="21"/>
      <c r="CHZ160" s="20"/>
      <c r="CIA160" s="20"/>
      <c r="CIB160" s="20"/>
      <c r="CIC160" s="21"/>
      <c r="CID160" s="21"/>
      <c r="CIE160" s="21"/>
      <c r="CIF160" s="21"/>
      <c r="CIG160" s="21"/>
      <c r="CIH160" s="20"/>
      <c r="CII160" s="20"/>
      <c r="CIJ160" s="20"/>
      <c r="CIK160" s="20"/>
      <c r="CIL160" s="21"/>
      <c r="CIM160" s="21"/>
      <c r="CIN160" s="7"/>
      <c r="CIO160" s="7"/>
      <c r="CIP160" s="21"/>
      <c r="CIQ160" s="20"/>
      <c r="CIR160" s="20"/>
      <c r="CIS160" s="20"/>
      <c r="CIT160" s="21"/>
      <c r="CIU160" s="21"/>
      <c r="CIV160" s="21"/>
      <c r="CIW160" s="21"/>
      <c r="CIX160" s="21"/>
      <c r="CIY160" s="20"/>
      <c r="CIZ160" s="20"/>
      <c r="CJA160" s="20"/>
      <c r="CJB160" s="20"/>
      <c r="CJC160" s="21"/>
      <c r="CJD160" s="21"/>
      <c r="CJE160" s="7"/>
      <c r="CJF160" s="7"/>
      <c r="CJG160" s="21"/>
      <c r="CJH160" s="20"/>
      <c r="CJI160" s="20"/>
      <c r="CJJ160" s="20"/>
      <c r="CJK160" s="21"/>
      <c r="CJL160" s="21"/>
      <c r="CJM160" s="21"/>
      <c r="CJN160" s="21"/>
      <c r="CJO160" s="21"/>
      <c r="CJP160" s="20"/>
      <c r="CJQ160" s="20"/>
      <c r="CJR160" s="20"/>
      <c r="CJS160" s="20"/>
      <c r="CJT160" s="21"/>
      <c r="CJU160" s="21"/>
      <c r="CJV160" s="7"/>
      <c r="CJW160" s="7"/>
      <c r="CJX160" s="21"/>
      <c r="CJY160" s="20"/>
      <c r="CJZ160" s="20"/>
      <c r="CKA160" s="20"/>
      <c r="CKB160" s="21"/>
      <c r="CKC160" s="21"/>
      <c r="CKD160" s="21"/>
      <c r="CKE160" s="21"/>
      <c r="CKF160" s="21"/>
      <c r="CKG160" s="20"/>
      <c r="CKH160" s="20"/>
      <c r="CKI160" s="20"/>
      <c r="CKJ160" s="20"/>
      <c r="CKK160" s="21"/>
      <c r="CKL160" s="21"/>
      <c r="CKM160" s="7"/>
      <c r="CKN160" s="7"/>
      <c r="CKO160" s="21"/>
      <c r="CKP160" s="20"/>
      <c r="CKQ160" s="20"/>
      <c r="CKR160" s="20"/>
      <c r="CKS160" s="21"/>
      <c r="CKT160" s="21"/>
      <c r="CKU160" s="21"/>
      <c r="CKV160" s="21"/>
      <c r="CKW160" s="21"/>
      <c r="CKX160" s="20"/>
      <c r="CKY160" s="20"/>
      <c r="CKZ160" s="20"/>
      <c r="CLA160" s="20"/>
      <c r="CLB160" s="21"/>
      <c r="CLC160" s="21"/>
      <c r="CLD160" s="7"/>
      <c r="CLE160" s="7"/>
      <c r="CLF160" s="21"/>
      <c r="CLG160" s="20"/>
      <c r="CLH160" s="20"/>
      <c r="CLI160" s="20"/>
      <c r="CLJ160" s="21"/>
      <c r="CLK160" s="21"/>
      <c r="CLL160" s="21"/>
      <c r="CLM160" s="21"/>
      <c r="CLN160" s="21"/>
      <c r="CLO160" s="20"/>
      <c r="CLP160" s="20"/>
      <c r="CLQ160" s="20"/>
      <c r="CLR160" s="20"/>
      <c r="CLS160" s="21"/>
      <c r="CLT160" s="21"/>
      <c r="CLU160" s="7"/>
      <c r="CLV160" s="7"/>
      <c r="CLW160" s="21"/>
      <c r="CLX160" s="20"/>
      <c r="CLY160" s="20"/>
      <c r="CLZ160" s="20"/>
      <c r="CMA160" s="21"/>
      <c r="CMB160" s="21"/>
      <c r="CMC160" s="21"/>
      <c r="CMD160" s="21"/>
      <c r="CME160" s="21"/>
      <c r="CMF160" s="20"/>
      <c r="CMG160" s="20"/>
      <c r="CMH160" s="20"/>
      <c r="CMI160" s="20"/>
      <c r="CMJ160" s="21"/>
      <c r="CMK160" s="21"/>
      <c r="CML160" s="7"/>
      <c r="CMM160" s="7"/>
      <c r="CMN160" s="21"/>
      <c r="CMO160" s="20"/>
      <c r="CMP160" s="20"/>
      <c r="CMQ160" s="20"/>
      <c r="CMR160" s="21"/>
      <c r="CMS160" s="21"/>
      <c r="CMT160" s="21"/>
      <c r="CMU160" s="21"/>
      <c r="CMV160" s="21"/>
      <c r="CMW160" s="20"/>
      <c r="CMX160" s="20"/>
      <c r="CMY160" s="20"/>
      <c r="CMZ160" s="20"/>
      <c r="CNA160" s="21"/>
      <c r="CNB160" s="21"/>
      <c r="CNC160" s="7"/>
      <c r="CND160" s="7"/>
      <c r="CNE160" s="21"/>
      <c r="CNF160" s="20"/>
      <c r="CNG160" s="20"/>
      <c r="CNH160" s="20"/>
      <c r="CNI160" s="21"/>
      <c r="CNJ160" s="21"/>
      <c r="CNK160" s="21"/>
      <c r="CNL160" s="21"/>
      <c r="CNM160" s="21"/>
      <c r="CNN160" s="20"/>
      <c r="CNO160" s="20"/>
      <c r="CNP160" s="20"/>
      <c r="CNQ160" s="20"/>
      <c r="CNR160" s="21"/>
      <c r="CNS160" s="21"/>
      <c r="CNT160" s="7"/>
      <c r="CNU160" s="7"/>
      <c r="CNV160" s="21"/>
      <c r="CNW160" s="20"/>
      <c r="CNX160" s="20"/>
      <c r="CNY160" s="20"/>
      <c r="CNZ160" s="21"/>
      <c r="COA160" s="21"/>
      <c r="COB160" s="21"/>
      <c r="COC160" s="21"/>
      <c r="COD160" s="21"/>
      <c r="COE160" s="20"/>
      <c r="COF160" s="20"/>
      <c r="COG160" s="20"/>
      <c r="COH160" s="20"/>
      <c r="COI160" s="21"/>
      <c r="COJ160" s="21"/>
      <c r="COK160" s="7"/>
      <c r="COL160" s="7"/>
      <c r="COM160" s="21"/>
      <c r="CON160" s="20"/>
      <c r="COO160" s="20"/>
      <c r="COP160" s="20"/>
      <c r="COQ160" s="21"/>
      <c r="COR160" s="21"/>
      <c r="COS160" s="21"/>
      <c r="COT160" s="21"/>
      <c r="COU160" s="21"/>
      <c r="COV160" s="20"/>
      <c r="COW160" s="20"/>
      <c r="COX160" s="20"/>
      <c r="COY160" s="20"/>
      <c r="COZ160" s="21"/>
      <c r="CPA160" s="21"/>
      <c r="CPB160" s="7"/>
      <c r="CPC160" s="7"/>
      <c r="CPD160" s="21"/>
      <c r="CPE160" s="20"/>
      <c r="CPF160" s="20"/>
      <c r="CPG160" s="20"/>
      <c r="CPH160" s="21"/>
      <c r="CPI160" s="21"/>
      <c r="CPJ160" s="21"/>
      <c r="CPK160" s="21"/>
      <c r="CPL160" s="21"/>
      <c r="CPM160" s="20"/>
      <c r="CPN160" s="20"/>
      <c r="CPO160" s="20"/>
      <c r="CPP160" s="20"/>
      <c r="CPQ160" s="21"/>
      <c r="CPR160" s="21"/>
      <c r="CPS160" s="7"/>
      <c r="CPT160" s="7"/>
      <c r="CPU160" s="21"/>
      <c r="CPV160" s="20"/>
      <c r="CPW160" s="20"/>
      <c r="CPX160" s="20"/>
      <c r="CPY160" s="21"/>
      <c r="CPZ160" s="21"/>
      <c r="CQA160" s="21"/>
      <c r="CQB160" s="21"/>
      <c r="CQC160" s="21"/>
      <c r="CQD160" s="20"/>
      <c r="CQE160" s="20"/>
      <c r="CQF160" s="20"/>
      <c r="CQG160" s="20"/>
      <c r="CQH160" s="21"/>
      <c r="CQI160" s="21"/>
      <c r="CQJ160" s="7"/>
      <c r="CQK160" s="7"/>
      <c r="CQL160" s="21"/>
      <c r="CQM160" s="20"/>
      <c r="CQN160" s="20"/>
      <c r="CQO160" s="20"/>
      <c r="CQP160" s="21"/>
      <c r="CQQ160" s="21"/>
      <c r="CQR160" s="21"/>
      <c r="CQS160" s="21"/>
      <c r="CQT160" s="21"/>
      <c r="CQU160" s="20"/>
      <c r="CQV160" s="20"/>
      <c r="CQW160" s="20"/>
      <c r="CQX160" s="20"/>
      <c r="CQY160" s="21"/>
      <c r="CQZ160" s="21"/>
      <c r="CRA160" s="7"/>
      <c r="CRB160" s="7"/>
      <c r="CRC160" s="21"/>
      <c r="CRD160" s="20"/>
      <c r="CRE160" s="20"/>
      <c r="CRF160" s="20"/>
      <c r="CRG160" s="21"/>
      <c r="CRH160" s="21"/>
      <c r="CRI160" s="21"/>
      <c r="CRJ160" s="21"/>
      <c r="CRK160" s="21"/>
      <c r="CRL160" s="20"/>
      <c r="CRM160" s="20"/>
      <c r="CRN160" s="20"/>
      <c r="CRO160" s="20"/>
      <c r="CRP160" s="21"/>
      <c r="CRQ160" s="21"/>
      <c r="CRR160" s="7"/>
      <c r="CRS160" s="7"/>
      <c r="CRT160" s="21"/>
      <c r="CRU160" s="20"/>
      <c r="CRV160" s="20"/>
      <c r="CRW160" s="20"/>
      <c r="CRX160" s="21"/>
      <c r="CRY160" s="21"/>
      <c r="CRZ160" s="21"/>
      <c r="CSA160" s="21"/>
      <c r="CSB160" s="21"/>
      <c r="CSC160" s="20"/>
      <c r="CSD160" s="20"/>
      <c r="CSE160" s="20"/>
      <c r="CSF160" s="20"/>
      <c r="CSG160" s="21"/>
      <c r="CSH160" s="21"/>
      <c r="CSI160" s="7"/>
      <c r="CSJ160" s="7"/>
      <c r="CSK160" s="21"/>
      <c r="CSL160" s="20"/>
      <c r="CSM160" s="20"/>
      <c r="CSN160" s="20"/>
      <c r="CSO160" s="21"/>
      <c r="CSP160" s="21"/>
      <c r="CSQ160" s="21"/>
      <c r="CSR160" s="21"/>
      <c r="CSS160" s="21"/>
      <c r="CST160" s="20"/>
      <c r="CSU160" s="20"/>
      <c r="CSV160" s="20"/>
      <c r="CSW160" s="20"/>
      <c r="CSX160" s="21"/>
      <c r="CSY160" s="21"/>
      <c r="CSZ160" s="7"/>
      <c r="CTA160" s="7"/>
      <c r="CTB160" s="21"/>
      <c r="CTC160" s="20"/>
      <c r="CTD160" s="20"/>
      <c r="CTE160" s="20"/>
      <c r="CTF160" s="21"/>
      <c r="CTG160" s="21"/>
      <c r="CTH160" s="21"/>
      <c r="CTI160" s="21"/>
      <c r="CTJ160" s="21"/>
      <c r="CTK160" s="20"/>
      <c r="CTL160" s="20"/>
      <c r="CTM160" s="20"/>
      <c r="CTN160" s="20"/>
      <c r="CTO160" s="21"/>
      <c r="CTP160" s="21"/>
      <c r="CTQ160" s="7"/>
      <c r="CTR160" s="7"/>
      <c r="CTS160" s="21"/>
      <c r="CTT160" s="20"/>
      <c r="CTU160" s="20"/>
      <c r="CTV160" s="20"/>
      <c r="CTW160" s="21"/>
      <c r="CTX160" s="21"/>
      <c r="CTY160" s="21"/>
      <c r="CTZ160" s="21"/>
      <c r="CUA160" s="21"/>
      <c r="CUB160" s="20"/>
      <c r="CUC160" s="20"/>
      <c r="CUD160" s="20"/>
      <c r="CUE160" s="20"/>
      <c r="CUF160" s="21"/>
      <c r="CUG160" s="21"/>
      <c r="CUH160" s="7"/>
      <c r="CUI160" s="7"/>
      <c r="CUJ160" s="21"/>
      <c r="CUK160" s="20"/>
      <c r="CUL160" s="20"/>
      <c r="CUM160" s="20"/>
      <c r="CUN160" s="21"/>
      <c r="CUO160" s="21"/>
      <c r="CUP160" s="21"/>
      <c r="CUQ160" s="21"/>
      <c r="CUR160" s="21"/>
      <c r="CUS160" s="20"/>
      <c r="CUT160" s="20"/>
      <c r="CUU160" s="20"/>
      <c r="CUV160" s="20"/>
      <c r="CUW160" s="21"/>
      <c r="CUX160" s="21"/>
      <c r="CUY160" s="7"/>
      <c r="CUZ160" s="7"/>
      <c r="CVA160" s="21"/>
      <c r="CVB160" s="20"/>
      <c r="CVC160" s="20"/>
      <c r="CVD160" s="20"/>
      <c r="CVE160" s="21"/>
      <c r="CVF160" s="21"/>
      <c r="CVG160" s="21"/>
      <c r="CVH160" s="21"/>
      <c r="CVI160" s="21"/>
      <c r="CVJ160" s="20"/>
      <c r="CVK160" s="20"/>
      <c r="CVL160" s="20"/>
      <c r="CVM160" s="20"/>
      <c r="CVN160" s="21"/>
      <c r="CVO160" s="21"/>
      <c r="CVP160" s="7"/>
      <c r="CVQ160" s="7"/>
      <c r="CVR160" s="21"/>
      <c r="CVS160" s="20"/>
      <c r="CVT160" s="20"/>
      <c r="CVU160" s="20"/>
      <c r="CVV160" s="21"/>
      <c r="CVW160" s="21"/>
      <c r="CVX160" s="21"/>
      <c r="CVY160" s="21"/>
      <c r="CVZ160" s="21"/>
      <c r="CWA160" s="20"/>
      <c r="CWB160" s="20"/>
      <c r="CWC160" s="20"/>
      <c r="CWD160" s="20"/>
      <c r="CWE160" s="21"/>
      <c r="CWF160" s="21"/>
      <c r="CWG160" s="7"/>
      <c r="CWH160" s="7"/>
      <c r="CWI160" s="21"/>
      <c r="CWJ160" s="20"/>
      <c r="CWK160" s="20"/>
      <c r="CWL160" s="20"/>
      <c r="CWM160" s="21"/>
      <c r="CWN160" s="21"/>
      <c r="CWO160" s="21"/>
      <c r="CWP160" s="21"/>
      <c r="CWQ160" s="21"/>
      <c r="CWR160" s="20"/>
      <c r="CWS160" s="20"/>
      <c r="CWT160" s="20"/>
      <c r="CWU160" s="20"/>
      <c r="CWV160" s="21"/>
      <c r="CWW160" s="21"/>
      <c r="CWX160" s="7"/>
      <c r="CWY160" s="7"/>
      <c r="CWZ160" s="21"/>
      <c r="CXA160" s="20"/>
      <c r="CXB160" s="20"/>
      <c r="CXC160" s="20"/>
      <c r="CXD160" s="21"/>
      <c r="CXE160" s="21"/>
      <c r="CXF160" s="21"/>
      <c r="CXG160" s="21"/>
      <c r="CXH160" s="21"/>
      <c r="CXI160" s="20"/>
      <c r="CXJ160" s="20"/>
      <c r="CXK160" s="20"/>
      <c r="CXL160" s="20"/>
      <c r="CXM160" s="21"/>
      <c r="CXN160" s="21"/>
      <c r="CXO160" s="7"/>
      <c r="CXP160" s="7"/>
      <c r="CXQ160" s="21"/>
      <c r="CXR160" s="20"/>
      <c r="CXS160" s="20"/>
      <c r="CXT160" s="20"/>
      <c r="CXU160" s="21"/>
      <c r="CXV160" s="21"/>
      <c r="CXW160" s="21"/>
      <c r="CXX160" s="21"/>
      <c r="CXY160" s="21"/>
      <c r="CXZ160" s="20"/>
      <c r="CYA160" s="20"/>
      <c r="CYB160" s="20"/>
      <c r="CYC160" s="20"/>
      <c r="CYD160" s="21"/>
      <c r="CYE160" s="21"/>
      <c r="CYF160" s="7"/>
      <c r="CYG160" s="7"/>
      <c r="CYH160" s="21"/>
      <c r="CYI160" s="20"/>
      <c r="CYJ160" s="20"/>
      <c r="CYK160" s="20"/>
      <c r="CYL160" s="21"/>
      <c r="CYM160" s="21"/>
      <c r="CYN160" s="21"/>
      <c r="CYO160" s="21"/>
      <c r="CYP160" s="21"/>
      <c r="CYQ160" s="20"/>
      <c r="CYR160" s="20"/>
      <c r="CYS160" s="20"/>
      <c r="CYT160" s="20"/>
      <c r="CYU160" s="21"/>
      <c r="CYV160" s="21"/>
      <c r="CYW160" s="7"/>
      <c r="CYX160" s="7"/>
      <c r="CYY160" s="21"/>
      <c r="CYZ160" s="20"/>
      <c r="CZA160" s="20"/>
      <c r="CZB160" s="20"/>
      <c r="CZC160" s="21"/>
      <c r="CZD160" s="21"/>
      <c r="CZE160" s="21"/>
      <c r="CZF160" s="21"/>
      <c r="CZG160" s="21"/>
      <c r="CZH160" s="20"/>
      <c r="CZI160" s="20"/>
      <c r="CZJ160" s="20"/>
      <c r="CZK160" s="20"/>
      <c r="CZL160" s="21"/>
      <c r="CZM160" s="21"/>
      <c r="CZN160" s="7"/>
      <c r="CZO160" s="7"/>
      <c r="CZP160" s="21"/>
      <c r="CZQ160" s="20"/>
      <c r="CZR160" s="20"/>
      <c r="CZS160" s="20"/>
      <c r="CZT160" s="21"/>
      <c r="CZU160" s="21"/>
      <c r="CZV160" s="21"/>
      <c r="CZW160" s="21"/>
      <c r="CZX160" s="21"/>
      <c r="CZY160" s="20"/>
      <c r="CZZ160" s="20"/>
      <c r="DAA160" s="20"/>
      <c r="DAB160" s="20"/>
      <c r="DAC160" s="21"/>
      <c r="DAD160" s="21"/>
      <c r="DAE160" s="7"/>
      <c r="DAF160" s="7"/>
      <c r="DAG160" s="21"/>
      <c r="DAH160" s="20"/>
      <c r="DAI160" s="20"/>
      <c r="DAJ160" s="20"/>
      <c r="DAK160" s="21"/>
      <c r="DAL160" s="21"/>
      <c r="DAM160" s="21"/>
      <c r="DAN160" s="21"/>
      <c r="DAO160" s="21"/>
      <c r="DAP160" s="20"/>
      <c r="DAQ160" s="20"/>
      <c r="DAR160" s="20"/>
      <c r="DAS160" s="20"/>
      <c r="DAT160" s="21"/>
      <c r="DAU160" s="21"/>
      <c r="DAV160" s="7"/>
      <c r="DAW160" s="7"/>
      <c r="DAX160" s="21"/>
      <c r="DAY160" s="20"/>
      <c r="DAZ160" s="20"/>
      <c r="DBA160" s="20"/>
      <c r="DBB160" s="21"/>
      <c r="DBC160" s="21"/>
      <c r="DBD160" s="21"/>
      <c r="DBE160" s="21"/>
      <c r="DBF160" s="21"/>
      <c r="DBG160" s="20"/>
      <c r="DBH160" s="20"/>
      <c r="DBI160" s="20"/>
      <c r="DBJ160" s="20"/>
      <c r="DBK160" s="21"/>
      <c r="DBL160" s="21"/>
      <c r="DBM160" s="7"/>
      <c r="DBN160" s="7"/>
      <c r="DBO160" s="21"/>
      <c r="DBP160" s="20"/>
      <c r="DBQ160" s="20"/>
      <c r="DBR160" s="20"/>
      <c r="DBS160" s="21"/>
      <c r="DBT160" s="21"/>
      <c r="DBU160" s="21"/>
      <c r="DBV160" s="21"/>
      <c r="DBW160" s="21"/>
      <c r="DBX160" s="20"/>
      <c r="DBY160" s="20"/>
      <c r="DBZ160" s="20"/>
      <c r="DCA160" s="20"/>
      <c r="DCB160" s="21"/>
      <c r="DCC160" s="21"/>
      <c r="DCD160" s="7"/>
      <c r="DCE160" s="7"/>
      <c r="DCF160" s="21"/>
      <c r="DCG160" s="20"/>
      <c r="DCH160" s="20"/>
      <c r="DCI160" s="20"/>
      <c r="DCJ160" s="21"/>
      <c r="DCK160" s="21"/>
      <c r="DCL160" s="21"/>
      <c r="DCM160" s="21"/>
      <c r="DCN160" s="21"/>
      <c r="DCO160" s="20"/>
      <c r="DCP160" s="20"/>
      <c r="DCQ160" s="20"/>
      <c r="DCR160" s="20"/>
      <c r="DCS160" s="21"/>
      <c r="DCT160" s="21"/>
      <c r="DCU160" s="7"/>
      <c r="DCV160" s="7"/>
      <c r="DCW160" s="21"/>
      <c r="DCX160" s="20"/>
      <c r="DCY160" s="20"/>
      <c r="DCZ160" s="20"/>
      <c r="DDA160" s="21"/>
      <c r="DDB160" s="21"/>
      <c r="DDC160" s="21"/>
      <c r="DDD160" s="21"/>
      <c r="DDE160" s="21"/>
      <c r="DDF160" s="20"/>
      <c r="DDG160" s="20"/>
      <c r="DDH160" s="20"/>
      <c r="DDI160" s="20"/>
      <c r="DDJ160" s="21"/>
      <c r="DDK160" s="21"/>
      <c r="DDL160" s="7"/>
      <c r="DDM160" s="7"/>
      <c r="DDN160" s="21"/>
      <c r="DDO160" s="20"/>
      <c r="DDP160" s="20"/>
      <c r="DDQ160" s="20"/>
      <c r="DDR160" s="21"/>
      <c r="DDS160" s="21"/>
      <c r="DDT160" s="21"/>
      <c r="DDU160" s="21"/>
      <c r="DDV160" s="21"/>
      <c r="DDW160" s="20"/>
      <c r="DDX160" s="20"/>
      <c r="DDY160" s="20"/>
      <c r="DDZ160" s="20"/>
      <c r="DEA160" s="21"/>
      <c r="DEB160" s="21"/>
      <c r="DEC160" s="7"/>
      <c r="DED160" s="7"/>
      <c r="DEE160" s="21"/>
      <c r="DEF160" s="20"/>
      <c r="DEG160" s="20"/>
      <c r="DEH160" s="20"/>
      <c r="DEI160" s="21"/>
      <c r="DEJ160" s="21"/>
      <c r="DEK160" s="21"/>
      <c r="DEL160" s="21"/>
      <c r="DEM160" s="21"/>
      <c r="DEN160" s="20"/>
      <c r="DEO160" s="20"/>
      <c r="DEP160" s="20"/>
      <c r="DEQ160" s="20"/>
      <c r="DER160" s="21"/>
      <c r="DES160" s="21"/>
      <c r="DET160" s="7"/>
      <c r="DEU160" s="7"/>
      <c r="DEV160" s="21"/>
      <c r="DEW160" s="20"/>
      <c r="DEX160" s="20"/>
      <c r="DEY160" s="20"/>
      <c r="DEZ160" s="21"/>
      <c r="DFA160" s="21"/>
      <c r="DFB160" s="21"/>
      <c r="DFC160" s="21"/>
      <c r="DFD160" s="21"/>
      <c r="DFE160" s="20"/>
      <c r="DFF160" s="20"/>
      <c r="DFG160" s="20"/>
      <c r="DFH160" s="20"/>
      <c r="DFI160" s="21"/>
      <c r="DFJ160" s="21"/>
      <c r="DFK160" s="7"/>
      <c r="DFL160" s="7"/>
      <c r="DFM160" s="21"/>
      <c r="DFN160" s="20"/>
      <c r="DFO160" s="20"/>
      <c r="DFP160" s="20"/>
      <c r="DFQ160" s="21"/>
      <c r="DFR160" s="21"/>
      <c r="DFS160" s="21"/>
      <c r="DFT160" s="21"/>
      <c r="DFU160" s="21"/>
      <c r="DFV160" s="20"/>
      <c r="DFW160" s="20"/>
      <c r="DFX160" s="20"/>
      <c r="DFY160" s="20"/>
      <c r="DFZ160" s="21"/>
      <c r="DGA160" s="21"/>
      <c r="DGB160" s="7"/>
      <c r="DGC160" s="7"/>
      <c r="DGD160" s="21"/>
      <c r="DGE160" s="20"/>
      <c r="DGF160" s="20"/>
      <c r="DGG160" s="20"/>
      <c r="DGH160" s="21"/>
      <c r="DGI160" s="21"/>
      <c r="DGJ160" s="21"/>
      <c r="DGK160" s="21"/>
      <c r="DGL160" s="21"/>
      <c r="DGM160" s="20"/>
      <c r="DGN160" s="20"/>
      <c r="DGO160" s="20"/>
      <c r="DGP160" s="20"/>
      <c r="DGQ160" s="21"/>
      <c r="DGR160" s="21"/>
      <c r="DGS160" s="7"/>
      <c r="DGT160" s="7"/>
      <c r="DGU160" s="21"/>
      <c r="DGV160" s="20"/>
      <c r="DGW160" s="20"/>
      <c r="DGX160" s="20"/>
      <c r="DGY160" s="21"/>
      <c r="DGZ160" s="21"/>
      <c r="DHA160" s="21"/>
      <c r="DHB160" s="21"/>
      <c r="DHC160" s="21"/>
      <c r="DHD160" s="20"/>
      <c r="DHE160" s="20"/>
      <c r="DHF160" s="20"/>
      <c r="DHG160" s="20"/>
      <c r="DHH160" s="21"/>
      <c r="DHI160" s="21"/>
      <c r="DHJ160" s="7"/>
      <c r="DHK160" s="7"/>
      <c r="DHL160" s="21"/>
      <c r="DHM160" s="20"/>
      <c r="DHN160" s="20"/>
      <c r="DHO160" s="20"/>
      <c r="DHP160" s="21"/>
      <c r="DHQ160" s="21"/>
      <c r="DHR160" s="21"/>
      <c r="DHS160" s="21"/>
      <c r="DHT160" s="21"/>
      <c r="DHU160" s="20"/>
      <c r="DHV160" s="20"/>
      <c r="DHW160" s="20"/>
      <c r="DHX160" s="20"/>
      <c r="DHY160" s="21"/>
      <c r="DHZ160" s="21"/>
      <c r="DIA160" s="7"/>
      <c r="DIB160" s="7"/>
      <c r="DIC160" s="21"/>
      <c r="DID160" s="20"/>
      <c r="DIE160" s="20"/>
      <c r="DIF160" s="20"/>
      <c r="DIG160" s="21"/>
      <c r="DIH160" s="21"/>
      <c r="DII160" s="21"/>
      <c r="DIJ160" s="21"/>
      <c r="DIK160" s="21"/>
      <c r="DIL160" s="20"/>
      <c r="DIM160" s="20"/>
      <c r="DIN160" s="20"/>
      <c r="DIO160" s="20"/>
      <c r="DIP160" s="21"/>
      <c r="DIQ160" s="21"/>
      <c r="DIR160" s="7"/>
      <c r="DIS160" s="7"/>
      <c r="DIT160" s="21"/>
      <c r="DIU160" s="20"/>
      <c r="DIV160" s="20"/>
      <c r="DIW160" s="20"/>
      <c r="DIX160" s="21"/>
      <c r="DIY160" s="21"/>
      <c r="DIZ160" s="21"/>
      <c r="DJA160" s="21"/>
      <c r="DJB160" s="21"/>
      <c r="DJC160" s="20"/>
      <c r="DJD160" s="20"/>
      <c r="DJE160" s="20"/>
      <c r="DJF160" s="20"/>
      <c r="DJG160" s="21"/>
      <c r="DJH160" s="21"/>
      <c r="DJI160" s="7"/>
      <c r="DJJ160" s="7"/>
      <c r="DJK160" s="21"/>
      <c r="DJL160" s="20"/>
      <c r="DJM160" s="20"/>
      <c r="DJN160" s="20"/>
      <c r="DJO160" s="21"/>
      <c r="DJP160" s="21"/>
      <c r="DJQ160" s="21"/>
      <c r="DJR160" s="21"/>
      <c r="DJS160" s="21"/>
      <c r="DJT160" s="20"/>
      <c r="DJU160" s="20"/>
      <c r="DJV160" s="20"/>
      <c r="DJW160" s="20"/>
      <c r="DJX160" s="21"/>
      <c r="DJY160" s="21"/>
      <c r="DJZ160" s="7"/>
      <c r="DKA160" s="7"/>
      <c r="DKB160" s="21"/>
      <c r="DKC160" s="20"/>
      <c r="DKD160" s="20"/>
      <c r="DKE160" s="20"/>
      <c r="DKF160" s="21"/>
      <c r="DKG160" s="21"/>
      <c r="DKH160" s="21"/>
      <c r="DKI160" s="21"/>
      <c r="DKJ160" s="21"/>
      <c r="DKK160" s="20"/>
      <c r="DKL160" s="20"/>
      <c r="DKM160" s="20"/>
      <c r="DKN160" s="20"/>
      <c r="DKO160" s="21"/>
      <c r="DKP160" s="21"/>
      <c r="DKQ160" s="7"/>
      <c r="DKR160" s="7"/>
      <c r="DKS160" s="21"/>
      <c r="DKT160" s="20"/>
      <c r="DKU160" s="20"/>
      <c r="DKV160" s="20"/>
      <c r="DKW160" s="21"/>
      <c r="DKX160" s="21"/>
      <c r="DKY160" s="21"/>
      <c r="DKZ160" s="21"/>
      <c r="DLA160" s="21"/>
      <c r="DLB160" s="20"/>
      <c r="DLC160" s="20"/>
      <c r="DLD160" s="20"/>
      <c r="DLE160" s="20"/>
      <c r="DLF160" s="21"/>
      <c r="DLG160" s="21"/>
      <c r="DLH160" s="7"/>
      <c r="DLI160" s="7"/>
      <c r="DLJ160" s="21"/>
      <c r="DLK160" s="20"/>
      <c r="DLL160" s="20"/>
      <c r="DLM160" s="20"/>
      <c r="DLN160" s="21"/>
      <c r="DLO160" s="21"/>
      <c r="DLP160" s="21"/>
      <c r="DLQ160" s="21"/>
      <c r="DLR160" s="21"/>
      <c r="DLS160" s="20"/>
      <c r="DLT160" s="20"/>
      <c r="DLU160" s="20"/>
      <c r="DLV160" s="20"/>
      <c r="DLW160" s="21"/>
      <c r="DLX160" s="21"/>
      <c r="DLY160" s="7"/>
      <c r="DLZ160" s="7"/>
      <c r="DMA160" s="21"/>
      <c r="DMB160" s="20"/>
      <c r="DMC160" s="20"/>
      <c r="DMD160" s="20"/>
      <c r="DME160" s="21"/>
      <c r="DMF160" s="21"/>
      <c r="DMG160" s="21"/>
      <c r="DMH160" s="21"/>
      <c r="DMI160" s="21"/>
      <c r="DMJ160" s="20"/>
      <c r="DMK160" s="20"/>
      <c r="DML160" s="20"/>
      <c r="DMM160" s="20"/>
      <c r="DMN160" s="21"/>
      <c r="DMO160" s="21"/>
      <c r="DMP160" s="7"/>
      <c r="DMQ160" s="7"/>
      <c r="DMR160" s="21"/>
      <c r="DMS160" s="20"/>
      <c r="DMT160" s="20"/>
      <c r="DMU160" s="20"/>
      <c r="DMV160" s="21"/>
      <c r="DMW160" s="21"/>
      <c r="DMX160" s="21"/>
      <c r="DMY160" s="21"/>
      <c r="DMZ160" s="21"/>
      <c r="DNA160" s="20"/>
      <c r="DNB160" s="20"/>
      <c r="DNC160" s="20"/>
      <c r="DND160" s="20"/>
      <c r="DNE160" s="21"/>
      <c r="DNF160" s="21"/>
      <c r="DNG160" s="7"/>
      <c r="DNH160" s="7"/>
      <c r="DNI160" s="21"/>
      <c r="DNJ160" s="20"/>
      <c r="DNK160" s="20"/>
      <c r="DNL160" s="20"/>
      <c r="DNM160" s="21"/>
      <c r="DNN160" s="21"/>
      <c r="DNO160" s="21"/>
      <c r="DNP160" s="21"/>
      <c r="DNQ160" s="21"/>
      <c r="DNR160" s="20"/>
      <c r="DNS160" s="20"/>
      <c r="DNT160" s="20"/>
      <c r="DNU160" s="20"/>
      <c r="DNV160" s="21"/>
      <c r="DNW160" s="21"/>
      <c r="DNX160" s="7"/>
      <c r="DNY160" s="7"/>
      <c r="DNZ160" s="21"/>
      <c r="DOA160" s="20"/>
      <c r="DOB160" s="20"/>
      <c r="DOC160" s="20"/>
      <c r="DOD160" s="21"/>
      <c r="DOE160" s="21"/>
      <c r="DOF160" s="21"/>
      <c r="DOG160" s="21"/>
      <c r="DOH160" s="21"/>
      <c r="DOI160" s="20"/>
      <c r="DOJ160" s="20"/>
      <c r="DOK160" s="20"/>
      <c r="DOL160" s="20"/>
      <c r="DOM160" s="21"/>
      <c r="DON160" s="21"/>
      <c r="DOO160" s="7"/>
      <c r="DOP160" s="7"/>
      <c r="DOQ160" s="21"/>
      <c r="DOR160" s="20"/>
      <c r="DOS160" s="20"/>
      <c r="DOT160" s="20"/>
      <c r="DOU160" s="21"/>
      <c r="DOV160" s="21"/>
      <c r="DOW160" s="21"/>
      <c r="DOX160" s="21"/>
      <c r="DOY160" s="21"/>
      <c r="DOZ160" s="20"/>
      <c r="DPA160" s="20"/>
      <c r="DPB160" s="20"/>
      <c r="DPC160" s="20"/>
      <c r="DPD160" s="21"/>
      <c r="DPE160" s="21"/>
      <c r="DPF160" s="7"/>
      <c r="DPG160" s="7"/>
      <c r="DPH160" s="21"/>
      <c r="DPI160" s="20"/>
      <c r="DPJ160" s="20"/>
      <c r="DPK160" s="20"/>
      <c r="DPL160" s="21"/>
      <c r="DPM160" s="21"/>
      <c r="DPN160" s="21"/>
      <c r="DPO160" s="21"/>
      <c r="DPP160" s="21"/>
      <c r="DPQ160" s="20"/>
      <c r="DPR160" s="20"/>
      <c r="DPS160" s="20"/>
      <c r="DPT160" s="20"/>
      <c r="DPU160" s="21"/>
      <c r="DPV160" s="21"/>
      <c r="DPW160" s="7"/>
      <c r="DPX160" s="7"/>
      <c r="DPY160" s="21"/>
      <c r="DPZ160" s="20"/>
      <c r="DQA160" s="20"/>
      <c r="DQB160" s="20"/>
      <c r="DQC160" s="21"/>
      <c r="DQD160" s="21"/>
      <c r="DQE160" s="21"/>
      <c r="DQF160" s="21"/>
      <c r="DQG160" s="21"/>
      <c r="DQH160" s="20"/>
      <c r="DQI160" s="20"/>
      <c r="DQJ160" s="20"/>
      <c r="DQK160" s="20"/>
      <c r="DQL160" s="21"/>
      <c r="DQM160" s="21"/>
      <c r="DQN160" s="7"/>
      <c r="DQO160" s="7"/>
      <c r="DQP160" s="21"/>
      <c r="DQQ160" s="20"/>
      <c r="DQR160" s="20"/>
      <c r="DQS160" s="20"/>
      <c r="DQT160" s="21"/>
      <c r="DQU160" s="21"/>
      <c r="DQV160" s="21"/>
      <c r="DQW160" s="21"/>
      <c r="DQX160" s="21"/>
      <c r="DQY160" s="20"/>
      <c r="DQZ160" s="20"/>
      <c r="DRA160" s="20"/>
      <c r="DRB160" s="20"/>
      <c r="DRC160" s="21"/>
      <c r="DRD160" s="21"/>
      <c r="DRE160" s="7"/>
      <c r="DRF160" s="7"/>
      <c r="DRG160" s="21"/>
      <c r="DRH160" s="20"/>
      <c r="DRI160" s="20"/>
      <c r="DRJ160" s="20"/>
      <c r="DRK160" s="21"/>
      <c r="DRL160" s="21"/>
      <c r="DRM160" s="21"/>
      <c r="DRN160" s="21"/>
      <c r="DRO160" s="21"/>
      <c r="DRP160" s="20"/>
      <c r="DRQ160" s="20"/>
      <c r="DRR160" s="20"/>
      <c r="DRS160" s="20"/>
      <c r="DRT160" s="21"/>
      <c r="DRU160" s="21"/>
      <c r="DRV160" s="7"/>
      <c r="DRW160" s="7"/>
      <c r="DRX160" s="21"/>
      <c r="DRY160" s="20"/>
      <c r="DRZ160" s="20"/>
      <c r="DSA160" s="20"/>
      <c r="DSB160" s="21"/>
      <c r="DSC160" s="21"/>
      <c r="DSD160" s="21"/>
      <c r="DSE160" s="21"/>
      <c r="DSF160" s="21"/>
      <c r="DSG160" s="20"/>
      <c r="DSH160" s="20"/>
      <c r="DSI160" s="20"/>
      <c r="DSJ160" s="20"/>
      <c r="DSK160" s="21"/>
      <c r="DSL160" s="21"/>
      <c r="DSM160" s="7"/>
      <c r="DSN160" s="7"/>
      <c r="DSO160" s="21"/>
      <c r="DSP160" s="20"/>
      <c r="DSQ160" s="20"/>
      <c r="DSR160" s="20"/>
      <c r="DSS160" s="21"/>
      <c r="DST160" s="21"/>
      <c r="DSU160" s="21"/>
      <c r="DSV160" s="21"/>
      <c r="DSW160" s="21"/>
      <c r="DSX160" s="20"/>
      <c r="DSY160" s="20"/>
      <c r="DSZ160" s="20"/>
      <c r="DTA160" s="20"/>
      <c r="DTB160" s="21"/>
      <c r="DTC160" s="21"/>
      <c r="DTD160" s="7"/>
      <c r="DTE160" s="7"/>
      <c r="DTF160" s="21"/>
      <c r="DTG160" s="20"/>
      <c r="DTH160" s="20"/>
      <c r="DTI160" s="20"/>
      <c r="DTJ160" s="21"/>
      <c r="DTK160" s="21"/>
      <c r="DTL160" s="21"/>
      <c r="DTM160" s="21"/>
      <c r="DTN160" s="21"/>
      <c r="DTO160" s="20"/>
      <c r="DTP160" s="20"/>
      <c r="DTQ160" s="20"/>
      <c r="DTR160" s="20"/>
      <c r="DTS160" s="21"/>
      <c r="DTT160" s="21"/>
      <c r="DTU160" s="7"/>
      <c r="DTV160" s="7"/>
      <c r="DTW160" s="21"/>
      <c r="DTX160" s="20"/>
      <c r="DTY160" s="20"/>
      <c r="DTZ160" s="20"/>
      <c r="DUA160" s="21"/>
      <c r="DUB160" s="21"/>
      <c r="DUC160" s="21"/>
      <c r="DUD160" s="21"/>
      <c r="DUE160" s="21"/>
      <c r="DUF160" s="20"/>
      <c r="DUG160" s="20"/>
      <c r="DUH160" s="20"/>
      <c r="DUI160" s="20"/>
      <c r="DUJ160" s="21"/>
      <c r="DUK160" s="21"/>
      <c r="DUL160" s="7"/>
      <c r="DUM160" s="7"/>
      <c r="DUN160" s="21"/>
      <c r="DUO160" s="20"/>
      <c r="DUP160" s="20"/>
      <c r="DUQ160" s="20"/>
      <c r="DUR160" s="21"/>
      <c r="DUS160" s="21"/>
      <c r="DUT160" s="21"/>
      <c r="DUU160" s="21"/>
      <c r="DUV160" s="21"/>
      <c r="DUW160" s="20"/>
      <c r="DUX160" s="20"/>
      <c r="DUY160" s="20"/>
      <c r="DUZ160" s="20"/>
      <c r="DVA160" s="21"/>
      <c r="DVB160" s="21"/>
      <c r="DVC160" s="7"/>
      <c r="DVD160" s="7"/>
      <c r="DVE160" s="21"/>
      <c r="DVF160" s="20"/>
      <c r="DVG160" s="20"/>
      <c r="DVH160" s="20"/>
      <c r="DVI160" s="21"/>
      <c r="DVJ160" s="21"/>
      <c r="DVK160" s="21"/>
      <c r="DVL160" s="21"/>
      <c r="DVM160" s="21"/>
      <c r="DVN160" s="20"/>
      <c r="DVO160" s="20"/>
      <c r="DVP160" s="20"/>
      <c r="DVQ160" s="20"/>
      <c r="DVR160" s="21"/>
      <c r="DVS160" s="21"/>
      <c r="DVT160" s="7"/>
      <c r="DVU160" s="7"/>
      <c r="DVV160" s="21"/>
      <c r="DVW160" s="20"/>
      <c r="DVX160" s="20"/>
      <c r="DVY160" s="20"/>
      <c r="DVZ160" s="21"/>
      <c r="DWA160" s="21"/>
      <c r="DWB160" s="21"/>
      <c r="DWC160" s="21"/>
      <c r="DWD160" s="21"/>
      <c r="DWE160" s="20"/>
      <c r="DWF160" s="20"/>
      <c r="DWG160" s="20"/>
      <c r="DWH160" s="20"/>
      <c r="DWI160" s="21"/>
      <c r="DWJ160" s="21"/>
      <c r="DWK160" s="7"/>
      <c r="DWL160" s="7"/>
      <c r="DWM160" s="21"/>
      <c r="DWN160" s="20"/>
      <c r="DWO160" s="20"/>
      <c r="DWP160" s="20"/>
      <c r="DWQ160" s="21"/>
      <c r="DWR160" s="21"/>
      <c r="DWS160" s="21"/>
      <c r="DWT160" s="21"/>
      <c r="DWU160" s="21"/>
      <c r="DWV160" s="20"/>
      <c r="DWW160" s="20"/>
      <c r="DWX160" s="20"/>
      <c r="DWY160" s="20"/>
      <c r="DWZ160" s="21"/>
      <c r="DXA160" s="21"/>
      <c r="DXB160" s="7"/>
      <c r="DXC160" s="7"/>
      <c r="DXD160" s="21"/>
      <c r="DXE160" s="20"/>
      <c r="DXF160" s="20"/>
      <c r="DXG160" s="20"/>
      <c r="DXH160" s="21"/>
      <c r="DXI160" s="21"/>
      <c r="DXJ160" s="21"/>
      <c r="DXK160" s="21"/>
      <c r="DXL160" s="21"/>
      <c r="DXM160" s="20"/>
      <c r="DXN160" s="20"/>
      <c r="DXO160" s="20"/>
      <c r="DXP160" s="20"/>
      <c r="DXQ160" s="21"/>
      <c r="DXR160" s="21"/>
      <c r="DXS160" s="7"/>
      <c r="DXT160" s="7"/>
      <c r="DXU160" s="21"/>
      <c r="DXV160" s="20"/>
      <c r="DXW160" s="20"/>
      <c r="DXX160" s="20"/>
      <c r="DXY160" s="21"/>
      <c r="DXZ160" s="21"/>
      <c r="DYA160" s="21"/>
      <c r="DYB160" s="21"/>
      <c r="DYC160" s="21"/>
      <c r="DYD160" s="20"/>
      <c r="DYE160" s="20"/>
      <c r="DYF160" s="20"/>
      <c r="DYG160" s="20"/>
      <c r="DYH160" s="21"/>
      <c r="DYI160" s="21"/>
      <c r="DYJ160" s="7"/>
      <c r="DYK160" s="7"/>
      <c r="DYL160" s="21"/>
      <c r="DYM160" s="20"/>
      <c r="DYN160" s="20"/>
      <c r="DYO160" s="20"/>
      <c r="DYP160" s="21"/>
      <c r="DYQ160" s="21"/>
      <c r="DYR160" s="21"/>
      <c r="DYS160" s="21"/>
      <c r="DYT160" s="21"/>
      <c r="DYU160" s="20"/>
      <c r="DYV160" s="20"/>
      <c r="DYW160" s="20"/>
      <c r="DYX160" s="20"/>
      <c r="DYY160" s="21"/>
      <c r="DYZ160" s="21"/>
      <c r="DZA160" s="7"/>
      <c r="DZB160" s="7"/>
      <c r="DZC160" s="21"/>
      <c r="DZD160" s="20"/>
      <c r="DZE160" s="20"/>
      <c r="DZF160" s="20"/>
      <c r="DZG160" s="21"/>
      <c r="DZH160" s="21"/>
      <c r="DZI160" s="21"/>
      <c r="DZJ160" s="21"/>
      <c r="DZK160" s="21"/>
      <c r="DZL160" s="20"/>
      <c r="DZM160" s="20"/>
      <c r="DZN160" s="20"/>
      <c r="DZO160" s="20"/>
      <c r="DZP160" s="21"/>
      <c r="DZQ160" s="21"/>
      <c r="DZR160" s="7"/>
      <c r="DZS160" s="7"/>
      <c r="DZT160" s="21"/>
      <c r="DZU160" s="20"/>
      <c r="DZV160" s="20"/>
      <c r="DZW160" s="20"/>
      <c r="DZX160" s="21"/>
      <c r="DZY160" s="21"/>
      <c r="DZZ160" s="21"/>
      <c r="EAA160" s="21"/>
      <c r="EAB160" s="21"/>
      <c r="EAC160" s="20"/>
      <c r="EAD160" s="20"/>
      <c r="EAE160" s="20"/>
      <c r="EAF160" s="20"/>
      <c r="EAG160" s="21"/>
      <c r="EAH160" s="21"/>
      <c r="EAI160" s="7"/>
      <c r="EAJ160" s="7"/>
      <c r="EAK160" s="21"/>
      <c r="EAL160" s="20"/>
      <c r="EAM160" s="20"/>
      <c r="EAN160" s="20"/>
      <c r="EAO160" s="21"/>
      <c r="EAP160" s="21"/>
      <c r="EAQ160" s="21"/>
      <c r="EAR160" s="21"/>
      <c r="EAS160" s="21"/>
      <c r="EAT160" s="20"/>
      <c r="EAU160" s="20"/>
      <c r="EAV160" s="20"/>
      <c r="EAW160" s="20"/>
      <c r="EAX160" s="21"/>
      <c r="EAY160" s="21"/>
      <c r="EAZ160" s="7"/>
      <c r="EBA160" s="7"/>
      <c r="EBB160" s="21"/>
      <c r="EBC160" s="20"/>
      <c r="EBD160" s="20"/>
      <c r="EBE160" s="20"/>
      <c r="EBF160" s="21"/>
      <c r="EBG160" s="21"/>
      <c r="EBH160" s="21"/>
      <c r="EBI160" s="21"/>
      <c r="EBJ160" s="21"/>
      <c r="EBK160" s="20"/>
      <c r="EBL160" s="20"/>
      <c r="EBM160" s="20"/>
      <c r="EBN160" s="20"/>
      <c r="EBO160" s="21"/>
      <c r="EBP160" s="21"/>
      <c r="EBQ160" s="7"/>
      <c r="EBR160" s="7"/>
      <c r="EBS160" s="21"/>
      <c r="EBT160" s="20"/>
      <c r="EBU160" s="20"/>
      <c r="EBV160" s="20"/>
      <c r="EBW160" s="21"/>
      <c r="EBX160" s="21"/>
      <c r="EBY160" s="21"/>
      <c r="EBZ160" s="21"/>
      <c r="ECA160" s="21"/>
      <c r="ECB160" s="20"/>
      <c r="ECC160" s="20"/>
      <c r="ECD160" s="20"/>
      <c r="ECE160" s="20"/>
      <c r="ECF160" s="21"/>
      <c r="ECG160" s="21"/>
      <c r="ECH160" s="7"/>
      <c r="ECI160" s="7"/>
      <c r="ECJ160" s="21"/>
      <c r="ECK160" s="20"/>
      <c r="ECL160" s="20"/>
      <c r="ECM160" s="20"/>
      <c r="ECN160" s="21"/>
      <c r="ECO160" s="21"/>
      <c r="ECP160" s="21"/>
      <c r="ECQ160" s="21"/>
      <c r="ECR160" s="21"/>
      <c r="ECS160" s="20"/>
      <c r="ECT160" s="20"/>
      <c r="ECU160" s="20"/>
      <c r="ECV160" s="20"/>
      <c r="ECW160" s="21"/>
      <c r="ECX160" s="21"/>
      <c r="ECY160" s="7"/>
      <c r="ECZ160" s="7"/>
      <c r="EDA160" s="21"/>
      <c r="EDB160" s="20"/>
      <c r="EDC160" s="20"/>
      <c r="EDD160" s="20"/>
      <c r="EDE160" s="21"/>
      <c r="EDF160" s="21"/>
      <c r="EDG160" s="21"/>
      <c r="EDH160" s="21"/>
      <c r="EDI160" s="21"/>
      <c r="EDJ160" s="20"/>
      <c r="EDK160" s="20"/>
      <c r="EDL160" s="20"/>
      <c r="EDM160" s="20"/>
      <c r="EDN160" s="21"/>
      <c r="EDO160" s="21"/>
      <c r="EDP160" s="7"/>
      <c r="EDQ160" s="7"/>
      <c r="EDR160" s="21"/>
      <c r="EDS160" s="20"/>
      <c r="EDT160" s="20"/>
      <c r="EDU160" s="20"/>
      <c r="EDV160" s="21"/>
      <c r="EDW160" s="21"/>
      <c r="EDX160" s="21"/>
      <c r="EDY160" s="21"/>
      <c r="EDZ160" s="21"/>
      <c r="EEA160" s="20"/>
      <c r="EEB160" s="20"/>
      <c r="EEC160" s="20"/>
      <c r="EED160" s="20"/>
      <c r="EEE160" s="21"/>
      <c r="EEF160" s="21"/>
      <c r="EEG160" s="7"/>
      <c r="EEH160" s="7"/>
      <c r="EEI160" s="21"/>
      <c r="EEJ160" s="20"/>
      <c r="EEK160" s="20"/>
      <c r="EEL160" s="20"/>
      <c r="EEM160" s="21"/>
      <c r="EEN160" s="21"/>
      <c r="EEO160" s="21"/>
      <c r="EEP160" s="21"/>
      <c r="EEQ160" s="21"/>
      <c r="EER160" s="20"/>
      <c r="EES160" s="20"/>
      <c r="EET160" s="20"/>
      <c r="EEU160" s="20"/>
      <c r="EEV160" s="21"/>
      <c r="EEW160" s="21"/>
      <c r="EEX160" s="7"/>
      <c r="EEY160" s="7"/>
      <c r="EEZ160" s="21"/>
      <c r="EFA160" s="20"/>
      <c r="EFB160" s="20"/>
      <c r="EFC160" s="20"/>
      <c r="EFD160" s="21"/>
      <c r="EFE160" s="21"/>
      <c r="EFF160" s="21"/>
      <c r="EFG160" s="21"/>
      <c r="EFH160" s="21"/>
      <c r="EFI160" s="20"/>
      <c r="EFJ160" s="20"/>
      <c r="EFK160" s="20"/>
      <c r="EFL160" s="20"/>
      <c r="EFM160" s="21"/>
      <c r="EFN160" s="21"/>
      <c r="EFO160" s="7"/>
      <c r="EFP160" s="7"/>
      <c r="EFQ160" s="21"/>
      <c r="EFR160" s="20"/>
      <c r="EFS160" s="20"/>
      <c r="EFT160" s="20"/>
      <c r="EFU160" s="21"/>
      <c r="EFV160" s="21"/>
      <c r="EFW160" s="21"/>
      <c r="EFX160" s="21"/>
      <c r="EFY160" s="21"/>
      <c r="EFZ160" s="20"/>
      <c r="EGA160" s="20"/>
      <c r="EGB160" s="20"/>
      <c r="EGC160" s="20"/>
      <c r="EGD160" s="21"/>
      <c r="EGE160" s="21"/>
      <c r="EGF160" s="7"/>
      <c r="EGG160" s="7"/>
      <c r="EGH160" s="21"/>
      <c r="EGI160" s="20"/>
      <c r="EGJ160" s="20"/>
      <c r="EGK160" s="20"/>
      <c r="EGL160" s="21"/>
      <c r="EGM160" s="21"/>
      <c r="EGN160" s="21"/>
      <c r="EGO160" s="21"/>
      <c r="EGP160" s="21"/>
      <c r="EGQ160" s="20"/>
      <c r="EGR160" s="20"/>
      <c r="EGS160" s="20"/>
      <c r="EGT160" s="20"/>
      <c r="EGU160" s="21"/>
      <c r="EGV160" s="21"/>
      <c r="EGW160" s="7"/>
      <c r="EGX160" s="7"/>
      <c r="EGY160" s="21"/>
      <c r="EGZ160" s="20"/>
      <c r="EHA160" s="20"/>
      <c r="EHB160" s="20"/>
      <c r="EHC160" s="21"/>
      <c r="EHD160" s="21"/>
      <c r="EHE160" s="21"/>
      <c r="EHF160" s="21"/>
      <c r="EHG160" s="21"/>
      <c r="EHH160" s="20"/>
      <c r="EHI160" s="20"/>
      <c r="EHJ160" s="20"/>
      <c r="EHK160" s="20"/>
      <c r="EHL160" s="21"/>
      <c r="EHM160" s="21"/>
      <c r="EHN160" s="7"/>
      <c r="EHO160" s="7"/>
      <c r="EHP160" s="21"/>
      <c r="EHQ160" s="20"/>
      <c r="EHR160" s="20"/>
      <c r="EHS160" s="20"/>
      <c r="EHT160" s="21"/>
      <c r="EHU160" s="21"/>
      <c r="EHV160" s="21"/>
      <c r="EHW160" s="21"/>
      <c r="EHX160" s="21"/>
      <c r="EHY160" s="20"/>
      <c r="EHZ160" s="20"/>
      <c r="EIA160" s="20"/>
      <c r="EIB160" s="20"/>
      <c r="EIC160" s="21"/>
      <c r="EID160" s="21"/>
      <c r="EIE160" s="7"/>
      <c r="EIF160" s="7"/>
      <c r="EIG160" s="21"/>
      <c r="EIH160" s="20"/>
      <c r="EII160" s="20"/>
      <c r="EIJ160" s="20"/>
      <c r="EIK160" s="21"/>
      <c r="EIL160" s="21"/>
      <c r="EIM160" s="21"/>
      <c r="EIN160" s="21"/>
      <c r="EIO160" s="21"/>
      <c r="EIP160" s="20"/>
      <c r="EIQ160" s="20"/>
      <c r="EIR160" s="20"/>
      <c r="EIS160" s="20"/>
      <c r="EIT160" s="21"/>
      <c r="EIU160" s="21"/>
      <c r="EIV160" s="7"/>
      <c r="EIW160" s="7"/>
      <c r="EIX160" s="21"/>
      <c r="EIY160" s="20"/>
      <c r="EIZ160" s="20"/>
      <c r="EJA160" s="20"/>
      <c r="EJB160" s="21"/>
      <c r="EJC160" s="21"/>
      <c r="EJD160" s="21"/>
      <c r="EJE160" s="21"/>
      <c r="EJF160" s="21"/>
      <c r="EJG160" s="20"/>
      <c r="EJH160" s="20"/>
      <c r="EJI160" s="20"/>
      <c r="EJJ160" s="20"/>
      <c r="EJK160" s="21"/>
      <c r="EJL160" s="21"/>
      <c r="EJM160" s="7"/>
      <c r="EJN160" s="7"/>
      <c r="EJO160" s="21"/>
      <c r="EJP160" s="20"/>
      <c r="EJQ160" s="20"/>
      <c r="EJR160" s="20"/>
      <c r="EJS160" s="21"/>
      <c r="EJT160" s="21"/>
      <c r="EJU160" s="21"/>
      <c r="EJV160" s="21"/>
      <c r="EJW160" s="21"/>
      <c r="EJX160" s="20"/>
      <c r="EJY160" s="20"/>
      <c r="EJZ160" s="20"/>
      <c r="EKA160" s="20"/>
      <c r="EKB160" s="21"/>
      <c r="EKC160" s="21"/>
      <c r="EKD160" s="7"/>
      <c r="EKE160" s="7"/>
      <c r="EKF160" s="21"/>
      <c r="EKG160" s="20"/>
      <c r="EKH160" s="20"/>
      <c r="EKI160" s="20"/>
      <c r="EKJ160" s="21"/>
      <c r="EKK160" s="21"/>
      <c r="EKL160" s="21"/>
      <c r="EKM160" s="21"/>
      <c r="EKN160" s="21"/>
      <c r="EKO160" s="20"/>
      <c r="EKP160" s="20"/>
      <c r="EKQ160" s="20"/>
      <c r="EKR160" s="20"/>
      <c r="EKS160" s="21"/>
      <c r="EKT160" s="21"/>
      <c r="EKU160" s="7"/>
      <c r="EKV160" s="7"/>
      <c r="EKW160" s="21"/>
      <c r="EKX160" s="20"/>
      <c r="EKY160" s="20"/>
      <c r="EKZ160" s="20"/>
      <c r="ELA160" s="21"/>
      <c r="ELB160" s="21"/>
      <c r="ELC160" s="21"/>
      <c r="ELD160" s="21"/>
      <c r="ELE160" s="21"/>
      <c r="ELF160" s="20"/>
      <c r="ELG160" s="20"/>
      <c r="ELH160" s="20"/>
      <c r="ELI160" s="20"/>
      <c r="ELJ160" s="21"/>
      <c r="ELK160" s="21"/>
      <c r="ELL160" s="7"/>
      <c r="ELM160" s="7"/>
      <c r="ELN160" s="21"/>
      <c r="ELO160" s="20"/>
      <c r="ELP160" s="20"/>
      <c r="ELQ160" s="20"/>
      <c r="ELR160" s="21"/>
      <c r="ELS160" s="21"/>
      <c r="ELT160" s="21"/>
      <c r="ELU160" s="21"/>
      <c r="ELV160" s="21"/>
      <c r="ELW160" s="20"/>
      <c r="ELX160" s="20"/>
      <c r="ELY160" s="20"/>
      <c r="ELZ160" s="20"/>
      <c r="EMA160" s="21"/>
      <c r="EMB160" s="21"/>
      <c r="EMC160" s="7"/>
      <c r="EMD160" s="7"/>
      <c r="EME160" s="21"/>
      <c r="EMF160" s="20"/>
      <c r="EMG160" s="20"/>
      <c r="EMH160" s="20"/>
      <c r="EMI160" s="21"/>
      <c r="EMJ160" s="21"/>
      <c r="EMK160" s="21"/>
      <c r="EML160" s="21"/>
      <c r="EMM160" s="21"/>
      <c r="EMN160" s="20"/>
      <c r="EMO160" s="20"/>
      <c r="EMP160" s="20"/>
      <c r="EMQ160" s="20"/>
      <c r="EMR160" s="21"/>
      <c r="EMS160" s="21"/>
      <c r="EMT160" s="7"/>
      <c r="EMU160" s="7"/>
      <c r="EMV160" s="21"/>
      <c r="EMW160" s="20"/>
      <c r="EMX160" s="20"/>
      <c r="EMY160" s="20"/>
      <c r="EMZ160" s="21"/>
      <c r="ENA160" s="21"/>
      <c r="ENB160" s="21"/>
      <c r="ENC160" s="21"/>
      <c r="END160" s="21"/>
      <c r="ENE160" s="20"/>
      <c r="ENF160" s="20"/>
      <c r="ENG160" s="20"/>
      <c r="ENH160" s="20"/>
      <c r="ENI160" s="21"/>
      <c r="ENJ160" s="21"/>
      <c r="ENK160" s="7"/>
      <c r="ENL160" s="7"/>
      <c r="ENM160" s="21"/>
      <c r="ENN160" s="20"/>
      <c r="ENO160" s="20"/>
      <c r="ENP160" s="20"/>
      <c r="ENQ160" s="21"/>
      <c r="ENR160" s="21"/>
      <c r="ENS160" s="21"/>
      <c r="ENT160" s="21"/>
      <c r="ENU160" s="21"/>
      <c r="ENV160" s="20"/>
      <c r="ENW160" s="20"/>
      <c r="ENX160" s="20"/>
      <c r="ENY160" s="20"/>
      <c r="ENZ160" s="21"/>
      <c r="EOA160" s="21"/>
      <c r="EOB160" s="7"/>
      <c r="EOC160" s="7"/>
      <c r="EOD160" s="21"/>
      <c r="EOE160" s="20"/>
      <c r="EOF160" s="20"/>
      <c r="EOG160" s="20"/>
      <c r="EOH160" s="21"/>
      <c r="EOI160" s="21"/>
      <c r="EOJ160" s="21"/>
      <c r="EOK160" s="21"/>
      <c r="EOL160" s="21"/>
      <c r="EOM160" s="20"/>
      <c r="EON160" s="20"/>
      <c r="EOO160" s="20"/>
      <c r="EOP160" s="20"/>
      <c r="EOQ160" s="21"/>
      <c r="EOR160" s="21"/>
      <c r="EOS160" s="7"/>
      <c r="EOT160" s="7"/>
      <c r="EOU160" s="21"/>
      <c r="EOV160" s="20"/>
      <c r="EOW160" s="20"/>
      <c r="EOX160" s="20"/>
      <c r="EOY160" s="21"/>
      <c r="EOZ160" s="21"/>
      <c r="EPA160" s="21"/>
      <c r="EPB160" s="21"/>
      <c r="EPC160" s="21"/>
      <c r="EPD160" s="20"/>
      <c r="EPE160" s="20"/>
      <c r="EPF160" s="20"/>
      <c r="EPG160" s="20"/>
      <c r="EPH160" s="21"/>
      <c r="EPI160" s="21"/>
      <c r="EPJ160" s="7"/>
      <c r="EPK160" s="7"/>
      <c r="EPL160" s="21"/>
      <c r="EPM160" s="20"/>
      <c r="EPN160" s="20"/>
      <c r="EPO160" s="20"/>
      <c r="EPP160" s="21"/>
      <c r="EPQ160" s="21"/>
      <c r="EPR160" s="21"/>
      <c r="EPS160" s="21"/>
      <c r="EPT160" s="21"/>
      <c r="EPU160" s="20"/>
      <c r="EPV160" s="20"/>
      <c r="EPW160" s="20"/>
      <c r="EPX160" s="20"/>
      <c r="EPY160" s="21"/>
      <c r="EPZ160" s="21"/>
      <c r="EQA160" s="7"/>
      <c r="EQB160" s="7"/>
      <c r="EQC160" s="21"/>
      <c r="EQD160" s="20"/>
      <c r="EQE160" s="20"/>
      <c r="EQF160" s="20"/>
      <c r="EQG160" s="21"/>
      <c r="EQH160" s="21"/>
      <c r="EQI160" s="21"/>
      <c r="EQJ160" s="21"/>
      <c r="EQK160" s="21"/>
      <c r="EQL160" s="20"/>
      <c r="EQM160" s="20"/>
      <c r="EQN160" s="20"/>
      <c r="EQO160" s="20"/>
      <c r="EQP160" s="21"/>
      <c r="EQQ160" s="21"/>
      <c r="EQR160" s="7"/>
      <c r="EQS160" s="7"/>
      <c r="EQT160" s="21"/>
      <c r="EQU160" s="20"/>
      <c r="EQV160" s="20"/>
      <c r="EQW160" s="20"/>
      <c r="EQX160" s="21"/>
      <c r="EQY160" s="21"/>
      <c r="EQZ160" s="21"/>
      <c r="ERA160" s="21"/>
      <c r="ERB160" s="21"/>
      <c r="ERC160" s="20"/>
      <c r="ERD160" s="20"/>
      <c r="ERE160" s="20"/>
      <c r="ERF160" s="20"/>
      <c r="ERG160" s="21"/>
      <c r="ERH160" s="21"/>
      <c r="ERI160" s="7"/>
      <c r="ERJ160" s="7"/>
      <c r="ERK160" s="21"/>
      <c r="ERL160" s="20"/>
      <c r="ERM160" s="20"/>
      <c r="ERN160" s="20"/>
      <c r="ERO160" s="21"/>
      <c r="ERP160" s="21"/>
      <c r="ERQ160" s="21"/>
      <c r="ERR160" s="21"/>
      <c r="ERS160" s="21"/>
      <c r="ERT160" s="20"/>
      <c r="ERU160" s="20"/>
      <c r="ERV160" s="20"/>
      <c r="ERW160" s="20"/>
      <c r="ERX160" s="21"/>
      <c r="ERY160" s="21"/>
      <c r="ERZ160" s="7"/>
      <c r="ESA160" s="7"/>
      <c r="ESB160" s="21"/>
      <c r="ESC160" s="20"/>
      <c r="ESD160" s="20"/>
      <c r="ESE160" s="20"/>
      <c r="ESF160" s="21"/>
      <c r="ESG160" s="21"/>
      <c r="ESH160" s="21"/>
      <c r="ESI160" s="21"/>
      <c r="ESJ160" s="21"/>
      <c r="ESK160" s="20"/>
      <c r="ESL160" s="20"/>
      <c r="ESM160" s="20"/>
      <c r="ESN160" s="20"/>
      <c r="ESO160" s="21"/>
      <c r="ESP160" s="21"/>
      <c r="ESQ160" s="7"/>
      <c r="ESR160" s="7"/>
      <c r="ESS160" s="21"/>
      <c r="EST160" s="20"/>
      <c r="ESU160" s="20"/>
      <c r="ESV160" s="20"/>
      <c r="ESW160" s="21"/>
      <c r="ESX160" s="21"/>
      <c r="ESY160" s="21"/>
      <c r="ESZ160" s="21"/>
      <c r="ETA160" s="21"/>
      <c r="ETB160" s="20"/>
      <c r="ETC160" s="20"/>
      <c r="ETD160" s="20"/>
      <c r="ETE160" s="20"/>
      <c r="ETF160" s="21"/>
      <c r="ETG160" s="21"/>
      <c r="ETH160" s="7"/>
      <c r="ETI160" s="7"/>
      <c r="ETJ160" s="21"/>
      <c r="ETK160" s="20"/>
      <c r="ETL160" s="20"/>
      <c r="ETM160" s="20"/>
      <c r="ETN160" s="21"/>
      <c r="ETO160" s="21"/>
      <c r="ETP160" s="21"/>
      <c r="ETQ160" s="21"/>
      <c r="ETR160" s="21"/>
      <c r="ETS160" s="20"/>
      <c r="ETT160" s="20"/>
      <c r="ETU160" s="20"/>
      <c r="ETV160" s="20"/>
      <c r="ETW160" s="21"/>
      <c r="ETX160" s="21"/>
      <c r="ETY160" s="7"/>
      <c r="ETZ160" s="7"/>
      <c r="EUA160" s="21"/>
      <c r="EUB160" s="20"/>
      <c r="EUC160" s="20"/>
      <c r="EUD160" s="20"/>
      <c r="EUE160" s="21"/>
      <c r="EUF160" s="21"/>
      <c r="EUG160" s="21"/>
      <c r="EUH160" s="21"/>
      <c r="EUI160" s="21"/>
      <c r="EUJ160" s="20"/>
      <c r="EUK160" s="20"/>
      <c r="EUL160" s="20"/>
      <c r="EUM160" s="20"/>
      <c r="EUN160" s="21"/>
      <c r="EUO160" s="21"/>
      <c r="EUP160" s="7"/>
      <c r="EUQ160" s="7"/>
      <c r="EUR160" s="21"/>
      <c r="EUS160" s="20"/>
      <c r="EUT160" s="20"/>
      <c r="EUU160" s="20"/>
      <c r="EUV160" s="21"/>
      <c r="EUW160" s="21"/>
      <c r="EUX160" s="21"/>
      <c r="EUY160" s="21"/>
      <c r="EUZ160" s="21"/>
      <c r="EVA160" s="20"/>
      <c r="EVB160" s="20"/>
      <c r="EVC160" s="20"/>
      <c r="EVD160" s="20"/>
      <c r="EVE160" s="21"/>
      <c r="EVF160" s="21"/>
      <c r="EVG160" s="7"/>
      <c r="EVH160" s="7"/>
      <c r="EVI160" s="21"/>
      <c r="EVJ160" s="20"/>
      <c r="EVK160" s="20"/>
      <c r="EVL160" s="20"/>
      <c r="EVM160" s="21"/>
      <c r="EVN160" s="21"/>
      <c r="EVO160" s="21"/>
      <c r="EVP160" s="21"/>
      <c r="EVQ160" s="21"/>
      <c r="EVR160" s="20"/>
      <c r="EVS160" s="20"/>
      <c r="EVT160" s="20"/>
      <c r="EVU160" s="20"/>
      <c r="EVV160" s="21"/>
      <c r="EVW160" s="21"/>
      <c r="EVX160" s="7"/>
      <c r="EVY160" s="7"/>
      <c r="EVZ160" s="21"/>
      <c r="EWA160" s="20"/>
      <c r="EWB160" s="20"/>
      <c r="EWC160" s="20"/>
      <c r="EWD160" s="21"/>
      <c r="EWE160" s="21"/>
      <c r="EWF160" s="21"/>
      <c r="EWG160" s="21"/>
      <c r="EWH160" s="21"/>
      <c r="EWI160" s="20"/>
      <c r="EWJ160" s="20"/>
      <c r="EWK160" s="20"/>
      <c r="EWL160" s="20"/>
      <c r="EWM160" s="21"/>
      <c r="EWN160" s="21"/>
      <c r="EWO160" s="7"/>
      <c r="EWP160" s="7"/>
      <c r="EWQ160" s="21"/>
      <c r="EWR160" s="20"/>
      <c r="EWS160" s="20"/>
      <c r="EWT160" s="20"/>
      <c r="EWU160" s="21"/>
      <c r="EWV160" s="21"/>
      <c r="EWW160" s="21"/>
      <c r="EWX160" s="21"/>
      <c r="EWY160" s="21"/>
      <c r="EWZ160" s="20"/>
      <c r="EXA160" s="20"/>
      <c r="EXB160" s="20"/>
      <c r="EXC160" s="20"/>
      <c r="EXD160" s="21"/>
      <c r="EXE160" s="21"/>
      <c r="EXF160" s="7"/>
      <c r="EXG160" s="7"/>
      <c r="EXH160" s="21"/>
      <c r="EXI160" s="20"/>
      <c r="EXJ160" s="20"/>
      <c r="EXK160" s="20"/>
      <c r="EXL160" s="21"/>
      <c r="EXM160" s="21"/>
      <c r="EXN160" s="21"/>
      <c r="EXO160" s="21"/>
      <c r="EXP160" s="21"/>
      <c r="EXQ160" s="20"/>
      <c r="EXR160" s="20"/>
      <c r="EXS160" s="20"/>
      <c r="EXT160" s="20"/>
      <c r="EXU160" s="21"/>
      <c r="EXV160" s="21"/>
      <c r="EXW160" s="7"/>
      <c r="EXX160" s="7"/>
      <c r="EXY160" s="21"/>
      <c r="EXZ160" s="20"/>
      <c r="EYA160" s="20"/>
      <c r="EYB160" s="20"/>
      <c r="EYC160" s="21"/>
      <c r="EYD160" s="21"/>
      <c r="EYE160" s="21"/>
      <c r="EYF160" s="21"/>
      <c r="EYG160" s="21"/>
      <c r="EYH160" s="20"/>
      <c r="EYI160" s="20"/>
      <c r="EYJ160" s="20"/>
      <c r="EYK160" s="20"/>
      <c r="EYL160" s="21"/>
      <c r="EYM160" s="21"/>
      <c r="EYN160" s="7"/>
      <c r="EYO160" s="7"/>
      <c r="EYP160" s="21"/>
      <c r="EYQ160" s="20"/>
      <c r="EYR160" s="20"/>
      <c r="EYS160" s="20"/>
      <c r="EYT160" s="21"/>
      <c r="EYU160" s="21"/>
      <c r="EYV160" s="21"/>
      <c r="EYW160" s="21"/>
      <c r="EYX160" s="21"/>
      <c r="EYY160" s="20"/>
      <c r="EYZ160" s="20"/>
      <c r="EZA160" s="20"/>
      <c r="EZB160" s="20"/>
      <c r="EZC160" s="21"/>
      <c r="EZD160" s="21"/>
      <c r="EZE160" s="7"/>
      <c r="EZF160" s="7"/>
      <c r="EZG160" s="21"/>
      <c r="EZH160" s="20"/>
      <c r="EZI160" s="20"/>
      <c r="EZJ160" s="20"/>
      <c r="EZK160" s="21"/>
      <c r="EZL160" s="21"/>
      <c r="EZM160" s="21"/>
      <c r="EZN160" s="21"/>
      <c r="EZO160" s="21"/>
      <c r="EZP160" s="20"/>
      <c r="EZQ160" s="20"/>
      <c r="EZR160" s="20"/>
      <c r="EZS160" s="20"/>
      <c r="EZT160" s="21"/>
      <c r="EZU160" s="21"/>
      <c r="EZV160" s="7"/>
      <c r="EZW160" s="7"/>
      <c r="EZX160" s="21"/>
      <c r="EZY160" s="20"/>
      <c r="EZZ160" s="20"/>
      <c r="FAA160" s="20"/>
      <c r="FAB160" s="21"/>
      <c r="FAC160" s="21"/>
      <c r="FAD160" s="21"/>
      <c r="FAE160" s="21"/>
      <c r="FAF160" s="21"/>
      <c r="FAG160" s="20"/>
      <c r="FAH160" s="20"/>
      <c r="FAI160" s="20"/>
      <c r="FAJ160" s="20"/>
      <c r="FAK160" s="21"/>
      <c r="FAL160" s="21"/>
      <c r="FAM160" s="7"/>
      <c r="FAN160" s="7"/>
      <c r="FAO160" s="21"/>
      <c r="FAP160" s="20"/>
      <c r="FAQ160" s="20"/>
      <c r="FAR160" s="20"/>
      <c r="FAS160" s="21"/>
      <c r="FAT160" s="21"/>
      <c r="FAU160" s="21"/>
      <c r="FAV160" s="21"/>
      <c r="FAW160" s="21"/>
      <c r="FAX160" s="20"/>
      <c r="FAY160" s="20"/>
      <c r="FAZ160" s="20"/>
      <c r="FBA160" s="20"/>
      <c r="FBB160" s="21"/>
      <c r="FBC160" s="21"/>
      <c r="FBD160" s="7"/>
      <c r="FBE160" s="7"/>
      <c r="FBF160" s="21"/>
      <c r="FBG160" s="20"/>
      <c r="FBH160" s="20"/>
      <c r="FBI160" s="20"/>
      <c r="FBJ160" s="21"/>
      <c r="FBK160" s="21"/>
      <c r="FBL160" s="21"/>
      <c r="FBM160" s="21"/>
      <c r="FBN160" s="21"/>
      <c r="FBO160" s="20"/>
      <c r="FBP160" s="20"/>
      <c r="FBQ160" s="20"/>
      <c r="FBR160" s="20"/>
      <c r="FBS160" s="21"/>
      <c r="FBT160" s="21"/>
      <c r="FBU160" s="7"/>
      <c r="FBV160" s="7"/>
      <c r="FBW160" s="21"/>
      <c r="FBX160" s="20"/>
      <c r="FBY160" s="20"/>
      <c r="FBZ160" s="20"/>
      <c r="FCA160" s="21"/>
      <c r="FCB160" s="21"/>
      <c r="FCC160" s="21"/>
      <c r="FCD160" s="21"/>
      <c r="FCE160" s="21"/>
      <c r="FCF160" s="20"/>
      <c r="FCG160" s="20"/>
      <c r="FCH160" s="20"/>
      <c r="FCI160" s="20"/>
      <c r="FCJ160" s="21"/>
      <c r="FCK160" s="21"/>
      <c r="FCL160" s="7"/>
      <c r="FCM160" s="7"/>
      <c r="FCN160" s="21"/>
      <c r="FCO160" s="20"/>
      <c r="FCP160" s="20"/>
      <c r="FCQ160" s="20"/>
      <c r="FCR160" s="21"/>
      <c r="FCS160" s="21"/>
      <c r="FCT160" s="21"/>
      <c r="FCU160" s="21"/>
      <c r="FCV160" s="21"/>
      <c r="FCW160" s="20"/>
      <c r="FCX160" s="20"/>
      <c r="FCY160" s="20"/>
      <c r="FCZ160" s="20"/>
      <c r="FDA160" s="21"/>
      <c r="FDB160" s="21"/>
      <c r="FDC160" s="7"/>
      <c r="FDD160" s="7"/>
      <c r="FDE160" s="21"/>
      <c r="FDF160" s="20"/>
      <c r="FDG160" s="20"/>
      <c r="FDH160" s="20"/>
      <c r="FDI160" s="21"/>
      <c r="FDJ160" s="21"/>
      <c r="FDK160" s="21"/>
      <c r="FDL160" s="21"/>
      <c r="FDM160" s="21"/>
      <c r="FDN160" s="20"/>
      <c r="FDO160" s="20"/>
      <c r="FDP160" s="20"/>
      <c r="FDQ160" s="20"/>
      <c r="FDR160" s="21"/>
      <c r="FDS160" s="21"/>
      <c r="FDT160" s="7"/>
      <c r="FDU160" s="7"/>
      <c r="FDV160" s="21"/>
      <c r="FDW160" s="20"/>
      <c r="FDX160" s="20"/>
      <c r="FDY160" s="20"/>
      <c r="FDZ160" s="21"/>
      <c r="FEA160" s="21"/>
      <c r="FEB160" s="21"/>
      <c r="FEC160" s="21"/>
      <c r="FED160" s="21"/>
      <c r="FEE160" s="20"/>
      <c r="FEF160" s="20"/>
      <c r="FEG160" s="20"/>
      <c r="FEH160" s="20"/>
      <c r="FEI160" s="21"/>
      <c r="FEJ160" s="21"/>
      <c r="FEK160" s="7"/>
      <c r="FEL160" s="7"/>
      <c r="FEM160" s="21"/>
      <c r="FEN160" s="20"/>
      <c r="FEO160" s="20"/>
      <c r="FEP160" s="20"/>
      <c r="FEQ160" s="21"/>
      <c r="FER160" s="21"/>
      <c r="FES160" s="21"/>
      <c r="FET160" s="21"/>
      <c r="FEU160" s="21"/>
      <c r="FEV160" s="20"/>
      <c r="FEW160" s="20"/>
      <c r="FEX160" s="20"/>
      <c r="FEY160" s="20"/>
      <c r="FEZ160" s="21"/>
      <c r="FFA160" s="21"/>
      <c r="FFB160" s="7"/>
      <c r="FFC160" s="7"/>
      <c r="FFD160" s="21"/>
      <c r="FFE160" s="20"/>
      <c r="FFF160" s="20"/>
      <c r="FFG160" s="20"/>
      <c r="FFH160" s="21"/>
      <c r="FFI160" s="21"/>
      <c r="FFJ160" s="21"/>
      <c r="FFK160" s="21"/>
      <c r="FFL160" s="21"/>
      <c r="FFM160" s="20"/>
      <c r="FFN160" s="20"/>
      <c r="FFO160" s="20"/>
      <c r="FFP160" s="20"/>
      <c r="FFQ160" s="21"/>
      <c r="FFR160" s="21"/>
      <c r="FFS160" s="7"/>
      <c r="FFT160" s="7"/>
      <c r="FFU160" s="21"/>
      <c r="FFV160" s="20"/>
      <c r="FFW160" s="20"/>
      <c r="FFX160" s="20"/>
      <c r="FFY160" s="21"/>
      <c r="FFZ160" s="21"/>
      <c r="FGA160" s="21"/>
      <c r="FGB160" s="21"/>
      <c r="FGC160" s="21"/>
      <c r="FGD160" s="20"/>
      <c r="FGE160" s="20"/>
      <c r="FGF160" s="20"/>
      <c r="FGG160" s="20"/>
      <c r="FGH160" s="21"/>
      <c r="FGI160" s="21"/>
      <c r="FGJ160" s="7"/>
      <c r="FGK160" s="7"/>
      <c r="FGL160" s="21"/>
      <c r="FGM160" s="20"/>
      <c r="FGN160" s="20"/>
      <c r="FGO160" s="20"/>
      <c r="FGP160" s="21"/>
      <c r="FGQ160" s="21"/>
      <c r="FGR160" s="21"/>
      <c r="FGS160" s="21"/>
      <c r="FGT160" s="21"/>
      <c r="FGU160" s="20"/>
      <c r="FGV160" s="20"/>
      <c r="FGW160" s="20"/>
      <c r="FGX160" s="20"/>
      <c r="FGY160" s="21"/>
      <c r="FGZ160" s="21"/>
      <c r="FHA160" s="7"/>
      <c r="FHB160" s="7"/>
      <c r="FHC160" s="21"/>
      <c r="FHD160" s="20"/>
      <c r="FHE160" s="20"/>
      <c r="FHF160" s="20"/>
      <c r="FHG160" s="21"/>
      <c r="FHH160" s="21"/>
      <c r="FHI160" s="21"/>
      <c r="FHJ160" s="21"/>
      <c r="FHK160" s="21"/>
      <c r="FHL160" s="20"/>
      <c r="FHM160" s="20"/>
      <c r="FHN160" s="20"/>
      <c r="FHO160" s="20"/>
      <c r="FHP160" s="21"/>
      <c r="FHQ160" s="21"/>
      <c r="FHR160" s="7"/>
      <c r="FHS160" s="7"/>
      <c r="FHT160" s="21"/>
      <c r="FHU160" s="20"/>
      <c r="FHV160" s="20"/>
      <c r="FHW160" s="20"/>
      <c r="FHX160" s="21"/>
      <c r="FHY160" s="21"/>
      <c r="FHZ160" s="21"/>
      <c r="FIA160" s="21"/>
      <c r="FIB160" s="21"/>
      <c r="FIC160" s="20"/>
      <c r="FID160" s="20"/>
      <c r="FIE160" s="20"/>
      <c r="FIF160" s="20"/>
      <c r="FIG160" s="21"/>
      <c r="FIH160" s="21"/>
      <c r="FII160" s="7"/>
      <c r="FIJ160" s="7"/>
      <c r="FIK160" s="21"/>
      <c r="FIL160" s="20"/>
      <c r="FIM160" s="20"/>
      <c r="FIN160" s="20"/>
      <c r="FIO160" s="21"/>
      <c r="FIP160" s="21"/>
      <c r="FIQ160" s="21"/>
      <c r="FIR160" s="21"/>
      <c r="FIS160" s="21"/>
      <c r="FIT160" s="20"/>
      <c r="FIU160" s="20"/>
      <c r="FIV160" s="20"/>
      <c r="FIW160" s="20"/>
      <c r="FIX160" s="21"/>
      <c r="FIY160" s="21"/>
      <c r="FIZ160" s="7"/>
      <c r="FJA160" s="7"/>
      <c r="FJB160" s="21"/>
      <c r="FJC160" s="20"/>
      <c r="FJD160" s="20"/>
      <c r="FJE160" s="20"/>
      <c r="FJF160" s="21"/>
      <c r="FJG160" s="21"/>
      <c r="FJH160" s="21"/>
      <c r="FJI160" s="21"/>
      <c r="FJJ160" s="21"/>
      <c r="FJK160" s="20"/>
      <c r="FJL160" s="20"/>
      <c r="FJM160" s="20"/>
      <c r="FJN160" s="20"/>
      <c r="FJO160" s="21"/>
      <c r="FJP160" s="21"/>
      <c r="FJQ160" s="7"/>
      <c r="FJR160" s="7"/>
      <c r="FJS160" s="21"/>
      <c r="FJT160" s="20"/>
      <c r="FJU160" s="20"/>
      <c r="FJV160" s="20"/>
      <c r="FJW160" s="21"/>
      <c r="FJX160" s="21"/>
      <c r="FJY160" s="21"/>
      <c r="FJZ160" s="21"/>
      <c r="FKA160" s="21"/>
      <c r="FKB160" s="20"/>
      <c r="FKC160" s="20"/>
      <c r="FKD160" s="20"/>
      <c r="FKE160" s="20"/>
      <c r="FKF160" s="21"/>
      <c r="FKG160" s="21"/>
      <c r="FKH160" s="7"/>
      <c r="FKI160" s="7"/>
      <c r="FKJ160" s="21"/>
      <c r="FKK160" s="20"/>
      <c r="FKL160" s="20"/>
      <c r="FKM160" s="20"/>
      <c r="FKN160" s="21"/>
      <c r="FKO160" s="21"/>
      <c r="FKP160" s="21"/>
      <c r="FKQ160" s="21"/>
      <c r="FKR160" s="21"/>
      <c r="FKS160" s="20"/>
      <c r="FKT160" s="20"/>
      <c r="FKU160" s="20"/>
      <c r="FKV160" s="20"/>
      <c r="FKW160" s="21"/>
      <c r="FKX160" s="21"/>
      <c r="FKY160" s="7"/>
      <c r="FKZ160" s="7"/>
      <c r="FLA160" s="21"/>
      <c r="FLB160" s="20"/>
      <c r="FLC160" s="20"/>
      <c r="FLD160" s="20"/>
      <c r="FLE160" s="21"/>
      <c r="FLF160" s="21"/>
      <c r="FLG160" s="21"/>
      <c r="FLH160" s="21"/>
      <c r="FLI160" s="21"/>
      <c r="FLJ160" s="20"/>
      <c r="FLK160" s="20"/>
      <c r="FLL160" s="20"/>
      <c r="FLM160" s="20"/>
      <c r="FLN160" s="21"/>
      <c r="FLO160" s="21"/>
      <c r="FLP160" s="7"/>
      <c r="FLQ160" s="7"/>
      <c r="FLR160" s="21"/>
      <c r="FLS160" s="20"/>
      <c r="FLT160" s="20"/>
      <c r="FLU160" s="20"/>
      <c r="FLV160" s="21"/>
      <c r="FLW160" s="21"/>
      <c r="FLX160" s="21"/>
      <c r="FLY160" s="21"/>
      <c r="FLZ160" s="21"/>
      <c r="FMA160" s="20"/>
      <c r="FMB160" s="20"/>
      <c r="FMC160" s="20"/>
      <c r="FMD160" s="20"/>
      <c r="FME160" s="21"/>
      <c r="FMF160" s="21"/>
      <c r="FMG160" s="7"/>
      <c r="FMH160" s="7"/>
      <c r="FMI160" s="21"/>
      <c r="FMJ160" s="20"/>
      <c r="FMK160" s="20"/>
      <c r="FML160" s="20"/>
      <c r="FMM160" s="21"/>
      <c r="FMN160" s="21"/>
      <c r="FMO160" s="21"/>
      <c r="FMP160" s="21"/>
      <c r="FMQ160" s="21"/>
      <c r="FMR160" s="20"/>
      <c r="FMS160" s="20"/>
      <c r="FMT160" s="20"/>
      <c r="FMU160" s="20"/>
      <c r="FMV160" s="21"/>
      <c r="FMW160" s="21"/>
      <c r="FMX160" s="7"/>
      <c r="FMY160" s="7"/>
      <c r="FMZ160" s="21"/>
      <c r="FNA160" s="20"/>
      <c r="FNB160" s="20"/>
      <c r="FNC160" s="20"/>
      <c r="FND160" s="21"/>
      <c r="FNE160" s="21"/>
      <c r="FNF160" s="21"/>
      <c r="FNG160" s="21"/>
      <c r="FNH160" s="21"/>
      <c r="FNI160" s="20"/>
      <c r="FNJ160" s="20"/>
      <c r="FNK160" s="20"/>
      <c r="FNL160" s="20"/>
      <c r="FNM160" s="21"/>
      <c r="FNN160" s="21"/>
      <c r="FNO160" s="7"/>
      <c r="FNP160" s="7"/>
      <c r="FNQ160" s="21"/>
      <c r="FNR160" s="20"/>
      <c r="FNS160" s="20"/>
      <c r="FNT160" s="20"/>
      <c r="FNU160" s="21"/>
      <c r="FNV160" s="21"/>
      <c r="FNW160" s="21"/>
      <c r="FNX160" s="21"/>
      <c r="FNY160" s="21"/>
      <c r="FNZ160" s="20"/>
      <c r="FOA160" s="20"/>
      <c r="FOB160" s="20"/>
      <c r="FOC160" s="20"/>
      <c r="FOD160" s="21"/>
      <c r="FOE160" s="21"/>
      <c r="FOF160" s="7"/>
      <c r="FOG160" s="7"/>
      <c r="FOH160" s="21"/>
      <c r="FOI160" s="20"/>
      <c r="FOJ160" s="20"/>
      <c r="FOK160" s="20"/>
      <c r="FOL160" s="21"/>
      <c r="FOM160" s="21"/>
      <c r="FON160" s="21"/>
      <c r="FOO160" s="21"/>
      <c r="FOP160" s="21"/>
      <c r="FOQ160" s="20"/>
      <c r="FOR160" s="20"/>
      <c r="FOS160" s="20"/>
      <c r="FOT160" s="20"/>
      <c r="FOU160" s="21"/>
      <c r="FOV160" s="21"/>
      <c r="FOW160" s="7"/>
      <c r="FOX160" s="7"/>
      <c r="FOY160" s="21"/>
      <c r="FOZ160" s="20"/>
      <c r="FPA160" s="20"/>
      <c r="FPB160" s="20"/>
      <c r="FPC160" s="21"/>
      <c r="FPD160" s="21"/>
      <c r="FPE160" s="21"/>
      <c r="FPF160" s="21"/>
      <c r="FPG160" s="21"/>
      <c r="FPH160" s="20"/>
      <c r="FPI160" s="20"/>
      <c r="FPJ160" s="20"/>
      <c r="FPK160" s="20"/>
      <c r="FPL160" s="21"/>
      <c r="FPM160" s="21"/>
      <c r="FPN160" s="7"/>
      <c r="FPO160" s="7"/>
      <c r="FPP160" s="21"/>
      <c r="FPQ160" s="20"/>
      <c r="FPR160" s="20"/>
      <c r="FPS160" s="20"/>
      <c r="FPT160" s="21"/>
      <c r="FPU160" s="21"/>
      <c r="FPV160" s="21"/>
      <c r="FPW160" s="21"/>
      <c r="FPX160" s="21"/>
      <c r="FPY160" s="20"/>
      <c r="FPZ160" s="20"/>
      <c r="FQA160" s="20"/>
      <c r="FQB160" s="20"/>
      <c r="FQC160" s="21"/>
      <c r="FQD160" s="21"/>
      <c r="FQE160" s="7"/>
      <c r="FQF160" s="7"/>
      <c r="FQG160" s="21"/>
      <c r="FQH160" s="20"/>
      <c r="FQI160" s="20"/>
      <c r="FQJ160" s="20"/>
      <c r="FQK160" s="21"/>
      <c r="FQL160" s="21"/>
      <c r="FQM160" s="21"/>
      <c r="FQN160" s="21"/>
      <c r="FQO160" s="21"/>
      <c r="FQP160" s="20"/>
      <c r="FQQ160" s="20"/>
      <c r="FQR160" s="20"/>
      <c r="FQS160" s="20"/>
      <c r="FQT160" s="21"/>
      <c r="FQU160" s="21"/>
      <c r="FQV160" s="7"/>
      <c r="FQW160" s="7"/>
      <c r="FQX160" s="21"/>
      <c r="FQY160" s="20"/>
      <c r="FQZ160" s="20"/>
      <c r="FRA160" s="20"/>
      <c r="FRB160" s="21"/>
      <c r="FRC160" s="21"/>
      <c r="FRD160" s="21"/>
      <c r="FRE160" s="21"/>
      <c r="FRF160" s="21"/>
      <c r="FRG160" s="20"/>
      <c r="FRH160" s="20"/>
      <c r="FRI160" s="20"/>
      <c r="FRJ160" s="20"/>
      <c r="FRK160" s="21"/>
      <c r="FRL160" s="21"/>
      <c r="FRM160" s="7"/>
      <c r="FRN160" s="7"/>
      <c r="FRO160" s="21"/>
      <c r="FRP160" s="20"/>
      <c r="FRQ160" s="20"/>
      <c r="FRR160" s="20"/>
      <c r="FRS160" s="21"/>
      <c r="FRT160" s="21"/>
      <c r="FRU160" s="21"/>
      <c r="FRV160" s="21"/>
      <c r="FRW160" s="21"/>
      <c r="FRX160" s="20"/>
      <c r="FRY160" s="20"/>
      <c r="FRZ160" s="20"/>
      <c r="FSA160" s="20"/>
      <c r="FSB160" s="21"/>
      <c r="FSC160" s="21"/>
      <c r="FSD160" s="7"/>
      <c r="FSE160" s="7"/>
      <c r="FSF160" s="21"/>
      <c r="FSG160" s="20"/>
      <c r="FSH160" s="20"/>
      <c r="FSI160" s="20"/>
      <c r="FSJ160" s="21"/>
      <c r="FSK160" s="21"/>
      <c r="FSL160" s="21"/>
      <c r="FSM160" s="21"/>
      <c r="FSN160" s="21"/>
      <c r="FSO160" s="20"/>
      <c r="FSP160" s="20"/>
      <c r="FSQ160" s="20"/>
      <c r="FSR160" s="20"/>
      <c r="FSS160" s="21"/>
      <c r="FST160" s="21"/>
      <c r="FSU160" s="7"/>
      <c r="FSV160" s="7"/>
      <c r="FSW160" s="21"/>
      <c r="FSX160" s="20"/>
      <c r="FSY160" s="20"/>
      <c r="FSZ160" s="20"/>
      <c r="FTA160" s="21"/>
      <c r="FTB160" s="21"/>
      <c r="FTC160" s="21"/>
      <c r="FTD160" s="21"/>
      <c r="FTE160" s="21"/>
      <c r="FTF160" s="20"/>
      <c r="FTG160" s="20"/>
      <c r="FTH160" s="20"/>
      <c r="FTI160" s="20"/>
      <c r="FTJ160" s="21"/>
      <c r="FTK160" s="21"/>
      <c r="FTL160" s="7"/>
      <c r="FTM160" s="7"/>
      <c r="FTN160" s="21"/>
      <c r="FTO160" s="20"/>
      <c r="FTP160" s="20"/>
      <c r="FTQ160" s="20"/>
      <c r="FTR160" s="21"/>
      <c r="FTS160" s="21"/>
      <c r="FTT160" s="21"/>
      <c r="FTU160" s="21"/>
      <c r="FTV160" s="21"/>
      <c r="FTW160" s="20"/>
      <c r="FTX160" s="20"/>
      <c r="FTY160" s="20"/>
      <c r="FTZ160" s="20"/>
      <c r="FUA160" s="21"/>
      <c r="FUB160" s="21"/>
      <c r="FUC160" s="7"/>
      <c r="FUD160" s="7"/>
      <c r="FUE160" s="21"/>
      <c r="FUF160" s="20"/>
      <c r="FUG160" s="20"/>
      <c r="FUH160" s="20"/>
      <c r="FUI160" s="21"/>
      <c r="FUJ160" s="21"/>
      <c r="FUK160" s="21"/>
      <c r="FUL160" s="21"/>
      <c r="FUM160" s="21"/>
      <c r="FUN160" s="20"/>
      <c r="FUO160" s="20"/>
      <c r="FUP160" s="20"/>
      <c r="FUQ160" s="20"/>
      <c r="FUR160" s="21"/>
      <c r="FUS160" s="21"/>
      <c r="FUT160" s="7"/>
      <c r="FUU160" s="7"/>
      <c r="FUV160" s="21"/>
      <c r="FUW160" s="20"/>
      <c r="FUX160" s="20"/>
      <c r="FUY160" s="20"/>
      <c r="FUZ160" s="21"/>
      <c r="FVA160" s="21"/>
      <c r="FVB160" s="21"/>
      <c r="FVC160" s="21"/>
      <c r="FVD160" s="21"/>
      <c r="FVE160" s="20"/>
      <c r="FVF160" s="20"/>
      <c r="FVG160" s="20"/>
      <c r="FVH160" s="20"/>
      <c r="FVI160" s="21"/>
      <c r="FVJ160" s="21"/>
      <c r="FVK160" s="7"/>
      <c r="FVL160" s="7"/>
      <c r="FVM160" s="21"/>
      <c r="FVN160" s="20"/>
      <c r="FVO160" s="20"/>
      <c r="FVP160" s="20"/>
      <c r="FVQ160" s="21"/>
      <c r="FVR160" s="21"/>
      <c r="FVS160" s="21"/>
      <c r="FVT160" s="21"/>
      <c r="FVU160" s="21"/>
      <c r="FVV160" s="20"/>
      <c r="FVW160" s="20"/>
      <c r="FVX160" s="20"/>
      <c r="FVY160" s="20"/>
      <c r="FVZ160" s="21"/>
      <c r="FWA160" s="21"/>
      <c r="FWB160" s="7"/>
      <c r="FWC160" s="7"/>
      <c r="FWD160" s="21"/>
      <c r="FWE160" s="20"/>
      <c r="FWF160" s="20"/>
      <c r="FWG160" s="20"/>
      <c r="FWH160" s="21"/>
      <c r="FWI160" s="21"/>
      <c r="FWJ160" s="21"/>
      <c r="FWK160" s="21"/>
      <c r="FWL160" s="21"/>
      <c r="FWM160" s="20"/>
      <c r="FWN160" s="20"/>
      <c r="FWO160" s="20"/>
      <c r="FWP160" s="20"/>
      <c r="FWQ160" s="21"/>
      <c r="FWR160" s="21"/>
      <c r="FWS160" s="7"/>
      <c r="FWT160" s="7"/>
      <c r="FWU160" s="21"/>
      <c r="FWV160" s="20"/>
      <c r="FWW160" s="20"/>
      <c r="FWX160" s="20"/>
      <c r="FWY160" s="21"/>
      <c r="FWZ160" s="21"/>
      <c r="FXA160" s="21"/>
      <c r="FXB160" s="21"/>
      <c r="FXC160" s="21"/>
      <c r="FXD160" s="20"/>
      <c r="FXE160" s="20"/>
      <c r="FXF160" s="20"/>
      <c r="FXG160" s="20"/>
      <c r="FXH160" s="21"/>
      <c r="FXI160" s="21"/>
      <c r="FXJ160" s="7"/>
      <c r="FXK160" s="7"/>
      <c r="FXL160" s="21"/>
      <c r="FXM160" s="20"/>
      <c r="FXN160" s="20"/>
      <c r="FXO160" s="20"/>
      <c r="FXP160" s="21"/>
      <c r="FXQ160" s="21"/>
      <c r="FXR160" s="21"/>
      <c r="FXS160" s="21"/>
      <c r="FXT160" s="21"/>
      <c r="FXU160" s="20"/>
      <c r="FXV160" s="20"/>
      <c r="FXW160" s="20"/>
      <c r="FXX160" s="20"/>
      <c r="FXY160" s="21"/>
      <c r="FXZ160" s="21"/>
      <c r="FYA160" s="7"/>
      <c r="FYB160" s="7"/>
      <c r="FYC160" s="21"/>
      <c r="FYD160" s="20"/>
      <c r="FYE160" s="20"/>
      <c r="FYF160" s="20"/>
      <c r="FYG160" s="21"/>
      <c r="FYH160" s="21"/>
      <c r="FYI160" s="21"/>
      <c r="FYJ160" s="21"/>
      <c r="FYK160" s="21"/>
      <c r="FYL160" s="20"/>
      <c r="FYM160" s="20"/>
      <c r="FYN160" s="20"/>
      <c r="FYO160" s="20"/>
      <c r="FYP160" s="21"/>
      <c r="FYQ160" s="21"/>
      <c r="FYR160" s="7"/>
      <c r="FYS160" s="7"/>
      <c r="FYT160" s="21"/>
      <c r="FYU160" s="20"/>
      <c r="FYV160" s="20"/>
      <c r="FYW160" s="20"/>
      <c r="FYX160" s="21"/>
      <c r="FYY160" s="21"/>
      <c r="FYZ160" s="21"/>
      <c r="FZA160" s="21"/>
      <c r="FZB160" s="21"/>
      <c r="FZC160" s="20"/>
      <c r="FZD160" s="20"/>
      <c r="FZE160" s="20"/>
      <c r="FZF160" s="20"/>
      <c r="FZG160" s="21"/>
      <c r="FZH160" s="21"/>
      <c r="FZI160" s="7"/>
      <c r="FZJ160" s="7"/>
      <c r="FZK160" s="21"/>
      <c r="FZL160" s="20"/>
      <c r="FZM160" s="20"/>
      <c r="FZN160" s="20"/>
      <c r="FZO160" s="21"/>
      <c r="FZP160" s="21"/>
      <c r="FZQ160" s="21"/>
      <c r="FZR160" s="21"/>
      <c r="FZS160" s="21"/>
      <c r="FZT160" s="20"/>
      <c r="FZU160" s="20"/>
      <c r="FZV160" s="20"/>
      <c r="FZW160" s="20"/>
      <c r="FZX160" s="21"/>
      <c r="FZY160" s="21"/>
      <c r="FZZ160" s="7"/>
      <c r="GAA160" s="7"/>
      <c r="GAB160" s="21"/>
      <c r="GAC160" s="20"/>
      <c r="GAD160" s="20"/>
      <c r="GAE160" s="20"/>
      <c r="GAF160" s="21"/>
      <c r="GAG160" s="21"/>
      <c r="GAH160" s="21"/>
      <c r="GAI160" s="21"/>
      <c r="GAJ160" s="21"/>
      <c r="GAK160" s="20"/>
      <c r="GAL160" s="20"/>
      <c r="GAM160" s="20"/>
      <c r="GAN160" s="20"/>
      <c r="GAO160" s="21"/>
      <c r="GAP160" s="21"/>
      <c r="GAQ160" s="7"/>
      <c r="GAR160" s="7"/>
      <c r="GAS160" s="21"/>
      <c r="GAT160" s="20"/>
      <c r="GAU160" s="20"/>
      <c r="GAV160" s="20"/>
      <c r="GAW160" s="21"/>
      <c r="GAX160" s="21"/>
      <c r="GAY160" s="21"/>
      <c r="GAZ160" s="21"/>
      <c r="GBA160" s="21"/>
      <c r="GBB160" s="20"/>
      <c r="GBC160" s="20"/>
      <c r="GBD160" s="20"/>
      <c r="GBE160" s="20"/>
      <c r="GBF160" s="21"/>
      <c r="GBG160" s="21"/>
      <c r="GBH160" s="7"/>
      <c r="GBI160" s="7"/>
      <c r="GBJ160" s="21"/>
      <c r="GBK160" s="20"/>
      <c r="GBL160" s="20"/>
      <c r="GBM160" s="20"/>
      <c r="GBN160" s="21"/>
      <c r="GBO160" s="21"/>
      <c r="GBP160" s="21"/>
      <c r="GBQ160" s="21"/>
      <c r="GBR160" s="21"/>
      <c r="GBS160" s="20"/>
      <c r="GBT160" s="20"/>
      <c r="GBU160" s="20"/>
      <c r="GBV160" s="20"/>
      <c r="GBW160" s="21"/>
      <c r="GBX160" s="21"/>
      <c r="GBY160" s="7"/>
      <c r="GBZ160" s="7"/>
      <c r="GCA160" s="21"/>
      <c r="GCB160" s="20"/>
      <c r="GCC160" s="20"/>
      <c r="GCD160" s="20"/>
      <c r="GCE160" s="21"/>
      <c r="GCF160" s="21"/>
      <c r="GCG160" s="21"/>
      <c r="GCH160" s="21"/>
      <c r="GCI160" s="21"/>
      <c r="GCJ160" s="20"/>
      <c r="GCK160" s="20"/>
      <c r="GCL160" s="20"/>
      <c r="GCM160" s="20"/>
      <c r="GCN160" s="21"/>
      <c r="GCO160" s="21"/>
      <c r="GCP160" s="7"/>
      <c r="GCQ160" s="7"/>
      <c r="GCR160" s="21"/>
      <c r="GCS160" s="20"/>
      <c r="GCT160" s="20"/>
      <c r="GCU160" s="20"/>
      <c r="GCV160" s="21"/>
      <c r="GCW160" s="21"/>
      <c r="GCX160" s="21"/>
      <c r="GCY160" s="21"/>
      <c r="GCZ160" s="21"/>
      <c r="GDA160" s="20"/>
      <c r="GDB160" s="20"/>
      <c r="GDC160" s="20"/>
      <c r="GDD160" s="20"/>
      <c r="GDE160" s="21"/>
      <c r="GDF160" s="21"/>
      <c r="GDG160" s="7"/>
      <c r="GDH160" s="7"/>
      <c r="GDI160" s="21"/>
      <c r="GDJ160" s="20"/>
      <c r="GDK160" s="20"/>
      <c r="GDL160" s="20"/>
      <c r="GDM160" s="21"/>
      <c r="GDN160" s="21"/>
      <c r="GDO160" s="21"/>
      <c r="GDP160" s="21"/>
      <c r="GDQ160" s="21"/>
      <c r="GDR160" s="20"/>
      <c r="GDS160" s="20"/>
      <c r="GDT160" s="20"/>
      <c r="GDU160" s="20"/>
      <c r="GDV160" s="21"/>
      <c r="GDW160" s="21"/>
      <c r="GDX160" s="7"/>
      <c r="GDY160" s="7"/>
      <c r="GDZ160" s="21"/>
      <c r="GEA160" s="20"/>
      <c r="GEB160" s="20"/>
      <c r="GEC160" s="20"/>
      <c r="GED160" s="21"/>
      <c r="GEE160" s="21"/>
      <c r="GEF160" s="21"/>
      <c r="GEG160" s="21"/>
      <c r="GEH160" s="21"/>
      <c r="GEI160" s="20"/>
      <c r="GEJ160" s="20"/>
      <c r="GEK160" s="20"/>
      <c r="GEL160" s="20"/>
      <c r="GEM160" s="21"/>
      <c r="GEN160" s="21"/>
      <c r="GEO160" s="7"/>
      <c r="GEP160" s="7"/>
      <c r="GEQ160" s="21"/>
      <c r="GER160" s="20"/>
      <c r="GES160" s="20"/>
      <c r="GET160" s="20"/>
      <c r="GEU160" s="21"/>
      <c r="GEV160" s="21"/>
      <c r="GEW160" s="21"/>
      <c r="GEX160" s="21"/>
      <c r="GEY160" s="21"/>
      <c r="GEZ160" s="20"/>
      <c r="GFA160" s="20"/>
      <c r="GFB160" s="20"/>
      <c r="GFC160" s="20"/>
      <c r="GFD160" s="21"/>
      <c r="GFE160" s="21"/>
      <c r="GFF160" s="7"/>
      <c r="GFG160" s="7"/>
      <c r="GFH160" s="21"/>
      <c r="GFI160" s="20"/>
      <c r="GFJ160" s="20"/>
      <c r="GFK160" s="20"/>
      <c r="GFL160" s="21"/>
      <c r="GFM160" s="21"/>
      <c r="GFN160" s="21"/>
      <c r="GFO160" s="21"/>
      <c r="GFP160" s="21"/>
      <c r="GFQ160" s="20"/>
      <c r="GFR160" s="20"/>
      <c r="GFS160" s="20"/>
      <c r="GFT160" s="20"/>
      <c r="GFU160" s="21"/>
      <c r="GFV160" s="21"/>
      <c r="GFW160" s="7"/>
      <c r="GFX160" s="7"/>
      <c r="GFY160" s="21"/>
      <c r="GFZ160" s="20"/>
      <c r="GGA160" s="20"/>
      <c r="GGB160" s="20"/>
      <c r="GGC160" s="21"/>
      <c r="GGD160" s="21"/>
      <c r="GGE160" s="21"/>
      <c r="GGF160" s="21"/>
      <c r="GGG160" s="21"/>
      <c r="GGH160" s="20"/>
      <c r="GGI160" s="20"/>
      <c r="GGJ160" s="20"/>
      <c r="GGK160" s="20"/>
      <c r="GGL160" s="21"/>
      <c r="GGM160" s="21"/>
      <c r="GGN160" s="7"/>
      <c r="GGO160" s="7"/>
      <c r="GGP160" s="21"/>
      <c r="GGQ160" s="20"/>
      <c r="GGR160" s="20"/>
      <c r="GGS160" s="20"/>
      <c r="GGT160" s="21"/>
      <c r="GGU160" s="21"/>
      <c r="GGV160" s="21"/>
      <c r="GGW160" s="21"/>
      <c r="GGX160" s="21"/>
      <c r="GGY160" s="20"/>
      <c r="GGZ160" s="20"/>
      <c r="GHA160" s="20"/>
      <c r="GHB160" s="20"/>
      <c r="GHC160" s="21"/>
      <c r="GHD160" s="21"/>
      <c r="GHE160" s="7"/>
      <c r="GHF160" s="7"/>
      <c r="GHG160" s="21"/>
      <c r="GHH160" s="20"/>
      <c r="GHI160" s="20"/>
      <c r="GHJ160" s="20"/>
      <c r="GHK160" s="21"/>
      <c r="GHL160" s="21"/>
      <c r="GHM160" s="21"/>
      <c r="GHN160" s="21"/>
      <c r="GHO160" s="21"/>
      <c r="GHP160" s="20"/>
      <c r="GHQ160" s="20"/>
      <c r="GHR160" s="20"/>
      <c r="GHS160" s="20"/>
      <c r="GHT160" s="21"/>
      <c r="GHU160" s="21"/>
      <c r="GHV160" s="7"/>
      <c r="GHW160" s="7"/>
      <c r="GHX160" s="21"/>
      <c r="GHY160" s="20"/>
      <c r="GHZ160" s="20"/>
      <c r="GIA160" s="20"/>
      <c r="GIB160" s="21"/>
      <c r="GIC160" s="21"/>
      <c r="GID160" s="21"/>
      <c r="GIE160" s="21"/>
      <c r="GIF160" s="21"/>
      <c r="GIG160" s="20"/>
      <c r="GIH160" s="20"/>
      <c r="GII160" s="20"/>
      <c r="GIJ160" s="20"/>
      <c r="GIK160" s="21"/>
      <c r="GIL160" s="21"/>
      <c r="GIM160" s="7"/>
      <c r="GIN160" s="7"/>
      <c r="GIO160" s="21"/>
      <c r="GIP160" s="20"/>
      <c r="GIQ160" s="20"/>
      <c r="GIR160" s="20"/>
      <c r="GIS160" s="21"/>
      <c r="GIT160" s="21"/>
      <c r="GIU160" s="21"/>
      <c r="GIV160" s="21"/>
      <c r="GIW160" s="21"/>
      <c r="GIX160" s="20"/>
      <c r="GIY160" s="20"/>
      <c r="GIZ160" s="20"/>
      <c r="GJA160" s="20"/>
      <c r="GJB160" s="21"/>
      <c r="GJC160" s="21"/>
      <c r="GJD160" s="7"/>
      <c r="GJE160" s="7"/>
      <c r="GJF160" s="21"/>
      <c r="GJG160" s="20"/>
      <c r="GJH160" s="20"/>
      <c r="GJI160" s="20"/>
      <c r="GJJ160" s="21"/>
      <c r="GJK160" s="21"/>
      <c r="GJL160" s="21"/>
      <c r="GJM160" s="21"/>
      <c r="GJN160" s="21"/>
      <c r="GJO160" s="20"/>
      <c r="GJP160" s="20"/>
      <c r="GJQ160" s="20"/>
      <c r="GJR160" s="20"/>
      <c r="GJS160" s="21"/>
      <c r="GJT160" s="21"/>
      <c r="GJU160" s="7"/>
      <c r="GJV160" s="7"/>
      <c r="GJW160" s="21"/>
      <c r="GJX160" s="20"/>
      <c r="GJY160" s="20"/>
      <c r="GJZ160" s="20"/>
      <c r="GKA160" s="21"/>
      <c r="GKB160" s="21"/>
      <c r="GKC160" s="21"/>
      <c r="GKD160" s="21"/>
      <c r="GKE160" s="21"/>
      <c r="GKF160" s="20"/>
      <c r="GKG160" s="20"/>
      <c r="GKH160" s="20"/>
      <c r="GKI160" s="20"/>
      <c r="GKJ160" s="21"/>
      <c r="GKK160" s="21"/>
      <c r="GKL160" s="7"/>
      <c r="GKM160" s="7"/>
      <c r="GKN160" s="21"/>
      <c r="GKO160" s="20"/>
      <c r="GKP160" s="20"/>
      <c r="GKQ160" s="20"/>
      <c r="GKR160" s="21"/>
      <c r="GKS160" s="21"/>
      <c r="GKT160" s="21"/>
      <c r="GKU160" s="21"/>
      <c r="GKV160" s="21"/>
      <c r="GKW160" s="20"/>
      <c r="GKX160" s="20"/>
      <c r="GKY160" s="20"/>
      <c r="GKZ160" s="20"/>
      <c r="GLA160" s="21"/>
      <c r="GLB160" s="21"/>
      <c r="GLC160" s="7"/>
      <c r="GLD160" s="7"/>
      <c r="GLE160" s="21"/>
      <c r="GLF160" s="20"/>
      <c r="GLG160" s="20"/>
      <c r="GLH160" s="20"/>
      <c r="GLI160" s="21"/>
      <c r="GLJ160" s="21"/>
      <c r="GLK160" s="21"/>
      <c r="GLL160" s="21"/>
      <c r="GLM160" s="21"/>
      <c r="GLN160" s="20"/>
      <c r="GLO160" s="20"/>
      <c r="GLP160" s="20"/>
      <c r="GLQ160" s="20"/>
      <c r="GLR160" s="21"/>
      <c r="GLS160" s="21"/>
      <c r="GLT160" s="7"/>
      <c r="GLU160" s="7"/>
      <c r="GLV160" s="21"/>
      <c r="GLW160" s="20"/>
      <c r="GLX160" s="20"/>
      <c r="GLY160" s="20"/>
      <c r="GLZ160" s="21"/>
      <c r="GMA160" s="21"/>
      <c r="GMB160" s="21"/>
      <c r="GMC160" s="21"/>
      <c r="GMD160" s="21"/>
      <c r="GME160" s="20"/>
      <c r="GMF160" s="20"/>
      <c r="GMG160" s="20"/>
      <c r="GMH160" s="20"/>
      <c r="GMI160" s="21"/>
      <c r="GMJ160" s="21"/>
      <c r="GMK160" s="7"/>
      <c r="GML160" s="7"/>
      <c r="GMM160" s="21"/>
      <c r="GMN160" s="20"/>
      <c r="GMO160" s="20"/>
      <c r="GMP160" s="20"/>
      <c r="GMQ160" s="21"/>
      <c r="GMR160" s="21"/>
      <c r="GMS160" s="21"/>
      <c r="GMT160" s="21"/>
      <c r="GMU160" s="21"/>
      <c r="GMV160" s="20"/>
      <c r="GMW160" s="20"/>
      <c r="GMX160" s="20"/>
      <c r="GMY160" s="20"/>
      <c r="GMZ160" s="21"/>
      <c r="GNA160" s="21"/>
      <c r="GNB160" s="7"/>
      <c r="GNC160" s="7"/>
      <c r="GND160" s="21"/>
      <c r="GNE160" s="20"/>
      <c r="GNF160" s="20"/>
      <c r="GNG160" s="20"/>
      <c r="GNH160" s="21"/>
      <c r="GNI160" s="21"/>
      <c r="GNJ160" s="21"/>
      <c r="GNK160" s="21"/>
      <c r="GNL160" s="21"/>
      <c r="GNM160" s="20"/>
      <c r="GNN160" s="20"/>
      <c r="GNO160" s="20"/>
      <c r="GNP160" s="20"/>
      <c r="GNQ160" s="21"/>
      <c r="GNR160" s="21"/>
      <c r="GNS160" s="7"/>
      <c r="GNT160" s="7"/>
      <c r="GNU160" s="21"/>
      <c r="GNV160" s="20"/>
      <c r="GNW160" s="20"/>
      <c r="GNX160" s="20"/>
      <c r="GNY160" s="21"/>
      <c r="GNZ160" s="21"/>
      <c r="GOA160" s="21"/>
      <c r="GOB160" s="21"/>
      <c r="GOC160" s="21"/>
      <c r="GOD160" s="20"/>
      <c r="GOE160" s="20"/>
      <c r="GOF160" s="20"/>
      <c r="GOG160" s="20"/>
      <c r="GOH160" s="21"/>
      <c r="GOI160" s="21"/>
      <c r="GOJ160" s="7"/>
      <c r="GOK160" s="7"/>
      <c r="GOL160" s="21"/>
      <c r="GOM160" s="20"/>
      <c r="GON160" s="20"/>
      <c r="GOO160" s="20"/>
      <c r="GOP160" s="21"/>
      <c r="GOQ160" s="21"/>
      <c r="GOR160" s="21"/>
      <c r="GOS160" s="21"/>
      <c r="GOT160" s="21"/>
      <c r="GOU160" s="20"/>
      <c r="GOV160" s="20"/>
      <c r="GOW160" s="20"/>
      <c r="GOX160" s="20"/>
      <c r="GOY160" s="21"/>
      <c r="GOZ160" s="21"/>
      <c r="GPA160" s="7"/>
      <c r="GPB160" s="7"/>
      <c r="GPC160" s="21"/>
      <c r="GPD160" s="20"/>
      <c r="GPE160" s="20"/>
      <c r="GPF160" s="20"/>
      <c r="GPG160" s="21"/>
      <c r="GPH160" s="21"/>
      <c r="GPI160" s="21"/>
      <c r="GPJ160" s="21"/>
      <c r="GPK160" s="21"/>
      <c r="GPL160" s="20"/>
      <c r="GPM160" s="20"/>
      <c r="GPN160" s="20"/>
      <c r="GPO160" s="20"/>
      <c r="GPP160" s="21"/>
      <c r="GPQ160" s="21"/>
      <c r="GPR160" s="7"/>
      <c r="GPS160" s="7"/>
      <c r="GPT160" s="21"/>
      <c r="GPU160" s="20"/>
      <c r="GPV160" s="20"/>
      <c r="GPW160" s="20"/>
      <c r="GPX160" s="21"/>
      <c r="GPY160" s="21"/>
      <c r="GPZ160" s="21"/>
      <c r="GQA160" s="21"/>
      <c r="GQB160" s="21"/>
      <c r="GQC160" s="20"/>
      <c r="GQD160" s="20"/>
      <c r="GQE160" s="20"/>
      <c r="GQF160" s="20"/>
      <c r="GQG160" s="21"/>
      <c r="GQH160" s="21"/>
      <c r="GQI160" s="7"/>
      <c r="GQJ160" s="7"/>
      <c r="GQK160" s="21"/>
      <c r="GQL160" s="20"/>
      <c r="GQM160" s="20"/>
      <c r="GQN160" s="20"/>
      <c r="GQO160" s="21"/>
      <c r="GQP160" s="21"/>
      <c r="GQQ160" s="21"/>
      <c r="GQR160" s="21"/>
      <c r="GQS160" s="21"/>
      <c r="GQT160" s="20"/>
      <c r="GQU160" s="20"/>
      <c r="GQV160" s="20"/>
      <c r="GQW160" s="20"/>
      <c r="GQX160" s="21"/>
      <c r="GQY160" s="21"/>
      <c r="GQZ160" s="7"/>
      <c r="GRA160" s="7"/>
      <c r="GRB160" s="21"/>
      <c r="GRC160" s="20"/>
      <c r="GRD160" s="20"/>
      <c r="GRE160" s="20"/>
      <c r="GRF160" s="21"/>
      <c r="GRG160" s="21"/>
      <c r="GRH160" s="21"/>
      <c r="GRI160" s="21"/>
      <c r="GRJ160" s="21"/>
      <c r="GRK160" s="20"/>
      <c r="GRL160" s="20"/>
      <c r="GRM160" s="20"/>
      <c r="GRN160" s="20"/>
      <c r="GRO160" s="21"/>
      <c r="GRP160" s="21"/>
      <c r="GRQ160" s="7"/>
      <c r="GRR160" s="7"/>
      <c r="GRS160" s="21"/>
      <c r="GRT160" s="20"/>
      <c r="GRU160" s="20"/>
      <c r="GRV160" s="20"/>
      <c r="GRW160" s="21"/>
      <c r="GRX160" s="21"/>
      <c r="GRY160" s="21"/>
      <c r="GRZ160" s="21"/>
      <c r="GSA160" s="21"/>
      <c r="GSB160" s="20"/>
      <c r="GSC160" s="20"/>
      <c r="GSD160" s="20"/>
      <c r="GSE160" s="20"/>
      <c r="GSF160" s="21"/>
      <c r="GSG160" s="21"/>
      <c r="GSH160" s="7"/>
      <c r="GSI160" s="7"/>
      <c r="GSJ160" s="21"/>
      <c r="GSK160" s="20"/>
      <c r="GSL160" s="20"/>
      <c r="GSM160" s="20"/>
      <c r="GSN160" s="21"/>
      <c r="GSO160" s="21"/>
      <c r="GSP160" s="21"/>
      <c r="GSQ160" s="21"/>
      <c r="GSR160" s="21"/>
      <c r="GSS160" s="20"/>
      <c r="GST160" s="20"/>
      <c r="GSU160" s="20"/>
      <c r="GSV160" s="20"/>
      <c r="GSW160" s="21"/>
      <c r="GSX160" s="21"/>
      <c r="GSY160" s="7"/>
      <c r="GSZ160" s="7"/>
      <c r="GTA160" s="21"/>
      <c r="GTB160" s="20"/>
      <c r="GTC160" s="20"/>
      <c r="GTD160" s="20"/>
      <c r="GTE160" s="21"/>
      <c r="GTF160" s="21"/>
      <c r="GTG160" s="21"/>
      <c r="GTH160" s="21"/>
      <c r="GTI160" s="21"/>
      <c r="GTJ160" s="20"/>
      <c r="GTK160" s="20"/>
      <c r="GTL160" s="20"/>
      <c r="GTM160" s="20"/>
      <c r="GTN160" s="21"/>
      <c r="GTO160" s="21"/>
      <c r="GTP160" s="7"/>
      <c r="GTQ160" s="7"/>
      <c r="GTR160" s="21"/>
      <c r="GTS160" s="20"/>
      <c r="GTT160" s="20"/>
      <c r="GTU160" s="20"/>
      <c r="GTV160" s="21"/>
      <c r="GTW160" s="21"/>
      <c r="GTX160" s="21"/>
      <c r="GTY160" s="21"/>
      <c r="GTZ160" s="21"/>
      <c r="GUA160" s="20"/>
      <c r="GUB160" s="20"/>
      <c r="GUC160" s="20"/>
      <c r="GUD160" s="20"/>
      <c r="GUE160" s="21"/>
      <c r="GUF160" s="21"/>
      <c r="GUG160" s="7"/>
      <c r="GUH160" s="7"/>
      <c r="GUI160" s="21"/>
      <c r="GUJ160" s="20"/>
      <c r="GUK160" s="20"/>
      <c r="GUL160" s="20"/>
      <c r="GUM160" s="21"/>
      <c r="GUN160" s="21"/>
      <c r="GUO160" s="21"/>
      <c r="GUP160" s="21"/>
      <c r="GUQ160" s="21"/>
      <c r="GUR160" s="20"/>
      <c r="GUS160" s="20"/>
      <c r="GUT160" s="20"/>
      <c r="GUU160" s="20"/>
      <c r="GUV160" s="21"/>
      <c r="GUW160" s="21"/>
      <c r="GUX160" s="7"/>
      <c r="GUY160" s="7"/>
      <c r="GUZ160" s="21"/>
      <c r="GVA160" s="20"/>
      <c r="GVB160" s="20"/>
      <c r="GVC160" s="20"/>
      <c r="GVD160" s="21"/>
      <c r="GVE160" s="21"/>
      <c r="GVF160" s="21"/>
      <c r="GVG160" s="21"/>
      <c r="GVH160" s="21"/>
      <c r="GVI160" s="20"/>
      <c r="GVJ160" s="20"/>
      <c r="GVK160" s="20"/>
      <c r="GVL160" s="20"/>
      <c r="GVM160" s="21"/>
      <c r="GVN160" s="21"/>
      <c r="GVO160" s="7"/>
      <c r="GVP160" s="7"/>
      <c r="GVQ160" s="21"/>
      <c r="GVR160" s="20"/>
      <c r="GVS160" s="20"/>
      <c r="GVT160" s="20"/>
      <c r="GVU160" s="21"/>
      <c r="GVV160" s="21"/>
      <c r="GVW160" s="21"/>
      <c r="GVX160" s="21"/>
      <c r="GVY160" s="21"/>
      <c r="GVZ160" s="20"/>
      <c r="GWA160" s="20"/>
      <c r="GWB160" s="20"/>
      <c r="GWC160" s="20"/>
      <c r="GWD160" s="21"/>
      <c r="GWE160" s="21"/>
      <c r="GWF160" s="7"/>
      <c r="GWG160" s="7"/>
      <c r="GWH160" s="21"/>
      <c r="GWI160" s="20"/>
      <c r="GWJ160" s="20"/>
      <c r="GWK160" s="20"/>
      <c r="GWL160" s="21"/>
      <c r="GWM160" s="21"/>
      <c r="GWN160" s="21"/>
      <c r="GWO160" s="21"/>
      <c r="GWP160" s="21"/>
      <c r="GWQ160" s="20"/>
      <c r="GWR160" s="20"/>
      <c r="GWS160" s="20"/>
      <c r="GWT160" s="20"/>
      <c r="GWU160" s="21"/>
      <c r="GWV160" s="21"/>
      <c r="GWW160" s="7"/>
      <c r="GWX160" s="7"/>
      <c r="GWY160" s="21"/>
      <c r="GWZ160" s="20"/>
      <c r="GXA160" s="20"/>
      <c r="GXB160" s="20"/>
      <c r="GXC160" s="21"/>
      <c r="GXD160" s="21"/>
      <c r="GXE160" s="21"/>
      <c r="GXF160" s="21"/>
      <c r="GXG160" s="21"/>
      <c r="GXH160" s="20"/>
      <c r="GXI160" s="20"/>
      <c r="GXJ160" s="20"/>
      <c r="GXK160" s="20"/>
      <c r="GXL160" s="21"/>
      <c r="GXM160" s="21"/>
      <c r="GXN160" s="7"/>
      <c r="GXO160" s="7"/>
      <c r="GXP160" s="21"/>
      <c r="GXQ160" s="20"/>
      <c r="GXR160" s="20"/>
      <c r="GXS160" s="20"/>
      <c r="GXT160" s="21"/>
      <c r="GXU160" s="21"/>
      <c r="GXV160" s="21"/>
      <c r="GXW160" s="21"/>
      <c r="GXX160" s="21"/>
      <c r="GXY160" s="20"/>
      <c r="GXZ160" s="20"/>
      <c r="GYA160" s="20"/>
      <c r="GYB160" s="20"/>
      <c r="GYC160" s="21"/>
      <c r="GYD160" s="21"/>
      <c r="GYE160" s="7"/>
      <c r="GYF160" s="7"/>
      <c r="GYG160" s="21"/>
      <c r="GYH160" s="20"/>
      <c r="GYI160" s="20"/>
      <c r="GYJ160" s="20"/>
      <c r="GYK160" s="21"/>
      <c r="GYL160" s="21"/>
      <c r="GYM160" s="21"/>
      <c r="GYN160" s="21"/>
      <c r="GYO160" s="21"/>
      <c r="GYP160" s="20"/>
      <c r="GYQ160" s="20"/>
      <c r="GYR160" s="20"/>
      <c r="GYS160" s="20"/>
      <c r="GYT160" s="21"/>
      <c r="GYU160" s="21"/>
      <c r="GYV160" s="7"/>
      <c r="GYW160" s="7"/>
      <c r="GYX160" s="21"/>
      <c r="GYY160" s="20"/>
      <c r="GYZ160" s="20"/>
      <c r="GZA160" s="20"/>
      <c r="GZB160" s="21"/>
      <c r="GZC160" s="21"/>
      <c r="GZD160" s="21"/>
      <c r="GZE160" s="21"/>
      <c r="GZF160" s="21"/>
      <c r="GZG160" s="20"/>
      <c r="GZH160" s="20"/>
      <c r="GZI160" s="20"/>
      <c r="GZJ160" s="20"/>
      <c r="GZK160" s="21"/>
      <c r="GZL160" s="21"/>
      <c r="GZM160" s="7"/>
      <c r="GZN160" s="7"/>
      <c r="GZO160" s="21"/>
      <c r="GZP160" s="20"/>
      <c r="GZQ160" s="20"/>
      <c r="GZR160" s="20"/>
      <c r="GZS160" s="21"/>
      <c r="GZT160" s="21"/>
      <c r="GZU160" s="21"/>
      <c r="GZV160" s="21"/>
      <c r="GZW160" s="21"/>
      <c r="GZX160" s="20"/>
      <c r="GZY160" s="20"/>
      <c r="GZZ160" s="20"/>
      <c r="HAA160" s="20"/>
      <c r="HAB160" s="21"/>
      <c r="HAC160" s="21"/>
      <c r="HAD160" s="7"/>
      <c r="HAE160" s="7"/>
      <c r="HAF160" s="21"/>
      <c r="HAG160" s="20"/>
      <c r="HAH160" s="20"/>
      <c r="HAI160" s="20"/>
      <c r="HAJ160" s="21"/>
      <c r="HAK160" s="21"/>
      <c r="HAL160" s="21"/>
      <c r="HAM160" s="21"/>
      <c r="HAN160" s="21"/>
      <c r="HAO160" s="20"/>
      <c r="HAP160" s="20"/>
      <c r="HAQ160" s="20"/>
      <c r="HAR160" s="20"/>
      <c r="HAS160" s="21"/>
      <c r="HAT160" s="21"/>
      <c r="HAU160" s="7"/>
      <c r="HAV160" s="7"/>
      <c r="HAW160" s="21"/>
      <c r="HAX160" s="20"/>
      <c r="HAY160" s="20"/>
      <c r="HAZ160" s="20"/>
      <c r="HBA160" s="21"/>
      <c r="HBB160" s="21"/>
      <c r="HBC160" s="21"/>
      <c r="HBD160" s="21"/>
      <c r="HBE160" s="21"/>
      <c r="HBF160" s="20"/>
      <c r="HBG160" s="20"/>
      <c r="HBH160" s="20"/>
      <c r="HBI160" s="20"/>
      <c r="HBJ160" s="21"/>
      <c r="HBK160" s="21"/>
      <c r="HBL160" s="7"/>
      <c r="HBM160" s="7"/>
      <c r="HBN160" s="21"/>
      <c r="HBO160" s="20"/>
      <c r="HBP160" s="20"/>
      <c r="HBQ160" s="20"/>
      <c r="HBR160" s="21"/>
      <c r="HBS160" s="21"/>
      <c r="HBT160" s="21"/>
      <c r="HBU160" s="21"/>
      <c r="HBV160" s="21"/>
      <c r="HBW160" s="20"/>
      <c r="HBX160" s="20"/>
      <c r="HBY160" s="20"/>
      <c r="HBZ160" s="20"/>
      <c r="HCA160" s="21"/>
      <c r="HCB160" s="21"/>
      <c r="HCC160" s="7"/>
      <c r="HCD160" s="7"/>
      <c r="HCE160" s="21"/>
      <c r="HCF160" s="20"/>
      <c r="HCG160" s="20"/>
      <c r="HCH160" s="20"/>
      <c r="HCI160" s="21"/>
      <c r="HCJ160" s="21"/>
      <c r="HCK160" s="21"/>
      <c r="HCL160" s="21"/>
      <c r="HCM160" s="21"/>
      <c r="HCN160" s="20"/>
      <c r="HCO160" s="20"/>
      <c r="HCP160" s="20"/>
      <c r="HCQ160" s="20"/>
      <c r="HCR160" s="21"/>
      <c r="HCS160" s="21"/>
      <c r="HCT160" s="7"/>
      <c r="HCU160" s="7"/>
      <c r="HCV160" s="21"/>
      <c r="HCW160" s="20"/>
      <c r="HCX160" s="20"/>
      <c r="HCY160" s="20"/>
      <c r="HCZ160" s="21"/>
      <c r="HDA160" s="21"/>
      <c r="HDB160" s="21"/>
      <c r="HDC160" s="21"/>
      <c r="HDD160" s="21"/>
      <c r="HDE160" s="20"/>
      <c r="HDF160" s="20"/>
      <c r="HDG160" s="20"/>
      <c r="HDH160" s="20"/>
      <c r="HDI160" s="21"/>
      <c r="HDJ160" s="21"/>
      <c r="HDK160" s="7"/>
      <c r="HDL160" s="7"/>
      <c r="HDM160" s="21"/>
      <c r="HDN160" s="20"/>
      <c r="HDO160" s="20"/>
      <c r="HDP160" s="20"/>
      <c r="HDQ160" s="21"/>
      <c r="HDR160" s="21"/>
      <c r="HDS160" s="21"/>
      <c r="HDT160" s="21"/>
      <c r="HDU160" s="21"/>
      <c r="HDV160" s="20"/>
      <c r="HDW160" s="20"/>
      <c r="HDX160" s="20"/>
      <c r="HDY160" s="20"/>
      <c r="HDZ160" s="21"/>
      <c r="HEA160" s="21"/>
      <c r="HEB160" s="7"/>
      <c r="HEC160" s="7"/>
      <c r="HED160" s="21"/>
      <c r="HEE160" s="20"/>
      <c r="HEF160" s="20"/>
      <c r="HEG160" s="20"/>
      <c r="HEH160" s="21"/>
      <c r="HEI160" s="21"/>
      <c r="HEJ160" s="21"/>
      <c r="HEK160" s="21"/>
      <c r="HEL160" s="21"/>
      <c r="HEM160" s="20"/>
      <c r="HEN160" s="20"/>
      <c r="HEO160" s="20"/>
      <c r="HEP160" s="20"/>
      <c r="HEQ160" s="21"/>
      <c r="HER160" s="21"/>
      <c r="HES160" s="7"/>
      <c r="HET160" s="7"/>
      <c r="HEU160" s="21"/>
      <c r="HEV160" s="20"/>
      <c r="HEW160" s="20"/>
      <c r="HEX160" s="20"/>
      <c r="HEY160" s="21"/>
      <c r="HEZ160" s="21"/>
      <c r="HFA160" s="21"/>
      <c r="HFB160" s="21"/>
      <c r="HFC160" s="21"/>
      <c r="HFD160" s="20"/>
      <c r="HFE160" s="20"/>
      <c r="HFF160" s="20"/>
      <c r="HFG160" s="20"/>
      <c r="HFH160" s="21"/>
      <c r="HFI160" s="21"/>
      <c r="HFJ160" s="7"/>
      <c r="HFK160" s="7"/>
      <c r="HFL160" s="21"/>
      <c r="HFM160" s="20"/>
      <c r="HFN160" s="20"/>
      <c r="HFO160" s="20"/>
      <c r="HFP160" s="21"/>
      <c r="HFQ160" s="21"/>
      <c r="HFR160" s="21"/>
      <c r="HFS160" s="21"/>
      <c r="HFT160" s="21"/>
      <c r="HFU160" s="20"/>
      <c r="HFV160" s="20"/>
      <c r="HFW160" s="20"/>
      <c r="HFX160" s="20"/>
      <c r="HFY160" s="21"/>
      <c r="HFZ160" s="21"/>
      <c r="HGA160" s="7"/>
      <c r="HGB160" s="7"/>
      <c r="HGC160" s="21"/>
      <c r="HGD160" s="20"/>
      <c r="HGE160" s="20"/>
      <c r="HGF160" s="20"/>
      <c r="HGG160" s="21"/>
      <c r="HGH160" s="21"/>
      <c r="HGI160" s="21"/>
      <c r="HGJ160" s="21"/>
      <c r="HGK160" s="21"/>
      <c r="HGL160" s="20"/>
      <c r="HGM160" s="20"/>
      <c r="HGN160" s="20"/>
      <c r="HGO160" s="20"/>
      <c r="HGP160" s="21"/>
      <c r="HGQ160" s="21"/>
      <c r="HGR160" s="7"/>
      <c r="HGS160" s="7"/>
      <c r="HGT160" s="21"/>
      <c r="HGU160" s="20"/>
      <c r="HGV160" s="20"/>
      <c r="HGW160" s="20"/>
      <c r="HGX160" s="21"/>
      <c r="HGY160" s="21"/>
      <c r="HGZ160" s="21"/>
      <c r="HHA160" s="21"/>
      <c r="HHB160" s="21"/>
      <c r="HHC160" s="20"/>
      <c r="HHD160" s="20"/>
      <c r="HHE160" s="20"/>
      <c r="HHF160" s="20"/>
      <c r="HHG160" s="21"/>
      <c r="HHH160" s="21"/>
      <c r="HHI160" s="7"/>
      <c r="HHJ160" s="7"/>
      <c r="HHK160" s="21"/>
      <c r="HHL160" s="20"/>
      <c r="HHM160" s="20"/>
      <c r="HHN160" s="20"/>
      <c r="HHO160" s="21"/>
      <c r="HHP160" s="21"/>
      <c r="HHQ160" s="21"/>
      <c r="HHR160" s="21"/>
      <c r="HHS160" s="21"/>
      <c r="HHT160" s="20"/>
      <c r="HHU160" s="20"/>
      <c r="HHV160" s="20"/>
      <c r="HHW160" s="20"/>
      <c r="HHX160" s="21"/>
      <c r="HHY160" s="21"/>
      <c r="HHZ160" s="7"/>
      <c r="HIA160" s="7"/>
      <c r="HIB160" s="21"/>
      <c r="HIC160" s="20"/>
      <c r="HID160" s="20"/>
      <c r="HIE160" s="20"/>
      <c r="HIF160" s="21"/>
      <c r="HIG160" s="21"/>
      <c r="HIH160" s="21"/>
      <c r="HII160" s="21"/>
      <c r="HIJ160" s="21"/>
      <c r="HIK160" s="20"/>
      <c r="HIL160" s="20"/>
      <c r="HIM160" s="20"/>
      <c r="HIN160" s="20"/>
      <c r="HIO160" s="21"/>
      <c r="HIP160" s="21"/>
      <c r="HIQ160" s="7"/>
      <c r="HIR160" s="7"/>
      <c r="HIS160" s="21"/>
      <c r="HIT160" s="20"/>
      <c r="HIU160" s="20"/>
      <c r="HIV160" s="20"/>
      <c r="HIW160" s="21"/>
      <c r="HIX160" s="21"/>
      <c r="HIY160" s="21"/>
      <c r="HIZ160" s="21"/>
      <c r="HJA160" s="21"/>
      <c r="HJB160" s="20"/>
      <c r="HJC160" s="20"/>
      <c r="HJD160" s="20"/>
      <c r="HJE160" s="20"/>
      <c r="HJF160" s="21"/>
      <c r="HJG160" s="21"/>
      <c r="HJH160" s="7"/>
      <c r="HJI160" s="7"/>
      <c r="HJJ160" s="21"/>
      <c r="HJK160" s="20"/>
      <c r="HJL160" s="20"/>
      <c r="HJM160" s="20"/>
      <c r="HJN160" s="21"/>
      <c r="HJO160" s="21"/>
      <c r="HJP160" s="21"/>
      <c r="HJQ160" s="21"/>
      <c r="HJR160" s="21"/>
      <c r="HJS160" s="20"/>
      <c r="HJT160" s="20"/>
      <c r="HJU160" s="20"/>
      <c r="HJV160" s="20"/>
      <c r="HJW160" s="21"/>
      <c r="HJX160" s="21"/>
      <c r="HJY160" s="7"/>
      <c r="HJZ160" s="7"/>
      <c r="HKA160" s="21"/>
      <c r="HKB160" s="20"/>
      <c r="HKC160" s="20"/>
      <c r="HKD160" s="20"/>
      <c r="HKE160" s="21"/>
      <c r="HKF160" s="21"/>
      <c r="HKG160" s="21"/>
      <c r="HKH160" s="21"/>
      <c r="HKI160" s="21"/>
      <c r="HKJ160" s="20"/>
      <c r="HKK160" s="20"/>
      <c r="HKL160" s="20"/>
      <c r="HKM160" s="20"/>
      <c r="HKN160" s="21"/>
      <c r="HKO160" s="21"/>
      <c r="HKP160" s="7"/>
      <c r="HKQ160" s="7"/>
      <c r="HKR160" s="21"/>
      <c r="HKS160" s="20"/>
      <c r="HKT160" s="20"/>
      <c r="HKU160" s="20"/>
      <c r="HKV160" s="21"/>
      <c r="HKW160" s="21"/>
      <c r="HKX160" s="21"/>
      <c r="HKY160" s="21"/>
      <c r="HKZ160" s="21"/>
      <c r="HLA160" s="20"/>
      <c r="HLB160" s="20"/>
      <c r="HLC160" s="20"/>
      <c r="HLD160" s="20"/>
      <c r="HLE160" s="21"/>
      <c r="HLF160" s="21"/>
      <c r="HLG160" s="7"/>
      <c r="HLH160" s="7"/>
      <c r="HLI160" s="21"/>
      <c r="HLJ160" s="20"/>
      <c r="HLK160" s="20"/>
      <c r="HLL160" s="20"/>
      <c r="HLM160" s="21"/>
      <c r="HLN160" s="21"/>
      <c r="HLO160" s="21"/>
      <c r="HLP160" s="21"/>
      <c r="HLQ160" s="21"/>
      <c r="HLR160" s="20"/>
      <c r="HLS160" s="20"/>
      <c r="HLT160" s="20"/>
      <c r="HLU160" s="20"/>
      <c r="HLV160" s="21"/>
      <c r="HLW160" s="21"/>
      <c r="HLX160" s="7"/>
      <c r="HLY160" s="7"/>
      <c r="HLZ160" s="21"/>
      <c r="HMA160" s="20"/>
      <c r="HMB160" s="20"/>
      <c r="HMC160" s="20"/>
      <c r="HMD160" s="21"/>
      <c r="HME160" s="21"/>
      <c r="HMF160" s="21"/>
      <c r="HMG160" s="21"/>
      <c r="HMH160" s="21"/>
      <c r="HMI160" s="20"/>
      <c r="HMJ160" s="20"/>
      <c r="HMK160" s="20"/>
      <c r="HML160" s="20"/>
      <c r="HMM160" s="21"/>
      <c r="HMN160" s="21"/>
      <c r="HMO160" s="7"/>
      <c r="HMP160" s="7"/>
      <c r="HMQ160" s="21"/>
      <c r="HMR160" s="20"/>
      <c r="HMS160" s="20"/>
      <c r="HMT160" s="20"/>
      <c r="HMU160" s="21"/>
      <c r="HMV160" s="21"/>
      <c r="HMW160" s="21"/>
      <c r="HMX160" s="21"/>
      <c r="HMY160" s="21"/>
      <c r="HMZ160" s="20"/>
      <c r="HNA160" s="20"/>
      <c r="HNB160" s="20"/>
      <c r="HNC160" s="20"/>
      <c r="HND160" s="21"/>
      <c r="HNE160" s="21"/>
      <c r="HNF160" s="7"/>
      <c r="HNG160" s="7"/>
      <c r="HNH160" s="21"/>
      <c r="HNI160" s="20"/>
      <c r="HNJ160" s="20"/>
      <c r="HNK160" s="20"/>
      <c r="HNL160" s="21"/>
      <c r="HNM160" s="21"/>
      <c r="HNN160" s="21"/>
      <c r="HNO160" s="21"/>
      <c r="HNP160" s="21"/>
      <c r="HNQ160" s="20"/>
      <c r="HNR160" s="20"/>
      <c r="HNS160" s="20"/>
      <c r="HNT160" s="20"/>
      <c r="HNU160" s="21"/>
      <c r="HNV160" s="21"/>
      <c r="HNW160" s="7"/>
      <c r="HNX160" s="7"/>
      <c r="HNY160" s="21"/>
      <c r="HNZ160" s="20"/>
      <c r="HOA160" s="20"/>
      <c r="HOB160" s="20"/>
      <c r="HOC160" s="21"/>
      <c r="HOD160" s="21"/>
      <c r="HOE160" s="21"/>
      <c r="HOF160" s="21"/>
      <c r="HOG160" s="21"/>
      <c r="HOH160" s="20"/>
      <c r="HOI160" s="20"/>
      <c r="HOJ160" s="20"/>
      <c r="HOK160" s="20"/>
      <c r="HOL160" s="21"/>
      <c r="HOM160" s="21"/>
      <c r="HON160" s="7"/>
      <c r="HOO160" s="7"/>
      <c r="HOP160" s="21"/>
      <c r="HOQ160" s="20"/>
      <c r="HOR160" s="20"/>
      <c r="HOS160" s="20"/>
      <c r="HOT160" s="21"/>
      <c r="HOU160" s="21"/>
      <c r="HOV160" s="21"/>
      <c r="HOW160" s="21"/>
      <c r="HOX160" s="21"/>
      <c r="HOY160" s="20"/>
      <c r="HOZ160" s="20"/>
      <c r="HPA160" s="20"/>
      <c r="HPB160" s="20"/>
      <c r="HPC160" s="21"/>
      <c r="HPD160" s="21"/>
      <c r="HPE160" s="7"/>
      <c r="HPF160" s="7"/>
      <c r="HPG160" s="21"/>
      <c r="HPH160" s="20"/>
      <c r="HPI160" s="20"/>
      <c r="HPJ160" s="20"/>
      <c r="HPK160" s="21"/>
      <c r="HPL160" s="21"/>
      <c r="HPM160" s="21"/>
      <c r="HPN160" s="21"/>
      <c r="HPO160" s="21"/>
      <c r="HPP160" s="20"/>
      <c r="HPQ160" s="20"/>
      <c r="HPR160" s="20"/>
      <c r="HPS160" s="20"/>
      <c r="HPT160" s="21"/>
      <c r="HPU160" s="21"/>
      <c r="HPV160" s="7"/>
      <c r="HPW160" s="7"/>
      <c r="HPX160" s="21"/>
      <c r="HPY160" s="20"/>
      <c r="HPZ160" s="20"/>
      <c r="HQA160" s="20"/>
      <c r="HQB160" s="21"/>
      <c r="HQC160" s="21"/>
      <c r="HQD160" s="21"/>
      <c r="HQE160" s="21"/>
      <c r="HQF160" s="21"/>
      <c r="HQG160" s="20"/>
      <c r="HQH160" s="20"/>
      <c r="HQI160" s="20"/>
      <c r="HQJ160" s="20"/>
      <c r="HQK160" s="21"/>
      <c r="HQL160" s="21"/>
      <c r="HQM160" s="7"/>
      <c r="HQN160" s="7"/>
      <c r="HQO160" s="21"/>
      <c r="HQP160" s="20"/>
      <c r="HQQ160" s="20"/>
      <c r="HQR160" s="20"/>
      <c r="HQS160" s="21"/>
      <c r="HQT160" s="21"/>
      <c r="HQU160" s="21"/>
      <c r="HQV160" s="21"/>
      <c r="HQW160" s="21"/>
      <c r="HQX160" s="20"/>
      <c r="HQY160" s="20"/>
      <c r="HQZ160" s="20"/>
      <c r="HRA160" s="20"/>
      <c r="HRB160" s="21"/>
      <c r="HRC160" s="21"/>
      <c r="HRD160" s="7"/>
      <c r="HRE160" s="7"/>
      <c r="HRF160" s="21"/>
      <c r="HRG160" s="20"/>
      <c r="HRH160" s="20"/>
      <c r="HRI160" s="20"/>
      <c r="HRJ160" s="21"/>
      <c r="HRK160" s="21"/>
      <c r="HRL160" s="21"/>
      <c r="HRM160" s="21"/>
      <c r="HRN160" s="21"/>
      <c r="HRO160" s="20"/>
      <c r="HRP160" s="20"/>
      <c r="HRQ160" s="20"/>
      <c r="HRR160" s="20"/>
      <c r="HRS160" s="21"/>
      <c r="HRT160" s="21"/>
      <c r="HRU160" s="7"/>
      <c r="HRV160" s="7"/>
      <c r="HRW160" s="21"/>
      <c r="HRX160" s="20"/>
      <c r="HRY160" s="20"/>
      <c r="HRZ160" s="20"/>
      <c r="HSA160" s="21"/>
      <c r="HSB160" s="21"/>
      <c r="HSC160" s="21"/>
      <c r="HSD160" s="21"/>
      <c r="HSE160" s="21"/>
      <c r="HSF160" s="20"/>
      <c r="HSG160" s="20"/>
      <c r="HSH160" s="20"/>
      <c r="HSI160" s="20"/>
      <c r="HSJ160" s="21"/>
      <c r="HSK160" s="21"/>
      <c r="HSL160" s="7"/>
      <c r="HSM160" s="7"/>
      <c r="HSN160" s="21"/>
      <c r="HSO160" s="20"/>
      <c r="HSP160" s="20"/>
      <c r="HSQ160" s="20"/>
      <c r="HSR160" s="21"/>
      <c r="HSS160" s="21"/>
      <c r="HST160" s="21"/>
      <c r="HSU160" s="21"/>
      <c r="HSV160" s="21"/>
      <c r="HSW160" s="20"/>
      <c r="HSX160" s="20"/>
      <c r="HSY160" s="20"/>
      <c r="HSZ160" s="20"/>
      <c r="HTA160" s="21"/>
      <c r="HTB160" s="21"/>
      <c r="HTC160" s="7"/>
      <c r="HTD160" s="7"/>
      <c r="HTE160" s="21"/>
      <c r="HTF160" s="20"/>
      <c r="HTG160" s="20"/>
      <c r="HTH160" s="20"/>
      <c r="HTI160" s="21"/>
      <c r="HTJ160" s="21"/>
      <c r="HTK160" s="21"/>
      <c r="HTL160" s="21"/>
      <c r="HTM160" s="21"/>
      <c r="HTN160" s="20"/>
      <c r="HTO160" s="20"/>
      <c r="HTP160" s="20"/>
      <c r="HTQ160" s="20"/>
      <c r="HTR160" s="21"/>
      <c r="HTS160" s="21"/>
      <c r="HTT160" s="7"/>
      <c r="HTU160" s="7"/>
      <c r="HTV160" s="21"/>
      <c r="HTW160" s="20"/>
      <c r="HTX160" s="20"/>
      <c r="HTY160" s="20"/>
      <c r="HTZ160" s="21"/>
      <c r="HUA160" s="21"/>
      <c r="HUB160" s="21"/>
      <c r="HUC160" s="21"/>
      <c r="HUD160" s="21"/>
      <c r="HUE160" s="20"/>
      <c r="HUF160" s="20"/>
      <c r="HUG160" s="20"/>
      <c r="HUH160" s="20"/>
      <c r="HUI160" s="21"/>
      <c r="HUJ160" s="21"/>
      <c r="HUK160" s="7"/>
      <c r="HUL160" s="7"/>
      <c r="HUM160" s="21"/>
      <c r="HUN160" s="20"/>
      <c r="HUO160" s="20"/>
      <c r="HUP160" s="20"/>
      <c r="HUQ160" s="21"/>
      <c r="HUR160" s="21"/>
      <c r="HUS160" s="21"/>
      <c r="HUT160" s="21"/>
      <c r="HUU160" s="21"/>
      <c r="HUV160" s="20"/>
      <c r="HUW160" s="20"/>
      <c r="HUX160" s="20"/>
      <c r="HUY160" s="20"/>
      <c r="HUZ160" s="21"/>
      <c r="HVA160" s="21"/>
      <c r="HVB160" s="7"/>
      <c r="HVC160" s="7"/>
      <c r="HVD160" s="21"/>
      <c r="HVE160" s="20"/>
      <c r="HVF160" s="20"/>
      <c r="HVG160" s="20"/>
      <c r="HVH160" s="21"/>
      <c r="HVI160" s="21"/>
      <c r="HVJ160" s="21"/>
      <c r="HVK160" s="21"/>
      <c r="HVL160" s="21"/>
      <c r="HVM160" s="20"/>
      <c r="HVN160" s="20"/>
      <c r="HVO160" s="20"/>
      <c r="HVP160" s="20"/>
      <c r="HVQ160" s="21"/>
      <c r="HVR160" s="21"/>
      <c r="HVS160" s="7"/>
      <c r="HVT160" s="7"/>
      <c r="HVU160" s="21"/>
      <c r="HVV160" s="20"/>
      <c r="HVW160" s="20"/>
      <c r="HVX160" s="20"/>
      <c r="HVY160" s="21"/>
      <c r="HVZ160" s="21"/>
      <c r="HWA160" s="21"/>
      <c r="HWB160" s="21"/>
      <c r="HWC160" s="21"/>
      <c r="HWD160" s="20"/>
      <c r="HWE160" s="20"/>
      <c r="HWF160" s="20"/>
      <c r="HWG160" s="20"/>
      <c r="HWH160" s="21"/>
      <c r="HWI160" s="21"/>
      <c r="HWJ160" s="7"/>
      <c r="HWK160" s="7"/>
      <c r="HWL160" s="21"/>
      <c r="HWM160" s="20"/>
      <c r="HWN160" s="20"/>
      <c r="HWO160" s="20"/>
      <c r="HWP160" s="21"/>
      <c r="HWQ160" s="21"/>
      <c r="HWR160" s="21"/>
      <c r="HWS160" s="21"/>
      <c r="HWT160" s="21"/>
      <c r="HWU160" s="20"/>
      <c r="HWV160" s="20"/>
      <c r="HWW160" s="20"/>
      <c r="HWX160" s="20"/>
      <c r="HWY160" s="21"/>
      <c r="HWZ160" s="21"/>
      <c r="HXA160" s="7"/>
      <c r="HXB160" s="7"/>
      <c r="HXC160" s="21"/>
      <c r="HXD160" s="20"/>
      <c r="HXE160" s="20"/>
      <c r="HXF160" s="20"/>
      <c r="HXG160" s="21"/>
      <c r="HXH160" s="21"/>
      <c r="HXI160" s="21"/>
      <c r="HXJ160" s="21"/>
      <c r="HXK160" s="21"/>
      <c r="HXL160" s="20"/>
      <c r="HXM160" s="20"/>
      <c r="HXN160" s="20"/>
      <c r="HXO160" s="20"/>
      <c r="HXP160" s="21"/>
      <c r="HXQ160" s="21"/>
      <c r="HXR160" s="7"/>
      <c r="HXS160" s="7"/>
      <c r="HXT160" s="21"/>
      <c r="HXU160" s="20"/>
      <c r="HXV160" s="20"/>
      <c r="HXW160" s="20"/>
      <c r="HXX160" s="21"/>
      <c r="HXY160" s="21"/>
      <c r="HXZ160" s="21"/>
      <c r="HYA160" s="21"/>
      <c r="HYB160" s="21"/>
      <c r="HYC160" s="20"/>
      <c r="HYD160" s="20"/>
      <c r="HYE160" s="20"/>
      <c r="HYF160" s="20"/>
      <c r="HYG160" s="21"/>
      <c r="HYH160" s="21"/>
      <c r="HYI160" s="7"/>
      <c r="HYJ160" s="7"/>
      <c r="HYK160" s="21"/>
      <c r="HYL160" s="20"/>
      <c r="HYM160" s="20"/>
      <c r="HYN160" s="20"/>
      <c r="HYO160" s="21"/>
      <c r="HYP160" s="21"/>
      <c r="HYQ160" s="21"/>
      <c r="HYR160" s="21"/>
      <c r="HYS160" s="21"/>
      <c r="HYT160" s="20"/>
      <c r="HYU160" s="20"/>
      <c r="HYV160" s="20"/>
      <c r="HYW160" s="20"/>
      <c r="HYX160" s="21"/>
      <c r="HYY160" s="21"/>
      <c r="HYZ160" s="7"/>
      <c r="HZA160" s="7"/>
      <c r="HZB160" s="21"/>
      <c r="HZC160" s="20"/>
      <c r="HZD160" s="20"/>
      <c r="HZE160" s="20"/>
      <c r="HZF160" s="21"/>
      <c r="HZG160" s="21"/>
      <c r="HZH160" s="21"/>
      <c r="HZI160" s="21"/>
      <c r="HZJ160" s="21"/>
      <c r="HZK160" s="20"/>
      <c r="HZL160" s="20"/>
      <c r="HZM160" s="20"/>
      <c r="HZN160" s="20"/>
      <c r="HZO160" s="21"/>
      <c r="HZP160" s="21"/>
      <c r="HZQ160" s="7"/>
      <c r="HZR160" s="7"/>
      <c r="HZS160" s="21"/>
      <c r="HZT160" s="20"/>
      <c r="HZU160" s="20"/>
      <c r="HZV160" s="20"/>
      <c r="HZW160" s="21"/>
      <c r="HZX160" s="21"/>
      <c r="HZY160" s="21"/>
      <c r="HZZ160" s="21"/>
      <c r="IAA160" s="21"/>
      <c r="IAB160" s="20"/>
      <c r="IAC160" s="20"/>
      <c r="IAD160" s="20"/>
      <c r="IAE160" s="20"/>
      <c r="IAF160" s="21"/>
      <c r="IAG160" s="21"/>
      <c r="IAH160" s="7"/>
      <c r="IAI160" s="7"/>
      <c r="IAJ160" s="21"/>
      <c r="IAK160" s="20"/>
      <c r="IAL160" s="20"/>
      <c r="IAM160" s="20"/>
      <c r="IAN160" s="21"/>
      <c r="IAO160" s="21"/>
      <c r="IAP160" s="21"/>
      <c r="IAQ160" s="21"/>
      <c r="IAR160" s="21"/>
      <c r="IAS160" s="20"/>
      <c r="IAT160" s="20"/>
      <c r="IAU160" s="20"/>
      <c r="IAV160" s="20"/>
      <c r="IAW160" s="21"/>
      <c r="IAX160" s="21"/>
      <c r="IAY160" s="7"/>
      <c r="IAZ160" s="7"/>
      <c r="IBA160" s="21"/>
      <c r="IBB160" s="20"/>
      <c r="IBC160" s="20"/>
      <c r="IBD160" s="20"/>
      <c r="IBE160" s="21"/>
      <c r="IBF160" s="21"/>
      <c r="IBG160" s="21"/>
      <c r="IBH160" s="21"/>
      <c r="IBI160" s="21"/>
      <c r="IBJ160" s="20"/>
      <c r="IBK160" s="20"/>
      <c r="IBL160" s="20"/>
      <c r="IBM160" s="20"/>
      <c r="IBN160" s="21"/>
      <c r="IBO160" s="21"/>
      <c r="IBP160" s="7"/>
      <c r="IBQ160" s="7"/>
      <c r="IBR160" s="21"/>
      <c r="IBS160" s="20"/>
      <c r="IBT160" s="20"/>
      <c r="IBU160" s="20"/>
      <c r="IBV160" s="21"/>
      <c r="IBW160" s="21"/>
      <c r="IBX160" s="21"/>
      <c r="IBY160" s="21"/>
      <c r="IBZ160" s="21"/>
      <c r="ICA160" s="20"/>
      <c r="ICB160" s="20"/>
      <c r="ICC160" s="20"/>
      <c r="ICD160" s="20"/>
      <c r="ICE160" s="21"/>
      <c r="ICF160" s="21"/>
      <c r="ICG160" s="7"/>
      <c r="ICH160" s="7"/>
      <c r="ICI160" s="21"/>
      <c r="ICJ160" s="20"/>
      <c r="ICK160" s="20"/>
      <c r="ICL160" s="20"/>
      <c r="ICM160" s="21"/>
      <c r="ICN160" s="21"/>
      <c r="ICO160" s="21"/>
      <c r="ICP160" s="21"/>
      <c r="ICQ160" s="21"/>
      <c r="ICR160" s="20"/>
      <c r="ICS160" s="20"/>
      <c r="ICT160" s="20"/>
      <c r="ICU160" s="20"/>
      <c r="ICV160" s="21"/>
      <c r="ICW160" s="21"/>
      <c r="ICX160" s="7"/>
      <c r="ICY160" s="7"/>
      <c r="ICZ160" s="21"/>
      <c r="IDA160" s="20"/>
      <c r="IDB160" s="20"/>
      <c r="IDC160" s="20"/>
      <c r="IDD160" s="21"/>
      <c r="IDE160" s="21"/>
      <c r="IDF160" s="21"/>
      <c r="IDG160" s="21"/>
      <c r="IDH160" s="21"/>
      <c r="IDI160" s="20"/>
      <c r="IDJ160" s="20"/>
      <c r="IDK160" s="20"/>
      <c r="IDL160" s="20"/>
      <c r="IDM160" s="21"/>
      <c r="IDN160" s="21"/>
      <c r="IDO160" s="7"/>
      <c r="IDP160" s="7"/>
      <c r="IDQ160" s="21"/>
      <c r="IDR160" s="20"/>
      <c r="IDS160" s="20"/>
      <c r="IDT160" s="20"/>
      <c r="IDU160" s="21"/>
      <c r="IDV160" s="21"/>
      <c r="IDW160" s="21"/>
      <c r="IDX160" s="21"/>
      <c r="IDY160" s="21"/>
      <c r="IDZ160" s="20"/>
      <c r="IEA160" s="20"/>
      <c r="IEB160" s="20"/>
      <c r="IEC160" s="20"/>
      <c r="IED160" s="21"/>
      <c r="IEE160" s="21"/>
      <c r="IEF160" s="7"/>
      <c r="IEG160" s="7"/>
      <c r="IEH160" s="21"/>
      <c r="IEI160" s="20"/>
      <c r="IEJ160" s="20"/>
      <c r="IEK160" s="20"/>
      <c r="IEL160" s="21"/>
      <c r="IEM160" s="21"/>
      <c r="IEN160" s="21"/>
      <c r="IEO160" s="21"/>
      <c r="IEP160" s="21"/>
      <c r="IEQ160" s="20"/>
      <c r="IER160" s="20"/>
      <c r="IES160" s="20"/>
      <c r="IET160" s="20"/>
      <c r="IEU160" s="21"/>
      <c r="IEV160" s="21"/>
      <c r="IEW160" s="7"/>
      <c r="IEX160" s="7"/>
      <c r="IEY160" s="21"/>
      <c r="IEZ160" s="20"/>
      <c r="IFA160" s="20"/>
      <c r="IFB160" s="20"/>
      <c r="IFC160" s="21"/>
      <c r="IFD160" s="21"/>
      <c r="IFE160" s="21"/>
      <c r="IFF160" s="21"/>
      <c r="IFG160" s="21"/>
      <c r="IFH160" s="20"/>
      <c r="IFI160" s="20"/>
      <c r="IFJ160" s="20"/>
      <c r="IFK160" s="20"/>
      <c r="IFL160" s="21"/>
      <c r="IFM160" s="21"/>
      <c r="IFN160" s="7"/>
      <c r="IFO160" s="7"/>
      <c r="IFP160" s="21"/>
      <c r="IFQ160" s="20"/>
      <c r="IFR160" s="20"/>
      <c r="IFS160" s="20"/>
      <c r="IFT160" s="21"/>
      <c r="IFU160" s="21"/>
      <c r="IFV160" s="21"/>
      <c r="IFW160" s="21"/>
      <c r="IFX160" s="21"/>
      <c r="IFY160" s="20"/>
      <c r="IFZ160" s="20"/>
      <c r="IGA160" s="20"/>
      <c r="IGB160" s="20"/>
      <c r="IGC160" s="21"/>
      <c r="IGD160" s="21"/>
      <c r="IGE160" s="7"/>
      <c r="IGF160" s="7"/>
      <c r="IGG160" s="21"/>
      <c r="IGH160" s="20"/>
      <c r="IGI160" s="20"/>
      <c r="IGJ160" s="20"/>
      <c r="IGK160" s="21"/>
      <c r="IGL160" s="21"/>
      <c r="IGM160" s="21"/>
      <c r="IGN160" s="21"/>
      <c r="IGO160" s="21"/>
      <c r="IGP160" s="20"/>
      <c r="IGQ160" s="20"/>
      <c r="IGR160" s="20"/>
      <c r="IGS160" s="20"/>
      <c r="IGT160" s="21"/>
      <c r="IGU160" s="21"/>
      <c r="IGV160" s="7"/>
      <c r="IGW160" s="7"/>
      <c r="IGX160" s="21"/>
      <c r="IGY160" s="20"/>
      <c r="IGZ160" s="20"/>
      <c r="IHA160" s="20"/>
      <c r="IHB160" s="21"/>
      <c r="IHC160" s="21"/>
      <c r="IHD160" s="21"/>
      <c r="IHE160" s="21"/>
      <c r="IHF160" s="21"/>
      <c r="IHG160" s="20"/>
      <c r="IHH160" s="20"/>
      <c r="IHI160" s="20"/>
      <c r="IHJ160" s="20"/>
      <c r="IHK160" s="21"/>
      <c r="IHL160" s="21"/>
      <c r="IHM160" s="7"/>
      <c r="IHN160" s="7"/>
      <c r="IHO160" s="21"/>
      <c r="IHP160" s="20"/>
      <c r="IHQ160" s="20"/>
      <c r="IHR160" s="20"/>
      <c r="IHS160" s="21"/>
      <c r="IHT160" s="21"/>
      <c r="IHU160" s="21"/>
      <c r="IHV160" s="21"/>
      <c r="IHW160" s="21"/>
      <c r="IHX160" s="20"/>
      <c r="IHY160" s="20"/>
      <c r="IHZ160" s="20"/>
      <c r="IIA160" s="20"/>
      <c r="IIB160" s="21"/>
      <c r="IIC160" s="21"/>
      <c r="IID160" s="7"/>
      <c r="IIE160" s="7"/>
      <c r="IIF160" s="21"/>
      <c r="IIG160" s="20"/>
      <c r="IIH160" s="20"/>
      <c r="III160" s="20"/>
      <c r="IIJ160" s="21"/>
      <c r="IIK160" s="21"/>
      <c r="IIL160" s="21"/>
      <c r="IIM160" s="21"/>
      <c r="IIN160" s="21"/>
      <c r="IIO160" s="20"/>
      <c r="IIP160" s="20"/>
      <c r="IIQ160" s="20"/>
      <c r="IIR160" s="20"/>
      <c r="IIS160" s="21"/>
      <c r="IIT160" s="21"/>
      <c r="IIU160" s="7"/>
      <c r="IIV160" s="7"/>
      <c r="IIW160" s="21"/>
      <c r="IIX160" s="20"/>
      <c r="IIY160" s="20"/>
      <c r="IIZ160" s="20"/>
      <c r="IJA160" s="21"/>
      <c r="IJB160" s="21"/>
      <c r="IJC160" s="21"/>
      <c r="IJD160" s="21"/>
      <c r="IJE160" s="21"/>
      <c r="IJF160" s="20"/>
      <c r="IJG160" s="20"/>
      <c r="IJH160" s="20"/>
      <c r="IJI160" s="20"/>
      <c r="IJJ160" s="21"/>
      <c r="IJK160" s="21"/>
      <c r="IJL160" s="7"/>
      <c r="IJM160" s="7"/>
      <c r="IJN160" s="21"/>
      <c r="IJO160" s="20"/>
      <c r="IJP160" s="20"/>
      <c r="IJQ160" s="20"/>
      <c r="IJR160" s="21"/>
      <c r="IJS160" s="21"/>
      <c r="IJT160" s="21"/>
      <c r="IJU160" s="21"/>
      <c r="IJV160" s="21"/>
      <c r="IJW160" s="20"/>
      <c r="IJX160" s="20"/>
      <c r="IJY160" s="20"/>
      <c r="IJZ160" s="20"/>
      <c r="IKA160" s="21"/>
      <c r="IKB160" s="21"/>
      <c r="IKC160" s="7"/>
      <c r="IKD160" s="7"/>
      <c r="IKE160" s="21"/>
      <c r="IKF160" s="20"/>
      <c r="IKG160" s="20"/>
      <c r="IKH160" s="20"/>
      <c r="IKI160" s="21"/>
      <c r="IKJ160" s="21"/>
      <c r="IKK160" s="21"/>
      <c r="IKL160" s="21"/>
      <c r="IKM160" s="21"/>
      <c r="IKN160" s="20"/>
      <c r="IKO160" s="20"/>
      <c r="IKP160" s="20"/>
      <c r="IKQ160" s="20"/>
      <c r="IKR160" s="21"/>
      <c r="IKS160" s="21"/>
      <c r="IKT160" s="7"/>
      <c r="IKU160" s="7"/>
      <c r="IKV160" s="21"/>
      <c r="IKW160" s="20"/>
      <c r="IKX160" s="20"/>
      <c r="IKY160" s="20"/>
      <c r="IKZ160" s="21"/>
      <c r="ILA160" s="21"/>
      <c r="ILB160" s="21"/>
      <c r="ILC160" s="21"/>
      <c r="ILD160" s="21"/>
      <c r="ILE160" s="20"/>
      <c r="ILF160" s="20"/>
      <c r="ILG160" s="20"/>
      <c r="ILH160" s="20"/>
      <c r="ILI160" s="21"/>
      <c r="ILJ160" s="21"/>
      <c r="ILK160" s="7"/>
      <c r="ILL160" s="7"/>
      <c r="ILM160" s="21"/>
      <c r="ILN160" s="20"/>
      <c r="ILO160" s="20"/>
      <c r="ILP160" s="20"/>
      <c r="ILQ160" s="21"/>
      <c r="ILR160" s="21"/>
      <c r="ILS160" s="21"/>
      <c r="ILT160" s="21"/>
      <c r="ILU160" s="21"/>
      <c r="ILV160" s="20"/>
      <c r="ILW160" s="20"/>
      <c r="ILX160" s="20"/>
      <c r="ILY160" s="20"/>
      <c r="ILZ160" s="21"/>
      <c r="IMA160" s="21"/>
      <c r="IMB160" s="7"/>
      <c r="IMC160" s="7"/>
      <c r="IMD160" s="21"/>
      <c r="IME160" s="20"/>
      <c r="IMF160" s="20"/>
      <c r="IMG160" s="20"/>
      <c r="IMH160" s="21"/>
      <c r="IMI160" s="21"/>
      <c r="IMJ160" s="21"/>
      <c r="IMK160" s="21"/>
      <c r="IML160" s="21"/>
      <c r="IMM160" s="20"/>
      <c r="IMN160" s="20"/>
      <c r="IMO160" s="20"/>
      <c r="IMP160" s="20"/>
      <c r="IMQ160" s="21"/>
      <c r="IMR160" s="21"/>
      <c r="IMS160" s="7"/>
      <c r="IMT160" s="7"/>
      <c r="IMU160" s="21"/>
      <c r="IMV160" s="20"/>
      <c r="IMW160" s="20"/>
      <c r="IMX160" s="20"/>
      <c r="IMY160" s="21"/>
      <c r="IMZ160" s="21"/>
      <c r="INA160" s="21"/>
      <c r="INB160" s="21"/>
      <c r="INC160" s="21"/>
      <c r="IND160" s="20"/>
      <c r="INE160" s="20"/>
      <c r="INF160" s="20"/>
      <c r="ING160" s="20"/>
      <c r="INH160" s="21"/>
      <c r="INI160" s="21"/>
      <c r="INJ160" s="7"/>
      <c r="INK160" s="7"/>
      <c r="INL160" s="21"/>
      <c r="INM160" s="20"/>
      <c r="INN160" s="20"/>
      <c r="INO160" s="20"/>
      <c r="INP160" s="21"/>
      <c r="INQ160" s="21"/>
      <c r="INR160" s="21"/>
      <c r="INS160" s="21"/>
      <c r="INT160" s="21"/>
      <c r="INU160" s="20"/>
      <c r="INV160" s="20"/>
      <c r="INW160" s="20"/>
      <c r="INX160" s="20"/>
      <c r="INY160" s="21"/>
      <c r="INZ160" s="21"/>
      <c r="IOA160" s="7"/>
      <c r="IOB160" s="7"/>
      <c r="IOC160" s="21"/>
      <c r="IOD160" s="20"/>
      <c r="IOE160" s="20"/>
      <c r="IOF160" s="20"/>
      <c r="IOG160" s="21"/>
      <c r="IOH160" s="21"/>
      <c r="IOI160" s="21"/>
      <c r="IOJ160" s="21"/>
      <c r="IOK160" s="21"/>
      <c r="IOL160" s="20"/>
      <c r="IOM160" s="20"/>
      <c r="ION160" s="20"/>
      <c r="IOO160" s="20"/>
      <c r="IOP160" s="21"/>
      <c r="IOQ160" s="21"/>
      <c r="IOR160" s="7"/>
      <c r="IOS160" s="7"/>
      <c r="IOT160" s="21"/>
      <c r="IOU160" s="20"/>
      <c r="IOV160" s="20"/>
      <c r="IOW160" s="20"/>
      <c r="IOX160" s="21"/>
      <c r="IOY160" s="21"/>
      <c r="IOZ160" s="21"/>
      <c r="IPA160" s="21"/>
      <c r="IPB160" s="21"/>
      <c r="IPC160" s="20"/>
      <c r="IPD160" s="20"/>
      <c r="IPE160" s="20"/>
      <c r="IPF160" s="20"/>
      <c r="IPG160" s="21"/>
      <c r="IPH160" s="21"/>
      <c r="IPI160" s="7"/>
      <c r="IPJ160" s="7"/>
      <c r="IPK160" s="21"/>
      <c r="IPL160" s="20"/>
      <c r="IPM160" s="20"/>
      <c r="IPN160" s="20"/>
      <c r="IPO160" s="21"/>
      <c r="IPP160" s="21"/>
      <c r="IPQ160" s="21"/>
      <c r="IPR160" s="21"/>
      <c r="IPS160" s="21"/>
      <c r="IPT160" s="20"/>
      <c r="IPU160" s="20"/>
      <c r="IPV160" s="20"/>
      <c r="IPW160" s="20"/>
      <c r="IPX160" s="21"/>
      <c r="IPY160" s="21"/>
      <c r="IPZ160" s="7"/>
      <c r="IQA160" s="7"/>
      <c r="IQB160" s="21"/>
      <c r="IQC160" s="20"/>
      <c r="IQD160" s="20"/>
      <c r="IQE160" s="20"/>
      <c r="IQF160" s="21"/>
      <c r="IQG160" s="21"/>
      <c r="IQH160" s="21"/>
      <c r="IQI160" s="21"/>
      <c r="IQJ160" s="21"/>
      <c r="IQK160" s="20"/>
      <c r="IQL160" s="20"/>
      <c r="IQM160" s="20"/>
      <c r="IQN160" s="20"/>
      <c r="IQO160" s="21"/>
      <c r="IQP160" s="21"/>
      <c r="IQQ160" s="7"/>
      <c r="IQR160" s="7"/>
      <c r="IQS160" s="21"/>
      <c r="IQT160" s="20"/>
      <c r="IQU160" s="20"/>
      <c r="IQV160" s="20"/>
      <c r="IQW160" s="21"/>
      <c r="IQX160" s="21"/>
      <c r="IQY160" s="21"/>
      <c r="IQZ160" s="21"/>
      <c r="IRA160" s="21"/>
      <c r="IRB160" s="20"/>
      <c r="IRC160" s="20"/>
      <c r="IRD160" s="20"/>
      <c r="IRE160" s="20"/>
      <c r="IRF160" s="21"/>
      <c r="IRG160" s="21"/>
      <c r="IRH160" s="7"/>
      <c r="IRI160" s="7"/>
      <c r="IRJ160" s="21"/>
      <c r="IRK160" s="20"/>
      <c r="IRL160" s="20"/>
      <c r="IRM160" s="20"/>
      <c r="IRN160" s="21"/>
      <c r="IRO160" s="21"/>
      <c r="IRP160" s="21"/>
      <c r="IRQ160" s="21"/>
      <c r="IRR160" s="21"/>
      <c r="IRS160" s="20"/>
      <c r="IRT160" s="20"/>
      <c r="IRU160" s="20"/>
      <c r="IRV160" s="20"/>
      <c r="IRW160" s="21"/>
      <c r="IRX160" s="21"/>
      <c r="IRY160" s="7"/>
      <c r="IRZ160" s="7"/>
      <c r="ISA160" s="21"/>
      <c r="ISB160" s="20"/>
      <c r="ISC160" s="20"/>
      <c r="ISD160" s="20"/>
      <c r="ISE160" s="21"/>
      <c r="ISF160" s="21"/>
      <c r="ISG160" s="21"/>
      <c r="ISH160" s="21"/>
      <c r="ISI160" s="21"/>
      <c r="ISJ160" s="20"/>
      <c r="ISK160" s="20"/>
      <c r="ISL160" s="20"/>
      <c r="ISM160" s="20"/>
      <c r="ISN160" s="21"/>
      <c r="ISO160" s="21"/>
      <c r="ISP160" s="7"/>
      <c r="ISQ160" s="7"/>
      <c r="ISR160" s="21"/>
      <c r="ISS160" s="20"/>
      <c r="IST160" s="20"/>
      <c r="ISU160" s="20"/>
      <c r="ISV160" s="21"/>
      <c r="ISW160" s="21"/>
      <c r="ISX160" s="21"/>
      <c r="ISY160" s="21"/>
      <c r="ISZ160" s="21"/>
      <c r="ITA160" s="20"/>
      <c r="ITB160" s="20"/>
      <c r="ITC160" s="20"/>
      <c r="ITD160" s="20"/>
      <c r="ITE160" s="21"/>
      <c r="ITF160" s="21"/>
      <c r="ITG160" s="7"/>
      <c r="ITH160" s="7"/>
      <c r="ITI160" s="21"/>
      <c r="ITJ160" s="20"/>
      <c r="ITK160" s="20"/>
      <c r="ITL160" s="20"/>
      <c r="ITM160" s="21"/>
      <c r="ITN160" s="21"/>
      <c r="ITO160" s="21"/>
      <c r="ITP160" s="21"/>
      <c r="ITQ160" s="21"/>
      <c r="ITR160" s="20"/>
      <c r="ITS160" s="20"/>
      <c r="ITT160" s="20"/>
      <c r="ITU160" s="20"/>
      <c r="ITV160" s="21"/>
      <c r="ITW160" s="21"/>
      <c r="ITX160" s="7"/>
      <c r="ITY160" s="7"/>
      <c r="ITZ160" s="21"/>
      <c r="IUA160" s="20"/>
      <c r="IUB160" s="20"/>
      <c r="IUC160" s="20"/>
      <c r="IUD160" s="21"/>
      <c r="IUE160" s="21"/>
      <c r="IUF160" s="21"/>
      <c r="IUG160" s="21"/>
      <c r="IUH160" s="21"/>
      <c r="IUI160" s="20"/>
      <c r="IUJ160" s="20"/>
      <c r="IUK160" s="20"/>
      <c r="IUL160" s="20"/>
      <c r="IUM160" s="21"/>
      <c r="IUN160" s="21"/>
      <c r="IUO160" s="7"/>
      <c r="IUP160" s="7"/>
      <c r="IUQ160" s="21"/>
      <c r="IUR160" s="20"/>
      <c r="IUS160" s="20"/>
      <c r="IUT160" s="20"/>
      <c r="IUU160" s="21"/>
      <c r="IUV160" s="21"/>
      <c r="IUW160" s="21"/>
      <c r="IUX160" s="21"/>
      <c r="IUY160" s="21"/>
      <c r="IUZ160" s="20"/>
      <c r="IVA160" s="20"/>
      <c r="IVB160" s="20"/>
      <c r="IVC160" s="20"/>
      <c r="IVD160" s="21"/>
      <c r="IVE160" s="21"/>
      <c r="IVF160" s="7"/>
      <c r="IVG160" s="7"/>
      <c r="IVH160" s="21"/>
      <c r="IVI160" s="20"/>
      <c r="IVJ160" s="20"/>
      <c r="IVK160" s="20"/>
      <c r="IVL160" s="21"/>
      <c r="IVM160" s="21"/>
      <c r="IVN160" s="21"/>
      <c r="IVO160" s="21"/>
      <c r="IVP160" s="21"/>
      <c r="IVQ160" s="20"/>
      <c r="IVR160" s="20"/>
      <c r="IVS160" s="20"/>
      <c r="IVT160" s="20"/>
      <c r="IVU160" s="21"/>
      <c r="IVV160" s="21"/>
      <c r="IVW160" s="7"/>
      <c r="IVX160" s="7"/>
      <c r="IVY160" s="21"/>
      <c r="IVZ160" s="20"/>
      <c r="IWA160" s="20"/>
      <c r="IWB160" s="20"/>
      <c r="IWC160" s="21"/>
      <c r="IWD160" s="21"/>
      <c r="IWE160" s="21"/>
      <c r="IWF160" s="21"/>
      <c r="IWG160" s="21"/>
      <c r="IWH160" s="20"/>
      <c r="IWI160" s="20"/>
      <c r="IWJ160" s="20"/>
      <c r="IWK160" s="20"/>
      <c r="IWL160" s="21"/>
      <c r="IWM160" s="21"/>
      <c r="IWN160" s="7"/>
      <c r="IWO160" s="7"/>
      <c r="IWP160" s="21"/>
      <c r="IWQ160" s="20"/>
      <c r="IWR160" s="20"/>
      <c r="IWS160" s="20"/>
      <c r="IWT160" s="21"/>
      <c r="IWU160" s="21"/>
      <c r="IWV160" s="21"/>
      <c r="IWW160" s="21"/>
      <c r="IWX160" s="21"/>
      <c r="IWY160" s="20"/>
      <c r="IWZ160" s="20"/>
      <c r="IXA160" s="20"/>
      <c r="IXB160" s="20"/>
      <c r="IXC160" s="21"/>
      <c r="IXD160" s="21"/>
      <c r="IXE160" s="7"/>
      <c r="IXF160" s="7"/>
      <c r="IXG160" s="21"/>
      <c r="IXH160" s="20"/>
      <c r="IXI160" s="20"/>
      <c r="IXJ160" s="20"/>
      <c r="IXK160" s="21"/>
      <c r="IXL160" s="21"/>
      <c r="IXM160" s="21"/>
      <c r="IXN160" s="21"/>
      <c r="IXO160" s="21"/>
      <c r="IXP160" s="20"/>
      <c r="IXQ160" s="20"/>
      <c r="IXR160" s="20"/>
      <c r="IXS160" s="20"/>
      <c r="IXT160" s="21"/>
      <c r="IXU160" s="21"/>
      <c r="IXV160" s="7"/>
      <c r="IXW160" s="7"/>
      <c r="IXX160" s="21"/>
      <c r="IXY160" s="20"/>
      <c r="IXZ160" s="20"/>
      <c r="IYA160" s="20"/>
      <c r="IYB160" s="21"/>
      <c r="IYC160" s="21"/>
      <c r="IYD160" s="21"/>
      <c r="IYE160" s="21"/>
      <c r="IYF160" s="21"/>
      <c r="IYG160" s="20"/>
      <c r="IYH160" s="20"/>
      <c r="IYI160" s="20"/>
      <c r="IYJ160" s="20"/>
      <c r="IYK160" s="21"/>
      <c r="IYL160" s="21"/>
      <c r="IYM160" s="7"/>
      <c r="IYN160" s="7"/>
      <c r="IYO160" s="21"/>
      <c r="IYP160" s="20"/>
      <c r="IYQ160" s="20"/>
      <c r="IYR160" s="20"/>
      <c r="IYS160" s="21"/>
      <c r="IYT160" s="21"/>
      <c r="IYU160" s="21"/>
      <c r="IYV160" s="21"/>
      <c r="IYW160" s="21"/>
      <c r="IYX160" s="20"/>
      <c r="IYY160" s="20"/>
      <c r="IYZ160" s="20"/>
      <c r="IZA160" s="20"/>
      <c r="IZB160" s="21"/>
      <c r="IZC160" s="21"/>
      <c r="IZD160" s="7"/>
      <c r="IZE160" s="7"/>
      <c r="IZF160" s="21"/>
      <c r="IZG160" s="20"/>
      <c r="IZH160" s="20"/>
      <c r="IZI160" s="20"/>
      <c r="IZJ160" s="21"/>
      <c r="IZK160" s="21"/>
      <c r="IZL160" s="21"/>
      <c r="IZM160" s="21"/>
      <c r="IZN160" s="21"/>
      <c r="IZO160" s="20"/>
      <c r="IZP160" s="20"/>
      <c r="IZQ160" s="20"/>
      <c r="IZR160" s="20"/>
      <c r="IZS160" s="21"/>
      <c r="IZT160" s="21"/>
      <c r="IZU160" s="7"/>
      <c r="IZV160" s="7"/>
      <c r="IZW160" s="21"/>
      <c r="IZX160" s="20"/>
      <c r="IZY160" s="20"/>
      <c r="IZZ160" s="20"/>
      <c r="JAA160" s="21"/>
      <c r="JAB160" s="21"/>
      <c r="JAC160" s="21"/>
      <c r="JAD160" s="21"/>
      <c r="JAE160" s="21"/>
      <c r="JAF160" s="20"/>
      <c r="JAG160" s="20"/>
      <c r="JAH160" s="20"/>
      <c r="JAI160" s="20"/>
      <c r="JAJ160" s="21"/>
      <c r="JAK160" s="21"/>
      <c r="JAL160" s="7"/>
      <c r="JAM160" s="7"/>
      <c r="JAN160" s="21"/>
      <c r="JAO160" s="20"/>
      <c r="JAP160" s="20"/>
      <c r="JAQ160" s="20"/>
      <c r="JAR160" s="21"/>
      <c r="JAS160" s="21"/>
      <c r="JAT160" s="21"/>
      <c r="JAU160" s="21"/>
      <c r="JAV160" s="21"/>
      <c r="JAW160" s="20"/>
      <c r="JAX160" s="20"/>
      <c r="JAY160" s="20"/>
      <c r="JAZ160" s="20"/>
      <c r="JBA160" s="21"/>
      <c r="JBB160" s="21"/>
      <c r="JBC160" s="7"/>
      <c r="JBD160" s="7"/>
      <c r="JBE160" s="21"/>
      <c r="JBF160" s="20"/>
      <c r="JBG160" s="20"/>
      <c r="JBH160" s="20"/>
      <c r="JBI160" s="21"/>
      <c r="JBJ160" s="21"/>
      <c r="JBK160" s="21"/>
      <c r="JBL160" s="21"/>
      <c r="JBM160" s="21"/>
      <c r="JBN160" s="20"/>
      <c r="JBO160" s="20"/>
      <c r="JBP160" s="20"/>
      <c r="JBQ160" s="20"/>
      <c r="JBR160" s="21"/>
      <c r="JBS160" s="21"/>
      <c r="JBT160" s="7"/>
      <c r="JBU160" s="7"/>
      <c r="JBV160" s="21"/>
      <c r="JBW160" s="20"/>
      <c r="JBX160" s="20"/>
      <c r="JBY160" s="20"/>
      <c r="JBZ160" s="21"/>
      <c r="JCA160" s="21"/>
      <c r="JCB160" s="21"/>
      <c r="JCC160" s="21"/>
      <c r="JCD160" s="21"/>
      <c r="JCE160" s="20"/>
      <c r="JCF160" s="20"/>
      <c r="JCG160" s="20"/>
      <c r="JCH160" s="20"/>
      <c r="JCI160" s="21"/>
      <c r="JCJ160" s="21"/>
      <c r="JCK160" s="7"/>
      <c r="JCL160" s="7"/>
      <c r="JCM160" s="21"/>
      <c r="JCN160" s="20"/>
      <c r="JCO160" s="20"/>
      <c r="JCP160" s="20"/>
      <c r="JCQ160" s="21"/>
      <c r="JCR160" s="21"/>
      <c r="JCS160" s="21"/>
      <c r="JCT160" s="21"/>
      <c r="JCU160" s="21"/>
      <c r="JCV160" s="20"/>
      <c r="JCW160" s="20"/>
      <c r="JCX160" s="20"/>
      <c r="JCY160" s="20"/>
      <c r="JCZ160" s="21"/>
      <c r="JDA160" s="21"/>
      <c r="JDB160" s="7"/>
      <c r="JDC160" s="7"/>
      <c r="JDD160" s="21"/>
      <c r="JDE160" s="20"/>
      <c r="JDF160" s="20"/>
      <c r="JDG160" s="20"/>
      <c r="JDH160" s="21"/>
      <c r="JDI160" s="21"/>
      <c r="JDJ160" s="21"/>
      <c r="JDK160" s="21"/>
      <c r="JDL160" s="21"/>
      <c r="JDM160" s="20"/>
      <c r="JDN160" s="20"/>
      <c r="JDO160" s="20"/>
      <c r="JDP160" s="20"/>
      <c r="JDQ160" s="21"/>
      <c r="JDR160" s="21"/>
      <c r="JDS160" s="7"/>
      <c r="JDT160" s="7"/>
      <c r="JDU160" s="21"/>
      <c r="JDV160" s="20"/>
      <c r="JDW160" s="20"/>
      <c r="JDX160" s="20"/>
      <c r="JDY160" s="21"/>
      <c r="JDZ160" s="21"/>
      <c r="JEA160" s="21"/>
      <c r="JEB160" s="21"/>
      <c r="JEC160" s="21"/>
      <c r="JED160" s="20"/>
      <c r="JEE160" s="20"/>
      <c r="JEF160" s="20"/>
      <c r="JEG160" s="20"/>
      <c r="JEH160" s="21"/>
      <c r="JEI160" s="21"/>
      <c r="JEJ160" s="7"/>
      <c r="JEK160" s="7"/>
      <c r="JEL160" s="21"/>
      <c r="JEM160" s="20"/>
      <c r="JEN160" s="20"/>
      <c r="JEO160" s="20"/>
      <c r="JEP160" s="21"/>
      <c r="JEQ160" s="21"/>
      <c r="JER160" s="21"/>
      <c r="JES160" s="21"/>
      <c r="JET160" s="21"/>
      <c r="JEU160" s="20"/>
      <c r="JEV160" s="20"/>
      <c r="JEW160" s="20"/>
      <c r="JEX160" s="20"/>
      <c r="JEY160" s="21"/>
      <c r="JEZ160" s="21"/>
      <c r="JFA160" s="7"/>
      <c r="JFB160" s="7"/>
      <c r="JFC160" s="21"/>
      <c r="JFD160" s="20"/>
      <c r="JFE160" s="20"/>
      <c r="JFF160" s="20"/>
      <c r="JFG160" s="21"/>
      <c r="JFH160" s="21"/>
      <c r="JFI160" s="21"/>
      <c r="JFJ160" s="21"/>
      <c r="JFK160" s="21"/>
      <c r="JFL160" s="20"/>
      <c r="JFM160" s="20"/>
      <c r="JFN160" s="20"/>
      <c r="JFO160" s="20"/>
      <c r="JFP160" s="21"/>
      <c r="JFQ160" s="21"/>
      <c r="JFR160" s="7"/>
      <c r="JFS160" s="7"/>
      <c r="JFT160" s="21"/>
      <c r="JFU160" s="20"/>
      <c r="JFV160" s="20"/>
      <c r="JFW160" s="20"/>
      <c r="JFX160" s="21"/>
      <c r="JFY160" s="21"/>
      <c r="JFZ160" s="21"/>
      <c r="JGA160" s="21"/>
      <c r="JGB160" s="21"/>
      <c r="JGC160" s="20"/>
      <c r="JGD160" s="20"/>
      <c r="JGE160" s="20"/>
      <c r="JGF160" s="20"/>
      <c r="JGG160" s="21"/>
      <c r="JGH160" s="21"/>
      <c r="JGI160" s="7"/>
      <c r="JGJ160" s="7"/>
      <c r="JGK160" s="21"/>
      <c r="JGL160" s="20"/>
      <c r="JGM160" s="20"/>
      <c r="JGN160" s="20"/>
      <c r="JGO160" s="21"/>
      <c r="JGP160" s="21"/>
      <c r="JGQ160" s="21"/>
      <c r="JGR160" s="21"/>
      <c r="JGS160" s="21"/>
      <c r="JGT160" s="20"/>
      <c r="JGU160" s="20"/>
      <c r="JGV160" s="20"/>
      <c r="JGW160" s="20"/>
      <c r="JGX160" s="21"/>
      <c r="JGY160" s="21"/>
      <c r="JGZ160" s="7"/>
      <c r="JHA160" s="7"/>
      <c r="JHB160" s="21"/>
      <c r="JHC160" s="20"/>
      <c r="JHD160" s="20"/>
      <c r="JHE160" s="20"/>
      <c r="JHF160" s="21"/>
      <c r="JHG160" s="21"/>
      <c r="JHH160" s="21"/>
      <c r="JHI160" s="21"/>
      <c r="JHJ160" s="21"/>
      <c r="JHK160" s="20"/>
      <c r="JHL160" s="20"/>
      <c r="JHM160" s="20"/>
      <c r="JHN160" s="20"/>
      <c r="JHO160" s="21"/>
      <c r="JHP160" s="21"/>
      <c r="JHQ160" s="7"/>
      <c r="JHR160" s="7"/>
      <c r="JHS160" s="21"/>
      <c r="JHT160" s="20"/>
      <c r="JHU160" s="20"/>
      <c r="JHV160" s="20"/>
      <c r="JHW160" s="21"/>
      <c r="JHX160" s="21"/>
      <c r="JHY160" s="21"/>
      <c r="JHZ160" s="21"/>
      <c r="JIA160" s="21"/>
      <c r="JIB160" s="20"/>
      <c r="JIC160" s="20"/>
      <c r="JID160" s="20"/>
      <c r="JIE160" s="20"/>
      <c r="JIF160" s="21"/>
      <c r="JIG160" s="21"/>
      <c r="JIH160" s="7"/>
      <c r="JII160" s="7"/>
      <c r="JIJ160" s="21"/>
      <c r="JIK160" s="20"/>
      <c r="JIL160" s="20"/>
      <c r="JIM160" s="20"/>
      <c r="JIN160" s="21"/>
      <c r="JIO160" s="21"/>
      <c r="JIP160" s="21"/>
      <c r="JIQ160" s="21"/>
      <c r="JIR160" s="21"/>
      <c r="JIS160" s="20"/>
      <c r="JIT160" s="20"/>
      <c r="JIU160" s="20"/>
      <c r="JIV160" s="20"/>
      <c r="JIW160" s="21"/>
      <c r="JIX160" s="21"/>
      <c r="JIY160" s="7"/>
      <c r="JIZ160" s="7"/>
      <c r="JJA160" s="21"/>
      <c r="JJB160" s="20"/>
      <c r="JJC160" s="20"/>
      <c r="JJD160" s="20"/>
      <c r="JJE160" s="21"/>
      <c r="JJF160" s="21"/>
      <c r="JJG160" s="21"/>
      <c r="JJH160" s="21"/>
      <c r="JJI160" s="21"/>
      <c r="JJJ160" s="20"/>
      <c r="JJK160" s="20"/>
      <c r="JJL160" s="20"/>
      <c r="JJM160" s="20"/>
      <c r="JJN160" s="21"/>
      <c r="JJO160" s="21"/>
      <c r="JJP160" s="7"/>
      <c r="JJQ160" s="7"/>
      <c r="JJR160" s="21"/>
      <c r="JJS160" s="20"/>
      <c r="JJT160" s="20"/>
      <c r="JJU160" s="20"/>
      <c r="JJV160" s="21"/>
      <c r="JJW160" s="21"/>
      <c r="JJX160" s="21"/>
      <c r="JJY160" s="21"/>
      <c r="JJZ160" s="21"/>
      <c r="JKA160" s="20"/>
      <c r="JKB160" s="20"/>
      <c r="JKC160" s="20"/>
      <c r="JKD160" s="20"/>
      <c r="JKE160" s="21"/>
      <c r="JKF160" s="21"/>
      <c r="JKG160" s="7"/>
      <c r="JKH160" s="7"/>
      <c r="JKI160" s="21"/>
      <c r="JKJ160" s="20"/>
      <c r="JKK160" s="20"/>
      <c r="JKL160" s="20"/>
      <c r="JKM160" s="21"/>
      <c r="JKN160" s="21"/>
      <c r="JKO160" s="21"/>
      <c r="JKP160" s="21"/>
      <c r="JKQ160" s="21"/>
      <c r="JKR160" s="20"/>
      <c r="JKS160" s="20"/>
      <c r="JKT160" s="20"/>
      <c r="JKU160" s="20"/>
      <c r="JKV160" s="21"/>
      <c r="JKW160" s="21"/>
      <c r="JKX160" s="7"/>
      <c r="JKY160" s="7"/>
      <c r="JKZ160" s="21"/>
      <c r="JLA160" s="20"/>
      <c r="JLB160" s="20"/>
      <c r="JLC160" s="20"/>
      <c r="JLD160" s="21"/>
      <c r="JLE160" s="21"/>
      <c r="JLF160" s="21"/>
      <c r="JLG160" s="21"/>
      <c r="JLH160" s="21"/>
      <c r="JLI160" s="20"/>
      <c r="JLJ160" s="20"/>
      <c r="JLK160" s="20"/>
      <c r="JLL160" s="20"/>
      <c r="JLM160" s="21"/>
      <c r="JLN160" s="21"/>
      <c r="JLO160" s="7"/>
      <c r="JLP160" s="7"/>
      <c r="JLQ160" s="21"/>
      <c r="JLR160" s="20"/>
      <c r="JLS160" s="20"/>
      <c r="JLT160" s="20"/>
      <c r="JLU160" s="21"/>
      <c r="JLV160" s="21"/>
      <c r="JLW160" s="21"/>
      <c r="JLX160" s="21"/>
      <c r="JLY160" s="21"/>
      <c r="JLZ160" s="20"/>
      <c r="JMA160" s="20"/>
      <c r="JMB160" s="20"/>
      <c r="JMC160" s="20"/>
      <c r="JMD160" s="21"/>
      <c r="JME160" s="21"/>
      <c r="JMF160" s="7"/>
      <c r="JMG160" s="7"/>
      <c r="JMH160" s="21"/>
      <c r="JMI160" s="20"/>
      <c r="JMJ160" s="20"/>
      <c r="JMK160" s="20"/>
      <c r="JML160" s="21"/>
      <c r="JMM160" s="21"/>
      <c r="JMN160" s="21"/>
      <c r="JMO160" s="21"/>
      <c r="JMP160" s="21"/>
      <c r="JMQ160" s="20"/>
      <c r="JMR160" s="20"/>
      <c r="JMS160" s="20"/>
      <c r="JMT160" s="20"/>
      <c r="JMU160" s="21"/>
      <c r="JMV160" s="21"/>
      <c r="JMW160" s="7"/>
      <c r="JMX160" s="7"/>
      <c r="JMY160" s="21"/>
      <c r="JMZ160" s="20"/>
      <c r="JNA160" s="20"/>
      <c r="JNB160" s="20"/>
      <c r="JNC160" s="21"/>
      <c r="JND160" s="21"/>
      <c r="JNE160" s="21"/>
      <c r="JNF160" s="21"/>
      <c r="JNG160" s="21"/>
      <c r="JNH160" s="20"/>
      <c r="JNI160" s="20"/>
      <c r="JNJ160" s="20"/>
      <c r="JNK160" s="20"/>
      <c r="JNL160" s="21"/>
      <c r="JNM160" s="21"/>
      <c r="JNN160" s="7"/>
      <c r="JNO160" s="7"/>
      <c r="JNP160" s="21"/>
      <c r="JNQ160" s="20"/>
      <c r="JNR160" s="20"/>
      <c r="JNS160" s="20"/>
      <c r="JNT160" s="21"/>
      <c r="JNU160" s="21"/>
      <c r="JNV160" s="21"/>
      <c r="JNW160" s="21"/>
      <c r="JNX160" s="21"/>
      <c r="JNY160" s="20"/>
      <c r="JNZ160" s="20"/>
      <c r="JOA160" s="20"/>
      <c r="JOB160" s="20"/>
      <c r="JOC160" s="21"/>
      <c r="JOD160" s="21"/>
      <c r="JOE160" s="7"/>
      <c r="JOF160" s="7"/>
      <c r="JOG160" s="21"/>
      <c r="JOH160" s="20"/>
      <c r="JOI160" s="20"/>
      <c r="JOJ160" s="20"/>
      <c r="JOK160" s="21"/>
      <c r="JOL160" s="21"/>
      <c r="JOM160" s="21"/>
      <c r="JON160" s="21"/>
      <c r="JOO160" s="21"/>
      <c r="JOP160" s="20"/>
      <c r="JOQ160" s="20"/>
      <c r="JOR160" s="20"/>
      <c r="JOS160" s="20"/>
      <c r="JOT160" s="21"/>
      <c r="JOU160" s="21"/>
      <c r="JOV160" s="7"/>
      <c r="JOW160" s="7"/>
      <c r="JOX160" s="21"/>
      <c r="JOY160" s="20"/>
      <c r="JOZ160" s="20"/>
      <c r="JPA160" s="20"/>
      <c r="JPB160" s="21"/>
      <c r="JPC160" s="21"/>
      <c r="JPD160" s="21"/>
      <c r="JPE160" s="21"/>
      <c r="JPF160" s="21"/>
      <c r="JPG160" s="20"/>
      <c r="JPH160" s="20"/>
      <c r="JPI160" s="20"/>
      <c r="JPJ160" s="20"/>
      <c r="JPK160" s="21"/>
      <c r="JPL160" s="21"/>
      <c r="JPM160" s="7"/>
      <c r="JPN160" s="7"/>
      <c r="JPO160" s="21"/>
      <c r="JPP160" s="20"/>
      <c r="JPQ160" s="20"/>
      <c r="JPR160" s="20"/>
      <c r="JPS160" s="21"/>
      <c r="JPT160" s="21"/>
      <c r="JPU160" s="21"/>
      <c r="JPV160" s="21"/>
      <c r="JPW160" s="21"/>
      <c r="JPX160" s="20"/>
      <c r="JPY160" s="20"/>
      <c r="JPZ160" s="20"/>
      <c r="JQA160" s="20"/>
      <c r="JQB160" s="21"/>
      <c r="JQC160" s="21"/>
      <c r="JQD160" s="7"/>
      <c r="JQE160" s="7"/>
      <c r="JQF160" s="21"/>
      <c r="JQG160" s="20"/>
      <c r="JQH160" s="20"/>
      <c r="JQI160" s="20"/>
      <c r="JQJ160" s="21"/>
      <c r="JQK160" s="21"/>
      <c r="JQL160" s="21"/>
      <c r="JQM160" s="21"/>
      <c r="JQN160" s="21"/>
      <c r="JQO160" s="20"/>
      <c r="JQP160" s="20"/>
      <c r="JQQ160" s="20"/>
      <c r="JQR160" s="20"/>
      <c r="JQS160" s="21"/>
      <c r="JQT160" s="21"/>
      <c r="JQU160" s="7"/>
      <c r="JQV160" s="7"/>
      <c r="JQW160" s="21"/>
      <c r="JQX160" s="20"/>
      <c r="JQY160" s="20"/>
      <c r="JQZ160" s="20"/>
      <c r="JRA160" s="21"/>
      <c r="JRB160" s="21"/>
      <c r="JRC160" s="21"/>
      <c r="JRD160" s="21"/>
      <c r="JRE160" s="21"/>
      <c r="JRF160" s="20"/>
      <c r="JRG160" s="20"/>
      <c r="JRH160" s="20"/>
      <c r="JRI160" s="20"/>
      <c r="JRJ160" s="21"/>
      <c r="JRK160" s="21"/>
      <c r="JRL160" s="7"/>
      <c r="JRM160" s="7"/>
      <c r="JRN160" s="21"/>
      <c r="JRO160" s="20"/>
      <c r="JRP160" s="20"/>
      <c r="JRQ160" s="20"/>
      <c r="JRR160" s="21"/>
      <c r="JRS160" s="21"/>
      <c r="JRT160" s="21"/>
      <c r="JRU160" s="21"/>
      <c r="JRV160" s="21"/>
      <c r="JRW160" s="20"/>
      <c r="JRX160" s="20"/>
      <c r="JRY160" s="20"/>
      <c r="JRZ160" s="20"/>
      <c r="JSA160" s="21"/>
      <c r="JSB160" s="21"/>
      <c r="JSC160" s="7"/>
      <c r="JSD160" s="7"/>
      <c r="JSE160" s="21"/>
      <c r="JSF160" s="20"/>
      <c r="JSG160" s="20"/>
      <c r="JSH160" s="20"/>
      <c r="JSI160" s="21"/>
      <c r="JSJ160" s="21"/>
      <c r="JSK160" s="21"/>
      <c r="JSL160" s="21"/>
      <c r="JSM160" s="21"/>
      <c r="JSN160" s="20"/>
      <c r="JSO160" s="20"/>
      <c r="JSP160" s="20"/>
      <c r="JSQ160" s="20"/>
      <c r="JSR160" s="21"/>
      <c r="JSS160" s="21"/>
      <c r="JST160" s="7"/>
      <c r="JSU160" s="7"/>
      <c r="JSV160" s="21"/>
      <c r="JSW160" s="20"/>
      <c r="JSX160" s="20"/>
      <c r="JSY160" s="20"/>
      <c r="JSZ160" s="21"/>
      <c r="JTA160" s="21"/>
      <c r="JTB160" s="21"/>
      <c r="JTC160" s="21"/>
      <c r="JTD160" s="21"/>
      <c r="JTE160" s="20"/>
      <c r="JTF160" s="20"/>
      <c r="JTG160" s="20"/>
      <c r="JTH160" s="20"/>
      <c r="JTI160" s="21"/>
      <c r="JTJ160" s="21"/>
      <c r="JTK160" s="7"/>
      <c r="JTL160" s="7"/>
      <c r="JTM160" s="21"/>
      <c r="JTN160" s="20"/>
      <c r="JTO160" s="20"/>
      <c r="JTP160" s="20"/>
      <c r="JTQ160" s="21"/>
      <c r="JTR160" s="21"/>
      <c r="JTS160" s="21"/>
      <c r="JTT160" s="21"/>
      <c r="JTU160" s="21"/>
      <c r="JTV160" s="20"/>
      <c r="JTW160" s="20"/>
      <c r="JTX160" s="20"/>
      <c r="JTY160" s="20"/>
      <c r="JTZ160" s="21"/>
      <c r="JUA160" s="21"/>
      <c r="JUB160" s="7"/>
      <c r="JUC160" s="7"/>
      <c r="JUD160" s="21"/>
      <c r="JUE160" s="20"/>
      <c r="JUF160" s="20"/>
      <c r="JUG160" s="20"/>
      <c r="JUH160" s="21"/>
      <c r="JUI160" s="21"/>
      <c r="JUJ160" s="21"/>
      <c r="JUK160" s="21"/>
      <c r="JUL160" s="21"/>
      <c r="JUM160" s="20"/>
      <c r="JUN160" s="20"/>
      <c r="JUO160" s="20"/>
      <c r="JUP160" s="20"/>
      <c r="JUQ160" s="21"/>
      <c r="JUR160" s="21"/>
      <c r="JUS160" s="7"/>
      <c r="JUT160" s="7"/>
      <c r="JUU160" s="21"/>
      <c r="JUV160" s="20"/>
      <c r="JUW160" s="20"/>
      <c r="JUX160" s="20"/>
      <c r="JUY160" s="21"/>
      <c r="JUZ160" s="21"/>
      <c r="JVA160" s="21"/>
      <c r="JVB160" s="21"/>
      <c r="JVC160" s="21"/>
      <c r="JVD160" s="20"/>
      <c r="JVE160" s="20"/>
      <c r="JVF160" s="20"/>
      <c r="JVG160" s="20"/>
      <c r="JVH160" s="21"/>
      <c r="JVI160" s="21"/>
      <c r="JVJ160" s="7"/>
      <c r="JVK160" s="7"/>
      <c r="JVL160" s="21"/>
      <c r="JVM160" s="20"/>
      <c r="JVN160" s="20"/>
      <c r="JVO160" s="20"/>
      <c r="JVP160" s="21"/>
      <c r="JVQ160" s="21"/>
      <c r="JVR160" s="21"/>
      <c r="JVS160" s="21"/>
      <c r="JVT160" s="21"/>
      <c r="JVU160" s="20"/>
      <c r="JVV160" s="20"/>
      <c r="JVW160" s="20"/>
      <c r="JVX160" s="20"/>
      <c r="JVY160" s="21"/>
      <c r="JVZ160" s="21"/>
      <c r="JWA160" s="7"/>
      <c r="JWB160" s="7"/>
      <c r="JWC160" s="21"/>
      <c r="JWD160" s="20"/>
      <c r="JWE160" s="20"/>
      <c r="JWF160" s="20"/>
      <c r="JWG160" s="21"/>
      <c r="JWH160" s="21"/>
      <c r="JWI160" s="21"/>
      <c r="JWJ160" s="21"/>
      <c r="JWK160" s="21"/>
      <c r="JWL160" s="20"/>
      <c r="JWM160" s="20"/>
      <c r="JWN160" s="20"/>
      <c r="JWO160" s="20"/>
      <c r="JWP160" s="21"/>
      <c r="JWQ160" s="21"/>
      <c r="JWR160" s="7"/>
      <c r="JWS160" s="7"/>
      <c r="JWT160" s="21"/>
      <c r="JWU160" s="20"/>
      <c r="JWV160" s="20"/>
      <c r="JWW160" s="20"/>
      <c r="JWX160" s="21"/>
      <c r="JWY160" s="21"/>
      <c r="JWZ160" s="21"/>
      <c r="JXA160" s="21"/>
      <c r="JXB160" s="21"/>
      <c r="JXC160" s="20"/>
      <c r="JXD160" s="20"/>
      <c r="JXE160" s="20"/>
      <c r="JXF160" s="20"/>
      <c r="JXG160" s="21"/>
      <c r="JXH160" s="21"/>
      <c r="JXI160" s="7"/>
      <c r="JXJ160" s="7"/>
      <c r="JXK160" s="21"/>
      <c r="JXL160" s="20"/>
      <c r="JXM160" s="20"/>
      <c r="JXN160" s="20"/>
      <c r="JXO160" s="21"/>
      <c r="JXP160" s="21"/>
      <c r="JXQ160" s="21"/>
      <c r="JXR160" s="21"/>
      <c r="JXS160" s="21"/>
      <c r="JXT160" s="20"/>
      <c r="JXU160" s="20"/>
      <c r="JXV160" s="20"/>
      <c r="JXW160" s="20"/>
      <c r="JXX160" s="21"/>
      <c r="JXY160" s="21"/>
      <c r="JXZ160" s="7"/>
      <c r="JYA160" s="7"/>
      <c r="JYB160" s="21"/>
      <c r="JYC160" s="20"/>
      <c r="JYD160" s="20"/>
      <c r="JYE160" s="20"/>
      <c r="JYF160" s="21"/>
      <c r="JYG160" s="21"/>
      <c r="JYH160" s="21"/>
      <c r="JYI160" s="21"/>
      <c r="JYJ160" s="21"/>
      <c r="JYK160" s="20"/>
      <c r="JYL160" s="20"/>
      <c r="JYM160" s="20"/>
      <c r="JYN160" s="20"/>
      <c r="JYO160" s="21"/>
      <c r="JYP160" s="21"/>
      <c r="JYQ160" s="7"/>
      <c r="JYR160" s="7"/>
      <c r="JYS160" s="21"/>
      <c r="JYT160" s="20"/>
      <c r="JYU160" s="20"/>
      <c r="JYV160" s="20"/>
      <c r="JYW160" s="21"/>
      <c r="JYX160" s="21"/>
      <c r="JYY160" s="21"/>
      <c r="JYZ160" s="21"/>
      <c r="JZA160" s="21"/>
      <c r="JZB160" s="20"/>
      <c r="JZC160" s="20"/>
      <c r="JZD160" s="20"/>
      <c r="JZE160" s="20"/>
      <c r="JZF160" s="21"/>
      <c r="JZG160" s="21"/>
      <c r="JZH160" s="7"/>
      <c r="JZI160" s="7"/>
      <c r="JZJ160" s="21"/>
      <c r="JZK160" s="20"/>
      <c r="JZL160" s="20"/>
      <c r="JZM160" s="20"/>
      <c r="JZN160" s="21"/>
      <c r="JZO160" s="21"/>
      <c r="JZP160" s="21"/>
      <c r="JZQ160" s="21"/>
      <c r="JZR160" s="21"/>
      <c r="JZS160" s="20"/>
      <c r="JZT160" s="20"/>
      <c r="JZU160" s="20"/>
      <c r="JZV160" s="20"/>
      <c r="JZW160" s="21"/>
      <c r="JZX160" s="21"/>
      <c r="JZY160" s="7"/>
      <c r="JZZ160" s="7"/>
      <c r="KAA160" s="21"/>
      <c r="KAB160" s="20"/>
      <c r="KAC160" s="20"/>
      <c r="KAD160" s="20"/>
      <c r="KAE160" s="21"/>
      <c r="KAF160" s="21"/>
      <c r="KAG160" s="21"/>
      <c r="KAH160" s="21"/>
      <c r="KAI160" s="21"/>
      <c r="KAJ160" s="20"/>
      <c r="KAK160" s="20"/>
      <c r="KAL160" s="20"/>
      <c r="KAM160" s="20"/>
      <c r="KAN160" s="21"/>
      <c r="KAO160" s="21"/>
      <c r="KAP160" s="7"/>
      <c r="KAQ160" s="7"/>
      <c r="KAR160" s="21"/>
      <c r="KAS160" s="20"/>
      <c r="KAT160" s="20"/>
      <c r="KAU160" s="20"/>
      <c r="KAV160" s="21"/>
      <c r="KAW160" s="21"/>
      <c r="KAX160" s="21"/>
      <c r="KAY160" s="21"/>
      <c r="KAZ160" s="21"/>
      <c r="KBA160" s="20"/>
      <c r="KBB160" s="20"/>
      <c r="KBC160" s="20"/>
      <c r="KBD160" s="20"/>
      <c r="KBE160" s="21"/>
      <c r="KBF160" s="21"/>
      <c r="KBG160" s="7"/>
      <c r="KBH160" s="7"/>
      <c r="KBI160" s="21"/>
      <c r="KBJ160" s="20"/>
      <c r="KBK160" s="20"/>
      <c r="KBL160" s="20"/>
      <c r="KBM160" s="21"/>
      <c r="KBN160" s="21"/>
      <c r="KBO160" s="21"/>
      <c r="KBP160" s="21"/>
      <c r="KBQ160" s="21"/>
      <c r="KBR160" s="20"/>
      <c r="KBS160" s="20"/>
      <c r="KBT160" s="20"/>
      <c r="KBU160" s="20"/>
      <c r="KBV160" s="21"/>
      <c r="KBW160" s="21"/>
      <c r="KBX160" s="7"/>
      <c r="KBY160" s="7"/>
      <c r="KBZ160" s="21"/>
      <c r="KCA160" s="20"/>
      <c r="KCB160" s="20"/>
      <c r="KCC160" s="20"/>
      <c r="KCD160" s="21"/>
      <c r="KCE160" s="21"/>
      <c r="KCF160" s="21"/>
      <c r="KCG160" s="21"/>
      <c r="KCH160" s="21"/>
      <c r="KCI160" s="20"/>
      <c r="KCJ160" s="20"/>
      <c r="KCK160" s="20"/>
      <c r="KCL160" s="20"/>
      <c r="KCM160" s="21"/>
      <c r="KCN160" s="21"/>
      <c r="KCO160" s="7"/>
      <c r="KCP160" s="7"/>
      <c r="KCQ160" s="21"/>
      <c r="KCR160" s="20"/>
      <c r="KCS160" s="20"/>
      <c r="KCT160" s="20"/>
      <c r="KCU160" s="21"/>
      <c r="KCV160" s="21"/>
      <c r="KCW160" s="21"/>
      <c r="KCX160" s="21"/>
      <c r="KCY160" s="21"/>
      <c r="KCZ160" s="20"/>
      <c r="KDA160" s="20"/>
      <c r="KDB160" s="20"/>
      <c r="KDC160" s="20"/>
      <c r="KDD160" s="21"/>
      <c r="KDE160" s="21"/>
      <c r="KDF160" s="7"/>
      <c r="KDG160" s="7"/>
      <c r="KDH160" s="21"/>
      <c r="KDI160" s="20"/>
      <c r="KDJ160" s="20"/>
      <c r="KDK160" s="20"/>
      <c r="KDL160" s="21"/>
      <c r="KDM160" s="21"/>
      <c r="KDN160" s="21"/>
      <c r="KDO160" s="21"/>
      <c r="KDP160" s="21"/>
      <c r="KDQ160" s="20"/>
      <c r="KDR160" s="20"/>
      <c r="KDS160" s="20"/>
      <c r="KDT160" s="20"/>
      <c r="KDU160" s="21"/>
      <c r="KDV160" s="21"/>
      <c r="KDW160" s="7"/>
      <c r="KDX160" s="7"/>
      <c r="KDY160" s="21"/>
      <c r="KDZ160" s="20"/>
      <c r="KEA160" s="20"/>
      <c r="KEB160" s="20"/>
      <c r="KEC160" s="21"/>
      <c r="KED160" s="21"/>
      <c r="KEE160" s="21"/>
      <c r="KEF160" s="21"/>
      <c r="KEG160" s="21"/>
      <c r="KEH160" s="20"/>
      <c r="KEI160" s="20"/>
      <c r="KEJ160" s="20"/>
      <c r="KEK160" s="20"/>
      <c r="KEL160" s="21"/>
      <c r="KEM160" s="21"/>
      <c r="KEN160" s="7"/>
      <c r="KEO160" s="7"/>
      <c r="KEP160" s="21"/>
      <c r="KEQ160" s="20"/>
      <c r="KER160" s="20"/>
      <c r="KES160" s="20"/>
      <c r="KET160" s="21"/>
      <c r="KEU160" s="21"/>
      <c r="KEV160" s="21"/>
      <c r="KEW160" s="21"/>
      <c r="KEX160" s="21"/>
      <c r="KEY160" s="20"/>
      <c r="KEZ160" s="20"/>
      <c r="KFA160" s="20"/>
      <c r="KFB160" s="20"/>
      <c r="KFC160" s="21"/>
      <c r="KFD160" s="21"/>
      <c r="KFE160" s="7"/>
      <c r="KFF160" s="7"/>
      <c r="KFG160" s="21"/>
      <c r="KFH160" s="20"/>
      <c r="KFI160" s="20"/>
      <c r="KFJ160" s="20"/>
      <c r="KFK160" s="21"/>
      <c r="KFL160" s="21"/>
      <c r="KFM160" s="21"/>
      <c r="KFN160" s="21"/>
      <c r="KFO160" s="21"/>
      <c r="KFP160" s="20"/>
      <c r="KFQ160" s="20"/>
      <c r="KFR160" s="20"/>
      <c r="KFS160" s="20"/>
      <c r="KFT160" s="21"/>
      <c r="KFU160" s="21"/>
      <c r="KFV160" s="7"/>
      <c r="KFW160" s="7"/>
      <c r="KFX160" s="21"/>
      <c r="KFY160" s="20"/>
      <c r="KFZ160" s="20"/>
      <c r="KGA160" s="20"/>
      <c r="KGB160" s="21"/>
      <c r="KGC160" s="21"/>
      <c r="KGD160" s="21"/>
      <c r="KGE160" s="21"/>
      <c r="KGF160" s="21"/>
      <c r="KGG160" s="20"/>
      <c r="KGH160" s="20"/>
      <c r="KGI160" s="20"/>
      <c r="KGJ160" s="20"/>
      <c r="KGK160" s="21"/>
      <c r="KGL160" s="21"/>
      <c r="KGM160" s="7"/>
      <c r="KGN160" s="7"/>
      <c r="KGO160" s="21"/>
      <c r="KGP160" s="20"/>
      <c r="KGQ160" s="20"/>
      <c r="KGR160" s="20"/>
      <c r="KGS160" s="21"/>
      <c r="KGT160" s="21"/>
      <c r="KGU160" s="21"/>
      <c r="KGV160" s="21"/>
      <c r="KGW160" s="21"/>
      <c r="KGX160" s="20"/>
      <c r="KGY160" s="20"/>
      <c r="KGZ160" s="20"/>
      <c r="KHA160" s="20"/>
      <c r="KHB160" s="21"/>
      <c r="KHC160" s="21"/>
      <c r="KHD160" s="7"/>
      <c r="KHE160" s="7"/>
      <c r="KHF160" s="21"/>
      <c r="KHG160" s="20"/>
      <c r="KHH160" s="20"/>
      <c r="KHI160" s="20"/>
      <c r="KHJ160" s="21"/>
      <c r="KHK160" s="21"/>
      <c r="KHL160" s="21"/>
      <c r="KHM160" s="21"/>
      <c r="KHN160" s="21"/>
      <c r="KHO160" s="20"/>
      <c r="KHP160" s="20"/>
      <c r="KHQ160" s="20"/>
      <c r="KHR160" s="20"/>
      <c r="KHS160" s="21"/>
      <c r="KHT160" s="21"/>
      <c r="KHU160" s="7"/>
      <c r="KHV160" s="7"/>
      <c r="KHW160" s="21"/>
      <c r="KHX160" s="20"/>
      <c r="KHY160" s="20"/>
      <c r="KHZ160" s="20"/>
      <c r="KIA160" s="21"/>
      <c r="KIB160" s="21"/>
      <c r="KIC160" s="21"/>
      <c r="KID160" s="21"/>
      <c r="KIE160" s="21"/>
      <c r="KIF160" s="20"/>
      <c r="KIG160" s="20"/>
      <c r="KIH160" s="20"/>
      <c r="KII160" s="20"/>
      <c r="KIJ160" s="21"/>
      <c r="KIK160" s="21"/>
      <c r="KIL160" s="7"/>
      <c r="KIM160" s="7"/>
      <c r="KIN160" s="21"/>
      <c r="KIO160" s="20"/>
      <c r="KIP160" s="20"/>
      <c r="KIQ160" s="20"/>
      <c r="KIR160" s="21"/>
      <c r="KIS160" s="21"/>
      <c r="KIT160" s="21"/>
      <c r="KIU160" s="21"/>
      <c r="KIV160" s="21"/>
      <c r="KIW160" s="20"/>
      <c r="KIX160" s="20"/>
      <c r="KIY160" s="20"/>
      <c r="KIZ160" s="20"/>
      <c r="KJA160" s="21"/>
      <c r="KJB160" s="21"/>
      <c r="KJC160" s="7"/>
      <c r="KJD160" s="7"/>
      <c r="KJE160" s="21"/>
      <c r="KJF160" s="20"/>
      <c r="KJG160" s="20"/>
      <c r="KJH160" s="20"/>
      <c r="KJI160" s="21"/>
      <c r="KJJ160" s="21"/>
      <c r="KJK160" s="21"/>
      <c r="KJL160" s="21"/>
      <c r="KJM160" s="21"/>
      <c r="KJN160" s="20"/>
      <c r="KJO160" s="20"/>
      <c r="KJP160" s="20"/>
      <c r="KJQ160" s="20"/>
      <c r="KJR160" s="21"/>
      <c r="KJS160" s="21"/>
      <c r="KJT160" s="7"/>
      <c r="KJU160" s="7"/>
      <c r="KJV160" s="21"/>
      <c r="KJW160" s="20"/>
      <c r="KJX160" s="20"/>
      <c r="KJY160" s="20"/>
      <c r="KJZ160" s="21"/>
      <c r="KKA160" s="21"/>
      <c r="KKB160" s="21"/>
      <c r="KKC160" s="21"/>
      <c r="KKD160" s="21"/>
      <c r="KKE160" s="20"/>
      <c r="KKF160" s="20"/>
      <c r="KKG160" s="20"/>
      <c r="KKH160" s="20"/>
      <c r="KKI160" s="21"/>
      <c r="KKJ160" s="21"/>
      <c r="KKK160" s="7"/>
      <c r="KKL160" s="7"/>
      <c r="KKM160" s="21"/>
      <c r="KKN160" s="20"/>
      <c r="KKO160" s="20"/>
      <c r="KKP160" s="20"/>
      <c r="KKQ160" s="21"/>
      <c r="KKR160" s="21"/>
      <c r="KKS160" s="21"/>
      <c r="KKT160" s="21"/>
      <c r="KKU160" s="21"/>
      <c r="KKV160" s="20"/>
      <c r="KKW160" s="20"/>
      <c r="KKX160" s="20"/>
      <c r="KKY160" s="20"/>
      <c r="KKZ160" s="21"/>
      <c r="KLA160" s="21"/>
      <c r="KLB160" s="7"/>
      <c r="KLC160" s="7"/>
      <c r="KLD160" s="21"/>
      <c r="KLE160" s="20"/>
      <c r="KLF160" s="20"/>
      <c r="KLG160" s="20"/>
      <c r="KLH160" s="21"/>
      <c r="KLI160" s="21"/>
      <c r="KLJ160" s="21"/>
      <c r="KLK160" s="21"/>
      <c r="KLL160" s="21"/>
      <c r="KLM160" s="20"/>
      <c r="KLN160" s="20"/>
      <c r="KLO160" s="20"/>
      <c r="KLP160" s="20"/>
      <c r="KLQ160" s="21"/>
      <c r="KLR160" s="21"/>
      <c r="KLS160" s="7"/>
      <c r="KLT160" s="7"/>
      <c r="KLU160" s="21"/>
      <c r="KLV160" s="20"/>
      <c r="KLW160" s="20"/>
      <c r="KLX160" s="20"/>
      <c r="KLY160" s="21"/>
      <c r="KLZ160" s="21"/>
      <c r="KMA160" s="21"/>
      <c r="KMB160" s="21"/>
      <c r="KMC160" s="21"/>
      <c r="KMD160" s="20"/>
      <c r="KME160" s="20"/>
      <c r="KMF160" s="20"/>
      <c r="KMG160" s="20"/>
      <c r="KMH160" s="21"/>
      <c r="KMI160" s="21"/>
      <c r="KMJ160" s="7"/>
      <c r="KMK160" s="7"/>
      <c r="KML160" s="21"/>
      <c r="KMM160" s="20"/>
      <c r="KMN160" s="20"/>
      <c r="KMO160" s="20"/>
      <c r="KMP160" s="21"/>
      <c r="KMQ160" s="21"/>
      <c r="KMR160" s="21"/>
      <c r="KMS160" s="21"/>
      <c r="KMT160" s="21"/>
      <c r="KMU160" s="20"/>
      <c r="KMV160" s="20"/>
      <c r="KMW160" s="20"/>
      <c r="KMX160" s="20"/>
      <c r="KMY160" s="21"/>
      <c r="KMZ160" s="21"/>
      <c r="KNA160" s="7"/>
      <c r="KNB160" s="7"/>
      <c r="KNC160" s="21"/>
      <c r="KND160" s="20"/>
      <c r="KNE160" s="20"/>
      <c r="KNF160" s="20"/>
      <c r="KNG160" s="21"/>
      <c r="KNH160" s="21"/>
      <c r="KNI160" s="21"/>
      <c r="KNJ160" s="21"/>
      <c r="KNK160" s="21"/>
      <c r="KNL160" s="20"/>
      <c r="KNM160" s="20"/>
      <c r="KNN160" s="20"/>
      <c r="KNO160" s="20"/>
      <c r="KNP160" s="21"/>
      <c r="KNQ160" s="21"/>
      <c r="KNR160" s="7"/>
      <c r="KNS160" s="7"/>
      <c r="KNT160" s="21"/>
      <c r="KNU160" s="20"/>
      <c r="KNV160" s="20"/>
      <c r="KNW160" s="20"/>
      <c r="KNX160" s="21"/>
      <c r="KNY160" s="21"/>
      <c r="KNZ160" s="21"/>
      <c r="KOA160" s="21"/>
      <c r="KOB160" s="21"/>
      <c r="KOC160" s="20"/>
      <c r="KOD160" s="20"/>
      <c r="KOE160" s="20"/>
      <c r="KOF160" s="20"/>
      <c r="KOG160" s="21"/>
      <c r="KOH160" s="21"/>
      <c r="KOI160" s="7"/>
      <c r="KOJ160" s="7"/>
      <c r="KOK160" s="21"/>
      <c r="KOL160" s="20"/>
      <c r="KOM160" s="20"/>
      <c r="KON160" s="20"/>
      <c r="KOO160" s="21"/>
      <c r="KOP160" s="21"/>
      <c r="KOQ160" s="21"/>
      <c r="KOR160" s="21"/>
      <c r="KOS160" s="21"/>
      <c r="KOT160" s="20"/>
      <c r="KOU160" s="20"/>
      <c r="KOV160" s="20"/>
      <c r="KOW160" s="20"/>
      <c r="KOX160" s="21"/>
      <c r="KOY160" s="21"/>
      <c r="KOZ160" s="7"/>
      <c r="KPA160" s="7"/>
      <c r="KPB160" s="21"/>
      <c r="KPC160" s="20"/>
      <c r="KPD160" s="20"/>
      <c r="KPE160" s="20"/>
      <c r="KPF160" s="21"/>
      <c r="KPG160" s="21"/>
      <c r="KPH160" s="21"/>
      <c r="KPI160" s="21"/>
      <c r="KPJ160" s="21"/>
      <c r="KPK160" s="20"/>
      <c r="KPL160" s="20"/>
      <c r="KPM160" s="20"/>
      <c r="KPN160" s="20"/>
      <c r="KPO160" s="21"/>
      <c r="KPP160" s="21"/>
      <c r="KPQ160" s="7"/>
      <c r="KPR160" s="7"/>
      <c r="KPS160" s="21"/>
      <c r="KPT160" s="20"/>
      <c r="KPU160" s="20"/>
      <c r="KPV160" s="20"/>
      <c r="KPW160" s="21"/>
      <c r="KPX160" s="21"/>
      <c r="KPY160" s="21"/>
      <c r="KPZ160" s="21"/>
      <c r="KQA160" s="21"/>
      <c r="KQB160" s="20"/>
      <c r="KQC160" s="20"/>
      <c r="KQD160" s="20"/>
      <c r="KQE160" s="20"/>
      <c r="KQF160" s="21"/>
      <c r="KQG160" s="21"/>
      <c r="KQH160" s="7"/>
      <c r="KQI160" s="7"/>
      <c r="KQJ160" s="21"/>
      <c r="KQK160" s="20"/>
      <c r="KQL160" s="20"/>
      <c r="KQM160" s="20"/>
      <c r="KQN160" s="21"/>
      <c r="KQO160" s="21"/>
      <c r="KQP160" s="21"/>
      <c r="KQQ160" s="21"/>
      <c r="KQR160" s="21"/>
      <c r="KQS160" s="20"/>
      <c r="KQT160" s="20"/>
      <c r="KQU160" s="20"/>
      <c r="KQV160" s="20"/>
      <c r="KQW160" s="21"/>
      <c r="KQX160" s="21"/>
      <c r="KQY160" s="7"/>
      <c r="KQZ160" s="7"/>
      <c r="KRA160" s="21"/>
      <c r="KRB160" s="20"/>
      <c r="KRC160" s="20"/>
      <c r="KRD160" s="20"/>
      <c r="KRE160" s="21"/>
      <c r="KRF160" s="21"/>
      <c r="KRG160" s="21"/>
      <c r="KRH160" s="21"/>
      <c r="KRI160" s="21"/>
      <c r="KRJ160" s="20"/>
      <c r="KRK160" s="20"/>
      <c r="KRL160" s="20"/>
      <c r="KRM160" s="20"/>
      <c r="KRN160" s="21"/>
      <c r="KRO160" s="21"/>
      <c r="KRP160" s="7"/>
      <c r="KRQ160" s="7"/>
      <c r="KRR160" s="21"/>
      <c r="KRS160" s="20"/>
      <c r="KRT160" s="20"/>
      <c r="KRU160" s="20"/>
      <c r="KRV160" s="21"/>
      <c r="KRW160" s="21"/>
      <c r="KRX160" s="21"/>
      <c r="KRY160" s="21"/>
      <c r="KRZ160" s="21"/>
      <c r="KSA160" s="20"/>
      <c r="KSB160" s="20"/>
      <c r="KSC160" s="20"/>
      <c r="KSD160" s="20"/>
      <c r="KSE160" s="21"/>
      <c r="KSF160" s="21"/>
      <c r="KSG160" s="7"/>
      <c r="KSH160" s="7"/>
      <c r="KSI160" s="21"/>
      <c r="KSJ160" s="20"/>
      <c r="KSK160" s="20"/>
      <c r="KSL160" s="20"/>
      <c r="KSM160" s="21"/>
      <c r="KSN160" s="21"/>
      <c r="KSO160" s="21"/>
      <c r="KSP160" s="21"/>
      <c r="KSQ160" s="21"/>
      <c r="KSR160" s="20"/>
      <c r="KSS160" s="20"/>
      <c r="KST160" s="20"/>
      <c r="KSU160" s="20"/>
      <c r="KSV160" s="21"/>
      <c r="KSW160" s="21"/>
      <c r="KSX160" s="7"/>
      <c r="KSY160" s="7"/>
      <c r="KSZ160" s="21"/>
      <c r="KTA160" s="20"/>
      <c r="KTB160" s="20"/>
      <c r="KTC160" s="20"/>
      <c r="KTD160" s="21"/>
      <c r="KTE160" s="21"/>
      <c r="KTF160" s="21"/>
      <c r="KTG160" s="21"/>
      <c r="KTH160" s="21"/>
      <c r="KTI160" s="20"/>
      <c r="KTJ160" s="20"/>
      <c r="KTK160" s="20"/>
      <c r="KTL160" s="20"/>
      <c r="KTM160" s="21"/>
      <c r="KTN160" s="21"/>
      <c r="KTO160" s="7"/>
      <c r="KTP160" s="7"/>
      <c r="KTQ160" s="21"/>
      <c r="KTR160" s="20"/>
      <c r="KTS160" s="20"/>
      <c r="KTT160" s="20"/>
      <c r="KTU160" s="21"/>
      <c r="KTV160" s="21"/>
      <c r="KTW160" s="21"/>
      <c r="KTX160" s="21"/>
      <c r="KTY160" s="21"/>
      <c r="KTZ160" s="20"/>
      <c r="KUA160" s="20"/>
      <c r="KUB160" s="20"/>
      <c r="KUC160" s="20"/>
      <c r="KUD160" s="21"/>
      <c r="KUE160" s="21"/>
      <c r="KUF160" s="7"/>
      <c r="KUG160" s="7"/>
      <c r="KUH160" s="21"/>
      <c r="KUI160" s="20"/>
      <c r="KUJ160" s="20"/>
      <c r="KUK160" s="20"/>
      <c r="KUL160" s="21"/>
      <c r="KUM160" s="21"/>
      <c r="KUN160" s="21"/>
      <c r="KUO160" s="21"/>
      <c r="KUP160" s="21"/>
      <c r="KUQ160" s="20"/>
      <c r="KUR160" s="20"/>
      <c r="KUS160" s="20"/>
      <c r="KUT160" s="20"/>
      <c r="KUU160" s="21"/>
      <c r="KUV160" s="21"/>
      <c r="KUW160" s="7"/>
      <c r="KUX160" s="7"/>
      <c r="KUY160" s="21"/>
      <c r="KUZ160" s="20"/>
      <c r="KVA160" s="20"/>
      <c r="KVB160" s="20"/>
      <c r="KVC160" s="21"/>
      <c r="KVD160" s="21"/>
      <c r="KVE160" s="21"/>
      <c r="KVF160" s="21"/>
      <c r="KVG160" s="21"/>
      <c r="KVH160" s="20"/>
      <c r="KVI160" s="20"/>
      <c r="KVJ160" s="20"/>
      <c r="KVK160" s="20"/>
      <c r="KVL160" s="21"/>
      <c r="KVM160" s="21"/>
      <c r="KVN160" s="7"/>
      <c r="KVO160" s="7"/>
      <c r="KVP160" s="21"/>
      <c r="KVQ160" s="20"/>
      <c r="KVR160" s="20"/>
      <c r="KVS160" s="20"/>
      <c r="KVT160" s="21"/>
      <c r="KVU160" s="21"/>
      <c r="KVV160" s="21"/>
      <c r="KVW160" s="21"/>
      <c r="KVX160" s="21"/>
      <c r="KVY160" s="20"/>
      <c r="KVZ160" s="20"/>
      <c r="KWA160" s="20"/>
      <c r="KWB160" s="20"/>
      <c r="KWC160" s="21"/>
      <c r="KWD160" s="21"/>
      <c r="KWE160" s="7"/>
      <c r="KWF160" s="7"/>
      <c r="KWG160" s="21"/>
      <c r="KWH160" s="20"/>
      <c r="KWI160" s="20"/>
      <c r="KWJ160" s="20"/>
      <c r="KWK160" s="21"/>
      <c r="KWL160" s="21"/>
      <c r="KWM160" s="21"/>
      <c r="KWN160" s="21"/>
      <c r="KWO160" s="21"/>
      <c r="KWP160" s="20"/>
      <c r="KWQ160" s="20"/>
      <c r="KWR160" s="20"/>
      <c r="KWS160" s="20"/>
      <c r="KWT160" s="21"/>
      <c r="KWU160" s="21"/>
      <c r="KWV160" s="7"/>
      <c r="KWW160" s="7"/>
      <c r="KWX160" s="21"/>
      <c r="KWY160" s="20"/>
      <c r="KWZ160" s="20"/>
      <c r="KXA160" s="20"/>
      <c r="KXB160" s="21"/>
      <c r="KXC160" s="21"/>
      <c r="KXD160" s="21"/>
      <c r="KXE160" s="21"/>
      <c r="KXF160" s="21"/>
      <c r="KXG160" s="20"/>
      <c r="KXH160" s="20"/>
      <c r="KXI160" s="20"/>
      <c r="KXJ160" s="20"/>
      <c r="KXK160" s="21"/>
      <c r="KXL160" s="21"/>
      <c r="KXM160" s="7"/>
      <c r="KXN160" s="7"/>
      <c r="KXO160" s="21"/>
      <c r="KXP160" s="20"/>
      <c r="KXQ160" s="20"/>
      <c r="KXR160" s="20"/>
      <c r="KXS160" s="21"/>
      <c r="KXT160" s="21"/>
      <c r="KXU160" s="21"/>
      <c r="KXV160" s="21"/>
      <c r="KXW160" s="21"/>
      <c r="KXX160" s="20"/>
      <c r="KXY160" s="20"/>
      <c r="KXZ160" s="20"/>
      <c r="KYA160" s="20"/>
      <c r="KYB160" s="21"/>
      <c r="KYC160" s="21"/>
      <c r="KYD160" s="7"/>
      <c r="KYE160" s="7"/>
      <c r="KYF160" s="21"/>
      <c r="KYG160" s="20"/>
      <c r="KYH160" s="20"/>
      <c r="KYI160" s="20"/>
      <c r="KYJ160" s="21"/>
      <c r="KYK160" s="21"/>
      <c r="KYL160" s="21"/>
      <c r="KYM160" s="21"/>
      <c r="KYN160" s="21"/>
      <c r="KYO160" s="20"/>
      <c r="KYP160" s="20"/>
      <c r="KYQ160" s="20"/>
      <c r="KYR160" s="20"/>
      <c r="KYS160" s="21"/>
      <c r="KYT160" s="21"/>
      <c r="KYU160" s="7"/>
      <c r="KYV160" s="7"/>
      <c r="KYW160" s="21"/>
      <c r="KYX160" s="20"/>
      <c r="KYY160" s="20"/>
      <c r="KYZ160" s="20"/>
      <c r="KZA160" s="21"/>
      <c r="KZB160" s="21"/>
      <c r="KZC160" s="21"/>
      <c r="KZD160" s="21"/>
      <c r="KZE160" s="21"/>
      <c r="KZF160" s="20"/>
      <c r="KZG160" s="20"/>
      <c r="KZH160" s="20"/>
      <c r="KZI160" s="20"/>
      <c r="KZJ160" s="21"/>
      <c r="KZK160" s="21"/>
      <c r="KZL160" s="7"/>
      <c r="KZM160" s="7"/>
      <c r="KZN160" s="21"/>
      <c r="KZO160" s="20"/>
      <c r="KZP160" s="20"/>
      <c r="KZQ160" s="20"/>
      <c r="KZR160" s="21"/>
      <c r="KZS160" s="21"/>
      <c r="KZT160" s="21"/>
      <c r="KZU160" s="21"/>
      <c r="KZV160" s="21"/>
      <c r="KZW160" s="20"/>
      <c r="KZX160" s="20"/>
      <c r="KZY160" s="20"/>
      <c r="KZZ160" s="20"/>
      <c r="LAA160" s="21"/>
      <c r="LAB160" s="21"/>
      <c r="LAC160" s="7"/>
      <c r="LAD160" s="7"/>
      <c r="LAE160" s="21"/>
      <c r="LAF160" s="20"/>
      <c r="LAG160" s="20"/>
      <c r="LAH160" s="20"/>
      <c r="LAI160" s="21"/>
      <c r="LAJ160" s="21"/>
      <c r="LAK160" s="21"/>
      <c r="LAL160" s="21"/>
      <c r="LAM160" s="21"/>
      <c r="LAN160" s="20"/>
      <c r="LAO160" s="20"/>
      <c r="LAP160" s="20"/>
      <c r="LAQ160" s="20"/>
      <c r="LAR160" s="21"/>
      <c r="LAS160" s="21"/>
      <c r="LAT160" s="7"/>
      <c r="LAU160" s="7"/>
      <c r="LAV160" s="21"/>
      <c r="LAW160" s="20"/>
      <c r="LAX160" s="20"/>
      <c r="LAY160" s="20"/>
      <c r="LAZ160" s="21"/>
      <c r="LBA160" s="21"/>
      <c r="LBB160" s="21"/>
      <c r="LBC160" s="21"/>
      <c r="LBD160" s="21"/>
      <c r="LBE160" s="20"/>
      <c r="LBF160" s="20"/>
      <c r="LBG160" s="20"/>
      <c r="LBH160" s="20"/>
      <c r="LBI160" s="21"/>
      <c r="LBJ160" s="21"/>
      <c r="LBK160" s="7"/>
      <c r="LBL160" s="7"/>
      <c r="LBM160" s="21"/>
      <c r="LBN160" s="20"/>
      <c r="LBO160" s="20"/>
      <c r="LBP160" s="20"/>
      <c r="LBQ160" s="21"/>
      <c r="LBR160" s="21"/>
      <c r="LBS160" s="21"/>
      <c r="LBT160" s="21"/>
      <c r="LBU160" s="21"/>
      <c r="LBV160" s="20"/>
      <c r="LBW160" s="20"/>
      <c r="LBX160" s="20"/>
      <c r="LBY160" s="20"/>
      <c r="LBZ160" s="21"/>
      <c r="LCA160" s="21"/>
      <c r="LCB160" s="7"/>
      <c r="LCC160" s="7"/>
      <c r="LCD160" s="21"/>
      <c r="LCE160" s="20"/>
      <c r="LCF160" s="20"/>
      <c r="LCG160" s="20"/>
      <c r="LCH160" s="21"/>
      <c r="LCI160" s="21"/>
      <c r="LCJ160" s="21"/>
      <c r="LCK160" s="21"/>
      <c r="LCL160" s="21"/>
      <c r="LCM160" s="20"/>
      <c r="LCN160" s="20"/>
      <c r="LCO160" s="20"/>
      <c r="LCP160" s="20"/>
      <c r="LCQ160" s="21"/>
      <c r="LCR160" s="21"/>
      <c r="LCS160" s="7"/>
      <c r="LCT160" s="7"/>
      <c r="LCU160" s="21"/>
      <c r="LCV160" s="20"/>
      <c r="LCW160" s="20"/>
      <c r="LCX160" s="20"/>
      <c r="LCY160" s="21"/>
      <c r="LCZ160" s="21"/>
      <c r="LDA160" s="21"/>
      <c r="LDB160" s="21"/>
      <c r="LDC160" s="21"/>
      <c r="LDD160" s="20"/>
      <c r="LDE160" s="20"/>
      <c r="LDF160" s="20"/>
      <c r="LDG160" s="20"/>
      <c r="LDH160" s="21"/>
      <c r="LDI160" s="21"/>
      <c r="LDJ160" s="7"/>
      <c r="LDK160" s="7"/>
      <c r="LDL160" s="21"/>
      <c r="LDM160" s="20"/>
      <c r="LDN160" s="20"/>
      <c r="LDO160" s="20"/>
      <c r="LDP160" s="21"/>
      <c r="LDQ160" s="21"/>
      <c r="LDR160" s="21"/>
      <c r="LDS160" s="21"/>
      <c r="LDT160" s="21"/>
      <c r="LDU160" s="20"/>
      <c r="LDV160" s="20"/>
      <c r="LDW160" s="20"/>
      <c r="LDX160" s="20"/>
      <c r="LDY160" s="21"/>
      <c r="LDZ160" s="21"/>
      <c r="LEA160" s="7"/>
      <c r="LEB160" s="7"/>
      <c r="LEC160" s="21"/>
      <c r="LED160" s="20"/>
      <c r="LEE160" s="20"/>
      <c r="LEF160" s="20"/>
      <c r="LEG160" s="21"/>
      <c r="LEH160" s="21"/>
      <c r="LEI160" s="21"/>
      <c r="LEJ160" s="21"/>
      <c r="LEK160" s="21"/>
      <c r="LEL160" s="20"/>
      <c r="LEM160" s="20"/>
      <c r="LEN160" s="20"/>
      <c r="LEO160" s="20"/>
      <c r="LEP160" s="21"/>
      <c r="LEQ160" s="21"/>
      <c r="LER160" s="7"/>
      <c r="LES160" s="7"/>
      <c r="LET160" s="21"/>
      <c r="LEU160" s="20"/>
      <c r="LEV160" s="20"/>
      <c r="LEW160" s="20"/>
      <c r="LEX160" s="21"/>
      <c r="LEY160" s="21"/>
      <c r="LEZ160" s="21"/>
      <c r="LFA160" s="21"/>
      <c r="LFB160" s="21"/>
      <c r="LFC160" s="20"/>
      <c r="LFD160" s="20"/>
      <c r="LFE160" s="20"/>
      <c r="LFF160" s="20"/>
      <c r="LFG160" s="21"/>
      <c r="LFH160" s="21"/>
      <c r="LFI160" s="7"/>
      <c r="LFJ160" s="7"/>
      <c r="LFK160" s="21"/>
      <c r="LFL160" s="20"/>
      <c r="LFM160" s="20"/>
      <c r="LFN160" s="20"/>
      <c r="LFO160" s="21"/>
      <c r="LFP160" s="21"/>
      <c r="LFQ160" s="21"/>
      <c r="LFR160" s="21"/>
      <c r="LFS160" s="21"/>
      <c r="LFT160" s="20"/>
      <c r="LFU160" s="20"/>
      <c r="LFV160" s="20"/>
      <c r="LFW160" s="20"/>
      <c r="LFX160" s="21"/>
      <c r="LFY160" s="21"/>
      <c r="LFZ160" s="7"/>
      <c r="LGA160" s="7"/>
      <c r="LGB160" s="21"/>
      <c r="LGC160" s="20"/>
      <c r="LGD160" s="20"/>
      <c r="LGE160" s="20"/>
      <c r="LGF160" s="21"/>
      <c r="LGG160" s="21"/>
      <c r="LGH160" s="21"/>
      <c r="LGI160" s="21"/>
      <c r="LGJ160" s="21"/>
      <c r="LGK160" s="20"/>
      <c r="LGL160" s="20"/>
      <c r="LGM160" s="20"/>
      <c r="LGN160" s="20"/>
      <c r="LGO160" s="21"/>
      <c r="LGP160" s="21"/>
      <c r="LGQ160" s="7"/>
      <c r="LGR160" s="7"/>
      <c r="LGS160" s="21"/>
      <c r="LGT160" s="20"/>
      <c r="LGU160" s="20"/>
      <c r="LGV160" s="20"/>
      <c r="LGW160" s="21"/>
      <c r="LGX160" s="21"/>
      <c r="LGY160" s="21"/>
      <c r="LGZ160" s="21"/>
      <c r="LHA160" s="21"/>
      <c r="LHB160" s="20"/>
      <c r="LHC160" s="20"/>
      <c r="LHD160" s="20"/>
      <c r="LHE160" s="20"/>
      <c r="LHF160" s="21"/>
      <c r="LHG160" s="21"/>
      <c r="LHH160" s="7"/>
      <c r="LHI160" s="7"/>
      <c r="LHJ160" s="21"/>
      <c r="LHK160" s="20"/>
      <c r="LHL160" s="20"/>
      <c r="LHM160" s="20"/>
      <c r="LHN160" s="21"/>
      <c r="LHO160" s="21"/>
      <c r="LHP160" s="21"/>
      <c r="LHQ160" s="21"/>
      <c r="LHR160" s="21"/>
      <c r="LHS160" s="20"/>
      <c r="LHT160" s="20"/>
      <c r="LHU160" s="20"/>
      <c r="LHV160" s="20"/>
      <c r="LHW160" s="21"/>
      <c r="LHX160" s="21"/>
      <c r="LHY160" s="7"/>
      <c r="LHZ160" s="7"/>
      <c r="LIA160" s="21"/>
      <c r="LIB160" s="20"/>
      <c r="LIC160" s="20"/>
      <c r="LID160" s="20"/>
      <c r="LIE160" s="21"/>
      <c r="LIF160" s="21"/>
      <c r="LIG160" s="21"/>
      <c r="LIH160" s="21"/>
      <c r="LII160" s="21"/>
      <c r="LIJ160" s="20"/>
      <c r="LIK160" s="20"/>
      <c r="LIL160" s="20"/>
      <c r="LIM160" s="20"/>
      <c r="LIN160" s="21"/>
      <c r="LIO160" s="21"/>
      <c r="LIP160" s="7"/>
      <c r="LIQ160" s="7"/>
      <c r="LIR160" s="21"/>
      <c r="LIS160" s="20"/>
      <c r="LIT160" s="20"/>
      <c r="LIU160" s="20"/>
      <c r="LIV160" s="21"/>
      <c r="LIW160" s="21"/>
      <c r="LIX160" s="21"/>
      <c r="LIY160" s="21"/>
      <c r="LIZ160" s="21"/>
      <c r="LJA160" s="20"/>
      <c r="LJB160" s="20"/>
      <c r="LJC160" s="20"/>
      <c r="LJD160" s="20"/>
      <c r="LJE160" s="21"/>
      <c r="LJF160" s="21"/>
      <c r="LJG160" s="7"/>
      <c r="LJH160" s="7"/>
      <c r="LJI160" s="21"/>
      <c r="LJJ160" s="20"/>
      <c r="LJK160" s="20"/>
      <c r="LJL160" s="20"/>
      <c r="LJM160" s="21"/>
      <c r="LJN160" s="21"/>
      <c r="LJO160" s="21"/>
      <c r="LJP160" s="21"/>
      <c r="LJQ160" s="21"/>
      <c r="LJR160" s="20"/>
      <c r="LJS160" s="20"/>
      <c r="LJT160" s="20"/>
      <c r="LJU160" s="20"/>
      <c r="LJV160" s="21"/>
      <c r="LJW160" s="21"/>
      <c r="LJX160" s="7"/>
      <c r="LJY160" s="7"/>
      <c r="LJZ160" s="21"/>
      <c r="LKA160" s="20"/>
      <c r="LKB160" s="20"/>
      <c r="LKC160" s="20"/>
      <c r="LKD160" s="21"/>
      <c r="LKE160" s="21"/>
      <c r="LKF160" s="21"/>
      <c r="LKG160" s="21"/>
      <c r="LKH160" s="21"/>
      <c r="LKI160" s="20"/>
      <c r="LKJ160" s="20"/>
      <c r="LKK160" s="20"/>
      <c r="LKL160" s="20"/>
      <c r="LKM160" s="21"/>
      <c r="LKN160" s="21"/>
      <c r="LKO160" s="7"/>
      <c r="LKP160" s="7"/>
      <c r="LKQ160" s="21"/>
      <c r="LKR160" s="20"/>
      <c r="LKS160" s="20"/>
      <c r="LKT160" s="20"/>
      <c r="LKU160" s="21"/>
      <c r="LKV160" s="21"/>
      <c r="LKW160" s="21"/>
      <c r="LKX160" s="21"/>
      <c r="LKY160" s="21"/>
      <c r="LKZ160" s="20"/>
      <c r="LLA160" s="20"/>
      <c r="LLB160" s="20"/>
      <c r="LLC160" s="20"/>
      <c r="LLD160" s="21"/>
      <c r="LLE160" s="21"/>
      <c r="LLF160" s="7"/>
      <c r="LLG160" s="7"/>
      <c r="LLH160" s="21"/>
      <c r="LLI160" s="20"/>
      <c r="LLJ160" s="20"/>
      <c r="LLK160" s="20"/>
      <c r="LLL160" s="21"/>
      <c r="LLM160" s="21"/>
      <c r="LLN160" s="21"/>
      <c r="LLO160" s="21"/>
      <c r="LLP160" s="21"/>
      <c r="LLQ160" s="20"/>
      <c r="LLR160" s="20"/>
      <c r="LLS160" s="20"/>
      <c r="LLT160" s="20"/>
      <c r="LLU160" s="21"/>
      <c r="LLV160" s="21"/>
      <c r="LLW160" s="7"/>
      <c r="LLX160" s="7"/>
      <c r="LLY160" s="21"/>
      <c r="LLZ160" s="20"/>
      <c r="LMA160" s="20"/>
      <c r="LMB160" s="20"/>
      <c r="LMC160" s="21"/>
      <c r="LMD160" s="21"/>
      <c r="LME160" s="21"/>
      <c r="LMF160" s="21"/>
      <c r="LMG160" s="21"/>
      <c r="LMH160" s="20"/>
      <c r="LMI160" s="20"/>
      <c r="LMJ160" s="20"/>
      <c r="LMK160" s="20"/>
      <c r="LML160" s="21"/>
      <c r="LMM160" s="21"/>
      <c r="LMN160" s="7"/>
      <c r="LMO160" s="7"/>
      <c r="LMP160" s="21"/>
      <c r="LMQ160" s="20"/>
      <c r="LMR160" s="20"/>
      <c r="LMS160" s="20"/>
      <c r="LMT160" s="21"/>
      <c r="LMU160" s="21"/>
      <c r="LMV160" s="21"/>
      <c r="LMW160" s="21"/>
      <c r="LMX160" s="21"/>
      <c r="LMY160" s="20"/>
      <c r="LMZ160" s="20"/>
      <c r="LNA160" s="20"/>
      <c r="LNB160" s="20"/>
      <c r="LNC160" s="21"/>
      <c r="LND160" s="21"/>
      <c r="LNE160" s="7"/>
      <c r="LNF160" s="7"/>
      <c r="LNG160" s="21"/>
      <c r="LNH160" s="20"/>
      <c r="LNI160" s="20"/>
      <c r="LNJ160" s="20"/>
      <c r="LNK160" s="21"/>
      <c r="LNL160" s="21"/>
      <c r="LNM160" s="21"/>
      <c r="LNN160" s="21"/>
      <c r="LNO160" s="21"/>
      <c r="LNP160" s="20"/>
      <c r="LNQ160" s="20"/>
      <c r="LNR160" s="20"/>
      <c r="LNS160" s="20"/>
      <c r="LNT160" s="21"/>
      <c r="LNU160" s="21"/>
      <c r="LNV160" s="7"/>
      <c r="LNW160" s="7"/>
      <c r="LNX160" s="21"/>
      <c r="LNY160" s="20"/>
      <c r="LNZ160" s="20"/>
      <c r="LOA160" s="20"/>
      <c r="LOB160" s="21"/>
      <c r="LOC160" s="21"/>
      <c r="LOD160" s="21"/>
      <c r="LOE160" s="21"/>
      <c r="LOF160" s="21"/>
      <c r="LOG160" s="20"/>
      <c r="LOH160" s="20"/>
      <c r="LOI160" s="20"/>
      <c r="LOJ160" s="20"/>
      <c r="LOK160" s="21"/>
      <c r="LOL160" s="21"/>
      <c r="LOM160" s="7"/>
      <c r="LON160" s="7"/>
      <c r="LOO160" s="21"/>
      <c r="LOP160" s="20"/>
      <c r="LOQ160" s="20"/>
      <c r="LOR160" s="20"/>
      <c r="LOS160" s="21"/>
      <c r="LOT160" s="21"/>
      <c r="LOU160" s="21"/>
      <c r="LOV160" s="21"/>
      <c r="LOW160" s="21"/>
      <c r="LOX160" s="20"/>
      <c r="LOY160" s="20"/>
      <c r="LOZ160" s="20"/>
      <c r="LPA160" s="20"/>
      <c r="LPB160" s="21"/>
      <c r="LPC160" s="21"/>
      <c r="LPD160" s="7"/>
      <c r="LPE160" s="7"/>
      <c r="LPF160" s="21"/>
      <c r="LPG160" s="20"/>
      <c r="LPH160" s="20"/>
      <c r="LPI160" s="20"/>
      <c r="LPJ160" s="21"/>
      <c r="LPK160" s="21"/>
      <c r="LPL160" s="21"/>
      <c r="LPM160" s="21"/>
      <c r="LPN160" s="21"/>
      <c r="LPO160" s="20"/>
      <c r="LPP160" s="20"/>
      <c r="LPQ160" s="20"/>
      <c r="LPR160" s="20"/>
      <c r="LPS160" s="21"/>
      <c r="LPT160" s="21"/>
      <c r="LPU160" s="7"/>
      <c r="LPV160" s="7"/>
      <c r="LPW160" s="21"/>
      <c r="LPX160" s="20"/>
      <c r="LPY160" s="20"/>
      <c r="LPZ160" s="20"/>
      <c r="LQA160" s="21"/>
      <c r="LQB160" s="21"/>
      <c r="LQC160" s="21"/>
      <c r="LQD160" s="21"/>
      <c r="LQE160" s="21"/>
      <c r="LQF160" s="20"/>
      <c r="LQG160" s="20"/>
      <c r="LQH160" s="20"/>
      <c r="LQI160" s="20"/>
      <c r="LQJ160" s="21"/>
      <c r="LQK160" s="21"/>
      <c r="LQL160" s="7"/>
      <c r="LQM160" s="7"/>
      <c r="LQN160" s="21"/>
      <c r="LQO160" s="20"/>
      <c r="LQP160" s="20"/>
      <c r="LQQ160" s="20"/>
      <c r="LQR160" s="21"/>
      <c r="LQS160" s="21"/>
      <c r="LQT160" s="21"/>
      <c r="LQU160" s="21"/>
      <c r="LQV160" s="21"/>
      <c r="LQW160" s="20"/>
      <c r="LQX160" s="20"/>
      <c r="LQY160" s="20"/>
      <c r="LQZ160" s="20"/>
      <c r="LRA160" s="21"/>
      <c r="LRB160" s="21"/>
      <c r="LRC160" s="7"/>
      <c r="LRD160" s="7"/>
      <c r="LRE160" s="21"/>
      <c r="LRF160" s="20"/>
      <c r="LRG160" s="20"/>
      <c r="LRH160" s="20"/>
      <c r="LRI160" s="21"/>
      <c r="LRJ160" s="21"/>
      <c r="LRK160" s="21"/>
      <c r="LRL160" s="21"/>
      <c r="LRM160" s="21"/>
      <c r="LRN160" s="20"/>
      <c r="LRO160" s="20"/>
      <c r="LRP160" s="20"/>
      <c r="LRQ160" s="20"/>
      <c r="LRR160" s="21"/>
      <c r="LRS160" s="21"/>
      <c r="LRT160" s="7"/>
      <c r="LRU160" s="7"/>
      <c r="LRV160" s="21"/>
      <c r="LRW160" s="20"/>
      <c r="LRX160" s="20"/>
      <c r="LRY160" s="20"/>
      <c r="LRZ160" s="21"/>
      <c r="LSA160" s="21"/>
      <c r="LSB160" s="21"/>
      <c r="LSC160" s="21"/>
      <c r="LSD160" s="21"/>
      <c r="LSE160" s="20"/>
      <c r="LSF160" s="20"/>
      <c r="LSG160" s="20"/>
      <c r="LSH160" s="20"/>
      <c r="LSI160" s="21"/>
      <c r="LSJ160" s="21"/>
      <c r="LSK160" s="7"/>
      <c r="LSL160" s="7"/>
      <c r="LSM160" s="21"/>
      <c r="LSN160" s="20"/>
      <c r="LSO160" s="20"/>
      <c r="LSP160" s="20"/>
      <c r="LSQ160" s="21"/>
      <c r="LSR160" s="21"/>
      <c r="LSS160" s="21"/>
      <c r="LST160" s="21"/>
      <c r="LSU160" s="21"/>
      <c r="LSV160" s="20"/>
      <c r="LSW160" s="20"/>
      <c r="LSX160" s="20"/>
      <c r="LSY160" s="20"/>
      <c r="LSZ160" s="21"/>
      <c r="LTA160" s="21"/>
      <c r="LTB160" s="7"/>
      <c r="LTC160" s="7"/>
      <c r="LTD160" s="21"/>
      <c r="LTE160" s="20"/>
      <c r="LTF160" s="20"/>
      <c r="LTG160" s="20"/>
      <c r="LTH160" s="21"/>
      <c r="LTI160" s="21"/>
      <c r="LTJ160" s="21"/>
      <c r="LTK160" s="21"/>
      <c r="LTL160" s="21"/>
      <c r="LTM160" s="20"/>
      <c r="LTN160" s="20"/>
      <c r="LTO160" s="20"/>
      <c r="LTP160" s="20"/>
      <c r="LTQ160" s="21"/>
      <c r="LTR160" s="21"/>
      <c r="LTS160" s="7"/>
      <c r="LTT160" s="7"/>
      <c r="LTU160" s="21"/>
      <c r="LTV160" s="20"/>
      <c r="LTW160" s="20"/>
      <c r="LTX160" s="20"/>
      <c r="LTY160" s="21"/>
      <c r="LTZ160" s="21"/>
      <c r="LUA160" s="21"/>
      <c r="LUB160" s="21"/>
      <c r="LUC160" s="21"/>
      <c r="LUD160" s="20"/>
      <c r="LUE160" s="20"/>
      <c r="LUF160" s="20"/>
      <c r="LUG160" s="20"/>
      <c r="LUH160" s="21"/>
      <c r="LUI160" s="21"/>
      <c r="LUJ160" s="7"/>
      <c r="LUK160" s="7"/>
      <c r="LUL160" s="21"/>
      <c r="LUM160" s="20"/>
      <c r="LUN160" s="20"/>
      <c r="LUO160" s="20"/>
      <c r="LUP160" s="21"/>
      <c r="LUQ160" s="21"/>
      <c r="LUR160" s="21"/>
      <c r="LUS160" s="21"/>
      <c r="LUT160" s="21"/>
      <c r="LUU160" s="20"/>
      <c r="LUV160" s="20"/>
      <c r="LUW160" s="20"/>
      <c r="LUX160" s="20"/>
      <c r="LUY160" s="21"/>
      <c r="LUZ160" s="21"/>
      <c r="LVA160" s="7"/>
      <c r="LVB160" s="7"/>
      <c r="LVC160" s="21"/>
      <c r="LVD160" s="20"/>
      <c r="LVE160" s="20"/>
      <c r="LVF160" s="20"/>
      <c r="LVG160" s="21"/>
      <c r="LVH160" s="21"/>
      <c r="LVI160" s="21"/>
      <c r="LVJ160" s="21"/>
      <c r="LVK160" s="21"/>
      <c r="LVL160" s="20"/>
      <c r="LVM160" s="20"/>
      <c r="LVN160" s="20"/>
      <c r="LVO160" s="20"/>
      <c r="LVP160" s="21"/>
      <c r="LVQ160" s="21"/>
      <c r="LVR160" s="7"/>
      <c r="LVS160" s="7"/>
      <c r="LVT160" s="21"/>
      <c r="LVU160" s="20"/>
      <c r="LVV160" s="20"/>
      <c r="LVW160" s="20"/>
      <c r="LVX160" s="21"/>
      <c r="LVY160" s="21"/>
      <c r="LVZ160" s="21"/>
      <c r="LWA160" s="21"/>
      <c r="LWB160" s="21"/>
      <c r="LWC160" s="20"/>
      <c r="LWD160" s="20"/>
      <c r="LWE160" s="20"/>
      <c r="LWF160" s="20"/>
      <c r="LWG160" s="21"/>
      <c r="LWH160" s="21"/>
      <c r="LWI160" s="7"/>
      <c r="LWJ160" s="7"/>
      <c r="LWK160" s="21"/>
      <c r="LWL160" s="20"/>
      <c r="LWM160" s="20"/>
      <c r="LWN160" s="20"/>
      <c r="LWO160" s="21"/>
      <c r="LWP160" s="21"/>
      <c r="LWQ160" s="21"/>
      <c r="LWR160" s="21"/>
      <c r="LWS160" s="21"/>
      <c r="LWT160" s="20"/>
      <c r="LWU160" s="20"/>
      <c r="LWV160" s="20"/>
      <c r="LWW160" s="20"/>
      <c r="LWX160" s="21"/>
      <c r="LWY160" s="21"/>
      <c r="LWZ160" s="7"/>
      <c r="LXA160" s="7"/>
      <c r="LXB160" s="21"/>
      <c r="LXC160" s="20"/>
      <c r="LXD160" s="20"/>
      <c r="LXE160" s="20"/>
      <c r="LXF160" s="21"/>
      <c r="LXG160" s="21"/>
      <c r="LXH160" s="21"/>
      <c r="LXI160" s="21"/>
      <c r="LXJ160" s="21"/>
      <c r="LXK160" s="20"/>
      <c r="LXL160" s="20"/>
      <c r="LXM160" s="20"/>
      <c r="LXN160" s="20"/>
      <c r="LXO160" s="21"/>
      <c r="LXP160" s="21"/>
      <c r="LXQ160" s="7"/>
      <c r="LXR160" s="7"/>
      <c r="LXS160" s="21"/>
      <c r="LXT160" s="20"/>
      <c r="LXU160" s="20"/>
      <c r="LXV160" s="20"/>
      <c r="LXW160" s="21"/>
      <c r="LXX160" s="21"/>
      <c r="LXY160" s="21"/>
      <c r="LXZ160" s="21"/>
      <c r="LYA160" s="21"/>
      <c r="LYB160" s="20"/>
      <c r="LYC160" s="20"/>
      <c r="LYD160" s="20"/>
      <c r="LYE160" s="20"/>
      <c r="LYF160" s="21"/>
      <c r="LYG160" s="21"/>
      <c r="LYH160" s="7"/>
      <c r="LYI160" s="7"/>
      <c r="LYJ160" s="21"/>
      <c r="LYK160" s="20"/>
      <c r="LYL160" s="20"/>
      <c r="LYM160" s="20"/>
      <c r="LYN160" s="21"/>
      <c r="LYO160" s="21"/>
      <c r="LYP160" s="21"/>
      <c r="LYQ160" s="21"/>
      <c r="LYR160" s="21"/>
      <c r="LYS160" s="20"/>
      <c r="LYT160" s="20"/>
      <c r="LYU160" s="20"/>
      <c r="LYV160" s="20"/>
      <c r="LYW160" s="21"/>
      <c r="LYX160" s="21"/>
      <c r="LYY160" s="7"/>
      <c r="LYZ160" s="7"/>
      <c r="LZA160" s="21"/>
      <c r="LZB160" s="20"/>
      <c r="LZC160" s="20"/>
      <c r="LZD160" s="20"/>
      <c r="LZE160" s="21"/>
      <c r="LZF160" s="21"/>
      <c r="LZG160" s="21"/>
      <c r="LZH160" s="21"/>
      <c r="LZI160" s="21"/>
      <c r="LZJ160" s="20"/>
      <c r="LZK160" s="20"/>
      <c r="LZL160" s="20"/>
      <c r="LZM160" s="20"/>
      <c r="LZN160" s="21"/>
      <c r="LZO160" s="21"/>
      <c r="LZP160" s="7"/>
      <c r="LZQ160" s="7"/>
      <c r="LZR160" s="21"/>
      <c r="LZS160" s="20"/>
      <c r="LZT160" s="20"/>
      <c r="LZU160" s="20"/>
      <c r="LZV160" s="21"/>
      <c r="LZW160" s="21"/>
      <c r="LZX160" s="21"/>
      <c r="LZY160" s="21"/>
      <c r="LZZ160" s="21"/>
      <c r="MAA160" s="20"/>
      <c r="MAB160" s="20"/>
      <c r="MAC160" s="20"/>
      <c r="MAD160" s="20"/>
      <c r="MAE160" s="21"/>
      <c r="MAF160" s="21"/>
      <c r="MAG160" s="7"/>
      <c r="MAH160" s="7"/>
      <c r="MAI160" s="21"/>
      <c r="MAJ160" s="20"/>
      <c r="MAK160" s="20"/>
      <c r="MAL160" s="20"/>
      <c r="MAM160" s="21"/>
      <c r="MAN160" s="21"/>
      <c r="MAO160" s="21"/>
      <c r="MAP160" s="21"/>
      <c r="MAQ160" s="21"/>
      <c r="MAR160" s="20"/>
      <c r="MAS160" s="20"/>
      <c r="MAT160" s="20"/>
      <c r="MAU160" s="20"/>
      <c r="MAV160" s="21"/>
      <c r="MAW160" s="21"/>
      <c r="MAX160" s="7"/>
      <c r="MAY160" s="7"/>
      <c r="MAZ160" s="21"/>
      <c r="MBA160" s="20"/>
      <c r="MBB160" s="20"/>
      <c r="MBC160" s="20"/>
      <c r="MBD160" s="21"/>
      <c r="MBE160" s="21"/>
      <c r="MBF160" s="21"/>
      <c r="MBG160" s="21"/>
      <c r="MBH160" s="21"/>
      <c r="MBI160" s="20"/>
      <c r="MBJ160" s="20"/>
      <c r="MBK160" s="20"/>
      <c r="MBL160" s="20"/>
      <c r="MBM160" s="21"/>
      <c r="MBN160" s="21"/>
      <c r="MBO160" s="7"/>
      <c r="MBP160" s="7"/>
      <c r="MBQ160" s="21"/>
      <c r="MBR160" s="20"/>
      <c r="MBS160" s="20"/>
      <c r="MBT160" s="20"/>
      <c r="MBU160" s="21"/>
      <c r="MBV160" s="21"/>
      <c r="MBW160" s="21"/>
      <c r="MBX160" s="21"/>
      <c r="MBY160" s="21"/>
      <c r="MBZ160" s="20"/>
      <c r="MCA160" s="20"/>
      <c r="MCB160" s="20"/>
      <c r="MCC160" s="20"/>
      <c r="MCD160" s="21"/>
      <c r="MCE160" s="21"/>
      <c r="MCF160" s="7"/>
      <c r="MCG160" s="7"/>
      <c r="MCH160" s="21"/>
      <c r="MCI160" s="20"/>
      <c r="MCJ160" s="20"/>
      <c r="MCK160" s="20"/>
      <c r="MCL160" s="21"/>
      <c r="MCM160" s="21"/>
      <c r="MCN160" s="21"/>
      <c r="MCO160" s="21"/>
      <c r="MCP160" s="21"/>
      <c r="MCQ160" s="20"/>
      <c r="MCR160" s="20"/>
      <c r="MCS160" s="20"/>
      <c r="MCT160" s="20"/>
      <c r="MCU160" s="21"/>
      <c r="MCV160" s="21"/>
      <c r="MCW160" s="7"/>
      <c r="MCX160" s="7"/>
      <c r="MCY160" s="21"/>
      <c r="MCZ160" s="20"/>
      <c r="MDA160" s="20"/>
      <c r="MDB160" s="20"/>
      <c r="MDC160" s="21"/>
      <c r="MDD160" s="21"/>
      <c r="MDE160" s="21"/>
      <c r="MDF160" s="21"/>
      <c r="MDG160" s="21"/>
      <c r="MDH160" s="20"/>
      <c r="MDI160" s="20"/>
      <c r="MDJ160" s="20"/>
      <c r="MDK160" s="20"/>
      <c r="MDL160" s="21"/>
      <c r="MDM160" s="21"/>
      <c r="MDN160" s="7"/>
      <c r="MDO160" s="7"/>
      <c r="MDP160" s="21"/>
      <c r="MDQ160" s="20"/>
      <c r="MDR160" s="20"/>
      <c r="MDS160" s="20"/>
      <c r="MDT160" s="21"/>
      <c r="MDU160" s="21"/>
      <c r="MDV160" s="21"/>
      <c r="MDW160" s="21"/>
      <c r="MDX160" s="21"/>
      <c r="MDY160" s="20"/>
      <c r="MDZ160" s="20"/>
      <c r="MEA160" s="20"/>
      <c r="MEB160" s="20"/>
      <c r="MEC160" s="21"/>
      <c r="MED160" s="21"/>
      <c r="MEE160" s="7"/>
      <c r="MEF160" s="7"/>
      <c r="MEG160" s="21"/>
      <c r="MEH160" s="20"/>
      <c r="MEI160" s="20"/>
      <c r="MEJ160" s="20"/>
      <c r="MEK160" s="21"/>
      <c r="MEL160" s="21"/>
      <c r="MEM160" s="21"/>
      <c r="MEN160" s="21"/>
      <c r="MEO160" s="21"/>
      <c r="MEP160" s="20"/>
      <c r="MEQ160" s="20"/>
      <c r="MER160" s="20"/>
      <c r="MES160" s="20"/>
      <c r="MET160" s="21"/>
      <c r="MEU160" s="21"/>
      <c r="MEV160" s="7"/>
      <c r="MEW160" s="7"/>
      <c r="MEX160" s="21"/>
      <c r="MEY160" s="20"/>
      <c r="MEZ160" s="20"/>
      <c r="MFA160" s="20"/>
      <c r="MFB160" s="21"/>
      <c r="MFC160" s="21"/>
      <c r="MFD160" s="21"/>
      <c r="MFE160" s="21"/>
      <c r="MFF160" s="21"/>
      <c r="MFG160" s="20"/>
      <c r="MFH160" s="20"/>
      <c r="MFI160" s="20"/>
      <c r="MFJ160" s="20"/>
      <c r="MFK160" s="21"/>
      <c r="MFL160" s="21"/>
      <c r="MFM160" s="7"/>
      <c r="MFN160" s="7"/>
      <c r="MFO160" s="21"/>
      <c r="MFP160" s="20"/>
      <c r="MFQ160" s="20"/>
      <c r="MFR160" s="20"/>
      <c r="MFS160" s="21"/>
      <c r="MFT160" s="21"/>
      <c r="MFU160" s="21"/>
      <c r="MFV160" s="21"/>
      <c r="MFW160" s="21"/>
      <c r="MFX160" s="20"/>
      <c r="MFY160" s="20"/>
      <c r="MFZ160" s="20"/>
      <c r="MGA160" s="20"/>
      <c r="MGB160" s="21"/>
      <c r="MGC160" s="21"/>
      <c r="MGD160" s="7"/>
      <c r="MGE160" s="7"/>
      <c r="MGF160" s="21"/>
      <c r="MGG160" s="20"/>
      <c r="MGH160" s="20"/>
      <c r="MGI160" s="20"/>
      <c r="MGJ160" s="21"/>
      <c r="MGK160" s="21"/>
      <c r="MGL160" s="21"/>
      <c r="MGM160" s="21"/>
      <c r="MGN160" s="21"/>
      <c r="MGO160" s="20"/>
      <c r="MGP160" s="20"/>
      <c r="MGQ160" s="20"/>
      <c r="MGR160" s="20"/>
      <c r="MGS160" s="21"/>
      <c r="MGT160" s="21"/>
      <c r="MGU160" s="7"/>
      <c r="MGV160" s="7"/>
      <c r="MGW160" s="21"/>
      <c r="MGX160" s="20"/>
      <c r="MGY160" s="20"/>
      <c r="MGZ160" s="20"/>
      <c r="MHA160" s="21"/>
      <c r="MHB160" s="21"/>
      <c r="MHC160" s="21"/>
      <c r="MHD160" s="21"/>
      <c r="MHE160" s="21"/>
      <c r="MHF160" s="20"/>
      <c r="MHG160" s="20"/>
      <c r="MHH160" s="20"/>
      <c r="MHI160" s="20"/>
      <c r="MHJ160" s="21"/>
      <c r="MHK160" s="21"/>
      <c r="MHL160" s="7"/>
      <c r="MHM160" s="7"/>
      <c r="MHN160" s="21"/>
      <c r="MHO160" s="20"/>
      <c r="MHP160" s="20"/>
      <c r="MHQ160" s="20"/>
      <c r="MHR160" s="21"/>
      <c r="MHS160" s="21"/>
      <c r="MHT160" s="21"/>
      <c r="MHU160" s="21"/>
      <c r="MHV160" s="21"/>
      <c r="MHW160" s="20"/>
      <c r="MHX160" s="20"/>
      <c r="MHY160" s="20"/>
      <c r="MHZ160" s="20"/>
      <c r="MIA160" s="21"/>
      <c r="MIB160" s="21"/>
      <c r="MIC160" s="7"/>
      <c r="MID160" s="7"/>
      <c r="MIE160" s="21"/>
      <c r="MIF160" s="20"/>
      <c r="MIG160" s="20"/>
      <c r="MIH160" s="20"/>
      <c r="MII160" s="21"/>
      <c r="MIJ160" s="21"/>
      <c r="MIK160" s="21"/>
      <c r="MIL160" s="21"/>
      <c r="MIM160" s="21"/>
      <c r="MIN160" s="20"/>
      <c r="MIO160" s="20"/>
      <c r="MIP160" s="20"/>
      <c r="MIQ160" s="20"/>
      <c r="MIR160" s="21"/>
      <c r="MIS160" s="21"/>
      <c r="MIT160" s="7"/>
      <c r="MIU160" s="7"/>
      <c r="MIV160" s="21"/>
      <c r="MIW160" s="20"/>
      <c r="MIX160" s="20"/>
      <c r="MIY160" s="20"/>
      <c r="MIZ160" s="21"/>
      <c r="MJA160" s="21"/>
      <c r="MJB160" s="21"/>
      <c r="MJC160" s="21"/>
      <c r="MJD160" s="21"/>
      <c r="MJE160" s="20"/>
      <c r="MJF160" s="20"/>
      <c r="MJG160" s="20"/>
      <c r="MJH160" s="20"/>
      <c r="MJI160" s="21"/>
      <c r="MJJ160" s="21"/>
      <c r="MJK160" s="7"/>
      <c r="MJL160" s="7"/>
      <c r="MJM160" s="21"/>
      <c r="MJN160" s="20"/>
      <c r="MJO160" s="20"/>
      <c r="MJP160" s="20"/>
      <c r="MJQ160" s="21"/>
      <c r="MJR160" s="21"/>
      <c r="MJS160" s="21"/>
      <c r="MJT160" s="21"/>
      <c r="MJU160" s="21"/>
      <c r="MJV160" s="20"/>
      <c r="MJW160" s="20"/>
      <c r="MJX160" s="20"/>
      <c r="MJY160" s="20"/>
      <c r="MJZ160" s="21"/>
      <c r="MKA160" s="21"/>
      <c r="MKB160" s="7"/>
      <c r="MKC160" s="7"/>
      <c r="MKD160" s="21"/>
      <c r="MKE160" s="20"/>
      <c r="MKF160" s="20"/>
      <c r="MKG160" s="20"/>
      <c r="MKH160" s="21"/>
      <c r="MKI160" s="21"/>
      <c r="MKJ160" s="21"/>
      <c r="MKK160" s="21"/>
      <c r="MKL160" s="21"/>
      <c r="MKM160" s="20"/>
      <c r="MKN160" s="20"/>
      <c r="MKO160" s="20"/>
      <c r="MKP160" s="20"/>
      <c r="MKQ160" s="21"/>
      <c r="MKR160" s="21"/>
      <c r="MKS160" s="7"/>
      <c r="MKT160" s="7"/>
      <c r="MKU160" s="21"/>
      <c r="MKV160" s="20"/>
      <c r="MKW160" s="20"/>
      <c r="MKX160" s="20"/>
      <c r="MKY160" s="21"/>
      <c r="MKZ160" s="21"/>
      <c r="MLA160" s="21"/>
      <c r="MLB160" s="21"/>
      <c r="MLC160" s="21"/>
      <c r="MLD160" s="20"/>
      <c r="MLE160" s="20"/>
      <c r="MLF160" s="20"/>
      <c r="MLG160" s="20"/>
      <c r="MLH160" s="21"/>
      <c r="MLI160" s="21"/>
      <c r="MLJ160" s="7"/>
      <c r="MLK160" s="7"/>
      <c r="MLL160" s="21"/>
      <c r="MLM160" s="20"/>
      <c r="MLN160" s="20"/>
      <c r="MLO160" s="20"/>
      <c r="MLP160" s="21"/>
      <c r="MLQ160" s="21"/>
      <c r="MLR160" s="21"/>
      <c r="MLS160" s="21"/>
      <c r="MLT160" s="21"/>
      <c r="MLU160" s="20"/>
      <c r="MLV160" s="20"/>
      <c r="MLW160" s="20"/>
      <c r="MLX160" s="20"/>
      <c r="MLY160" s="21"/>
      <c r="MLZ160" s="21"/>
      <c r="MMA160" s="7"/>
      <c r="MMB160" s="7"/>
      <c r="MMC160" s="21"/>
      <c r="MMD160" s="20"/>
      <c r="MME160" s="20"/>
      <c r="MMF160" s="20"/>
      <c r="MMG160" s="21"/>
      <c r="MMH160" s="21"/>
      <c r="MMI160" s="21"/>
      <c r="MMJ160" s="21"/>
      <c r="MMK160" s="21"/>
      <c r="MML160" s="20"/>
      <c r="MMM160" s="20"/>
      <c r="MMN160" s="20"/>
      <c r="MMO160" s="20"/>
      <c r="MMP160" s="21"/>
      <c r="MMQ160" s="21"/>
      <c r="MMR160" s="7"/>
      <c r="MMS160" s="7"/>
      <c r="MMT160" s="21"/>
      <c r="MMU160" s="20"/>
      <c r="MMV160" s="20"/>
      <c r="MMW160" s="20"/>
      <c r="MMX160" s="21"/>
      <c r="MMY160" s="21"/>
      <c r="MMZ160" s="21"/>
      <c r="MNA160" s="21"/>
      <c r="MNB160" s="21"/>
      <c r="MNC160" s="20"/>
      <c r="MND160" s="20"/>
      <c r="MNE160" s="20"/>
      <c r="MNF160" s="20"/>
      <c r="MNG160" s="21"/>
      <c r="MNH160" s="21"/>
      <c r="MNI160" s="7"/>
      <c r="MNJ160" s="7"/>
      <c r="MNK160" s="21"/>
      <c r="MNL160" s="20"/>
      <c r="MNM160" s="20"/>
      <c r="MNN160" s="20"/>
      <c r="MNO160" s="21"/>
      <c r="MNP160" s="21"/>
      <c r="MNQ160" s="21"/>
      <c r="MNR160" s="21"/>
      <c r="MNS160" s="21"/>
      <c r="MNT160" s="20"/>
      <c r="MNU160" s="20"/>
      <c r="MNV160" s="20"/>
      <c r="MNW160" s="20"/>
      <c r="MNX160" s="21"/>
      <c r="MNY160" s="21"/>
      <c r="MNZ160" s="7"/>
      <c r="MOA160" s="7"/>
      <c r="MOB160" s="21"/>
      <c r="MOC160" s="20"/>
      <c r="MOD160" s="20"/>
      <c r="MOE160" s="20"/>
      <c r="MOF160" s="21"/>
      <c r="MOG160" s="21"/>
      <c r="MOH160" s="21"/>
      <c r="MOI160" s="21"/>
      <c r="MOJ160" s="21"/>
      <c r="MOK160" s="20"/>
      <c r="MOL160" s="20"/>
      <c r="MOM160" s="20"/>
      <c r="MON160" s="20"/>
      <c r="MOO160" s="21"/>
      <c r="MOP160" s="21"/>
      <c r="MOQ160" s="7"/>
      <c r="MOR160" s="7"/>
      <c r="MOS160" s="21"/>
      <c r="MOT160" s="20"/>
      <c r="MOU160" s="20"/>
      <c r="MOV160" s="20"/>
      <c r="MOW160" s="21"/>
      <c r="MOX160" s="21"/>
      <c r="MOY160" s="21"/>
      <c r="MOZ160" s="21"/>
      <c r="MPA160" s="21"/>
      <c r="MPB160" s="20"/>
      <c r="MPC160" s="20"/>
      <c r="MPD160" s="20"/>
      <c r="MPE160" s="20"/>
      <c r="MPF160" s="21"/>
      <c r="MPG160" s="21"/>
      <c r="MPH160" s="7"/>
      <c r="MPI160" s="7"/>
      <c r="MPJ160" s="21"/>
      <c r="MPK160" s="20"/>
      <c r="MPL160" s="20"/>
      <c r="MPM160" s="20"/>
      <c r="MPN160" s="21"/>
      <c r="MPO160" s="21"/>
      <c r="MPP160" s="21"/>
      <c r="MPQ160" s="21"/>
      <c r="MPR160" s="21"/>
      <c r="MPS160" s="20"/>
      <c r="MPT160" s="20"/>
      <c r="MPU160" s="20"/>
      <c r="MPV160" s="20"/>
      <c r="MPW160" s="21"/>
      <c r="MPX160" s="21"/>
      <c r="MPY160" s="7"/>
      <c r="MPZ160" s="7"/>
      <c r="MQA160" s="21"/>
      <c r="MQB160" s="20"/>
      <c r="MQC160" s="20"/>
      <c r="MQD160" s="20"/>
      <c r="MQE160" s="21"/>
      <c r="MQF160" s="21"/>
      <c r="MQG160" s="21"/>
      <c r="MQH160" s="21"/>
      <c r="MQI160" s="21"/>
      <c r="MQJ160" s="20"/>
      <c r="MQK160" s="20"/>
      <c r="MQL160" s="20"/>
      <c r="MQM160" s="20"/>
      <c r="MQN160" s="21"/>
      <c r="MQO160" s="21"/>
      <c r="MQP160" s="7"/>
      <c r="MQQ160" s="7"/>
      <c r="MQR160" s="21"/>
      <c r="MQS160" s="20"/>
      <c r="MQT160" s="20"/>
      <c r="MQU160" s="20"/>
      <c r="MQV160" s="21"/>
      <c r="MQW160" s="21"/>
      <c r="MQX160" s="21"/>
      <c r="MQY160" s="21"/>
      <c r="MQZ160" s="21"/>
      <c r="MRA160" s="20"/>
      <c r="MRB160" s="20"/>
      <c r="MRC160" s="20"/>
      <c r="MRD160" s="20"/>
      <c r="MRE160" s="21"/>
      <c r="MRF160" s="21"/>
      <c r="MRG160" s="7"/>
      <c r="MRH160" s="7"/>
      <c r="MRI160" s="21"/>
      <c r="MRJ160" s="20"/>
      <c r="MRK160" s="20"/>
      <c r="MRL160" s="20"/>
      <c r="MRM160" s="21"/>
      <c r="MRN160" s="21"/>
      <c r="MRO160" s="21"/>
      <c r="MRP160" s="21"/>
      <c r="MRQ160" s="21"/>
      <c r="MRR160" s="20"/>
      <c r="MRS160" s="20"/>
      <c r="MRT160" s="20"/>
      <c r="MRU160" s="20"/>
      <c r="MRV160" s="21"/>
      <c r="MRW160" s="21"/>
      <c r="MRX160" s="7"/>
      <c r="MRY160" s="7"/>
      <c r="MRZ160" s="21"/>
      <c r="MSA160" s="20"/>
      <c r="MSB160" s="20"/>
      <c r="MSC160" s="20"/>
      <c r="MSD160" s="21"/>
      <c r="MSE160" s="21"/>
      <c r="MSF160" s="21"/>
      <c r="MSG160" s="21"/>
      <c r="MSH160" s="21"/>
      <c r="MSI160" s="20"/>
      <c r="MSJ160" s="20"/>
      <c r="MSK160" s="20"/>
      <c r="MSL160" s="20"/>
      <c r="MSM160" s="21"/>
      <c r="MSN160" s="21"/>
      <c r="MSO160" s="7"/>
      <c r="MSP160" s="7"/>
      <c r="MSQ160" s="21"/>
      <c r="MSR160" s="20"/>
      <c r="MSS160" s="20"/>
      <c r="MST160" s="20"/>
      <c r="MSU160" s="21"/>
      <c r="MSV160" s="21"/>
      <c r="MSW160" s="21"/>
      <c r="MSX160" s="21"/>
      <c r="MSY160" s="21"/>
      <c r="MSZ160" s="20"/>
      <c r="MTA160" s="20"/>
      <c r="MTB160" s="20"/>
      <c r="MTC160" s="20"/>
      <c r="MTD160" s="21"/>
      <c r="MTE160" s="21"/>
      <c r="MTF160" s="7"/>
      <c r="MTG160" s="7"/>
      <c r="MTH160" s="21"/>
      <c r="MTI160" s="20"/>
      <c r="MTJ160" s="20"/>
      <c r="MTK160" s="20"/>
      <c r="MTL160" s="21"/>
      <c r="MTM160" s="21"/>
      <c r="MTN160" s="21"/>
      <c r="MTO160" s="21"/>
      <c r="MTP160" s="21"/>
      <c r="MTQ160" s="20"/>
      <c r="MTR160" s="20"/>
      <c r="MTS160" s="20"/>
      <c r="MTT160" s="20"/>
      <c r="MTU160" s="21"/>
      <c r="MTV160" s="21"/>
      <c r="MTW160" s="7"/>
      <c r="MTX160" s="7"/>
      <c r="MTY160" s="21"/>
      <c r="MTZ160" s="20"/>
      <c r="MUA160" s="20"/>
      <c r="MUB160" s="20"/>
      <c r="MUC160" s="21"/>
      <c r="MUD160" s="21"/>
      <c r="MUE160" s="21"/>
      <c r="MUF160" s="21"/>
      <c r="MUG160" s="21"/>
      <c r="MUH160" s="20"/>
      <c r="MUI160" s="20"/>
      <c r="MUJ160" s="20"/>
      <c r="MUK160" s="20"/>
      <c r="MUL160" s="21"/>
      <c r="MUM160" s="21"/>
      <c r="MUN160" s="7"/>
      <c r="MUO160" s="7"/>
      <c r="MUP160" s="21"/>
      <c r="MUQ160" s="20"/>
      <c r="MUR160" s="20"/>
      <c r="MUS160" s="20"/>
      <c r="MUT160" s="21"/>
      <c r="MUU160" s="21"/>
      <c r="MUV160" s="21"/>
      <c r="MUW160" s="21"/>
      <c r="MUX160" s="21"/>
      <c r="MUY160" s="20"/>
      <c r="MUZ160" s="20"/>
      <c r="MVA160" s="20"/>
      <c r="MVB160" s="20"/>
      <c r="MVC160" s="21"/>
      <c r="MVD160" s="21"/>
      <c r="MVE160" s="7"/>
      <c r="MVF160" s="7"/>
      <c r="MVG160" s="21"/>
      <c r="MVH160" s="20"/>
      <c r="MVI160" s="20"/>
      <c r="MVJ160" s="20"/>
      <c r="MVK160" s="21"/>
      <c r="MVL160" s="21"/>
      <c r="MVM160" s="21"/>
      <c r="MVN160" s="21"/>
      <c r="MVO160" s="21"/>
      <c r="MVP160" s="20"/>
      <c r="MVQ160" s="20"/>
      <c r="MVR160" s="20"/>
      <c r="MVS160" s="20"/>
      <c r="MVT160" s="21"/>
      <c r="MVU160" s="21"/>
      <c r="MVV160" s="7"/>
      <c r="MVW160" s="7"/>
      <c r="MVX160" s="21"/>
      <c r="MVY160" s="20"/>
      <c r="MVZ160" s="20"/>
      <c r="MWA160" s="20"/>
      <c r="MWB160" s="21"/>
      <c r="MWC160" s="21"/>
      <c r="MWD160" s="21"/>
      <c r="MWE160" s="21"/>
      <c r="MWF160" s="21"/>
      <c r="MWG160" s="20"/>
      <c r="MWH160" s="20"/>
      <c r="MWI160" s="20"/>
      <c r="MWJ160" s="20"/>
      <c r="MWK160" s="21"/>
      <c r="MWL160" s="21"/>
      <c r="MWM160" s="7"/>
      <c r="MWN160" s="7"/>
      <c r="MWO160" s="21"/>
      <c r="MWP160" s="20"/>
      <c r="MWQ160" s="20"/>
      <c r="MWR160" s="20"/>
      <c r="MWS160" s="21"/>
      <c r="MWT160" s="21"/>
      <c r="MWU160" s="21"/>
      <c r="MWV160" s="21"/>
      <c r="MWW160" s="21"/>
      <c r="MWX160" s="20"/>
      <c r="MWY160" s="20"/>
      <c r="MWZ160" s="20"/>
      <c r="MXA160" s="20"/>
      <c r="MXB160" s="21"/>
      <c r="MXC160" s="21"/>
      <c r="MXD160" s="7"/>
      <c r="MXE160" s="7"/>
      <c r="MXF160" s="21"/>
      <c r="MXG160" s="20"/>
      <c r="MXH160" s="20"/>
      <c r="MXI160" s="20"/>
      <c r="MXJ160" s="21"/>
      <c r="MXK160" s="21"/>
      <c r="MXL160" s="21"/>
      <c r="MXM160" s="21"/>
      <c r="MXN160" s="21"/>
      <c r="MXO160" s="20"/>
      <c r="MXP160" s="20"/>
      <c r="MXQ160" s="20"/>
      <c r="MXR160" s="20"/>
      <c r="MXS160" s="21"/>
      <c r="MXT160" s="21"/>
      <c r="MXU160" s="7"/>
      <c r="MXV160" s="7"/>
      <c r="MXW160" s="21"/>
      <c r="MXX160" s="20"/>
      <c r="MXY160" s="20"/>
      <c r="MXZ160" s="20"/>
      <c r="MYA160" s="21"/>
      <c r="MYB160" s="21"/>
      <c r="MYC160" s="21"/>
      <c r="MYD160" s="21"/>
      <c r="MYE160" s="21"/>
      <c r="MYF160" s="20"/>
      <c r="MYG160" s="20"/>
      <c r="MYH160" s="20"/>
      <c r="MYI160" s="20"/>
      <c r="MYJ160" s="21"/>
      <c r="MYK160" s="21"/>
      <c r="MYL160" s="7"/>
      <c r="MYM160" s="7"/>
      <c r="MYN160" s="21"/>
      <c r="MYO160" s="20"/>
      <c r="MYP160" s="20"/>
      <c r="MYQ160" s="20"/>
      <c r="MYR160" s="21"/>
      <c r="MYS160" s="21"/>
      <c r="MYT160" s="21"/>
      <c r="MYU160" s="21"/>
      <c r="MYV160" s="21"/>
      <c r="MYW160" s="20"/>
      <c r="MYX160" s="20"/>
      <c r="MYY160" s="20"/>
      <c r="MYZ160" s="20"/>
      <c r="MZA160" s="21"/>
      <c r="MZB160" s="21"/>
      <c r="MZC160" s="7"/>
      <c r="MZD160" s="7"/>
      <c r="MZE160" s="21"/>
      <c r="MZF160" s="20"/>
      <c r="MZG160" s="20"/>
      <c r="MZH160" s="20"/>
      <c r="MZI160" s="21"/>
      <c r="MZJ160" s="21"/>
      <c r="MZK160" s="21"/>
      <c r="MZL160" s="21"/>
      <c r="MZM160" s="21"/>
      <c r="MZN160" s="20"/>
      <c r="MZO160" s="20"/>
      <c r="MZP160" s="20"/>
      <c r="MZQ160" s="20"/>
      <c r="MZR160" s="21"/>
      <c r="MZS160" s="21"/>
      <c r="MZT160" s="7"/>
      <c r="MZU160" s="7"/>
      <c r="MZV160" s="21"/>
      <c r="MZW160" s="20"/>
      <c r="MZX160" s="20"/>
      <c r="MZY160" s="20"/>
      <c r="MZZ160" s="21"/>
      <c r="NAA160" s="21"/>
      <c r="NAB160" s="21"/>
      <c r="NAC160" s="21"/>
      <c r="NAD160" s="21"/>
      <c r="NAE160" s="20"/>
      <c r="NAF160" s="20"/>
      <c r="NAG160" s="20"/>
      <c r="NAH160" s="20"/>
      <c r="NAI160" s="21"/>
      <c r="NAJ160" s="21"/>
      <c r="NAK160" s="7"/>
      <c r="NAL160" s="7"/>
      <c r="NAM160" s="21"/>
      <c r="NAN160" s="20"/>
      <c r="NAO160" s="20"/>
      <c r="NAP160" s="20"/>
      <c r="NAQ160" s="21"/>
      <c r="NAR160" s="21"/>
      <c r="NAS160" s="21"/>
      <c r="NAT160" s="21"/>
      <c r="NAU160" s="21"/>
      <c r="NAV160" s="20"/>
      <c r="NAW160" s="20"/>
      <c r="NAX160" s="20"/>
      <c r="NAY160" s="20"/>
      <c r="NAZ160" s="21"/>
      <c r="NBA160" s="21"/>
      <c r="NBB160" s="7"/>
      <c r="NBC160" s="7"/>
      <c r="NBD160" s="21"/>
      <c r="NBE160" s="20"/>
      <c r="NBF160" s="20"/>
      <c r="NBG160" s="20"/>
      <c r="NBH160" s="21"/>
      <c r="NBI160" s="21"/>
      <c r="NBJ160" s="21"/>
      <c r="NBK160" s="21"/>
      <c r="NBL160" s="21"/>
      <c r="NBM160" s="20"/>
      <c r="NBN160" s="20"/>
      <c r="NBO160" s="20"/>
      <c r="NBP160" s="20"/>
      <c r="NBQ160" s="21"/>
      <c r="NBR160" s="21"/>
      <c r="NBS160" s="7"/>
      <c r="NBT160" s="7"/>
      <c r="NBU160" s="21"/>
      <c r="NBV160" s="20"/>
      <c r="NBW160" s="20"/>
      <c r="NBX160" s="20"/>
      <c r="NBY160" s="21"/>
      <c r="NBZ160" s="21"/>
      <c r="NCA160" s="21"/>
      <c r="NCB160" s="21"/>
      <c r="NCC160" s="21"/>
      <c r="NCD160" s="20"/>
      <c r="NCE160" s="20"/>
      <c r="NCF160" s="20"/>
      <c r="NCG160" s="20"/>
      <c r="NCH160" s="21"/>
      <c r="NCI160" s="21"/>
      <c r="NCJ160" s="7"/>
      <c r="NCK160" s="7"/>
      <c r="NCL160" s="21"/>
      <c r="NCM160" s="20"/>
      <c r="NCN160" s="20"/>
      <c r="NCO160" s="20"/>
      <c r="NCP160" s="21"/>
      <c r="NCQ160" s="21"/>
      <c r="NCR160" s="21"/>
      <c r="NCS160" s="21"/>
      <c r="NCT160" s="21"/>
      <c r="NCU160" s="20"/>
      <c r="NCV160" s="20"/>
      <c r="NCW160" s="20"/>
      <c r="NCX160" s="20"/>
      <c r="NCY160" s="21"/>
      <c r="NCZ160" s="21"/>
      <c r="NDA160" s="7"/>
      <c r="NDB160" s="7"/>
      <c r="NDC160" s="21"/>
      <c r="NDD160" s="20"/>
      <c r="NDE160" s="20"/>
      <c r="NDF160" s="20"/>
      <c r="NDG160" s="21"/>
      <c r="NDH160" s="21"/>
      <c r="NDI160" s="21"/>
      <c r="NDJ160" s="21"/>
      <c r="NDK160" s="21"/>
      <c r="NDL160" s="20"/>
      <c r="NDM160" s="20"/>
      <c r="NDN160" s="20"/>
      <c r="NDO160" s="20"/>
      <c r="NDP160" s="21"/>
      <c r="NDQ160" s="21"/>
      <c r="NDR160" s="7"/>
      <c r="NDS160" s="7"/>
      <c r="NDT160" s="21"/>
      <c r="NDU160" s="20"/>
      <c r="NDV160" s="20"/>
      <c r="NDW160" s="20"/>
      <c r="NDX160" s="21"/>
      <c r="NDY160" s="21"/>
      <c r="NDZ160" s="21"/>
      <c r="NEA160" s="21"/>
      <c r="NEB160" s="21"/>
      <c r="NEC160" s="20"/>
      <c r="NED160" s="20"/>
      <c r="NEE160" s="20"/>
      <c r="NEF160" s="20"/>
      <c r="NEG160" s="21"/>
      <c r="NEH160" s="21"/>
      <c r="NEI160" s="7"/>
      <c r="NEJ160" s="7"/>
      <c r="NEK160" s="21"/>
      <c r="NEL160" s="20"/>
      <c r="NEM160" s="20"/>
      <c r="NEN160" s="20"/>
      <c r="NEO160" s="21"/>
      <c r="NEP160" s="21"/>
      <c r="NEQ160" s="21"/>
      <c r="NER160" s="21"/>
      <c r="NES160" s="21"/>
      <c r="NET160" s="20"/>
      <c r="NEU160" s="20"/>
      <c r="NEV160" s="20"/>
      <c r="NEW160" s="20"/>
      <c r="NEX160" s="21"/>
      <c r="NEY160" s="21"/>
      <c r="NEZ160" s="7"/>
      <c r="NFA160" s="7"/>
      <c r="NFB160" s="21"/>
      <c r="NFC160" s="20"/>
      <c r="NFD160" s="20"/>
      <c r="NFE160" s="20"/>
      <c r="NFF160" s="21"/>
      <c r="NFG160" s="21"/>
      <c r="NFH160" s="21"/>
      <c r="NFI160" s="21"/>
      <c r="NFJ160" s="21"/>
      <c r="NFK160" s="20"/>
      <c r="NFL160" s="20"/>
      <c r="NFM160" s="20"/>
      <c r="NFN160" s="20"/>
      <c r="NFO160" s="21"/>
      <c r="NFP160" s="21"/>
      <c r="NFQ160" s="7"/>
      <c r="NFR160" s="7"/>
      <c r="NFS160" s="21"/>
      <c r="NFT160" s="20"/>
      <c r="NFU160" s="20"/>
      <c r="NFV160" s="20"/>
      <c r="NFW160" s="21"/>
      <c r="NFX160" s="21"/>
      <c r="NFY160" s="21"/>
      <c r="NFZ160" s="21"/>
      <c r="NGA160" s="21"/>
      <c r="NGB160" s="20"/>
      <c r="NGC160" s="20"/>
      <c r="NGD160" s="20"/>
      <c r="NGE160" s="20"/>
      <c r="NGF160" s="21"/>
      <c r="NGG160" s="21"/>
      <c r="NGH160" s="7"/>
      <c r="NGI160" s="7"/>
      <c r="NGJ160" s="21"/>
      <c r="NGK160" s="20"/>
      <c r="NGL160" s="20"/>
      <c r="NGM160" s="20"/>
      <c r="NGN160" s="21"/>
      <c r="NGO160" s="21"/>
      <c r="NGP160" s="21"/>
      <c r="NGQ160" s="21"/>
      <c r="NGR160" s="21"/>
      <c r="NGS160" s="20"/>
      <c r="NGT160" s="20"/>
      <c r="NGU160" s="20"/>
      <c r="NGV160" s="20"/>
      <c r="NGW160" s="21"/>
      <c r="NGX160" s="21"/>
      <c r="NGY160" s="7"/>
      <c r="NGZ160" s="7"/>
      <c r="NHA160" s="21"/>
      <c r="NHB160" s="20"/>
      <c r="NHC160" s="20"/>
      <c r="NHD160" s="20"/>
      <c r="NHE160" s="21"/>
      <c r="NHF160" s="21"/>
      <c r="NHG160" s="21"/>
      <c r="NHH160" s="21"/>
      <c r="NHI160" s="21"/>
      <c r="NHJ160" s="20"/>
      <c r="NHK160" s="20"/>
      <c r="NHL160" s="20"/>
      <c r="NHM160" s="20"/>
      <c r="NHN160" s="21"/>
      <c r="NHO160" s="21"/>
      <c r="NHP160" s="7"/>
      <c r="NHQ160" s="7"/>
      <c r="NHR160" s="21"/>
      <c r="NHS160" s="20"/>
      <c r="NHT160" s="20"/>
      <c r="NHU160" s="20"/>
      <c r="NHV160" s="21"/>
      <c r="NHW160" s="21"/>
      <c r="NHX160" s="21"/>
      <c r="NHY160" s="21"/>
      <c r="NHZ160" s="21"/>
      <c r="NIA160" s="20"/>
      <c r="NIB160" s="20"/>
      <c r="NIC160" s="20"/>
      <c r="NID160" s="20"/>
      <c r="NIE160" s="21"/>
      <c r="NIF160" s="21"/>
      <c r="NIG160" s="7"/>
      <c r="NIH160" s="7"/>
      <c r="NII160" s="21"/>
      <c r="NIJ160" s="20"/>
      <c r="NIK160" s="20"/>
      <c r="NIL160" s="20"/>
      <c r="NIM160" s="21"/>
      <c r="NIN160" s="21"/>
      <c r="NIO160" s="21"/>
      <c r="NIP160" s="21"/>
      <c r="NIQ160" s="21"/>
      <c r="NIR160" s="20"/>
      <c r="NIS160" s="20"/>
      <c r="NIT160" s="20"/>
      <c r="NIU160" s="20"/>
      <c r="NIV160" s="21"/>
      <c r="NIW160" s="21"/>
      <c r="NIX160" s="7"/>
      <c r="NIY160" s="7"/>
      <c r="NIZ160" s="21"/>
      <c r="NJA160" s="20"/>
      <c r="NJB160" s="20"/>
      <c r="NJC160" s="20"/>
      <c r="NJD160" s="21"/>
      <c r="NJE160" s="21"/>
      <c r="NJF160" s="21"/>
      <c r="NJG160" s="21"/>
      <c r="NJH160" s="21"/>
      <c r="NJI160" s="20"/>
      <c r="NJJ160" s="20"/>
      <c r="NJK160" s="20"/>
      <c r="NJL160" s="20"/>
      <c r="NJM160" s="21"/>
      <c r="NJN160" s="21"/>
      <c r="NJO160" s="7"/>
      <c r="NJP160" s="7"/>
      <c r="NJQ160" s="21"/>
      <c r="NJR160" s="20"/>
      <c r="NJS160" s="20"/>
      <c r="NJT160" s="20"/>
      <c r="NJU160" s="21"/>
      <c r="NJV160" s="21"/>
      <c r="NJW160" s="21"/>
      <c r="NJX160" s="21"/>
      <c r="NJY160" s="21"/>
      <c r="NJZ160" s="20"/>
      <c r="NKA160" s="20"/>
      <c r="NKB160" s="20"/>
      <c r="NKC160" s="20"/>
      <c r="NKD160" s="21"/>
      <c r="NKE160" s="21"/>
      <c r="NKF160" s="7"/>
      <c r="NKG160" s="7"/>
      <c r="NKH160" s="21"/>
      <c r="NKI160" s="20"/>
      <c r="NKJ160" s="20"/>
      <c r="NKK160" s="20"/>
      <c r="NKL160" s="21"/>
      <c r="NKM160" s="21"/>
      <c r="NKN160" s="21"/>
      <c r="NKO160" s="21"/>
      <c r="NKP160" s="21"/>
      <c r="NKQ160" s="20"/>
      <c r="NKR160" s="20"/>
      <c r="NKS160" s="20"/>
      <c r="NKT160" s="20"/>
      <c r="NKU160" s="21"/>
      <c r="NKV160" s="21"/>
      <c r="NKW160" s="7"/>
      <c r="NKX160" s="7"/>
      <c r="NKY160" s="21"/>
      <c r="NKZ160" s="20"/>
      <c r="NLA160" s="20"/>
      <c r="NLB160" s="20"/>
      <c r="NLC160" s="21"/>
      <c r="NLD160" s="21"/>
      <c r="NLE160" s="21"/>
      <c r="NLF160" s="21"/>
      <c r="NLG160" s="21"/>
      <c r="NLH160" s="20"/>
      <c r="NLI160" s="20"/>
      <c r="NLJ160" s="20"/>
      <c r="NLK160" s="20"/>
      <c r="NLL160" s="21"/>
      <c r="NLM160" s="21"/>
      <c r="NLN160" s="7"/>
      <c r="NLO160" s="7"/>
      <c r="NLP160" s="21"/>
      <c r="NLQ160" s="20"/>
      <c r="NLR160" s="20"/>
      <c r="NLS160" s="20"/>
      <c r="NLT160" s="21"/>
      <c r="NLU160" s="21"/>
      <c r="NLV160" s="21"/>
      <c r="NLW160" s="21"/>
      <c r="NLX160" s="21"/>
      <c r="NLY160" s="20"/>
      <c r="NLZ160" s="20"/>
      <c r="NMA160" s="20"/>
      <c r="NMB160" s="20"/>
      <c r="NMC160" s="21"/>
      <c r="NMD160" s="21"/>
      <c r="NME160" s="7"/>
      <c r="NMF160" s="7"/>
      <c r="NMG160" s="21"/>
      <c r="NMH160" s="20"/>
      <c r="NMI160" s="20"/>
      <c r="NMJ160" s="20"/>
      <c r="NMK160" s="21"/>
      <c r="NML160" s="21"/>
      <c r="NMM160" s="21"/>
      <c r="NMN160" s="21"/>
      <c r="NMO160" s="21"/>
      <c r="NMP160" s="20"/>
      <c r="NMQ160" s="20"/>
      <c r="NMR160" s="20"/>
      <c r="NMS160" s="20"/>
      <c r="NMT160" s="21"/>
      <c r="NMU160" s="21"/>
      <c r="NMV160" s="7"/>
      <c r="NMW160" s="7"/>
      <c r="NMX160" s="21"/>
      <c r="NMY160" s="20"/>
      <c r="NMZ160" s="20"/>
      <c r="NNA160" s="20"/>
      <c r="NNB160" s="21"/>
      <c r="NNC160" s="21"/>
      <c r="NND160" s="21"/>
      <c r="NNE160" s="21"/>
      <c r="NNF160" s="21"/>
      <c r="NNG160" s="20"/>
      <c r="NNH160" s="20"/>
      <c r="NNI160" s="20"/>
      <c r="NNJ160" s="20"/>
      <c r="NNK160" s="21"/>
      <c r="NNL160" s="21"/>
      <c r="NNM160" s="7"/>
      <c r="NNN160" s="7"/>
      <c r="NNO160" s="21"/>
      <c r="NNP160" s="20"/>
      <c r="NNQ160" s="20"/>
      <c r="NNR160" s="20"/>
      <c r="NNS160" s="21"/>
      <c r="NNT160" s="21"/>
      <c r="NNU160" s="21"/>
      <c r="NNV160" s="21"/>
      <c r="NNW160" s="21"/>
      <c r="NNX160" s="20"/>
      <c r="NNY160" s="20"/>
      <c r="NNZ160" s="20"/>
      <c r="NOA160" s="20"/>
      <c r="NOB160" s="21"/>
      <c r="NOC160" s="21"/>
      <c r="NOD160" s="7"/>
      <c r="NOE160" s="7"/>
      <c r="NOF160" s="21"/>
      <c r="NOG160" s="20"/>
      <c r="NOH160" s="20"/>
      <c r="NOI160" s="20"/>
      <c r="NOJ160" s="21"/>
      <c r="NOK160" s="21"/>
      <c r="NOL160" s="21"/>
      <c r="NOM160" s="21"/>
      <c r="NON160" s="21"/>
      <c r="NOO160" s="20"/>
      <c r="NOP160" s="20"/>
      <c r="NOQ160" s="20"/>
      <c r="NOR160" s="20"/>
      <c r="NOS160" s="21"/>
      <c r="NOT160" s="21"/>
      <c r="NOU160" s="7"/>
      <c r="NOV160" s="7"/>
      <c r="NOW160" s="21"/>
      <c r="NOX160" s="20"/>
      <c r="NOY160" s="20"/>
      <c r="NOZ160" s="20"/>
      <c r="NPA160" s="21"/>
      <c r="NPB160" s="21"/>
      <c r="NPC160" s="21"/>
      <c r="NPD160" s="21"/>
      <c r="NPE160" s="21"/>
      <c r="NPF160" s="20"/>
      <c r="NPG160" s="20"/>
      <c r="NPH160" s="20"/>
      <c r="NPI160" s="20"/>
      <c r="NPJ160" s="21"/>
      <c r="NPK160" s="21"/>
      <c r="NPL160" s="7"/>
      <c r="NPM160" s="7"/>
      <c r="NPN160" s="21"/>
      <c r="NPO160" s="20"/>
      <c r="NPP160" s="20"/>
      <c r="NPQ160" s="20"/>
      <c r="NPR160" s="21"/>
      <c r="NPS160" s="21"/>
      <c r="NPT160" s="21"/>
      <c r="NPU160" s="21"/>
      <c r="NPV160" s="21"/>
      <c r="NPW160" s="20"/>
      <c r="NPX160" s="20"/>
      <c r="NPY160" s="20"/>
      <c r="NPZ160" s="20"/>
      <c r="NQA160" s="21"/>
      <c r="NQB160" s="21"/>
      <c r="NQC160" s="7"/>
      <c r="NQD160" s="7"/>
      <c r="NQE160" s="21"/>
      <c r="NQF160" s="20"/>
      <c r="NQG160" s="20"/>
      <c r="NQH160" s="20"/>
      <c r="NQI160" s="21"/>
      <c r="NQJ160" s="21"/>
      <c r="NQK160" s="21"/>
      <c r="NQL160" s="21"/>
      <c r="NQM160" s="21"/>
      <c r="NQN160" s="20"/>
      <c r="NQO160" s="20"/>
      <c r="NQP160" s="20"/>
      <c r="NQQ160" s="20"/>
      <c r="NQR160" s="21"/>
      <c r="NQS160" s="21"/>
      <c r="NQT160" s="7"/>
      <c r="NQU160" s="7"/>
      <c r="NQV160" s="21"/>
      <c r="NQW160" s="20"/>
      <c r="NQX160" s="20"/>
      <c r="NQY160" s="20"/>
      <c r="NQZ160" s="21"/>
      <c r="NRA160" s="21"/>
      <c r="NRB160" s="21"/>
      <c r="NRC160" s="21"/>
      <c r="NRD160" s="21"/>
      <c r="NRE160" s="20"/>
      <c r="NRF160" s="20"/>
      <c r="NRG160" s="20"/>
      <c r="NRH160" s="20"/>
      <c r="NRI160" s="21"/>
      <c r="NRJ160" s="21"/>
      <c r="NRK160" s="7"/>
      <c r="NRL160" s="7"/>
      <c r="NRM160" s="21"/>
      <c r="NRN160" s="20"/>
      <c r="NRO160" s="20"/>
      <c r="NRP160" s="20"/>
      <c r="NRQ160" s="21"/>
      <c r="NRR160" s="21"/>
      <c r="NRS160" s="21"/>
      <c r="NRT160" s="21"/>
      <c r="NRU160" s="21"/>
      <c r="NRV160" s="20"/>
      <c r="NRW160" s="20"/>
      <c r="NRX160" s="20"/>
      <c r="NRY160" s="20"/>
      <c r="NRZ160" s="21"/>
      <c r="NSA160" s="21"/>
      <c r="NSB160" s="7"/>
      <c r="NSC160" s="7"/>
      <c r="NSD160" s="21"/>
      <c r="NSE160" s="20"/>
      <c r="NSF160" s="20"/>
      <c r="NSG160" s="20"/>
      <c r="NSH160" s="21"/>
      <c r="NSI160" s="21"/>
      <c r="NSJ160" s="21"/>
      <c r="NSK160" s="21"/>
      <c r="NSL160" s="21"/>
      <c r="NSM160" s="20"/>
      <c r="NSN160" s="20"/>
      <c r="NSO160" s="20"/>
      <c r="NSP160" s="20"/>
      <c r="NSQ160" s="21"/>
      <c r="NSR160" s="21"/>
      <c r="NSS160" s="7"/>
      <c r="NST160" s="7"/>
      <c r="NSU160" s="21"/>
      <c r="NSV160" s="20"/>
      <c r="NSW160" s="20"/>
      <c r="NSX160" s="20"/>
      <c r="NSY160" s="21"/>
      <c r="NSZ160" s="21"/>
      <c r="NTA160" s="21"/>
      <c r="NTB160" s="21"/>
      <c r="NTC160" s="21"/>
      <c r="NTD160" s="20"/>
      <c r="NTE160" s="20"/>
      <c r="NTF160" s="20"/>
      <c r="NTG160" s="20"/>
      <c r="NTH160" s="21"/>
      <c r="NTI160" s="21"/>
      <c r="NTJ160" s="7"/>
      <c r="NTK160" s="7"/>
      <c r="NTL160" s="21"/>
      <c r="NTM160" s="20"/>
      <c r="NTN160" s="20"/>
      <c r="NTO160" s="20"/>
      <c r="NTP160" s="21"/>
      <c r="NTQ160" s="21"/>
      <c r="NTR160" s="21"/>
      <c r="NTS160" s="21"/>
      <c r="NTT160" s="21"/>
      <c r="NTU160" s="20"/>
      <c r="NTV160" s="20"/>
      <c r="NTW160" s="20"/>
      <c r="NTX160" s="20"/>
      <c r="NTY160" s="21"/>
      <c r="NTZ160" s="21"/>
      <c r="NUA160" s="7"/>
      <c r="NUB160" s="7"/>
      <c r="NUC160" s="21"/>
      <c r="NUD160" s="20"/>
      <c r="NUE160" s="20"/>
      <c r="NUF160" s="20"/>
      <c r="NUG160" s="21"/>
      <c r="NUH160" s="21"/>
      <c r="NUI160" s="21"/>
      <c r="NUJ160" s="21"/>
      <c r="NUK160" s="21"/>
      <c r="NUL160" s="20"/>
      <c r="NUM160" s="20"/>
      <c r="NUN160" s="20"/>
      <c r="NUO160" s="20"/>
      <c r="NUP160" s="21"/>
      <c r="NUQ160" s="21"/>
      <c r="NUR160" s="7"/>
      <c r="NUS160" s="7"/>
      <c r="NUT160" s="21"/>
      <c r="NUU160" s="20"/>
      <c r="NUV160" s="20"/>
      <c r="NUW160" s="20"/>
      <c r="NUX160" s="21"/>
      <c r="NUY160" s="21"/>
      <c r="NUZ160" s="21"/>
      <c r="NVA160" s="21"/>
      <c r="NVB160" s="21"/>
      <c r="NVC160" s="20"/>
      <c r="NVD160" s="20"/>
      <c r="NVE160" s="20"/>
      <c r="NVF160" s="20"/>
      <c r="NVG160" s="21"/>
      <c r="NVH160" s="21"/>
      <c r="NVI160" s="7"/>
      <c r="NVJ160" s="7"/>
      <c r="NVK160" s="21"/>
      <c r="NVL160" s="20"/>
      <c r="NVM160" s="20"/>
      <c r="NVN160" s="20"/>
      <c r="NVO160" s="21"/>
      <c r="NVP160" s="21"/>
      <c r="NVQ160" s="21"/>
      <c r="NVR160" s="21"/>
      <c r="NVS160" s="21"/>
      <c r="NVT160" s="20"/>
      <c r="NVU160" s="20"/>
      <c r="NVV160" s="20"/>
      <c r="NVW160" s="20"/>
      <c r="NVX160" s="21"/>
      <c r="NVY160" s="21"/>
      <c r="NVZ160" s="7"/>
      <c r="NWA160" s="7"/>
      <c r="NWB160" s="21"/>
      <c r="NWC160" s="20"/>
      <c r="NWD160" s="20"/>
      <c r="NWE160" s="20"/>
      <c r="NWF160" s="21"/>
      <c r="NWG160" s="21"/>
      <c r="NWH160" s="21"/>
      <c r="NWI160" s="21"/>
      <c r="NWJ160" s="21"/>
      <c r="NWK160" s="20"/>
      <c r="NWL160" s="20"/>
      <c r="NWM160" s="20"/>
      <c r="NWN160" s="20"/>
      <c r="NWO160" s="21"/>
      <c r="NWP160" s="21"/>
      <c r="NWQ160" s="7"/>
      <c r="NWR160" s="7"/>
      <c r="NWS160" s="21"/>
      <c r="NWT160" s="20"/>
      <c r="NWU160" s="20"/>
      <c r="NWV160" s="20"/>
      <c r="NWW160" s="21"/>
      <c r="NWX160" s="21"/>
      <c r="NWY160" s="21"/>
      <c r="NWZ160" s="21"/>
      <c r="NXA160" s="21"/>
      <c r="NXB160" s="20"/>
      <c r="NXC160" s="20"/>
      <c r="NXD160" s="20"/>
      <c r="NXE160" s="20"/>
      <c r="NXF160" s="21"/>
      <c r="NXG160" s="21"/>
      <c r="NXH160" s="7"/>
      <c r="NXI160" s="7"/>
      <c r="NXJ160" s="21"/>
      <c r="NXK160" s="20"/>
      <c r="NXL160" s="20"/>
      <c r="NXM160" s="20"/>
      <c r="NXN160" s="21"/>
      <c r="NXO160" s="21"/>
      <c r="NXP160" s="21"/>
      <c r="NXQ160" s="21"/>
      <c r="NXR160" s="21"/>
      <c r="NXS160" s="20"/>
      <c r="NXT160" s="20"/>
      <c r="NXU160" s="20"/>
      <c r="NXV160" s="20"/>
      <c r="NXW160" s="21"/>
      <c r="NXX160" s="21"/>
      <c r="NXY160" s="7"/>
      <c r="NXZ160" s="7"/>
      <c r="NYA160" s="21"/>
      <c r="NYB160" s="20"/>
      <c r="NYC160" s="20"/>
      <c r="NYD160" s="20"/>
      <c r="NYE160" s="21"/>
      <c r="NYF160" s="21"/>
      <c r="NYG160" s="21"/>
      <c r="NYH160" s="21"/>
      <c r="NYI160" s="21"/>
      <c r="NYJ160" s="20"/>
      <c r="NYK160" s="20"/>
      <c r="NYL160" s="20"/>
      <c r="NYM160" s="20"/>
      <c r="NYN160" s="21"/>
      <c r="NYO160" s="21"/>
      <c r="NYP160" s="7"/>
      <c r="NYQ160" s="7"/>
      <c r="NYR160" s="21"/>
      <c r="NYS160" s="20"/>
      <c r="NYT160" s="20"/>
      <c r="NYU160" s="20"/>
      <c r="NYV160" s="21"/>
      <c r="NYW160" s="21"/>
      <c r="NYX160" s="21"/>
      <c r="NYY160" s="21"/>
      <c r="NYZ160" s="21"/>
      <c r="NZA160" s="20"/>
      <c r="NZB160" s="20"/>
      <c r="NZC160" s="20"/>
      <c r="NZD160" s="20"/>
      <c r="NZE160" s="21"/>
      <c r="NZF160" s="21"/>
      <c r="NZG160" s="7"/>
      <c r="NZH160" s="7"/>
      <c r="NZI160" s="21"/>
      <c r="NZJ160" s="20"/>
      <c r="NZK160" s="20"/>
      <c r="NZL160" s="20"/>
      <c r="NZM160" s="21"/>
      <c r="NZN160" s="21"/>
      <c r="NZO160" s="21"/>
      <c r="NZP160" s="21"/>
      <c r="NZQ160" s="21"/>
      <c r="NZR160" s="20"/>
      <c r="NZS160" s="20"/>
      <c r="NZT160" s="20"/>
      <c r="NZU160" s="20"/>
      <c r="NZV160" s="21"/>
      <c r="NZW160" s="21"/>
      <c r="NZX160" s="7"/>
      <c r="NZY160" s="7"/>
      <c r="NZZ160" s="21"/>
      <c r="OAA160" s="20"/>
      <c r="OAB160" s="20"/>
      <c r="OAC160" s="20"/>
      <c r="OAD160" s="21"/>
      <c r="OAE160" s="21"/>
      <c r="OAF160" s="21"/>
      <c r="OAG160" s="21"/>
      <c r="OAH160" s="21"/>
      <c r="OAI160" s="20"/>
      <c r="OAJ160" s="20"/>
      <c r="OAK160" s="20"/>
      <c r="OAL160" s="20"/>
      <c r="OAM160" s="21"/>
      <c r="OAN160" s="21"/>
      <c r="OAO160" s="7"/>
      <c r="OAP160" s="7"/>
      <c r="OAQ160" s="21"/>
      <c r="OAR160" s="20"/>
      <c r="OAS160" s="20"/>
      <c r="OAT160" s="20"/>
      <c r="OAU160" s="21"/>
      <c r="OAV160" s="21"/>
      <c r="OAW160" s="21"/>
      <c r="OAX160" s="21"/>
      <c r="OAY160" s="21"/>
      <c r="OAZ160" s="20"/>
      <c r="OBA160" s="20"/>
      <c r="OBB160" s="20"/>
      <c r="OBC160" s="20"/>
      <c r="OBD160" s="21"/>
      <c r="OBE160" s="21"/>
      <c r="OBF160" s="7"/>
      <c r="OBG160" s="7"/>
      <c r="OBH160" s="21"/>
      <c r="OBI160" s="20"/>
      <c r="OBJ160" s="20"/>
      <c r="OBK160" s="20"/>
      <c r="OBL160" s="21"/>
      <c r="OBM160" s="21"/>
      <c r="OBN160" s="21"/>
      <c r="OBO160" s="21"/>
      <c r="OBP160" s="21"/>
      <c r="OBQ160" s="20"/>
      <c r="OBR160" s="20"/>
      <c r="OBS160" s="20"/>
      <c r="OBT160" s="20"/>
      <c r="OBU160" s="21"/>
      <c r="OBV160" s="21"/>
      <c r="OBW160" s="7"/>
      <c r="OBX160" s="7"/>
      <c r="OBY160" s="21"/>
      <c r="OBZ160" s="20"/>
      <c r="OCA160" s="20"/>
      <c r="OCB160" s="20"/>
      <c r="OCC160" s="21"/>
      <c r="OCD160" s="21"/>
      <c r="OCE160" s="21"/>
      <c r="OCF160" s="21"/>
      <c r="OCG160" s="21"/>
      <c r="OCH160" s="20"/>
      <c r="OCI160" s="20"/>
      <c r="OCJ160" s="20"/>
      <c r="OCK160" s="20"/>
      <c r="OCL160" s="21"/>
      <c r="OCM160" s="21"/>
      <c r="OCN160" s="7"/>
      <c r="OCO160" s="7"/>
      <c r="OCP160" s="21"/>
      <c r="OCQ160" s="20"/>
      <c r="OCR160" s="20"/>
      <c r="OCS160" s="20"/>
      <c r="OCT160" s="21"/>
      <c r="OCU160" s="21"/>
      <c r="OCV160" s="21"/>
      <c r="OCW160" s="21"/>
      <c r="OCX160" s="21"/>
      <c r="OCY160" s="20"/>
      <c r="OCZ160" s="20"/>
      <c r="ODA160" s="20"/>
      <c r="ODB160" s="20"/>
      <c r="ODC160" s="21"/>
      <c r="ODD160" s="21"/>
      <c r="ODE160" s="7"/>
      <c r="ODF160" s="7"/>
      <c r="ODG160" s="21"/>
      <c r="ODH160" s="20"/>
      <c r="ODI160" s="20"/>
      <c r="ODJ160" s="20"/>
      <c r="ODK160" s="21"/>
      <c r="ODL160" s="21"/>
      <c r="ODM160" s="21"/>
      <c r="ODN160" s="21"/>
      <c r="ODO160" s="21"/>
      <c r="ODP160" s="20"/>
      <c r="ODQ160" s="20"/>
      <c r="ODR160" s="20"/>
      <c r="ODS160" s="20"/>
      <c r="ODT160" s="21"/>
      <c r="ODU160" s="21"/>
      <c r="ODV160" s="7"/>
      <c r="ODW160" s="7"/>
      <c r="ODX160" s="21"/>
      <c r="ODY160" s="20"/>
      <c r="ODZ160" s="20"/>
      <c r="OEA160" s="20"/>
      <c r="OEB160" s="21"/>
      <c r="OEC160" s="21"/>
      <c r="OED160" s="21"/>
      <c r="OEE160" s="21"/>
      <c r="OEF160" s="21"/>
      <c r="OEG160" s="20"/>
      <c r="OEH160" s="20"/>
      <c r="OEI160" s="20"/>
      <c r="OEJ160" s="20"/>
      <c r="OEK160" s="21"/>
      <c r="OEL160" s="21"/>
      <c r="OEM160" s="7"/>
      <c r="OEN160" s="7"/>
      <c r="OEO160" s="21"/>
      <c r="OEP160" s="20"/>
      <c r="OEQ160" s="20"/>
      <c r="OER160" s="20"/>
      <c r="OES160" s="21"/>
      <c r="OET160" s="21"/>
      <c r="OEU160" s="21"/>
      <c r="OEV160" s="21"/>
      <c r="OEW160" s="21"/>
      <c r="OEX160" s="20"/>
      <c r="OEY160" s="20"/>
      <c r="OEZ160" s="20"/>
      <c r="OFA160" s="20"/>
      <c r="OFB160" s="21"/>
      <c r="OFC160" s="21"/>
      <c r="OFD160" s="7"/>
      <c r="OFE160" s="7"/>
      <c r="OFF160" s="21"/>
      <c r="OFG160" s="20"/>
      <c r="OFH160" s="20"/>
      <c r="OFI160" s="20"/>
      <c r="OFJ160" s="21"/>
      <c r="OFK160" s="21"/>
      <c r="OFL160" s="21"/>
      <c r="OFM160" s="21"/>
      <c r="OFN160" s="21"/>
      <c r="OFO160" s="20"/>
      <c r="OFP160" s="20"/>
      <c r="OFQ160" s="20"/>
      <c r="OFR160" s="20"/>
      <c r="OFS160" s="21"/>
      <c r="OFT160" s="21"/>
      <c r="OFU160" s="7"/>
      <c r="OFV160" s="7"/>
      <c r="OFW160" s="21"/>
      <c r="OFX160" s="20"/>
      <c r="OFY160" s="20"/>
      <c r="OFZ160" s="20"/>
      <c r="OGA160" s="21"/>
      <c r="OGB160" s="21"/>
      <c r="OGC160" s="21"/>
      <c r="OGD160" s="21"/>
      <c r="OGE160" s="21"/>
      <c r="OGF160" s="20"/>
      <c r="OGG160" s="20"/>
      <c r="OGH160" s="20"/>
      <c r="OGI160" s="20"/>
      <c r="OGJ160" s="21"/>
      <c r="OGK160" s="21"/>
      <c r="OGL160" s="7"/>
      <c r="OGM160" s="7"/>
      <c r="OGN160" s="21"/>
      <c r="OGO160" s="20"/>
      <c r="OGP160" s="20"/>
      <c r="OGQ160" s="20"/>
      <c r="OGR160" s="21"/>
      <c r="OGS160" s="21"/>
      <c r="OGT160" s="21"/>
      <c r="OGU160" s="21"/>
      <c r="OGV160" s="21"/>
      <c r="OGW160" s="20"/>
      <c r="OGX160" s="20"/>
      <c r="OGY160" s="20"/>
      <c r="OGZ160" s="20"/>
      <c r="OHA160" s="21"/>
      <c r="OHB160" s="21"/>
      <c r="OHC160" s="7"/>
      <c r="OHD160" s="7"/>
      <c r="OHE160" s="21"/>
      <c r="OHF160" s="20"/>
      <c r="OHG160" s="20"/>
      <c r="OHH160" s="20"/>
      <c r="OHI160" s="21"/>
      <c r="OHJ160" s="21"/>
      <c r="OHK160" s="21"/>
      <c r="OHL160" s="21"/>
      <c r="OHM160" s="21"/>
      <c r="OHN160" s="20"/>
      <c r="OHO160" s="20"/>
      <c r="OHP160" s="20"/>
      <c r="OHQ160" s="20"/>
      <c r="OHR160" s="21"/>
      <c r="OHS160" s="21"/>
      <c r="OHT160" s="7"/>
      <c r="OHU160" s="7"/>
      <c r="OHV160" s="21"/>
      <c r="OHW160" s="20"/>
      <c r="OHX160" s="20"/>
      <c r="OHY160" s="20"/>
      <c r="OHZ160" s="21"/>
      <c r="OIA160" s="21"/>
      <c r="OIB160" s="21"/>
      <c r="OIC160" s="21"/>
      <c r="OID160" s="21"/>
      <c r="OIE160" s="20"/>
      <c r="OIF160" s="20"/>
      <c r="OIG160" s="20"/>
      <c r="OIH160" s="20"/>
      <c r="OII160" s="21"/>
      <c r="OIJ160" s="21"/>
      <c r="OIK160" s="7"/>
      <c r="OIL160" s="7"/>
      <c r="OIM160" s="21"/>
      <c r="OIN160" s="20"/>
      <c r="OIO160" s="20"/>
      <c r="OIP160" s="20"/>
      <c r="OIQ160" s="21"/>
      <c r="OIR160" s="21"/>
      <c r="OIS160" s="21"/>
      <c r="OIT160" s="21"/>
      <c r="OIU160" s="21"/>
      <c r="OIV160" s="20"/>
      <c r="OIW160" s="20"/>
      <c r="OIX160" s="20"/>
      <c r="OIY160" s="20"/>
      <c r="OIZ160" s="21"/>
      <c r="OJA160" s="21"/>
      <c r="OJB160" s="7"/>
      <c r="OJC160" s="7"/>
      <c r="OJD160" s="21"/>
      <c r="OJE160" s="20"/>
      <c r="OJF160" s="20"/>
      <c r="OJG160" s="20"/>
      <c r="OJH160" s="21"/>
      <c r="OJI160" s="21"/>
      <c r="OJJ160" s="21"/>
      <c r="OJK160" s="21"/>
      <c r="OJL160" s="21"/>
      <c r="OJM160" s="20"/>
      <c r="OJN160" s="20"/>
      <c r="OJO160" s="20"/>
      <c r="OJP160" s="20"/>
      <c r="OJQ160" s="21"/>
      <c r="OJR160" s="21"/>
      <c r="OJS160" s="7"/>
      <c r="OJT160" s="7"/>
      <c r="OJU160" s="21"/>
      <c r="OJV160" s="20"/>
      <c r="OJW160" s="20"/>
      <c r="OJX160" s="20"/>
      <c r="OJY160" s="21"/>
      <c r="OJZ160" s="21"/>
      <c r="OKA160" s="21"/>
      <c r="OKB160" s="21"/>
      <c r="OKC160" s="21"/>
      <c r="OKD160" s="20"/>
      <c r="OKE160" s="20"/>
      <c r="OKF160" s="20"/>
      <c r="OKG160" s="20"/>
      <c r="OKH160" s="21"/>
      <c r="OKI160" s="21"/>
      <c r="OKJ160" s="7"/>
      <c r="OKK160" s="7"/>
      <c r="OKL160" s="21"/>
      <c r="OKM160" s="20"/>
      <c r="OKN160" s="20"/>
      <c r="OKO160" s="20"/>
      <c r="OKP160" s="21"/>
      <c r="OKQ160" s="21"/>
      <c r="OKR160" s="21"/>
      <c r="OKS160" s="21"/>
      <c r="OKT160" s="21"/>
      <c r="OKU160" s="20"/>
      <c r="OKV160" s="20"/>
      <c r="OKW160" s="20"/>
      <c r="OKX160" s="20"/>
      <c r="OKY160" s="21"/>
      <c r="OKZ160" s="21"/>
      <c r="OLA160" s="7"/>
      <c r="OLB160" s="7"/>
      <c r="OLC160" s="21"/>
      <c r="OLD160" s="20"/>
      <c r="OLE160" s="20"/>
      <c r="OLF160" s="20"/>
      <c r="OLG160" s="21"/>
      <c r="OLH160" s="21"/>
      <c r="OLI160" s="21"/>
      <c r="OLJ160" s="21"/>
      <c r="OLK160" s="21"/>
      <c r="OLL160" s="20"/>
      <c r="OLM160" s="20"/>
      <c r="OLN160" s="20"/>
      <c r="OLO160" s="20"/>
      <c r="OLP160" s="21"/>
      <c r="OLQ160" s="21"/>
      <c r="OLR160" s="7"/>
      <c r="OLS160" s="7"/>
      <c r="OLT160" s="21"/>
      <c r="OLU160" s="20"/>
      <c r="OLV160" s="20"/>
      <c r="OLW160" s="20"/>
      <c r="OLX160" s="21"/>
      <c r="OLY160" s="21"/>
      <c r="OLZ160" s="21"/>
      <c r="OMA160" s="21"/>
      <c r="OMB160" s="21"/>
      <c r="OMC160" s="20"/>
      <c r="OMD160" s="20"/>
      <c r="OME160" s="20"/>
      <c r="OMF160" s="20"/>
      <c r="OMG160" s="21"/>
      <c r="OMH160" s="21"/>
      <c r="OMI160" s="7"/>
      <c r="OMJ160" s="7"/>
      <c r="OMK160" s="21"/>
      <c r="OML160" s="20"/>
      <c r="OMM160" s="20"/>
      <c r="OMN160" s="20"/>
      <c r="OMO160" s="21"/>
      <c r="OMP160" s="21"/>
      <c r="OMQ160" s="21"/>
      <c r="OMR160" s="21"/>
      <c r="OMS160" s="21"/>
      <c r="OMT160" s="20"/>
      <c r="OMU160" s="20"/>
      <c r="OMV160" s="20"/>
      <c r="OMW160" s="20"/>
      <c r="OMX160" s="21"/>
      <c r="OMY160" s="21"/>
      <c r="OMZ160" s="7"/>
      <c r="ONA160" s="7"/>
      <c r="ONB160" s="21"/>
      <c r="ONC160" s="20"/>
      <c r="OND160" s="20"/>
      <c r="ONE160" s="20"/>
      <c r="ONF160" s="21"/>
      <c r="ONG160" s="21"/>
      <c r="ONH160" s="21"/>
      <c r="ONI160" s="21"/>
      <c r="ONJ160" s="21"/>
      <c r="ONK160" s="20"/>
      <c r="ONL160" s="20"/>
      <c r="ONM160" s="20"/>
      <c r="ONN160" s="20"/>
      <c r="ONO160" s="21"/>
      <c r="ONP160" s="21"/>
      <c r="ONQ160" s="7"/>
      <c r="ONR160" s="7"/>
      <c r="ONS160" s="21"/>
      <c r="ONT160" s="20"/>
      <c r="ONU160" s="20"/>
      <c r="ONV160" s="20"/>
      <c r="ONW160" s="21"/>
      <c r="ONX160" s="21"/>
      <c r="ONY160" s="21"/>
      <c r="ONZ160" s="21"/>
      <c r="OOA160" s="21"/>
      <c r="OOB160" s="20"/>
      <c r="OOC160" s="20"/>
      <c r="OOD160" s="20"/>
      <c r="OOE160" s="20"/>
      <c r="OOF160" s="21"/>
      <c r="OOG160" s="21"/>
      <c r="OOH160" s="7"/>
      <c r="OOI160" s="7"/>
      <c r="OOJ160" s="21"/>
      <c r="OOK160" s="20"/>
      <c r="OOL160" s="20"/>
      <c r="OOM160" s="20"/>
      <c r="OON160" s="21"/>
      <c r="OOO160" s="21"/>
      <c r="OOP160" s="21"/>
      <c r="OOQ160" s="21"/>
      <c r="OOR160" s="21"/>
      <c r="OOS160" s="20"/>
      <c r="OOT160" s="20"/>
      <c r="OOU160" s="20"/>
      <c r="OOV160" s="20"/>
      <c r="OOW160" s="21"/>
      <c r="OOX160" s="21"/>
      <c r="OOY160" s="7"/>
      <c r="OOZ160" s="7"/>
      <c r="OPA160" s="21"/>
      <c r="OPB160" s="20"/>
      <c r="OPC160" s="20"/>
      <c r="OPD160" s="20"/>
      <c r="OPE160" s="21"/>
      <c r="OPF160" s="21"/>
      <c r="OPG160" s="21"/>
      <c r="OPH160" s="21"/>
      <c r="OPI160" s="21"/>
      <c r="OPJ160" s="20"/>
      <c r="OPK160" s="20"/>
      <c r="OPL160" s="20"/>
      <c r="OPM160" s="20"/>
      <c r="OPN160" s="21"/>
      <c r="OPO160" s="21"/>
      <c r="OPP160" s="7"/>
      <c r="OPQ160" s="7"/>
      <c r="OPR160" s="21"/>
      <c r="OPS160" s="20"/>
      <c r="OPT160" s="20"/>
      <c r="OPU160" s="20"/>
      <c r="OPV160" s="21"/>
      <c r="OPW160" s="21"/>
      <c r="OPX160" s="21"/>
      <c r="OPY160" s="21"/>
      <c r="OPZ160" s="21"/>
      <c r="OQA160" s="20"/>
      <c r="OQB160" s="20"/>
      <c r="OQC160" s="20"/>
      <c r="OQD160" s="20"/>
      <c r="OQE160" s="21"/>
      <c r="OQF160" s="21"/>
      <c r="OQG160" s="7"/>
      <c r="OQH160" s="7"/>
      <c r="OQI160" s="21"/>
      <c r="OQJ160" s="20"/>
      <c r="OQK160" s="20"/>
      <c r="OQL160" s="20"/>
      <c r="OQM160" s="21"/>
      <c r="OQN160" s="21"/>
      <c r="OQO160" s="21"/>
      <c r="OQP160" s="21"/>
      <c r="OQQ160" s="21"/>
      <c r="OQR160" s="20"/>
      <c r="OQS160" s="20"/>
      <c r="OQT160" s="20"/>
      <c r="OQU160" s="20"/>
      <c r="OQV160" s="21"/>
      <c r="OQW160" s="21"/>
      <c r="OQX160" s="7"/>
      <c r="OQY160" s="7"/>
      <c r="OQZ160" s="21"/>
      <c r="ORA160" s="20"/>
      <c r="ORB160" s="20"/>
      <c r="ORC160" s="20"/>
      <c r="ORD160" s="21"/>
      <c r="ORE160" s="21"/>
      <c r="ORF160" s="21"/>
      <c r="ORG160" s="21"/>
      <c r="ORH160" s="21"/>
      <c r="ORI160" s="20"/>
      <c r="ORJ160" s="20"/>
      <c r="ORK160" s="20"/>
      <c r="ORL160" s="20"/>
      <c r="ORM160" s="21"/>
      <c r="ORN160" s="21"/>
      <c r="ORO160" s="7"/>
      <c r="ORP160" s="7"/>
      <c r="ORQ160" s="21"/>
      <c r="ORR160" s="20"/>
      <c r="ORS160" s="20"/>
      <c r="ORT160" s="20"/>
      <c r="ORU160" s="21"/>
      <c r="ORV160" s="21"/>
      <c r="ORW160" s="21"/>
      <c r="ORX160" s="21"/>
      <c r="ORY160" s="21"/>
      <c r="ORZ160" s="20"/>
      <c r="OSA160" s="20"/>
      <c r="OSB160" s="20"/>
      <c r="OSC160" s="20"/>
      <c r="OSD160" s="21"/>
      <c r="OSE160" s="21"/>
      <c r="OSF160" s="7"/>
      <c r="OSG160" s="7"/>
      <c r="OSH160" s="21"/>
      <c r="OSI160" s="20"/>
      <c r="OSJ160" s="20"/>
      <c r="OSK160" s="20"/>
      <c r="OSL160" s="21"/>
      <c r="OSM160" s="21"/>
      <c r="OSN160" s="21"/>
      <c r="OSO160" s="21"/>
      <c r="OSP160" s="21"/>
      <c r="OSQ160" s="20"/>
      <c r="OSR160" s="20"/>
      <c r="OSS160" s="20"/>
      <c r="OST160" s="20"/>
      <c r="OSU160" s="21"/>
      <c r="OSV160" s="21"/>
      <c r="OSW160" s="7"/>
      <c r="OSX160" s="7"/>
      <c r="OSY160" s="21"/>
      <c r="OSZ160" s="20"/>
      <c r="OTA160" s="20"/>
      <c r="OTB160" s="20"/>
      <c r="OTC160" s="21"/>
      <c r="OTD160" s="21"/>
      <c r="OTE160" s="21"/>
      <c r="OTF160" s="21"/>
      <c r="OTG160" s="21"/>
      <c r="OTH160" s="20"/>
      <c r="OTI160" s="20"/>
      <c r="OTJ160" s="20"/>
      <c r="OTK160" s="20"/>
      <c r="OTL160" s="21"/>
      <c r="OTM160" s="21"/>
      <c r="OTN160" s="7"/>
      <c r="OTO160" s="7"/>
      <c r="OTP160" s="21"/>
      <c r="OTQ160" s="20"/>
      <c r="OTR160" s="20"/>
      <c r="OTS160" s="20"/>
      <c r="OTT160" s="21"/>
      <c r="OTU160" s="21"/>
      <c r="OTV160" s="21"/>
      <c r="OTW160" s="21"/>
      <c r="OTX160" s="21"/>
      <c r="OTY160" s="20"/>
      <c r="OTZ160" s="20"/>
      <c r="OUA160" s="20"/>
      <c r="OUB160" s="20"/>
      <c r="OUC160" s="21"/>
      <c r="OUD160" s="21"/>
      <c r="OUE160" s="7"/>
      <c r="OUF160" s="7"/>
      <c r="OUG160" s="21"/>
      <c r="OUH160" s="20"/>
      <c r="OUI160" s="20"/>
      <c r="OUJ160" s="20"/>
      <c r="OUK160" s="21"/>
      <c r="OUL160" s="21"/>
      <c r="OUM160" s="21"/>
      <c r="OUN160" s="21"/>
      <c r="OUO160" s="21"/>
      <c r="OUP160" s="20"/>
      <c r="OUQ160" s="20"/>
      <c r="OUR160" s="20"/>
      <c r="OUS160" s="20"/>
      <c r="OUT160" s="21"/>
      <c r="OUU160" s="21"/>
      <c r="OUV160" s="7"/>
      <c r="OUW160" s="7"/>
      <c r="OUX160" s="21"/>
      <c r="OUY160" s="20"/>
      <c r="OUZ160" s="20"/>
      <c r="OVA160" s="20"/>
      <c r="OVB160" s="21"/>
      <c r="OVC160" s="21"/>
      <c r="OVD160" s="21"/>
      <c r="OVE160" s="21"/>
      <c r="OVF160" s="21"/>
      <c r="OVG160" s="20"/>
      <c r="OVH160" s="20"/>
      <c r="OVI160" s="20"/>
      <c r="OVJ160" s="20"/>
      <c r="OVK160" s="21"/>
      <c r="OVL160" s="21"/>
      <c r="OVM160" s="7"/>
      <c r="OVN160" s="7"/>
      <c r="OVO160" s="21"/>
      <c r="OVP160" s="20"/>
      <c r="OVQ160" s="20"/>
      <c r="OVR160" s="20"/>
      <c r="OVS160" s="21"/>
      <c r="OVT160" s="21"/>
      <c r="OVU160" s="21"/>
      <c r="OVV160" s="21"/>
      <c r="OVW160" s="21"/>
      <c r="OVX160" s="20"/>
      <c r="OVY160" s="20"/>
      <c r="OVZ160" s="20"/>
      <c r="OWA160" s="20"/>
      <c r="OWB160" s="21"/>
      <c r="OWC160" s="21"/>
      <c r="OWD160" s="7"/>
      <c r="OWE160" s="7"/>
      <c r="OWF160" s="21"/>
      <c r="OWG160" s="20"/>
      <c r="OWH160" s="20"/>
      <c r="OWI160" s="20"/>
      <c r="OWJ160" s="21"/>
      <c r="OWK160" s="21"/>
      <c r="OWL160" s="21"/>
      <c r="OWM160" s="21"/>
      <c r="OWN160" s="21"/>
      <c r="OWO160" s="20"/>
      <c r="OWP160" s="20"/>
      <c r="OWQ160" s="20"/>
      <c r="OWR160" s="20"/>
      <c r="OWS160" s="21"/>
      <c r="OWT160" s="21"/>
      <c r="OWU160" s="7"/>
      <c r="OWV160" s="7"/>
      <c r="OWW160" s="21"/>
      <c r="OWX160" s="20"/>
      <c r="OWY160" s="20"/>
      <c r="OWZ160" s="20"/>
      <c r="OXA160" s="21"/>
      <c r="OXB160" s="21"/>
      <c r="OXC160" s="21"/>
      <c r="OXD160" s="21"/>
      <c r="OXE160" s="21"/>
      <c r="OXF160" s="20"/>
      <c r="OXG160" s="20"/>
      <c r="OXH160" s="20"/>
      <c r="OXI160" s="20"/>
      <c r="OXJ160" s="21"/>
      <c r="OXK160" s="21"/>
      <c r="OXL160" s="7"/>
      <c r="OXM160" s="7"/>
      <c r="OXN160" s="21"/>
      <c r="OXO160" s="20"/>
      <c r="OXP160" s="20"/>
      <c r="OXQ160" s="20"/>
      <c r="OXR160" s="21"/>
      <c r="OXS160" s="21"/>
      <c r="OXT160" s="21"/>
      <c r="OXU160" s="21"/>
      <c r="OXV160" s="21"/>
      <c r="OXW160" s="20"/>
      <c r="OXX160" s="20"/>
      <c r="OXY160" s="20"/>
      <c r="OXZ160" s="20"/>
      <c r="OYA160" s="21"/>
      <c r="OYB160" s="21"/>
      <c r="OYC160" s="7"/>
      <c r="OYD160" s="7"/>
      <c r="OYE160" s="21"/>
      <c r="OYF160" s="20"/>
      <c r="OYG160" s="20"/>
      <c r="OYH160" s="20"/>
      <c r="OYI160" s="21"/>
      <c r="OYJ160" s="21"/>
      <c r="OYK160" s="21"/>
      <c r="OYL160" s="21"/>
      <c r="OYM160" s="21"/>
      <c r="OYN160" s="20"/>
      <c r="OYO160" s="20"/>
      <c r="OYP160" s="20"/>
      <c r="OYQ160" s="20"/>
      <c r="OYR160" s="21"/>
      <c r="OYS160" s="21"/>
      <c r="OYT160" s="7"/>
      <c r="OYU160" s="7"/>
      <c r="OYV160" s="21"/>
      <c r="OYW160" s="20"/>
      <c r="OYX160" s="20"/>
      <c r="OYY160" s="20"/>
      <c r="OYZ160" s="21"/>
      <c r="OZA160" s="21"/>
      <c r="OZB160" s="21"/>
      <c r="OZC160" s="21"/>
      <c r="OZD160" s="21"/>
      <c r="OZE160" s="20"/>
      <c r="OZF160" s="20"/>
      <c r="OZG160" s="20"/>
      <c r="OZH160" s="20"/>
      <c r="OZI160" s="21"/>
      <c r="OZJ160" s="21"/>
      <c r="OZK160" s="7"/>
      <c r="OZL160" s="7"/>
      <c r="OZM160" s="21"/>
      <c r="OZN160" s="20"/>
      <c r="OZO160" s="20"/>
      <c r="OZP160" s="20"/>
      <c r="OZQ160" s="21"/>
      <c r="OZR160" s="21"/>
      <c r="OZS160" s="21"/>
      <c r="OZT160" s="21"/>
      <c r="OZU160" s="21"/>
      <c r="OZV160" s="20"/>
      <c r="OZW160" s="20"/>
      <c r="OZX160" s="20"/>
      <c r="OZY160" s="20"/>
      <c r="OZZ160" s="21"/>
      <c r="PAA160" s="21"/>
      <c r="PAB160" s="7"/>
      <c r="PAC160" s="7"/>
      <c r="PAD160" s="21"/>
      <c r="PAE160" s="20"/>
      <c r="PAF160" s="20"/>
      <c r="PAG160" s="20"/>
      <c r="PAH160" s="21"/>
      <c r="PAI160" s="21"/>
      <c r="PAJ160" s="21"/>
      <c r="PAK160" s="21"/>
      <c r="PAL160" s="21"/>
      <c r="PAM160" s="20"/>
      <c r="PAN160" s="20"/>
      <c r="PAO160" s="20"/>
      <c r="PAP160" s="20"/>
      <c r="PAQ160" s="21"/>
      <c r="PAR160" s="21"/>
      <c r="PAS160" s="7"/>
      <c r="PAT160" s="7"/>
      <c r="PAU160" s="21"/>
      <c r="PAV160" s="20"/>
      <c r="PAW160" s="20"/>
      <c r="PAX160" s="20"/>
      <c r="PAY160" s="21"/>
      <c r="PAZ160" s="21"/>
      <c r="PBA160" s="21"/>
      <c r="PBB160" s="21"/>
      <c r="PBC160" s="21"/>
      <c r="PBD160" s="20"/>
      <c r="PBE160" s="20"/>
      <c r="PBF160" s="20"/>
      <c r="PBG160" s="20"/>
      <c r="PBH160" s="21"/>
      <c r="PBI160" s="21"/>
      <c r="PBJ160" s="7"/>
      <c r="PBK160" s="7"/>
      <c r="PBL160" s="21"/>
      <c r="PBM160" s="20"/>
      <c r="PBN160" s="20"/>
      <c r="PBO160" s="20"/>
      <c r="PBP160" s="21"/>
      <c r="PBQ160" s="21"/>
      <c r="PBR160" s="21"/>
      <c r="PBS160" s="21"/>
      <c r="PBT160" s="21"/>
      <c r="PBU160" s="20"/>
      <c r="PBV160" s="20"/>
      <c r="PBW160" s="20"/>
      <c r="PBX160" s="20"/>
      <c r="PBY160" s="21"/>
      <c r="PBZ160" s="21"/>
      <c r="PCA160" s="7"/>
      <c r="PCB160" s="7"/>
      <c r="PCC160" s="21"/>
      <c r="PCD160" s="20"/>
      <c r="PCE160" s="20"/>
      <c r="PCF160" s="20"/>
      <c r="PCG160" s="21"/>
      <c r="PCH160" s="21"/>
      <c r="PCI160" s="21"/>
      <c r="PCJ160" s="21"/>
      <c r="PCK160" s="21"/>
      <c r="PCL160" s="20"/>
      <c r="PCM160" s="20"/>
      <c r="PCN160" s="20"/>
      <c r="PCO160" s="20"/>
      <c r="PCP160" s="21"/>
      <c r="PCQ160" s="21"/>
      <c r="PCR160" s="7"/>
      <c r="PCS160" s="7"/>
      <c r="PCT160" s="21"/>
      <c r="PCU160" s="20"/>
      <c r="PCV160" s="20"/>
      <c r="PCW160" s="20"/>
      <c r="PCX160" s="21"/>
      <c r="PCY160" s="21"/>
      <c r="PCZ160" s="21"/>
      <c r="PDA160" s="21"/>
      <c r="PDB160" s="21"/>
      <c r="PDC160" s="20"/>
      <c r="PDD160" s="20"/>
      <c r="PDE160" s="20"/>
      <c r="PDF160" s="20"/>
      <c r="PDG160" s="21"/>
      <c r="PDH160" s="21"/>
      <c r="PDI160" s="7"/>
      <c r="PDJ160" s="7"/>
      <c r="PDK160" s="21"/>
      <c r="PDL160" s="20"/>
      <c r="PDM160" s="20"/>
      <c r="PDN160" s="20"/>
      <c r="PDO160" s="21"/>
      <c r="PDP160" s="21"/>
      <c r="PDQ160" s="21"/>
      <c r="PDR160" s="21"/>
      <c r="PDS160" s="21"/>
      <c r="PDT160" s="20"/>
      <c r="PDU160" s="20"/>
      <c r="PDV160" s="20"/>
      <c r="PDW160" s="20"/>
      <c r="PDX160" s="21"/>
      <c r="PDY160" s="21"/>
      <c r="PDZ160" s="7"/>
      <c r="PEA160" s="7"/>
      <c r="PEB160" s="21"/>
      <c r="PEC160" s="20"/>
      <c r="PED160" s="20"/>
      <c r="PEE160" s="20"/>
      <c r="PEF160" s="21"/>
      <c r="PEG160" s="21"/>
      <c r="PEH160" s="21"/>
      <c r="PEI160" s="21"/>
      <c r="PEJ160" s="21"/>
      <c r="PEK160" s="20"/>
      <c r="PEL160" s="20"/>
      <c r="PEM160" s="20"/>
      <c r="PEN160" s="20"/>
      <c r="PEO160" s="21"/>
      <c r="PEP160" s="21"/>
      <c r="PEQ160" s="7"/>
      <c r="PER160" s="7"/>
      <c r="PES160" s="21"/>
      <c r="PET160" s="20"/>
      <c r="PEU160" s="20"/>
      <c r="PEV160" s="20"/>
      <c r="PEW160" s="21"/>
      <c r="PEX160" s="21"/>
      <c r="PEY160" s="21"/>
      <c r="PEZ160" s="21"/>
      <c r="PFA160" s="21"/>
      <c r="PFB160" s="20"/>
      <c r="PFC160" s="20"/>
      <c r="PFD160" s="20"/>
      <c r="PFE160" s="20"/>
      <c r="PFF160" s="21"/>
      <c r="PFG160" s="21"/>
      <c r="PFH160" s="7"/>
      <c r="PFI160" s="7"/>
      <c r="PFJ160" s="21"/>
      <c r="PFK160" s="20"/>
      <c r="PFL160" s="20"/>
      <c r="PFM160" s="20"/>
      <c r="PFN160" s="21"/>
      <c r="PFO160" s="21"/>
      <c r="PFP160" s="21"/>
      <c r="PFQ160" s="21"/>
      <c r="PFR160" s="21"/>
      <c r="PFS160" s="20"/>
      <c r="PFT160" s="20"/>
      <c r="PFU160" s="20"/>
      <c r="PFV160" s="20"/>
      <c r="PFW160" s="21"/>
      <c r="PFX160" s="21"/>
      <c r="PFY160" s="7"/>
      <c r="PFZ160" s="7"/>
      <c r="PGA160" s="21"/>
      <c r="PGB160" s="20"/>
      <c r="PGC160" s="20"/>
      <c r="PGD160" s="20"/>
      <c r="PGE160" s="21"/>
      <c r="PGF160" s="21"/>
      <c r="PGG160" s="21"/>
      <c r="PGH160" s="21"/>
      <c r="PGI160" s="21"/>
      <c r="PGJ160" s="20"/>
      <c r="PGK160" s="20"/>
      <c r="PGL160" s="20"/>
      <c r="PGM160" s="20"/>
      <c r="PGN160" s="21"/>
      <c r="PGO160" s="21"/>
      <c r="PGP160" s="7"/>
      <c r="PGQ160" s="7"/>
      <c r="PGR160" s="21"/>
      <c r="PGS160" s="20"/>
      <c r="PGT160" s="20"/>
      <c r="PGU160" s="20"/>
      <c r="PGV160" s="21"/>
      <c r="PGW160" s="21"/>
      <c r="PGX160" s="21"/>
      <c r="PGY160" s="21"/>
      <c r="PGZ160" s="21"/>
      <c r="PHA160" s="20"/>
      <c r="PHB160" s="20"/>
      <c r="PHC160" s="20"/>
      <c r="PHD160" s="20"/>
      <c r="PHE160" s="21"/>
      <c r="PHF160" s="21"/>
      <c r="PHG160" s="7"/>
      <c r="PHH160" s="7"/>
      <c r="PHI160" s="21"/>
      <c r="PHJ160" s="20"/>
      <c r="PHK160" s="20"/>
      <c r="PHL160" s="20"/>
      <c r="PHM160" s="21"/>
      <c r="PHN160" s="21"/>
      <c r="PHO160" s="21"/>
      <c r="PHP160" s="21"/>
      <c r="PHQ160" s="21"/>
      <c r="PHR160" s="20"/>
      <c r="PHS160" s="20"/>
      <c r="PHT160" s="20"/>
      <c r="PHU160" s="20"/>
      <c r="PHV160" s="21"/>
      <c r="PHW160" s="21"/>
      <c r="PHX160" s="7"/>
      <c r="PHY160" s="7"/>
      <c r="PHZ160" s="21"/>
      <c r="PIA160" s="20"/>
      <c r="PIB160" s="20"/>
      <c r="PIC160" s="20"/>
      <c r="PID160" s="21"/>
      <c r="PIE160" s="21"/>
      <c r="PIF160" s="21"/>
      <c r="PIG160" s="21"/>
      <c r="PIH160" s="21"/>
      <c r="PII160" s="20"/>
      <c r="PIJ160" s="20"/>
      <c r="PIK160" s="20"/>
      <c r="PIL160" s="20"/>
      <c r="PIM160" s="21"/>
      <c r="PIN160" s="21"/>
      <c r="PIO160" s="7"/>
      <c r="PIP160" s="7"/>
      <c r="PIQ160" s="21"/>
      <c r="PIR160" s="20"/>
      <c r="PIS160" s="20"/>
      <c r="PIT160" s="20"/>
      <c r="PIU160" s="21"/>
      <c r="PIV160" s="21"/>
      <c r="PIW160" s="21"/>
      <c r="PIX160" s="21"/>
      <c r="PIY160" s="21"/>
      <c r="PIZ160" s="20"/>
      <c r="PJA160" s="20"/>
      <c r="PJB160" s="20"/>
      <c r="PJC160" s="20"/>
      <c r="PJD160" s="21"/>
      <c r="PJE160" s="21"/>
      <c r="PJF160" s="7"/>
      <c r="PJG160" s="7"/>
      <c r="PJH160" s="21"/>
      <c r="PJI160" s="20"/>
      <c r="PJJ160" s="20"/>
      <c r="PJK160" s="20"/>
      <c r="PJL160" s="21"/>
      <c r="PJM160" s="21"/>
      <c r="PJN160" s="21"/>
      <c r="PJO160" s="21"/>
      <c r="PJP160" s="21"/>
      <c r="PJQ160" s="20"/>
      <c r="PJR160" s="20"/>
      <c r="PJS160" s="20"/>
      <c r="PJT160" s="20"/>
      <c r="PJU160" s="21"/>
      <c r="PJV160" s="21"/>
      <c r="PJW160" s="7"/>
      <c r="PJX160" s="7"/>
      <c r="PJY160" s="21"/>
      <c r="PJZ160" s="20"/>
      <c r="PKA160" s="20"/>
      <c r="PKB160" s="20"/>
      <c r="PKC160" s="21"/>
      <c r="PKD160" s="21"/>
      <c r="PKE160" s="21"/>
      <c r="PKF160" s="21"/>
      <c r="PKG160" s="21"/>
      <c r="PKH160" s="20"/>
      <c r="PKI160" s="20"/>
      <c r="PKJ160" s="20"/>
      <c r="PKK160" s="20"/>
      <c r="PKL160" s="21"/>
      <c r="PKM160" s="21"/>
      <c r="PKN160" s="7"/>
      <c r="PKO160" s="7"/>
      <c r="PKP160" s="21"/>
      <c r="PKQ160" s="20"/>
      <c r="PKR160" s="20"/>
      <c r="PKS160" s="20"/>
      <c r="PKT160" s="21"/>
      <c r="PKU160" s="21"/>
      <c r="PKV160" s="21"/>
      <c r="PKW160" s="21"/>
      <c r="PKX160" s="21"/>
      <c r="PKY160" s="20"/>
      <c r="PKZ160" s="20"/>
      <c r="PLA160" s="20"/>
      <c r="PLB160" s="20"/>
      <c r="PLC160" s="21"/>
      <c r="PLD160" s="21"/>
      <c r="PLE160" s="7"/>
      <c r="PLF160" s="7"/>
      <c r="PLG160" s="21"/>
      <c r="PLH160" s="20"/>
      <c r="PLI160" s="20"/>
      <c r="PLJ160" s="20"/>
      <c r="PLK160" s="21"/>
      <c r="PLL160" s="21"/>
      <c r="PLM160" s="21"/>
      <c r="PLN160" s="21"/>
      <c r="PLO160" s="21"/>
      <c r="PLP160" s="20"/>
      <c r="PLQ160" s="20"/>
      <c r="PLR160" s="20"/>
      <c r="PLS160" s="20"/>
      <c r="PLT160" s="21"/>
      <c r="PLU160" s="21"/>
      <c r="PLV160" s="7"/>
      <c r="PLW160" s="7"/>
      <c r="PLX160" s="21"/>
      <c r="PLY160" s="20"/>
      <c r="PLZ160" s="20"/>
      <c r="PMA160" s="20"/>
      <c r="PMB160" s="21"/>
      <c r="PMC160" s="21"/>
      <c r="PMD160" s="21"/>
      <c r="PME160" s="21"/>
      <c r="PMF160" s="21"/>
      <c r="PMG160" s="20"/>
      <c r="PMH160" s="20"/>
      <c r="PMI160" s="20"/>
      <c r="PMJ160" s="20"/>
      <c r="PMK160" s="21"/>
      <c r="PML160" s="21"/>
      <c r="PMM160" s="7"/>
      <c r="PMN160" s="7"/>
      <c r="PMO160" s="21"/>
      <c r="PMP160" s="20"/>
      <c r="PMQ160" s="20"/>
      <c r="PMR160" s="20"/>
      <c r="PMS160" s="21"/>
      <c r="PMT160" s="21"/>
      <c r="PMU160" s="21"/>
      <c r="PMV160" s="21"/>
      <c r="PMW160" s="21"/>
      <c r="PMX160" s="20"/>
      <c r="PMY160" s="20"/>
      <c r="PMZ160" s="20"/>
      <c r="PNA160" s="20"/>
      <c r="PNB160" s="21"/>
      <c r="PNC160" s="21"/>
      <c r="PND160" s="7"/>
      <c r="PNE160" s="7"/>
      <c r="PNF160" s="21"/>
      <c r="PNG160" s="20"/>
      <c r="PNH160" s="20"/>
      <c r="PNI160" s="20"/>
      <c r="PNJ160" s="21"/>
      <c r="PNK160" s="21"/>
      <c r="PNL160" s="21"/>
      <c r="PNM160" s="21"/>
      <c r="PNN160" s="21"/>
      <c r="PNO160" s="20"/>
      <c r="PNP160" s="20"/>
      <c r="PNQ160" s="20"/>
      <c r="PNR160" s="20"/>
      <c r="PNS160" s="21"/>
      <c r="PNT160" s="21"/>
      <c r="PNU160" s="7"/>
      <c r="PNV160" s="7"/>
      <c r="PNW160" s="21"/>
      <c r="PNX160" s="20"/>
      <c r="PNY160" s="20"/>
      <c r="PNZ160" s="20"/>
      <c r="POA160" s="21"/>
      <c r="POB160" s="21"/>
      <c r="POC160" s="21"/>
      <c r="POD160" s="21"/>
      <c r="POE160" s="21"/>
      <c r="POF160" s="20"/>
      <c r="POG160" s="20"/>
      <c r="POH160" s="20"/>
      <c r="POI160" s="20"/>
      <c r="POJ160" s="21"/>
      <c r="POK160" s="21"/>
      <c r="POL160" s="7"/>
      <c r="POM160" s="7"/>
      <c r="PON160" s="21"/>
      <c r="POO160" s="20"/>
      <c r="POP160" s="20"/>
      <c r="POQ160" s="20"/>
      <c r="POR160" s="21"/>
      <c r="POS160" s="21"/>
      <c r="POT160" s="21"/>
      <c r="POU160" s="21"/>
      <c r="POV160" s="21"/>
      <c r="POW160" s="20"/>
      <c r="POX160" s="20"/>
      <c r="POY160" s="20"/>
      <c r="POZ160" s="20"/>
      <c r="PPA160" s="21"/>
      <c r="PPB160" s="21"/>
      <c r="PPC160" s="7"/>
      <c r="PPD160" s="7"/>
      <c r="PPE160" s="21"/>
      <c r="PPF160" s="20"/>
      <c r="PPG160" s="20"/>
      <c r="PPH160" s="20"/>
      <c r="PPI160" s="21"/>
      <c r="PPJ160" s="21"/>
      <c r="PPK160" s="21"/>
      <c r="PPL160" s="21"/>
      <c r="PPM160" s="21"/>
      <c r="PPN160" s="20"/>
      <c r="PPO160" s="20"/>
      <c r="PPP160" s="20"/>
      <c r="PPQ160" s="20"/>
      <c r="PPR160" s="21"/>
      <c r="PPS160" s="21"/>
      <c r="PPT160" s="7"/>
      <c r="PPU160" s="7"/>
      <c r="PPV160" s="21"/>
      <c r="PPW160" s="20"/>
      <c r="PPX160" s="20"/>
      <c r="PPY160" s="20"/>
      <c r="PPZ160" s="21"/>
      <c r="PQA160" s="21"/>
      <c r="PQB160" s="21"/>
      <c r="PQC160" s="21"/>
      <c r="PQD160" s="21"/>
      <c r="PQE160" s="20"/>
      <c r="PQF160" s="20"/>
      <c r="PQG160" s="20"/>
      <c r="PQH160" s="20"/>
      <c r="PQI160" s="21"/>
      <c r="PQJ160" s="21"/>
      <c r="PQK160" s="7"/>
      <c r="PQL160" s="7"/>
      <c r="PQM160" s="21"/>
      <c r="PQN160" s="20"/>
      <c r="PQO160" s="20"/>
      <c r="PQP160" s="20"/>
      <c r="PQQ160" s="21"/>
      <c r="PQR160" s="21"/>
      <c r="PQS160" s="21"/>
      <c r="PQT160" s="21"/>
      <c r="PQU160" s="21"/>
      <c r="PQV160" s="20"/>
      <c r="PQW160" s="20"/>
      <c r="PQX160" s="20"/>
      <c r="PQY160" s="20"/>
      <c r="PQZ160" s="21"/>
      <c r="PRA160" s="21"/>
      <c r="PRB160" s="7"/>
      <c r="PRC160" s="7"/>
      <c r="PRD160" s="21"/>
      <c r="PRE160" s="20"/>
      <c r="PRF160" s="20"/>
      <c r="PRG160" s="20"/>
      <c r="PRH160" s="21"/>
      <c r="PRI160" s="21"/>
      <c r="PRJ160" s="21"/>
      <c r="PRK160" s="21"/>
      <c r="PRL160" s="21"/>
      <c r="PRM160" s="20"/>
      <c r="PRN160" s="20"/>
      <c r="PRO160" s="20"/>
      <c r="PRP160" s="20"/>
      <c r="PRQ160" s="21"/>
      <c r="PRR160" s="21"/>
      <c r="PRS160" s="7"/>
      <c r="PRT160" s="7"/>
      <c r="PRU160" s="21"/>
      <c r="PRV160" s="20"/>
      <c r="PRW160" s="20"/>
      <c r="PRX160" s="20"/>
      <c r="PRY160" s="21"/>
      <c r="PRZ160" s="21"/>
      <c r="PSA160" s="21"/>
      <c r="PSB160" s="21"/>
      <c r="PSC160" s="21"/>
      <c r="PSD160" s="20"/>
      <c r="PSE160" s="20"/>
      <c r="PSF160" s="20"/>
      <c r="PSG160" s="20"/>
      <c r="PSH160" s="21"/>
      <c r="PSI160" s="21"/>
      <c r="PSJ160" s="7"/>
      <c r="PSK160" s="7"/>
      <c r="PSL160" s="21"/>
      <c r="PSM160" s="20"/>
      <c r="PSN160" s="20"/>
      <c r="PSO160" s="20"/>
      <c r="PSP160" s="21"/>
      <c r="PSQ160" s="21"/>
      <c r="PSR160" s="21"/>
      <c r="PSS160" s="21"/>
      <c r="PST160" s="21"/>
      <c r="PSU160" s="20"/>
      <c r="PSV160" s="20"/>
      <c r="PSW160" s="20"/>
      <c r="PSX160" s="20"/>
      <c r="PSY160" s="21"/>
      <c r="PSZ160" s="21"/>
      <c r="PTA160" s="7"/>
      <c r="PTB160" s="7"/>
      <c r="PTC160" s="21"/>
      <c r="PTD160" s="20"/>
      <c r="PTE160" s="20"/>
      <c r="PTF160" s="20"/>
      <c r="PTG160" s="21"/>
      <c r="PTH160" s="21"/>
      <c r="PTI160" s="21"/>
      <c r="PTJ160" s="21"/>
      <c r="PTK160" s="21"/>
      <c r="PTL160" s="20"/>
      <c r="PTM160" s="20"/>
      <c r="PTN160" s="20"/>
      <c r="PTO160" s="20"/>
      <c r="PTP160" s="21"/>
      <c r="PTQ160" s="21"/>
      <c r="PTR160" s="7"/>
      <c r="PTS160" s="7"/>
      <c r="PTT160" s="21"/>
      <c r="PTU160" s="20"/>
      <c r="PTV160" s="20"/>
      <c r="PTW160" s="20"/>
      <c r="PTX160" s="21"/>
      <c r="PTY160" s="21"/>
      <c r="PTZ160" s="21"/>
      <c r="PUA160" s="21"/>
      <c r="PUB160" s="21"/>
      <c r="PUC160" s="20"/>
      <c r="PUD160" s="20"/>
      <c r="PUE160" s="20"/>
      <c r="PUF160" s="20"/>
      <c r="PUG160" s="21"/>
      <c r="PUH160" s="21"/>
      <c r="PUI160" s="7"/>
      <c r="PUJ160" s="7"/>
      <c r="PUK160" s="21"/>
      <c r="PUL160" s="20"/>
      <c r="PUM160" s="20"/>
      <c r="PUN160" s="20"/>
      <c r="PUO160" s="21"/>
      <c r="PUP160" s="21"/>
      <c r="PUQ160" s="21"/>
      <c r="PUR160" s="21"/>
      <c r="PUS160" s="21"/>
      <c r="PUT160" s="20"/>
      <c r="PUU160" s="20"/>
      <c r="PUV160" s="20"/>
      <c r="PUW160" s="20"/>
      <c r="PUX160" s="21"/>
      <c r="PUY160" s="21"/>
      <c r="PUZ160" s="7"/>
      <c r="PVA160" s="7"/>
      <c r="PVB160" s="21"/>
      <c r="PVC160" s="20"/>
      <c r="PVD160" s="20"/>
      <c r="PVE160" s="20"/>
      <c r="PVF160" s="21"/>
      <c r="PVG160" s="21"/>
      <c r="PVH160" s="21"/>
      <c r="PVI160" s="21"/>
      <c r="PVJ160" s="21"/>
      <c r="PVK160" s="20"/>
      <c r="PVL160" s="20"/>
      <c r="PVM160" s="20"/>
      <c r="PVN160" s="20"/>
      <c r="PVO160" s="21"/>
      <c r="PVP160" s="21"/>
      <c r="PVQ160" s="7"/>
      <c r="PVR160" s="7"/>
      <c r="PVS160" s="21"/>
      <c r="PVT160" s="20"/>
      <c r="PVU160" s="20"/>
      <c r="PVV160" s="20"/>
      <c r="PVW160" s="21"/>
      <c r="PVX160" s="21"/>
      <c r="PVY160" s="21"/>
      <c r="PVZ160" s="21"/>
      <c r="PWA160" s="21"/>
      <c r="PWB160" s="20"/>
      <c r="PWC160" s="20"/>
      <c r="PWD160" s="20"/>
      <c r="PWE160" s="20"/>
      <c r="PWF160" s="21"/>
      <c r="PWG160" s="21"/>
      <c r="PWH160" s="7"/>
      <c r="PWI160" s="7"/>
      <c r="PWJ160" s="21"/>
      <c r="PWK160" s="20"/>
      <c r="PWL160" s="20"/>
      <c r="PWM160" s="20"/>
      <c r="PWN160" s="21"/>
      <c r="PWO160" s="21"/>
      <c r="PWP160" s="21"/>
      <c r="PWQ160" s="21"/>
      <c r="PWR160" s="21"/>
      <c r="PWS160" s="20"/>
      <c r="PWT160" s="20"/>
      <c r="PWU160" s="20"/>
      <c r="PWV160" s="20"/>
      <c r="PWW160" s="21"/>
      <c r="PWX160" s="21"/>
      <c r="PWY160" s="7"/>
      <c r="PWZ160" s="7"/>
      <c r="PXA160" s="21"/>
      <c r="PXB160" s="20"/>
      <c r="PXC160" s="20"/>
      <c r="PXD160" s="20"/>
      <c r="PXE160" s="21"/>
      <c r="PXF160" s="21"/>
      <c r="PXG160" s="21"/>
      <c r="PXH160" s="21"/>
      <c r="PXI160" s="21"/>
      <c r="PXJ160" s="20"/>
      <c r="PXK160" s="20"/>
      <c r="PXL160" s="20"/>
      <c r="PXM160" s="20"/>
      <c r="PXN160" s="21"/>
      <c r="PXO160" s="21"/>
      <c r="PXP160" s="7"/>
      <c r="PXQ160" s="7"/>
      <c r="PXR160" s="21"/>
      <c r="PXS160" s="20"/>
      <c r="PXT160" s="20"/>
      <c r="PXU160" s="20"/>
      <c r="PXV160" s="21"/>
      <c r="PXW160" s="21"/>
      <c r="PXX160" s="21"/>
      <c r="PXY160" s="21"/>
      <c r="PXZ160" s="21"/>
      <c r="PYA160" s="20"/>
      <c r="PYB160" s="20"/>
      <c r="PYC160" s="20"/>
      <c r="PYD160" s="20"/>
      <c r="PYE160" s="21"/>
      <c r="PYF160" s="21"/>
      <c r="PYG160" s="7"/>
      <c r="PYH160" s="7"/>
      <c r="PYI160" s="21"/>
      <c r="PYJ160" s="20"/>
      <c r="PYK160" s="20"/>
      <c r="PYL160" s="20"/>
      <c r="PYM160" s="21"/>
      <c r="PYN160" s="21"/>
      <c r="PYO160" s="21"/>
      <c r="PYP160" s="21"/>
      <c r="PYQ160" s="21"/>
      <c r="PYR160" s="20"/>
      <c r="PYS160" s="20"/>
      <c r="PYT160" s="20"/>
      <c r="PYU160" s="20"/>
      <c r="PYV160" s="21"/>
      <c r="PYW160" s="21"/>
      <c r="PYX160" s="7"/>
      <c r="PYY160" s="7"/>
      <c r="PYZ160" s="21"/>
      <c r="PZA160" s="20"/>
      <c r="PZB160" s="20"/>
      <c r="PZC160" s="20"/>
      <c r="PZD160" s="21"/>
      <c r="PZE160" s="21"/>
      <c r="PZF160" s="21"/>
      <c r="PZG160" s="21"/>
      <c r="PZH160" s="21"/>
      <c r="PZI160" s="20"/>
      <c r="PZJ160" s="20"/>
      <c r="PZK160" s="20"/>
      <c r="PZL160" s="20"/>
      <c r="PZM160" s="21"/>
      <c r="PZN160" s="21"/>
      <c r="PZO160" s="7"/>
      <c r="PZP160" s="7"/>
      <c r="PZQ160" s="21"/>
      <c r="PZR160" s="20"/>
      <c r="PZS160" s="20"/>
      <c r="PZT160" s="20"/>
      <c r="PZU160" s="21"/>
      <c r="PZV160" s="21"/>
      <c r="PZW160" s="21"/>
      <c r="PZX160" s="21"/>
      <c r="PZY160" s="21"/>
      <c r="PZZ160" s="20"/>
      <c r="QAA160" s="20"/>
      <c r="QAB160" s="20"/>
      <c r="QAC160" s="20"/>
      <c r="QAD160" s="21"/>
      <c r="QAE160" s="21"/>
      <c r="QAF160" s="7"/>
      <c r="QAG160" s="7"/>
      <c r="QAH160" s="21"/>
      <c r="QAI160" s="20"/>
      <c r="QAJ160" s="20"/>
      <c r="QAK160" s="20"/>
      <c r="QAL160" s="21"/>
      <c r="QAM160" s="21"/>
      <c r="QAN160" s="21"/>
      <c r="QAO160" s="21"/>
      <c r="QAP160" s="21"/>
      <c r="QAQ160" s="20"/>
      <c r="QAR160" s="20"/>
      <c r="QAS160" s="20"/>
      <c r="QAT160" s="20"/>
      <c r="QAU160" s="21"/>
      <c r="QAV160" s="21"/>
      <c r="QAW160" s="7"/>
      <c r="QAX160" s="7"/>
      <c r="QAY160" s="21"/>
      <c r="QAZ160" s="20"/>
      <c r="QBA160" s="20"/>
      <c r="QBB160" s="20"/>
      <c r="QBC160" s="21"/>
      <c r="QBD160" s="21"/>
      <c r="QBE160" s="21"/>
      <c r="QBF160" s="21"/>
      <c r="QBG160" s="21"/>
      <c r="QBH160" s="20"/>
      <c r="QBI160" s="20"/>
      <c r="QBJ160" s="20"/>
      <c r="QBK160" s="20"/>
      <c r="QBL160" s="21"/>
      <c r="QBM160" s="21"/>
      <c r="QBN160" s="7"/>
      <c r="QBO160" s="7"/>
      <c r="QBP160" s="21"/>
      <c r="QBQ160" s="20"/>
      <c r="QBR160" s="20"/>
      <c r="QBS160" s="20"/>
      <c r="QBT160" s="21"/>
      <c r="QBU160" s="21"/>
      <c r="QBV160" s="21"/>
      <c r="QBW160" s="21"/>
      <c r="QBX160" s="21"/>
      <c r="QBY160" s="20"/>
      <c r="QBZ160" s="20"/>
      <c r="QCA160" s="20"/>
      <c r="QCB160" s="20"/>
      <c r="QCC160" s="21"/>
      <c r="QCD160" s="21"/>
      <c r="QCE160" s="7"/>
      <c r="QCF160" s="7"/>
      <c r="QCG160" s="21"/>
      <c r="QCH160" s="20"/>
      <c r="QCI160" s="20"/>
      <c r="QCJ160" s="20"/>
      <c r="QCK160" s="21"/>
      <c r="QCL160" s="21"/>
      <c r="QCM160" s="21"/>
      <c r="QCN160" s="21"/>
      <c r="QCO160" s="21"/>
      <c r="QCP160" s="20"/>
      <c r="QCQ160" s="20"/>
      <c r="QCR160" s="20"/>
      <c r="QCS160" s="20"/>
      <c r="QCT160" s="21"/>
      <c r="QCU160" s="21"/>
      <c r="QCV160" s="7"/>
      <c r="QCW160" s="7"/>
      <c r="QCX160" s="21"/>
      <c r="QCY160" s="20"/>
      <c r="QCZ160" s="20"/>
      <c r="QDA160" s="20"/>
      <c r="QDB160" s="21"/>
      <c r="QDC160" s="21"/>
      <c r="QDD160" s="21"/>
      <c r="QDE160" s="21"/>
      <c r="QDF160" s="21"/>
      <c r="QDG160" s="20"/>
      <c r="QDH160" s="20"/>
      <c r="QDI160" s="20"/>
      <c r="QDJ160" s="20"/>
      <c r="QDK160" s="21"/>
      <c r="QDL160" s="21"/>
      <c r="QDM160" s="7"/>
      <c r="QDN160" s="7"/>
      <c r="QDO160" s="21"/>
      <c r="QDP160" s="20"/>
      <c r="QDQ160" s="20"/>
      <c r="QDR160" s="20"/>
      <c r="QDS160" s="21"/>
      <c r="QDT160" s="21"/>
      <c r="QDU160" s="21"/>
      <c r="QDV160" s="21"/>
      <c r="QDW160" s="21"/>
      <c r="QDX160" s="20"/>
      <c r="QDY160" s="20"/>
      <c r="QDZ160" s="20"/>
      <c r="QEA160" s="20"/>
      <c r="QEB160" s="21"/>
      <c r="QEC160" s="21"/>
      <c r="QED160" s="7"/>
      <c r="QEE160" s="7"/>
      <c r="QEF160" s="21"/>
      <c r="QEG160" s="20"/>
      <c r="QEH160" s="20"/>
      <c r="QEI160" s="20"/>
      <c r="QEJ160" s="21"/>
      <c r="QEK160" s="21"/>
      <c r="QEL160" s="21"/>
      <c r="QEM160" s="21"/>
      <c r="QEN160" s="21"/>
      <c r="QEO160" s="20"/>
      <c r="QEP160" s="20"/>
      <c r="QEQ160" s="20"/>
      <c r="QER160" s="20"/>
      <c r="QES160" s="21"/>
      <c r="QET160" s="21"/>
      <c r="QEU160" s="7"/>
      <c r="QEV160" s="7"/>
      <c r="QEW160" s="21"/>
      <c r="QEX160" s="20"/>
      <c r="QEY160" s="20"/>
      <c r="QEZ160" s="20"/>
      <c r="QFA160" s="21"/>
      <c r="QFB160" s="21"/>
      <c r="QFC160" s="21"/>
      <c r="QFD160" s="21"/>
      <c r="QFE160" s="21"/>
      <c r="QFF160" s="20"/>
      <c r="QFG160" s="20"/>
      <c r="QFH160" s="20"/>
      <c r="QFI160" s="20"/>
      <c r="QFJ160" s="21"/>
      <c r="QFK160" s="21"/>
      <c r="QFL160" s="7"/>
      <c r="QFM160" s="7"/>
      <c r="QFN160" s="21"/>
      <c r="QFO160" s="20"/>
      <c r="QFP160" s="20"/>
      <c r="QFQ160" s="20"/>
      <c r="QFR160" s="21"/>
      <c r="QFS160" s="21"/>
      <c r="QFT160" s="21"/>
      <c r="QFU160" s="21"/>
      <c r="QFV160" s="21"/>
      <c r="QFW160" s="20"/>
      <c r="QFX160" s="20"/>
      <c r="QFY160" s="20"/>
      <c r="QFZ160" s="20"/>
      <c r="QGA160" s="21"/>
      <c r="QGB160" s="21"/>
      <c r="QGC160" s="7"/>
      <c r="QGD160" s="7"/>
      <c r="QGE160" s="21"/>
      <c r="QGF160" s="20"/>
      <c r="QGG160" s="20"/>
      <c r="QGH160" s="20"/>
      <c r="QGI160" s="21"/>
      <c r="QGJ160" s="21"/>
      <c r="QGK160" s="21"/>
      <c r="QGL160" s="21"/>
      <c r="QGM160" s="21"/>
      <c r="QGN160" s="20"/>
      <c r="QGO160" s="20"/>
      <c r="QGP160" s="20"/>
      <c r="QGQ160" s="20"/>
      <c r="QGR160" s="21"/>
      <c r="QGS160" s="21"/>
      <c r="QGT160" s="7"/>
      <c r="QGU160" s="7"/>
      <c r="QGV160" s="21"/>
      <c r="QGW160" s="20"/>
      <c r="QGX160" s="20"/>
      <c r="QGY160" s="20"/>
      <c r="QGZ160" s="21"/>
      <c r="QHA160" s="21"/>
      <c r="QHB160" s="21"/>
      <c r="QHC160" s="21"/>
      <c r="QHD160" s="21"/>
      <c r="QHE160" s="20"/>
      <c r="QHF160" s="20"/>
      <c r="QHG160" s="20"/>
      <c r="QHH160" s="20"/>
      <c r="QHI160" s="21"/>
      <c r="QHJ160" s="21"/>
      <c r="QHK160" s="7"/>
      <c r="QHL160" s="7"/>
      <c r="QHM160" s="21"/>
      <c r="QHN160" s="20"/>
      <c r="QHO160" s="20"/>
      <c r="QHP160" s="20"/>
      <c r="QHQ160" s="21"/>
      <c r="QHR160" s="21"/>
      <c r="QHS160" s="21"/>
      <c r="QHT160" s="21"/>
      <c r="QHU160" s="21"/>
      <c r="QHV160" s="20"/>
      <c r="QHW160" s="20"/>
      <c r="QHX160" s="20"/>
      <c r="QHY160" s="20"/>
      <c r="QHZ160" s="21"/>
      <c r="QIA160" s="21"/>
      <c r="QIB160" s="7"/>
      <c r="QIC160" s="7"/>
      <c r="QID160" s="21"/>
      <c r="QIE160" s="20"/>
      <c r="QIF160" s="20"/>
      <c r="QIG160" s="20"/>
      <c r="QIH160" s="21"/>
      <c r="QII160" s="21"/>
      <c r="QIJ160" s="21"/>
      <c r="QIK160" s="21"/>
      <c r="QIL160" s="21"/>
      <c r="QIM160" s="20"/>
      <c r="QIN160" s="20"/>
      <c r="QIO160" s="20"/>
      <c r="QIP160" s="20"/>
      <c r="QIQ160" s="21"/>
      <c r="QIR160" s="21"/>
      <c r="QIS160" s="7"/>
      <c r="QIT160" s="7"/>
      <c r="QIU160" s="21"/>
      <c r="QIV160" s="20"/>
      <c r="QIW160" s="20"/>
      <c r="QIX160" s="20"/>
      <c r="QIY160" s="21"/>
      <c r="QIZ160" s="21"/>
      <c r="QJA160" s="21"/>
      <c r="QJB160" s="21"/>
      <c r="QJC160" s="21"/>
      <c r="QJD160" s="20"/>
      <c r="QJE160" s="20"/>
      <c r="QJF160" s="20"/>
      <c r="QJG160" s="20"/>
      <c r="QJH160" s="21"/>
      <c r="QJI160" s="21"/>
      <c r="QJJ160" s="7"/>
      <c r="QJK160" s="7"/>
      <c r="QJL160" s="21"/>
      <c r="QJM160" s="20"/>
      <c r="QJN160" s="20"/>
      <c r="QJO160" s="20"/>
      <c r="QJP160" s="21"/>
      <c r="QJQ160" s="21"/>
      <c r="QJR160" s="21"/>
      <c r="QJS160" s="21"/>
      <c r="QJT160" s="21"/>
      <c r="QJU160" s="20"/>
      <c r="QJV160" s="20"/>
      <c r="QJW160" s="20"/>
      <c r="QJX160" s="20"/>
      <c r="QJY160" s="21"/>
      <c r="QJZ160" s="21"/>
      <c r="QKA160" s="7"/>
      <c r="QKB160" s="7"/>
      <c r="QKC160" s="21"/>
      <c r="QKD160" s="20"/>
      <c r="QKE160" s="20"/>
      <c r="QKF160" s="20"/>
      <c r="QKG160" s="21"/>
      <c r="QKH160" s="21"/>
      <c r="QKI160" s="21"/>
      <c r="QKJ160" s="21"/>
      <c r="QKK160" s="21"/>
      <c r="QKL160" s="20"/>
      <c r="QKM160" s="20"/>
      <c r="QKN160" s="20"/>
      <c r="QKO160" s="20"/>
      <c r="QKP160" s="21"/>
      <c r="QKQ160" s="21"/>
      <c r="QKR160" s="7"/>
      <c r="QKS160" s="7"/>
      <c r="QKT160" s="21"/>
      <c r="QKU160" s="20"/>
      <c r="QKV160" s="20"/>
      <c r="QKW160" s="20"/>
      <c r="QKX160" s="21"/>
      <c r="QKY160" s="21"/>
      <c r="QKZ160" s="21"/>
      <c r="QLA160" s="21"/>
      <c r="QLB160" s="21"/>
      <c r="QLC160" s="20"/>
      <c r="QLD160" s="20"/>
      <c r="QLE160" s="20"/>
      <c r="QLF160" s="20"/>
      <c r="QLG160" s="21"/>
      <c r="QLH160" s="21"/>
      <c r="QLI160" s="7"/>
      <c r="QLJ160" s="7"/>
      <c r="QLK160" s="21"/>
      <c r="QLL160" s="20"/>
      <c r="QLM160" s="20"/>
      <c r="QLN160" s="20"/>
      <c r="QLO160" s="21"/>
      <c r="QLP160" s="21"/>
      <c r="QLQ160" s="21"/>
      <c r="QLR160" s="21"/>
      <c r="QLS160" s="21"/>
      <c r="QLT160" s="20"/>
      <c r="QLU160" s="20"/>
      <c r="QLV160" s="20"/>
      <c r="QLW160" s="20"/>
      <c r="QLX160" s="21"/>
      <c r="QLY160" s="21"/>
      <c r="QLZ160" s="7"/>
      <c r="QMA160" s="7"/>
      <c r="QMB160" s="21"/>
      <c r="QMC160" s="20"/>
      <c r="QMD160" s="20"/>
      <c r="QME160" s="20"/>
      <c r="QMF160" s="21"/>
      <c r="QMG160" s="21"/>
      <c r="QMH160" s="21"/>
      <c r="QMI160" s="21"/>
      <c r="QMJ160" s="21"/>
      <c r="QMK160" s="20"/>
      <c r="QML160" s="20"/>
      <c r="QMM160" s="20"/>
      <c r="QMN160" s="20"/>
      <c r="QMO160" s="21"/>
      <c r="QMP160" s="21"/>
      <c r="QMQ160" s="7"/>
      <c r="QMR160" s="7"/>
      <c r="QMS160" s="21"/>
      <c r="QMT160" s="20"/>
      <c r="QMU160" s="20"/>
      <c r="QMV160" s="20"/>
      <c r="QMW160" s="21"/>
      <c r="QMX160" s="21"/>
      <c r="QMY160" s="21"/>
      <c r="QMZ160" s="21"/>
      <c r="QNA160" s="21"/>
      <c r="QNB160" s="20"/>
      <c r="QNC160" s="20"/>
      <c r="QND160" s="20"/>
      <c r="QNE160" s="20"/>
      <c r="QNF160" s="21"/>
      <c r="QNG160" s="21"/>
      <c r="QNH160" s="7"/>
      <c r="QNI160" s="7"/>
      <c r="QNJ160" s="21"/>
      <c r="QNK160" s="20"/>
      <c r="QNL160" s="20"/>
      <c r="QNM160" s="20"/>
      <c r="QNN160" s="21"/>
      <c r="QNO160" s="21"/>
      <c r="QNP160" s="21"/>
      <c r="QNQ160" s="21"/>
      <c r="QNR160" s="21"/>
      <c r="QNS160" s="20"/>
      <c r="QNT160" s="20"/>
      <c r="QNU160" s="20"/>
      <c r="QNV160" s="20"/>
      <c r="QNW160" s="21"/>
      <c r="QNX160" s="21"/>
      <c r="QNY160" s="7"/>
      <c r="QNZ160" s="7"/>
      <c r="QOA160" s="21"/>
      <c r="QOB160" s="20"/>
      <c r="QOC160" s="20"/>
      <c r="QOD160" s="20"/>
      <c r="QOE160" s="21"/>
      <c r="QOF160" s="21"/>
      <c r="QOG160" s="21"/>
      <c r="QOH160" s="21"/>
      <c r="QOI160" s="21"/>
      <c r="QOJ160" s="20"/>
      <c r="QOK160" s="20"/>
      <c r="QOL160" s="20"/>
      <c r="QOM160" s="20"/>
      <c r="QON160" s="21"/>
      <c r="QOO160" s="21"/>
      <c r="QOP160" s="7"/>
      <c r="QOQ160" s="7"/>
      <c r="QOR160" s="21"/>
      <c r="QOS160" s="20"/>
      <c r="QOT160" s="20"/>
      <c r="QOU160" s="20"/>
      <c r="QOV160" s="21"/>
      <c r="QOW160" s="21"/>
      <c r="QOX160" s="21"/>
      <c r="QOY160" s="21"/>
      <c r="QOZ160" s="21"/>
      <c r="QPA160" s="20"/>
      <c r="QPB160" s="20"/>
      <c r="QPC160" s="20"/>
      <c r="QPD160" s="20"/>
      <c r="QPE160" s="21"/>
      <c r="QPF160" s="21"/>
      <c r="QPG160" s="7"/>
      <c r="QPH160" s="7"/>
      <c r="QPI160" s="21"/>
      <c r="QPJ160" s="20"/>
      <c r="QPK160" s="20"/>
      <c r="QPL160" s="20"/>
      <c r="QPM160" s="21"/>
      <c r="QPN160" s="21"/>
      <c r="QPO160" s="21"/>
      <c r="QPP160" s="21"/>
      <c r="QPQ160" s="21"/>
      <c r="QPR160" s="20"/>
      <c r="QPS160" s="20"/>
      <c r="QPT160" s="20"/>
      <c r="QPU160" s="20"/>
      <c r="QPV160" s="21"/>
      <c r="QPW160" s="21"/>
      <c r="QPX160" s="7"/>
      <c r="QPY160" s="7"/>
      <c r="QPZ160" s="21"/>
      <c r="QQA160" s="20"/>
      <c r="QQB160" s="20"/>
      <c r="QQC160" s="20"/>
      <c r="QQD160" s="21"/>
      <c r="QQE160" s="21"/>
      <c r="QQF160" s="21"/>
      <c r="QQG160" s="21"/>
      <c r="QQH160" s="21"/>
      <c r="QQI160" s="20"/>
      <c r="QQJ160" s="20"/>
      <c r="QQK160" s="20"/>
      <c r="QQL160" s="20"/>
      <c r="QQM160" s="21"/>
      <c r="QQN160" s="21"/>
      <c r="QQO160" s="7"/>
      <c r="QQP160" s="7"/>
      <c r="QQQ160" s="21"/>
      <c r="QQR160" s="20"/>
      <c r="QQS160" s="20"/>
      <c r="QQT160" s="20"/>
      <c r="QQU160" s="21"/>
      <c r="QQV160" s="21"/>
      <c r="QQW160" s="21"/>
      <c r="QQX160" s="21"/>
      <c r="QQY160" s="21"/>
      <c r="QQZ160" s="20"/>
      <c r="QRA160" s="20"/>
      <c r="QRB160" s="20"/>
      <c r="QRC160" s="20"/>
      <c r="QRD160" s="21"/>
      <c r="QRE160" s="21"/>
      <c r="QRF160" s="7"/>
      <c r="QRG160" s="7"/>
      <c r="QRH160" s="21"/>
      <c r="QRI160" s="20"/>
      <c r="QRJ160" s="20"/>
      <c r="QRK160" s="20"/>
      <c r="QRL160" s="21"/>
      <c r="QRM160" s="21"/>
      <c r="QRN160" s="21"/>
      <c r="QRO160" s="21"/>
      <c r="QRP160" s="21"/>
      <c r="QRQ160" s="20"/>
      <c r="QRR160" s="20"/>
      <c r="QRS160" s="20"/>
      <c r="QRT160" s="20"/>
      <c r="QRU160" s="21"/>
      <c r="QRV160" s="21"/>
      <c r="QRW160" s="7"/>
      <c r="QRX160" s="7"/>
      <c r="QRY160" s="21"/>
      <c r="QRZ160" s="20"/>
      <c r="QSA160" s="20"/>
      <c r="QSB160" s="20"/>
      <c r="QSC160" s="21"/>
      <c r="QSD160" s="21"/>
      <c r="QSE160" s="21"/>
      <c r="QSF160" s="21"/>
      <c r="QSG160" s="21"/>
      <c r="QSH160" s="20"/>
      <c r="QSI160" s="20"/>
      <c r="QSJ160" s="20"/>
      <c r="QSK160" s="20"/>
      <c r="QSL160" s="21"/>
      <c r="QSM160" s="21"/>
      <c r="QSN160" s="7"/>
      <c r="QSO160" s="7"/>
      <c r="QSP160" s="21"/>
      <c r="QSQ160" s="20"/>
      <c r="QSR160" s="20"/>
      <c r="QSS160" s="20"/>
      <c r="QST160" s="21"/>
      <c r="QSU160" s="21"/>
      <c r="QSV160" s="21"/>
      <c r="QSW160" s="21"/>
      <c r="QSX160" s="21"/>
      <c r="QSY160" s="20"/>
      <c r="QSZ160" s="20"/>
      <c r="QTA160" s="20"/>
      <c r="QTB160" s="20"/>
      <c r="QTC160" s="21"/>
      <c r="QTD160" s="21"/>
      <c r="QTE160" s="7"/>
      <c r="QTF160" s="7"/>
      <c r="QTG160" s="21"/>
      <c r="QTH160" s="20"/>
      <c r="QTI160" s="20"/>
      <c r="QTJ160" s="20"/>
      <c r="QTK160" s="21"/>
      <c r="QTL160" s="21"/>
      <c r="QTM160" s="21"/>
      <c r="QTN160" s="21"/>
      <c r="QTO160" s="21"/>
      <c r="QTP160" s="20"/>
      <c r="QTQ160" s="20"/>
      <c r="QTR160" s="20"/>
      <c r="QTS160" s="20"/>
      <c r="QTT160" s="21"/>
      <c r="QTU160" s="21"/>
      <c r="QTV160" s="7"/>
      <c r="QTW160" s="7"/>
      <c r="QTX160" s="21"/>
      <c r="QTY160" s="20"/>
      <c r="QTZ160" s="20"/>
      <c r="QUA160" s="20"/>
      <c r="QUB160" s="21"/>
      <c r="QUC160" s="21"/>
      <c r="QUD160" s="21"/>
      <c r="QUE160" s="21"/>
      <c r="QUF160" s="21"/>
      <c r="QUG160" s="20"/>
      <c r="QUH160" s="20"/>
      <c r="QUI160" s="20"/>
      <c r="QUJ160" s="20"/>
      <c r="QUK160" s="21"/>
      <c r="QUL160" s="21"/>
      <c r="QUM160" s="7"/>
      <c r="QUN160" s="7"/>
      <c r="QUO160" s="21"/>
      <c r="QUP160" s="20"/>
      <c r="QUQ160" s="20"/>
      <c r="QUR160" s="20"/>
      <c r="QUS160" s="21"/>
      <c r="QUT160" s="21"/>
      <c r="QUU160" s="21"/>
      <c r="QUV160" s="21"/>
      <c r="QUW160" s="21"/>
      <c r="QUX160" s="20"/>
      <c r="QUY160" s="20"/>
      <c r="QUZ160" s="20"/>
      <c r="QVA160" s="20"/>
      <c r="QVB160" s="21"/>
      <c r="QVC160" s="21"/>
      <c r="QVD160" s="7"/>
      <c r="QVE160" s="7"/>
      <c r="QVF160" s="21"/>
      <c r="QVG160" s="20"/>
      <c r="QVH160" s="20"/>
      <c r="QVI160" s="20"/>
      <c r="QVJ160" s="21"/>
      <c r="QVK160" s="21"/>
      <c r="QVL160" s="21"/>
      <c r="QVM160" s="21"/>
      <c r="QVN160" s="21"/>
      <c r="QVO160" s="20"/>
      <c r="QVP160" s="20"/>
      <c r="QVQ160" s="20"/>
      <c r="QVR160" s="20"/>
      <c r="QVS160" s="21"/>
      <c r="QVT160" s="21"/>
      <c r="QVU160" s="7"/>
      <c r="QVV160" s="7"/>
      <c r="QVW160" s="21"/>
      <c r="QVX160" s="20"/>
      <c r="QVY160" s="20"/>
      <c r="QVZ160" s="20"/>
      <c r="QWA160" s="21"/>
      <c r="QWB160" s="21"/>
      <c r="QWC160" s="21"/>
      <c r="QWD160" s="21"/>
      <c r="QWE160" s="21"/>
      <c r="QWF160" s="20"/>
      <c r="QWG160" s="20"/>
      <c r="QWH160" s="20"/>
      <c r="QWI160" s="20"/>
      <c r="QWJ160" s="21"/>
      <c r="QWK160" s="21"/>
      <c r="QWL160" s="7"/>
      <c r="QWM160" s="7"/>
      <c r="QWN160" s="21"/>
      <c r="QWO160" s="20"/>
      <c r="QWP160" s="20"/>
      <c r="QWQ160" s="20"/>
      <c r="QWR160" s="21"/>
      <c r="QWS160" s="21"/>
      <c r="QWT160" s="21"/>
      <c r="QWU160" s="21"/>
      <c r="QWV160" s="21"/>
      <c r="QWW160" s="20"/>
      <c r="QWX160" s="20"/>
      <c r="QWY160" s="20"/>
      <c r="QWZ160" s="20"/>
      <c r="QXA160" s="21"/>
      <c r="QXB160" s="21"/>
      <c r="QXC160" s="7"/>
      <c r="QXD160" s="7"/>
      <c r="QXE160" s="21"/>
      <c r="QXF160" s="20"/>
      <c r="QXG160" s="20"/>
      <c r="QXH160" s="20"/>
      <c r="QXI160" s="21"/>
      <c r="QXJ160" s="21"/>
      <c r="QXK160" s="21"/>
      <c r="QXL160" s="21"/>
      <c r="QXM160" s="21"/>
      <c r="QXN160" s="20"/>
      <c r="QXO160" s="20"/>
      <c r="QXP160" s="20"/>
      <c r="QXQ160" s="20"/>
      <c r="QXR160" s="21"/>
      <c r="QXS160" s="21"/>
      <c r="QXT160" s="7"/>
      <c r="QXU160" s="7"/>
      <c r="QXV160" s="21"/>
      <c r="QXW160" s="20"/>
      <c r="QXX160" s="20"/>
      <c r="QXY160" s="20"/>
      <c r="QXZ160" s="21"/>
      <c r="QYA160" s="21"/>
      <c r="QYB160" s="21"/>
      <c r="QYC160" s="21"/>
      <c r="QYD160" s="21"/>
      <c r="QYE160" s="20"/>
      <c r="QYF160" s="20"/>
      <c r="QYG160" s="20"/>
      <c r="QYH160" s="20"/>
      <c r="QYI160" s="21"/>
      <c r="QYJ160" s="21"/>
      <c r="QYK160" s="7"/>
      <c r="QYL160" s="7"/>
      <c r="QYM160" s="21"/>
      <c r="QYN160" s="20"/>
      <c r="QYO160" s="20"/>
      <c r="QYP160" s="20"/>
      <c r="QYQ160" s="21"/>
      <c r="QYR160" s="21"/>
      <c r="QYS160" s="21"/>
      <c r="QYT160" s="21"/>
      <c r="QYU160" s="21"/>
      <c r="QYV160" s="20"/>
      <c r="QYW160" s="20"/>
      <c r="QYX160" s="20"/>
      <c r="QYY160" s="20"/>
      <c r="QYZ160" s="21"/>
      <c r="QZA160" s="21"/>
      <c r="QZB160" s="7"/>
      <c r="QZC160" s="7"/>
      <c r="QZD160" s="21"/>
      <c r="QZE160" s="20"/>
      <c r="QZF160" s="20"/>
      <c r="QZG160" s="20"/>
      <c r="QZH160" s="21"/>
      <c r="QZI160" s="21"/>
      <c r="QZJ160" s="21"/>
      <c r="QZK160" s="21"/>
      <c r="QZL160" s="21"/>
      <c r="QZM160" s="20"/>
      <c r="QZN160" s="20"/>
      <c r="QZO160" s="20"/>
      <c r="QZP160" s="20"/>
      <c r="QZQ160" s="21"/>
      <c r="QZR160" s="21"/>
      <c r="QZS160" s="7"/>
      <c r="QZT160" s="7"/>
      <c r="QZU160" s="21"/>
      <c r="QZV160" s="20"/>
      <c r="QZW160" s="20"/>
      <c r="QZX160" s="20"/>
      <c r="QZY160" s="21"/>
      <c r="QZZ160" s="21"/>
      <c r="RAA160" s="21"/>
      <c r="RAB160" s="21"/>
      <c r="RAC160" s="21"/>
      <c r="RAD160" s="20"/>
      <c r="RAE160" s="20"/>
      <c r="RAF160" s="20"/>
      <c r="RAG160" s="20"/>
      <c r="RAH160" s="21"/>
      <c r="RAI160" s="21"/>
      <c r="RAJ160" s="7"/>
      <c r="RAK160" s="7"/>
      <c r="RAL160" s="21"/>
      <c r="RAM160" s="20"/>
      <c r="RAN160" s="20"/>
      <c r="RAO160" s="20"/>
      <c r="RAP160" s="21"/>
      <c r="RAQ160" s="21"/>
      <c r="RAR160" s="21"/>
      <c r="RAS160" s="21"/>
      <c r="RAT160" s="21"/>
      <c r="RAU160" s="20"/>
      <c r="RAV160" s="20"/>
      <c r="RAW160" s="20"/>
      <c r="RAX160" s="20"/>
      <c r="RAY160" s="21"/>
      <c r="RAZ160" s="21"/>
      <c r="RBA160" s="7"/>
      <c r="RBB160" s="7"/>
      <c r="RBC160" s="21"/>
      <c r="RBD160" s="20"/>
      <c r="RBE160" s="20"/>
      <c r="RBF160" s="20"/>
      <c r="RBG160" s="21"/>
      <c r="RBH160" s="21"/>
      <c r="RBI160" s="21"/>
      <c r="RBJ160" s="21"/>
      <c r="RBK160" s="21"/>
      <c r="RBL160" s="20"/>
      <c r="RBM160" s="20"/>
      <c r="RBN160" s="20"/>
      <c r="RBO160" s="20"/>
      <c r="RBP160" s="21"/>
      <c r="RBQ160" s="21"/>
      <c r="RBR160" s="7"/>
      <c r="RBS160" s="7"/>
      <c r="RBT160" s="21"/>
      <c r="RBU160" s="20"/>
      <c r="RBV160" s="20"/>
      <c r="RBW160" s="20"/>
      <c r="RBX160" s="21"/>
      <c r="RBY160" s="21"/>
      <c r="RBZ160" s="21"/>
      <c r="RCA160" s="21"/>
      <c r="RCB160" s="21"/>
      <c r="RCC160" s="20"/>
      <c r="RCD160" s="20"/>
      <c r="RCE160" s="20"/>
      <c r="RCF160" s="20"/>
      <c r="RCG160" s="21"/>
      <c r="RCH160" s="21"/>
      <c r="RCI160" s="7"/>
      <c r="RCJ160" s="7"/>
      <c r="RCK160" s="21"/>
      <c r="RCL160" s="20"/>
      <c r="RCM160" s="20"/>
      <c r="RCN160" s="20"/>
      <c r="RCO160" s="21"/>
      <c r="RCP160" s="21"/>
      <c r="RCQ160" s="21"/>
      <c r="RCR160" s="21"/>
      <c r="RCS160" s="21"/>
      <c r="RCT160" s="20"/>
      <c r="RCU160" s="20"/>
      <c r="RCV160" s="20"/>
      <c r="RCW160" s="20"/>
      <c r="RCX160" s="21"/>
      <c r="RCY160" s="21"/>
      <c r="RCZ160" s="7"/>
      <c r="RDA160" s="7"/>
      <c r="RDB160" s="21"/>
      <c r="RDC160" s="20"/>
      <c r="RDD160" s="20"/>
      <c r="RDE160" s="20"/>
      <c r="RDF160" s="21"/>
      <c r="RDG160" s="21"/>
      <c r="RDH160" s="21"/>
      <c r="RDI160" s="21"/>
      <c r="RDJ160" s="21"/>
      <c r="RDK160" s="20"/>
      <c r="RDL160" s="20"/>
      <c r="RDM160" s="20"/>
      <c r="RDN160" s="20"/>
      <c r="RDO160" s="21"/>
      <c r="RDP160" s="21"/>
      <c r="RDQ160" s="7"/>
      <c r="RDR160" s="7"/>
      <c r="RDS160" s="21"/>
      <c r="RDT160" s="20"/>
      <c r="RDU160" s="20"/>
      <c r="RDV160" s="20"/>
      <c r="RDW160" s="21"/>
      <c r="RDX160" s="21"/>
      <c r="RDY160" s="21"/>
      <c r="RDZ160" s="21"/>
      <c r="REA160" s="21"/>
      <c r="REB160" s="20"/>
      <c r="REC160" s="20"/>
      <c r="RED160" s="20"/>
      <c r="REE160" s="20"/>
      <c r="REF160" s="21"/>
      <c r="REG160" s="21"/>
      <c r="REH160" s="7"/>
      <c r="REI160" s="7"/>
      <c r="REJ160" s="21"/>
      <c r="REK160" s="20"/>
      <c r="REL160" s="20"/>
      <c r="REM160" s="20"/>
      <c r="REN160" s="21"/>
      <c r="REO160" s="21"/>
      <c r="REP160" s="21"/>
      <c r="REQ160" s="21"/>
      <c r="RER160" s="21"/>
      <c r="RES160" s="20"/>
      <c r="RET160" s="20"/>
      <c r="REU160" s="20"/>
      <c r="REV160" s="20"/>
      <c r="REW160" s="21"/>
      <c r="REX160" s="21"/>
      <c r="REY160" s="7"/>
      <c r="REZ160" s="7"/>
      <c r="RFA160" s="21"/>
      <c r="RFB160" s="20"/>
      <c r="RFC160" s="20"/>
      <c r="RFD160" s="20"/>
      <c r="RFE160" s="21"/>
      <c r="RFF160" s="21"/>
      <c r="RFG160" s="21"/>
      <c r="RFH160" s="21"/>
      <c r="RFI160" s="21"/>
      <c r="RFJ160" s="20"/>
      <c r="RFK160" s="20"/>
      <c r="RFL160" s="20"/>
      <c r="RFM160" s="20"/>
      <c r="RFN160" s="21"/>
      <c r="RFO160" s="21"/>
      <c r="RFP160" s="7"/>
      <c r="RFQ160" s="7"/>
      <c r="RFR160" s="21"/>
      <c r="RFS160" s="20"/>
      <c r="RFT160" s="20"/>
      <c r="RFU160" s="20"/>
      <c r="RFV160" s="21"/>
      <c r="RFW160" s="21"/>
      <c r="RFX160" s="21"/>
      <c r="RFY160" s="21"/>
      <c r="RFZ160" s="21"/>
      <c r="RGA160" s="20"/>
      <c r="RGB160" s="20"/>
      <c r="RGC160" s="20"/>
      <c r="RGD160" s="20"/>
      <c r="RGE160" s="21"/>
      <c r="RGF160" s="21"/>
      <c r="RGG160" s="7"/>
      <c r="RGH160" s="7"/>
      <c r="RGI160" s="21"/>
      <c r="RGJ160" s="20"/>
      <c r="RGK160" s="20"/>
      <c r="RGL160" s="20"/>
      <c r="RGM160" s="21"/>
      <c r="RGN160" s="21"/>
      <c r="RGO160" s="21"/>
      <c r="RGP160" s="21"/>
      <c r="RGQ160" s="21"/>
      <c r="RGR160" s="20"/>
      <c r="RGS160" s="20"/>
      <c r="RGT160" s="20"/>
      <c r="RGU160" s="20"/>
      <c r="RGV160" s="21"/>
      <c r="RGW160" s="21"/>
      <c r="RGX160" s="7"/>
      <c r="RGY160" s="7"/>
      <c r="RGZ160" s="21"/>
      <c r="RHA160" s="20"/>
      <c r="RHB160" s="20"/>
      <c r="RHC160" s="20"/>
      <c r="RHD160" s="21"/>
      <c r="RHE160" s="21"/>
      <c r="RHF160" s="21"/>
      <c r="RHG160" s="21"/>
      <c r="RHH160" s="21"/>
      <c r="RHI160" s="20"/>
      <c r="RHJ160" s="20"/>
      <c r="RHK160" s="20"/>
      <c r="RHL160" s="20"/>
      <c r="RHM160" s="21"/>
      <c r="RHN160" s="21"/>
      <c r="RHO160" s="7"/>
      <c r="RHP160" s="7"/>
      <c r="RHQ160" s="21"/>
      <c r="RHR160" s="20"/>
      <c r="RHS160" s="20"/>
      <c r="RHT160" s="20"/>
      <c r="RHU160" s="21"/>
      <c r="RHV160" s="21"/>
      <c r="RHW160" s="21"/>
      <c r="RHX160" s="21"/>
      <c r="RHY160" s="21"/>
      <c r="RHZ160" s="20"/>
      <c r="RIA160" s="20"/>
      <c r="RIB160" s="20"/>
      <c r="RIC160" s="20"/>
      <c r="RID160" s="21"/>
      <c r="RIE160" s="21"/>
      <c r="RIF160" s="7"/>
      <c r="RIG160" s="7"/>
      <c r="RIH160" s="21"/>
      <c r="RII160" s="20"/>
      <c r="RIJ160" s="20"/>
      <c r="RIK160" s="20"/>
      <c r="RIL160" s="21"/>
      <c r="RIM160" s="21"/>
      <c r="RIN160" s="21"/>
      <c r="RIO160" s="21"/>
      <c r="RIP160" s="21"/>
      <c r="RIQ160" s="20"/>
      <c r="RIR160" s="20"/>
      <c r="RIS160" s="20"/>
      <c r="RIT160" s="20"/>
      <c r="RIU160" s="21"/>
      <c r="RIV160" s="21"/>
      <c r="RIW160" s="7"/>
      <c r="RIX160" s="7"/>
      <c r="RIY160" s="21"/>
      <c r="RIZ160" s="20"/>
      <c r="RJA160" s="20"/>
      <c r="RJB160" s="20"/>
      <c r="RJC160" s="21"/>
      <c r="RJD160" s="21"/>
      <c r="RJE160" s="21"/>
      <c r="RJF160" s="21"/>
      <c r="RJG160" s="21"/>
      <c r="RJH160" s="20"/>
      <c r="RJI160" s="20"/>
      <c r="RJJ160" s="20"/>
      <c r="RJK160" s="20"/>
      <c r="RJL160" s="21"/>
      <c r="RJM160" s="21"/>
      <c r="RJN160" s="7"/>
      <c r="RJO160" s="7"/>
      <c r="RJP160" s="21"/>
      <c r="RJQ160" s="20"/>
      <c r="RJR160" s="20"/>
      <c r="RJS160" s="20"/>
      <c r="RJT160" s="21"/>
      <c r="RJU160" s="21"/>
      <c r="RJV160" s="21"/>
      <c r="RJW160" s="21"/>
      <c r="RJX160" s="21"/>
      <c r="RJY160" s="20"/>
      <c r="RJZ160" s="20"/>
      <c r="RKA160" s="20"/>
      <c r="RKB160" s="20"/>
      <c r="RKC160" s="21"/>
      <c r="RKD160" s="21"/>
      <c r="RKE160" s="7"/>
      <c r="RKF160" s="7"/>
      <c r="RKG160" s="21"/>
      <c r="RKH160" s="20"/>
      <c r="RKI160" s="20"/>
      <c r="RKJ160" s="20"/>
      <c r="RKK160" s="21"/>
      <c r="RKL160" s="21"/>
      <c r="RKM160" s="21"/>
      <c r="RKN160" s="21"/>
      <c r="RKO160" s="21"/>
      <c r="RKP160" s="20"/>
      <c r="RKQ160" s="20"/>
      <c r="RKR160" s="20"/>
      <c r="RKS160" s="20"/>
      <c r="RKT160" s="21"/>
      <c r="RKU160" s="21"/>
      <c r="RKV160" s="7"/>
      <c r="RKW160" s="7"/>
      <c r="RKX160" s="21"/>
      <c r="RKY160" s="20"/>
      <c r="RKZ160" s="20"/>
      <c r="RLA160" s="20"/>
      <c r="RLB160" s="21"/>
      <c r="RLC160" s="21"/>
      <c r="RLD160" s="21"/>
      <c r="RLE160" s="21"/>
      <c r="RLF160" s="21"/>
      <c r="RLG160" s="20"/>
      <c r="RLH160" s="20"/>
      <c r="RLI160" s="20"/>
      <c r="RLJ160" s="20"/>
      <c r="RLK160" s="21"/>
      <c r="RLL160" s="21"/>
      <c r="RLM160" s="7"/>
      <c r="RLN160" s="7"/>
      <c r="RLO160" s="21"/>
      <c r="RLP160" s="20"/>
      <c r="RLQ160" s="20"/>
      <c r="RLR160" s="20"/>
      <c r="RLS160" s="21"/>
      <c r="RLT160" s="21"/>
      <c r="RLU160" s="21"/>
      <c r="RLV160" s="21"/>
      <c r="RLW160" s="21"/>
      <c r="RLX160" s="20"/>
      <c r="RLY160" s="20"/>
      <c r="RLZ160" s="20"/>
      <c r="RMA160" s="20"/>
      <c r="RMB160" s="21"/>
      <c r="RMC160" s="21"/>
      <c r="RMD160" s="7"/>
      <c r="RME160" s="7"/>
      <c r="RMF160" s="21"/>
      <c r="RMG160" s="20"/>
      <c r="RMH160" s="20"/>
      <c r="RMI160" s="20"/>
      <c r="RMJ160" s="21"/>
      <c r="RMK160" s="21"/>
      <c r="RML160" s="21"/>
      <c r="RMM160" s="21"/>
      <c r="RMN160" s="21"/>
      <c r="RMO160" s="20"/>
      <c r="RMP160" s="20"/>
      <c r="RMQ160" s="20"/>
      <c r="RMR160" s="20"/>
      <c r="RMS160" s="21"/>
      <c r="RMT160" s="21"/>
      <c r="RMU160" s="7"/>
      <c r="RMV160" s="7"/>
      <c r="RMW160" s="21"/>
      <c r="RMX160" s="20"/>
      <c r="RMY160" s="20"/>
      <c r="RMZ160" s="20"/>
      <c r="RNA160" s="21"/>
      <c r="RNB160" s="21"/>
      <c r="RNC160" s="21"/>
      <c r="RND160" s="21"/>
      <c r="RNE160" s="21"/>
      <c r="RNF160" s="20"/>
      <c r="RNG160" s="20"/>
      <c r="RNH160" s="20"/>
      <c r="RNI160" s="20"/>
      <c r="RNJ160" s="21"/>
      <c r="RNK160" s="21"/>
      <c r="RNL160" s="7"/>
      <c r="RNM160" s="7"/>
      <c r="RNN160" s="21"/>
      <c r="RNO160" s="20"/>
      <c r="RNP160" s="20"/>
      <c r="RNQ160" s="20"/>
      <c r="RNR160" s="21"/>
      <c r="RNS160" s="21"/>
      <c r="RNT160" s="21"/>
      <c r="RNU160" s="21"/>
      <c r="RNV160" s="21"/>
      <c r="RNW160" s="20"/>
      <c r="RNX160" s="20"/>
      <c r="RNY160" s="20"/>
      <c r="RNZ160" s="20"/>
      <c r="ROA160" s="21"/>
      <c r="ROB160" s="21"/>
      <c r="ROC160" s="7"/>
      <c r="ROD160" s="7"/>
      <c r="ROE160" s="21"/>
      <c r="ROF160" s="20"/>
      <c r="ROG160" s="20"/>
      <c r="ROH160" s="20"/>
      <c r="ROI160" s="21"/>
      <c r="ROJ160" s="21"/>
      <c r="ROK160" s="21"/>
      <c r="ROL160" s="21"/>
      <c r="ROM160" s="21"/>
      <c r="RON160" s="20"/>
      <c r="ROO160" s="20"/>
      <c r="ROP160" s="20"/>
      <c r="ROQ160" s="20"/>
      <c r="ROR160" s="21"/>
      <c r="ROS160" s="21"/>
      <c r="ROT160" s="7"/>
      <c r="ROU160" s="7"/>
      <c r="ROV160" s="21"/>
      <c r="ROW160" s="20"/>
      <c r="ROX160" s="20"/>
      <c r="ROY160" s="20"/>
      <c r="ROZ160" s="21"/>
      <c r="RPA160" s="21"/>
      <c r="RPB160" s="21"/>
      <c r="RPC160" s="21"/>
      <c r="RPD160" s="21"/>
      <c r="RPE160" s="20"/>
      <c r="RPF160" s="20"/>
      <c r="RPG160" s="20"/>
      <c r="RPH160" s="20"/>
      <c r="RPI160" s="21"/>
      <c r="RPJ160" s="21"/>
      <c r="RPK160" s="7"/>
      <c r="RPL160" s="7"/>
      <c r="RPM160" s="21"/>
      <c r="RPN160" s="20"/>
      <c r="RPO160" s="20"/>
      <c r="RPP160" s="20"/>
      <c r="RPQ160" s="21"/>
      <c r="RPR160" s="21"/>
      <c r="RPS160" s="21"/>
      <c r="RPT160" s="21"/>
      <c r="RPU160" s="21"/>
      <c r="RPV160" s="20"/>
      <c r="RPW160" s="20"/>
      <c r="RPX160" s="20"/>
      <c r="RPY160" s="20"/>
      <c r="RPZ160" s="21"/>
      <c r="RQA160" s="21"/>
      <c r="RQB160" s="7"/>
      <c r="RQC160" s="7"/>
      <c r="RQD160" s="21"/>
      <c r="RQE160" s="20"/>
      <c r="RQF160" s="20"/>
      <c r="RQG160" s="20"/>
      <c r="RQH160" s="21"/>
      <c r="RQI160" s="21"/>
      <c r="RQJ160" s="21"/>
      <c r="RQK160" s="21"/>
      <c r="RQL160" s="21"/>
      <c r="RQM160" s="20"/>
      <c r="RQN160" s="20"/>
      <c r="RQO160" s="20"/>
      <c r="RQP160" s="20"/>
      <c r="RQQ160" s="21"/>
      <c r="RQR160" s="21"/>
      <c r="RQS160" s="7"/>
      <c r="RQT160" s="7"/>
      <c r="RQU160" s="21"/>
      <c r="RQV160" s="20"/>
      <c r="RQW160" s="20"/>
      <c r="RQX160" s="20"/>
      <c r="RQY160" s="21"/>
      <c r="RQZ160" s="21"/>
      <c r="RRA160" s="21"/>
      <c r="RRB160" s="21"/>
      <c r="RRC160" s="21"/>
      <c r="RRD160" s="20"/>
      <c r="RRE160" s="20"/>
      <c r="RRF160" s="20"/>
      <c r="RRG160" s="20"/>
      <c r="RRH160" s="21"/>
      <c r="RRI160" s="21"/>
      <c r="RRJ160" s="7"/>
      <c r="RRK160" s="7"/>
      <c r="RRL160" s="21"/>
      <c r="RRM160" s="20"/>
      <c r="RRN160" s="20"/>
      <c r="RRO160" s="20"/>
      <c r="RRP160" s="21"/>
      <c r="RRQ160" s="21"/>
      <c r="RRR160" s="21"/>
      <c r="RRS160" s="21"/>
      <c r="RRT160" s="21"/>
      <c r="RRU160" s="20"/>
      <c r="RRV160" s="20"/>
      <c r="RRW160" s="20"/>
      <c r="RRX160" s="20"/>
      <c r="RRY160" s="21"/>
      <c r="RRZ160" s="21"/>
      <c r="RSA160" s="7"/>
      <c r="RSB160" s="7"/>
      <c r="RSC160" s="21"/>
      <c r="RSD160" s="20"/>
      <c r="RSE160" s="20"/>
      <c r="RSF160" s="20"/>
      <c r="RSG160" s="21"/>
      <c r="RSH160" s="21"/>
      <c r="RSI160" s="21"/>
      <c r="RSJ160" s="21"/>
      <c r="RSK160" s="21"/>
      <c r="RSL160" s="20"/>
      <c r="RSM160" s="20"/>
      <c r="RSN160" s="20"/>
      <c r="RSO160" s="20"/>
      <c r="RSP160" s="21"/>
      <c r="RSQ160" s="21"/>
      <c r="RSR160" s="7"/>
      <c r="RSS160" s="7"/>
      <c r="RST160" s="21"/>
      <c r="RSU160" s="20"/>
      <c r="RSV160" s="20"/>
      <c r="RSW160" s="20"/>
      <c r="RSX160" s="21"/>
      <c r="RSY160" s="21"/>
      <c r="RSZ160" s="21"/>
      <c r="RTA160" s="21"/>
      <c r="RTB160" s="21"/>
      <c r="RTC160" s="20"/>
      <c r="RTD160" s="20"/>
      <c r="RTE160" s="20"/>
      <c r="RTF160" s="20"/>
      <c r="RTG160" s="21"/>
      <c r="RTH160" s="21"/>
      <c r="RTI160" s="7"/>
      <c r="RTJ160" s="7"/>
      <c r="RTK160" s="21"/>
      <c r="RTL160" s="20"/>
      <c r="RTM160" s="20"/>
      <c r="RTN160" s="20"/>
      <c r="RTO160" s="21"/>
      <c r="RTP160" s="21"/>
      <c r="RTQ160" s="21"/>
      <c r="RTR160" s="21"/>
      <c r="RTS160" s="21"/>
      <c r="RTT160" s="20"/>
      <c r="RTU160" s="20"/>
      <c r="RTV160" s="20"/>
      <c r="RTW160" s="20"/>
      <c r="RTX160" s="21"/>
      <c r="RTY160" s="21"/>
      <c r="RTZ160" s="7"/>
      <c r="RUA160" s="7"/>
      <c r="RUB160" s="21"/>
      <c r="RUC160" s="20"/>
      <c r="RUD160" s="20"/>
      <c r="RUE160" s="20"/>
      <c r="RUF160" s="21"/>
      <c r="RUG160" s="21"/>
      <c r="RUH160" s="21"/>
      <c r="RUI160" s="21"/>
      <c r="RUJ160" s="21"/>
      <c r="RUK160" s="20"/>
      <c r="RUL160" s="20"/>
      <c r="RUM160" s="20"/>
      <c r="RUN160" s="20"/>
      <c r="RUO160" s="21"/>
      <c r="RUP160" s="21"/>
      <c r="RUQ160" s="7"/>
      <c r="RUR160" s="7"/>
      <c r="RUS160" s="21"/>
      <c r="RUT160" s="20"/>
      <c r="RUU160" s="20"/>
      <c r="RUV160" s="20"/>
      <c r="RUW160" s="21"/>
      <c r="RUX160" s="21"/>
      <c r="RUY160" s="21"/>
      <c r="RUZ160" s="21"/>
      <c r="RVA160" s="21"/>
      <c r="RVB160" s="20"/>
      <c r="RVC160" s="20"/>
      <c r="RVD160" s="20"/>
      <c r="RVE160" s="20"/>
      <c r="RVF160" s="21"/>
      <c r="RVG160" s="21"/>
      <c r="RVH160" s="7"/>
      <c r="RVI160" s="7"/>
      <c r="RVJ160" s="21"/>
      <c r="RVK160" s="20"/>
      <c r="RVL160" s="20"/>
      <c r="RVM160" s="20"/>
      <c r="RVN160" s="21"/>
      <c r="RVO160" s="21"/>
      <c r="RVP160" s="21"/>
      <c r="RVQ160" s="21"/>
      <c r="RVR160" s="21"/>
      <c r="RVS160" s="20"/>
      <c r="RVT160" s="20"/>
      <c r="RVU160" s="20"/>
      <c r="RVV160" s="20"/>
      <c r="RVW160" s="21"/>
      <c r="RVX160" s="21"/>
      <c r="RVY160" s="7"/>
      <c r="RVZ160" s="7"/>
      <c r="RWA160" s="21"/>
      <c r="RWB160" s="20"/>
      <c r="RWC160" s="20"/>
      <c r="RWD160" s="20"/>
      <c r="RWE160" s="21"/>
      <c r="RWF160" s="21"/>
      <c r="RWG160" s="21"/>
      <c r="RWH160" s="21"/>
      <c r="RWI160" s="21"/>
      <c r="RWJ160" s="20"/>
      <c r="RWK160" s="20"/>
      <c r="RWL160" s="20"/>
      <c r="RWM160" s="20"/>
      <c r="RWN160" s="21"/>
      <c r="RWO160" s="21"/>
      <c r="RWP160" s="7"/>
      <c r="RWQ160" s="7"/>
      <c r="RWR160" s="21"/>
      <c r="RWS160" s="20"/>
      <c r="RWT160" s="20"/>
      <c r="RWU160" s="20"/>
      <c r="RWV160" s="21"/>
      <c r="RWW160" s="21"/>
      <c r="RWX160" s="21"/>
      <c r="RWY160" s="21"/>
      <c r="RWZ160" s="21"/>
      <c r="RXA160" s="20"/>
      <c r="RXB160" s="20"/>
      <c r="RXC160" s="20"/>
      <c r="RXD160" s="20"/>
      <c r="RXE160" s="21"/>
      <c r="RXF160" s="21"/>
      <c r="RXG160" s="7"/>
      <c r="RXH160" s="7"/>
      <c r="RXI160" s="21"/>
      <c r="RXJ160" s="20"/>
      <c r="RXK160" s="20"/>
      <c r="RXL160" s="20"/>
      <c r="RXM160" s="21"/>
      <c r="RXN160" s="21"/>
      <c r="RXO160" s="21"/>
      <c r="RXP160" s="21"/>
      <c r="RXQ160" s="21"/>
      <c r="RXR160" s="20"/>
      <c r="RXS160" s="20"/>
      <c r="RXT160" s="20"/>
      <c r="RXU160" s="20"/>
      <c r="RXV160" s="21"/>
      <c r="RXW160" s="21"/>
      <c r="RXX160" s="7"/>
      <c r="RXY160" s="7"/>
      <c r="RXZ160" s="21"/>
      <c r="RYA160" s="20"/>
      <c r="RYB160" s="20"/>
      <c r="RYC160" s="20"/>
      <c r="RYD160" s="21"/>
      <c r="RYE160" s="21"/>
      <c r="RYF160" s="21"/>
      <c r="RYG160" s="21"/>
      <c r="RYH160" s="21"/>
      <c r="RYI160" s="20"/>
      <c r="RYJ160" s="20"/>
      <c r="RYK160" s="20"/>
      <c r="RYL160" s="20"/>
      <c r="RYM160" s="21"/>
      <c r="RYN160" s="21"/>
      <c r="RYO160" s="7"/>
      <c r="RYP160" s="7"/>
      <c r="RYQ160" s="21"/>
      <c r="RYR160" s="20"/>
      <c r="RYS160" s="20"/>
      <c r="RYT160" s="20"/>
      <c r="RYU160" s="21"/>
      <c r="RYV160" s="21"/>
      <c r="RYW160" s="21"/>
      <c r="RYX160" s="21"/>
      <c r="RYY160" s="21"/>
      <c r="RYZ160" s="20"/>
      <c r="RZA160" s="20"/>
      <c r="RZB160" s="20"/>
      <c r="RZC160" s="20"/>
      <c r="RZD160" s="21"/>
      <c r="RZE160" s="21"/>
      <c r="RZF160" s="7"/>
      <c r="RZG160" s="7"/>
      <c r="RZH160" s="21"/>
      <c r="RZI160" s="20"/>
      <c r="RZJ160" s="20"/>
      <c r="RZK160" s="20"/>
      <c r="RZL160" s="21"/>
      <c r="RZM160" s="21"/>
      <c r="RZN160" s="21"/>
      <c r="RZO160" s="21"/>
      <c r="RZP160" s="21"/>
      <c r="RZQ160" s="20"/>
      <c r="RZR160" s="20"/>
      <c r="RZS160" s="20"/>
      <c r="RZT160" s="20"/>
      <c r="RZU160" s="21"/>
      <c r="RZV160" s="21"/>
      <c r="RZW160" s="7"/>
      <c r="RZX160" s="7"/>
      <c r="RZY160" s="21"/>
      <c r="RZZ160" s="20"/>
      <c r="SAA160" s="20"/>
      <c r="SAB160" s="20"/>
      <c r="SAC160" s="21"/>
      <c r="SAD160" s="21"/>
      <c r="SAE160" s="21"/>
      <c r="SAF160" s="21"/>
      <c r="SAG160" s="21"/>
      <c r="SAH160" s="20"/>
      <c r="SAI160" s="20"/>
      <c r="SAJ160" s="20"/>
      <c r="SAK160" s="20"/>
      <c r="SAL160" s="21"/>
      <c r="SAM160" s="21"/>
      <c r="SAN160" s="7"/>
      <c r="SAO160" s="7"/>
      <c r="SAP160" s="21"/>
      <c r="SAQ160" s="20"/>
      <c r="SAR160" s="20"/>
      <c r="SAS160" s="20"/>
      <c r="SAT160" s="21"/>
      <c r="SAU160" s="21"/>
      <c r="SAV160" s="21"/>
      <c r="SAW160" s="21"/>
      <c r="SAX160" s="21"/>
      <c r="SAY160" s="20"/>
      <c r="SAZ160" s="20"/>
      <c r="SBA160" s="20"/>
      <c r="SBB160" s="20"/>
      <c r="SBC160" s="21"/>
      <c r="SBD160" s="21"/>
      <c r="SBE160" s="7"/>
      <c r="SBF160" s="7"/>
      <c r="SBG160" s="21"/>
      <c r="SBH160" s="20"/>
      <c r="SBI160" s="20"/>
      <c r="SBJ160" s="20"/>
      <c r="SBK160" s="21"/>
      <c r="SBL160" s="21"/>
      <c r="SBM160" s="21"/>
      <c r="SBN160" s="21"/>
      <c r="SBO160" s="21"/>
      <c r="SBP160" s="20"/>
      <c r="SBQ160" s="20"/>
      <c r="SBR160" s="20"/>
      <c r="SBS160" s="20"/>
      <c r="SBT160" s="21"/>
      <c r="SBU160" s="21"/>
      <c r="SBV160" s="7"/>
      <c r="SBW160" s="7"/>
      <c r="SBX160" s="21"/>
      <c r="SBY160" s="20"/>
      <c r="SBZ160" s="20"/>
      <c r="SCA160" s="20"/>
      <c r="SCB160" s="21"/>
      <c r="SCC160" s="21"/>
      <c r="SCD160" s="21"/>
      <c r="SCE160" s="21"/>
      <c r="SCF160" s="21"/>
      <c r="SCG160" s="20"/>
      <c r="SCH160" s="20"/>
      <c r="SCI160" s="20"/>
      <c r="SCJ160" s="20"/>
      <c r="SCK160" s="21"/>
      <c r="SCL160" s="21"/>
      <c r="SCM160" s="7"/>
      <c r="SCN160" s="7"/>
      <c r="SCO160" s="21"/>
      <c r="SCP160" s="20"/>
      <c r="SCQ160" s="20"/>
      <c r="SCR160" s="20"/>
      <c r="SCS160" s="21"/>
      <c r="SCT160" s="21"/>
      <c r="SCU160" s="21"/>
      <c r="SCV160" s="21"/>
      <c r="SCW160" s="21"/>
      <c r="SCX160" s="20"/>
      <c r="SCY160" s="20"/>
      <c r="SCZ160" s="20"/>
      <c r="SDA160" s="20"/>
      <c r="SDB160" s="21"/>
      <c r="SDC160" s="21"/>
      <c r="SDD160" s="7"/>
      <c r="SDE160" s="7"/>
      <c r="SDF160" s="21"/>
      <c r="SDG160" s="20"/>
      <c r="SDH160" s="20"/>
      <c r="SDI160" s="20"/>
      <c r="SDJ160" s="21"/>
      <c r="SDK160" s="21"/>
      <c r="SDL160" s="21"/>
      <c r="SDM160" s="21"/>
      <c r="SDN160" s="21"/>
      <c r="SDO160" s="20"/>
      <c r="SDP160" s="20"/>
      <c r="SDQ160" s="20"/>
      <c r="SDR160" s="20"/>
      <c r="SDS160" s="21"/>
      <c r="SDT160" s="21"/>
      <c r="SDU160" s="7"/>
      <c r="SDV160" s="7"/>
      <c r="SDW160" s="21"/>
      <c r="SDX160" s="20"/>
      <c r="SDY160" s="20"/>
      <c r="SDZ160" s="20"/>
      <c r="SEA160" s="21"/>
      <c r="SEB160" s="21"/>
      <c r="SEC160" s="21"/>
      <c r="SED160" s="21"/>
      <c r="SEE160" s="21"/>
      <c r="SEF160" s="20"/>
      <c r="SEG160" s="20"/>
      <c r="SEH160" s="20"/>
      <c r="SEI160" s="20"/>
      <c r="SEJ160" s="21"/>
      <c r="SEK160" s="21"/>
      <c r="SEL160" s="7"/>
      <c r="SEM160" s="7"/>
      <c r="SEN160" s="21"/>
      <c r="SEO160" s="20"/>
      <c r="SEP160" s="20"/>
      <c r="SEQ160" s="20"/>
      <c r="SER160" s="21"/>
      <c r="SES160" s="21"/>
      <c r="SET160" s="21"/>
      <c r="SEU160" s="21"/>
      <c r="SEV160" s="21"/>
      <c r="SEW160" s="20"/>
      <c r="SEX160" s="20"/>
      <c r="SEY160" s="20"/>
      <c r="SEZ160" s="20"/>
      <c r="SFA160" s="21"/>
      <c r="SFB160" s="21"/>
      <c r="SFC160" s="7"/>
      <c r="SFD160" s="7"/>
      <c r="SFE160" s="21"/>
      <c r="SFF160" s="20"/>
      <c r="SFG160" s="20"/>
      <c r="SFH160" s="20"/>
      <c r="SFI160" s="21"/>
      <c r="SFJ160" s="21"/>
      <c r="SFK160" s="21"/>
      <c r="SFL160" s="21"/>
      <c r="SFM160" s="21"/>
      <c r="SFN160" s="20"/>
      <c r="SFO160" s="20"/>
      <c r="SFP160" s="20"/>
      <c r="SFQ160" s="20"/>
      <c r="SFR160" s="21"/>
      <c r="SFS160" s="21"/>
      <c r="SFT160" s="7"/>
      <c r="SFU160" s="7"/>
      <c r="SFV160" s="21"/>
      <c r="SFW160" s="20"/>
      <c r="SFX160" s="20"/>
      <c r="SFY160" s="20"/>
      <c r="SFZ160" s="21"/>
      <c r="SGA160" s="21"/>
      <c r="SGB160" s="21"/>
      <c r="SGC160" s="21"/>
      <c r="SGD160" s="21"/>
      <c r="SGE160" s="20"/>
      <c r="SGF160" s="20"/>
      <c r="SGG160" s="20"/>
      <c r="SGH160" s="20"/>
      <c r="SGI160" s="21"/>
      <c r="SGJ160" s="21"/>
      <c r="SGK160" s="7"/>
      <c r="SGL160" s="7"/>
      <c r="SGM160" s="21"/>
      <c r="SGN160" s="20"/>
      <c r="SGO160" s="20"/>
      <c r="SGP160" s="20"/>
      <c r="SGQ160" s="21"/>
      <c r="SGR160" s="21"/>
      <c r="SGS160" s="21"/>
      <c r="SGT160" s="21"/>
      <c r="SGU160" s="21"/>
      <c r="SGV160" s="20"/>
      <c r="SGW160" s="20"/>
      <c r="SGX160" s="20"/>
      <c r="SGY160" s="20"/>
      <c r="SGZ160" s="21"/>
      <c r="SHA160" s="21"/>
      <c r="SHB160" s="7"/>
      <c r="SHC160" s="7"/>
      <c r="SHD160" s="21"/>
      <c r="SHE160" s="20"/>
      <c r="SHF160" s="20"/>
      <c r="SHG160" s="20"/>
      <c r="SHH160" s="21"/>
      <c r="SHI160" s="21"/>
      <c r="SHJ160" s="21"/>
      <c r="SHK160" s="21"/>
      <c r="SHL160" s="21"/>
      <c r="SHM160" s="20"/>
      <c r="SHN160" s="20"/>
      <c r="SHO160" s="20"/>
      <c r="SHP160" s="20"/>
      <c r="SHQ160" s="21"/>
      <c r="SHR160" s="21"/>
      <c r="SHS160" s="7"/>
      <c r="SHT160" s="7"/>
      <c r="SHU160" s="21"/>
      <c r="SHV160" s="20"/>
      <c r="SHW160" s="20"/>
      <c r="SHX160" s="20"/>
      <c r="SHY160" s="21"/>
      <c r="SHZ160" s="21"/>
      <c r="SIA160" s="21"/>
      <c r="SIB160" s="21"/>
      <c r="SIC160" s="21"/>
      <c r="SID160" s="20"/>
      <c r="SIE160" s="20"/>
      <c r="SIF160" s="20"/>
      <c r="SIG160" s="20"/>
      <c r="SIH160" s="21"/>
      <c r="SII160" s="21"/>
      <c r="SIJ160" s="7"/>
      <c r="SIK160" s="7"/>
      <c r="SIL160" s="21"/>
      <c r="SIM160" s="20"/>
      <c r="SIN160" s="20"/>
      <c r="SIO160" s="20"/>
      <c r="SIP160" s="21"/>
      <c r="SIQ160" s="21"/>
      <c r="SIR160" s="21"/>
      <c r="SIS160" s="21"/>
      <c r="SIT160" s="21"/>
      <c r="SIU160" s="20"/>
      <c r="SIV160" s="20"/>
      <c r="SIW160" s="20"/>
      <c r="SIX160" s="20"/>
      <c r="SIY160" s="21"/>
      <c r="SIZ160" s="21"/>
      <c r="SJA160" s="7"/>
      <c r="SJB160" s="7"/>
      <c r="SJC160" s="21"/>
      <c r="SJD160" s="20"/>
      <c r="SJE160" s="20"/>
      <c r="SJF160" s="20"/>
      <c r="SJG160" s="21"/>
      <c r="SJH160" s="21"/>
      <c r="SJI160" s="21"/>
      <c r="SJJ160" s="21"/>
      <c r="SJK160" s="21"/>
      <c r="SJL160" s="20"/>
      <c r="SJM160" s="20"/>
      <c r="SJN160" s="20"/>
      <c r="SJO160" s="20"/>
      <c r="SJP160" s="21"/>
      <c r="SJQ160" s="21"/>
      <c r="SJR160" s="7"/>
      <c r="SJS160" s="7"/>
      <c r="SJT160" s="21"/>
      <c r="SJU160" s="20"/>
      <c r="SJV160" s="20"/>
      <c r="SJW160" s="20"/>
      <c r="SJX160" s="21"/>
      <c r="SJY160" s="21"/>
      <c r="SJZ160" s="21"/>
      <c r="SKA160" s="21"/>
      <c r="SKB160" s="21"/>
      <c r="SKC160" s="20"/>
      <c r="SKD160" s="20"/>
      <c r="SKE160" s="20"/>
      <c r="SKF160" s="20"/>
      <c r="SKG160" s="21"/>
      <c r="SKH160" s="21"/>
      <c r="SKI160" s="7"/>
      <c r="SKJ160" s="7"/>
      <c r="SKK160" s="21"/>
      <c r="SKL160" s="20"/>
      <c r="SKM160" s="20"/>
      <c r="SKN160" s="20"/>
      <c r="SKO160" s="21"/>
      <c r="SKP160" s="21"/>
      <c r="SKQ160" s="21"/>
      <c r="SKR160" s="21"/>
      <c r="SKS160" s="21"/>
      <c r="SKT160" s="20"/>
      <c r="SKU160" s="20"/>
      <c r="SKV160" s="20"/>
      <c r="SKW160" s="20"/>
      <c r="SKX160" s="21"/>
      <c r="SKY160" s="21"/>
      <c r="SKZ160" s="7"/>
      <c r="SLA160" s="7"/>
      <c r="SLB160" s="21"/>
      <c r="SLC160" s="20"/>
      <c r="SLD160" s="20"/>
      <c r="SLE160" s="20"/>
      <c r="SLF160" s="21"/>
      <c r="SLG160" s="21"/>
      <c r="SLH160" s="21"/>
      <c r="SLI160" s="21"/>
      <c r="SLJ160" s="21"/>
      <c r="SLK160" s="20"/>
      <c r="SLL160" s="20"/>
      <c r="SLM160" s="20"/>
      <c r="SLN160" s="20"/>
      <c r="SLO160" s="21"/>
      <c r="SLP160" s="21"/>
      <c r="SLQ160" s="7"/>
      <c r="SLR160" s="7"/>
      <c r="SLS160" s="21"/>
      <c r="SLT160" s="20"/>
      <c r="SLU160" s="20"/>
      <c r="SLV160" s="20"/>
      <c r="SLW160" s="21"/>
      <c r="SLX160" s="21"/>
      <c r="SLY160" s="21"/>
      <c r="SLZ160" s="21"/>
      <c r="SMA160" s="21"/>
      <c r="SMB160" s="20"/>
      <c r="SMC160" s="20"/>
      <c r="SMD160" s="20"/>
      <c r="SME160" s="20"/>
      <c r="SMF160" s="21"/>
      <c r="SMG160" s="21"/>
      <c r="SMH160" s="7"/>
      <c r="SMI160" s="7"/>
      <c r="SMJ160" s="21"/>
      <c r="SMK160" s="20"/>
      <c r="SML160" s="20"/>
      <c r="SMM160" s="20"/>
      <c r="SMN160" s="21"/>
      <c r="SMO160" s="21"/>
      <c r="SMP160" s="21"/>
      <c r="SMQ160" s="21"/>
      <c r="SMR160" s="21"/>
      <c r="SMS160" s="20"/>
      <c r="SMT160" s="20"/>
      <c r="SMU160" s="20"/>
      <c r="SMV160" s="20"/>
      <c r="SMW160" s="21"/>
      <c r="SMX160" s="21"/>
      <c r="SMY160" s="7"/>
      <c r="SMZ160" s="7"/>
      <c r="SNA160" s="21"/>
      <c r="SNB160" s="20"/>
      <c r="SNC160" s="20"/>
      <c r="SND160" s="20"/>
      <c r="SNE160" s="21"/>
      <c r="SNF160" s="21"/>
      <c r="SNG160" s="21"/>
      <c r="SNH160" s="21"/>
      <c r="SNI160" s="21"/>
      <c r="SNJ160" s="20"/>
      <c r="SNK160" s="20"/>
      <c r="SNL160" s="20"/>
      <c r="SNM160" s="20"/>
      <c r="SNN160" s="21"/>
      <c r="SNO160" s="21"/>
      <c r="SNP160" s="7"/>
      <c r="SNQ160" s="7"/>
      <c r="SNR160" s="21"/>
      <c r="SNS160" s="20"/>
      <c r="SNT160" s="20"/>
      <c r="SNU160" s="20"/>
      <c r="SNV160" s="21"/>
      <c r="SNW160" s="21"/>
      <c r="SNX160" s="21"/>
      <c r="SNY160" s="21"/>
      <c r="SNZ160" s="21"/>
      <c r="SOA160" s="20"/>
      <c r="SOB160" s="20"/>
      <c r="SOC160" s="20"/>
      <c r="SOD160" s="20"/>
      <c r="SOE160" s="21"/>
      <c r="SOF160" s="21"/>
      <c r="SOG160" s="7"/>
      <c r="SOH160" s="7"/>
      <c r="SOI160" s="21"/>
      <c r="SOJ160" s="20"/>
      <c r="SOK160" s="20"/>
      <c r="SOL160" s="20"/>
      <c r="SOM160" s="21"/>
      <c r="SON160" s="21"/>
      <c r="SOO160" s="21"/>
      <c r="SOP160" s="21"/>
      <c r="SOQ160" s="21"/>
      <c r="SOR160" s="20"/>
      <c r="SOS160" s="20"/>
      <c r="SOT160" s="20"/>
      <c r="SOU160" s="20"/>
      <c r="SOV160" s="21"/>
      <c r="SOW160" s="21"/>
      <c r="SOX160" s="7"/>
      <c r="SOY160" s="7"/>
      <c r="SOZ160" s="21"/>
      <c r="SPA160" s="20"/>
      <c r="SPB160" s="20"/>
      <c r="SPC160" s="20"/>
      <c r="SPD160" s="21"/>
      <c r="SPE160" s="21"/>
      <c r="SPF160" s="21"/>
      <c r="SPG160" s="21"/>
      <c r="SPH160" s="21"/>
      <c r="SPI160" s="20"/>
      <c r="SPJ160" s="20"/>
      <c r="SPK160" s="20"/>
      <c r="SPL160" s="20"/>
      <c r="SPM160" s="21"/>
      <c r="SPN160" s="21"/>
      <c r="SPO160" s="7"/>
      <c r="SPP160" s="7"/>
      <c r="SPQ160" s="21"/>
      <c r="SPR160" s="20"/>
      <c r="SPS160" s="20"/>
      <c r="SPT160" s="20"/>
      <c r="SPU160" s="21"/>
      <c r="SPV160" s="21"/>
      <c r="SPW160" s="21"/>
      <c r="SPX160" s="21"/>
      <c r="SPY160" s="21"/>
      <c r="SPZ160" s="20"/>
      <c r="SQA160" s="20"/>
      <c r="SQB160" s="20"/>
      <c r="SQC160" s="20"/>
      <c r="SQD160" s="21"/>
      <c r="SQE160" s="21"/>
      <c r="SQF160" s="7"/>
      <c r="SQG160" s="7"/>
      <c r="SQH160" s="21"/>
      <c r="SQI160" s="20"/>
      <c r="SQJ160" s="20"/>
      <c r="SQK160" s="20"/>
      <c r="SQL160" s="21"/>
      <c r="SQM160" s="21"/>
      <c r="SQN160" s="21"/>
      <c r="SQO160" s="21"/>
      <c r="SQP160" s="21"/>
      <c r="SQQ160" s="20"/>
      <c r="SQR160" s="20"/>
      <c r="SQS160" s="20"/>
      <c r="SQT160" s="20"/>
      <c r="SQU160" s="21"/>
      <c r="SQV160" s="21"/>
      <c r="SQW160" s="7"/>
      <c r="SQX160" s="7"/>
      <c r="SQY160" s="21"/>
      <c r="SQZ160" s="20"/>
      <c r="SRA160" s="20"/>
      <c r="SRB160" s="20"/>
      <c r="SRC160" s="21"/>
      <c r="SRD160" s="21"/>
      <c r="SRE160" s="21"/>
      <c r="SRF160" s="21"/>
      <c r="SRG160" s="21"/>
      <c r="SRH160" s="20"/>
      <c r="SRI160" s="20"/>
      <c r="SRJ160" s="20"/>
      <c r="SRK160" s="20"/>
      <c r="SRL160" s="21"/>
      <c r="SRM160" s="21"/>
      <c r="SRN160" s="7"/>
      <c r="SRO160" s="7"/>
      <c r="SRP160" s="21"/>
      <c r="SRQ160" s="20"/>
      <c r="SRR160" s="20"/>
      <c r="SRS160" s="20"/>
      <c r="SRT160" s="21"/>
      <c r="SRU160" s="21"/>
      <c r="SRV160" s="21"/>
      <c r="SRW160" s="21"/>
      <c r="SRX160" s="21"/>
      <c r="SRY160" s="20"/>
      <c r="SRZ160" s="20"/>
      <c r="SSA160" s="20"/>
      <c r="SSB160" s="20"/>
      <c r="SSC160" s="21"/>
      <c r="SSD160" s="21"/>
      <c r="SSE160" s="7"/>
      <c r="SSF160" s="7"/>
      <c r="SSG160" s="21"/>
      <c r="SSH160" s="20"/>
      <c r="SSI160" s="20"/>
      <c r="SSJ160" s="20"/>
      <c r="SSK160" s="21"/>
      <c r="SSL160" s="21"/>
      <c r="SSM160" s="21"/>
      <c r="SSN160" s="21"/>
      <c r="SSO160" s="21"/>
      <c r="SSP160" s="20"/>
      <c r="SSQ160" s="20"/>
      <c r="SSR160" s="20"/>
      <c r="SSS160" s="20"/>
      <c r="SST160" s="21"/>
      <c r="SSU160" s="21"/>
      <c r="SSV160" s="7"/>
      <c r="SSW160" s="7"/>
      <c r="SSX160" s="21"/>
      <c r="SSY160" s="20"/>
      <c r="SSZ160" s="20"/>
      <c r="STA160" s="20"/>
      <c r="STB160" s="21"/>
      <c r="STC160" s="21"/>
      <c r="STD160" s="21"/>
      <c r="STE160" s="21"/>
      <c r="STF160" s="21"/>
      <c r="STG160" s="20"/>
      <c r="STH160" s="20"/>
      <c r="STI160" s="20"/>
      <c r="STJ160" s="20"/>
      <c r="STK160" s="21"/>
      <c r="STL160" s="21"/>
      <c r="STM160" s="7"/>
      <c r="STN160" s="7"/>
      <c r="STO160" s="21"/>
      <c r="STP160" s="20"/>
      <c r="STQ160" s="20"/>
      <c r="STR160" s="20"/>
      <c r="STS160" s="21"/>
      <c r="STT160" s="21"/>
      <c r="STU160" s="21"/>
      <c r="STV160" s="21"/>
      <c r="STW160" s="21"/>
      <c r="STX160" s="20"/>
      <c r="STY160" s="20"/>
      <c r="STZ160" s="20"/>
      <c r="SUA160" s="20"/>
      <c r="SUB160" s="21"/>
      <c r="SUC160" s="21"/>
      <c r="SUD160" s="7"/>
      <c r="SUE160" s="7"/>
      <c r="SUF160" s="21"/>
      <c r="SUG160" s="20"/>
      <c r="SUH160" s="20"/>
      <c r="SUI160" s="20"/>
      <c r="SUJ160" s="21"/>
      <c r="SUK160" s="21"/>
      <c r="SUL160" s="21"/>
      <c r="SUM160" s="21"/>
      <c r="SUN160" s="21"/>
      <c r="SUO160" s="20"/>
      <c r="SUP160" s="20"/>
      <c r="SUQ160" s="20"/>
      <c r="SUR160" s="20"/>
      <c r="SUS160" s="21"/>
      <c r="SUT160" s="21"/>
      <c r="SUU160" s="7"/>
      <c r="SUV160" s="7"/>
      <c r="SUW160" s="21"/>
      <c r="SUX160" s="20"/>
      <c r="SUY160" s="20"/>
      <c r="SUZ160" s="20"/>
      <c r="SVA160" s="21"/>
      <c r="SVB160" s="21"/>
      <c r="SVC160" s="21"/>
      <c r="SVD160" s="21"/>
      <c r="SVE160" s="21"/>
      <c r="SVF160" s="20"/>
      <c r="SVG160" s="20"/>
      <c r="SVH160" s="20"/>
      <c r="SVI160" s="20"/>
      <c r="SVJ160" s="21"/>
      <c r="SVK160" s="21"/>
      <c r="SVL160" s="7"/>
      <c r="SVM160" s="7"/>
      <c r="SVN160" s="21"/>
      <c r="SVO160" s="20"/>
      <c r="SVP160" s="20"/>
      <c r="SVQ160" s="20"/>
      <c r="SVR160" s="21"/>
      <c r="SVS160" s="21"/>
      <c r="SVT160" s="21"/>
      <c r="SVU160" s="21"/>
      <c r="SVV160" s="21"/>
      <c r="SVW160" s="20"/>
      <c r="SVX160" s="20"/>
      <c r="SVY160" s="20"/>
      <c r="SVZ160" s="20"/>
      <c r="SWA160" s="21"/>
      <c r="SWB160" s="21"/>
      <c r="SWC160" s="7"/>
      <c r="SWD160" s="7"/>
      <c r="SWE160" s="21"/>
      <c r="SWF160" s="20"/>
      <c r="SWG160" s="20"/>
      <c r="SWH160" s="20"/>
      <c r="SWI160" s="21"/>
      <c r="SWJ160" s="21"/>
      <c r="SWK160" s="21"/>
      <c r="SWL160" s="21"/>
      <c r="SWM160" s="21"/>
      <c r="SWN160" s="20"/>
      <c r="SWO160" s="20"/>
      <c r="SWP160" s="20"/>
      <c r="SWQ160" s="20"/>
      <c r="SWR160" s="21"/>
      <c r="SWS160" s="21"/>
      <c r="SWT160" s="7"/>
      <c r="SWU160" s="7"/>
      <c r="SWV160" s="21"/>
      <c r="SWW160" s="20"/>
      <c r="SWX160" s="20"/>
      <c r="SWY160" s="20"/>
      <c r="SWZ160" s="21"/>
      <c r="SXA160" s="21"/>
      <c r="SXB160" s="21"/>
      <c r="SXC160" s="21"/>
      <c r="SXD160" s="21"/>
      <c r="SXE160" s="20"/>
      <c r="SXF160" s="20"/>
      <c r="SXG160" s="20"/>
      <c r="SXH160" s="20"/>
      <c r="SXI160" s="21"/>
      <c r="SXJ160" s="21"/>
      <c r="SXK160" s="7"/>
      <c r="SXL160" s="7"/>
      <c r="SXM160" s="21"/>
      <c r="SXN160" s="20"/>
      <c r="SXO160" s="20"/>
      <c r="SXP160" s="20"/>
      <c r="SXQ160" s="21"/>
      <c r="SXR160" s="21"/>
      <c r="SXS160" s="21"/>
      <c r="SXT160" s="21"/>
      <c r="SXU160" s="21"/>
      <c r="SXV160" s="20"/>
      <c r="SXW160" s="20"/>
      <c r="SXX160" s="20"/>
      <c r="SXY160" s="20"/>
      <c r="SXZ160" s="21"/>
      <c r="SYA160" s="21"/>
      <c r="SYB160" s="7"/>
      <c r="SYC160" s="7"/>
      <c r="SYD160" s="21"/>
      <c r="SYE160" s="20"/>
      <c r="SYF160" s="20"/>
      <c r="SYG160" s="20"/>
      <c r="SYH160" s="21"/>
      <c r="SYI160" s="21"/>
      <c r="SYJ160" s="21"/>
      <c r="SYK160" s="21"/>
      <c r="SYL160" s="21"/>
      <c r="SYM160" s="20"/>
      <c r="SYN160" s="20"/>
      <c r="SYO160" s="20"/>
      <c r="SYP160" s="20"/>
      <c r="SYQ160" s="21"/>
      <c r="SYR160" s="21"/>
      <c r="SYS160" s="7"/>
      <c r="SYT160" s="7"/>
      <c r="SYU160" s="21"/>
      <c r="SYV160" s="20"/>
      <c r="SYW160" s="20"/>
      <c r="SYX160" s="20"/>
      <c r="SYY160" s="21"/>
      <c r="SYZ160" s="21"/>
      <c r="SZA160" s="21"/>
      <c r="SZB160" s="21"/>
      <c r="SZC160" s="21"/>
      <c r="SZD160" s="20"/>
      <c r="SZE160" s="20"/>
      <c r="SZF160" s="20"/>
      <c r="SZG160" s="20"/>
      <c r="SZH160" s="21"/>
      <c r="SZI160" s="21"/>
      <c r="SZJ160" s="7"/>
      <c r="SZK160" s="7"/>
      <c r="SZL160" s="21"/>
      <c r="SZM160" s="20"/>
      <c r="SZN160" s="20"/>
      <c r="SZO160" s="20"/>
      <c r="SZP160" s="21"/>
      <c r="SZQ160" s="21"/>
      <c r="SZR160" s="21"/>
      <c r="SZS160" s="21"/>
      <c r="SZT160" s="21"/>
      <c r="SZU160" s="20"/>
      <c r="SZV160" s="20"/>
      <c r="SZW160" s="20"/>
      <c r="SZX160" s="20"/>
      <c r="SZY160" s="21"/>
      <c r="SZZ160" s="21"/>
      <c r="TAA160" s="7"/>
      <c r="TAB160" s="7"/>
      <c r="TAC160" s="21"/>
      <c r="TAD160" s="20"/>
      <c r="TAE160" s="20"/>
      <c r="TAF160" s="20"/>
      <c r="TAG160" s="21"/>
      <c r="TAH160" s="21"/>
      <c r="TAI160" s="21"/>
      <c r="TAJ160" s="21"/>
      <c r="TAK160" s="21"/>
      <c r="TAL160" s="20"/>
      <c r="TAM160" s="20"/>
      <c r="TAN160" s="20"/>
      <c r="TAO160" s="20"/>
      <c r="TAP160" s="21"/>
      <c r="TAQ160" s="21"/>
      <c r="TAR160" s="7"/>
      <c r="TAS160" s="7"/>
      <c r="TAT160" s="21"/>
      <c r="TAU160" s="20"/>
      <c r="TAV160" s="20"/>
      <c r="TAW160" s="20"/>
      <c r="TAX160" s="21"/>
      <c r="TAY160" s="21"/>
      <c r="TAZ160" s="21"/>
      <c r="TBA160" s="21"/>
      <c r="TBB160" s="21"/>
      <c r="TBC160" s="20"/>
      <c r="TBD160" s="20"/>
      <c r="TBE160" s="20"/>
      <c r="TBF160" s="20"/>
      <c r="TBG160" s="21"/>
      <c r="TBH160" s="21"/>
      <c r="TBI160" s="7"/>
      <c r="TBJ160" s="7"/>
      <c r="TBK160" s="21"/>
      <c r="TBL160" s="20"/>
      <c r="TBM160" s="20"/>
      <c r="TBN160" s="20"/>
      <c r="TBO160" s="21"/>
      <c r="TBP160" s="21"/>
      <c r="TBQ160" s="21"/>
      <c r="TBR160" s="21"/>
      <c r="TBS160" s="21"/>
      <c r="TBT160" s="20"/>
      <c r="TBU160" s="20"/>
      <c r="TBV160" s="20"/>
      <c r="TBW160" s="20"/>
      <c r="TBX160" s="21"/>
      <c r="TBY160" s="21"/>
      <c r="TBZ160" s="7"/>
      <c r="TCA160" s="7"/>
      <c r="TCB160" s="21"/>
      <c r="TCC160" s="20"/>
      <c r="TCD160" s="20"/>
      <c r="TCE160" s="20"/>
      <c r="TCF160" s="21"/>
      <c r="TCG160" s="21"/>
      <c r="TCH160" s="21"/>
      <c r="TCI160" s="21"/>
      <c r="TCJ160" s="21"/>
      <c r="TCK160" s="20"/>
      <c r="TCL160" s="20"/>
      <c r="TCM160" s="20"/>
      <c r="TCN160" s="20"/>
      <c r="TCO160" s="21"/>
      <c r="TCP160" s="21"/>
      <c r="TCQ160" s="7"/>
      <c r="TCR160" s="7"/>
      <c r="TCS160" s="21"/>
      <c r="TCT160" s="20"/>
      <c r="TCU160" s="20"/>
      <c r="TCV160" s="20"/>
      <c r="TCW160" s="21"/>
      <c r="TCX160" s="21"/>
      <c r="TCY160" s="21"/>
      <c r="TCZ160" s="21"/>
      <c r="TDA160" s="21"/>
      <c r="TDB160" s="20"/>
      <c r="TDC160" s="20"/>
      <c r="TDD160" s="20"/>
      <c r="TDE160" s="20"/>
      <c r="TDF160" s="21"/>
      <c r="TDG160" s="21"/>
      <c r="TDH160" s="7"/>
      <c r="TDI160" s="7"/>
      <c r="TDJ160" s="21"/>
      <c r="TDK160" s="20"/>
      <c r="TDL160" s="20"/>
      <c r="TDM160" s="20"/>
      <c r="TDN160" s="21"/>
      <c r="TDO160" s="21"/>
      <c r="TDP160" s="21"/>
      <c r="TDQ160" s="21"/>
      <c r="TDR160" s="21"/>
      <c r="TDS160" s="20"/>
      <c r="TDT160" s="20"/>
      <c r="TDU160" s="20"/>
      <c r="TDV160" s="20"/>
      <c r="TDW160" s="21"/>
      <c r="TDX160" s="21"/>
      <c r="TDY160" s="7"/>
      <c r="TDZ160" s="7"/>
      <c r="TEA160" s="21"/>
      <c r="TEB160" s="20"/>
      <c r="TEC160" s="20"/>
      <c r="TED160" s="20"/>
      <c r="TEE160" s="21"/>
      <c r="TEF160" s="21"/>
      <c r="TEG160" s="21"/>
      <c r="TEH160" s="21"/>
      <c r="TEI160" s="21"/>
      <c r="TEJ160" s="20"/>
      <c r="TEK160" s="20"/>
      <c r="TEL160" s="20"/>
      <c r="TEM160" s="20"/>
      <c r="TEN160" s="21"/>
      <c r="TEO160" s="21"/>
      <c r="TEP160" s="7"/>
      <c r="TEQ160" s="7"/>
      <c r="TER160" s="21"/>
      <c r="TES160" s="20"/>
      <c r="TET160" s="20"/>
      <c r="TEU160" s="20"/>
      <c r="TEV160" s="21"/>
      <c r="TEW160" s="21"/>
      <c r="TEX160" s="21"/>
      <c r="TEY160" s="21"/>
      <c r="TEZ160" s="21"/>
      <c r="TFA160" s="20"/>
      <c r="TFB160" s="20"/>
      <c r="TFC160" s="20"/>
      <c r="TFD160" s="20"/>
      <c r="TFE160" s="21"/>
      <c r="TFF160" s="21"/>
      <c r="TFG160" s="7"/>
      <c r="TFH160" s="7"/>
      <c r="TFI160" s="21"/>
      <c r="TFJ160" s="20"/>
      <c r="TFK160" s="20"/>
      <c r="TFL160" s="20"/>
      <c r="TFM160" s="21"/>
      <c r="TFN160" s="21"/>
      <c r="TFO160" s="21"/>
      <c r="TFP160" s="21"/>
      <c r="TFQ160" s="21"/>
      <c r="TFR160" s="20"/>
      <c r="TFS160" s="20"/>
      <c r="TFT160" s="20"/>
      <c r="TFU160" s="20"/>
      <c r="TFV160" s="21"/>
      <c r="TFW160" s="21"/>
      <c r="TFX160" s="7"/>
      <c r="TFY160" s="7"/>
      <c r="TFZ160" s="21"/>
      <c r="TGA160" s="20"/>
      <c r="TGB160" s="20"/>
      <c r="TGC160" s="20"/>
      <c r="TGD160" s="21"/>
      <c r="TGE160" s="21"/>
      <c r="TGF160" s="21"/>
      <c r="TGG160" s="21"/>
      <c r="TGH160" s="21"/>
      <c r="TGI160" s="20"/>
      <c r="TGJ160" s="20"/>
      <c r="TGK160" s="20"/>
      <c r="TGL160" s="20"/>
      <c r="TGM160" s="21"/>
      <c r="TGN160" s="21"/>
      <c r="TGO160" s="7"/>
      <c r="TGP160" s="7"/>
      <c r="TGQ160" s="21"/>
      <c r="TGR160" s="20"/>
      <c r="TGS160" s="20"/>
      <c r="TGT160" s="20"/>
      <c r="TGU160" s="21"/>
      <c r="TGV160" s="21"/>
      <c r="TGW160" s="21"/>
      <c r="TGX160" s="21"/>
      <c r="TGY160" s="21"/>
      <c r="TGZ160" s="20"/>
      <c r="THA160" s="20"/>
      <c r="THB160" s="20"/>
      <c r="THC160" s="20"/>
      <c r="THD160" s="21"/>
      <c r="THE160" s="21"/>
      <c r="THF160" s="7"/>
      <c r="THG160" s="7"/>
      <c r="THH160" s="21"/>
      <c r="THI160" s="20"/>
      <c r="THJ160" s="20"/>
      <c r="THK160" s="20"/>
      <c r="THL160" s="21"/>
      <c r="THM160" s="21"/>
      <c r="THN160" s="21"/>
      <c r="THO160" s="21"/>
      <c r="THP160" s="21"/>
      <c r="THQ160" s="20"/>
      <c r="THR160" s="20"/>
      <c r="THS160" s="20"/>
      <c r="THT160" s="20"/>
      <c r="THU160" s="21"/>
      <c r="THV160" s="21"/>
      <c r="THW160" s="7"/>
      <c r="THX160" s="7"/>
      <c r="THY160" s="21"/>
      <c r="THZ160" s="20"/>
      <c r="TIA160" s="20"/>
      <c r="TIB160" s="20"/>
      <c r="TIC160" s="21"/>
      <c r="TID160" s="21"/>
      <c r="TIE160" s="21"/>
      <c r="TIF160" s="21"/>
      <c r="TIG160" s="21"/>
      <c r="TIH160" s="20"/>
      <c r="TII160" s="20"/>
      <c r="TIJ160" s="20"/>
      <c r="TIK160" s="20"/>
      <c r="TIL160" s="21"/>
      <c r="TIM160" s="21"/>
      <c r="TIN160" s="7"/>
      <c r="TIO160" s="7"/>
      <c r="TIP160" s="21"/>
      <c r="TIQ160" s="20"/>
      <c r="TIR160" s="20"/>
      <c r="TIS160" s="20"/>
      <c r="TIT160" s="21"/>
      <c r="TIU160" s="21"/>
      <c r="TIV160" s="21"/>
      <c r="TIW160" s="21"/>
      <c r="TIX160" s="21"/>
      <c r="TIY160" s="20"/>
      <c r="TIZ160" s="20"/>
      <c r="TJA160" s="20"/>
      <c r="TJB160" s="20"/>
      <c r="TJC160" s="21"/>
      <c r="TJD160" s="21"/>
      <c r="TJE160" s="7"/>
      <c r="TJF160" s="7"/>
      <c r="TJG160" s="21"/>
      <c r="TJH160" s="20"/>
      <c r="TJI160" s="20"/>
      <c r="TJJ160" s="20"/>
      <c r="TJK160" s="21"/>
      <c r="TJL160" s="21"/>
      <c r="TJM160" s="21"/>
      <c r="TJN160" s="21"/>
      <c r="TJO160" s="21"/>
      <c r="TJP160" s="20"/>
      <c r="TJQ160" s="20"/>
      <c r="TJR160" s="20"/>
      <c r="TJS160" s="20"/>
      <c r="TJT160" s="21"/>
      <c r="TJU160" s="21"/>
      <c r="TJV160" s="7"/>
      <c r="TJW160" s="7"/>
      <c r="TJX160" s="21"/>
      <c r="TJY160" s="20"/>
      <c r="TJZ160" s="20"/>
      <c r="TKA160" s="20"/>
      <c r="TKB160" s="21"/>
      <c r="TKC160" s="21"/>
      <c r="TKD160" s="21"/>
      <c r="TKE160" s="21"/>
      <c r="TKF160" s="21"/>
      <c r="TKG160" s="20"/>
      <c r="TKH160" s="20"/>
      <c r="TKI160" s="20"/>
      <c r="TKJ160" s="20"/>
      <c r="TKK160" s="21"/>
      <c r="TKL160" s="21"/>
      <c r="TKM160" s="7"/>
      <c r="TKN160" s="7"/>
      <c r="TKO160" s="21"/>
      <c r="TKP160" s="20"/>
      <c r="TKQ160" s="20"/>
      <c r="TKR160" s="20"/>
      <c r="TKS160" s="21"/>
      <c r="TKT160" s="21"/>
      <c r="TKU160" s="21"/>
      <c r="TKV160" s="21"/>
      <c r="TKW160" s="21"/>
      <c r="TKX160" s="20"/>
      <c r="TKY160" s="20"/>
      <c r="TKZ160" s="20"/>
      <c r="TLA160" s="20"/>
      <c r="TLB160" s="21"/>
      <c r="TLC160" s="21"/>
      <c r="TLD160" s="7"/>
      <c r="TLE160" s="7"/>
      <c r="TLF160" s="21"/>
      <c r="TLG160" s="20"/>
      <c r="TLH160" s="20"/>
      <c r="TLI160" s="20"/>
      <c r="TLJ160" s="21"/>
      <c r="TLK160" s="21"/>
      <c r="TLL160" s="21"/>
      <c r="TLM160" s="21"/>
      <c r="TLN160" s="21"/>
      <c r="TLO160" s="20"/>
      <c r="TLP160" s="20"/>
      <c r="TLQ160" s="20"/>
      <c r="TLR160" s="20"/>
      <c r="TLS160" s="21"/>
      <c r="TLT160" s="21"/>
      <c r="TLU160" s="7"/>
      <c r="TLV160" s="7"/>
      <c r="TLW160" s="21"/>
      <c r="TLX160" s="20"/>
      <c r="TLY160" s="20"/>
      <c r="TLZ160" s="20"/>
      <c r="TMA160" s="21"/>
      <c r="TMB160" s="21"/>
      <c r="TMC160" s="21"/>
      <c r="TMD160" s="21"/>
      <c r="TME160" s="21"/>
      <c r="TMF160" s="20"/>
      <c r="TMG160" s="20"/>
      <c r="TMH160" s="20"/>
      <c r="TMI160" s="20"/>
      <c r="TMJ160" s="21"/>
      <c r="TMK160" s="21"/>
      <c r="TML160" s="7"/>
      <c r="TMM160" s="7"/>
      <c r="TMN160" s="21"/>
      <c r="TMO160" s="20"/>
      <c r="TMP160" s="20"/>
      <c r="TMQ160" s="20"/>
      <c r="TMR160" s="21"/>
      <c r="TMS160" s="21"/>
      <c r="TMT160" s="21"/>
      <c r="TMU160" s="21"/>
      <c r="TMV160" s="21"/>
      <c r="TMW160" s="20"/>
      <c r="TMX160" s="20"/>
      <c r="TMY160" s="20"/>
      <c r="TMZ160" s="20"/>
      <c r="TNA160" s="21"/>
      <c r="TNB160" s="21"/>
      <c r="TNC160" s="7"/>
      <c r="TND160" s="7"/>
      <c r="TNE160" s="21"/>
      <c r="TNF160" s="20"/>
      <c r="TNG160" s="20"/>
      <c r="TNH160" s="20"/>
      <c r="TNI160" s="21"/>
      <c r="TNJ160" s="21"/>
      <c r="TNK160" s="21"/>
      <c r="TNL160" s="21"/>
      <c r="TNM160" s="21"/>
      <c r="TNN160" s="20"/>
      <c r="TNO160" s="20"/>
      <c r="TNP160" s="20"/>
      <c r="TNQ160" s="20"/>
      <c r="TNR160" s="21"/>
      <c r="TNS160" s="21"/>
      <c r="TNT160" s="7"/>
      <c r="TNU160" s="7"/>
      <c r="TNV160" s="21"/>
      <c r="TNW160" s="20"/>
      <c r="TNX160" s="20"/>
      <c r="TNY160" s="20"/>
      <c r="TNZ160" s="21"/>
      <c r="TOA160" s="21"/>
      <c r="TOB160" s="21"/>
      <c r="TOC160" s="21"/>
      <c r="TOD160" s="21"/>
      <c r="TOE160" s="20"/>
      <c r="TOF160" s="20"/>
      <c r="TOG160" s="20"/>
      <c r="TOH160" s="20"/>
      <c r="TOI160" s="21"/>
      <c r="TOJ160" s="21"/>
      <c r="TOK160" s="7"/>
      <c r="TOL160" s="7"/>
      <c r="TOM160" s="21"/>
      <c r="TON160" s="20"/>
      <c r="TOO160" s="20"/>
      <c r="TOP160" s="20"/>
      <c r="TOQ160" s="21"/>
      <c r="TOR160" s="21"/>
      <c r="TOS160" s="21"/>
      <c r="TOT160" s="21"/>
      <c r="TOU160" s="21"/>
      <c r="TOV160" s="20"/>
      <c r="TOW160" s="20"/>
      <c r="TOX160" s="20"/>
      <c r="TOY160" s="20"/>
      <c r="TOZ160" s="21"/>
      <c r="TPA160" s="21"/>
      <c r="TPB160" s="7"/>
      <c r="TPC160" s="7"/>
      <c r="TPD160" s="21"/>
      <c r="TPE160" s="20"/>
      <c r="TPF160" s="20"/>
      <c r="TPG160" s="20"/>
      <c r="TPH160" s="21"/>
      <c r="TPI160" s="21"/>
      <c r="TPJ160" s="21"/>
      <c r="TPK160" s="21"/>
      <c r="TPL160" s="21"/>
      <c r="TPM160" s="20"/>
      <c r="TPN160" s="20"/>
      <c r="TPO160" s="20"/>
      <c r="TPP160" s="20"/>
      <c r="TPQ160" s="21"/>
      <c r="TPR160" s="21"/>
      <c r="TPS160" s="7"/>
      <c r="TPT160" s="7"/>
      <c r="TPU160" s="21"/>
      <c r="TPV160" s="20"/>
      <c r="TPW160" s="20"/>
      <c r="TPX160" s="20"/>
      <c r="TPY160" s="21"/>
      <c r="TPZ160" s="21"/>
      <c r="TQA160" s="21"/>
      <c r="TQB160" s="21"/>
      <c r="TQC160" s="21"/>
      <c r="TQD160" s="20"/>
      <c r="TQE160" s="20"/>
      <c r="TQF160" s="20"/>
      <c r="TQG160" s="20"/>
      <c r="TQH160" s="21"/>
      <c r="TQI160" s="21"/>
      <c r="TQJ160" s="7"/>
      <c r="TQK160" s="7"/>
      <c r="TQL160" s="21"/>
      <c r="TQM160" s="20"/>
      <c r="TQN160" s="20"/>
      <c r="TQO160" s="20"/>
      <c r="TQP160" s="21"/>
      <c r="TQQ160" s="21"/>
      <c r="TQR160" s="21"/>
      <c r="TQS160" s="21"/>
      <c r="TQT160" s="21"/>
      <c r="TQU160" s="20"/>
      <c r="TQV160" s="20"/>
      <c r="TQW160" s="20"/>
      <c r="TQX160" s="20"/>
      <c r="TQY160" s="21"/>
      <c r="TQZ160" s="21"/>
      <c r="TRA160" s="7"/>
      <c r="TRB160" s="7"/>
      <c r="TRC160" s="21"/>
      <c r="TRD160" s="20"/>
      <c r="TRE160" s="20"/>
      <c r="TRF160" s="20"/>
      <c r="TRG160" s="21"/>
      <c r="TRH160" s="21"/>
      <c r="TRI160" s="21"/>
      <c r="TRJ160" s="21"/>
      <c r="TRK160" s="21"/>
      <c r="TRL160" s="20"/>
      <c r="TRM160" s="20"/>
      <c r="TRN160" s="20"/>
      <c r="TRO160" s="20"/>
      <c r="TRP160" s="21"/>
      <c r="TRQ160" s="21"/>
      <c r="TRR160" s="7"/>
      <c r="TRS160" s="7"/>
      <c r="TRT160" s="21"/>
      <c r="TRU160" s="20"/>
      <c r="TRV160" s="20"/>
      <c r="TRW160" s="20"/>
      <c r="TRX160" s="21"/>
      <c r="TRY160" s="21"/>
      <c r="TRZ160" s="21"/>
      <c r="TSA160" s="21"/>
      <c r="TSB160" s="21"/>
      <c r="TSC160" s="20"/>
      <c r="TSD160" s="20"/>
      <c r="TSE160" s="20"/>
      <c r="TSF160" s="20"/>
      <c r="TSG160" s="21"/>
      <c r="TSH160" s="21"/>
      <c r="TSI160" s="7"/>
      <c r="TSJ160" s="7"/>
      <c r="TSK160" s="21"/>
      <c r="TSL160" s="20"/>
      <c r="TSM160" s="20"/>
      <c r="TSN160" s="20"/>
      <c r="TSO160" s="21"/>
      <c r="TSP160" s="21"/>
      <c r="TSQ160" s="21"/>
      <c r="TSR160" s="21"/>
      <c r="TSS160" s="21"/>
      <c r="TST160" s="20"/>
      <c r="TSU160" s="20"/>
      <c r="TSV160" s="20"/>
      <c r="TSW160" s="20"/>
      <c r="TSX160" s="21"/>
      <c r="TSY160" s="21"/>
      <c r="TSZ160" s="7"/>
      <c r="TTA160" s="7"/>
      <c r="TTB160" s="21"/>
      <c r="TTC160" s="20"/>
      <c r="TTD160" s="20"/>
      <c r="TTE160" s="20"/>
      <c r="TTF160" s="21"/>
      <c r="TTG160" s="21"/>
      <c r="TTH160" s="21"/>
      <c r="TTI160" s="21"/>
      <c r="TTJ160" s="21"/>
      <c r="TTK160" s="20"/>
      <c r="TTL160" s="20"/>
      <c r="TTM160" s="20"/>
      <c r="TTN160" s="20"/>
      <c r="TTO160" s="21"/>
      <c r="TTP160" s="21"/>
      <c r="TTQ160" s="7"/>
      <c r="TTR160" s="7"/>
      <c r="TTS160" s="21"/>
      <c r="TTT160" s="20"/>
      <c r="TTU160" s="20"/>
      <c r="TTV160" s="20"/>
      <c r="TTW160" s="21"/>
      <c r="TTX160" s="21"/>
      <c r="TTY160" s="21"/>
      <c r="TTZ160" s="21"/>
      <c r="TUA160" s="21"/>
      <c r="TUB160" s="20"/>
      <c r="TUC160" s="20"/>
      <c r="TUD160" s="20"/>
      <c r="TUE160" s="20"/>
      <c r="TUF160" s="21"/>
      <c r="TUG160" s="21"/>
      <c r="TUH160" s="7"/>
      <c r="TUI160" s="7"/>
      <c r="TUJ160" s="21"/>
      <c r="TUK160" s="20"/>
      <c r="TUL160" s="20"/>
      <c r="TUM160" s="20"/>
      <c r="TUN160" s="21"/>
      <c r="TUO160" s="21"/>
      <c r="TUP160" s="21"/>
      <c r="TUQ160" s="21"/>
      <c r="TUR160" s="21"/>
      <c r="TUS160" s="20"/>
      <c r="TUT160" s="20"/>
      <c r="TUU160" s="20"/>
      <c r="TUV160" s="20"/>
      <c r="TUW160" s="21"/>
      <c r="TUX160" s="21"/>
      <c r="TUY160" s="7"/>
      <c r="TUZ160" s="7"/>
      <c r="TVA160" s="21"/>
      <c r="TVB160" s="20"/>
      <c r="TVC160" s="20"/>
      <c r="TVD160" s="20"/>
      <c r="TVE160" s="21"/>
      <c r="TVF160" s="21"/>
      <c r="TVG160" s="21"/>
      <c r="TVH160" s="21"/>
      <c r="TVI160" s="21"/>
      <c r="TVJ160" s="20"/>
      <c r="TVK160" s="20"/>
      <c r="TVL160" s="20"/>
      <c r="TVM160" s="20"/>
      <c r="TVN160" s="21"/>
      <c r="TVO160" s="21"/>
      <c r="TVP160" s="7"/>
      <c r="TVQ160" s="7"/>
      <c r="TVR160" s="21"/>
      <c r="TVS160" s="20"/>
      <c r="TVT160" s="20"/>
      <c r="TVU160" s="20"/>
      <c r="TVV160" s="21"/>
      <c r="TVW160" s="21"/>
      <c r="TVX160" s="21"/>
      <c r="TVY160" s="21"/>
      <c r="TVZ160" s="21"/>
      <c r="TWA160" s="20"/>
      <c r="TWB160" s="20"/>
      <c r="TWC160" s="20"/>
      <c r="TWD160" s="20"/>
      <c r="TWE160" s="21"/>
      <c r="TWF160" s="21"/>
      <c r="TWG160" s="7"/>
      <c r="TWH160" s="7"/>
      <c r="TWI160" s="21"/>
      <c r="TWJ160" s="20"/>
      <c r="TWK160" s="20"/>
      <c r="TWL160" s="20"/>
      <c r="TWM160" s="21"/>
      <c r="TWN160" s="21"/>
      <c r="TWO160" s="21"/>
      <c r="TWP160" s="21"/>
      <c r="TWQ160" s="21"/>
      <c r="TWR160" s="20"/>
      <c r="TWS160" s="20"/>
      <c r="TWT160" s="20"/>
      <c r="TWU160" s="20"/>
      <c r="TWV160" s="21"/>
      <c r="TWW160" s="21"/>
      <c r="TWX160" s="7"/>
      <c r="TWY160" s="7"/>
      <c r="TWZ160" s="21"/>
      <c r="TXA160" s="20"/>
      <c r="TXB160" s="20"/>
      <c r="TXC160" s="20"/>
      <c r="TXD160" s="21"/>
      <c r="TXE160" s="21"/>
      <c r="TXF160" s="21"/>
      <c r="TXG160" s="21"/>
      <c r="TXH160" s="21"/>
      <c r="TXI160" s="20"/>
      <c r="TXJ160" s="20"/>
      <c r="TXK160" s="20"/>
      <c r="TXL160" s="20"/>
      <c r="TXM160" s="21"/>
      <c r="TXN160" s="21"/>
      <c r="TXO160" s="7"/>
      <c r="TXP160" s="7"/>
      <c r="TXQ160" s="21"/>
      <c r="TXR160" s="20"/>
      <c r="TXS160" s="20"/>
      <c r="TXT160" s="20"/>
      <c r="TXU160" s="21"/>
      <c r="TXV160" s="21"/>
      <c r="TXW160" s="21"/>
      <c r="TXX160" s="21"/>
      <c r="TXY160" s="21"/>
      <c r="TXZ160" s="20"/>
      <c r="TYA160" s="20"/>
      <c r="TYB160" s="20"/>
      <c r="TYC160" s="20"/>
      <c r="TYD160" s="21"/>
      <c r="TYE160" s="21"/>
      <c r="TYF160" s="7"/>
      <c r="TYG160" s="7"/>
      <c r="TYH160" s="21"/>
      <c r="TYI160" s="20"/>
      <c r="TYJ160" s="20"/>
      <c r="TYK160" s="20"/>
      <c r="TYL160" s="21"/>
      <c r="TYM160" s="21"/>
      <c r="TYN160" s="21"/>
      <c r="TYO160" s="21"/>
      <c r="TYP160" s="21"/>
      <c r="TYQ160" s="20"/>
      <c r="TYR160" s="20"/>
      <c r="TYS160" s="20"/>
      <c r="TYT160" s="20"/>
      <c r="TYU160" s="21"/>
      <c r="TYV160" s="21"/>
      <c r="TYW160" s="7"/>
      <c r="TYX160" s="7"/>
      <c r="TYY160" s="21"/>
      <c r="TYZ160" s="20"/>
      <c r="TZA160" s="20"/>
      <c r="TZB160" s="20"/>
      <c r="TZC160" s="21"/>
      <c r="TZD160" s="21"/>
      <c r="TZE160" s="21"/>
      <c r="TZF160" s="21"/>
      <c r="TZG160" s="21"/>
      <c r="TZH160" s="20"/>
      <c r="TZI160" s="20"/>
      <c r="TZJ160" s="20"/>
      <c r="TZK160" s="20"/>
      <c r="TZL160" s="21"/>
      <c r="TZM160" s="21"/>
      <c r="TZN160" s="7"/>
      <c r="TZO160" s="7"/>
      <c r="TZP160" s="21"/>
      <c r="TZQ160" s="20"/>
      <c r="TZR160" s="20"/>
      <c r="TZS160" s="20"/>
      <c r="TZT160" s="21"/>
      <c r="TZU160" s="21"/>
      <c r="TZV160" s="21"/>
      <c r="TZW160" s="21"/>
      <c r="TZX160" s="21"/>
      <c r="TZY160" s="20"/>
      <c r="TZZ160" s="20"/>
      <c r="UAA160" s="20"/>
      <c r="UAB160" s="20"/>
      <c r="UAC160" s="21"/>
      <c r="UAD160" s="21"/>
      <c r="UAE160" s="7"/>
      <c r="UAF160" s="7"/>
      <c r="UAG160" s="21"/>
      <c r="UAH160" s="20"/>
      <c r="UAI160" s="20"/>
      <c r="UAJ160" s="20"/>
      <c r="UAK160" s="21"/>
      <c r="UAL160" s="21"/>
      <c r="UAM160" s="21"/>
      <c r="UAN160" s="21"/>
      <c r="UAO160" s="21"/>
      <c r="UAP160" s="20"/>
      <c r="UAQ160" s="20"/>
      <c r="UAR160" s="20"/>
      <c r="UAS160" s="20"/>
      <c r="UAT160" s="21"/>
      <c r="UAU160" s="21"/>
      <c r="UAV160" s="7"/>
      <c r="UAW160" s="7"/>
      <c r="UAX160" s="21"/>
      <c r="UAY160" s="20"/>
      <c r="UAZ160" s="20"/>
      <c r="UBA160" s="20"/>
      <c r="UBB160" s="21"/>
      <c r="UBC160" s="21"/>
      <c r="UBD160" s="21"/>
      <c r="UBE160" s="21"/>
      <c r="UBF160" s="21"/>
      <c r="UBG160" s="20"/>
      <c r="UBH160" s="20"/>
      <c r="UBI160" s="20"/>
      <c r="UBJ160" s="20"/>
      <c r="UBK160" s="21"/>
      <c r="UBL160" s="21"/>
      <c r="UBM160" s="7"/>
      <c r="UBN160" s="7"/>
      <c r="UBO160" s="21"/>
      <c r="UBP160" s="20"/>
      <c r="UBQ160" s="20"/>
      <c r="UBR160" s="20"/>
      <c r="UBS160" s="21"/>
      <c r="UBT160" s="21"/>
      <c r="UBU160" s="21"/>
      <c r="UBV160" s="21"/>
      <c r="UBW160" s="21"/>
      <c r="UBX160" s="20"/>
      <c r="UBY160" s="20"/>
      <c r="UBZ160" s="20"/>
      <c r="UCA160" s="20"/>
      <c r="UCB160" s="21"/>
      <c r="UCC160" s="21"/>
      <c r="UCD160" s="7"/>
      <c r="UCE160" s="7"/>
      <c r="UCF160" s="21"/>
      <c r="UCG160" s="20"/>
      <c r="UCH160" s="20"/>
      <c r="UCI160" s="20"/>
      <c r="UCJ160" s="21"/>
      <c r="UCK160" s="21"/>
      <c r="UCL160" s="21"/>
      <c r="UCM160" s="21"/>
      <c r="UCN160" s="21"/>
      <c r="UCO160" s="20"/>
      <c r="UCP160" s="20"/>
      <c r="UCQ160" s="20"/>
      <c r="UCR160" s="20"/>
      <c r="UCS160" s="21"/>
      <c r="UCT160" s="21"/>
      <c r="UCU160" s="7"/>
      <c r="UCV160" s="7"/>
      <c r="UCW160" s="21"/>
      <c r="UCX160" s="20"/>
      <c r="UCY160" s="20"/>
      <c r="UCZ160" s="20"/>
      <c r="UDA160" s="21"/>
      <c r="UDB160" s="21"/>
      <c r="UDC160" s="21"/>
      <c r="UDD160" s="21"/>
      <c r="UDE160" s="21"/>
      <c r="UDF160" s="20"/>
      <c r="UDG160" s="20"/>
      <c r="UDH160" s="20"/>
      <c r="UDI160" s="20"/>
      <c r="UDJ160" s="21"/>
      <c r="UDK160" s="21"/>
      <c r="UDL160" s="7"/>
      <c r="UDM160" s="7"/>
      <c r="UDN160" s="21"/>
      <c r="UDO160" s="20"/>
      <c r="UDP160" s="20"/>
      <c r="UDQ160" s="20"/>
      <c r="UDR160" s="21"/>
      <c r="UDS160" s="21"/>
      <c r="UDT160" s="21"/>
      <c r="UDU160" s="21"/>
      <c r="UDV160" s="21"/>
      <c r="UDW160" s="20"/>
      <c r="UDX160" s="20"/>
      <c r="UDY160" s="20"/>
      <c r="UDZ160" s="20"/>
      <c r="UEA160" s="21"/>
      <c r="UEB160" s="21"/>
      <c r="UEC160" s="7"/>
      <c r="UED160" s="7"/>
      <c r="UEE160" s="21"/>
      <c r="UEF160" s="20"/>
      <c r="UEG160" s="20"/>
      <c r="UEH160" s="20"/>
      <c r="UEI160" s="21"/>
      <c r="UEJ160" s="21"/>
      <c r="UEK160" s="21"/>
      <c r="UEL160" s="21"/>
      <c r="UEM160" s="21"/>
      <c r="UEN160" s="20"/>
      <c r="UEO160" s="20"/>
      <c r="UEP160" s="20"/>
      <c r="UEQ160" s="20"/>
      <c r="UER160" s="21"/>
      <c r="UES160" s="21"/>
      <c r="UET160" s="7"/>
      <c r="UEU160" s="7"/>
      <c r="UEV160" s="21"/>
      <c r="UEW160" s="20"/>
      <c r="UEX160" s="20"/>
      <c r="UEY160" s="20"/>
      <c r="UEZ160" s="21"/>
      <c r="UFA160" s="21"/>
      <c r="UFB160" s="21"/>
      <c r="UFC160" s="21"/>
      <c r="UFD160" s="21"/>
      <c r="UFE160" s="20"/>
      <c r="UFF160" s="20"/>
      <c r="UFG160" s="20"/>
      <c r="UFH160" s="20"/>
      <c r="UFI160" s="21"/>
      <c r="UFJ160" s="21"/>
      <c r="UFK160" s="7"/>
      <c r="UFL160" s="7"/>
      <c r="UFM160" s="21"/>
      <c r="UFN160" s="20"/>
      <c r="UFO160" s="20"/>
      <c r="UFP160" s="20"/>
      <c r="UFQ160" s="21"/>
      <c r="UFR160" s="21"/>
      <c r="UFS160" s="21"/>
      <c r="UFT160" s="21"/>
      <c r="UFU160" s="21"/>
      <c r="UFV160" s="20"/>
      <c r="UFW160" s="20"/>
      <c r="UFX160" s="20"/>
      <c r="UFY160" s="20"/>
      <c r="UFZ160" s="21"/>
      <c r="UGA160" s="21"/>
      <c r="UGB160" s="7"/>
      <c r="UGC160" s="7"/>
      <c r="UGD160" s="21"/>
      <c r="UGE160" s="20"/>
      <c r="UGF160" s="20"/>
      <c r="UGG160" s="20"/>
      <c r="UGH160" s="21"/>
      <c r="UGI160" s="21"/>
      <c r="UGJ160" s="21"/>
      <c r="UGK160" s="21"/>
      <c r="UGL160" s="21"/>
      <c r="UGM160" s="20"/>
      <c r="UGN160" s="20"/>
      <c r="UGO160" s="20"/>
      <c r="UGP160" s="20"/>
      <c r="UGQ160" s="21"/>
      <c r="UGR160" s="21"/>
      <c r="UGS160" s="7"/>
      <c r="UGT160" s="7"/>
      <c r="UGU160" s="21"/>
      <c r="UGV160" s="20"/>
      <c r="UGW160" s="20"/>
      <c r="UGX160" s="20"/>
      <c r="UGY160" s="21"/>
      <c r="UGZ160" s="21"/>
      <c r="UHA160" s="21"/>
      <c r="UHB160" s="21"/>
      <c r="UHC160" s="21"/>
      <c r="UHD160" s="20"/>
      <c r="UHE160" s="20"/>
      <c r="UHF160" s="20"/>
      <c r="UHG160" s="20"/>
      <c r="UHH160" s="21"/>
      <c r="UHI160" s="21"/>
      <c r="UHJ160" s="7"/>
      <c r="UHK160" s="7"/>
      <c r="UHL160" s="21"/>
      <c r="UHM160" s="20"/>
      <c r="UHN160" s="20"/>
      <c r="UHO160" s="20"/>
      <c r="UHP160" s="21"/>
      <c r="UHQ160" s="21"/>
      <c r="UHR160" s="21"/>
      <c r="UHS160" s="21"/>
      <c r="UHT160" s="21"/>
      <c r="UHU160" s="20"/>
      <c r="UHV160" s="20"/>
      <c r="UHW160" s="20"/>
      <c r="UHX160" s="20"/>
      <c r="UHY160" s="21"/>
      <c r="UHZ160" s="21"/>
      <c r="UIA160" s="7"/>
      <c r="UIB160" s="7"/>
      <c r="UIC160" s="21"/>
      <c r="UID160" s="20"/>
      <c r="UIE160" s="20"/>
      <c r="UIF160" s="20"/>
      <c r="UIG160" s="21"/>
      <c r="UIH160" s="21"/>
      <c r="UII160" s="21"/>
      <c r="UIJ160" s="21"/>
      <c r="UIK160" s="21"/>
      <c r="UIL160" s="20"/>
      <c r="UIM160" s="20"/>
      <c r="UIN160" s="20"/>
      <c r="UIO160" s="20"/>
      <c r="UIP160" s="21"/>
      <c r="UIQ160" s="21"/>
      <c r="UIR160" s="7"/>
      <c r="UIS160" s="7"/>
      <c r="UIT160" s="21"/>
      <c r="UIU160" s="20"/>
      <c r="UIV160" s="20"/>
      <c r="UIW160" s="20"/>
      <c r="UIX160" s="21"/>
      <c r="UIY160" s="21"/>
      <c r="UIZ160" s="21"/>
      <c r="UJA160" s="21"/>
      <c r="UJB160" s="21"/>
      <c r="UJC160" s="20"/>
      <c r="UJD160" s="20"/>
      <c r="UJE160" s="20"/>
      <c r="UJF160" s="20"/>
      <c r="UJG160" s="21"/>
      <c r="UJH160" s="21"/>
      <c r="UJI160" s="7"/>
      <c r="UJJ160" s="7"/>
      <c r="UJK160" s="21"/>
      <c r="UJL160" s="20"/>
      <c r="UJM160" s="20"/>
      <c r="UJN160" s="20"/>
      <c r="UJO160" s="21"/>
      <c r="UJP160" s="21"/>
      <c r="UJQ160" s="21"/>
      <c r="UJR160" s="21"/>
      <c r="UJS160" s="21"/>
      <c r="UJT160" s="20"/>
      <c r="UJU160" s="20"/>
      <c r="UJV160" s="20"/>
      <c r="UJW160" s="20"/>
      <c r="UJX160" s="21"/>
      <c r="UJY160" s="21"/>
      <c r="UJZ160" s="7"/>
      <c r="UKA160" s="7"/>
      <c r="UKB160" s="21"/>
      <c r="UKC160" s="20"/>
      <c r="UKD160" s="20"/>
      <c r="UKE160" s="20"/>
      <c r="UKF160" s="21"/>
      <c r="UKG160" s="21"/>
      <c r="UKH160" s="21"/>
      <c r="UKI160" s="21"/>
      <c r="UKJ160" s="21"/>
      <c r="UKK160" s="20"/>
      <c r="UKL160" s="20"/>
      <c r="UKM160" s="20"/>
      <c r="UKN160" s="20"/>
      <c r="UKO160" s="21"/>
      <c r="UKP160" s="21"/>
      <c r="UKQ160" s="7"/>
      <c r="UKR160" s="7"/>
      <c r="UKS160" s="21"/>
      <c r="UKT160" s="20"/>
      <c r="UKU160" s="20"/>
      <c r="UKV160" s="20"/>
      <c r="UKW160" s="21"/>
      <c r="UKX160" s="21"/>
      <c r="UKY160" s="21"/>
      <c r="UKZ160" s="21"/>
      <c r="ULA160" s="21"/>
      <c r="ULB160" s="20"/>
      <c r="ULC160" s="20"/>
      <c r="ULD160" s="20"/>
      <c r="ULE160" s="20"/>
      <c r="ULF160" s="21"/>
      <c r="ULG160" s="21"/>
      <c r="ULH160" s="7"/>
      <c r="ULI160" s="7"/>
      <c r="ULJ160" s="21"/>
      <c r="ULK160" s="20"/>
      <c r="ULL160" s="20"/>
      <c r="ULM160" s="20"/>
      <c r="ULN160" s="21"/>
      <c r="ULO160" s="21"/>
      <c r="ULP160" s="21"/>
      <c r="ULQ160" s="21"/>
      <c r="ULR160" s="21"/>
      <c r="ULS160" s="20"/>
      <c r="ULT160" s="20"/>
      <c r="ULU160" s="20"/>
      <c r="ULV160" s="20"/>
      <c r="ULW160" s="21"/>
      <c r="ULX160" s="21"/>
      <c r="ULY160" s="7"/>
      <c r="ULZ160" s="7"/>
      <c r="UMA160" s="21"/>
      <c r="UMB160" s="20"/>
      <c r="UMC160" s="20"/>
      <c r="UMD160" s="20"/>
      <c r="UME160" s="21"/>
      <c r="UMF160" s="21"/>
      <c r="UMG160" s="21"/>
      <c r="UMH160" s="21"/>
      <c r="UMI160" s="21"/>
      <c r="UMJ160" s="20"/>
      <c r="UMK160" s="20"/>
      <c r="UML160" s="20"/>
      <c r="UMM160" s="20"/>
      <c r="UMN160" s="21"/>
      <c r="UMO160" s="21"/>
      <c r="UMP160" s="7"/>
      <c r="UMQ160" s="7"/>
      <c r="UMR160" s="21"/>
      <c r="UMS160" s="20"/>
      <c r="UMT160" s="20"/>
      <c r="UMU160" s="20"/>
      <c r="UMV160" s="21"/>
      <c r="UMW160" s="21"/>
      <c r="UMX160" s="21"/>
      <c r="UMY160" s="21"/>
      <c r="UMZ160" s="21"/>
      <c r="UNA160" s="20"/>
      <c r="UNB160" s="20"/>
      <c r="UNC160" s="20"/>
      <c r="UND160" s="20"/>
      <c r="UNE160" s="21"/>
      <c r="UNF160" s="21"/>
      <c r="UNG160" s="7"/>
      <c r="UNH160" s="7"/>
      <c r="UNI160" s="21"/>
      <c r="UNJ160" s="20"/>
      <c r="UNK160" s="20"/>
      <c r="UNL160" s="20"/>
      <c r="UNM160" s="21"/>
      <c r="UNN160" s="21"/>
      <c r="UNO160" s="21"/>
      <c r="UNP160" s="21"/>
      <c r="UNQ160" s="21"/>
      <c r="UNR160" s="20"/>
      <c r="UNS160" s="20"/>
      <c r="UNT160" s="20"/>
      <c r="UNU160" s="20"/>
      <c r="UNV160" s="21"/>
      <c r="UNW160" s="21"/>
      <c r="UNX160" s="7"/>
      <c r="UNY160" s="7"/>
      <c r="UNZ160" s="21"/>
      <c r="UOA160" s="20"/>
      <c r="UOB160" s="20"/>
      <c r="UOC160" s="20"/>
      <c r="UOD160" s="21"/>
      <c r="UOE160" s="21"/>
      <c r="UOF160" s="21"/>
      <c r="UOG160" s="21"/>
      <c r="UOH160" s="21"/>
      <c r="UOI160" s="20"/>
      <c r="UOJ160" s="20"/>
      <c r="UOK160" s="20"/>
      <c r="UOL160" s="20"/>
      <c r="UOM160" s="21"/>
      <c r="UON160" s="21"/>
      <c r="UOO160" s="7"/>
      <c r="UOP160" s="7"/>
      <c r="UOQ160" s="21"/>
      <c r="UOR160" s="20"/>
      <c r="UOS160" s="20"/>
      <c r="UOT160" s="20"/>
      <c r="UOU160" s="21"/>
      <c r="UOV160" s="21"/>
      <c r="UOW160" s="21"/>
      <c r="UOX160" s="21"/>
      <c r="UOY160" s="21"/>
      <c r="UOZ160" s="20"/>
      <c r="UPA160" s="20"/>
      <c r="UPB160" s="20"/>
      <c r="UPC160" s="20"/>
      <c r="UPD160" s="21"/>
      <c r="UPE160" s="21"/>
      <c r="UPF160" s="7"/>
      <c r="UPG160" s="7"/>
      <c r="UPH160" s="21"/>
      <c r="UPI160" s="20"/>
      <c r="UPJ160" s="20"/>
      <c r="UPK160" s="20"/>
      <c r="UPL160" s="21"/>
      <c r="UPM160" s="21"/>
      <c r="UPN160" s="21"/>
      <c r="UPO160" s="21"/>
      <c r="UPP160" s="21"/>
      <c r="UPQ160" s="20"/>
      <c r="UPR160" s="20"/>
      <c r="UPS160" s="20"/>
      <c r="UPT160" s="20"/>
      <c r="UPU160" s="21"/>
      <c r="UPV160" s="21"/>
      <c r="UPW160" s="7"/>
      <c r="UPX160" s="7"/>
      <c r="UPY160" s="21"/>
      <c r="UPZ160" s="20"/>
      <c r="UQA160" s="20"/>
      <c r="UQB160" s="20"/>
      <c r="UQC160" s="21"/>
      <c r="UQD160" s="21"/>
      <c r="UQE160" s="21"/>
      <c r="UQF160" s="21"/>
      <c r="UQG160" s="21"/>
      <c r="UQH160" s="20"/>
      <c r="UQI160" s="20"/>
      <c r="UQJ160" s="20"/>
      <c r="UQK160" s="20"/>
      <c r="UQL160" s="21"/>
      <c r="UQM160" s="21"/>
      <c r="UQN160" s="7"/>
      <c r="UQO160" s="7"/>
      <c r="UQP160" s="21"/>
      <c r="UQQ160" s="20"/>
      <c r="UQR160" s="20"/>
      <c r="UQS160" s="20"/>
      <c r="UQT160" s="21"/>
      <c r="UQU160" s="21"/>
      <c r="UQV160" s="21"/>
      <c r="UQW160" s="21"/>
      <c r="UQX160" s="21"/>
      <c r="UQY160" s="20"/>
      <c r="UQZ160" s="20"/>
      <c r="URA160" s="20"/>
      <c r="URB160" s="20"/>
      <c r="URC160" s="21"/>
      <c r="URD160" s="21"/>
      <c r="URE160" s="7"/>
      <c r="URF160" s="7"/>
      <c r="URG160" s="21"/>
      <c r="URH160" s="20"/>
      <c r="URI160" s="20"/>
      <c r="URJ160" s="20"/>
      <c r="URK160" s="21"/>
      <c r="URL160" s="21"/>
      <c r="URM160" s="21"/>
      <c r="URN160" s="21"/>
      <c r="URO160" s="21"/>
      <c r="URP160" s="20"/>
      <c r="URQ160" s="20"/>
      <c r="URR160" s="20"/>
      <c r="URS160" s="20"/>
      <c r="URT160" s="21"/>
      <c r="URU160" s="21"/>
      <c r="URV160" s="7"/>
      <c r="URW160" s="7"/>
      <c r="URX160" s="21"/>
      <c r="URY160" s="20"/>
      <c r="URZ160" s="20"/>
      <c r="USA160" s="20"/>
      <c r="USB160" s="21"/>
      <c r="USC160" s="21"/>
      <c r="USD160" s="21"/>
      <c r="USE160" s="21"/>
      <c r="USF160" s="21"/>
      <c r="USG160" s="20"/>
      <c r="USH160" s="20"/>
      <c r="USI160" s="20"/>
      <c r="USJ160" s="20"/>
      <c r="USK160" s="21"/>
      <c r="USL160" s="21"/>
      <c r="USM160" s="7"/>
      <c r="USN160" s="7"/>
      <c r="USO160" s="21"/>
      <c r="USP160" s="20"/>
      <c r="USQ160" s="20"/>
      <c r="USR160" s="20"/>
      <c r="USS160" s="21"/>
      <c r="UST160" s="21"/>
      <c r="USU160" s="21"/>
      <c r="USV160" s="21"/>
      <c r="USW160" s="21"/>
      <c r="USX160" s="20"/>
      <c r="USY160" s="20"/>
      <c r="USZ160" s="20"/>
      <c r="UTA160" s="20"/>
      <c r="UTB160" s="21"/>
      <c r="UTC160" s="21"/>
      <c r="UTD160" s="7"/>
      <c r="UTE160" s="7"/>
      <c r="UTF160" s="21"/>
      <c r="UTG160" s="20"/>
      <c r="UTH160" s="20"/>
      <c r="UTI160" s="20"/>
      <c r="UTJ160" s="21"/>
      <c r="UTK160" s="21"/>
      <c r="UTL160" s="21"/>
      <c r="UTM160" s="21"/>
      <c r="UTN160" s="21"/>
      <c r="UTO160" s="20"/>
      <c r="UTP160" s="20"/>
      <c r="UTQ160" s="20"/>
      <c r="UTR160" s="20"/>
      <c r="UTS160" s="21"/>
      <c r="UTT160" s="21"/>
      <c r="UTU160" s="7"/>
      <c r="UTV160" s="7"/>
      <c r="UTW160" s="21"/>
      <c r="UTX160" s="20"/>
      <c r="UTY160" s="20"/>
      <c r="UTZ160" s="20"/>
      <c r="UUA160" s="21"/>
      <c r="UUB160" s="21"/>
      <c r="UUC160" s="21"/>
      <c r="UUD160" s="21"/>
      <c r="UUE160" s="21"/>
      <c r="UUF160" s="20"/>
      <c r="UUG160" s="20"/>
      <c r="UUH160" s="20"/>
      <c r="UUI160" s="20"/>
      <c r="UUJ160" s="21"/>
      <c r="UUK160" s="21"/>
      <c r="UUL160" s="7"/>
      <c r="UUM160" s="7"/>
      <c r="UUN160" s="21"/>
      <c r="UUO160" s="20"/>
      <c r="UUP160" s="20"/>
      <c r="UUQ160" s="20"/>
      <c r="UUR160" s="21"/>
      <c r="UUS160" s="21"/>
      <c r="UUT160" s="21"/>
      <c r="UUU160" s="21"/>
      <c r="UUV160" s="21"/>
      <c r="UUW160" s="20"/>
      <c r="UUX160" s="20"/>
      <c r="UUY160" s="20"/>
      <c r="UUZ160" s="20"/>
      <c r="UVA160" s="21"/>
      <c r="UVB160" s="21"/>
      <c r="UVC160" s="7"/>
      <c r="UVD160" s="7"/>
      <c r="UVE160" s="21"/>
      <c r="UVF160" s="20"/>
      <c r="UVG160" s="20"/>
      <c r="UVH160" s="20"/>
      <c r="UVI160" s="21"/>
      <c r="UVJ160" s="21"/>
      <c r="UVK160" s="21"/>
      <c r="UVL160" s="21"/>
      <c r="UVM160" s="21"/>
      <c r="UVN160" s="20"/>
      <c r="UVO160" s="20"/>
      <c r="UVP160" s="20"/>
      <c r="UVQ160" s="20"/>
      <c r="UVR160" s="21"/>
      <c r="UVS160" s="21"/>
      <c r="UVT160" s="7"/>
      <c r="UVU160" s="7"/>
      <c r="UVV160" s="21"/>
      <c r="UVW160" s="20"/>
      <c r="UVX160" s="20"/>
      <c r="UVY160" s="20"/>
      <c r="UVZ160" s="21"/>
      <c r="UWA160" s="21"/>
      <c r="UWB160" s="21"/>
      <c r="UWC160" s="21"/>
      <c r="UWD160" s="21"/>
      <c r="UWE160" s="20"/>
      <c r="UWF160" s="20"/>
      <c r="UWG160" s="20"/>
      <c r="UWH160" s="20"/>
      <c r="UWI160" s="21"/>
      <c r="UWJ160" s="21"/>
      <c r="UWK160" s="7"/>
      <c r="UWL160" s="7"/>
      <c r="UWM160" s="21"/>
      <c r="UWN160" s="20"/>
      <c r="UWO160" s="20"/>
      <c r="UWP160" s="20"/>
      <c r="UWQ160" s="21"/>
      <c r="UWR160" s="21"/>
      <c r="UWS160" s="21"/>
      <c r="UWT160" s="21"/>
      <c r="UWU160" s="21"/>
      <c r="UWV160" s="20"/>
      <c r="UWW160" s="20"/>
      <c r="UWX160" s="20"/>
      <c r="UWY160" s="20"/>
      <c r="UWZ160" s="21"/>
      <c r="UXA160" s="21"/>
      <c r="UXB160" s="7"/>
      <c r="UXC160" s="7"/>
      <c r="UXD160" s="21"/>
      <c r="UXE160" s="20"/>
      <c r="UXF160" s="20"/>
      <c r="UXG160" s="20"/>
      <c r="UXH160" s="21"/>
      <c r="UXI160" s="21"/>
      <c r="UXJ160" s="21"/>
      <c r="UXK160" s="21"/>
      <c r="UXL160" s="21"/>
      <c r="UXM160" s="20"/>
      <c r="UXN160" s="20"/>
      <c r="UXO160" s="20"/>
      <c r="UXP160" s="20"/>
      <c r="UXQ160" s="21"/>
      <c r="UXR160" s="21"/>
      <c r="UXS160" s="7"/>
      <c r="UXT160" s="7"/>
      <c r="UXU160" s="21"/>
      <c r="UXV160" s="20"/>
      <c r="UXW160" s="20"/>
      <c r="UXX160" s="20"/>
      <c r="UXY160" s="21"/>
      <c r="UXZ160" s="21"/>
      <c r="UYA160" s="21"/>
      <c r="UYB160" s="21"/>
      <c r="UYC160" s="21"/>
      <c r="UYD160" s="20"/>
      <c r="UYE160" s="20"/>
      <c r="UYF160" s="20"/>
      <c r="UYG160" s="20"/>
      <c r="UYH160" s="21"/>
      <c r="UYI160" s="21"/>
      <c r="UYJ160" s="7"/>
      <c r="UYK160" s="7"/>
      <c r="UYL160" s="21"/>
      <c r="UYM160" s="20"/>
      <c r="UYN160" s="20"/>
      <c r="UYO160" s="20"/>
      <c r="UYP160" s="21"/>
      <c r="UYQ160" s="21"/>
      <c r="UYR160" s="21"/>
      <c r="UYS160" s="21"/>
      <c r="UYT160" s="21"/>
      <c r="UYU160" s="20"/>
      <c r="UYV160" s="20"/>
      <c r="UYW160" s="20"/>
      <c r="UYX160" s="20"/>
      <c r="UYY160" s="21"/>
      <c r="UYZ160" s="21"/>
      <c r="UZA160" s="7"/>
      <c r="UZB160" s="7"/>
      <c r="UZC160" s="21"/>
      <c r="UZD160" s="20"/>
      <c r="UZE160" s="20"/>
      <c r="UZF160" s="20"/>
      <c r="UZG160" s="21"/>
      <c r="UZH160" s="21"/>
      <c r="UZI160" s="21"/>
      <c r="UZJ160" s="21"/>
      <c r="UZK160" s="21"/>
      <c r="UZL160" s="20"/>
      <c r="UZM160" s="20"/>
      <c r="UZN160" s="20"/>
      <c r="UZO160" s="20"/>
      <c r="UZP160" s="21"/>
      <c r="UZQ160" s="21"/>
      <c r="UZR160" s="7"/>
      <c r="UZS160" s="7"/>
      <c r="UZT160" s="21"/>
      <c r="UZU160" s="20"/>
      <c r="UZV160" s="20"/>
      <c r="UZW160" s="20"/>
      <c r="UZX160" s="21"/>
      <c r="UZY160" s="21"/>
      <c r="UZZ160" s="21"/>
      <c r="VAA160" s="21"/>
      <c r="VAB160" s="21"/>
      <c r="VAC160" s="20"/>
      <c r="VAD160" s="20"/>
      <c r="VAE160" s="20"/>
      <c r="VAF160" s="20"/>
      <c r="VAG160" s="21"/>
      <c r="VAH160" s="21"/>
      <c r="VAI160" s="7"/>
      <c r="VAJ160" s="7"/>
      <c r="VAK160" s="21"/>
      <c r="VAL160" s="20"/>
      <c r="VAM160" s="20"/>
      <c r="VAN160" s="20"/>
      <c r="VAO160" s="21"/>
      <c r="VAP160" s="21"/>
      <c r="VAQ160" s="21"/>
      <c r="VAR160" s="21"/>
      <c r="VAS160" s="21"/>
      <c r="VAT160" s="20"/>
      <c r="VAU160" s="20"/>
      <c r="VAV160" s="20"/>
      <c r="VAW160" s="20"/>
      <c r="VAX160" s="21"/>
      <c r="VAY160" s="21"/>
      <c r="VAZ160" s="7"/>
      <c r="VBA160" s="7"/>
      <c r="VBB160" s="21"/>
      <c r="VBC160" s="20"/>
      <c r="VBD160" s="20"/>
      <c r="VBE160" s="20"/>
      <c r="VBF160" s="21"/>
      <c r="VBG160" s="21"/>
      <c r="VBH160" s="21"/>
      <c r="VBI160" s="21"/>
      <c r="VBJ160" s="21"/>
      <c r="VBK160" s="20"/>
      <c r="VBL160" s="20"/>
      <c r="VBM160" s="20"/>
      <c r="VBN160" s="20"/>
      <c r="VBO160" s="21"/>
      <c r="VBP160" s="21"/>
      <c r="VBQ160" s="7"/>
      <c r="VBR160" s="7"/>
      <c r="VBS160" s="21"/>
      <c r="VBT160" s="20"/>
      <c r="VBU160" s="20"/>
      <c r="VBV160" s="20"/>
      <c r="VBW160" s="21"/>
      <c r="VBX160" s="21"/>
      <c r="VBY160" s="21"/>
      <c r="VBZ160" s="21"/>
      <c r="VCA160" s="21"/>
      <c r="VCB160" s="20"/>
      <c r="VCC160" s="20"/>
      <c r="VCD160" s="20"/>
      <c r="VCE160" s="20"/>
      <c r="VCF160" s="21"/>
      <c r="VCG160" s="21"/>
      <c r="VCH160" s="7"/>
      <c r="VCI160" s="7"/>
      <c r="VCJ160" s="21"/>
      <c r="VCK160" s="20"/>
      <c r="VCL160" s="20"/>
      <c r="VCM160" s="20"/>
      <c r="VCN160" s="21"/>
      <c r="VCO160" s="21"/>
      <c r="VCP160" s="21"/>
      <c r="VCQ160" s="21"/>
      <c r="VCR160" s="21"/>
      <c r="VCS160" s="20"/>
      <c r="VCT160" s="20"/>
      <c r="VCU160" s="20"/>
      <c r="VCV160" s="20"/>
      <c r="VCW160" s="21"/>
      <c r="VCX160" s="21"/>
      <c r="VCY160" s="7"/>
      <c r="VCZ160" s="7"/>
      <c r="VDA160" s="21"/>
      <c r="VDB160" s="20"/>
      <c r="VDC160" s="20"/>
      <c r="VDD160" s="20"/>
      <c r="VDE160" s="21"/>
      <c r="VDF160" s="21"/>
      <c r="VDG160" s="21"/>
      <c r="VDH160" s="21"/>
      <c r="VDI160" s="21"/>
      <c r="VDJ160" s="20"/>
      <c r="VDK160" s="20"/>
      <c r="VDL160" s="20"/>
      <c r="VDM160" s="20"/>
      <c r="VDN160" s="21"/>
      <c r="VDO160" s="21"/>
      <c r="VDP160" s="7"/>
      <c r="VDQ160" s="7"/>
      <c r="VDR160" s="21"/>
      <c r="VDS160" s="20"/>
      <c r="VDT160" s="20"/>
      <c r="VDU160" s="20"/>
      <c r="VDV160" s="21"/>
      <c r="VDW160" s="21"/>
      <c r="VDX160" s="21"/>
      <c r="VDY160" s="21"/>
      <c r="VDZ160" s="21"/>
      <c r="VEA160" s="20"/>
      <c r="VEB160" s="20"/>
      <c r="VEC160" s="20"/>
      <c r="VED160" s="20"/>
      <c r="VEE160" s="21"/>
      <c r="VEF160" s="21"/>
      <c r="VEG160" s="7"/>
      <c r="VEH160" s="7"/>
      <c r="VEI160" s="21"/>
      <c r="VEJ160" s="20"/>
      <c r="VEK160" s="20"/>
      <c r="VEL160" s="20"/>
      <c r="VEM160" s="21"/>
      <c r="VEN160" s="21"/>
      <c r="VEO160" s="21"/>
      <c r="VEP160" s="21"/>
      <c r="VEQ160" s="21"/>
      <c r="VER160" s="20"/>
      <c r="VES160" s="20"/>
      <c r="VET160" s="20"/>
      <c r="VEU160" s="20"/>
      <c r="VEV160" s="21"/>
      <c r="VEW160" s="21"/>
      <c r="VEX160" s="7"/>
      <c r="VEY160" s="7"/>
      <c r="VEZ160" s="21"/>
      <c r="VFA160" s="20"/>
      <c r="VFB160" s="20"/>
      <c r="VFC160" s="20"/>
      <c r="VFD160" s="21"/>
      <c r="VFE160" s="21"/>
      <c r="VFF160" s="21"/>
      <c r="VFG160" s="21"/>
      <c r="VFH160" s="21"/>
      <c r="VFI160" s="20"/>
      <c r="VFJ160" s="20"/>
      <c r="VFK160" s="20"/>
      <c r="VFL160" s="20"/>
      <c r="VFM160" s="21"/>
      <c r="VFN160" s="21"/>
      <c r="VFO160" s="7"/>
      <c r="VFP160" s="7"/>
      <c r="VFQ160" s="21"/>
      <c r="VFR160" s="20"/>
      <c r="VFS160" s="20"/>
      <c r="VFT160" s="20"/>
      <c r="VFU160" s="21"/>
      <c r="VFV160" s="21"/>
      <c r="VFW160" s="21"/>
      <c r="VFX160" s="21"/>
      <c r="VFY160" s="21"/>
      <c r="VFZ160" s="20"/>
      <c r="VGA160" s="20"/>
      <c r="VGB160" s="20"/>
      <c r="VGC160" s="20"/>
      <c r="VGD160" s="21"/>
      <c r="VGE160" s="21"/>
      <c r="VGF160" s="7"/>
      <c r="VGG160" s="7"/>
      <c r="VGH160" s="21"/>
      <c r="VGI160" s="20"/>
      <c r="VGJ160" s="20"/>
      <c r="VGK160" s="20"/>
      <c r="VGL160" s="21"/>
      <c r="VGM160" s="21"/>
      <c r="VGN160" s="21"/>
      <c r="VGO160" s="21"/>
      <c r="VGP160" s="21"/>
      <c r="VGQ160" s="20"/>
      <c r="VGR160" s="20"/>
      <c r="VGS160" s="20"/>
      <c r="VGT160" s="20"/>
      <c r="VGU160" s="21"/>
      <c r="VGV160" s="21"/>
      <c r="VGW160" s="7"/>
      <c r="VGX160" s="7"/>
      <c r="VGY160" s="21"/>
      <c r="VGZ160" s="20"/>
      <c r="VHA160" s="20"/>
      <c r="VHB160" s="20"/>
      <c r="VHC160" s="21"/>
      <c r="VHD160" s="21"/>
      <c r="VHE160" s="21"/>
      <c r="VHF160" s="21"/>
      <c r="VHG160" s="21"/>
      <c r="VHH160" s="20"/>
      <c r="VHI160" s="20"/>
      <c r="VHJ160" s="20"/>
      <c r="VHK160" s="20"/>
      <c r="VHL160" s="21"/>
      <c r="VHM160" s="21"/>
      <c r="VHN160" s="7"/>
      <c r="VHO160" s="7"/>
      <c r="VHP160" s="21"/>
      <c r="VHQ160" s="20"/>
      <c r="VHR160" s="20"/>
      <c r="VHS160" s="20"/>
      <c r="VHT160" s="21"/>
      <c r="VHU160" s="21"/>
      <c r="VHV160" s="21"/>
      <c r="VHW160" s="21"/>
      <c r="VHX160" s="21"/>
      <c r="VHY160" s="20"/>
      <c r="VHZ160" s="20"/>
      <c r="VIA160" s="20"/>
      <c r="VIB160" s="20"/>
      <c r="VIC160" s="21"/>
      <c r="VID160" s="21"/>
      <c r="VIE160" s="7"/>
      <c r="VIF160" s="7"/>
      <c r="VIG160" s="21"/>
      <c r="VIH160" s="20"/>
      <c r="VII160" s="20"/>
      <c r="VIJ160" s="20"/>
      <c r="VIK160" s="21"/>
      <c r="VIL160" s="21"/>
      <c r="VIM160" s="21"/>
      <c r="VIN160" s="21"/>
      <c r="VIO160" s="21"/>
      <c r="VIP160" s="20"/>
      <c r="VIQ160" s="20"/>
      <c r="VIR160" s="20"/>
      <c r="VIS160" s="20"/>
      <c r="VIT160" s="21"/>
      <c r="VIU160" s="21"/>
      <c r="VIV160" s="7"/>
      <c r="VIW160" s="7"/>
      <c r="VIX160" s="21"/>
      <c r="VIY160" s="20"/>
      <c r="VIZ160" s="20"/>
      <c r="VJA160" s="20"/>
      <c r="VJB160" s="21"/>
      <c r="VJC160" s="21"/>
      <c r="VJD160" s="21"/>
      <c r="VJE160" s="21"/>
      <c r="VJF160" s="21"/>
      <c r="VJG160" s="20"/>
      <c r="VJH160" s="20"/>
      <c r="VJI160" s="20"/>
      <c r="VJJ160" s="20"/>
      <c r="VJK160" s="21"/>
      <c r="VJL160" s="21"/>
      <c r="VJM160" s="7"/>
      <c r="VJN160" s="7"/>
      <c r="VJO160" s="21"/>
      <c r="VJP160" s="20"/>
      <c r="VJQ160" s="20"/>
      <c r="VJR160" s="20"/>
      <c r="VJS160" s="21"/>
      <c r="VJT160" s="21"/>
      <c r="VJU160" s="21"/>
      <c r="VJV160" s="21"/>
      <c r="VJW160" s="21"/>
      <c r="VJX160" s="20"/>
      <c r="VJY160" s="20"/>
      <c r="VJZ160" s="20"/>
      <c r="VKA160" s="20"/>
      <c r="VKB160" s="21"/>
      <c r="VKC160" s="21"/>
      <c r="VKD160" s="7"/>
      <c r="VKE160" s="7"/>
      <c r="VKF160" s="21"/>
      <c r="VKG160" s="20"/>
      <c r="VKH160" s="20"/>
      <c r="VKI160" s="20"/>
      <c r="VKJ160" s="21"/>
      <c r="VKK160" s="21"/>
      <c r="VKL160" s="21"/>
      <c r="VKM160" s="21"/>
      <c r="VKN160" s="21"/>
      <c r="VKO160" s="20"/>
      <c r="VKP160" s="20"/>
      <c r="VKQ160" s="20"/>
      <c r="VKR160" s="20"/>
      <c r="VKS160" s="21"/>
      <c r="VKT160" s="21"/>
      <c r="VKU160" s="7"/>
      <c r="VKV160" s="7"/>
      <c r="VKW160" s="21"/>
      <c r="VKX160" s="20"/>
      <c r="VKY160" s="20"/>
      <c r="VKZ160" s="20"/>
      <c r="VLA160" s="21"/>
      <c r="VLB160" s="21"/>
      <c r="VLC160" s="21"/>
      <c r="VLD160" s="21"/>
      <c r="VLE160" s="21"/>
      <c r="VLF160" s="20"/>
      <c r="VLG160" s="20"/>
      <c r="VLH160" s="20"/>
      <c r="VLI160" s="20"/>
      <c r="VLJ160" s="21"/>
      <c r="VLK160" s="21"/>
      <c r="VLL160" s="7"/>
      <c r="VLM160" s="7"/>
      <c r="VLN160" s="21"/>
      <c r="VLO160" s="20"/>
      <c r="VLP160" s="20"/>
      <c r="VLQ160" s="20"/>
      <c r="VLR160" s="21"/>
      <c r="VLS160" s="21"/>
      <c r="VLT160" s="21"/>
      <c r="VLU160" s="21"/>
      <c r="VLV160" s="21"/>
      <c r="VLW160" s="20"/>
      <c r="VLX160" s="20"/>
      <c r="VLY160" s="20"/>
      <c r="VLZ160" s="20"/>
      <c r="VMA160" s="21"/>
      <c r="VMB160" s="21"/>
      <c r="VMC160" s="7"/>
      <c r="VMD160" s="7"/>
      <c r="VME160" s="21"/>
      <c r="VMF160" s="20"/>
      <c r="VMG160" s="20"/>
      <c r="VMH160" s="20"/>
      <c r="VMI160" s="21"/>
      <c r="VMJ160" s="21"/>
      <c r="VMK160" s="21"/>
      <c r="VML160" s="21"/>
      <c r="VMM160" s="21"/>
      <c r="VMN160" s="20"/>
      <c r="VMO160" s="20"/>
      <c r="VMP160" s="20"/>
      <c r="VMQ160" s="20"/>
      <c r="VMR160" s="21"/>
      <c r="VMS160" s="21"/>
      <c r="VMT160" s="7"/>
      <c r="VMU160" s="7"/>
      <c r="VMV160" s="21"/>
      <c r="VMW160" s="20"/>
      <c r="VMX160" s="20"/>
      <c r="VMY160" s="20"/>
      <c r="VMZ160" s="21"/>
      <c r="VNA160" s="21"/>
      <c r="VNB160" s="21"/>
      <c r="VNC160" s="21"/>
      <c r="VND160" s="21"/>
      <c r="VNE160" s="20"/>
      <c r="VNF160" s="20"/>
      <c r="VNG160" s="20"/>
      <c r="VNH160" s="20"/>
      <c r="VNI160" s="21"/>
      <c r="VNJ160" s="21"/>
      <c r="VNK160" s="7"/>
      <c r="VNL160" s="7"/>
      <c r="VNM160" s="21"/>
      <c r="VNN160" s="20"/>
      <c r="VNO160" s="20"/>
      <c r="VNP160" s="20"/>
      <c r="VNQ160" s="21"/>
      <c r="VNR160" s="21"/>
      <c r="VNS160" s="21"/>
      <c r="VNT160" s="21"/>
      <c r="VNU160" s="21"/>
      <c r="VNV160" s="20"/>
      <c r="VNW160" s="20"/>
      <c r="VNX160" s="20"/>
      <c r="VNY160" s="20"/>
      <c r="VNZ160" s="21"/>
      <c r="VOA160" s="21"/>
      <c r="VOB160" s="7"/>
      <c r="VOC160" s="7"/>
      <c r="VOD160" s="21"/>
      <c r="VOE160" s="20"/>
      <c r="VOF160" s="20"/>
      <c r="VOG160" s="20"/>
      <c r="VOH160" s="21"/>
      <c r="VOI160" s="21"/>
      <c r="VOJ160" s="21"/>
      <c r="VOK160" s="21"/>
      <c r="VOL160" s="21"/>
      <c r="VOM160" s="20"/>
      <c r="VON160" s="20"/>
      <c r="VOO160" s="20"/>
      <c r="VOP160" s="20"/>
      <c r="VOQ160" s="21"/>
      <c r="VOR160" s="21"/>
      <c r="VOS160" s="7"/>
      <c r="VOT160" s="7"/>
      <c r="VOU160" s="21"/>
      <c r="VOV160" s="20"/>
      <c r="VOW160" s="20"/>
      <c r="VOX160" s="20"/>
      <c r="VOY160" s="21"/>
      <c r="VOZ160" s="21"/>
      <c r="VPA160" s="21"/>
      <c r="VPB160" s="21"/>
      <c r="VPC160" s="21"/>
      <c r="VPD160" s="20"/>
      <c r="VPE160" s="20"/>
      <c r="VPF160" s="20"/>
      <c r="VPG160" s="20"/>
      <c r="VPH160" s="21"/>
      <c r="VPI160" s="21"/>
      <c r="VPJ160" s="7"/>
      <c r="VPK160" s="7"/>
      <c r="VPL160" s="21"/>
      <c r="VPM160" s="20"/>
      <c r="VPN160" s="20"/>
      <c r="VPO160" s="20"/>
      <c r="VPP160" s="21"/>
      <c r="VPQ160" s="21"/>
      <c r="VPR160" s="21"/>
      <c r="VPS160" s="21"/>
      <c r="VPT160" s="21"/>
      <c r="VPU160" s="20"/>
      <c r="VPV160" s="20"/>
      <c r="VPW160" s="20"/>
      <c r="VPX160" s="20"/>
      <c r="VPY160" s="21"/>
      <c r="VPZ160" s="21"/>
      <c r="VQA160" s="7"/>
      <c r="VQB160" s="7"/>
      <c r="VQC160" s="21"/>
      <c r="VQD160" s="20"/>
      <c r="VQE160" s="20"/>
      <c r="VQF160" s="20"/>
      <c r="VQG160" s="21"/>
      <c r="VQH160" s="21"/>
      <c r="VQI160" s="21"/>
      <c r="VQJ160" s="21"/>
      <c r="VQK160" s="21"/>
      <c r="VQL160" s="20"/>
      <c r="VQM160" s="20"/>
      <c r="VQN160" s="20"/>
      <c r="VQO160" s="20"/>
      <c r="VQP160" s="21"/>
      <c r="VQQ160" s="21"/>
      <c r="VQR160" s="7"/>
      <c r="VQS160" s="7"/>
      <c r="VQT160" s="21"/>
      <c r="VQU160" s="20"/>
      <c r="VQV160" s="20"/>
      <c r="VQW160" s="20"/>
      <c r="VQX160" s="21"/>
      <c r="VQY160" s="21"/>
      <c r="VQZ160" s="21"/>
      <c r="VRA160" s="21"/>
      <c r="VRB160" s="21"/>
      <c r="VRC160" s="20"/>
      <c r="VRD160" s="20"/>
      <c r="VRE160" s="20"/>
      <c r="VRF160" s="20"/>
      <c r="VRG160" s="21"/>
      <c r="VRH160" s="21"/>
      <c r="VRI160" s="7"/>
      <c r="VRJ160" s="7"/>
      <c r="VRK160" s="21"/>
      <c r="VRL160" s="20"/>
      <c r="VRM160" s="20"/>
      <c r="VRN160" s="20"/>
      <c r="VRO160" s="21"/>
      <c r="VRP160" s="21"/>
      <c r="VRQ160" s="21"/>
      <c r="VRR160" s="21"/>
      <c r="VRS160" s="21"/>
      <c r="VRT160" s="20"/>
      <c r="VRU160" s="20"/>
      <c r="VRV160" s="20"/>
      <c r="VRW160" s="20"/>
      <c r="VRX160" s="21"/>
      <c r="VRY160" s="21"/>
      <c r="VRZ160" s="7"/>
      <c r="VSA160" s="7"/>
      <c r="VSB160" s="21"/>
      <c r="VSC160" s="20"/>
      <c r="VSD160" s="20"/>
      <c r="VSE160" s="20"/>
      <c r="VSF160" s="21"/>
      <c r="VSG160" s="21"/>
      <c r="VSH160" s="21"/>
      <c r="VSI160" s="21"/>
      <c r="VSJ160" s="21"/>
      <c r="VSK160" s="20"/>
      <c r="VSL160" s="20"/>
      <c r="VSM160" s="20"/>
      <c r="VSN160" s="20"/>
      <c r="VSO160" s="21"/>
      <c r="VSP160" s="21"/>
      <c r="VSQ160" s="7"/>
      <c r="VSR160" s="7"/>
      <c r="VSS160" s="21"/>
      <c r="VST160" s="20"/>
      <c r="VSU160" s="20"/>
      <c r="VSV160" s="20"/>
      <c r="VSW160" s="21"/>
      <c r="VSX160" s="21"/>
      <c r="VSY160" s="21"/>
      <c r="VSZ160" s="21"/>
      <c r="VTA160" s="21"/>
      <c r="VTB160" s="20"/>
      <c r="VTC160" s="20"/>
      <c r="VTD160" s="20"/>
      <c r="VTE160" s="20"/>
      <c r="VTF160" s="21"/>
      <c r="VTG160" s="21"/>
      <c r="VTH160" s="7"/>
      <c r="VTI160" s="7"/>
      <c r="VTJ160" s="21"/>
      <c r="VTK160" s="20"/>
      <c r="VTL160" s="20"/>
      <c r="VTM160" s="20"/>
      <c r="VTN160" s="21"/>
      <c r="VTO160" s="21"/>
      <c r="VTP160" s="21"/>
      <c r="VTQ160" s="21"/>
      <c r="VTR160" s="21"/>
      <c r="VTS160" s="20"/>
      <c r="VTT160" s="20"/>
      <c r="VTU160" s="20"/>
      <c r="VTV160" s="20"/>
      <c r="VTW160" s="21"/>
      <c r="VTX160" s="21"/>
      <c r="VTY160" s="7"/>
      <c r="VTZ160" s="7"/>
      <c r="VUA160" s="21"/>
      <c r="VUB160" s="20"/>
      <c r="VUC160" s="20"/>
      <c r="VUD160" s="20"/>
      <c r="VUE160" s="21"/>
      <c r="VUF160" s="21"/>
      <c r="VUG160" s="21"/>
      <c r="VUH160" s="21"/>
      <c r="VUI160" s="21"/>
      <c r="VUJ160" s="20"/>
      <c r="VUK160" s="20"/>
      <c r="VUL160" s="20"/>
      <c r="VUM160" s="20"/>
      <c r="VUN160" s="21"/>
      <c r="VUO160" s="21"/>
      <c r="VUP160" s="7"/>
      <c r="VUQ160" s="7"/>
      <c r="VUR160" s="21"/>
      <c r="VUS160" s="20"/>
      <c r="VUT160" s="20"/>
      <c r="VUU160" s="20"/>
      <c r="VUV160" s="21"/>
      <c r="VUW160" s="21"/>
      <c r="VUX160" s="21"/>
      <c r="VUY160" s="21"/>
      <c r="VUZ160" s="21"/>
      <c r="VVA160" s="20"/>
      <c r="VVB160" s="20"/>
      <c r="VVC160" s="20"/>
      <c r="VVD160" s="20"/>
      <c r="VVE160" s="21"/>
      <c r="VVF160" s="21"/>
      <c r="VVG160" s="7"/>
      <c r="VVH160" s="7"/>
      <c r="VVI160" s="21"/>
      <c r="VVJ160" s="20"/>
      <c r="VVK160" s="20"/>
      <c r="VVL160" s="20"/>
      <c r="VVM160" s="21"/>
      <c r="VVN160" s="21"/>
      <c r="VVO160" s="21"/>
      <c r="VVP160" s="21"/>
      <c r="VVQ160" s="21"/>
      <c r="VVR160" s="20"/>
      <c r="VVS160" s="20"/>
      <c r="VVT160" s="20"/>
      <c r="VVU160" s="20"/>
      <c r="VVV160" s="21"/>
      <c r="VVW160" s="21"/>
      <c r="VVX160" s="7"/>
      <c r="VVY160" s="7"/>
      <c r="VVZ160" s="21"/>
      <c r="VWA160" s="20"/>
      <c r="VWB160" s="20"/>
      <c r="VWC160" s="20"/>
      <c r="VWD160" s="21"/>
      <c r="VWE160" s="21"/>
      <c r="VWF160" s="21"/>
      <c r="VWG160" s="21"/>
      <c r="VWH160" s="21"/>
      <c r="VWI160" s="20"/>
      <c r="VWJ160" s="20"/>
      <c r="VWK160" s="20"/>
      <c r="VWL160" s="20"/>
      <c r="VWM160" s="21"/>
      <c r="VWN160" s="21"/>
      <c r="VWO160" s="7"/>
      <c r="VWP160" s="7"/>
      <c r="VWQ160" s="21"/>
      <c r="VWR160" s="20"/>
      <c r="VWS160" s="20"/>
      <c r="VWT160" s="20"/>
      <c r="VWU160" s="21"/>
      <c r="VWV160" s="21"/>
      <c r="VWW160" s="21"/>
      <c r="VWX160" s="21"/>
      <c r="VWY160" s="21"/>
      <c r="VWZ160" s="20"/>
      <c r="VXA160" s="20"/>
      <c r="VXB160" s="20"/>
      <c r="VXC160" s="20"/>
      <c r="VXD160" s="21"/>
      <c r="VXE160" s="21"/>
      <c r="VXF160" s="7"/>
      <c r="VXG160" s="7"/>
      <c r="VXH160" s="21"/>
      <c r="VXI160" s="20"/>
      <c r="VXJ160" s="20"/>
      <c r="VXK160" s="20"/>
      <c r="VXL160" s="21"/>
      <c r="VXM160" s="21"/>
      <c r="VXN160" s="21"/>
      <c r="VXO160" s="21"/>
      <c r="VXP160" s="21"/>
      <c r="VXQ160" s="20"/>
      <c r="VXR160" s="20"/>
      <c r="VXS160" s="20"/>
      <c r="VXT160" s="20"/>
      <c r="VXU160" s="21"/>
      <c r="VXV160" s="21"/>
      <c r="VXW160" s="7"/>
      <c r="VXX160" s="7"/>
      <c r="VXY160" s="21"/>
      <c r="VXZ160" s="20"/>
      <c r="VYA160" s="20"/>
      <c r="VYB160" s="20"/>
      <c r="VYC160" s="21"/>
      <c r="VYD160" s="21"/>
      <c r="VYE160" s="21"/>
      <c r="VYF160" s="21"/>
      <c r="VYG160" s="21"/>
      <c r="VYH160" s="20"/>
      <c r="VYI160" s="20"/>
      <c r="VYJ160" s="20"/>
      <c r="VYK160" s="20"/>
      <c r="VYL160" s="21"/>
      <c r="VYM160" s="21"/>
      <c r="VYN160" s="7"/>
      <c r="VYO160" s="7"/>
      <c r="VYP160" s="21"/>
      <c r="VYQ160" s="20"/>
      <c r="VYR160" s="20"/>
      <c r="VYS160" s="20"/>
      <c r="VYT160" s="21"/>
      <c r="VYU160" s="21"/>
      <c r="VYV160" s="21"/>
      <c r="VYW160" s="21"/>
      <c r="VYX160" s="21"/>
      <c r="VYY160" s="20"/>
      <c r="VYZ160" s="20"/>
      <c r="VZA160" s="20"/>
      <c r="VZB160" s="20"/>
      <c r="VZC160" s="21"/>
      <c r="VZD160" s="21"/>
      <c r="VZE160" s="7"/>
      <c r="VZF160" s="7"/>
      <c r="VZG160" s="21"/>
      <c r="VZH160" s="20"/>
      <c r="VZI160" s="20"/>
      <c r="VZJ160" s="20"/>
      <c r="VZK160" s="21"/>
      <c r="VZL160" s="21"/>
      <c r="VZM160" s="21"/>
      <c r="VZN160" s="21"/>
      <c r="VZO160" s="21"/>
      <c r="VZP160" s="20"/>
      <c r="VZQ160" s="20"/>
      <c r="VZR160" s="20"/>
      <c r="VZS160" s="20"/>
      <c r="VZT160" s="21"/>
      <c r="VZU160" s="21"/>
      <c r="VZV160" s="7"/>
      <c r="VZW160" s="7"/>
      <c r="VZX160" s="21"/>
      <c r="VZY160" s="20"/>
      <c r="VZZ160" s="20"/>
      <c r="WAA160" s="20"/>
      <c r="WAB160" s="21"/>
      <c r="WAC160" s="21"/>
      <c r="WAD160" s="21"/>
      <c r="WAE160" s="21"/>
      <c r="WAF160" s="21"/>
      <c r="WAG160" s="20"/>
      <c r="WAH160" s="20"/>
      <c r="WAI160" s="20"/>
      <c r="WAJ160" s="20"/>
      <c r="WAK160" s="21"/>
      <c r="WAL160" s="21"/>
      <c r="WAM160" s="7"/>
      <c r="WAN160" s="7"/>
      <c r="WAO160" s="21"/>
      <c r="WAP160" s="20"/>
      <c r="WAQ160" s="20"/>
      <c r="WAR160" s="20"/>
      <c r="WAS160" s="21"/>
      <c r="WAT160" s="21"/>
      <c r="WAU160" s="21"/>
      <c r="WAV160" s="21"/>
      <c r="WAW160" s="21"/>
      <c r="WAX160" s="20"/>
      <c r="WAY160" s="20"/>
      <c r="WAZ160" s="20"/>
      <c r="WBA160" s="20"/>
      <c r="WBB160" s="21"/>
      <c r="WBC160" s="21"/>
      <c r="WBD160" s="7"/>
      <c r="WBE160" s="7"/>
      <c r="WBF160" s="21"/>
      <c r="WBG160" s="20"/>
      <c r="WBH160" s="20"/>
      <c r="WBI160" s="20"/>
      <c r="WBJ160" s="21"/>
      <c r="WBK160" s="21"/>
      <c r="WBL160" s="21"/>
      <c r="WBM160" s="21"/>
      <c r="WBN160" s="21"/>
      <c r="WBO160" s="20"/>
      <c r="WBP160" s="20"/>
      <c r="WBQ160" s="20"/>
      <c r="WBR160" s="20"/>
      <c r="WBS160" s="21"/>
      <c r="WBT160" s="21"/>
      <c r="WBU160" s="7"/>
      <c r="WBV160" s="7"/>
      <c r="WBW160" s="21"/>
      <c r="WBX160" s="20"/>
      <c r="WBY160" s="20"/>
      <c r="WBZ160" s="20"/>
      <c r="WCA160" s="21"/>
      <c r="WCB160" s="21"/>
      <c r="WCC160" s="21"/>
      <c r="WCD160" s="21"/>
      <c r="WCE160" s="21"/>
      <c r="WCF160" s="20"/>
      <c r="WCG160" s="20"/>
      <c r="WCH160" s="20"/>
      <c r="WCI160" s="20"/>
      <c r="WCJ160" s="21"/>
      <c r="WCK160" s="21"/>
      <c r="WCL160" s="7"/>
      <c r="WCM160" s="7"/>
      <c r="WCN160" s="21"/>
      <c r="WCO160" s="20"/>
      <c r="WCP160" s="20"/>
      <c r="WCQ160" s="20"/>
      <c r="WCR160" s="21"/>
      <c r="WCS160" s="21"/>
      <c r="WCT160" s="21"/>
      <c r="WCU160" s="21"/>
      <c r="WCV160" s="21"/>
      <c r="WCW160" s="20"/>
      <c r="WCX160" s="20"/>
      <c r="WCY160" s="20"/>
      <c r="WCZ160" s="20"/>
      <c r="WDA160" s="21"/>
      <c r="WDB160" s="21"/>
      <c r="WDC160" s="7"/>
      <c r="WDD160" s="7"/>
      <c r="WDE160" s="21"/>
      <c r="WDF160" s="20"/>
      <c r="WDG160" s="20"/>
      <c r="WDH160" s="20"/>
      <c r="WDI160" s="21"/>
      <c r="WDJ160" s="21"/>
      <c r="WDK160" s="21"/>
      <c r="WDL160" s="21"/>
      <c r="WDM160" s="21"/>
      <c r="WDN160" s="20"/>
      <c r="WDO160" s="20"/>
      <c r="WDP160" s="20"/>
      <c r="WDQ160" s="20"/>
      <c r="WDR160" s="21"/>
      <c r="WDS160" s="21"/>
      <c r="WDT160" s="7"/>
      <c r="WDU160" s="7"/>
      <c r="WDV160" s="21"/>
      <c r="WDW160" s="20"/>
      <c r="WDX160" s="20"/>
      <c r="WDY160" s="20"/>
      <c r="WDZ160" s="21"/>
      <c r="WEA160" s="21"/>
      <c r="WEB160" s="21"/>
      <c r="WEC160" s="21"/>
      <c r="WED160" s="21"/>
      <c r="WEE160" s="20"/>
      <c r="WEF160" s="20"/>
      <c r="WEG160" s="20"/>
      <c r="WEH160" s="20"/>
      <c r="WEI160" s="21"/>
      <c r="WEJ160" s="21"/>
      <c r="WEK160" s="7"/>
      <c r="WEL160" s="7"/>
      <c r="WEM160" s="21"/>
      <c r="WEN160" s="20"/>
      <c r="WEO160" s="20"/>
      <c r="WEP160" s="20"/>
      <c r="WEQ160" s="21"/>
      <c r="WER160" s="21"/>
      <c r="WES160" s="21"/>
      <c r="WET160" s="21"/>
      <c r="WEU160" s="21"/>
      <c r="WEV160" s="20"/>
      <c r="WEW160" s="20"/>
      <c r="WEX160" s="20"/>
      <c r="WEY160" s="20"/>
      <c r="WEZ160" s="21"/>
      <c r="WFA160" s="21"/>
      <c r="WFB160" s="7"/>
      <c r="WFC160" s="7"/>
      <c r="WFD160" s="21"/>
      <c r="WFE160" s="20"/>
      <c r="WFF160" s="20"/>
      <c r="WFG160" s="20"/>
      <c r="WFH160" s="21"/>
      <c r="WFI160" s="21"/>
      <c r="WFJ160" s="21"/>
      <c r="WFK160" s="21"/>
      <c r="WFL160" s="21"/>
      <c r="WFM160" s="20"/>
      <c r="WFN160" s="20"/>
      <c r="WFO160" s="20"/>
      <c r="WFP160" s="20"/>
      <c r="WFQ160" s="21"/>
      <c r="WFR160" s="21"/>
      <c r="WFS160" s="7"/>
      <c r="WFT160" s="7"/>
      <c r="WFU160" s="21"/>
      <c r="WFV160" s="20"/>
      <c r="WFW160" s="20"/>
      <c r="WFX160" s="20"/>
      <c r="WFY160" s="21"/>
      <c r="WFZ160" s="21"/>
      <c r="WGA160" s="21"/>
      <c r="WGB160" s="21"/>
      <c r="WGC160" s="21"/>
      <c r="WGD160" s="20"/>
      <c r="WGE160" s="20"/>
      <c r="WGF160" s="20"/>
      <c r="WGG160" s="20"/>
      <c r="WGH160" s="21"/>
      <c r="WGI160" s="21"/>
      <c r="WGJ160" s="7"/>
      <c r="WGK160" s="7"/>
      <c r="WGL160" s="21"/>
      <c r="WGM160" s="20"/>
      <c r="WGN160" s="20"/>
      <c r="WGO160" s="20"/>
      <c r="WGP160" s="21"/>
      <c r="WGQ160" s="21"/>
      <c r="WGR160" s="21"/>
      <c r="WGS160" s="21"/>
      <c r="WGT160" s="21"/>
      <c r="WGU160" s="20"/>
      <c r="WGV160" s="20"/>
      <c r="WGW160" s="20"/>
      <c r="WGX160" s="20"/>
      <c r="WGY160" s="21"/>
      <c r="WGZ160" s="21"/>
      <c r="WHA160" s="7"/>
      <c r="WHB160" s="7"/>
      <c r="WHC160" s="21"/>
      <c r="WHD160" s="20"/>
      <c r="WHE160" s="20"/>
      <c r="WHF160" s="20"/>
      <c r="WHG160" s="21"/>
      <c r="WHH160" s="21"/>
      <c r="WHI160" s="21"/>
      <c r="WHJ160" s="21"/>
      <c r="WHK160" s="21"/>
      <c r="WHL160" s="20"/>
      <c r="WHM160" s="20"/>
      <c r="WHN160" s="20"/>
      <c r="WHO160" s="20"/>
      <c r="WHP160" s="21"/>
      <c r="WHQ160" s="21"/>
      <c r="WHR160" s="7"/>
      <c r="WHS160" s="7"/>
      <c r="WHT160" s="21"/>
      <c r="WHU160" s="20"/>
      <c r="WHV160" s="20"/>
      <c r="WHW160" s="20"/>
      <c r="WHX160" s="21"/>
      <c r="WHY160" s="21"/>
      <c r="WHZ160" s="21"/>
      <c r="WIA160" s="21"/>
      <c r="WIB160" s="21"/>
      <c r="WIC160" s="20"/>
      <c r="WID160" s="20"/>
      <c r="WIE160" s="20"/>
      <c r="WIF160" s="20"/>
      <c r="WIG160" s="21"/>
      <c r="WIH160" s="21"/>
      <c r="WII160" s="7"/>
      <c r="WIJ160" s="7"/>
      <c r="WIK160" s="21"/>
      <c r="WIL160" s="20"/>
      <c r="WIM160" s="20"/>
      <c r="WIN160" s="20"/>
      <c r="WIO160" s="21"/>
      <c r="WIP160" s="21"/>
      <c r="WIQ160" s="21"/>
      <c r="WIR160" s="21"/>
      <c r="WIS160" s="21"/>
      <c r="WIT160" s="20"/>
      <c r="WIU160" s="20"/>
      <c r="WIV160" s="20"/>
      <c r="WIW160" s="20"/>
      <c r="WIX160" s="21"/>
      <c r="WIY160" s="21"/>
      <c r="WIZ160" s="7"/>
      <c r="WJA160" s="7"/>
      <c r="WJB160" s="21"/>
      <c r="WJC160" s="20"/>
      <c r="WJD160" s="20"/>
      <c r="WJE160" s="20"/>
      <c r="WJF160" s="21"/>
      <c r="WJG160" s="21"/>
      <c r="WJH160" s="21"/>
      <c r="WJI160" s="21"/>
      <c r="WJJ160" s="21"/>
      <c r="WJK160" s="20"/>
      <c r="WJL160" s="20"/>
      <c r="WJM160" s="20"/>
      <c r="WJN160" s="20"/>
      <c r="WJO160" s="21"/>
      <c r="WJP160" s="21"/>
      <c r="WJQ160" s="7"/>
      <c r="WJR160" s="7"/>
      <c r="WJS160" s="21"/>
      <c r="WJT160" s="20"/>
      <c r="WJU160" s="20"/>
      <c r="WJV160" s="20"/>
      <c r="WJW160" s="21"/>
      <c r="WJX160" s="21"/>
      <c r="WJY160" s="21"/>
      <c r="WJZ160" s="21"/>
      <c r="WKA160" s="21"/>
      <c r="WKB160" s="20"/>
      <c r="WKC160" s="20"/>
      <c r="WKD160" s="20"/>
      <c r="WKE160" s="20"/>
      <c r="WKF160" s="21"/>
      <c r="WKG160" s="21"/>
      <c r="WKH160" s="7"/>
      <c r="WKI160" s="7"/>
      <c r="WKJ160" s="21"/>
      <c r="WKK160" s="20"/>
      <c r="WKL160" s="20"/>
      <c r="WKM160" s="20"/>
      <c r="WKN160" s="21"/>
      <c r="WKO160" s="21"/>
      <c r="WKP160" s="21"/>
      <c r="WKQ160" s="21"/>
      <c r="WKR160" s="21"/>
      <c r="WKS160" s="20"/>
      <c r="WKT160" s="20"/>
      <c r="WKU160" s="20"/>
      <c r="WKV160" s="20"/>
      <c r="WKW160" s="21"/>
      <c r="WKX160" s="21"/>
      <c r="WKY160" s="7"/>
      <c r="WKZ160" s="7"/>
      <c r="WLA160" s="21"/>
      <c r="WLB160" s="20"/>
      <c r="WLC160" s="20"/>
      <c r="WLD160" s="20"/>
      <c r="WLE160" s="21"/>
      <c r="WLF160" s="21"/>
      <c r="WLG160" s="21"/>
      <c r="WLH160" s="21"/>
      <c r="WLI160" s="21"/>
      <c r="WLJ160" s="20"/>
      <c r="WLK160" s="20"/>
      <c r="WLL160" s="20"/>
      <c r="WLM160" s="20"/>
      <c r="WLN160" s="21"/>
      <c r="WLO160" s="21"/>
      <c r="WLP160" s="7"/>
      <c r="WLQ160" s="7"/>
      <c r="WLR160" s="21"/>
      <c r="WLS160" s="20"/>
      <c r="WLT160" s="20"/>
      <c r="WLU160" s="20"/>
      <c r="WLV160" s="21"/>
      <c r="WLW160" s="21"/>
      <c r="WLX160" s="21"/>
      <c r="WLY160" s="21"/>
      <c r="WLZ160" s="21"/>
      <c r="WMA160" s="20"/>
      <c r="WMB160" s="20"/>
      <c r="WMC160" s="20"/>
      <c r="WMD160" s="20"/>
      <c r="WME160" s="21"/>
      <c r="WMF160" s="21"/>
      <c r="WMG160" s="7"/>
      <c r="WMH160" s="7"/>
      <c r="WMI160" s="21"/>
      <c r="WMJ160" s="20"/>
      <c r="WMK160" s="20"/>
      <c r="WML160" s="20"/>
      <c r="WMM160" s="21"/>
      <c r="WMN160" s="21"/>
      <c r="WMO160" s="21"/>
      <c r="WMP160" s="21"/>
      <c r="WMQ160" s="21"/>
      <c r="WMR160" s="20"/>
      <c r="WMS160" s="20"/>
      <c r="WMT160" s="20"/>
      <c r="WMU160" s="20"/>
      <c r="WMV160" s="21"/>
      <c r="WMW160" s="21"/>
      <c r="WMX160" s="7"/>
      <c r="WMY160" s="7"/>
      <c r="WMZ160" s="21"/>
      <c r="WNA160" s="20"/>
      <c r="WNB160" s="20"/>
      <c r="WNC160" s="20"/>
      <c r="WND160" s="21"/>
      <c r="WNE160" s="21"/>
      <c r="WNF160" s="21"/>
      <c r="WNG160" s="21"/>
      <c r="WNH160" s="21"/>
      <c r="WNI160" s="20"/>
      <c r="WNJ160" s="20"/>
      <c r="WNK160" s="20"/>
      <c r="WNL160" s="20"/>
      <c r="WNM160" s="21"/>
      <c r="WNN160" s="21"/>
      <c r="WNO160" s="7"/>
      <c r="WNP160" s="7"/>
      <c r="WNQ160" s="21"/>
      <c r="WNR160" s="20"/>
      <c r="WNS160" s="20"/>
      <c r="WNT160" s="20"/>
      <c r="WNU160" s="21"/>
      <c r="WNV160" s="21"/>
      <c r="WNW160" s="21"/>
      <c r="WNX160" s="21"/>
      <c r="WNY160" s="21"/>
      <c r="WNZ160" s="20"/>
      <c r="WOA160" s="20"/>
      <c r="WOB160" s="20"/>
      <c r="WOC160" s="20"/>
      <c r="WOD160" s="21"/>
      <c r="WOE160" s="21"/>
      <c r="WOF160" s="7"/>
      <c r="WOG160" s="7"/>
      <c r="WOH160" s="21"/>
      <c r="WOI160" s="20"/>
      <c r="WOJ160" s="20"/>
      <c r="WOK160" s="20"/>
      <c r="WOL160" s="21"/>
      <c r="WOM160" s="21"/>
      <c r="WON160" s="21"/>
      <c r="WOO160" s="21"/>
      <c r="WOP160" s="21"/>
      <c r="WOQ160" s="20"/>
      <c r="WOR160" s="20"/>
      <c r="WOS160" s="20"/>
      <c r="WOT160" s="20"/>
      <c r="WOU160" s="21"/>
      <c r="WOV160" s="21"/>
      <c r="WOW160" s="7"/>
      <c r="WOX160" s="7"/>
      <c r="WOY160" s="21"/>
      <c r="WOZ160" s="20"/>
      <c r="WPA160" s="20"/>
      <c r="WPB160" s="20"/>
      <c r="WPC160" s="21"/>
      <c r="WPD160" s="21"/>
      <c r="WPE160" s="21"/>
      <c r="WPF160" s="21"/>
      <c r="WPG160" s="21"/>
      <c r="WPH160" s="20"/>
      <c r="WPI160" s="20"/>
      <c r="WPJ160" s="20"/>
      <c r="WPK160" s="20"/>
      <c r="WPL160" s="21"/>
      <c r="WPM160" s="21"/>
      <c r="WPN160" s="7"/>
      <c r="WPO160" s="7"/>
      <c r="WPP160" s="21"/>
      <c r="WPQ160" s="20"/>
      <c r="WPR160" s="20"/>
      <c r="WPS160" s="20"/>
      <c r="WPT160" s="21"/>
      <c r="WPU160" s="21"/>
      <c r="WPV160" s="21"/>
      <c r="WPW160" s="21"/>
      <c r="WPX160" s="21"/>
      <c r="WPY160" s="20"/>
      <c r="WPZ160" s="20"/>
      <c r="WQA160" s="20"/>
      <c r="WQB160" s="20"/>
      <c r="WQC160" s="21"/>
      <c r="WQD160" s="21"/>
      <c r="WQE160" s="7"/>
      <c r="WQF160" s="7"/>
      <c r="WQG160" s="21"/>
      <c r="WQH160" s="20"/>
      <c r="WQI160" s="20"/>
      <c r="WQJ160" s="20"/>
      <c r="WQK160" s="21"/>
      <c r="WQL160" s="21"/>
      <c r="WQM160" s="21"/>
      <c r="WQN160" s="21"/>
      <c r="WQO160" s="21"/>
      <c r="WQP160" s="20"/>
      <c r="WQQ160" s="20"/>
      <c r="WQR160" s="20"/>
      <c r="WQS160" s="20"/>
      <c r="WQT160" s="21"/>
      <c r="WQU160" s="21"/>
      <c r="WQV160" s="7"/>
      <c r="WQW160" s="7"/>
      <c r="WQX160" s="21"/>
      <c r="WQY160" s="20"/>
      <c r="WQZ160" s="20"/>
      <c r="WRA160" s="20"/>
      <c r="WRB160" s="21"/>
      <c r="WRC160" s="21"/>
      <c r="WRD160" s="21"/>
      <c r="WRE160" s="21"/>
      <c r="WRF160" s="21"/>
      <c r="WRG160" s="20"/>
      <c r="WRH160" s="20"/>
      <c r="WRI160" s="20"/>
      <c r="WRJ160" s="20"/>
      <c r="WRK160" s="21"/>
      <c r="WRL160" s="21"/>
      <c r="WRM160" s="7"/>
      <c r="WRN160" s="7"/>
      <c r="WRO160" s="21"/>
      <c r="WRP160" s="20"/>
      <c r="WRQ160" s="20"/>
      <c r="WRR160" s="20"/>
      <c r="WRS160" s="21"/>
      <c r="WRT160" s="21"/>
      <c r="WRU160" s="21"/>
      <c r="WRV160" s="21"/>
      <c r="WRW160" s="21"/>
      <c r="WRX160" s="20"/>
      <c r="WRY160" s="20"/>
      <c r="WRZ160" s="20"/>
      <c r="WSA160" s="20"/>
      <c r="WSB160" s="21"/>
      <c r="WSC160" s="21"/>
      <c r="WSD160" s="7"/>
      <c r="WSE160" s="7"/>
      <c r="WSF160" s="21"/>
      <c r="WSG160" s="20"/>
      <c r="WSH160" s="20"/>
      <c r="WSI160" s="20"/>
      <c r="WSJ160" s="21"/>
      <c r="WSK160" s="21"/>
      <c r="WSL160" s="21"/>
      <c r="WSM160" s="21"/>
      <c r="WSN160" s="21"/>
      <c r="WSO160" s="20"/>
      <c r="WSP160" s="20"/>
      <c r="WSQ160" s="20"/>
      <c r="WSR160" s="20"/>
      <c r="WSS160" s="21"/>
      <c r="WST160" s="21"/>
      <c r="WSU160" s="7"/>
      <c r="WSV160" s="7"/>
      <c r="WSW160" s="21"/>
      <c r="WSX160" s="20"/>
      <c r="WSY160" s="20"/>
      <c r="WSZ160" s="20"/>
      <c r="WTA160" s="21"/>
      <c r="WTB160" s="21"/>
      <c r="WTC160" s="21"/>
      <c r="WTD160" s="21"/>
      <c r="WTE160" s="21"/>
      <c r="WTF160" s="20"/>
      <c r="WTG160" s="20"/>
      <c r="WTH160" s="20"/>
      <c r="WTI160" s="20"/>
      <c r="WTJ160" s="21"/>
      <c r="WTK160" s="21"/>
      <c r="WTL160" s="7"/>
      <c r="WTM160" s="7"/>
      <c r="WTN160" s="21"/>
      <c r="WTO160" s="20"/>
      <c r="WTP160" s="20"/>
      <c r="WTQ160" s="20"/>
      <c r="WTR160" s="21"/>
      <c r="WTS160" s="21"/>
      <c r="WTT160" s="21"/>
      <c r="WTU160" s="21"/>
      <c r="WTV160" s="21"/>
      <c r="WTW160" s="20"/>
      <c r="WTX160" s="20"/>
      <c r="WTY160" s="20"/>
      <c r="WTZ160" s="20"/>
      <c r="WUA160" s="21"/>
      <c r="WUB160" s="21"/>
      <c r="WUC160" s="7"/>
      <c r="WUD160" s="7"/>
      <c r="WUE160" s="21"/>
      <c r="WUF160" s="20"/>
      <c r="WUG160" s="20"/>
      <c r="WUH160" s="20"/>
      <c r="WUI160" s="21"/>
      <c r="WUJ160" s="21"/>
      <c r="WUK160" s="21"/>
      <c r="WUL160" s="21"/>
      <c r="WUM160" s="21"/>
      <c r="WUN160" s="20"/>
      <c r="WUO160" s="20"/>
      <c r="WUP160" s="20"/>
      <c r="WUQ160" s="20"/>
      <c r="WUR160" s="21"/>
      <c r="WUS160" s="21"/>
      <c r="WUT160" s="7"/>
      <c r="WUU160" s="7"/>
      <c r="WUV160" s="21"/>
      <c r="WUW160" s="20"/>
      <c r="WUX160" s="20"/>
      <c r="WUY160" s="20"/>
      <c r="WUZ160" s="21"/>
      <c r="WVA160" s="21"/>
      <c r="WVB160" s="21"/>
      <c r="WVC160" s="21"/>
      <c r="WVD160" s="21"/>
      <c r="WVE160" s="20"/>
      <c r="WVF160" s="20"/>
      <c r="WVG160" s="20"/>
      <c r="WVH160" s="20"/>
      <c r="WVI160" s="21"/>
      <c r="WVJ160" s="21"/>
      <c r="WVK160" s="7"/>
      <c r="WVL160" s="7"/>
      <c r="WVM160" s="21"/>
      <c r="WVN160" s="20"/>
      <c r="WVO160" s="20"/>
      <c r="WVP160" s="20"/>
      <c r="WVQ160" s="21"/>
      <c r="WVR160" s="21"/>
      <c r="WVS160" s="21"/>
      <c r="WVT160" s="21"/>
      <c r="WVU160" s="21"/>
      <c r="WVV160" s="20"/>
      <c r="WVW160" s="20"/>
      <c r="WVX160" s="20"/>
      <c r="WVY160" s="20"/>
      <c r="WVZ160" s="21"/>
      <c r="WWA160" s="21"/>
      <c r="WWB160" s="7"/>
      <c r="WWC160" s="7"/>
      <c r="WWD160" s="21"/>
      <c r="WWE160" s="20"/>
      <c r="WWF160" s="20"/>
      <c r="WWG160" s="20"/>
      <c r="WWH160" s="21"/>
      <c r="WWI160" s="21"/>
      <c r="WWJ160" s="21"/>
      <c r="WWK160" s="21"/>
      <c r="WWL160" s="21"/>
      <c r="WWM160" s="20"/>
      <c r="WWN160" s="20"/>
      <c r="WWO160" s="20"/>
      <c r="WWP160" s="20"/>
      <c r="WWQ160" s="21"/>
      <c r="WWR160" s="21"/>
      <c r="WWS160" s="7"/>
      <c r="WWT160" s="7"/>
      <c r="WWU160" s="21"/>
      <c r="WWV160" s="20"/>
      <c r="WWW160" s="20"/>
      <c r="WWX160" s="20"/>
      <c r="WWY160" s="21"/>
      <c r="WWZ160" s="21"/>
      <c r="WXA160" s="21"/>
      <c r="WXB160" s="21"/>
      <c r="WXC160" s="21"/>
      <c r="WXD160" s="20"/>
      <c r="WXE160" s="20"/>
      <c r="WXF160" s="20"/>
      <c r="WXG160" s="20"/>
      <c r="WXH160" s="21"/>
      <c r="WXI160" s="21"/>
      <c r="WXJ160" s="7"/>
      <c r="WXK160" s="7"/>
      <c r="WXL160" s="21"/>
      <c r="WXM160" s="20"/>
      <c r="WXN160" s="20"/>
      <c r="WXO160" s="20"/>
      <c r="WXP160" s="21"/>
      <c r="WXQ160" s="21"/>
      <c r="WXR160" s="21"/>
      <c r="WXS160" s="21"/>
      <c r="WXT160" s="21"/>
      <c r="WXU160" s="20"/>
      <c r="WXV160" s="20"/>
      <c r="WXW160" s="20"/>
      <c r="WXX160" s="20"/>
      <c r="WXY160" s="21"/>
      <c r="WXZ160" s="21"/>
      <c r="WYA160" s="7"/>
      <c r="WYB160" s="7"/>
      <c r="WYC160" s="21"/>
      <c r="WYD160" s="20"/>
      <c r="WYE160" s="20"/>
      <c r="WYF160" s="20"/>
      <c r="WYG160" s="21"/>
      <c r="WYH160" s="21"/>
      <c r="WYI160" s="21"/>
      <c r="WYJ160" s="21"/>
      <c r="WYK160" s="21"/>
      <c r="WYL160" s="20"/>
      <c r="WYM160" s="20"/>
      <c r="WYN160" s="20"/>
      <c r="WYO160" s="20"/>
      <c r="WYP160" s="21"/>
      <c r="WYQ160" s="21"/>
      <c r="WYR160" s="7"/>
      <c r="WYS160" s="7"/>
      <c r="WYT160" s="21"/>
      <c r="WYU160" s="20"/>
      <c r="WYV160" s="20"/>
      <c r="WYW160" s="20"/>
      <c r="WYX160" s="21"/>
      <c r="WYY160" s="21"/>
      <c r="WYZ160" s="21"/>
      <c r="WZA160" s="21"/>
      <c r="WZB160" s="21"/>
      <c r="WZC160" s="20"/>
      <c r="WZD160" s="20"/>
      <c r="WZE160" s="20"/>
      <c r="WZF160" s="20"/>
      <c r="WZG160" s="21"/>
      <c r="WZH160" s="21"/>
      <c r="WZI160" s="7"/>
      <c r="WZJ160" s="7"/>
      <c r="WZK160" s="21"/>
      <c r="WZL160" s="20"/>
      <c r="WZM160" s="20"/>
      <c r="WZN160" s="20"/>
      <c r="WZO160" s="21"/>
      <c r="WZP160" s="21"/>
      <c r="WZQ160" s="21"/>
      <c r="WZR160" s="21"/>
      <c r="WZS160" s="21"/>
      <c r="WZT160" s="20"/>
      <c r="WZU160" s="20"/>
      <c r="WZV160" s="20"/>
      <c r="WZW160" s="20"/>
      <c r="WZX160" s="21"/>
      <c r="WZY160" s="21"/>
      <c r="WZZ160" s="7"/>
      <c r="XAA160" s="7"/>
      <c r="XAB160" s="21"/>
      <c r="XAC160" s="20"/>
      <c r="XAD160" s="20"/>
      <c r="XAE160" s="20"/>
      <c r="XAF160" s="21"/>
      <c r="XAG160" s="21"/>
      <c r="XAH160" s="21"/>
      <c r="XAI160" s="21"/>
      <c r="XAJ160" s="21"/>
      <c r="XAK160" s="20"/>
      <c r="XAL160" s="20"/>
      <c r="XAM160" s="20"/>
      <c r="XAN160" s="20"/>
      <c r="XAO160" s="21"/>
      <c r="XAP160" s="21"/>
      <c r="XAQ160" s="7"/>
      <c r="XAR160" s="7"/>
      <c r="XAS160" s="21"/>
      <c r="XAT160" s="20"/>
      <c r="XAU160" s="20"/>
      <c r="XAV160" s="20"/>
      <c r="XAW160" s="21"/>
      <c r="XAX160" s="21"/>
      <c r="XAY160" s="21"/>
      <c r="XAZ160" s="21"/>
      <c r="XBA160" s="21"/>
      <c r="XBB160" s="20"/>
      <c r="XBC160" s="20"/>
      <c r="XBD160" s="20"/>
      <c r="XBE160" s="20"/>
      <c r="XBF160" s="21"/>
      <c r="XBG160" s="21"/>
      <c r="XBH160" s="7"/>
      <c r="XBI160" s="7"/>
      <c r="XBJ160" s="21"/>
      <c r="XBK160" s="20"/>
      <c r="XBL160" s="20"/>
      <c r="XBM160" s="20"/>
      <c r="XBN160" s="21"/>
      <c r="XBO160" s="21"/>
      <c r="XBP160" s="21"/>
      <c r="XBQ160" s="21"/>
      <c r="XBR160" s="21"/>
      <c r="XBS160" s="20"/>
      <c r="XBT160" s="20"/>
      <c r="XBU160" s="20"/>
      <c r="XBV160" s="20"/>
      <c r="XBW160" s="21"/>
      <c r="XBX160" s="21"/>
      <c r="XBY160" s="7"/>
      <c r="XBZ160" s="7"/>
      <c r="XCA160" s="21"/>
      <c r="XCB160" s="20"/>
      <c r="XCC160" s="20"/>
      <c r="XCD160" s="20"/>
      <c r="XCE160" s="21"/>
      <c r="XCF160" s="21"/>
      <c r="XCG160" s="21"/>
      <c r="XCH160" s="21"/>
      <c r="XCI160" s="21"/>
      <c r="XCJ160" s="20"/>
      <c r="XCK160" s="20"/>
      <c r="XCL160" s="20"/>
      <c r="XCM160" s="20"/>
      <c r="XCN160" s="21"/>
      <c r="XCO160" s="21"/>
      <c r="XCP160" s="7"/>
      <c r="XCQ160" s="7"/>
      <c r="XCR160" s="21"/>
      <c r="XCS160" s="20"/>
      <c r="XCT160" s="20"/>
      <c r="XCU160" s="20"/>
      <c r="XCV160" s="21"/>
      <c r="XCW160" s="21"/>
      <c r="XCX160" s="21"/>
      <c r="XCY160" s="21"/>
      <c r="XCZ160" s="21"/>
      <c r="XDA160" s="20"/>
      <c r="XDB160" s="20"/>
      <c r="XDC160" s="20"/>
      <c r="XDD160" s="20"/>
      <c r="XDE160" s="21"/>
      <c r="XDF160" s="21"/>
      <c r="XDG160" s="7"/>
      <c r="XDH160" s="7"/>
      <c r="XDI160" s="21"/>
      <c r="XDJ160" s="20"/>
      <c r="XDK160" s="20"/>
      <c r="XDL160" s="20"/>
      <c r="XDM160" s="21"/>
      <c r="XDN160" s="21"/>
      <c r="XDO160" s="21"/>
      <c r="XDP160" s="21"/>
      <c r="XDQ160" s="21"/>
      <c r="XDR160" s="20"/>
      <c r="XDS160" s="20"/>
      <c r="XDT160" s="20"/>
      <c r="XDU160" s="20"/>
      <c r="XDV160" s="21"/>
      <c r="XDW160" s="21"/>
      <c r="XDX160" s="7"/>
      <c r="XDY160" s="7"/>
      <c r="XDZ160" s="21"/>
      <c r="XEA160" s="20"/>
      <c r="XEB160" s="20"/>
      <c r="XEC160" s="20"/>
      <c r="XED160" s="21"/>
      <c r="XEE160" s="21"/>
      <c r="XEF160" s="21"/>
      <c r="XEG160" s="21"/>
      <c r="XEH160" s="21"/>
      <c r="XEI160" s="20"/>
      <c r="XEJ160" s="20"/>
      <c r="XEK160" s="20"/>
      <c r="XEL160" s="20"/>
      <c r="XEM160" s="21"/>
      <c r="XEN160" s="21"/>
      <c r="XEO160" s="7"/>
      <c r="XEP160" s="7"/>
      <c r="XEQ160" s="21"/>
      <c r="XER160" s="20"/>
      <c r="XES160" s="20"/>
      <c r="XET160" s="20"/>
      <c r="XEU160" s="21"/>
      <c r="XEV160" s="21"/>
      <c r="XEW160" s="21"/>
      <c r="XEX160" s="21"/>
      <c r="XEY160" s="21"/>
      <c r="XEZ160" s="20"/>
      <c r="XFA160" s="20"/>
      <c r="XFB160" s="20"/>
      <c r="XFC160" s="20"/>
      <c r="XFD160" s="21"/>
    </row>
    <row r="161" spans="1:16384" s="3" customFormat="1" ht="14.25" customHeight="1" x14ac:dyDescent="0.25">
      <c r="A161" s="29">
        <v>0</v>
      </c>
      <c r="B161" s="29">
        <v>2</v>
      </c>
      <c r="C161" s="29">
        <v>2</v>
      </c>
      <c r="D161" s="30" t="s">
        <v>996</v>
      </c>
      <c r="E161" s="30" t="s">
        <v>993</v>
      </c>
      <c r="F161" s="30" t="s">
        <v>994</v>
      </c>
      <c r="G161" s="30" t="s">
        <v>137</v>
      </c>
      <c r="H161" s="30" t="s">
        <v>165</v>
      </c>
      <c r="I161" s="29" t="s">
        <v>995</v>
      </c>
      <c r="J161" s="29">
        <v>1</v>
      </c>
      <c r="K161" s="29" t="s">
        <v>378</v>
      </c>
      <c r="L161" s="29"/>
      <c r="M161" s="30"/>
      <c r="N161" s="30" t="s">
        <v>893</v>
      </c>
      <c r="O161" s="31">
        <v>1</v>
      </c>
      <c r="P161" s="31">
        <v>1</v>
      </c>
      <c r="Q161" s="30" t="s">
        <v>997</v>
      </c>
      <c r="R161" s="2"/>
      <c r="S161" s="2">
        <f t="shared" si="39"/>
        <v>1</v>
      </c>
      <c r="T161" s="2">
        <f t="shared" si="40"/>
        <v>0</v>
      </c>
      <c r="U161" s="2">
        <f t="shared" si="41"/>
        <v>0</v>
      </c>
      <c r="V161" s="2">
        <f t="shared" si="42"/>
        <v>0</v>
      </c>
      <c r="W161" s="2">
        <f t="shared" si="43"/>
        <v>0</v>
      </c>
      <c r="X161" s="2">
        <f t="shared" si="44"/>
        <v>0</v>
      </c>
      <c r="Y161" s="2">
        <f t="shared" si="45"/>
        <v>0</v>
      </c>
      <c r="Z161" s="2">
        <f t="shared" si="46"/>
        <v>0</v>
      </c>
      <c r="AA161" s="2">
        <f t="shared" si="47"/>
        <v>0</v>
      </c>
      <c r="AB161" s="2">
        <f t="shared" si="48"/>
        <v>0</v>
      </c>
      <c r="AC161" s="2"/>
      <c r="AD161" s="2">
        <f t="shared" si="49"/>
        <v>1</v>
      </c>
      <c r="AE161" s="2">
        <f t="shared" si="50"/>
        <v>0</v>
      </c>
      <c r="AF161" s="2">
        <f t="shared" si="51"/>
        <v>1</v>
      </c>
      <c r="AG161" s="2">
        <f t="shared" si="52"/>
        <v>0</v>
      </c>
      <c r="AH161" s="2">
        <f t="shared" si="53"/>
        <v>1</v>
      </c>
      <c r="AI161" s="2">
        <f t="shared" si="54"/>
        <v>0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943</v>
      </c>
      <c r="E162" s="30" t="s">
        <v>470</v>
      </c>
      <c r="F162" s="30" t="s">
        <v>944</v>
      </c>
      <c r="G162" s="30" t="s">
        <v>96</v>
      </c>
      <c r="H162" s="30" t="s">
        <v>165</v>
      </c>
      <c r="I162" s="29" t="s">
        <v>945</v>
      </c>
      <c r="J162" s="29"/>
      <c r="K162" s="29" t="s">
        <v>378</v>
      </c>
      <c r="L162" s="29"/>
      <c r="M162" s="30"/>
      <c r="N162" s="30" t="s">
        <v>893</v>
      </c>
      <c r="O162" s="31">
        <v>1</v>
      </c>
      <c r="P162" s="31">
        <v>1</v>
      </c>
      <c r="Q162" s="30" t="s">
        <v>999</v>
      </c>
      <c r="R162" s="20"/>
      <c r="S162" s="2">
        <f t="shared" si="39"/>
        <v>0</v>
      </c>
      <c r="T162" s="2">
        <f t="shared" si="40"/>
        <v>0</v>
      </c>
      <c r="U162" s="2">
        <f t="shared" si="41"/>
        <v>0</v>
      </c>
      <c r="V162" s="2">
        <f t="shared" si="42"/>
        <v>0</v>
      </c>
      <c r="W162" s="2">
        <f t="shared" si="43"/>
        <v>0</v>
      </c>
      <c r="X162" s="2">
        <f t="shared" si="44"/>
        <v>0</v>
      </c>
      <c r="Y162" s="2">
        <f t="shared" si="45"/>
        <v>0</v>
      </c>
      <c r="Z162" s="2">
        <f t="shared" si="46"/>
        <v>0</v>
      </c>
      <c r="AA162" s="2">
        <f t="shared" si="47"/>
        <v>0</v>
      </c>
      <c r="AB162" s="2">
        <f t="shared" si="48"/>
        <v>0</v>
      </c>
      <c r="AC162" s="2"/>
      <c r="AD162" s="2">
        <f t="shared" si="49"/>
        <v>1</v>
      </c>
      <c r="AE162" s="2">
        <f t="shared" si="50"/>
        <v>0</v>
      </c>
      <c r="AF162" s="2">
        <f t="shared" si="51"/>
        <v>1</v>
      </c>
      <c r="AG162" s="2">
        <f t="shared" si="52"/>
        <v>0</v>
      </c>
      <c r="AH162" s="2">
        <f t="shared" si="53"/>
        <v>1</v>
      </c>
      <c r="AI162" s="2">
        <f t="shared" si="54"/>
        <v>0</v>
      </c>
      <c r="AJ162" s="20"/>
      <c r="AK162" s="20"/>
      <c r="AL162" s="21"/>
      <c r="AM162" s="21"/>
      <c r="AN162" s="21"/>
      <c r="AO162" s="21"/>
      <c r="AP162" s="21"/>
      <c r="AQ162" s="20"/>
      <c r="AR162" s="20"/>
      <c r="AS162" s="20"/>
      <c r="AT162" s="20"/>
      <c r="AU162" s="21"/>
      <c r="AV162" s="21"/>
      <c r="AW162" s="7"/>
      <c r="AX162" s="7"/>
      <c r="AY162" s="21"/>
      <c r="AZ162" s="20"/>
      <c r="BA162" s="20"/>
      <c r="BB162" s="20"/>
      <c r="BC162" s="21"/>
      <c r="BD162" s="21"/>
      <c r="BE162" s="21"/>
      <c r="BF162" s="21"/>
      <c r="BG162" s="21"/>
      <c r="BH162" s="20"/>
      <c r="BI162" s="20"/>
      <c r="BJ162" s="20"/>
      <c r="BK162" s="20"/>
      <c r="BL162" s="21"/>
      <c r="BM162" s="21"/>
      <c r="BN162" s="7"/>
      <c r="BO162" s="7"/>
      <c r="BP162" s="21"/>
      <c r="BQ162" s="20"/>
      <c r="BR162" s="20"/>
      <c r="BS162" s="20"/>
      <c r="BT162" s="21"/>
      <c r="BU162" s="21"/>
      <c r="BV162" s="21"/>
      <c r="BW162" s="21"/>
      <c r="BX162" s="21"/>
      <c r="BY162" s="20"/>
      <c r="BZ162" s="20"/>
      <c r="CA162" s="20"/>
      <c r="CB162" s="20"/>
      <c r="CC162" s="21"/>
      <c r="CD162" s="21"/>
      <c r="CE162" s="7"/>
      <c r="CF162" s="7"/>
      <c r="CG162" s="21"/>
      <c r="CH162" s="20"/>
      <c r="CI162" s="20"/>
      <c r="CJ162" s="20"/>
      <c r="CK162" s="21"/>
      <c r="CL162" s="21"/>
      <c r="CM162" s="21"/>
      <c r="CN162" s="21"/>
      <c r="CO162" s="21"/>
      <c r="CP162" s="20"/>
      <c r="CQ162" s="20"/>
      <c r="CR162" s="20"/>
      <c r="CS162" s="20"/>
      <c r="CT162" s="21"/>
      <c r="CU162" s="21"/>
      <c r="CV162" s="7"/>
      <c r="CW162" s="7"/>
      <c r="CX162" s="21"/>
      <c r="CY162" s="20"/>
      <c r="CZ162" s="20"/>
      <c r="DA162" s="20"/>
      <c r="DB162" s="21"/>
      <c r="DC162" s="21"/>
      <c r="DD162" s="21"/>
      <c r="DE162" s="21"/>
      <c r="DF162" s="21"/>
      <c r="DG162" s="20"/>
      <c r="DH162" s="20"/>
      <c r="DI162" s="20"/>
      <c r="DJ162" s="20"/>
      <c r="DK162" s="21"/>
      <c r="DL162" s="21"/>
      <c r="DM162" s="7"/>
      <c r="DN162" s="7"/>
      <c r="DO162" s="21"/>
      <c r="DP162" s="20"/>
      <c r="DQ162" s="20"/>
      <c r="DR162" s="20"/>
      <c r="DS162" s="21"/>
      <c r="DT162" s="21"/>
      <c r="DU162" s="21"/>
      <c r="DV162" s="21"/>
      <c r="DW162" s="21"/>
      <c r="DX162" s="20"/>
      <c r="DY162" s="20"/>
      <c r="DZ162" s="20"/>
      <c r="EA162" s="20"/>
      <c r="EB162" s="21"/>
      <c r="EC162" s="21"/>
      <c r="ED162" s="7"/>
      <c r="EE162" s="7"/>
      <c r="EF162" s="21"/>
      <c r="EG162" s="20"/>
      <c r="EH162" s="20"/>
      <c r="EI162" s="20"/>
      <c r="EJ162" s="21"/>
      <c r="EK162" s="21"/>
      <c r="EL162" s="21"/>
      <c r="EM162" s="21"/>
      <c r="EN162" s="21"/>
      <c r="EO162" s="20"/>
      <c r="EP162" s="20"/>
      <c r="EQ162" s="20"/>
      <c r="ER162" s="20"/>
      <c r="ES162" s="21"/>
      <c r="ET162" s="21"/>
      <c r="EU162" s="7"/>
      <c r="EV162" s="7"/>
      <c r="EW162" s="21"/>
      <c r="EX162" s="20"/>
      <c r="EY162" s="20"/>
      <c r="EZ162" s="20"/>
      <c r="FA162" s="21"/>
      <c r="FB162" s="21"/>
      <c r="FC162" s="21"/>
      <c r="FD162" s="21"/>
      <c r="FE162" s="21"/>
      <c r="FF162" s="20"/>
      <c r="FG162" s="20"/>
      <c r="FH162" s="20"/>
      <c r="FI162" s="20"/>
      <c r="FJ162" s="21"/>
      <c r="FK162" s="21"/>
      <c r="FL162" s="7"/>
      <c r="FM162" s="7"/>
      <c r="FN162" s="21"/>
      <c r="FO162" s="20"/>
      <c r="FP162" s="20"/>
      <c r="FQ162" s="20"/>
      <c r="FR162" s="21"/>
      <c r="FS162" s="21"/>
      <c r="FT162" s="21"/>
      <c r="FU162" s="21"/>
      <c r="FV162" s="21"/>
      <c r="FW162" s="20"/>
      <c r="FX162" s="20"/>
      <c r="FY162" s="20"/>
      <c r="FZ162" s="20"/>
      <c r="GA162" s="21"/>
      <c r="GB162" s="21"/>
      <c r="GC162" s="7"/>
      <c r="GD162" s="7"/>
      <c r="GE162" s="21"/>
      <c r="GF162" s="20"/>
      <c r="GG162" s="20"/>
      <c r="GH162" s="20"/>
      <c r="GI162" s="21"/>
      <c r="GJ162" s="21"/>
      <c r="GK162" s="21"/>
      <c r="GL162" s="21"/>
      <c r="GM162" s="21"/>
      <c r="GN162" s="20"/>
      <c r="GO162" s="20"/>
      <c r="GP162" s="20"/>
      <c r="GQ162" s="20"/>
      <c r="GR162" s="21"/>
      <c r="GS162" s="21"/>
      <c r="GT162" s="7"/>
      <c r="GU162" s="7"/>
      <c r="GV162" s="21"/>
      <c r="GW162" s="20"/>
      <c r="GX162" s="20"/>
      <c r="GY162" s="20"/>
      <c r="GZ162" s="21"/>
      <c r="HA162" s="21"/>
      <c r="HB162" s="21"/>
      <c r="HC162" s="21"/>
      <c r="HD162" s="21"/>
      <c r="HE162" s="20"/>
      <c r="HF162" s="20"/>
      <c r="HG162" s="20"/>
      <c r="HH162" s="20"/>
      <c r="HI162" s="21"/>
      <c r="HJ162" s="21"/>
      <c r="HK162" s="7"/>
      <c r="HL162" s="7"/>
      <c r="HM162" s="21"/>
      <c r="HN162" s="20"/>
      <c r="HO162" s="20"/>
      <c r="HP162" s="20"/>
      <c r="HQ162" s="21"/>
      <c r="HR162" s="21"/>
      <c r="HS162" s="21"/>
      <c r="HT162" s="21"/>
      <c r="HU162" s="21"/>
      <c r="HV162" s="20"/>
      <c r="HW162" s="20"/>
      <c r="HX162" s="20"/>
      <c r="HY162" s="20"/>
      <c r="HZ162" s="21"/>
      <c r="IA162" s="21"/>
      <c r="IB162" s="7"/>
      <c r="IC162" s="7"/>
      <c r="ID162" s="21"/>
      <c r="IE162" s="20"/>
      <c r="IF162" s="20"/>
      <c r="IG162" s="20"/>
      <c r="IH162" s="21"/>
      <c r="II162" s="21"/>
      <c r="IJ162" s="21"/>
      <c r="IK162" s="21"/>
      <c r="IL162" s="21"/>
      <c r="IM162" s="20"/>
      <c r="IN162" s="20"/>
      <c r="IO162" s="20"/>
      <c r="IP162" s="20"/>
      <c r="IQ162" s="21"/>
      <c r="IR162" s="21"/>
      <c r="IS162" s="7"/>
      <c r="IT162" s="7"/>
      <c r="IU162" s="21"/>
      <c r="IV162" s="20"/>
      <c r="IW162" s="20"/>
      <c r="IX162" s="20"/>
      <c r="IY162" s="21"/>
      <c r="IZ162" s="21"/>
      <c r="JA162" s="21"/>
      <c r="JB162" s="21"/>
      <c r="JC162" s="21"/>
      <c r="JD162" s="20"/>
      <c r="JE162" s="20"/>
      <c r="JF162" s="20"/>
      <c r="JG162" s="20"/>
      <c r="JH162" s="21"/>
      <c r="JI162" s="21"/>
      <c r="JJ162" s="7"/>
      <c r="JK162" s="7"/>
      <c r="JL162" s="21"/>
      <c r="JM162" s="20"/>
      <c r="JN162" s="20"/>
      <c r="JO162" s="20"/>
      <c r="JP162" s="21"/>
      <c r="JQ162" s="21"/>
      <c r="JR162" s="21"/>
      <c r="JS162" s="21"/>
      <c r="JT162" s="21"/>
      <c r="JU162" s="20"/>
      <c r="JV162" s="20"/>
      <c r="JW162" s="20"/>
      <c r="JX162" s="20"/>
      <c r="JY162" s="21"/>
      <c r="JZ162" s="21"/>
      <c r="KA162" s="7"/>
      <c r="KB162" s="7"/>
      <c r="KC162" s="21"/>
      <c r="KD162" s="20"/>
      <c r="KE162" s="20"/>
      <c r="KF162" s="20"/>
      <c r="KG162" s="21"/>
      <c r="KH162" s="21"/>
      <c r="KI162" s="21"/>
      <c r="KJ162" s="21"/>
      <c r="KK162" s="21"/>
      <c r="KL162" s="20"/>
      <c r="KM162" s="20"/>
      <c r="KN162" s="20"/>
      <c r="KO162" s="20"/>
      <c r="KP162" s="21"/>
      <c r="KQ162" s="21"/>
      <c r="KR162" s="7"/>
      <c r="KS162" s="7"/>
      <c r="KT162" s="21"/>
      <c r="KU162" s="20"/>
      <c r="KV162" s="20"/>
      <c r="KW162" s="20"/>
      <c r="KX162" s="21"/>
      <c r="KY162" s="21"/>
      <c r="KZ162" s="21"/>
      <c r="LA162" s="21"/>
      <c r="LB162" s="21"/>
      <c r="LC162" s="20"/>
      <c r="LD162" s="20"/>
      <c r="LE162" s="20"/>
      <c r="LF162" s="20"/>
      <c r="LG162" s="21"/>
      <c r="LH162" s="21"/>
      <c r="LI162" s="7"/>
      <c r="LJ162" s="7"/>
      <c r="LK162" s="21"/>
      <c r="LL162" s="20"/>
      <c r="LM162" s="20"/>
      <c r="LN162" s="20"/>
      <c r="LO162" s="21"/>
      <c r="LP162" s="21"/>
      <c r="LQ162" s="21"/>
      <c r="LR162" s="21"/>
      <c r="LS162" s="21"/>
      <c r="LT162" s="20"/>
      <c r="LU162" s="20"/>
      <c r="LV162" s="20"/>
      <c r="LW162" s="20"/>
      <c r="LX162" s="21"/>
      <c r="LY162" s="21"/>
      <c r="LZ162" s="7"/>
      <c r="MA162" s="7"/>
      <c r="MB162" s="21"/>
      <c r="MC162" s="20"/>
      <c r="MD162" s="20"/>
      <c r="ME162" s="20"/>
      <c r="MF162" s="21"/>
      <c r="MG162" s="21"/>
      <c r="MH162" s="21"/>
      <c r="MI162" s="21"/>
      <c r="MJ162" s="21"/>
      <c r="MK162" s="20"/>
      <c r="ML162" s="20"/>
      <c r="MM162" s="20"/>
      <c r="MN162" s="20"/>
      <c r="MO162" s="21"/>
      <c r="MP162" s="21"/>
      <c r="MQ162" s="7"/>
      <c r="MR162" s="7"/>
      <c r="MS162" s="21"/>
      <c r="MT162" s="20"/>
      <c r="MU162" s="20"/>
      <c r="MV162" s="20"/>
      <c r="MW162" s="21"/>
      <c r="MX162" s="21"/>
      <c r="MY162" s="21"/>
      <c r="MZ162" s="21"/>
      <c r="NA162" s="21"/>
      <c r="NB162" s="20"/>
      <c r="NC162" s="20"/>
      <c r="ND162" s="20"/>
      <c r="NE162" s="20"/>
      <c r="NF162" s="21"/>
      <c r="NG162" s="21"/>
      <c r="NH162" s="7"/>
      <c r="NI162" s="7"/>
      <c r="NJ162" s="21"/>
      <c r="NK162" s="20"/>
      <c r="NL162" s="20"/>
      <c r="NM162" s="20"/>
      <c r="NN162" s="21"/>
      <c r="NO162" s="21"/>
      <c r="NP162" s="21"/>
      <c r="NQ162" s="21"/>
      <c r="NR162" s="21"/>
      <c r="NS162" s="20"/>
      <c r="NT162" s="20"/>
      <c r="NU162" s="20"/>
      <c r="NV162" s="20"/>
      <c r="NW162" s="21"/>
      <c r="NX162" s="21"/>
      <c r="NY162" s="7"/>
      <c r="NZ162" s="7"/>
      <c r="OA162" s="21"/>
      <c r="OB162" s="20"/>
      <c r="OC162" s="20"/>
      <c r="OD162" s="20"/>
      <c r="OE162" s="21"/>
      <c r="OF162" s="21"/>
      <c r="OG162" s="21"/>
      <c r="OH162" s="21"/>
      <c r="OI162" s="21"/>
      <c r="OJ162" s="20"/>
      <c r="OK162" s="20"/>
      <c r="OL162" s="20"/>
      <c r="OM162" s="20"/>
      <c r="ON162" s="21"/>
      <c r="OO162" s="21"/>
      <c r="OP162" s="7"/>
      <c r="OQ162" s="7"/>
      <c r="OR162" s="21"/>
      <c r="OS162" s="20"/>
      <c r="OT162" s="20"/>
      <c r="OU162" s="20"/>
      <c r="OV162" s="21"/>
      <c r="OW162" s="21"/>
      <c r="OX162" s="21"/>
      <c r="OY162" s="21"/>
      <c r="OZ162" s="21"/>
      <c r="PA162" s="20"/>
      <c r="PB162" s="20"/>
      <c r="PC162" s="20"/>
      <c r="PD162" s="20"/>
      <c r="PE162" s="21"/>
      <c r="PF162" s="21"/>
      <c r="PG162" s="7"/>
      <c r="PH162" s="7"/>
      <c r="PI162" s="21"/>
      <c r="PJ162" s="20"/>
      <c r="PK162" s="20"/>
      <c r="PL162" s="20"/>
      <c r="PM162" s="21"/>
      <c r="PN162" s="21"/>
      <c r="PO162" s="21"/>
      <c r="PP162" s="21"/>
      <c r="PQ162" s="21"/>
      <c r="PR162" s="20"/>
      <c r="PS162" s="20"/>
      <c r="PT162" s="20"/>
      <c r="PU162" s="20"/>
      <c r="PV162" s="21"/>
      <c r="PW162" s="21"/>
      <c r="PX162" s="7"/>
      <c r="PY162" s="7"/>
      <c r="PZ162" s="21"/>
      <c r="QA162" s="20"/>
      <c r="QB162" s="20"/>
      <c r="QC162" s="20"/>
      <c r="QD162" s="21"/>
      <c r="QE162" s="21"/>
      <c r="QF162" s="21"/>
      <c r="QG162" s="21"/>
      <c r="QH162" s="21"/>
      <c r="QI162" s="20"/>
      <c r="QJ162" s="20"/>
      <c r="QK162" s="20"/>
      <c r="QL162" s="20"/>
      <c r="QM162" s="21"/>
      <c r="QN162" s="21"/>
      <c r="QO162" s="7"/>
      <c r="QP162" s="7"/>
      <c r="QQ162" s="21"/>
      <c r="QR162" s="20"/>
      <c r="QS162" s="20"/>
      <c r="QT162" s="20"/>
      <c r="QU162" s="21"/>
      <c r="QV162" s="21"/>
      <c r="QW162" s="21"/>
      <c r="QX162" s="21"/>
      <c r="QY162" s="21"/>
      <c r="QZ162" s="20"/>
      <c r="RA162" s="20"/>
      <c r="RB162" s="20"/>
      <c r="RC162" s="20"/>
      <c r="RD162" s="21"/>
      <c r="RE162" s="21"/>
      <c r="RF162" s="7"/>
      <c r="RG162" s="7"/>
      <c r="RH162" s="21"/>
      <c r="RI162" s="20"/>
      <c r="RJ162" s="20"/>
      <c r="RK162" s="20"/>
      <c r="RL162" s="21"/>
      <c r="RM162" s="21"/>
      <c r="RN162" s="21"/>
      <c r="RO162" s="21"/>
      <c r="RP162" s="21"/>
      <c r="RQ162" s="20"/>
      <c r="RR162" s="20"/>
      <c r="RS162" s="20"/>
      <c r="RT162" s="20"/>
      <c r="RU162" s="21"/>
      <c r="RV162" s="21"/>
      <c r="RW162" s="7"/>
      <c r="RX162" s="7"/>
      <c r="RY162" s="21"/>
      <c r="RZ162" s="20"/>
      <c r="SA162" s="20"/>
      <c r="SB162" s="20"/>
      <c r="SC162" s="21"/>
      <c r="SD162" s="21"/>
      <c r="SE162" s="21"/>
      <c r="SF162" s="21"/>
      <c r="SG162" s="21"/>
      <c r="SH162" s="20"/>
      <c r="SI162" s="20"/>
      <c r="SJ162" s="20"/>
      <c r="SK162" s="20"/>
      <c r="SL162" s="21"/>
      <c r="SM162" s="21"/>
      <c r="SN162" s="7"/>
      <c r="SO162" s="7"/>
      <c r="SP162" s="21"/>
      <c r="SQ162" s="20"/>
      <c r="SR162" s="20"/>
      <c r="SS162" s="20"/>
      <c r="ST162" s="21"/>
      <c r="SU162" s="21"/>
      <c r="SV162" s="21"/>
      <c r="SW162" s="21"/>
      <c r="SX162" s="21"/>
      <c r="SY162" s="20"/>
      <c r="SZ162" s="20"/>
      <c r="TA162" s="20"/>
      <c r="TB162" s="20"/>
      <c r="TC162" s="21"/>
      <c r="TD162" s="21"/>
      <c r="TE162" s="7"/>
      <c r="TF162" s="7"/>
      <c r="TG162" s="21"/>
      <c r="TH162" s="20"/>
      <c r="TI162" s="20"/>
      <c r="TJ162" s="20"/>
      <c r="TK162" s="21"/>
      <c r="TL162" s="21"/>
      <c r="TM162" s="21"/>
      <c r="TN162" s="21"/>
      <c r="TO162" s="21"/>
      <c r="TP162" s="20"/>
      <c r="TQ162" s="20"/>
      <c r="TR162" s="20"/>
      <c r="TS162" s="20"/>
      <c r="TT162" s="21"/>
      <c r="TU162" s="21"/>
      <c r="TV162" s="7"/>
      <c r="TW162" s="7"/>
      <c r="TX162" s="21"/>
      <c r="TY162" s="20"/>
      <c r="TZ162" s="20"/>
      <c r="UA162" s="20"/>
      <c r="UB162" s="21"/>
      <c r="UC162" s="21"/>
      <c r="UD162" s="21"/>
      <c r="UE162" s="21"/>
      <c r="UF162" s="21"/>
      <c r="UG162" s="20"/>
      <c r="UH162" s="20"/>
      <c r="UI162" s="20"/>
      <c r="UJ162" s="20"/>
      <c r="UK162" s="21"/>
      <c r="UL162" s="21"/>
      <c r="UM162" s="7"/>
      <c r="UN162" s="7"/>
      <c r="UO162" s="21"/>
      <c r="UP162" s="20"/>
      <c r="UQ162" s="20"/>
      <c r="UR162" s="20"/>
      <c r="US162" s="21"/>
      <c r="UT162" s="21"/>
      <c r="UU162" s="21"/>
      <c r="UV162" s="21"/>
      <c r="UW162" s="21"/>
      <c r="UX162" s="20"/>
      <c r="UY162" s="20"/>
      <c r="UZ162" s="20"/>
      <c r="VA162" s="20"/>
      <c r="VB162" s="21"/>
      <c r="VC162" s="21"/>
      <c r="VD162" s="7"/>
      <c r="VE162" s="7"/>
      <c r="VF162" s="21"/>
      <c r="VG162" s="20"/>
      <c r="VH162" s="20"/>
      <c r="VI162" s="20"/>
      <c r="VJ162" s="21"/>
      <c r="VK162" s="21"/>
      <c r="VL162" s="21"/>
      <c r="VM162" s="21"/>
      <c r="VN162" s="21"/>
      <c r="VO162" s="20"/>
      <c r="VP162" s="20"/>
      <c r="VQ162" s="20"/>
      <c r="VR162" s="20"/>
      <c r="VS162" s="21"/>
      <c r="VT162" s="21"/>
      <c r="VU162" s="7"/>
      <c r="VV162" s="7"/>
      <c r="VW162" s="21"/>
      <c r="VX162" s="20"/>
      <c r="VY162" s="20"/>
      <c r="VZ162" s="20"/>
      <c r="WA162" s="21"/>
      <c r="WB162" s="21"/>
      <c r="WC162" s="21"/>
      <c r="WD162" s="21"/>
      <c r="WE162" s="21"/>
      <c r="WF162" s="20"/>
      <c r="WG162" s="20"/>
      <c r="WH162" s="20"/>
      <c r="WI162" s="20"/>
      <c r="WJ162" s="21"/>
      <c r="WK162" s="21"/>
      <c r="WL162" s="7"/>
      <c r="WM162" s="7"/>
      <c r="WN162" s="21"/>
      <c r="WO162" s="20"/>
      <c r="WP162" s="20"/>
      <c r="WQ162" s="20"/>
      <c r="WR162" s="21"/>
      <c r="WS162" s="21"/>
      <c r="WT162" s="21"/>
      <c r="WU162" s="21"/>
      <c r="WV162" s="21"/>
      <c r="WW162" s="20"/>
      <c r="WX162" s="20"/>
      <c r="WY162" s="20"/>
      <c r="WZ162" s="20"/>
      <c r="XA162" s="21"/>
      <c r="XB162" s="21"/>
      <c r="XC162" s="7"/>
      <c r="XD162" s="7"/>
      <c r="XE162" s="21"/>
      <c r="XF162" s="20"/>
      <c r="XG162" s="20"/>
      <c r="XH162" s="20"/>
      <c r="XI162" s="21"/>
      <c r="XJ162" s="21"/>
      <c r="XK162" s="21"/>
      <c r="XL162" s="21"/>
      <c r="XM162" s="21"/>
      <c r="XN162" s="20"/>
      <c r="XO162" s="20"/>
      <c r="XP162" s="20"/>
      <c r="XQ162" s="20"/>
      <c r="XR162" s="21"/>
      <c r="XS162" s="21"/>
      <c r="XT162" s="7"/>
      <c r="XU162" s="7"/>
      <c r="XV162" s="21"/>
      <c r="XW162" s="20"/>
      <c r="XX162" s="20"/>
      <c r="XY162" s="20"/>
      <c r="XZ162" s="21"/>
      <c r="YA162" s="21"/>
      <c r="YB162" s="21"/>
      <c r="YC162" s="21"/>
      <c r="YD162" s="21"/>
      <c r="YE162" s="20"/>
      <c r="YF162" s="20"/>
      <c r="YG162" s="20"/>
      <c r="YH162" s="20"/>
      <c r="YI162" s="21"/>
      <c r="YJ162" s="21"/>
      <c r="YK162" s="7"/>
      <c r="YL162" s="7"/>
      <c r="YM162" s="21"/>
      <c r="YN162" s="20"/>
      <c r="YO162" s="20"/>
      <c r="YP162" s="20"/>
      <c r="YQ162" s="21"/>
      <c r="YR162" s="21"/>
      <c r="YS162" s="21"/>
      <c r="YT162" s="21"/>
      <c r="YU162" s="21"/>
      <c r="YV162" s="20"/>
      <c r="YW162" s="20"/>
      <c r="YX162" s="20"/>
      <c r="YY162" s="20"/>
      <c r="YZ162" s="21"/>
      <c r="ZA162" s="21"/>
      <c r="ZB162" s="7"/>
      <c r="ZC162" s="7"/>
      <c r="ZD162" s="21"/>
      <c r="ZE162" s="20"/>
      <c r="ZF162" s="20"/>
      <c r="ZG162" s="20"/>
      <c r="ZH162" s="21"/>
      <c r="ZI162" s="21"/>
      <c r="ZJ162" s="21"/>
      <c r="ZK162" s="21"/>
      <c r="ZL162" s="21"/>
      <c r="ZM162" s="20"/>
      <c r="ZN162" s="20"/>
      <c r="ZO162" s="20"/>
      <c r="ZP162" s="20"/>
      <c r="ZQ162" s="21"/>
      <c r="ZR162" s="21"/>
      <c r="ZS162" s="7"/>
      <c r="ZT162" s="7"/>
      <c r="ZU162" s="21"/>
      <c r="ZV162" s="20"/>
      <c r="ZW162" s="20"/>
      <c r="ZX162" s="20"/>
      <c r="ZY162" s="21"/>
      <c r="ZZ162" s="21"/>
      <c r="AAA162" s="21"/>
      <c r="AAB162" s="21"/>
      <c r="AAC162" s="21"/>
      <c r="AAD162" s="20"/>
      <c r="AAE162" s="20"/>
      <c r="AAF162" s="20"/>
      <c r="AAG162" s="20"/>
      <c r="AAH162" s="21"/>
      <c r="AAI162" s="21"/>
      <c r="AAJ162" s="7"/>
      <c r="AAK162" s="7"/>
      <c r="AAL162" s="21"/>
      <c r="AAM162" s="20"/>
      <c r="AAN162" s="20"/>
      <c r="AAO162" s="20"/>
      <c r="AAP162" s="21"/>
      <c r="AAQ162" s="21"/>
      <c r="AAR162" s="21"/>
      <c r="AAS162" s="21"/>
      <c r="AAT162" s="21"/>
      <c r="AAU162" s="20"/>
      <c r="AAV162" s="20"/>
      <c r="AAW162" s="20"/>
      <c r="AAX162" s="20"/>
      <c r="AAY162" s="21"/>
      <c r="AAZ162" s="21"/>
      <c r="ABA162" s="7"/>
      <c r="ABB162" s="7"/>
      <c r="ABC162" s="21"/>
      <c r="ABD162" s="20"/>
      <c r="ABE162" s="20"/>
      <c r="ABF162" s="20"/>
      <c r="ABG162" s="21"/>
      <c r="ABH162" s="21"/>
      <c r="ABI162" s="21"/>
      <c r="ABJ162" s="21"/>
      <c r="ABK162" s="21"/>
      <c r="ABL162" s="20"/>
      <c r="ABM162" s="20"/>
      <c r="ABN162" s="20"/>
      <c r="ABO162" s="20"/>
      <c r="ABP162" s="21"/>
      <c r="ABQ162" s="21"/>
      <c r="ABR162" s="7"/>
      <c r="ABS162" s="7"/>
      <c r="ABT162" s="21"/>
      <c r="ABU162" s="20"/>
      <c r="ABV162" s="20"/>
      <c r="ABW162" s="20"/>
      <c r="ABX162" s="21"/>
      <c r="ABY162" s="21"/>
      <c r="ABZ162" s="21"/>
      <c r="ACA162" s="21"/>
      <c r="ACB162" s="21"/>
      <c r="ACC162" s="20"/>
      <c r="ACD162" s="20"/>
      <c r="ACE162" s="20"/>
      <c r="ACF162" s="20"/>
      <c r="ACG162" s="21"/>
      <c r="ACH162" s="21"/>
      <c r="ACI162" s="7"/>
      <c r="ACJ162" s="7"/>
      <c r="ACK162" s="21"/>
      <c r="ACL162" s="20"/>
      <c r="ACM162" s="20"/>
      <c r="ACN162" s="20"/>
      <c r="ACO162" s="21"/>
      <c r="ACP162" s="21"/>
      <c r="ACQ162" s="21"/>
      <c r="ACR162" s="21"/>
      <c r="ACS162" s="21"/>
      <c r="ACT162" s="20"/>
      <c r="ACU162" s="20"/>
      <c r="ACV162" s="20"/>
      <c r="ACW162" s="20"/>
      <c r="ACX162" s="21"/>
      <c r="ACY162" s="21"/>
      <c r="ACZ162" s="7"/>
      <c r="ADA162" s="7"/>
      <c r="ADB162" s="21"/>
      <c r="ADC162" s="20"/>
      <c r="ADD162" s="20"/>
      <c r="ADE162" s="20"/>
      <c r="ADF162" s="21"/>
      <c r="ADG162" s="21"/>
      <c r="ADH162" s="21"/>
      <c r="ADI162" s="21"/>
      <c r="ADJ162" s="21"/>
      <c r="ADK162" s="20"/>
      <c r="ADL162" s="20"/>
      <c r="ADM162" s="20"/>
      <c r="ADN162" s="20"/>
      <c r="ADO162" s="21"/>
      <c r="ADP162" s="21"/>
      <c r="ADQ162" s="7"/>
      <c r="ADR162" s="7"/>
      <c r="ADS162" s="21"/>
      <c r="ADT162" s="20"/>
      <c r="ADU162" s="20"/>
      <c r="ADV162" s="20"/>
      <c r="ADW162" s="21"/>
      <c r="ADX162" s="21"/>
      <c r="ADY162" s="21"/>
      <c r="ADZ162" s="21"/>
      <c r="AEA162" s="21"/>
      <c r="AEB162" s="20"/>
      <c r="AEC162" s="20"/>
      <c r="AED162" s="20"/>
      <c r="AEE162" s="20"/>
      <c r="AEF162" s="21"/>
      <c r="AEG162" s="21"/>
      <c r="AEH162" s="7"/>
      <c r="AEI162" s="7"/>
      <c r="AEJ162" s="21"/>
      <c r="AEK162" s="20"/>
      <c r="AEL162" s="20"/>
      <c r="AEM162" s="20"/>
      <c r="AEN162" s="21"/>
      <c r="AEO162" s="21"/>
      <c r="AEP162" s="21"/>
      <c r="AEQ162" s="21"/>
      <c r="AER162" s="21"/>
      <c r="AES162" s="20"/>
      <c r="AET162" s="20"/>
      <c r="AEU162" s="20"/>
      <c r="AEV162" s="20"/>
      <c r="AEW162" s="21"/>
      <c r="AEX162" s="21"/>
      <c r="AEY162" s="7"/>
      <c r="AEZ162" s="7"/>
      <c r="AFA162" s="21"/>
      <c r="AFB162" s="20"/>
      <c r="AFC162" s="20"/>
      <c r="AFD162" s="20"/>
      <c r="AFE162" s="21"/>
      <c r="AFF162" s="21"/>
      <c r="AFG162" s="21"/>
      <c r="AFH162" s="21"/>
      <c r="AFI162" s="21"/>
      <c r="AFJ162" s="20"/>
      <c r="AFK162" s="20"/>
      <c r="AFL162" s="20"/>
      <c r="AFM162" s="20"/>
      <c r="AFN162" s="21"/>
      <c r="AFO162" s="21"/>
      <c r="AFP162" s="7"/>
      <c r="AFQ162" s="7"/>
      <c r="AFR162" s="21"/>
      <c r="AFS162" s="20"/>
      <c r="AFT162" s="20"/>
      <c r="AFU162" s="20"/>
      <c r="AFV162" s="21"/>
      <c r="AFW162" s="21"/>
      <c r="AFX162" s="21"/>
      <c r="AFY162" s="21"/>
      <c r="AFZ162" s="21"/>
      <c r="AGA162" s="20"/>
      <c r="AGB162" s="20"/>
      <c r="AGC162" s="20"/>
      <c r="AGD162" s="20"/>
      <c r="AGE162" s="21"/>
      <c r="AGF162" s="21"/>
      <c r="AGG162" s="7"/>
      <c r="AGH162" s="7"/>
      <c r="AGI162" s="21"/>
      <c r="AGJ162" s="20"/>
      <c r="AGK162" s="20"/>
      <c r="AGL162" s="20"/>
      <c r="AGM162" s="21"/>
      <c r="AGN162" s="21"/>
      <c r="AGO162" s="21"/>
      <c r="AGP162" s="21"/>
      <c r="AGQ162" s="21"/>
      <c r="AGR162" s="20"/>
      <c r="AGS162" s="20"/>
      <c r="AGT162" s="20"/>
      <c r="AGU162" s="20"/>
      <c r="AGV162" s="21"/>
      <c r="AGW162" s="21"/>
      <c r="AGX162" s="7"/>
      <c r="AGY162" s="7"/>
      <c r="AGZ162" s="21"/>
      <c r="AHA162" s="20"/>
      <c r="AHB162" s="20"/>
      <c r="AHC162" s="20"/>
      <c r="AHD162" s="21"/>
      <c r="AHE162" s="21"/>
      <c r="AHF162" s="21"/>
      <c r="AHG162" s="21"/>
      <c r="AHH162" s="21"/>
      <c r="AHI162" s="20"/>
      <c r="AHJ162" s="20"/>
      <c r="AHK162" s="20"/>
      <c r="AHL162" s="20"/>
      <c r="AHM162" s="21"/>
      <c r="AHN162" s="21"/>
      <c r="AHO162" s="7"/>
      <c r="AHP162" s="7"/>
      <c r="AHQ162" s="21"/>
      <c r="AHR162" s="20"/>
      <c r="AHS162" s="20"/>
      <c r="AHT162" s="20"/>
      <c r="AHU162" s="21"/>
      <c r="AHV162" s="21"/>
      <c r="AHW162" s="21"/>
      <c r="AHX162" s="21"/>
      <c r="AHY162" s="21"/>
      <c r="AHZ162" s="20"/>
      <c r="AIA162" s="20"/>
      <c r="AIB162" s="20"/>
      <c r="AIC162" s="20"/>
      <c r="AID162" s="21"/>
      <c r="AIE162" s="21"/>
      <c r="AIF162" s="7"/>
      <c r="AIG162" s="7"/>
      <c r="AIH162" s="21"/>
      <c r="AII162" s="20"/>
      <c r="AIJ162" s="20"/>
      <c r="AIK162" s="20"/>
      <c r="AIL162" s="21"/>
      <c r="AIM162" s="21"/>
      <c r="AIN162" s="21"/>
      <c r="AIO162" s="21"/>
      <c r="AIP162" s="21"/>
      <c r="AIQ162" s="20"/>
      <c r="AIR162" s="20"/>
      <c r="AIS162" s="20"/>
      <c r="AIT162" s="20"/>
      <c r="AIU162" s="21"/>
      <c r="AIV162" s="21"/>
      <c r="AIW162" s="7"/>
      <c r="AIX162" s="7"/>
      <c r="AIY162" s="21"/>
      <c r="AIZ162" s="20"/>
      <c r="AJA162" s="20"/>
      <c r="AJB162" s="20"/>
      <c r="AJC162" s="21"/>
      <c r="AJD162" s="21"/>
      <c r="AJE162" s="21"/>
      <c r="AJF162" s="21"/>
      <c r="AJG162" s="21"/>
      <c r="AJH162" s="20"/>
      <c r="AJI162" s="20"/>
      <c r="AJJ162" s="20"/>
      <c r="AJK162" s="20"/>
      <c r="AJL162" s="21"/>
      <c r="AJM162" s="21"/>
      <c r="AJN162" s="7"/>
      <c r="AJO162" s="7"/>
      <c r="AJP162" s="21"/>
      <c r="AJQ162" s="20"/>
      <c r="AJR162" s="20"/>
      <c r="AJS162" s="20"/>
      <c r="AJT162" s="21"/>
      <c r="AJU162" s="21"/>
      <c r="AJV162" s="21"/>
      <c r="AJW162" s="21"/>
      <c r="AJX162" s="21"/>
      <c r="AJY162" s="20"/>
      <c r="AJZ162" s="20"/>
      <c r="AKA162" s="20"/>
      <c r="AKB162" s="20"/>
      <c r="AKC162" s="21"/>
      <c r="AKD162" s="21"/>
      <c r="AKE162" s="7"/>
      <c r="AKF162" s="7"/>
      <c r="AKG162" s="21"/>
      <c r="AKH162" s="20"/>
      <c r="AKI162" s="20"/>
      <c r="AKJ162" s="20"/>
      <c r="AKK162" s="21"/>
      <c r="AKL162" s="21"/>
      <c r="AKM162" s="21"/>
      <c r="AKN162" s="21"/>
      <c r="AKO162" s="21"/>
      <c r="AKP162" s="20"/>
      <c r="AKQ162" s="20"/>
      <c r="AKR162" s="20"/>
      <c r="AKS162" s="20"/>
      <c r="AKT162" s="21"/>
      <c r="AKU162" s="21"/>
      <c r="AKV162" s="7"/>
      <c r="AKW162" s="7"/>
      <c r="AKX162" s="21"/>
      <c r="AKY162" s="20"/>
      <c r="AKZ162" s="20"/>
      <c r="ALA162" s="20"/>
      <c r="ALB162" s="21"/>
      <c r="ALC162" s="21"/>
      <c r="ALD162" s="21"/>
      <c r="ALE162" s="21"/>
      <c r="ALF162" s="21"/>
      <c r="ALG162" s="20"/>
      <c r="ALH162" s="20"/>
      <c r="ALI162" s="20"/>
      <c r="ALJ162" s="20"/>
      <c r="ALK162" s="21"/>
      <c r="ALL162" s="21"/>
      <c r="ALM162" s="7"/>
      <c r="ALN162" s="7"/>
      <c r="ALO162" s="21"/>
      <c r="ALP162" s="20"/>
      <c r="ALQ162" s="20"/>
      <c r="ALR162" s="20"/>
      <c r="ALS162" s="21"/>
      <c r="ALT162" s="21"/>
      <c r="ALU162" s="21"/>
      <c r="ALV162" s="21"/>
      <c r="ALW162" s="21"/>
      <c r="ALX162" s="20"/>
      <c r="ALY162" s="20"/>
      <c r="ALZ162" s="20"/>
      <c r="AMA162" s="20"/>
      <c r="AMB162" s="21"/>
      <c r="AMC162" s="21"/>
      <c r="AMD162" s="7"/>
      <c r="AME162" s="7"/>
      <c r="AMF162" s="21"/>
      <c r="AMG162" s="20"/>
      <c r="AMH162" s="20"/>
      <c r="AMI162" s="20"/>
      <c r="AMJ162" s="21"/>
      <c r="AMK162" s="21"/>
      <c r="AML162" s="21"/>
      <c r="AMM162" s="21"/>
      <c r="AMN162" s="21"/>
      <c r="AMO162" s="20"/>
      <c r="AMP162" s="20"/>
      <c r="AMQ162" s="20"/>
      <c r="AMR162" s="20"/>
      <c r="AMS162" s="21"/>
      <c r="AMT162" s="21"/>
      <c r="AMU162" s="7"/>
      <c r="AMV162" s="7"/>
      <c r="AMW162" s="21"/>
      <c r="AMX162" s="20"/>
      <c r="AMY162" s="20"/>
      <c r="AMZ162" s="20"/>
      <c r="ANA162" s="21"/>
      <c r="ANB162" s="21"/>
      <c r="ANC162" s="21"/>
      <c r="AND162" s="21"/>
      <c r="ANE162" s="21"/>
      <c r="ANF162" s="20"/>
      <c r="ANG162" s="20"/>
      <c r="ANH162" s="20"/>
      <c r="ANI162" s="20"/>
      <c r="ANJ162" s="21"/>
      <c r="ANK162" s="21"/>
      <c r="ANL162" s="7"/>
      <c r="ANM162" s="7"/>
      <c r="ANN162" s="21"/>
      <c r="ANO162" s="20"/>
      <c r="ANP162" s="20"/>
      <c r="ANQ162" s="20"/>
      <c r="ANR162" s="21"/>
      <c r="ANS162" s="21"/>
      <c r="ANT162" s="21"/>
      <c r="ANU162" s="21"/>
      <c r="ANV162" s="21"/>
      <c r="ANW162" s="20"/>
      <c r="ANX162" s="20"/>
      <c r="ANY162" s="20"/>
      <c r="ANZ162" s="20"/>
      <c r="AOA162" s="21"/>
      <c r="AOB162" s="21"/>
      <c r="AOC162" s="7"/>
      <c r="AOD162" s="7"/>
      <c r="AOE162" s="21"/>
      <c r="AOF162" s="20"/>
      <c r="AOG162" s="20"/>
      <c r="AOH162" s="20"/>
      <c r="AOI162" s="21"/>
      <c r="AOJ162" s="21"/>
      <c r="AOK162" s="21"/>
      <c r="AOL162" s="21"/>
      <c r="AOM162" s="21"/>
      <c r="AON162" s="20"/>
      <c r="AOO162" s="20"/>
      <c r="AOP162" s="20"/>
      <c r="AOQ162" s="20"/>
      <c r="AOR162" s="21"/>
      <c r="AOS162" s="21"/>
      <c r="AOT162" s="7"/>
      <c r="AOU162" s="7"/>
      <c r="AOV162" s="21"/>
      <c r="AOW162" s="20"/>
      <c r="AOX162" s="20"/>
      <c r="AOY162" s="20"/>
      <c r="AOZ162" s="21"/>
      <c r="APA162" s="21"/>
      <c r="APB162" s="21"/>
      <c r="APC162" s="21"/>
      <c r="APD162" s="21"/>
      <c r="APE162" s="20"/>
      <c r="APF162" s="20"/>
      <c r="APG162" s="20"/>
      <c r="APH162" s="20"/>
      <c r="API162" s="21"/>
      <c r="APJ162" s="21"/>
      <c r="APK162" s="7"/>
      <c r="APL162" s="7"/>
      <c r="APM162" s="21"/>
      <c r="APN162" s="20"/>
      <c r="APO162" s="20"/>
      <c r="APP162" s="20"/>
      <c r="APQ162" s="21"/>
      <c r="APR162" s="21"/>
      <c r="APS162" s="21"/>
      <c r="APT162" s="21"/>
      <c r="APU162" s="21"/>
      <c r="APV162" s="20"/>
      <c r="APW162" s="20"/>
      <c r="APX162" s="20"/>
      <c r="APY162" s="20"/>
      <c r="APZ162" s="21"/>
      <c r="AQA162" s="21"/>
      <c r="AQB162" s="7"/>
      <c r="AQC162" s="7"/>
      <c r="AQD162" s="21"/>
      <c r="AQE162" s="20"/>
      <c r="AQF162" s="20"/>
      <c r="AQG162" s="20"/>
      <c r="AQH162" s="21"/>
      <c r="AQI162" s="21"/>
      <c r="AQJ162" s="21"/>
      <c r="AQK162" s="21"/>
      <c r="AQL162" s="21"/>
      <c r="AQM162" s="20"/>
      <c r="AQN162" s="20"/>
      <c r="AQO162" s="20"/>
      <c r="AQP162" s="20"/>
      <c r="AQQ162" s="21"/>
      <c r="AQR162" s="21"/>
      <c r="AQS162" s="7"/>
      <c r="AQT162" s="7"/>
      <c r="AQU162" s="21"/>
      <c r="AQV162" s="20"/>
      <c r="AQW162" s="20"/>
      <c r="AQX162" s="20"/>
      <c r="AQY162" s="21"/>
      <c r="AQZ162" s="21"/>
      <c r="ARA162" s="21"/>
      <c r="ARB162" s="21"/>
      <c r="ARC162" s="21"/>
      <c r="ARD162" s="20"/>
      <c r="ARE162" s="20"/>
      <c r="ARF162" s="20"/>
      <c r="ARG162" s="20"/>
      <c r="ARH162" s="21"/>
      <c r="ARI162" s="21"/>
      <c r="ARJ162" s="7"/>
      <c r="ARK162" s="7"/>
      <c r="ARL162" s="21"/>
      <c r="ARM162" s="20"/>
      <c r="ARN162" s="20"/>
      <c r="ARO162" s="20"/>
      <c r="ARP162" s="21"/>
      <c r="ARQ162" s="21"/>
      <c r="ARR162" s="21"/>
      <c r="ARS162" s="21"/>
      <c r="ART162" s="21"/>
      <c r="ARU162" s="20"/>
      <c r="ARV162" s="20"/>
      <c r="ARW162" s="20"/>
      <c r="ARX162" s="20"/>
      <c r="ARY162" s="21"/>
      <c r="ARZ162" s="21"/>
      <c r="ASA162" s="7"/>
      <c r="ASB162" s="7"/>
      <c r="ASC162" s="21"/>
      <c r="ASD162" s="20"/>
      <c r="ASE162" s="20"/>
      <c r="ASF162" s="20"/>
      <c r="ASG162" s="21"/>
      <c r="ASH162" s="21"/>
      <c r="ASI162" s="21"/>
      <c r="ASJ162" s="21"/>
      <c r="ASK162" s="21"/>
      <c r="ASL162" s="20"/>
      <c r="ASM162" s="20"/>
      <c r="ASN162" s="20"/>
      <c r="ASO162" s="20"/>
      <c r="ASP162" s="21"/>
      <c r="ASQ162" s="21"/>
      <c r="ASR162" s="7"/>
      <c r="ASS162" s="7"/>
      <c r="AST162" s="21"/>
      <c r="ASU162" s="20"/>
      <c r="ASV162" s="20"/>
      <c r="ASW162" s="20"/>
      <c r="ASX162" s="21"/>
      <c r="ASY162" s="21"/>
      <c r="ASZ162" s="21"/>
      <c r="ATA162" s="21"/>
      <c r="ATB162" s="21"/>
      <c r="ATC162" s="20"/>
      <c r="ATD162" s="20"/>
      <c r="ATE162" s="20"/>
      <c r="ATF162" s="20"/>
      <c r="ATG162" s="21"/>
      <c r="ATH162" s="21"/>
      <c r="ATI162" s="7"/>
      <c r="ATJ162" s="7"/>
      <c r="ATK162" s="21"/>
      <c r="ATL162" s="20"/>
      <c r="ATM162" s="20"/>
      <c r="ATN162" s="20"/>
      <c r="ATO162" s="21"/>
      <c r="ATP162" s="21"/>
      <c r="ATQ162" s="21"/>
      <c r="ATR162" s="21"/>
      <c r="ATS162" s="21"/>
      <c r="ATT162" s="20"/>
      <c r="ATU162" s="20"/>
      <c r="ATV162" s="20"/>
      <c r="ATW162" s="20"/>
      <c r="ATX162" s="21"/>
      <c r="ATY162" s="21"/>
      <c r="ATZ162" s="7"/>
      <c r="AUA162" s="7"/>
      <c r="AUB162" s="21"/>
      <c r="AUC162" s="20"/>
      <c r="AUD162" s="20"/>
      <c r="AUE162" s="20"/>
      <c r="AUF162" s="21"/>
      <c r="AUG162" s="21"/>
      <c r="AUH162" s="21"/>
      <c r="AUI162" s="21"/>
      <c r="AUJ162" s="21"/>
      <c r="AUK162" s="20"/>
      <c r="AUL162" s="20"/>
      <c r="AUM162" s="20"/>
      <c r="AUN162" s="20"/>
      <c r="AUO162" s="21"/>
      <c r="AUP162" s="21"/>
      <c r="AUQ162" s="7"/>
      <c r="AUR162" s="7"/>
      <c r="AUS162" s="21"/>
      <c r="AUT162" s="20"/>
      <c r="AUU162" s="20"/>
      <c r="AUV162" s="20"/>
      <c r="AUW162" s="21"/>
      <c r="AUX162" s="21"/>
      <c r="AUY162" s="21"/>
      <c r="AUZ162" s="21"/>
      <c r="AVA162" s="21"/>
      <c r="AVB162" s="20"/>
      <c r="AVC162" s="20"/>
      <c r="AVD162" s="20"/>
      <c r="AVE162" s="20"/>
      <c r="AVF162" s="21"/>
      <c r="AVG162" s="21"/>
      <c r="AVH162" s="7"/>
      <c r="AVI162" s="7"/>
      <c r="AVJ162" s="21"/>
      <c r="AVK162" s="20"/>
      <c r="AVL162" s="20"/>
      <c r="AVM162" s="20"/>
      <c r="AVN162" s="21"/>
      <c r="AVO162" s="21"/>
      <c r="AVP162" s="21"/>
      <c r="AVQ162" s="21"/>
      <c r="AVR162" s="21"/>
      <c r="AVS162" s="20"/>
      <c r="AVT162" s="20"/>
      <c r="AVU162" s="20"/>
      <c r="AVV162" s="20"/>
      <c r="AVW162" s="21"/>
      <c r="AVX162" s="21"/>
      <c r="AVY162" s="7"/>
      <c r="AVZ162" s="7"/>
      <c r="AWA162" s="21"/>
      <c r="AWB162" s="20"/>
      <c r="AWC162" s="20"/>
      <c r="AWD162" s="20"/>
      <c r="AWE162" s="21"/>
      <c r="AWF162" s="21"/>
      <c r="AWG162" s="21"/>
      <c r="AWH162" s="21"/>
      <c r="AWI162" s="21"/>
      <c r="AWJ162" s="20"/>
      <c r="AWK162" s="20"/>
      <c r="AWL162" s="20"/>
      <c r="AWM162" s="20"/>
      <c r="AWN162" s="21"/>
      <c r="AWO162" s="21"/>
      <c r="AWP162" s="7"/>
      <c r="AWQ162" s="7"/>
      <c r="AWR162" s="21"/>
      <c r="AWS162" s="20"/>
      <c r="AWT162" s="20"/>
      <c r="AWU162" s="20"/>
      <c r="AWV162" s="21"/>
      <c r="AWW162" s="21"/>
      <c r="AWX162" s="21"/>
      <c r="AWY162" s="21"/>
      <c r="AWZ162" s="21"/>
      <c r="AXA162" s="20"/>
      <c r="AXB162" s="20"/>
      <c r="AXC162" s="20"/>
      <c r="AXD162" s="20"/>
      <c r="AXE162" s="21"/>
      <c r="AXF162" s="21"/>
      <c r="AXG162" s="7"/>
      <c r="AXH162" s="7"/>
      <c r="AXI162" s="21"/>
      <c r="AXJ162" s="20"/>
      <c r="AXK162" s="20"/>
      <c r="AXL162" s="20"/>
      <c r="AXM162" s="21"/>
      <c r="AXN162" s="21"/>
      <c r="AXO162" s="21"/>
      <c r="AXP162" s="21"/>
      <c r="AXQ162" s="21"/>
      <c r="AXR162" s="20"/>
      <c r="AXS162" s="20"/>
      <c r="AXT162" s="20"/>
      <c r="AXU162" s="20"/>
      <c r="AXV162" s="21"/>
      <c r="AXW162" s="21"/>
      <c r="AXX162" s="7"/>
      <c r="AXY162" s="7"/>
      <c r="AXZ162" s="21"/>
      <c r="AYA162" s="20"/>
      <c r="AYB162" s="20"/>
      <c r="AYC162" s="20"/>
      <c r="AYD162" s="21"/>
      <c r="AYE162" s="21"/>
      <c r="AYF162" s="21"/>
      <c r="AYG162" s="21"/>
      <c r="AYH162" s="21"/>
      <c r="AYI162" s="20"/>
      <c r="AYJ162" s="20"/>
      <c r="AYK162" s="20"/>
      <c r="AYL162" s="20"/>
      <c r="AYM162" s="21"/>
      <c r="AYN162" s="21"/>
      <c r="AYO162" s="7"/>
      <c r="AYP162" s="7"/>
      <c r="AYQ162" s="21"/>
      <c r="AYR162" s="20"/>
      <c r="AYS162" s="20"/>
      <c r="AYT162" s="20"/>
      <c r="AYU162" s="21"/>
      <c r="AYV162" s="21"/>
      <c r="AYW162" s="21"/>
      <c r="AYX162" s="21"/>
      <c r="AYY162" s="21"/>
      <c r="AYZ162" s="20"/>
      <c r="AZA162" s="20"/>
      <c r="AZB162" s="20"/>
      <c r="AZC162" s="20"/>
      <c r="AZD162" s="21"/>
      <c r="AZE162" s="21"/>
      <c r="AZF162" s="7"/>
      <c r="AZG162" s="7"/>
      <c r="AZH162" s="21"/>
      <c r="AZI162" s="20"/>
      <c r="AZJ162" s="20"/>
      <c r="AZK162" s="20"/>
      <c r="AZL162" s="21"/>
      <c r="AZM162" s="21"/>
      <c r="AZN162" s="21"/>
      <c r="AZO162" s="21"/>
      <c r="AZP162" s="21"/>
      <c r="AZQ162" s="20"/>
      <c r="AZR162" s="20"/>
      <c r="AZS162" s="20"/>
      <c r="AZT162" s="20"/>
      <c r="AZU162" s="21"/>
      <c r="AZV162" s="21"/>
      <c r="AZW162" s="7"/>
      <c r="AZX162" s="7"/>
      <c r="AZY162" s="21"/>
      <c r="AZZ162" s="20"/>
      <c r="BAA162" s="20"/>
      <c r="BAB162" s="20"/>
      <c r="BAC162" s="21"/>
      <c r="BAD162" s="21"/>
      <c r="BAE162" s="21"/>
      <c r="BAF162" s="21"/>
      <c r="BAG162" s="21"/>
      <c r="BAH162" s="20"/>
      <c r="BAI162" s="20"/>
      <c r="BAJ162" s="20"/>
      <c r="BAK162" s="20"/>
      <c r="BAL162" s="21"/>
      <c r="BAM162" s="21"/>
      <c r="BAN162" s="7"/>
      <c r="BAO162" s="7"/>
      <c r="BAP162" s="21"/>
      <c r="BAQ162" s="20"/>
      <c r="BAR162" s="20"/>
      <c r="BAS162" s="20"/>
      <c r="BAT162" s="21"/>
      <c r="BAU162" s="21"/>
      <c r="BAV162" s="21"/>
      <c r="BAW162" s="21"/>
      <c r="BAX162" s="21"/>
      <c r="BAY162" s="20"/>
      <c r="BAZ162" s="20"/>
      <c r="BBA162" s="20"/>
      <c r="BBB162" s="20"/>
      <c r="BBC162" s="21"/>
      <c r="BBD162" s="21"/>
      <c r="BBE162" s="7"/>
      <c r="BBF162" s="7"/>
      <c r="BBG162" s="21"/>
      <c r="BBH162" s="20"/>
      <c r="BBI162" s="20"/>
      <c r="BBJ162" s="20"/>
      <c r="BBK162" s="21"/>
      <c r="BBL162" s="21"/>
      <c r="BBM162" s="21"/>
      <c r="BBN162" s="21"/>
      <c r="BBO162" s="21"/>
      <c r="BBP162" s="20"/>
      <c r="BBQ162" s="20"/>
      <c r="BBR162" s="20"/>
      <c r="BBS162" s="20"/>
      <c r="BBT162" s="21"/>
      <c r="BBU162" s="21"/>
      <c r="BBV162" s="7"/>
      <c r="BBW162" s="7"/>
      <c r="BBX162" s="21"/>
      <c r="BBY162" s="20"/>
      <c r="BBZ162" s="20"/>
      <c r="BCA162" s="20"/>
      <c r="BCB162" s="21"/>
      <c r="BCC162" s="21"/>
      <c r="BCD162" s="21"/>
      <c r="BCE162" s="21"/>
      <c r="BCF162" s="21"/>
      <c r="BCG162" s="20"/>
      <c r="BCH162" s="20"/>
      <c r="BCI162" s="20"/>
      <c r="BCJ162" s="20"/>
      <c r="BCK162" s="21"/>
      <c r="BCL162" s="21"/>
      <c r="BCM162" s="7"/>
      <c r="BCN162" s="7"/>
      <c r="BCO162" s="21"/>
      <c r="BCP162" s="20"/>
      <c r="BCQ162" s="20"/>
      <c r="BCR162" s="20"/>
      <c r="BCS162" s="21"/>
      <c r="BCT162" s="21"/>
      <c r="BCU162" s="21"/>
      <c r="BCV162" s="21"/>
      <c r="BCW162" s="21"/>
      <c r="BCX162" s="20"/>
      <c r="BCY162" s="20"/>
      <c r="BCZ162" s="20"/>
      <c r="BDA162" s="20"/>
      <c r="BDB162" s="21"/>
      <c r="BDC162" s="21"/>
      <c r="BDD162" s="7"/>
      <c r="BDE162" s="7"/>
      <c r="BDF162" s="21"/>
      <c r="BDG162" s="20"/>
      <c r="BDH162" s="20"/>
      <c r="BDI162" s="20"/>
      <c r="BDJ162" s="21"/>
      <c r="BDK162" s="21"/>
      <c r="BDL162" s="21"/>
      <c r="BDM162" s="21"/>
      <c r="BDN162" s="21"/>
      <c r="BDO162" s="20"/>
      <c r="BDP162" s="20"/>
      <c r="BDQ162" s="20"/>
      <c r="BDR162" s="20"/>
      <c r="BDS162" s="21"/>
      <c r="BDT162" s="21"/>
      <c r="BDU162" s="7"/>
      <c r="BDV162" s="7"/>
      <c r="BDW162" s="21"/>
      <c r="BDX162" s="20"/>
      <c r="BDY162" s="20"/>
      <c r="BDZ162" s="20"/>
      <c r="BEA162" s="21"/>
      <c r="BEB162" s="21"/>
      <c r="BEC162" s="21"/>
      <c r="BED162" s="21"/>
      <c r="BEE162" s="21"/>
      <c r="BEF162" s="20"/>
      <c r="BEG162" s="20"/>
      <c r="BEH162" s="20"/>
      <c r="BEI162" s="20"/>
      <c r="BEJ162" s="21"/>
      <c r="BEK162" s="21"/>
      <c r="BEL162" s="7"/>
      <c r="BEM162" s="7"/>
      <c r="BEN162" s="21"/>
      <c r="BEO162" s="20"/>
      <c r="BEP162" s="20"/>
      <c r="BEQ162" s="20"/>
      <c r="BER162" s="21"/>
      <c r="BES162" s="21"/>
      <c r="BET162" s="21"/>
      <c r="BEU162" s="21"/>
      <c r="BEV162" s="21"/>
      <c r="BEW162" s="20"/>
      <c r="BEX162" s="20"/>
      <c r="BEY162" s="20"/>
      <c r="BEZ162" s="20"/>
      <c r="BFA162" s="21"/>
      <c r="BFB162" s="21"/>
      <c r="BFC162" s="7"/>
      <c r="BFD162" s="7"/>
      <c r="BFE162" s="21"/>
      <c r="BFF162" s="20"/>
      <c r="BFG162" s="20"/>
      <c r="BFH162" s="20"/>
      <c r="BFI162" s="21"/>
      <c r="BFJ162" s="21"/>
      <c r="BFK162" s="21"/>
      <c r="BFL162" s="21"/>
      <c r="BFM162" s="21"/>
      <c r="BFN162" s="20"/>
      <c r="BFO162" s="20"/>
      <c r="BFP162" s="20"/>
      <c r="BFQ162" s="20"/>
      <c r="BFR162" s="21"/>
      <c r="BFS162" s="21"/>
      <c r="BFT162" s="7"/>
      <c r="BFU162" s="7"/>
      <c r="BFV162" s="21"/>
      <c r="BFW162" s="20"/>
      <c r="BFX162" s="20"/>
      <c r="BFY162" s="20"/>
      <c r="BFZ162" s="21"/>
      <c r="BGA162" s="21"/>
      <c r="BGB162" s="21"/>
      <c r="BGC162" s="21"/>
      <c r="BGD162" s="21"/>
      <c r="BGE162" s="20"/>
      <c r="BGF162" s="20"/>
      <c r="BGG162" s="20"/>
      <c r="BGH162" s="20"/>
      <c r="BGI162" s="21"/>
      <c r="BGJ162" s="21"/>
      <c r="BGK162" s="7"/>
      <c r="BGL162" s="7"/>
      <c r="BGM162" s="21"/>
      <c r="BGN162" s="20"/>
      <c r="BGO162" s="20"/>
      <c r="BGP162" s="20"/>
      <c r="BGQ162" s="21"/>
      <c r="BGR162" s="21"/>
      <c r="BGS162" s="21"/>
      <c r="BGT162" s="21"/>
      <c r="BGU162" s="21"/>
      <c r="BGV162" s="20"/>
      <c r="BGW162" s="20"/>
      <c r="BGX162" s="20"/>
      <c r="BGY162" s="20"/>
      <c r="BGZ162" s="21"/>
      <c r="BHA162" s="21"/>
      <c r="BHB162" s="7"/>
      <c r="BHC162" s="7"/>
      <c r="BHD162" s="21"/>
      <c r="BHE162" s="20"/>
      <c r="BHF162" s="20"/>
      <c r="BHG162" s="20"/>
      <c r="BHH162" s="21"/>
      <c r="BHI162" s="21"/>
      <c r="BHJ162" s="21"/>
      <c r="BHK162" s="21"/>
      <c r="BHL162" s="21"/>
      <c r="BHM162" s="20"/>
      <c r="BHN162" s="20"/>
      <c r="BHO162" s="20"/>
      <c r="BHP162" s="20"/>
      <c r="BHQ162" s="21"/>
      <c r="BHR162" s="21"/>
      <c r="BHS162" s="7"/>
      <c r="BHT162" s="7"/>
      <c r="BHU162" s="21"/>
      <c r="BHV162" s="20"/>
      <c r="BHW162" s="20"/>
      <c r="BHX162" s="20"/>
      <c r="BHY162" s="21"/>
      <c r="BHZ162" s="21"/>
      <c r="BIA162" s="21"/>
      <c r="BIB162" s="21"/>
      <c r="BIC162" s="21"/>
      <c r="BID162" s="20"/>
      <c r="BIE162" s="20"/>
      <c r="BIF162" s="20"/>
      <c r="BIG162" s="20"/>
      <c r="BIH162" s="21"/>
      <c r="BII162" s="21"/>
      <c r="BIJ162" s="7"/>
      <c r="BIK162" s="7"/>
      <c r="BIL162" s="21"/>
      <c r="BIM162" s="20"/>
      <c r="BIN162" s="20"/>
      <c r="BIO162" s="20"/>
      <c r="BIP162" s="21"/>
      <c r="BIQ162" s="21"/>
      <c r="BIR162" s="21"/>
      <c r="BIS162" s="21"/>
      <c r="BIT162" s="21"/>
      <c r="BIU162" s="20"/>
      <c r="BIV162" s="20"/>
      <c r="BIW162" s="20"/>
      <c r="BIX162" s="20"/>
      <c r="BIY162" s="21"/>
      <c r="BIZ162" s="21"/>
      <c r="BJA162" s="7"/>
      <c r="BJB162" s="7"/>
      <c r="BJC162" s="21"/>
      <c r="BJD162" s="20"/>
      <c r="BJE162" s="20"/>
      <c r="BJF162" s="20"/>
      <c r="BJG162" s="21"/>
      <c r="BJH162" s="21"/>
      <c r="BJI162" s="21"/>
      <c r="BJJ162" s="21"/>
      <c r="BJK162" s="21"/>
      <c r="BJL162" s="20"/>
      <c r="BJM162" s="20"/>
      <c r="BJN162" s="20"/>
      <c r="BJO162" s="20"/>
      <c r="BJP162" s="21"/>
      <c r="BJQ162" s="21"/>
      <c r="BJR162" s="7"/>
      <c r="BJS162" s="7"/>
      <c r="BJT162" s="21"/>
      <c r="BJU162" s="20"/>
      <c r="BJV162" s="20"/>
      <c r="BJW162" s="20"/>
      <c r="BJX162" s="21"/>
      <c r="BJY162" s="21"/>
      <c r="BJZ162" s="21"/>
      <c r="BKA162" s="21"/>
      <c r="BKB162" s="21"/>
      <c r="BKC162" s="20"/>
      <c r="BKD162" s="20"/>
      <c r="BKE162" s="20"/>
      <c r="BKF162" s="20"/>
      <c r="BKG162" s="21"/>
      <c r="BKH162" s="21"/>
      <c r="BKI162" s="7"/>
      <c r="BKJ162" s="7"/>
      <c r="BKK162" s="21"/>
      <c r="BKL162" s="20"/>
      <c r="BKM162" s="20"/>
      <c r="BKN162" s="20"/>
      <c r="BKO162" s="21"/>
      <c r="BKP162" s="21"/>
      <c r="BKQ162" s="21"/>
      <c r="BKR162" s="21"/>
      <c r="BKS162" s="21"/>
      <c r="BKT162" s="20"/>
      <c r="BKU162" s="20"/>
      <c r="BKV162" s="20"/>
      <c r="BKW162" s="20"/>
      <c r="BKX162" s="21"/>
      <c r="BKY162" s="21"/>
      <c r="BKZ162" s="7"/>
      <c r="BLA162" s="7"/>
      <c r="BLB162" s="21"/>
      <c r="BLC162" s="20"/>
      <c r="BLD162" s="20"/>
      <c r="BLE162" s="20"/>
      <c r="BLF162" s="21"/>
      <c r="BLG162" s="21"/>
      <c r="BLH162" s="21"/>
      <c r="BLI162" s="21"/>
      <c r="BLJ162" s="21"/>
      <c r="BLK162" s="20"/>
      <c r="BLL162" s="20"/>
      <c r="BLM162" s="20"/>
      <c r="BLN162" s="20"/>
      <c r="BLO162" s="21"/>
      <c r="BLP162" s="21"/>
      <c r="BLQ162" s="7"/>
      <c r="BLR162" s="7"/>
      <c r="BLS162" s="21"/>
      <c r="BLT162" s="20"/>
      <c r="BLU162" s="20"/>
      <c r="BLV162" s="20"/>
      <c r="BLW162" s="21"/>
      <c r="BLX162" s="21"/>
      <c r="BLY162" s="21"/>
      <c r="BLZ162" s="21"/>
      <c r="BMA162" s="21"/>
      <c r="BMB162" s="20"/>
      <c r="BMC162" s="20"/>
      <c r="BMD162" s="20"/>
      <c r="BME162" s="20"/>
      <c r="BMF162" s="21"/>
      <c r="BMG162" s="21"/>
      <c r="BMH162" s="7"/>
      <c r="BMI162" s="7"/>
      <c r="BMJ162" s="21"/>
      <c r="BMK162" s="20"/>
      <c r="BML162" s="20"/>
      <c r="BMM162" s="20"/>
      <c r="BMN162" s="21"/>
      <c r="BMO162" s="21"/>
      <c r="BMP162" s="21"/>
      <c r="BMQ162" s="21"/>
      <c r="BMR162" s="21"/>
      <c r="BMS162" s="20"/>
      <c r="BMT162" s="20"/>
      <c r="BMU162" s="20"/>
      <c r="BMV162" s="20"/>
      <c r="BMW162" s="21"/>
      <c r="BMX162" s="21"/>
      <c r="BMY162" s="7"/>
      <c r="BMZ162" s="7"/>
      <c r="BNA162" s="21"/>
      <c r="BNB162" s="20"/>
      <c r="BNC162" s="20"/>
      <c r="BND162" s="20"/>
      <c r="BNE162" s="21"/>
      <c r="BNF162" s="21"/>
      <c r="BNG162" s="21"/>
      <c r="BNH162" s="21"/>
      <c r="BNI162" s="21"/>
      <c r="BNJ162" s="20"/>
      <c r="BNK162" s="20"/>
      <c r="BNL162" s="20"/>
      <c r="BNM162" s="20"/>
      <c r="BNN162" s="21"/>
      <c r="BNO162" s="21"/>
      <c r="BNP162" s="7"/>
      <c r="BNQ162" s="7"/>
      <c r="BNR162" s="21"/>
      <c r="BNS162" s="20"/>
      <c r="BNT162" s="20"/>
      <c r="BNU162" s="20"/>
      <c r="BNV162" s="21"/>
      <c r="BNW162" s="21"/>
      <c r="BNX162" s="21"/>
      <c r="BNY162" s="21"/>
      <c r="BNZ162" s="21"/>
      <c r="BOA162" s="20"/>
      <c r="BOB162" s="20"/>
      <c r="BOC162" s="20"/>
      <c r="BOD162" s="20"/>
      <c r="BOE162" s="21"/>
      <c r="BOF162" s="21"/>
      <c r="BOG162" s="7"/>
      <c r="BOH162" s="7"/>
      <c r="BOI162" s="21"/>
      <c r="BOJ162" s="20"/>
      <c r="BOK162" s="20"/>
      <c r="BOL162" s="20"/>
      <c r="BOM162" s="21"/>
      <c r="BON162" s="21"/>
      <c r="BOO162" s="21"/>
      <c r="BOP162" s="21"/>
      <c r="BOQ162" s="21"/>
      <c r="BOR162" s="20"/>
      <c r="BOS162" s="20"/>
      <c r="BOT162" s="20"/>
      <c r="BOU162" s="20"/>
      <c r="BOV162" s="21"/>
      <c r="BOW162" s="21"/>
      <c r="BOX162" s="7"/>
      <c r="BOY162" s="7"/>
      <c r="BOZ162" s="21"/>
      <c r="BPA162" s="20"/>
      <c r="BPB162" s="20"/>
      <c r="BPC162" s="20"/>
      <c r="BPD162" s="21"/>
      <c r="BPE162" s="21"/>
      <c r="BPF162" s="21"/>
      <c r="BPG162" s="21"/>
      <c r="BPH162" s="21"/>
      <c r="BPI162" s="20"/>
      <c r="BPJ162" s="20"/>
      <c r="BPK162" s="20"/>
      <c r="BPL162" s="20"/>
      <c r="BPM162" s="21"/>
      <c r="BPN162" s="21"/>
      <c r="BPO162" s="7"/>
      <c r="BPP162" s="7"/>
      <c r="BPQ162" s="21"/>
      <c r="BPR162" s="20"/>
      <c r="BPS162" s="20"/>
      <c r="BPT162" s="20"/>
      <c r="BPU162" s="21"/>
      <c r="BPV162" s="21"/>
      <c r="BPW162" s="21"/>
      <c r="BPX162" s="21"/>
      <c r="BPY162" s="21"/>
      <c r="BPZ162" s="20"/>
      <c r="BQA162" s="20"/>
      <c r="BQB162" s="20"/>
      <c r="BQC162" s="20"/>
      <c r="BQD162" s="21"/>
      <c r="BQE162" s="21"/>
      <c r="BQF162" s="7"/>
      <c r="BQG162" s="7"/>
      <c r="BQH162" s="21"/>
      <c r="BQI162" s="20"/>
      <c r="BQJ162" s="20"/>
      <c r="BQK162" s="20"/>
      <c r="BQL162" s="21"/>
      <c r="BQM162" s="21"/>
      <c r="BQN162" s="21"/>
      <c r="BQO162" s="21"/>
      <c r="BQP162" s="21"/>
      <c r="BQQ162" s="20"/>
      <c r="BQR162" s="20"/>
      <c r="BQS162" s="20"/>
      <c r="BQT162" s="20"/>
      <c r="BQU162" s="21"/>
      <c r="BQV162" s="21"/>
      <c r="BQW162" s="7"/>
      <c r="BQX162" s="7"/>
      <c r="BQY162" s="21"/>
      <c r="BQZ162" s="20"/>
      <c r="BRA162" s="20"/>
      <c r="BRB162" s="20"/>
      <c r="BRC162" s="21"/>
      <c r="BRD162" s="21"/>
      <c r="BRE162" s="21"/>
      <c r="BRF162" s="21"/>
      <c r="BRG162" s="21"/>
      <c r="BRH162" s="20"/>
      <c r="BRI162" s="20"/>
      <c r="BRJ162" s="20"/>
      <c r="BRK162" s="20"/>
      <c r="BRL162" s="21"/>
      <c r="BRM162" s="21"/>
      <c r="BRN162" s="7"/>
      <c r="BRO162" s="7"/>
      <c r="BRP162" s="21"/>
      <c r="BRQ162" s="20"/>
      <c r="BRR162" s="20"/>
      <c r="BRS162" s="20"/>
      <c r="BRT162" s="21"/>
      <c r="BRU162" s="21"/>
      <c r="BRV162" s="21"/>
      <c r="BRW162" s="21"/>
      <c r="BRX162" s="21"/>
      <c r="BRY162" s="20"/>
      <c r="BRZ162" s="20"/>
      <c r="BSA162" s="20"/>
      <c r="BSB162" s="20"/>
      <c r="BSC162" s="21"/>
      <c r="BSD162" s="21"/>
      <c r="BSE162" s="7"/>
      <c r="BSF162" s="7"/>
      <c r="BSG162" s="21"/>
      <c r="BSH162" s="20"/>
      <c r="BSI162" s="20"/>
      <c r="BSJ162" s="20"/>
      <c r="BSK162" s="21"/>
      <c r="BSL162" s="21"/>
      <c r="BSM162" s="21"/>
      <c r="BSN162" s="21"/>
      <c r="BSO162" s="21"/>
      <c r="BSP162" s="20"/>
      <c r="BSQ162" s="20"/>
      <c r="BSR162" s="20"/>
      <c r="BSS162" s="20"/>
      <c r="BST162" s="21"/>
      <c r="BSU162" s="21"/>
      <c r="BSV162" s="7"/>
      <c r="BSW162" s="7"/>
      <c r="BSX162" s="21"/>
      <c r="BSY162" s="20"/>
      <c r="BSZ162" s="20"/>
      <c r="BTA162" s="20"/>
      <c r="BTB162" s="21"/>
      <c r="BTC162" s="21"/>
      <c r="BTD162" s="21"/>
      <c r="BTE162" s="21"/>
      <c r="BTF162" s="21"/>
      <c r="BTG162" s="20"/>
      <c r="BTH162" s="20"/>
      <c r="BTI162" s="20"/>
      <c r="BTJ162" s="20"/>
      <c r="BTK162" s="21"/>
      <c r="BTL162" s="21"/>
      <c r="BTM162" s="7"/>
      <c r="BTN162" s="7"/>
      <c r="BTO162" s="21"/>
      <c r="BTP162" s="20"/>
      <c r="BTQ162" s="20"/>
      <c r="BTR162" s="20"/>
      <c r="BTS162" s="21"/>
      <c r="BTT162" s="21"/>
      <c r="BTU162" s="21"/>
      <c r="BTV162" s="21"/>
      <c r="BTW162" s="21"/>
      <c r="BTX162" s="20"/>
      <c r="BTY162" s="20"/>
      <c r="BTZ162" s="20"/>
      <c r="BUA162" s="20"/>
      <c r="BUB162" s="21"/>
      <c r="BUC162" s="21"/>
      <c r="BUD162" s="7"/>
      <c r="BUE162" s="7"/>
      <c r="BUF162" s="21"/>
      <c r="BUG162" s="20"/>
      <c r="BUH162" s="20"/>
      <c r="BUI162" s="20"/>
      <c r="BUJ162" s="21"/>
      <c r="BUK162" s="21"/>
      <c r="BUL162" s="21"/>
      <c r="BUM162" s="21"/>
      <c r="BUN162" s="21"/>
      <c r="BUO162" s="20"/>
      <c r="BUP162" s="20"/>
      <c r="BUQ162" s="20"/>
      <c r="BUR162" s="20"/>
      <c r="BUS162" s="21"/>
      <c r="BUT162" s="21"/>
      <c r="BUU162" s="7"/>
      <c r="BUV162" s="7"/>
      <c r="BUW162" s="21"/>
      <c r="BUX162" s="20"/>
      <c r="BUY162" s="20"/>
      <c r="BUZ162" s="20"/>
      <c r="BVA162" s="21"/>
      <c r="BVB162" s="21"/>
      <c r="BVC162" s="21"/>
      <c r="BVD162" s="21"/>
      <c r="BVE162" s="21"/>
      <c r="BVF162" s="20"/>
      <c r="BVG162" s="20"/>
      <c r="BVH162" s="20"/>
      <c r="BVI162" s="20"/>
      <c r="BVJ162" s="21"/>
      <c r="BVK162" s="21"/>
      <c r="BVL162" s="7"/>
      <c r="BVM162" s="7"/>
      <c r="BVN162" s="21"/>
      <c r="BVO162" s="20"/>
      <c r="BVP162" s="20"/>
      <c r="BVQ162" s="20"/>
      <c r="BVR162" s="21"/>
      <c r="BVS162" s="21"/>
      <c r="BVT162" s="21"/>
      <c r="BVU162" s="21"/>
      <c r="BVV162" s="21"/>
      <c r="BVW162" s="20"/>
      <c r="BVX162" s="20"/>
      <c r="BVY162" s="20"/>
      <c r="BVZ162" s="20"/>
      <c r="BWA162" s="21"/>
      <c r="BWB162" s="21"/>
      <c r="BWC162" s="7"/>
      <c r="BWD162" s="7"/>
      <c r="BWE162" s="21"/>
      <c r="BWF162" s="20"/>
      <c r="BWG162" s="20"/>
      <c r="BWH162" s="20"/>
      <c r="BWI162" s="21"/>
      <c r="BWJ162" s="21"/>
      <c r="BWK162" s="21"/>
      <c r="BWL162" s="21"/>
      <c r="BWM162" s="21"/>
      <c r="BWN162" s="20"/>
      <c r="BWO162" s="20"/>
      <c r="BWP162" s="20"/>
      <c r="BWQ162" s="20"/>
      <c r="BWR162" s="21"/>
      <c r="BWS162" s="21"/>
      <c r="BWT162" s="7"/>
      <c r="BWU162" s="7"/>
      <c r="BWV162" s="21"/>
      <c r="BWW162" s="20"/>
      <c r="BWX162" s="20"/>
      <c r="BWY162" s="20"/>
      <c r="BWZ162" s="21"/>
      <c r="BXA162" s="21"/>
      <c r="BXB162" s="21"/>
      <c r="BXC162" s="21"/>
      <c r="BXD162" s="21"/>
      <c r="BXE162" s="20"/>
      <c r="BXF162" s="20"/>
      <c r="BXG162" s="20"/>
      <c r="BXH162" s="20"/>
      <c r="BXI162" s="21"/>
      <c r="BXJ162" s="21"/>
      <c r="BXK162" s="7"/>
      <c r="BXL162" s="7"/>
      <c r="BXM162" s="21"/>
      <c r="BXN162" s="20"/>
      <c r="BXO162" s="20"/>
      <c r="BXP162" s="20"/>
      <c r="BXQ162" s="21"/>
      <c r="BXR162" s="21"/>
      <c r="BXS162" s="21"/>
      <c r="BXT162" s="21"/>
      <c r="BXU162" s="21"/>
      <c r="BXV162" s="20"/>
      <c r="BXW162" s="20"/>
      <c r="BXX162" s="20"/>
      <c r="BXY162" s="20"/>
      <c r="BXZ162" s="21"/>
      <c r="BYA162" s="21"/>
      <c r="BYB162" s="7"/>
      <c r="BYC162" s="7"/>
      <c r="BYD162" s="21"/>
      <c r="BYE162" s="20"/>
      <c r="BYF162" s="20"/>
      <c r="BYG162" s="20"/>
      <c r="BYH162" s="21"/>
      <c r="BYI162" s="21"/>
      <c r="BYJ162" s="21"/>
      <c r="BYK162" s="21"/>
      <c r="BYL162" s="21"/>
      <c r="BYM162" s="20"/>
      <c r="BYN162" s="20"/>
      <c r="BYO162" s="20"/>
      <c r="BYP162" s="20"/>
      <c r="BYQ162" s="21"/>
      <c r="BYR162" s="21"/>
      <c r="BYS162" s="7"/>
      <c r="BYT162" s="7"/>
      <c r="BYU162" s="21"/>
      <c r="BYV162" s="20"/>
      <c r="BYW162" s="20"/>
      <c r="BYX162" s="20"/>
      <c r="BYY162" s="21"/>
      <c r="BYZ162" s="21"/>
      <c r="BZA162" s="21"/>
      <c r="BZB162" s="21"/>
      <c r="BZC162" s="21"/>
      <c r="BZD162" s="20"/>
      <c r="BZE162" s="20"/>
      <c r="BZF162" s="20"/>
      <c r="BZG162" s="20"/>
      <c r="BZH162" s="21"/>
      <c r="BZI162" s="21"/>
      <c r="BZJ162" s="7"/>
      <c r="BZK162" s="7"/>
      <c r="BZL162" s="21"/>
      <c r="BZM162" s="20"/>
      <c r="BZN162" s="20"/>
      <c r="BZO162" s="20"/>
      <c r="BZP162" s="21"/>
      <c r="BZQ162" s="21"/>
      <c r="BZR162" s="21"/>
      <c r="BZS162" s="21"/>
      <c r="BZT162" s="21"/>
      <c r="BZU162" s="20"/>
      <c r="BZV162" s="20"/>
      <c r="BZW162" s="20"/>
      <c r="BZX162" s="20"/>
      <c r="BZY162" s="21"/>
      <c r="BZZ162" s="21"/>
      <c r="CAA162" s="7"/>
      <c r="CAB162" s="7"/>
      <c r="CAC162" s="21"/>
      <c r="CAD162" s="20"/>
      <c r="CAE162" s="20"/>
      <c r="CAF162" s="20"/>
      <c r="CAG162" s="21"/>
      <c r="CAH162" s="21"/>
      <c r="CAI162" s="21"/>
      <c r="CAJ162" s="21"/>
      <c r="CAK162" s="21"/>
      <c r="CAL162" s="20"/>
      <c r="CAM162" s="20"/>
      <c r="CAN162" s="20"/>
      <c r="CAO162" s="20"/>
      <c r="CAP162" s="21"/>
      <c r="CAQ162" s="21"/>
      <c r="CAR162" s="7"/>
      <c r="CAS162" s="7"/>
      <c r="CAT162" s="21"/>
      <c r="CAU162" s="20"/>
      <c r="CAV162" s="20"/>
      <c r="CAW162" s="20"/>
      <c r="CAX162" s="21"/>
      <c r="CAY162" s="21"/>
      <c r="CAZ162" s="21"/>
      <c r="CBA162" s="21"/>
      <c r="CBB162" s="21"/>
      <c r="CBC162" s="20"/>
      <c r="CBD162" s="20"/>
      <c r="CBE162" s="20"/>
      <c r="CBF162" s="20"/>
      <c r="CBG162" s="21"/>
      <c r="CBH162" s="21"/>
      <c r="CBI162" s="7"/>
      <c r="CBJ162" s="7"/>
      <c r="CBK162" s="21"/>
      <c r="CBL162" s="20"/>
      <c r="CBM162" s="20"/>
      <c r="CBN162" s="20"/>
      <c r="CBO162" s="21"/>
      <c r="CBP162" s="21"/>
      <c r="CBQ162" s="21"/>
      <c r="CBR162" s="21"/>
      <c r="CBS162" s="21"/>
      <c r="CBT162" s="20"/>
      <c r="CBU162" s="20"/>
      <c r="CBV162" s="20"/>
      <c r="CBW162" s="20"/>
      <c r="CBX162" s="21"/>
      <c r="CBY162" s="21"/>
      <c r="CBZ162" s="7"/>
      <c r="CCA162" s="7"/>
      <c r="CCB162" s="21"/>
      <c r="CCC162" s="20"/>
      <c r="CCD162" s="20"/>
      <c r="CCE162" s="20"/>
      <c r="CCF162" s="21"/>
      <c r="CCG162" s="21"/>
      <c r="CCH162" s="21"/>
      <c r="CCI162" s="21"/>
      <c r="CCJ162" s="21"/>
      <c r="CCK162" s="20"/>
      <c r="CCL162" s="20"/>
      <c r="CCM162" s="20"/>
      <c r="CCN162" s="20"/>
      <c r="CCO162" s="21"/>
      <c r="CCP162" s="21"/>
      <c r="CCQ162" s="7"/>
      <c r="CCR162" s="7"/>
      <c r="CCS162" s="21"/>
      <c r="CCT162" s="20"/>
      <c r="CCU162" s="20"/>
      <c r="CCV162" s="20"/>
      <c r="CCW162" s="21"/>
      <c r="CCX162" s="21"/>
      <c r="CCY162" s="21"/>
      <c r="CCZ162" s="21"/>
      <c r="CDA162" s="21"/>
      <c r="CDB162" s="20"/>
      <c r="CDC162" s="20"/>
      <c r="CDD162" s="20"/>
      <c r="CDE162" s="20"/>
      <c r="CDF162" s="21"/>
      <c r="CDG162" s="21"/>
      <c r="CDH162" s="7"/>
      <c r="CDI162" s="7"/>
      <c r="CDJ162" s="21"/>
      <c r="CDK162" s="20"/>
      <c r="CDL162" s="20"/>
      <c r="CDM162" s="20"/>
      <c r="CDN162" s="21"/>
      <c r="CDO162" s="21"/>
      <c r="CDP162" s="21"/>
      <c r="CDQ162" s="21"/>
      <c r="CDR162" s="21"/>
      <c r="CDS162" s="20"/>
      <c r="CDT162" s="20"/>
      <c r="CDU162" s="20"/>
      <c r="CDV162" s="20"/>
      <c r="CDW162" s="21"/>
      <c r="CDX162" s="21"/>
      <c r="CDY162" s="7"/>
      <c r="CDZ162" s="7"/>
      <c r="CEA162" s="21"/>
      <c r="CEB162" s="20"/>
      <c r="CEC162" s="20"/>
      <c r="CED162" s="20"/>
      <c r="CEE162" s="21"/>
      <c r="CEF162" s="21"/>
      <c r="CEG162" s="21"/>
      <c r="CEH162" s="21"/>
      <c r="CEI162" s="21"/>
      <c r="CEJ162" s="20"/>
      <c r="CEK162" s="20"/>
      <c r="CEL162" s="20"/>
      <c r="CEM162" s="20"/>
      <c r="CEN162" s="21"/>
      <c r="CEO162" s="21"/>
      <c r="CEP162" s="7"/>
      <c r="CEQ162" s="7"/>
      <c r="CER162" s="21"/>
      <c r="CES162" s="20"/>
      <c r="CET162" s="20"/>
      <c r="CEU162" s="20"/>
      <c r="CEV162" s="21"/>
      <c r="CEW162" s="21"/>
      <c r="CEX162" s="21"/>
      <c r="CEY162" s="21"/>
      <c r="CEZ162" s="21"/>
      <c r="CFA162" s="20"/>
      <c r="CFB162" s="20"/>
      <c r="CFC162" s="20"/>
      <c r="CFD162" s="20"/>
      <c r="CFE162" s="21"/>
      <c r="CFF162" s="21"/>
      <c r="CFG162" s="7"/>
      <c r="CFH162" s="7"/>
      <c r="CFI162" s="21"/>
      <c r="CFJ162" s="20"/>
      <c r="CFK162" s="20"/>
      <c r="CFL162" s="20"/>
      <c r="CFM162" s="21"/>
      <c r="CFN162" s="21"/>
      <c r="CFO162" s="21"/>
      <c r="CFP162" s="21"/>
      <c r="CFQ162" s="21"/>
      <c r="CFR162" s="20"/>
      <c r="CFS162" s="20"/>
      <c r="CFT162" s="20"/>
      <c r="CFU162" s="20"/>
      <c r="CFV162" s="21"/>
      <c r="CFW162" s="21"/>
      <c r="CFX162" s="7"/>
      <c r="CFY162" s="7"/>
      <c r="CFZ162" s="21"/>
      <c r="CGA162" s="20"/>
      <c r="CGB162" s="20"/>
      <c r="CGC162" s="20"/>
      <c r="CGD162" s="21"/>
      <c r="CGE162" s="21"/>
      <c r="CGF162" s="21"/>
      <c r="CGG162" s="21"/>
      <c r="CGH162" s="21"/>
      <c r="CGI162" s="20"/>
      <c r="CGJ162" s="20"/>
      <c r="CGK162" s="20"/>
      <c r="CGL162" s="20"/>
      <c r="CGM162" s="21"/>
      <c r="CGN162" s="21"/>
      <c r="CGO162" s="7"/>
      <c r="CGP162" s="7"/>
      <c r="CGQ162" s="21"/>
      <c r="CGR162" s="20"/>
      <c r="CGS162" s="20"/>
      <c r="CGT162" s="20"/>
      <c r="CGU162" s="21"/>
      <c r="CGV162" s="21"/>
      <c r="CGW162" s="21"/>
      <c r="CGX162" s="21"/>
      <c r="CGY162" s="21"/>
      <c r="CGZ162" s="20"/>
      <c r="CHA162" s="20"/>
      <c r="CHB162" s="20"/>
      <c r="CHC162" s="20"/>
      <c r="CHD162" s="21"/>
      <c r="CHE162" s="21"/>
      <c r="CHF162" s="7"/>
      <c r="CHG162" s="7"/>
      <c r="CHH162" s="21"/>
      <c r="CHI162" s="20"/>
      <c r="CHJ162" s="20"/>
      <c r="CHK162" s="20"/>
      <c r="CHL162" s="21"/>
      <c r="CHM162" s="21"/>
      <c r="CHN162" s="21"/>
      <c r="CHO162" s="21"/>
      <c r="CHP162" s="21"/>
      <c r="CHQ162" s="20"/>
      <c r="CHR162" s="20"/>
      <c r="CHS162" s="20"/>
      <c r="CHT162" s="20"/>
      <c r="CHU162" s="21"/>
      <c r="CHV162" s="21"/>
      <c r="CHW162" s="7"/>
      <c r="CHX162" s="7"/>
      <c r="CHY162" s="21"/>
      <c r="CHZ162" s="20"/>
      <c r="CIA162" s="20"/>
      <c r="CIB162" s="20"/>
      <c r="CIC162" s="21"/>
      <c r="CID162" s="21"/>
      <c r="CIE162" s="21"/>
      <c r="CIF162" s="21"/>
      <c r="CIG162" s="21"/>
      <c r="CIH162" s="20"/>
      <c r="CII162" s="20"/>
      <c r="CIJ162" s="20"/>
      <c r="CIK162" s="20"/>
      <c r="CIL162" s="21"/>
      <c r="CIM162" s="21"/>
      <c r="CIN162" s="7"/>
      <c r="CIO162" s="7"/>
      <c r="CIP162" s="21"/>
      <c r="CIQ162" s="20"/>
      <c r="CIR162" s="20"/>
      <c r="CIS162" s="20"/>
      <c r="CIT162" s="21"/>
      <c r="CIU162" s="21"/>
      <c r="CIV162" s="21"/>
      <c r="CIW162" s="21"/>
      <c r="CIX162" s="21"/>
      <c r="CIY162" s="20"/>
      <c r="CIZ162" s="20"/>
      <c r="CJA162" s="20"/>
      <c r="CJB162" s="20"/>
      <c r="CJC162" s="21"/>
      <c r="CJD162" s="21"/>
      <c r="CJE162" s="7"/>
      <c r="CJF162" s="7"/>
      <c r="CJG162" s="21"/>
      <c r="CJH162" s="20"/>
      <c r="CJI162" s="20"/>
      <c r="CJJ162" s="20"/>
      <c r="CJK162" s="21"/>
      <c r="CJL162" s="21"/>
      <c r="CJM162" s="21"/>
      <c r="CJN162" s="21"/>
      <c r="CJO162" s="21"/>
      <c r="CJP162" s="20"/>
      <c r="CJQ162" s="20"/>
      <c r="CJR162" s="20"/>
      <c r="CJS162" s="20"/>
      <c r="CJT162" s="21"/>
      <c r="CJU162" s="21"/>
      <c r="CJV162" s="7"/>
      <c r="CJW162" s="7"/>
      <c r="CJX162" s="21"/>
      <c r="CJY162" s="20"/>
      <c r="CJZ162" s="20"/>
      <c r="CKA162" s="20"/>
      <c r="CKB162" s="21"/>
      <c r="CKC162" s="21"/>
      <c r="CKD162" s="21"/>
      <c r="CKE162" s="21"/>
      <c r="CKF162" s="21"/>
      <c r="CKG162" s="20"/>
      <c r="CKH162" s="20"/>
      <c r="CKI162" s="20"/>
      <c r="CKJ162" s="20"/>
      <c r="CKK162" s="21"/>
      <c r="CKL162" s="21"/>
      <c r="CKM162" s="7"/>
      <c r="CKN162" s="7"/>
      <c r="CKO162" s="21"/>
      <c r="CKP162" s="20"/>
      <c r="CKQ162" s="20"/>
      <c r="CKR162" s="20"/>
      <c r="CKS162" s="21"/>
      <c r="CKT162" s="21"/>
      <c r="CKU162" s="21"/>
      <c r="CKV162" s="21"/>
      <c r="CKW162" s="21"/>
      <c r="CKX162" s="20"/>
      <c r="CKY162" s="20"/>
      <c r="CKZ162" s="20"/>
      <c r="CLA162" s="20"/>
      <c r="CLB162" s="21"/>
      <c r="CLC162" s="21"/>
      <c r="CLD162" s="7"/>
      <c r="CLE162" s="7"/>
      <c r="CLF162" s="21"/>
      <c r="CLG162" s="20"/>
      <c r="CLH162" s="20"/>
      <c r="CLI162" s="20"/>
      <c r="CLJ162" s="21"/>
      <c r="CLK162" s="21"/>
      <c r="CLL162" s="21"/>
      <c r="CLM162" s="21"/>
      <c r="CLN162" s="21"/>
      <c r="CLO162" s="20"/>
      <c r="CLP162" s="20"/>
      <c r="CLQ162" s="20"/>
      <c r="CLR162" s="20"/>
      <c r="CLS162" s="21"/>
      <c r="CLT162" s="21"/>
      <c r="CLU162" s="7"/>
      <c r="CLV162" s="7"/>
      <c r="CLW162" s="21"/>
      <c r="CLX162" s="20"/>
      <c r="CLY162" s="20"/>
      <c r="CLZ162" s="20"/>
      <c r="CMA162" s="21"/>
      <c r="CMB162" s="21"/>
      <c r="CMC162" s="21"/>
      <c r="CMD162" s="21"/>
      <c r="CME162" s="21"/>
      <c r="CMF162" s="20"/>
      <c r="CMG162" s="20"/>
      <c r="CMH162" s="20"/>
      <c r="CMI162" s="20"/>
      <c r="CMJ162" s="21"/>
      <c r="CMK162" s="21"/>
      <c r="CML162" s="7"/>
      <c r="CMM162" s="7"/>
      <c r="CMN162" s="21"/>
      <c r="CMO162" s="20"/>
      <c r="CMP162" s="20"/>
      <c r="CMQ162" s="20"/>
      <c r="CMR162" s="21"/>
      <c r="CMS162" s="21"/>
      <c r="CMT162" s="21"/>
      <c r="CMU162" s="21"/>
      <c r="CMV162" s="21"/>
      <c r="CMW162" s="20"/>
      <c r="CMX162" s="20"/>
      <c r="CMY162" s="20"/>
      <c r="CMZ162" s="20"/>
      <c r="CNA162" s="21"/>
      <c r="CNB162" s="21"/>
      <c r="CNC162" s="7"/>
      <c r="CND162" s="7"/>
      <c r="CNE162" s="21"/>
      <c r="CNF162" s="20"/>
      <c r="CNG162" s="20"/>
      <c r="CNH162" s="20"/>
      <c r="CNI162" s="21"/>
      <c r="CNJ162" s="21"/>
      <c r="CNK162" s="21"/>
      <c r="CNL162" s="21"/>
      <c r="CNM162" s="21"/>
      <c r="CNN162" s="20"/>
      <c r="CNO162" s="20"/>
      <c r="CNP162" s="20"/>
      <c r="CNQ162" s="20"/>
      <c r="CNR162" s="21"/>
      <c r="CNS162" s="21"/>
      <c r="CNT162" s="7"/>
      <c r="CNU162" s="7"/>
      <c r="CNV162" s="21"/>
      <c r="CNW162" s="20"/>
      <c r="CNX162" s="20"/>
      <c r="CNY162" s="20"/>
      <c r="CNZ162" s="21"/>
      <c r="COA162" s="21"/>
      <c r="COB162" s="21"/>
      <c r="COC162" s="21"/>
      <c r="COD162" s="21"/>
      <c r="COE162" s="20"/>
      <c r="COF162" s="20"/>
      <c r="COG162" s="20"/>
      <c r="COH162" s="20"/>
      <c r="COI162" s="21"/>
      <c r="COJ162" s="21"/>
      <c r="COK162" s="7"/>
      <c r="COL162" s="7"/>
      <c r="COM162" s="21"/>
      <c r="CON162" s="20"/>
      <c r="COO162" s="20"/>
      <c r="COP162" s="20"/>
      <c r="COQ162" s="21"/>
      <c r="COR162" s="21"/>
      <c r="COS162" s="21"/>
      <c r="COT162" s="21"/>
      <c r="COU162" s="21"/>
      <c r="COV162" s="20"/>
      <c r="COW162" s="20"/>
      <c r="COX162" s="20"/>
      <c r="COY162" s="20"/>
      <c r="COZ162" s="21"/>
      <c r="CPA162" s="21"/>
      <c r="CPB162" s="7"/>
      <c r="CPC162" s="7"/>
      <c r="CPD162" s="21"/>
      <c r="CPE162" s="20"/>
      <c r="CPF162" s="20"/>
      <c r="CPG162" s="20"/>
      <c r="CPH162" s="21"/>
      <c r="CPI162" s="21"/>
      <c r="CPJ162" s="21"/>
      <c r="CPK162" s="21"/>
      <c r="CPL162" s="21"/>
      <c r="CPM162" s="20"/>
      <c r="CPN162" s="20"/>
      <c r="CPO162" s="20"/>
      <c r="CPP162" s="20"/>
      <c r="CPQ162" s="21"/>
      <c r="CPR162" s="21"/>
      <c r="CPS162" s="7"/>
      <c r="CPT162" s="7"/>
      <c r="CPU162" s="21"/>
      <c r="CPV162" s="20"/>
      <c r="CPW162" s="20"/>
      <c r="CPX162" s="20"/>
      <c r="CPY162" s="21"/>
      <c r="CPZ162" s="21"/>
      <c r="CQA162" s="21"/>
      <c r="CQB162" s="21"/>
      <c r="CQC162" s="21"/>
      <c r="CQD162" s="20"/>
      <c r="CQE162" s="20"/>
      <c r="CQF162" s="20"/>
      <c r="CQG162" s="20"/>
      <c r="CQH162" s="21"/>
      <c r="CQI162" s="21"/>
      <c r="CQJ162" s="7"/>
      <c r="CQK162" s="7"/>
      <c r="CQL162" s="21"/>
      <c r="CQM162" s="20"/>
      <c r="CQN162" s="20"/>
      <c r="CQO162" s="20"/>
      <c r="CQP162" s="21"/>
      <c r="CQQ162" s="21"/>
      <c r="CQR162" s="21"/>
      <c r="CQS162" s="21"/>
      <c r="CQT162" s="21"/>
      <c r="CQU162" s="20"/>
      <c r="CQV162" s="20"/>
      <c r="CQW162" s="20"/>
      <c r="CQX162" s="20"/>
      <c r="CQY162" s="21"/>
      <c r="CQZ162" s="21"/>
      <c r="CRA162" s="7"/>
      <c r="CRB162" s="7"/>
      <c r="CRC162" s="21"/>
      <c r="CRD162" s="20"/>
      <c r="CRE162" s="20"/>
      <c r="CRF162" s="20"/>
      <c r="CRG162" s="21"/>
      <c r="CRH162" s="21"/>
      <c r="CRI162" s="21"/>
      <c r="CRJ162" s="21"/>
      <c r="CRK162" s="21"/>
      <c r="CRL162" s="20"/>
      <c r="CRM162" s="20"/>
      <c r="CRN162" s="20"/>
      <c r="CRO162" s="20"/>
      <c r="CRP162" s="21"/>
      <c r="CRQ162" s="21"/>
      <c r="CRR162" s="7"/>
      <c r="CRS162" s="7"/>
      <c r="CRT162" s="21"/>
      <c r="CRU162" s="20"/>
      <c r="CRV162" s="20"/>
      <c r="CRW162" s="20"/>
      <c r="CRX162" s="21"/>
      <c r="CRY162" s="21"/>
      <c r="CRZ162" s="21"/>
      <c r="CSA162" s="21"/>
      <c r="CSB162" s="21"/>
      <c r="CSC162" s="20"/>
      <c r="CSD162" s="20"/>
      <c r="CSE162" s="20"/>
      <c r="CSF162" s="20"/>
      <c r="CSG162" s="21"/>
      <c r="CSH162" s="21"/>
      <c r="CSI162" s="7"/>
      <c r="CSJ162" s="7"/>
      <c r="CSK162" s="21"/>
      <c r="CSL162" s="20"/>
      <c r="CSM162" s="20"/>
      <c r="CSN162" s="20"/>
      <c r="CSO162" s="21"/>
      <c r="CSP162" s="21"/>
      <c r="CSQ162" s="21"/>
      <c r="CSR162" s="21"/>
      <c r="CSS162" s="21"/>
      <c r="CST162" s="20"/>
      <c r="CSU162" s="20"/>
      <c r="CSV162" s="20"/>
      <c r="CSW162" s="20"/>
      <c r="CSX162" s="21"/>
      <c r="CSY162" s="21"/>
      <c r="CSZ162" s="7"/>
      <c r="CTA162" s="7"/>
      <c r="CTB162" s="21"/>
      <c r="CTC162" s="20"/>
      <c r="CTD162" s="20"/>
      <c r="CTE162" s="20"/>
      <c r="CTF162" s="21"/>
      <c r="CTG162" s="21"/>
      <c r="CTH162" s="21"/>
      <c r="CTI162" s="21"/>
      <c r="CTJ162" s="21"/>
      <c r="CTK162" s="20"/>
      <c r="CTL162" s="20"/>
      <c r="CTM162" s="20"/>
      <c r="CTN162" s="20"/>
      <c r="CTO162" s="21"/>
      <c r="CTP162" s="21"/>
      <c r="CTQ162" s="7"/>
      <c r="CTR162" s="7"/>
      <c r="CTS162" s="21"/>
      <c r="CTT162" s="20"/>
      <c r="CTU162" s="20"/>
      <c r="CTV162" s="20"/>
      <c r="CTW162" s="21"/>
      <c r="CTX162" s="21"/>
      <c r="CTY162" s="21"/>
      <c r="CTZ162" s="21"/>
      <c r="CUA162" s="21"/>
      <c r="CUB162" s="20"/>
      <c r="CUC162" s="20"/>
      <c r="CUD162" s="20"/>
      <c r="CUE162" s="20"/>
      <c r="CUF162" s="21"/>
      <c r="CUG162" s="21"/>
      <c r="CUH162" s="7"/>
      <c r="CUI162" s="7"/>
      <c r="CUJ162" s="21"/>
      <c r="CUK162" s="20"/>
      <c r="CUL162" s="20"/>
      <c r="CUM162" s="20"/>
      <c r="CUN162" s="21"/>
      <c r="CUO162" s="21"/>
      <c r="CUP162" s="21"/>
      <c r="CUQ162" s="21"/>
      <c r="CUR162" s="21"/>
      <c r="CUS162" s="20"/>
      <c r="CUT162" s="20"/>
      <c r="CUU162" s="20"/>
      <c r="CUV162" s="20"/>
      <c r="CUW162" s="21"/>
      <c r="CUX162" s="21"/>
      <c r="CUY162" s="7"/>
      <c r="CUZ162" s="7"/>
      <c r="CVA162" s="21"/>
      <c r="CVB162" s="20"/>
      <c r="CVC162" s="20"/>
      <c r="CVD162" s="20"/>
      <c r="CVE162" s="21"/>
      <c r="CVF162" s="21"/>
      <c r="CVG162" s="21"/>
      <c r="CVH162" s="21"/>
      <c r="CVI162" s="21"/>
      <c r="CVJ162" s="20"/>
      <c r="CVK162" s="20"/>
      <c r="CVL162" s="20"/>
      <c r="CVM162" s="20"/>
      <c r="CVN162" s="21"/>
      <c r="CVO162" s="21"/>
      <c r="CVP162" s="7"/>
      <c r="CVQ162" s="7"/>
      <c r="CVR162" s="21"/>
      <c r="CVS162" s="20"/>
      <c r="CVT162" s="20"/>
      <c r="CVU162" s="20"/>
      <c r="CVV162" s="21"/>
      <c r="CVW162" s="21"/>
      <c r="CVX162" s="21"/>
      <c r="CVY162" s="21"/>
      <c r="CVZ162" s="21"/>
      <c r="CWA162" s="20"/>
      <c r="CWB162" s="20"/>
      <c r="CWC162" s="20"/>
      <c r="CWD162" s="20"/>
      <c r="CWE162" s="21"/>
      <c r="CWF162" s="21"/>
      <c r="CWG162" s="7"/>
      <c r="CWH162" s="7"/>
      <c r="CWI162" s="21"/>
      <c r="CWJ162" s="20"/>
      <c r="CWK162" s="20"/>
      <c r="CWL162" s="20"/>
      <c r="CWM162" s="21"/>
      <c r="CWN162" s="21"/>
      <c r="CWO162" s="21"/>
      <c r="CWP162" s="21"/>
      <c r="CWQ162" s="21"/>
      <c r="CWR162" s="20"/>
      <c r="CWS162" s="20"/>
      <c r="CWT162" s="20"/>
      <c r="CWU162" s="20"/>
      <c r="CWV162" s="21"/>
      <c r="CWW162" s="21"/>
      <c r="CWX162" s="7"/>
      <c r="CWY162" s="7"/>
      <c r="CWZ162" s="21"/>
      <c r="CXA162" s="20"/>
      <c r="CXB162" s="20"/>
      <c r="CXC162" s="20"/>
      <c r="CXD162" s="21"/>
      <c r="CXE162" s="21"/>
      <c r="CXF162" s="21"/>
      <c r="CXG162" s="21"/>
      <c r="CXH162" s="21"/>
      <c r="CXI162" s="20"/>
      <c r="CXJ162" s="20"/>
      <c r="CXK162" s="20"/>
      <c r="CXL162" s="20"/>
      <c r="CXM162" s="21"/>
      <c r="CXN162" s="21"/>
      <c r="CXO162" s="7"/>
      <c r="CXP162" s="7"/>
      <c r="CXQ162" s="21"/>
      <c r="CXR162" s="20"/>
      <c r="CXS162" s="20"/>
      <c r="CXT162" s="20"/>
      <c r="CXU162" s="21"/>
      <c r="CXV162" s="21"/>
      <c r="CXW162" s="21"/>
      <c r="CXX162" s="21"/>
      <c r="CXY162" s="21"/>
      <c r="CXZ162" s="20"/>
      <c r="CYA162" s="20"/>
      <c r="CYB162" s="20"/>
      <c r="CYC162" s="20"/>
      <c r="CYD162" s="21"/>
      <c r="CYE162" s="21"/>
      <c r="CYF162" s="7"/>
      <c r="CYG162" s="7"/>
      <c r="CYH162" s="21"/>
      <c r="CYI162" s="20"/>
      <c r="CYJ162" s="20"/>
      <c r="CYK162" s="20"/>
      <c r="CYL162" s="21"/>
      <c r="CYM162" s="21"/>
      <c r="CYN162" s="21"/>
      <c r="CYO162" s="21"/>
      <c r="CYP162" s="21"/>
      <c r="CYQ162" s="20"/>
      <c r="CYR162" s="20"/>
      <c r="CYS162" s="20"/>
      <c r="CYT162" s="20"/>
      <c r="CYU162" s="21"/>
      <c r="CYV162" s="21"/>
      <c r="CYW162" s="7"/>
      <c r="CYX162" s="7"/>
      <c r="CYY162" s="21"/>
      <c r="CYZ162" s="20"/>
      <c r="CZA162" s="20"/>
      <c r="CZB162" s="20"/>
      <c r="CZC162" s="21"/>
      <c r="CZD162" s="21"/>
      <c r="CZE162" s="21"/>
      <c r="CZF162" s="21"/>
      <c r="CZG162" s="21"/>
      <c r="CZH162" s="20"/>
      <c r="CZI162" s="20"/>
      <c r="CZJ162" s="20"/>
      <c r="CZK162" s="20"/>
      <c r="CZL162" s="21"/>
      <c r="CZM162" s="21"/>
      <c r="CZN162" s="7"/>
      <c r="CZO162" s="7"/>
      <c r="CZP162" s="21"/>
      <c r="CZQ162" s="20"/>
      <c r="CZR162" s="20"/>
      <c r="CZS162" s="20"/>
      <c r="CZT162" s="21"/>
      <c r="CZU162" s="21"/>
      <c r="CZV162" s="21"/>
      <c r="CZW162" s="21"/>
      <c r="CZX162" s="21"/>
      <c r="CZY162" s="20"/>
      <c r="CZZ162" s="20"/>
      <c r="DAA162" s="20"/>
      <c r="DAB162" s="20"/>
      <c r="DAC162" s="21"/>
      <c r="DAD162" s="21"/>
      <c r="DAE162" s="7"/>
      <c r="DAF162" s="7"/>
      <c r="DAG162" s="21"/>
      <c r="DAH162" s="20"/>
      <c r="DAI162" s="20"/>
      <c r="DAJ162" s="20"/>
      <c r="DAK162" s="21"/>
      <c r="DAL162" s="21"/>
      <c r="DAM162" s="21"/>
      <c r="DAN162" s="21"/>
      <c r="DAO162" s="21"/>
      <c r="DAP162" s="20"/>
      <c r="DAQ162" s="20"/>
      <c r="DAR162" s="20"/>
      <c r="DAS162" s="20"/>
      <c r="DAT162" s="21"/>
      <c r="DAU162" s="21"/>
      <c r="DAV162" s="7"/>
      <c r="DAW162" s="7"/>
      <c r="DAX162" s="21"/>
      <c r="DAY162" s="20"/>
      <c r="DAZ162" s="20"/>
      <c r="DBA162" s="20"/>
      <c r="DBB162" s="21"/>
      <c r="DBC162" s="21"/>
      <c r="DBD162" s="21"/>
      <c r="DBE162" s="21"/>
      <c r="DBF162" s="21"/>
      <c r="DBG162" s="20"/>
      <c r="DBH162" s="20"/>
      <c r="DBI162" s="20"/>
      <c r="DBJ162" s="20"/>
      <c r="DBK162" s="21"/>
      <c r="DBL162" s="21"/>
      <c r="DBM162" s="7"/>
      <c r="DBN162" s="7"/>
      <c r="DBO162" s="21"/>
      <c r="DBP162" s="20"/>
      <c r="DBQ162" s="20"/>
      <c r="DBR162" s="20"/>
      <c r="DBS162" s="21"/>
      <c r="DBT162" s="21"/>
      <c r="DBU162" s="21"/>
      <c r="DBV162" s="21"/>
      <c r="DBW162" s="21"/>
      <c r="DBX162" s="20"/>
      <c r="DBY162" s="20"/>
      <c r="DBZ162" s="20"/>
      <c r="DCA162" s="20"/>
      <c r="DCB162" s="21"/>
      <c r="DCC162" s="21"/>
      <c r="DCD162" s="7"/>
      <c r="DCE162" s="7"/>
      <c r="DCF162" s="21"/>
      <c r="DCG162" s="20"/>
      <c r="DCH162" s="20"/>
      <c r="DCI162" s="20"/>
      <c r="DCJ162" s="21"/>
      <c r="DCK162" s="21"/>
      <c r="DCL162" s="21"/>
      <c r="DCM162" s="21"/>
      <c r="DCN162" s="21"/>
      <c r="DCO162" s="20"/>
      <c r="DCP162" s="20"/>
      <c r="DCQ162" s="20"/>
      <c r="DCR162" s="20"/>
      <c r="DCS162" s="21"/>
      <c r="DCT162" s="21"/>
      <c r="DCU162" s="7"/>
      <c r="DCV162" s="7"/>
      <c r="DCW162" s="21"/>
      <c r="DCX162" s="20"/>
      <c r="DCY162" s="20"/>
      <c r="DCZ162" s="20"/>
      <c r="DDA162" s="21"/>
      <c r="DDB162" s="21"/>
      <c r="DDC162" s="21"/>
      <c r="DDD162" s="21"/>
      <c r="DDE162" s="21"/>
      <c r="DDF162" s="20"/>
      <c r="DDG162" s="20"/>
      <c r="DDH162" s="20"/>
      <c r="DDI162" s="20"/>
      <c r="DDJ162" s="21"/>
      <c r="DDK162" s="21"/>
      <c r="DDL162" s="7"/>
      <c r="DDM162" s="7"/>
      <c r="DDN162" s="21"/>
      <c r="DDO162" s="20"/>
      <c r="DDP162" s="20"/>
      <c r="DDQ162" s="20"/>
      <c r="DDR162" s="21"/>
      <c r="DDS162" s="21"/>
      <c r="DDT162" s="21"/>
      <c r="DDU162" s="21"/>
      <c r="DDV162" s="21"/>
      <c r="DDW162" s="20"/>
      <c r="DDX162" s="20"/>
      <c r="DDY162" s="20"/>
      <c r="DDZ162" s="20"/>
      <c r="DEA162" s="21"/>
      <c r="DEB162" s="21"/>
      <c r="DEC162" s="7"/>
      <c r="DED162" s="7"/>
      <c r="DEE162" s="21"/>
      <c r="DEF162" s="20"/>
      <c r="DEG162" s="20"/>
      <c r="DEH162" s="20"/>
      <c r="DEI162" s="21"/>
      <c r="DEJ162" s="21"/>
      <c r="DEK162" s="21"/>
      <c r="DEL162" s="21"/>
      <c r="DEM162" s="21"/>
      <c r="DEN162" s="20"/>
      <c r="DEO162" s="20"/>
      <c r="DEP162" s="20"/>
      <c r="DEQ162" s="20"/>
      <c r="DER162" s="21"/>
      <c r="DES162" s="21"/>
      <c r="DET162" s="7"/>
      <c r="DEU162" s="7"/>
      <c r="DEV162" s="21"/>
      <c r="DEW162" s="20"/>
      <c r="DEX162" s="20"/>
      <c r="DEY162" s="20"/>
      <c r="DEZ162" s="21"/>
      <c r="DFA162" s="21"/>
      <c r="DFB162" s="21"/>
      <c r="DFC162" s="21"/>
      <c r="DFD162" s="21"/>
      <c r="DFE162" s="20"/>
      <c r="DFF162" s="20"/>
      <c r="DFG162" s="20"/>
      <c r="DFH162" s="20"/>
      <c r="DFI162" s="21"/>
      <c r="DFJ162" s="21"/>
      <c r="DFK162" s="7"/>
      <c r="DFL162" s="7"/>
      <c r="DFM162" s="21"/>
      <c r="DFN162" s="20"/>
      <c r="DFO162" s="20"/>
      <c r="DFP162" s="20"/>
      <c r="DFQ162" s="21"/>
      <c r="DFR162" s="21"/>
      <c r="DFS162" s="21"/>
      <c r="DFT162" s="21"/>
      <c r="DFU162" s="21"/>
      <c r="DFV162" s="20"/>
      <c r="DFW162" s="20"/>
      <c r="DFX162" s="20"/>
      <c r="DFY162" s="20"/>
      <c r="DFZ162" s="21"/>
      <c r="DGA162" s="21"/>
      <c r="DGB162" s="7"/>
      <c r="DGC162" s="7"/>
      <c r="DGD162" s="21"/>
      <c r="DGE162" s="20"/>
      <c r="DGF162" s="20"/>
      <c r="DGG162" s="20"/>
      <c r="DGH162" s="21"/>
      <c r="DGI162" s="21"/>
      <c r="DGJ162" s="21"/>
      <c r="DGK162" s="21"/>
      <c r="DGL162" s="21"/>
      <c r="DGM162" s="20"/>
      <c r="DGN162" s="20"/>
      <c r="DGO162" s="20"/>
      <c r="DGP162" s="20"/>
      <c r="DGQ162" s="21"/>
      <c r="DGR162" s="21"/>
      <c r="DGS162" s="7"/>
      <c r="DGT162" s="7"/>
      <c r="DGU162" s="21"/>
      <c r="DGV162" s="20"/>
      <c r="DGW162" s="20"/>
      <c r="DGX162" s="20"/>
      <c r="DGY162" s="21"/>
      <c r="DGZ162" s="21"/>
      <c r="DHA162" s="21"/>
      <c r="DHB162" s="21"/>
      <c r="DHC162" s="21"/>
      <c r="DHD162" s="20"/>
      <c r="DHE162" s="20"/>
      <c r="DHF162" s="20"/>
      <c r="DHG162" s="20"/>
      <c r="DHH162" s="21"/>
      <c r="DHI162" s="21"/>
      <c r="DHJ162" s="7"/>
      <c r="DHK162" s="7"/>
      <c r="DHL162" s="21"/>
      <c r="DHM162" s="20"/>
      <c r="DHN162" s="20"/>
      <c r="DHO162" s="20"/>
      <c r="DHP162" s="21"/>
      <c r="DHQ162" s="21"/>
      <c r="DHR162" s="21"/>
      <c r="DHS162" s="21"/>
      <c r="DHT162" s="21"/>
      <c r="DHU162" s="20"/>
      <c r="DHV162" s="20"/>
      <c r="DHW162" s="20"/>
      <c r="DHX162" s="20"/>
      <c r="DHY162" s="21"/>
      <c r="DHZ162" s="21"/>
      <c r="DIA162" s="7"/>
      <c r="DIB162" s="7"/>
      <c r="DIC162" s="21"/>
      <c r="DID162" s="20"/>
      <c r="DIE162" s="20"/>
      <c r="DIF162" s="20"/>
      <c r="DIG162" s="21"/>
      <c r="DIH162" s="21"/>
      <c r="DII162" s="21"/>
      <c r="DIJ162" s="21"/>
      <c r="DIK162" s="21"/>
      <c r="DIL162" s="20"/>
      <c r="DIM162" s="20"/>
      <c r="DIN162" s="20"/>
      <c r="DIO162" s="20"/>
      <c r="DIP162" s="21"/>
      <c r="DIQ162" s="21"/>
      <c r="DIR162" s="7"/>
      <c r="DIS162" s="7"/>
      <c r="DIT162" s="21"/>
      <c r="DIU162" s="20"/>
      <c r="DIV162" s="20"/>
      <c r="DIW162" s="20"/>
      <c r="DIX162" s="21"/>
      <c r="DIY162" s="21"/>
      <c r="DIZ162" s="21"/>
      <c r="DJA162" s="21"/>
      <c r="DJB162" s="21"/>
      <c r="DJC162" s="20"/>
      <c r="DJD162" s="20"/>
      <c r="DJE162" s="20"/>
      <c r="DJF162" s="20"/>
      <c r="DJG162" s="21"/>
      <c r="DJH162" s="21"/>
      <c r="DJI162" s="7"/>
      <c r="DJJ162" s="7"/>
      <c r="DJK162" s="21"/>
      <c r="DJL162" s="20"/>
      <c r="DJM162" s="20"/>
      <c r="DJN162" s="20"/>
      <c r="DJO162" s="21"/>
      <c r="DJP162" s="21"/>
      <c r="DJQ162" s="21"/>
      <c r="DJR162" s="21"/>
      <c r="DJS162" s="21"/>
      <c r="DJT162" s="20"/>
      <c r="DJU162" s="20"/>
      <c r="DJV162" s="20"/>
      <c r="DJW162" s="20"/>
      <c r="DJX162" s="21"/>
      <c r="DJY162" s="21"/>
      <c r="DJZ162" s="7"/>
      <c r="DKA162" s="7"/>
      <c r="DKB162" s="21"/>
      <c r="DKC162" s="20"/>
      <c r="DKD162" s="20"/>
      <c r="DKE162" s="20"/>
      <c r="DKF162" s="21"/>
      <c r="DKG162" s="21"/>
      <c r="DKH162" s="21"/>
      <c r="DKI162" s="21"/>
      <c r="DKJ162" s="21"/>
      <c r="DKK162" s="20"/>
      <c r="DKL162" s="20"/>
      <c r="DKM162" s="20"/>
      <c r="DKN162" s="20"/>
      <c r="DKO162" s="21"/>
      <c r="DKP162" s="21"/>
      <c r="DKQ162" s="7"/>
      <c r="DKR162" s="7"/>
      <c r="DKS162" s="21"/>
      <c r="DKT162" s="20"/>
      <c r="DKU162" s="20"/>
      <c r="DKV162" s="20"/>
      <c r="DKW162" s="21"/>
      <c r="DKX162" s="21"/>
      <c r="DKY162" s="21"/>
      <c r="DKZ162" s="21"/>
      <c r="DLA162" s="21"/>
      <c r="DLB162" s="20"/>
      <c r="DLC162" s="20"/>
      <c r="DLD162" s="20"/>
      <c r="DLE162" s="20"/>
      <c r="DLF162" s="21"/>
      <c r="DLG162" s="21"/>
      <c r="DLH162" s="7"/>
      <c r="DLI162" s="7"/>
      <c r="DLJ162" s="21"/>
      <c r="DLK162" s="20"/>
      <c r="DLL162" s="20"/>
      <c r="DLM162" s="20"/>
      <c r="DLN162" s="21"/>
      <c r="DLO162" s="21"/>
      <c r="DLP162" s="21"/>
      <c r="DLQ162" s="21"/>
      <c r="DLR162" s="21"/>
      <c r="DLS162" s="20"/>
      <c r="DLT162" s="20"/>
      <c r="DLU162" s="20"/>
      <c r="DLV162" s="20"/>
      <c r="DLW162" s="21"/>
      <c r="DLX162" s="21"/>
      <c r="DLY162" s="7"/>
      <c r="DLZ162" s="7"/>
      <c r="DMA162" s="21"/>
      <c r="DMB162" s="20"/>
      <c r="DMC162" s="20"/>
      <c r="DMD162" s="20"/>
      <c r="DME162" s="21"/>
      <c r="DMF162" s="21"/>
      <c r="DMG162" s="21"/>
      <c r="DMH162" s="21"/>
      <c r="DMI162" s="21"/>
      <c r="DMJ162" s="20"/>
      <c r="DMK162" s="20"/>
      <c r="DML162" s="20"/>
      <c r="DMM162" s="20"/>
      <c r="DMN162" s="21"/>
      <c r="DMO162" s="21"/>
      <c r="DMP162" s="7"/>
      <c r="DMQ162" s="7"/>
      <c r="DMR162" s="21"/>
      <c r="DMS162" s="20"/>
      <c r="DMT162" s="20"/>
      <c r="DMU162" s="20"/>
      <c r="DMV162" s="21"/>
      <c r="DMW162" s="21"/>
      <c r="DMX162" s="21"/>
      <c r="DMY162" s="21"/>
      <c r="DMZ162" s="21"/>
      <c r="DNA162" s="20"/>
      <c r="DNB162" s="20"/>
      <c r="DNC162" s="20"/>
      <c r="DND162" s="20"/>
      <c r="DNE162" s="21"/>
      <c r="DNF162" s="21"/>
      <c r="DNG162" s="7"/>
      <c r="DNH162" s="7"/>
      <c r="DNI162" s="21"/>
      <c r="DNJ162" s="20"/>
      <c r="DNK162" s="20"/>
      <c r="DNL162" s="20"/>
      <c r="DNM162" s="21"/>
      <c r="DNN162" s="21"/>
      <c r="DNO162" s="21"/>
      <c r="DNP162" s="21"/>
      <c r="DNQ162" s="21"/>
      <c r="DNR162" s="20"/>
      <c r="DNS162" s="20"/>
      <c r="DNT162" s="20"/>
      <c r="DNU162" s="20"/>
      <c r="DNV162" s="21"/>
      <c r="DNW162" s="21"/>
      <c r="DNX162" s="7"/>
      <c r="DNY162" s="7"/>
      <c r="DNZ162" s="21"/>
      <c r="DOA162" s="20"/>
      <c r="DOB162" s="20"/>
      <c r="DOC162" s="20"/>
      <c r="DOD162" s="21"/>
      <c r="DOE162" s="21"/>
      <c r="DOF162" s="21"/>
      <c r="DOG162" s="21"/>
      <c r="DOH162" s="21"/>
      <c r="DOI162" s="20"/>
      <c r="DOJ162" s="20"/>
      <c r="DOK162" s="20"/>
      <c r="DOL162" s="20"/>
      <c r="DOM162" s="21"/>
      <c r="DON162" s="21"/>
      <c r="DOO162" s="7"/>
      <c r="DOP162" s="7"/>
      <c r="DOQ162" s="21"/>
      <c r="DOR162" s="20"/>
      <c r="DOS162" s="20"/>
      <c r="DOT162" s="20"/>
      <c r="DOU162" s="21"/>
      <c r="DOV162" s="21"/>
      <c r="DOW162" s="21"/>
      <c r="DOX162" s="21"/>
      <c r="DOY162" s="21"/>
      <c r="DOZ162" s="20"/>
      <c r="DPA162" s="20"/>
      <c r="DPB162" s="20"/>
      <c r="DPC162" s="20"/>
      <c r="DPD162" s="21"/>
      <c r="DPE162" s="21"/>
      <c r="DPF162" s="7"/>
      <c r="DPG162" s="7"/>
      <c r="DPH162" s="21"/>
      <c r="DPI162" s="20"/>
      <c r="DPJ162" s="20"/>
      <c r="DPK162" s="20"/>
      <c r="DPL162" s="21"/>
      <c r="DPM162" s="21"/>
      <c r="DPN162" s="21"/>
      <c r="DPO162" s="21"/>
      <c r="DPP162" s="21"/>
      <c r="DPQ162" s="20"/>
      <c r="DPR162" s="20"/>
      <c r="DPS162" s="20"/>
      <c r="DPT162" s="20"/>
      <c r="DPU162" s="21"/>
      <c r="DPV162" s="21"/>
      <c r="DPW162" s="7"/>
      <c r="DPX162" s="7"/>
      <c r="DPY162" s="21"/>
      <c r="DPZ162" s="20"/>
      <c r="DQA162" s="20"/>
      <c r="DQB162" s="20"/>
      <c r="DQC162" s="21"/>
      <c r="DQD162" s="21"/>
      <c r="DQE162" s="21"/>
      <c r="DQF162" s="21"/>
      <c r="DQG162" s="21"/>
      <c r="DQH162" s="20"/>
      <c r="DQI162" s="20"/>
      <c r="DQJ162" s="20"/>
      <c r="DQK162" s="20"/>
      <c r="DQL162" s="21"/>
      <c r="DQM162" s="21"/>
      <c r="DQN162" s="7"/>
      <c r="DQO162" s="7"/>
      <c r="DQP162" s="21"/>
      <c r="DQQ162" s="20"/>
      <c r="DQR162" s="20"/>
      <c r="DQS162" s="20"/>
      <c r="DQT162" s="21"/>
      <c r="DQU162" s="21"/>
      <c r="DQV162" s="21"/>
      <c r="DQW162" s="21"/>
      <c r="DQX162" s="21"/>
      <c r="DQY162" s="20"/>
      <c r="DQZ162" s="20"/>
      <c r="DRA162" s="20"/>
      <c r="DRB162" s="20"/>
      <c r="DRC162" s="21"/>
      <c r="DRD162" s="21"/>
      <c r="DRE162" s="7"/>
      <c r="DRF162" s="7"/>
      <c r="DRG162" s="21"/>
      <c r="DRH162" s="20"/>
      <c r="DRI162" s="20"/>
      <c r="DRJ162" s="20"/>
      <c r="DRK162" s="21"/>
      <c r="DRL162" s="21"/>
      <c r="DRM162" s="21"/>
      <c r="DRN162" s="21"/>
      <c r="DRO162" s="21"/>
      <c r="DRP162" s="20"/>
      <c r="DRQ162" s="20"/>
      <c r="DRR162" s="20"/>
      <c r="DRS162" s="20"/>
      <c r="DRT162" s="21"/>
      <c r="DRU162" s="21"/>
      <c r="DRV162" s="7"/>
      <c r="DRW162" s="7"/>
      <c r="DRX162" s="21"/>
      <c r="DRY162" s="20"/>
      <c r="DRZ162" s="20"/>
      <c r="DSA162" s="20"/>
      <c r="DSB162" s="21"/>
      <c r="DSC162" s="21"/>
      <c r="DSD162" s="21"/>
      <c r="DSE162" s="21"/>
      <c r="DSF162" s="21"/>
      <c r="DSG162" s="20"/>
      <c r="DSH162" s="20"/>
      <c r="DSI162" s="20"/>
      <c r="DSJ162" s="20"/>
      <c r="DSK162" s="21"/>
      <c r="DSL162" s="21"/>
      <c r="DSM162" s="7"/>
      <c r="DSN162" s="7"/>
      <c r="DSO162" s="21"/>
      <c r="DSP162" s="20"/>
      <c r="DSQ162" s="20"/>
      <c r="DSR162" s="20"/>
      <c r="DSS162" s="21"/>
      <c r="DST162" s="21"/>
      <c r="DSU162" s="21"/>
      <c r="DSV162" s="21"/>
      <c r="DSW162" s="21"/>
      <c r="DSX162" s="20"/>
      <c r="DSY162" s="20"/>
      <c r="DSZ162" s="20"/>
      <c r="DTA162" s="20"/>
      <c r="DTB162" s="21"/>
      <c r="DTC162" s="21"/>
      <c r="DTD162" s="7"/>
      <c r="DTE162" s="7"/>
      <c r="DTF162" s="21"/>
      <c r="DTG162" s="20"/>
      <c r="DTH162" s="20"/>
      <c r="DTI162" s="20"/>
      <c r="DTJ162" s="21"/>
      <c r="DTK162" s="21"/>
      <c r="DTL162" s="21"/>
      <c r="DTM162" s="21"/>
      <c r="DTN162" s="21"/>
      <c r="DTO162" s="20"/>
      <c r="DTP162" s="20"/>
      <c r="DTQ162" s="20"/>
      <c r="DTR162" s="20"/>
      <c r="DTS162" s="21"/>
      <c r="DTT162" s="21"/>
      <c r="DTU162" s="7"/>
      <c r="DTV162" s="7"/>
      <c r="DTW162" s="21"/>
      <c r="DTX162" s="20"/>
      <c r="DTY162" s="20"/>
      <c r="DTZ162" s="20"/>
      <c r="DUA162" s="21"/>
      <c r="DUB162" s="21"/>
      <c r="DUC162" s="21"/>
      <c r="DUD162" s="21"/>
      <c r="DUE162" s="21"/>
      <c r="DUF162" s="20"/>
      <c r="DUG162" s="20"/>
      <c r="DUH162" s="20"/>
      <c r="DUI162" s="20"/>
      <c r="DUJ162" s="21"/>
      <c r="DUK162" s="21"/>
      <c r="DUL162" s="7"/>
      <c r="DUM162" s="7"/>
      <c r="DUN162" s="21"/>
      <c r="DUO162" s="20"/>
      <c r="DUP162" s="20"/>
      <c r="DUQ162" s="20"/>
      <c r="DUR162" s="21"/>
      <c r="DUS162" s="21"/>
      <c r="DUT162" s="21"/>
      <c r="DUU162" s="21"/>
      <c r="DUV162" s="21"/>
      <c r="DUW162" s="20"/>
      <c r="DUX162" s="20"/>
      <c r="DUY162" s="20"/>
      <c r="DUZ162" s="20"/>
      <c r="DVA162" s="21"/>
      <c r="DVB162" s="21"/>
      <c r="DVC162" s="7"/>
      <c r="DVD162" s="7"/>
      <c r="DVE162" s="21"/>
      <c r="DVF162" s="20"/>
      <c r="DVG162" s="20"/>
      <c r="DVH162" s="20"/>
      <c r="DVI162" s="21"/>
      <c r="DVJ162" s="21"/>
      <c r="DVK162" s="21"/>
      <c r="DVL162" s="21"/>
      <c r="DVM162" s="21"/>
      <c r="DVN162" s="20"/>
      <c r="DVO162" s="20"/>
      <c r="DVP162" s="20"/>
      <c r="DVQ162" s="20"/>
      <c r="DVR162" s="21"/>
      <c r="DVS162" s="21"/>
      <c r="DVT162" s="7"/>
      <c r="DVU162" s="7"/>
      <c r="DVV162" s="21"/>
      <c r="DVW162" s="20"/>
      <c r="DVX162" s="20"/>
      <c r="DVY162" s="20"/>
      <c r="DVZ162" s="21"/>
      <c r="DWA162" s="21"/>
      <c r="DWB162" s="21"/>
      <c r="DWC162" s="21"/>
      <c r="DWD162" s="21"/>
      <c r="DWE162" s="20"/>
      <c r="DWF162" s="20"/>
      <c r="DWG162" s="20"/>
      <c r="DWH162" s="20"/>
      <c r="DWI162" s="21"/>
      <c r="DWJ162" s="21"/>
      <c r="DWK162" s="7"/>
      <c r="DWL162" s="7"/>
      <c r="DWM162" s="21"/>
      <c r="DWN162" s="20"/>
      <c r="DWO162" s="20"/>
      <c r="DWP162" s="20"/>
      <c r="DWQ162" s="21"/>
      <c r="DWR162" s="21"/>
      <c r="DWS162" s="21"/>
      <c r="DWT162" s="21"/>
      <c r="DWU162" s="21"/>
      <c r="DWV162" s="20"/>
      <c r="DWW162" s="20"/>
      <c r="DWX162" s="20"/>
      <c r="DWY162" s="20"/>
      <c r="DWZ162" s="21"/>
      <c r="DXA162" s="21"/>
      <c r="DXB162" s="7"/>
      <c r="DXC162" s="7"/>
      <c r="DXD162" s="21"/>
      <c r="DXE162" s="20"/>
      <c r="DXF162" s="20"/>
      <c r="DXG162" s="20"/>
      <c r="DXH162" s="21"/>
      <c r="DXI162" s="21"/>
      <c r="DXJ162" s="21"/>
      <c r="DXK162" s="21"/>
      <c r="DXL162" s="21"/>
      <c r="DXM162" s="20"/>
      <c r="DXN162" s="20"/>
      <c r="DXO162" s="20"/>
      <c r="DXP162" s="20"/>
      <c r="DXQ162" s="21"/>
      <c r="DXR162" s="21"/>
      <c r="DXS162" s="7"/>
      <c r="DXT162" s="7"/>
      <c r="DXU162" s="21"/>
      <c r="DXV162" s="20"/>
      <c r="DXW162" s="20"/>
      <c r="DXX162" s="20"/>
      <c r="DXY162" s="21"/>
      <c r="DXZ162" s="21"/>
      <c r="DYA162" s="21"/>
      <c r="DYB162" s="21"/>
      <c r="DYC162" s="21"/>
      <c r="DYD162" s="20"/>
      <c r="DYE162" s="20"/>
      <c r="DYF162" s="20"/>
      <c r="DYG162" s="20"/>
      <c r="DYH162" s="21"/>
      <c r="DYI162" s="21"/>
      <c r="DYJ162" s="7"/>
      <c r="DYK162" s="7"/>
      <c r="DYL162" s="21"/>
      <c r="DYM162" s="20"/>
      <c r="DYN162" s="20"/>
      <c r="DYO162" s="20"/>
      <c r="DYP162" s="21"/>
      <c r="DYQ162" s="21"/>
      <c r="DYR162" s="21"/>
      <c r="DYS162" s="21"/>
      <c r="DYT162" s="21"/>
      <c r="DYU162" s="20"/>
      <c r="DYV162" s="20"/>
      <c r="DYW162" s="20"/>
      <c r="DYX162" s="20"/>
      <c r="DYY162" s="21"/>
      <c r="DYZ162" s="21"/>
      <c r="DZA162" s="7"/>
      <c r="DZB162" s="7"/>
      <c r="DZC162" s="21"/>
      <c r="DZD162" s="20"/>
      <c r="DZE162" s="20"/>
      <c r="DZF162" s="20"/>
      <c r="DZG162" s="21"/>
      <c r="DZH162" s="21"/>
      <c r="DZI162" s="21"/>
      <c r="DZJ162" s="21"/>
      <c r="DZK162" s="21"/>
      <c r="DZL162" s="20"/>
      <c r="DZM162" s="20"/>
      <c r="DZN162" s="20"/>
      <c r="DZO162" s="20"/>
      <c r="DZP162" s="21"/>
      <c r="DZQ162" s="21"/>
      <c r="DZR162" s="7"/>
      <c r="DZS162" s="7"/>
      <c r="DZT162" s="21"/>
      <c r="DZU162" s="20"/>
      <c r="DZV162" s="20"/>
      <c r="DZW162" s="20"/>
      <c r="DZX162" s="21"/>
      <c r="DZY162" s="21"/>
      <c r="DZZ162" s="21"/>
      <c r="EAA162" s="21"/>
      <c r="EAB162" s="21"/>
      <c r="EAC162" s="20"/>
      <c r="EAD162" s="20"/>
      <c r="EAE162" s="20"/>
      <c r="EAF162" s="20"/>
      <c r="EAG162" s="21"/>
      <c r="EAH162" s="21"/>
      <c r="EAI162" s="7"/>
      <c r="EAJ162" s="7"/>
      <c r="EAK162" s="21"/>
      <c r="EAL162" s="20"/>
      <c r="EAM162" s="20"/>
      <c r="EAN162" s="20"/>
      <c r="EAO162" s="21"/>
      <c r="EAP162" s="21"/>
      <c r="EAQ162" s="21"/>
      <c r="EAR162" s="21"/>
      <c r="EAS162" s="21"/>
      <c r="EAT162" s="20"/>
      <c r="EAU162" s="20"/>
      <c r="EAV162" s="20"/>
      <c r="EAW162" s="20"/>
      <c r="EAX162" s="21"/>
      <c r="EAY162" s="21"/>
      <c r="EAZ162" s="7"/>
      <c r="EBA162" s="7"/>
      <c r="EBB162" s="21"/>
      <c r="EBC162" s="20"/>
      <c r="EBD162" s="20"/>
      <c r="EBE162" s="20"/>
      <c r="EBF162" s="21"/>
      <c r="EBG162" s="21"/>
      <c r="EBH162" s="21"/>
      <c r="EBI162" s="21"/>
      <c r="EBJ162" s="21"/>
      <c r="EBK162" s="20"/>
      <c r="EBL162" s="20"/>
      <c r="EBM162" s="20"/>
      <c r="EBN162" s="20"/>
      <c r="EBO162" s="21"/>
      <c r="EBP162" s="21"/>
      <c r="EBQ162" s="7"/>
      <c r="EBR162" s="7"/>
      <c r="EBS162" s="21"/>
      <c r="EBT162" s="20"/>
      <c r="EBU162" s="20"/>
      <c r="EBV162" s="20"/>
      <c r="EBW162" s="21"/>
      <c r="EBX162" s="21"/>
      <c r="EBY162" s="21"/>
      <c r="EBZ162" s="21"/>
      <c r="ECA162" s="21"/>
      <c r="ECB162" s="20"/>
      <c r="ECC162" s="20"/>
      <c r="ECD162" s="20"/>
      <c r="ECE162" s="20"/>
      <c r="ECF162" s="21"/>
      <c r="ECG162" s="21"/>
      <c r="ECH162" s="7"/>
      <c r="ECI162" s="7"/>
      <c r="ECJ162" s="21"/>
      <c r="ECK162" s="20"/>
      <c r="ECL162" s="20"/>
      <c r="ECM162" s="20"/>
      <c r="ECN162" s="21"/>
      <c r="ECO162" s="21"/>
      <c r="ECP162" s="21"/>
      <c r="ECQ162" s="21"/>
      <c r="ECR162" s="21"/>
      <c r="ECS162" s="20"/>
      <c r="ECT162" s="20"/>
      <c r="ECU162" s="20"/>
      <c r="ECV162" s="20"/>
      <c r="ECW162" s="21"/>
      <c r="ECX162" s="21"/>
      <c r="ECY162" s="7"/>
      <c r="ECZ162" s="7"/>
      <c r="EDA162" s="21"/>
      <c r="EDB162" s="20"/>
      <c r="EDC162" s="20"/>
      <c r="EDD162" s="20"/>
      <c r="EDE162" s="21"/>
      <c r="EDF162" s="21"/>
      <c r="EDG162" s="21"/>
      <c r="EDH162" s="21"/>
      <c r="EDI162" s="21"/>
      <c r="EDJ162" s="20"/>
      <c r="EDK162" s="20"/>
      <c r="EDL162" s="20"/>
      <c r="EDM162" s="20"/>
      <c r="EDN162" s="21"/>
      <c r="EDO162" s="21"/>
      <c r="EDP162" s="7"/>
      <c r="EDQ162" s="7"/>
      <c r="EDR162" s="21"/>
      <c r="EDS162" s="20"/>
      <c r="EDT162" s="20"/>
      <c r="EDU162" s="20"/>
      <c r="EDV162" s="21"/>
      <c r="EDW162" s="21"/>
      <c r="EDX162" s="21"/>
      <c r="EDY162" s="21"/>
      <c r="EDZ162" s="21"/>
      <c r="EEA162" s="20"/>
      <c r="EEB162" s="20"/>
      <c r="EEC162" s="20"/>
      <c r="EED162" s="20"/>
      <c r="EEE162" s="21"/>
      <c r="EEF162" s="21"/>
      <c r="EEG162" s="7"/>
      <c r="EEH162" s="7"/>
      <c r="EEI162" s="21"/>
      <c r="EEJ162" s="20"/>
      <c r="EEK162" s="20"/>
      <c r="EEL162" s="20"/>
      <c r="EEM162" s="21"/>
      <c r="EEN162" s="21"/>
      <c r="EEO162" s="21"/>
      <c r="EEP162" s="21"/>
      <c r="EEQ162" s="21"/>
      <c r="EER162" s="20"/>
      <c r="EES162" s="20"/>
      <c r="EET162" s="20"/>
      <c r="EEU162" s="20"/>
      <c r="EEV162" s="21"/>
      <c r="EEW162" s="21"/>
      <c r="EEX162" s="7"/>
      <c r="EEY162" s="7"/>
      <c r="EEZ162" s="21"/>
      <c r="EFA162" s="20"/>
      <c r="EFB162" s="20"/>
      <c r="EFC162" s="20"/>
      <c r="EFD162" s="21"/>
      <c r="EFE162" s="21"/>
      <c r="EFF162" s="21"/>
      <c r="EFG162" s="21"/>
      <c r="EFH162" s="21"/>
      <c r="EFI162" s="20"/>
      <c r="EFJ162" s="20"/>
      <c r="EFK162" s="20"/>
      <c r="EFL162" s="20"/>
      <c r="EFM162" s="21"/>
      <c r="EFN162" s="21"/>
      <c r="EFO162" s="7"/>
      <c r="EFP162" s="7"/>
      <c r="EFQ162" s="21"/>
      <c r="EFR162" s="20"/>
      <c r="EFS162" s="20"/>
      <c r="EFT162" s="20"/>
      <c r="EFU162" s="21"/>
      <c r="EFV162" s="21"/>
      <c r="EFW162" s="21"/>
      <c r="EFX162" s="21"/>
      <c r="EFY162" s="21"/>
      <c r="EFZ162" s="20"/>
      <c r="EGA162" s="20"/>
      <c r="EGB162" s="20"/>
      <c r="EGC162" s="20"/>
      <c r="EGD162" s="21"/>
      <c r="EGE162" s="21"/>
      <c r="EGF162" s="7"/>
      <c r="EGG162" s="7"/>
      <c r="EGH162" s="21"/>
      <c r="EGI162" s="20"/>
      <c r="EGJ162" s="20"/>
      <c r="EGK162" s="20"/>
      <c r="EGL162" s="21"/>
      <c r="EGM162" s="21"/>
      <c r="EGN162" s="21"/>
      <c r="EGO162" s="21"/>
      <c r="EGP162" s="21"/>
      <c r="EGQ162" s="20"/>
      <c r="EGR162" s="20"/>
      <c r="EGS162" s="20"/>
      <c r="EGT162" s="20"/>
      <c r="EGU162" s="21"/>
      <c r="EGV162" s="21"/>
      <c r="EGW162" s="7"/>
      <c r="EGX162" s="7"/>
      <c r="EGY162" s="21"/>
      <c r="EGZ162" s="20"/>
      <c r="EHA162" s="20"/>
      <c r="EHB162" s="20"/>
      <c r="EHC162" s="21"/>
      <c r="EHD162" s="21"/>
      <c r="EHE162" s="21"/>
      <c r="EHF162" s="21"/>
      <c r="EHG162" s="21"/>
      <c r="EHH162" s="20"/>
      <c r="EHI162" s="20"/>
      <c r="EHJ162" s="20"/>
      <c r="EHK162" s="20"/>
      <c r="EHL162" s="21"/>
      <c r="EHM162" s="21"/>
      <c r="EHN162" s="7"/>
      <c r="EHO162" s="7"/>
      <c r="EHP162" s="21"/>
      <c r="EHQ162" s="20"/>
      <c r="EHR162" s="20"/>
      <c r="EHS162" s="20"/>
      <c r="EHT162" s="21"/>
      <c r="EHU162" s="21"/>
      <c r="EHV162" s="21"/>
      <c r="EHW162" s="21"/>
      <c r="EHX162" s="21"/>
      <c r="EHY162" s="20"/>
      <c r="EHZ162" s="20"/>
      <c r="EIA162" s="20"/>
      <c r="EIB162" s="20"/>
      <c r="EIC162" s="21"/>
      <c r="EID162" s="21"/>
      <c r="EIE162" s="7"/>
      <c r="EIF162" s="7"/>
      <c r="EIG162" s="21"/>
      <c r="EIH162" s="20"/>
      <c r="EII162" s="20"/>
      <c r="EIJ162" s="20"/>
      <c r="EIK162" s="21"/>
      <c r="EIL162" s="21"/>
      <c r="EIM162" s="21"/>
      <c r="EIN162" s="21"/>
      <c r="EIO162" s="21"/>
      <c r="EIP162" s="20"/>
      <c r="EIQ162" s="20"/>
      <c r="EIR162" s="20"/>
      <c r="EIS162" s="20"/>
      <c r="EIT162" s="21"/>
      <c r="EIU162" s="21"/>
      <c r="EIV162" s="7"/>
      <c r="EIW162" s="7"/>
      <c r="EIX162" s="21"/>
      <c r="EIY162" s="20"/>
      <c r="EIZ162" s="20"/>
      <c r="EJA162" s="20"/>
      <c r="EJB162" s="21"/>
      <c r="EJC162" s="21"/>
      <c r="EJD162" s="21"/>
      <c r="EJE162" s="21"/>
      <c r="EJF162" s="21"/>
      <c r="EJG162" s="20"/>
      <c r="EJH162" s="20"/>
      <c r="EJI162" s="20"/>
      <c r="EJJ162" s="20"/>
      <c r="EJK162" s="21"/>
      <c r="EJL162" s="21"/>
      <c r="EJM162" s="7"/>
      <c r="EJN162" s="7"/>
      <c r="EJO162" s="21"/>
      <c r="EJP162" s="20"/>
      <c r="EJQ162" s="20"/>
      <c r="EJR162" s="20"/>
      <c r="EJS162" s="21"/>
      <c r="EJT162" s="21"/>
      <c r="EJU162" s="21"/>
      <c r="EJV162" s="21"/>
      <c r="EJW162" s="21"/>
      <c r="EJX162" s="20"/>
      <c r="EJY162" s="20"/>
      <c r="EJZ162" s="20"/>
      <c r="EKA162" s="20"/>
      <c r="EKB162" s="21"/>
      <c r="EKC162" s="21"/>
      <c r="EKD162" s="7"/>
      <c r="EKE162" s="7"/>
      <c r="EKF162" s="21"/>
      <c r="EKG162" s="20"/>
      <c r="EKH162" s="20"/>
      <c r="EKI162" s="20"/>
      <c r="EKJ162" s="21"/>
      <c r="EKK162" s="21"/>
      <c r="EKL162" s="21"/>
      <c r="EKM162" s="21"/>
      <c r="EKN162" s="21"/>
      <c r="EKO162" s="20"/>
      <c r="EKP162" s="20"/>
      <c r="EKQ162" s="20"/>
      <c r="EKR162" s="20"/>
      <c r="EKS162" s="21"/>
      <c r="EKT162" s="21"/>
      <c r="EKU162" s="7"/>
      <c r="EKV162" s="7"/>
      <c r="EKW162" s="21"/>
      <c r="EKX162" s="20"/>
      <c r="EKY162" s="20"/>
      <c r="EKZ162" s="20"/>
      <c r="ELA162" s="21"/>
      <c r="ELB162" s="21"/>
      <c r="ELC162" s="21"/>
      <c r="ELD162" s="21"/>
      <c r="ELE162" s="21"/>
      <c r="ELF162" s="20"/>
      <c r="ELG162" s="20"/>
      <c r="ELH162" s="20"/>
      <c r="ELI162" s="20"/>
      <c r="ELJ162" s="21"/>
      <c r="ELK162" s="21"/>
      <c r="ELL162" s="7"/>
      <c r="ELM162" s="7"/>
      <c r="ELN162" s="21"/>
      <c r="ELO162" s="20"/>
      <c r="ELP162" s="20"/>
      <c r="ELQ162" s="20"/>
      <c r="ELR162" s="21"/>
      <c r="ELS162" s="21"/>
      <c r="ELT162" s="21"/>
      <c r="ELU162" s="21"/>
      <c r="ELV162" s="21"/>
      <c r="ELW162" s="20"/>
      <c r="ELX162" s="20"/>
      <c r="ELY162" s="20"/>
      <c r="ELZ162" s="20"/>
      <c r="EMA162" s="21"/>
      <c r="EMB162" s="21"/>
      <c r="EMC162" s="7"/>
      <c r="EMD162" s="7"/>
      <c r="EME162" s="21"/>
      <c r="EMF162" s="20"/>
      <c r="EMG162" s="20"/>
      <c r="EMH162" s="20"/>
      <c r="EMI162" s="21"/>
      <c r="EMJ162" s="21"/>
      <c r="EMK162" s="21"/>
      <c r="EML162" s="21"/>
      <c r="EMM162" s="21"/>
      <c r="EMN162" s="20"/>
      <c r="EMO162" s="20"/>
      <c r="EMP162" s="20"/>
      <c r="EMQ162" s="20"/>
      <c r="EMR162" s="21"/>
      <c r="EMS162" s="21"/>
      <c r="EMT162" s="7"/>
      <c r="EMU162" s="7"/>
      <c r="EMV162" s="21"/>
      <c r="EMW162" s="20"/>
      <c r="EMX162" s="20"/>
      <c r="EMY162" s="20"/>
      <c r="EMZ162" s="21"/>
      <c r="ENA162" s="21"/>
      <c r="ENB162" s="21"/>
      <c r="ENC162" s="21"/>
      <c r="END162" s="21"/>
      <c r="ENE162" s="20"/>
      <c r="ENF162" s="20"/>
      <c r="ENG162" s="20"/>
      <c r="ENH162" s="20"/>
      <c r="ENI162" s="21"/>
      <c r="ENJ162" s="21"/>
      <c r="ENK162" s="7"/>
      <c r="ENL162" s="7"/>
      <c r="ENM162" s="21"/>
      <c r="ENN162" s="20"/>
      <c r="ENO162" s="20"/>
      <c r="ENP162" s="20"/>
      <c r="ENQ162" s="21"/>
      <c r="ENR162" s="21"/>
      <c r="ENS162" s="21"/>
      <c r="ENT162" s="21"/>
      <c r="ENU162" s="21"/>
      <c r="ENV162" s="20"/>
      <c r="ENW162" s="20"/>
      <c r="ENX162" s="20"/>
      <c r="ENY162" s="20"/>
      <c r="ENZ162" s="21"/>
      <c r="EOA162" s="21"/>
      <c r="EOB162" s="7"/>
      <c r="EOC162" s="7"/>
      <c r="EOD162" s="21"/>
      <c r="EOE162" s="20"/>
      <c r="EOF162" s="20"/>
      <c r="EOG162" s="20"/>
      <c r="EOH162" s="21"/>
      <c r="EOI162" s="21"/>
      <c r="EOJ162" s="21"/>
      <c r="EOK162" s="21"/>
      <c r="EOL162" s="21"/>
      <c r="EOM162" s="20"/>
      <c r="EON162" s="20"/>
      <c r="EOO162" s="20"/>
      <c r="EOP162" s="20"/>
      <c r="EOQ162" s="21"/>
      <c r="EOR162" s="21"/>
      <c r="EOS162" s="7"/>
      <c r="EOT162" s="7"/>
      <c r="EOU162" s="21"/>
      <c r="EOV162" s="20"/>
      <c r="EOW162" s="20"/>
      <c r="EOX162" s="20"/>
      <c r="EOY162" s="21"/>
      <c r="EOZ162" s="21"/>
      <c r="EPA162" s="21"/>
      <c r="EPB162" s="21"/>
      <c r="EPC162" s="21"/>
      <c r="EPD162" s="20"/>
      <c r="EPE162" s="20"/>
      <c r="EPF162" s="20"/>
      <c r="EPG162" s="20"/>
      <c r="EPH162" s="21"/>
      <c r="EPI162" s="21"/>
      <c r="EPJ162" s="7"/>
      <c r="EPK162" s="7"/>
      <c r="EPL162" s="21"/>
      <c r="EPM162" s="20"/>
      <c r="EPN162" s="20"/>
      <c r="EPO162" s="20"/>
      <c r="EPP162" s="21"/>
      <c r="EPQ162" s="21"/>
      <c r="EPR162" s="21"/>
      <c r="EPS162" s="21"/>
      <c r="EPT162" s="21"/>
      <c r="EPU162" s="20"/>
      <c r="EPV162" s="20"/>
      <c r="EPW162" s="20"/>
      <c r="EPX162" s="20"/>
      <c r="EPY162" s="21"/>
      <c r="EPZ162" s="21"/>
      <c r="EQA162" s="7"/>
      <c r="EQB162" s="7"/>
      <c r="EQC162" s="21"/>
      <c r="EQD162" s="20"/>
      <c r="EQE162" s="20"/>
      <c r="EQF162" s="20"/>
      <c r="EQG162" s="21"/>
      <c r="EQH162" s="21"/>
      <c r="EQI162" s="21"/>
      <c r="EQJ162" s="21"/>
      <c r="EQK162" s="21"/>
      <c r="EQL162" s="20"/>
      <c r="EQM162" s="20"/>
      <c r="EQN162" s="20"/>
      <c r="EQO162" s="20"/>
      <c r="EQP162" s="21"/>
      <c r="EQQ162" s="21"/>
      <c r="EQR162" s="7"/>
      <c r="EQS162" s="7"/>
      <c r="EQT162" s="21"/>
      <c r="EQU162" s="20"/>
      <c r="EQV162" s="20"/>
      <c r="EQW162" s="20"/>
      <c r="EQX162" s="21"/>
      <c r="EQY162" s="21"/>
      <c r="EQZ162" s="21"/>
      <c r="ERA162" s="21"/>
      <c r="ERB162" s="21"/>
      <c r="ERC162" s="20"/>
      <c r="ERD162" s="20"/>
      <c r="ERE162" s="20"/>
      <c r="ERF162" s="20"/>
      <c r="ERG162" s="21"/>
      <c r="ERH162" s="21"/>
      <c r="ERI162" s="7"/>
      <c r="ERJ162" s="7"/>
      <c r="ERK162" s="21"/>
      <c r="ERL162" s="20"/>
      <c r="ERM162" s="20"/>
      <c r="ERN162" s="20"/>
      <c r="ERO162" s="21"/>
      <c r="ERP162" s="21"/>
      <c r="ERQ162" s="21"/>
      <c r="ERR162" s="21"/>
      <c r="ERS162" s="21"/>
      <c r="ERT162" s="20"/>
      <c r="ERU162" s="20"/>
      <c r="ERV162" s="20"/>
      <c r="ERW162" s="20"/>
      <c r="ERX162" s="21"/>
      <c r="ERY162" s="21"/>
      <c r="ERZ162" s="7"/>
      <c r="ESA162" s="7"/>
      <c r="ESB162" s="21"/>
      <c r="ESC162" s="20"/>
      <c r="ESD162" s="20"/>
      <c r="ESE162" s="20"/>
      <c r="ESF162" s="21"/>
      <c r="ESG162" s="21"/>
      <c r="ESH162" s="21"/>
      <c r="ESI162" s="21"/>
      <c r="ESJ162" s="21"/>
      <c r="ESK162" s="20"/>
      <c r="ESL162" s="20"/>
      <c r="ESM162" s="20"/>
      <c r="ESN162" s="20"/>
      <c r="ESO162" s="21"/>
      <c r="ESP162" s="21"/>
      <c r="ESQ162" s="7"/>
      <c r="ESR162" s="7"/>
      <c r="ESS162" s="21"/>
      <c r="EST162" s="20"/>
      <c r="ESU162" s="20"/>
      <c r="ESV162" s="20"/>
      <c r="ESW162" s="21"/>
      <c r="ESX162" s="21"/>
      <c r="ESY162" s="21"/>
      <c r="ESZ162" s="21"/>
      <c r="ETA162" s="21"/>
      <c r="ETB162" s="20"/>
      <c r="ETC162" s="20"/>
      <c r="ETD162" s="20"/>
      <c r="ETE162" s="20"/>
      <c r="ETF162" s="21"/>
      <c r="ETG162" s="21"/>
      <c r="ETH162" s="7"/>
      <c r="ETI162" s="7"/>
      <c r="ETJ162" s="21"/>
      <c r="ETK162" s="20"/>
      <c r="ETL162" s="20"/>
      <c r="ETM162" s="20"/>
      <c r="ETN162" s="21"/>
      <c r="ETO162" s="21"/>
      <c r="ETP162" s="21"/>
      <c r="ETQ162" s="21"/>
      <c r="ETR162" s="21"/>
      <c r="ETS162" s="20"/>
      <c r="ETT162" s="20"/>
      <c r="ETU162" s="20"/>
      <c r="ETV162" s="20"/>
      <c r="ETW162" s="21"/>
      <c r="ETX162" s="21"/>
      <c r="ETY162" s="7"/>
      <c r="ETZ162" s="7"/>
      <c r="EUA162" s="21"/>
      <c r="EUB162" s="20"/>
      <c r="EUC162" s="20"/>
      <c r="EUD162" s="20"/>
      <c r="EUE162" s="21"/>
      <c r="EUF162" s="21"/>
      <c r="EUG162" s="21"/>
      <c r="EUH162" s="21"/>
      <c r="EUI162" s="21"/>
      <c r="EUJ162" s="20"/>
      <c r="EUK162" s="20"/>
      <c r="EUL162" s="20"/>
      <c r="EUM162" s="20"/>
      <c r="EUN162" s="21"/>
      <c r="EUO162" s="21"/>
      <c r="EUP162" s="7"/>
      <c r="EUQ162" s="7"/>
      <c r="EUR162" s="21"/>
      <c r="EUS162" s="20"/>
      <c r="EUT162" s="20"/>
      <c r="EUU162" s="20"/>
      <c r="EUV162" s="21"/>
      <c r="EUW162" s="21"/>
      <c r="EUX162" s="21"/>
      <c r="EUY162" s="21"/>
      <c r="EUZ162" s="21"/>
      <c r="EVA162" s="20"/>
      <c r="EVB162" s="20"/>
      <c r="EVC162" s="20"/>
      <c r="EVD162" s="20"/>
      <c r="EVE162" s="21"/>
      <c r="EVF162" s="21"/>
      <c r="EVG162" s="7"/>
      <c r="EVH162" s="7"/>
      <c r="EVI162" s="21"/>
      <c r="EVJ162" s="20"/>
      <c r="EVK162" s="20"/>
      <c r="EVL162" s="20"/>
      <c r="EVM162" s="21"/>
      <c r="EVN162" s="21"/>
      <c r="EVO162" s="21"/>
      <c r="EVP162" s="21"/>
      <c r="EVQ162" s="21"/>
      <c r="EVR162" s="20"/>
      <c r="EVS162" s="20"/>
      <c r="EVT162" s="20"/>
      <c r="EVU162" s="20"/>
      <c r="EVV162" s="21"/>
      <c r="EVW162" s="21"/>
      <c r="EVX162" s="7"/>
      <c r="EVY162" s="7"/>
      <c r="EVZ162" s="21"/>
      <c r="EWA162" s="20"/>
      <c r="EWB162" s="20"/>
      <c r="EWC162" s="20"/>
      <c r="EWD162" s="21"/>
      <c r="EWE162" s="21"/>
      <c r="EWF162" s="21"/>
      <c r="EWG162" s="21"/>
      <c r="EWH162" s="21"/>
      <c r="EWI162" s="20"/>
      <c r="EWJ162" s="20"/>
      <c r="EWK162" s="20"/>
      <c r="EWL162" s="20"/>
      <c r="EWM162" s="21"/>
      <c r="EWN162" s="21"/>
      <c r="EWO162" s="7"/>
      <c r="EWP162" s="7"/>
      <c r="EWQ162" s="21"/>
      <c r="EWR162" s="20"/>
      <c r="EWS162" s="20"/>
      <c r="EWT162" s="20"/>
      <c r="EWU162" s="21"/>
      <c r="EWV162" s="21"/>
      <c r="EWW162" s="21"/>
      <c r="EWX162" s="21"/>
      <c r="EWY162" s="21"/>
      <c r="EWZ162" s="20"/>
      <c r="EXA162" s="20"/>
      <c r="EXB162" s="20"/>
      <c r="EXC162" s="20"/>
      <c r="EXD162" s="21"/>
      <c r="EXE162" s="21"/>
      <c r="EXF162" s="7"/>
      <c r="EXG162" s="7"/>
      <c r="EXH162" s="21"/>
      <c r="EXI162" s="20"/>
      <c r="EXJ162" s="20"/>
      <c r="EXK162" s="20"/>
      <c r="EXL162" s="21"/>
      <c r="EXM162" s="21"/>
      <c r="EXN162" s="21"/>
      <c r="EXO162" s="21"/>
      <c r="EXP162" s="21"/>
      <c r="EXQ162" s="20"/>
      <c r="EXR162" s="20"/>
      <c r="EXS162" s="20"/>
      <c r="EXT162" s="20"/>
      <c r="EXU162" s="21"/>
      <c r="EXV162" s="21"/>
      <c r="EXW162" s="7"/>
      <c r="EXX162" s="7"/>
      <c r="EXY162" s="21"/>
      <c r="EXZ162" s="20"/>
      <c r="EYA162" s="20"/>
      <c r="EYB162" s="20"/>
      <c r="EYC162" s="21"/>
      <c r="EYD162" s="21"/>
      <c r="EYE162" s="21"/>
      <c r="EYF162" s="21"/>
      <c r="EYG162" s="21"/>
      <c r="EYH162" s="20"/>
      <c r="EYI162" s="20"/>
      <c r="EYJ162" s="20"/>
      <c r="EYK162" s="20"/>
      <c r="EYL162" s="21"/>
      <c r="EYM162" s="21"/>
      <c r="EYN162" s="7"/>
      <c r="EYO162" s="7"/>
      <c r="EYP162" s="21"/>
      <c r="EYQ162" s="20"/>
      <c r="EYR162" s="20"/>
      <c r="EYS162" s="20"/>
      <c r="EYT162" s="21"/>
      <c r="EYU162" s="21"/>
      <c r="EYV162" s="21"/>
      <c r="EYW162" s="21"/>
      <c r="EYX162" s="21"/>
      <c r="EYY162" s="20"/>
      <c r="EYZ162" s="20"/>
      <c r="EZA162" s="20"/>
      <c r="EZB162" s="20"/>
      <c r="EZC162" s="21"/>
      <c r="EZD162" s="21"/>
      <c r="EZE162" s="7"/>
      <c r="EZF162" s="7"/>
      <c r="EZG162" s="21"/>
      <c r="EZH162" s="20"/>
      <c r="EZI162" s="20"/>
      <c r="EZJ162" s="20"/>
      <c r="EZK162" s="21"/>
      <c r="EZL162" s="21"/>
      <c r="EZM162" s="21"/>
      <c r="EZN162" s="21"/>
      <c r="EZO162" s="21"/>
      <c r="EZP162" s="20"/>
      <c r="EZQ162" s="20"/>
      <c r="EZR162" s="20"/>
      <c r="EZS162" s="20"/>
      <c r="EZT162" s="21"/>
      <c r="EZU162" s="21"/>
      <c r="EZV162" s="7"/>
      <c r="EZW162" s="7"/>
      <c r="EZX162" s="21"/>
      <c r="EZY162" s="20"/>
      <c r="EZZ162" s="20"/>
      <c r="FAA162" s="20"/>
      <c r="FAB162" s="21"/>
      <c r="FAC162" s="21"/>
      <c r="FAD162" s="21"/>
      <c r="FAE162" s="21"/>
      <c r="FAF162" s="21"/>
      <c r="FAG162" s="20"/>
      <c r="FAH162" s="20"/>
      <c r="FAI162" s="20"/>
      <c r="FAJ162" s="20"/>
      <c r="FAK162" s="21"/>
      <c r="FAL162" s="21"/>
      <c r="FAM162" s="7"/>
      <c r="FAN162" s="7"/>
      <c r="FAO162" s="21"/>
      <c r="FAP162" s="20"/>
      <c r="FAQ162" s="20"/>
      <c r="FAR162" s="20"/>
      <c r="FAS162" s="21"/>
      <c r="FAT162" s="21"/>
      <c r="FAU162" s="21"/>
      <c r="FAV162" s="21"/>
      <c r="FAW162" s="21"/>
      <c r="FAX162" s="20"/>
      <c r="FAY162" s="20"/>
      <c r="FAZ162" s="20"/>
      <c r="FBA162" s="20"/>
      <c r="FBB162" s="21"/>
      <c r="FBC162" s="21"/>
      <c r="FBD162" s="7"/>
      <c r="FBE162" s="7"/>
      <c r="FBF162" s="21"/>
      <c r="FBG162" s="20"/>
      <c r="FBH162" s="20"/>
      <c r="FBI162" s="20"/>
      <c r="FBJ162" s="21"/>
      <c r="FBK162" s="21"/>
      <c r="FBL162" s="21"/>
      <c r="FBM162" s="21"/>
      <c r="FBN162" s="21"/>
      <c r="FBO162" s="20"/>
      <c r="FBP162" s="20"/>
      <c r="FBQ162" s="20"/>
      <c r="FBR162" s="20"/>
      <c r="FBS162" s="21"/>
      <c r="FBT162" s="21"/>
      <c r="FBU162" s="7"/>
      <c r="FBV162" s="7"/>
      <c r="FBW162" s="21"/>
      <c r="FBX162" s="20"/>
      <c r="FBY162" s="20"/>
      <c r="FBZ162" s="20"/>
      <c r="FCA162" s="21"/>
      <c r="FCB162" s="21"/>
      <c r="FCC162" s="21"/>
      <c r="FCD162" s="21"/>
      <c r="FCE162" s="21"/>
      <c r="FCF162" s="20"/>
      <c r="FCG162" s="20"/>
      <c r="FCH162" s="20"/>
      <c r="FCI162" s="20"/>
      <c r="FCJ162" s="21"/>
      <c r="FCK162" s="21"/>
      <c r="FCL162" s="7"/>
      <c r="FCM162" s="7"/>
      <c r="FCN162" s="21"/>
      <c r="FCO162" s="20"/>
      <c r="FCP162" s="20"/>
      <c r="FCQ162" s="20"/>
      <c r="FCR162" s="21"/>
      <c r="FCS162" s="21"/>
      <c r="FCT162" s="21"/>
      <c r="FCU162" s="21"/>
      <c r="FCV162" s="21"/>
      <c r="FCW162" s="20"/>
      <c r="FCX162" s="20"/>
      <c r="FCY162" s="20"/>
      <c r="FCZ162" s="20"/>
      <c r="FDA162" s="21"/>
      <c r="FDB162" s="21"/>
      <c r="FDC162" s="7"/>
      <c r="FDD162" s="7"/>
      <c r="FDE162" s="21"/>
      <c r="FDF162" s="20"/>
      <c r="FDG162" s="20"/>
      <c r="FDH162" s="20"/>
      <c r="FDI162" s="21"/>
      <c r="FDJ162" s="21"/>
      <c r="FDK162" s="21"/>
      <c r="FDL162" s="21"/>
      <c r="FDM162" s="21"/>
      <c r="FDN162" s="20"/>
      <c r="FDO162" s="20"/>
      <c r="FDP162" s="20"/>
      <c r="FDQ162" s="20"/>
      <c r="FDR162" s="21"/>
      <c r="FDS162" s="21"/>
      <c r="FDT162" s="7"/>
      <c r="FDU162" s="7"/>
      <c r="FDV162" s="21"/>
      <c r="FDW162" s="20"/>
      <c r="FDX162" s="20"/>
      <c r="FDY162" s="20"/>
      <c r="FDZ162" s="21"/>
      <c r="FEA162" s="21"/>
      <c r="FEB162" s="21"/>
      <c r="FEC162" s="21"/>
      <c r="FED162" s="21"/>
      <c r="FEE162" s="20"/>
      <c r="FEF162" s="20"/>
      <c r="FEG162" s="20"/>
      <c r="FEH162" s="20"/>
      <c r="FEI162" s="21"/>
      <c r="FEJ162" s="21"/>
      <c r="FEK162" s="7"/>
      <c r="FEL162" s="7"/>
      <c r="FEM162" s="21"/>
      <c r="FEN162" s="20"/>
      <c r="FEO162" s="20"/>
      <c r="FEP162" s="20"/>
      <c r="FEQ162" s="21"/>
      <c r="FER162" s="21"/>
      <c r="FES162" s="21"/>
      <c r="FET162" s="21"/>
      <c r="FEU162" s="21"/>
      <c r="FEV162" s="20"/>
      <c r="FEW162" s="20"/>
      <c r="FEX162" s="20"/>
      <c r="FEY162" s="20"/>
      <c r="FEZ162" s="21"/>
      <c r="FFA162" s="21"/>
      <c r="FFB162" s="7"/>
      <c r="FFC162" s="7"/>
      <c r="FFD162" s="21"/>
      <c r="FFE162" s="20"/>
      <c r="FFF162" s="20"/>
      <c r="FFG162" s="20"/>
      <c r="FFH162" s="21"/>
      <c r="FFI162" s="21"/>
      <c r="FFJ162" s="21"/>
      <c r="FFK162" s="21"/>
      <c r="FFL162" s="21"/>
      <c r="FFM162" s="20"/>
      <c r="FFN162" s="20"/>
      <c r="FFO162" s="20"/>
      <c r="FFP162" s="20"/>
      <c r="FFQ162" s="21"/>
      <c r="FFR162" s="21"/>
      <c r="FFS162" s="7"/>
      <c r="FFT162" s="7"/>
      <c r="FFU162" s="21"/>
      <c r="FFV162" s="20"/>
      <c r="FFW162" s="20"/>
      <c r="FFX162" s="20"/>
      <c r="FFY162" s="21"/>
      <c r="FFZ162" s="21"/>
      <c r="FGA162" s="21"/>
      <c r="FGB162" s="21"/>
      <c r="FGC162" s="21"/>
      <c r="FGD162" s="20"/>
      <c r="FGE162" s="20"/>
      <c r="FGF162" s="20"/>
      <c r="FGG162" s="20"/>
      <c r="FGH162" s="21"/>
      <c r="FGI162" s="21"/>
      <c r="FGJ162" s="7"/>
      <c r="FGK162" s="7"/>
      <c r="FGL162" s="21"/>
      <c r="FGM162" s="20"/>
      <c r="FGN162" s="20"/>
      <c r="FGO162" s="20"/>
      <c r="FGP162" s="21"/>
      <c r="FGQ162" s="21"/>
      <c r="FGR162" s="21"/>
      <c r="FGS162" s="21"/>
      <c r="FGT162" s="21"/>
      <c r="FGU162" s="20"/>
      <c r="FGV162" s="20"/>
      <c r="FGW162" s="20"/>
      <c r="FGX162" s="20"/>
      <c r="FGY162" s="21"/>
      <c r="FGZ162" s="21"/>
      <c r="FHA162" s="7"/>
      <c r="FHB162" s="7"/>
      <c r="FHC162" s="21"/>
      <c r="FHD162" s="20"/>
      <c r="FHE162" s="20"/>
      <c r="FHF162" s="20"/>
      <c r="FHG162" s="21"/>
      <c r="FHH162" s="21"/>
      <c r="FHI162" s="21"/>
      <c r="FHJ162" s="21"/>
      <c r="FHK162" s="21"/>
      <c r="FHL162" s="20"/>
      <c r="FHM162" s="20"/>
      <c r="FHN162" s="20"/>
      <c r="FHO162" s="20"/>
      <c r="FHP162" s="21"/>
      <c r="FHQ162" s="21"/>
      <c r="FHR162" s="7"/>
      <c r="FHS162" s="7"/>
      <c r="FHT162" s="21"/>
      <c r="FHU162" s="20"/>
      <c r="FHV162" s="20"/>
      <c r="FHW162" s="20"/>
      <c r="FHX162" s="21"/>
      <c r="FHY162" s="21"/>
      <c r="FHZ162" s="21"/>
      <c r="FIA162" s="21"/>
      <c r="FIB162" s="21"/>
      <c r="FIC162" s="20"/>
      <c r="FID162" s="20"/>
      <c r="FIE162" s="20"/>
      <c r="FIF162" s="20"/>
      <c r="FIG162" s="21"/>
      <c r="FIH162" s="21"/>
      <c r="FII162" s="7"/>
      <c r="FIJ162" s="7"/>
      <c r="FIK162" s="21"/>
      <c r="FIL162" s="20"/>
      <c r="FIM162" s="20"/>
      <c r="FIN162" s="20"/>
      <c r="FIO162" s="21"/>
      <c r="FIP162" s="21"/>
      <c r="FIQ162" s="21"/>
      <c r="FIR162" s="21"/>
      <c r="FIS162" s="21"/>
      <c r="FIT162" s="20"/>
      <c r="FIU162" s="20"/>
      <c r="FIV162" s="20"/>
      <c r="FIW162" s="20"/>
      <c r="FIX162" s="21"/>
      <c r="FIY162" s="21"/>
      <c r="FIZ162" s="7"/>
      <c r="FJA162" s="7"/>
      <c r="FJB162" s="21"/>
      <c r="FJC162" s="20"/>
      <c r="FJD162" s="20"/>
      <c r="FJE162" s="20"/>
      <c r="FJF162" s="21"/>
      <c r="FJG162" s="21"/>
      <c r="FJH162" s="21"/>
      <c r="FJI162" s="21"/>
      <c r="FJJ162" s="21"/>
      <c r="FJK162" s="20"/>
      <c r="FJL162" s="20"/>
      <c r="FJM162" s="20"/>
      <c r="FJN162" s="20"/>
      <c r="FJO162" s="21"/>
      <c r="FJP162" s="21"/>
      <c r="FJQ162" s="7"/>
      <c r="FJR162" s="7"/>
      <c r="FJS162" s="21"/>
      <c r="FJT162" s="20"/>
      <c r="FJU162" s="20"/>
      <c r="FJV162" s="20"/>
      <c r="FJW162" s="21"/>
      <c r="FJX162" s="21"/>
      <c r="FJY162" s="21"/>
      <c r="FJZ162" s="21"/>
      <c r="FKA162" s="21"/>
      <c r="FKB162" s="20"/>
      <c r="FKC162" s="20"/>
      <c r="FKD162" s="20"/>
      <c r="FKE162" s="20"/>
      <c r="FKF162" s="21"/>
      <c r="FKG162" s="21"/>
      <c r="FKH162" s="7"/>
      <c r="FKI162" s="7"/>
      <c r="FKJ162" s="21"/>
      <c r="FKK162" s="20"/>
      <c r="FKL162" s="20"/>
      <c r="FKM162" s="20"/>
      <c r="FKN162" s="21"/>
      <c r="FKO162" s="21"/>
      <c r="FKP162" s="21"/>
      <c r="FKQ162" s="21"/>
      <c r="FKR162" s="21"/>
      <c r="FKS162" s="20"/>
      <c r="FKT162" s="20"/>
      <c r="FKU162" s="20"/>
      <c r="FKV162" s="20"/>
      <c r="FKW162" s="21"/>
      <c r="FKX162" s="21"/>
      <c r="FKY162" s="7"/>
      <c r="FKZ162" s="7"/>
      <c r="FLA162" s="21"/>
      <c r="FLB162" s="20"/>
      <c r="FLC162" s="20"/>
      <c r="FLD162" s="20"/>
      <c r="FLE162" s="21"/>
      <c r="FLF162" s="21"/>
      <c r="FLG162" s="21"/>
      <c r="FLH162" s="21"/>
      <c r="FLI162" s="21"/>
      <c r="FLJ162" s="20"/>
      <c r="FLK162" s="20"/>
      <c r="FLL162" s="20"/>
      <c r="FLM162" s="20"/>
      <c r="FLN162" s="21"/>
      <c r="FLO162" s="21"/>
      <c r="FLP162" s="7"/>
      <c r="FLQ162" s="7"/>
      <c r="FLR162" s="21"/>
      <c r="FLS162" s="20"/>
      <c r="FLT162" s="20"/>
      <c r="FLU162" s="20"/>
      <c r="FLV162" s="21"/>
      <c r="FLW162" s="21"/>
      <c r="FLX162" s="21"/>
      <c r="FLY162" s="21"/>
      <c r="FLZ162" s="21"/>
      <c r="FMA162" s="20"/>
      <c r="FMB162" s="20"/>
      <c r="FMC162" s="20"/>
      <c r="FMD162" s="20"/>
      <c r="FME162" s="21"/>
      <c r="FMF162" s="21"/>
      <c r="FMG162" s="7"/>
      <c r="FMH162" s="7"/>
      <c r="FMI162" s="21"/>
      <c r="FMJ162" s="20"/>
      <c r="FMK162" s="20"/>
      <c r="FML162" s="20"/>
      <c r="FMM162" s="21"/>
      <c r="FMN162" s="21"/>
      <c r="FMO162" s="21"/>
      <c r="FMP162" s="21"/>
      <c r="FMQ162" s="21"/>
      <c r="FMR162" s="20"/>
      <c r="FMS162" s="20"/>
      <c r="FMT162" s="20"/>
      <c r="FMU162" s="20"/>
      <c r="FMV162" s="21"/>
      <c r="FMW162" s="21"/>
      <c r="FMX162" s="7"/>
      <c r="FMY162" s="7"/>
      <c r="FMZ162" s="21"/>
      <c r="FNA162" s="20"/>
      <c r="FNB162" s="20"/>
      <c r="FNC162" s="20"/>
      <c r="FND162" s="21"/>
      <c r="FNE162" s="21"/>
      <c r="FNF162" s="21"/>
      <c r="FNG162" s="21"/>
      <c r="FNH162" s="21"/>
      <c r="FNI162" s="20"/>
      <c r="FNJ162" s="20"/>
      <c r="FNK162" s="20"/>
      <c r="FNL162" s="20"/>
      <c r="FNM162" s="21"/>
      <c r="FNN162" s="21"/>
      <c r="FNO162" s="7"/>
      <c r="FNP162" s="7"/>
      <c r="FNQ162" s="21"/>
      <c r="FNR162" s="20"/>
      <c r="FNS162" s="20"/>
      <c r="FNT162" s="20"/>
      <c r="FNU162" s="21"/>
      <c r="FNV162" s="21"/>
      <c r="FNW162" s="21"/>
      <c r="FNX162" s="21"/>
      <c r="FNY162" s="21"/>
      <c r="FNZ162" s="20"/>
      <c r="FOA162" s="20"/>
      <c r="FOB162" s="20"/>
      <c r="FOC162" s="20"/>
      <c r="FOD162" s="21"/>
      <c r="FOE162" s="21"/>
      <c r="FOF162" s="7"/>
      <c r="FOG162" s="7"/>
      <c r="FOH162" s="21"/>
      <c r="FOI162" s="20"/>
      <c r="FOJ162" s="20"/>
      <c r="FOK162" s="20"/>
      <c r="FOL162" s="21"/>
      <c r="FOM162" s="21"/>
      <c r="FON162" s="21"/>
      <c r="FOO162" s="21"/>
      <c r="FOP162" s="21"/>
      <c r="FOQ162" s="20"/>
      <c r="FOR162" s="20"/>
      <c r="FOS162" s="20"/>
      <c r="FOT162" s="20"/>
      <c r="FOU162" s="21"/>
      <c r="FOV162" s="21"/>
      <c r="FOW162" s="7"/>
      <c r="FOX162" s="7"/>
      <c r="FOY162" s="21"/>
      <c r="FOZ162" s="20"/>
      <c r="FPA162" s="20"/>
      <c r="FPB162" s="20"/>
      <c r="FPC162" s="21"/>
      <c r="FPD162" s="21"/>
      <c r="FPE162" s="21"/>
      <c r="FPF162" s="21"/>
      <c r="FPG162" s="21"/>
      <c r="FPH162" s="20"/>
      <c r="FPI162" s="20"/>
      <c r="FPJ162" s="20"/>
      <c r="FPK162" s="20"/>
      <c r="FPL162" s="21"/>
      <c r="FPM162" s="21"/>
      <c r="FPN162" s="7"/>
      <c r="FPO162" s="7"/>
      <c r="FPP162" s="21"/>
      <c r="FPQ162" s="20"/>
      <c r="FPR162" s="20"/>
      <c r="FPS162" s="20"/>
      <c r="FPT162" s="21"/>
      <c r="FPU162" s="21"/>
      <c r="FPV162" s="21"/>
      <c r="FPW162" s="21"/>
      <c r="FPX162" s="21"/>
      <c r="FPY162" s="20"/>
      <c r="FPZ162" s="20"/>
      <c r="FQA162" s="20"/>
      <c r="FQB162" s="20"/>
      <c r="FQC162" s="21"/>
      <c r="FQD162" s="21"/>
      <c r="FQE162" s="7"/>
      <c r="FQF162" s="7"/>
      <c r="FQG162" s="21"/>
      <c r="FQH162" s="20"/>
      <c r="FQI162" s="20"/>
      <c r="FQJ162" s="20"/>
      <c r="FQK162" s="21"/>
      <c r="FQL162" s="21"/>
      <c r="FQM162" s="21"/>
      <c r="FQN162" s="21"/>
      <c r="FQO162" s="21"/>
      <c r="FQP162" s="20"/>
      <c r="FQQ162" s="20"/>
      <c r="FQR162" s="20"/>
      <c r="FQS162" s="20"/>
      <c r="FQT162" s="21"/>
      <c r="FQU162" s="21"/>
      <c r="FQV162" s="7"/>
      <c r="FQW162" s="7"/>
      <c r="FQX162" s="21"/>
      <c r="FQY162" s="20"/>
      <c r="FQZ162" s="20"/>
      <c r="FRA162" s="20"/>
      <c r="FRB162" s="21"/>
      <c r="FRC162" s="21"/>
      <c r="FRD162" s="21"/>
      <c r="FRE162" s="21"/>
      <c r="FRF162" s="21"/>
      <c r="FRG162" s="20"/>
      <c r="FRH162" s="20"/>
      <c r="FRI162" s="20"/>
      <c r="FRJ162" s="20"/>
      <c r="FRK162" s="21"/>
      <c r="FRL162" s="21"/>
      <c r="FRM162" s="7"/>
      <c r="FRN162" s="7"/>
      <c r="FRO162" s="21"/>
      <c r="FRP162" s="20"/>
      <c r="FRQ162" s="20"/>
      <c r="FRR162" s="20"/>
      <c r="FRS162" s="21"/>
      <c r="FRT162" s="21"/>
      <c r="FRU162" s="21"/>
      <c r="FRV162" s="21"/>
      <c r="FRW162" s="21"/>
      <c r="FRX162" s="20"/>
      <c r="FRY162" s="20"/>
      <c r="FRZ162" s="20"/>
      <c r="FSA162" s="20"/>
      <c r="FSB162" s="21"/>
      <c r="FSC162" s="21"/>
      <c r="FSD162" s="7"/>
      <c r="FSE162" s="7"/>
      <c r="FSF162" s="21"/>
      <c r="FSG162" s="20"/>
      <c r="FSH162" s="20"/>
      <c r="FSI162" s="20"/>
      <c r="FSJ162" s="21"/>
      <c r="FSK162" s="21"/>
      <c r="FSL162" s="21"/>
      <c r="FSM162" s="21"/>
      <c r="FSN162" s="21"/>
      <c r="FSO162" s="20"/>
      <c r="FSP162" s="20"/>
      <c r="FSQ162" s="20"/>
      <c r="FSR162" s="20"/>
      <c r="FSS162" s="21"/>
      <c r="FST162" s="21"/>
      <c r="FSU162" s="7"/>
      <c r="FSV162" s="7"/>
      <c r="FSW162" s="21"/>
      <c r="FSX162" s="20"/>
      <c r="FSY162" s="20"/>
      <c r="FSZ162" s="20"/>
      <c r="FTA162" s="21"/>
      <c r="FTB162" s="21"/>
      <c r="FTC162" s="21"/>
      <c r="FTD162" s="21"/>
      <c r="FTE162" s="21"/>
      <c r="FTF162" s="20"/>
      <c r="FTG162" s="20"/>
      <c r="FTH162" s="20"/>
      <c r="FTI162" s="20"/>
      <c r="FTJ162" s="21"/>
      <c r="FTK162" s="21"/>
      <c r="FTL162" s="7"/>
      <c r="FTM162" s="7"/>
      <c r="FTN162" s="21"/>
      <c r="FTO162" s="20"/>
      <c r="FTP162" s="20"/>
      <c r="FTQ162" s="20"/>
      <c r="FTR162" s="21"/>
      <c r="FTS162" s="21"/>
      <c r="FTT162" s="21"/>
      <c r="FTU162" s="21"/>
      <c r="FTV162" s="21"/>
      <c r="FTW162" s="20"/>
      <c r="FTX162" s="20"/>
      <c r="FTY162" s="20"/>
      <c r="FTZ162" s="20"/>
      <c r="FUA162" s="21"/>
      <c r="FUB162" s="21"/>
      <c r="FUC162" s="7"/>
      <c r="FUD162" s="7"/>
      <c r="FUE162" s="21"/>
      <c r="FUF162" s="20"/>
      <c r="FUG162" s="20"/>
      <c r="FUH162" s="20"/>
      <c r="FUI162" s="21"/>
      <c r="FUJ162" s="21"/>
      <c r="FUK162" s="21"/>
      <c r="FUL162" s="21"/>
      <c r="FUM162" s="21"/>
      <c r="FUN162" s="20"/>
      <c r="FUO162" s="20"/>
      <c r="FUP162" s="20"/>
      <c r="FUQ162" s="20"/>
      <c r="FUR162" s="21"/>
      <c r="FUS162" s="21"/>
      <c r="FUT162" s="7"/>
      <c r="FUU162" s="7"/>
      <c r="FUV162" s="21"/>
      <c r="FUW162" s="20"/>
      <c r="FUX162" s="20"/>
      <c r="FUY162" s="20"/>
      <c r="FUZ162" s="21"/>
      <c r="FVA162" s="21"/>
      <c r="FVB162" s="21"/>
      <c r="FVC162" s="21"/>
      <c r="FVD162" s="21"/>
      <c r="FVE162" s="20"/>
      <c r="FVF162" s="20"/>
      <c r="FVG162" s="20"/>
      <c r="FVH162" s="20"/>
      <c r="FVI162" s="21"/>
      <c r="FVJ162" s="21"/>
      <c r="FVK162" s="7"/>
      <c r="FVL162" s="7"/>
      <c r="FVM162" s="21"/>
      <c r="FVN162" s="20"/>
      <c r="FVO162" s="20"/>
      <c r="FVP162" s="20"/>
      <c r="FVQ162" s="21"/>
      <c r="FVR162" s="21"/>
      <c r="FVS162" s="21"/>
      <c r="FVT162" s="21"/>
      <c r="FVU162" s="21"/>
      <c r="FVV162" s="20"/>
      <c r="FVW162" s="20"/>
      <c r="FVX162" s="20"/>
      <c r="FVY162" s="20"/>
      <c r="FVZ162" s="21"/>
      <c r="FWA162" s="21"/>
      <c r="FWB162" s="7"/>
      <c r="FWC162" s="7"/>
      <c r="FWD162" s="21"/>
      <c r="FWE162" s="20"/>
      <c r="FWF162" s="20"/>
      <c r="FWG162" s="20"/>
      <c r="FWH162" s="21"/>
      <c r="FWI162" s="21"/>
      <c r="FWJ162" s="21"/>
      <c r="FWK162" s="21"/>
      <c r="FWL162" s="21"/>
      <c r="FWM162" s="20"/>
      <c r="FWN162" s="20"/>
      <c r="FWO162" s="20"/>
      <c r="FWP162" s="20"/>
      <c r="FWQ162" s="21"/>
      <c r="FWR162" s="21"/>
      <c r="FWS162" s="7"/>
      <c r="FWT162" s="7"/>
      <c r="FWU162" s="21"/>
      <c r="FWV162" s="20"/>
      <c r="FWW162" s="20"/>
      <c r="FWX162" s="20"/>
      <c r="FWY162" s="21"/>
      <c r="FWZ162" s="21"/>
      <c r="FXA162" s="21"/>
      <c r="FXB162" s="21"/>
      <c r="FXC162" s="21"/>
      <c r="FXD162" s="20"/>
      <c r="FXE162" s="20"/>
      <c r="FXF162" s="20"/>
      <c r="FXG162" s="20"/>
      <c r="FXH162" s="21"/>
      <c r="FXI162" s="21"/>
      <c r="FXJ162" s="7"/>
      <c r="FXK162" s="7"/>
      <c r="FXL162" s="21"/>
      <c r="FXM162" s="20"/>
      <c r="FXN162" s="20"/>
      <c r="FXO162" s="20"/>
      <c r="FXP162" s="21"/>
      <c r="FXQ162" s="21"/>
      <c r="FXR162" s="21"/>
      <c r="FXS162" s="21"/>
      <c r="FXT162" s="21"/>
      <c r="FXU162" s="20"/>
      <c r="FXV162" s="20"/>
      <c r="FXW162" s="20"/>
      <c r="FXX162" s="20"/>
      <c r="FXY162" s="21"/>
      <c r="FXZ162" s="21"/>
      <c r="FYA162" s="7"/>
      <c r="FYB162" s="7"/>
      <c r="FYC162" s="21"/>
      <c r="FYD162" s="20"/>
      <c r="FYE162" s="20"/>
      <c r="FYF162" s="20"/>
      <c r="FYG162" s="21"/>
      <c r="FYH162" s="21"/>
      <c r="FYI162" s="21"/>
      <c r="FYJ162" s="21"/>
      <c r="FYK162" s="21"/>
      <c r="FYL162" s="20"/>
      <c r="FYM162" s="20"/>
      <c r="FYN162" s="20"/>
      <c r="FYO162" s="20"/>
      <c r="FYP162" s="21"/>
      <c r="FYQ162" s="21"/>
      <c r="FYR162" s="7"/>
      <c r="FYS162" s="7"/>
      <c r="FYT162" s="21"/>
      <c r="FYU162" s="20"/>
      <c r="FYV162" s="20"/>
      <c r="FYW162" s="20"/>
      <c r="FYX162" s="21"/>
      <c r="FYY162" s="21"/>
      <c r="FYZ162" s="21"/>
      <c r="FZA162" s="21"/>
      <c r="FZB162" s="21"/>
      <c r="FZC162" s="20"/>
      <c r="FZD162" s="20"/>
      <c r="FZE162" s="20"/>
      <c r="FZF162" s="20"/>
      <c r="FZG162" s="21"/>
      <c r="FZH162" s="21"/>
      <c r="FZI162" s="7"/>
      <c r="FZJ162" s="7"/>
      <c r="FZK162" s="21"/>
      <c r="FZL162" s="20"/>
      <c r="FZM162" s="20"/>
      <c r="FZN162" s="20"/>
      <c r="FZO162" s="21"/>
      <c r="FZP162" s="21"/>
      <c r="FZQ162" s="21"/>
      <c r="FZR162" s="21"/>
      <c r="FZS162" s="21"/>
      <c r="FZT162" s="20"/>
      <c r="FZU162" s="20"/>
      <c r="FZV162" s="20"/>
      <c r="FZW162" s="20"/>
      <c r="FZX162" s="21"/>
      <c r="FZY162" s="21"/>
      <c r="FZZ162" s="7"/>
      <c r="GAA162" s="7"/>
      <c r="GAB162" s="21"/>
      <c r="GAC162" s="20"/>
      <c r="GAD162" s="20"/>
      <c r="GAE162" s="20"/>
      <c r="GAF162" s="21"/>
      <c r="GAG162" s="21"/>
      <c r="GAH162" s="21"/>
      <c r="GAI162" s="21"/>
      <c r="GAJ162" s="21"/>
      <c r="GAK162" s="20"/>
      <c r="GAL162" s="20"/>
      <c r="GAM162" s="20"/>
      <c r="GAN162" s="20"/>
      <c r="GAO162" s="21"/>
      <c r="GAP162" s="21"/>
      <c r="GAQ162" s="7"/>
      <c r="GAR162" s="7"/>
      <c r="GAS162" s="21"/>
      <c r="GAT162" s="20"/>
      <c r="GAU162" s="20"/>
      <c r="GAV162" s="20"/>
      <c r="GAW162" s="21"/>
      <c r="GAX162" s="21"/>
      <c r="GAY162" s="21"/>
      <c r="GAZ162" s="21"/>
      <c r="GBA162" s="21"/>
      <c r="GBB162" s="20"/>
      <c r="GBC162" s="20"/>
      <c r="GBD162" s="20"/>
      <c r="GBE162" s="20"/>
      <c r="GBF162" s="21"/>
      <c r="GBG162" s="21"/>
      <c r="GBH162" s="7"/>
      <c r="GBI162" s="7"/>
      <c r="GBJ162" s="21"/>
      <c r="GBK162" s="20"/>
      <c r="GBL162" s="20"/>
      <c r="GBM162" s="20"/>
      <c r="GBN162" s="21"/>
      <c r="GBO162" s="21"/>
      <c r="GBP162" s="21"/>
      <c r="GBQ162" s="21"/>
      <c r="GBR162" s="21"/>
      <c r="GBS162" s="20"/>
      <c r="GBT162" s="20"/>
      <c r="GBU162" s="20"/>
      <c r="GBV162" s="20"/>
      <c r="GBW162" s="21"/>
      <c r="GBX162" s="21"/>
      <c r="GBY162" s="7"/>
      <c r="GBZ162" s="7"/>
      <c r="GCA162" s="21"/>
      <c r="GCB162" s="20"/>
      <c r="GCC162" s="20"/>
      <c r="GCD162" s="20"/>
      <c r="GCE162" s="21"/>
      <c r="GCF162" s="21"/>
      <c r="GCG162" s="21"/>
      <c r="GCH162" s="21"/>
      <c r="GCI162" s="21"/>
      <c r="GCJ162" s="20"/>
      <c r="GCK162" s="20"/>
      <c r="GCL162" s="20"/>
      <c r="GCM162" s="20"/>
      <c r="GCN162" s="21"/>
      <c r="GCO162" s="21"/>
      <c r="GCP162" s="7"/>
      <c r="GCQ162" s="7"/>
      <c r="GCR162" s="21"/>
      <c r="GCS162" s="20"/>
      <c r="GCT162" s="20"/>
      <c r="GCU162" s="20"/>
      <c r="GCV162" s="21"/>
      <c r="GCW162" s="21"/>
      <c r="GCX162" s="21"/>
      <c r="GCY162" s="21"/>
      <c r="GCZ162" s="21"/>
      <c r="GDA162" s="20"/>
      <c r="GDB162" s="20"/>
      <c r="GDC162" s="20"/>
      <c r="GDD162" s="20"/>
      <c r="GDE162" s="21"/>
      <c r="GDF162" s="21"/>
      <c r="GDG162" s="7"/>
      <c r="GDH162" s="7"/>
      <c r="GDI162" s="21"/>
      <c r="GDJ162" s="20"/>
      <c r="GDK162" s="20"/>
      <c r="GDL162" s="20"/>
      <c r="GDM162" s="21"/>
      <c r="GDN162" s="21"/>
      <c r="GDO162" s="21"/>
      <c r="GDP162" s="21"/>
      <c r="GDQ162" s="21"/>
      <c r="GDR162" s="20"/>
      <c r="GDS162" s="20"/>
      <c r="GDT162" s="20"/>
      <c r="GDU162" s="20"/>
      <c r="GDV162" s="21"/>
      <c r="GDW162" s="21"/>
      <c r="GDX162" s="7"/>
      <c r="GDY162" s="7"/>
      <c r="GDZ162" s="21"/>
      <c r="GEA162" s="20"/>
      <c r="GEB162" s="20"/>
      <c r="GEC162" s="20"/>
      <c r="GED162" s="21"/>
      <c r="GEE162" s="21"/>
      <c r="GEF162" s="21"/>
      <c r="GEG162" s="21"/>
      <c r="GEH162" s="21"/>
      <c r="GEI162" s="20"/>
      <c r="GEJ162" s="20"/>
      <c r="GEK162" s="20"/>
      <c r="GEL162" s="20"/>
      <c r="GEM162" s="21"/>
      <c r="GEN162" s="21"/>
      <c r="GEO162" s="7"/>
      <c r="GEP162" s="7"/>
      <c r="GEQ162" s="21"/>
      <c r="GER162" s="20"/>
      <c r="GES162" s="20"/>
      <c r="GET162" s="20"/>
      <c r="GEU162" s="21"/>
      <c r="GEV162" s="21"/>
      <c r="GEW162" s="21"/>
      <c r="GEX162" s="21"/>
      <c r="GEY162" s="21"/>
      <c r="GEZ162" s="20"/>
      <c r="GFA162" s="20"/>
      <c r="GFB162" s="20"/>
      <c r="GFC162" s="20"/>
      <c r="GFD162" s="21"/>
      <c r="GFE162" s="21"/>
      <c r="GFF162" s="7"/>
      <c r="GFG162" s="7"/>
      <c r="GFH162" s="21"/>
      <c r="GFI162" s="20"/>
      <c r="GFJ162" s="20"/>
      <c r="GFK162" s="20"/>
      <c r="GFL162" s="21"/>
      <c r="GFM162" s="21"/>
      <c r="GFN162" s="21"/>
      <c r="GFO162" s="21"/>
      <c r="GFP162" s="21"/>
      <c r="GFQ162" s="20"/>
      <c r="GFR162" s="20"/>
      <c r="GFS162" s="20"/>
      <c r="GFT162" s="20"/>
      <c r="GFU162" s="21"/>
      <c r="GFV162" s="21"/>
      <c r="GFW162" s="7"/>
      <c r="GFX162" s="7"/>
      <c r="GFY162" s="21"/>
      <c r="GFZ162" s="20"/>
      <c r="GGA162" s="20"/>
      <c r="GGB162" s="20"/>
      <c r="GGC162" s="21"/>
      <c r="GGD162" s="21"/>
      <c r="GGE162" s="21"/>
      <c r="GGF162" s="21"/>
      <c r="GGG162" s="21"/>
      <c r="GGH162" s="20"/>
      <c r="GGI162" s="20"/>
      <c r="GGJ162" s="20"/>
      <c r="GGK162" s="20"/>
      <c r="GGL162" s="21"/>
      <c r="GGM162" s="21"/>
      <c r="GGN162" s="7"/>
      <c r="GGO162" s="7"/>
      <c r="GGP162" s="21"/>
      <c r="GGQ162" s="20"/>
      <c r="GGR162" s="20"/>
      <c r="GGS162" s="20"/>
      <c r="GGT162" s="21"/>
      <c r="GGU162" s="21"/>
      <c r="GGV162" s="21"/>
      <c r="GGW162" s="21"/>
      <c r="GGX162" s="21"/>
      <c r="GGY162" s="20"/>
      <c r="GGZ162" s="20"/>
      <c r="GHA162" s="20"/>
      <c r="GHB162" s="20"/>
      <c r="GHC162" s="21"/>
      <c r="GHD162" s="21"/>
      <c r="GHE162" s="7"/>
      <c r="GHF162" s="7"/>
      <c r="GHG162" s="21"/>
      <c r="GHH162" s="20"/>
      <c r="GHI162" s="20"/>
      <c r="GHJ162" s="20"/>
      <c r="GHK162" s="21"/>
      <c r="GHL162" s="21"/>
      <c r="GHM162" s="21"/>
      <c r="GHN162" s="21"/>
      <c r="GHO162" s="21"/>
      <c r="GHP162" s="20"/>
      <c r="GHQ162" s="20"/>
      <c r="GHR162" s="20"/>
      <c r="GHS162" s="20"/>
      <c r="GHT162" s="21"/>
      <c r="GHU162" s="21"/>
      <c r="GHV162" s="7"/>
      <c r="GHW162" s="7"/>
      <c r="GHX162" s="21"/>
      <c r="GHY162" s="20"/>
      <c r="GHZ162" s="20"/>
      <c r="GIA162" s="20"/>
      <c r="GIB162" s="21"/>
      <c r="GIC162" s="21"/>
      <c r="GID162" s="21"/>
      <c r="GIE162" s="21"/>
      <c r="GIF162" s="21"/>
      <c r="GIG162" s="20"/>
      <c r="GIH162" s="20"/>
      <c r="GII162" s="20"/>
      <c r="GIJ162" s="20"/>
      <c r="GIK162" s="21"/>
      <c r="GIL162" s="21"/>
      <c r="GIM162" s="7"/>
      <c r="GIN162" s="7"/>
      <c r="GIO162" s="21"/>
      <c r="GIP162" s="20"/>
      <c r="GIQ162" s="20"/>
      <c r="GIR162" s="20"/>
      <c r="GIS162" s="21"/>
      <c r="GIT162" s="21"/>
      <c r="GIU162" s="21"/>
      <c r="GIV162" s="21"/>
      <c r="GIW162" s="21"/>
      <c r="GIX162" s="20"/>
      <c r="GIY162" s="20"/>
      <c r="GIZ162" s="20"/>
      <c r="GJA162" s="20"/>
      <c r="GJB162" s="21"/>
      <c r="GJC162" s="21"/>
      <c r="GJD162" s="7"/>
      <c r="GJE162" s="7"/>
      <c r="GJF162" s="21"/>
      <c r="GJG162" s="20"/>
      <c r="GJH162" s="20"/>
      <c r="GJI162" s="20"/>
      <c r="GJJ162" s="21"/>
      <c r="GJK162" s="21"/>
      <c r="GJL162" s="21"/>
      <c r="GJM162" s="21"/>
      <c r="GJN162" s="21"/>
      <c r="GJO162" s="20"/>
      <c r="GJP162" s="20"/>
      <c r="GJQ162" s="20"/>
      <c r="GJR162" s="20"/>
      <c r="GJS162" s="21"/>
      <c r="GJT162" s="21"/>
      <c r="GJU162" s="7"/>
      <c r="GJV162" s="7"/>
      <c r="GJW162" s="21"/>
      <c r="GJX162" s="20"/>
      <c r="GJY162" s="20"/>
      <c r="GJZ162" s="20"/>
      <c r="GKA162" s="21"/>
      <c r="GKB162" s="21"/>
      <c r="GKC162" s="21"/>
      <c r="GKD162" s="21"/>
      <c r="GKE162" s="21"/>
      <c r="GKF162" s="20"/>
      <c r="GKG162" s="20"/>
      <c r="GKH162" s="20"/>
      <c r="GKI162" s="20"/>
      <c r="GKJ162" s="21"/>
      <c r="GKK162" s="21"/>
      <c r="GKL162" s="7"/>
      <c r="GKM162" s="7"/>
      <c r="GKN162" s="21"/>
      <c r="GKO162" s="20"/>
      <c r="GKP162" s="20"/>
      <c r="GKQ162" s="20"/>
      <c r="GKR162" s="21"/>
      <c r="GKS162" s="21"/>
      <c r="GKT162" s="21"/>
      <c r="GKU162" s="21"/>
      <c r="GKV162" s="21"/>
      <c r="GKW162" s="20"/>
      <c r="GKX162" s="20"/>
      <c r="GKY162" s="20"/>
      <c r="GKZ162" s="20"/>
      <c r="GLA162" s="21"/>
      <c r="GLB162" s="21"/>
      <c r="GLC162" s="7"/>
      <c r="GLD162" s="7"/>
      <c r="GLE162" s="21"/>
      <c r="GLF162" s="20"/>
      <c r="GLG162" s="20"/>
      <c r="GLH162" s="20"/>
      <c r="GLI162" s="21"/>
      <c r="GLJ162" s="21"/>
      <c r="GLK162" s="21"/>
      <c r="GLL162" s="21"/>
      <c r="GLM162" s="21"/>
      <c r="GLN162" s="20"/>
      <c r="GLO162" s="20"/>
      <c r="GLP162" s="20"/>
      <c r="GLQ162" s="20"/>
      <c r="GLR162" s="21"/>
      <c r="GLS162" s="21"/>
      <c r="GLT162" s="7"/>
      <c r="GLU162" s="7"/>
      <c r="GLV162" s="21"/>
      <c r="GLW162" s="20"/>
      <c r="GLX162" s="20"/>
      <c r="GLY162" s="20"/>
      <c r="GLZ162" s="21"/>
      <c r="GMA162" s="21"/>
      <c r="GMB162" s="21"/>
      <c r="GMC162" s="21"/>
      <c r="GMD162" s="21"/>
      <c r="GME162" s="20"/>
      <c r="GMF162" s="20"/>
      <c r="GMG162" s="20"/>
      <c r="GMH162" s="20"/>
      <c r="GMI162" s="21"/>
      <c r="GMJ162" s="21"/>
      <c r="GMK162" s="7"/>
      <c r="GML162" s="7"/>
      <c r="GMM162" s="21"/>
      <c r="GMN162" s="20"/>
      <c r="GMO162" s="20"/>
      <c r="GMP162" s="20"/>
      <c r="GMQ162" s="21"/>
      <c r="GMR162" s="21"/>
      <c r="GMS162" s="21"/>
      <c r="GMT162" s="21"/>
      <c r="GMU162" s="21"/>
      <c r="GMV162" s="20"/>
      <c r="GMW162" s="20"/>
      <c r="GMX162" s="20"/>
      <c r="GMY162" s="20"/>
      <c r="GMZ162" s="21"/>
      <c r="GNA162" s="21"/>
      <c r="GNB162" s="7"/>
      <c r="GNC162" s="7"/>
      <c r="GND162" s="21"/>
      <c r="GNE162" s="20"/>
      <c r="GNF162" s="20"/>
      <c r="GNG162" s="20"/>
      <c r="GNH162" s="21"/>
      <c r="GNI162" s="21"/>
      <c r="GNJ162" s="21"/>
      <c r="GNK162" s="21"/>
      <c r="GNL162" s="21"/>
      <c r="GNM162" s="20"/>
      <c r="GNN162" s="20"/>
      <c r="GNO162" s="20"/>
      <c r="GNP162" s="20"/>
      <c r="GNQ162" s="21"/>
      <c r="GNR162" s="21"/>
      <c r="GNS162" s="7"/>
      <c r="GNT162" s="7"/>
      <c r="GNU162" s="21"/>
      <c r="GNV162" s="20"/>
      <c r="GNW162" s="20"/>
      <c r="GNX162" s="20"/>
      <c r="GNY162" s="21"/>
      <c r="GNZ162" s="21"/>
      <c r="GOA162" s="21"/>
      <c r="GOB162" s="21"/>
      <c r="GOC162" s="21"/>
      <c r="GOD162" s="20"/>
      <c r="GOE162" s="20"/>
      <c r="GOF162" s="20"/>
      <c r="GOG162" s="20"/>
      <c r="GOH162" s="21"/>
      <c r="GOI162" s="21"/>
      <c r="GOJ162" s="7"/>
      <c r="GOK162" s="7"/>
      <c r="GOL162" s="21"/>
      <c r="GOM162" s="20"/>
      <c r="GON162" s="20"/>
      <c r="GOO162" s="20"/>
      <c r="GOP162" s="21"/>
      <c r="GOQ162" s="21"/>
      <c r="GOR162" s="21"/>
      <c r="GOS162" s="21"/>
      <c r="GOT162" s="21"/>
      <c r="GOU162" s="20"/>
      <c r="GOV162" s="20"/>
      <c r="GOW162" s="20"/>
      <c r="GOX162" s="20"/>
      <c r="GOY162" s="21"/>
      <c r="GOZ162" s="21"/>
      <c r="GPA162" s="7"/>
      <c r="GPB162" s="7"/>
      <c r="GPC162" s="21"/>
      <c r="GPD162" s="20"/>
      <c r="GPE162" s="20"/>
      <c r="GPF162" s="20"/>
      <c r="GPG162" s="21"/>
      <c r="GPH162" s="21"/>
      <c r="GPI162" s="21"/>
      <c r="GPJ162" s="21"/>
      <c r="GPK162" s="21"/>
      <c r="GPL162" s="20"/>
      <c r="GPM162" s="20"/>
      <c r="GPN162" s="20"/>
      <c r="GPO162" s="20"/>
      <c r="GPP162" s="21"/>
      <c r="GPQ162" s="21"/>
      <c r="GPR162" s="7"/>
      <c r="GPS162" s="7"/>
      <c r="GPT162" s="21"/>
      <c r="GPU162" s="20"/>
      <c r="GPV162" s="20"/>
      <c r="GPW162" s="20"/>
      <c r="GPX162" s="21"/>
      <c r="GPY162" s="21"/>
      <c r="GPZ162" s="21"/>
      <c r="GQA162" s="21"/>
      <c r="GQB162" s="21"/>
      <c r="GQC162" s="20"/>
      <c r="GQD162" s="20"/>
      <c r="GQE162" s="20"/>
      <c r="GQF162" s="20"/>
      <c r="GQG162" s="21"/>
      <c r="GQH162" s="21"/>
      <c r="GQI162" s="7"/>
      <c r="GQJ162" s="7"/>
      <c r="GQK162" s="21"/>
      <c r="GQL162" s="20"/>
      <c r="GQM162" s="20"/>
      <c r="GQN162" s="20"/>
      <c r="GQO162" s="21"/>
      <c r="GQP162" s="21"/>
      <c r="GQQ162" s="21"/>
      <c r="GQR162" s="21"/>
      <c r="GQS162" s="21"/>
      <c r="GQT162" s="20"/>
      <c r="GQU162" s="20"/>
      <c r="GQV162" s="20"/>
      <c r="GQW162" s="20"/>
      <c r="GQX162" s="21"/>
      <c r="GQY162" s="21"/>
      <c r="GQZ162" s="7"/>
      <c r="GRA162" s="7"/>
      <c r="GRB162" s="21"/>
      <c r="GRC162" s="20"/>
      <c r="GRD162" s="20"/>
      <c r="GRE162" s="20"/>
      <c r="GRF162" s="21"/>
      <c r="GRG162" s="21"/>
      <c r="GRH162" s="21"/>
      <c r="GRI162" s="21"/>
      <c r="GRJ162" s="21"/>
      <c r="GRK162" s="20"/>
      <c r="GRL162" s="20"/>
      <c r="GRM162" s="20"/>
      <c r="GRN162" s="20"/>
      <c r="GRO162" s="21"/>
      <c r="GRP162" s="21"/>
      <c r="GRQ162" s="7"/>
      <c r="GRR162" s="7"/>
      <c r="GRS162" s="21"/>
      <c r="GRT162" s="20"/>
      <c r="GRU162" s="20"/>
      <c r="GRV162" s="20"/>
      <c r="GRW162" s="21"/>
      <c r="GRX162" s="21"/>
      <c r="GRY162" s="21"/>
      <c r="GRZ162" s="21"/>
      <c r="GSA162" s="21"/>
      <c r="GSB162" s="20"/>
      <c r="GSC162" s="20"/>
      <c r="GSD162" s="20"/>
      <c r="GSE162" s="20"/>
      <c r="GSF162" s="21"/>
      <c r="GSG162" s="21"/>
      <c r="GSH162" s="7"/>
      <c r="GSI162" s="7"/>
      <c r="GSJ162" s="21"/>
      <c r="GSK162" s="20"/>
      <c r="GSL162" s="20"/>
      <c r="GSM162" s="20"/>
      <c r="GSN162" s="21"/>
      <c r="GSO162" s="21"/>
      <c r="GSP162" s="21"/>
      <c r="GSQ162" s="21"/>
      <c r="GSR162" s="21"/>
      <c r="GSS162" s="20"/>
      <c r="GST162" s="20"/>
      <c r="GSU162" s="20"/>
      <c r="GSV162" s="20"/>
      <c r="GSW162" s="21"/>
      <c r="GSX162" s="21"/>
      <c r="GSY162" s="7"/>
      <c r="GSZ162" s="7"/>
      <c r="GTA162" s="21"/>
      <c r="GTB162" s="20"/>
      <c r="GTC162" s="20"/>
      <c r="GTD162" s="20"/>
      <c r="GTE162" s="21"/>
      <c r="GTF162" s="21"/>
      <c r="GTG162" s="21"/>
      <c r="GTH162" s="21"/>
      <c r="GTI162" s="21"/>
      <c r="GTJ162" s="20"/>
      <c r="GTK162" s="20"/>
      <c r="GTL162" s="20"/>
      <c r="GTM162" s="20"/>
      <c r="GTN162" s="21"/>
      <c r="GTO162" s="21"/>
      <c r="GTP162" s="7"/>
      <c r="GTQ162" s="7"/>
      <c r="GTR162" s="21"/>
      <c r="GTS162" s="20"/>
      <c r="GTT162" s="20"/>
      <c r="GTU162" s="20"/>
      <c r="GTV162" s="21"/>
      <c r="GTW162" s="21"/>
      <c r="GTX162" s="21"/>
      <c r="GTY162" s="21"/>
      <c r="GTZ162" s="21"/>
      <c r="GUA162" s="20"/>
      <c r="GUB162" s="20"/>
      <c r="GUC162" s="20"/>
      <c r="GUD162" s="20"/>
      <c r="GUE162" s="21"/>
      <c r="GUF162" s="21"/>
      <c r="GUG162" s="7"/>
      <c r="GUH162" s="7"/>
      <c r="GUI162" s="21"/>
      <c r="GUJ162" s="20"/>
      <c r="GUK162" s="20"/>
      <c r="GUL162" s="20"/>
      <c r="GUM162" s="21"/>
      <c r="GUN162" s="21"/>
      <c r="GUO162" s="21"/>
      <c r="GUP162" s="21"/>
      <c r="GUQ162" s="21"/>
      <c r="GUR162" s="20"/>
      <c r="GUS162" s="20"/>
      <c r="GUT162" s="20"/>
      <c r="GUU162" s="20"/>
      <c r="GUV162" s="21"/>
      <c r="GUW162" s="21"/>
      <c r="GUX162" s="7"/>
      <c r="GUY162" s="7"/>
      <c r="GUZ162" s="21"/>
      <c r="GVA162" s="20"/>
      <c r="GVB162" s="20"/>
      <c r="GVC162" s="20"/>
      <c r="GVD162" s="21"/>
      <c r="GVE162" s="21"/>
      <c r="GVF162" s="21"/>
      <c r="GVG162" s="21"/>
      <c r="GVH162" s="21"/>
      <c r="GVI162" s="20"/>
      <c r="GVJ162" s="20"/>
      <c r="GVK162" s="20"/>
      <c r="GVL162" s="20"/>
      <c r="GVM162" s="21"/>
      <c r="GVN162" s="21"/>
      <c r="GVO162" s="7"/>
      <c r="GVP162" s="7"/>
      <c r="GVQ162" s="21"/>
      <c r="GVR162" s="20"/>
      <c r="GVS162" s="20"/>
      <c r="GVT162" s="20"/>
      <c r="GVU162" s="21"/>
      <c r="GVV162" s="21"/>
      <c r="GVW162" s="21"/>
      <c r="GVX162" s="21"/>
      <c r="GVY162" s="21"/>
      <c r="GVZ162" s="20"/>
      <c r="GWA162" s="20"/>
      <c r="GWB162" s="20"/>
      <c r="GWC162" s="20"/>
      <c r="GWD162" s="21"/>
      <c r="GWE162" s="21"/>
      <c r="GWF162" s="7"/>
      <c r="GWG162" s="7"/>
      <c r="GWH162" s="21"/>
      <c r="GWI162" s="20"/>
      <c r="GWJ162" s="20"/>
      <c r="GWK162" s="20"/>
      <c r="GWL162" s="21"/>
      <c r="GWM162" s="21"/>
      <c r="GWN162" s="21"/>
      <c r="GWO162" s="21"/>
      <c r="GWP162" s="21"/>
      <c r="GWQ162" s="20"/>
      <c r="GWR162" s="20"/>
      <c r="GWS162" s="20"/>
      <c r="GWT162" s="20"/>
      <c r="GWU162" s="21"/>
      <c r="GWV162" s="21"/>
      <c r="GWW162" s="7"/>
      <c r="GWX162" s="7"/>
      <c r="GWY162" s="21"/>
      <c r="GWZ162" s="20"/>
      <c r="GXA162" s="20"/>
      <c r="GXB162" s="20"/>
      <c r="GXC162" s="21"/>
      <c r="GXD162" s="21"/>
      <c r="GXE162" s="21"/>
      <c r="GXF162" s="21"/>
      <c r="GXG162" s="21"/>
      <c r="GXH162" s="20"/>
      <c r="GXI162" s="20"/>
      <c r="GXJ162" s="20"/>
      <c r="GXK162" s="20"/>
      <c r="GXL162" s="21"/>
      <c r="GXM162" s="21"/>
      <c r="GXN162" s="7"/>
      <c r="GXO162" s="7"/>
      <c r="GXP162" s="21"/>
      <c r="GXQ162" s="20"/>
      <c r="GXR162" s="20"/>
      <c r="GXS162" s="20"/>
      <c r="GXT162" s="21"/>
      <c r="GXU162" s="21"/>
      <c r="GXV162" s="21"/>
      <c r="GXW162" s="21"/>
      <c r="GXX162" s="21"/>
      <c r="GXY162" s="20"/>
      <c r="GXZ162" s="20"/>
      <c r="GYA162" s="20"/>
      <c r="GYB162" s="20"/>
      <c r="GYC162" s="21"/>
      <c r="GYD162" s="21"/>
      <c r="GYE162" s="7"/>
      <c r="GYF162" s="7"/>
      <c r="GYG162" s="21"/>
      <c r="GYH162" s="20"/>
      <c r="GYI162" s="20"/>
      <c r="GYJ162" s="20"/>
      <c r="GYK162" s="21"/>
      <c r="GYL162" s="21"/>
      <c r="GYM162" s="21"/>
      <c r="GYN162" s="21"/>
      <c r="GYO162" s="21"/>
      <c r="GYP162" s="20"/>
      <c r="GYQ162" s="20"/>
      <c r="GYR162" s="20"/>
      <c r="GYS162" s="20"/>
      <c r="GYT162" s="21"/>
      <c r="GYU162" s="21"/>
      <c r="GYV162" s="7"/>
      <c r="GYW162" s="7"/>
      <c r="GYX162" s="21"/>
      <c r="GYY162" s="20"/>
      <c r="GYZ162" s="20"/>
      <c r="GZA162" s="20"/>
      <c r="GZB162" s="21"/>
      <c r="GZC162" s="21"/>
      <c r="GZD162" s="21"/>
      <c r="GZE162" s="21"/>
      <c r="GZF162" s="21"/>
      <c r="GZG162" s="20"/>
      <c r="GZH162" s="20"/>
      <c r="GZI162" s="20"/>
      <c r="GZJ162" s="20"/>
      <c r="GZK162" s="21"/>
      <c r="GZL162" s="21"/>
      <c r="GZM162" s="7"/>
      <c r="GZN162" s="7"/>
      <c r="GZO162" s="21"/>
      <c r="GZP162" s="20"/>
      <c r="GZQ162" s="20"/>
      <c r="GZR162" s="20"/>
      <c r="GZS162" s="21"/>
      <c r="GZT162" s="21"/>
      <c r="GZU162" s="21"/>
      <c r="GZV162" s="21"/>
      <c r="GZW162" s="21"/>
      <c r="GZX162" s="20"/>
      <c r="GZY162" s="20"/>
      <c r="GZZ162" s="20"/>
      <c r="HAA162" s="20"/>
      <c r="HAB162" s="21"/>
      <c r="HAC162" s="21"/>
      <c r="HAD162" s="7"/>
      <c r="HAE162" s="7"/>
      <c r="HAF162" s="21"/>
      <c r="HAG162" s="20"/>
      <c r="HAH162" s="20"/>
      <c r="HAI162" s="20"/>
      <c r="HAJ162" s="21"/>
      <c r="HAK162" s="21"/>
      <c r="HAL162" s="21"/>
      <c r="HAM162" s="21"/>
      <c r="HAN162" s="21"/>
      <c r="HAO162" s="20"/>
      <c r="HAP162" s="20"/>
      <c r="HAQ162" s="20"/>
      <c r="HAR162" s="20"/>
      <c r="HAS162" s="21"/>
      <c r="HAT162" s="21"/>
      <c r="HAU162" s="7"/>
      <c r="HAV162" s="7"/>
      <c r="HAW162" s="21"/>
      <c r="HAX162" s="20"/>
      <c r="HAY162" s="20"/>
      <c r="HAZ162" s="20"/>
      <c r="HBA162" s="21"/>
      <c r="HBB162" s="21"/>
      <c r="HBC162" s="21"/>
      <c r="HBD162" s="21"/>
      <c r="HBE162" s="21"/>
      <c r="HBF162" s="20"/>
      <c r="HBG162" s="20"/>
      <c r="HBH162" s="20"/>
      <c r="HBI162" s="20"/>
      <c r="HBJ162" s="21"/>
      <c r="HBK162" s="21"/>
      <c r="HBL162" s="7"/>
      <c r="HBM162" s="7"/>
      <c r="HBN162" s="21"/>
      <c r="HBO162" s="20"/>
      <c r="HBP162" s="20"/>
      <c r="HBQ162" s="20"/>
      <c r="HBR162" s="21"/>
      <c r="HBS162" s="21"/>
      <c r="HBT162" s="21"/>
      <c r="HBU162" s="21"/>
      <c r="HBV162" s="21"/>
      <c r="HBW162" s="20"/>
      <c r="HBX162" s="20"/>
      <c r="HBY162" s="20"/>
      <c r="HBZ162" s="20"/>
      <c r="HCA162" s="21"/>
      <c r="HCB162" s="21"/>
      <c r="HCC162" s="7"/>
      <c r="HCD162" s="7"/>
      <c r="HCE162" s="21"/>
      <c r="HCF162" s="20"/>
      <c r="HCG162" s="20"/>
      <c r="HCH162" s="20"/>
      <c r="HCI162" s="21"/>
      <c r="HCJ162" s="21"/>
      <c r="HCK162" s="21"/>
      <c r="HCL162" s="21"/>
      <c r="HCM162" s="21"/>
      <c r="HCN162" s="20"/>
      <c r="HCO162" s="20"/>
      <c r="HCP162" s="20"/>
      <c r="HCQ162" s="20"/>
      <c r="HCR162" s="21"/>
      <c r="HCS162" s="21"/>
      <c r="HCT162" s="7"/>
      <c r="HCU162" s="7"/>
      <c r="HCV162" s="21"/>
      <c r="HCW162" s="20"/>
      <c r="HCX162" s="20"/>
      <c r="HCY162" s="20"/>
      <c r="HCZ162" s="21"/>
      <c r="HDA162" s="21"/>
      <c r="HDB162" s="21"/>
      <c r="HDC162" s="21"/>
      <c r="HDD162" s="21"/>
      <c r="HDE162" s="20"/>
      <c r="HDF162" s="20"/>
      <c r="HDG162" s="20"/>
      <c r="HDH162" s="20"/>
      <c r="HDI162" s="21"/>
      <c r="HDJ162" s="21"/>
      <c r="HDK162" s="7"/>
      <c r="HDL162" s="7"/>
      <c r="HDM162" s="21"/>
      <c r="HDN162" s="20"/>
      <c r="HDO162" s="20"/>
      <c r="HDP162" s="20"/>
      <c r="HDQ162" s="21"/>
      <c r="HDR162" s="21"/>
      <c r="HDS162" s="21"/>
      <c r="HDT162" s="21"/>
      <c r="HDU162" s="21"/>
      <c r="HDV162" s="20"/>
      <c r="HDW162" s="20"/>
      <c r="HDX162" s="20"/>
      <c r="HDY162" s="20"/>
      <c r="HDZ162" s="21"/>
      <c r="HEA162" s="21"/>
      <c r="HEB162" s="7"/>
      <c r="HEC162" s="7"/>
      <c r="HED162" s="21"/>
      <c r="HEE162" s="20"/>
      <c r="HEF162" s="20"/>
      <c r="HEG162" s="20"/>
      <c r="HEH162" s="21"/>
      <c r="HEI162" s="21"/>
      <c r="HEJ162" s="21"/>
      <c r="HEK162" s="21"/>
      <c r="HEL162" s="21"/>
      <c r="HEM162" s="20"/>
      <c r="HEN162" s="20"/>
      <c r="HEO162" s="20"/>
      <c r="HEP162" s="20"/>
      <c r="HEQ162" s="21"/>
      <c r="HER162" s="21"/>
      <c r="HES162" s="7"/>
      <c r="HET162" s="7"/>
      <c r="HEU162" s="21"/>
      <c r="HEV162" s="20"/>
      <c r="HEW162" s="20"/>
      <c r="HEX162" s="20"/>
      <c r="HEY162" s="21"/>
      <c r="HEZ162" s="21"/>
      <c r="HFA162" s="21"/>
      <c r="HFB162" s="21"/>
      <c r="HFC162" s="21"/>
      <c r="HFD162" s="20"/>
      <c r="HFE162" s="20"/>
      <c r="HFF162" s="20"/>
      <c r="HFG162" s="20"/>
      <c r="HFH162" s="21"/>
      <c r="HFI162" s="21"/>
      <c r="HFJ162" s="7"/>
      <c r="HFK162" s="7"/>
      <c r="HFL162" s="21"/>
      <c r="HFM162" s="20"/>
      <c r="HFN162" s="20"/>
      <c r="HFO162" s="20"/>
      <c r="HFP162" s="21"/>
      <c r="HFQ162" s="21"/>
      <c r="HFR162" s="21"/>
      <c r="HFS162" s="21"/>
      <c r="HFT162" s="21"/>
      <c r="HFU162" s="20"/>
      <c r="HFV162" s="20"/>
      <c r="HFW162" s="20"/>
      <c r="HFX162" s="20"/>
      <c r="HFY162" s="21"/>
      <c r="HFZ162" s="21"/>
      <c r="HGA162" s="7"/>
      <c r="HGB162" s="7"/>
      <c r="HGC162" s="21"/>
      <c r="HGD162" s="20"/>
      <c r="HGE162" s="20"/>
      <c r="HGF162" s="20"/>
      <c r="HGG162" s="21"/>
      <c r="HGH162" s="21"/>
      <c r="HGI162" s="21"/>
      <c r="HGJ162" s="21"/>
      <c r="HGK162" s="21"/>
      <c r="HGL162" s="20"/>
      <c r="HGM162" s="20"/>
      <c r="HGN162" s="20"/>
      <c r="HGO162" s="20"/>
      <c r="HGP162" s="21"/>
      <c r="HGQ162" s="21"/>
      <c r="HGR162" s="7"/>
      <c r="HGS162" s="7"/>
      <c r="HGT162" s="21"/>
      <c r="HGU162" s="20"/>
      <c r="HGV162" s="20"/>
      <c r="HGW162" s="20"/>
      <c r="HGX162" s="21"/>
      <c r="HGY162" s="21"/>
      <c r="HGZ162" s="21"/>
      <c r="HHA162" s="21"/>
      <c r="HHB162" s="21"/>
      <c r="HHC162" s="20"/>
      <c r="HHD162" s="20"/>
      <c r="HHE162" s="20"/>
      <c r="HHF162" s="20"/>
      <c r="HHG162" s="21"/>
      <c r="HHH162" s="21"/>
      <c r="HHI162" s="7"/>
      <c r="HHJ162" s="7"/>
      <c r="HHK162" s="21"/>
      <c r="HHL162" s="20"/>
      <c r="HHM162" s="20"/>
      <c r="HHN162" s="20"/>
      <c r="HHO162" s="21"/>
      <c r="HHP162" s="21"/>
      <c r="HHQ162" s="21"/>
      <c r="HHR162" s="21"/>
      <c r="HHS162" s="21"/>
      <c r="HHT162" s="20"/>
      <c r="HHU162" s="20"/>
      <c r="HHV162" s="20"/>
      <c r="HHW162" s="20"/>
      <c r="HHX162" s="21"/>
      <c r="HHY162" s="21"/>
      <c r="HHZ162" s="7"/>
      <c r="HIA162" s="7"/>
      <c r="HIB162" s="21"/>
      <c r="HIC162" s="20"/>
      <c r="HID162" s="20"/>
      <c r="HIE162" s="20"/>
      <c r="HIF162" s="21"/>
      <c r="HIG162" s="21"/>
      <c r="HIH162" s="21"/>
      <c r="HII162" s="21"/>
      <c r="HIJ162" s="21"/>
      <c r="HIK162" s="20"/>
      <c r="HIL162" s="20"/>
      <c r="HIM162" s="20"/>
      <c r="HIN162" s="20"/>
      <c r="HIO162" s="21"/>
      <c r="HIP162" s="21"/>
      <c r="HIQ162" s="7"/>
      <c r="HIR162" s="7"/>
      <c r="HIS162" s="21"/>
      <c r="HIT162" s="20"/>
      <c r="HIU162" s="20"/>
      <c r="HIV162" s="20"/>
      <c r="HIW162" s="21"/>
      <c r="HIX162" s="21"/>
      <c r="HIY162" s="21"/>
      <c r="HIZ162" s="21"/>
      <c r="HJA162" s="21"/>
      <c r="HJB162" s="20"/>
      <c r="HJC162" s="20"/>
      <c r="HJD162" s="20"/>
      <c r="HJE162" s="20"/>
      <c r="HJF162" s="21"/>
      <c r="HJG162" s="21"/>
      <c r="HJH162" s="7"/>
      <c r="HJI162" s="7"/>
      <c r="HJJ162" s="21"/>
      <c r="HJK162" s="20"/>
      <c r="HJL162" s="20"/>
      <c r="HJM162" s="20"/>
      <c r="HJN162" s="21"/>
      <c r="HJO162" s="21"/>
      <c r="HJP162" s="21"/>
      <c r="HJQ162" s="21"/>
      <c r="HJR162" s="21"/>
      <c r="HJS162" s="20"/>
      <c r="HJT162" s="20"/>
      <c r="HJU162" s="20"/>
      <c r="HJV162" s="20"/>
      <c r="HJW162" s="21"/>
      <c r="HJX162" s="21"/>
      <c r="HJY162" s="7"/>
      <c r="HJZ162" s="7"/>
      <c r="HKA162" s="21"/>
      <c r="HKB162" s="20"/>
      <c r="HKC162" s="20"/>
      <c r="HKD162" s="20"/>
      <c r="HKE162" s="21"/>
      <c r="HKF162" s="21"/>
      <c r="HKG162" s="21"/>
      <c r="HKH162" s="21"/>
      <c r="HKI162" s="21"/>
      <c r="HKJ162" s="20"/>
      <c r="HKK162" s="20"/>
      <c r="HKL162" s="20"/>
      <c r="HKM162" s="20"/>
      <c r="HKN162" s="21"/>
      <c r="HKO162" s="21"/>
      <c r="HKP162" s="7"/>
      <c r="HKQ162" s="7"/>
      <c r="HKR162" s="21"/>
      <c r="HKS162" s="20"/>
      <c r="HKT162" s="20"/>
      <c r="HKU162" s="20"/>
      <c r="HKV162" s="21"/>
      <c r="HKW162" s="21"/>
      <c r="HKX162" s="21"/>
      <c r="HKY162" s="21"/>
      <c r="HKZ162" s="21"/>
      <c r="HLA162" s="20"/>
      <c r="HLB162" s="20"/>
      <c r="HLC162" s="20"/>
      <c r="HLD162" s="20"/>
      <c r="HLE162" s="21"/>
      <c r="HLF162" s="21"/>
      <c r="HLG162" s="7"/>
      <c r="HLH162" s="7"/>
      <c r="HLI162" s="21"/>
      <c r="HLJ162" s="20"/>
      <c r="HLK162" s="20"/>
      <c r="HLL162" s="20"/>
      <c r="HLM162" s="21"/>
      <c r="HLN162" s="21"/>
      <c r="HLO162" s="21"/>
      <c r="HLP162" s="21"/>
      <c r="HLQ162" s="21"/>
      <c r="HLR162" s="20"/>
      <c r="HLS162" s="20"/>
      <c r="HLT162" s="20"/>
      <c r="HLU162" s="20"/>
      <c r="HLV162" s="21"/>
      <c r="HLW162" s="21"/>
      <c r="HLX162" s="7"/>
      <c r="HLY162" s="7"/>
      <c r="HLZ162" s="21"/>
      <c r="HMA162" s="20"/>
      <c r="HMB162" s="20"/>
      <c r="HMC162" s="20"/>
      <c r="HMD162" s="21"/>
      <c r="HME162" s="21"/>
      <c r="HMF162" s="21"/>
      <c r="HMG162" s="21"/>
      <c r="HMH162" s="21"/>
      <c r="HMI162" s="20"/>
      <c r="HMJ162" s="20"/>
      <c r="HMK162" s="20"/>
      <c r="HML162" s="20"/>
      <c r="HMM162" s="21"/>
      <c r="HMN162" s="21"/>
      <c r="HMO162" s="7"/>
      <c r="HMP162" s="7"/>
      <c r="HMQ162" s="21"/>
      <c r="HMR162" s="20"/>
      <c r="HMS162" s="20"/>
      <c r="HMT162" s="20"/>
      <c r="HMU162" s="21"/>
      <c r="HMV162" s="21"/>
      <c r="HMW162" s="21"/>
      <c r="HMX162" s="21"/>
      <c r="HMY162" s="21"/>
      <c r="HMZ162" s="20"/>
      <c r="HNA162" s="20"/>
      <c r="HNB162" s="20"/>
      <c r="HNC162" s="20"/>
      <c r="HND162" s="21"/>
      <c r="HNE162" s="21"/>
      <c r="HNF162" s="7"/>
      <c r="HNG162" s="7"/>
      <c r="HNH162" s="21"/>
      <c r="HNI162" s="20"/>
      <c r="HNJ162" s="20"/>
      <c r="HNK162" s="20"/>
      <c r="HNL162" s="21"/>
      <c r="HNM162" s="21"/>
      <c r="HNN162" s="21"/>
      <c r="HNO162" s="21"/>
      <c r="HNP162" s="21"/>
      <c r="HNQ162" s="20"/>
      <c r="HNR162" s="20"/>
      <c r="HNS162" s="20"/>
      <c r="HNT162" s="20"/>
      <c r="HNU162" s="21"/>
      <c r="HNV162" s="21"/>
      <c r="HNW162" s="7"/>
      <c r="HNX162" s="7"/>
      <c r="HNY162" s="21"/>
      <c r="HNZ162" s="20"/>
      <c r="HOA162" s="20"/>
      <c r="HOB162" s="20"/>
      <c r="HOC162" s="21"/>
      <c r="HOD162" s="21"/>
      <c r="HOE162" s="21"/>
      <c r="HOF162" s="21"/>
      <c r="HOG162" s="21"/>
      <c r="HOH162" s="20"/>
      <c r="HOI162" s="20"/>
      <c r="HOJ162" s="20"/>
      <c r="HOK162" s="20"/>
      <c r="HOL162" s="21"/>
      <c r="HOM162" s="21"/>
      <c r="HON162" s="7"/>
      <c r="HOO162" s="7"/>
      <c r="HOP162" s="21"/>
      <c r="HOQ162" s="20"/>
      <c r="HOR162" s="20"/>
      <c r="HOS162" s="20"/>
      <c r="HOT162" s="21"/>
      <c r="HOU162" s="21"/>
      <c r="HOV162" s="21"/>
      <c r="HOW162" s="21"/>
      <c r="HOX162" s="21"/>
      <c r="HOY162" s="20"/>
      <c r="HOZ162" s="20"/>
      <c r="HPA162" s="20"/>
      <c r="HPB162" s="20"/>
      <c r="HPC162" s="21"/>
      <c r="HPD162" s="21"/>
      <c r="HPE162" s="7"/>
      <c r="HPF162" s="7"/>
      <c r="HPG162" s="21"/>
      <c r="HPH162" s="20"/>
      <c r="HPI162" s="20"/>
      <c r="HPJ162" s="20"/>
      <c r="HPK162" s="21"/>
      <c r="HPL162" s="21"/>
      <c r="HPM162" s="21"/>
      <c r="HPN162" s="21"/>
      <c r="HPO162" s="21"/>
      <c r="HPP162" s="20"/>
      <c r="HPQ162" s="20"/>
      <c r="HPR162" s="20"/>
      <c r="HPS162" s="20"/>
      <c r="HPT162" s="21"/>
      <c r="HPU162" s="21"/>
      <c r="HPV162" s="7"/>
      <c r="HPW162" s="7"/>
      <c r="HPX162" s="21"/>
      <c r="HPY162" s="20"/>
      <c r="HPZ162" s="20"/>
      <c r="HQA162" s="20"/>
      <c r="HQB162" s="21"/>
      <c r="HQC162" s="21"/>
      <c r="HQD162" s="21"/>
      <c r="HQE162" s="21"/>
      <c r="HQF162" s="21"/>
      <c r="HQG162" s="20"/>
      <c r="HQH162" s="20"/>
      <c r="HQI162" s="20"/>
      <c r="HQJ162" s="20"/>
      <c r="HQK162" s="21"/>
      <c r="HQL162" s="21"/>
      <c r="HQM162" s="7"/>
      <c r="HQN162" s="7"/>
      <c r="HQO162" s="21"/>
      <c r="HQP162" s="20"/>
      <c r="HQQ162" s="20"/>
      <c r="HQR162" s="20"/>
      <c r="HQS162" s="21"/>
      <c r="HQT162" s="21"/>
      <c r="HQU162" s="21"/>
      <c r="HQV162" s="21"/>
      <c r="HQW162" s="21"/>
      <c r="HQX162" s="20"/>
      <c r="HQY162" s="20"/>
      <c r="HQZ162" s="20"/>
      <c r="HRA162" s="20"/>
      <c r="HRB162" s="21"/>
      <c r="HRC162" s="21"/>
      <c r="HRD162" s="7"/>
      <c r="HRE162" s="7"/>
      <c r="HRF162" s="21"/>
      <c r="HRG162" s="20"/>
      <c r="HRH162" s="20"/>
      <c r="HRI162" s="20"/>
      <c r="HRJ162" s="21"/>
      <c r="HRK162" s="21"/>
      <c r="HRL162" s="21"/>
      <c r="HRM162" s="21"/>
      <c r="HRN162" s="21"/>
      <c r="HRO162" s="20"/>
      <c r="HRP162" s="20"/>
      <c r="HRQ162" s="20"/>
      <c r="HRR162" s="20"/>
      <c r="HRS162" s="21"/>
      <c r="HRT162" s="21"/>
      <c r="HRU162" s="7"/>
      <c r="HRV162" s="7"/>
      <c r="HRW162" s="21"/>
      <c r="HRX162" s="20"/>
      <c r="HRY162" s="20"/>
      <c r="HRZ162" s="20"/>
      <c r="HSA162" s="21"/>
      <c r="HSB162" s="21"/>
      <c r="HSC162" s="21"/>
      <c r="HSD162" s="21"/>
      <c r="HSE162" s="21"/>
      <c r="HSF162" s="20"/>
      <c r="HSG162" s="20"/>
      <c r="HSH162" s="20"/>
      <c r="HSI162" s="20"/>
      <c r="HSJ162" s="21"/>
      <c r="HSK162" s="21"/>
      <c r="HSL162" s="7"/>
      <c r="HSM162" s="7"/>
      <c r="HSN162" s="21"/>
      <c r="HSO162" s="20"/>
      <c r="HSP162" s="20"/>
      <c r="HSQ162" s="20"/>
      <c r="HSR162" s="21"/>
      <c r="HSS162" s="21"/>
      <c r="HST162" s="21"/>
      <c r="HSU162" s="21"/>
      <c r="HSV162" s="21"/>
      <c r="HSW162" s="20"/>
      <c r="HSX162" s="20"/>
      <c r="HSY162" s="20"/>
      <c r="HSZ162" s="20"/>
      <c r="HTA162" s="21"/>
      <c r="HTB162" s="21"/>
      <c r="HTC162" s="7"/>
      <c r="HTD162" s="7"/>
      <c r="HTE162" s="21"/>
      <c r="HTF162" s="20"/>
      <c r="HTG162" s="20"/>
      <c r="HTH162" s="20"/>
      <c r="HTI162" s="21"/>
      <c r="HTJ162" s="21"/>
      <c r="HTK162" s="21"/>
      <c r="HTL162" s="21"/>
      <c r="HTM162" s="21"/>
      <c r="HTN162" s="20"/>
      <c r="HTO162" s="20"/>
      <c r="HTP162" s="20"/>
      <c r="HTQ162" s="20"/>
      <c r="HTR162" s="21"/>
      <c r="HTS162" s="21"/>
      <c r="HTT162" s="7"/>
      <c r="HTU162" s="7"/>
      <c r="HTV162" s="21"/>
      <c r="HTW162" s="20"/>
      <c r="HTX162" s="20"/>
      <c r="HTY162" s="20"/>
      <c r="HTZ162" s="21"/>
      <c r="HUA162" s="21"/>
      <c r="HUB162" s="21"/>
      <c r="HUC162" s="21"/>
      <c r="HUD162" s="21"/>
      <c r="HUE162" s="20"/>
      <c r="HUF162" s="20"/>
      <c r="HUG162" s="20"/>
      <c r="HUH162" s="20"/>
      <c r="HUI162" s="21"/>
      <c r="HUJ162" s="21"/>
      <c r="HUK162" s="7"/>
      <c r="HUL162" s="7"/>
      <c r="HUM162" s="21"/>
      <c r="HUN162" s="20"/>
      <c r="HUO162" s="20"/>
      <c r="HUP162" s="20"/>
      <c r="HUQ162" s="21"/>
      <c r="HUR162" s="21"/>
      <c r="HUS162" s="21"/>
      <c r="HUT162" s="21"/>
      <c r="HUU162" s="21"/>
      <c r="HUV162" s="20"/>
      <c r="HUW162" s="20"/>
      <c r="HUX162" s="20"/>
      <c r="HUY162" s="20"/>
      <c r="HUZ162" s="21"/>
      <c r="HVA162" s="21"/>
      <c r="HVB162" s="7"/>
      <c r="HVC162" s="7"/>
      <c r="HVD162" s="21"/>
      <c r="HVE162" s="20"/>
      <c r="HVF162" s="20"/>
      <c r="HVG162" s="20"/>
      <c r="HVH162" s="21"/>
      <c r="HVI162" s="21"/>
      <c r="HVJ162" s="21"/>
      <c r="HVK162" s="21"/>
      <c r="HVL162" s="21"/>
      <c r="HVM162" s="20"/>
      <c r="HVN162" s="20"/>
      <c r="HVO162" s="20"/>
      <c r="HVP162" s="20"/>
      <c r="HVQ162" s="21"/>
      <c r="HVR162" s="21"/>
      <c r="HVS162" s="7"/>
      <c r="HVT162" s="7"/>
      <c r="HVU162" s="21"/>
      <c r="HVV162" s="20"/>
      <c r="HVW162" s="20"/>
      <c r="HVX162" s="20"/>
      <c r="HVY162" s="21"/>
      <c r="HVZ162" s="21"/>
      <c r="HWA162" s="21"/>
      <c r="HWB162" s="21"/>
      <c r="HWC162" s="21"/>
      <c r="HWD162" s="20"/>
      <c r="HWE162" s="20"/>
      <c r="HWF162" s="20"/>
      <c r="HWG162" s="20"/>
      <c r="HWH162" s="21"/>
      <c r="HWI162" s="21"/>
      <c r="HWJ162" s="7"/>
      <c r="HWK162" s="7"/>
      <c r="HWL162" s="21"/>
      <c r="HWM162" s="20"/>
      <c r="HWN162" s="20"/>
      <c r="HWO162" s="20"/>
      <c r="HWP162" s="21"/>
      <c r="HWQ162" s="21"/>
      <c r="HWR162" s="21"/>
      <c r="HWS162" s="21"/>
      <c r="HWT162" s="21"/>
      <c r="HWU162" s="20"/>
      <c r="HWV162" s="20"/>
      <c r="HWW162" s="20"/>
      <c r="HWX162" s="20"/>
      <c r="HWY162" s="21"/>
      <c r="HWZ162" s="21"/>
      <c r="HXA162" s="7"/>
      <c r="HXB162" s="7"/>
      <c r="HXC162" s="21"/>
      <c r="HXD162" s="20"/>
      <c r="HXE162" s="20"/>
      <c r="HXF162" s="20"/>
      <c r="HXG162" s="21"/>
      <c r="HXH162" s="21"/>
      <c r="HXI162" s="21"/>
      <c r="HXJ162" s="21"/>
      <c r="HXK162" s="21"/>
      <c r="HXL162" s="20"/>
      <c r="HXM162" s="20"/>
      <c r="HXN162" s="20"/>
      <c r="HXO162" s="20"/>
      <c r="HXP162" s="21"/>
      <c r="HXQ162" s="21"/>
      <c r="HXR162" s="7"/>
      <c r="HXS162" s="7"/>
      <c r="HXT162" s="21"/>
      <c r="HXU162" s="20"/>
      <c r="HXV162" s="20"/>
      <c r="HXW162" s="20"/>
      <c r="HXX162" s="21"/>
      <c r="HXY162" s="21"/>
      <c r="HXZ162" s="21"/>
      <c r="HYA162" s="21"/>
      <c r="HYB162" s="21"/>
      <c r="HYC162" s="20"/>
      <c r="HYD162" s="20"/>
      <c r="HYE162" s="20"/>
      <c r="HYF162" s="20"/>
      <c r="HYG162" s="21"/>
      <c r="HYH162" s="21"/>
      <c r="HYI162" s="7"/>
      <c r="HYJ162" s="7"/>
      <c r="HYK162" s="21"/>
      <c r="HYL162" s="20"/>
      <c r="HYM162" s="20"/>
      <c r="HYN162" s="20"/>
      <c r="HYO162" s="21"/>
      <c r="HYP162" s="21"/>
      <c r="HYQ162" s="21"/>
      <c r="HYR162" s="21"/>
      <c r="HYS162" s="21"/>
      <c r="HYT162" s="20"/>
      <c r="HYU162" s="20"/>
      <c r="HYV162" s="20"/>
      <c r="HYW162" s="20"/>
      <c r="HYX162" s="21"/>
      <c r="HYY162" s="21"/>
      <c r="HYZ162" s="7"/>
      <c r="HZA162" s="7"/>
      <c r="HZB162" s="21"/>
      <c r="HZC162" s="20"/>
      <c r="HZD162" s="20"/>
      <c r="HZE162" s="20"/>
      <c r="HZF162" s="21"/>
      <c r="HZG162" s="21"/>
      <c r="HZH162" s="21"/>
      <c r="HZI162" s="21"/>
      <c r="HZJ162" s="21"/>
      <c r="HZK162" s="20"/>
      <c r="HZL162" s="20"/>
      <c r="HZM162" s="20"/>
      <c r="HZN162" s="20"/>
      <c r="HZO162" s="21"/>
      <c r="HZP162" s="21"/>
      <c r="HZQ162" s="7"/>
      <c r="HZR162" s="7"/>
      <c r="HZS162" s="21"/>
      <c r="HZT162" s="20"/>
      <c r="HZU162" s="20"/>
      <c r="HZV162" s="20"/>
      <c r="HZW162" s="21"/>
      <c r="HZX162" s="21"/>
      <c r="HZY162" s="21"/>
      <c r="HZZ162" s="21"/>
      <c r="IAA162" s="21"/>
      <c r="IAB162" s="20"/>
      <c r="IAC162" s="20"/>
      <c r="IAD162" s="20"/>
      <c r="IAE162" s="20"/>
      <c r="IAF162" s="21"/>
      <c r="IAG162" s="21"/>
      <c r="IAH162" s="7"/>
      <c r="IAI162" s="7"/>
      <c r="IAJ162" s="21"/>
      <c r="IAK162" s="20"/>
      <c r="IAL162" s="20"/>
      <c r="IAM162" s="20"/>
      <c r="IAN162" s="21"/>
      <c r="IAO162" s="21"/>
      <c r="IAP162" s="21"/>
      <c r="IAQ162" s="21"/>
      <c r="IAR162" s="21"/>
      <c r="IAS162" s="20"/>
      <c r="IAT162" s="20"/>
      <c r="IAU162" s="20"/>
      <c r="IAV162" s="20"/>
      <c r="IAW162" s="21"/>
      <c r="IAX162" s="21"/>
      <c r="IAY162" s="7"/>
      <c r="IAZ162" s="7"/>
      <c r="IBA162" s="21"/>
      <c r="IBB162" s="20"/>
      <c r="IBC162" s="20"/>
      <c r="IBD162" s="20"/>
      <c r="IBE162" s="21"/>
      <c r="IBF162" s="21"/>
      <c r="IBG162" s="21"/>
      <c r="IBH162" s="21"/>
      <c r="IBI162" s="21"/>
      <c r="IBJ162" s="20"/>
      <c r="IBK162" s="20"/>
      <c r="IBL162" s="20"/>
      <c r="IBM162" s="20"/>
      <c r="IBN162" s="21"/>
      <c r="IBO162" s="21"/>
      <c r="IBP162" s="7"/>
      <c r="IBQ162" s="7"/>
      <c r="IBR162" s="21"/>
      <c r="IBS162" s="20"/>
      <c r="IBT162" s="20"/>
      <c r="IBU162" s="20"/>
      <c r="IBV162" s="21"/>
      <c r="IBW162" s="21"/>
      <c r="IBX162" s="21"/>
      <c r="IBY162" s="21"/>
      <c r="IBZ162" s="21"/>
      <c r="ICA162" s="20"/>
      <c r="ICB162" s="20"/>
      <c r="ICC162" s="20"/>
      <c r="ICD162" s="20"/>
      <c r="ICE162" s="21"/>
      <c r="ICF162" s="21"/>
      <c r="ICG162" s="7"/>
      <c r="ICH162" s="7"/>
      <c r="ICI162" s="21"/>
      <c r="ICJ162" s="20"/>
      <c r="ICK162" s="20"/>
      <c r="ICL162" s="20"/>
      <c r="ICM162" s="21"/>
      <c r="ICN162" s="21"/>
      <c r="ICO162" s="21"/>
      <c r="ICP162" s="21"/>
      <c r="ICQ162" s="21"/>
      <c r="ICR162" s="20"/>
      <c r="ICS162" s="20"/>
      <c r="ICT162" s="20"/>
      <c r="ICU162" s="20"/>
      <c r="ICV162" s="21"/>
      <c r="ICW162" s="21"/>
      <c r="ICX162" s="7"/>
      <c r="ICY162" s="7"/>
      <c r="ICZ162" s="21"/>
      <c r="IDA162" s="20"/>
      <c r="IDB162" s="20"/>
      <c r="IDC162" s="20"/>
      <c r="IDD162" s="21"/>
      <c r="IDE162" s="21"/>
      <c r="IDF162" s="21"/>
      <c r="IDG162" s="21"/>
      <c r="IDH162" s="21"/>
      <c r="IDI162" s="20"/>
      <c r="IDJ162" s="20"/>
      <c r="IDK162" s="20"/>
      <c r="IDL162" s="20"/>
      <c r="IDM162" s="21"/>
      <c r="IDN162" s="21"/>
      <c r="IDO162" s="7"/>
      <c r="IDP162" s="7"/>
      <c r="IDQ162" s="21"/>
      <c r="IDR162" s="20"/>
      <c r="IDS162" s="20"/>
      <c r="IDT162" s="20"/>
      <c r="IDU162" s="21"/>
      <c r="IDV162" s="21"/>
      <c r="IDW162" s="21"/>
      <c r="IDX162" s="21"/>
      <c r="IDY162" s="21"/>
      <c r="IDZ162" s="20"/>
      <c r="IEA162" s="20"/>
      <c r="IEB162" s="20"/>
      <c r="IEC162" s="20"/>
      <c r="IED162" s="21"/>
      <c r="IEE162" s="21"/>
      <c r="IEF162" s="7"/>
      <c r="IEG162" s="7"/>
      <c r="IEH162" s="21"/>
      <c r="IEI162" s="20"/>
      <c r="IEJ162" s="20"/>
      <c r="IEK162" s="20"/>
      <c r="IEL162" s="21"/>
      <c r="IEM162" s="21"/>
      <c r="IEN162" s="21"/>
      <c r="IEO162" s="21"/>
      <c r="IEP162" s="21"/>
      <c r="IEQ162" s="20"/>
      <c r="IER162" s="20"/>
      <c r="IES162" s="20"/>
      <c r="IET162" s="20"/>
      <c r="IEU162" s="21"/>
      <c r="IEV162" s="21"/>
      <c r="IEW162" s="7"/>
      <c r="IEX162" s="7"/>
      <c r="IEY162" s="21"/>
      <c r="IEZ162" s="20"/>
      <c r="IFA162" s="20"/>
      <c r="IFB162" s="20"/>
      <c r="IFC162" s="21"/>
      <c r="IFD162" s="21"/>
      <c r="IFE162" s="21"/>
      <c r="IFF162" s="21"/>
      <c r="IFG162" s="21"/>
      <c r="IFH162" s="20"/>
      <c r="IFI162" s="20"/>
      <c r="IFJ162" s="20"/>
      <c r="IFK162" s="20"/>
      <c r="IFL162" s="21"/>
      <c r="IFM162" s="21"/>
      <c r="IFN162" s="7"/>
      <c r="IFO162" s="7"/>
      <c r="IFP162" s="21"/>
      <c r="IFQ162" s="20"/>
      <c r="IFR162" s="20"/>
      <c r="IFS162" s="20"/>
      <c r="IFT162" s="21"/>
      <c r="IFU162" s="21"/>
      <c r="IFV162" s="21"/>
      <c r="IFW162" s="21"/>
      <c r="IFX162" s="21"/>
      <c r="IFY162" s="20"/>
      <c r="IFZ162" s="20"/>
      <c r="IGA162" s="20"/>
      <c r="IGB162" s="20"/>
      <c r="IGC162" s="21"/>
      <c r="IGD162" s="21"/>
      <c r="IGE162" s="7"/>
      <c r="IGF162" s="7"/>
      <c r="IGG162" s="21"/>
      <c r="IGH162" s="20"/>
      <c r="IGI162" s="20"/>
      <c r="IGJ162" s="20"/>
      <c r="IGK162" s="21"/>
      <c r="IGL162" s="21"/>
      <c r="IGM162" s="21"/>
      <c r="IGN162" s="21"/>
      <c r="IGO162" s="21"/>
      <c r="IGP162" s="20"/>
      <c r="IGQ162" s="20"/>
      <c r="IGR162" s="20"/>
      <c r="IGS162" s="20"/>
      <c r="IGT162" s="21"/>
      <c r="IGU162" s="21"/>
      <c r="IGV162" s="7"/>
      <c r="IGW162" s="7"/>
      <c r="IGX162" s="21"/>
      <c r="IGY162" s="20"/>
      <c r="IGZ162" s="20"/>
      <c r="IHA162" s="20"/>
      <c r="IHB162" s="21"/>
      <c r="IHC162" s="21"/>
      <c r="IHD162" s="21"/>
      <c r="IHE162" s="21"/>
      <c r="IHF162" s="21"/>
      <c r="IHG162" s="20"/>
      <c r="IHH162" s="20"/>
      <c r="IHI162" s="20"/>
      <c r="IHJ162" s="20"/>
      <c r="IHK162" s="21"/>
      <c r="IHL162" s="21"/>
      <c r="IHM162" s="7"/>
      <c r="IHN162" s="7"/>
      <c r="IHO162" s="21"/>
      <c r="IHP162" s="20"/>
      <c r="IHQ162" s="20"/>
      <c r="IHR162" s="20"/>
      <c r="IHS162" s="21"/>
      <c r="IHT162" s="21"/>
      <c r="IHU162" s="21"/>
      <c r="IHV162" s="21"/>
      <c r="IHW162" s="21"/>
      <c r="IHX162" s="20"/>
      <c r="IHY162" s="20"/>
      <c r="IHZ162" s="20"/>
      <c r="IIA162" s="20"/>
      <c r="IIB162" s="21"/>
      <c r="IIC162" s="21"/>
      <c r="IID162" s="7"/>
      <c r="IIE162" s="7"/>
      <c r="IIF162" s="21"/>
      <c r="IIG162" s="20"/>
      <c r="IIH162" s="20"/>
      <c r="III162" s="20"/>
      <c r="IIJ162" s="21"/>
      <c r="IIK162" s="21"/>
      <c r="IIL162" s="21"/>
      <c r="IIM162" s="21"/>
      <c r="IIN162" s="21"/>
      <c r="IIO162" s="20"/>
      <c r="IIP162" s="20"/>
      <c r="IIQ162" s="20"/>
      <c r="IIR162" s="20"/>
      <c r="IIS162" s="21"/>
      <c r="IIT162" s="21"/>
      <c r="IIU162" s="7"/>
      <c r="IIV162" s="7"/>
      <c r="IIW162" s="21"/>
      <c r="IIX162" s="20"/>
      <c r="IIY162" s="20"/>
      <c r="IIZ162" s="20"/>
      <c r="IJA162" s="21"/>
      <c r="IJB162" s="21"/>
      <c r="IJC162" s="21"/>
      <c r="IJD162" s="21"/>
      <c r="IJE162" s="21"/>
      <c r="IJF162" s="20"/>
      <c r="IJG162" s="20"/>
      <c r="IJH162" s="20"/>
      <c r="IJI162" s="20"/>
      <c r="IJJ162" s="21"/>
      <c r="IJK162" s="21"/>
      <c r="IJL162" s="7"/>
      <c r="IJM162" s="7"/>
      <c r="IJN162" s="21"/>
      <c r="IJO162" s="20"/>
      <c r="IJP162" s="20"/>
      <c r="IJQ162" s="20"/>
      <c r="IJR162" s="21"/>
      <c r="IJS162" s="21"/>
      <c r="IJT162" s="21"/>
      <c r="IJU162" s="21"/>
      <c r="IJV162" s="21"/>
      <c r="IJW162" s="20"/>
      <c r="IJX162" s="20"/>
      <c r="IJY162" s="20"/>
      <c r="IJZ162" s="20"/>
      <c r="IKA162" s="21"/>
      <c r="IKB162" s="21"/>
      <c r="IKC162" s="7"/>
      <c r="IKD162" s="7"/>
      <c r="IKE162" s="21"/>
      <c r="IKF162" s="20"/>
      <c r="IKG162" s="20"/>
      <c r="IKH162" s="20"/>
      <c r="IKI162" s="21"/>
      <c r="IKJ162" s="21"/>
      <c r="IKK162" s="21"/>
      <c r="IKL162" s="21"/>
      <c r="IKM162" s="21"/>
      <c r="IKN162" s="20"/>
      <c r="IKO162" s="20"/>
      <c r="IKP162" s="20"/>
      <c r="IKQ162" s="20"/>
      <c r="IKR162" s="21"/>
      <c r="IKS162" s="21"/>
      <c r="IKT162" s="7"/>
      <c r="IKU162" s="7"/>
      <c r="IKV162" s="21"/>
      <c r="IKW162" s="20"/>
      <c r="IKX162" s="20"/>
      <c r="IKY162" s="20"/>
      <c r="IKZ162" s="21"/>
      <c r="ILA162" s="21"/>
      <c r="ILB162" s="21"/>
      <c r="ILC162" s="21"/>
      <c r="ILD162" s="21"/>
      <c r="ILE162" s="20"/>
      <c r="ILF162" s="20"/>
      <c r="ILG162" s="20"/>
      <c r="ILH162" s="20"/>
      <c r="ILI162" s="21"/>
      <c r="ILJ162" s="21"/>
      <c r="ILK162" s="7"/>
      <c r="ILL162" s="7"/>
      <c r="ILM162" s="21"/>
      <c r="ILN162" s="20"/>
      <c r="ILO162" s="20"/>
      <c r="ILP162" s="20"/>
      <c r="ILQ162" s="21"/>
      <c r="ILR162" s="21"/>
      <c r="ILS162" s="21"/>
      <c r="ILT162" s="21"/>
      <c r="ILU162" s="21"/>
      <c r="ILV162" s="20"/>
      <c r="ILW162" s="20"/>
      <c r="ILX162" s="20"/>
      <c r="ILY162" s="20"/>
      <c r="ILZ162" s="21"/>
      <c r="IMA162" s="21"/>
      <c r="IMB162" s="7"/>
      <c r="IMC162" s="7"/>
      <c r="IMD162" s="21"/>
      <c r="IME162" s="20"/>
      <c r="IMF162" s="20"/>
      <c r="IMG162" s="20"/>
      <c r="IMH162" s="21"/>
      <c r="IMI162" s="21"/>
      <c r="IMJ162" s="21"/>
      <c r="IMK162" s="21"/>
      <c r="IML162" s="21"/>
      <c r="IMM162" s="20"/>
      <c r="IMN162" s="20"/>
      <c r="IMO162" s="20"/>
      <c r="IMP162" s="20"/>
      <c r="IMQ162" s="21"/>
      <c r="IMR162" s="21"/>
      <c r="IMS162" s="7"/>
      <c r="IMT162" s="7"/>
      <c r="IMU162" s="21"/>
      <c r="IMV162" s="20"/>
      <c r="IMW162" s="20"/>
      <c r="IMX162" s="20"/>
      <c r="IMY162" s="21"/>
      <c r="IMZ162" s="21"/>
      <c r="INA162" s="21"/>
      <c r="INB162" s="21"/>
      <c r="INC162" s="21"/>
      <c r="IND162" s="20"/>
      <c r="INE162" s="20"/>
      <c r="INF162" s="20"/>
      <c r="ING162" s="20"/>
      <c r="INH162" s="21"/>
      <c r="INI162" s="21"/>
      <c r="INJ162" s="7"/>
      <c r="INK162" s="7"/>
      <c r="INL162" s="21"/>
      <c r="INM162" s="20"/>
      <c r="INN162" s="20"/>
      <c r="INO162" s="20"/>
      <c r="INP162" s="21"/>
      <c r="INQ162" s="21"/>
      <c r="INR162" s="21"/>
      <c r="INS162" s="21"/>
      <c r="INT162" s="21"/>
      <c r="INU162" s="20"/>
      <c r="INV162" s="20"/>
      <c r="INW162" s="20"/>
      <c r="INX162" s="20"/>
      <c r="INY162" s="21"/>
      <c r="INZ162" s="21"/>
      <c r="IOA162" s="7"/>
      <c r="IOB162" s="7"/>
      <c r="IOC162" s="21"/>
      <c r="IOD162" s="20"/>
      <c r="IOE162" s="20"/>
      <c r="IOF162" s="20"/>
      <c r="IOG162" s="21"/>
      <c r="IOH162" s="21"/>
      <c r="IOI162" s="21"/>
      <c r="IOJ162" s="21"/>
      <c r="IOK162" s="21"/>
      <c r="IOL162" s="20"/>
      <c r="IOM162" s="20"/>
      <c r="ION162" s="20"/>
      <c r="IOO162" s="20"/>
      <c r="IOP162" s="21"/>
      <c r="IOQ162" s="21"/>
      <c r="IOR162" s="7"/>
      <c r="IOS162" s="7"/>
      <c r="IOT162" s="21"/>
      <c r="IOU162" s="20"/>
      <c r="IOV162" s="20"/>
      <c r="IOW162" s="20"/>
      <c r="IOX162" s="21"/>
      <c r="IOY162" s="21"/>
      <c r="IOZ162" s="21"/>
      <c r="IPA162" s="21"/>
      <c r="IPB162" s="21"/>
      <c r="IPC162" s="20"/>
      <c r="IPD162" s="20"/>
      <c r="IPE162" s="20"/>
      <c r="IPF162" s="20"/>
      <c r="IPG162" s="21"/>
      <c r="IPH162" s="21"/>
      <c r="IPI162" s="7"/>
      <c r="IPJ162" s="7"/>
      <c r="IPK162" s="21"/>
      <c r="IPL162" s="20"/>
      <c r="IPM162" s="20"/>
      <c r="IPN162" s="20"/>
      <c r="IPO162" s="21"/>
      <c r="IPP162" s="21"/>
      <c r="IPQ162" s="21"/>
      <c r="IPR162" s="21"/>
      <c r="IPS162" s="21"/>
      <c r="IPT162" s="20"/>
      <c r="IPU162" s="20"/>
      <c r="IPV162" s="20"/>
      <c r="IPW162" s="20"/>
      <c r="IPX162" s="21"/>
      <c r="IPY162" s="21"/>
      <c r="IPZ162" s="7"/>
      <c r="IQA162" s="7"/>
      <c r="IQB162" s="21"/>
      <c r="IQC162" s="20"/>
      <c r="IQD162" s="20"/>
      <c r="IQE162" s="20"/>
      <c r="IQF162" s="21"/>
      <c r="IQG162" s="21"/>
      <c r="IQH162" s="21"/>
      <c r="IQI162" s="21"/>
      <c r="IQJ162" s="21"/>
      <c r="IQK162" s="20"/>
      <c r="IQL162" s="20"/>
      <c r="IQM162" s="20"/>
      <c r="IQN162" s="20"/>
      <c r="IQO162" s="21"/>
      <c r="IQP162" s="21"/>
      <c r="IQQ162" s="7"/>
      <c r="IQR162" s="7"/>
      <c r="IQS162" s="21"/>
      <c r="IQT162" s="20"/>
      <c r="IQU162" s="20"/>
      <c r="IQV162" s="20"/>
      <c r="IQW162" s="21"/>
      <c r="IQX162" s="21"/>
      <c r="IQY162" s="21"/>
      <c r="IQZ162" s="21"/>
      <c r="IRA162" s="21"/>
      <c r="IRB162" s="20"/>
      <c r="IRC162" s="20"/>
      <c r="IRD162" s="20"/>
      <c r="IRE162" s="20"/>
      <c r="IRF162" s="21"/>
      <c r="IRG162" s="21"/>
      <c r="IRH162" s="7"/>
      <c r="IRI162" s="7"/>
      <c r="IRJ162" s="21"/>
      <c r="IRK162" s="20"/>
      <c r="IRL162" s="20"/>
      <c r="IRM162" s="20"/>
      <c r="IRN162" s="21"/>
      <c r="IRO162" s="21"/>
      <c r="IRP162" s="21"/>
      <c r="IRQ162" s="21"/>
      <c r="IRR162" s="21"/>
      <c r="IRS162" s="20"/>
      <c r="IRT162" s="20"/>
      <c r="IRU162" s="20"/>
      <c r="IRV162" s="20"/>
      <c r="IRW162" s="21"/>
      <c r="IRX162" s="21"/>
      <c r="IRY162" s="7"/>
      <c r="IRZ162" s="7"/>
      <c r="ISA162" s="21"/>
      <c r="ISB162" s="20"/>
      <c r="ISC162" s="20"/>
      <c r="ISD162" s="20"/>
      <c r="ISE162" s="21"/>
      <c r="ISF162" s="21"/>
      <c r="ISG162" s="21"/>
      <c r="ISH162" s="21"/>
      <c r="ISI162" s="21"/>
      <c r="ISJ162" s="20"/>
      <c r="ISK162" s="20"/>
      <c r="ISL162" s="20"/>
      <c r="ISM162" s="20"/>
      <c r="ISN162" s="21"/>
      <c r="ISO162" s="21"/>
      <c r="ISP162" s="7"/>
      <c r="ISQ162" s="7"/>
      <c r="ISR162" s="21"/>
      <c r="ISS162" s="20"/>
      <c r="IST162" s="20"/>
      <c r="ISU162" s="20"/>
      <c r="ISV162" s="21"/>
      <c r="ISW162" s="21"/>
      <c r="ISX162" s="21"/>
      <c r="ISY162" s="21"/>
      <c r="ISZ162" s="21"/>
      <c r="ITA162" s="20"/>
      <c r="ITB162" s="20"/>
      <c r="ITC162" s="20"/>
      <c r="ITD162" s="20"/>
      <c r="ITE162" s="21"/>
      <c r="ITF162" s="21"/>
      <c r="ITG162" s="7"/>
      <c r="ITH162" s="7"/>
      <c r="ITI162" s="21"/>
      <c r="ITJ162" s="20"/>
      <c r="ITK162" s="20"/>
      <c r="ITL162" s="20"/>
      <c r="ITM162" s="21"/>
      <c r="ITN162" s="21"/>
      <c r="ITO162" s="21"/>
      <c r="ITP162" s="21"/>
      <c r="ITQ162" s="21"/>
      <c r="ITR162" s="20"/>
      <c r="ITS162" s="20"/>
      <c r="ITT162" s="20"/>
      <c r="ITU162" s="20"/>
      <c r="ITV162" s="21"/>
      <c r="ITW162" s="21"/>
      <c r="ITX162" s="7"/>
      <c r="ITY162" s="7"/>
      <c r="ITZ162" s="21"/>
      <c r="IUA162" s="20"/>
      <c r="IUB162" s="20"/>
      <c r="IUC162" s="20"/>
      <c r="IUD162" s="21"/>
      <c r="IUE162" s="21"/>
      <c r="IUF162" s="21"/>
      <c r="IUG162" s="21"/>
      <c r="IUH162" s="21"/>
      <c r="IUI162" s="20"/>
      <c r="IUJ162" s="20"/>
      <c r="IUK162" s="20"/>
      <c r="IUL162" s="20"/>
      <c r="IUM162" s="21"/>
      <c r="IUN162" s="21"/>
      <c r="IUO162" s="7"/>
      <c r="IUP162" s="7"/>
      <c r="IUQ162" s="21"/>
      <c r="IUR162" s="20"/>
      <c r="IUS162" s="20"/>
      <c r="IUT162" s="20"/>
      <c r="IUU162" s="21"/>
      <c r="IUV162" s="21"/>
      <c r="IUW162" s="21"/>
      <c r="IUX162" s="21"/>
      <c r="IUY162" s="21"/>
      <c r="IUZ162" s="20"/>
      <c r="IVA162" s="20"/>
      <c r="IVB162" s="20"/>
      <c r="IVC162" s="20"/>
      <c r="IVD162" s="21"/>
      <c r="IVE162" s="21"/>
      <c r="IVF162" s="7"/>
      <c r="IVG162" s="7"/>
      <c r="IVH162" s="21"/>
      <c r="IVI162" s="20"/>
      <c r="IVJ162" s="20"/>
      <c r="IVK162" s="20"/>
      <c r="IVL162" s="21"/>
      <c r="IVM162" s="21"/>
      <c r="IVN162" s="21"/>
      <c r="IVO162" s="21"/>
      <c r="IVP162" s="21"/>
      <c r="IVQ162" s="20"/>
      <c r="IVR162" s="20"/>
      <c r="IVS162" s="20"/>
      <c r="IVT162" s="20"/>
      <c r="IVU162" s="21"/>
      <c r="IVV162" s="21"/>
      <c r="IVW162" s="7"/>
      <c r="IVX162" s="7"/>
      <c r="IVY162" s="21"/>
      <c r="IVZ162" s="20"/>
      <c r="IWA162" s="20"/>
      <c r="IWB162" s="20"/>
      <c r="IWC162" s="21"/>
      <c r="IWD162" s="21"/>
      <c r="IWE162" s="21"/>
      <c r="IWF162" s="21"/>
      <c r="IWG162" s="21"/>
      <c r="IWH162" s="20"/>
      <c r="IWI162" s="20"/>
      <c r="IWJ162" s="20"/>
      <c r="IWK162" s="20"/>
      <c r="IWL162" s="21"/>
      <c r="IWM162" s="21"/>
      <c r="IWN162" s="7"/>
      <c r="IWO162" s="7"/>
      <c r="IWP162" s="21"/>
      <c r="IWQ162" s="20"/>
      <c r="IWR162" s="20"/>
      <c r="IWS162" s="20"/>
      <c r="IWT162" s="21"/>
      <c r="IWU162" s="21"/>
      <c r="IWV162" s="21"/>
      <c r="IWW162" s="21"/>
      <c r="IWX162" s="21"/>
      <c r="IWY162" s="20"/>
      <c r="IWZ162" s="20"/>
      <c r="IXA162" s="20"/>
      <c r="IXB162" s="20"/>
      <c r="IXC162" s="21"/>
      <c r="IXD162" s="21"/>
      <c r="IXE162" s="7"/>
      <c r="IXF162" s="7"/>
      <c r="IXG162" s="21"/>
      <c r="IXH162" s="20"/>
      <c r="IXI162" s="20"/>
      <c r="IXJ162" s="20"/>
      <c r="IXK162" s="21"/>
      <c r="IXL162" s="21"/>
      <c r="IXM162" s="21"/>
      <c r="IXN162" s="21"/>
      <c r="IXO162" s="21"/>
      <c r="IXP162" s="20"/>
      <c r="IXQ162" s="20"/>
      <c r="IXR162" s="20"/>
      <c r="IXS162" s="20"/>
      <c r="IXT162" s="21"/>
      <c r="IXU162" s="21"/>
      <c r="IXV162" s="7"/>
      <c r="IXW162" s="7"/>
      <c r="IXX162" s="21"/>
      <c r="IXY162" s="20"/>
      <c r="IXZ162" s="20"/>
      <c r="IYA162" s="20"/>
      <c r="IYB162" s="21"/>
      <c r="IYC162" s="21"/>
      <c r="IYD162" s="21"/>
      <c r="IYE162" s="21"/>
      <c r="IYF162" s="21"/>
      <c r="IYG162" s="20"/>
      <c r="IYH162" s="20"/>
      <c r="IYI162" s="20"/>
      <c r="IYJ162" s="20"/>
      <c r="IYK162" s="21"/>
      <c r="IYL162" s="21"/>
      <c r="IYM162" s="7"/>
      <c r="IYN162" s="7"/>
      <c r="IYO162" s="21"/>
      <c r="IYP162" s="20"/>
      <c r="IYQ162" s="20"/>
      <c r="IYR162" s="20"/>
      <c r="IYS162" s="21"/>
      <c r="IYT162" s="21"/>
      <c r="IYU162" s="21"/>
      <c r="IYV162" s="21"/>
      <c r="IYW162" s="21"/>
      <c r="IYX162" s="20"/>
      <c r="IYY162" s="20"/>
      <c r="IYZ162" s="20"/>
      <c r="IZA162" s="20"/>
      <c r="IZB162" s="21"/>
      <c r="IZC162" s="21"/>
      <c r="IZD162" s="7"/>
      <c r="IZE162" s="7"/>
      <c r="IZF162" s="21"/>
      <c r="IZG162" s="20"/>
      <c r="IZH162" s="20"/>
      <c r="IZI162" s="20"/>
      <c r="IZJ162" s="21"/>
      <c r="IZK162" s="21"/>
      <c r="IZL162" s="21"/>
      <c r="IZM162" s="21"/>
      <c r="IZN162" s="21"/>
      <c r="IZO162" s="20"/>
      <c r="IZP162" s="20"/>
      <c r="IZQ162" s="20"/>
      <c r="IZR162" s="20"/>
      <c r="IZS162" s="21"/>
      <c r="IZT162" s="21"/>
      <c r="IZU162" s="7"/>
      <c r="IZV162" s="7"/>
      <c r="IZW162" s="21"/>
      <c r="IZX162" s="20"/>
      <c r="IZY162" s="20"/>
      <c r="IZZ162" s="20"/>
      <c r="JAA162" s="21"/>
      <c r="JAB162" s="21"/>
      <c r="JAC162" s="21"/>
      <c r="JAD162" s="21"/>
      <c r="JAE162" s="21"/>
      <c r="JAF162" s="20"/>
      <c r="JAG162" s="20"/>
      <c r="JAH162" s="20"/>
      <c r="JAI162" s="20"/>
      <c r="JAJ162" s="21"/>
      <c r="JAK162" s="21"/>
      <c r="JAL162" s="7"/>
      <c r="JAM162" s="7"/>
      <c r="JAN162" s="21"/>
      <c r="JAO162" s="20"/>
      <c r="JAP162" s="20"/>
      <c r="JAQ162" s="20"/>
      <c r="JAR162" s="21"/>
      <c r="JAS162" s="21"/>
      <c r="JAT162" s="21"/>
      <c r="JAU162" s="21"/>
      <c r="JAV162" s="21"/>
      <c r="JAW162" s="20"/>
      <c r="JAX162" s="20"/>
      <c r="JAY162" s="20"/>
      <c r="JAZ162" s="20"/>
      <c r="JBA162" s="21"/>
      <c r="JBB162" s="21"/>
      <c r="JBC162" s="7"/>
      <c r="JBD162" s="7"/>
      <c r="JBE162" s="21"/>
      <c r="JBF162" s="20"/>
      <c r="JBG162" s="20"/>
      <c r="JBH162" s="20"/>
      <c r="JBI162" s="21"/>
      <c r="JBJ162" s="21"/>
      <c r="JBK162" s="21"/>
      <c r="JBL162" s="21"/>
      <c r="JBM162" s="21"/>
      <c r="JBN162" s="20"/>
      <c r="JBO162" s="20"/>
      <c r="JBP162" s="20"/>
      <c r="JBQ162" s="20"/>
      <c r="JBR162" s="21"/>
      <c r="JBS162" s="21"/>
      <c r="JBT162" s="7"/>
      <c r="JBU162" s="7"/>
      <c r="JBV162" s="21"/>
      <c r="JBW162" s="20"/>
      <c r="JBX162" s="20"/>
      <c r="JBY162" s="20"/>
      <c r="JBZ162" s="21"/>
      <c r="JCA162" s="21"/>
      <c r="JCB162" s="21"/>
      <c r="JCC162" s="21"/>
      <c r="JCD162" s="21"/>
      <c r="JCE162" s="20"/>
      <c r="JCF162" s="20"/>
      <c r="JCG162" s="20"/>
      <c r="JCH162" s="20"/>
      <c r="JCI162" s="21"/>
      <c r="JCJ162" s="21"/>
      <c r="JCK162" s="7"/>
      <c r="JCL162" s="7"/>
      <c r="JCM162" s="21"/>
      <c r="JCN162" s="20"/>
      <c r="JCO162" s="20"/>
      <c r="JCP162" s="20"/>
      <c r="JCQ162" s="21"/>
      <c r="JCR162" s="21"/>
      <c r="JCS162" s="21"/>
      <c r="JCT162" s="21"/>
      <c r="JCU162" s="21"/>
      <c r="JCV162" s="20"/>
      <c r="JCW162" s="20"/>
      <c r="JCX162" s="20"/>
      <c r="JCY162" s="20"/>
      <c r="JCZ162" s="21"/>
      <c r="JDA162" s="21"/>
      <c r="JDB162" s="7"/>
      <c r="JDC162" s="7"/>
      <c r="JDD162" s="21"/>
      <c r="JDE162" s="20"/>
      <c r="JDF162" s="20"/>
      <c r="JDG162" s="20"/>
      <c r="JDH162" s="21"/>
      <c r="JDI162" s="21"/>
      <c r="JDJ162" s="21"/>
      <c r="JDK162" s="21"/>
      <c r="JDL162" s="21"/>
      <c r="JDM162" s="20"/>
      <c r="JDN162" s="20"/>
      <c r="JDO162" s="20"/>
      <c r="JDP162" s="20"/>
      <c r="JDQ162" s="21"/>
      <c r="JDR162" s="21"/>
      <c r="JDS162" s="7"/>
      <c r="JDT162" s="7"/>
      <c r="JDU162" s="21"/>
      <c r="JDV162" s="20"/>
      <c r="JDW162" s="20"/>
      <c r="JDX162" s="20"/>
      <c r="JDY162" s="21"/>
      <c r="JDZ162" s="21"/>
      <c r="JEA162" s="21"/>
      <c r="JEB162" s="21"/>
      <c r="JEC162" s="21"/>
      <c r="JED162" s="20"/>
      <c r="JEE162" s="20"/>
      <c r="JEF162" s="20"/>
      <c r="JEG162" s="20"/>
      <c r="JEH162" s="21"/>
      <c r="JEI162" s="21"/>
      <c r="JEJ162" s="7"/>
      <c r="JEK162" s="7"/>
      <c r="JEL162" s="21"/>
      <c r="JEM162" s="20"/>
      <c r="JEN162" s="20"/>
      <c r="JEO162" s="20"/>
      <c r="JEP162" s="21"/>
      <c r="JEQ162" s="21"/>
      <c r="JER162" s="21"/>
      <c r="JES162" s="21"/>
      <c r="JET162" s="21"/>
      <c r="JEU162" s="20"/>
      <c r="JEV162" s="20"/>
      <c r="JEW162" s="20"/>
      <c r="JEX162" s="20"/>
      <c r="JEY162" s="21"/>
      <c r="JEZ162" s="21"/>
      <c r="JFA162" s="7"/>
      <c r="JFB162" s="7"/>
      <c r="JFC162" s="21"/>
      <c r="JFD162" s="20"/>
      <c r="JFE162" s="20"/>
      <c r="JFF162" s="20"/>
      <c r="JFG162" s="21"/>
      <c r="JFH162" s="21"/>
      <c r="JFI162" s="21"/>
      <c r="JFJ162" s="21"/>
      <c r="JFK162" s="21"/>
      <c r="JFL162" s="20"/>
      <c r="JFM162" s="20"/>
      <c r="JFN162" s="20"/>
      <c r="JFO162" s="20"/>
      <c r="JFP162" s="21"/>
      <c r="JFQ162" s="21"/>
      <c r="JFR162" s="7"/>
      <c r="JFS162" s="7"/>
      <c r="JFT162" s="21"/>
      <c r="JFU162" s="20"/>
      <c r="JFV162" s="20"/>
      <c r="JFW162" s="20"/>
      <c r="JFX162" s="21"/>
      <c r="JFY162" s="21"/>
      <c r="JFZ162" s="21"/>
      <c r="JGA162" s="21"/>
      <c r="JGB162" s="21"/>
      <c r="JGC162" s="20"/>
      <c r="JGD162" s="20"/>
      <c r="JGE162" s="20"/>
      <c r="JGF162" s="20"/>
      <c r="JGG162" s="21"/>
      <c r="JGH162" s="21"/>
      <c r="JGI162" s="7"/>
      <c r="JGJ162" s="7"/>
      <c r="JGK162" s="21"/>
      <c r="JGL162" s="20"/>
      <c r="JGM162" s="20"/>
      <c r="JGN162" s="20"/>
      <c r="JGO162" s="21"/>
      <c r="JGP162" s="21"/>
      <c r="JGQ162" s="21"/>
      <c r="JGR162" s="21"/>
      <c r="JGS162" s="21"/>
      <c r="JGT162" s="20"/>
      <c r="JGU162" s="20"/>
      <c r="JGV162" s="20"/>
      <c r="JGW162" s="20"/>
      <c r="JGX162" s="21"/>
      <c r="JGY162" s="21"/>
      <c r="JGZ162" s="7"/>
      <c r="JHA162" s="7"/>
      <c r="JHB162" s="21"/>
      <c r="JHC162" s="20"/>
      <c r="JHD162" s="20"/>
      <c r="JHE162" s="20"/>
      <c r="JHF162" s="21"/>
      <c r="JHG162" s="21"/>
      <c r="JHH162" s="21"/>
      <c r="JHI162" s="21"/>
      <c r="JHJ162" s="21"/>
      <c r="JHK162" s="20"/>
      <c r="JHL162" s="20"/>
      <c r="JHM162" s="20"/>
      <c r="JHN162" s="20"/>
      <c r="JHO162" s="21"/>
      <c r="JHP162" s="21"/>
      <c r="JHQ162" s="7"/>
      <c r="JHR162" s="7"/>
      <c r="JHS162" s="21"/>
      <c r="JHT162" s="20"/>
      <c r="JHU162" s="20"/>
      <c r="JHV162" s="20"/>
      <c r="JHW162" s="21"/>
      <c r="JHX162" s="21"/>
      <c r="JHY162" s="21"/>
      <c r="JHZ162" s="21"/>
      <c r="JIA162" s="21"/>
      <c r="JIB162" s="20"/>
      <c r="JIC162" s="20"/>
      <c r="JID162" s="20"/>
      <c r="JIE162" s="20"/>
      <c r="JIF162" s="21"/>
      <c r="JIG162" s="21"/>
      <c r="JIH162" s="7"/>
      <c r="JII162" s="7"/>
      <c r="JIJ162" s="21"/>
      <c r="JIK162" s="20"/>
      <c r="JIL162" s="20"/>
      <c r="JIM162" s="20"/>
      <c r="JIN162" s="21"/>
      <c r="JIO162" s="21"/>
      <c r="JIP162" s="21"/>
      <c r="JIQ162" s="21"/>
      <c r="JIR162" s="21"/>
      <c r="JIS162" s="20"/>
      <c r="JIT162" s="20"/>
      <c r="JIU162" s="20"/>
      <c r="JIV162" s="20"/>
      <c r="JIW162" s="21"/>
      <c r="JIX162" s="21"/>
      <c r="JIY162" s="7"/>
      <c r="JIZ162" s="7"/>
      <c r="JJA162" s="21"/>
      <c r="JJB162" s="20"/>
      <c r="JJC162" s="20"/>
      <c r="JJD162" s="20"/>
      <c r="JJE162" s="21"/>
      <c r="JJF162" s="21"/>
      <c r="JJG162" s="21"/>
      <c r="JJH162" s="21"/>
      <c r="JJI162" s="21"/>
      <c r="JJJ162" s="20"/>
      <c r="JJK162" s="20"/>
      <c r="JJL162" s="20"/>
      <c r="JJM162" s="20"/>
      <c r="JJN162" s="21"/>
      <c r="JJO162" s="21"/>
      <c r="JJP162" s="7"/>
      <c r="JJQ162" s="7"/>
      <c r="JJR162" s="21"/>
      <c r="JJS162" s="20"/>
      <c r="JJT162" s="20"/>
      <c r="JJU162" s="20"/>
      <c r="JJV162" s="21"/>
      <c r="JJW162" s="21"/>
      <c r="JJX162" s="21"/>
      <c r="JJY162" s="21"/>
      <c r="JJZ162" s="21"/>
      <c r="JKA162" s="20"/>
      <c r="JKB162" s="20"/>
      <c r="JKC162" s="20"/>
      <c r="JKD162" s="20"/>
      <c r="JKE162" s="21"/>
      <c r="JKF162" s="21"/>
      <c r="JKG162" s="7"/>
      <c r="JKH162" s="7"/>
      <c r="JKI162" s="21"/>
      <c r="JKJ162" s="20"/>
      <c r="JKK162" s="20"/>
      <c r="JKL162" s="20"/>
      <c r="JKM162" s="21"/>
      <c r="JKN162" s="21"/>
      <c r="JKO162" s="21"/>
      <c r="JKP162" s="21"/>
      <c r="JKQ162" s="21"/>
      <c r="JKR162" s="20"/>
      <c r="JKS162" s="20"/>
      <c r="JKT162" s="20"/>
      <c r="JKU162" s="20"/>
      <c r="JKV162" s="21"/>
      <c r="JKW162" s="21"/>
      <c r="JKX162" s="7"/>
      <c r="JKY162" s="7"/>
      <c r="JKZ162" s="21"/>
      <c r="JLA162" s="20"/>
      <c r="JLB162" s="20"/>
      <c r="JLC162" s="20"/>
      <c r="JLD162" s="21"/>
      <c r="JLE162" s="21"/>
      <c r="JLF162" s="21"/>
      <c r="JLG162" s="21"/>
      <c r="JLH162" s="21"/>
      <c r="JLI162" s="20"/>
      <c r="JLJ162" s="20"/>
      <c r="JLK162" s="20"/>
      <c r="JLL162" s="20"/>
      <c r="JLM162" s="21"/>
      <c r="JLN162" s="21"/>
      <c r="JLO162" s="7"/>
      <c r="JLP162" s="7"/>
      <c r="JLQ162" s="21"/>
      <c r="JLR162" s="20"/>
      <c r="JLS162" s="20"/>
      <c r="JLT162" s="20"/>
      <c r="JLU162" s="21"/>
      <c r="JLV162" s="21"/>
      <c r="JLW162" s="21"/>
      <c r="JLX162" s="21"/>
      <c r="JLY162" s="21"/>
      <c r="JLZ162" s="20"/>
      <c r="JMA162" s="20"/>
      <c r="JMB162" s="20"/>
      <c r="JMC162" s="20"/>
      <c r="JMD162" s="21"/>
      <c r="JME162" s="21"/>
      <c r="JMF162" s="7"/>
      <c r="JMG162" s="7"/>
      <c r="JMH162" s="21"/>
      <c r="JMI162" s="20"/>
      <c r="JMJ162" s="20"/>
      <c r="JMK162" s="20"/>
      <c r="JML162" s="21"/>
      <c r="JMM162" s="21"/>
      <c r="JMN162" s="21"/>
      <c r="JMO162" s="21"/>
      <c r="JMP162" s="21"/>
      <c r="JMQ162" s="20"/>
      <c r="JMR162" s="20"/>
      <c r="JMS162" s="20"/>
      <c r="JMT162" s="20"/>
      <c r="JMU162" s="21"/>
      <c r="JMV162" s="21"/>
      <c r="JMW162" s="7"/>
      <c r="JMX162" s="7"/>
      <c r="JMY162" s="21"/>
      <c r="JMZ162" s="20"/>
      <c r="JNA162" s="20"/>
      <c r="JNB162" s="20"/>
      <c r="JNC162" s="21"/>
      <c r="JND162" s="21"/>
      <c r="JNE162" s="21"/>
      <c r="JNF162" s="21"/>
      <c r="JNG162" s="21"/>
      <c r="JNH162" s="20"/>
      <c r="JNI162" s="20"/>
      <c r="JNJ162" s="20"/>
      <c r="JNK162" s="20"/>
      <c r="JNL162" s="21"/>
      <c r="JNM162" s="21"/>
      <c r="JNN162" s="7"/>
      <c r="JNO162" s="7"/>
      <c r="JNP162" s="21"/>
      <c r="JNQ162" s="20"/>
      <c r="JNR162" s="20"/>
      <c r="JNS162" s="20"/>
      <c r="JNT162" s="21"/>
      <c r="JNU162" s="21"/>
      <c r="JNV162" s="21"/>
      <c r="JNW162" s="21"/>
      <c r="JNX162" s="21"/>
      <c r="JNY162" s="20"/>
      <c r="JNZ162" s="20"/>
      <c r="JOA162" s="20"/>
      <c r="JOB162" s="20"/>
      <c r="JOC162" s="21"/>
      <c r="JOD162" s="21"/>
      <c r="JOE162" s="7"/>
      <c r="JOF162" s="7"/>
      <c r="JOG162" s="21"/>
      <c r="JOH162" s="20"/>
      <c r="JOI162" s="20"/>
      <c r="JOJ162" s="20"/>
      <c r="JOK162" s="21"/>
      <c r="JOL162" s="21"/>
      <c r="JOM162" s="21"/>
      <c r="JON162" s="21"/>
      <c r="JOO162" s="21"/>
      <c r="JOP162" s="20"/>
      <c r="JOQ162" s="20"/>
      <c r="JOR162" s="20"/>
      <c r="JOS162" s="20"/>
      <c r="JOT162" s="21"/>
      <c r="JOU162" s="21"/>
      <c r="JOV162" s="7"/>
      <c r="JOW162" s="7"/>
      <c r="JOX162" s="21"/>
      <c r="JOY162" s="20"/>
      <c r="JOZ162" s="20"/>
      <c r="JPA162" s="20"/>
      <c r="JPB162" s="21"/>
      <c r="JPC162" s="21"/>
      <c r="JPD162" s="21"/>
      <c r="JPE162" s="21"/>
      <c r="JPF162" s="21"/>
      <c r="JPG162" s="20"/>
      <c r="JPH162" s="20"/>
      <c r="JPI162" s="20"/>
      <c r="JPJ162" s="20"/>
      <c r="JPK162" s="21"/>
      <c r="JPL162" s="21"/>
      <c r="JPM162" s="7"/>
      <c r="JPN162" s="7"/>
      <c r="JPO162" s="21"/>
      <c r="JPP162" s="20"/>
      <c r="JPQ162" s="20"/>
      <c r="JPR162" s="20"/>
      <c r="JPS162" s="21"/>
      <c r="JPT162" s="21"/>
      <c r="JPU162" s="21"/>
      <c r="JPV162" s="21"/>
      <c r="JPW162" s="21"/>
      <c r="JPX162" s="20"/>
      <c r="JPY162" s="20"/>
      <c r="JPZ162" s="20"/>
      <c r="JQA162" s="20"/>
      <c r="JQB162" s="21"/>
      <c r="JQC162" s="21"/>
      <c r="JQD162" s="7"/>
      <c r="JQE162" s="7"/>
      <c r="JQF162" s="21"/>
      <c r="JQG162" s="20"/>
      <c r="JQH162" s="20"/>
      <c r="JQI162" s="20"/>
      <c r="JQJ162" s="21"/>
      <c r="JQK162" s="21"/>
      <c r="JQL162" s="21"/>
      <c r="JQM162" s="21"/>
      <c r="JQN162" s="21"/>
      <c r="JQO162" s="20"/>
      <c r="JQP162" s="20"/>
      <c r="JQQ162" s="20"/>
      <c r="JQR162" s="20"/>
      <c r="JQS162" s="21"/>
      <c r="JQT162" s="21"/>
      <c r="JQU162" s="7"/>
      <c r="JQV162" s="7"/>
      <c r="JQW162" s="21"/>
      <c r="JQX162" s="20"/>
      <c r="JQY162" s="20"/>
      <c r="JQZ162" s="20"/>
      <c r="JRA162" s="21"/>
      <c r="JRB162" s="21"/>
      <c r="JRC162" s="21"/>
      <c r="JRD162" s="21"/>
      <c r="JRE162" s="21"/>
      <c r="JRF162" s="20"/>
      <c r="JRG162" s="20"/>
      <c r="JRH162" s="20"/>
      <c r="JRI162" s="20"/>
      <c r="JRJ162" s="21"/>
      <c r="JRK162" s="21"/>
      <c r="JRL162" s="7"/>
      <c r="JRM162" s="7"/>
      <c r="JRN162" s="21"/>
      <c r="JRO162" s="20"/>
      <c r="JRP162" s="20"/>
      <c r="JRQ162" s="20"/>
      <c r="JRR162" s="21"/>
      <c r="JRS162" s="21"/>
      <c r="JRT162" s="21"/>
      <c r="JRU162" s="21"/>
      <c r="JRV162" s="21"/>
      <c r="JRW162" s="20"/>
      <c r="JRX162" s="20"/>
      <c r="JRY162" s="20"/>
      <c r="JRZ162" s="20"/>
      <c r="JSA162" s="21"/>
      <c r="JSB162" s="21"/>
      <c r="JSC162" s="7"/>
      <c r="JSD162" s="7"/>
      <c r="JSE162" s="21"/>
      <c r="JSF162" s="20"/>
      <c r="JSG162" s="20"/>
      <c r="JSH162" s="20"/>
      <c r="JSI162" s="21"/>
      <c r="JSJ162" s="21"/>
      <c r="JSK162" s="21"/>
      <c r="JSL162" s="21"/>
      <c r="JSM162" s="21"/>
      <c r="JSN162" s="20"/>
      <c r="JSO162" s="20"/>
      <c r="JSP162" s="20"/>
      <c r="JSQ162" s="20"/>
      <c r="JSR162" s="21"/>
      <c r="JSS162" s="21"/>
      <c r="JST162" s="7"/>
      <c r="JSU162" s="7"/>
      <c r="JSV162" s="21"/>
      <c r="JSW162" s="20"/>
      <c r="JSX162" s="20"/>
      <c r="JSY162" s="20"/>
      <c r="JSZ162" s="21"/>
      <c r="JTA162" s="21"/>
      <c r="JTB162" s="21"/>
      <c r="JTC162" s="21"/>
      <c r="JTD162" s="21"/>
      <c r="JTE162" s="20"/>
      <c r="JTF162" s="20"/>
      <c r="JTG162" s="20"/>
      <c r="JTH162" s="20"/>
      <c r="JTI162" s="21"/>
      <c r="JTJ162" s="21"/>
      <c r="JTK162" s="7"/>
      <c r="JTL162" s="7"/>
      <c r="JTM162" s="21"/>
      <c r="JTN162" s="20"/>
      <c r="JTO162" s="20"/>
      <c r="JTP162" s="20"/>
      <c r="JTQ162" s="21"/>
      <c r="JTR162" s="21"/>
      <c r="JTS162" s="21"/>
      <c r="JTT162" s="21"/>
      <c r="JTU162" s="21"/>
      <c r="JTV162" s="20"/>
      <c r="JTW162" s="20"/>
      <c r="JTX162" s="20"/>
      <c r="JTY162" s="20"/>
      <c r="JTZ162" s="21"/>
      <c r="JUA162" s="21"/>
      <c r="JUB162" s="7"/>
      <c r="JUC162" s="7"/>
      <c r="JUD162" s="21"/>
      <c r="JUE162" s="20"/>
      <c r="JUF162" s="20"/>
      <c r="JUG162" s="20"/>
      <c r="JUH162" s="21"/>
      <c r="JUI162" s="21"/>
      <c r="JUJ162" s="21"/>
      <c r="JUK162" s="21"/>
      <c r="JUL162" s="21"/>
      <c r="JUM162" s="20"/>
      <c r="JUN162" s="20"/>
      <c r="JUO162" s="20"/>
      <c r="JUP162" s="20"/>
      <c r="JUQ162" s="21"/>
      <c r="JUR162" s="21"/>
      <c r="JUS162" s="7"/>
      <c r="JUT162" s="7"/>
      <c r="JUU162" s="21"/>
      <c r="JUV162" s="20"/>
      <c r="JUW162" s="20"/>
      <c r="JUX162" s="20"/>
      <c r="JUY162" s="21"/>
      <c r="JUZ162" s="21"/>
      <c r="JVA162" s="21"/>
      <c r="JVB162" s="21"/>
      <c r="JVC162" s="21"/>
      <c r="JVD162" s="20"/>
      <c r="JVE162" s="20"/>
      <c r="JVF162" s="20"/>
      <c r="JVG162" s="20"/>
      <c r="JVH162" s="21"/>
      <c r="JVI162" s="21"/>
      <c r="JVJ162" s="7"/>
      <c r="JVK162" s="7"/>
      <c r="JVL162" s="21"/>
      <c r="JVM162" s="20"/>
      <c r="JVN162" s="20"/>
      <c r="JVO162" s="20"/>
      <c r="JVP162" s="21"/>
      <c r="JVQ162" s="21"/>
      <c r="JVR162" s="21"/>
      <c r="JVS162" s="21"/>
      <c r="JVT162" s="21"/>
      <c r="JVU162" s="20"/>
      <c r="JVV162" s="20"/>
      <c r="JVW162" s="20"/>
      <c r="JVX162" s="20"/>
      <c r="JVY162" s="21"/>
      <c r="JVZ162" s="21"/>
      <c r="JWA162" s="7"/>
      <c r="JWB162" s="7"/>
      <c r="JWC162" s="21"/>
      <c r="JWD162" s="20"/>
      <c r="JWE162" s="20"/>
      <c r="JWF162" s="20"/>
      <c r="JWG162" s="21"/>
      <c r="JWH162" s="21"/>
      <c r="JWI162" s="21"/>
      <c r="JWJ162" s="21"/>
      <c r="JWK162" s="21"/>
      <c r="JWL162" s="20"/>
      <c r="JWM162" s="20"/>
      <c r="JWN162" s="20"/>
      <c r="JWO162" s="20"/>
      <c r="JWP162" s="21"/>
      <c r="JWQ162" s="21"/>
      <c r="JWR162" s="7"/>
      <c r="JWS162" s="7"/>
      <c r="JWT162" s="21"/>
      <c r="JWU162" s="20"/>
      <c r="JWV162" s="20"/>
      <c r="JWW162" s="20"/>
      <c r="JWX162" s="21"/>
      <c r="JWY162" s="21"/>
      <c r="JWZ162" s="21"/>
      <c r="JXA162" s="21"/>
      <c r="JXB162" s="21"/>
      <c r="JXC162" s="20"/>
      <c r="JXD162" s="20"/>
      <c r="JXE162" s="20"/>
      <c r="JXF162" s="20"/>
      <c r="JXG162" s="21"/>
      <c r="JXH162" s="21"/>
      <c r="JXI162" s="7"/>
      <c r="JXJ162" s="7"/>
      <c r="JXK162" s="21"/>
      <c r="JXL162" s="20"/>
      <c r="JXM162" s="20"/>
      <c r="JXN162" s="20"/>
      <c r="JXO162" s="21"/>
      <c r="JXP162" s="21"/>
      <c r="JXQ162" s="21"/>
      <c r="JXR162" s="21"/>
      <c r="JXS162" s="21"/>
      <c r="JXT162" s="20"/>
      <c r="JXU162" s="20"/>
      <c r="JXV162" s="20"/>
      <c r="JXW162" s="20"/>
      <c r="JXX162" s="21"/>
      <c r="JXY162" s="21"/>
      <c r="JXZ162" s="7"/>
      <c r="JYA162" s="7"/>
      <c r="JYB162" s="21"/>
      <c r="JYC162" s="20"/>
      <c r="JYD162" s="20"/>
      <c r="JYE162" s="20"/>
      <c r="JYF162" s="21"/>
      <c r="JYG162" s="21"/>
      <c r="JYH162" s="21"/>
      <c r="JYI162" s="21"/>
      <c r="JYJ162" s="21"/>
      <c r="JYK162" s="20"/>
      <c r="JYL162" s="20"/>
      <c r="JYM162" s="20"/>
      <c r="JYN162" s="20"/>
      <c r="JYO162" s="21"/>
      <c r="JYP162" s="21"/>
      <c r="JYQ162" s="7"/>
      <c r="JYR162" s="7"/>
      <c r="JYS162" s="21"/>
      <c r="JYT162" s="20"/>
      <c r="JYU162" s="20"/>
      <c r="JYV162" s="20"/>
      <c r="JYW162" s="21"/>
      <c r="JYX162" s="21"/>
      <c r="JYY162" s="21"/>
      <c r="JYZ162" s="21"/>
      <c r="JZA162" s="21"/>
      <c r="JZB162" s="20"/>
      <c r="JZC162" s="20"/>
      <c r="JZD162" s="20"/>
      <c r="JZE162" s="20"/>
      <c r="JZF162" s="21"/>
      <c r="JZG162" s="21"/>
      <c r="JZH162" s="7"/>
      <c r="JZI162" s="7"/>
      <c r="JZJ162" s="21"/>
      <c r="JZK162" s="20"/>
      <c r="JZL162" s="20"/>
      <c r="JZM162" s="20"/>
      <c r="JZN162" s="21"/>
      <c r="JZO162" s="21"/>
      <c r="JZP162" s="21"/>
      <c r="JZQ162" s="21"/>
      <c r="JZR162" s="21"/>
      <c r="JZS162" s="20"/>
      <c r="JZT162" s="20"/>
      <c r="JZU162" s="20"/>
      <c r="JZV162" s="20"/>
      <c r="JZW162" s="21"/>
      <c r="JZX162" s="21"/>
      <c r="JZY162" s="7"/>
      <c r="JZZ162" s="7"/>
      <c r="KAA162" s="21"/>
      <c r="KAB162" s="20"/>
      <c r="KAC162" s="20"/>
      <c r="KAD162" s="20"/>
      <c r="KAE162" s="21"/>
      <c r="KAF162" s="21"/>
      <c r="KAG162" s="21"/>
      <c r="KAH162" s="21"/>
      <c r="KAI162" s="21"/>
      <c r="KAJ162" s="20"/>
      <c r="KAK162" s="20"/>
      <c r="KAL162" s="20"/>
      <c r="KAM162" s="20"/>
      <c r="KAN162" s="21"/>
      <c r="KAO162" s="21"/>
      <c r="KAP162" s="7"/>
      <c r="KAQ162" s="7"/>
      <c r="KAR162" s="21"/>
      <c r="KAS162" s="20"/>
      <c r="KAT162" s="20"/>
      <c r="KAU162" s="20"/>
      <c r="KAV162" s="21"/>
      <c r="KAW162" s="21"/>
      <c r="KAX162" s="21"/>
      <c r="KAY162" s="21"/>
      <c r="KAZ162" s="21"/>
      <c r="KBA162" s="20"/>
      <c r="KBB162" s="20"/>
      <c r="KBC162" s="20"/>
      <c r="KBD162" s="20"/>
      <c r="KBE162" s="21"/>
      <c r="KBF162" s="21"/>
      <c r="KBG162" s="7"/>
      <c r="KBH162" s="7"/>
      <c r="KBI162" s="21"/>
      <c r="KBJ162" s="20"/>
      <c r="KBK162" s="20"/>
      <c r="KBL162" s="20"/>
      <c r="KBM162" s="21"/>
      <c r="KBN162" s="21"/>
      <c r="KBO162" s="21"/>
      <c r="KBP162" s="21"/>
      <c r="KBQ162" s="21"/>
      <c r="KBR162" s="20"/>
      <c r="KBS162" s="20"/>
      <c r="KBT162" s="20"/>
      <c r="KBU162" s="20"/>
      <c r="KBV162" s="21"/>
      <c r="KBW162" s="21"/>
      <c r="KBX162" s="7"/>
      <c r="KBY162" s="7"/>
      <c r="KBZ162" s="21"/>
      <c r="KCA162" s="20"/>
      <c r="KCB162" s="20"/>
      <c r="KCC162" s="20"/>
      <c r="KCD162" s="21"/>
      <c r="KCE162" s="21"/>
      <c r="KCF162" s="21"/>
      <c r="KCG162" s="21"/>
      <c r="KCH162" s="21"/>
      <c r="KCI162" s="20"/>
      <c r="KCJ162" s="20"/>
      <c r="KCK162" s="20"/>
      <c r="KCL162" s="20"/>
      <c r="KCM162" s="21"/>
      <c r="KCN162" s="21"/>
      <c r="KCO162" s="7"/>
      <c r="KCP162" s="7"/>
      <c r="KCQ162" s="21"/>
      <c r="KCR162" s="20"/>
      <c r="KCS162" s="20"/>
      <c r="KCT162" s="20"/>
      <c r="KCU162" s="21"/>
      <c r="KCV162" s="21"/>
      <c r="KCW162" s="21"/>
      <c r="KCX162" s="21"/>
      <c r="KCY162" s="21"/>
      <c r="KCZ162" s="20"/>
      <c r="KDA162" s="20"/>
      <c r="KDB162" s="20"/>
      <c r="KDC162" s="20"/>
      <c r="KDD162" s="21"/>
      <c r="KDE162" s="21"/>
      <c r="KDF162" s="7"/>
      <c r="KDG162" s="7"/>
      <c r="KDH162" s="21"/>
      <c r="KDI162" s="20"/>
      <c r="KDJ162" s="20"/>
      <c r="KDK162" s="20"/>
      <c r="KDL162" s="21"/>
      <c r="KDM162" s="21"/>
      <c r="KDN162" s="21"/>
      <c r="KDO162" s="21"/>
      <c r="KDP162" s="21"/>
      <c r="KDQ162" s="20"/>
      <c r="KDR162" s="20"/>
      <c r="KDS162" s="20"/>
      <c r="KDT162" s="20"/>
      <c r="KDU162" s="21"/>
      <c r="KDV162" s="21"/>
      <c r="KDW162" s="7"/>
      <c r="KDX162" s="7"/>
      <c r="KDY162" s="21"/>
      <c r="KDZ162" s="20"/>
      <c r="KEA162" s="20"/>
      <c r="KEB162" s="20"/>
      <c r="KEC162" s="21"/>
      <c r="KED162" s="21"/>
      <c r="KEE162" s="21"/>
      <c r="KEF162" s="21"/>
      <c r="KEG162" s="21"/>
      <c r="KEH162" s="20"/>
      <c r="KEI162" s="20"/>
      <c r="KEJ162" s="20"/>
      <c r="KEK162" s="20"/>
      <c r="KEL162" s="21"/>
      <c r="KEM162" s="21"/>
      <c r="KEN162" s="7"/>
      <c r="KEO162" s="7"/>
      <c r="KEP162" s="21"/>
      <c r="KEQ162" s="20"/>
      <c r="KER162" s="20"/>
      <c r="KES162" s="20"/>
      <c r="KET162" s="21"/>
      <c r="KEU162" s="21"/>
      <c r="KEV162" s="21"/>
      <c r="KEW162" s="21"/>
      <c r="KEX162" s="21"/>
      <c r="KEY162" s="20"/>
      <c r="KEZ162" s="20"/>
      <c r="KFA162" s="20"/>
      <c r="KFB162" s="20"/>
      <c r="KFC162" s="21"/>
      <c r="KFD162" s="21"/>
      <c r="KFE162" s="7"/>
      <c r="KFF162" s="7"/>
      <c r="KFG162" s="21"/>
      <c r="KFH162" s="20"/>
      <c r="KFI162" s="20"/>
      <c r="KFJ162" s="20"/>
      <c r="KFK162" s="21"/>
      <c r="KFL162" s="21"/>
      <c r="KFM162" s="21"/>
      <c r="KFN162" s="21"/>
      <c r="KFO162" s="21"/>
      <c r="KFP162" s="20"/>
      <c r="KFQ162" s="20"/>
      <c r="KFR162" s="20"/>
      <c r="KFS162" s="20"/>
      <c r="KFT162" s="21"/>
      <c r="KFU162" s="21"/>
      <c r="KFV162" s="7"/>
      <c r="KFW162" s="7"/>
      <c r="KFX162" s="21"/>
      <c r="KFY162" s="20"/>
      <c r="KFZ162" s="20"/>
      <c r="KGA162" s="20"/>
      <c r="KGB162" s="21"/>
      <c r="KGC162" s="21"/>
      <c r="KGD162" s="21"/>
      <c r="KGE162" s="21"/>
      <c r="KGF162" s="21"/>
      <c r="KGG162" s="20"/>
      <c r="KGH162" s="20"/>
      <c r="KGI162" s="20"/>
      <c r="KGJ162" s="20"/>
      <c r="KGK162" s="21"/>
      <c r="KGL162" s="21"/>
      <c r="KGM162" s="7"/>
      <c r="KGN162" s="7"/>
      <c r="KGO162" s="21"/>
      <c r="KGP162" s="20"/>
      <c r="KGQ162" s="20"/>
      <c r="KGR162" s="20"/>
      <c r="KGS162" s="21"/>
      <c r="KGT162" s="21"/>
      <c r="KGU162" s="21"/>
      <c r="KGV162" s="21"/>
      <c r="KGW162" s="21"/>
      <c r="KGX162" s="20"/>
      <c r="KGY162" s="20"/>
      <c r="KGZ162" s="20"/>
      <c r="KHA162" s="20"/>
      <c r="KHB162" s="21"/>
      <c r="KHC162" s="21"/>
      <c r="KHD162" s="7"/>
      <c r="KHE162" s="7"/>
      <c r="KHF162" s="21"/>
      <c r="KHG162" s="20"/>
      <c r="KHH162" s="20"/>
      <c r="KHI162" s="20"/>
      <c r="KHJ162" s="21"/>
      <c r="KHK162" s="21"/>
      <c r="KHL162" s="21"/>
      <c r="KHM162" s="21"/>
      <c r="KHN162" s="21"/>
      <c r="KHO162" s="20"/>
      <c r="KHP162" s="20"/>
      <c r="KHQ162" s="20"/>
      <c r="KHR162" s="20"/>
      <c r="KHS162" s="21"/>
      <c r="KHT162" s="21"/>
      <c r="KHU162" s="7"/>
      <c r="KHV162" s="7"/>
      <c r="KHW162" s="21"/>
      <c r="KHX162" s="20"/>
      <c r="KHY162" s="20"/>
      <c r="KHZ162" s="20"/>
      <c r="KIA162" s="21"/>
      <c r="KIB162" s="21"/>
      <c r="KIC162" s="21"/>
      <c r="KID162" s="21"/>
      <c r="KIE162" s="21"/>
      <c r="KIF162" s="20"/>
      <c r="KIG162" s="20"/>
      <c r="KIH162" s="20"/>
      <c r="KII162" s="20"/>
      <c r="KIJ162" s="21"/>
      <c r="KIK162" s="21"/>
      <c r="KIL162" s="7"/>
      <c r="KIM162" s="7"/>
      <c r="KIN162" s="21"/>
      <c r="KIO162" s="20"/>
      <c r="KIP162" s="20"/>
      <c r="KIQ162" s="20"/>
      <c r="KIR162" s="21"/>
      <c r="KIS162" s="21"/>
      <c r="KIT162" s="21"/>
      <c r="KIU162" s="21"/>
      <c r="KIV162" s="21"/>
      <c r="KIW162" s="20"/>
      <c r="KIX162" s="20"/>
      <c r="KIY162" s="20"/>
      <c r="KIZ162" s="20"/>
      <c r="KJA162" s="21"/>
      <c r="KJB162" s="21"/>
      <c r="KJC162" s="7"/>
      <c r="KJD162" s="7"/>
      <c r="KJE162" s="21"/>
      <c r="KJF162" s="20"/>
      <c r="KJG162" s="20"/>
      <c r="KJH162" s="20"/>
      <c r="KJI162" s="21"/>
      <c r="KJJ162" s="21"/>
      <c r="KJK162" s="21"/>
      <c r="KJL162" s="21"/>
      <c r="KJM162" s="21"/>
      <c r="KJN162" s="20"/>
      <c r="KJO162" s="20"/>
      <c r="KJP162" s="20"/>
      <c r="KJQ162" s="20"/>
      <c r="KJR162" s="21"/>
      <c r="KJS162" s="21"/>
      <c r="KJT162" s="7"/>
      <c r="KJU162" s="7"/>
      <c r="KJV162" s="21"/>
      <c r="KJW162" s="20"/>
      <c r="KJX162" s="20"/>
      <c r="KJY162" s="20"/>
      <c r="KJZ162" s="21"/>
      <c r="KKA162" s="21"/>
      <c r="KKB162" s="21"/>
      <c r="KKC162" s="21"/>
      <c r="KKD162" s="21"/>
      <c r="KKE162" s="20"/>
      <c r="KKF162" s="20"/>
      <c r="KKG162" s="20"/>
      <c r="KKH162" s="20"/>
      <c r="KKI162" s="21"/>
      <c r="KKJ162" s="21"/>
      <c r="KKK162" s="7"/>
      <c r="KKL162" s="7"/>
      <c r="KKM162" s="21"/>
      <c r="KKN162" s="20"/>
      <c r="KKO162" s="20"/>
      <c r="KKP162" s="20"/>
      <c r="KKQ162" s="21"/>
      <c r="KKR162" s="21"/>
      <c r="KKS162" s="21"/>
      <c r="KKT162" s="21"/>
      <c r="KKU162" s="21"/>
      <c r="KKV162" s="20"/>
      <c r="KKW162" s="20"/>
      <c r="KKX162" s="20"/>
      <c r="KKY162" s="20"/>
      <c r="KKZ162" s="21"/>
      <c r="KLA162" s="21"/>
      <c r="KLB162" s="7"/>
      <c r="KLC162" s="7"/>
      <c r="KLD162" s="21"/>
      <c r="KLE162" s="20"/>
      <c r="KLF162" s="20"/>
      <c r="KLG162" s="20"/>
      <c r="KLH162" s="21"/>
      <c r="KLI162" s="21"/>
      <c r="KLJ162" s="21"/>
      <c r="KLK162" s="21"/>
      <c r="KLL162" s="21"/>
      <c r="KLM162" s="20"/>
      <c r="KLN162" s="20"/>
      <c r="KLO162" s="20"/>
      <c r="KLP162" s="20"/>
      <c r="KLQ162" s="21"/>
      <c r="KLR162" s="21"/>
      <c r="KLS162" s="7"/>
      <c r="KLT162" s="7"/>
      <c r="KLU162" s="21"/>
      <c r="KLV162" s="20"/>
      <c r="KLW162" s="20"/>
      <c r="KLX162" s="20"/>
      <c r="KLY162" s="21"/>
      <c r="KLZ162" s="21"/>
      <c r="KMA162" s="21"/>
      <c r="KMB162" s="21"/>
      <c r="KMC162" s="21"/>
      <c r="KMD162" s="20"/>
      <c r="KME162" s="20"/>
      <c r="KMF162" s="20"/>
      <c r="KMG162" s="20"/>
      <c r="KMH162" s="21"/>
      <c r="KMI162" s="21"/>
      <c r="KMJ162" s="7"/>
      <c r="KMK162" s="7"/>
      <c r="KML162" s="21"/>
      <c r="KMM162" s="20"/>
      <c r="KMN162" s="20"/>
      <c r="KMO162" s="20"/>
      <c r="KMP162" s="21"/>
      <c r="KMQ162" s="21"/>
      <c r="KMR162" s="21"/>
      <c r="KMS162" s="21"/>
      <c r="KMT162" s="21"/>
      <c r="KMU162" s="20"/>
      <c r="KMV162" s="20"/>
      <c r="KMW162" s="20"/>
      <c r="KMX162" s="20"/>
      <c r="KMY162" s="21"/>
      <c r="KMZ162" s="21"/>
      <c r="KNA162" s="7"/>
      <c r="KNB162" s="7"/>
      <c r="KNC162" s="21"/>
      <c r="KND162" s="20"/>
      <c r="KNE162" s="20"/>
      <c r="KNF162" s="20"/>
      <c r="KNG162" s="21"/>
      <c r="KNH162" s="21"/>
      <c r="KNI162" s="21"/>
      <c r="KNJ162" s="21"/>
      <c r="KNK162" s="21"/>
      <c r="KNL162" s="20"/>
      <c r="KNM162" s="20"/>
      <c r="KNN162" s="20"/>
      <c r="KNO162" s="20"/>
      <c r="KNP162" s="21"/>
      <c r="KNQ162" s="21"/>
      <c r="KNR162" s="7"/>
      <c r="KNS162" s="7"/>
      <c r="KNT162" s="21"/>
      <c r="KNU162" s="20"/>
      <c r="KNV162" s="20"/>
      <c r="KNW162" s="20"/>
      <c r="KNX162" s="21"/>
      <c r="KNY162" s="21"/>
      <c r="KNZ162" s="21"/>
      <c r="KOA162" s="21"/>
      <c r="KOB162" s="21"/>
      <c r="KOC162" s="20"/>
      <c r="KOD162" s="20"/>
      <c r="KOE162" s="20"/>
      <c r="KOF162" s="20"/>
      <c r="KOG162" s="21"/>
      <c r="KOH162" s="21"/>
      <c r="KOI162" s="7"/>
      <c r="KOJ162" s="7"/>
      <c r="KOK162" s="21"/>
      <c r="KOL162" s="20"/>
      <c r="KOM162" s="20"/>
      <c r="KON162" s="20"/>
      <c r="KOO162" s="21"/>
      <c r="KOP162" s="21"/>
      <c r="KOQ162" s="21"/>
      <c r="KOR162" s="21"/>
      <c r="KOS162" s="21"/>
      <c r="KOT162" s="20"/>
      <c r="KOU162" s="20"/>
      <c r="KOV162" s="20"/>
      <c r="KOW162" s="20"/>
      <c r="KOX162" s="21"/>
      <c r="KOY162" s="21"/>
      <c r="KOZ162" s="7"/>
      <c r="KPA162" s="7"/>
      <c r="KPB162" s="21"/>
      <c r="KPC162" s="20"/>
      <c r="KPD162" s="20"/>
      <c r="KPE162" s="20"/>
      <c r="KPF162" s="21"/>
      <c r="KPG162" s="21"/>
      <c r="KPH162" s="21"/>
      <c r="KPI162" s="21"/>
      <c r="KPJ162" s="21"/>
      <c r="KPK162" s="20"/>
      <c r="KPL162" s="20"/>
      <c r="KPM162" s="20"/>
      <c r="KPN162" s="20"/>
      <c r="KPO162" s="21"/>
      <c r="KPP162" s="21"/>
      <c r="KPQ162" s="7"/>
      <c r="KPR162" s="7"/>
      <c r="KPS162" s="21"/>
      <c r="KPT162" s="20"/>
      <c r="KPU162" s="20"/>
      <c r="KPV162" s="20"/>
      <c r="KPW162" s="21"/>
      <c r="KPX162" s="21"/>
      <c r="KPY162" s="21"/>
      <c r="KPZ162" s="21"/>
      <c r="KQA162" s="21"/>
      <c r="KQB162" s="20"/>
      <c r="KQC162" s="20"/>
      <c r="KQD162" s="20"/>
      <c r="KQE162" s="20"/>
      <c r="KQF162" s="21"/>
      <c r="KQG162" s="21"/>
      <c r="KQH162" s="7"/>
      <c r="KQI162" s="7"/>
      <c r="KQJ162" s="21"/>
      <c r="KQK162" s="20"/>
      <c r="KQL162" s="20"/>
      <c r="KQM162" s="20"/>
      <c r="KQN162" s="21"/>
      <c r="KQO162" s="21"/>
      <c r="KQP162" s="21"/>
      <c r="KQQ162" s="21"/>
      <c r="KQR162" s="21"/>
      <c r="KQS162" s="20"/>
      <c r="KQT162" s="20"/>
      <c r="KQU162" s="20"/>
      <c r="KQV162" s="20"/>
      <c r="KQW162" s="21"/>
      <c r="KQX162" s="21"/>
      <c r="KQY162" s="7"/>
      <c r="KQZ162" s="7"/>
      <c r="KRA162" s="21"/>
      <c r="KRB162" s="20"/>
      <c r="KRC162" s="20"/>
      <c r="KRD162" s="20"/>
      <c r="KRE162" s="21"/>
      <c r="KRF162" s="21"/>
      <c r="KRG162" s="21"/>
      <c r="KRH162" s="21"/>
      <c r="KRI162" s="21"/>
      <c r="KRJ162" s="20"/>
      <c r="KRK162" s="20"/>
      <c r="KRL162" s="20"/>
      <c r="KRM162" s="20"/>
      <c r="KRN162" s="21"/>
      <c r="KRO162" s="21"/>
      <c r="KRP162" s="7"/>
      <c r="KRQ162" s="7"/>
      <c r="KRR162" s="21"/>
      <c r="KRS162" s="20"/>
      <c r="KRT162" s="20"/>
      <c r="KRU162" s="20"/>
      <c r="KRV162" s="21"/>
      <c r="KRW162" s="21"/>
      <c r="KRX162" s="21"/>
      <c r="KRY162" s="21"/>
      <c r="KRZ162" s="21"/>
      <c r="KSA162" s="20"/>
      <c r="KSB162" s="20"/>
      <c r="KSC162" s="20"/>
      <c r="KSD162" s="20"/>
      <c r="KSE162" s="21"/>
      <c r="KSF162" s="21"/>
      <c r="KSG162" s="7"/>
      <c r="KSH162" s="7"/>
      <c r="KSI162" s="21"/>
      <c r="KSJ162" s="20"/>
      <c r="KSK162" s="20"/>
      <c r="KSL162" s="20"/>
      <c r="KSM162" s="21"/>
      <c r="KSN162" s="21"/>
      <c r="KSO162" s="21"/>
      <c r="KSP162" s="21"/>
      <c r="KSQ162" s="21"/>
      <c r="KSR162" s="20"/>
      <c r="KSS162" s="20"/>
      <c r="KST162" s="20"/>
      <c r="KSU162" s="20"/>
      <c r="KSV162" s="21"/>
      <c r="KSW162" s="21"/>
      <c r="KSX162" s="7"/>
      <c r="KSY162" s="7"/>
      <c r="KSZ162" s="21"/>
      <c r="KTA162" s="20"/>
      <c r="KTB162" s="20"/>
      <c r="KTC162" s="20"/>
      <c r="KTD162" s="21"/>
      <c r="KTE162" s="21"/>
      <c r="KTF162" s="21"/>
      <c r="KTG162" s="21"/>
      <c r="KTH162" s="21"/>
      <c r="KTI162" s="20"/>
      <c r="KTJ162" s="20"/>
      <c r="KTK162" s="20"/>
      <c r="KTL162" s="20"/>
      <c r="KTM162" s="21"/>
      <c r="KTN162" s="21"/>
      <c r="KTO162" s="7"/>
      <c r="KTP162" s="7"/>
      <c r="KTQ162" s="21"/>
      <c r="KTR162" s="20"/>
      <c r="KTS162" s="20"/>
      <c r="KTT162" s="20"/>
      <c r="KTU162" s="21"/>
      <c r="KTV162" s="21"/>
      <c r="KTW162" s="21"/>
      <c r="KTX162" s="21"/>
      <c r="KTY162" s="21"/>
      <c r="KTZ162" s="20"/>
      <c r="KUA162" s="20"/>
      <c r="KUB162" s="20"/>
      <c r="KUC162" s="20"/>
      <c r="KUD162" s="21"/>
      <c r="KUE162" s="21"/>
      <c r="KUF162" s="7"/>
      <c r="KUG162" s="7"/>
      <c r="KUH162" s="21"/>
      <c r="KUI162" s="20"/>
      <c r="KUJ162" s="20"/>
      <c r="KUK162" s="20"/>
      <c r="KUL162" s="21"/>
      <c r="KUM162" s="21"/>
      <c r="KUN162" s="21"/>
      <c r="KUO162" s="21"/>
      <c r="KUP162" s="21"/>
      <c r="KUQ162" s="20"/>
      <c r="KUR162" s="20"/>
      <c r="KUS162" s="20"/>
      <c r="KUT162" s="20"/>
      <c r="KUU162" s="21"/>
      <c r="KUV162" s="21"/>
      <c r="KUW162" s="7"/>
      <c r="KUX162" s="7"/>
      <c r="KUY162" s="21"/>
      <c r="KUZ162" s="20"/>
      <c r="KVA162" s="20"/>
      <c r="KVB162" s="20"/>
      <c r="KVC162" s="21"/>
      <c r="KVD162" s="21"/>
      <c r="KVE162" s="21"/>
      <c r="KVF162" s="21"/>
      <c r="KVG162" s="21"/>
      <c r="KVH162" s="20"/>
      <c r="KVI162" s="20"/>
      <c r="KVJ162" s="20"/>
      <c r="KVK162" s="20"/>
      <c r="KVL162" s="21"/>
      <c r="KVM162" s="21"/>
      <c r="KVN162" s="7"/>
      <c r="KVO162" s="7"/>
      <c r="KVP162" s="21"/>
      <c r="KVQ162" s="20"/>
      <c r="KVR162" s="20"/>
      <c r="KVS162" s="20"/>
      <c r="KVT162" s="21"/>
      <c r="KVU162" s="21"/>
      <c r="KVV162" s="21"/>
      <c r="KVW162" s="21"/>
      <c r="KVX162" s="21"/>
      <c r="KVY162" s="20"/>
      <c r="KVZ162" s="20"/>
      <c r="KWA162" s="20"/>
      <c r="KWB162" s="20"/>
      <c r="KWC162" s="21"/>
      <c r="KWD162" s="21"/>
      <c r="KWE162" s="7"/>
      <c r="KWF162" s="7"/>
      <c r="KWG162" s="21"/>
      <c r="KWH162" s="20"/>
      <c r="KWI162" s="20"/>
      <c r="KWJ162" s="20"/>
      <c r="KWK162" s="21"/>
      <c r="KWL162" s="21"/>
      <c r="KWM162" s="21"/>
      <c r="KWN162" s="21"/>
      <c r="KWO162" s="21"/>
      <c r="KWP162" s="20"/>
      <c r="KWQ162" s="20"/>
      <c r="KWR162" s="20"/>
      <c r="KWS162" s="20"/>
      <c r="KWT162" s="21"/>
      <c r="KWU162" s="21"/>
      <c r="KWV162" s="7"/>
      <c r="KWW162" s="7"/>
      <c r="KWX162" s="21"/>
      <c r="KWY162" s="20"/>
      <c r="KWZ162" s="20"/>
      <c r="KXA162" s="20"/>
      <c r="KXB162" s="21"/>
      <c r="KXC162" s="21"/>
      <c r="KXD162" s="21"/>
      <c r="KXE162" s="21"/>
      <c r="KXF162" s="21"/>
      <c r="KXG162" s="20"/>
      <c r="KXH162" s="20"/>
      <c r="KXI162" s="20"/>
      <c r="KXJ162" s="20"/>
      <c r="KXK162" s="21"/>
      <c r="KXL162" s="21"/>
      <c r="KXM162" s="7"/>
      <c r="KXN162" s="7"/>
      <c r="KXO162" s="21"/>
      <c r="KXP162" s="20"/>
      <c r="KXQ162" s="20"/>
      <c r="KXR162" s="20"/>
      <c r="KXS162" s="21"/>
      <c r="KXT162" s="21"/>
      <c r="KXU162" s="21"/>
      <c r="KXV162" s="21"/>
      <c r="KXW162" s="21"/>
      <c r="KXX162" s="20"/>
      <c r="KXY162" s="20"/>
      <c r="KXZ162" s="20"/>
      <c r="KYA162" s="20"/>
      <c r="KYB162" s="21"/>
      <c r="KYC162" s="21"/>
      <c r="KYD162" s="7"/>
      <c r="KYE162" s="7"/>
      <c r="KYF162" s="21"/>
      <c r="KYG162" s="20"/>
      <c r="KYH162" s="20"/>
      <c r="KYI162" s="20"/>
      <c r="KYJ162" s="21"/>
      <c r="KYK162" s="21"/>
      <c r="KYL162" s="21"/>
      <c r="KYM162" s="21"/>
      <c r="KYN162" s="21"/>
      <c r="KYO162" s="20"/>
      <c r="KYP162" s="20"/>
      <c r="KYQ162" s="20"/>
      <c r="KYR162" s="20"/>
      <c r="KYS162" s="21"/>
      <c r="KYT162" s="21"/>
      <c r="KYU162" s="7"/>
      <c r="KYV162" s="7"/>
      <c r="KYW162" s="21"/>
      <c r="KYX162" s="20"/>
      <c r="KYY162" s="20"/>
      <c r="KYZ162" s="20"/>
      <c r="KZA162" s="21"/>
      <c r="KZB162" s="21"/>
      <c r="KZC162" s="21"/>
      <c r="KZD162" s="21"/>
      <c r="KZE162" s="21"/>
      <c r="KZF162" s="20"/>
      <c r="KZG162" s="20"/>
      <c r="KZH162" s="20"/>
      <c r="KZI162" s="20"/>
      <c r="KZJ162" s="21"/>
      <c r="KZK162" s="21"/>
      <c r="KZL162" s="7"/>
      <c r="KZM162" s="7"/>
      <c r="KZN162" s="21"/>
      <c r="KZO162" s="20"/>
      <c r="KZP162" s="20"/>
      <c r="KZQ162" s="20"/>
      <c r="KZR162" s="21"/>
      <c r="KZS162" s="21"/>
      <c r="KZT162" s="21"/>
      <c r="KZU162" s="21"/>
      <c r="KZV162" s="21"/>
      <c r="KZW162" s="20"/>
      <c r="KZX162" s="20"/>
      <c r="KZY162" s="20"/>
      <c r="KZZ162" s="20"/>
      <c r="LAA162" s="21"/>
      <c r="LAB162" s="21"/>
      <c r="LAC162" s="7"/>
      <c r="LAD162" s="7"/>
      <c r="LAE162" s="21"/>
      <c r="LAF162" s="20"/>
      <c r="LAG162" s="20"/>
      <c r="LAH162" s="20"/>
      <c r="LAI162" s="21"/>
      <c r="LAJ162" s="21"/>
      <c r="LAK162" s="21"/>
      <c r="LAL162" s="21"/>
      <c r="LAM162" s="21"/>
      <c r="LAN162" s="20"/>
      <c r="LAO162" s="20"/>
      <c r="LAP162" s="20"/>
      <c r="LAQ162" s="20"/>
      <c r="LAR162" s="21"/>
      <c r="LAS162" s="21"/>
      <c r="LAT162" s="7"/>
      <c r="LAU162" s="7"/>
      <c r="LAV162" s="21"/>
      <c r="LAW162" s="20"/>
      <c r="LAX162" s="20"/>
      <c r="LAY162" s="20"/>
      <c r="LAZ162" s="21"/>
      <c r="LBA162" s="21"/>
      <c r="LBB162" s="21"/>
      <c r="LBC162" s="21"/>
      <c r="LBD162" s="21"/>
      <c r="LBE162" s="20"/>
      <c r="LBF162" s="20"/>
      <c r="LBG162" s="20"/>
      <c r="LBH162" s="20"/>
      <c r="LBI162" s="21"/>
      <c r="LBJ162" s="21"/>
      <c r="LBK162" s="7"/>
      <c r="LBL162" s="7"/>
      <c r="LBM162" s="21"/>
      <c r="LBN162" s="20"/>
      <c r="LBO162" s="20"/>
      <c r="LBP162" s="20"/>
      <c r="LBQ162" s="21"/>
      <c r="LBR162" s="21"/>
      <c r="LBS162" s="21"/>
      <c r="LBT162" s="21"/>
      <c r="LBU162" s="21"/>
      <c r="LBV162" s="20"/>
      <c r="LBW162" s="20"/>
      <c r="LBX162" s="20"/>
      <c r="LBY162" s="20"/>
      <c r="LBZ162" s="21"/>
      <c r="LCA162" s="21"/>
      <c r="LCB162" s="7"/>
      <c r="LCC162" s="7"/>
      <c r="LCD162" s="21"/>
      <c r="LCE162" s="20"/>
      <c r="LCF162" s="20"/>
      <c r="LCG162" s="20"/>
      <c r="LCH162" s="21"/>
      <c r="LCI162" s="21"/>
      <c r="LCJ162" s="21"/>
      <c r="LCK162" s="21"/>
      <c r="LCL162" s="21"/>
      <c r="LCM162" s="20"/>
      <c r="LCN162" s="20"/>
      <c r="LCO162" s="20"/>
      <c r="LCP162" s="20"/>
      <c r="LCQ162" s="21"/>
      <c r="LCR162" s="21"/>
      <c r="LCS162" s="7"/>
      <c r="LCT162" s="7"/>
      <c r="LCU162" s="21"/>
      <c r="LCV162" s="20"/>
      <c r="LCW162" s="20"/>
      <c r="LCX162" s="20"/>
      <c r="LCY162" s="21"/>
      <c r="LCZ162" s="21"/>
      <c r="LDA162" s="21"/>
      <c r="LDB162" s="21"/>
      <c r="LDC162" s="21"/>
      <c r="LDD162" s="20"/>
      <c r="LDE162" s="20"/>
      <c r="LDF162" s="20"/>
      <c r="LDG162" s="20"/>
      <c r="LDH162" s="21"/>
      <c r="LDI162" s="21"/>
      <c r="LDJ162" s="7"/>
      <c r="LDK162" s="7"/>
      <c r="LDL162" s="21"/>
      <c r="LDM162" s="20"/>
      <c r="LDN162" s="20"/>
      <c r="LDO162" s="20"/>
      <c r="LDP162" s="21"/>
      <c r="LDQ162" s="21"/>
      <c r="LDR162" s="21"/>
      <c r="LDS162" s="21"/>
      <c r="LDT162" s="21"/>
      <c r="LDU162" s="20"/>
      <c r="LDV162" s="20"/>
      <c r="LDW162" s="20"/>
      <c r="LDX162" s="20"/>
      <c r="LDY162" s="21"/>
      <c r="LDZ162" s="21"/>
      <c r="LEA162" s="7"/>
      <c r="LEB162" s="7"/>
      <c r="LEC162" s="21"/>
      <c r="LED162" s="20"/>
      <c r="LEE162" s="20"/>
      <c r="LEF162" s="20"/>
      <c r="LEG162" s="21"/>
      <c r="LEH162" s="21"/>
      <c r="LEI162" s="21"/>
      <c r="LEJ162" s="21"/>
      <c r="LEK162" s="21"/>
      <c r="LEL162" s="20"/>
      <c r="LEM162" s="20"/>
      <c r="LEN162" s="20"/>
      <c r="LEO162" s="20"/>
      <c r="LEP162" s="21"/>
      <c r="LEQ162" s="21"/>
      <c r="LER162" s="7"/>
      <c r="LES162" s="7"/>
      <c r="LET162" s="21"/>
      <c r="LEU162" s="20"/>
      <c r="LEV162" s="20"/>
      <c r="LEW162" s="20"/>
      <c r="LEX162" s="21"/>
      <c r="LEY162" s="21"/>
      <c r="LEZ162" s="21"/>
      <c r="LFA162" s="21"/>
      <c r="LFB162" s="21"/>
      <c r="LFC162" s="20"/>
      <c r="LFD162" s="20"/>
      <c r="LFE162" s="20"/>
      <c r="LFF162" s="20"/>
      <c r="LFG162" s="21"/>
      <c r="LFH162" s="21"/>
      <c r="LFI162" s="7"/>
      <c r="LFJ162" s="7"/>
      <c r="LFK162" s="21"/>
      <c r="LFL162" s="20"/>
      <c r="LFM162" s="20"/>
      <c r="LFN162" s="20"/>
      <c r="LFO162" s="21"/>
      <c r="LFP162" s="21"/>
      <c r="LFQ162" s="21"/>
      <c r="LFR162" s="21"/>
      <c r="LFS162" s="21"/>
      <c r="LFT162" s="20"/>
      <c r="LFU162" s="20"/>
      <c r="LFV162" s="20"/>
      <c r="LFW162" s="20"/>
      <c r="LFX162" s="21"/>
      <c r="LFY162" s="21"/>
      <c r="LFZ162" s="7"/>
      <c r="LGA162" s="7"/>
      <c r="LGB162" s="21"/>
      <c r="LGC162" s="20"/>
      <c r="LGD162" s="20"/>
      <c r="LGE162" s="20"/>
      <c r="LGF162" s="21"/>
      <c r="LGG162" s="21"/>
      <c r="LGH162" s="21"/>
      <c r="LGI162" s="21"/>
      <c r="LGJ162" s="21"/>
      <c r="LGK162" s="20"/>
      <c r="LGL162" s="20"/>
      <c r="LGM162" s="20"/>
      <c r="LGN162" s="20"/>
      <c r="LGO162" s="21"/>
      <c r="LGP162" s="21"/>
      <c r="LGQ162" s="7"/>
      <c r="LGR162" s="7"/>
      <c r="LGS162" s="21"/>
      <c r="LGT162" s="20"/>
      <c r="LGU162" s="20"/>
      <c r="LGV162" s="20"/>
      <c r="LGW162" s="21"/>
      <c r="LGX162" s="21"/>
      <c r="LGY162" s="21"/>
      <c r="LGZ162" s="21"/>
      <c r="LHA162" s="21"/>
      <c r="LHB162" s="20"/>
      <c r="LHC162" s="20"/>
      <c r="LHD162" s="20"/>
      <c r="LHE162" s="20"/>
      <c r="LHF162" s="21"/>
      <c r="LHG162" s="21"/>
      <c r="LHH162" s="7"/>
      <c r="LHI162" s="7"/>
      <c r="LHJ162" s="21"/>
      <c r="LHK162" s="20"/>
      <c r="LHL162" s="20"/>
      <c r="LHM162" s="20"/>
      <c r="LHN162" s="21"/>
      <c r="LHO162" s="21"/>
      <c r="LHP162" s="21"/>
      <c r="LHQ162" s="21"/>
      <c r="LHR162" s="21"/>
      <c r="LHS162" s="20"/>
      <c r="LHT162" s="20"/>
      <c r="LHU162" s="20"/>
      <c r="LHV162" s="20"/>
      <c r="LHW162" s="21"/>
      <c r="LHX162" s="21"/>
      <c r="LHY162" s="7"/>
      <c r="LHZ162" s="7"/>
      <c r="LIA162" s="21"/>
      <c r="LIB162" s="20"/>
      <c r="LIC162" s="20"/>
      <c r="LID162" s="20"/>
      <c r="LIE162" s="21"/>
      <c r="LIF162" s="21"/>
      <c r="LIG162" s="21"/>
      <c r="LIH162" s="21"/>
      <c r="LII162" s="21"/>
      <c r="LIJ162" s="20"/>
      <c r="LIK162" s="20"/>
      <c r="LIL162" s="20"/>
      <c r="LIM162" s="20"/>
      <c r="LIN162" s="21"/>
      <c r="LIO162" s="21"/>
      <c r="LIP162" s="7"/>
      <c r="LIQ162" s="7"/>
      <c r="LIR162" s="21"/>
      <c r="LIS162" s="20"/>
      <c r="LIT162" s="20"/>
      <c r="LIU162" s="20"/>
      <c r="LIV162" s="21"/>
      <c r="LIW162" s="21"/>
      <c r="LIX162" s="21"/>
      <c r="LIY162" s="21"/>
      <c r="LIZ162" s="21"/>
      <c r="LJA162" s="20"/>
      <c r="LJB162" s="20"/>
      <c r="LJC162" s="20"/>
      <c r="LJD162" s="20"/>
      <c r="LJE162" s="21"/>
      <c r="LJF162" s="21"/>
      <c r="LJG162" s="7"/>
      <c r="LJH162" s="7"/>
      <c r="LJI162" s="21"/>
      <c r="LJJ162" s="20"/>
      <c r="LJK162" s="20"/>
      <c r="LJL162" s="20"/>
      <c r="LJM162" s="21"/>
      <c r="LJN162" s="21"/>
      <c r="LJO162" s="21"/>
      <c r="LJP162" s="21"/>
      <c r="LJQ162" s="21"/>
      <c r="LJR162" s="20"/>
      <c r="LJS162" s="20"/>
      <c r="LJT162" s="20"/>
      <c r="LJU162" s="20"/>
      <c r="LJV162" s="21"/>
      <c r="LJW162" s="21"/>
      <c r="LJX162" s="7"/>
      <c r="LJY162" s="7"/>
      <c r="LJZ162" s="21"/>
      <c r="LKA162" s="20"/>
      <c r="LKB162" s="20"/>
      <c r="LKC162" s="20"/>
      <c r="LKD162" s="21"/>
      <c r="LKE162" s="21"/>
      <c r="LKF162" s="21"/>
      <c r="LKG162" s="21"/>
      <c r="LKH162" s="21"/>
      <c r="LKI162" s="20"/>
      <c r="LKJ162" s="20"/>
      <c r="LKK162" s="20"/>
      <c r="LKL162" s="20"/>
      <c r="LKM162" s="21"/>
      <c r="LKN162" s="21"/>
      <c r="LKO162" s="7"/>
      <c r="LKP162" s="7"/>
      <c r="LKQ162" s="21"/>
      <c r="LKR162" s="20"/>
      <c r="LKS162" s="20"/>
      <c r="LKT162" s="20"/>
      <c r="LKU162" s="21"/>
      <c r="LKV162" s="21"/>
      <c r="LKW162" s="21"/>
      <c r="LKX162" s="21"/>
      <c r="LKY162" s="21"/>
      <c r="LKZ162" s="20"/>
      <c r="LLA162" s="20"/>
      <c r="LLB162" s="20"/>
      <c r="LLC162" s="20"/>
      <c r="LLD162" s="21"/>
      <c r="LLE162" s="21"/>
      <c r="LLF162" s="7"/>
      <c r="LLG162" s="7"/>
      <c r="LLH162" s="21"/>
      <c r="LLI162" s="20"/>
      <c r="LLJ162" s="20"/>
      <c r="LLK162" s="20"/>
      <c r="LLL162" s="21"/>
      <c r="LLM162" s="21"/>
      <c r="LLN162" s="21"/>
      <c r="LLO162" s="21"/>
      <c r="LLP162" s="21"/>
      <c r="LLQ162" s="20"/>
      <c r="LLR162" s="20"/>
      <c r="LLS162" s="20"/>
      <c r="LLT162" s="20"/>
      <c r="LLU162" s="21"/>
      <c r="LLV162" s="21"/>
      <c r="LLW162" s="7"/>
      <c r="LLX162" s="7"/>
      <c r="LLY162" s="21"/>
      <c r="LLZ162" s="20"/>
      <c r="LMA162" s="20"/>
      <c r="LMB162" s="20"/>
      <c r="LMC162" s="21"/>
      <c r="LMD162" s="21"/>
      <c r="LME162" s="21"/>
      <c r="LMF162" s="21"/>
      <c r="LMG162" s="21"/>
      <c r="LMH162" s="20"/>
      <c r="LMI162" s="20"/>
      <c r="LMJ162" s="20"/>
      <c r="LMK162" s="20"/>
      <c r="LML162" s="21"/>
      <c r="LMM162" s="21"/>
      <c r="LMN162" s="7"/>
      <c r="LMO162" s="7"/>
      <c r="LMP162" s="21"/>
      <c r="LMQ162" s="20"/>
      <c r="LMR162" s="20"/>
      <c r="LMS162" s="20"/>
      <c r="LMT162" s="21"/>
      <c r="LMU162" s="21"/>
      <c r="LMV162" s="21"/>
      <c r="LMW162" s="21"/>
      <c r="LMX162" s="21"/>
      <c r="LMY162" s="20"/>
      <c r="LMZ162" s="20"/>
      <c r="LNA162" s="20"/>
      <c r="LNB162" s="20"/>
      <c r="LNC162" s="21"/>
      <c r="LND162" s="21"/>
      <c r="LNE162" s="7"/>
      <c r="LNF162" s="7"/>
      <c r="LNG162" s="21"/>
      <c r="LNH162" s="20"/>
      <c r="LNI162" s="20"/>
      <c r="LNJ162" s="20"/>
      <c r="LNK162" s="21"/>
      <c r="LNL162" s="21"/>
      <c r="LNM162" s="21"/>
      <c r="LNN162" s="21"/>
      <c r="LNO162" s="21"/>
      <c r="LNP162" s="20"/>
      <c r="LNQ162" s="20"/>
      <c r="LNR162" s="20"/>
      <c r="LNS162" s="20"/>
      <c r="LNT162" s="21"/>
      <c r="LNU162" s="21"/>
      <c r="LNV162" s="7"/>
      <c r="LNW162" s="7"/>
      <c r="LNX162" s="21"/>
      <c r="LNY162" s="20"/>
      <c r="LNZ162" s="20"/>
      <c r="LOA162" s="20"/>
      <c r="LOB162" s="21"/>
      <c r="LOC162" s="21"/>
      <c r="LOD162" s="21"/>
      <c r="LOE162" s="21"/>
      <c r="LOF162" s="21"/>
      <c r="LOG162" s="20"/>
      <c r="LOH162" s="20"/>
      <c r="LOI162" s="20"/>
      <c r="LOJ162" s="20"/>
      <c r="LOK162" s="21"/>
      <c r="LOL162" s="21"/>
      <c r="LOM162" s="7"/>
      <c r="LON162" s="7"/>
      <c r="LOO162" s="21"/>
      <c r="LOP162" s="20"/>
      <c r="LOQ162" s="20"/>
      <c r="LOR162" s="20"/>
      <c r="LOS162" s="21"/>
      <c r="LOT162" s="21"/>
      <c r="LOU162" s="21"/>
      <c r="LOV162" s="21"/>
      <c r="LOW162" s="21"/>
      <c r="LOX162" s="20"/>
      <c r="LOY162" s="20"/>
      <c r="LOZ162" s="20"/>
      <c r="LPA162" s="20"/>
      <c r="LPB162" s="21"/>
      <c r="LPC162" s="21"/>
      <c r="LPD162" s="7"/>
      <c r="LPE162" s="7"/>
      <c r="LPF162" s="21"/>
      <c r="LPG162" s="20"/>
      <c r="LPH162" s="20"/>
      <c r="LPI162" s="20"/>
      <c r="LPJ162" s="21"/>
      <c r="LPK162" s="21"/>
      <c r="LPL162" s="21"/>
      <c r="LPM162" s="21"/>
      <c r="LPN162" s="21"/>
      <c r="LPO162" s="20"/>
      <c r="LPP162" s="20"/>
      <c r="LPQ162" s="20"/>
      <c r="LPR162" s="20"/>
      <c r="LPS162" s="21"/>
      <c r="LPT162" s="21"/>
      <c r="LPU162" s="7"/>
      <c r="LPV162" s="7"/>
      <c r="LPW162" s="21"/>
      <c r="LPX162" s="20"/>
      <c r="LPY162" s="20"/>
      <c r="LPZ162" s="20"/>
      <c r="LQA162" s="21"/>
      <c r="LQB162" s="21"/>
      <c r="LQC162" s="21"/>
      <c r="LQD162" s="21"/>
      <c r="LQE162" s="21"/>
      <c r="LQF162" s="20"/>
      <c r="LQG162" s="20"/>
      <c r="LQH162" s="20"/>
      <c r="LQI162" s="20"/>
      <c r="LQJ162" s="21"/>
      <c r="LQK162" s="21"/>
      <c r="LQL162" s="7"/>
      <c r="LQM162" s="7"/>
      <c r="LQN162" s="21"/>
      <c r="LQO162" s="20"/>
      <c r="LQP162" s="20"/>
      <c r="LQQ162" s="20"/>
      <c r="LQR162" s="21"/>
      <c r="LQS162" s="21"/>
      <c r="LQT162" s="21"/>
      <c r="LQU162" s="21"/>
      <c r="LQV162" s="21"/>
      <c r="LQW162" s="20"/>
      <c r="LQX162" s="20"/>
      <c r="LQY162" s="20"/>
      <c r="LQZ162" s="20"/>
      <c r="LRA162" s="21"/>
      <c r="LRB162" s="21"/>
      <c r="LRC162" s="7"/>
      <c r="LRD162" s="7"/>
      <c r="LRE162" s="21"/>
      <c r="LRF162" s="20"/>
      <c r="LRG162" s="20"/>
      <c r="LRH162" s="20"/>
      <c r="LRI162" s="21"/>
      <c r="LRJ162" s="21"/>
      <c r="LRK162" s="21"/>
      <c r="LRL162" s="21"/>
      <c r="LRM162" s="21"/>
      <c r="LRN162" s="20"/>
      <c r="LRO162" s="20"/>
      <c r="LRP162" s="20"/>
      <c r="LRQ162" s="20"/>
      <c r="LRR162" s="21"/>
      <c r="LRS162" s="21"/>
      <c r="LRT162" s="7"/>
      <c r="LRU162" s="7"/>
      <c r="LRV162" s="21"/>
      <c r="LRW162" s="20"/>
      <c r="LRX162" s="20"/>
      <c r="LRY162" s="20"/>
      <c r="LRZ162" s="21"/>
      <c r="LSA162" s="21"/>
      <c r="LSB162" s="21"/>
      <c r="LSC162" s="21"/>
      <c r="LSD162" s="21"/>
      <c r="LSE162" s="20"/>
      <c r="LSF162" s="20"/>
      <c r="LSG162" s="20"/>
      <c r="LSH162" s="20"/>
      <c r="LSI162" s="21"/>
      <c r="LSJ162" s="21"/>
      <c r="LSK162" s="7"/>
      <c r="LSL162" s="7"/>
      <c r="LSM162" s="21"/>
      <c r="LSN162" s="20"/>
      <c r="LSO162" s="20"/>
      <c r="LSP162" s="20"/>
      <c r="LSQ162" s="21"/>
      <c r="LSR162" s="21"/>
      <c r="LSS162" s="21"/>
      <c r="LST162" s="21"/>
      <c r="LSU162" s="21"/>
      <c r="LSV162" s="20"/>
      <c r="LSW162" s="20"/>
      <c r="LSX162" s="20"/>
      <c r="LSY162" s="20"/>
      <c r="LSZ162" s="21"/>
      <c r="LTA162" s="21"/>
      <c r="LTB162" s="7"/>
      <c r="LTC162" s="7"/>
      <c r="LTD162" s="21"/>
      <c r="LTE162" s="20"/>
      <c r="LTF162" s="20"/>
      <c r="LTG162" s="20"/>
      <c r="LTH162" s="21"/>
      <c r="LTI162" s="21"/>
      <c r="LTJ162" s="21"/>
      <c r="LTK162" s="21"/>
      <c r="LTL162" s="21"/>
      <c r="LTM162" s="20"/>
      <c r="LTN162" s="20"/>
      <c r="LTO162" s="20"/>
      <c r="LTP162" s="20"/>
      <c r="LTQ162" s="21"/>
      <c r="LTR162" s="21"/>
      <c r="LTS162" s="7"/>
      <c r="LTT162" s="7"/>
      <c r="LTU162" s="21"/>
      <c r="LTV162" s="20"/>
      <c r="LTW162" s="20"/>
      <c r="LTX162" s="20"/>
      <c r="LTY162" s="21"/>
      <c r="LTZ162" s="21"/>
      <c r="LUA162" s="21"/>
      <c r="LUB162" s="21"/>
      <c r="LUC162" s="21"/>
      <c r="LUD162" s="20"/>
      <c r="LUE162" s="20"/>
      <c r="LUF162" s="20"/>
      <c r="LUG162" s="20"/>
      <c r="LUH162" s="21"/>
      <c r="LUI162" s="21"/>
      <c r="LUJ162" s="7"/>
      <c r="LUK162" s="7"/>
      <c r="LUL162" s="21"/>
      <c r="LUM162" s="20"/>
      <c r="LUN162" s="20"/>
      <c r="LUO162" s="20"/>
      <c r="LUP162" s="21"/>
      <c r="LUQ162" s="21"/>
      <c r="LUR162" s="21"/>
      <c r="LUS162" s="21"/>
      <c r="LUT162" s="21"/>
      <c r="LUU162" s="20"/>
      <c r="LUV162" s="20"/>
      <c r="LUW162" s="20"/>
      <c r="LUX162" s="20"/>
      <c r="LUY162" s="21"/>
      <c r="LUZ162" s="21"/>
      <c r="LVA162" s="7"/>
      <c r="LVB162" s="7"/>
      <c r="LVC162" s="21"/>
      <c r="LVD162" s="20"/>
      <c r="LVE162" s="20"/>
      <c r="LVF162" s="20"/>
      <c r="LVG162" s="21"/>
      <c r="LVH162" s="21"/>
      <c r="LVI162" s="21"/>
      <c r="LVJ162" s="21"/>
      <c r="LVK162" s="21"/>
      <c r="LVL162" s="20"/>
      <c r="LVM162" s="20"/>
      <c r="LVN162" s="20"/>
      <c r="LVO162" s="20"/>
      <c r="LVP162" s="21"/>
      <c r="LVQ162" s="21"/>
      <c r="LVR162" s="7"/>
      <c r="LVS162" s="7"/>
      <c r="LVT162" s="21"/>
      <c r="LVU162" s="20"/>
      <c r="LVV162" s="20"/>
      <c r="LVW162" s="20"/>
      <c r="LVX162" s="21"/>
      <c r="LVY162" s="21"/>
      <c r="LVZ162" s="21"/>
      <c r="LWA162" s="21"/>
      <c r="LWB162" s="21"/>
      <c r="LWC162" s="20"/>
      <c r="LWD162" s="20"/>
      <c r="LWE162" s="20"/>
      <c r="LWF162" s="20"/>
      <c r="LWG162" s="21"/>
      <c r="LWH162" s="21"/>
      <c r="LWI162" s="7"/>
      <c r="LWJ162" s="7"/>
      <c r="LWK162" s="21"/>
      <c r="LWL162" s="20"/>
      <c r="LWM162" s="20"/>
      <c r="LWN162" s="20"/>
      <c r="LWO162" s="21"/>
      <c r="LWP162" s="21"/>
      <c r="LWQ162" s="21"/>
      <c r="LWR162" s="21"/>
      <c r="LWS162" s="21"/>
      <c r="LWT162" s="20"/>
      <c r="LWU162" s="20"/>
      <c r="LWV162" s="20"/>
      <c r="LWW162" s="20"/>
      <c r="LWX162" s="21"/>
      <c r="LWY162" s="21"/>
      <c r="LWZ162" s="7"/>
      <c r="LXA162" s="7"/>
      <c r="LXB162" s="21"/>
      <c r="LXC162" s="20"/>
      <c r="LXD162" s="20"/>
      <c r="LXE162" s="20"/>
      <c r="LXF162" s="21"/>
      <c r="LXG162" s="21"/>
      <c r="LXH162" s="21"/>
      <c r="LXI162" s="21"/>
      <c r="LXJ162" s="21"/>
      <c r="LXK162" s="20"/>
      <c r="LXL162" s="20"/>
      <c r="LXM162" s="20"/>
      <c r="LXN162" s="20"/>
      <c r="LXO162" s="21"/>
      <c r="LXP162" s="21"/>
      <c r="LXQ162" s="7"/>
      <c r="LXR162" s="7"/>
      <c r="LXS162" s="21"/>
      <c r="LXT162" s="20"/>
      <c r="LXU162" s="20"/>
      <c r="LXV162" s="20"/>
      <c r="LXW162" s="21"/>
      <c r="LXX162" s="21"/>
      <c r="LXY162" s="21"/>
      <c r="LXZ162" s="21"/>
      <c r="LYA162" s="21"/>
      <c r="LYB162" s="20"/>
      <c r="LYC162" s="20"/>
      <c r="LYD162" s="20"/>
      <c r="LYE162" s="20"/>
      <c r="LYF162" s="21"/>
      <c r="LYG162" s="21"/>
      <c r="LYH162" s="7"/>
      <c r="LYI162" s="7"/>
      <c r="LYJ162" s="21"/>
      <c r="LYK162" s="20"/>
      <c r="LYL162" s="20"/>
      <c r="LYM162" s="20"/>
      <c r="LYN162" s="21"/>
      <c r="LYO162" s="21"/>
      <c r="LYP162" s="21"/>
      <c r="LYQ162" s="21"/>
      <c r="LYR162" s="21"/>
      <c r="LYS162" s="20"/>
      <c r="LYT162" s="20"/>
      <c r="LYU162" s="20"/>
      <c r="LYV162" s="20"/>
      <c r="LYW162" s="21"/>
      <c r="LYX162" s="21"/>
      <c r="LYY162" s="7"/>
      <c r="LYZ162" s="7"/>
      <c r="LZA162" s="21"/>
      <c r="LZB162" s="20"/>
      <c r="LZC162" s="20"/>
      <c r="LZD162" s="20"/>
      <c r="LZE162" s="21"/>
      <c r="LZF162" s="21"/>
      <c r="LZG162" s="21"/>
      <c r="LZH162" s="21"/>
      <c r="LZI162" s="21"/>
      <c r="LZJ162" s="20"/>
      <c r="LZK162" s="20"/>
      <c r="LZL162" s="20"/>
      <c r="LZM162" s="20"/>
      <c r="LZN162" s="21"/>
      <c r="LZO162" s="21"/>
      <c r="LZP162" s="7"/>
      <c r="LZQ162" s="7"/>
      <c r="LZR162" s="21"/>
      <c r="LZS162" s="20"/>
      <c r="LZT162" s="20"/>
      <c r="LZU162" s="20"/>
      <c r="LZV162" s="21"/>
      <c r="LZW162" s="21"/>
      <c r="LZX162" s="21"/>
      <c r="LZY162" s="21"/>
      <c r="LZZ162" s="21"/>
      <c r="MAA162" s="20"/>
      <c r="MAB162" s="20"/>
      <c r="MAC162" s="20"/>
      <c r="MAD162" s="20"/>
      <c r="MAE162" s="21"/>
      <c r="MAF162" s="21"/>
      <c r="MAG162" s="7"/>
      <c r="MAH162" s="7"/>
      <c r="MAI162" s="21"/>
      <c r="MAJ162" s="20"/>
      <c r="MAK162" s="20"/>
      <c r="MAL162" s="20"/>
      <c r="MAM162" s="21"/>
      <c r="MAN162" s="21"/>
      <c r="MAO162" s="21"/>
      <c r="MAP162" s="21"/>
      <c r="MAQ162" s="21"/>
      <c r="MAR162" s="20"/>
      <c r="MAS162" s="20"/>
      <c r="MAT162" s="20"/>
      <c r="MAU162" s="20"/>
      <c r="MAV162" s="21"/>
      <c r="MAW162" s="21"/>
      <c r="MAX162" s="7"/>
      <c r="MAY162" s="7"/>
      <c r="MAZ162" s="21"/>
      <c r="MBA162" s="20"/>
      <c r="MBB162" s="20"/>
      <c r="MBC162" s="20"/>
      <c r="MBD162" s="21"/>
      <c r="MBE162" s="21"/>
      <c r="MBF162" s="21"/>
      <c r="MBG162" s="21"/>
      <c r="MBH162" s="21"/>
      <c r="MBI162" s="20"/>
      <c r="MBJ162" s="20"/>
      <c r="MBK162" s="20"/>
      <c r="MBL162" s="20"/>
      <c r="MBM162" s="21"/>
      <c r="MBN162" s="21"/>
      <c r="MBO162" s="7"/>
      <c r="MBP162" s="7"/>
      <c r="MBQ162" s="21"/>
      <c r="MBR162" s="20"/>
      <c r="MBS162" s="20"/>
      <c r="MBT162" s="20"/>
      <c r="MBU162" s="21"/>
      <c r="MBV162" s="21"/>
      <c r="MBW162" s="21"/>
      <c r="MBX162" s="21"/>
      <c r="MBY162" s="21"/>
      <c r="MBZ162" s="20"/>
      <c r="MCA162" s="20"/>
      <c r="MCB162" s="20"/>
      <c r="MCC162" s="20"/>
      <c r="MCD162" s="21"/>
      <c r="MCE162" s="21"/>
      <c r="MCF162" s="7"/>
      <c r="MCG162" s="7"/>
      <c r="MCH162" s="21"/>
      <c r="MCI162" s="20"/>
      <c r="MCJ162" s="20"/>
      <c r="MCK162" s="20"/>
      <c r="MCL162" s="21"/>
      <c r="MCM162" s="21"/>
      <c r="MCN162" s="21"/>
      <c r="MCO162" s="21"/>
      <c r="MCP162" s="21"/>
      <c r="MCQ162" s="20"/>
      <c r="MCR162" s="20"/>
      <c r="MCS162" s="20"/>
      <c r="MCT162" s="20"/>
      <c r="MCU162" s="21"/>
      <c r="MCV162" s="21"/>
      <c r="MCW162" s="7"/>
      <c r="MCX162" s="7"/>
      <c r="MCY162" s="21"/>
      <c r="MCZ162" s="20"/>
      <c r="MDA162" s="20"/>
      <c r="MDB162" s="20"/>
      <c r="MDC162" s="21"/>
      <c r="MDD162" s="21"/>
      <c r="MDE162" s="21"/>
      <c r="MDF162" s="21"/>
      <c r="MDG162" s="21"/>
      <c r="MDH162" s="20"/>
      <c r="MDI162" s="20"/>
      <c r="MDJ162" s="20"/>
      <c r="MDK162" s="20"/>
      <c r="MDL162" s="21"/>
      <c r="MDM162" s="21"/>
      <c r="MDN162" s="7"/>
      <c r="MDO162" s="7"/>
      <c r="MDP162" s="21"/>
      <c r="MDQ162" s="20"/>
      <c r="MDR162" s="20"/>
      <c r="MDS162" s="20"/>
      <c r="MDT162" s="21"/>
      <c r="MDU162" s="21"/>
      <c r="MDV162" s="21"/>
      <c r="MDW162" s="21"/>
      <c r="MDX162" s="21"/>
      <c r="MDY162" s="20"/>
      <c r="MDZ162" s="20"/>
      <c r="MEA162" s="20"/>
      <c r="MEB162" s="20"/>
      <c r="MEC162" s="21"/>
      <c r="MED162" s="21"/>
      <c r="MEE162" s="7"/>
      <c r="MEF162" s="7"/>
      <c r="MEG162" s="21"/>
      <c r="MEH162" s="20"/>
      <c r="MEI162" s="20"/>
      <c r="MEJ162" s="20"/>
      <c r="MEK162" s="21"/>
      <c r="MEL162" s="21"/>
      <c r="MEM162" s="21"/>
      <c r="MEN162" s="21"/>
      <c r="MEO162" s="21"/>
      <c r="MEP162" s="20"/>
      <c r="MEQ162" s="20"/>
      <c r="MER162" s="20"/>
      <c r="MES162" s="20"/>
      <c r="MET162" s="21"/>
      <c r="MEU162" s="21"/>
      <c r="MEV162" s="7"/>
      <c r="MEW162" s="7"/>
      <c r="MEX162" s="21"/>
      <c r="MEY162" s="20"/>
      <c r="MEZ162" s="20"/>
      <c r="MFA162" s="20"/>
      <c r="MFB162" s="21"/>
      <c r="MFC162" s="21"/>
      <c r="MFD162" s="21"/>
      <c r="MFE162" s="21"/>
      <c r="MFF162" s="21"/>
      <c r="MFG162" s="20"/>
      <c r="MFH162" s="20"/>
      <c r="MFI162" s="20"/>
      <c r="MFJ162" s="20"/>
      <c r="MFK162" s="21"/>
      <c r="MFL162" s="21"/>
      <c r="MFM162" s="7"/>
      <c r="MFN162" s="7"/>
      <c r="MFO162" s="21"/>
      <c r="MFP162" s="20"/>
      <c r="MFQ162" s="20"/>
      <c r="MFR162" s="20"/>
      <c r="MFS162" s="21"/>
      <c r="MFT162" s="21"/>
      <c r="MFU162" s="21"/>
      <c r="MFV162" s="21"/>
      <c r="MFW162" s="21"/>
      <c r="MFX162" s="20"/>
      <c r="MFY162" s="20"/>
      <c r="MFZ162" s="20"/>
      <c r="MGA162" s="20"/>
      <c r="MGB162" s="21"/>
      <c r="MGC162" s="21"/>
      <c r="MGD162" s="7"/>
      <c r="MGE162" s="7"/>
      <c r="MGF162" s="21"/>
      <c r="MGG162" s="20"/>
      <c r="MGH162" s="20"/>
      <c r="MGI162" s="20"/>
      <c r="MGJ162" s="21"/>
      <c r="MGK162" s="21"/>
      <c r="MGL162" s="21"/>
      <c r="MGM162" s="21"/>
      <c r="MGN162" s="21"/>
      <c r="MGO162" s="20"/>
      <c r="MGP162" s="20"/>
      <c r="MGQ162" s="20"/>
      <c r="MGR162" s="20"/>
      <c r="MGS162" s="21"/>
      <c r="MGT162" s="21"/>
      <c r="MGU162" s="7"/>
      <c r="MGV162" s="7"/>
      <c r="MGW162" s="21"/>
      <c r="MGX162" s="20"/>
      <c r="MGY162" s="20"/>
      <c r="MGZ162" s="20"/>
      <c r="MHA162" s="21"/>
      <c r="MHB162" s="21"/>
      <c r="MHC162" s="21"/>
      <c r="MHD162" s="21"/>
      <c r="MHE162" s="21"/>
      <c r="MHF162" s="20"/>
      <c r="MHG162" s="20"/>
      <c r="MHH162" s="20"/>
      <c r="MHI162" s="20"/>
      <c r="MHJ162" s="21"/>
      <c r="MHK162" s="21"/>
      <c r="MHL162" s="7"/>
      <c r="MHM162" s="7"/>
      <c r="MHN162" s="21"/>
      <c r="MHO162" s="20"/>
      <c r="MHP162" s="20"/>
      <c r="MHQ162" s="20"/>
      <c r="MHR162" s="21"/>
      <c r="MHS162" s="21"/>
      <c r="MHT162" s="21"/>
      <c r="MHU162" s="21"/>
      <c r="MHV162" s="21"/>
      <c r="MHW162" s="20"/>
      <c r="MHX162" s="20"/>
      <c r="MHY162" s="20"/>
      <c r="MHZ162" s="20"/>
      <c r="MIA162" s="21"/>
      <c r="MIB162" s="21"/>
      <c r="MIC162" s="7"/>
      <c r="MID162" s="7"/>
      <c r="MIE162" s="21"/>
      <c r="MIF162" s="20"/>
      <c r="MIG162" s="20"/>
      <c r="MIH162" s="20"/>
      <c r="MII162" s="21"/>
      <c r="MIJ162" s="21"/>
      <c r="MIK162" s="21"/>
      <c r="MIL162" s="21"/>
      <c r="MIM162" s="21"/>
      <c r="MIN162" s="20"/>
      <c r="MIO162" s="20"/>
      <c r="MIP162" s="20"/>
      <c r="MIQ162" s="20"/>
      <c r="MIR162" s="21"/>
      <c r="MIS162" s="21"/>
      <c r="MIT162" s="7"/>
      <c r="MIU162" s="7"/>
      <c r="MIV162" s="21"/>
      <c r="MIW162" s="20"/>
      <c r="MIX162" s="20"/>
      <c r="MIY162" s="20"/>
      <c r="MIZ162" s="21"/>
      <c r="MJA162" s="21"/>
      <c r="MJB162" s="21"/>
      <c r="MJC162" s="21"/>
      <c r="MJD162" s="21"/>
      <c r="MJE162" s="20"/>
      <c r="MJF162" s="20"/>
      <c r="MJG162" s="20"/>
      <c r="MJH162" s="20"/>
      <c r="MJI162" s="21"/>
      <c r="MJJ162" s="21"/>
      <c r="MJK162" s="7"/>
      <c r="MJL162" s="7"/>
      <c r="MJM162" s="21"/>
      <c r="MJN162" s="20"/>
      <c r="MJO162" s="20"/>
      <c r="MJP162" s="20"/>
      <c r="MJQ162" s="21"/>
      <c r="MJR162" s="21"/>
      <c r="MJS162" s="21"/>
      <c r="MJT162" s="21"/>
      <c r="MJU162" s="21"/>
      <c r="MJV162" s="20"/>
      <c r="MJW162" s="20"/>
      <c r="MJX162" s="20"/>
      <c r="MJY162" s="20"/>
      <c r="MJZ162" s="21"/>
      <c r="MKA162" s="21"/>
      <c r="MKB162" s="7"/>
      <c r="MKC162" s="7"/>
      <c r="MKD162" s="21"/>
      <c r="MKE162" s="20"/>
      <c r="MKF162" s="20"/>
      <c r="MKG162" s="20"/>
      <c r="MKH162" s="21"/>
      <c r="MKI162" s="21"/>
      <c r="MKJ162" s="21"/>
      <c r="MKK162" s="21"/>
      <c r="MKL162" s="21"/>
      <c r="MKM162" s="20"/>
      <c r="MKN162" s="20"/>
      <c r="MKO162" s="20"/>
      <c r="MKP162" s="20"/>
      <c r="MKQ162" s="21"/>
      <c r="MKR162" s="21"/>
      <c r="MKS162" s="7"/>
      <c r="MKT162" s="7"/>
      <c r="MKU162" s="21"/>
      <c r="MKV162" s="20"/>
      <c r="MKW162" s="20"/>
      <c r="MKX162" s="20"/>
      <c r="MKY162" s="21"/>
      <c r="MKZ162" s="21"/>
      <c r="MLA162" s="21"/>
      <c r="MLB162" s="21"/>
      <c r="MLC162" s="21"/>
      <c r="MLD162" s="20"/>
      <c r="MLE162" s="20"/>
      <c r="MLF162" s="20"/>
      <c r="MLG162" s="20"/>
      <c r="MLH162" s="21"/>
      <c r="MLI162" s="21"/>
      <c r="MLJ162" s="7"/>
      <c r="MLK162" s="7"/>
      <c r="MLL162" s="21"/>
      <c r="MLM162" s="20"/>
      <c r="MLN162" s="20"/>
      <c r="MLO162" s="20"/>
      <c r="MLP162" s="21"/>
      <c r="MLQ162" s="21"/>
      <c r="MLR162" s="21"/>
      <c r="MLS162" s="21"/>
      <c r="MLT162" s="21"/>
      <c r="MLU162" s="20"/>
      <c r="MLV162" s="20"/>
      <c r="MLW162" s="20"/>
      <c r="MLX162" s="20"/>
      <c r="MLY162" s="21"/>
      <c r="MLZ162" s="21"/>
      <c r="MMA162" s="7"/>
      <c r="MMB162" s="7"/>
      <c r="MMC162" s="21"/>
      <c r="MMD162" s="20"/>
      <c r="MME162" s="20"/>
      <c r="MMF162" s="20"/>
      <c r="MMG162" s="21"/>
      <c r="MMH162" s="21"/>
      <c r="MMI162" s="21"/>
      <c r="MMJ162" s="21"/>
      <c r="MMK162" s="21"/>
      <c r="MML162" s="20"/>
      <c r="MMM162" s="20"/>
      <c r="MMN162" s="20"/>
      <c r="MMO162" s="20"/>
      <c r="MMP162" s="21"/>
      <c r="MMQ162" s="21"/>
      <c r="MMR162" s="7"/>
      <c r="MMS162" s="7"/>
      <c r="MMT162" s="21"/>
      <c r="MMU162" s="20"/>
      <c r="MMV162" s="20"/>
      <c r="MMW162" s="20"/>
      <c r="MMX162" s="21"/>
      <c r="MMY162" s="21"/>
      <c r="MMZ162" s="21"/>
      <c r="MNA162" s="21"/>
      <c r="MNB162" s="21"/>
      <c r="MNC162" s="20"/>
      <c r="MND162" s="20"/>
      <c r="MNE162" s="20"/>
      <c r="MNF162" s="20"/>
      <c r="MNG162" s="21"/>
      <c r="MNH162" s="21"/>
      <c r="MNI162" s="7"/>
      <c r="MNJ162" s="7"/>
      <c r="MNK162" s="21"/>
      <c r="MNL162" s="20"/>
      <c r="MNM162" s="20"/>
      <c r="MNN162" s="20"/>
      <c r="MNO162" s="21"/>
      <c r="MNP162" s="21"/>
      <c r="MNQ162" s="21"/>
      <c r="MNR162" s="21"/>
      <c r="MNS162" s="21"/>
      <c r="MNT162" s="20"/>
      <c r="MNU162" s="20"/>
      <c r="MNV162" s="20"/>
      <c r="MNW162" s="20"/>
      <c r="MNX162" s="21"/>
      <c r="MNY162" s="21"/>
      <c r="MNZ162" s="7"/>
      <c r="MOA162" s="7"/>
      <c r="MOB162" s="21"/>
      <c r="MOC162" s="20"/>
      <c r="MOD162" s="20"/>
      <c r="MOE162" s="20"/>
      <c r="MOF162" s="21"/>
      <c r="MOG162" s="21"/>
      <c r="MOH162" s="21"/>
      <c r="MOI162" s="21"/>
      <c r="MOJ162" s="21"/>
      <c r="MOK162" s="20"/>
      <c r="MOL162" s="20"/>
      <c r="MOM162" s="20"/>
      <c r="MON162" s="20"/>
      <c r="MOO162" s="21"/>
      <c r="MOP162" s="21"/>
      <c r="MOQ162" s="7"/>
      <c r="MOR162" s="7"/>
      <c r="MOS162" s="21"/>
      <c r="MOT162" s="20"/>
      <c r="MOU162" s="20"/>
      <c r="MOV162" s="20"/>
      <c r="MOW162" s="21"/>
      <c r="MOX162" s="21"/>
      <c r="MOY162" s="21"/>
      <c r="MOZ162" s="21"/>
      <c r="MPA162" s="21"/>
      <c r="MPB162" s="20"/>
      <c r="MPC162" s="20"/>
      <c r="MPD162" s="20"/>
      <c r="MPE162" s="20"/>
      <c r="MPF162" s="21"/>
      <c r="MPG162" s="21"/>
      <c r="MPH162" s="7"/>
      <c r="MPI162" s="7"/>
      <c r="MPJ162" s="21"/>
      <c r="MPK162" s="20"/>
      <c r="MPL162" s="20"/>
      <c r="MPM162" s="20"/>
      <c r="MPN162" s="21"/>
      <c r="MPO162" s="21"/>
      <c r="MPP162" s="21"/>
      <c r="MPQ162" s="21"/>
      <c r="MPR162" s="21"/>
      <c r="MPS162" s="20"/>
      <c r="MPT162" s="20"/>
      <c r="MPU162" s="20"/>
      <c r="MPV162" s="20"/>
      <c r="MPW162" s="21"/>
      <c r="MPX162" s="21"/>
      <c r="MPY162" s="7"/>
      <c r="MPZ162" s="7"/>
      <c r="MQA162" s="21"/>
      <c r="MQB162" s="20"/>
      <c r="MQC162" s="20"/>
      <c r="MQD162" s="20"/>
      <c r="MQE162" s="21"/>
      <c r="MQF162" s="21"/>
      <c r="MQG162" s="21"/>
      <c r="MQH162" s="21"/>
      <c r="MQI162" s="21"/>
      <c r="MQJ162" s="20"/>
      <c r="MQK162" s="20"/>
      <c r="MQL162" s="20"/>
      <c r="MQM162" s="20"/>
      <c r="MQN162" s="21"/>
      <c r="MQO162" s="21"/>
      <c r="MQP162" s="7"/>
      <c r="MQQ162" s="7"/>
      <c r="MQR162" s="21"/>
      <c r="MQS162" s="20"/>
      <c r="MQT162" s="20"/>
      <c r="MQU162" s="20"/>
      <c r="MQV162" s="21"/>
      <c r="MQW162" s="21"/>
      <c r="MQX162" s="21"/>
      <c r="MQY162" s="21"/>
      <c r="MQZ162" s="21"/>
      <c r="MRA162" s="20"/>
      <c r="MRB162" s="20"/>
      <c r="MRC162" s="20"/>
      <c r="MRD162" s="20"/>
      <c r="MRE162" s="21"/>
      <c r="MRF162" s="21"/>
      <c r="MRG162" s="7"/>
      <c r="MRH162" s="7"/>
      <c r="MRI162" s="21"/>
      <c r="MRJ162" s="20"/>
      <c r="MRK162" s="20"/>
      <c r="MRL162" s="20"/>
      <c r="MRM162" s="21"/>
      <c r="MRN162" s="21"/>
      <c r="MRO162" s="21"/>
      <c r="MRP162" s="21"/>
      <c r="MRQ162" s="21"/>
      <c r="MRR162" s="20"/>
      <c r="MRS162" s="20"/>
      <c r="MRT162" s="20"/>
      <c r="MRU162" s="20"/>
      <c r="MRV162" s="21"/>
      <c r="MRW162" s="21"/>
      <c r="MRX162" s="7"/>
      <c r="MRY162" s="7"/>
      <c r="MRZ162" s="21"/>
      <c r="MSA162" s="20"/>
      <c r="MSB162" s="20"/>
      <c r="MSC162" s="20"/>
      <c r="MSD162" s="21"/>
      <c r="MSE162" s="21"/>
      <c r="MSF162" s="21"/>
      <c r="MSG162" s="21"/>
      <c r="MSH162" s="21"/>
      <c r="MSI162" s="20"/>
      <c r="MSJ162" s="20"/>
      <c r="MSK162" s="20"/>
      <c r="MSL162" s="20"/>
      <c r="MSM162" s="21"/>
      <c r="MSN162" s="21"/>
      <c r="MSO162" s="7"/>
      <c r="MSP162" s="7"/>
      <c r="MSQ162" s="21"/>
      <c r="MSR162" s="20"/>
      <c r="MSS162" s="20"/>
      <c r="MST162" s="20"/>
      <c r="MSU162" s="21"/>
      <c r="MSV162" s="21"/>
      <c r="MSW162" s="21"/>
      <c r="MSX162" s="21"/>
      <c r="MSY162" s="21"/>
      <c r="MSZ162" s="20"/>
      <c r="MTA162" s="20"/>
      <c r="MTB162" s="20"/>
      <c r="MTC162" s="20"/>
      <c r="MTD162" s="21"/>
      <c r="MTE162" s="21"/>
      <c r="MTF162" s="7"/>
      <c r="MTG162" s="7"/>
      <c r="MTH162" s="21"/>
      <c r="MTI162" s="20"/>
      <c r="MTJ162" s="20"/>
      <c r="MTK162" s="20"/>
      <c r="MTL162" s="21"/>
      <c r="MTM162" s="21"/>
      <c r="MTN162" s="21"/>
      <c r="MTO162" s="21"/>
      <c r="MTP162" s="21"/>
      <c r="MTQ162" s="20"/>
      <c r="MTR162" s="20"/>
      <c r="MTS162" s="20"/>
      <c r="MTT162" s="20"/>
      <c r="MTU162" s="21"/>
      <c r="MTV162" s="21"/>
      <c r="MTW162" s="7"/>
      <c r="MTX162" s="7"/>
      <c r="MTY162" s="21"/>
      <c r="MTZ162" s="20"/>
      <c r="MUA162" s="20"/>
      <c r="MUB162" s="20"/>
      <c r="MUC162" s="21"/>
      <c r="MUD162" s="21"/>
      <c r="MUE162" s="21"/>
      <c r="MUF162" s="21"/>
      <c r="MUG162" s="21"/>
      <c r="MUH162" s="20"/>
      <c r="MUI162" s="20"/>
      <c r="MUJ162" s="20"/>
      <c r="MUK162" s="20"/>
      <c r="MUL162" s="21"/>
      <c r="MUM162" s="21"/>
      <c r="MUN162" s="7"/>
      <c r="MUO162" s="7"/>
      <c r="MUP162" s="21"/>
      <c r="MUQ162" s="20"/>
      <c r="MUR162" s="20"/>
      <c r="MUS162" s="20"/>
      <c r="MUT162" s="21"/>
      <c r="MUU162" s="21"/>
      <c r="MUV162" s="21"/>
      <c r="MUW162" s="21"/>
      <c r="MUX162" s="21"/>
      <c r="MUY162" s="20"/>
      <c r="MUZ162" s="20"/>
      <c r="MVA162" s="20"/>
      <c r="MVB162" s="20"/>
      <c r="MVC162" s="21"/>
      <c r="MVD162" s="21"/>
      <c r="MVE162" s="7"/>
      <c r="MVF162" s="7"/>
      <c r="MVG162" s="21"/>
      <c r="MVH162" s="20"/>
      <c r="MVI162" s="20"/>
      <c r="MVJ162" s="20"/>
      <c r="MVK162" s="21"/>
      <c r="MVL162" s="21"/>
      <c r="MVM162" s="21"/>
      <c r="MVN162" s="21"/>
      <c r="MVO162" s="21"/>
      <c r="MVP162" s="20"/>
      <c r="MVQ162" s="20"/>
      <c r="MVR162" s="20"/>
      <c r="MVS162" s="20"/>
      <c r="MVT162" s="21"/>
      <c r="MVU162" s="21"/>
      <c r="MVV162" s="7"/>
      <c r="MVW162" s="7"/>
      <c r="MVX162" s="21"/>
      <c r="MVY162" s="20"/>
      <c r="MVZ162" s="20"/>
      <c r="MWA162" s="20"/>
      <c r="MWB162" s="21"/>
      <c r="MWC162" s="21"/>
      <c r="MWD162" s="21"/>
      <c r="MWE162" s="21"/>
      <c r="MWF162" s="21"/>
      <c r="MWG162" s="20"/>
      <c r="MWH162" s="20"/>
      <c r="MWI162" s="20"/>
      <c r="MWJ162" s="20"/>
      <c r="MWK162" s="21"/>
      <c r="MWL162" s="21"/>
      <c r="MWM162" s="7"/>
      <c r="MWN162" s="7"/>
      <c r="MWO162" s="21"/>
      <c r="MWP162" s="20"/>
      <c r="MWQ162" s="20"/>
      <c r="MWR162" s="20"/>
      <c r="MWS162" s="21"/>
      <c r="MWT162" s="21"/>
      <c r="MWU162" s="21"/>
      <c r="MWV162" s="21"/>
      <c r="MWW162" s="21"/>
      <c r="MWX162" s="20"/>
      <c r="MWY162" s="20"/>
      <c r="MWZ162" s="20"/>
      <c r="MXA162" s="20"/>
      <c r="MXB162" s="21"/>
      <c r="MXC162" s="21"/>
      <c r="MXD162" s="7"/>
      <c r="MXE162" s="7"/>
      <c r="MXF162" s="21"/>
      <c r="MXG162" s="20"/>
      <c r="MXH162" s="20"/>
      <c r="MXI162" s="20"/>
      <c r="MXJ162" s="21"/>
      <c r="MXK162" s="21"/>
      <c r="MXL162" s="21"/>
      <c r="MXM162" s="21"/>
      <c r="MXN162" s="21"/>
      <c r="MXO162" s="20"/>
      <c r="MXP162" s="20"/>
      <c r="MXQ162" s="20"/>
      <c r="MXR162" s="20"/>
      <c r="MXS162" s="21"/>
      <c r="MXT162" s="21"/>
      <c r="MXU162" s="7"/>
      <c r="MXV162" s="7"/>
      <c r="MXW162" s="21"/>
      <c r="MXX162" s="20"/>
      <c r="MXY162" s="20"/>
      <c r="MXZ162" s="20"/>
      <c r="MYA162" s="21"/>
      <c r="MYB162" s="21"/>
      <c r="MYC162" s="21"/>
      <c r="MYD162" s="21"/>
      <c r="MYE162" s="21"/>
      <c r="MYF162" s="20"/>
      <c r="MYG162" s="20"/>
      <c r="MYH162" s="20"/>
      <c r="MYI162" s="20"/>
      <c r="MYJ162" s="21"/>
      <c r="MYK162" s="21"/>
      <c r="MYL162" s="7"/>
      <c r="MYM162" s="7"/>
      <c r="MYN162" s="21"/>
      <c r="MYO162" s="20"/>
      <c r="MYP162" s="20"/>
      <c r="MYQ162" s="20"/>
      <c r="MYR162" s="21"/>
      <c r="MYS162" s="21"/>
      <c r="MYT162" s="21"/>
      <c r="MYU162" s="21"/>
      <c r="MYV162" s="21"/>
      <c r="MYW162" s="20"/>
      <c r="MYX162" s="20"/>
      <c r="MYY162" s="20"/>
      <c r="MYZ162" s="20"/>
      <c r="MZA162" s="21"/>
      <c r="MZB162" s="21"/>
      <c r="MZC162" s="7"/>
      <c r="MZD162" s="7"/>
      <c r="MZE162" s="21"/>
      <c r="MZF162" s="20"/>
      <c r="MZG162" s="20"/>
      <c r="MZH162" s="20"/>
      <c r="MZI162" s="21"/>
      <c r="MZJ162" s="21"/>
      <c r="MZK162" s="21"/>
      <c r="MZL162" s="21"/>
      <c r="MZM162" s="21"/>
      <c r="MZN162" s="20"/>
      <c r="MZO162" s="20"/>
      <c r="MZP162" s="20"/>
      <c r="MZQ162" s="20"/>
      <c r="MZR162" s="21"/>
      <c r="MZS162" s="21"/>
      <c r="MZT162" s="7"/>
      <c r="MZU162" s="7"/>
      <c r="MZV162" s="21"/>
      <c r="MZW162" s="20"/>
      <c r="MZX162" s="20"/>
      <c r="MZY162" s="20"/>
      <c r="MZZ162" s="21"/>
      <c r="NAA162" s="21"/>
      <c r="NAB162" s="21"/>
      <c r="NAC162" s="21"/>
      <c r="NAD162" s="21"/>
      <c r="NAE162" s="20"/>
      <c r="NAF162" s="20"/>
      <c r="NAG162" s="20"/>
      <c r="NAH162" s="20"/>
      <c r="NAI162" s="21"/>
      <c r="NAJ162" s="21"/>
      <c r="NAK162" s="7"/>
      <c r="NAL162" s="7"/>
      <c r="NAM162" s="21"/>
      <c r="NAN162" s="20"/>
      <c r="NAO162" s="20"/>
      <c r="NAP162" s="20"/>
      <c r="NAQ162" s="21"/>
      <c r="NAR162" s="21"/>
      <c r="NAS162" s="21"/>
      <c r="NAT162" s="21"/>
      <c r="NAU162" s="21"/>
      <c r="NAV162" s="20"/>
      <c r="NAW162" s="20"/>
      <c r="NAX162" s="20"/>
      <c r="NAY162" s="20"/>
      <c r="NAZ162" s="21"/>
      <c r="NBA162" s="21"/>
      <c r="NBB162" s="7"/>
      <c r="NBC162" s="7"/>
      <c r="NBD162" s="21"/>
      <c r="NBE162" s="20"/>
      <c r="NBF162" s="20"/>
      <c r="NBG162" s="20"/>
      <c r="NBH162" s="21"/>
      <c r="NBI162" s="21"/>
      <c r="NBJ162" s="21"/>
      <c r="NBK162" s="21"/>
      <c r="NBL162" s="21"/>
      <c r="NBM162" s="20"/>
      <c r="NBN162" s="20"/>
      <c r="NBO162" s="20"/>
      <c r="NBP162" s="20"/>
      <c r="NBQ162" s="21"/>
      <c r="NBR162" s="21"/>
      <c r="NBS162" s="7"/>
      <c r="NBT162" s="7"/>
      <c r="NBU162" s="21"/>
      <c r="NBV162" s="20"/>
      <c r="NBW162" s="20"/>
      <c r="NBX162" s="20"/>
      <c r="NBY162" s="21"/>
      <c r="NBZ162" s="21"/>
      <c r="NCA162" s="21"/>
      <c r="NCB162" s="21"/>
      <c r="NCC162" s="21"/>
      <c r="NCD162" s="20"/>
      <c r="NCE162" s="20"/>
      <c r="NCF162" s="20"/>
      <c r="NCG162" s="20"/>
      <c r="NCH162" s="21"/>
      <c r="NCI162" s="21"/>
      <c r="NCJ162" s="7"/>
      <c r="NCK162" s="7"/>
      <c r="NCL162" s="21"/>
      <c r="NCM162" s="20"/>
      <c r="NCN162" s="20"/>
      <c r="NCO162" s="20"/>
      <c r="NCP162" s="21"/>
      <c r="NCQ162" s="21"/>
      <c r="NCR162" s="21"/>
      <c r="NCS162" s="21"/>
      <c r="NCT162" s="21"/>
      <c r="NCU162" s="20"/>
      <c r="NCV162" s="20"/>
      <c r="NCW162" s="20"/>
      <c r="NCX162" s="20"/>
      <c r="NCY162" s="21"/>
      <c r="NCZ162" s="21"/>
      <c r="NDA162" s="7"/>
      <c r="NDB162" s="7"/>
      <c r="NDC162" s="21"/>
      <c r="NDD162" s="20"/>
      <c r="NDE162" s="20"/>
      <c r="NDF162" s="20"/>
      <c r="NDG162" s="21"/>
      <c r="NDH162" s="21"/>
      <c r="NDI162" s="21"/>
      <c r="NDJ162" s="21"/>
      <c r="NDK162" s="21"/>
      <c r="NDL162" s="20"/>
      <c r="NDM162" s="20"/>
      <c r="NDN162" s="20"/>
      <c r="NDO162" s="20"/>
      <c r="NDP162" s="21"/>
      <c r="NDQ162" s="21"/>
      <c r="NDR162" s="7"/>
      <c r="NDS162" s="7"/>
      <c r="NDT162" s="21"/>
      <c r="NDU162" s="20"/>
      <c r="NDV162" s="20"/>
      <c r="NDW162" s="20"/>
      <c r="NDX162" s="21"/>
      <c r="NDY162" s="21"/>
      <c r="NDZ162" s="21"/>
      <c r="NEA162" s="21"/>
      <c r="NEB162" s="21"/>
      <c r="NEC162" s="20"/>
      <c r="NED162" s="20"/>
      <c r="NEE162" s="20"/>
      <c r="NEF162" s="20"/>
      <c r="NEG162" s="21"/>
      <c r="NEH162" s="21"/>
      <c r="NEI162" s="7"/>
      <c r="NEJ162" s="7"/>
      <c r="NEK162" s="21"/>
      <c r="NEL162" s="20"/>
      <c r="NEM162" s="20"/>
      <c r="NEN162" s="20"/>
      <c r="NEO162" s="21"/>
      <c r="NEP162" s="21"/>
      <c r="NEQ162" s="21"/>
      <c r="NER162" s="21"/>
      <c r="NES162" s="21"/>
      <c r="NET162" s="20"/>
      <c r="NEU162" s="20"/>
      <c r="NEV162" s="20"/>
      <c r="NEW162" s="20"/>
      <c r="NEX162" s="21"/>
      <c r="NEY162" s="21"/>
      <c r="NEZ162" s="7"/>
      <c r="NFA162" s="7"/>
      <c r="NFB162" s="21"/>
      <c r="NFC162" s="20"/>
      <c r="NFD162" s="20"/>
      <c r="NFE162" s="20"/>
      <c r="NFF162" s="21"/>
      <c r="NFG162" s="21"/>
      <c r="NFH162" s="21"/>
      <c r="NFI162" s="21"/>
      <c r="NFJ162" s="21"/>
      <c r="NFK162" s="20"/>
      <c r="NFL162" s="20"/>
      <c r="NFM162" s="20"/>
      <c r="NFN162" s="20"/>
      <c r="NFO162" s="21"/>
      <c r="NFP162" s="21"/>
      <c r="NFQ162" s="7"/>
      <c r="NFR162" s="7"/>
      <c r="NFS162" s="21"/>
      <c r="NFT162" s="20"/>
      <c r="NFU162" s="20"/>
      <c r="NFV162" s="20"/>
      <c r="NFW162" s="21"/>
      <c r="NFX162" s="21"/>
      <c r="NFY162" s="21"/>
      <c r="NFZ162" s="21"/>
      <c r="NGA162" s="21"/>
      <c r="NGB162" s="20"/>
      <c r="NGC162" s="20"/>
      <c r="NGD162" s="20"/>
      <c r="NGE162" s="20"/>
      <c r="NGF162" s="21"/>
      <c r="NGG162" s="21"/>
      <c r="NGH162" s="7"/>
      <c r="NGI162" s="7"/>
      <c r="NGJ162" s="21"/>
      <c r="NGK162" s="20"/>
      <c r="NGL162" s="20"/>
      <c r="NGM162" s="20"/>
      <c r="NGN162" s="21"/>
      <c r="NGO162" s="21"/>
      <c r="NGP162" s="21"/>
      <c r="NGQ162" s="21"/>
      <c r="NGR162" s="21"/>
      <c r="NGS162" s="20"/>
      <c r="NGT162" s="20"/>
      <c r="NGU162" s="20"/>
      <c r="NGV162" s="20"/>
      <c r="NGW162" s="21"/>
      <c r="NGX162" s="21"/>
      <c r="NGY162" s="7"/>
      <c r="NGZ162" s="7"/>
      <c r="NHA162" s="21"/>
      <c r="NHB162" s="20"/>
      <c r="NHC162" s="20"/>
      <c r="NHD162" s="20"/>
      <c r="NHE162" s="21"/>
      <c r="NHF162" s="21"/>
      <c r="NHG162" s="21"/>
      <c r="NHH162" s="21"/>
      <c r="NHI162" s="21"/>
      <c r="NHJ162" s="20"/>
      <c r="NHK162" s="20"/>
      <c r="NHL162" s="20"/>
      <c r="NHM162" s="20"/>
      <c r="NHN162" s="21"/>
      <c r="NHO162" s="21"/>
      <c r="NHP162" s="7"/>
      <c r="NHQ162" s="7"/>
      <c r="NHR162" s="21"/>
      <c r="NHS162" s="20"/>
      <c r="NHT162" s="20"/>
      <c r="NHU162" s="20"/>
      <c r="NHV162" s="21"/>
      <c r="NHW162" s="21"/>
      <c r="NHX162" s="21"/>
      <c r="NHY162" s="21"/>
      <c r="NHZ162" s="21"/>
      <c r="NIA162" s="20"/>
      <c r="NIB162" s="20"/>
      <c r="NIC162" s="20"/>
      <c r="NID162" s="20"/>
      <c r="NIE162" s="21"/>
      <c r="NIF162" s="21"/>
      <c r="NIG162" s="7"/>
      <c r="NIH162" s="7"/>
      <c r="NII162" s="21"/>
      <c r="NIJ162" s="20"/>
      <c r="NIK162" s="20"/>
      <c r="NIL162" s="20"/>
      <c r="NIM162" s="21"/>
      <c r="NIN162" s="21"/>
      <c r="NIO162" s="21"/>
      <c r="NIP162" s="21"/>
      <c r="NIQ162" s="21"/>
      <c r="NIR162" s="20"/>
      <c r="NIS162" s="20"/>
      <c r="NIT162" s="20"/>
      <c r="NIU162" s="20"/>
      <c r="NIV162" s="21"/>
      <c r="NIW162" s="21"/>
      <c r="NIX162" s="7"/>
      <c r="NIY162" s="7"/>
      <c r="NIZ162" s="21"/>
      <c r="NJA162" s="20"/>
      <c r="NJB162" s="20"/>
      <c r="NJC162" s="20"/>
      <c r="NJD162" s="21"/>
      <c r="NJE162" s="21"/>
      <c r="NJF162" s="21"/>
      <c r="NJG162" s="21"/>
      <c r="NJH162" s="21"/>
      <c r="NJI162" s="20"/>
      <c r="NJJ162" s="20"/>
      <c r="NJK162" s="20"/>
      <c r="NJL162" s="20"/>
      <c r="NJM162" s="21"/>
      <c r="NJN162" s="21"/>
      <c r="NJO162" s="7"/>
      <c r="NJP162" s="7"/>
      <c r="NJQ162" s="21"/>
      <c r="NJR162" s="20"/>
      <c r="NJS162" s="20"/>
      <c r="NJT162" s="20"/>
      <c r="NJU162" s="21"/>
      <c r="NJV162" s="21"/>
      <c r="NJW162" s="21"/>
      <c r="NJX162" s="21"/>
      <c r="NJY162" s="21"/>
      <c r="NJZ162" s="20"/>
      <c r="NKA162" s="20"/>
      <c r="NKB162" s="20"/>
      <c r="NKC162" s="20"/>
      <c r="NKD162" s="21"/>
      <c r="NKE162" s="21"/>
      <c r="NKF162" s="7"/>
      <c r="NKG162" s="7"/>
      <c r="NKH162" s="21"/>
      <c r="NKI162" s="20"/>
      <c r="NKJ162" s="20"/>
      <c r="NKK162" s="20"/>
      <c r="NKL162" s="21"/>
      <c r="NKM162" s="21"/>
      <c r="NKN162" s="21"/>
      <c r="NKO162" s="21"/>
      <c r="NKP162" s="21"/>
      <c r="NKQ162" s="20"/>
      <c r="NKR162" s="20"/>
      <c r="NKS162" s="20"/>
      <c r="NKT162" s="20"/>
      <c r="NKU162" s="21"/>
      <c r="NKV162" s="21"/>
      <c r="NKW162" s="7"/>
      <c r="NKX162" s="7"/>
      <c r="NKY162" s="21"/>
      <c r="NKZ162" s="20"/>
      <c r="NLA162" s="20"/>
      <c r="NLB162" s="20"/>
      <c r="NLC162" s="21"/>
      <c r="NLD162" s="21"/>
      <c r="NLE162" s="21"/>
      <c r="NLF162" s="21"/>
      <c r="NLG162" s="21"/>
      <c r="NLH162" s="20"/>
      <c r="NLI162" s="20"/>
      <c r="NLJ162" s="20"/>
      <c r="NLK162" s="20"/>
      <c r="NLL162" s="21"/>
      <c r="NLM162" s="21"/>
      <c r="NLN162" s="7"/>
      <c r="NLO162" s="7"/>
      <c r="NLP162" s="21"/>
      <c r="NLQ162" s="20"/>
      <c r="NLR162" s="20"/>
      <c r="NLS162" s="20"/>
      <c r="NLT162" s="21"/>
      <c r="NLU162" s="21"/>
      <c r="NLV162" s="21"/>
      <c r="NLW162" s="21"/>
      <c r="NLX162" s="21"/>
      <c r="NLY162" s="20"/>
      <c r="NLZ162" s="20"/>
      <c r="NMA162" s="20"/>
      <c r="NMB162" s="20"/>
      <c r="NMC162" s="21"/>
      <c r="NMD162" s="21"/>
      <c r="NME162" s="7"/>
      <c r="NMF162" s="7"/>
      <c r="NMG162" s="21"/>
      <c r="NMH162" s="20"/>
      <c r="NMI162" s="20"/>
      <c r="NMJ162" s="20"/>
      <c r="NMK162" s="21"/>
      <c r="NML162" s="21"/>
      <c r="NMM162" s="21"/>
      <c r="NMN162" s="21"/>
      <c r="NMO162" s="21"/>
      <c r="NMP162" s="20"/>
      <c r="NMQ162" s="20"/>
      <c r="NMR162" s="20"/>
      <c r="NMS162" s="20"/>
      <c r="NMT162" s="21"/>
      <c r="NMU162" s="21"/>
      <c r="NMV162" s="7"/>
      <c r="NMW162" s="7"/>
      <c r="NMX162" s="21"/>
      <c r="NMY162" s="20"/>
      <c r="NMZ162" s="20"/>
      <c r="NNA162" s="20"/>
      <c r="NNB162" s="21"/>
      <c r="NNC162" s="21"/>
      <c r="NND162" s="21"/>
      <c r="NNE162" s="21"/>
      <c r="NNF162" s="21"/>
      <c r="NNG162" s="20"/>
      <c r="NNH162" s="20"/>
      <c r="NNI162" s="20"/>
      <c r="NNJ162" s="20"/>
      <c r="NNK162" s="21"/>
      <c r="NNL162" s="21"/>
      <c r="NNM162" s="7"/>
      <c r="NNN162" s="7"/>
      <c r="NNO162" s="21"/>
      <c r="NNP162" s="20"/>
      <c r="NNQ162" s="20"/>
      <c r="NNR162" s="20"/>
      <c r="NNS162" s="21"/>
      <c r="NNT162" s="21"/>
      <c r="NNU162" s="21"/>
      <c r="NNV162" s="21"/>
      <c r="NNW162" s="21"/>
      <c r="NNX162" s="20"/>
      <c r="NNY162" s="20"/>
      <c r="NNZ162" s="20"/>
      <c r="NOA162" s="20"/>
      <c r="NOB162" s="21"/>
      <c r="NOC162" s="21"/>
      <c r="NOD162" s="7"/>
      <c r="NOE162" s="7"/>
      <c r="NOF162" s="21"/>
      <c r="NOG162" s="20"/>
      <c r="NOH162" s="20"/>
      <c r="NOI162" s="20"/>
      <c r="NOJ162" s="21"/>
      <c r="NOK162" s="21"/>
      <c r="NOL162" s="21"/>
      <c r="NOM162" s="21"/>
      <c r="NON162" s="21"/>
      <c r="NOO162" s="20"/>
      <c r="NOP162" s="20"/>
      <c r="NOQ162" s="20"/>
      <c r="NOR162" s="20"/>
      <c r="NOS162" s="21"/>
      <c r="NOT162" s="21"/>
      <c r="NOU162" s="7"/>
      <c r="NOV162" s="7"/>
      <c r="NOW162" s="21"/>
      <c r="NOX162" s="20"/>
      <c r="NOY162" s="20"/>
      <c r="NOZ162" s="20"/>
      <c r="NPA162" s="21"/>
      <c r="NPB162" s="21"/>
      <c r="NPC162" s="21"/>
      <c r="NPD162" s="21"/>
      <c r="NPE162" s="21"/>
      <c r="NPF162" s="20"/>
      <c r="NPG162" s="20"/>
      <c r="NPH162" s="20"/>
      <c r="NPI162" s="20"/>
      <c r="NPJ162" s="21"/>
      <c r="NPK162" s="21"/>
      <c r="NPL162" s="7"/>
      <c r="NPM162" s="7"/>
      <c r="NPN162" s="21"/>
      <c r="NPO162" s="20"/>
      <c r="NPP162" s="20"/>
      <c r="NPQ162" s="20"/>
      <c r="NPR162" s="21"/>
      <c r="NPS162" s="21"/>
      <c r="NPT162" s="21"/>
      <c r="NPU162" s="21"/>
      <c r="NPV162" s="21"/>
      <c r="NPW162" s="20"/>
      <c r="NPX162" s="20"/>
      <c r="NPY162" s="20"/>
      <c r="NPZ162" s="20"/>
      <c r="NQA162" s="21"/>
      <c r="NQB162" s="21"/>
      <c r="NQC162" s="7"/>
      <c r="NQD162" s="7"/>
      <c r="NQE162" s="21"/>
      <c r="NQF162" s="20"/>
      <c r="NQG162" s="20"/>
      <c r="NQH162" s="20"/>
      <c r="NQI162" s="21"/>
      <c r="NQJ162" s="21"/>
      <c r="NQK162" s="21"/>
      <c r="NQL162" s="21"/>
      <c r="NQM162" s="21"/>
      <c r="NQN162" s="20"/>
      <c r="NQO162" s="20"/>
      <c r="NQP162" s="20"/>
      <c r="NQQ162" s="20"/>
      <c r="NQR162" s="21"/>
      <c r="NQS162" s="21"/>
      <c r="NQT162" s="7"/>
      <c r="NQU162" s="7"/>
      <c r="NQV162" s="21"/>
      <c r="NQW162" s="20"/>
      <c r="NQX162" s="20"/>
      <c r="NQY162" s="20"/>
      <c r="NQZ162" s="21"/>
      <c r="NRA162" s="21"/>
      <c r="NRB162" s="21"/>
      <c r="NRC162" s="21"/>
      <c r="NRD162" s="21"/>
      <c r="NRE162" s="20"/>
      <c r="NRF162" s="20"/>
      <c r="NRG162" s="20"/>
      <c r="NRH162" s="20"/>
      <c r="NRI162" s="21"/>
      <c r="NRJ162" s="21"/>
      <c r="NRK162" s="7"/>
      <c r="NRL162" s="7"/>
      <c r="NRM162" s="21"/>
      <c r="NRN162" s="20"/>
      <c r="NRO162" s="20"/>
      <c r="NRP162" s="20"/>
      <c r="NRQ162" s="21"/>
      <c r="NRR162" s="21"/>
      <c r="NRS162" s="21"/>
      <c r="NRT162" s="21"/>
      <c r="NRU162" s="21"/>
      <c r="NRV162" s="20"/>
      <c r="NRW162" s="20"/>
      <c r="NRX162" s="20"/>
      <c r="NRY162" s="20"/>
      <c r="NRZ162" s="21"/>
      <c r="NSA162" s="21"/>
      <c r="NSB162" s="7"/>
      <c r="NSC162" s="7"/>
      <c r="NSD162" s="21"/>
      <c r="NSE162" s="20"/>
      <c r="NSF162" s="20"/>
      <c r="NSG162" s="20"/>
      <c r="NSH162" s="21"/>
      <c r="NSI162" s="21"/>
      <c r="NSJ162" s="21"/>
      <c r="NSK162" s="21"/>
      <c r="NSL162" s="21"/>
      <c r="NSM162" s="20"/>
      <c r="NSN162" s="20"/>
      <c r="NSO162" s="20"/>
      <c r="NSP162" s="20"/>
      <c r="NSQ162" s="21"/>
      <c r="NSR162" s="21"/>
      <c r="NSS162" s="7"/>
      <c r="NST162" s="7"/>
      <c r="NSU162" s="21"/>
      <c r="NSV162" s="20"/>
      <c r="NSW162" s="20"/>
      <c r="NSX162" s="20"/>
      <c r="NSY162" s="21"/>
      <c r="NSZ162" s="21"/>
      <c r="NTA162" s="21"/>
      <c r="NTB162" s="21"/>
      <c r="NTC162" s="21"/>
      <c r="NTD162" s="20"/>
      <c r="NTE162" s="20"/>
      <c r="NTF162" s="20"/>
      <c r="NTG162" s="20"/>
      <c r="NTH162" s="21"/>
      <c r="NTI162" s="21"/>
      <c r="NTJ162" s="7"/>
      <c r="NTK162" s="7"/>
      <c r="NTL162" s="21"/>
      <c r="NTM162" s="20"/>
      <c r="NTN162" s="20"/>
      <c r="NTO162" s="20"/>
      <c r="NTP162" s="21"/>
      <c r="NTQ162" s="21"/>
      <c r="NTR162" s="21"/>
      <c r="NTS162" s="21"/>
      <c r="NTT162" s="21"/>
      <c r="NTU162" s="20"/>
      <c r="NTV162" s="20"/>
      <c r="NTW162" s="20"/>
      <c r="NTX162" s="20"/>
      <c r="NTY162" s="21"/>
      <c r="NTZ162" s="21"/>
      <c r="NUA162" s="7"/>
      <c r="NUB162" s="7"/>
      <c r="NUC162" s="21"/>
      <c r="NUD162" s="20"/>
      <c r="NUE162" s="20"/>
      <c r="NUF162" s="20"/>
      <c r="NUG162" s="21"/>
      <c r="NUH162" s="21"/>
      <c r="NUI162" s="21"/>
      <c r="NUJ162" s="21"/>
      <c r="NUK162" s="21"/>
      <c r="NUL162" s="20"/>
      <c r="NUM162" s="20"/>
      <c r="NUN162" s="20"/>
      <c r="NUO162" s="20"/>
      <c r="NUP162" s="21"/>
      <c r="NUQ162" s="21"/>
      <c r="NUR162" s="7"/>
      <c r="NUS162" s="7"/>
      <c r="NUT162" s="21"/>
      <c r="NUU162" s="20"/>
      <c r="NUV162" s="20"/>
      <c r="NUW162" s="20"/>
      <c r="NUX162" s="21"/>
      <c r="NUY162" s="21"/>
      <c r="NUZ162" s="21"/>
      <c r="NVA162" s="21"/>
      <c r="NVB162" s="21"/>
      <c r="NVC162" s="20"/>
      <c r="NVD162" s="20"/>
      <c r="NVE162" s="20"/>
      <c r="NVF162" s="20"/>
      <c r="NVG162" s="21"/>
      <c r="NVH162" s="21"/>
      <c r="NVI162" s="7"/>
      <c r="NVJ162" s="7"/>
      <c r="NVK162" s="21"/>
      <c r="NVL162" s="20"/>
      <c r="NVM162" s="20"/>
      <c r="NVN162" s="20"/>
      <c r="NVO162" s="21"/>
      <c r="NVP162" s="21"/>
      <c r="NVQ162" s="21"/>
      <c r="NVR162" s="21"/>
      <c r="NVS162" s="21"/>
      <c r="NVT162" s="20"/>
      <c r="NVU162" s="20"/>
      <c r="NVV162" s="20"/>
      <c r="NVW162" s="20"/>
      <c r="NVX162" s="21"/>
      <c r="NVY162" s="21"/>
      <c r="NVZ162" s="7"/>
      <c r="NWA162" s="7"/>
      <c r="NWB162" s="21"/>
      <c r="NWC162" s="20"/>
      <c r="NWD162" s="20"/>
      <c r="NWE162" s="20"/>
      <c r="NWF162" s="21"/>
      <c r="NWG162" s="21"/>
      <c r="NWH162" s="21"/>
      <c r="NWI162" s="21"/>
      <c r="NWJ162" s="21"/>
      <c r="NWK162" s="20"/>
      <c r="NWL162" s="20"/>
      <c r="NWM162" s="20"/>
      <c r="NWN162" s="20"/>
      <c r="NWO162" s="21"/>
      <c r="NWP162" s="21"/>
      <c r="NWQ162" s="7"/>
      <c r="NWR162" s="7"/>
      <c r="NWS162" s="21"/>
      <c r="NWT162" s="20"/>
      <c r="NWU162" s="20"/>
      <c r="NWV162" s="20"/>
      <c r="NWW162" s="21"/>
      <c r="NWX162" s="21"/>
      <c r="NWY162" s="21"/>
      <c r="NWZ162" s="21"/>
      <c r="NXA162" s="21"/>
      <c r="NXB162" s="20"/>
      <c r="NXC162" s="20"/>
      <c r="NXD162" s="20"/>
      <c r="NXE162" s="20"/>
      <c r="NXF162" s="21"/>
      <c r="NXG162" s="21"/>
      <c r="NXH162" s="7"/>
      <c r="NXI162" s="7"/>
      <c r="NXJ162" s="21"/>
      <c r="NXK162" s="20"/>
      <c r="NXL162" s="20"/>
      <c r="NXM162" s="20"/>
      <c r="NXN162" s="21"/>
      <c r="NXO162" s="21"/>
      <c r="NXP162" s="21"/>
      <c r="NXQ162" s="21"/>
      <c r="NXR162" s="21"/>
      <c r="NXS162" s="20"/>
      <c r="NXT162" s="20"/>
      <c r="NXU162" s="20"/>
      <c r="NXV162" s="20"/>
      <c r="NXW162" s="21"/>
      <c r="NXX162" s="21"/>
      <c r="NXY162" s="7"/>
      <c r="NXZ162" s="7"/>
      <c r="NYA162" s="21"/>
      <c r="NYB162" s="20"/>
      <c r="NYC162" s="20"/>
      <c r="NYD162" s="20"/>
      <c r="NYE162" s="21"/>
      <c r="NYF162" s="21"/>
      <c r="NYG162" s="21"/>
      <c r="NYH162" s="21"/>
      <c r="NYI162" s="21"/>
      <c r="NYJ162" s="20"/>
      <c r="NYK162" s="20"/>
      <c r="NYL162" s="20"/>
      <c r="NYM162" s="20"/>
      <c r="NYN162" s="21"/>
      <c r="NYO162" s="21"/>
      <c r="NYP162" s="7"/>
      <c r="NYQ162" s="7"/>
      <c r="NYR162" s="21"/>
      <c r="NYS162" s="20"/>
      <c r="NYT162" s="20"/>
      <c r="NYU162" s="20"/>
      <c r="NYV162" s="21"/>
      <c r="NYW162" s="21"/>
      <c r="NYX162" s="21"/>
      <c r="NYY162" s="21"/>
      <c r="NYZ162" s="21"/>
      <c r="NZA162" s="20"/>
      <c r="NZB162" s="20"/>
      <c r="NZC162" s="20"/>
      <c r="NZD162" s="20"/>
      <c r="NZE162" s="21"/>
      <c r="NZF162" s="21"/>
      <c r="NZG162" s="7"/>
      <c r="NZH162" s="7"/>
      <c r="NZI162" s="21"/>
      <c r="NZJ162" s="20"/>
      <c r="NZK162" s="20"/>
      <c r="NZL162" s="20"/>
      <c r="NZM162" s="21"/>
      <c r="NZN162" s="21"/>
      <c r="NZO162" s="21"/>
      <c r="NZP162" s="21"/>
      <c r="NZQ162" s="21"/>
      <c r="NZR162" s="20"/>
      <c r="NZS162" s="20"/>
      <c r="NZT162" s="20"/>
      <c r="NZU162" s="20"/>
      <c r="NZV162" s="21"/>
      <c r="NZW162" s="21"/>
      <c r="NZX162" s="7"/>
      <c r="NZY162" s="7"/>
      <c r="NZZ162" s="21"/>
      <c r="OAA162" s="20"/>
      <c r="OAB162" s="20"/>
      <c r="OAC162" s="20"/>
      <c r="OAD162" s="21"/>
      <c r="OAE162" s="21"/>
      <c r="OAF162" s="21"/>
      <c r="OAG162" s="21"/>
      <c r="OAH162" s="21"/>
      <c r="OAI162" s="20"/>
      <c r="OAJ162" s="20"/>
      <c r="OAK162" s="20"/>
      <c r="OAL162" s="20"/>
      <c r="OAM162" s="21"/>
      <c r="OAN162" s="21"/>
      <c r="OAO162" s="7"/>
      <c r="OAP162" s="7"/>
      <c r="OAQ162" s="21"/>
      <c r="OAR162" s="20"/>
      <c r="OAS162" s="20"/>
      <c r="OAT162" s="20"/>
      <c r="OAU162" s="21"/>
      <c r="OAV162" s="21"/>
      <c r="OAW162" s="21"/>
      <c r="OAX162" s="21"/>
      <c r="OAY162" s="21"/>
      <c r="OAZ162" s="20"/>
      <c r="OBA162" s="20"/>
      <c r="OBB162" s="20"/>
      <c r="OBC162" s="20"/>
      <c r="OBD162" s="21"/>
      <c r="OBE162" s="21"/>
      <c r="OBF162" s="7"/>
      <c r="OBG162" s="7"/>
      <c r="OBH162" s="21"/>
      <c r="OBI162" s="20"/>
      <c r="OBJ162" s="20"/>
      <c r="OBK162" s="20"/>
      <c r="OBL162" s="21"/>
      <c r="OBM162" s="21"/>
      <c r="OBN162" s="21"/>
      <c r="OBO162" s="21"/>
      <c r="OBP162" s="21"/>
      <c r="OBQ162" s="20"/>
      <c r="OBR162" s="20"/>
      <c r="OBS162" s="20"/>
      <c r="OBT162" s="20"/>
      <c r="OBU162" s="21"/>
      <c r="OBV162" s="21"/>
      <c r="OBW162" s="7"/>
      <c r="OBX162" s="7"/>
      <c r="OBY162" s="21"/>
      <c r="OBZ162" s="20"/>
      <c r="OCA162" s="20"/>
      <c r="OCB162" s="20"/>
      <c r="OCC162" s="21"/>
      <c r="OCD162" s="21"/>
      <c r="OCE162" s="21"/>
      <c r="OCF162" s="21"/>
      <c r="OCG162" s="21"/>
      <c r="OCH162" s="20"/>
      <c r="OCI162" s="20"/>
      <c r="OCJ162" s="20"/>
      <c r="OCK162" s="20"/>
      <c r="OCL162" s="21"/>
      <c r="OCM162" s="21"/>
      <c r="OCN162" s="7"/>
      <c r="OCO162" s="7"/>
      <c r="OCP162" s="21"/>
      <c r="OCQ162" s="20"/>
      <c r="OCR162" s="20"/>
      <c r="OCS162" s="20"/>
      <c r="OCT162" s="21"/>
      <c r="OCU162" s="21"/>
      <c r="OCV162" s="21"/>
      <c r="OCW162" s="21"/>
      <c r="OCX162" s="21"/>
      <c r="OCY162" s="20"/>
      <c r="OCZ162" s="20"/>
      <c r="ODA162" s="20"/>
      <c r="ODB162" s="20"/>
      <c r="ODC162" s="21"/>
      <c r="ODD162" s="21"/>
      <c r="ODE162" s="7"/>
      <c r="ODF162" s="7"/>
      <c r="ODG162" s="21"/>
      <c r="ODH162" s="20"/>
      <c r="ODI162" s="20"/>
      <c r="ODJ162" s="20"/>
      <c r="ODK162" s="21"/>
      <c r="ODL162" s="21"/>
      <c r="ODM162" s="21"/>
      <c r="ODN162" s="21"/>
      <c r="ODO162" s="21"/>
      <c r="ODP162" s="20"/>
      <c r="ODQ162" s="20"/>
      <c r="ODR162" s="20"/>
      <c r="ODS162" s="20"/>
      <c r="ODT162" s="21"/>
      <c r="ODU162" s="21"/>
      <c r="ODV162" s="7"/>
      <c r="ODW162" s="7"/>
      <c r="ODX162" s="21"/>
      <c r="ODY162" s="20"/>
      <c r="ODZ162" s="20"/>
      <c r="OEA162" s="20"/>
      <c r="OEB162" s="21"/>
      <c r="OEC162" s="21"/>
      <c r="OED162" s="21"/>
      <c r="OEE162" s="21"/>
      <c r="OEF162" s="21"/>
      <c r="OEG162" s="20"/>
      <c r="OEH162" s="20"/>
      <c r="OEI162" s="20"/>
      <c r="OEJ162" s="20"/>
      <c r="OEK162" s="21"/>
      <c r="OEL162" s="21"/>
      <c r="OEM162" s="7"/>
      <c r="OEN162" s="7"/>
      <c r="OEO162" s="21"/>
      <c r="OEP162" s="20"/>
      <c r="OEQ162" s="20"/>
      <c r="OER162" s="20"/>
      <c r="OES162" s="21"/>
      <c r="OET162" s="21"/>
      <c r="OEU162" s="21"/>
      <c r="OEV162" s="21"/>
      <c r="OEW162" s="21"/>
      <c r="OEX162" s="20"/>
      <c r="OEY162" s="20"/>
      <c r="OEZ162" s="20"/>
      <c r="OFA162" s="20"/>
      <c r="OFB162" s="21"/>
      <c r="OFC162" s="21"/>
      <c r="OFD162" s="7"/>
      <c r="OFE162" s="7"/>
      <c r="OFF162" s="21"/>
      <c r="OFG162" s="20"/>
      <c r="OFH162" s="20"/>
      <c r="OFI162" s="20"/>
      <c r="OFJ162" s="21"/>
      <c r="OFK162" s="21"/>
      <c r="OFL162" s="21"/>
      <c r="OFM162" s="21"/>
      <c r="OFN162" s="21"/>
      <c r="OFO162" s="20"/>
      <c r="OFP162" s="20"/>
      <c r="OFQ162" s="20"/>
      <c r="OFR162" s="20"/>
      <c r="OFS162" s="21"/>
      <c r="OFT162" s="21"/>
      <c r="OFU162" s="7"/>
      <c r="OFV162" s="7"/>
      <c r="OFW162" s="21"/>
      <c r="OFX162" s="20"/>
      <c r="OFY162" s="20"/>
      <c r="OFZ162" s="20"/>
      <c r="OGA162" s="21"/>
      <c r="OGB162" s="21"/>
      <c r="OGC162" s="21"/>
      <c r="OGD162" s="21"/>
      <c r="OGE162" s="21"/>
      <c r="OGF162" s="20"/>
      <c r="OGG162" s="20"/>
      <c r="OGH162" s="20"/>
      <c r="OGI162" s="20"/>
      <c r="OGJ162" s="21"/>
      <c r="OGK162" s="21"/>
      <c r="OGL162" s="7"/>
      <c r="OGM162" s="7"/>
      <c r="OGN162" s="21"/>
      <c r="OGO162" s="20"/>
      <c r="OGP162" s="20"/>
      <c r="OGQ162" s="20"/>
      <c r="OGR162" s="21"/>
      <c r="OGS162" s="21"/>
      <c r="OGT162" s="21"/>
      <c r="OGU162" s="21"/>
      <c r="OGV162" s="21"/>
      <c r="OGW162" s="20"/>
      <c r="OGX162" s="20"/>
      <c r="OGY162" s="20"/>
      <c r="OGZ162" s="20"/>
      <c r="OHA162" s="21"/>
      <c r="OHB162" s="21"/>
      <c r="OHC162" s="7"/>
      <c r="OHD162" s="7"/>
      <c r="OHE162" s="21"/>
      <c r="OHF162" s="20"/>
      <c r="OHG162" s="20"/>
      <c r="OHH162" s="20"/>
      <c r="OHI162" s="21"/>
      <c r="OHJ162" s="21"/>
      <c r="OHK162" s="21"/>
      <c r="OHL162" s="21"/>
      <c r="OHM162" s="21"/>
      <c r="OHN162" s="20"/>
      <c r="OHO162" s="20"/>
      <c r="OHP162" s="20"/>
      <c r="OHQ162" s="20"/>
      <c r="OHR162" s="21"/>
      <c r="OHS162" s="21"/>
      <c r="OHT162" s="7"/>
      <c r="OHU162" s="7"/>
      <c r="OHV162" s="21"/>
      <c r="OHW162" s="20"/>
      <c r="OHX162" s="20"/>
      <c r="OHY162" s="20"/>
      <c r="OHZ162" s="21"/>
      <c r="OIA162" s="21"/>
      <c r="OIB162" s="21"/>
      <c r="OIC162" s="21"/>
      <c r="OID162" s="21"/>
      <c r="OIE162" s="20"/>
      <c r="OIF162" s="20"/>
      <c r="OIG162" s="20"/>
      <c r="OIH162" s="20"/>
      <c r="OII162" s="21"/>
      <c r="OIJ162" s="21"/>
      <c r="OIK162" s="7"/>
      <c r="OIL162" s="7"/>
      <c r="OIM162" s="21"/>
      <c r="OIN162" s="20"/>
      <c r="OIO162" s="20"/>
      <c r="OIP162" s="20"/>
      <c r="OIQ162" s="21"/>
      <c r="OIR162" s="21"/>
      <c r="OIS162" s="21"/>
      <c r="OIT162" s="21"/>
      <c r="OIU162" s="21"/>
      <c r="OIV162" s="20"/>
      <c r="OIW162" s="20"/>
      <c r="OIX162" s="20"/>
      <c r="OIY162" s="20"/>
      <c r="OIZ162" s="21"/>
      <c r="OJA162" s="21"/>
      <c r="OJB162" s="7"/>
      <c r="OJC162" s="7"/>
      <c r="OJD162" s="21"/>
      <c r="OJE162" s="20"/>
      <c r="OJF162" s="20"/>
      <c r="OJG162" s="20"/>
      <c r="OJH162" s="21"/>
      <c r="OJI162" s="21"/>
      <c r="OJJ162" s="21"/>
      <c r="OJK162" s="21"/>
      <c r="OJL162" s="21"/>
      <c r="OJM162" s="20"/>
      <c r="OJN162" s="20"/>
      <c r="OJO162" s="20"/>
      <c r="OJP162" s="20"/>
      <c r="OJQ162" s="21"/>
      <c r="OJR162" s="21"/>
      <c r="OJS162" s="7"/>
      <c r="OJT162" s="7"/>
      <c r="OJU162" s="21"/>
      <c r="OJV162" s="20"/>
      <c r="OJW162" s="20"/>
      <c r="OJX162" s="20"/>
      <c r="OJY162" s="21"/>
      <c r="OJZ162" s="21"/>
      <c r="OKA162" s="21"/>
      <c r="OKB162" s="21"/>
      <c r="OKC162" s="21"/>
      <c r="OKD162" s="20"/>
      <c r="OKE162" s="20"/>
      <c r="OKF162" s="20"/>
      <c r="OKG162" s="20"/>
      <c r="OKH162" s="21"/>
      <c r="OKI162" s="21"/>
      <c r="OKJ162" s="7"/>
      <c r="OKK162" s="7"/>
      <c r="OKL162" s="21"/>
      <c r="OKM162" s="20"/>
      <c r="OKN162" s="20"/>
      <c r="OKO162" s="20"/>
      <c r="OKP162" s="21"/>
      <c r="OKQ162" s="21"/>
      <c r="OKR162" s="21"/>
      <c r="OKS162" s="21"/>
      <c r="OKT162" s="21"/>
      <c r="OKU162" s="20"/>
      <c r="OKV162" s="20"/>
      <c r="OKW162" s="20"/>
      <c r="OKX162" s="20"/>
      <c r="OKY162" s="21"/>
      <c r="OKZ162" s="21"/>
      <c r="OLA162" s="7"/>
      <c r="OLB162" s="7"/>
      <c r="OLC162" s="21"/>
      <c r="OLD162" s="20"/>
      <c r="OLE162" s="20"/>
      <c r="OLF162" s="20"/>
      <c r="OLG162" s="21"/>
      <c r="OLH162" s="21"/>
      <c r="OLI162" s="21"/>
      <c r="OLJ162" s="21"/>
      <c r="OLK162" s="21"/>
      <c r="OLL162" s="20"/>
      <c r="OLM162" s="20"/>
      <c r="OLN162" s="20"/>
      <c r="OLO162" s="20"/>
      <c r="OLP162" s="21"/>
      <c r="OLQ162" s="21"/>
      <c r="OLR162" s="7"/>
      <c r="OLS162" s="7"/>
      <c r="OLT162" s="21"/>
      <c r="OLU162" s="20"/>
      <c r="OLV162" s="20"/>
      <c r="OLW162" s="20"/>
      <c r="OLX162" s="21"/>
      <c r="OLY162" s="21"/>
      <c r="OLZ162" s="21"/>
      <c r="OMA162" s="21"/>
      <c r="OMB162" s="21"/>
      <c r="OMC162" s="20"/>
      <c r="OMD162" s="20"/>
      <c r="OME162" s="20"/>
      <c r="OMF162" s="20"/>
      <c r="OMG162" s="21"/>
      <c r="OMH162" s="21"/>
      <c r="OMI162" s="7"/>
      <c r="OMJ162" s="7"/>
      <c r="OMK162" s="21"/>
      <c r="OML162" s="20"/>
      <c r="OMM162" s="20"/>
      <c r="OMN162" s="20"/>
      <c r="OMO162" s="21"/>
      <c r="OMP162" s="21"/>
      <c r="OMQ162" s="21"/>
      <c r="OMR162" s="21"/>
      <c r="OMS162" s="21"/>
      <c r="OMT162" s="20"/>
      <c r="OMU162" s="20"/>
      <c r="OMV162" s="20"/>
      <c r="OMW162" s="20"/>
      <c r="OMX162" s="21"/>
      <c r="OMY162" s="21"/>
      <c r="OMZ162" s="7"/>
      <c r="ONA162" s="7"/>
      <c r="ONB162" s="21"/>
      <c r="ONC162" s="20"/>
      <c r="OND162" s="20"/>
      <c r="ONE162" s="20"/>
      <c r="ONF162" s="21"/>
      <c r="ONG162" s="21"/>
      <c r="ONH162" s="21"/>
      <c r="ONI162" s="21"/>
      <c r="ONJ162" s="21"/>
      <c r="ONK162" s="20"/>
      <c r="ONL162" s="20"/>
      <c r="ONM162" s="20"/>
      <c r="ONN162" s="20"/>
      <c r="ONO162" s="21"/>
      <c r="ONP162" s="21"/>
      <c r="ONQ162" s="7"/>
      <c r="ONR162" s="7"/>
      <c r="ONS162" s="21"/>
      <c r="ONT162" s="20"/>
      <c r="ONU162" s="20"/>
      <c r="ONV162" s="20"/>
      <c r="ONW162" s="21"/>
      <c r="ONX162" s="21"/>
      <c r="ONY162" s="21"/>
      <c r="ONZ162" s="21"/>
      <c r="OOA162" s="21"/>
      <c r="OOB162" s="20"/>
      <c r="OOC162" s="20"/>
      <c r="OOD162" s="20"/>
      <c r="OOE162" s="20"/>
      <c r="OOF162" s="21"/>
      <c r="OOG162" s="21"/>
      <c r="OOH162" s="7"/>
      <c r="OOI162" s="7"/>
      <c r="OOJ162" s="21"/>
      <c r="OOK162" s="20"/>
      <c r="OOL162" s="20"/>
      <c r="OOM162" s="20"/>
      <c r="OON162" s="21"/>
      <c r="OOO162" s="21"/>
      <c r="OOP162" s="21"/>
      <c r="OOQ162" s="21"/>
      <c r="OOR162" s="21"/>
      <c r="OOS162" s="20"/>
      <c r="OOT162" s="20"/>
      <c r="OOU162" s="20"/>
      <c r="OOV162" s="20"/>
      <c r="OOW162" s="21"/>
      <c r="OOX162" s="21"/>
      <c r="OOY162" s="7"/>
      <c r="OOZ162" s="7"/>
      <c r="OPA162" s="21"/>
      <c r="OPB162" s="20"/>
      <c r="OPC162" s="20"/>
      <c r="OPD162" s="20"/>
      <c r="OPE162" s="21"/>
      <c r="OPF162" s="21"/>
      <c r="OPG162" s="21"/>
      <c r="OPH162" s="21"/>
      <c r="OPI162" s="21"/>
      <c r="OPJ162" s="20"/>
      <c r="OPK162" s="20"/>
      <c r="OPL162" s="20"/>
      <c r="OPM162" s="20"/>
      <c r="OPN162" s="21"/>
      <c r="OPO162" s="21"/>
      <c r="OPP162" s="7"/>
      <c r="OPQ162" s="7"/>
      <c r="OPR162" s="21"/>
      <c r="OPS162" s="20"/>
      <c r="OPT162" s="20"/>
      <c r="OPU162" s="20"/>
      <c r="OPV162" s="21"/>
      <c r="OPW162" s="21"/>
      <c r="OPX162" s="21"/>
      <c r="OPY162" s="21"/>
      <c r="OPZ162" s="21"/>
      <c r="OQA162" s="20"/>
      <c r="OQB162" s="20"/>
      <c r="OQC162" s="20"/>
      <c r="OQD162" s="20"/>
      <c r="OQE162" s="21"/>
      <c r="OQF162" s="21"/>
      <c r="OQG162" s="7"/>
      <c r="OQH162" s="7"/>
      <c r="OQI162" s="21"/>
      <c r="OQJ162" s="20"/>
      <c r="OQK162" s="20"/>
      <c r="OQL162" s="20"/>
      <c r="OQM162" s="21"/>
      <c r="OQN162" s="21"/>
      <c r="OQO162" s="21"/>
      <c r="OQP162" s="21"/>
      <c r="OQQ162" s="21"/>
      <c r="OQR162" s="20"/>
      <c r="OQS162" s="20"/>
      <c r="OQT162" s="20"/>
      <c r="OQU162" s="20"/>
      <c r="OQV162" s="21"/>
      <c r="OQW162" s="21"/>
      <c r="OQX162" s="7"/>
      <c r="OQY162" s="7"/>
      <c r="OQZ162" s="21"/>
      <c r="ORA162" s="20"/>
      <c r="ORB162" s="20"/>
      <c r="ORC162" s="20"/>
      <c r="ORD162" s="21"/>
      <c r="ORE162" s="21"/>
      <c r="ORF162" s="21"/>
      <c r="ORG162" s="21"/>
      <c r="ORH162" s="21"/>
      <c r="ORI162" s="20"/>
      <c r="ORJ162" s="20"/>
      <c r="ORK162" s="20"/>
      <c r="ORL162" s="20"/>
      <c r="ORM162" s="21"/>
      <c r="ORN162" s="21"/>
      <c r="ORO162" s="7"/>
      <c r="ORP162" s="7"/>
      <c r="ORQ162" s="21"/>
      <c r="ORR162" s="20"/>
      <c r="ORS162" s="20"/>
      <c r="ORT162" s="20"/>
      <c r="ORU162" s="21"/>
      <c r="ORV162" s="21"/>
      <c r="ORW162" s="21"/>
      <c r="ORX162" s="21"/>
      <c r="ORY162" s="21"/>
      <c r="ORZ162" s="20"/>
      <c r="OSA162" s="20"/>
      <c r="OSB162" s="20"/>
      <c r="OSC162" s="20"/>
      <c r="OSD162" s="21"/>
      <c r="OSE162" s="21"/>
      <c r="OSF162" s="7"/>
      <c r="OSG162" s="7"/>
      <c r="OSH162" s="21"/>
      <c r="OSI162" s="20"/>
      <c r="OSJ162" s="20"/>
      <c r="OSK162" s="20"/>
      <c r="OSL162" s="21"/>
      <c r="OSM162" s="21"/>
      <c r="OSN162" s="21"/>
      <c r="OSO162" s="21"/>
      <c r="OSP162" s="21"/>
      <c r="OSQ162" s="20"/>
      <c r="OSR162" s="20"/>
      <c r="OSS162" s="20"/>
      <c r="OST162" s="20"/>
      <c r="OSU162" s="21"/>
      <c r="OSV162" s="21"/>
      <c r="OSW162" s="7"/>
      <c r="OSX162" s="7"/>
      <c r="OSY162" s="21"/>
      <c r="OSZ162" s="20"/>
      <c r="OTA162" s="20"/>
      <c r="OTB162" s="20"/>
      <c r="OTC162" s="21"/>
      <c r="OTD162" s="21"/>
      <c r="OTE162" s="21"/>
      <c r="OTF162" s="21"/>
      <c r="OTG162" s="21"/>
      <c r="OTH162" s="20"/>
      <c r="OTI162" s="20"/>
      <c r="OTJ162" s="20"/>
      <c r="OTK162" s="20"/>
      <c r="OTL162" s="21"/>
      <c r="OTM162" s="21"/>
      <c r="OTN162" s="7"/>
      <c r="OTO162" s="7"/>
      <c r="OTP162" s="21"/>
      <c r="OTQ162" s="20"/>
      <c r="OTR162" s="20"/>
      <c r="OTS162" s="20"/>
      <c r="OTT162" s="21"/>
      <c r="OTU162" s="21"/>
      <c r="OTV162" s="21"/>
      <c r="OTW162" s="21"/>
      <c r="OTX162" s="21"/>
      <c r="OTY162" s="20"/>
      <c r="OTZ162" s="20"/>
      <c r="OUA162" s="20"/>
      <c r="OUB162" s="20"/>
      <c r="OUC162" s="21"/>
      <c r="OUD162" s="21"/>
      <c r="OUE162" s="7"/>
      <c r="OUF162" s="7"/>
      <c r="OUG162" s="21"/>
      <c r="OUH162" s="20"/>
      <c r="OUI162" s="20"/>
      <c r="OUJ162" s="20"/>
      <c r="OUK162" s="21"/>
      <c r="OUL162" s="21"/>
      <c r="OUM162" s="21"/>
      <c r="OUN162" s="21"/>
      <c r="OUO162" s="21"/>
      <c r="OUP162" s="20"/>
      <c r="OUQ162" s="20"/>
      <c r="OUR162" s="20"/>
      <c r="OUS162" s="20"/>
      <c r="OUT162" s="21"/>
      <c r="OUU162" s="21"/>
      <c r="OUV162" s="7"/>
      <c r="OUW162" s="7"/>
      <c r="OUX162" s="21"/>
      <c r="OUY162" s="20"/>
      <c r="OUZ162" s="20"/>
      <c r="OVA162" s="20"/>
      <c r="OVB162" s="21"/>
      <c r="OVC162" s="21"/>
      <c r="OVD162" s="21"/>
      <c r="OVE162" s="21"/>
      <c r="OVF162" s="21"/>
      <c r="OVG162" s="20"/>
      <c r="OVH162" s="20"/>
      <c r="OVI162" s="20"/>
      <c r="OVJ162" s="20"/>
      <c r="OVK162" s="21"/>
      <c r="OVL162" s="21"/>
      <c r="OVM162" s="7"/>
      <c r="OVN162" s="7"/>
      <c r="OVO162" s="21"/>
      <c r="OVP162" s="20"/>
      <c r="OVQ162" s="20"/>
      <c r="OVR162" s="20"/>
      <c r="OVS162" s="21"/>
      <c r="OVT162" s="21"/>
      <c r="OVU162" s="21"/>
      <c r="OVV162" s="21"/>
      <c r="OVW162" s="21"/>
      <c r="OVX162" s="20"/>
      <c r="OVY162" s="20"/>
      <c r="OVZ162" s="20"/>
      <c r="OWA162" s="20"/>
      <c r="OWB162" s="21"/>
      <c r="OWC162" s="21"/>
      <c r="OWD162" s="7"/>
      <c r="OWE162" s="7"/>
      <c r="OWF162" s="21"/>
      <c r="OWG162" s="20"/>
      <c r="OWH162" s="20"/>
      <c r="OWI162" s="20"/>
      <c r="OWJ162" s="21"/>
      <c r="OWK162" s="21"/>
      <c r="OWL162" s="21"/>
      <c r="OWM162" s="21"/>
      <c r="OWN162" s="21"/>
      <c r="OWO162" s="20"/>
      <c r="OWP162" s="20"/>
      <c r="OWQ162" s="20"/>
      <c r="OWR162" s="20"/>
      <c r="OWS162" s="21"/>
      <c r="OWT162" s="21"/>
      <c r="OWU162" s="7"/>
      <c r="OWV162" s="7"/>
      <c r="OWW162" s="21"/>
      <c r="OWX162" s="20"/>
      <c r="OWY162" s="20"/>
      <c r="OWZ162" s="20"/>
      <c r="OXA162" s="21"/>
      <c r="OXB162" s="21"/>
      <c r="OXC162" s="21"/>
      <c r="OXD162" s="21"/>
      <c r="OXE162" s="21"/>
      <c r="OXF162" s="20"/>
      <c r="OXG162" s="20"/>
      <c r="OXH162" s="20"/>
      <c r="OXI162" s="20"/>
      <c r="OXJ162" s="21"/>
      <c r="OXK162" s="21"/>
      <c r="OXL162" s="7"/>
      <c r="OXM162" s="7"/>
      <c r="OXN162" s="21"/>
      <c r="OXO162" s="20"/>
      <c r="OXP162" s="20"/>
      <c r="OXQ162" s="20"/>
      <c r="OXR162" s="21"/>
      <c r="OXS162" s="21"/>
      <c r="OXT162" s="21"/>
      <c r="OXU162" s="21"/>
      <c r="OXV162" s="21"/>
      <c r="OXW162" s="20"/>
      <c r="OXX162" s="20"/>
      <c r="OXY162" s="20"/>
      <c r="OXZ162" s="20"/>
      <c r="OYA162" s="21"/>
      <c r="OYB162" s="21"/>
      <c r="OYC162" s="7"/>
      <c r="OYD162" s="7"/>
      <c r="OYE162" s="21"/>
      <c r="OYF162" s="20"/>
      <c r="OYG162" s="20"/>
      <c r="OYH162" s="20"/>
      <c r="OYI162" s="21"/>
      <c r="OYJ162" s="21"/>
      <c r="OYK162" s="21"/>
      <c r="OYL162" s="21"/>
      <c r="OYM162" s="21"/>
      <c r="OYN162" s="20"/>
      <c r="OYO162" s="20"/>
      <c r="OYP162" s="20"/>
      <c r="OYQ162" s="20"/>
      <c r="OYR162" s="21"/>
      <c r="OYS162" s="21"/>
      <c r="OYT162" s="7"/>
      <c r="OYU162" s="7"/>
      <c r="OYV162" s="21"/>
      <c r="OYW162" s="20"/>
      <c r="OYX162" s="20"/>
      <c r="OYY162" s="20"/>
      <c r="OYZ162" s="21"/>
      <c r="OZA162" s="21"/>
      <c r="OZB162" s="21"/>
      <c r="OZC162" s="21"/>
      <c r="OZD162" s="21"/>
      <c r="OZE162" s="20"/>
      <c r="OZF162" s="20"/>
      <c r="OZG162" s="20"/>
      <c r="OZH162" s="20"/>
      <c r="OZI162" s="21"/>
      <c r="OZJ162" s="21"/>
      <c r="OZK162" s="7"/>
      <c r="OZL162" s="7"/>
      <c r="OZM162" s="21"/>
      <c r="OZN162" s="20"/>
      <c r="OZO162" s="20"/>
      <c r="OZP162" s="20"/>
      <c r="OZQ162" s="21"/>
      <c r="OZR162" s="21"/>
      <c r="OZS162" s="21"/>
      <c r="OZT162" s="21"/>
      <c r="OZU162" s="21"/>
      <c r="OZV162" s="20"/>
      <c r="OZW162" s="20"/>
      <c r="OZX162" s="20"/>
      <c r="OZY162" s="20"/>
      <c r="OZZ162" s="21"/>
      <c r="PAA162" s="21"/>
      <c r="PAB162" s="7"/>
      <c r="PAC162" s="7"/>
      <c r="PAD162" s="21"/>
      <c r="PAE162" s="20"/>
      <c r="PAF162" s="20"/>
      <c r="PAG162" s="20"/>
      <c r="PAH162" s="21"/>
      <c r="PAI162" s="21"/>
      <c r="PAJ162" s="21"/>
      <c r="PAK162" s="21"/>
      <c r="PAL162" s="21"/>
      <c r="PAM162" s="20"/>
      <c r="PAN162" s="20"/>
      <c r="PAO162" s="20"/>
      <c r="PAP162" s="20"/>
      <c r="PAQ162" s="21"/>
      <c r="PAR162" s="21"/>
      <c r="PAS162" s="7"/>
      <c r="PAT162" s="7"/>
      <c r="PAU162" s="21"/>
      <c r="PAV162" s="20"/>
      <c r="PAW162" s="20"/>
      <c r="PAX162" s="20"/>
      <c r="PAY162" s="21"/>
      <c r="PAZ162" s="21"/>
      <c r="PBA162" s="21"/>
      <c r="PBB162" s="21"/>
      <c r="PBC162" s="21"/>
      <c r="PBD162" s="20"/>
      <c r="PBE162" s="20"/>
      <c r="PBF162" s="20"/>
      <c r="PBG162" s="20"/>
      <c r="PBH162" s="21"/>
      <c r="PBI162" s="21"/>
      <c r="PBJ162" s="7"/>
      <c r="PBK162" s="7"/>
      <c r="PBL162" s="21"/>
      <c r="PBM162" s="20"/>
      <c r="PBN162" s="20"/>
      <c r="PBO162" s="20"/>
      <c r="PBP162" s="21"/>
      <c r="PBQ162" s="21"/>
      <c r="PBR162" s="21"/>
      <c r="PBS162" s="21"/>
      <c r="PBT162" s="21"/>
      <c r="PBU162" s="20"/>
      <c r="PBV162" s="20"/>
      <c r="PBW162" s="20"/>
      <c r="PBX162" s="20"/>
      <c r="PBY162" s="21"/>
      <c r="PBZ162" s="21"/>
      <c r="PCA162" s="7"/>
      <c r="PCB162" s="7"/>
      <c r="PCC162" s="21"/>
      <c r="PCD162" s="20"/>
      <c r="PCE162" s="20"/>
      <c r="PCF162" s="20"/>
      <c r="PCG162" s="21"/>
      <c r="PCH162" s="21"/>
      <c r="PCI162" s="21"/>
      <c r="PCJ162" s="21"/>
      <c r="PCK162" s="21"/>
      <c r="PCL162" s="20"/>
      <c r="PCM162" s="20"/>
      <c r="PCN162" s="20"/>
      <c r="PCO162" s="20"/>
      <c r="PCP162" s="21"/>
      <c r="PCQ162" s="21"/>
      <c r="PCR162" s="7"/>
      <c r="PCS162" s="7"/>
      <c r="PCT162" s="21"/>
      <c r="PCU162" s="20"/>
      <c r="PCV162" s="20"/>
      <c r="PCW162" s="20"/>
      <c r="PCX162" s="21"/>
      <c r="PCY162" s="21"/>
      <c r="PCZ162" s="21"/>
      <c r="PDA162" s="21"/>
      <c r="PDB162" s="21"/>
      <c r="PDC162" s="20"/>
      <c r="PDD162" s="20"/>
      <c r="PDE162" s="20"/>
      <c r="PDF162" s="20"/>
      <c r="PDG162" s="21"/>
      <c r="PDH162" s="21"/>
      <c r="PDI162" s="7"/>
      <c r="PDJ162" s="7"/>
      <c r="PDK162" s="21"/>
      <c r="PDL162" s="20"/>
      <c r="PDM162" s="20"/>
      <c r="PDN162" s="20"/>
      <c r="PDO162" s="21"/>
      <c r="PDP162" s="21"/>
      <c r="PDQ162" s="21"/>
      <c r="PDR162" s="21"/>
      <c r="PDS162" s="21"/>
      <c r="PDT162" s="20"/>
      <c r="PDU162" s="20"/>
      <c r="PDV162" s="20"/>
      <c r="PDW162" s="20"/>
      <c r="PDX162" s="21"/>
      <c r="PDY162" s="21"/>
      <c r="PDZ162" s="7"/>
      <c r="PEA162" s="7"/>
      <c r="PEB162" s="21"/>
      <c r="PEC162" s="20"/>
      <c r="PED162" s="20"/>
      <c r="PEE162" s="20"/>
      <c r="PEF162" s="21"/>
      <c r="PEG162" s="21"/>
      <c r="PEH162" s="21"/>
      <c r="PEI162" s="21"/>
      <c r="PEJ162" s="21"/>
      <c r="PEK162" s="20"/>
      <c r="PEL162" s="20"/>
      <c r="PEM162" s="20"/>
      <c r="PEN162" s="20"/>
      <c r="PEO162" s="21"/>
      <c r="PEP162" s="21"/>
      <c r="PEQ162" s="7"/>
      <c r="PER162" s="7"/>
      <c r="PES162" s="21"/>
      <c r="PET162" s="20"/>
      <c r="PEU162" s="20"/>
      <c r="PEV162" s="20"/>
      <c r="PEW162" s="21"/>
      <c r="PEX162" s="21"/>
      <c r="PEY162" s="21"/>
      <c r="PEZ162" s="21"/>
      <c r="PFA162" s="21"/>
      <c r="PFB162" s="20"/>
      <c r="PFC162" s="20"/>
      <c r="PFD162" s="20"/>
      <c r="PFE162" s="20"/>
      <c r="PFF162" s="21"/>
      <c r="PFG162" s="21"/>
      <c r="PFH162" s="7"/>
      <c r="PFI162" s="7"/>
      <c r="PFJ162" s="21"/>
      <c r="PFK162" s="20"/>
      <c r="PFL162" s="20"/>
      <c r="PFM162" s="20"/>
      <c r="PFN162" s="21"/>
      <c r="PFO162" s="21"/>
      <c r="PFP162" s="21"/>
      <c r="PFQ162" s="21"/>
      <c r="PFR162" s="21"/>
      <c r="PFS162" s="20"/>
      <c r="PFT162" s="20"/>
      <c r="PFU162" s="20"/>
      <c r="PFV162" s="20"/>
      <c r="PFW162" s="21"/>
      <c r="PFX162" s="21"/>
      <c r="PFY162" s="7"/>
      <c r="PFZ162" s="7"/>
      <c r="PGA162" s="21"/>
      <c r="PGB162" s="20"/>
      <c r="PGC162" s="20"/>
      <c r="PGD162" s="20"/>
      <c r="PGE162" s="21"/>
      <c r="PGF162" s="21"/>
      <c r="PGG162" s="21"/>
      <c r="PGH162" s="21"/>
      <c r="PGI162" s="21"/>
      <c r="PGJ162" s="20"/>
      <c r="PGK162" s="20"/>
      <c r="PGL162" s="20"/>
      <c r="PGM162" s="20"/>
      <c r="PGN162" s="21"/>
      <c r="PGO162" s="21"/>
      <c r="PGP162" s="7"/>
      <c r="PGQ162" s="7"/>
      <c r="PGR162" s="21"/>
      <c r="PGS162" s="20"/>
      <c r="PGT162" s="20"/>
      <c r="PGU162" s="20"/>
      <c r="PGV162" s="21"/>
      <c r="PGW162" s="21"/>
      <c r="PGX162" s="21"/>
      <c r="PGY162" s="21"/>
      <c r="PGZ162" s="21"/>
      <c r="PHA162" s="20"/>
      <c r="PHB162" s="20"/>
      <c r="PHC162" s="20"/>
      <c r="PHD162" s="20"/>
      <c r="PHE162" s="21"/>
      <c r="PHF162" s="21"/>
      <c r="PHG162" s="7"/>
      <c r="PHH162" s="7"/>
      <c r="PHI162" s="21"/>
      <c r="PHJ162" s="20"/>
      <c r="PHK162" s="20"/>
      <c r="PHL162" s="20"/>
      <c r="PHM162" s="21"/>
      <c r="PHN162" s="21"/>
      <c r="PHO162" s="21"/>
      <c r="PHP162" s="21"/>
      <c r="PHQ162" s="21"/>
      <c r="PHR162" s="20"/>
      <c r="PHS162" s="20"/>
      <c r="PHT162" s="20"/>
      <c r="PHU162" s="20"/>
      <c r="PHV162" s="21"/>
      <c r="PHW162" s="21"/>
      <c r="PHX162" s="7"/>
      <c r="PHY162" s="7"/>
      <c r="PHZ162" s="21"/>
      <c r="PIA162" s="20"/>
      <c r="PIB162" s="20"/>
      <c r="PIC162" s="20"/>
      <c r="PID162" s="21"/>
      <c r="PIE162" s="21"/>
      <c r="PIF162" s="21"/>
      <c r="PIG162" s="21"/>
      <c r="PIH162" s="21"/>
      <c r="PII162" s="20"/>
      <c r="PIJ162" s="20"/>
      <c r="PIK162" s="20"/>
      <c r="PIL162" s="20"/>
      <c r="PIM162" s="21"/>
      <c r="PIN162" s="21"/>
      <c r="PIO162" s="7"/>
      <c r="PIP162" s="7"/>
      <c r="PIQ162" s="21"/>
      <c r="PIR162" s="20"/>
      <c r="PIS162" s="20"/>
      <c r="PIT162" s="20"/>
      <c r="PIU162" s="21"/>
      <c r="PIV162" s="21"/>
      <c r="PIW162" s="21"/>
      <c r="PIX162" s="21"/>
      <c r="PIY162" s="21"/>
      <c r="PIZ162" s="20"/>
      <c r="PJA162" s="20"/>
      <c r="PJB162" s="20"/>
      <c r="PJC162" s="20"/>
      <c r="PJD162" s="21"/>
      <c r="PJE162" s="21"/>
      <c r="PJF162" s="7"/>
      <c r="PJG162" s="7"/>
      <c r="PJH162" s="21"/>
      <c r="PJI162" s="20"/>
      <c r="PJJ162" s="20"/>
      <c r="PJK162" s="20"/>
      <c r="PJL162" s="21"/>
      <c r="PJM162" s="21"/>
      <c r="PJN162" s="21"/>
      <c r="PJO162" s="21"/>
      <c r="PJP162" s="21"/>
      <c r="PJQ162" s="20"/>
      <c r="PJR162" s="20"/>
      <c r="PJS162" s="20"/>
      <c r="PJT162" s="20"/>
      <c r="PJU162" s="21"/>
      <c r="PJV162" s="21"/>
      <c r="PJW162" s="7"/>
      <c r="PJX162" s="7"/>
      <c r="PJY162" s="21"/>
      <c r="PJZ162" s="20"/>
      <c r="PKA162" s="20"/>
      <c r="PKB162" s="20"/>
      <c r="PKC162" s="21"/>
      <c r="PKD162" s="21"/>
      <c r="PKE162" s="21"/>
      <c r="PKF162" s="21"/>
      <c r="PKG162" s="21"/>
      <c r="PKH162" s="20"/>
      <c r="PKI162" s="20"/>
      <c r="PKJ162" s="20"/>
      <c r="PKK162" s="20"/>
      <c r="PKL162" s="21"/>
      <c r="PKM162" s="21"/>
      <c r="PKN162" s="7"/>
      <c r="PKO162" s="7"/>
      <c r="PKP162" s="21"/>
      <c r="PKQ162" s="20"/>
      <c r="PKR162" s="20"/>
      <c r="PKS162" s="20"/>
      <c r="PKT162" s="21"/>
      <c r="PKU162" s="21"/>
      <c r="PKV162" s="21"/>
      <c r="PKW162" s="21"/>
      <c r="PKX162" s="21"/>
      <c r="PKY162" s="20"/>
      <c r="PKZ162" s="20"/>
      <c r="PLA162" s="20"/>
      <c r="PLB162" s="20"/>
      <c r="PLC162" s="21"/>
      <c r="PLD162" s="21"/>
      <c r="PLE162" s="7"/>
      <c r="PLF162" s="7"/>
      <c r="PLG162" s="21"/>
      <c r="PLH162" s="20"/>
      <c r="PLI162" s="20"/>
      <c r="PLJ162" s="20"/>
      <c r="PLK162" s="21"/>
      <c r="PLL162" s="21"/>
      <c r="PLM162" s="21"/>
      <c r="PLN162" s="21"/>
      <c r="PLO162" s="21"/>
      <c r="PLP162" s="20"/>
      <c r="PLQ162" s="20"/>
      <c r="PLR162" s="20"/>
      <c r="PLS162" s="20"/>
      <c r="PLT162" s="21"/>
      <c r="PLU162" s="21"/>
      <c r="PLV162" s="7"/>
      <c r="PLW162" s="7"/>
      <c r="PLX162" s="21"/>
      <c r="PLY162" s="20"/>
      <c r="PLZ162" s="20"/>
      <c r="PMA162" s="20"/>
      <c r="PMB162" s="21"/>
      <c r="PMC162" s="21"/>
      <c r="PMD162" s="21"/>
      <c r="PME162" s="21"/>
      <c r="PMF162" s="21"/>
      <c r="PMG162" s="20"/>
      <c r="PMH162" s="20"/>
      <c r="PMI162" s="20"/>
      <c r="PMJ162" s="20"/>
      <c r="PMK162" s="21"/>
      <c r="PML162" s="21"/>
      <c r="PMM162" s="7"/>
      <c r="PMN162" s="7"/>
      <c r="PMO162" s="21"/>
      <c r="PMP162" s="20"/>
      <c r="PMQ162" s="20"/>
      <c r="PMR162" s="20"/>
      <c r="PMS162" s="21"/>
      <c r="PMT162" s="21"/>
      <c r="PMU162" s="21"/>
      <c r="PMV162" s="21"/>
      <c r="PMW162" s="21"/>
      <c r="PMX162" s="20"/>
      <c r="PMY162" s="20"/>
      <c r="PMZ162" s="20"/>
      <c r="PNA162" s="20"/>
      <c r="PNB162" s="21"/>
      <c r="PNC162" s="21"/>
      <c r="PND162" s="7"/>
      <c r="PNE162" s="7"/>
      <c r="PNF162" s="21"/>
      <c r="PNG162" s="20"/>
      <c r="PNH162" s="20"/>
      <c r="PNI162" s="20"/>
      <c r="PNJ162" s="21"/>
      <c r="PNK162" s="21"/>
      <c r="PNL162" s="21"/>
      <c r="PNM162" s="21"/>
      <c r="PNN162" s="21"/>
      <c r="PNO162" s="20"/>
      <c r="PNP162" s="20"/>
      <c r="PNQ162" s="20"/>
      <c r="PNR162" s="20"/>
      <c r="PNS162" s="21"/>
      <c r="PNT162" s="21"/>
      <c r="PNU162" s="7"/>
      <c r="PNV162" s="7"/>
      <c r="PNW162" s="21"/>
      <c r="PNX162" s="20"/>
      <c r="PNY162" s="20"/>
      <c r="PNZ162" s="20"/>
      <c r="POA162" s="21"/>
      <c r="POB162" s="21"/>
      <c r="POC162" s="21"/>
      <c r="POD162" s="21"/>
      <c r="POE162" s="21"/>
      <c r="POF162" s="20"/>
      <c r="POG162" s="20"/>
      <c r="POH162" s="20"/>
      <c r="POI162" s="20"/>
      <c r="POJ162" s="21"/>
      <c r="POK162" s="21"/>
      <c r="POL162" s="7"/>
      <c r="POM162" s="7"/>
      <c r="PON162" s="21"/>
      <c r="POO162" s="20"/>
      <c r="POP162" s="20"/>
      <c r="POQ162" s="20"/>
      <c r="POR162" s="21"/>
      <c r="POS162" s="21"/>
      <c r="POT162" s="21"/>
      <c r="POU162" s="21"/>
      <c r="POV162" s="21"/>
      <c r="POW162" s="20"/>
      <c r="POX162" s="20"/>
      <c r="POY162" s="20"/>
      <c r="POZ162" s="20"/>
      <c r="PPA162" s="21"/>
      <c r="PPB162" s="21"/>
      <c r="PPC162" s="7"/>
      <c r="PPD162" s="7"/>
      <c r="PPE162" s="21"/>
      <c r="PPF162" s="20"/>
      <c r="PPG162" s="20"/>
      <c r="PPH162" s="20"/>
      <c r="PPI162" s="21"/>
      <c r="PPJ162" s="21"/>
      <c r="PPK162" s="21"/>
      <c r="PPL162" s="21"/>
      <c r="PPM162" s="21"/>
      <c r="PPN162" s="20"/>
      <c r="PPO162" s="20"/>
      <c r="PPP162" s="20"/>
      <c r="PPQ162" s="20"/>
      <c r="PPR162" s="21"/>
      <c r="PPS162" s="21"/>
      <c r="PPT162" s="7"/>
      <c r="PPU162" s="7"/>
      <c r="PPV162" s="21"/>
      <c r="PPW162" s="20"/>
      <c r="PPX162" s="20"/>
      <c r="PPY162" s="20"/>
      <c r="PPZ162" s="21"/>
      <c r="PQA162" s="21"/>
      <c r="PQB162" s="21"/>
      <c r="PQC162" s="21"/>
      <c r="PQD162" s="21"/>
      <c r="PQE162" s="20"/>
      <c r="PQF162" s="20"/>
      <c r="PQG162" s="20"/>
      <c r="PQH162" s="20"/>
      <c r="PQI162" s="21"/>
      <c r="PQJ162" s="21"/>
      <c r="PQK162" s="7"/>
      <c r="PQL162" s="7"/>
      <c r="PQM162" s="21"/>
      <c r="PQN162" s="20"/>
      <c r="PQO162" s="20"/>
      <c r="PQP162" s="20"/>
      <c r="PQQ162" s="21"/>
      <c r="PQR162" s="21"/>
      <c r="PQS162" s="21"/>
      <c r="PQT162" s="21"/>
      <c r="PQU162" s="21"/>
      <c r="PQV162" s="20"/>
      <c r="PQW162" s="20"/>
      <c r="PQX162" s="20"/>
      <c r="PQY162" s="20"/>
      <c r="PQZ162" s="21"/>
      <c r="PRA162" s="21"/>
      <c r="PRB162" s="7"/>
      <c r="PRC162" s="7"/>
      <c r="PRD162" s="21"/>
      <c r="PRE162" s="20"/>
      <c r="PRF162" s="20"/>
      <c r="PRG162" s="20"/>
      <c r="PRH162" s="21"/>
      <c r="PRI162" s="21"/>
      <c r="PRJ162" s="21"/>
      <c r="PRK162" s="21"/>
      <c r="PRL162" s="21"/>
      <c r="PRM162" s="20"/>
      <c r="PRN162" s="20"/>
      <c r="PRO162" s="20"/>
      <c r="PRP162" s="20"/>
      <c r="PRQ162" s="21"/>
      <c r="PRR162" s="21"/>
      <c r="PRS162" s="7"/>
      <c r="PRT162" s="7"/>
      <c r="PRU162" s="21"/>
      <c r="PRV162" s="20"/>
      <c r="PRW162" s="20"/>
      <c r="PRX162" s="20"/>
      <c r="PRY162" s="21"/>
      <c r="PRZ162" s="21"/>
      <c r="PSA162" s="21"/>
      <c r="PSB162" s="21"/>
      <c r="PSC162" s="21"/>
      <c r="PSD162" s="20"/>
      <c r="PSE162" s="20"/>
      <c r="PSF162" s="20"/>
      <c r="PSG162" s="20"/>
      <c r="PSH162" s="21"/>
      <c r="PSI162" s="21"/>
      <c r="PSJ162" s="7"/>
      <c r="PSK162" s="7"/>
      <c r="PSL162" s="21"/>
      <c r="PSM162" s="20"/>
      <c r="PSN162" s="20"/>
      <c r="PSO162" s="20"/>
      <c r="PSP162" s="21"/>
      <c r="PSQ162" s="21"/>
      <c r="PSR162" s="21"/>
      <c r="PSS162" s="21"/>
      <c r="PST162" s="21"/>
      <c r="PSU162" s="20"/>
      <c r="PSV162" s="20"/>
      <c r="PSW162" s="20"/>
      <c r="PSX162" s="20"/>
      <c r="PSY162" s="21"/>
      <c r="PSZ162" s="21"/>
      <c r="PTA162" s="7"/>
      <c r="PTB162" s="7"/>
      <c r="PTC162" s="21"/>
      <c r="PTD162" s="20"/>
      <c r="PTE162" s="20"/>
      <c r="PTF162" s="20"/>
      <c r="PTG162" s="21"/>
      <c r="PTH162" s="21"/>
      <c r="PTI162" s="21"/>
      <c r="PTJ162" s="21"/>
      <c r="PTK162" s="21"/>
      <c r="PTL162" s="20"/>
      <c r="PTM162" s="20"/>
      <c r="PTN162" s="20"/>
      <c r="PTO162" s="20"/>
      <c r="PTP162" s="21"/>
      <c r="PTQ162" s="21"/>
      <c r="PTR162" s="7"/>
      <c r="PTS162" s="7"/>
      <c r="PTT162" s="21"/>
      <c r="PTU162" s="20"/>
      <c r="PTV162" s="20"/>
      <c r="PTW162" s="20"/>
      <c r="PTX162" s="21"/>
      <c r="PTY162" s="21"/>
      <c r="PTZ162" s="21"/>
      <c r="PUA162" s="21"/>
      <c r="PUB162" s="21"/>
      <c r="PUC162" s="20"/>
      <c r="PUD162" s="20"/>
      <c r="PUE162" s="20"/>
      <c r="PUF162" s="20"/>
      <c r="PUG162" s="21"/>
      <c r="PUH162" s="21"/>
      <c r="PUI162" s="7"/>
      <c r="PUJ162" s="7"/>
      <c r="PUK162" s="21"/>
      <c r="PUL162" s="20"/>
      <c r="PUM162" s="20"/>
      <c r="PUN162" s="20"/>
      <c r="PUO162" s="21"/>
      <c r="PUP162" s="21"/>
      <c r="PUQ162" s="21"/>
      <c r="PUR162" s="21"/>
      <c r="PUS162" s="21"/>
      <c r="PUT162" s="20"/>
      <c r="PUU162" s="20"/>
      <c r="PUV162" s="20"/>
      <c r="PUW162" s="20"/>
      <c r="PUX162" s="21"/>
      <c r="PUY162" s="21"/>
      <c r="PUZ162" s="7"/>
      <c r="PVA162" s="7"/>
      <c r="PVB162" s="21"/>
      <c r="PVC162" s="20"/>
      <c r="PVD162" s="20"/>
      <c r="PVE162" s="20"/>
      <c r="PVF162" s="21"/>
      <c r="PVG162" s="21"/>
      <c r="PVH162" s="21"/>
      <c r="PVI162" s="21"/>
      <c r="PVJ162" s="21"/>
      <c r="PVK162" s="20"/>
      <c r="PVL162" s="20"/>
      <c r="PVM162" s="20"/>
      <c r="PVN162" s="20"/>
      <c r="PVO162" s="21"/>
      <c r="PVP162" s="21"/>
      <c r="PVQ162" s="7"/>
      <c r="PVR162" s="7"/>
      <c r="PVS162" s="21"/>
      <c r="PVT162" s="20"/>
      <c r="PVU162" s="20"/>
      <c r="PVV162" s="20"/>
      <c r="PVW162" s="21"/>
      <c r="PVX162" s="21"/>
      <c r="PVY162" s="21"/>
      <c r="PVZ162" s="21"/>
      <c r="PWA162" s="21"/>
      <c r="PWB162" s="20"/>
      <c r="PWC162" s="20"/>
      <c r="PWD162" s="20"/>
      <c r="PWE162" s="20"/>
      <c r="PWF162" s="21"/>
      <c r="PWG162" s="21"/>
      <c r="PWH162" s="7"/>
      <c r="PWI162" s="7"/>
      <c r="PWJ162" s="21"/>
      <c r="PWK162" s="20"/>
      <c r="PWL162" s="20"/>
      <c r="PWM162" s="20"/>
      <c r="PWN162" s="21"/>
      <c r="PWO162" s="21"/>
      <c r="PWP162" s="21"/>
      <c r="PWQ162" s="21"/>
      <c r="PWR162" s="21"/>
      <c r="PWS162" s="20"/>
      <c r="PWT162" s="20"/>
      <c r="PWU162" s="20"/>
      <c r="PWV162" s="20"/>
      <c r="PWW162" s="21"/>
      <c r="PWX162" s="21"/>
      <c r="PWY162" s="7"/>
      <c r="PWZ162" s="7"/>
      <c r="PXA162" s="21"/>
      <c r="PXB162" s="20"/>
      <c r="PXC162" s="20"/>
      <c r="PXD162" s="20"/>
      <c r="PXE162" s="21"/>
      <c r="PXF162" s="21"/>
      <c r="PXG162" s="21"/>
      <c r="PXH162" s="21"/>
      <c r="PXI162" s="21"/>
      <c r="PXJ162" s="20"/>
      <c r="PXK162" s="20"/>
      <c r="PXL162" s="20"/>
      <c r="PXM162" s="20"/>
      <c r="PXN162" s="21"/>
      <c r="PXO162" s="21"/>
      <c r="PXP162" s="7"/>
      <c r="PXQ162" s="7"/>
      <c r="PXR162" s="21"/>
      <c r="PXS162" s="20"/>
      <c r="PXT162" s="20"/>
      <c r="PXU162" s="20"/>
      <c r="PXV162" s="21"/>
      <c r="PXW162" s="21"/>
      <c r="PXX162" s="21"/>
      <c r="PXY162" s="21"/>
      <c r="PXZ162" s="21"/>
      <c r="PYA162" s="20"/>
      <c r="PYB162" s="20"/>
      <c r="PYC162" s="20"/>
      <c r="PYD162" s="20"/>
      <c r="PYE162" s="21"/>
      <c r="PYF162" s="21"/>
      <c r="PYG162" s="7"/>
      <c r="PYH162" s="7"/>
      <c r="PYI162" s="21"/>
      <c r="PYJ162" s="20"/>
      <c r="PYK162" s="20"/>
      <c r="PYL162" s="20"/>
      <c r="PYM162" s="21"/>
      <c r="PYN162" s="21"/>
      <c r="PYO162" s="21"/>
      <c r="PYP162" s="21"/>
      <c r="PYQ162" s="21"/>
      <c r="PYR162" s="20"/>
      <c r="PYS162" s="20"/>
      <c r="PYT162" s="20"/>
      <c r="PYU162" s="20"/>
      <c r="PYV162" s="21"/>
      <c r="PYW162" s="21"/>
      <c r="PYX162" s="7"/>
      <c r="PYY162" s="7"/>
      <c r="PYZ162" s="21"/>
      <c r="PZA162" s="20"/>
      <c r="PZB162" s="20"/>
      <c r="PZC162" s="20"/>
      <c r="PZD162" s="21"/>
      <c r="PZE162" s="21"/>
      <c r="PZF162" s="21"/>
      <c r="PZG162" s="21"/>
      <c r="PZH162" s="21"/>
      <c r="PZI162" s="20"/>
      <c r="PZJ162" s="20"/>
      <c r="PZK162" s="20"/>
      <c r="PZL162" s="20"/>
      <c r="PZM162" s="21"/>
      <c r="PZN162" s="21"/>
      <c r="PZO162" s="7"/>
      <c r="PZP162" s="7"/>
      <c r="PZQ162" s="21"/>
      <c r="PZR162" s="20"/>
      <c r="PZS162" s="20"/>
      <c r="PZT162" s="20"/>
      <c r="PZU162" s="21"/>
      <c r="PZV162" s="21"/>
      <c r="PZW162" s="21"/>
      <c r="PZX162" s="21"/>
      <c r="PZY162" s="21"/>
      <c r="PZZ162" s="20"/>
      <c r="QAA162" s="20"/>
      <c r="QAB162" s="20"/>
      <c r="QAC162" s="20"/>
      <c r="QAD162" s="21"/>
      <c r="QAE162" s="21"/>
      <c r="QAF162" s="7"/>
      <c r="QAG162" s="7"/>
      <c r="QAH162" s="21"/>
      <c r="QAI162" s="20"/>
      <c r="QAJ162" s="20"/>
      <c r="QAK162" s="20"/>
      <c r="QAL162" s="21"/>
      <c r="QAM162" s="21"/>
      <c r="QAN162" s="21"/>
      <c r="QAO162" s="21"/>
      <c r="QAP162" s="21"/>
      <c r="QAQ162" s="20"/>
      <c r="QAR162" s="20"/>
      <c r="QAS162" s="20"/>
      <c r="QAT162" s="20"/>
      <c r="QAU162" s="21"/>
      <c r="QAV162" s="21"/>
      <c r="QAW162" s="7"/>
      <c r="QAX162" s="7"/>
      <c r="QAY162" s="21"/>
      <c r="QAZ162" s="20"/>
      <c r="QBA162" s="20"/>
      <c r="QBB162" s="20"/>
      <c r="QBC162" s="21"/>
      <c r="QBD162" s="21"/>
      <c r="QBE162" s="21"/>
      <c r="QBF162" s="21"/>
      <c r="QBG162" s="21"/>
      <c r="QBH162" s="20"/>
      <c r="QBI162" s="20"/>
      <c r="QBJ162" s="20"/>
      <c r="QBK162" s="20"/>
      <c r="QBL162" s="21"/>
      <c r="QBM162" s="21"/>
      <c r="QBN162" s="7"/>
      <c r="QBO162" s="7"/>
      <c r="QBP162" s="21"/>
      <c r="QBQ162" s="20"/>
      <c r="QBR162" s="20"/>
      <c r="QBS162" s="20"/>
      <c r="QBT162" s="21"/>
      <c r="QBU162" s="21"/>
      <c r="QBV162" s="21"/>
      <c r="QBW162" s="21"/>
      <c r="QBX162" s="21"/>
      <c r="QBY162" s="20"/>
      <c r="QBZ162" s="20"/>
      <c r="QCA162" s="20"/>
      <c r="QCB162" s="20"/>
      <c r="QCC162" s="21"/>
      <c r="QCD162" s="21"/>
      <c r="QCE162" s="7"/>
      <c r="QCF162" s="7"/>
      <c r="QCG162" s="21"/>
      <c r="QCH162" s="20"/>
      <c r="QCI162" s="20"/>
      <c r="QCJ162" s="20"/>
      <c r="QCK162" s="21"/>
      <c r="QCL162" s="21"/>
      <c r="QCM162" s="21"/>
      <c r="QCN162" s="21"/>
      <c r="QCO162" s="21"/>
      <c r="QCP162" s="20"/>
      <c r="QCQ162" s="20"/>
      <c r="QCR162" s="20"/>
      <c r="QCS162" s="20"/>
      <c r="QCT162" s="21"/>
      <c r="QCU162" s="21"/>
      <c r="QCV162" s="7"/>
      <c r="QCW162" s="7"/>
      <c r="QCX162" s="21"/>
      <c r="QCY162" s="20"/>
      <c r="QCZ162" s="20"/>
      <c r="QDA162" s="20"/>
      <c r="QDB162" s="21"/>
      <c r="QDC162" s="21"/>
      <c r="QDD162" s="21"/>
      <c r="QDE162" s="21"/>
      <c r="QDF162" s="21"/>
      <c r="QDG162" s="20"/>
      <c r="QDH162" s="20"/>
      <c r="QDI162" s="20"/>
      <c r="QDJ162" s="20"/>
      <c r="QDK162" s="21"/>
      <c r="QDL162" s="21"/>
      <c r="QDM162" s="7"/>
      <c r="QDN162" s="7"/>
      <c r="QDO162" s="21"/>
      <c r="QDP162" s="20"/>
      <c r="QDQ162" s="20"/>
      <c r="QDR162" s="20"/>
      <c r="QDS162" s="21"/>
      <c r="QDT162" s="21"/>
      <c r="QDU162" s="21"/>
      <c r="QDV162" s="21"/>
      <c r="QDW162" s="21"/>
      <c r="QDX162" s="20"/>
      <c r="QDY162" s="20"/>
      <c r="QDZ162" s="20"/>
      <c r="QEA162" s="20"/>
      <c r="QEB162" s="21"/>
      <c r="QEC162" s="21"/>
      <c r="QED162" s="7"/>
      <c r="QEE162" s="7"/>
      <c r="QEF162" s="21"/>
      <c r="QEG162" s="20"/>
      <c r="QEH162" s="20"/>
      <c r="QEI162" s="20"/>
      <c r="QEJ162" s="21"/>
      <c r="QEK162" s="21"/>
      <c r="QEL162" s="21"/>
      <c r="QEM162" s="21"/>
      <c r="QEN162" s="21"/>
      <c r="QEO162" s="20"/>
      <c r="QEP162" s="20"/>
      <c r="QEQ162" s="20"/>
      <c r="QER162" s="20"/>
      <c r="QES162" s="21"/>
      <c r="QET162" s="21"/>
      <c r="QEU162" s="7"/>
      <c r="QEV162" s="7"/>
      <c r="QEW162" s="21"/>
      <c r="QEX162" s="20"/>
      <c r="QEY162" s="20"/>
      <c r="QEZ162" s="20"/>
      <c r="QFA162" s="21"/>
      <c r="QFB162" s="21"/>
      <c r="QFC162" s="21"/>
      <c r="QFD162" s="21"/>
      <c r="QFE162" s="21"/>
      <c r="QFF162" s="20"/>
      <c r="QFG162" s="20"/>
      <c r="QFH162" s="20"/>
      <c r="QFI162" s="20"/>
      <c r="QFJ162" s="21"/>
      <c r="QFK162" s="21"/>
      <c r="QFL162" s="7"/>
      <c r="QFM162" s="7"/>
      <c r="QFN162" s="21"/>
      <c r="QFO162" s="20"/>
      <c r="QFP162" s="20"/>
      <c r="QFQ162" s="20"/>
      <c r="QFR162" s="21"/>
      <c r="QFS162" s="21"/>
      <c r="QFT162" s="21"/>
      <c r="QFU162" s="21"/>
      <c r="QFV162" s="21"/>
      <c r="QFW162" s="20"/>
      <c r="QFX162" s="20"/>
      <c r="QFY162" s="20"/>
      <c r="QFZ162" s="20"/>
      <c r="QGA162" s="21"/>
      <c r="QGB162" s="21"/>
      <c r="QGC162" s="7"/>
      <c r="QGD162" s="7"/>
      <c r="QGE162" s="21"/>
      <c r="QGF162" s="20"/>
      <c r="QGG162" s="20"/>
      <c r="QGH162" s="20"/>
      <c r="QGI162" s="21"/>
      <c r="QGJ162" s="21"/>
      <c r="QGK162" s="21"/>
      <c r="QGL162" s="21"/>
      <c r="QGM162" s="21"/>
      <c r="QGN162" s="20"/>
      <c r="QGO162" s="20"/>
      <c r="QGP162" s="20"/>
      <c r="QGQ162" s="20"/>
      <c r="QGR162" s="21"/>
      <c r="QGS162" s="21"/>
      <c r="QGT162" s="7"/>
      <c r="QGU162" s="7"/>
      <c r="QGV162" s="21"/>
      <c r="QGW162" s="20"/>
      <c r="QGX162" s="20"/>
      <c r="QGY162" s="20"/>
      <c r="QGZ162" s="21"/>
      <c r="QHA162" s="21"/>
      <c r="QHB162" s="21"/>
      <c r="QHC162" s="21"/>
      <c r="QHD162" s="21"/>
      <c r="QHE162" s="20"/>
      <c r="QHF162" s="20"/>
      <c r="QHG162" s="20"/>
      <c r="QHH162" s="20"/>
      <c r="QHI162" s="21"/>
      <c r="QHJ162" s="21"/>
      <c r="QHK162" s="7"/>
      <c r="QHL162" s="7"/>
      <c r="QHM162" s="21"/>
      <c r="QHN162" s="20"/>
      <c r="QHO162" s="20"/>
      <c r="QHP162" s="20"/>
      <c r="QHQ162" s="21"/>
      <c r="QHR162" s="21"/>
      <c r="QHS162" s="21"/>
      <c r="QHT162" s="21"/>
      <c r="QHU162" s="21"/>
      <c r="QHV162" s="20"/>
      <c r="QHW162" s="20"/>
      <c r="QHX162" s="20"/>
      <c r="QHY162" s="20"/>
      <c r="QHZ162" s="21"/>
      <c r="QIA162" s="21"/>
      <c r="QIB162" s="7"/>
      <c r="QIC162" s="7"/>
      <c r="QID162" s="21"/>
      <c r="QIE162" s="20"/>
      <c r="QIF162" s="20"/>
      <c r="QIG162" s="20"/>
      <c r="QIH162" s="21"/>
      <c r="QII162" s="21"/>
      <c r="QIJ162" s="21"/>
      <c r="QIK162" s="21"/>
      <c r="QIL162" s="21"/>
      <c r="QIM162" s="20"/>
      <c r="QIN162" s="20"/>
      <c r="QIO162" s="20"/>
      <c r="QIP162" s="20"/>
      <c r="QIQ162" s="21"/>
      <c r="QIR162" s="21"/>
      <c r="QIS162" s="7"/>
      <c r="QIT162" s="7"/>
      <c r="QIU162" s="21"/>
      <c r="QIV162" s="20"/>
      <c r="QIW162" s="20"/>
      <c r="QIX162" s="20"/>
      <c r="QIY162" s="21"/>
      <c r="QIZ162" s="21"/>
      <c r="QJA162" s="21"/>
      <c r="QJB162" s="21"/>
      <c r="QJC162" s="21"/>
      <c r="QJD162" s="20"/>
      <c r="QJE162" s="20"/>
      <c r="QJF162" s="20"/>
      <c r="QJG162" s="20"/>
      <c r="QJH162" s="21"/>
      <c r="QJI162" s="21"/>
      <c r="QJJ162" s="7"/>
      <c r="QJK162" s="7"/>
      <c r="QJL162" s="21"/>
      <c r="QJM162" s="20"/>
      <c r="QJN162" s="20"/>
      <c r="QJO162" s="20"/>
      <c r="QJP162" s="21"/>
      <c r="QJQ162" s="21"/>
      <c r="QJR162" s="21"/>
      <c r="QJS162" s="21"/>
      <c r="QJT162" s="21"/>
      <c r="QJU162" s="20"/>
      <c r="QJV162" s="20"/>
      <c r="QJW162" s="20"/>
      <c r="QJX162" s="20"/>
      <c r="QJY162" s="21"/>
      <c r="QJZ162" s="21"/>
      <c r="QKA162" s="7"/>
      <c r="QKB162" s="7"/>
      <c r="QKC162" s="21"/>
      <c r="QKD162" s="20"/>
      <c r="QKE162" s="20"/>
      <c r="QKF162" s="20"/>
      <c r="QKG162" s="21"/>
      <c r="QKH162" s="21"/>
      <c r="QKI162" s="21"/>
      <c r="QKJ162" s="21"/>
      <c r="QKK162" s="21"/>
      <c r="QKL162" s="20"/>
      <c r="QKM162" s="20"/>
      <c r="QKN162" s="20"/>
      <c r="QKO162" s="20"/>
      <c r="QKP162" s="21"/>
      <c r="QKQ162" s="21"/>
      <c r="QKR162" s="7"/>
      <c r="QKS162" s="7"/>
      <c r="QKT162" s="21"/>
      <c r="QKU162" s="20"/>
      <c r="QKV162" s="20"/>
      <c r="QKW162" s="20"/>
      <c r="QKX162" s="21"/>
      <c r="QKY162" s="21"/>
      <c r="QKZ162" s="21"/>
      <c r="QLA162" s="21"/>
      <c r="QLB162" s="21"/>
      <c r="QLC162" s="20"/>
      <c r="QLD162" s="20"/>
      <c r="QLE162" s="20"/>
      <c r="QLF162" s="20"/>
      <c r="QLG162" s="21"/>
      <c r="QLH162" s="21"/>
      <c r="QLI162" s="7"/>
      <c r="QLJ162" s="7"/>
      <c r="QLK162" s="21"/>
      <c r="QLL162" s="20"/>
      <c r="QLM162" s="20"/>
      <c r="QLN162" s="20"/>
      <c r="QLO162" s="21"/>
      <c r="QLP162" s="21"/>
      <c r="QLQ162" s="21"/>
      <c r="QLR162" s="21"/>
      <c r="QLS162" s="21"/>
      <c r="QLT162" s="20"/>
      <c r="QLU162" s="20"/>
      <c r="QLV162" s="20"/>
      <c r="QLW162" s="20"/>
      <c r="QLX162" s="21"/>
      <c r="QLY162" s="21"/>
      <c r="QLZ162" s="7"/>
      <c r="QMA162" s="7"/>
      <c r="QMB162" s="21"/>
      <c r="QMC162" s="20"/>
      <c r="QMD162" s="20"/>
      <c r="QME162" s="20"/>
      <c r="QMF162" s="21"/>
      <c r="QMG162" s="21"/>
      <c r="QMH162" s="21"/>
      <c r="QMI162" s="21"/>
      <c r="QMJ162" s="21"/>
      <c r="QMK162" s="20"/>
      <c r="QML162" s="20"/>
      <c r="QMM162" s="20"/>
      <c r="QMN162" s="20"/>
      <c r="QMO162" s="21"/>
      <c r="QMP162" s="21"/>
      <c r="QMQ162" s="7"/>
      <c r="QMR162" s="7"/>
      <c r="QMS162" s="21"/>
      <c r="QMT162" s="20"/>
      <c r="QMU162" s="20"/>
      <c r="QMV162" s="20"/>
      <c r="QMW162" s="21"/>
      <c r="QMX162" s="21"/>
      <c r="QMY162" s="21"/>
      <c r="QMZ162" s="21"/>
      <c r="QNA162" s="21"/>
      <c r="QNB162" s="20"/>
      <c r="QNC162" s="20"/>
      <c r="QND162" s="20"/>
      <c r="QNE162" s="20"/>
      <c r="QNF162" s="21"/>
      <c r="QNG162" s="21"/>
      <c r="QNH162" s="7"/>
      <c r="QNI162" s="7"/>
      <c r="QNJ162" s="21"/>
      <c r="QNK162" s="20"/>
      <c r="QNL162" s="20"/>
      <c r="QNM162" s="20"/>
      <c r="QNN162" s="21"/>
      <c r="QNO162" s="21"/>
      <c r="QNP162" s="21"/>
      <c r="QNQ162" s="21"/>
      <c r="QNR162" s="21"/>
      <c r="QNS162" s="20"/>
      <c r="QNT162" s="20"/>
      <c r="QNU162" s="20"/>
      <c r="QNV162" s="20"/>
      <c r="QNW162" s="21"/>
      <c r="QNX162" s="21"/>
      <c r="QNY162" s="7"/>
      <c r="QNZ162" s="7"/>
      <c r="QOA162" s="21"/>
      <c r="QOB162" s="20"/>
      <c r="QOC162" s="20"/>
      <c r="QOD162" s="20"/>
      <c r="QOE162" s="21"/>
      <c r="QOF162" s="21"/>
      <c r="QOG162" s="21"/>
      <c r="QOH162" s="21"/>
      <c r="QOI162" s="21"/>
      <c r="QOJ162" s="20"/>
      <c r="QOK162" s="20"/>
      <c r="QOL162" s="20"/>
      <c r="QOM162" s="20"/>
      <c r="QON162" s="21"/>
      <c r="QOO162" s="21"/>
      <c r="QOP162" s="7"/>
      <c r="QOQ162" s="7"/>
      <c r="QOR162" s="21"/>
      <c r="QOS162" s="20"/>
      <c r="QOT162" s="20"/>
      <c r="QOU162" s="20"/>
      <c r="QOV162" s="21"/>
      <c r="QOW162" s="21"/>
      <c r="QOX162" s="21"/>
      <c r="QOY162" s="21"/>
      <c r="QOZ162" s="21"/>
      <c r="QPA162" s="20"/>
      <c r="QPB162" s="20"/>
      <c r="QPC162" s="20"/>
      <c r="QPD162" s="20"/>
      <c r="QPE162" s="21"/>
      <c r="QPF162" s="21"/>
      <c r="QPG162" s="7"/>
      <c r="QPH162" s="7"/>
      <c r="QPI162" s="21"/>
      <c r="QPJ162" s="20"/>
      <c r="QPK162" s="20"/>
      <c r="QPL162" s="20"/>
      <c r="QPM162" s="21"/>
      <c r="QPN162" s="21"/>
      <c r="QPO162" s="21"/>
      <c r="QPP162" s="21"/>
      <c r="QPQ162" s="21"/>
      <c r="QPR162" s="20"/>
      <c r="QPS162" s="20"/>
      <c r="QPT162" s="20"/>
      <c r="QPU162" s="20"/>
      <c r="QPV162" s="21"/>
      <c r="QPW162" s="21"/>
      <c r="QPX162" s="7"/>
      <c r="QPY162" s="7"/>
      <c r="QPZ162" s="21"/>
      <c r="QQA162" s="20"/>
      <c r="QQB162" s="20"/>
      <c r="QQC162" s="20"/>
      <c r="QQD162" s="21"/>
      <c r="QQE162" s="21"/>
      <c r="QQF162" s="21"/>
      <c r="QQG162" s="21"/>
      <c r="QQH162" s="21"/>
      <c r="QQI162" s="20"/>
      <c r="QQJ162" s="20"/>
      <c r="QQK162" s="20"/>
      <c r="QQL162" s="20"/>
      <c r="QQM162" s="21"/>
      <c r="QQN162" s="21"/>
      <c r="QQO162" s="7"/>
      <c r="QQP162" s="7"/>
      <c r="QQQ162" s="21"/>
      <c r="QQR162" s="20"/>
      <c r="QQS162" s="20"/>
      <c r="QQT162" s="20"/>
      <c r="QQU162" s="21"/>
      <c r="QQV162" s="21"/>
      <c r="QQW162" s="21"/>
      <c r="QQX162" s="21"/>
      <c r="QQY162" s="21"/>
      <c r="QQZ162" s="20"/>
      <c r="QRA162" s="20"/>
      <c r="QRB162" s="20"/>
      <c r="QRC162" s="20"/>
      <c r="QRD162" s="21"/>
      <c r="QRE162" s="21"/>
      <c r="QRF162" s="7"/>
      <c r="QRG162" s="7"/>
      <c r="QRH162" s="21"/>
      <c r="QRI162" s="20"/>
      <c r="QRJ162" s="20"/>
      <c r="QRK162" s="20"/>
      <c r="QRL162" s="21"/>
      <c r="QRM162" s="21"/>
      <c r="QRN162" s="21"/>
      <c r="QRO162" s="21"/>
      <c r="QRP162" s="21"/>
      <c r="QRQ162" s="20"/>
      <c r="QRR162" s="20"/>
      <c r="QRS162" s="20"/>
      <c r="QRT162" s="20"/>
      <c r="QRU162" s="21"/>
      <c r="QRV162" s="21"/>
      <c r="QRW162" s="7"/>
      <c r="QRX162" s="7"/>
      <c r="QRY162" s="21"/>
      <c r="QRZ162" s="20"/>
      <c r="QSA162" s="20"/>
      <c r="QSB162" s="20"/>
      <c r="QSC162" s="21"/>
      <c r="QSD162" s="21"/>
      <c r="QSE162" s="21"/>
      <c r="QSF162" s="21"/>
      <c r="QSG162" s="21"/>
      <c r="QSH162" s="20"/>
      <c r="QSI162" s="20"/>
      <c r="QSJ162" s="20"/>
      <c r="QSK162" s="20"/>
      <c r="QSL162" s="21"/>
      <c r="QSM162" s="21"/>
      <c r="QSN162" s="7"/>
      <c r="QSO162" s="7"/>
      <c r="QSP162" s="21"/>
      <c r="QSQ162" s="20"/>
      <c r="QSR162" s="20"/>
      <c r="QSS162" s="20"/>
      <c r="QST162" s="21"/>
      <c r="QSU162" s="21"/>
      <c r="QSV162" s="21"/>
      <c r="QSW162" s="21"/>
      <c r="QSX162" s="21"/>
      <c r="QSY162" s="20"/>
      <c r="QSZ162" s="20"/>
      <c r="QTA162" s="20"/>
      <c r="QTB162" s="20"/>
      <c r="QTC162" s="21"/>
      <c r="QTD162" s="21"/>
      <c r="QTE162" s="7"/>
      <c r="QTF162" s="7"/>
      <c r="QTG162" s="21"/>
      <c r="QTH162" s="20"/>
      <c r="QTI162" s="20"/>
      <c r="QTJ162" s="20"/>
      <c r="QTK162" s="21"/>
      <c r="QTL162" s="21"/>
      <c r="QTM162" s="21"/>
      <c r="QTN162" s="21"/>
      <c r="QTO162" s="21"/>
      <c r="QTP162" s="20"/>
      <c r="QTQ162" s="20"/>
      <c r="QTR162" s="20"/>
      <c r="QTS162" s="20"/>
      <c r="QTT162" s="21"/>
      <c r="QTU162" s="21"/>
      <c r="QTV162" s="7"/>
      <c r="QTW162" s="7"/>
      <c r="QTX162" s="21"/>
      <c r="QTY162" s="20"/>
      <c r="QTZ162" s="20"/>
      <c r="QUA162" s="20"/>
      <c r="QUB162" s="21"/>
      <c r="QUC162" s="21"/>
      <c r="QUD162" s="21"/>
      <c r="QUE162" s="21"/>
      <c r="QUF162" s="21"/>
      <c r="QUG162" s="20"/>
      <c r="QUH162" s="20"/>
      <c r="QUI162" s="20"/>
      <c r="QUJ162" s="20"/>
      <c r="QUK162" s="21"/>
      <c r="QUL162" s="21"/>
      <c r="QUM162" s="7"/>
      <c r="QUN162" s="7"/>
      <c r="QUO162" s="21"/>
      <c r="QUP162" s="20"/>
      <c r="QUQ162" s="20"/>
      <c r="QUR162" s="20"/>
      <c r="QUS162" s="21"/>
      <c r="QUT162" s="21"/>
      <c r="QUU162" s="21"/>
      <c r="QUV162" s="21"/>
      <c r="QUW162" s="21"/>
      <c r="QUX162" s="20"/>
      <c r="QUY162" s="20"/>
      <c r="QUZ162" s="20"/>
      <c r="QVA162" s="20"/>
      <c r="QVB162" s="21"/>
      <c r="QVC162" s="21"/>
      <c r="QVD162" s="7"/>
      <c r="QVE162" s="7"/>
      <c r="QVF162" s="21"/>
      <c r="QVG162" s="20"/>
      <c r="QVH162" s="20"/>
      <c r="QVI162" s="20"/>
      <c r="QVJ162" s="21"/>
      <c r="QVK162" s="21"/>
      <c r="QVL162" s="21"/>
      <c r="QVM162" s="21"/>
      <c r="QVN162" s="21"/>
      <c r="QVO162" s="20"/>
      <c r="QVP162" s="20"/>
      <c r="QVQ162" s="20"/>
      <c r="QVR162" s="20"/>
      <c r="QVS162" s="21"/>
      <c r="QVT162" s="21"/>
      <c r="QVU162" s="7"/>
      <c r="QVV162" s="7"/>
      <c r="QVW162" s="21"/>
      <c r="QVX162" s="20"/>
      <c r="QVY162" s="20"/>
      <c r="QVZ162" s="20"/>
      <c r="QWA162" s="21"/>
      <c r="QWB162" s="21"/>
      <c r="QWC162" s="21"/>
      <c r="QWD162" s="21"/>
      <c r="QWE162" s="21"/>
      <c r="QWF162" s="20"/>
      <c r="QWG162" s="20"/>
      <c r="QWH162" s="20"/>
      <c r="QWI162" s="20"/>
      <c r="QWJ162" s="21"/>
      <c r="QWK162" s="21"/>
      <c r="QWL162" s="7"/>
      <c r="QWM162" s="7"/>
      <c r="QWN162" s="21"/>
      <c r="QWO162" s="20"/>
      <c r="QWP162" s="20"/>
      <c r="QWQ162" s="20"/>
      <c r="QWR162" s="21"/>
      <c r="QWS162" s="21"/>
      <c r="QWT162" s="21"/>
      <c r="QWU162" s="21"/>
      <c r="QWV162" s="21"/>
      <c r="QWW162" s="20"/>
      <c r="QWX162" s="20"/>
      <c r="QWY162" s="20"/>
      <c r="QWZ162" s="20"/>
      <c r="QXA162" s="21"/>
      <c r="QXB162" s="21"/>
      <c r="QXC162" s="7"/>
      <c r="QXD162" s="7"/>
      <c r="QXE162" s="21"/>
      <c r="QXF162" s="20"/>
      <c r="QXG162" s="20"/>
      <c r="QXH162" s="20"/>
      <c r="QXI162" s="21"/>
      <c r="QXJ162" s="21"/>
      <c r="QXK162" s="21"/>
      <c r="QXL162" s="21"/>
      <c r="QXM162" s="21"/>
      <c r="QXN162" s="20"/>
      <c r="QXO162" s="20"/>
      <c r="QXP162" s="20"/>
      <c r="QXQ162" s="20"/>
      <c r="QXR162" s="21"/>
      <c r="QXS162" s="21"/>
      <c r="QXT162" s="7"/>
      <c r="QXU162" s="7"/>
      <c r="QXV162" s="21"/>
      <c r="QXW162" s="20"/>
      <c r="QXX162" s="20"/>
      <c r="QXY162" s="20"/>
      <c r="QXZ162" s="21"/>
      <c r="QYA162" s="21"/>
      <c r="QYB162" s="21"/>
      <c r="QYC162" s="21"/>
      <c r="QYD162" s="21"/>
      <c r="QYE162" s="20"/>
      <c r="QYF162" s="20"/>
      <c r="QYG162" s="20"/>
      <c r="QYH162" s="20"/>
      <c r="QYI162" s="21"/>
      <c r="QYJ162" s="21"/>
      <c r="QYK162" s="7"/>
      <c r="QYL162" s="7"/>
      <c r="QYM162" s="21"/>
      <c r="QYN162" s="20"/>
      <c r="QYO162" s="20"/>
      <c r="QYP162" s="20"/>
      <c r="QYQ162" s="21"/>
      <c r="QYR162" s="21"/>
      <c r="QYS162" s="21"/>
      <c r="QYT162" s="21"/>
      <c r="QYU162" s="21"/>
      <c r="QYV162" s="20"/>
      <c r="QYW162" s="20"/>
      <c r="QYX162" s="20"/>
      <c r="QYY162" s="20"/>
      <c r="QYZ162" s="21"/>
      <c r="QZA162" s="21"/>
      <c r="QZB162" s="7"/>
      <c r="QZC162" s="7"/>
      <c r="QZD162" s="21"/>
      <c r="QZE162" s="20"/>
      <c r="QZF162" s="20"/>
      <c r="QZG162" s="20"/>
      <c r="QZH162" s="21"/>
      <c r="QZI162" s="21"/>
      <c r="QZJ162" s="21"/>
      <c r="QZK162" s="21"/>
      <c r="QZL162" s="21"/>
      <c r="QZM162" s="20"/>
      <c r="QZN162" s="20"/>
      <c r="QZO162" s="20"/>
      <c r="QZP162" s="20"/>
      <c r="QZQ162" s="21"/>
      <c r="QZR162" s="21"/>
      <c r="QZS162" s="7"/>
      <c r="QZT162" s="7"/>
      <c r="QZU162" s="21"/>
      <c r="QZV162" s="20"/>
      <c r="QZW162" s="20"/>
      <c r="QZX162" s="20"/>
      <c r="QZY162" s="21"/>
      <c r="QZZ162" s="21"/>
      <c r="RAA162" s="21"/>
      <c r="RAB162" s="21"/>
      <c r="RAC162" s="21"/>
      <c r="RAD162" s="20"/>
      <c r="RAE162" s="20"/>
      <c r="RAF162" s="20"/>
      <c r="RAG162" s="20"/>
      <c r="RAH162" s="21"/>
      <c r="RAI162" s="21"/>
      <c r="RAJ162" s="7"/>
      <c r="RAK162" s="7"/>
      <c r="RAL162" s="21"/>
      <c r="RAM162" s="20"/>
      <c r="RAN162" s="20"/>
      <c r="RAO162" s="20"/>
      <c r="RAP162" s="21"/>
      <c r="RAQ162" s="21"/>
      <c r="RAR162" s="21"/>
      <c r="RAS162" s="21"/>
      <c r="RAT162" s="21"/>
      <c r="RAU162" s="20"/>
      <c r="RAV162" s="20"/>
      <c r="RAW162" s="20"/>
      <c r="RAX162" s="20"/>
      <c r="RAY162" s="21"/>
      <c r="RAZ162" s="21"/>
      <c r="RBA162" s="7"/>
      <c r="RBB162" s="7"/>
      <c r="RBC162" s="21"/>
      <c r="RBD162" s="20"/>
      <c r="RBE162" s="20"/>
      <c r="RBF162" s="20"/>
      <c r="RBG162" s="21"/>
      <c r="RBH162" s="21"/>
      <c r="RBI162" s="21"/>
      <c r="RBJ162" s="21"/>
      <c r="RBK162" s="21"/>
      <c r="RBL162" s="20"/>
      <c r="RBM162" s="20"/>
      <c r="RBN162" s="20"/>
      <c r="RBO162" s="20"/>
      <c r="RBP162" s="21"/>
      <c r="RBQ162" s="21"/>
      <c r="RBR162" s="7"/>
      <c r="RBS162" s="7"/>
      <c r="RBT162" s="21"/>
      <c r="RBU162" s="20"/>
      <c r="RBV162" s="20"/>
      <c r="RBW162" s="20"/>
      <c r="RBX162" s="21"/>
      <c r="RBY162" s="21"/>
      <c r="RBZ162" s="21"/>
      <c r="RCA162" s="21"/>
      <c r="RCB162" s="21"/>
      <c r="RCC162" s="20"/>
      <c r="RCD162" s="20"/>
      <c r="RCE162" s="20"/>
      <c r="RCF162" s="20"/>
      <c r="RCG162" s="21"/>
      <c r="RCH162" s="21"/>
      <c r="RCI162" s="7"/>
      <c r="RCJ162" s="7"/>
      <c r="RCK162" s="21"/>
      <c r="RCL162" s="20"/>
      <c r="RCM162" s="20"/>
      <c r="RCN162" s="20"/>
      <c r="RCO162" s="21"/>
      <c r="RCP162" s="21"/>
      <c r="RCQ162" s="21"/>
      <c r="RCR162" s="21"/>
      <c r="RCS162" s="21"/>
      <c r="RCT162" s="20"/>
      <c r="RCU162" s="20"/>
      <c r="RCV162" s="20"/>
      <c r="RCW162" s="20"/>
      <c r="RCX162" s="21"/>
      <c r="RCY162" s="21"/>
      <c r="RCZ162" s="7"/>
      <c r="RDA162" s="7"/>
      <c r="RDB162" s="21"/>
      <c r="RDC162" s="20"/>
      <c r="RDD162" s="20"/>
      <c r="RDE162" s="20"/>
      <c r="RDF162" s="21"/>
      <c r="RDG162" s="21"/>
      <c r="RDH162" s="21"/>
      <c r="RDI162" s="21"/>
      <c r="RDJ162" s="21"/>
      <c r="RDK162" s="20"/>
      <c r="RDL162" s="20"/>
      <c r="RDM162" s="20"/>
      <c r="RDN162" s="20"/>
      <c r="RDO162" s="21"/>
      <c r="RDP162" s="21"/>
      <c r="RDQ162" s="7"/>
      <c r="RDR162" s="7"/>
      <c r="RDS162" s="21"/>
      <c r="RDT162" s="20"/>
      <c r="RDU162" s="20"/>
      <c r="RDV162" s="20"/>
      <c r="RDW162" s="21"/>
      <c r="RDX162" s="21"/>
      <c r="RDY162" s="21"/>
      <c r="RDZ162" s="21"/>
      <c r="REA162" s="21"/>
      <c r="REB162" s="20"/>
      <c r="REC162" s="20"/>
      <c r="RED162" s="20"/>
      <c r="REE162" s="20"/>
      <c r="REF162" s="21"/>
      <c r="REG162" s="21"/>
      <c r="REH162" s="7"/>
      <c r="REI162" s="7"/>
      <c r="REJ162" s="21"/>
      <c r="REK162" s="20"/>
      <c r="REL162" s="20"/>
      <c r="REM162" s="20"/>
      <c r="REN162" s="21"/>
      <c r="REO162" s="21"/>
      <c r="REP162" s="21"/>
      <c r="REQ162" s="21"/>
      <c r="RER162" s="21"/>
      <c r="RES162" s="20"/>
      <c r="RET162" s="20"/>
      <c r="REU162" s="20"/>
      <c r="REV162" s="20"/>
      <c r="REW162" s="21"/>
      <c r="REX162" s="21"/>
      <c r="REY162" s="7"/>
      <c r="REZ162" s="7"/>
      <c r="RFA162" s="21"/>
      <c r="RFB162" s="20"/>
      <c r="RFC162" s="20"/>
      <c r="RFD162" s="20"/>
      <c r="RFE162" s="21"/>
      <c r="RFF162" s="21"/>
      <c r="RFG162" s="21"/>
      <c r="RFH162" s="21"/>
      <c r="RFI162" s="21"/>
      <c r="RFJ162" s="20"/>
      <c r="RFK162" s="20"/>
      <c r="RFL162" s="20"/>
      <c r="RFM162" s="20"/>
      <c r="RFN162" s="21"/>
      <c r="RFO162" s="21"/>
      <c r="RFP162" s="7"/>
      <c r="RFQ162" s="7"/>
      <c r="RFR162" s="21"/>
      <c r="RFS162" s="20"/>
      <c r="RFT162" s="20"/>
      <c r="RFU162" s="20"/>
      <c r="RFV162" s="21"/>
      <c r="RFW162" s="21"/>
      <c r="RFX162" s="21"/>
      <c r="RFY162" s="21"/>
      <c r="RFZ162" s="21"/>
      <c r="RGA162" s="20"/>
      <c r="RGB162" s="20"/>
      <c r="RGC162" s="20"/>
      <c r="RGD162" s="20"/>
      <c r="RGE162" s="21"/>
      <c r="RGF162" s="21"/>
      <c r="RGG162" s="7"/>
      <c r="RGH162" s="7"/>
      <c r="RGI162" s="21"/>
      <c r="RGJ162" s="20"/>
      <c r="RGK162" s="20"/>
      <c r="RGL162" s="20"/>
      <c r="RGM162" s="21"/>
      <c r="RGN162" s="21"/>
      <c r="RGO162" s="21"/>
      <c r="RGP162" s="21"/>
      <c r="RGQ162" s="21"/>
      <c r="RGR162" s="20"/>
      <c r="RGS162" s="20"/>
      <c r="RGT162" s="20"/>
      <c r="RGU162" s="20"/>
      <c r="RGV162" s="21"/>
      <c r="RGW162" s="21"/>
      <c r="RGX162" s="7"/>
      <c r="RGY162" s="7"/>
      <c r="RGZ162" s="21"/>
      <c r="RHA162" s="20"/>
      <c r="RHB162" s="20"/>
      <c r="RHC162" s="20"/>
      <c r="RHD162" s="21"/>
      <c r="RHE162" s="21"/>
      <c r="RHF162" s="21"/>
      <c r="RHG162" s="21"/>
      <c r="RHH162" s="21"/>
      <c r="RHI162" s="20"/>
      <c r="RHJ162" s="20"/>
      <c r="RHK162" s="20"/>
      <c r="RHL162" s="20"/>
      <c r="RHM162" s="21"/>
      <c r="RHN162" s="21"/>
      <c r="RHO162" s="7"/>
      <c r="RHP162" s="7"/>
      <c r="RHQ162" s="21"/>
      <c r="RHR162" s="20"/>
      <c r="RHS162" s="20"/>
      <c r="RHT162" s="20"/>
      <c r="RHU162" s="21"/>
      <c r="RHV162" s="21"/>
      <c r="RHW162" s="21"/>
      <c r="RHX162" s="21"/>
      <c r="RHY162" s="21"/>
      <c r="RHZ162" s="20"/>
      <c r="RIA162" s="20"/>
      <c r="RIB162" s="20"/>
      <c r="RIC162" s="20"/>
      <c r="RID162" s="21"/>
      <c r="RIE162" s="21"/>
      <c r="RIF162" s="7"/>
      <c r="RIG162" s="7"/>
      <c r="RIH162" s="21"/>
      <c r="RII162" s="20"/>
      <c r="RIJ162" s="20"/>
      <c r="RIK162" s="20"/>
      <c r="RIL162" s="21"/>
      <c r="RIM162" s="21"/>
      <c r="RIN162" s="21"/>
      <c r="RIO162" s="21"/>
      <c r="RIP162" s="21"/>
      <c r="RIQ162" s="20"/>
      <c r="RIR162" s="20"/>
      <c r="RIS162" s="20"/>
      <c r="RIT162" s="20"/>
      <c r="RIU162" s="21"/>
      <c r="RIV162" s="21"/>
      <c r="RIW162" s="7"/>
      <c r="RIX162" s="7"/>
      <c r="RIY162" s="21"/>
      <c r="RIZ162" s="20"/>
      <c r="RJA162" s="20"/>
      <c r="RJB162" s="20"/>
      <c r="RJC162" s="21"/>
      <c r="RJD162" s="21"/>
      <c r="RJE162" s="21"/>
      <c r="RJF162" s="21"/>
      <c r="RJG162" s="21"/>
      <c r="RJH162" s="20"/>
      <c r="RJI162" s="20"/>
      <c r="RJJ162" s="20"/>
      <c r="RJK162" s="20"/>
      <c r="RJL162" s="21"/>
      <c r="RJM162" s="21"/>
      <c r="RJN162" s="7"/>
      <c r="RJO162" s="7"/>
      <c r="RJP162" s="21"/>
      <c r="RJQ162" s="20"/>
      <c r="RJR162" s="20"/>
      <c r="RJS162" s="20"/>
      <c r="RJT162" s="21"/>
      <c r="RJU162" s="21"/>
      <c r="RJV162" s="21"/>
      <c r="RJW162" s="21"/>
      <c r="RJX162" s="21"/>
      <c r="RJY162" s="20"/>
      <c r="RJZ162" s="20"/>
      <c r="RKA162" s="20"/>
      <c r="RKB162" s="20"/>
      <c r="RKC162" s="21"/>
      <c r="RKD162" s="21"/>
      <c r="RKE162" s="7"/>
      <c r="RKF162" s="7"/>
      <c r="RKG162" s="21"/>
      <c r="RKH162" s="20"/>
      <c r="RKI162" s="20"/>
      <c r="RKJ162" s="20"/>
      <c r="RKK162" s="21"/>
      <c r="RKL162" s="21"/>
      <c r="RKM162" s="21"/>
      <c r="RKN162" s="21"/>
      <c r="RKO162" s="21"/>
      <c r="RKP162" s="20"/>
      <c r="RKQ162" s="20"/>
      <c r="RKR162" s="20"/>
      <c r="RKS162" s="20"/>
      <c r="RKT162" s="21"/>
      <c r="RKU162" s="21"/>
      <c r="RKV162" s="7"/>
      <c r="RKW162" s="7"/>
      <c r="RKX162" s="21"/>
      <c r="RKY162" s="20"/>
      <c r="RKZ162" s="20"/>
      <c r="RLA162" s="20"/>
      <c r="RLB162" s="21"/>
      <c r="RLC162" s="21"/>
      <c r="RLD162" s="21"/>
      <c r="RLE162" s="21"/>
      <c r="RLF162" s="21"/>
      <c r="RLG162" s="20"/>
      <c r="RLH162" s="20"/>
      <c r="RLI162" s="20"/>
      <c r="RLJ162" s="20"/>
      <c r="RLK162" s="21"/>
      <c r="RLL162" s="21"/>
      <c r="RLM162" s="7"/>
      <c r="RLN162" s="7"/>
      <c r="RLO162" s="21"/>
      <c r="RLP162" s="20"/>
      <c r="RLQ162" s="20"/>
      <c r="RLR162" s="20"/>
      <c r="RLS162" s="21"/>
      <c r="RLT162" s="21"/>
      <c r="RLU162" s="21"/>
      <c r="RLV162" s="21"/>
      <c r="RLW162" s="21"/>
      <c r="RLX162" s="20"/>
      <c r="RLY162" s="20"/>
      <c r="RLZ162" s="20"/>
      <c r="RMA162" s="20"/>
      <c r="RMB162" s="21"/>
      <c r="RMC162" s="21"/>
      <c r="RMD162" s="7"/>
      <c r="RME162" s="7"/>
      <c r="RMF162" s="21"/>
      <c r="RMG162" s="20"/>
      <c r="RMH162" s="20"/>
      <c r="RMI162" s="20"/>
      <c r="RMJ162" s="21"/>
      <c r="RMK162" s="21"/>
      <c r="RML162" s="21"/>
      <c r="RMM162" s="21"/>
      <c r="RMN162" s="21"/>
      <c r="RMO162" s="20"/>
      <c r="RMP162" s="20"/>
      <c r="RMQ162" s="20"/>
      <c r="RMR162" s="20"/>
      <c r="RMS162" s="21"/>
      <c r="RMT162" s="21"/>
      <c r="RMU162" s="7"/>
      <c r="RMV162" s="7"/>
      <c r="RMW162" s="21"/>
      <c r="RMX162" s="20"/>
      <c r="RMY162" s="20"/>
      <c r="RMZ162" s="20"/>
      <c r="RNA162" s="21"/>
      <c r="RNB162" s="21"/>
      <c r="RNC162" s="21"/>
      <c r="RND162" s="21"/>
      <c r="RNE162" s="21"/>
      <c r="RNF162" s="20"/>
      <c r="RNG162" s="20"/>
      <c r="RNH162" s="20"/>
      <c r="RNI162" s="20"/>
      <c r="RNJ162" s="21"/>
      <c r="RNK162" s="21"/>
      <c r="RNL162" s="7"/>
      <c r="RNM162" s="7"/>
      <c r="RNN162" s="21"/>
      <c r="RNO162" s="20"/>
      <c r="RNP162" s="20"/>
      <c r="RNQ162" s="20"/>
      <c r="RNR162" s="21"/>
      <c r="RNS162" s="21"/>
      <c r="RNT162" s="21"/>
      <c r="RNU162" s="21"/>
      <c r="RNV162" s="21"/>
      <c r="RNW162" s="20"/>
      <c r="RNX162" s="20"/>
      <c r="RNY162" s="20"/>
      <c r="RNZ162" s="20"/>
      <c r="ROA162" s="21"/>
      <c r="ROB162" s="21"/>
      <c r="ROC162" s="7"/>
      <c r="ROD162" s="7"/>
      <c r="ROE162" s="21"/>
      <c r="ROF162" s="20"/>
      <c r="ROG162" s="20"/>
      <c r="ROH162" s="20"/>
      <c r="ROI162" s="21"/>
      <c r="ROJ162" s="21"/>
      <c r="ROK162" s="21"/>
      <c r="ROL162" s="21"/>
      <c r="ROM162" s="21"/>
      <c r="RON162" s="20"/>
      <c r="ROO162" s="20"/>
      <c r="ROP162" s="20"/>
      <c r="ROQ162" s="20"/>
      <c r="ROR162" s="21"/>
      <c r="ROS162" s="21"/>
      <c r="ROT162" s="7"/>
      <c r="ROU162" s="7"/>
      <c r="ROV162" s="21"/>
      <c r="ROW162" s="20"/>
      <c r="ROX162" s="20"/>
      <c r="ROY162" s="20"/>
      <c r="ROZ162" s="21"/>
      <c r="RPA162" s="21"/>
      <c r="RPB162" s="21"/>
      <c r="RPC162" s="21"/>
      <c r="RPD162" s="21"/>
      <c r="RPE162" s="20"/>
      <c r="RPF162" s="20"/>
      <c r="RPG162" s="20"/>
      <c r="RPH162" s="20"/>
      <c r="RPI162" s="21"/>
      <c r="RPJ162" s="21"/>
      <c r="RPK162" s="7"/>
      <c r="RPL162" s="7"/>
      <c r="RPM162" s="21"/>
      <c r="RPN162" s="20"/>
      <c r="RPO162" s="20"/>
      <c r="RPP162" s="20"/>
      <c r="RPQ162" s="21"/>
      <c r="RPR162" s="21"/>
      <c r="RPS162" s="21"/>
      <c r="RPT162" s="21"/>
      <c r="RPU162" s="21"/>
      <c r="RPV162" s="20"/>
      <c r="RPW162" s="20"/>
      <c r="RPX162" s="20"/>
      <c r="RPY162" s="20"/>
      <c r="RPZ162" s="21"/>
      <c r="RQA162" s="21"/>
      <c r="RQB162" s="7"/>
      <c r="RQC162" s="7"/>
      <c r="RQD162" s="21"/>
      <c r="RQE162" s="20"/>
      <c r="RQF162" s="20"/>
      <c r="RQG162" s="20"/>
      <c r="RQH162" s="21"/>
      <c r="RQI162" s="21"/>
      <c r="RQJ162" s="21"/>
      <c r="RQK162" s="21"/>
      <c r="RQL162" s="21"/>
      <c r="RQM162" s="20"/>
      <c r="RQN162" s="20"/>
      <c r="RQO162" s="20"/>
      <c r="RQP162" s="20"/>
      <c r="RQQ162" s="21"/>
      <c r="RQR162" s="21"/>
      <c r="RQS162" s="7"/>
      <c r="RQT162" s="7"/>
      <c r="RQU162" s="21"/>
      <c r="RQV162" s="20"/>
      <c r="RQW162" s="20"/>
      <c r="RQX162" s="20"/>
      <c r="RQY162" s="21"/>
      <c r="RQZ162" s="21"/>
      <c r="RRA162" s="21"/>
      <c r="RRB162" s="21"/>
      <c r="RRC162" s="21"/>
      <c r="RRD162" s="20"/>
      <c r="RRE162" s="20"/>
      <c r="RRF162" s="20"/>
      <c r="RRG162" s="20"/>
      <c r="RRH162" s="21"/>
      <c r="RRI162" s="21"/>
      <c r="RRJ162" s="7"/>
      <c r="RRK162" s="7"/>
      <c r="RRL162" s="21"/>
      <c r="RRM162" s="20"/>
      <c r="RRN162" s="20"/>
      <c r="RRO162" s="20"/>
      <c r="RRP162" s="21"/>
      <c r="RRQ162" s="21"/>
      <c r="RRR162" s="21"/>
      <c r="RRS162" s="21"/>
      <c r="RRT162" s="21"/>
      <c r="RRU162" s="20"/>
      <c r="RRV162" s="20"/>
      <c r="RRW162" s="20"/>
      <c r="RRX162" s="20"/>
      <c r="RRY162" s="21"/>
      <c r="RRZ162" s="21"/>
      <c r="RSA162" s="7"/>
      <c r="RSB162" s="7"/>
      <c r="RSC162" s="21"/>
      <c r="RSD162" s="20"/>
      <c r="RSE162" s="20"/>
      <c r="RSF162" s="20"/>
      <c r="RSG162" s="21"/>
      <c r="RSH162" s="21"/>
      <c r="RSI162" s="21"/>
      <c r="RSJ162" s="21"/>
      <c r="RSK162" s="21"/>
      <c r="RSL162" s="20"/>
      <c r="RSM162" s="20"/>
      <c r="RSN162" s="20"/>
      <c r="RSO162" s="20"/>
      <c r="RSP162" s="21"/>
      <c r="RSQ162" s="21"/>
      <c r="RSR162" s="7"/>
      <c r="RSS162" s="7"/>
      <c r="RST162" s="21"/>
      <c r="RSU162" s="20"/>
      <c r="RSV162" s="20"/>
      <c r="RSW162" s="20"/>
      <c r="RSX162" s="21"/>
      <c r="RSY162" s="21"/>
      <c r="RSZ162" s="21"/>
      <c r="RTA162" s="21"/>
      <c r="RTB162" s="21"/>
      <c r="RTC162" s="20"/>
      <c r="RTD162" s="20"/>
      <c r="RTE162" s="20"/>
      <c r="RTF162" s="20"/>
      <c r="RTG162" s="21"/>
      <c r="RTH162" s="21"/>
      <c r="RTI162" s="7"/>
      <c r="RTJ162" s="7"/>
      <c r="RTK162" s="21"/>
      <c r="RTL162" s="20"/>
      <c r="RTM162" s="20"/>
      <c r="RTN162" s="20"/>
      <c r="RTO162" s="21"/>
      <c r="RTP162" s="21"/>
      <c r="RTQ162" s="21"/>
      <c r="RTR162" s="21"/>
      <c r="RTS162" s="21"/>
      <c r="RTT162" s="20"/>
      <c r="RTU162" s="20"/>
      <c r="RTV162" s="20"/>
      <c r="RTW162" s="20"/>
      <c r="RTX162" s="21"/>
      <c r="RTY162" s="21"/>
      <c r="RTZ162" s="7"/>
      <c r="RUA162" s="7"/>
      <c r="RUB162" s="21"/>
      <c r="RUC162" s="20"/>
      <c r="RUD162" s="20"/>
      <c r="RUE162" s="20"/>
      <c r="RUF162" s="21"/>
      <c r="RUG162" s="21"/>
      <c r="RUH162" s="21"/>
      <c r="RUI162" s="21"/>
      <c r="RUJ162" s="21"/>
      <c r="RUK162" s="20"/>
      <c r="RUL162" s="20"/>
      <c r="RUM162" s="20"/>
      <c r="RUN162" s="20"/>
      <c r="RUO162" s="21"/>
      <c r="RUP162" s="21"/>
      <c r="RUQ162" s="7"/>
      <c r="RUR162" s="7"/>
      <c r="RUS162" s="21"/>
      <c r="RUT162" s="20"/>
      <c r="RUU162" s="20"/>
      <c r="RUV162" s="20"/>
      <c r="RUW162" s="21"/>
      <c r="RUX162" s="21"/>
      <c r="RUY162" s="21"/>
      <c r="RUZ162" s="21"/>
      <c r="RVA162" s="21"/>
      <c r="RVB162" s="20"/>
      <c r="RVC162" s="20"/>
      <c r="RVD162" s="20"/>
      <c r="RVE162" s="20"/>
      <c r="RVF162" s="21"/>
      <c r="RVG162" s="21"/>
      <c r="RVH162" s="7"/>
      <c r="RVI162" s="7"/>
      <c r="RVJ162" s="21"/>
      <c r="RVK162" s="20"/>
      <c r="RVL162" s="20"/>
      <c r="RVM162" s="20"/>
      <c r="RVN162" s="21"/>
      <c r="RVO162" s="21"/>
      <c r="RVP162" s="21"/>
      <c r="RVQ162" s="21"/>
      <c r="RVR162" s="21"/>
      <c r="RVS162" s="20"/>
      <c r="RVT162" s="20"/>
      <c r="RVU162" s="20"/>
      <c r="RVV162" s="20"/>
      <c r="RVW162" s="21"/>
      <c r="RVX162" s="21"/>
      <c r="RVY162" s="7"/>
      <c r="RVZ162" s="7"/>
      <c r="RWA162" s="21"/>
      <c r="RWB162" s="20"/>
      <c r="RWC162" s="20"/>
      <c r="RWD162" s="20"/>
      <c r="RWE162" s="21"/>
      <c r="RWF162" s="21"/>
      <c r="RWG162" s="21"/>
      <c r="RWH162" s="21"/>
      <c r="RWI162" s="21"/>
      <c r="RWJ162" s="20"/>
      <c r="RWK162" s="20"/>
      <c r="RWL162" s="20"/>
      <c r="RWM162" s="20"/>
      <c r="RWN162" s="21"/>
      <c r="RWO162" s="21"/>
      <c r="RWP162" s="7"/>
      <c r="RWQ162" s="7"/>
      <c r="RWR162" s="21"/>
      <c r="RWS162" s="20"/>
      <c r="RWT162" s="20"/>
      <c r="RWU162" s="20"/>
      <c r="RWV162" s="21"/>
      <c r="RWW162" s="21"/>
      <c r="RWX162" s="21"/>
      <c r="RWY162" s="21"/>
      <c r="RWZ162" s="21"/>
      <c r="RXA162" s="20"/>
      <c r="RXB162" s="20"/>
      <c r="RXC162" s="20"/>
      <c r="RXD162" s="20"/>
      <c r="RXE162" s="21"/>
      <c r="RXF162" s="21"/>
      <c r="RXG162" s="7"/>
      <c r="RXH162" s="7"/>
      <c r="RXI162" s="21"/>
      <c r="RXJ162" s="20"/>
      <c r="RXK162" s="20"/>
      <c r="RXL162" s="20"/>
      <c r="RXM162" s="21"/>
      <c r="RXN162" s="21"/>
      <c r="RXO162" s="21"/>
      <c r="RXP162" s="21"/>
      <c r="RXQ162" s="21"/>
      <c r="RXR162" s="20"/>
      <c r="RXS162" s="20"/>
      <c r="RXT162" s="20"/>
      <c r="RXU162" s="20"/>
      <c r="RXV162" s="21"/>
      <c r="RXW162" s="21"/>
      <c r="RXX162" s="7"/>
      <c r="RXY162" s="7"/>
      <c r="RXZ162" s="21"/>
      <c r="RYA162" s="20"/>
      <c r="RYB162" s="20"/>
      <c r="RYC162" s="20"/>
      <c r="RYD162" s="21"/>
      <c r="RYE162" s="21"/>
      <c r="RYF162" s="21"/>
      <c r="RYG162" s="21"/>
      <c r="RYH162" s="21"/>
      <c r="RYI162" s="20"/>
      <c r="RYJ162" s="20"/>
      <c r="RYK162" s="20"/>
      <c r="RYL162" s="20"/>
      <c r="RYM162" s="21"/>
      <c r="RYN162" s="21"/>
      <c r="RYO162" s="7"/>
      <c r="RYP162" s="7"/>
      <c r="RYQ162" s="21"/>
      <c r="RYR162" s="20"/>
      <c r="RYS162" s="20"/>
      <c r="RYT162" s="20"/>
      <c r="RYU162" s="21"/>
      <c r="RYV162" s="21"/>
      <c r="RYW162" s="21"/>
      <c r="RYX162" s="21"/>
      <c r="RYY162" s="21"/>
      <c r="RYZ162" s="20"/>
      <c r="RZA162" s="20"/>
      <c r="RZB162" s="20"/>
      <c r="RZC162" s="20"/>
      <c r="RZD162" s="21"/>
      <c r="RZE162" s="21"/>
      <c r="RZF162" s="7"/>
      <c r="RZG162" s="7"/>
      <c r="RZH162" s="21"/>
      <c r="RZI162" s="20"/>
      <c r="RZJ162" s="20"/>
      <c r="RZK162" s="20"/>
      <c r="RZL162" s="21"/>
      <c r="RZM162" s="21"/>
      <c r="RZN162" s="21"/>
      <c r="RZO162" s="21"/>
      <c r="RZP162" s="21"/>
      <c r="RZQ162" s="20"/>
      <c r="RZR162" s="20"/>
      <c r="RZS162" s="20"/>
      <c r="RZT162" s="20"/>
      <c r="RZU162" s="21"/>
      <c r="RZV162" s="21"/>
      <c r="RZW162" s="7"/>
      <c r="RZX162" s="7"/>
      <c r="RZY162" s="21"/>
      <c r="RZZ162" s="20"/>
      <c r="SAA162" s="20"/>
      <c r="SAB162" s="20"/>
      <c r="SAC162" s="21"/>
      <c r="SAD162" s="21"/>
      <c r="SAE162" s="21"/>
      <c r="SAF162" s="21"/>
      <c r="SAG162" s="21"/>
      <c r="SAH162" s="20"/>
      <c r="SAI162" s="20"/>
      <c r="SAJ162" s="20"/>
      <c r="SAK162" s="20"/>
      <c r="SAL162" s="21"/>
      <c r="SAM162" s="21"/>
      <c r="SAN162" s="7"/>
      <c r="SAO162" s="7"/>
      <c r="SAP162" s="21"/>
      <c r="SAQ162" s="20"/>
      <c r="SAR162" s="20"/>
      <c r="SAS162" s="20"/>
      <c r="SAT162" s="21"/>
      <c r="SAU162" s="21"/>
      <c r="SAV162" s="21"/>
      <c r="SAW162" s="21"/>
      <c r="SAX162" s="21"/>
      <c r="SAY162" s="20"/>
      <c r="SAZ162" s="20"/>
      <c r="SBA162" s="20"/>
      <c r="SBB162" s="20"/>
      <c r="SBC162" s="21"/>
      <c r="SBD162" s="21"/>
      <c r="SBE162" s="7"/>
      <c r="SBF162" s="7"/>
      <c r="SBG162" s="21"/>
      <c r="SBH162" s="20"/>
      <c r="SBI162" s="20"/>
      <c r="SBJ162" s="20"/>
      <c r="SBK162" s="21"/>
      <c r="SBL162" s="21"/>
      <c r="SBM162" s="21"/>
      <c r="SBN162" s="21"/>
      <c r="SBO162" s="21"/>
      <c r="SBP162" s="20"/>
      <c r="SBQ162" s="20"/>
      <c r="SBR162" s="20"/>
      <c r="SBS162" s="20"/>
      <c r="SBT162" s="21"/>
      <c r="SBU162" s="21"/>
      <c r="SBV162" s="7"/>
      <c r="SBW162" s="7"/>
      <c r="SBX162" s="21"/>
      <c r="SBY162" s="20"/>
      <c r="SBZ162" s="20"/>
      <c r="SCA162" s="20"/>
      <c r="SCB162" s="21"/>
      <c r="SCC162" s="21"/>
      <c r="SCD162" s="21"/>
      <c r="SCE162" s="21"/>
      <c r="SCF162" s="21"/>
      <c r="SCG162" s="20"/>
      <c r="SCH162" s="20"/>
      <c r="SCI162" s="20"/>
      <c r="SCJ162" s="20"/>
      <c r="SCK162" s="21"/>
      <c r="SCL162" s="21"/>
      <c r="SCM162" s="7"/>
      <c r="SCN162" s="7"/>
      <c r="SCO162" s="21"/>
      <c r="SCP162" s="20"/>
      <c r="SCQ162" s="20"/>
      <c r="SCR162" s="20"/>
      <c r="SCS162" s="21"/>
      <c r="SCT162" s="21"/>
      <c r="SCU162" s="21"/>
      <c r="SCV162" s="21"/>
      <c r="SCW162" s="21"/>
      <c r="SCX162" s="20"/>
      <c r="SCY162" s="20"/>
      <c r="SCZ162" s="20"/>
      <c r="SDA162" s="20"/>
      <c r="SDB162" s="21"/>
      <c r="SDC162" s="21"/>
      <c r="SDD162" s="7"/>
      <c r="SDE162" s="7"/>
      <c r="SDF162" s="21"/>
      <c r="SDG162" s="20"/>
      <c r="SDH162" s="20"/>
      <c r="SDI162" s="20"/>
      <c r="SDJ162" s="21"/>
      <c r="SDK162" s="21"/>
      <c r="SDL162" s="21"/>
      <c r="SDM162" s="21"/>
      <c r="SDN162" s="21"/>
      <c r="SDO162" s="20"/>
      <c r="SDP162" s="20"/>
      <c r="SDQ162" s="20"/>
      <c r="SDR162" s="20"/>
      <c r="SDS162" s="21"/>
      <c r="SDT162" s="21"/>
      <c r="SDU162" s="7"/>
      <c r="SDV162" s="7"/>
      <c r="SDW162" s="21"/>
      <c r="SDX162" s="20"/>
      <c r="SDY162" s="20"/>
      <c r="SDZ162" s="20"/>
      <c r="SEA162" s="21"/>
      <c r="SEB162" s="21"/>
      <c r="SEC162" s="21"/>
      <c r="SED162" s="21"/>
      <c r="SEE162" s="21"/>
      <c r="SEF162" s="20"/>
      <c r="SEG162" s="20"/>
      <c r="SEH162" s="20"/>
      <c r="SEI162" s="20"/>
      <c r="SEJ162" s="21"/>
      <c r="SEK162" s="21"/>
      <c r="SEL162" s="7"/>
      <c r="SEM162" s="7"/>
      <c r="SEN162" s="21"/>
      <c r="SEO162" s="20"/>
      <c r="SEP162" s="20"/>
      <c r="SEQ162" s="20"/>
      <c r="SER162" s="21"/>
      <c r="SES162" s="21"/>
      <c r="SET162" s="21"/>
      <c r="SEU162" s="21"/>
      <c r="SEV162" s="21"/>
      <c r="SEW162" s="20"/>
      <c r="SEX162" s="20"/>
      <c r="SEY162" s="20"/>
      <c r="SEZ162" s="20"/>
      <c r="SFA162" s="21"/>
      <c r="SFB162" s="21"/>
      <c r="SFC162" s="7"/>
      <c r="SFD162" s="7"/>
      <c r="SFE162" s="21"/>
      <c r="SFF162" s="20"/>
      <c r="SFG162" s="20"/>
      <c r="SFH162" s="20"/>
      <c r="SFI162" s="21"/>
      <c r="SFJ162" s="21"/>
      <c r="SFK162" s="21"/>
      <c r="SFL162" s="21"/>
      <c r="SFM162" s="21"/>
      <c r="SFN162" s="20"/>
      <c r="SFO162" s="20"/>
      <c r="SFP162" s="20"/>
      <c r="SFQ162" s="20"/>
      <c r="SFR162" s="21"/>
      <c r="SFS162" s="21"/>
      <c r="SFT162" s="7"/>
      <c r="SFU162" s="7"/>
      <c r="SFV162" s="21"/>
      <c r="SFW162" s="20"/>
      <c r="SFX162" s="20"/>
      <c r="SFY162" s="20"/>
      <c r="SFZ162" s="21"/>
      <c r="SGA162" s="21"/>
      <c r="SGB162" s="21"/>
      <c r="SGC162" s="21"/>
      <c r="SGD162" s="21"/>
      <c r="SGE162" s="20"/>
      <c r="SGF162" s="20"/>
      <c r="SGG162" s="20"/>
      <c r="SGH162" s="20"/>
      <c r="SGI162" s="21"/>
      <c r="SGJ162" s="21"/>
      <c r="SGK162" s="7"/>
      <c r="SGL162" s="7"/>
      <c r="SGM162" s="21"/>
      <c r="SGN162" s="20"/>
      <c r="SGO162" s="20"/>
      <c r="SGP162" s="20"/>
      <c r="SGQ162" s="21"/>
      <c r="SGR162" s="21"/>
      <c r="SGS162" s="21"/>
      <c r="SGT162" s="21"/>
      <c r="SGU162" s="21"/>
      <c r="SGV162" s="20"/>
      <c r="SGW162" s="20"/>
      <c r="SGX162" s="20"/>
      <c r="SGY162" s="20"/>
      <c r="SGZ162" s="21"/>
      <c r="SHA162" s="21"/>
      <c r="SHB162" s="7"/>
      <c r="SHC162" s="7"/>
      <c r="SHD162" s="21"/>
      <c r="SHE162" s="20"/>
      <c r="SHF162" s="20"/>
      <c r="SHG162" s="20"/>
      <c r="SHH162" s="21"/>
      <c r="SHI162" s="21"/>
      <c r="SHJ162" s="21"/>
      <c r="SHK162" s="21"/>
      <c r="SHL162" s="21"/>
      <c r="SHM162" s="20"/>
      <c r="SHN162" s="20"/>
      <c r="SHO162" s="20"/>
      <c r="SHP162" s="20"/>
      <c r="SHQ162" s="21"/>
      <c r="SHR162" s="21"/>
      <c r="SHS162" s="7"/>
      <c r="SHT162" s="7"/>
      <c r="SHU162" s="21"/>
      <c r="SHV162" s="20"/>
      <c r="SHW162" s="20"/>
      <c r="SHX162" s="20"/>
      <c r="SHY162" s="21"/>
      <c r="SHZ162" s="21"/>
      <c r="SIA162" s="21"/>
      <c r="SIB162" s="21"/>
      <c r="SIC162" s="21"/>
      <c r="SID162" s="20"/>
      <c r="SIE162" s="20"/>
      <c r="SIF162" s="20"/>
      <c r="SIG162" s="20"/>
      <c r="SIH162" s="21"/>
      <c r="SII162" s="21"/>
      <c r="SIJ162" s="7"/>
      <c r="SIK162" s="7"/>
      <c r="SIL162" s="21"/>
      <c r="SIM162" s="20"/>
      <c r="SIN162" s="20"/>
      <c r="SIO162" s="20"/>
      <c r="SIP162" s="21"/>
      <c r="SIQ162" s="21"/>
      <c r="SIR162" s="21"/>
      <c r="SIS162" s="21"/>
      <c r="SIT162" s="21"/>
      <c r="SIU162" s="20"/>
      <c r="SIV162" s="20"/>
      <c r="SIW162" s="20"/>
      <c r="SIX162" s="20"/>
      <c r="SIY162" s="21"/>
      <c r="SIZ162" s="21"/>
      <c r="SJA162" s="7"/>
      <c r="SJB162" s="7"/>
      <c r="SJC162" s="21"/>
      <c r="SJD162" s="20"/>
      <c r="SJE162" s="20"/>
      <c r="SJF162" s="20"/>
      <c r="SJG162" s="21"/>
      <c r="SJH162" s="21"/>
      <c r="SJI162" s="21"/>
      <c r="SJJ162" s="21"/>
      <c r="SJK162" s="21"/>
      <c r="SJL162" s="20"/>
      <c r="SJM162" s="20"/>
      <c r="SJN162" s="20"/>
      <c r="SJO162" s="20"/>
      <c r="SJP162" s="21"/>
      <c r="SJQ162" s="21"/>
      <c r="SJR162" s="7"/>
      <c r="SJS162" s="7"/>
      <c r="SJT162" s="21"/>
      <c r="SJU162" s="20"/>
      <c r="SJV162" s="20"/>
      <c r="SJW162" s="20"/>
      <c r="SJX162" s="21"/>
      <c r="SJY162" s="21"/>
      <c r="SJZ162" s="21"/>
      <c r="SKA162" s="21"/>
      <c r="SKB162" s="21"/>
      <c r="SKC162" s="20"/>
      <c r="SKD162" s="20"/>
      <c r="SKE162" s="20"/>
      <c r="SKF162" s="20"/>
      <c r="SKG162" s="21"/>
      <c r="SKH162" s="21"/>
      <c r="SKI162" s="7"/>
      <c r="SKJ162" s="7"/>
      <c r="SKK162" s="21"/>
      <c r="SKL162" s="20"/>
      <c r="SKM162" s="20"/>
      <c r="SKN162" s="20"/>
      <c r="SKO162" s="21"/>
      <c r="SKP162" s="21"/>
      <c r="SKQ162" s="21"/>
      <c r="SKR162" s="21"/>
      <c r="SKS162" s="21"/>
      <c r="SKT162" s="20"/>
      <c r="SKU162" s="20"/>
      <c r="SKV162" s="20"/>
      <c r="SKW162" s="20"/>
      <c r="SKX162" s="21"/>
      <c r="SKY162" s="21"/>
      <c r="SKZ162" s="7"/>
      <c r="SLA162" s="7"/>
      <c r="SLB162" s="21"/>
      <c r="SLC162" s="20"/>
      <c r="SLD162" s="20"/>
      <c r="SLE162" s="20"/>
      <c r="SLF162" s="21"/>
      <c r="SLG162" s="21"/>
      <c r="SLH162" s="21"/>
      <c r="SLI162" s="21"/>
      <c r="SLJ162" s="21"/>
      <c r="SLK162" s="20"/>
      <c r="SLL162" s="20"/>
      <c r="SLM162" s="20"/>
      <c r="SLN162" s="20"/>
      <c r="SLO162" s="21"/>
      <c r="SLP162" s="21"/>
      <c r="SLQ162" s="7"/>
      <c r="SLR162" s="7"/>
      <c r="SLS162" s="21"/>
      <c r="SLT162" s="20"/>
      <c r="SLU162" s="20"/>
      <c r="SLV162" s="20"/>
      <c r="SLW162" s="21"/>
      <c r="SLX162" s="21"/>
      <c r="SLY162" s="21"/>
      <c r="SLZ162" s="21"/>
      <c r="SMA162" s="21"/>
      <c r="SMB162" s="20"/>
      <c r="SMC162" s="20"/>
      <c r="SMD162" s="20"/>
      <c r="SME162" s="20"/>
      <c r="SMF162" s="21"/>
      <c r="SMG162" s="21"/>
      <c r="SMH162" s="7"/>
      <c r="SMI162" s="7"/>
      <c r="SMJ162" s="21"/>
      <c r="SMK162" s="20"/>
      <c r="SML162" s="20"/>
      <c r="SMM162" s="20"/>
      <c r="SMN162" s="21"/>
      <c r="SMO162" s="21"/>
      <c r="SMP162" s="21"/>
      <c r="SMQ162" s="21"/>
      <c r="SMR162" s="21"/>
      <c r="SMS162" s="20"/>
      <c r="SMT162" s="20"/>
      <c r="SMU162" s="20"/>
      <c r="SMV162" s="20"/>
      <c r="SMW162" s="21"/>
      <c r="SMX162" s="21"/>
      <c r="SMY162" s="7"/>
      <c r="SMZ162" s="7"/>
      <c r="SNA162" s="21"/>
      <c r="SNB162" s="20"/>
      <c r="SNC162" s="20"/>
      <c r="SND162" s="20"/>
      <c r="SNE162" s="21"/>
      <c r="SNF162" s="21"/>
      <c r="SNG162" s="21"/>
      <c r="SNH162" s="21"/>
      <c r="SNI162" s="21"/>
      <c r="SNJ162" s="20"/>
      <c r="SNK162" s="20"/>
      <c r="SNL162" s="20"/>
      <c r="SNM162" s="20"/>
      <c r="SNN162" s="21"/>
      <c r="SNO162" s="21"/>
      <c r="SNP162" s="7"/>
      <c r="SNQ162" s="7"/>
      <c r="SNR162" s="21"/>
      <c r="SNS162" s="20"/>
      <c r="SNT162" s="20"/>
      <c r="SNU162" s="20"/>
      <c r="SNV162" s="21"/>
      <c r="SNW162" s="21"/>
      <c r="SNX162" s="21"/>
      <c r="SNY162" s="21"/>
      <c r="SNZ162" s="21"/>
      <c r="SOA162" s="20"/>
      <c r="SOB162" s="20"/>
      <c r="SOC162" s="20"/>
      <c r="SOD162" s="20"/>
      <c r="SOE162" s="21"/>
      <c r="SOF162" s="21"/>
      <c r="SOG162" s="7"/>
      <c r="SOH162" s="7"/>
      <c r="SOI162" s="21"/>
      <c r="SOJ162" s="20"/>
      <c r="SOK162" s="20"/>
      <c r="SOL162" s="20"/>
      <c r="SOM162" s="21"/>
      <c r="SON162" s="21"/>
      <c r="SOO162" s="21"/>
      <c r="SOP162" s="21"/>
      <c r="SOQ162" s="21"/>
      <c r="SOR162" s="20"/>
      <c r="SOS162" s="20"/>
      <c r="SOT162" s="20"/>
      <c r="SOU162" s="20"/>
      <c r="SOV162" s="21"/>
      <c r="SOW162" s="21"/>
      <c r="SOX162" s="7"/>
      <c r="SOY162" s="7"/>
      <c r="SOZ162" s="21"/>
      <c r="SPA162" s="20"/>
      <c r="SPB162" s="20"/>
      <c r="SPC162" s="20"/>
      <c r="SPD162" s="21"/>
      <c r="SPE162" s="21"/>
      <c r="SPF162" s="21"/>
      <c r="SPG162" s="21"/>
      <c r="SPH162" s="21"/>
      <c r="SPI162" s="20"/>
      <c r="SPJ162" s="20"/>
      <c r="SPK162" s="20"/>
      <c r="SPL162" s="20"/>
      <c r="SPM162" s="21"/>
      <c r="SPN162" s="21"/>
      <c r="SPO162" s="7"/>
      <c r="SPP162" s="7"/>
      <c r="SPQ162" s="21"/>
      <c r="SPR162" s="20"/>
      <c r="SPS162" s="20"/>
      <c r="SPT162" s="20"/>
      <c r="SPU162" s="21"/>
      <c r="SPV162" s="21"/>
      <c r="SPW162" s="21"/>
      <c r="SPX162" s="21"/>
      <c r="SPY162" s="21"/>
      <c r="SPZ162" s="20"/>
      <c r="SQA162" s="20"/>
      <c r="SQB162" s="20"/>
      <c r="SQC162" s="20"/>
      <c r="SQD162" s="21"/>
      <c r="SQE162" s="21"/>
      <c r="SQF162" s="7"/>
      <c r="SQG162" s="7"/>
      <c r="SQH162" s="21"/>
      <c r="SQI162" s="20"/>
      <c r="SQJ162" s="20"/>
      <c r="SQK162" s="20"/>
      <c r="SQL162" s="21"/>
      <c r="SQM162" s="21"/>
      <c r="SQN162" s="21"/>
      <c r="SQO162" s="21"/>
      <c r="SQP162" s="21"/>
      <c r="SQQ162" s="20"/>
      <c r="SQR162" s="20"/>
      <c r="SQS162" s="20"/>
      <c r="SQT162" s="20"/>
      <c r="SQU162" s="21"/>
      <c r="SQV162" s="21"/>
      <c r="SQW162" s="7"/>
      <c r="SQX162" s="7"/>
      <c r="SQY162" s="21"/>
      <c r="SQZ162" s="20"/>
      <c r="SRA162" s="20"/>
      <c r="SRB162" s="20"/>
      <c r="SRC162" s="21"/>
      <c r="SRD162" s="21"/>
      <c r="SRE162" s="21"/>
      <c r="SRF162" s="21"/>
      <c r="SRG162" s="21"/>
      <c r="SRH162" s="20"/>
      <c r="SRI162" s="20"/>
      <c r="SRJ162" s="20"/>
      <c r="SRK162" s="20"/>
      <c r="SRL162" s="21"/>
      <c r="SRM162" s="21"/>
      <c r="SRN162" s="7"/>
      <c r="SRO162" s="7"/>
      <c r="SRP162" s="21"/>
      <c r="SRQ162" s="20"/>
      <c r="SRR162" s="20"/>
      <c r="SRS162" s="20"/>
      <c r="SRT162" s="21"/>
      <c r="SRU162" s="21"/>
      <c r="SRV162" s="21"/>
      <c r="SRW162" s="21"/>
      <c r="SRX162" s="21"/>
      <c r="SRY162" s="20"/>
      <c r="SRZ162" s="20"/>
      <c r="SSA162" s="20"/>
      <c r="SSB162" s="20"/>
      <c r="SSC162" s="21"/>
      <c r="SSD162" s="21"/>
      <c r="SSE162" s="7"/>
      <c r="SSF162" s="7"/>
      <c r="SSG162" s="21"/>
      <c r="SSH162" s="20"/>
      <c r="SSI162" s="20"/>
      <c r="SSJ162" s="20"/>
      <c r="SSK162" s="21"/>
      <c r="SSL162" s="21"/>
      <c r="SSM162" s="21"/>
      <c r="SSN162" s="21"/>
      <c r="SSO162" s="21"/>
      <c r="SSP162" s="20"/>
      <c r="SSQ162" s="20"/>
      <c r="SSR162" s="20"/>
      <c r="SSS162" s="20"/>
      <c r="SST162" s="21"/>
      <c r="SSU162" s="21"/>
      <c r="SSV162" s="7"/>
      <c r="SSW162" s="7"/>
      <c r="SSX162" s="21"/>
      <c r="SSY162" s="20"/>
      <c r="SSZ162" s="20"/>
      <c r="STA162" s="20"/>
      <c r="STB162" s="21"/>
      <c r="STC162" s="21"/>
      <c r="STD162" s="21"/>
      <c r="STE162" s="21"/>
      <c r="STF162" s="21"/>
      <c r="STG162" s="20"/>
      <c r="STH162" s="20"/>
      <c r="STI162" s="20"/>
      <c r="STJ162" s="20"/>
      <c r="STK162" s="21"/>
      <c r="STL162" s="21"/>
      <c r="STM162" s="7"/>
      <c r="STN162" s="7"/>
      <c r="STO162" s="21"/>
      <c r="STP162" s="20"/>
      <c r="STQ162" s="20"/>
      <c r="STR162" s="20"/>
      <c r="STS162" s="21"/>
      <c r="STT162" s="21"/>
      <c r="STU162" s="21"/>
      <c r="STV162" s="21"/>
      <c r="STW162" s="21"/>
      <c r="STX162" s="20"/>
      <c r="STY162" s="20"/>
      <c r="STZ162" s="20"/>
      <c r="SUA162" s="20"/>
      <c r="SUB162" s="21"/>
      <c r="SUC162" s="21"/>
      <c r="SUD162" s="7"/>
      <c r="SUE162" s="7"/>
      <c r="SUF162" s="21"/>
      <c r="SUG162" s="20"/>
      <c r="SUH162" s="20"/>
      <c r="SUI162" s="20"/>
      <c r="SUJ162" s="21"/>
      <c r="SUK162" s="21"/>
      <c r="SUL162" s="21"/>
      <c r="SUM162" s="21"/>
      <c r="SUN162" s="21"/>
      <c r="SUO162" s="20"/>
      <c r="SUP162" s="20"/>
      <c r="SUQ162" s="20"/>
      <c r="SUR162" s="20"/>
      <c r="SUS162" s="21"/>
      <c r="SUT162" s="21"/>
      <c r="SUU162" s="7"/>
      <c r="SUV162" s="7"/>
      <c r="SUW162" s="21"/>
      <c r="SUX162" s="20"/>
      <c r="SUY162" s="20"/>
      <c r="SUZ162" s="20"/>
      <c r="SVA162" s="21"/>
      <c r="SVB162" s="21"/>
      <c r="SVC162" s="21"/>
      <c r="SVD162" s="21"/>
      <c r="SVE162" s="21"/>
      <c r="SVF162" s="20"/>
      <c r="SVG162" s="20"/>
      <c r="SVH162" s="20"/>
      <c r="SVI162" s="20"/>
      <c r="SVJ162" s="21"/>
      <c r="SVK162" s="21"/>
      <c r="SVL162" s="7"/>
      <c r="SVM162" s="7"/>
      <c r="SVN162" s="21"/>
      <c r="SVO162" s="20"/>
      <c r="SVP162" s="20"/>
      <c r="SVQ162" s="20"/>
      <c r="SVR162" s="21"/>
      <c r="SVS162" s="21"/>
      <c r="SVT162" s="21"/>
      <c r="SVU162" s="21"/>
      <c r="SVV162" s="21"/>
      <c r="SVW162" s="20"/>
      <c r="SVX162" s="20"/>
      <c r="SVY162" s="20"/>
      <c r="SVZ162" s="20"/>
      <c r="SWA162" s="21"/>
      <c r="SWB162" s="21"/>
      <c r="SWC162" s="7"/>
      <c r="SWD162" s="7"/>
      <c r="SWE162" s="21"/>
      <c r="SWF162" s="20"/>
      <c r="SWG162" s="20"/>
      <c r="SWH162" s="20"/>
      <c r="SWI162" s="21"/>
      <c r="SWJ162" s="21"/>
      <c r="SWK162" s="21"/>
      <c r="SWL162" s="21"/>
      <c r="SWM162" s="21"/>
      <c r="SWN162" s="20"/>
      <c r="SWO162" s="20"/>
      <c r="SWP162" s="20"/>
      <c r="SWQ162" s="20"/>
      <c r="SWR162" s="21"/>
      <c r="SWS162" s="21"/>
      <c r="SWT162" s="7"/>
      <c r="SWU162" s="7"/>
      <c r="SWV162" s="21"/>
      <c r="SWW162" s="20"/>
      <c r="SWX162" s="20"/>
      <c r="SWY162" s="20"/>
      <c r="SWZ162" s="21"/>
      <c r="SXA162" s="21"/>
      <c r="SXB162" s="21"/>
      <c r="SXC162" s="21"/>
      <c r="SXD162" s="21"/>
      <c r="SXE162" s="20"/>
      <c r="SXF162" s="20"/>
      <c r="SXG162" s="20"/>
      <c r="SXH162" s="20"/>
      <c r="SXI162" s="21"/>
      <c r="SXJ162" s="21"/>
      <c r="SXK162" s="7"/>
      <c r="SXL162" s="7"/>
      <c r="SXM162" s="21"/>
      <c r="SXN162" s="20"/>
      <c r="SXO162" s="20"/>
      <c r="SXP162" s="20"/>
      <c r="SXQ162" s="21"/>
      <c r="SXR162" s="21"/>
      <c r="SXS162" s="21"/>
      <c r="SXT162" s="21"/>
      <c r="SXU162" s="21"/>
      <c r="SXV162" s="20"/>
      <c r="SXW162" s="20"/>
      <c r="SXX162" s="20"/>
      <c r="SXY162" s="20"/>
      <c r="SXZ162" s="21"/>
      <c r="SYA162" s="21"/>
      <c r="SYB162" s="7"/>
      <c r="SYC162" s="7"/>
      <c r="SYD162" s="21"/>
      <c r="SYE162" s="20"/>
      <c r="SYF162" s="20"/>
      <c r="SYG162" s="20"/>
      <c r="SYH162" s="21"/>
      <c r="SYI162" s="21"/>
      <c r="SYJ162" s="21"/>
      <c r="SYK162" s="21"/>
      <c r="SYL162" s="21"/>
      <c r="SYM162" s="20"/>
      <c r="SYN162" s="20"/>
      <c r="SYO162" s="20"/>
      <c r="SYP162" s="20"/>
      <c r="SYQ162" s="21"/>
      <c r="SYR162" s="21"/>
      <c r="SYS162" s="7"/>
      <c r="SYT162" s="7"/>
      <c r="SYU162" s="21"/>
      <c r="SYV162" s="20"/>
      <c r="SYW162" s="20"/>
      <c r="SYX162" s="20"/>
      <c r="SYY162" s="21"/>
      <c r="SYZ162" s="21"/>
      <c r="SZA162" s="21"/>
      <c r="SZB162" s="21"/>
      <c r="SZC162" s="21"/>
      <c r="SZD162" s="20"/>
      <c r="SZE162" s="20"/>
      <c r="SZF162" s="20"/>
      <c r="SZG162" s="20"/>
      <c r="SZH162" s="21"/>
      <c r="SZI162" s="21"/>
      <c r="SZJ162" s="7"/>
      <c r="SZK162" s="7"/>
      <c r="SZL162" s="21"/>
      <c r="SZM162" s="20"/>
      <c r="SZN162" s="20"/>
      <c r="SZO162" s="20"/>
      <c r="SZP162" s="21"/>
      <c r="SZQ162" s="21"/>
      <c r="SZR162" s="21"/>
      <c r="SZS162" s="21"/>
      <c r="SZT162" s="21"/>
      <c r="SZU162" s="20"/>
      <c r="SZV162" s="20"/>
      <c r="SZW162" s="20"/>
      <c r="SZX162" s="20"/>
      <c r="SZY162" s="21"/>
      <c r="SZZ162" s="21"/>
      <c r="TAA162" s="7"/>
      <c r="TAB162" s="7"/>
      <c r="TAC162" s="21"/>
      <c r="TAD162" s="20"/>
      <c r="TAE162" s="20"/>
      <c r="TAF162" s="20"/>
      <c r="TAG162" s="21"/>
      <c r="TAH162" s="21"/>
      <c r="TAI162" s="21"/>
      <c r="TAJ162" s="21"/>
      <c r="TAK162" s="21"/>
      <c r="TAL162" s="20"/>
      <c r="TAM162" s="20"/>
      <c r="TAN162" s="20"/>
      <c r="TAO162" s="20"/>
      <c r="TAP162" s="21"/>
      <c r="TAQ162" s="21"/>
      <c r="TAR162" s="7"/>
      <c r="TAS162" s="7"/>
      <c r="TAT162" s="21"/>
      <c r="TAU162" s="20"/>
      <c r="TAV162" s="20"/>
      <c r="TAW162" s="20"/>
      <c r="TAX162" s="21"/>
      <c r="TAY162" s="21"/>
      <c r="TAZ162" s="21"/>
      <c r="TBA162" s="21"/>
      <c r="TBB162" s="21"/>
      <c r="TBC162" s="20"/>
      <c r="TBD162" s="20"/>
      <c r="TBE162" s="20"/>
      <c r="TBF162" s="20"/>
      <c r="TBG162" s="21"/>
      <c r="TBH162" s="21"/>
      <c r="TBI162" s="7"/>
      <c r="TBJ162" s="7"/>
      <c r="TBK162" s="21"/>
      <c r="TBL162" s="20"/>
      <c r="TBM162" s="20"/>
      <c r="TBN162" s="20"/>
      <c r="TBO162" s="21"/>
      <c r="TBP162" s="21"/>
      <c r="TBQ162" s="21"/>
      <c r="TBR162" s="21"/>
      <c r="TBS162" s="21"/>
      <c r="TBT162" s="20"/>
      <c r="TBU162" s="20"/>
      <c r="TBV162" s="20"/>
      <c r="TBW162" s="20"/>
      <c r="TBX162" s="21"/>
      <c r="TBY162" s="21"/>
      <c r="TBZ162" s="7"/>
      <c r="TCA162" s="7"/>
      <c r="TCB162" s="21"/>
      <c r="TCC162" s="20"/>
      <c r="TCD162" s="20"/>
      <c r="TCE162" s="20"/>
      <c r="TCF162" s="21"/>
      <c r="TCG162" s="21"/>
      <c r="TCH162" s="21"/>
      <c r="TCI162" s="21"/>
      <c r="TCJ162" s="21"/>
      <c r="TCK162" s="20"/>
      <c r="TCL162" s="20"/>
      <c r="TCM162" s="20"/>
      <c r="TCN162" s="20"/>
      <c r="TCO162" s="21"/>
      <c r="TCP162" s="21"/>
      <c r="TCQ162" s="7"/>
      <c r="TCR162" s="7"/>
      <c r="TCS162" s="21"/>
      <c r="TCT162" s="20"/>
      <c r="TCU162" s="20"/>
      <c r="TCV162" s="20"/>
      <c r="TCW162" s="21"/>
      <c r="TCX162" s="21"/>
      <c r="TCY162" s="21"/>
      <c r="TCZ162" s="21"/>
      <c r="TDA162" s="21"/>
      <c r="TDB162" s="20"/>
      <c r="TDC162" s="20"/>
      <c r="TDD162" s="20"/>
      <c r="TDE162" s="20"/>
      <c r="TDF162" s="21"/>
      <c r="TDG162" s="21"/>
      <c r="TDH162" s="7"/>
      <c r="TDI162" s="7"/>
      <c r="TDJ162" s="21"/>
      <c r="TDK162" s="20"/>
      <c r="TDL162" s="20"/>
      <c r="TDM162" s="20"/>
      <c r="TDN162" s="21"/>
      <c r="TDO162" s="21"/>
      <c r="TDP162" s="21"/>
      <c r="TDQ162" s="21"/>
      <c r="TDR162" s="21"/>
      <c r="TDS162" s="20"/>
      <c r="TDT162" s="20"/>
      <c r="TDU162" s="20"/>
      <c r="TDV162" s="20"/>
      <c r="TDW162" s="21"/>
      <c r="TDX162" s="21"/>
      <c r="TDY162" s="7"/>
      <c r="TDZ162" s="7"/>
      <c r="TEA162" s="21"/>
      <c r="TEB162" s="20"/>
      <c r="TEC162" s="20"/>
      <c r="TED162" s="20"/>
      <c r="TEE162" s="21"/>
      <c r="TEF162" s="21"/>
      <c r="TEG162" s="21"/>
      <c r="TEH162" s="21"/>
      <c r="TEI162" s="21"/>
      <c r="TEJ162" s="20"/>
      <c r="TEK162" s="20"/>
      <c r="TEL162" s="20"/>
      <c r="TEM162" s="20"/>
      <c r="TEN162" s="21"/>
      <c r="TEO162" s="21"/>
      <c r="TEP162" s="7"/>
      <c r="TEQ162" s="7"/>
      <c r="TER162" s="21"/>
      <c r="TES162" s="20"/>
      <c r="TET162" s="20"/>
      <c r="TEU162" s="20"/>
      <c r="TEV162" s="21"/>
      <c r="TEW162" s="21"/>
      <c r="TEX162" s="21"/>
      <c r="TEY162" s="21"/>
      <c r="TEZ162" s="21"/>
      <c r="TFA162" s="20"/>
      <c r="TFB162" s="20"/>
      <c r="TFC162" s="20"/>
      <c r="TFD162" s="20"/>
      <c r="TFE162" s="21"/>
      <c r="TFF162" s="21"/>
      <c r="TFG162" s="7"/>
      <c r="TFH162" s="7"/>
      <c r="TFI162" s="21"/>
      <c r="TFJ162" s="20"/>
      <c r="TFK162" s="20"/>
      <c r="TFL162" s="20"/>
      <c r="TFM162" s="21"/>
      <c r="TFN162" s="21"/>
      <c r="TFO162" s="21"/>
      <c r="TFP162" s="21"/>
      <c r="TFQ162" s="21"/>
      <c r="TFR162" s="20"/>
      <c r="TFS162" s="20"/>
      <c r="TFT162" s="20"/>
      <c r="TFU162" s="20"/>
      <c r="TFV162" s="21"/>
      <c r="TFW162" s="21"/>
      <c r="TFX162" s="7"/>
      <c r="TFY162" s="7"/>
      <c r="TFZ162" s="21"/>
      <c r="TGA162" s="20"/>
      <c r="TGB162" s="20"/>
      <c r="TGC162" s="20"/>
      <c r="TGD162" s="21"/>
      <c r="TGE162" s="21"/>
      <c r="TGF162" s="21"/>
      <c r="TGG162" s="21"/>
      <c r="TGH162" s="21"/>
      <c r="TGI162" s="20"/>
      <c r="TGJ162" s="20"/>
      <c r="TGK162" s="20"/>
      <c r="TGL162" s="20"/>
      <c r="TGM162" s="21"/>
      <c r="TGN162" s="21"/>
      <c r="TGO162" s="7"/>
      <c r="TGP162" s="7"/>
      <c r="TGQ162" s="21"/>
      <c r="TGR162" s="20"/>
      <c r="TGS162" s="20"/>
      <c r="TGT162" s="20"/>
      <c r="TGU162" s="21"/>
      <c r="TGV162" s="21"/>
      <c r="TGW162" s="21"/>
      <c r="TGX162" s="21"/>
      <c r="TGY162" s="21"/>
      <c r="TGZ162" s="20"/>
      <c r="THA162" s="20"/>
      <c r="THB162" s="20"/>
      <c r="THC162" s="20"/>
      <c r="THD162" s="21"/>
      <c r="THE162" s="21"/>
      <c r="THF162" s="7"/>
      <c r="THG162" s="7"/>
      <c r="THH162" s="21"/>
      <c r="THI162" s="20"/>
      <c r="THJ162" s="20"/>
      <c r="THK162" s="20"/>
      <c r="THL162" s="21"/>
      <c r="THM162" s="21"/>
      <c r="THN162" s="21"/>
      <c r="THO162" s="21"/>
      <c r="THP162" s="21"/>
      <c r="THQ162" s="20"/>
      <c r="THR162" s="20"/>
      <c r="THS162" s="20"/>
      <c r="THT162" s="20"/>
      <c r="THU162" s="21"/>
      <c r="THV162" s="21"/>
      <c r="THW162" s="7"/>
      <c r="THX162" s="7"/>
      <c r="THY162" s="21"/>
      <c r="THZ162" s="20"/>
      <c r="TIA162" s="20"/>
      <c r="TIB162" s="20"/>
      <c r="TIC162" s="21"/>
      <c r="TID162" s="21"/>
      <c r="TIE162" s="21"/>
      <c r="TIF162" s="21"/>
      <c r="TIG162" s="21"/>
      <c r="TIH162" s="20"/>
      <c r="TII162" s="20"/>
      <c r="TIJ162" s="20"/>
      <c r="TIK162" s="20"/>
      <c r="TIL162" s="21"/>
      <c r="TIM162" s="21"/>
      <c r="TIN162" s="7"/>
      <c r="TIO162" s="7"/>
      <c r="TIP162" s="21"/>
      <c r="TIQ162" s="20"/>
      <c r="TIR162" s="20"/>
      <c r="TIS162" s="20"/>
      <c r="TIT162" s="21"/>
      <c r="TIU162" s="21"/>
      <c r="TIV162" s="21"/>
      <c r="TIW162" s="21"/>
      <c r="TIX162" s="21"/>
      <c r="TIY162" s="20"/>
      <c r="TIZ162" s="20"/>
      <c r="TJA162" s="20"/>
      <c r="TJB162" s="20"/>
      <c r="TJC162" s="21"/>
      <c r="TJD162" s="21"/>
      <c r="TJE162" s="7"/>
      <c r="TJF162" s="7"/>
      <c r="TJG162" s="21"/>
      <c r="TJH162" s="20"/>
      <c r="TJI162" s="20"/>
      <c r="TJJ162" s="20"/>
      <c r="TJK162" s="21"/>
      <c r="TJL162" s="21"/>
      <c r="TJM162" s="21"/>
      <c r="TJN162" s="21"/>
      <c r="TJO162" s="21"/>
      <c r="TJP162" s="20"/>
      <c r="TJQ162" s="20"/>
      <c r="TJR162" s="20"/>
      <c r="TJS162" s="20"/>
      <c r="TJT162" s="21"/>
      <c r="TJU162" s="21"/>
      <c r="TJV162" s="7"/>
      <c r="TJW162" s="7"/>
      <c r="TJX162" s="21"/>
      <c r="TJY162" s="20"/>
      <c r="TJZ162" s="20"/>
      <c r="TKA162" s="20"/>
      <c r="TKB162" s="21"/>
      <c r="TKC162" s="21"/>
      <c r="TKD162" s="21"/>
      <c r="TKE162" s="21"/>
      <c r="TKF162" s="21"/>
      <c r="TKG162" s="20"/>
      <c r="TKH162" s="20"/>
      <c r="TKI162" s="20"/>
      <c r="TKJ162" s="20"/>
      <c r="TKK162" s="21"/>
      <c r="TKL162" s="21"/>
      <c r="TKM162" s="7"/>
      <c r="TKN162" s="7"/>
      <c r="TKO162" s="21"/>
      <c r="TKP162" s="20"/>
      <c r="TKQ162" s="20"/>
      <c r="TKR162" s="20"/>
      <c r="TKS162" s="21"/>
      <c r="TKT162" s="21"/>
      <c r="TKU162" s="21"/>
      <c r="TKV162" s="21"/>
      <c r="TKW162" s="21"/>
      <c r="TKX162" s="20"/>
      <c r="TKY162" s="20"/>
      <c r="TKZ162" s="20"/>
      <c r="TLA162" s="20"/>
      <c r="TLB162" s="21"/>
      <c r="TLC162" s="21"/>
      <c r="TLD162" s="7"/>
      <c r="TLE162" s="7"/>
      <c r="TLF162" s="21"/>
      <c r="TLG162" s="20"/>
      <c r="TLH162" s="20"/>
      <c r="TLI162" s="20"/>
      <c r="TLJ162" s="21"/>
      <c r="TLK162" s="21"/>
      <c r="TLL162" s="21"/>
      <c r="TLM162" s="21"/>
      <c r="TLN162" s="21"/>
      <c r="TLO162" s="20"/>
      <c r="TLP162" s="20"/>
      <c r="TLQ162" s="20"/>
      <c r="TLR162" s="20"/>
      <c r="TLS162" s="21"/>
      <c r="TLT162" s="21"/>
      <c r="TLU162" s="7"/>
      <c r="TLV162" s="7"/>
      <c r="TLW162" s="21"/>
      <c r="TLX162" s="20"/>
      <c r="TLY162" s="20"/>
      <c r="TLZ162" s="20"/>
      <c r="TMA162" s="21"/>
      <c r="TMB162" s="21"/>
      <c r="TMC162" s="21"/>
      <c r="TMD162" s="21"/>
      <c r="TME162" s="21"/>
      <c r="TMF162" s="20"/>
      <c r="TMG162" s="20"/>
      <c r="TMH162" s="20"/>
      <c r="TMI162" s="20"/>
      <c r="TMJ162" s="21"/>
      <c r="TMK162" s="21"/>
      <c r="TML162" s="7"/>
      <c r="TMM162" s="7"/>
      <c r="TMN162" s="21"/>
      <c r="TMO162" s="20"/>
      <c r="TMP162" s="20"/>
      <c r="TMQ162" s="20"/>
      <c r="TMR162" s="21"/>
      <c r="TMS162" s="21"/>
      <c r="TMT162" s="21"/>
      <c r="TMU162" s="21"/>
      <c r="TMV162" s="21"/>
      <c r="TMW162" s="20"/>
      <c r="TMX162" s="20"/>
      <c r="TMY162" s="20"/>
      <c r="TMZ162" s="20"/>
      <c r="TNA162" s="21"/>
      <c r="TNB162" s="21"/>
      <c r="TNC162" s="7"/>
      <c r="TND162" s="7"/>
      <c r="TNE162" s="21"/>
      <c r="TNF162" s="20"/>
      <c r="TNG162" s="20"/>
      <c r="TNH162" s="20"/>
      <c r="TNI162" s="21"/>
      <c r="TNJ162" s="21"/>
      <c r="TNK162" s="21"/>
      <c r="TNL162" s="21"/>
      <c r="TNM162" s="21"/>
      <c r="TNN162" s="20"/>
      <c r="TNO162" s="20"/>
      <c r="TNP162" s="20"/>
      <c r="TNQ162" s="20"/>
      <c r="TNR162" s="21"/>
      <c r="TNS162" s="21"/>
      <c r="TNT162" s="7"/>
      <c r="TNU162" s="7"/>
      <c r="TNV162" s="21"/>
      <c r="TNW162" s="20"/>
      <c r="TNX162" s="20"/>
      <c r="TNY162" s="20"/>
      <c r="TNZ162" s="21"/>
      <c r="TOA162" s="21"/>
      <c r="TOB162" s="21"/>
      <c r="TOC162" s="21"/>
      <c r="TOD162" s="21"/>
      <c r="TOE162" s="20"/>
      <c r="TOF162" s="20"/>
      <c r="TOG162" s="20"/>
      <c r="TOH162" s="20"/>
      <c r="TOI162" s="21"/>
      <c r="TOJ162" s="21"/>
      <c r="TOK162" s="7"/>
      <c r="TOL162" s="7"/>
      <c r="TOM162" s="21"/>
      <c r="TON162" s="20"/>
      <c r="TOO162" s="20"/>
      <c r="TOP162" s="20"/>
      <c r="TOQ162" s="21"/>
      <c r="TOR162" s="21"/>
      <c r="TOS162" s="21"/>
      <c r="TOT162" s="21"/>
      <c r="TOU162" s="21"/>
      <c r="TOV162" s="20"/>
      <c r="TOW162" s="20"/>
      <c r="TOX162" s="20"/>
      <c r="TOY162" s="20"/>
      <c r="TOZ162" s="21"/>
      <c r="TPA162" s="21"/>
      <c r="TPB162" s="7"/>
      <c r="TPC162" s="7"/>
      <c r="TPD162" s="21"/>
      <c r="TPE162" s="20"/>
      <c r="TPF162" s="20"/>
      <c r="TPG162" s="20"/>
      <c r="TPH162" s="21"/>
      <c r="TPI162" s="21"/>
      <c r="TPJ162" s="21"/>
      <c r="TPK162" s="21"/>
      <c r="TPL162" s="21"/>
      <c r="TPM162" s="20"/>
      <c r="TPN162" s="20"/>
      <c r="TPO162" s="20"/>
      <c r="TPP162" s="20"/>
      <c r="TPQ162" s="21"/>
      <c r="TPR162" s="21"/>
      <c r="TPS162" s="7"/>
      <c r="TPT162" s="7"/>
      <c r="TPU162" s="21"/>
      <c r="TPV162" s="20"/>
      <c r="TPW162" s="20"/>
      <c r="TPX162" s="20"/>
      <c r="TPY162" s="21"/>
      <c r="TPZ162" s="21"/>
      <c r="TQA162" s="21"/>
      <c r="TQB162" s="21"/>
      <c r="TQC162" s="21"/>
      <c r="TQD162" s="20"/>
      <c r="TQE162" s="20"/>
      <c r="TQF162" s="20"/>
      <c r="TQG162" s="20"/>
      <c r="TQH162" s="21"/>
      <c r="TQI162" s="21"/>
      <c r="TQJ162" s="7"/>
      <c r="TQK162" s="7"/>
      <c r="TQL162" s="21"/>
      <c r="TQM162" s="20"/>
      <c r="TQN162" s="20"/>
      <c r="TQO162" s="20"/>
      <c r="TQP162" s="21"/>
      <c r="TQQ162" s="21"/>
      <c r="TQR162" s="21"/>
      <c r="TQS162" s="21"/>
      <c r="TQT162" s="21"/>
      <c r="TQU162" s="20"/>
      <c r="TQV162" s="20"/>
      <c r="TQW162" s="20"/>
      <c r="TQX162" s="20"/>
      <c r="TQY162" s="21"/>
      <c r="TQZ162" s="21"/>
      <c r="TRA162" s="7"/>
      <c r="TRB162" s="7"/>
      <c r="TRC162" s="21"/>
      <c r="TRD162" s="20"/>
      <c r="TRE162" s="20"/>
      <c r="TRF162" s="20"/>
      <c r="TRG162" s="21"/>
      <c r="TRH162" s="21"/>
      <c r="TRI162" s="21"/>
      <c r="TRJ162" s="21"/>
      <c r="TRK162" s="21"/>
      <c r="TRL162" s="20"/>
      <c r="TRM162" s="20"/>
      <c r="TRN162" s="20"/>
      <c r="TRO162" s="20"/>
      <c r="TRP162" s="21"/>
      <c r="TRQ162" s="21"/>
      <c r="TRR162" s="7"/>
      <c r="TRS162" s="7"/>
      <c r="TRT162" s="21"/>
      <c r="TRU162" s="20"/>
      <c r="TRV162" s="20"/>
      <c r="TRW162" s="20"/>
      <c r="TRX162" s="21"/>
      <c r="TRY162" s="21"/>
      <c r="TRZ162" s="21"/>
      <c r="TSA162" s="21"/>
      <c r="TSB162" s="21"/>
      <c r="TSC162" s="20"/>
      <c r="TSD162" s="20"/>
      <c r="TSE162" s="20"/>
      <c r="TSF162" s="20"/>
      <c r="TSG162" s="21"/>
      <c r="TSH162" s="21"/>
      <c r="TSI162" s="7"/>
      <c r="TSJ162" s="7"/>
      <c r="TSK162" s="21"/>
      <c r="TSL162" s="20"/>
      <c r="TSM162" s="20"/>
      <c r="TSN162" s="20"/>
      <c r="TSO162" s="21"/>
      <c r="TSP162" s="21"/>
      <c r="TSQ162" s="21"/>
      <c r="TSR162" s="21"/>
      <c r="TSS162" s="21"/>
      <c r="TST162" s="20"/>
      <c r="TSU162" s="20"/>
      <c r="TSV162" s="20"/>
      <c r="TSW162" s="20"/>
      <c r="TSX162" s="21"/>
      <c r="TSY162" s="21"/>
      <c r="TSZ162" s="7"/>
      <c r="TTA162" s="7"/>
      <c r="TTB162" s="21"/>
      <c r="TTC162" s="20"/>
      <c r="TTD162" s="20"/>
      <c r="TTE162" s="20"/>
      <c r="TTF162" s="21"/>
      <c r="TTG162" s="21"/>
      <c r="TTH162" s="21"/>
      <c r="TTI162" s="21"/>
      <c r="TTJ162" s="21"/>
      <c r="TTK162" s="20"/>
      <c r="TTL162" s="20"/>
      <c r="TTM162" s="20"/>
      <c r="TTN162" s="20"/>
      <c r="TTO162" s="21"/>
      <c r="TTP162" s="21"/>
      <c r="TTQ162" s="7"/>
      <c r="TTR162" s="7"/>
      <c r="TTS162" s="21"/>
      <c r="TTT162" s="20"/>
      <c r="TTU162" s="20"/>
      <c r="TTV162" s="20"/>
      <c r="TTW162" s="21"/>
      <c r="TTX162" s="21"/>
      <c r="TTY162" s="21"/>
      <c r="TTZ162" s="21"/>
      <c r="TUA162" s="21"/>
      <c r="TUB162" s="20"/>
      <c r="TUC162" s="20"/>
      <c r="TUD162" s="20"/>
      <c r="TUE162" s="20"/>
      <c r="TUF162" s="21"/>
      <c r="TUG162" s="21"/>
      <c r="TUH162" s="7"/>
      <c r="TUI162" s="7"/>
      <c r="TUJ162" s="21"/>
      <c r="TUK162" s="20"/>
      <c r="TUL162" s="20"/>
      <c r="TUM162" s="20"/>
      <c r="TUN162" s="21"/>
      <c r="TUO162" s="21"/>
      <c r="TUP162" s="21"/>
      <c r="TUQ162" s="21"/>
      <c r="TUR162" s="21"/>
      <c r="TUS162" s="20"/>
      <c r="TUT162" s="20"/>
      <c r="TUU162" s="20"/>
      <c r="TUV162" s="20"/>
      <c r="TUW162" s="21"/>
      <c r="TUX162" s="21"/>
      <c r="TUY162" s="7"/>
      <c r="TUZ162" s="7"/>
      <c r="TVA162" s="21"/>
      <c r="TVB162" s="20"/>
      <c r="TVC162" s="20"/>
      <c r="TVD162" s="20"/>
      <c r="TVE162" s="21"/>
      <c r="TVF162" s="21"/>
      <c r="TVG162" s="21"/>
      <c r="TVH162" s="21"/>
      <c r="TVI162" s="21"/>
      <c r="TVJ162" s="20"/>
      <c r="TVK162" s="20"/>
      <c r="TVL162" s="20"/>
      <c r="TVM162" s="20"/>
      <c r="TVN162" s="21"/>
      <c r="TVO162" s="21"/>
      <c r="TVP162" s="7"/>
      <c r="TVQ162" s="7"/>
      <c r="TVR162" s="21"/>
      <c r="TVS162" s="20"/>
      <c r="TVT162" s="20"/>
      <c r="TVU162" s="20"/>
      <c r="TVV162" s="21"/>
      <c r="TVW162" s="21"/>
      <c r="TVX162" s="21"/>
      <c r="TVY162" s="21"/>
      <c r="TVZ162" s="21"/>
      <c r="TWA162" s="20"/>
      <c r="TWB162" s="20"/>
      <c r="TWC162" s="20"/>
      <c r="TWD162" s="20"/>
      <c r="TWE162" s="21"/>
      <c r="TWF162" s="21"/>
      <c r="TWG162" s="7"/>
      <c r="TWH162" s="7"/>
      <c r="TWI162" s="21"/>
      <c r="TWJ162" s="20"/>
      <c r="TWK162" s="20"/>
      <c r="TWL162" s="20"/>
      <c r="TWM162" s="21"/>
      <c r="TWN162" s="21"/>
      <c r="TWO162" s="21"/>
      <c r="TWP162" s="21"/>
      <c r="TWQ162" s="21"/>
      <c r="TWR162" s="20"/>
      <c r="TWS162" s="20"/>
      <c r="TWT162" s="20"/>
      <c r="TWU162" s="20"/>
      <c r="TWV162" s="21"/>
      <c r="TWW162" s="21"/>
      <c r="TWX162" s="7"/>
      <c r="TWY162" s="7"/>
      <c r="TWZ162" s="21"/>
      <c r="TXA162" s="20"/>
      <c r="TXB162" s="20"/>
      <c r="TXC162" s="20"/>
      <c r="TXD162" s="21"/>
      <c r="TXE162" s="21"/>
      <c r="TXF162" s="21"/>
      <c r="TXG162" s="21"/>
      <c r="TXH162" s="21"/>
      <c r="TXI162" s="20"/>
      <c r="TXJ162" s="20"/>
      <c r="TXK162" s="20"/>
      <c r="TXL162" s="20"/>
      <c r="TXM162" s="21"/>
      <c r="TXN162" s="21"/>
      <c r="TXO162" s="7"/>
      <c r="TXP162" s="7"/>
      <c r="TXQ162" s="21"/>
      <c r="TXR162" s="20"/>
      <c r="TXS162" s="20"/>
      <c r="TXT162" s="20"/>
      <c r="TXU162" s="21"/>
      <c r="TXV162" s="21"/>
      <c r="TXW162" s="21"/>
      <c r="TXX162" s="21"/>
      <c r="TXY162" s="21"/>
      <c r="TXZ162" s="20"/>
      <c r="TYA162" s="20"/>
      <c r="TYB162" s="20"/>
      <c r="TYC162" s="20"/>
      <c r="TYD162" s="21"/>
      <c r="TYE162" s="21"/>
      <c r="TYF162" s="7"/>
      <c r="TYG162" s="7"/>
      <c r="TYH162" s="21"/>
      <c r="TYI162" s="20"/>
      <c r="TYJ162" s="20"/>
      <c r="TYK162" s="20"/>
      <c r="TYL162" s="21"/>
      <c r="TYM162" s="21"/>
      <c r="TYN162" s="21"/>
      <c r="TYO162" s="21"/>
      <c r="TYP162" s="21"/>
      <c r="TYQ162" s="20"/>
      <c r="TYR162" s="20"/>
      <c r="TYS162" s="20"/>
      <c r="TYT162" s="20"/>
      <c r="TYU162" s="21"/>
      <c r="TYV162" s="21"/>
      <c r="TYW162" s="7"/>
      <c r="TYX162" s="7"/>
      <c r="TYY162" s="21"/>
      <c r="TYZ162" s="20"/>
      <c r="TZA162" s="20"/>
      <c r="TZB162" s="20"/>
      <c r="TZC162" s="21"/>
      <c r="TZD162" s="21"/>
      <c r="TZE162" s="21"/>
      <c r="TZF162" s="21"/>
      <c r="TZG162" s="21"/>
      <c r="TZH162" s="20"/>
      <c r="TZI162" s="20"/>
      <c r="TZJ162" s="20"/>
      <c r="TZK162" s="20"/>
      <c r="TZL162" s="21"/>
      <c r="TZM162" s="21"/>
      <c r="TZN162" s="7"/>
      <c r="TZO162" s="7"/>
      <c r="TZP162" s="21"/>
      <c r="TZQ162" s="20"/>
      <c r="TZR162" s="20"/>
      <c r="TZS162" s="20"/>
      <c r="TZT162" s="21"/>
      <c r="TZU162" s="21"/>
      <c r="TZV162" s="21"/>
      <c r="TZW162" s="21"/>
      <c r="TZX162" s="21"/>
      <c r="TZY162" s="20"/>
      <c r="TZZ162" s="20"/>
      <c r="UAA162" s="20"/>
      <c r="UAB162" s="20"/>
      <c r="UAC162" s="21"/>
      <c r="UAD162" s="21"/>
      <c r="UAE162" s="7"/>
      <c r="UAF162" s="7"/>
      <c r="UAG162" s="21"/>
      <c r="UAH162" s="20"/>
      <c r="UAI162" s="20"/>
      <c r="UAJ162" s="20"/>
      <c r="UAK162" s="21"/>
      <c r="UAL162" s="21"/>
      <c r="UAM162" s="21"/>
      <c r="UAN162" s="21"/>
      <c r="UAO162" s="21"/>
      <c r="UAP162" s="20"/>
      <c r="UAQ162" s="20"/>
      <c r="UAR162" s="20"/>
      <c r="UAS162" s="20"/>
      <c r="UAT162" s="21"/>
      <c r="UAU162" s="21"/>
      <c r="UAV162" s="7"/>
      <c r="UAW162" s="7"/>
      <c r="UAX162" s="21"/>
      <c r="UAY162" s="20"/>
      <c r="UAZ162" s="20"/>
      <c r="UBA162" s="20"/>
      <c r="UBB162" s="21"/>
      <c r="UBC162" s="21"/>
      <c r="UBD162" s="21"/>
      <c r="UBE162" s="21"/>
      <c r="UBF162" s="21"/>
      <c r="UBG162" s="20"/>
      <c r="UBH162" s="20"/>
      <c r="UBI162" s="20"/>
      <c r="UBJ162" s="20"/>
      <c r="UBK162" s="21"/>
      <c r="UBL162" s="21"/>
      <c r="UBM162" s="7"/>
      <c r="UBN162" s="7"/>
      <c r="UBO162" s="21"/>
      <c r="UBP162" s="20"/>
      <c r="UBQ162" s="20"/>
      <c r="UBR162" s="20"/>
      <c r="UBS162" s="21"/>
      <c r="UBT162" s="21"/>
      <c r="UBU162" s="21"/>
      <c r="UBV162" s="21"/>
      <c r="UBW162" s="21"/>
      <c r="UBX162" s="20"/>
      <c r="UBY162" s="20"/>
      <c r="UBZ162" s="20"/>
      <c r="UCA162" s="20"/>
      <c r="UCB162" s="21"/>
      <c r="UCC162" s="21"/>
      <c r="UCD162" s="7"/>
      <c r="UCE162" s="7"/>
      <c r="UCF162" s="21"/>
      <c r="UCG162" s="20"/>
      <c r="UCH162" s="20"/>
      <c r="UCI162" s="20"/>
      <c r="UCJ162" s="21"/>
      <c r="UCK162" s="21"/>
      <c r="UCL162" s="21"/>
      <c r="UCM162" s="21"/>
      <c r="UCN162" s="21"/>
      <c r="UCO162" s="20"/>
      <c r="UCP162" s="20"/>
      <c r="UCQ162" s="20"/>
      <c r="UCR162" s="20"/>
      <c r="UCS162" s="21"/>
      <c r="UCT162" s="21"/>
      <c r="UCU162" s="7"/>
      <c r="UCV162" s="7"/>
      <c r="UCW162" s="21"/>
      <c r="UCX162" s="20"/>
      <c r="UCY162" s="20"/>
      <c r="UCZ162" s="20"/>
      <c r="UDA162" s="21"/>
      <c r="UDB162" s="21"/>
      <c r="UDC162" s="21"/>
      <c r="UDD162" s="21"/>
      <c r="UDE162" s="21"/>
      <c r="UDF162" s="20"/>
      <c r="UDG162" s="20"/>
      <c r="UDH162" s="20"/>
      <c r="UDI162" s="20"/>
      <c r="UDJ162" s="21"/>
      <c r="UDK162" s="21"/>
      <c r="UDL162" s="7"/>
      <c r="UDM162" s="7"/>
      <c r="UDN162" s="21"/>
      <c r="UDO162" s="20"/>
      <c r="UDP162" s="20"/>
      <c r="UDQ162" s="20"/>
      <c r="UDR162" s="21"/>
      <c r="UDS162" s="21"/>
      <c r="UDT162" s="21"/>
      <c r="UDU162" s="21"/>
      <c r="UDV162" s="21"/>
      <c r="UDW162" s="20"/>
      <c r="UDX162" s="20"/>
      <c r="UDY162" s="20"/>
      <c r="UDZ162" s="20"/>
      <c r="UEA162" s="21"/>
      <c r="UEB162" s="21"/>
      <c r="UEC162" s="7"/>
      <c r="UED162" s="7"/>
      <c r="UEE162" s="21"/>
      <c r="UEF162" s="20"/>
      <c r="UEG162" s="20"/>
      <c r="UEH162" s="20"/>
      <c r="UEI162" s="21"/>
      <c r="UEJ162" s="21"/>
      <c r="UEK162" s="21"/>
      <c r="UEL162" s="21"/>
      <c r="UEM162" s="21"/>
      <c r="UEN162" s="20"/>
      <c r="UEO162" s="20"/>
      <c r="UEP162" s="20"/>
      <c r="UEQ162" s="20"/>
      <c r="UER162" s="21"/>
      <c r="UES162" s="21"/>
      <c r="UET162" s="7"/>
      <c r="UEU162" s="7"/>
      <c r="UEV162" s="21"/>
      <c r="UEW162" s="20"/>
      <c r="UEX162" s="20"/>
      <c r="UEY162" s="20"/>
      <c r="UEZ162" s="21"/>
      <c r="UFA162" s="21"/>
      <c r="UFB162" s="21"/>
      <c r="UFC162" s="21"/>
      <c r="UFD162" s="21"/>
      <c r="UFE162" s="20"/>
      <c r="UFF162" s="20"/>
      <c r="UFG162" s="20"/>
      <c r="UFH162" s="20"/>
      <c r="UFI162" s="21"/>
      <c r="UFJ162" s="21"/>
      <c r="UFK162" s="7"/>
      <c r="UFL162" s="7"/>
      <c r="UFM162" s="21"/>
      <c r="UFN162" s="20"/>
      <c r="UFO162" s="20"/>
      <c r="UFP162" s="20"/>
      <c r="UFQ162" s="21"/>
      <c r="UFR162" s="21"/>
      <c r="UFS162" s="21"/>
      <c r="UFT162" s="21"/>
      <c r="UFU162" s="21"/>
      <c r="UFV162" s="20"/>
      <c r="UFW162" s="20"/>
      <c r="UFX162" s="20"/>
      <c r="UFY162" s="20"/>
      <c r="UFZ162" s="21"/>
      <c r="UGA162" s="21"/>
      <c r="UGB162" s="7"/>
      <c r="UGC162" s="7"/>
      <c r="UGD162" s="21"/>
      <c r="UGE162" s="20"/>
      <c r="UGF162" s="20"/>
      <c r="UGG162" s="20"/>
      <c r="UGH162" s="21"/>
      <c r="UGI162" s="21"/>
      <c r="UGJ162" s="21"/>
      <c r="UGK162" s="21"/>
      <c r="UGL162" s="21"/>
      <c r="UGM162" s="20"/>
      <c r="UGN162" s="20"/>
      <c r="UGO162" s="20"/>
      <c r="UGP162" s="20"/>
      <c r="UGQ162" s="21"/>
      <c r="UGR162" s="21"/>
      <c r="UGS162" s="7"/>
      <c r="UGT162" s="7"/>
      <c r="UGU162" s="21"/>
      <c r="UGV162" s="20"/>
      <c r="UGW162" s="20"/>
      <c r="UGX162" s="20"/>
      <c r="UGY162" s="21"/>
      <c r="UGZ162" s="21"/>
      <c r="UHA162" s="21"/>
      <c r="UHB162" s="21"/>
      <c r="UHC162" s="21"/>
      <c r="UHD162" s="20"/>
      <c r="UHE162" s="20"/>
      <c r="UHF162" s="20"/>
      <c r="UHG162" s="20"/>
      <c r="UHH162" s="21"/>
      <c r="UHI162" s="21"/>
      <c r="UHJ162" s="7"/>
      <c r="UHK162" s="7"/>
      <c r="UHL162" s="21"/>
      <c r="UHM162" s="20"/>
      <c r="UHN162" s="20"/>
      <c r="UHO162" s="20"/>
      <c r="UHP162" s="21"/>
      <c r="UHQ162" s="21"/>
      <c r="UHR162" s="21"/>
      <c r="UHS162" s="21"/>
      <c r="UHT162" s="21"/>
      <c r="UHU162" s="20"/>
      <c r="UHV162" s="20"/>
      <c r="UHW162" s="20"/>
      <c r="UHX162" s="20"/>
      <c r="UHY162" s="21"/>
      <c r="UHZ162" s="21"/>
      <c r="UIA162" s="7"/>
      <c r="UIB162" s="7"/>
      <c r="UIC162" s="21"/>
      <c r="UID162" s="20"/>
      <c r="UIE162" s="20"/>
      <c r="UIF162" s="20"/>
      <c r="UIG162" s="21"/>
      <c r="UIH162" s="21"/>
      <c r="UII162" s="21"/>
      <c r="UIJ162" s="21"/>
      <c r="UIK162" s="21"/>
      <c r="UIL162" s="20"/>
      <c r="UIM162" s="20"/>
      <c r="UIN162" s="20"/>
      <c r="UIO162" s="20"/>
      <c r="UIP162" s="21"/>
      <c r="UIQ162" s="21"/>
      <c r="UIR162" s="7"/>
      <c r="UIS162" s="7"/>
      <c r="UIT162" s="21"/>
      <c r="UIU162" s="20"/>
      <c r="UIV162" s="20"/>
      <c r="UIW162" s="20"/>
      <c r="UIX162" s="21"/>
      <c r="UIY162" s="21"/>
      <c r="UIZ162" s="21"/>
      <c r="UJA162" s="21"/>
      <c r="UJB162" s="21"/>
      <c r="UJC162" s="20"/>
      <c r="UJD162" s="20"/>
      <c r="UJE162" s="20"/>
      <c r="UJF162" s="20"/>
      <c r="UJG162" s="21"/>
      <c r="UJH162" s="21"/>
      <c r="UJI162" s="7"/>
      <c r="UJJ162" s="7"/>
      <c r="UJK162" s="21"/>
      <c r="UJL162" s="20"/>
      <c r="UJM162" s="20"/>
      <c r="UJN162" s="20"/>
      <c r="UJO162" s="21"/>
      <c r="UJP162" s="21"/>
      <c r="UJQ162" s="21"/>
      <c r="UJR162" s="21"/>
      <c r="UJS162" s="21"/>
      <c r="UJT162" s="20"/>
      <c r="UJU162" s="20"/>
      <c r="UJV162" s="20"/>
      <c r="UJW162" s="20"/>
      <c r="UJX162" s="21"/>
      <c r="UJY162" s="21"/>
      <c r="UJZ162" s="7"/>
      <c r="UKA162" s="7"/>
      <c r="UKB162" s="21"/>
      <c r="UKC162" s="20"/>
      <c r="UKD162" s="20"/>
      <c r="UKE162" s="20"/>
      <c r="UKF162" s="21"/>
      <c r="UKG162" s="21"/>
      <c r="UKH162" s="21"/>
      <c r="UKI162" s="21"/>
      <c r="UKJ162" s="21"/>
      <c r="UKK162" s="20"/>
      <c r="UKL162" s="20"/>
      <c r="UKM162" s="20"/>
      <c r="UKN162" s="20"/>
      <c r="UKO162" s="21"/>
      <c r="UKP162" s="21"/>
      <c r="UKQ162" s="7"/>
      <c r="UKR162" s="7"/>
      <c r="UKS162" s="21"/>
      <c r="UKT162" s="20"/>
      <c r="UKU162" s="20"/>
      <c r="UKV162" s="20"/>
      <c r="UKW162" s="21"/>
      <c r="UKX162" s="21"/>
      <c r="UKY162" s="21"/>
      <c r="UKZ162" s="21"/>
      <c r="ULA162" s="21"/>
      <c r="ULB162" s="20"/>
      <c r="ULC162" s="20"/>
      <c r="ULD162" s="20"/>
      <c r="ULE162" s="20"/>
      <c r="ULF162" s="21"/>
      <c r="ULG162" s="21"/>
      <c r="ULH162" s="7"/>
      <c r="ULI162" s="7"/>
      <c r="ULJ162" s="21"/>
      <c r="ULK162" s="20"/>
      <c r="ULL162" s="20"/>
      <c r="ULM162" s="20"/>
      <c r="ULN162" s="21"/>
      <c r="ULO162" s="21"/>
      <c r="ULP162" s="21"/>
      <c r="ULQ162" s="21"/>
      <c r="ULR162" s="21"/>
      <c r="ULS162" s="20"/>
      <c r="ULT162" s="20"/>
      <c r="ULU162" s="20"/>
      <c r="ULV162" s="20"/>
      <c r="ULW162" s="21"/>
      <c r="ULX162" s="21"/>
      <c r="ULY162" s="7"/>
      <c r="ULZ162" s="7"/>
      <c r="UMA162" s="21"/>
      <c r="UMB162" s="20"/>
      <c r="UMC162" s="20"/>
      <c r="UMD162" s="20"/>
      <c r="UME162" s="21"/>
      <c r="UMF162" s="21"/>
      <c r="UMG162" s="21"/>
      <c r="UMH162" s="21"/>
      <c r="UMI162" s="21"/>
      <c r="UMJ162" s="20"/>
      <c r="UMK162" s="20"/>
      <c r="UML162" s="20"/>
      <c r="UMM162" s="20"/>
      <c r="UMN162" s="21"/>
      <c r="UMO162" s="21"/>
      <c r="UMP162" s="7"/>
      <c r="UMQ162" s="7"/>
      <c r="UMR162" s="21"/>
      <c r="UMS162" s="20"/>
      <c r="UMT162" s="20"/>
      <c r="UMU162" s="20"/>
      <c r="UMV162" s="21"/>
      <c r="UMW162" s="21"/>
      <c r="UMX162" s="21"/>
      <c r="UMY162" s="21"/>
      <c r="UMZ162" s="21"/>
      <c r="UNA162" s="20"/>
      <c r="UNB162" s="20"/>
      <c r="UNC162" s="20"/>
      <c r="UND162" s="20"/>
      <c r="UNE162" s="21"/>
      <c r="UNF162" s="21"/>
      <c r="UNG162" s="7"/>
      <c r="UNH162" s="7"/>
      <c r="UNI162" s="21"/>
      <c r="UNJ162" s="20"/>
      <c r="UNK162" s="20"/>
      <c r="UNL162" s="20"/>
      <c r="UNM162" s="21"/>
      <c r="UNN162" s="21"/>
      <c r="UNO162" s="21"/>
      <c r="UNP162" s="21"/>
      <c r="UNQ162" s="21"/>
      <c r="UNR162" s="20"/>
      <c r="UNS162" s="20"/>
      <c r="UNT162" s="20"/>
      <c r="UNU162" s="20"/>
      <c r="UNV162" s="21"/>
      <c r="UNW162" s="21"/>
      <c r="UNX162" s="7"/>
      <c r="UNY162" s="7"/>
      <c r="UNZ162" s="21"/>
      <c r="UOA162" s="20"/>
      <c r="UOB162" s="20"/>
      <c r="UOC162" s="20"/>
      <c r="UOD162" s="21"/>
      <c r="UOE162" s="21"/>
      <c r="UOF162" s="21"/>
      <c r="UOG162" s="21"/>
      <c r="UOH162" s="21"/>
      <c r="UOI162" s="20"/>
      <c r="UOJ162" s="20"/>
      <c r="UOK162" s="20"/>
      <c r="UOL162" s="20"/>
      <c r="UOM162" s="21"/>
      <c r="UON162" s="21"/>
      <c r="UOO162" s="7"/>
      <c r="UOP162" s="7"/>
      <c r="UOQ162" s="21"/>
      <c r="UOR162" s="20"/>
      <c r="UOS162" s="20"/>
      <c r="UOT162" s="20"/>
      <c r="UOU162" s="21"/>
      <c r="UOV162" s="21"/>
      <c r="UOW162" s="21"/>
      <c r="UOX162" s="21"/>
      <c r="UOY162" s="21"/>
      <c r="UOZ162" s="20"/>
      <c r="UPA162" s="20"/>
      <c r="UPB162" s="20"/>
      <c r="UPC162" s="20"/>
      <c r="UPD162" s="21"/>
      <c r="UPE162" s="21"/>
      <c r="UPF162" s="7"/>
      <c r="UPG162" s="7"/>
      <c r="UPH162" s="21"/>
      <c r="UPI162" s="20"/>
      <c r="UPJ162" s="20"/>
      <c r="UPK162" s="20"/>
      <c r="UPL162" s="21"/>
      <c r="UPM162" s="21"/>
      <c r="UPN162" s="21"/>
      <c r="UPO162" s="21"/>
      <c r="UPP162" s="21"/>
      <c r="UPQ162" s="20"/>
      <c r="UPR162" s="20"/>
      <c r="UPS162" s="20"/>
      <c r="UPT162" s="20"/>
      <c r="UPU162" s="21"/>
      <c r="UPV162" s="21"/>
      <c r="UPW162" s="7"/>
      <c r="UPX162" s="7"/>
      <c r="UPY162" s="21"/>
      <c r="UPZ162" s="20"/>
      <c r="UQA162" s="20"/>
      <c r="UQB162" s="20"/>
      <c r="UQC162" s="21"/>
      <c r="UQD162" s="21"/>
      <c r="UQE162" s="21"/>
      <c r="UQF162" s="21"/>
      <c r="UQG162" s="21"/>
      <c r="UQH162" s="20"/>
      <c r="UQI162" s="20"/>
      <c r="UQJ162" s="20"/>
      <c r="UQK162" s="20"/>
      <c r="UQL162" s="21"/>
      <c r="UQM162" s="21"/>
      <c r="UQN162" s="7"/>
      <c r="UQO162" s="7"/>
      <c r="UQP162" s="21"/>
      <c r="UQQ162" s="20"/>
      <c r="UQR162" s="20"/>
      <c r="UQS162" s="20"/>
      <c r="UQT162" s="21"/>
      <c r="UQU162" s="21"/>
      <c r="UQV162" s="21"/>
      <c r="UQW162" s="21"/>
      <c r="UQX162" s="21"/>
      <c r="UQY162" s="20"/>
      <c r="UQZ162" s="20"/>
      <c r="URA162" s="20"/>
      <c r="URB162" s="20"/>
      <c r="URC162" s="21"/>
      <c r="URD162" s="21"/>
      <c r="URE162" s="7"/>
      <c r="URF162" s="7"/>
      <c r="URG162" s="21"/>
      <c r="URH162" s="20"/>
      <c r="URI162" s="20"/>
      <c r="URJ162" s="20"/>
      <c r="URK162" s="21"/>
      <c r="URL162" s="21"/>
      <c r="URM162" s="21"/>
      <c r="URN162" s="21"/>
      <c r="URO162" s="21"/>
      <c r="URP162" s="20"/>
      <c r="URQ162" s="20"/>
      <c r="URR162" s="20"/>
      <c r="URS162" s="20"/>
      <c r="URT162" s="21"/>
      <c r="URU162" s="21"/>
      <c r="URV162" s="7"/>
      <c r="URW162" s="7"/>
      <c r="URX162" s="21"/>
      <c r="URY162" s="20"/>
      <c r="URZ162" s="20"/>
      <c r="USA162" s="20"/>
      <c r="USB162" s="21"/>
      <c r="USC162" s="21"/>
      <c r="USD162" s="21"/>
      <c r="USE162" s="21"/>
      <c r="USF162" s="21"/>
      <c r="USG162" s="20"/>
      <c r="USH162" s="20"/>
      <c r="USI162" s="20"/>
      <c r="USJ162" s="20"/>
      <c r="USK162" s="21"/>
      <c r="USL162" s="21"/>
      <c r="USM162" s="7"/>
      <c r="USN162" s="7"/>
      <c r="USO162" s="21"/>
      <c r="USP162" s="20"/>
      <c r="USQ162" s="20"/>
      <c r="USR162" s="20"/>
      <c r="USS162" s="21"/>
      <c r="UST162" s="21"/>
      <c r="USU162" s="21"/>
      <c r="USV162" s="21"/>
      <c r="USW162" s="21"/>
      <c r="USX162" s="20"/>
      <c r="USY162" s="20"/>
      <c r="USZ162" s="20"/>
      <c r="UTA162" s="20"/>
      <c r="UTB162" s="21"/>
      <c r="UTC162" s="21"/>
      <c r="UTD162" s="7"/>
      <c r="UTE162" s="7"/>
      <c r="UTF162" s="21"/>
      <c r="UTG162" s="20"/>
      <c r="UTH162" s="20"/>
      <c r="UTI162" s="20"/>
      <c r="UTJ162" s="21"/>
      <c r="UTK162" s="21"/>
      <c r="UTL162" s="21"/>
      <c r="UTM162" s="21"/>
      <c r="UTN162" s="21"/>
      <c r="UTO162" s="20"/>
      <c r="UTP162" s="20"/>
      <c r="UTQ162" s="20"/>
      <c r="UTR162" s="20"/>
      <c r="UTS162" s="21"/>
      <c r="UTT162" s="21"/>
      <c r="UTU162" s="7"/>
      <c r="UTV162" s="7"/>
      <c r="UTW162" s="21"/>
      <c r="UTX162" s="20"/>
      <c r="UTY162" s="20"/>
      <c r="UTZ162" s="20"/>
      <c r="UUA162" s="21"/>
      <c r="UUB162" s="21"/>
      <c r="UUC162" s="21"/>
      <c r="UUD162" s="21"/>
      <c r="UUE162" s="21"/>
      <c r="UUF162" s="20"/>
      <c r="UUG162" s="20"/>
      <c r="UUH162" s="20"/>
      <c r="UUI162" s="20"/>
      <c r="UUJ162" s="21"/>
      <c r="UUK162" s="21"/>
      <c r="UUL162" s="7"/>
      <c r="UUM162" s="7"/>
      <c r="UUN162" s="21"/>
      <c r="UUO162" s="20"/>
      <c r="UUP162" s="20"/>
      <c r="UUQ162" s="20"/>
      <c r="UUR162" s="21"/>
      <c r="UUS162" s="21"/>
      <c r="UUT162" s="21"/>
      <c r="UUU162" s="21"/>
      <c r="UUV162" s="21"/>
      <c r="UUW162" s="20"/>
      <c r="UUX162" s="20"/>
      <c r="UUY162" s="20"/>
      <c r="UUZ162" s="20"/>
      <c r="UVA162" s="21"/>
      <c r="UVB162" s="21"/>
      <c r="UVC162" s="7"/>
      <c r="UVD162" s="7"/>
      <c r="UVE162" s="21"/>
      <c r="UVF162" s="20"/>
      <c r="UVG162" s="20"/>
      <c r="UVH162" s="20"/>
      <c r="UVI162" s="21"/>
      <c r="UVJ162" s="21"/>
      <c r="UVK162" s="21"/>
      <c r="UVL162" s="21"/>
      <c r="UVM162" s="21"/>
      <c r="UVN162" s="20"/>
      <c r="UVO162" s="20"/>
      <c r="UVP162" s="20"/>
      <c r="UVQ162" s="20"/>
      <c r="UVR162" s="21"/>
      <c r="UVS162" s="21"/>
      <c r="UVT162" s="7"/>
      <c r="UVU162" s="7"/>
      <c r="UVV162" s="21"/>
      <c r="UVW162" s="20"/>
      <c r="UVX162" s="20"/>
      <c r="UVY162" s="20"/>
      <c r="UVZ162" s="21"/>
      <c r="UWA162" s="21"/>
      <c r="UWB162" s="21"/>
      <c r="UWC162" s="21"/>
      <c r="UWD162" s="21"/>
      <c r="UWE162" s="20"/>
      <c r="UWF162" s="20"/>
      <c r="UWG162" s="20"/>
      <c r="UWH162" s="20"/>
      <c r="UWI162" s="21"/>
      <c r="UWJ162" s="21"/>
      <c r="UWK162" s="7"/>
      <c r="UWL162" s="7"/>
      <c r="UWM162" s="21"/>
      <c r="UWN162" s="20"/>
      <c r="UWO162" s="20"/>
      <c r="UWP162" s="20"/>
      <c r="UWQ162" s="21"/>
      <c r="UWR162" s="21"/>
      <c r="UWS162" s="21"/>
      <c r="UWT162" s="21"/>
      <c r="UWU162" s="21"/>
      <c r="UWV162" s="20"/>
      <c r="UWW162" s="20"/>
      <c r="UWX162" s="20"/>
      <c r="UWY162" s="20"/>
      <c r="UWZ162" s="21"/>
      <c r="UXA162" s="21"/>
      <c r="UXB162" s="7"/>
      <c r="UXC162" s="7"/>
      <c r="UXD162" s="21"/>
      <c r="UXE162" s="20"/>
      <c r="UXF162" s="20"/>
      <c r="UXG162" s="20"/>
      <c r="UXH162" s="21"/>
      <c r="UXI162" s="21"/>
      <c r="UXJ162" s="21"/>
      <c r="UXK162" s="21"/>
      <c r="UXL162" s="21"/>
      <c r="UXM162" s="20"/>
      <c r="UXN162" s="20"/>
      <c r="UXO162" s="20"/>
      <c r="UXP162" s="20"/>
      <c r="UXQ162" s="21"/>
      <c r="UXR162" s="21"/>
      <c r="UXS162" s="7"/>
      <c r="UXT162" s="7"/>
      <c r="UXU162" s="21"/>
      <c r="UXV162" s="20"/>
      <c r="UXW162" s="20"/>
      <c r="UXX162" s="20"/>
      <c r="UXY162" s="21"/>
      <c r="UXZ162" s="21"/>
      <c r="UYA162" s="21"/>
      <c r="UYB162" s="21"/>
      <c r="UYC162" s="21"/>
      <c r="UYD162" s="20"/>
      <c r="UYE162" s="20"/>
      <c r="UYF162" s="20"/>
      <c r="UYG162" s="20"/>
      <c r="UYH162" s="21"/>
      <c r="UYI162" s="21"/>
      <c r="UYJ162" s="7"/>
      <c r="UYK162" s="7"/>
      <c r="UYL162" s="21"/>
      <c r="UYM162" s="20"/>
      <c r="UYN162" s="20"/>
      <c r="UYO162" s="20"/>
      <c r="UYP162" s="21"/>
      <c r="UYQ162" s="21"/>
      <c r="UYR162" s="21"/>
      <c r="UYS162" s="21"/>
      <c r="UYT162" s="21"/>
      <c r="UYU162" s="20"/>
      <c r="UYV162" s="20"/>
      <c r="UYW162" s="20"/>
      <c r="UYX162" s="20"/>
      <c r="UYY162" s="21"/>
      <c r="UYZ162" s="21"/>
      <c r="UZA162" s="7"/>
      <c r="UZB162" s="7"/>
      <c r="UZC162" s="21"/>
      <c r="UZD162" s="20"/>
      <c r="UZE162" s="20"/>
      <c r="UZF162" s="20"/>
      <c r="UZG162" s="21"/>
      <c r="UZH162" s="21"/>
      <c r="UZI162" s="21"/>
      <c r="UZJ162" s="21"/>
      <c r="UZK162" s="21"/>
      <c r="UZL162" s="20"/>
      <c r="UZM162" s="20"/>
      <c r="UZN162" s="20"/>
      <c r="UZO162" s="20"/>
      <c r="UZP162" s="21"/>
      <c r="UZQ162" s="21"/>
      <c r="UZR162" s="7"/>
      <c r="UZS162" s="7"/>
      <c r="UZT162" s="21"/>
      <c r="UZU162" s="20"/>
      <c r="UZV162" s="20"/>
      <c r="UZW162" s="20"/>
      <c r="UZX162" s="21"/>
      <c r="UZY162" s="21"/>
      <c r="UZZ162" s="21"/>
      <c r="VAA162" s="21"/>
      <c r="VAB162" s="21"/>
      <c r="VAC162" s="20"/>
      <c r="VAD162" s="20"/>
      <c r="VAE162" s="20"/>
      <c r="VAF162" s="20"/>
      <c r="VAG162" s="21"/>
      <c r="VAH162" s="21"/>
      <c r="VAI162" s="7"/>
      <c r="VAJ162" s="7"/>
      <c r="VAK162" s="21"/>
      <c r="VAL162" s="20"/>
      <c r="VAM162" s="20"/>
      <c r="VAN162" s="20"/>
      <c r="VAO162" s="21"/>
      <c r="VAP162" s="21"/>
      <c r="VAQ162" s="21"/>
      <c r="VAR162" s="21"/>
      <c r="VAS162" s="21"/>
      <c r="VAT162" s="20"/>
      <c r="VAU162" s="20"/>
      <c r="VAV162" s="20"/>
      <c r="VAW162" s="20"/>
      <c r="VAX162" s="21"/>
      <c r="VAY162" s="21"/>
      <c r="VAZ162" s="7"/>
      <c r="VBA162" s="7"/>
      <c r="VBB162" s="21"/>
      <c r="VBC162" s="20"/>
      <c r="VBD162" s="20"/>
      <c r="VBE162" s="20"/>
      <c r="VBF162" s="21"/>
      <c r="VBG162" s="21"/>
      <c r="VBH162" s="21"/>
      <c r="VBI162" s="21"/>
      <c r="VBJ162" s="21"/>
      <c r="VBK162" s="20"/>
      <c r="VBL162" s="20"/>
      <c r="VBM162" s="20"/>
      <c r="VBN162" s="20"/>
      <c r="VBO162" s="21"/>
      <c r="VBP162" s="21"/>
      <c r="VBQ162" s="7"/>
      <c r="VBR162" s="7"/>
      <c r="VBS162" s="21"/>
      <c r="VBT162" s="20"/>
      <c r="VBU162" s="20"/>
      <c r="VBV162" s="20"/>
      <c r="VBW162" s="21"/>
      <c r="VBX162" s="21"/>
      <c r="VBY162" s="21"/>
      <c r="VBZ162" s="21"/>
      <c r="VCA162" s="21"/>
      <c r="VCB162" s="20"/>
      <c r="VCC162" s="20"/>
      <c r="VCD162" s="20"/>
      <c r="VCE162" s="20"/>
      <c r="VCF162" s="21"/>
      <c r="VCG162" s="21"/>
      <c r="VCH162" s="7"/>
      <c r="VCI162" s="7"/>
      <c r="VCJ162" s="21"/>
      <c r="VCK162" s="20"/>
      <c r="VCL162" s="20"/>
      <c r="VCM162" s="20"/>
      <c r="VCN162" s="21"/>
      <c r="VCO162" s="21"/>
      <c r="VCP162" s="21"/>
      <c r="VCQ162" s="21"/>
      <c r="VCR162" s="21"/>
      <c r="VCS162" s="20"/>
      <c r="VCT162" s="20"/>
      <c r="VCU162" s="20"/>
      <c r="VCV162" s="20"/>
      <c r="VCW162" s="21"/>
      <c r="VCX162" s="21"/>
      <c r="VCY162" s="7"/>
      <c r="VCZ162" s="7"/>
      <c r="VDA162" s="21"/>
      <c r="VDB162" s="20"/>
      <c r="VDC162" s="20"/>
      <c r="VDD162" s="20"/>
      <c r="VDE162" s="21"/>
      <c r="VDF162" s="21"/>
      <c r="VDG162" s="21"/>
      <c r="VDH162" s="21"/>
      <c r="VDI162" s="21"/>
      <c r="VDJ162" s="20"/>
      <c r="VDK162" s="20"/>
      <c r="VDL162" s="20"/>
      <c r="VDM162" s="20"/>
      <c r="VDN162" s="21"/>
      <c r="VDO162" s="21"/>
      <c r="VDP162" s="7"/>
      <c r="VDQ162" s="7"/>
      <c r="VDR162" s="21"/>
      <c r="VDS162" s="20"/>
      <c r="VDT162" s="20"/>
      <c r="VDU162" s="20"/>
      <c r="VDV162" s="21"/>
      <c r="VDW162" s="21"/>
      <c r="VDX162" s="21"/>
      <c r="VDY162" s="21"/>
      <c r="VDZ162" s="21"/>
      <c r="VEA162" s="20"/>
      <c r="VEB162" s="20"/>
      <c r="VEC162" s="20"/>
      <c r="VED162" s="20"/>
      <c r="VEE162" s="21"/>
      <c r="VEF162" s="21"/>
      <c r="VEG162" s="7"/>
      <c r="VEH162" s="7"/>
      <c r="VEI162" s="21"/>
      <c r="VEJ162" s="20"/>
      <c r="VEK162" s="20"/>
      <c r="VEL162" s="20"/>
      <c r="VEM162" s="21"/>
      <c r="VEN162" s="21"/>
      <c r="VEO162" s="21"/>
      <c r="VEP162" s="21"/>
      <c r="VEQ162" s="21"/>
      <c r="VER162" s="20"/>
      <c r="VES162" s="20"/>
      <c r="VET162" s="20"/>
      <c r="VEU162" s="20"/>
      <c r="VEV162" s="21"/>
      <c r="VEW162" s="21"/>
      <c r="VEX162" s="7"/>
      <c r="VEY162" s="7"/>
      <c r="VEZ162" s="21"/>
      <c r="VFA162" s="20"/>
      <c r="VFB162" s="20"/>
      <c r="VFC162" s="20"/>
      <c r="VFD162" s="21"/>
      <c r="VFE162" s="21"/>
      <c r="VFF162" s="21"/>
      <c r="VFG162" s="21"/>
      <c r="VFH162" s="21"/>
      <c r="VFI162" s="20"/>
      <c r="VFJ162" s="20"/>
      <c r="VFK162" s="20"/>
      <c r="VFL162" s="20"/>
      <c r="VFM162" s="21"/>
      <c r="VFN162" s="21"/>
      <c r="VFO162" s="7"/>
      <c r="VFP162" s="7"/>
      <c r="VFQ162" s="21"/>
      <c r="VFR162" s="20"/>
      <c r="VFS162" s="20"/>
      <c r="VFT162" s="20"/>
      <c r="VFU162" s="21"/>
      <c r="VFV162" s="21"/>
      <c r="VFW162" s="21"/>
      <c r="VFX162" s="21"/>
      <c r="VFY162" s="21"/>
      <c r="VFZ162" s="20"/>
      <c r="VGA162" s="20"/>
      <c r="VGB162" s="20"/>
      <c r="VGC162" s="20"/>
      <c r="VGD162" s="21"/>
      <c r="VGE162" s="21"/>
      <c r="VGF162" s="7"/>
      <c r="VGG162" s="7"/>
      <c r="VGH162" s="21"/>
      <c r="VGI162" s="20"/>
      <c r="VGJ162" s="20"/>
      <c r="VGK162" s="20"/>
      <c r="VGL162" s="21"/>
      <c r="VGM162" s="21"/>
      <c r="VGN162" s="21"/>
      <c r="VGO162" s="21"/>
      <c r="VGP162" s="21"/>
      <c r="VGQ162" s="20"/>
      <c r="VGR162" s="20"/>
      <c r="VGS162" s="20"/>
      <c r="VGT162" s="20"/>
      <c r="VGU162" s="21"/>
      <c r="VGV162" s="21"/>
      <c r="VGW162" s="7"/>
      <c r="VGX162" s="7"/>
      <c r="VGY162" s="21"/>
      <c r="VGZ162" s="20"/>
      <c r="VHA162" s="20"/>
      <c r="VHB162" s="20"/>
      <c r="VHC162" s="21"/>
      <c r="VHD162" s="21"/>
      <c r="VHE162" s="21"/>
      <c r="VHF162" s="21"/>
      <c r="VHG162" s="21"/>
      <c r="VHH162" s="20"/>
      <c r="VHI162" s="20"/>
      <c r="VHJ162" s="20"/>
      <c r="VHK162" s="20"/>
      <c r="VHL162" s="21"/>
      <c r="VHM162" s="21"/>
      <c r="VHN162" s="7"/>
      <c r="VHO162" s="7"/>
      <c r="VHP162" s="21"/>
      <c r="VHQ162" s="20"/>
      <c r="VHR162" s="20"/>
      <c r="VHS162" s="20"/>
      <c r="VHT162" s="21"/>
      <c r="VHU162" s="21"/>
      <c r="VHV162" s="21"/>
      <c r="VHW162" s="21"/>
      <c r="VHX162" s="21"/>
      <c r="VHY162" s="20"/>
      <c r="VHZ162" s="20"/>
      <c r="VIA162" s="20"/>
      <c r="VIB162" s="20"/>
      <c r="VIC162" s="21"/>
      <c r="VID162" s="21"/>
      <c r="VIE162" s="7"/>
      <c r="VIF162" s="7"/>
      <c r="VIG162" s="21"/>
      <c r="VIH162" s="20"/>
      <c r="VII162" s="20"/>
      <c r="VIJ162" s="20"/>
      <c r="VIK162" s="21"/>
      <c r="VIL162" s="21"/>
      <c r="VIM162" s="21"/>
      <c r="VIN162" s="21"/>
      <c r="VIO162" s="21"/>
      <c r="VIP162" s="20"/>
      <c r="VIQ162" s="20"/>
      <c r="VIR162" s="20"/>
      <c r="VIS162" s="20"/>
      <c r="VIT162" s="21"/>
      <c r="VIU162" s="21"/>
      <c r="VIV162" s="7"/>
      <c r="VIW162" s="7"/>
      <c r="VIX162" s="21"/>
      <c r="VIY162" s="20"/>
      <c r="VIZ162" s="20"/>
      <c r="VJA162" s="20"/>
      <c r="VJB162" s="21"/>
      <c r="VJC162" s="21"/>
      <c r="VJD162" s="21"/>
      <c r="VJE162" s="21"/>
      <c r="VJF162" s="21"/>
      <c r="VJG162" s="20"/>
      <c r="VJH162" s="20"/>
      <c r="VJI162" s="20"/>
      <c r="VJJ162" s="20"/>
      <c r="VJK162" s="21"/>
      <c r="VJL162" s="21"/>
      <c r="VJM162" s="7"/>
      <c r="VJN162" s="7"/>
      <c r="VJO162" s="21"/>
      <c r="VJP162" s="20"/>
      <c r="VJQ162" s="20"/>
      <c r="VJR162" s="20"/>
      <c r="VJS162" s="21"/>
      <c r="VJT162" s="21"/>
      <c r="VJU162" s="21"/>
      <c r="VJV162" s="21"/>
      <c r="VJW162" s="21"/>
      <c r="VJX162" s="20"/>
      <c r="VJY162" s="20"/>
      <c r="VJZ162" s="20"/>
      <c r="VKA162" s="20"/>
      <c r="VKB162" s="21"/>
      <c r="VKC162" s="21"/>
      <c r="VKD162" s="7"/>
      <c r="VKE162" s="7"/>
      <c r="VKF162" s="21"/>
      <c r="VKG162" s="20"/>
      <c r="VKH162" s="20"/>
      <c r="VKI162" s="20"/>
      <c r="VKJ162" s="21"/>
      <c r="VKK162" s="21"/>
      <c r="VKL162" s="21"/>
      <c r="VKM162" s="21"/>
      <c r="VKN162" s="21"/>
      <c r="VKO162" s="20"/>
      <c r="VKP162" s="20"/>
      <c r="VKQ162" s="20"/>
      <c r="VKR162" s="20"/>
      <c r="VKS162" s="21"/>
      <c r="VKT162" s="21"/>
      <c r="VKU162" s="7"/>
      <c r="VKV162" s="7"/>
      <c r="VKW162" s="21"/>
      <c r="VKX162" s="20"/>
      <c r="VKY162" s="20"/>
      <c r="VKZ162" s="20"/>
      <c r="VLA162" s="21"/>
      <c r="VLB162" s="21"/>
      <c r="VLC162" s="21"/>
      <c r="VLD162" s="21"/>
      <c r="VLE162" s="21"/>
      <c r="VLF162" s="20"/>
      <c r="VLG162" s="20"/>
      <c r="VLH162" s="20"/>
      <c r="VLI162" s="20"/>
      <c r="VLJ162" s="21"/>
      <c r="VLK162" s="21"/>
      <c r="VLL162" s="7"/>
      <c r="VLM162" s="7"/>
      <c r="VLN162" s="21"/>
      <c r="VLO162" s="20"/>
      <c r="VLP162" s="20"/>
      <c r="VLQ162" s="20"/>
      <c r="VLR162" s="21"/>
      <c r="VLS162" s="21"/>
      <c r="VLT162" s="21"/>
      <c r="VLU162" s="21"/>
      <c r="VLV162" s="21"/>
      <c r="VLW162" s="20"/>
      <c r="VLX162" s="20"/>
      <c r="VLY162" s="20"/>
      <c r="VLZ162" s="20"/>
      <c r="VMA162" s="21"/>
      <c r="VMB162" s="21"/>
      <c r="VMC162" s="7"/>
      <c r="VMD162" s="7"/>
      <c r="VME162" s="21"/>
      <c r="VMF162" s="20"/>
      <c r="VMG162" s="20"/>
      <c r="VMH162" s="20"/>
      <c r="VMI162" s="21"/>
      <c r="VMJ162" s="21"/>
      <c r="VMK162" s="21"/>
      <c r="VML162" s="21"/>
      <c r="VMM162" s="21"/>
      <c r="VMN162" s="20"/>
      <c r="VMO162" s="20"/>
      <c r="VMP162" s="20"/>
      <c r="VMQ162" s="20"/>
      <c r="VMR162" s="21"/>
      <c r="VMS162" s="21"/>
      <c r="VMT162" s="7"/>
      <c r="VMU162" s="7"/>
      <c r="VMV162" s="21"/>
      <c r="VMW162" s="20"/>
      <c r="VMX162" s="20"/>
      <c r="VMY162" s="20"/>
      <c r="VMZ162" s="21"/>
      <c r="VNA162" s="21"/>
      <c r="VNB162" s="21"/>
      <c r="VNC162" s="21"/>
      <c r="VND162" s="21"/>
      <c r="VNE162" s="20"/>
      <c r="VNF162" s="20"/>
      <c r="VNG162" s="20"/>
      <c r="VNH162" s="20"/>
      <c r="VNI162" s="21"/>
      <c r="VNJ162" s="21"/>
      <c r="VNK162" s="7"/>
      <c r="VNL162" s="7"/>
      <c r="VNM162" s="21"/>
      <c r="VNN162" s="20"/>
      <c r="VNO162" s="20"/>
      <c r="VNP162" s="20"/>
      <c r="VNQ162" s="21"/>
      <c r="VNR162" s="21"/>
      <c r="VNS162" s="21"/>
      <c r="VNT162" s="21"/>
      <c r="VNU162" s="21"/>
      <c r="VNV162" s="20"/>
      <c r="VNW162" s="20"/>
      <c r="VNX162" s="20"/>
      <c r="VNY162" s="20"/>
      <c r="VNZ162" s="21"/>
      <c r="VOA162" s="21"/>
      <c r="VOB162" s="7"/>
      <c r="VOC162" s="7"/>
      <c r="VOD162" s="21"/>
      <c r="VOE162" s="20"/>
      <c r="VOF162" s="20"/>
      <c r="VOG162" s="20"/>
      <c r="VOH162" s="21"/>
      <c r="VOI162" s="21"/>
      <c r="VOJ162" s="21"/>
      <c r="VOK162" s="21"/>
      <c r="VOL162" s="21"/>
      <c r="VOM162" s="20"/>
      <c r="VON162" s="20"/>
      <c r="VOO162" s="20"/>
      <c r="VOP162" s="20"/>
      <c r="VOQ162" s="21"/>
      <c r="VOR162" s="21"/>
      <c r="VOS162" s="7"/>
      <c r="VOT162" s="7"/>
      <c r="VOU162" s="21"/>
      <c r="VOV162" s="20"/>
      <c r="VOW162" s="20"/>
      <c r="VOX162" s="20"/>
      <c r="VOY162" s="21"/>
      <c r="VOZ162" s="21"/>
      <c r="VPA162" s="21"/>
      <c r="VPB162" s="21"/>
      <c r="VPC162" s="21"/>
      <c r="VPD162" s="20"/>
      <c r="VPE162" s="20"/>
      <c r="VPF162" s="20"/>
      <c r="VPG162" s="20"/>
      <c r="VPH162" s="21"/>
      <c r="VPI162" s="21"/>
      <c r="VPJ162" s="7"/>
      <c r="VPK162" s="7"/>
      <c r="VPL162" s="21"/>
      <c r="VPM162" s="20"/>
      <c r="VPN162" s="20"/>
      <c r="VPO162" s="20"/>
      <c r="VPP162" s="21"/>
      <c r="VPQ162" s="21"/>
      <c r="VPR162" s="21"/>
      <c r="VPS162" s="21"/>
      <c r="VPT162" s="21"/>
      <c r="VPU162" s="20"/>
      <c r="VPV162" s="20"/>
      <c r="VPW162" s="20"/>
      <c r="VPX162" s="20"/>
      <c r="VPY162" s="21"/>
      <c r="VPZ162" s="21"/>
      <c r="VQA162" s="7"/>
      <c r="VQB162" s="7"/>
      <c r="VQC162" s="21"/>
      <c r="VQD162" s="20"/>
      <c r="VQE162" s="20"/>
      <c r="VQF162" s="20"/>
      <c r="VQG162" s="21"/>
      <c r="VQH162" s="21"/>
      <c r="VQI162" s="21"/>
      <c r="VQJ162" s="21"/>
      <c r="VQK162" s="21"/>
      <c r="VQL162" s="20"/>
      <c r="VQM162" s="20"/>
      <c r="VQN162" s="20"/>
      <c r="VQO162" s="20"/>
      <c r="VQP162" s="21"/>
      <c r="VQQ162" s="21"/>
      <c r="VQR162" s="7"/>
      <c r="VQS162" s="7"/>
      <c r="VQT162" s="21"/>
      <c r="VQU162" s="20"/>
      <c r="VQV162" s="20"/>
      <c r="VQW162" s="20"/>
      <c r="VQX162" s="21"/>
      <c r="VQY162" s="21"/>
      <c r="VQZ162" s="21"/>
      <c r="VRA162" s="21"/>
      <c r="VRB162" s="21"/>
      <c r="VRC162" s="20"/>
      <c r="VRD162" s="20"/>
      <c r="VRE162" s="20"/>
      <c r="VRF162" s="20"/>
      <c r="VRG162" s="21"/>
      <c r="VRH162" s="21"/>
      <c r="VRI162" s="7"/>
      <c r="VRJ162" s="7"/>
      <c r="VRK162" s="21"/>
      <c r="VRL162" s="20"/>
      <c r="VRM162" s="20"/>
      <c r="VRN162" s="20"/>
      <c r="VRO162" s="21"/>
      <c r="VRP162" s="21"/>
      <c r="VRQ162" s="21"/>
      <c r="VRR162" s="21"/>
      <c r="VRS162" s="21"/>
      <c r="VRT162" s="20"/>
      <c r="VRU162" s="20"/>
      <c r="VRV162" s="20"/>
      <c r="VRW162" s="20"/>
      <c r="VRX162" s="21"/>
      <c r="VRY162" s="21"/>
      <c r="VRZ162" s="7"/>
      <c r="VSA162" s="7"/>
      <c r="VSB162" s="21"/>
      <c r="VSC162" s="20"/>
      <c r="VSD162" s="20"/>
      <c r="VSE162" s="20"/>
      <c r="VSF162" s="21"/>
      <c r="VSG162" s="21"/>
      <c r="VSH162" s="21"/>
      <c r="VSI162" s="21"/>
      <c r="VSJ162" s="21"/>
      <c r="VSK162" s="20"/>
      <c r="VSL162" s="20"/>
      <c r="VSM162" s="20"/>
      <c r="VSN162" s="20"/>
      <c r="VSO162" s="21"/>
      <c r="VSP162" s="21"/>
      <c r="VSQ162" s="7"/>
      <c r="VSR162" s="7"/>
      <c r="VSS162" s="21"/>
      <c r="VST162" s="20"/>
      <c r="VSU162" s="20"/>
      <c r="VSV162" s="20"/>
      <c r="VSW162" s="21"/>
      <c r="VSX162" s="21"/>
      <c r="VSY162" s="21"/>
      <c r="VSZ162" s="21"/>
      <c r="VTA162" s="21"/>
      <c r="VTB162" s="20"/>
      <c r="VTC162" s="20"/>
      <c r="VTD162" s="20"/>
      <c r="VTE162" s="20"/>
      <c r="VTF162" s="21"/>
      <c r="VTG162" s="21"/>
      <c r="VTH162" s="7"/>
      <c r="VTI162" s="7"/>
      <c r="VTJ162" s="21"/>
      <c r="VTK162" s="20"/>
      <c r="VTL162" s="20"/>
      <c r="VTM162" s="20"/>
      <c r="VTN162" s="21"/>
      <c r="VTO162" s="21"/>
      <c r="VTP162" s="21"/>
      <c r="VTQ162" s="21"/>
      <c r="VTR162" s="21"/>
      <c r="VTS162" s="20"/>
      <c r="VTT162" s="20"/>
      <c r="VTU162" s="20"/>
      <c r="VTV162" s="20"/>
      <c r="VTW162" s="21"/>
      <c r="VTX162" s="21"/>
      <c r="VTY162" s="7"/>
      <c r="VTZ162" s="7"/>
      <c r="VUA162" s="21"/>
      <c r="VUB162" s="20"/>
      <c r="VUC162" s="20"/>
      <c r="VUD162" s="20"/>
      <c r="VUE162" s="21"/>
      <c r="VUF162" s="21"/>
      <c r="VUG162" s="21"/>
      <c r="VUH162" s="21"/>
      <c r="VUI162" s="21"/>
      <c r="VUJ162" s="20"/>
      <c r="VUK162" s="20"/>
      <c r="VUL162" s="20"/>
      <c r="VUM162" s="20"/>
      <c r="VUN162" s="21"/>
      <c r="VUO162" s="21"/>
      <c r="VUP162" s="7"/>
      <c r="VUQ162" s="7"/>
      <c r="VUR162" s="21"/>
      <c r="VUS162" s="20"/>
      <c r="VUT162" s="20"/>
      <c r="VUU162" s="20"/>
      <c r="VUV162" s="21"/>
      <c r="VUW162" s="21"/>
      <c r="VUX162" s="21"/>
      <c r="VUY162" s="21"/>
      <c r="VUZ162" s="21"/>
      <c r="VVA162" s="20"/>
      <c r="VVB162" s="20"/>
      <c r="VVC162" s="20"/>
      <c r="VVD162" s="20"/>
      <c r="VVE162" s="21"/>
      <c r="VVF162" s="21"/>
      <c r="VVG162" s="7"/>
      <c r="VVH162" s="7"/>
      <c r="VVI162" s="21"/>
      <c r="VVJ162" s="20"/>
      <c r="VVK162" s="20"/>
      <c r="VVL162" s="20"/>
      <c r="VVM162" s="21"/>
      <c r="VVN162" s="21"/>
      <c r="VVO162" s="21"/>
      <c r="VVP162" s="21"/>
      <c r="VVQ162" s="21"/>
      <c r="VVR162" s="20"/>
      <c r="VVS162" s="20"/>
      <c r="VVT162" s="20"/>
      <c r="VVU162" s="20"/>
      <c r="VVV162" s="21"/>
      <c r="VVW162" s="21"/>
      <c r="VVX162" s="7"/>
      <c r="VVY162" s="7"/>
      <c r="VVZ162" s="21"/>
      <c r="VWA162" s="20"/>
      <c r="VWB162" s="20"/>
      <c r="VWC162" s="20"/>
      <c r="VWD162" s="21"/>
      <c r="VWE162" s="21"/>
      <c r="VWF162" s="21"/>
      <c r="VWG162" s="21"/>
      <c r="VWH162" s="21"/>
      <c r="VWI162" s="20"/>
      <c r="VWJ162" s="20"/>
      <c r="VWK162" s="20"/>
      <c r="VWL162" s="20"/>
      <c r="VWM162" s="21"/>
      <c r="VWN162" s="21"/>
      <c r="VWO162" s="7"/>
      <c r="VWP162" s="7"/>
      <c r="VWQ162" s="21"/>
      <c r="VWR162" s="20"/>
      <c r="VWS162" s="20"/>
      <c r="VWT162" s="20"/>
      <c r="VWU162" s="21"/>
      <c r="VWV162" s="21"/>
      <c r="VWW162" s="21"/>
      <c r="VWX162" s="21"/>
      <c r="VWY162" s="21"/>
      <c r="VWZ162" s="20"/>
      <c r="VXA162" s="20"/>
      <c r="VXB162" s="20"/>
      <c r="VXC162" s="20"/>
      <c r="VXD162" s="21"/>
      <c r="VXE162" s="21"/>
      <c r="VXF162" s="7"/>
      <c r="VXG162" s="7"/>
      <c r="VXH162" s="21"/>
      <c r="VXI162" s="20"/>
      <c r="VXJ162" s="20"/>
      <c r="VXK162" s="20"/>
      <c r="VXL162" s="21"/>
      <c r="VXM162" s="21"/>
      <c r="VXN162" s="21"/>
      <c r="VXO162" s="21"/>
      <c r="VXP162" s="21"/>
      <c r="VXQ162" s="20"/>
      <c r="VXR162" s="20"/>
      <c r="VXS162" s="20"/>
      <c r="VXT162" s="20"/>
      <c r="VXU162" s="21"/>
      <c r="VXV162" s="21"/>
      <c r="VXW162" s="7"/>
      <c r="VXX162" s="7"/>
      <c r="VXY162" s="21"/>
      <c r="VXZ162" s="20"/>
      <c r="VYA162" s="20"/>
      <c r="VYB162" s="20"/>
      <c r="VYC162" s="21"/>
      <c r="VYD162" s="21"/>
      <c r="VYE162" s="21"/>
      <c r="VYF162" s="21"/>
      <c r="VYG162" s="21"/>
      <c r="VYH162" s="20"/>
      <c r="VYI162" s="20"/>
      <c r="VYJ162" s="20"/>
      <c r="VYK162" s="20"/>
      <c r="VYL162" s="21"/>
      <c r="VYM162" s="21"/>
      <c r="VYN162" s="7"/>
      <c r="VYO162" s="7"/>
      <c r="VYP162" s="21"/>
      <c r="VYQ162" s="20"/>
      <c r="VYR162" s="20"/>
      <c r="VYS162" s="20"/>
      <c r="VYT162" s="21"/>
      <c r="VYU162" s="21"/>
      <c r="VYV162" s="21"/>
      <c r="VYW162" s="21"/>
      <c r="VYX162" s="21"/>
      <c r="VYY162" s="20"/>
      <c r="VYZ162" s="20"/>
      <c r="VZA162" s="20"/>
      <c r="VZB162" s="20"/>
      <c r="VZC162" s="21"/>
      <c r="VZD162" s="21"/>
      <c r="VZE162" s="7"/>
      <c r="VZF162" s="7"/>
      <c r="VZG162" s="21"/>
      <c r="VZH162" s="20"/>
      <c r="VZI162" s="20"/>
      <c r="VZJ162" s="20"/>
      <c r="VZK162" s="21"/>
      <c r="VZL162" s="21"/>
      <c r="VZM162" s="21"/>
      <c r="VZN162" s="21"/>
      <c r="VZO162" s="21"/>
      <c r="VZP162" s="20"/>
      <c r="VZQ162" s="20"/>
      <c r="VZR162" s="20"/>
      <c r="VZS162" s="20"/>
      <c r="VZT162" s="21"/>
      <c r="VZU162" s="21"/>
      <c r="VZV162" s="7"/>
      <c r="VZW162" s="7"/>
      <c r="VZX162" s="21"/>
      <c r="VZY162" s="20"/>
      <c r="VZZ162" s="20"/>
      <c r="WAA162" s="20"/>
      <c r="WAB162" s="21"/>
      <c r="WAC162" s="21"/>
      <c r="WAD162" s="21"/>
      <c r="WAE162" s="21"/>
      <c r="WAF162" s="21"/>
      <c r="WAG162" s="20"/>
      <c r="WAH162" s="20"/>
      <c r="WAI162" s="20"/>
      <c r="WAJ162" s="20"/>
      <c r="WAK162" s="21"/>
      <c r="WAL162" s="21"/>
      <c r="WAM162" s="7"/>
      <c r="WAN162" s="7"/>
      <c r="WAO162" s="21"/>
      <c r="WAP162" s="20"/>
      <c r="WAQ162" s="20"/>
      <c r="WAR162" s="20"/>
      <c r="WAS162" s="21"/>
      <c r="WAT162" s="21"/>
      <c r="WAU162" s="21"/>
      <c r="WAV162" s="21"/>
      <c r="WAW162" s="21"/>
      <c r="WAX162" s="20"/>
      <c r="WAY162" s="20"/>
      <c r="WAZ162" s="20"/>
      <c r="WBA162" s="20"/>
      <c r="WBB162" s="21"/>
      <c r="WBC162" s="21"/>
      <c r="WBD162" s="7"/>
      <c r="WBE162" s="7"/>
      <c r="WBF162" s="21"/>
      <c r="WBG162" s="20"/>
      <c r="WBH162" s="20"/>
      <c r="WBI162" s="20"/>
      <c r="WBJ162" s="21"/>
      <c r="WBK162" s="21"/>
      <c r="WBL162" s="21"/>
      <c r="WBM162" s="21"/>
      <c r="WBN162" s="21"/>
      <c r="WBO162" s="20"/>
      <c r="WBP162" s="20"/>
      <c r="WBQ162" s="20"/>
      <c r="WBR162" s="20"/>
      <c r="WBS162" s="21"/>
      <c r="WBT162" s="21"/>
      <c r="WBU162" s="7"/>
      <c r="WBV162" s="7"/>
      <c r="WBW162" s="21"/>
      <c r="WBX162" s="20"/>
      <c r="WBY162" s="20"/>
      <c r="WBZ162" s="20"/>
      <c r="WCA162" s="21"/>
      <c r="WCB162" s="21"/>
      <c r="WCC162" s="21"/>
      <c r="WCD162" s="21"/>
      <c r="WCE162" s="21"/>
      <c r="WCF162" s="20"/>
      <c r="WCG162" s="20"/>
      <c r="WCH162" s="20"/>
      <c r="WCI162" s="20"/>
      <c r="WCJ162" s="21"/>
      <c r="WCK162" s="21"/>
      <c r="WCL162" s="7"/>
      <c r="WCM162" s="7"/>
      <c r="WCN162" s="21"/>
      <c r="WCO162" s="20"/>
      <c r="WCP162" s="20"/>
      <c r="WCQ162" s="20"/>
      <c r="WCR162" s="21"/>
      <c r="WCS162" s="21"/>
      <c r="WCT162" s="21"/>
      <c r="WCU162" s="21"/>
      <c r="WCV162" s="21"/>
      <c r="WCW162" s="20"/>
      <c r="WCX162" s="20"/>
      <c r="WCY162" s="20"/>
      <c r="WCZ162" s="20"/>
      <c r="WDA162" s="21"/>
      <c r="WDB162" s="21"/>
      <c r="WDC162" s="7"/>
      <c r="WDD162" s="7"/>
      <c r="WDE162" s="21"/>
      <c r="WDF162" s="20"/>
      <c r="WDG162" s="20"/>
      <c r="WDH162" s="20"/>
      <c r="WDI162" s="21"/>
      <c r="WDJ162" s="21"/>
      <c r="WDK162" s="21"/>
      <c r="WDL162" s="21"/>
      <c r="WDM162" s="21"/>
      <c r="WDN162" s="20"/>
      <c r="WDO162" s="20"/>
      <c r="WDP162" s="20"/>
      <c r="WDQ162" s="20"/>
      <c r="WDR162" s="21"/>
      <c r="WDS162" s="21"/>
      <c r="WDT162" s="7"/>
      <c r="WDU162" s="7"/>
      <c r="WDV162" s="21"/>
      <c r="WDW162" s="20"/>
      <c r="WDX162" s="20"/>
      <c r="WDY162" s="20"/>
      <c r="WDZ162" s="21"/>
      <c r="WEA162" s="21"/>
      <c r="WEB162" s="21"/>
      <c r="WEC162" s="21"/>
      <c r="WED162" s="21"/>
      <c r="WEE162" s="20"/>
      <c r="WEF162" s="20"/>
      <c r="WEG162" s="20"/>
      <c r="WEH162" s="20"/>
      <c r="WEI162" s="21"/>
      <c r="WEJ162" s="21"/>
      <c r="WEK162" s="7"/>
      <c r="WEL162" s="7"/>
      <c r="WEM162" s="21"/>
      <c r="WEN162" s="20"/>
      <c r="WEO162" s="20"/>
      <c r="WEP162" s="20"/>
      <c r="WEQ162" s="21"/>
      <c r="WER162" s="21"/>
      <c r="WES162" s="21"/>
      <c r="WET162" s="21"/>
      <c r="WEU162" s="21"/>
      <c r="WEV162" s="20"/>
      <c r="WEW162" s="20"/>
      <c r="WEX162" s="20"/>
      <c r="WEY162" s="20"/>
      <c r="WEZ162" s="21"/>
      <c r="WFA162" s="21"/>
      <c r="WFB162" s="7"/>
      <c r="WFC162" s="7"/>
      <c r="WFD162" s="21"/>
      <c r="WFE162" s="20"/>
      <c r="WFF162" s="20"/>
      <c r="WFG162" s="20"/>
      <c r="WFH162" s="21"/>
      <c r="WFI162" s="21"/>
      <c r="WFJ162" s="21"/>
      <c r="WFK162" s="21"/>
      <c r="WFL162" s="21"/>
      <c r="WFM162" s="20"/>
      <c r="WFN162" s="20"/>
      <c r="WFO162" s="20"/>
      <c r="WFP162" s="20"/>
      <c r="WFQ162" s="21"/>
      <c r="WFR162" s="21"/>
      <c r="WFS162" s="7"/>
      <c r="WFT162" s="7"/>
      <c r="WFU162" s="21"/>
      <c r="WFV162" s="20"/>
      <c r="WFW162" s="20"/>
      <c r="WFX162" s="20"/>
      <c r="WFY162" s="21"/>
      <c r="WFZ162" s="21"/>
      <c r="WGA162" s="21"/>
      <c r="WGB162" s="21"/>
      <c r="WGC162" s="21"/>
      <c r="WGD162" s="20"/>
      <c r="WGE162" s="20"/>
      <c r="WGF162" s="20"/>
      <c r="WGG162" s="20"/>
      <c r="WGH162" s="21"/>
      <c r="WGI162" s="21"/>
      <c r="WGJ162" s="7"/>
      <c r="WGK162" s="7"/>
      <c r="WGL162" s="21"/>
      <c r="WGM162" s="20"/>
      <c r="WGN162" s="20"/>
      <c r="WGO162" s="20"/>
      <c r="WGP162" s="21"/>
      <c r="WGQ162" s="21"/>
      <c r="WGR162" s="21"/>
      <c r="WGS162" s="21"/>
      <c r="WGT162" s="21"/>
      <c r="WGU162" s="20"/>
      <c r="WGV162" s="20"/>
      <c r="WGW162" s="20"/>
      <c r="WGX162" s="20"/>
      <c r="WGY162" s="21"/>
      <c r="WGZ162" s="21"/>
      <c r="WHA162" s="7"/>
      <c r="WHB162" s="7"/>
      <c r="WHC162" s="21"/>
      <c r="WHD162" s="20"/>
      <c r="WHE162" s="20"/>
      <c r="WHF162" s="20"/>
      <c r="WHG162" s="21"/>
      <c r="WHH162" s="21"/>
      <c r="WHI162" s="21"/>
      <c r="WHJ162" s="21"/>
      <c r="WHK162" s="21"/>
      <c r="WHL162" s="20"/>
      <c r="WHM162" s="20"/>
      <c r="WHN162" s="20"/>
      <c r="WHO162" s="20"/>
      <c r="WHP162" s="21"/>
      <c r="WHQ162" s="21"/>
      <c r="WHR162" s="7"/>
      <c r="WHS162" s="7"/>
      <c r="WHT162" s="21"/>
      <c r="WHU162" s="20"/>
      <c r="WHV162" s="20"/>
      <c r="WHW162" s="20"/>
      <c r="WHX162" s="21"/>
      <c r="WHY162" s="21"/>
      <c r="WHZ162" s="21"/>
      <c r="WIA162" s="21"/>
      <c r="WIB162" s="21"/>
      <c r="WIC162" s="20"/>
      <c r="WID162" s="20"/>
      <c r="WIE162" s="20"/>
      <c r="WIF162" s="20"/>
      <c r="WIG162" s="21"/>
      <c r="WIH162" s="21"/>
      <c r="WII162" s="7"/>
      <c r="WIJ162" s="7"/>
      <c r="WIK162" s="21"/>
      <c r="WIL162" s="20"/>
      <c r="WIM162" s="20"/>
      <c r="WIN162" s="20"/>
      <c r="WIO162" s="21"/>
      <c r="WIP162" s="21"/>
      <c r="WIQ162" s="21"/>
      <c r="WIR162" s="21"/>
      <c r="WIS162" s="21"/>
      <c r="WIT162" s="20"/>
      <c r="WIU162" s="20"/>
      <c r="WIV162" s="20"/>
      <c r="WIW162" s="20"/>
      <c r="WIX162" s="21"/>
      <c r="WIY162" s="21"/>
      <c r="WIZ162" s="7"/>
      <c r="WJA162" s="7"/>
      <c r="WJB162" s="21"/>
      <c r="WJC162" s="20"/>
      <c r="WJD162" s="20"/>
      <c r="WJE162" s="20"/>
      <c r="WJF162" s="21"/>
      <c r="WJG162" s="21"/>
      <c r="WJH162" s="21"/>
      <c r="WJI162" s="21"/>
      <c r="WJJ162" s="21"/>
      <c r="WJK162" s="20"/>
      <c r="WJL162" s="20"/>
      <c r="WJM162" s="20"/>
      <c r="WJN162" s="20"/>
      <c r="WJO162" s="21"/>
      <c r="WJP162" s="21"/>
      <c r="WJQ162" s="7"/>
      <c r="WJR162" s="7"/>
      <c r="WJS162" s="21"/>
      <c r="WJT162" s="20"/>
      <c r="WJU162" s="20"/>
      <c r="WJV162" s="20"/>
      <c r="WJW162" s="21"/>
      <c r="WJX162" s="21"/>
      <c r="WJY162" s="21"/>
      <c r="WJZ162" s="21"/>
      <c r="WKA162" s="21"/>
      <c r="WKB162" s="20"/>
      <c r="WKC162" s="20"/>
      <c r="WKD162" s="20"/>
      <c r="WKE162" s="20"/>
      <c r="WKF162" s="21"/>
      <c r="WKG162" s="21"/>
      <c r="WKH162" s="7"/>
      <c r="WKI162" s="7"/>
      <c r="WKJ162" s="21"/>
      <c r="WKK162" s="20"/>
      <c r="WKL162" s="20"/>
      <c r="WKM162" s="20"/>
      <c r="WKN162" s="21"/>
      <c r="WKO162" s="21"/>
      <c r="WKP162" s="21"/>
      <c r="WKQ162" s="21"/>
      <c r="WKR162" s="21"/>
      <c r="WKS162" s="20"/>
      <c r="WKT162" s="20"/>
      <c r="WKU162" s="20"/>
      <c r="WKV162" s="20"/>
      <c r="WKW162" s="21"/>
      <c r="WKX162" s="21"/>
      <c r="WKY162" s="7"/>
      <c r="WKZ162" s="7"/>
      <c r="WLA162" s="21"/>
      <c r="WLB162" s="20"/>
      <c r="WLC162" s="20"/>
      <c r="WLD162" s="20"/>
      <c r="WLE162" s="21"/>
      <c r="WLF162" s="21"/>
      <c r="WLG162" s="21"/>
      <c r="WLH162" s="21"/>
      <c r="WLI162" s="21"/>
      <c r="WLJ162" s="20"/>
      <c r="WLK162" s="20"/>
      <c r="WLL162" s="20"/>
      <c r="WLM162" s="20"/>
      <c r="WLN162" s="21"/>
      <c r="WLO162" s="21"/>
      <c r="WLP162" s="7"/>
      <c r="WLQ162" s="7"/>
      <c r="WLR162" s="21"/>
      <c r="WLS162" s="20"/>
      <c r="WLT162" s="20"/>
      <c r="WLU162" s="20"/>
      <c r="WLV162" s="21"/>
      <c r="WLW162" s="21"/>
      <c r="WLX162" s="21"/>
      <c r="WLY162" s="21"/>
      <c r="WLZ162" s="21"/>
      <c r="WMA162" s="20"/>
      <c r="WMB162" s="20"/>
      <c r="WMC162" s="20"/>
      <c r="WMD162" s="20"/>
      <c r="WME162" s="21"/>
      <c r="WMF162" s="21"/>
      <c r="WMG162" s="7"/>
      <c r="WMH162" s="7"/>
      <c r="WMI162" s="21"/>
      <c r="WMJ162" s="20"/>
      <c r="WMK162" s="20"/>
      <c r="WML162" s="20"/>
      <c r="WMM162" s="21"/>
      <c r="WMN162" s="21"/>
      <c r="WMO162" s="21"/>
      <c r="WMP162" s="21"/>
      <c r="WMQ162" s="21"/>
      <c r="WMR162" s="20"/>
      <c r="WMS162" s="20"/>
      <c r="WMT162" s="20"/>
      <c r="WMU162" s="20"/>
      <c r="WMV162" s="21"/>
      <c r="WMW162" s="21"/>
      <c r="WMX162" s="7"/>
      <c r="WMY162" s="7"/>
      <c r="WMZ162" s="21"/>
      <c r="WNA162" s="20"/>
      <c r="WNB162" s="20"/>
      <c r="WNC162" s="20"/>
      <c r="WND162" s="21"/>
      <c r="WNE162" s="21"/>
      <c r="WNF162" s="21"/>
      <c r="WNG162" s="21"/>
      <c r="WNH162" s="21"/>
      <c r="WNI162" s="20"/>
      <c r="WNJ162" s="20"/>
      <c r="WNK162" s="20"/>
      <c r="WNL162" s="20"/>
      <c r="WNM162" s="21"/>
      <c r="WNN162" s="21"/>
      <c r="WNO162" s="7"/>
      <c r="WNP162" s="7"/>
      <c r="WNQ162" s="21"/>
      <c r="WNR162" s="20"/>
      <c r="WNS162" s="20"/>
      <c r="WNT162" s="20"/>
      <c r="WNU162" s="21"/>
      <c r="WNV162" s="21"/>
      <c r="WNW162" s="21"/>
      <c r="WNX162" s="21"/>
      <c r="WNY162" s="21"/>
      <c r="WNZ162" s="20"/>
      <c r="WOA162" s="20"/>
      <c r="WOB162" s="20"/>
      <c r="WOC162" s="20"/>
      <c r="WOD162" s="21"/>
      <c r="WOE162" s="21"/>
      <c r="WOF162" s="7"/>
      <c r="WOG162" s="7"/>
      <c r="WOH162" s="21"/>
      <c r="WOI162" s="20"/>
      <c r="WOJ162" s="20"/>
      <c r="WOK162" s="20"/>
      <c r="WOL162" s="21"/>
      <c r="WOM162" s="21"/>
      <c r="WON162" s="21"/>
      <c r="WOO162" s="21"/>
      <c r="WOP162" s="21"/>
      <c r="WOQ162" s="20"/>
      <c r="WOR162" s="20"/>
      <c r="WOS162" s="20"/>
      <c r="WOT162" s="20"/>
      <c r="WOU162" s="21"/>
      <c r="WOV162" s="21"/>
      <c r="WOW162" s="7"/>
      <c r="WOX162" s="7"/>
      <c r="WOY162" s="21"/>
      <c r="WOZ162" s="20"/>
      <c r="WPA162" s="20"/>
      <c r="WPB162" s="20"/>
      <c r="WPC162" s="21"/>
      <c r="WPD162" s="21"/>
      <c r="WPE162" s="21"/>
      <c r="WPF162" s="21"/>
      <c r="WPG162" s="21"/>
      <c r="WPH162" s="20"/>
      <c r="WPI162" s="20"/>
      <c r="WPJ162" s="20"/>
      <c r="WPK162" s="20"/>
      <c r="WPL162" s="21"/>
      <c r="WPM162" s="21"/>
      <c r="WPN162" s="7"/>
      <c r="WPO162" s="7"/>
      <c r="WPP162" s="21"/>
      <c r="WPQ162" s="20"/>
      <c r="WPR162" s="20"/>
      <c r="WPS162" s="20"/>
      <c r="WPT162" s="21"/>
      <c r="WPU162" s="21"/>
      <c r="WPV162" s="21"/>
      <c r="WPW162" s="21"/>
      <c r="WPX162" s="21"/>
      <c r="WPY162" s="20"/>
      <c r="WPZ162" s="20"/>
      <c r="WQA162" s="20"/>
      <c r="WQB162" s="20"/>
      <c r="WQC162" s="21"/>
      <c r="WQD162" s="21"/>
      <c r="WQE162" s="7"/>
      <c r="WQF162" s="7"/>
      <c r="WQG162" s="21"/>
      <c r="WQH162" s="20"/>
      <c r="WQI162" s="20"/>
      <c r="WQJ162" s="20"/>
      <c r="WQK162" s="21"/>
      <c r="WQL162" s="21"/>
      <c r="WQM162" s="21"/>
      <c r="WQN162" s="21"/>
      <c r="WQO162" s="21"/>
      <c r="WQP162" s="20"/>
      <c r="WQQ162" s="20"/>
      <c r="WQR162" s="20"/>
      <c r="WQS162" s="20"/>
      <c r="WQT162" s="21"/>
      <c r="WQU162" s="21"/>
      <c r="WQV162" s="7"/>
      <c r="WQW162" s="7"/>
      <c r="WQX162" s="21"/>
      <c r="WQY162" s="20"/>
      <c r="WQZ162" s="20"/>
      <c r="WRA162" s="20"/>
      <c r="WRB162" s="21"/>
      <c r="WRC162" s="21"/>
      <c r="WRD162" s="21"/>
      <c r="WRE162" s="21"/>
      <c r="WRF162" s="21"/>
      <c r="WRG162" s="20"/>
      <c r="WRH162" s="20"/>
      <c r="WRI162" s="20"/>
      <c r="WRJ162" s="20"/>
      <c r="WRK162" s="21"/>
      <c r="WRL162" s="21"/>
      <c r="WRM162" s="7"/>
      <c r="WRN162" s="7"/>
      <c r="WRO162" s="21"/>
      <c r="WRP162" s="20"/>
      <c r="WRQ162" s="20"/>
      <c r="WRR162" s="20"/>
      <c r="WRS162" s="21"/>
      <c r="WRT162" s="21"/>
      <c r="WRU162" s="21"/>
      <c r="WRV162" s="21"/>
      <c r="WRW162" s="21"/>
      <c r="WRX162" s="20"/>
      <c r="WRY162" s="20"/>
      <c r="WRZ162" s="20"/>
      <c r="WSA162" s="20"/>
      <c r="WSB162" s="21"/>
      <c r="WSC162" s="21"/>
      <c r="WSD162" s="7"/>
      <c r="WSE162" s="7"/>
      <c r="WSF162" s="21"/>
      <c r="WSG162" s="20"/>
      <c r="WSH162" s="20"/>
      <c r="WSI162" s="20"/>
      <c r="WSJ162" s="21"/>
      <c r="WSK162" s="21"/>
      <c r="WSL162" s="21"/>
      <c r="WSM162" s="21"/>
      <c r="WSN162" s="21"/>
      <c r="WSO162" s="20"/>
      <c r="WSP162" s="20"/>
      <c r="WSQ162" s="20"/>
      <c r="WSR162" s="20"/>
      <c r="WSS162" s="21"/>
      <c r="WST162" s="21"/>
      <c r="WSU162" s="7"/>
      <c r="WSV162" s="7"/>
      <c r="WSW162" s="21"/>
      <c r="WSX162" s="20"/>
      <c r="WSY162" s="20"/>
      <c r="WSZ162" s="20"/>
      <c r="WTA162" s="21"/>
      <c r="WTB162" s="21"/>
      <c r="WTC162" s="21"/>
      <c r="WTD162" s="21"/>
      <c r="WTE162" s="21"/>
      <c r="WTF162" s="20"/>
      <c r="WTG162" s="20"/>
      <c r="WTH162" s="20"/>
      <c r="WTI162" s="20"/>
      <c r="WTJ162" s="21"/>
      <c r="WTK162" s="21"/>
      <c r="WTL162" s="7"/>
      <c r="WTM162" s="7"/>
      <c r="WTN162" s="21"/>
      <c r="WTO162" s="20"/>
      <c r="WTP162" s="20"/>
      <c r="WTQ162" s="20"/>
      <c r="WTR162" s="21"/>
      <c r="WTS162" s="21"/>
      <c r="WTT162" s="21"/>
      <c r="WTU162" s="21"/>
      <c r="WTV162" s="21"/>
      <c r="WTW162" s="20"/>
      <c r="WTX162" s="20"/>
      <c r="WTY162" s="20"/>
      <c r="WTZ162" s="20"/>
      <c r="WUA162" s="21"/>
      <c r="WUB162" s="21"/>
      <c r="WUC162" s="7"/>
      <c r="WUD162" s="7"/>
      <c r="WUE162" s="21"/>
      <c r="WUF162" s="20"/>
      <c r="WUG162" s="20"/>
      <c r="WUH162" s="20"/>
      <c r="WUI162" s="21"/>
      <c r="WUJ162" s="21"/>
      <c r="WUK162" s="21"/>
      <c r="WUL162" s="21"/>
      <c r="WUM162" s="21"/>
      <c r="WUN162" s="20"/>
      <c r="WUO162" s="20"/>
      <c r="WUP162" s="20"/>
      <c r="WUQ162" s="20"/>
      <c r="WUR162" s="21"/>
      <c r="WUS162" s="21"/>
      <c r="WUT162" s="7"/>
      <c r="WUU162" s="7"/>
      <c r="WUV162" s="21"/>
      <c r="WUW162" s="20"/>
      <c r="WUX162" s="20"/>
      <c r="WUY162" s="20"/>
      <c r="WUZ162" s="21"/>
      <c r="WVA162" s="21"/>
      <c r="WVB162" s="21"/>
      <c r="WVC162" s="21"/>
      <c r="WVD162" s="21"/>
      <c r="WVE162" s="20"/>
      <c r="WVF162" s="20"/>
      <c r="WVG162" s="20"/>
      <c r="WVH162" s="20"/>
      <c r="WVI162" s="21"/>
      <c r="WVJ162" s="21"/>
      <c r="WVK162" s="7"/>
      <c r="WVL162" s="7"/>
      <c r="WVM162" s="21"/>
      <c r="WVN162" s="20"/>
      <c r="WVO162" s="20"/>
      <c r="WVP162" s="20"/>
      <c r="WVQ162" s="21"/>
      <c r="WVR162" s="21"/>
      <c r="WVS162" s="21"/>
      <c r="WVT162" s="21"/>
      <c r="WVU162" s="21"/>
      <c r="WVV162" s="20"/>
      <c r="WVW162" s="20"/>
      <c r="WVX162" s="20"/>
      <c r="WVY162" s="20"/>
      <c r="WVZ162" s="21"/>
      <c r="WWA162" s="21"/>
      <c r="WWB162" s="7"/>
      <c r="WWC162" s="7"/>
      <c r="WWD162" s="21"/>
      <c r="WWE162" s="20"/>
      <c r="WWF162" s="20"/>
      <c r="WWG162" s="20"/>
      <c r="WWH162" s="21"/>
      <c r="WWI162" s="21"/>
      <c r="WWJ162" s="21"/>
      <c r="WWK162" s="21"/>
      <c r="WWL162" s="21"/>
      <c r="WWM162" s="20"/>
      <c r="WWN162" s="20"/>
      <c r="WWO162" s="20"/>
      <c r="WWP162" s="20"/>
      <c r="WWQ162" s="21"/>
      <c r="WWR162" s="21"/>
      <c r="WWS162" s="7"/>
      <c r="WWT162" s="7"/>
      <c r="WWU162" s="21"/>
      <c r="WWV162" s="20"/>
      <c r="WWW162" s="20"/>
      <c r="WWX162" s="20"/>
      <c r="WWY162" s="21"/>
      <c r="WWZ162" s="21"/>
      <c r="WXA162" s="21"/>
      <c r="WXB162" s="21"/>
      <c r="WXC162" s="21"/>
      <c r="WXD162" s="20"/>
      <c r="WXE162" s="20"/>
      <c r="WXF162" s="20"/>
      <c r="WXG162" s="20"/>
      <c r="WXH162" s="21"/>
      <c r="WXI162" s="21"/>
      <c r="WXJ162" s="7"/>
      <c r="WXK162" s="7"/>
      <c r="WXL162" s="21"/>
      <c r="WXM162" s="20"/>
      <c r="WXN162" s="20"/>
      <c r="WXO162" s="20"/>
      <c r="WXP162" s="21"/>
      <c r="WXQ162" s="21"/>
      <c r="WXR162" s="21"/>
      <c r="WXS162" s="21"/>
      <c r="WXT162" s="21"/>
      <c r="WXU162" s="20"/>
      <c r="WXV162" s="20"/>
      <c r="WXW162" s="20"/>
      <c r="WXX162" s="20"/>
      <c r="WXY162" s="21"/>
      <c r="WXZ162" s="21"/>
      <c r="WYA162" s="7"/>
      <c r="WYB162" s="7"/>
      <c r="WYC162" s="21"/>
      <c r="WYD162" s="20"/>
      <c r="WYE162" s="20"/>
      <c r="WYF162" s="20"/>
      <c r="WYG162" s="21"/>
      <c r="WYH162" s="21"/>
      <c r="WYI162" s="21"/>
      <c r="WYJ162" s="21"/>
      <c r="WYK162" s="21"/>
      <c r="WYL162" s="20"/>
      <c r="WYM162" s="20"/>
      <c r="WYN162" s="20"/>
      <c r="WYO162" s="20"/>
      <c r="WYP162" s="21"/>
      <c r="WYQ162" s="21"/>
      <c r="WYR162" s="7"/>
      <c r="WYS162" s="7"/>
      <c r="WYT162" s="21"/>
      <c r="WYU162" s="20"/>
      <c r="WYV162" s="20"/>
      <c r="WYW162" s="20"/>
      <c r="WYX162" s="21"/>
      <c r="WYY162" s="21"/>
      <c r="WYZ162" s="21"/>
      <c r="WZA162" s="21"/>
      <c r="WZB162" s="21"/>
      <c r="WZC162" s="20"/>
      <c r="WZD162" s="20"/>
      <c r="WZE162" s="20"/>
      <c r="WZF162" s="20"/>
      <c r="WZG162" s="21"/>
      <c r="WZH162" s="21"/>
      <c r="WZI162" s="7"/>
      <c r="WZJ162" s="7"/>
      <c r="WZK162" s="21"/>
      <c r="WZL162" s="20"/>
      <c r="WZM162" s="20"/>
      <c r="WZN162" s="20"/>
      <c r="WZO162" s="21"/>
      <c r="WZP162" s="21"/>
      <c r="WZQ162" s="21"/>
      <c r="WZR162" s="21"/>
      <c r="WZS162" s="21"/>
      <c r="WZT162" s="20"/>
      <c r="WZU162" s="20"/>
      <c r="WZV162" s="20"/>
      <c r="WZW162" s="20"/>
      <c r="WZX162" s="21"/>
      <c r="WZY162" s="21"/>
      <c r="WZZ162" s="7"/>
      <c r="XAA162" s="7"/>
      <c r="XAB162" s="21"/>
      <c r="XAC162" s="20"/>
      <c r="XAD162" s="20"/>
      <c r="XAE162" s="20"/>
      <c r="XAF162" s="21"/>
      <c r="XAG162" s="21"/>
      <c r="XAH162" s="21"/>
      <c r="XAI162" s="21"/>
      <c r="XAJ162" s="21"/>
      <c r="XAK162" s="20"/>
      <c r="XAL162" s="20"/>
      <c r="XAM162" s="20"/>
      <c r="XAN162" s="20"/>
      <c r="XAO162" s="21"/>
      <c r="XAP162" s="21"/>
      <c r="XAQ162" s="7"/>
      <c r="XAR162" s="7"/>
      <c r="XAS162" s="21"/>
      <c r="XAT162" s="20"/>
      <c r="XAU162" s="20"/>
      <c r="XAV162" s="20"/>
      <c r="XAW162" s="21"/>
      <c r="XAX162" s="21"/>
      <c r="XAY162" s="21"/>
      <c r="XAZ162" s="21"/>
      <c r="XBA162" s="21"/>
      <c r="XBB162" s="20"/>
      <c r="XBC162" s="20"/>
      <c r="XBD162" s="20"/>
      <c r="XBE162" s="20"/>
      <c r="XBF162" s="21"/>
      <c r="XBG162" s="21"/>
      <c r="XBH162" s="7"/>
      <c r="XBI162" s="7"/>
      <c r="XBJ162" s="21"/>
      <c r="XBK162" s="20"/>
      <c r="XBL162" s="20"/>
      <c r="XBM162" s="20"/>
      <c r="XBN162" s="21"/>
      <c r="XBO162" s="21"/>
      <c r="XBP162" s="21"/>
      <c r="XBQ162" s="21"/>
      <c r="XBR162" s="21"/>
      <c r="XBS162" s="20"/>
      <c r="XBT162" s="20"/>
      <c r="XBU162" s="20"/>
      <c r="XBV162" s="20"/>
      <c r="XBW162" s="21"/>
      <c r="XBX162" s="21"/>
      <c r="XBY162" s="7"/>
      <c r="XBZ162" s="7"/>
      <c r="XCA162" s="21"/>
      <c r="XCB162" s="20"/>
      <c r="XCC162" s="20"/>
      <c r="XCD162" s="20"/>
      <c r="XCE162" s="21"/>
      <c r="XCF162" s="21"/>
      <c r="XCG162" s="21"/>
      <c r="XCH162" s="21"/>
      <c r="XCI162" s="21"/>
      <c r="XCJ162" s="20"/>
      <c r="XCK162" s="20"/>
      <c r="XCL162" s="20"/>
      <c r="XCM162" s="20"/>
      <c r="XCN162" s="21"/>
      <c r="XCO162" s="21"/>
      <c r="XCP162" s="7"/>
      <c r="XCQ162" s="7"/>
      <c r="XCR162" s="21"/>
      <c r="XCS162" s="20"/>
      <c r="XCT162" s="20"/>
      <c r="XCU162" s="20"/>
      <c r="XCV162" s="21"/>
      <c r="XCW162" s="21"/>
      <c r="XCX162" s="21"/>
      <c r="XCY162" s="21"/>
      <c r="XCZ162" s="21"/>
      <c r="XDA162" s="20"/>
      <c r="XDB162" s="20"/>
      <c r="XDC162" s="20"/>
      <c r="XDD162" s="20"/>
      <c r="XDE162" s="21"/>
      <c r="XDF162" s="21"/>
      <c r="XDG162" s="7"/>
      <c r="XDH162" s="7"/>
      <c r="XDI162" s="21"/>
      <c r="XDJ162" s="20"/>
      <c r="XDK162" s="20"/>
      <c r="XDL162" s="20"/>
      <c r="XDM162" s="21"/>
      <c r="XDN162" s="21"/>
      <c r="XDO162" s="21"/>
      <c r="XDP162" s="21"/>
      <c r="XDQ162" s="21"/>
      <c r="XDR162" s="20"/>
      <c r="XDS162" s="20"/>
      <c r="XDT162" s="20"/>
      <c r="XDU162" s="20"/>
      <c r="XDV162" s="21"/>
      <c r="XDW162" s="21"/>
      <c r="XDX162" s="7"/>
      <c r="XDY162" s="7"/>
      <c r="XDZ162" s="21"/>
      <c r="XEA162" s="20"/>
      <c r="XEB162" s="20"/>
      <c r="XEC162" s="20"/>
      <c r="XED162" s="21"/>
      <c r="XEE162" s="21"/>
      <c r="XEF162" s="21"/>
      <c r="XEG162" s="21"/>
      <c r="XEH162" s="21"/>
      <c r="XEI162" s="20"/>
      <c r="XEJ162" s="20"/>
      <c r="XEK162" s="20"/>
      <c r="XEL162" s="20"/>
      <c r="XEM162" s="21"/>
      <c r="XEN162" s="21"/>
      <c r="XEO162" s="7"/>
      <c r="XEP162" s="7"/>
      <c r="XEQ162" s="21"/>
      <c r="XER162" s="20"/>
      <c r="XES162" s="20"/>
      <c r="XET162" s="20"/>
      <c r="XEU162" s="21"/>
      <c r="XEV162" s="21"/>
      <c r="XEW162" s="21"/>
      <c r="XEX162" s="21"/>
      <c r="XEY162" s="21"/>
      <c r="XEZ162" s="20"/>
      <c r="XFA162" s="20"/>
      <c r="XFB162" s="20"/>
      <c r="XFC162" s="20"/>
      <c r="XFD162" s="21"/>
    </row>
    <row r="163" spans="1:16384" s="3" customFormat="1" ht="14.25" customHeight="1" x14ac:dyDescent="0.25">
      <c r="A163" s="29">
        <v>0</v>
      </c>
      <c r="B163" s="29">
        <v>2</v>
      </c>
      <c r="C163" s="29">
        <v>2</v>
      </c>
      <c r="D163" s="30" t="s">
        <v>712</v>
      </c>
      <c r="E163" s="30" t="s">
        <v>30</v>
      </c>
      <c r="F163" s="30" t="s">
        <v>714</v>
      </c>
      <c r="G163" s="30" t="s">
        <v>715</v>
      </c>
      <c r="H163" s="30" t="s">
        <v>165</v>
      </c>
      <c r="I163" s="29" t="s">
        <v>716</v>
      </c>
      <c r="J163" s="29">
        <v>99</v>
      </c>
      <c r="K163" s="29" t="s">
        <v>320</v>
      </c>
      <c r="L163" s="29">
        <v>55</v>
      </c>
      <c r="M163" s="30" t="s">
        <v>1000</v>
      </c>
      <c r="N163" s="30" t="s">
        <v>913</v>
      </c>
      <c r="O163" s="31">
        <v>1</v>
      </c>
      <c r="P163" s="31"/>
      <c r="Q163" s="30" t="s">
        <v>998</v>
      </c>
      <c r="R163" s="2"/>
      <c r="S163" s="2">
        <f t="shared" si="39"/>
        <v>0</v>
      </c>
      <c r="T163" s="2">
        <f t="shared" si="40"/>
        <v>0</v>
      </c>
      <c r="U163" s="2">
        <f t="shared" si="41"/>
        <v>0</v>
      </c>
      <c r="V163" s="2">
        <f t="shared" si="42"/>
        <v>0</v>
      </c>
      <c r="W163" s="2">
        <f t="shared" si="43"/>
        <v>0</v>
      </c>
      <c r="X163" s="2">
        <f t="shared" si="44"/>
        <v>0</v>
      </c>
      <c r="Y163" s="2">
        <f t="shared" si="45"/>
        <v>0</v>
      </c>
      <c r="Z163" s="2">
        <f t="shared" si="46"/>
        <v>0</v>
      </c>
      <c r="AA163" s="2">
        <f t="shared" si="47"/>
        <v>0</v>
      </c>
      <c r="AB163" s="2">
        <f t="shared" si="48"/>
        <v>0</v>
      </c>
      <c r="AC163" s="2"/>
      <c r="AD163" s="2">
        <f t="shared" si="49"/>
        <v>0</v>
      </c>
      <c r="AE163" s="2">
        <f t="shared" si="50"/>
        <v>1</v>
      </c>
      <c r="AF163" s="2">
        <f t="shared" si="51"/>
        <v>0</v>
      </c>
      <c r="AG163" s="2">
        <f t="shared" si="52"/>
        <v>1</v>
      </c>
      <c r="AH163" s="2">
        <f t="shared" si="53"/>
        <v>0</v>
      </c>
      <c r="AI163" s="2">
        <f t="shared" si="54"/>
        <v>1</v>
      </c>
    </row>
    <row r="164" spans="1:16384" s="3" customFormat="1" ht="14.25" customHeight="1" x14ac:dyDescent="0.25">
      <c r="A164" s="29">
        <v>0</v>
      </c>
      <c r="B164" s="29">
        <v>2</v>
      </c>
      <c r="C164" s="29">
        <v>2</v>
      </c>
      <c r="D164" s="30" t="s">
        <v>442</v>
      </c>
      <c r="E164" s="30" t="s">
        <v>443</v>
      </c>
      <c r="F164" s="30" t="s">
        <v>445</v>
      </c>
      <c r="G164" s="30" t="s">
        <v>93</v>
      </c>
      <c r="H164" s="30" t="s">
        <v>165</v>
      </c>
      <c r="I164" s="29" t="s">
        <v>444</v>
      </c>
      <c r="J164" s="29">
        <v>8</v>
      </c>
      <c r="K164" s="29" t="s">
        <v>318</v>
      </c>
      <c r="L164" s="29">
        <v>40</v>
      </c>
      <c r="M164" s="30" t="s">
        <v>885</v>
      </c>
      <c r="N164" s="30" t="s">
        <v>907</v>
      </c>
      <c r="O164" s="31">
        <v>1</v>
      </c>
      <c r="P164" s="31"/>
      <c r="Q164" s="30"/>
      <c r="R164" s="2"/>
      <c r="S164" s="2">
        <f t="shared" si="39"/>
        <v>0</v>
      </c>
      <c r="T164" s="2">
        <f t="shared" si="40"/>
        <v>0</v>
      </c>
      <c r="U164" s="2">
        <f t="shared" si="41"/>
        <v>0</v>
      </c>
      <c r="V164" s="2">
        <f t="shared" si="42"/>
        <v>0</v>
      </c>
      <c r="W164" s="2">
        <f t="shared" si="43"/>
        <v>0</v>
      </c>
      <c r="X164" s="2">
        <f t="shared" si="44"/>
        <v>0</v>
      </c>
      <c r="Y164" s="2">
        <f t="shared" si="45"/>
        <v>0</v>
      </c>
      <c r="Z164" s="2">
        <f t="shared" si="46"/>
        <v>1</v>
      </c>
      <c r="AA164" s="2">
        <f t="shared" si="47"/>
        <v>0</v>
      </c>
      <c r="AB164" s="2">
        <f t="shared" si="48"/>
        <v>0</v>
      </c>
      <c r="AC164" s="2"/>
      <c r="AD164" s="2">
        <f t="shared" si="49"/>
        <v>0</v>
      </c>
      <c r="AE164" s="2">
        <f t="shared" si="50"/>
        <v>1</v>
      </c>
      <c r="AF164" s="2">
        <f t="shared" si="51"/>
        <v>0</v>
      </c>
      <c r="AG164" s="2">
        <f t="shared" si="52"/>
        <v>1</v>
      </c>
      <c r="AH164" s="2">
        <f t="shared" si="53"/>
        <v>0</v>
      </c>
      <c r="AI164" s="2">
        <f t="shared" si="54"/>
        <v>1</v>
      </c>
    </row>
    <row r="165" spans="1:16384" s="3" customFormat="1" ht="14.25" customHeight="1" x14ac:dyDescent="0.25">
      <c r="A165" s="32">
        <v>0</v>
      </c>
      <c r="B165" s="32">
        <v>2</v>
      </c>
      <c r="C165" s="32">
        <v>2</v>
      </c>
      <c r="D165" s="33" t="s">
        <v>813</v>
      </c>
      <c r="E165" s="33" t="s">
        <v>456</v>
      </c>
      <c r="F165" s="33" t="s">
        <v>792</v>
      </c>
      <c r="G165" s="33" t="s">
        <v>673</v>
      </c>
      <c r="H165" s="33" t="s">
        <v>165</v>
      </c>
      <c r="I165" s="32" t="s">
        <v>791</v>
      </c>
      <c r="J165" s="32">
        <v>99</v>
      </c>
      <c r="K165" s="32" t="s">
        <v>319</v>
      </c>
      <c r="L165" s="32">
        <v>20</v>
      </c>
      <c r="M165" s="33" t="s">
        <v>898</v>
      </c>
      <c r="N165" s="33" t="s">
        <v>900</v>
      </c>
      <c r="O165" s="34"/>
      <c r="P165" s="34"/>
      <c r="Q165" s="33"/>
      <c r="R165" s="2"/>
      <c r="S165" s="2">
        <f t="shared" si="39"/>
        <v>0</v>
      </c>
      <c r="T165" s="2">
        <f t="shared" si="40"/>
        <v>0</v>
      </c>
      <c r="U165" s="2">
        <f t="shared" si="41"/>
        <v>0</v>
      </c>
      <c r="V165" s="2">
        <f t="shared" si="42"/>
        <v>0</v>
      </c>
      <c r="W165" s="2">
        <f t="shared" si="43"/>
        <v>0</v>
      </c>
      <c r="X165" s="2">
        <f t="shared" si="44"/>
        <v>0</v>
      </c>
      <c r="Y165" s="2">
        <f t="shared" si="45"/>
        <v>0</v>
      </c>
      <c r="Z165" s="2">
        <f t="shared" si="46"/>
        <v>0</v>
      </c>
      <c r="AA165" s="2">
        <f t="shared" si="47"/>
        <v>0</v>
      </c>
      <c r="AB165" s="2">
        <f t="shared" si="48"/>
        <v>0</v>
      </c>
      <c r="AC165" s="2"/>
      <c r="AD165" s="2">
        <f t="shared" si="49"/>
        <v>0</v>
      </c>
      <c r="AE165" s="2">
        <f t="shared" si="50"/>
        <v>0</v>
      </c>
      <c r="AF165" s="2">
        <f t="shared" si="51"/>
        <v>0</v>
      </c>
      <c r="AG165" s="2">
        <f t="shared" si="52"/>
        <v>0</v>
      </c>
      <c r="AH165" s="2">
        <f t="shared" si="53"/>
        <v>0</v>
      </c>
      <c r="AI165" s="2">
        <f t="shared" si="54"/>
        <v>1</v>
      </c>
    </row>
    <row r="166" spans="1:16384" s="3" customFormat="1" ht="14.25" customHeight="1" x14ac:dyDescent="0.25">
      <c r="A166" s="32">
        <v>0</v>
      </c>
      <c r="B166" s="32">
        <v>2</v>
      </c>
      <c r="C166" s="32">
        <v>2</v>
      </c>
      <c r="D166" s="33" t="s">
        <v>720</v>
      </c>
      <c r="E166" s="33" t="s">
        <v>817</v>
      </c>
      <c r="F166" s="33" t="s">
        <v>831</v>
      </c>
      <c r="G166" s="33" t="s">
        <v>137</v>
      </c>
      <c r="H166" s="33" t="s">
        <v>165</v>
      </c>
      <c r="I166" s="32" t="s">
        <v>721</v>
      </c>
      <c r="J166" s="32">
        <v>1</v>
      </c>
      <c r="K166" s="32" t="s">
        <v>318</v>
      </c>
      <c r="L166" s="32">
        <v>40</v>
      </c>
      <c r="M166" s="33" t="s">
        <v>886</v>
      </c>
      <c r="N166" s="33" t="s">
        <v>895</v>
      </c>
      <c r="O166" s="34"/>
      <c r="P166" s="34"/>
      <c r="Q166" s="33"/>
      <c r="R166" s="2"/>
      <c r="S166" s="2">
        <f t="shared" si="39"/>
        <v>1</v>
      </c>
      <c r="T166" s="2">
        <f t="shared" si="40"/>
        <v>0</v>
      </c>
      <c r="U166" s="2">
        <f t="shared" si="41"/>
        <v>0</v>
      </c>
      <c r="V166" s="2">
        <f t="shared" si="42"/>
        <v>0</v>
      </c>
      <c r="W166" s="2">
        <f t="shared" si="43"/>
        <v>0</v>
      </c>
      <c r="X166" s="2">
        <f t="shared" si="44"/>
        <v>0</v>
      </c>
      <c r="Y166" s="2">
        <f t="shared" si="45"/>
        <v>0</v>
      </c>
      <c r="Z166" s="2">
        <f t="shared" si="46"/>
        <v>0</v>
      </c>
      <c r="AA166" s="2">
        <f t="shared" si="47"/>
        <v>0</v>
      </c>
      <c r="AB166" s="2">
        <f t="shared" si="48"/>
        <v>0</v>
      </c>
      <c r="AC166" s="2"/>
      <c r="AD166" s="2">
        <f t="shared" si="49"/>
        <v>0</v>
      </c>
      <c r="AE166" s="2">
        <f t="shared" si="50"/>
        <v>0</v>
      </c>
      <c r="AF166" s="2">
        <f t="shared" si="51"/>
        <v>0</v>
      </c>
      <c r="AG166" s="2">
        <f t="shared" si="52"/>
        <v>0</v>
      </c>
      <c r="AH166" s="2">
        <f t="shared" si="53"/>
        <v>0</v>
      </c>
      <c r="AI166" s="2">
        <f t="shared" si="54"/>
        <v>1</v>
      </c>
    </row>
    <row r="167" spans="1:16384" s="3" customFormat="1" ht="14.25" customHeight="1" x14ac:dyDescent="0.25">
      <c r="A167" s="26">
        <v>0</v>
      </c>
      <c r="B167" s="26">
        <v>2</v>
      </c>
      <c r="C167" s="26">
        <v>2</v>
      </c>
      <c r="D167" s="27" t="s">
        <v>466</v>
      </c>
      <c r="E167" s="27" t="s">
        <v>30</v>
      </c>
      <c r="F167" s="27" t="s">
        <v>424</v>
      </c>
      <c r="G167" s="27" t="s">
        <v>160</v>
      </c>
      <c r="H167" s="27" t="s">
        <v>165</v>
      </c>
      <c r="I167" s="26" t="s">
        <v>425</v>
      </c>
      <c r="J167" s="26">
        <v>1</v>
      </c>
      <c r="K167" s="26" t="s">
        <v>321</v>
      </c>
      <c r="L167" s="26" t="s">
        <v>40</v>
      </c>
      <c r="M167" s="27" t="s">
        <v>40</v>
      </c>
      <c r="N167" s="27"/>
      <c r="O167" s="28"/>
      <c r="P167" s="28">
        <v>1</v>
      </c>
      <c r="Q167" s="27"/>
      <c r="R167" s="2"/>
      <c r="S167" s="2">
        <f t="shared" si="39"/>
        <v>1</v>
      </c>
      <c r="T167" s="2">
        <f t="shared" si="40"/>
        <v>0</v>
      </c>
      <c r="U167" s="2">
        <f t="shared" si="41"/>
        <v>0</v>
      </c>
      <c r="V167" s="2">
        <f t="shared" si="42"/>
        <v>0</v>
      </c>
      <c r="W167" s="2">
        <f t="shared" si="43"/>
        <v>0</v>
      </c>
      <c r="X167" s="2">
        <f t="shared" si="44"/>
        <v>0</v>
      </c>
      <c r="Y167" s="2">
        <f t="shared" si="45"/>
        <v>0</v>
      </c>
      <c r="Z167" s="2">
        <f t="shared" si="46"/>
        <v>0</v>
      </c>
      <c r="AA167" s="2">
        <f t="shared" si="47"/>
        <v>0</v>
      </c>
      <c r="AB167" s="2">
        <f t="shared" si="48"/>
        <v>0</v>
      </c>
      <c r="AC167" s="2"/>
      <c r="AD167" s="2">
        <f t="shared" si="49"/>
        <v>0</v>
      </c>
      <c r="AE167" s="2">
        <f t="shared" si="50"/>
        <v>0</v>
      </c>
      <c r="AF167" s="2">
        <f t="shared" si="51"/>
        <v>0</v>
      </c>
      <c r="AG167" s="2">
        <f t="shared" si="52"/>
        <v>0</v>
      </c>
      <c r="AH167" s="2">
        <f t="shared" si="53"/>
        <v>1</v>
      </c>
      <c r="AI167" s="2">
        <f t="shared" si="54"/>
        <v>0</v>
      </c>
    </row>
    <row r="168" spans="1:16384" s="3" customFormat="1" ht="14.25" customHeight="1" x14ac:dyDescent="0.25">
      <c r="A168" s="29">
        <v>0</v>
      </c>
      <c r="B168" s="29">
        <v>2</v>
      </c>
      <c r="C168" s="29">
        <v>3</v>
      </c>
      <c r="D168" s="30" t="s">
        <v>354</v>
      </c>
      <c r="E168" s="30" t="s">
        <v>83</v>
      </c>
      <c r="F168" s="30" t="s">
        <v>355</v>
      </c>
      <c r="G168" s="30" t="s">
        <v>370</v>
      </c>
      <c r="H168" s="30" t="s">
        <v>165</v>
      </c>
      <c r="I168" s="29" t="s">
        <v>356</v>
      </c>
      <c r="J168" s="29">
        <v>99</v>
      </c>
      <c r="K168" s="29" t="s">
        <v>321</v>
      </c>
      <c r="L168" s="29" t="s">
        <v>40</v>
      </c>
      <c r="M168" s="30" t="s">
        <v>40</v>
      </c>
      <c r="N168" s="30" t="s">
        <v>893</v>
      </c>
      <c r="O168" s="31">
        <v>1</v>
      </c>
      <c r="P168" s="31">
        <v>1</v>
      </c>
      <c r="Q168" s="30"/>
      <c r="R168" s="2"/>
      <c r="S168" s="2">
        <f t="shared" si="39"/>
        <v>0</v>
      </c>
      <c r="T168" s="2">
        <f t="shared" si="40"/>
        <v>0</v>
      </c>
      <c r="U168" s="2">
        <f t="shared" si="41"/>
        <v>0</v>
      </c>
      <c r="V168" s="2">
        <f t="shared" si="42"/>
        <v>0</v>
      </c>
      <c r="W168" s="2">
        <f t="shared" si="43"/>
        <v>0</v>
      </c>
      <c r="X168" s="2">
        <f t="shared" si="44"/>
        <v>0</v>
      </c>
      <c r="Y168" s="2">
        <f t="shared" si="45"/>
        <v>0</v>
      </c>
      <c r="Z168" s="2">
        <f t="shared" si="46"/>
        <v>0</v>
      </c>
      <c r="AA168" s="2">
        <f t="shared" si="47"/>
        <v>0</v>
      </c>
      <c r="AB168" s="2">
        <f t="shared" si="48"/>
        <v>0</v>
      </c>
      <c r="AC168" s="2"/>
      <c r="AD168" s="2">
        <f t="shared" si="49"/>
        <v>1</v>
      </c>
      <c r="AE168" s="2">
        <f t="shared" si="50"/>
        <v>0</v>
      </c>
      <c r="AF168" s="2">
        <f t="shared" si="51"/>
        <v>1</v>
      </c>
      <c r="AG168" s="2">
        <f t="shared" si="52"/>
        <v>0</v>
      </c>
      <c r="AH168" s="2">
        <f t="shared" si="53"/>
        <v>1</v>
      </c>
      <c r="AI168" s="2">
        <f t="shared" si="54"/>
        <v>0</v>
      </c>
    </row>
    <row r="169" spans="1:16384" s="3" customFormat="1" ht="14.25" customHeight="1" x14ac:dyDescent="0.25">
      <c r="A169" s="29">
        <v>0</v>
      </c>
      <c r="B169" s="29">
        <v>2</v>
      </c>
      <c r="C169" s="29">
        <v>3</v>
      </c>
      <c r="D169" s="30" t="s">
        <v>799</v>
      </c>
      <c r="E169" s="30" t="s">
        <v>573</v>
      </c>
      <c r="F169" s="30" t="s">
        <v>955</v>
      </c>
      <c r="G169" s="30" t="s">
        <v>38</v>
      </c>
      <c r="H169" s="30" t="s">
        <v>165</v>
      </c>
      <c r="I169" s="29">
        <v>2799979385</v>
      </c>
      <c r="J169" s="29">
        <v>1</v>
      </c>
      <c r="K169" s="29" t="s">
        <v>318</v>
      </c>
      <c r="L169" s="29" t="s">
        <v>329</v>
      </c>
      <c r="M169" s="30" t="s">
        <v>270</v>
      </c>
      <c r="N169" s="30" t="s">
        <v>893</v>
      </c>
      <c r="O169" s="31">
        <v>1</v>
      </c>
      <c r="P169" s="31">
        <v>1</v>
      </c>
      <c r="Q169" s="30"/>
      <c r="R169" s="2"/>
      <c r="S169" s="2">
        <f t="shared" si="39"/>
        <v>1</v>
      </c>
      <c r="T169" s="2">
        <f t="shared" si="40"/>
        <v>0</v>
      </c>
      <c r="U169" s="2">
        <f t="shared" si="41"/>
        <v>0</v>
      </c>
      <c r="V169" s="2">
        <f t="shared" si="42"/>
        <v>0</v>
      </c>
      <c r="W169" s="2">
        <f t="shared" si="43"/>
        <v>0</v>
      </c>
      <c r="X169" s="2">
        <f t="shared" si="44"/>
        <v>0</v>
      </c>
      <c r="Y169" s="2">
        <f t="shared" si="45"/>
        <v>0</v>
      </c>
      <c r="Z169" s="2">
        <f t="shared" si="46"/>
        <v>0</v>
      </c>
      <c r="AA169" s="2">
        <f t="shared" si="47"/>
        <v>0</v>
      </c>
      <c r="AB169" s="2">
        <f t="shared" si="48"/>
        <v>0</v>
      </c>
      <c r="AC169" s="2"/>
      <c r="AD169" s="2">
        <f t="shared" si="49"/>
        <v>1</v>
      </c>
      <c r="AE169" s="2">
        <f t="shared" si="50"/>
        <v>0</v>
      </c>
      <c r="AF169" s="2">
        <f t="shared" si="51"/>
        <v>1</v>
      </c>
      <c r="AG169" s="2">
        <f t="shared" si="52"/>
        <v>0</v>
      </c>
      <c r="AH169" s="2">
        <f t="shared" si="53"/>
        <v>1</v>
      </c>
      <c r="AI169" s="2">
        <f t="shared" si="54"/>
        <v>0</v>
      </c>
    </row>
    <row r="170" spans="1:16384" s="3" customFormat="1" ht="14.25" customHeight="1" x14ac:dyDescent="0.25">
      <c r="A170" s="29">
        <v>1</v>
      </c>
      <c r="B170" s="29">
        <v>2</v>
      </c>
      <c r="C170" s="29">
        <v>3</v>
      </c>
      <c r="D170" s="30" t="s">
        <v>799</v>
      </c>
      <c r="E170" s="30" t="s">
        <v>573</v>
      </c>
      <c r="F170" s="30" t="s">
        <v>822</v>
      </c>
      <c r="G170" s="30" t="s">
        <v>160</v>
      </c>
      <c r="H170" s="30" t="s">
        <v>165</v>
      </c>
      <c r="I170" s="29" t="s">
        <v>502</v>
      </c>
      <c r="J170" s="29">
        <v>1</v>
      </c>
      <c r="K170" s="29" t="s">
        <v>318</v>
      </c>
      <c r="L170" s="29" t="s">
        <v>329</v>
      </c>
      <c r="M170" s="30" t="s">
        <v>270</v>
      </c>
      <c r="N170" s="30" t="s">
        <v>893</v>
      </c>
      <c r="O170" s="31">
        <v>1</v>
      </c>
      <c r="P170" s="31">
        <v>1</v>
      </c>
      <c r="Q170" s="30"/>
      <c r="R170" s="2"/>
      <c r="S170" s="2">
        <f t="shared" si="39"/>
        <v>1</v>
      </c>
      <c r="T170" s="2">
        <f t="shared" si="40"/>
        <v>0</v>
      </c>
      <c r="U170" s="2">
        <f t="shared" si="41"/>
        <v>0</v>
      </c>
      <c r="V170" s="2">
        <f t="shared" si="42"/>
        <v>0</v>
      </c>
      <c r="W170" s="2">
        <f t="shared" si="43"/>
        <v>0</v>
      </c>
      <c r="X170" s="2">
        <f t="shared" si="44"/>
        <v>0</v>
      </c>
      <c r="Y170" s="2">
        <f t="shared" si="45"/>
        <v>0</v>
      </c>
      <c r="Z170" s="2">
        <f t="shared" si="46"/>
        <v>0</v>
      </c>
      <c r="AA170" s="2">
        <f t="shared" si="47"/>
        <v>0</v>
      </c>
      <c r="AB170" s="2">
        <f t="shared" si="48"/>
        <v>0</v>
      </c>
      <c r="AC170" s="2"/>
      <c r="AD170" s="2">
        <f t="shared" si="49"/>
        <v>1</v>
      </c>
      <c r="AE170" s="2">
        <f t="shared" si="50"/>
        <v>0</v>
      </c>
      <c r="AF170" s="2">
        <f t="shared" si="51"/>
        <v>0</v>
      </c>
      <c r="AG170" s="2">
        <f t="shared" si="52"/>
        <v>0</v>
      </c>
      <c r="AH170" s="2">
        <f t="shared" si="53"/>
        <v>0</v>
      </c>
      <c r="AI170" s="2">
        <f t="shared" si="54"/>
        <v>0</v>
      </c>
    </row>
    <row r="171" spans="1:16384" s="3" customFormat="1" ht="14.25" customHeight="1" x14ac:dyDescent="0.25">
      <c r="A171" s="20">
        <v>0</v>
      </c>
      <c r="B171" s="20">
        <v>2</v>
      </c>
      <c r="C171" s="20">
        <v>3</v>
      </c>
      <c r="D171" s="21" t="s">
        <v>449</v>
      </c>
      <c r="E171" s="21" t="s">
        <v>450</v>
      </c>
      <c r="F171" s="21" t="s">
        <v>451</v>
      </c>
      <c r="G171" s="21" t="s">
        <v>107</v>
      </c>
      <c r="H171" s="21" t="s">
        <v>165</v>
      </c>
      <c r="I171" s="20" t="s">
        <v>452</v>
      </c>
      <c r="J171" s="20">
        <v>99</v>
      </c>
      <c r="K171" s="20" t="s">
        <v>378</v>
      </c>
      <c r="L171" s="20">
        <v>10</v>
      </c>
      <c r="M171" s="21" t="s">
        <v>601</v>
      </c>
      <c r="N171" s="21"/>
      <c r="O171" s="7"/>
      <c r="P171" s="7"/>
      <c r="Q171" s="21"/>
      <c r="R171" s="2"/>
      <c r="S171" s="2">
        <f t="shared" si="39"/>
        <v>0</v>
      </c>
      <c r="T171" s="2">
        <f t="shared" si="40"/>
        <v>0</v>
      </c>
      <c r="U171" s="2">
        <f t="shared" si="41"/>
        <v>0</v>
      </c>
      <c r="V171" s="2">
        <f t="shared" si="42"/>
        <v>0</v>
      </c>
      <c r="W171" s="2">
        <f t="shared" si="43"/>
        <v>0</v>
      </c>
      <c r="X171" s="2">
        <f t="shared" si="44"/>
        <v>0</v>
      </c>
      <c r="Y171" s="2">
        <f t="shared" si="45"/>
        <v>0</v>
      </c>
      <c r="Z171" s="2">
        <f t="shared" si="46"/>
        <v>0</v>
      </c>
      <c r="AA171" s="2">
        <f t="shared" si="47"/>
        <v>0</v>
      </c>
      <c r="AB171" s="2">
        <f t="shared" si="48"/>
        <v>0</v>
      </c>
      <c r="AC171" s="2"/>
      <c r="AD171" s="2">
        <f t="shared" si="49"/>
        <v>0</v>
      </c>
      <c r="AE171" s="2">
        <f t="shared" si="50"/>
        <v>0</v>
      </c>
      <c r="AF171" s="2">
        <f t="shared" si="51"/>
        <v>0</v>
      </c>
      <c r="AG171" s="2">
        <f t="shared" si="52"/>
        <v>0</v>
      </c>
      <c r="AH171" s="2">
        <f t="shared" si="53"/>
        <v>0</v>
      </c>
      <c r="AI171" s="2">
        <f t="shared" si="54"/>
        <v>1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3</v>
      </c>
      <c r="D172" s="30" t="s">
        <v>48</v>
      </c>
      <c r="E172" s="30" t="s">
        <v>83</v>
      </c>
      <c r="F172" s="30" t="s">
        <v>100</v>
      </c>
      <c r="G172" s="30" t="s">
        <v>96</v>
      </c>
      <c r="H172" s="30" t="s">
        <v>165</v>
      </c>
      <c r="I172" s="29" t="s">
        <v>168</v>
      </c>
      <c r="J172" s="29">
        <v>3</v>
      </c>
      <c r="K172" s="29" t="s">
        <v>321</v>
      </c>
      <c r="L172" s="29" t="s">
        <v>329</v>
      </c>
      <c r="M172" s="30" t="s">
        <v>270</v>
      </c>
      <c r="N172" s="30" t="s">
        <v>893</v>
      </c>
      <c r="O172" s="31">
        <v>1</v>
      </c>
      <c r="P172" s="31">
        <v>1</v>
      </c>
      <c r="Q172" s="30"/>
      <c r="R172" s="2"/>
      <c r="S172" s="2">
        <f t="shared" si="39"/>
        <v>0</v>
      </c>
      <c r="T172" s="2">
        <f t="shared" si="40"/>
        <v>0</v>
      </c>
      <c r="U172" s="2">
        <f t="shared" si="41"/>
        <v>1</v>
      </c>
      <c r="V172" s="2">
        <f t="shared" si="42"/>
        <v>0</v>
      </c>
      <c r="W172" s="2">
        <f t="shared" si="43"/>
        <v>0</v>
      </c>
      <c r="X172" s="2">
        <f t="shared" si="44"/>
        <v>0</v>
      </c>
      <c r="Y172" s="2">
        <f t="shared" si="45"/>
        <v>0</v>
      </c>
      <c r="Z172" s="2">
        <f t="shared" si="46"/>
        <v>0</v>
      </c>
      <c r="AA172" s="2">
        <f t="shared" si="47"/>
        <v>0</v>
      </c>
      <c r="AB172" s="2">
        <f t="shared" si="48"/>
        <v>0</v>
      </c>
      <c r="AC172" s="2"/>
      <c r="AD172" s="2">
        <f t="shared" si="49"/>
        <v>1</v>
      </c>
      <c r="AE172" s="2">
        <f t="shared" si="50"/>
        <v>0</v>
      </c>
      <c r="AF172" s="2">
        <f t="shared" si="51"/>
        <v>1</v>
      </c>
      <c r="AG172" s="2">
        <f t="shared" si="52"/>
        <v>0</v>
      </c>
      <c r="AH172" s="2">
        <f t="shared" si="53"/>
        <v>1</v>
      </c>
      <c r="AI172" s="2">
        <f t="shared" si="54"/>
        <v>0</v>
      </c>
    </row>
    <row r="173" spans="1:16384" s="3" customFormat="1" ht="14.25" customHeight="1" x14ac:dyDescent="0.25">
      <c r="A173" s="29">
        <v>0</v>
      </c>
      <c r="B173" s="29">
        <v>2</v>
      </c>
      <c r="C173" s="29">
        <v>3</v>
      </c>
      <c r="D173" s="30" t="s">
        <v>931</v>
      </c>
      <c r="E173" s="30"/>
      <c r="F173" s="30" t="s">
        <v>932</v>
      </c>
      <c r="G173" s="30"/>
      <c r="H173" s="30" t="s">
        <v>165</v>
      </c>
      <c r="I173" s="29" t="s">
        <v>933</v>
      </c>
      <c r="J173" s="29"/>
      <c r="K173" s="29" t="s">
        <v>378</v>
      </c>
      <c r="L173" s="29"/>
      <c r="M173" s="30"/>
      <c r="N173" s="30" t="s">
        <v>893</v>
      </c>
      <c r="O173" s="31">
        <v>1</v>
      </c>
      <c r="P173" s="31">
        <v>1</v>
      </c>
      <c r="Q173" s="30"/>
      <c r="R173" s="2"/>
      <c r="S173" s="2">
        <f t="shared" si="39"/>
        <v>0</v>
      </c>
      <c r="T173" s="2">
        <f t="shared" si="40"/>
        <v>0</v>
      </c>
      <c r="U173" s="2">
        <f t="shared" si="41"/>
        <v>0</v>
      </c>
      <c r="V173" s="2">
        <f t="shared" si="42"/>
        <v>0</v>
      </c>
      <c r="W173" s="2">
        <f t="shared" si="43"/>
        <v>0</v>
      </c>
      <c r="X173" s="2">
        <f t="shared" si="44"/>
        <v>0</v>
      </c>
      <c r="Y173" s="2">
        <f t="shared" si="45"/>
        <v>0</v>
      </c>
      <c r="Z173" s="2">
        <f t="shared" si="46"/>
        <v>0</v>
      </c>
      <c r="AA173" s="2">
        <f t="shared" si="47"/>
        <v>0</v>
      </c>
      <c r="AB173" s="2">
        <f t="shared" si="48"/>
        <v>0</v>
      </c>
      <c r="AC173" s="2"/>
      <c r="AD173" s="2">
        <f t="shared" si="49"/>
        <v>1</v>
      </c>
      <c r="AE173" s="2">
        <f t="shared" si="50"/>
        <v>0</v>
      </c>
      <c r="AF173" s="2">
        <f t="shared" si="51"/>
        <v>1</v>
      </c>
      <c r="AG173" s="2">
        <f t="shared" si="52"/>
        <v>0</v>
      </c>
      <c r="AH173" s="2">
        <f t="shared" si="53"/>
        <v>1</v>
      </c>
      <c r="AI173" s="2">
        <f t="shared" si="54"/>
        <v>0</v>
      </c>
    </row>
    <row r="174" spans="1:16384" s="3" customFormat="1" ht="14.25" customHeight="1" x14ac:dyDescent="0.25">
      <c r="A174" s="20">
        <v>0</v>
      </c>
      <c r="B174" s="20">
        <v>2</v>
      </c>
      <c r="C174" s="20">
        <v>3</v>
      </c>
      <c r="D174" s="21" t="s">
        <v>654</v>
      </c>
      <c r="E174" s="21" t="s">
        <v>37</v>
      </c>
      <c r="F174" s="21" t="s">
        <v>655</v>
      </c>
      <c r="G174" s="21" t="s">
        <v>117</v>
      </c>
      <c r="H174" s="21" t="s">
        <v>165</v>
      </c>
      <c r="I174" s="20" t="s">
        <v>656</v>
      </c>
      <c r="J174" s="20">
        <v>1</v>
      </c>
      <c r="K174" s="20" t="s">
        <v>319</v>
      </c>
      <c r="L174" s="20" t="s">
        <v>329</v>
      </c>
      <c r="M174" s="21" t="s">
        <v>270</v>
      </c>
      <c r="N174" s="21"/>
      <c r="O174" s="7"/>
      <c r="P174" s="7"/>
      <c r="Q174" s="21"/>
      <c r="R174" s="2"/>
      <c r="S174" s="2">
        <f t="shared" si="39"/>
        <v>1</v>
      </c>
      <c r="T174" s="2">
        <f t="shared" si="40"/>
        <v>0</v>
      </c>
      <c r="U174" s="2">
        <f t="shared" si="41"/>
        <v>0</v>
      </c>
      <c r="V174" s="2">
        <f t="shared" si="42"/>
        <v>0</v>
      </c>
      <c r="W174" s="2">
        <f t="shared" si="43"/>
        <v>0</v>
      </c>
      <c r="X174" s="2">
        <f t="shared" si="44"/>
        <v>0</v>
      </c>
      <c r="Y174" s="2">
        <f t="shared" si="45"/>
        <v>0</v>
      </c>
      <c r="Z174" s="2">
        <f t="shared" si="46"/>
        <v>0</v>
      </c>
      <c r="AA174" s="2">
        <f t="shared" si="47"/>
        <v>0</v>
      </c>
      <c r="AB174" s="2">
        <f t="shared" si="48"/>
        <v>0</v>
      </c>
      <c r="AC174" s="2"/>
      <c r="AD174" s="2">
        <f t="shared" si="49"/>
        <v>0</v>
      </c>
      <c r="AE174" s="2">
        <f t="shared" si="50"/>
        <v>0</v>
      </c>
      <c r="AF174" s="2">
        <f t="shared" si="51"/>
        <v>0</v>
      </c>
      <c r="AG174" s="2">
        <f t="shared" si="52"/>
        <v>0</v>
      </c>
      <c r="AH174" s="2">
        <f t="shared" si="53"/>
        <v>0</v>
      </c>
      <c r="AI174" s="2">
        <f t="shared" si="54"/>
        <v>1</v>
      </c>
    </row>
    <row r="175" spans="1:16384" s="3" customFormat="1" ht="14.25" customHeight="1" x14ac:dyDescent="0.25">
      <c r="A175" s="29">
        <v>0</v>
      </c>
      <c r="B175" s="29">
        <v>2</v>
      </c>
      <c r="C175" s="29">
        <v>4</v>
      </c>
      <c r="D175" s="30" t="s">
        <v>546</v>
      </c>
      <c r="E175" s="30" t="s">
        <v>29</v>
      </c>
      <c r="F175" s="30" t="s">
        <v>407</v>
      </c>
      <c r="G175" s="30" t="s">
        <v>405</v>
      </c>
      <c r="H175" s="30" t="s">
        <v>165</v>
      </c>
      <c r="I175" s="29" t="s">
        <v>547</v>
      </c>
      <c r="J175" s="29">
        <v>99</v>
      </c>
      <c r="K175" s="29" t="s">
        <v>378</v>
      </c>
      <c r="L175" s="29">
        <v>35</v>
      </c>
      <c r="M175" s="30" t="s">
        <v>926</v>
      </c>
      <c r="N175" s="30" t="s">
        <v>935</v>
      </c>
      <c r="O175" s="31">
        <v>1</v>
      </c>
      <c r="P175" s="31"/>
      <c r="Q175" s="30"/>
      <c r="R175" s="2"/>
      <c r="S175" s="2">
        <f t="shared" si="39"/>
        <v>0</v>
      </c>
      <c r="T175" s="2">
        <f t="shared" si="40"/>
        <v>0</v>
      </c>
      <c r="U175" s="2">
        <f t="shared" si="41"/>
        <v>0</v>
      </c>
      <c r="V175" s="2">
        <f t="shared" si="42"/>
        <v>0</v>
      </c>
      <c r="W175" s="2">
        <f t="shared" si="43"/>
        <v>0</v>
      </c>
      <c r="X175" s="2">
        <f t="shared" si="44"/>
        <v>0</v>
      </c>
      <c r="Y175" s="2">
        <f t="shared" si="45"/>
        <v>0</v>
      </c>
      <c r="Z175" s="2">
        <f t="shared" si="46"/>
        <v>0</v>
      </c>
      <c r="AA175" s="2">
        <f t="shared" si="47"/>
        <v>0</v>
      </c>
      <c r="AB175" s="2">
        <f t="shared" si="48"/>
        <v>0</v>
      </c>
      <c r="AC175" s="2"/>
      <c r="AD175" s="2">
        <f t="shared" si="49"/>
        <v>0</v>
      </c>
      <c r="AE175" s="2">
        <f t="shared" si="50"/>
        <v>1</v>
      </c>
      <c r="AF175" s="2">
        <f t="shared" si="51"/>
        <v>0</v>
      </c>
      <c r="AG175" s="2">
        <f t="shared" si="52"/>
        <v>1</v>
      </c>
      <c r="AH175" s="2">
        <f t="shared" si="53"/>
        <v>0</v>
      </c>
      <c r="AI175" s="2">
        <f t="shared" si="54"/>
        <v>1</v>
      </c>
    </row>
    <row r="176" spans="1:16384" s="3" customFormat="1" ht="14.25" customHeight="1" x14ac:dyDescent="0.25">
      <c r="A176" s="29">
        <v>0</v>
      </c>
      <c r="B176" s="29">
        <v>2</v>
      </c>
      <c r="C176" s="29">
        <v>4</v>
      </c>
      <c r="D176" s="30" t="s">
        <v>62</v>
      </c>
      <c r="E176" s="30" t="s">
        <v>36</v>
      </c>
      <c r="F176" s="30" t="s">
        <v>134</v>
      </c>
      <c r="G176" s="30" t="s">
        <v>40</v>
      </c>
      <c r="H176" s="30" t="s">
        <v>165</v>
      </c>
      <c r="I176" s="29" t="s">
        <v>183</v>
      </c>
      <c r="J176" s="29">
        <v>4</v>
      </c>
      <c r="K176" s="29" t="s">
        <v>320</v>
      </c>
      <c r="L176" s="29" t="s">
        <v>853</v>
      </c>
      <c r="M176" s="30" t="s">
        <v>745</v>
      </c>
      <c r="N176" s="30" t="s">
        <v>930</v>
      </c>
      <c r="O176" s="31">
        <v>1</v>
      </c>
      <c r="P176" s="31"/>
      <c r="Q176" s="30"/>
      <c r="R176" s="2"/>
      <c r="S176" s="2">
        <f t="shared" si="39"/>
        <v>0</v>
      </c>
      <c r="T176" s="2">
        <f t="shared" si="40"/>
        <v>0</v>
      </c>
      <c r="U176" s="2">
        <f t="shared" si="41"/>
        <v>0</v>
      </c>
      <c r="V176" s="2">
        <f t="shared" si="42"/>
        <v>1</v>
      </c>
      <c r="W176" s="2">
        <f t="shared" si="43"/>
        <v>0</v>
      </c>
      <c r="X176" s="2">
        <f t="shared" si="44"/>
        <v>0</v>
      </c>
      <c r="Y176" s="2">
        <f t="shared" si="45"/>
        <v>0</v>
      </c>
      <c r="Z176" s="2">
        <f t="shared" si="46"/>
        <v>0</v>
      </c>
      <c r="AA176" s="2">
        <f t="shared" si="47"/>
        <v>0</v>
      </c>
      <c r="AB176" s="2">
        <f t="shared" si="48"/>
        <v>0</v>
      </c>
      <c r="AC176" s="2"/>
      <c r="AD176" s="2">
        <f t="shared" si="49"/>
        <v>0</v>
      </c>
      <c r="AE176" s="2">
        <f t="shared" si="50"/>
        <v>1</v>
      </c>
      <c r="AF176" s="2">
        <f t="shared" si="51"/>
        <v>0</v>
      </c>
      <c r="AG176" s="2">
        <f t="shared" si="52"/>
        <v>1</v>
      </c>
      <c r="AH176" s="2">
        <f t="shared" si="53"/>
        <v>0</v>
      </c>
      <c r="AI176" s="2">
        <f t="shared" si="54"/>
        <v>1</v>
      </c>
    </row>
    <row r="177" spans="1:35" ht="14.25" customHeight="1" x14ac:dyDescent="0.25">
      <c r="A177" s="32">
        <v>0</v>
      </c>
      <c r="B177" s="32">
        <v>2</v>
      </c>
      <c r="C177" s="32">
        <v>4</v>
      </c>
      <c r="D177" s="33" t="s">
        <v>65</v>
      </c>
      <c r="E177" s="33" t="s">
        <v>88</v>
      </c>
      <c r="F177" s="33" t="s">
        <v>141</v>
      </c>
      <c r="G177" s="33" t="s">
        <v>140</v>
      </c>
      <c r="H177" s="33" t="s">
        <v>165</v>
      </c>
      <c r="I177" s="32" t="s">
        <v>186</v>
      </c>
      <c r="J177" s="32">
        <v>99</v>
      </c>
      <c r="K177" s="32" t="s">
        <v>320</v>
      </c>
      <c r="L177" s="32" t="s">
        <v>338</v>
      </c>
      <c r="M177" s="33" t="s">
        <v>205</v>
      </c>
      <c r="N177" s="33" t="s">
        <v>895</v>
      </c>
      <c r="O177" s="34"/>
      <c r="P177" s="34"/>
      <c r="Q177" s="33"/>
      <c r="S177" s="2">
        <f t="shared" si="39"/>
        <v>0</v>
      </c>
      <c r="T177" s="2">
        <f t="shared" si="40"/>
        <v>0</v>
      </c>
      <c r="U177" s="2">
        <f t="shared" si="41"/>
        <v>0</v>
      </c>
      <c r="V177" s="2">
        <f t="shared" si="42"/>
        <v>0</v>
      </c>
      <c r="W177" s="2">
        <f t="shared" si="43"/>
        <v>0</v>
      </c>
      <c r="X177" s="2">
        <f t="shared" si="44"/>
        <v>0</v>
      </c>
      <c r="Y177" s="2">
        <f t="shared" si="45"/>
        <v>0</v>
      </c>
      <c r="Z177" s="2">
        <f t="shared" si="46"/>
        <v>0</v>
      </c>
      <c r="AA177" s="2">
        <f t="shared" si="47"/>
        <v>0</v>
      </c>
      <c r="AB177" s="2">
        <f t="shared" si="48"/>
        <v>0</v>
      </c>
      <c r="AD177" s="2">
        <f t="shared" si="49"/>
        <v>0</v>
      </c>
      <c r="AE177" s="2">
        <f t="shared" si="50"/>
        <v>0</v>
      </c>
      <c r="AF177" s="2">
        <f t="shared" si="51"/>
        <v>0</v>
      </c>
      <c r="AG177" s="2">
        <f t="shared" si="52"/>
        <v>0</v>
      </c>
      <c r="AH177" s="2">
        <f t="shared" si="53"/>
        <v>0</v>
      </c>
      <c r="AI177" s="2">
        <f t="shared" si="54"/>
        <v>1</v>
      </c>
    </row>
    <row r="178" spans="1:35" ht="14.25" customHeight="1" x14ac:dyDescent="0.25">
      <c r="A178" s="32">
        <v>0</v>
      </c>
      <c r="B178" s="32">
        <v>2</v>
      </c>
      <c r="C178" s="32">
        <v>4</v>
      </c>
      <c r="D178" s="33" t="s">
        <v>81</v>
      </c>
      <c r="E178" s="33" t="s">
        <v>36</v>
      </c>
      <c r="F178" s="33" t="s">
        <v>367</v>
      </c>
      <c r="G178" s="33" t="s">
        <v>642</v>
      </c>
      <c r="H178" s="33" t="s">
        <v>165</v>
      </c>
      <c r="I178" s="32" t="s">
        <v>204</v>
      </c>
      <c r="J178" s="32">
        <v>4</v>
      </c>
      <c r="K178" s="32" t="s">
        <v>318</v>
      </c>
      <c r="L178" s="32" t="s">
        <v>854</v>
      </c>
      <c r="M178" s="33" t="s">
        <v>746</v>
      </c>
      <c r="N178" s="33" t="s">
        <v>929</v>
      </c>
      <c r="O178" s="34"/>
      <c r="P178" s="34"/>
      <c r="Q178" s="33"/>
      <c r="S178" s="2">
        <f t="shared" si="39"/>
        <v>0</v>
      </c>
      <c r="T178" s="2">
        <f t="shared" si="40"/>
        <v>0</v>
      </c>
      <c r="U178" s="2">
        <f t="shared" si="41"/>
        <v>0</v>
      </c>
      <c r="V178" s="2">
        <f t="shared" si="42"/>
        <v>1</v>
      </c>
      <c r="W178" s="2">
        <f t="shared" si="43"/>
        <v>0</v>
      </c>
      <c r="X178" s="2">
        <f t="shared" si="44"/>
        <v>0</v>
      </c>
      <c r="Y178" s="2">
        <f t="shared" si="45"/>
        <v>0</v>
      </c>
      <c r="Z178" s="2">
        <f t="shared" si="46"/>
        <v>0</v>
      </c>
      <c r="AA178" s="2">
        <f t="shared" si="47"/>
        <v>0</v>
      </c>
      <c r="AB178" s="2">
        <f t="shared" si="48"/>
        <v>0</v>
      </c>
      <c r="AD178" s="2">
        <f t="shared" si="49"/>
        <v>0</v>
      </c>
      <c r="AE178" s="2">
        <f t="shared" si="50"/>
        <v>0</v>
      </c>
      <c r="AF178" s="2">
        <f t="shared" si="51"/>
        <v>0</v>
      </c>
      <c r="AG178" s="2">
        <f t="shared" si="52"/>
        <v>0</v>
      </c>
      <c r="AH178" s="2">
        <f t="shared" si="53"/>
        <v>0</v>
      </c>
      <c r="AI178" s="2">
        <f t="shared" si="54"/>
        <v>1</v>
      </c>
    </row>
    <row r="179" spans="1:35" ht="14.25" customHeight="1" x14ac:dyDescent="0.25">
      <c r="A179" s="32">
        <v>1</v>
      </c>
      <c r="B179" s="32">
        <v>2</v>
      </c>
      <c r="C179" s="32">
        <v>4</v>
      </c>
      <c r="D179" s="33" t="s">
        <v>81</v>
      </c>
      <c r="E179" s="33" t="s">
        <v>36</v>
      </c>
      <c r="F179" s="33" t="s">
        <v>164</v>
      </c>
      <c r="G179" s="33" t="s">
        <v>130</v>
      </c>
      <c r="H179" s="33" t="s">
        <v>165</v>
      </c>
      <c r="I179" s="32" t="s">
        <v>204</v>
      </c>
      <c r="J179" s="32">
        <v>10</v>
      </c>
      <c r="K179" s="32" t="s">
        <v>318</v>
      </c>
      <c r="L179" s="32" t="s">
        <v>854</v>
      </c>
      <c r="M179" s="33" t="s">
        <v>746</v>
      </c>
      <c r="N179" s="33" t="s">
        <v>929</v>
      </c>
      <c r="O179" s="34"/>
      <c r="P179" s="34"/>
      <c r="Q179" s="33"/>
      <c r="S179" s="2">
        <f t="shared" si="39"/>
        <v>0</v>
      </c>
      <c r="T179" s="2">
        <f t="shared" si="40"/>
        <v>0</v>
      </c>
      <c r="U179" s="2">
        <f t="shared" si="41"/>
        <v>0</v>
      </c>
      <c r="V179" s="2">
        <f t="shared" si="42"/>
        <v>0</v>
      </c>
      <c r="W179" s="2">
        <f t="shared" si="43"/>
        <v>0</v>
      </c>
      <c r="X179" s="2">
        <f t="shared" si="44"/>
        <v>0</v>
      </c>
      <c r="Y179" s="2">
        <f t="shared" si="45"/>
        <v>0</v>
      </c>
      <c r="Z179" s="2">
        <f t="shared" si="46"/>
        <v>0</v>
      </c>
      <c r="AA179" s="2">
        <f t="shared" si="47"/>
        <v>0</v>
      </c>
      <c r="AB179" s="2">
        <f t="shared" si="48"/>
        <v>1</v>
      </c>
      <c r="AD179" s="2">
        <f t="shared" si="49"/>
        <v>0</v>
      </c>
      <c r="AE179" s="2">
        <f t="shared" si="50"/>
        <v>0</v>
      </c>
      <c r="AF179" s="2">
        <f t="shared" si="51"/>
        <v>0</v>
      </c>
      <c r="AG179" s="2">
        <f t="shared" si="52"/>
        <v>0</v>
      </c>
      <c r="AH179" s="2">
        <f t="shared" si="53"/>
        <v>0</v>
      </c>
      <c r="AI179" s="2">
        <f t="shared" si="54"/>
        <v>0</v>
      </c>
    </row>
    <row r="180" spans="1:35" ht="14.25" customHeight="1" x14ac:dyDescent="0.25">
      <c r="A180" s="32">
        <v>1</v>
      </c>
      <c r="B180" s="32">
        <v>2</v>
      </c>
      <c r="C180" s="32">
        <v>4</v>
      </c>
      <c r="D180" s="33" t="s">
        <v>81</v>
      </c>
      <c r="E180" s="33" t="s">
        <v>36</v>
      </c>
      <c r="F180" s="33" t="s">
        <v>800</v>
      </c>
      <c r="G180" s="33" t="s">
        <v>107</v>
      </c>
      <c r="H180" s="33" t="s">
        <v>165</v>
      </c>
      <c r="I180" s="32" t="s">
        <v>801</v>
      </c>
      <c r="J180" s="32">
        <v>99</v>
      </c>
      <c r="K180" s="32" t="s">
        <v>318</v>
      </c>
      <c r="L180" s="32" t="s">
        <v>854</v>
      </c>
      <c r="M180" s="33" t="s">
        <v>746</v>
      </c>
      <c r="N180" s="33" t="s">
        <v>929</v>
      </c>
      <c r="O180" s="34"/>
      <c r="P180" s="34"/>
      <c r="Q180" s="33"/>
      <c r="S180" s="2">
        <f t="shared" si="39"/>
        <v>0</v>
      </c>
      <c r="T180" s="2">
        <f t="shared" si="40"/>
        <v>0</v>
      </c>
      <c r="U180" s="2">
        <f t="shared" si="41"/>
        <v>0</v>
      </c>
      <c r="V180" s="2">
        <f t="shared" si="42"/>
        <v>0</v>
      </c>
      <c r="W180" s="2">
        <f t="shared" si="43"/>
        <v>0</v>
      </c>
      <c r="X180" s="2">
        <f t="shared" si="44"/>
        <v>0</v>
      </c>
      <c r="Y180" s="2">
        <f t="shared" si="45"/>
        <v>0</v>
      </c>
      <c r="Z180" s="2">
        <f t="shared" si="46"/>
        <v>0</v>
      </c>
      <c r="AA180" s="2">
        <f t="shared" si="47"/>
        <v>0</v>
      </c>
      <c r="AB180" s="2">
        <f t="shared" si="48"/>
        <v>0</v>
      </c>
      <c r="AD180" s="2">
        <f t="shared" si="49"/>
        <v>0</v>
      </c>
      <c r="AE180" s="2">
        <f t="shared" si="50"/>
        <v>0</v>
      </c>
      <c r="AF180" s="2">
        <f t="shared" si="51"/>
        <v>0</v>
      </c>
      <c r="AG180" s="2">
        <f t="shared" si="52"/>
        <v>0</v>
      </c>
      <c r="AH180" s="2">
        <f t="shared" si="53"/>
        <v>0</v>
      </c>
      <c r="AI180" s="2">
        <f t="shared" si="54"/>
        <v>0</v>
      </c>
    </row>
    <row r="181" spans="1:35" ht="14.25" customHeight="1" x14ac:dyDescent="0.25">
      <c r="A181" s="20">
        <v>0</v>
      </c>
      <c r="B181" s="20">
        <v>2</v>
      </c>
      <c r="C181" s="20">
        <v>4</v>
      </c>
      <c r="D181" s="21" t="s">
        <v>976</v>
      </c>
      <c r="E181" s="21" t="s">
        <v>977</v>
      </c>
      <c r="F181" s="21" t="s">
        <v>978</v>
      </c>
      <c r="G181" s="21" t="s">
        <v>979</v>
      </c>
      <c r="H181" s="21" t="s">
        <v>165</v>
      </c>
      <c r="I181" s="20"/>
      <c r="J181" s="20"/>
      <c r="K181" s="20" t="s">
        <v>378</v>
      </c>
      <c r="L181" s="20">
        <v>35</v>
      </c>
      <c r="M181" s="21" t="s">
        <v>980</v>
      </c>
      <c r="N181" s="21"/>
      <c r="O181" s="20"/>
      <c r="P181" s="20"/>
      <c r="Q181" s="21"/>
      <c r="S181" s="2">
        <f t="shared" si="39"/>
        <v>0</v>
      </c>
      <c r="T181" s="2">
        <f t="shared" si="40"/>
        <v>0</v>
      </c>
      <c r="U181" s="2">
        <f t="shared" si="41"/>
        <v>0</v>
      </c>
      <c r="V181" s="2">
        <f t="shared" si="42"/>
        <v>0</v>
      </c>
      <c r="W181" s="2">
        <f t="shared" si="43"/>
        <v>0</v>
      </c>
      <c r="X181" s="2">
        <f t="shared" si="44"/>
        <v>0</v>
      </c>
      <c r="Y181" s="2">
        <f t="shared" si="45"/>
        <v>0</v>
      </c>
      <c r="Z181" s="2">
        <f t="shared" si="46"/>
        <v>0</v>
      </c>
      <c r="AA181" s="2">
        <f t="shared" si="47"/>
        <v>0</v>
      </c>
      <c r="AB181" s="2">
        <f t="shared" si="48"/>
        <v>0</v>
      </c>
      <c r="AD181" s="2">
        <f t="shared" si="49"/>
        <v>0</v>
      </c>
      <c r="AE181" s="2">
        <f t="shared" si="50"/>
        <v>0</v>
      </c>
      <c r="AF181" s="2">
        <f t="shared" si="51"/>
        <v>0</v>
      </c>
      <c r="AG181" s="2">
        <f t="shared" si="52"/>
        <v>0</v>
      </c>
      <c r="AH181" s="2">
        <f t="shared" si="53"/>
        <v>0</v>
      </c>
      <c r="AI181" s="2">
        <f t="shared" si="54"/>
        <v>1</v>
      </c>
    </row>
    <row r="182" spans="1:35" ht="14.25" customHeight="1" x14ac:dyDescent="0.25">
      <c r="A182" s="20">
        <v>0</v>
      </c>
      <c r="B182" s="20">
        <v>2</v>
      </c>
      <c r="C182" s="20">
        <v>4</v>
      </c>
      <c r="D182" s="21" t="s">
        <v>288</v>
      </c>
      <c r="E182" s="21" t="s">
        <v>85</v>
      </c>
      <c r="F182" s="21" t="s">
        <v>368</v>
      </c>
      <c r="G182" s="21" t="s">
        <v>308</v>
      </c>
      <c r="H182" s="21" t="s">
        <v>165</v>
      </c>
      <c r="I182" s="20" t="s">
        <v>289</v>
      </c>
      <c r="J182" s="20">
        <v>6</v>
      </c>
      <c r="K182" s="20" t="s">
        <v>319</v>
      </c>
      <c r="L182" s="20">
        <v>30</v>
      </c>
      <c r="M182" s="38" t="s">
        <v>903</v>
      </c>
      <c r="N182" s="21"/>
      <c r="O182" s="7"/>
      <c r="P182" s="7"/>
      <c r="Q182" s="21"/>
      <c r="S182" s="2">
        <f t="shared" si="39"/>
        <v>0</v>
      </c>
      <c r="T182" s="2">
        <f t="shared" si="40"/>
        <v>0</v>
      </c>
      <c r="U182" s="2">
        <f t="shared" si="41"/>
        <v>0</v>
      </c>
      <c r="V182" s="2">
        <f t="shared" si="42"/>
        <v>0</v>
      </c>
      <c r="W182" s="2">
        <f t="shared" si="43"/>
        <v>0</v>
      </c>
      <c r="X182" s="2">
        <f t="shared" si="44"/>
        <v>1</v>
      </c>
      <c r="Y182" s="2">
        <f t="shared" si="45"/>
        <v>0</v>
      </c>
      <c r="Z182" s="2">
        <f t="shared" si="46"/>
        <v>0</v>
      </c>
      <c r="AA182" s="2">
        <f t="shared" si="47"/>
        <v>0</v>
      </c>
      <c r="AB182" s="2">
        <f t="shared" si="48"/>
        <v>0</v>
      </c>
      <c r="AD182" s="2">
        <f t="shared" si="49"/>
        <v>0</v>
      </c>
      <c r="AE182" s="2">
        <f t="shared" si="50"/>
        <v>0</v>
      </c>
      <c r="AF182" s="2">
        <f t="shared" si="51"/>
        <v>0</v>
      </c>
      <c r="AG182" s="2">
        <f t="shared" si="52"/>
        <v>0</v>
      </c>
      <c r="AH182" s="2">
        <f t="shared" si="53"/>
        <v>0</v>
      </c>
      <c r="AI182" s="2">
        <f t="shared" si="54"/>
        <v>1</v>
      </c>
    </row>
    <row r="183" spans="1:35" ht="14.25" customHeight="1" x14ac:dyDescent="0.25">
      <c r="A183" s="29">
        <v>0</v>
      </c>
      <c r="B183" s="29">
        <v>2</v>
      </c>
      <c r="C183" s="29">
        <v>4</v>
      </c>
      <c r="D183" s="30" t="s">
        <v>567</v>
      </c>
      <c r="E183" s="30" t="s">
        <v>36</v>
      </c>
      <c r="F183" s="30" t="s">
        <v>529</v>
      </c>
      <c r="G183" s="30" t="s">
        <v>103</v>
      </c>
      <c r="H183" s="30" t="s">
        <v>165</v>
      </c>
      <c r="I183" s="29" t="s">
        <v>530</v>
      </c>
      <c r="J183" s="29">
        <v>6</v>
      </c>
      <c r="K183" s="29" t="s">
        <v>318</v>
      </c>
      <c r="L183" s="29">
        <v>35</v>
      </c>
      <c r="M183" s="30" t="s">
        <v>699</v>
      </c>
      <c r="N183" s="30" t="s">
        <v>935</v>
      </c>
      <c r="O183" s="31">
        <v>1</v>
      </c>
      <c r="P183" s="31"/>
      <c r="Q183" s="30"/>
      <c r="S183" s="2">
        <f t="shared" si="39"/>
        <v>0</v>
      </c>
      <c r="T183" s="2">
        <f t="shared" si="40"/>
        <v>0</v>
      </c>
      <c r="U183" s="2">
        <f t="shared" si="41"/>
        <v>0</v>
      </c>
      <c r="V183" s="2">
        <f t="shared" si="42"/>
        <v>0</v>
      </c>
      <c r="W183" s="2">
        <f t="shared" si="43"/>
        <v>0</v>
      </c>
      <c r="X183" s="2">
        <f t="shared" si="44"/>
        <v>1</v>
      </c>
      <c r="Y183" s="2">
        <f t="shared" si="45"/>
        <v>0</v>
      </c>
      <c r="Z183" s="2">
        <f t="shared" si="46"/>
        <v>0</v>
      </c>
      <c r="AA183" s="2">
        <f t="shared" si="47"/>
        <v>0</v>
      </c>
      <c r="AB183" s="2">
        <f t="shared" si="48"/>
        <v>0</v>
      </c>
      <c r="AD183" s="2">
        <f t="shared" si="49"/>
        <v>0</v>
      </c>
      <c r="AE183" s="2">
        <f t="shared" si="50"/>
        <v>1</v>
      </c>
      <c r="AF183" s="2">
        <f t="shared" si="51"/>
        <v>0</v>
      </c>
      <c r="AG183" s="2">
        <f t="shared" si="52"/>
        <v>1</v>
      </c>
      <c r="AH183" s="2">
        <f t="shared" si="53"/>
        <v>0</v>
      </c>
      <c r="AI183" s="2">
        <f t="shared" si="54"/>
        <v>1</v>
      </c>
    </row>
    <row r="184" spans="1:35" ht="14.25" customHeight="1" x14ac:dyDescent="0.25">
      <c r="A184" s="20">
        <v>0</v>
      </c>
      <c r="B184" s="20">
        <v>2</v>
      </c>
      <c r="C184" s="20">
        <v>4</v>
      </c>
      <c r="D184" s="21" t="s">
        <v>811</v>
      </c>
      <c r="E184" s="21" t="s">
        <v>29</v>
      </c>
      <c r="F184" s="21" t="s">
        <v>824</v>
      </c>
      <c r="G184" s="21" t="s">
        <v>825</v>
      </c>
      <c r="H184" s="21" t="s">
        <v>165</v>
      </c>
      <c r="I184" s="20" t="s">
        <v>844</v>
      </c>
      <c r="J184" s="20">
        <v>99</v>
      </c>
      <c r="K184" s="20" t="s">
        <v>318</v>
      </c>
      <c r="L184" s="20" t="s">
        <v>343</v>
      </c>
      <c r="M184" s="21" t="s">
        <v>646</v>
      </c>
      <c r="N184" s="21"/>
      <c r="O184" s="7"/>
      <c r="P184" s="7"/>
      <c r="Q184" s="21"/>
      <c r="S184" s="2">
        <f t="shared" si="39"/>
        <v>0</v>
      </c>
      <c r="T184" s="2">
        <f t="shared" si="40"/>
        <v>0</v>
      </c>
      <c r="U184" s="2">
        <f t="shared" si="41"/>
        <v>0</v>
      </c>
      <c r="V184" s="2">
        <f t="shared" si="42"/>
        <v>0</v>
      </c>
      <c r="W184" s="2">
        <f t="shared" si="43"/>
        <v>0</v>
      </c>
      <c r="X184" s="2">
        <f t="shared" si="44"/>
        <v>0</v>
      </c>
      <c r="Y184" s="2">
        <f t="shared" si="45"/>
        <v>0</v>
      </c>
      <c r="Z184" s="2">
        <f t="shared" si="46"/>
        <v>0</v>
      </c>
      <c r="AA184" s="2">
        <f t="shared" si="47"/>
        <v>0</v>
      </c>
      <c r="AB184" s="2">
        <f t="shared" si="48"/>
        <v>0</v>
      </c>
      <c r="AD184" s="2">
        <f t="shared" si="49"/>
        <v>0</v>
      </c>
      <c r="AE184" s="2">
        <f t="shared" si="50"/>
        <v>0</v>
      </c>
      <c r="AF184" s="2">
        <f t="shared" si="51"/>
        <v>0</v>
      </c>
      <c r="AG184" s="2">
        <f t="shared" si="52"/>
        <v>0</v>
      </c>
      <c r="AH184" s="2">
        <f t="shared" si="53"/>
        <v>0</v>
      </c>
      <c r="AI184" s="2">
        <f t="shared" si="54"/>
        <v>1</v>
      </c>
    </row>
    <row r="185" spans="1:35" ht="14.25" customHeight="1" x14ac:dyDescent="0.25">
      <c r="A185" s="20">
        <v>0</v>
      </c>
      <c r="B185" s="20">
        <v>2</v>
      </c>
      <c r="C185" s="20">
        <v>4</v>
      </c>
      <c r="D185" s="21" t="s">
        <v>569</v>
      </c>
      <c r="E185" s="21" t="s">
        <v>36</v>
      </c>
      <c r="F185" s="21" t="s">
        <v>582</v>
      </c>
      <c r="G185" s="21" t="s">
        <v>519</v>
      </c>
      <c r="H185" s="21" t="s">
        <v>165</v>
      </c>
      <c r="I185" s="20" t="s">
        <v>540</v>
      </c>
      <c r="J185" s="20">
        <v>7</v>
      </c>
      <c r="K185" s="20" t="s">
        <v>378</v>
      </c>
      <c r="L185" s="20">
        <v>30</v>
      </c>
      <c r="M185" s="21" t="s">
        <v>602</v>
      </c>
      <c r="N185" s="21"/>
      <c r="O185" s="7"/>
      <c r="P185" s="7"/>
      <c r="Q185" s="21"/>
      <c r="S185" s="2">
        <f t="shared" si="39"/>
        <v>0</v>
      </c>
      <c r="T185" s="2">
        <f t="shared" si="40"/>
        <v>0</v>
      </c>
      <c r="U185" s="2">
        <f t="shared" si="41"/>
        <v>0</v>
      </c>
      <c r="V185" s="2">
        <f t="shared" si="42"/>
        <v>0</v>
      </c>
      <c r="W185" s="2">
        <f t="shared" si="43"/>
        <v>0</v>
      </c>
      <c r="X185" s="2">
        <f t="shared" si="44"/>
        <v>0</v>
      </c>
      <c r="Y185" s="2">
        <f t="shared" si="45"/>
        <v>1</v>
      </c>
      <c r="Z185" s="2">
        <f t="shared" si="46"/>
        <v>0</v>
      </c>
      <c r="AA185" s="2">
        <f t="shared" si="47"/>
        <v>0</v>
      </c>
      <c r="AB185" s="2">
        <f t="shared" si="48"/>
        <v>0</v>
      </c>
      <c r="AD185" s="2">
        <f t="shared" si="49"/>
        <v>0</v>
      </c>
      <c r="AE185" s="2">
        <f t="shared" si="50"/>
        <v>0</v>
      </c>
      <c r="AF185" s="2">
        <f t="shared" si="51"/>
        <v>0</v>
      </c>
      <c r="AG185" s="2">
        <f t="shared" si="52"/>
        <v>0</v>
      </c>
      <c r="AH185" s="2">
        <f t="shared" si="53"/>
        <v>0</v>
      </c>
      <c r="AI185" s="2">
        <f t="shared" si="54"/>
        <v>1</v>
      </c>
    </row>
    <row r="186" spans="1:35" ht="14.25" customHeight="1" x14ac:dyDescent="0.25">
      <c r="A186" s="32">
        <v>0</v>
      </c>
      <c r="B186" s="32">
        <v>2</v>
      </c>
      <c r="C186" s="32">
        <v>4</v>
      </c>
      <c r="D186" s="33" t="s">
        <v>684</v>
      </c>
      <c r="E186" s="33" t="s">
        <v>678</v>
      </c>
      <c r="F186" s="33" t="s">
        <v>615</v>
      </c>
      <c r="G186" s="33" t="s">
        <v>125</v>
      </c>
      <c r="H186" s="33" t="s">
        <v>165</v>
      </c>
      <c r="I186" s="32" t="s">
        <v>616</v>
      </c>
      <c r="J186" s="32">
        <v>99</v>
      </c>
      <c r="K186" s="32" t="s">
        <v>318</v>
      </c>
      <c r="L186" s="32" t="s">
        <v>343</v>
      </c>
      <c r="M186" s="33" t="s">
        <v>786</v>
      </c>
      <c r="N186" s="33" t="s">
        <v>929</v>
      </c>
      <c r="O186" s="34"/>
      <c r="P186" s="34"/>
      <c r="Q186" s="33"/>
      <c r="S186" s="2">
        <f t="shared" si="39"/>
        <v>0</v>
      </c>
      <c r="T186" s="2">
        <f t="shared" si="40"/>
        <v>0</v>
      </c>
      <c r="U186" s="2">
        <f t="shared" si="41"/>
        <v>0</v>
      </c>
      <c r="V186" s="2">
        <f t="shared" si="42"/>
        <v>0</v>
      </c>
      <c r="W186" s="2">
        <f t="shared" si="43"/>
        <v>0</v>
      </c>
      <c r="X186" s="2">
        <f t="shared" si="44"/>
        <v>0</v>
      </c>
      <c r="Y186" s="2">
        <f t="shared" si="45"/>
        <v>0</v>
      </c>
      <c r="Z186" s="2">
        <f t="shared" si="46"/>
        <v>0</v>
      </c>
      <c r="AA186" s="2">
        <f t="shared" si="47"/>
        <v>0</v>
      </c>
      <c r="AB186" s="2">
        <f t="shared" si="48"/>
        <v>0</v>
      </c>
      <c r="AD186" s="2">
        <f t="shared" si="49"/>
        <v>0</v>
      </c>
      <c r="AE186" s="2">
        <f t="shared" si="50"/>
        <v>0</v>
      </c>
      <c r="AF186" s="2">
        <f t="shared" si="51"/>
        <v>0</v>
      </c>
      <c r="AG186" s="2">
        <f t="shared" si="52"/>
        <v>0</v>
      </c>
      <c r="AH186" s="2">
        <f t="shared" si="53"/>
        <v>0</v>
      </c>
      <c r="AI186" s="2">
        <f t="shared" si="54"/>
        <v>1</v>
      </c>
    </row>
    <row r="187" spans="1:35" ht="14.25" customHeight="1" x14ac:dyDescent="0.25">
      <c r="A187" s="29">
        <v>0</v>
      </c>
      <c r="B187" s="29">
        <v>2</v>
      </c>
      <c r="C187" s="29">
        <v>4</v>
      </c>
      <c r="D187" s="30" t="s">
        <v>766</v>
      </c>
      <c r="E187" s="30" t="s">
        <v>767</v>
      </c>
      <c r="F187" s="30" t="s">
        <v>768</v>
      </c>
      <c r="G187" s="30"/>
      <c r="H187" s="30" t="s">
        <v>165</v>
      </c>
      <c r="I187" s="29" t="s">
        <v>769</v>
      </c>
      <c r="J187" s="29">
        <v>99</v>
      </c>
      <c r="K187" s="29" t="s">
        <v>378</v>
      </c>
      <c r="L187" s="29">
        <v>35</v>
      </c>
      <c r="M187" s="30" t="s">
        <v>950</v>
      </c>
      <c r="N187" s="30" t="s">
        <v>899</v>
      </c>
      <c r="O187" s="31">
        <v>1</v>
      </c>
      <c r="P187" s="31"/>
      <c r="Q187" s="30"/>
      <c r="S187" s="2">
        <f t="shared" si="39"/>
        <v>0</v>
      </c>
      <c r="T187" s="2">
        <f t="shared" si="40"/>
        <v>0</v>
      </c>
      <c r="U187" s="2">
        <f t="shared" si="41"/>
        <v>0</v>
      </c>
      <c r="V187" s="2">
        <f t="shared" si="42"/>
        <v>0</v>
      </c>
      <c r="W187" s="2">
        <f t="shared" si="43"/>
        <v>0</v>
      </c>
      <c r="X187" s="2">
        <f t="shared" si="44"/>
        <v>0</v>
      </c>
      <c r="Y187" s="2">
        <f t="shared" si="45"/>
        <v>0</v>
      </c>
      <c r="Z187" s="2">
        <f t="shared" si="46"/>
        <v>0</v>
      </c>
      <c r="AA187" s="2">
        <f t="shared" si="47"/>
        <v>0</v>
      </c>
      <c r="AB187" s="2">
        <f t="shared" si="48"/>
        <v>0</v>
      </c>
      <c r="AD187" s="2">
        <f t="shared" si="49"/>
        <v>0</v>
      </c>
      <c r="AE187" s="2">
        <f t="shared" si="50"/>
        <v>1</v>
      </c>
      <c r="AF187" s="2">
        <f t="shared" si="51"/>
        <v>0</v>
      </c>
      <c r="AG187" s="2">
        <f t="shared" si="52"/>
        <v>1</v>
      </c>
      <c r="AH187" s="2">
        <f t="shared" si="53"/>
        <v>0</v>
      </c>
      <c r="AI187" s="2">
        <f t="shared" si="54"/>
        <v>1</v>
      </c>
    </row>
    <row r="188" spans="1:35" ht="14.25" customHeight="1" x14ac:dyDescent="0.25">
      <c r="A188" s="29">
        <v>0</v>
      </c>
      <c r="B188" s="29">
        <v>2</v>
      </c>
      <c r="C188" s="29">
        <v>4</v>
      </c>
      <c r="D188" s="30" t="s">
        <v>67</v>
      </c>
      <c r="E188" s="30" t="s">
        <v>89</v>
      </c>
      <c r="F188" s="30" t="s">
        <v>144</v>
      </c>
      <c r="G188" s="30" t="s">
        <v>129</v>
      </c>
      <c r="H188" s="30" t="s">
        <v>165</v>
      </c>
      <c r="I188" s="29" t="s">
        <v>190</v>
      </c>
      <c r="J188" s="29">
        <v>99</v>
      </c>
      <c r="K188" s="29" t="s">
        <v>321</v>
      </c>
      <c r="L188" s="29">
        <v>25</v>
      </c>
      <c r="M188" s="30" t="s">
        <v>1001</v>
      </c>
      <c r="N188" s="30" t="s">
        <v>899</v>
      </c>
      <c r="O188" s="31">
        <v>1</v>
      </c>
      <c r="P188" s="31"/>
      <c r="Q188" s="30"/>
      <c r="S188" s="2">
        <f t="shared" si="39"/>
        <v>0</v>
      </c>
      <c r="T188" s="2">
        <f t="shared" si="40"/>
        <v>0</v>
      </c>
      <c r="U188" s="2">
        <f t="shared" si="41"/>
        <v>0</v>
      </c>
      <c r="V188" s="2">
        <f t="shared" si="42"/>
        <v>0</v>
      </c>
      <c r="W188" s="2">
        <f t="shared" si="43"/>
        <v>0</v>
      </c>
      <c r="X188" s="2">
        <f t="shared" si="44"/>
        <v>0</v>
      </c>
      <c r="Y188" s="2">
        <f t="shared" si="45"/>
        <v>0</v>
      </c>
      <c r="Z188" s="2">
        <f t="shared" si="46"/>
        <v>0</v>
      </c>
      <c r="AA188" s="2">
        <f t="shared" si="47"/>
        <v>0</v>
      </c>
      <c r="AB188" s="2">
        <f t="shared" si="48"/>
        <v>0</v>
      </c>
      <c r="AD188" s="2">
        <f t="shared" si="49"/>
        <v>0</v>
      </c>
      <c r="AE188" s="2">
        <f t="shared" si="50"/>
        <v>1</v>
      </c>
      <c r="AF188" s="2">
        <f t="shared" si="51"/>
        <v>0</v>
      </c>
      <c r="AG188" s="2">
        <f t="shared" si="52"/>
        <v>1</v>
      </c>
      <c r="AH188" s="2">
        <f t="shared" si="53"/>
        <v>0</v>
      </c>
      <c r="AI188" s="2">
        <f t="shared" si="54"/>
        <v>1</v>
      </c>
    </row>
    <row r="189" spans="1:35" ht="14.25" customHeight="1" x14ac:dyDescent="0.25">
      <c r="A189" s="29">
        <v>0</v>
      </c>
      <c r="B189" s="29">
        <v>2</v>
      </c>
      <c r="C189" s="29">
        <v>4</v>
      </c>
      <c r="D189" s="30" t="s">
        <v>426</v>
      </c>
      <c r="E189" s="30" t="s">
        <v>234</v>
      </c>
      <c r="F189" s="30" t="s">
        <v>427</v>
      </c>
      <c r="G189" s="30" t="s">
        <v>96</v>
      </c>
      <c r="H189" s="30" t="s">
        <v>165</v>
      </c>
      <c r="I189" s="29" t="s">
        <v>428</v>
      </c>
      <c r="J189" s="29">
        <v>3</v>
      </c>
      <c r="K189" s="29" t="s">
        <v>318</v>
      </c>
      <c r="L189" s="29" t="s">
        <v>339</v>
      </c>
      <c r="M189" s="30" t="s">
        <v>747</v>
      </c>
      <c r="N189" s="30" t="s">
        <v>912</v>
      </c>
      <c r="O189" s="31">
        <v>1</v>
      </c>
      <c r="P189" s="31"/>
      <c r="Q189" s="30"/>
      <c r="S189" s="2">
        <f t="shared" si="39"/>
        <v>0</v>
      </c>
      <c r="T189" s="2">
        <f t="shared" si="40"/>
        <v>0</v>
      </c>
      <c r="U189" s="2">
        <f t="shared" si="41"/>
        <v>1</v>
      </c>
      <c r="V189" s="2">
        <f t="shared" si="42"/>
        <v>0</v>
      </c>
      <c r="W189" s="2">
        <f t="shared" si="43"/>
        <v>0</v>
      </c>
      <c r="X189" s="2">
        <f t="shared" si="44"/>
        <v>0</v>
      </c>
      <c r="Y189" s="2">
        <f t="shared" si="45"/>
        <v>0</v>
      </c>
      <c r="Z189" s="2">
        <f t="shared" si="46"/>
        <v>0</v>
      </c>
      <c r="AA189" s="2">
        <f t="shared" si="47"/>
        <v>0</v>
      </c>
      <c r="AB189" s="2">
        <f t="shared" si="48"/>
        <v>0</v>
      </c>
      <c r="AD189" s="2">
        <f t="shared" si="49"/>
        <v>0</v>
      </c>
      <c r="AE189" s="2">
        <f t="shared" si="50"/>
        <v>1</v>
      </c>
      <c r="AF189" s="2">
        <f t="shared" si="51"/>
        <v>0</v>
      </c>
      <c r="AG189" s="2">
        <f t="shared" si="52"/>
        <v>1</v>
      </c>
      <c r="AH189" s="2">
        <f t="shared" si="53"/>
        <v>0</v>
      </c>
      <c r="AI189" s="2">
        <f t="shared" si="54"/>
        <v>1</v>
      </c>
    </row>
    <row r="190" spans="1:35" ht="14.25" customHeight="1" x14ac:dyDescent="0.25">
      <c r="A190" s="29">
        <v>0</v>
      </c>
      <c r="B190" s="29">
        <v>2</v>
      </c>
      <c r="C190" s="29">
        <v>4</v>
      </c>
      <c r="D190" s="30" t="s">
        <v>214</v>
      </c>
      <c r="E190" s="30" t="s">
        <v>36</v>
      </c>
      <c r="F190" s="30" t="s">
        <v>213</v>
      </c>
      <c r="G190" s="30" t="s">
        <v>97</v>
      </c>
      <c r="H190" s="30" t="s">
        <v>165</v>
      </c>
      <c r="I190" s="29" t="s">
        <v>212</v>
      </c>
      <c r="J190" s="29">
        <v>99</v>
      </c>
      <c r="K190" s="29" t="s">
        <v>378</v>
      </c>
      <c r="L190" s="29">
        <v>25</v>
      </c>
      <c r="M190" s="30" t="s">
        <v>927</v>
      </c>
      <c r="N190" s="30" t="s">
        <v>935</v>
      </c>
      <c r="O190" s="31">
        <v>1</v>
      </c>
      <c r="P190" s="31"/>
      <c r="Q190" s="30"/>
      <c r="S190" s="2">
        <f t="shared" si="39"/>
        <v>0</v>
      </c>
      <c r="T190" s="2">
        <f t="shared" si="40"/>
        <v>0</v>
      </c>
      <c r="U190" s="2">
        <f t="shared" si="41"/>
        <v>0</v>
      </c>
      <c r="V190" s="2">
        <f t="shared" si="42"/>
        <v>0</v>
      </c>
      <c r="W190" s="2">
        <f t="shared" si="43"/>
        <v>0</v>
      </c>
      <c r="X190" s="2">
        <f t="shared" si="44"/>
        <v>0</v>
      </c>
      <c r="Y190" s="2">
        <f t="shared" si="45"/>
        <v>0</v>
      </c>
      <c r="Z190" s="2">
        <f t="shared" si="46"/>
        <v>0</v>
      </c>
      <c r="AA190" s="2">
        <f t="shared" si="47"/>
        <v>0</v>
      </c>
      <c r="AB190" s="2">
        <f t="shared" si="48"/>
        <v>0</v>
      </c>
      <c r="AD190" s="2">
        <f t="shared" si="49"/>
        <v>0</v>
      </c>
      <c r="AE190" s="2">
        <f t="shared" si="50"/>
        <v>1</v>
      </c>
      <c r="AF190" s="2">
        <f t="shared" si="51"/>
        <v>0</v>
      </c>
      <c r="AG190" s="2">
        <f t="shared" si="52"/>
        <v>1</v>
      </c>
      <c r="AH190" s="2">
        <f t="shared" si="53"/>
        <v>0</v>
      </c>
      <c r="AI190" s="2">
        <f t="shared" si="54"/>
        <v>1</v>
      </c>
    </row>
    <row r="191" spans="1:35" ht="14.25" customHeight="1" x14ac:dyDescent="0.25">
      <c r="A191" s="32">
        <v>0</v>
      </c>
      <c r="B191" s="32">
        <v>2</v>
      </c>
      <c r="C191" s="32">
        <v>4</v>
      </c>
      <c r="D191" s="33" t="s">
        <v>215</v>
      </c>
      <c r="E191" s="33" t="s">
        <v>216</v>
      </c>
      <c r="F191" s="33" t="s">
        <v>217</v>
      </c>
      <c r="G191" s="33" t="s">
        <v>107</v>
      </c>
      <c r="H191" s="33" t="s">
        <v>165</v>
      </c>
      <c r="I191" s="32" t="s">
        <v>218</v>
      </c>
      <c r="J191" s="32">
        <v>99</v>
      </c>
      <c r="K191" s="32" t="s">
        <v>378</v>
      </c>
      <c r="L191" s="32">
        <v>25</v>
      </c>
      <c r="M191" s="33" t="s">
        <v>498</v>
      </c>
      <c r="N191" s="33" t="s">
        <v>929</v>
      </c>
      <c r="O191" s="34"/>
      <c r="P191" s="34"/>
      <c r="Q191" s="33"/>
      <c r="S191" s="2">
        <f t="shared" si="39"/>
        <v>0</v>
      </c>
      <c r="T191" s="2">
        <f t="shared" si="40"/>
        <v>0</v>
      </c>
      <c r="U191" s="2">
        <f t="shared" si="41"/>
        <v>0</v>
      </c>
      <c r="V191" s="2">
        <f t="shared" si="42"/>
        <v>0</v>
      </c>
      <c r="W191" s="2">
        <f t="shared" si="43"/>
        <v>0</v>
      </c>
      <c r="X191" s="2">
        <f t="shared" si="44"/>
        <v>0</v>
      </c>
      <c r="Y191" s="2">
        <f t="shared" si="45"/>
        <v>0</v>
      </c>
      <c r="Z191" s="2">
        <f t="shared" si="46"/>
        <v>0</v>
      </c>
      <c r="AA191" s="2">
        <f t="shared" si="47"/>
        <v>0</v>
      </c>
      <c r="AB191" s="2">
        <f t="shared" si="48"/>
        <v>0</v>
      </c>
      <c r="AD191" s="2">
        <f t="shared" si="49"/>
        <v>0</v>
      </c>
      <c r="AE191" s="2">
        <f t="shared" si="50"/>
        <v>0</v>
      </c>
      <c r="AF191" s="2">
        <f t="shared" si="51"/>
        <v>0</v>
      </c>
      <c r="AG191" s="2">
        <f t="shared" si="52"/>
        <v>0</v>
      </c>
      <c r="AH191" s="2">
        <f t="shared" si="53"/>
        <v>0</v>
      </c>
      <c r="AI191" s="2">
        <f t="shared" si="54"/>
        <v>1</v>
      </c>
    </row>
    <row r="192" spans="1:35" ht="14.25" customHeight="1" x14ac:dyDescent="0.25">
      <c r="A192" s="32">
        <v>0</v>
      </c>
      <c r="B192" s="32">
        <v>2</v>
      </c>
      <c r="C192" s="32">
        <v>5</v>
      </c>
      <c r="D192" s="33" t="s">
        <v>421</v>
      </c>
      <c r="E192" s="33" t="s">
        <v>423</v>
      </c>
      <c r="F192" s="33" t="s">
        <v>577</v>
      </c>
      <c r="G192" s="33" t="s">
        <v>154</v>
      </c>
      <c r="H192" s="33" t="s">
        <v>165</v>
      </c>
      <c r="I192" s="32" t="s">
        <v>422</v>
      </c>
      <c r="J192" s="32">
        <v>99</v>
      </c>
      <c r="K192" s="32" t="s">
        <v>378</v>
      </c>
      <c r="L192" s="32">
        <v>30</v>
      </c>
      <c r="M192" s="33" t="s">
        <v>603</v>
      </c>
      <c r="N192" s="33" t="s">
        <v>929</v>
      </c>
      <c r="O192" s="34"/>
      <c r="P192" s="34"/>
      <c r="Q192" s="33"/>
      <c r="S192" s="2">
        <f t="shared" si="39"/>
        <v>0</v>
      </c>
      <c r="T192" s="2">
        <f t="shared" si="40"/>
        <v>0</v>
      </c>
      <c r="U192" s="2">
        <f t="shared" si="41"/>
        <v>0</v>
      </c>
      <c r="V192" s="2">
        <f t="shared" si="42"/>
        <v>0</v>
      </c>
      <c r="W192" s="2">
        <f t="shared" si="43"/>
        <v>0</v>
      </c>
      <c r="X192" s="2">
        <f t="shared" si="44"/>
        <v>0</v>
      </c>
      <c r="Y192" s="2">
        <f t="shared" si="45"/>
        <v>0</v>
      </c>
      <c r="Z192" s="2">
        <f t="shared" si="46"/>
        <v>0</v>
      </c>
      <c r="AA192" s="2">
        <f t="shared" si="47"/>
        <v>0</v>
      </c>
      <c r="AB192" s="2">
        <f t="shared" si="48"/>
        <v>0</v>
      </c>
      <c r="AD192" s="2">
        <f t="shared" si="49"/>
        <v>0</v>
      </c>
      <c r="AE192" s="2">
        <f t="shared" si="50"/>
        <v>0</v>
      </c>
      <c r="AF192" s="2">
        <f t="shared" si="51"/>
        <v>0</v>
      </c>
      <c r="AG192" s="2">
        <f t="shared" si="52"/>
        <v>0</v>
      </c>
      <c r="AH192" s="2">
        <f t="shared" si="53"/>
        <v>0</v>
      </c>
      <c r="AI192" s="2">
        <f t="shared" si="54"/>
        <v>1</v>
      </c>
    </row>
    <row r="193" spans="1:35" ht="14.25" customHeight="1" x14ac:dyDescent="0.25">
      <c r="A193" s="29">
        <v>0</v>
      </c>
      <c r="B193" s="29">
        <v>2</v>
      </c>
      <c r="C193" s="29">
        <v>5</v>
      </c>
      <c r="D193" s="30" t="s">
        <v>762</v>
      </c>
      <c r="E193" s="30" t="s">
        <v>263</v>
      </c>
      <c r="F193" s="30" t="s">
        <v>763</v>
      </c>
      <c r="G193" s="30" t="s">
        <v>458</v>
      </c>
      <c r="H193" s="30" t="s">
        <v>165</v>
      </c>
      <c r="I193" s="29" t="s">
        <v>33</v>
      </c>
      <c r="J193" s="29">
        <v>99</v>
      </c>
      <c r="K193" s="29" t="s">
        <v>698</v>
      </c>
      <c r="L193" s="29">
        <v>45</v>
      </c>
      <c r="M193" s="30" t="s">
        <v>1002</v>
      </c>
      <c r="N193" s="30" t="s">
        <v>906</v>
      </c>
      <c r="O193" s="31">
        <v>1</v>
      </c>
      <c r="P193" s="31"/>
      <c r="Q193" s="30"/>
      <c r="S193" s="2">
        <f t="shared" si="39"/>
        <v>0</v>
      </c>
      <c r="T193" s="2">
        <f t="shared" si="40"/>
        <v>0</v>
      </c>
      <c r="U193" s="2">
        <f t="shared" si="41"/>
        <v>0</v>
      </c>
      <c r="V193" s="2">
        <f t="shared" si="42"/>
        <v>0</v>
      </c>
      <c r="W193" s="2">
        <f t="shared" si="43"/>
        <v>0</v>
      </c>
      <c r="X193" s="2">
        <f t="shared" si="44"/>
        <v>0</v>
      </c>
      <c r="Y193" s="2">
        <f t="shared" si="45"/>
        <v>0</v>
      </c>
      <c r="Z193" s="2">
        <f t="shared" si="46"/>
        <v>0</v>
      </c>
      <c r="AA193" s="2">
        <f t="shared" si="47"/>
        <v>0</v>
      </c>
      <c r="AB193" s="2">
        <f t="shared" si="48"/>
        <v>0</v>
      </c>
      <c r="AD193" s="2">
        <f t="shared" si="49"/>
        <v>0</v>
      </c>
      <c r="AE193" s="2">
        <f t="shared" si="50"/>
        <v>1</v>
      </c>
      <c r="AF193" s="2">
        <f t="shared" si="51"/>
        <v>0</v>
      </c>
      <c r="AG193" s="2">
        <f t="shared" si="52"/>
        <v>1</v>
      </c>
      <c r="AH193" s="2">
        <f t="shared" si="53"/>
        <v>0</v>
      </c>
      <c r="AI193" s="2">
        <f t="shared" si="54"/>
        <v>1</v>
      </c>
    </row>
    <row r="194" spans="1:35" ht="14.25" customHeight="1" x14ac:dyDescent="0.25">
      <c r="A194" s="29">
        <v>0</v>
      </c>
      <c r="B194" s="29">
        <v>2</v>
      </c>
      <c r="C194" s="29">
        <v>5</v>
      </c>
      <c r="D194" s="30" t="s">
        <v>404</v>
      </c>
      <c r="E194" s="30" t="s">
        <v>29</v>
      </c>
      <c r="F194" s="30" t="s">
        <v>287</v>
      </c>
      <c r="G194" s="30" t="s">
        <v>96</v>
      </c>
      <c r="H194" s="30" t="s">
        <v>165</v>
      </c>
      <c r="I194" s="29" t="s">
        <v>491</v>
      </c>
      <c r="J194" s="29">
        <v>3</v>
      </c>
      <c r="K194" s="29" t="s">
        <v>319</v>
      </c>
      <c r="L194" s="29" t="s">
        <v>334</v>
      </c>
      <c r="M194" s="30" t="s">
        <v>751</v>
      </c>
      <c r="N194" s="30" t="s">
        <v>899</v>
      </c>
      <c r="O194" s="31">
        <v>1</v>
      </c>
      <c r="P194" s="31"/>
      <c r="Q194" s="30"/>
      <c r="S194" s="2">
        <f t="shared" si="39"/>
        <v>0</v>
      </c>
      <c r="T194" s="2">
        <f t="shared" si="40"/>
        <v>0</v>
      </c>
      <c r="U194" s="2">
        <f t="shared" si="41"/>
        <v>1</v>
      </c>
      <c r="V194" s="2">
        <f t="shared" si="42"/>
        <v>0</v>
      </c>
      <c r="W194" s="2">
        <f t="shared" si="43"/>
        <v>0</v>
      </c>
      <c r="X194" s="2">
        <f t="shared" si="44"/>
        <v>0</v>
      </c>
      <c r="Y194" s="2">
        <f t="shared" si="45"/>
        <v>0</v>
      </c>
      <c r="Z194" s="2">
        <f t="shared" si="46"/>
        <v>0</v>
      </c>
      <c r="AA194" s="2">
        <f t="shared" si="47"/>
        <v>0</v>
      </c>
      <c r="AB194" s="2">
        <f t="shared" si="48"/>
        <v>0</v>
      </c>
      <c r="AD194" s="2">
        <f t="shared" si="49"/>
        <v>0</v>
      </c>
      <c r="AE194" s="2">
        <f t="shared" si="50"/>
        <v>1</v>
      </c>
      <c r="AF194" s="2">
        <f t="shared" si="51"/>
        <v>0</v>
      </c>
      <c r="AG194" s="2">
        <f t="shared" si="52"/>
        <v>1</v>
      </c>
      <c r="AH194" s="2">
        <f t="shared" si="53"/>
        <v>0</v>
      </c>
      <c r="AI194" s="2">
        <f t="shared" si="54"/>
        <v>1</v>
      </c>
    </row>
    <row r="195" spans="1:35" ht="14.25" customHeight="1" x14ac:dyDescent="0.25">
      <c r="A195" s="29">
        <v>0</v>
      </c>
      <c r="B195" s="29">
        <v>2</v>
      </c>
      <c r="C195" s="29">
        <v>5</v>
      </c>
      <c r="D195" s="30" t="s">
        <v>570</v>
      </c>
      <c r="E195" s="30" t="s">
        <v>36</v>
      </c>
      <c r="F195" s="30" t="s">
        <v>959</v>
      </c>
      <c r="G195" s="30" t="s">
        <v>673</v>
      </c>
      <c r="H195" s="30" t="s">
        <v>165</v>
      </c>
      <c r="I195" s="29" t="s">
        <v>33</v>
      </c>
      <c r="J195" s="29">
        <v>99</v>
      </c>
      <c r="K195" s="29" t="s">
        <v>320</v>
      </c>
      <c r="L195" s="29" t="s">
        <v>335</v>
      </c>
      <c r="M195" s="30" t="s">
        <v>604</v>
      </c>
      <c r="N195" s="30" t="s">
        <v>913</v>
      </c>
      <c r="O195" s="31">
        <v>1</v>
      </c>
      <c r="P195" s="31"/>
      <c r="Q195" s="30" t="s">
        <v>960</v>
      </c>
      <c r="S195" s="2">
        <f t="shared" si="39"/>
        <v>0</v>
      </c>
      <c r="T195" s="2">
        <f t="shared" si="40"/>
        <v>0</v>
      </c>
      <c r="U195" s="2">
        <f t="shared" si="41"/>
        <v>0</v>
      </c>
      <c r="V195" s="2">
        <f t="shared" si="42"/>
        <v>0</v>
      </c>
      <c r="W195" s="2">
        <f t="shared" si="43"/>
        <v>0</v>
      </c>
      <c r="X195" s="2">
        <f t="shared" si="44"/>
        <v>0</v>
      </c>
      <c r="Y195" s="2">
        <f t="shared" si="45"/>
        <v>0</v>
      </c>
      <c r="Z195" s="2">
        <f t="shared" si="46"/>
        <v>0</v>
      </c>
      <c r="AA195" s="2">
        <f t="shared" si="47"/>
        <v>0</v>
      </c>
      <c r="AB195" s="2">
        <f t="shared" si="48"/>
        <v>0</v>
      </c>
      <c r="AD195" s="2">
        <f t="shared" si="49"/>
        <v>0</v>
      </c>
      <c r="AE195" s="2">
        <f t="shared" si="50"/>
        <v>1</v>
      </c>
      <c r="AF195" s="2">
        <f t="shared" si="51"/>
        <v>0</v>
      </c>
      <c r="AG195" s="2">
        <f t="shared" si="52"/>
        <v>1</v>
      </c>
      <c r="AH195" s="2">
        <f t="shared" si="53"/>
        <v>0</v>
      </c>
      <c r="AI195" s="2">
        <f t="shared" si="54"/>
        <v>1</v>
      </c>
    </row>
    <row r="196" spans="1:35" ht="14.25" customHeight="1" x14ac:dyDescent="0.25">
      <c r="A196" s="20">
        <v>0</v>
      </c>
      <c r="B196" s="20">
        <v>2</v>
      </c>
      <c r="C196" s="20">
        <v>5</v>
      </c>
      <c r="D196" s="21" t="s">
        <v>233</v>
      </c>
      <c r="E196" s="21" t="s">
        <v>86</v>
      </c>
      <c r="F196" s="21" t="s">
        <v>254</v>
      </c>
      <c r="G196" s="21" t="s">
        <v>130</v>
      </c>
      <c r="H196" s="21" t="s">
        <v>165</v>
      </c>
      <c r="I196" s="20" t="s">
        <v>595</v>
      </c>
      <c r="J196" s="20">
        <v>10</v>
      </c>
      <c r="K196" s="20" t="s">
        <v>378</v>
      </c>
      <c r="L196" s="20" t="s">
        <v>333</v>
      </c>
      <c r="M196" s="21" t="s">
        <v>271</v>
      </c>
      <c r="N196" s="21"/>
      <c r="O196" s="7"/>
      <c r="P196" s="7"/>
      <c r="Q196" s="21"/>
      <c r="S196" s="2">
        <f t="shared" si="39"/>
        <v>0</v>
      </c>
      <c r="T196" s="2">
        <f t="shared" si="40"/>
        <v>0</v>
      </c>
      <c r="U196" s="2">
        <f t="shared" si="41"/>
        <v>0</v>
      </c>
      <c r="V196" s="2">
        <f t="shared" si="42"/>
        <v>0</v>
      </c>
      <c r="W196" s="2">
        <f t="shared" si="43"/>
        <v>0</v>
      </c>
      <c r="X196" s="2">
        <f t="shared" si="44"/>
        <v>0</v>
      </c>
      <c r="Y196" s="2">
        <f t="shared" si="45"/>
        <v>0</v>
      </c>
      <c r="Z196" s="2">
        <f t="shared" si="46"/>
        <v>0</v>
      </c>
      <c r="AA196" s="2">
        <f t="shared" si="47"/>
        <v>0</v>
      </c>
      <c r="AB196" s="2">
        <f t="shared" si="48"/>
        <v>1</v>
      </c>
      <c r="AD196" s="2">
        <f t="shared" si="49"/>
        <v>0</v>
      </c>
      <c r="AE196" s="2">
        <f t="shared" si="50"/>
        <v>0</v>
      </c>
      <c r="AF196" s="2">
        <f t="shared" si="51"/>
        <v>0</v>
      </c>
      <c r="AG196" s="2">
        <f t="shared" si="52"/>
        <v>0</v>
      </c>
      <c r="AH196" s="2">
        <f t="shared" si="53"/>
        <v>0</v>
      </c>
      <c r="AI196" s="2">
        <f t="shared" si="54"/>
        <v>1</v>
      </c>
    </row>
    <row r="197" spans="1:35" ht="14.25" customHeight="1" x14ac:dyDescent="0.25">
      <c r="A197" s="32">
        <v>0</v>
      </c>
      <c r="B197" s="32">
        <v>2</v>
      </c>
      <c r="C197" s="32">
        <v>5</v>
      </c>
      <c r="D197" s="33" t="s">
        <v>629</v>
      </c>
      <c r="E197" s="33" t="s">
        <v>29</v>
      </c>
      <c r="F197" s="33" t="s">
        <v>631</v>
      </c>
      <c r="G197" s="33" t="s">
        <v>828</v>
      </c>
      <c r="H197" s="33" t="s">
        <v>165</v>
      </c>
      <c r="I197" s="32" t="s">
        <v>632</v>
      </c>
      <c r="J197" s="32">
        <v>99</v>
      </c>
      <c r="K197" s="32" t="s">
        <v>320</v>
      </c>
      <c r="L197" s="32" t="s">
        <v>341</v>
      </c>
      <c r="M197" s="33" t="s">
        <v>784</v>
      </c>
      <c r="N197" s="33" t="s">
        <v>900</v>
      </c>
      <c r="O197" s="34"/>
      <c r="P197" s="34"/>
      <c r="Q197" s="33"/>
      <c r="S197" s="2">
        <f t="shared" si="39"/>
        <v>0</v>
      </c>
      <c r="T197" s="2">
        <f t="shared" si="40"/>
        <v>0</v>
      </c>
      <c r="U197" s="2">
        <f t="shared" si="41"/>
        <v>0</v>
      </c>
      <c r="V197" s="2">
        <f t="shared" si="42"/>
        <v>0</v>
      </c>
      <c r="W197" s="2">
        <f t="shared" si="43"/>
        <v>0</v>
      </c>
      <c r="X197" s="2">
        <f t="shared" si="44"/>
        <v>0</v>
      </c>
      <c r="Y197" s="2">
        <f t="shared" si="45"/>
        <v>0</v>
      </c>
      <c r="Z197" s="2">
        <f t="shared" si="46"/>
        <v>0</v>
      </c>
      <c r="AA197" s="2">
        <f t="shared" si="47"/>
        <v>0</v>
      </c>
      <c r="AB197" s="2">
        <f t="shared" si="48"/>
        <v>0</v>
      </c>
      <c r="AD197" s="2">
        <f t="shared" si="49"/>
        <v>0</v>
      </c>
      <c r="AE197" s="2">
        <f t="shared" si="50"/>
        <v>0</v>
      </c>
      <c r="AF197" s="2">
        <f t="shared" si="51"/>
        <v>0</v>
      </c>
      <c r="AG197" s="2">
        <f t="shared" si="52"/>
        <v>0</v>
      </c>
      <c r="AH197" s="2">
        <f t="shared" si="53"/>
        <v>0</v>
      </c>
      <c r="AI197" s="2">
        <f t="shared" si="54"/>
        <v>1</v>
      </c>
    </row>
    <row r="198" spans="1:35" ht="14.25" customHeight="1" x14ac:dyDescent="0.25">
      <c r="A198" s="29">
        <v>0</v>
      </c>
      <c r="B198" s="29">
        <v>2</v>
      </c>
      <c r="C198" s="29">
        <v>5</v>
      </c>
      <c r="D198" s="30" t="s">
        <v>812</v>
      </c>
      <c r="E198" s="30" t="s">
        <v>29</v>
      </c>
      <c r="F198" s="30" t="s">
        <v>644</v>
      </c>
      <c r="G198" s="30" t="s">
        <v>516</v>
      </c>
      <c r="H198" s="30" t="s">
        <v>165</v>
      </c>
      <c r="I198" s="29" t="s">
        <v>645</v>
      </c>
      <c r="J198" s="29">
        <v>99</v>
      </c>
      <c r="K198" s="29" t="s">
        <v>320</v>
      </c>
      <c r="L198" s="29" t="s">
        <v>346</v>
      </c>
      <c r="M198" s="30" t="s">
        <v>643</v>
      </c>
      <c r="N198" s="30" t="s">
        <v>913</v>
      </c>
      <c r="O198" s="31">
        <v>1</v>
      </c>
      <c r="P198" s="31"/>
      <c r="Q198" s="30"/>
      <c r="S198" s="2">
        <f t="shared" si="39"/>
        <v>0</v>
      </c>
      <c r="T198" s="2">
        <f t="shared" si="40"/>
        <v>0</v>
      </c>
      <c r="U198" s="2">
        <f t="shared" si="41"/>
        <v>0</v>
      </c>
      <c r="V198" s="2">
        <f t="shared" si="42"/>
        <v>0</v>
      </c>
      <c r="W198" s="2">
        <f t="shared" si="43"/>
        <v>0</v>
      </c>
      <c r="X198" s="2">
        <f t="shared" si="44"/>
        <v>0</v>
      </c>
      <c r="Y198" s="2">
        <f t="shared" si="45"/>
        <v>0</v>
      </c>
      <c r="Z198" s="2">
        <f t="shared" si="46"/>
        <v>0</v>
      </c>
      <c r="AA198" s="2">
        <f t="shared" si="47"/>
        <v>0</v>
      </c>
      <c r="AB198" s="2">
        <f t="shared" si="48"/>
        <v>0</v>
      </c>
      <c r="AD198" s="2">
        <f t="shared" si="49"/>
        <v>0</v>
      </c>
      <c r="AE198" s="2">
        <f t="shared" si="50"/>
        <v>1</v>
      </c>
      <c r="AF198" s="2">
        <f t="shared" si="51"/>
        <v>0</v>
      </c>
      <c r="AG198" s="2">
        <f t="shared" si="52"/>
        <v>1</v>
      </c>
      <c r="AH198" s="2">
        <f t="shared" si="53"/>
        <v>0</v>
      </c>
      <c r="AI198" s="2">
        <f t="shared" si="54"/>
        <v>1</v>
      </c>
    </row>
    <row r="199" spans="1:35" ht="14.25" customHeight="1" x14ac:dyDescent="0.25">
      <c r="A199" s="32">
        <v>0</v>
      </c>
      <c r="B199" s="32">
        <v>2</v>
      </c>
      <c r="C199" s="32">
        <v>6</v>
      </c>
      <c r="D199" s="33" t="s">
        <v>681</v>
      </c>
      <c r="E199" s="33" t="s">
        <v>34</v>
      </c>
      <c r="F199" s="33" t="s">
        <v>821</v>
      </c>
      <c r="G199" s="33" t="s">
        <v>96</v>
      </c>
      <c r="H199" s="33" t="s">
        <v>165</v>
      </c>
      <c r="I199" s="32" t="s">
        <v>617</v>
      </c>
      <c r="J199" s="32">
        <v>1</v>
      </c>
      <c r="K199" s="32" t="s">
        <v>318</v>
      </c>
      <c r="L199" s="32" t="s">
        <v>343</v>
      </c>
      <c r="M199" s="33" t="s">
        <v>618</v>
      </c>
      <c r="N199" s="33" t="s">
        <v>929</v>
      </c>
      <c r="O199" s="34"/>
      <c r="P199" s="34"/>
      <c r="Q199" s="33"/>
      <c r="S199" s="2">
        <f t="shared" si="39"/>
        <v>1</v>
      </c>
      <c r="T199" s="2">
        <f t="shared" si="40"/>
        <v>0</v>
      </c>
      <c r="U199" s="2">
        <f t="shared" si="41"/>
        <v>0</v>
      </c>
      <c r="V199" s="2">
        <f t="shared" si="42"/>
        <v>0</v>
      </c>
      <c r="W199" s="2">
        <f t="shared" si="43"/>
        <v>0</v>
      </c>
      <c r="X199" s="2">
        <f t="shared" si="44"/>
        <v>0</v>
      </c>
      <c r="Y199" s="2">
        <f t="shared" si="45"/>
        <v>0</v>
      </c>
      <c r="Z199" s="2">
        <f t="shared" si="46"/>
        <v>0</v>
      </c>
      <c r="AA199" s="2">
        <f t="shared" si="47"/>
        <v>0</v>
      </c>
      <c r="AB199" s="2">
        <f t="shared" si="48"/>
        <v>0</v>
      </c>
      <c r="AD199" s="2">
        <f t="shared" si="49"/>
        <v>0</v>
      </c>
      <c r="AE199" s="2">
        <f t="shared" si="50"/>
        <v>0</v>
      </c>
      <c r="AF199" s="2">
        <f t="shared" si="51"/>
        <v>0</v>
      </c>
      <c r="AG199" s="2">
        <f t="shared" si="52"/>
        <v>0</v>
      </c>
      <c r="AH199" s="2">
        <f t="shared" si="53"/>
        <v>0</v>
      </c>
      <c r="AI199" s="2">
        <f t="shared" si="54"/>
        <v>1</v>
      </c>
    </row>
    <row r="200" spans="1:35" ht="14.25" customHeight="1" x14ac:dyDescent="0.25">
      <c r="A200" s="29">
        <v>0</v>
      </c>
      <c r="B200" s="29">
        <v>2</v>
      </c>
      <c r="C200" s="29">
        <v>6</v>
      </c>
      <c r="D200" s="30" t="s">
        <v>52</v>
      </c>
      <c r="E200" s="30" t="s">
        <v>34</v>
      </c>
      <c r="F200" s="30" t="s">
        <v>105</v>
      </c>
      <c r="G200" s="30" t="s">
        <v>39</v>
      </c>
      <c r="H200" s="30" t="s">
        <v>165</v>
      </c>
      <c r="I200" s="29" t="s">
        <v>847</v>
      </c>
      <c r="J200" s="29">
        <v>8</v>
      </c>
      <c r="K200" s="29" t="s">
        <v>318</v>
      </c>
      <c r="L200" s="29" t="s">
        <v>339</v>
      </c>
      <c r="M200" s="30" t="s">
        <v>272</v>
      </c>
      <c r="N200" s="30" t="s">
        <v>912</v>
      </c>
      <c r="O200" s="31">
        <v>1</v>
      </c>
      <c r="P200" s="31"/>
      <c r="Q200" s="30"/>
      <c r="S200" s="2">
        <f t="shared" si="39"/>
        <v>0</v>
      </c>
      <c r="T200" s="2">
        <f t="shared" si="40"/>
        <v>0</v>
      </c>
      <c r="U200" s="2">
        <f t="shared" si="41"/>
        <v>0</v>
      </c>
      <c r="V200" s="2">
        <f t="shared" si="42"/>
        <v>0</v>
      </c>
      <c r="W200" s="2">
        <f t="shared" si="43"/>
        <v>0</v>
      </c>
      <c r="X200" s="2">
        <f t="shared" si="44"/>
        <v>0</v>
      </c>
      <c r="Y200" s="2">
        <f t="shared" si="45"/>
        <v>0</v>
      </c>
      <c r="Z200" s="2">
        <f t="shared" si="46"/>
        <v>1</v>
      </c>
      <c r="AA200" s="2">
        <f t="shared" si="47"/>
        <v>0</v>
      </c>
      <c r="AB200" s="2">
        <f t="shared" si="48"/>
        <v>0</v>
      </c>
      <c r="AD200" s="2">
        <f t="shared" si="49"/>
        <v>0</v>
      </c>
      <c r="AE200" s="2">
        <f t="shared" si="50"/>
        <v>1</v>
      </c>
      <c r="AF200" s="2">
        <f t="shared" si="51"/>
        <v>0</v>
      </c>
      <c r="AG200" s="2">
        <f t="shared" si="52"/>
        <v>1</v>
      </c>
      <c r="AH200" s="2">
        <f t="shared" si="53"/>
        <v>0</v>
      </c>
      <c r="AI200" s="2">
        <f t="shared" si="54"/>
        <v>1</v>
      </c>
    </row>
    <row r="201" spans="1:35" ht="14.25" customHeight="1" x14ac:dyDescent="0.25">
      <c r="A201" s="29">
        <v>0</v>
      </c>
      <c r="B201" s="29">
        <v>2</v>
      </c>
      <c r="C201" s="29">
        <v>6</v>
      </c>
      <c r="D201" s="30" t="s">
        <v>463</v>
      </c>
      <c r="E201" s="30" t="s">
        <v>34</v>
      </c>
      <c r="F201" s="30" t="s">
        <v>954</v>
      </c>
      <c r="G201" s="30" t="s">
        <v>103</v>
      </c>
      <c r="H201" s="30" t="s">
        <v>165</v>
      </c>
      <c r="I201" s="29" t="s">
        <v>394</v>
      </c>
      <c r="J201" s="29">
        <v>6</v>
      </c>
      <c r="K201" s="29" t="s">
        <v>321</v>
      </c>
      <c r="L201" s="29" t="s">
        <v>339</v>
      </c>
      <c r="M201" s="30" t="s">
        <v>701</v>
      </c>
      <c r="N201" s="30" t="s">
        <v>935</v>
      </c>
      <c r="O201" s="31">
        <v>1</v>
      </c>
      <c r="P201" s="31"/>
      <c r="Q201" s="30"/>
      <c r="S201" s="2">
        <f t="shared" si="39"/>
        <v>0</v>
      </c>
      <c r="T201" s="2">
        <f t="shared" si="40"/>
        <v>0</v>
      </c>
      <c r="U201" s="2">
        <f t="shared" si="41"/>
        <v>0</v>
      </c>
      <c r="V201" s="2">
        <f t="shared" si="42"/>
        <v>0</v>
      </c>
      <c r="W201" s="2">
        <f t="shared" si="43"/>
        <v>0</v>
      </c>
      <c r="X201" s="2">
        <f t="shared" si="44"/>
        <v>1</v>
      </c>
      <c r="Y201" s="2">
        <f t="shared" si="45"/>
        <v>0</v>
      </c>
      <c r="Z201" s="2">
        <f t="shared" si="46"/>
        <v>0</v>
      </c>
      <c r="AA201" s="2">
        <f t="shared" si="47"/>
        <v>0</v>
      </c>
      <c r="AB201" s="2">
        <f t="shared" si="48"/>
        <v>0</v>
      </c>
      <c r="AD201" s="2">
        <f t="shared" si="49"/>
        <v>0</v>
      </c>
      <c r="AE201" s="2">
        <f t="shared" si="50"/>
        <v>1</v>
      </c>
      <c r="AF201" s="2">
        <f t="shared" si="51"/>
        <v>0</v>
      </c>
      <c r="AG201" s="2">
        <f t="shared" si="52"/>
        <v>1</v>
      </c>
      <c r="AH201" s="2">
        <f t="shared" si="53"/>
        <v>0</v>
      </c>
      <c r="AI201" s="2">
        <f t="shared" si="54"/>
        <v>1</v>
      </c>
    </row>
    <row r="202" spans="1:35" ht="14.25" customHeight="1" x14ac:dyDescent="0.25">
      <c r="A202" s="29">
        <v>0</v>
      </c>
      <c r="B202" s="29">
        <v>2</v>
      </c>
      <c r="C202" s="29">
        <v>6</v>
      </c>
      <c r="D202" s="30" t="s">
        <v>685</v>
      </c>
      <c r="E202" s="30" t="s">
        <v>34</v>
      </c>
      <c r="F202" s="30" t="s">
        <v>605</v>
      </c>
      <c r="G202" s="30" t="s">
        <v>163</v>
      </c>
      <c r="H202" s="30" t="s">
        <v>165</v>
      </c>
      <c r="I202" s="29" t="s">
        <v>696</v>
      </c>
      <c r="J202" s="29">
        <v>5</v>
      </c>
      <c r="K202" s="29" t="s">
        <v>320</v>
      </c>
      <c r="L202" s="29">
        <v>30</v>
      </c>
      <c r="M202" s="30" t="s">
        <v>748</v>
      </c>
      <c r="N202" s="30" t="s">
        <v>912</v>
      </c>
      <c r="O202" s="31">
        <v>1</v>
      </c>
      <c r="P202" s="31"/>
      <c r="Q202" s="30"/>
      <c r="S202" s="2">
        <f t="shared" si="39"/>
        <v>0</v>
      </c>
      <c r="T202" s="2">
        <f t="shared" si="40"/>
        <v>0</v>
      </c>
      <c r="U202" s="2">
        <f t="shared" si="41"/>
        <v>0</v>
      </c>
      <c r="V202" s="2">
        <f t="shared" si="42"/>
        <v>0</v>
      </c>
      <c r="W202" s="2">
        <f t="shared" si="43"/>
        <v>1</v>
      </c>
      <c r="X202" s="2">
        <f t="shared" si="44"/>
        <v>0</v>
      </c>
      <c r="Y202" s="2">
        <f t="shared" si="45"/>
        <v>0</v>
      </c>
      <c r="Z202" s="2">
        <f t="shared" si="46"/>
        <v>0</v>
      </c>
      <c r="AA202" s="2">
        <f t="shared" si="47"/>
        <v>0</v>
      </c>
      <c r="AB202" s="2">
        <f t="shared" si="48"/>
        <v>0</v>
      </c>
      <c r="AD202" s="2">
        <f t="shared" si="49"/>
        <v>0</v>
      </c>
      <c r="AE202" s="2">
        <f t="shared" si="50"/>
        <v>1</v>
      </c>
      <c r="AF202" s="2">
        <f t="shared" si="51"/>
        <v>0</v>
      </c>
      <c r="AG202" s="2">
        <f t="shared" si="52"/>
        <v>1</v>
      </c>
      <c r="AH202" s="2">
        <f t="shared" si="53"/>
        <v>0</v>
      </c>
      <c r="AI202" s="2">
        <f t="shared" si="54"/>
        <v>1</v>
      </c>
    </row>
    <row r="203" spans="1:35" ht="14.25" customHeight="1" x14ac:dyDescent="0.25">
      <c r="A203" s="29">
        <v>0</v>
      </c>
      <c r="B203" s="29">
        <v>2</v>
      </c>
      <c r="C203" s="29">
        <v>6</v>
      </c>
      <c r="D203" s="30" t="s">
        <v>58</v>
      </c>
      <c r="E203" s="30" t="s">
        <v>34</v>
      </c>
      <c r="F203" s="30" t="s">
        <v>482</v>
      </c>
      <c r="G203" s="30" t="s">
        <v>103</v>
      </c>
      <c r="H203" s="30" t="s">
        <v>165</v>
      </c>
      <c r="I203" s="29" t="s">
        <v>179</v>
      </c>
      <c r="J203" s="29">
        <v>6</v>
      </c>
      <c r="K203" s="29" t="s">
        <v>321</v>
      </c>
      <c r="L203" s="29" t="s">
        <v>339</v>
      </c>
      <c r="M203" s="30" t="s">
        <v>702</v>
      </c>
      <c r="N203" s="30" t="s">
        <v>935</v>
      </c>
      <c r="O203" s="31">
        <v>1</v>
      </c>
      <c r="P203" s="31"/>
      <c r="Q203" s="30"/>
      <c r="S203" s="2">
        <f t="shared" ref="S203:S237" si="55">IF(J203=$S$7,1,0)</f>
        <v>0</v>
      </c>
      <c r="T203" s="2">
        <f t="shared" ref="T203:T237" si="56">IF(J203=$T$7,1,0)</f>
        <v>0</v>
      </c>
      <c r="U203" s="2">
        <f t="shared" ref="U203:U237" si="57">IF(J203=$U$7,1,0)</f>
        <v>0</v>
      </c>
      <c r="V203" s="2">
        <f t="shared" ref="V203:V237" si="58">IF(J203=$V$7,1,0)</f>
        <v>0</v>
      </c>
      <c r="W203" s="2">
        <f t="shared" ref="W203:W237" si="59">IF(J203=$W$7,1,0)</f>
        <v>0</v>
      </c>
      <c r="X203" s="2">
        <f t="shared" ref="X203:X237" si="60">IF(J203=$X$7,1,0)</f>
        <v>1</v>
      </c>
      <c r="Y203" s="2">
        <f t="shared" ref="Y203:Y237" si="61">IF(J203=$Y$7,1,0)</f>
        <v>0</v>
      </c>
      <c r="Z203" s="2">
        <f t="shared" ref="Z203:Z237" si="62">IF(J203=$Z$7,1,0)</f>
        <v>0</v>
      </c>
      <c r="AA203" s="2">
        <f t="shared" ref="AA203:AA237" si="63">IF(J203=$AA$7,1,0)</f>
        <v>0</v>
      </c>
      <c r="AB203" s="2">
        <f t="shared" ref="AB203:AB237" si="64">IF(J203=$AB$7,1,0)</f>
        <v>0</v>
      </c>
      <c r="AD203" s="2">
        <f t="shared" ref="AD203:AD237" si="65">+O203*P203</f>
        <v>0</v>
      </c>
      <c r="AE203" s="2">
        <f t="shared" ref="AE203:AE237" si="66">O203*(1-P203)</f>
        <v>1</v>
      </c>
      <c r="AF203" s="2">
        <f t="shared" ref="AF203:AF237" si="67">+O203*P203*(1-A203)</f>
        <v>0</v>
      </c>
      <c r="AG203" s="2">
        <f t="shared" ref="AG203:AG237" si="68">O203*(1-P203)*(1-A203)</f>
        <v>1</v>
      </c>
      <c r="AH203" s="2">
        <f t="shared" ref="AH203:AH237" si="69">+P203*(1-A203)</f>
        <v>0</v>
      </c>
      <c r="AI203" s="2">
        <f t="shared" ref="AI203:AI237" si="70">+(1-A203)*(1-P203)</f>
        <v>1</v>
      </c>
    </row>
    <row r="204" spans="1:35" ht="14.25" customHeight="1" x14ac:dyDescent="0.25">
      <c r="A204" s="32">
        <v>0</v>
      </c>
      <c r="B204" s="32">
        <v>2</v>
      </c>
      <c r="C204" s="32">
        <v>6</v>
      </c>
      <c r="D204" s="33" t="s">
        <v>612</v>
      </c>
      <c r="E204" s="33" t="s">
        <v>34</v>
      </c>
      <c r="F204" s="33" t="s">
        <v>613</v>
      </c>
      <c r="G204" s="33" t="s">
        <v>516</v>
      </c>
      <c r="H204" s="33" t="s">
        <v>165</v>
      </c>
      <c r="I204" s="32" t="s">
        <v>614</v>
      </c>
      <c r="J204" s="32"/>
      <c r="K204" s="32" t="s">
        <v>378</v>
      </c>
      <c r="L204" s="32">
        <v>30</v>
      </c>
      <c r="M204" s="33" t="s">
        <v>272</v>
      </c>
      <c r="N204" s="33" t="s">
        <v>896</v>
      </c>
      <c r="O204" s="34"/>
      <c r="P204" s="34"/>
      <c r="Q204" s="33"/>
      <c r="S204" s="2">
        <f t="shared" si="55"/>
        <v>0</v>
      </c>
      <c r="T204" s="2">
        <f t="shared" si="56"/>
        <v>0</v>
      </c>
      <c r="U204" s="2">
        <f t="shared" si="57"/>
        <v>0</v>
      </c>
      <c r="V204" s="2">
        <f t="shared" si="58"/>
        <v>0</v>
      </c>
      <c r="W204" s="2">
        <f t="shared" si="59"/>
        <v>0</v>
      </c>
      <c r="X204" s="2">
        <f t="shared" si="60"/>
        <v>0</v>
      </c>
      <c r="Y204" s="2">
        <f t="shared" si="61"/>
        <v>0</v>
      </c>
      <c r="Z204" s="2">
        <f t="shared" si="62"/>
        <v>0</v>
      </c>
      <c r="AA204" s="2">
        <f t="shared" si="63"/>
        <v>0</v>
      </c>
      <c r="AB204" s="2">
        <f t="shared" si="64"/>
        <v>0</v>
      </c>
      <c r="AD204" s="2">
        <f t="shared" si="65"/>
        <v>0</v>
      </c>
      <c r="AE204" s="2">
        <f t="shared" si="66"/>
        <v>0</v>
      </c>
      <c r="AF204" s="2">
        <f t="shared" si="67"/>
        <v>0</v>
      </c>
      <c r="AG204" s="2">
        <f t="shared" si="68"/>
        <v>0</v>
      </c>
      <c r="AH204" s="2">
        <f t="shared" si="69"/>
        <v>0</v>
      </c>
      <c r="AI204" s="2">
        <f t="shared" si="70"/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534</v>
      </c>
      <c r="E205" s="30" t="s">
        <v>679</v>
      </c>
      <c r="F205" s="30" t="s">
        <v>951</v>
      </c>
      <c r="G205" s="30" t="s">
        <v>584</v>
      </c>
      <c r="H205" s="30" t="s">
        <v>165</v>
      </c>
      <c r="I205" s="29" t="s">
        <v>535</v>
      </c>
      <c r="J205" s="29">
        <v>2</v>
      </c>
      <c r="K205" s="29" t="s">
        <v>320</v>
      </c>
      <c r="L205" s="29" t="s">
        <v>339</v>
      </c>
      <c r="M205" s="30" t="s">
        <v>272</v>
      </c>
      <c r="N205" s="30" t="s">
        <v>907</v>
      </c>
      <c r="O205" s="31">
        <v>1</v>
      </c>
      <c r="P205" s="31"/>
      <c r="Q205" s="30"/>
      <c r="S205" s="2">
        <f t="shared" si="55"/>
        <v>0</v>
      </c>
      <c r="T205" s="2">
        <f t="shared" si="56"/>
        <v>1</v>
      </c>
      <c r="U205" s="2">
        <f t="shared" si="57"/>
        <v>0</v>
      </c>
      <c r="V205" s="2">
        <f t="shared" si="58"/>
        <v>0</v>
      </c>
      <c r="W205" s="2">
        <f t="shared" si="59"/>
        <v>0</v>
      </c>
      <c r="X205" s="2">
        <f t="shared" si="60"/>
        <v>0</v>
      </c>
      <c r="Y205" s="2">
        <f t="shared" si="61"/>
        <v>0</v>
      </c>
      <c r="Z205" s="2">
        <f t="shared" si="62"/>
        <v>0</v>
      </c>
      <c r="AA205" s="2">
        <f t="shared" si="63"/>
        <v>0</v>
      </c>
      <c r="AB205" s="2">
        <f t="shared" si="64"/>
        <v>0</v>
      </c>
      <c r="AD205" s="2">
        <f t="shared" si="65"/>
        <v>0</v>
      </c>
      <c r="AE205" s="2">
        <f t="shared" si="66"/>
        <v>1</v>
      </c>
      <c r="AF205" s="2">
        <f t="shared" si="67"/>
        <v>0</v>
      </c>
      <c r="AG205" s="2">
        <f t="shared" si="68"/>
        <v>1</v>
      </c>
      <c r="AH205" s="2">
        <f t="shared" si="69"/>
        <v>0</v>
      </c>
      <c r="AI205" s="2">
        <f t="shared" si="70"/>
        <v>1</v>
      </c>
    </row>
    <row r="206" spans="1:35" ht="14.25" customHeight="1" x14ac:dyDescent="0.25">
      <c r="A206" s="29">
        <v>1</v>
      </c>
      <c r="B206" s="29">
        <v>2</v>
      </c>
      <c r="C206" s="29">
        <v>6</v>
      </c>
      <c r="D206" s="30" t="s">
        <v>534</v>
      </c>
      <c r="E206" s="30" t="s">
        <v>679</v>
      </c>
      <c r="F206" s="30" t="s">
        <v>952</v>
      </c>
      <c r="G206" s="30" t="s">
        <v>103</v>
      </c>
      <c r="H206" s="30" t="s">
        <v>165</v>
      </c>
      <c r="I206" s="29" t="s">
        <v>846</v>
      </c>
      <c r="J206" s="29">
        <v>6</v>
      </c>
      <c r="K206" s="29" t="s">
        <v>320</v>
      </c>
      <c r="L206" s="29" t="s">
        <v>339</v>
      </c>
      <c r="M206" s="30" t="s">
        <v>272</v>
      </c>
      <c r="N206" s="30" t="s">
        <v>907</v>
      </c>
      <c r="O206" s="31">
        <v>1</v>
      </c>
      <c r="P206" s="31"/>
      <c r="Q206" s="30"/>
      <c r="S206" s="2">
        <f t="shared" si="55"/>
        <v>0</v>
      </c>
      <c r="T206" s="2">
        <f t="shared" si="56"/>
        <v>0</v>
      </c>
      <c r="U206" s="2">
        <f t="shared" si="57"/>
        <v>0</v>
      </c>
      <c r="V206" s="2">
        <f t="shared" si="58"/>
        <v>0</v>
      </c>
      <c r="W206" s="2">
        <f t="shared" si="59"/>
        <v>0</v>
      </c>
      <c r="X206" s="2">
        <f t="shared" si="60"/>
        <v>1</v>
      </c>
      <c r="Y206" s="2">
        <f t="shared" si="61"/>
        <v>0</v>
      </c>
      <c r="Z206" s="2">
        <f t="shared" si="62"/>
        <v>0</v>
      </c>
      <c r="AA206" s="2">
        <f t="shared" si="63"/>
        <v>0</v>
      </c>
      <c r="AB206" s="2">
        <f t="shared" si="64"/>
        <v>0</v>
      </c>
      <c r="AD206" s="2">
        <f t="shared" si="65"/>
        <v>0</v>
      </c>
      <c r="AE206" s="2">
        <f t="shared" si="66"/>
        <v>1</v>
      </c>
      <c r="AF206" s="2">
        <f t="shared" si="67"/>
        <v>0</v>
      </c>
      <c r="AG206" s="2">
        <f t="shared" si="68"/>
        <v>0</v>
      </c>
      <c r="AH206" s="2">
        <f t="shared" si="69"/>
        <v>0</v>
      </c>
      <c r="AI206" s="2">
        <f t="shared" si="70"/>
        <v>0</v>
      </c>
    </row>
    <row r="207" spans="1:35" ht="14.25" customHeight="1" x14ac:dyDescent="0.25">
      <c r="A207" s="29">
        <v>0</v>
      </c>
      <c r="B207" s="29">
        <v>2</v>
      </c>
      <c r="C207" s="29">
        <v>7</v>
      </c>
      <c r="D207" s="30" t="s">
        <v>410</v>
      </c>
      <c r="E207" s="30" t="s">
        <v>31</v>
      </c>
      <c r="F207" s="30" t="s">
        <v>411</v>
      </c>
      <c r="G207" s="30" t="s">
        <v>471</v>
      </c>
      <c r="H207" s="30" t="s">
        <v>165</v>
      </c>
      <c r="I207" s="29" t="s">
        <v>412</v>
      </c>
      <c r="J207" s="29">
        <v>9</v>
      </c>
      <c r="K207" s="29" t="s">
        <v>320</v>
      </c>
      <c r="L207" s="29" t="s">
        <v>318</v>
      </c>
      <c r="M207" s="30" t="s">
        <v>273</v>
      </c>
      <c r="N207" s="30" t="s">
        <v>893</v>
      </c>
      <c r="O207" s="31">
        <v>1</v>
      </c>
      <c r="P207" s="31">
        <v>1</v>
      </c>
      <c r="Q207" s="30"/>
      <c r="S207" s="2">
        <f t="shared" si="55"/>
        <v>0</v>
      </c>
      <c r="T207" s="2">
        <f t="shared" si="56"/>
        <v>0</v>
      </c>
      <c r="U207" s="2">
        <f t="shared" si="57"/>
        <v>0</v>
      </c>
      <c r="V207" s="2">
        <f t="shared" si="58"/>
        <v>0</v>
      </c>
      <c r="W207" s="2">
        <f t="shared" si="59"/>
        <v>0</v>
      </c>
      <c r="X207" s="2">
        <f t="shared" si="60"/>
        <v>0</v>
      </c>
      <c r="Y207" s="2">
        <f t="shared" si="61"/>
        <v>0</v>
      </c>
      <c r="Z207" s="2">
        <f t="shared" si="62"/>
        <v>0</v>
      </c>
      <c r="AA207" s="2">
        <f t="shared" si="63"/>
        <v>1</v>
      </c>
      <c r="AB207" s="2">
        <f t="shared" si="64"/>
        <v>0</v>
      </c>
      <c r="AD207" s="2">
        <f t="shared" si="65"/>
        <v>1</v>
      </c>
      <c r="AE207" s="2">
        <f t="shared" si="66"/>
        <v>0</v>
      </c>
      <c r="AF207" s="2">
        <f t="shared" si="67"/>
        <v>1</v>
      </c>
      <c r="AG207" s="2">
        <f t="shared" si="68"/>
        <v>0</v>
      </c>
      <c r="AH207" s="2">
        <f t="shared" si="69"/>
        <v>1</v>
      </c>
      <c r="AI207" s="2">
        <f t="shared" si="70"/>
        <v>0</v>
      </c>
    </row>
    <row r="208" spans="1:35" ht="14.25" customHeight="1" x14ac:dyDescent="0.25">
      <c r="A208" s="29">
        <v>0</v>
      </c>
      <c r="B208" s="29">
        <v>2</v>
      </c>
      <c r="C208" s="29">
        <v>7</v>
      </c>
      <c r="D208" s="30" t="s">
        <v>924</v>
      </c>
      <c r="E208" s="30" t="s">
        <v>918</v>
      </c>
      <c r="F208" s="30" t="s">
        <v>922</v>
      </c>
      <c r="G208" s="30" t="s">
        <v>132</v>
      </c>
      <c r="H208" s="30" t="s">
        <v>165</v>
      </c>
      <c r="I208" s="29" t="s">
        <v>925</v>
      </c>
      <c r="J208" s="29">
        <v>99</v>
      </c>
      <c r="K208" s="29" t="s">
        <v>378</v>
      </c>
      <c r="L208" s="29"/>
      <c r="M208" s="30"/>
      <c r="N208" s="30" t="s">
        <v>893</v>
      </c>
      <c r="O208" s="31">
        <v>1</v>
      </c>
      <c r="P208" s="31">
        <v>1</v>
      </c>
      <c r="Q208" s="30"/>
      <c r="S208" s="2">
        <f t="shared" si="55"/>
        <v>0</v>
      </c>
      <c r="T208" s="2">
        <f t="shared" si="56"/>
        <v>0</v>
      </c>
      <c r="U208" s="2">
        <f t="shared" si="57"/>
        <v>0</v>
      </c>
      <c r="V208" s="2">
        <f t="shared" si="58"/>
        <v>0</v>
      </c>
      <c r="W208" s="2">
        <f t="shared" si="59"/>
        <v>0</v>
      </c>
      <c r="X208" s="2">
        <f t="shared" si="60"/>
        <v>0</v>
      </c>
      <c r="Y208" s="2">
        <f t="shared" si="61"/>
        <v>0</v>
      </c>
      <c r="Z208" s="2">
        <f t="shared" si="62"/>
        <v>0</v>
      </c>
      <c r="AA208" s="2">
        <f t="shared" si="63"/>
        <v>0</v>
      </c>
      <c r="AB208" s="2">
        <f t="shared" si="64"/>
        <v>0</v>
      </c>
      <c r="AD208" s="2">
        <f t="shared" si="65"/>
        <v>1</v>
      </c>
      <c r="AE208" s="2">
        <f t="shared" si="66"/>
        <v>0</v>
      </c>
      <c r="AF208" s="2">
        <f t="shared" si="67"/>
        <v>1</v>
      </c>
      <c r="AG208" s="2">
        <f t="shared" si="68"/>
        <v>0</v>
      </c>
      <c r="AH208" s="2">
        <f t="shared" si="69"/>
        <v>1</v>
      </c>
      <c r="AI208" s="2">
        <f t="shared" si="70"/>
        <v>0</v>
      </c>
    </row>
    <row r="209" spans="1:35" ht="14.25" customHeight="1" x14ac:dyDescent="0.25">
      <c r="A209" s="29">
        <v>0</v>
      </c>
      <c r="B209" s="29">
        <v>2</v>
      </c>
      <c r="C209" s="29">
        <v>7</v>
      </c>
      <c r="D209" s="30" t="s">
        <v>520</v>
      </c>
      <c r="E209" s="30" t="s">
        <v>31</v>
      </c>
      <c r="F209" s="30" t="s">
        <v>521</v>
      </c>
      <c r="G209" s="30" t="s">
        <v>124</v>
      </c>
      <c r="H209" s="30" t="s">
        <v>165</v>
      </c>
      <c r="I209" s="29" t="s">
        <v>522</v>
      </c>
      <c r="J209" s="29">
        <v>7</v>
      </c>
      <c r="K209" s="29" t="s">
        <v>319</v>
      </c>
      <c r="L209" s="29" t="s">
        <v>318</v>
      </c>
      <c r="M209" s="30" t="s">
        <v>273</v>
      </c>
      <c r="N209" s="30" t="s">
        <v>899</v>
      </c>
      <c r="O209" s="31">
        <v>1</v>
      </c>
      <c r="P209" s="31"/>
      <c r="Q209" s="30"/>
      <c r="S209" s="2">
        <f t="shared" si="55"/>
        <v>0</v>
      </c>
      <c r="T209" s="2">
        <f t="shared" si="56"/>
        <v>0</v>
      </c>
      <c r="U209" s="2">
        <f t="shared" si="57"/>
        <v>0</v>
      </c>
      <c r="V209" s="2">
        <f t="shared" si="58"/>
        <v>0</v>
      </c>
      <c r="W209" s="2">
        <f t="shared" si="59"/>
        <v>0</v>
      </c>
      <c r="X209" s="2">
        <f t="shared" si="60"/>
        <v>0</v>
      </c>
      <c r="Y209" s="2">
        <f t="shared" si="61"/>
        <v>1</v>
      </c>
      <c r="Z209" s="2">
        <f t="shared" si="62"/>
        <v>0</v>
      </c>
      <c r="AA209" s="2">
        <f t="shared" si="63"/>
        <v>0</v>
      </c>
      <c r="AB209" s="2">
        <f t="shared" si="64"/>
        <v>0</v>
      </c>
      <c r="AD209" s="2">
        <f t="shared" si="65"/>
        <v>0</v>
      </c>
      <c r="AE209" s="2">
        <f t="shared" si="66"/>
        <v>1</v>
      </c>
      <c r="AF209" s="2">
        <f t="shared" si="67"/>
        <v>0</v>
      </c>
      <c r="AG209" s="2">
        <f t="shared" si="68"/>
        <v>1</v>
      </c>
      <c r="AH209" s="2">
        <f t="shared" si="69"/>
        <v>0</v>
      </c>
      <c r="AI209" s="2">
        <f t="shared" si="70"/>
        <v>1</v>
      </c>
    </row>
    <row r="210" spans="1:35" ht="14.25" customHeight="1" x14ac:dyDescent="0.25">
      <c r="A210" s="32">
        <v>0</v>
      </c>
      <c r="B210" s="32">
        <v>2</v>
      </c>
      <c r="C210" s="32">
        <v>7</v>
      </c>
      <c r="D210" s="33" t="s">
        <v>432</v>
      </c>
      <c r="E210" s="33" t="s">
        <v>31</v>
      </c>
      <c r="F210" s="33" t="s">
        <v>433</v>
      </c>
      <c r="G210" s="33" t="s">
        <v>117</v>
      </c>
      <c r="H210" s="33" t="s">
        <v>165</v>
      </c>
      <c r="I210" s="32" t="s">
        <v>484</v>
      </c>
      <c r="J210" s="32">
        <v>1</v>
      </c>
      <c r="K210" s="32" t="s">
        <v>320</v>
      </c>
      <c r="L210" s="32" t="s">
        <v>318</v>
      </c>
      <c r="M210" s="33" t="s">
        <v>273</v>
      </c>
      <c r="N210" s="33" t="s">
        <v>929</v>
      </c>
      <c r="O210" s="34"/>
      <c r="P210" s="34"/>
      <c r="Q210" s="33"/>
      <c r="S210" s="2">
        <f t="shared" si="55"/>
        <v>1</v>
      </c>
      <c r="T210" s="2">
        <f t="shared" si="56"/>
        <v>0</v>
      </c>
      <c r="U210" s="2">
        <f t="shared" si="57"/>
        <v>0</v>
      </c>
      <c r="V210" s="2">
        <f t="shared" si="58"/>
        <v>0</v>
      </c>
      <c r="W210" s="2">
        <f t="shared" si="59"/>
        <v>0</v>
      </c>
      <c r="X210" s="2">
        <f t="shared" si="60"/>
        <v>0</v>
      </c>
      <c r="Y210" s="2">
        <f t="shared" si="61"/>
        <v>0</v>
      </c>
      <c r="Z210" s="2">
        <f t="shared" si="62"/>
        <v>0</v>
      </c>
      <c r="AA210" s="2">
        <f t="shared" si="63"/>
        <v>0</v>
      </c>
      <c r="AB210" s="2">
        <f t="shared" si="64"/>
        <v>0</v>
      </c>
      <c r="AD210" s="2">
        <f t="shared" si="65"/>
        <v>0</v>
      </c>
      <c r="AE210" s="2">
        <f t="shared" si="66"/>
        <v>0</v>
      </c>
      <c r="AF210" s="2">
        <f t="shared" si="67"/>
        <v>0</v>
      </c>
      <c r="AG210" s="2">
        <f t="shared" si="68"/>
        <v>0</v>
      </c>
      <c r="AH210" s="2">
        <f t="shared" si="69"/>
        <v>0</v>
      </c>
      <c r="AI210" s="2">
        <f t="shared" si="70"/>
        <v>1</v>
      </c>
    </row>
    <row r="211" spans="1:35" ht="14.25" customHeight="1" x14ac:dyDescent="0.25">
      <c r="A211" s="29">
        <v>0</v>
      </c>
      <c r="B211" s="29">
        <v>2</v>
      </c>
      <c r="C211" s="29">
        <v>7</v>
      </c>
      <c r="D211" s="30" t="s">
        <v>462</v>
      </c>
      <c r="E211" s="30" t="s">
        <v>31</v>
      </c>
      <c r="F211" s="30" t="s">
        <v>155</v>
      </c>
      <c r="G211" s="30" t="s">
        <v>122</v>
      </c>
      <c r="H211" s="30" t="s">
        <v>165</v>
      </c>
      <c r="I211" s="29" t="s">
        <v>198</v>
      </c>
      <c r="J211" s="29">
        <v>6</v>
      </c>
      <c r="K211" s="29" t="s">
        <v>321</v>
      </c>
      <c r="L211" s="29" t="s">
        <v>318</v>
      </c>
      <c r="M211" s="30" t="s">
        <v>273</v>
      </c>
      <c r="N211" s="30" t="s">
        <v>893</v>
      </c>
      <c r="O211" s="31">
        <v>1</v>
      </c>
      <c r="P211" s="31">
        <v>1</v>
      </c>
      <c r="Q211" s="30"/>
      <c r="S211" s="2">
        <f t="shared" si="55"/>
        <v>0</v>
      </c>
      <c r="T211" s="2">
        <f t="shared" si="56"/>
        <v>0</v>
      </c>
      <c r="U211" s="2">
        <f t="shared" si="57"/>
        <v>0</v>
      </c>
      <c r="V211" s="2">
        <f t="shared" si="58"/>
        <v>0</v>
      </c>
      <c r="W211" s="2">
        <f t="shared" si="59"/>
        <v>0</v>
      </c>
      <c r="X211" s="2">
        <f t="shared" si="60"/>
        <v>1</v>
      </c>
      <c r="Y211" s="2">
        <f t="shared" si="61"/>
        <v>0</v>
      </c>
      <c r="Z211" s="2">
        <f t="shared" si="62"/>
        <v>0</v>
      </c>
      <c r="AA211" s="2">
        <f t="shared" si="63"/>
        <v>0</v>
      </c>
      <c r="AB211" s="2">
        <f t="shared" si="64"/>
        <v>0</v>
      </c>
      <c r="AD211" s="2">
        <f t="shared" si="65"/>
        <v>1</v>
      </c>
      <c r="AE211" s="2">
        <f t="shared" si="66"/>
        <v>0</v>
      </c>
      <c r="AF211" s="2">
        <f t="shared" si="67"/>
        <v>1</v>
      </c>
      <c r="AG211" s="2">
        <f t="shared" si="68"/>
        <v>0</v>
      </c>
      <c r="AH211" s="2">
        <f t="shared" si="69"/>
        <v>1</v>
      </c>
      <c r="AI211" s="2">
        <f t="shared" si="70"/>
        <v>0</v>
      </c>
    </row>
    <row r="212" spans="1:35" ht="14.25" customHeight="1" x14ac:dyDescent="0.25">
      <c r="A212" s="29">
        <v>0</v>
      </c>
      <c r="B212" s="29">
        <v>2</v>
      </c>
      <c r="C212" s="29">
        <v>7</v>
      </c>
      <c r="D212" s="30" t="s">
        <v>63</v>
      </c>
      <c r="E212" s="30" t="s">
        <v>31</v>
      </c>
      <c r="F212" s="30" t="s">
        <v>138</v>
      </c>
      <c r="G212" s="30" t="s">
        <v>125</v>
      </c>
      <c r="H212" s="30" t="s">
        <v>165</v>
      </c>
      <c r="I212" s="29" t="s">
        <v>375</v>
      </c>
      <c r="J212" s="29">
        <v>99</v>
      </c>
      <c r="K212" s="29" t="s">
        <v>320</v>
      </c>
      <c r="L212" s="29" t="s">
        <v>318</v>
      </c>
      <c r="M212" s="30" t="s">
        <v>273</v>
      </c>
      <c r="N212" s="30" t="s">
        <v>893</v>
      </c>
      <c r="O212" s="31">
        <v>1</v>
      </c>
      <c r="P212" s="31">
        <v>1</v>
      </c>
      <c r="Q212" s="30"/>
      <c r="S212" s="2">
        <f t="shared" si="55"/>
        <v>0</v>
      </c>
      <c r="T212" s="2">
        <f t="shared" si="56"/>
        <v>0</v>
      </c>
      <c r="U212" s="2">
        <f t="shared" si="57"/>
        <v>0</v>
      </c>
      <c r="V212" s="2">
        <f t="shared" si="58"/>
        <v>0</v>
      </c>
      <c r="W212" s="2">
        <f t="shared" si="59"/>
        <v>0</v>
      </c>
      <c r="X212" s="2">
        <f t="shared" si="60"/>
        <v>0</v>
      </c>
      <c r="Y212" s="2">
        <f t="shared" si="61"/>
        <v>0</v>
      </c>
      <c r="Z212" s="2">
        <f t="shared" si="62"/>
        <v>0</v>
      </c>
      <c r="AA212" s="2">
        <f t="shared" si="63"/>
        <v>0</v>
      </c>
      <c r="AB212" s="2">
        <f t="shared" si="64"/>
        <v>0</v>
      </c>
      <c r="AD212" s="2">
        <f t="shared" si="65"/>
        <v>1</v>
      </c>
      <c r="AE212" s="2">
        <f t="shared" si="66"/>
        <v>0</v>
      </c>
      <c r="AF212" s="2">
        <f t="shared" si="67"/>
        <v>1</v>
      </c>
      <c r="AG212" s="2">
        <f t="shared" si="68"/>
        <v>0</v>
      </c>
      <c r="AH212" s="2">
        <f t="shared" si="69"/>
        <v>1</v>
      </c>
      <c r="AI212" s="2">
        <f t="shared" si="70"/>
        <v>0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429</v>
      </c>
      <c r="E213" s="30" t="s">
        <v>31</v>
      </c>
      <c r="F213" s="30" t="s">
        <v>430</v>
      </c>
      <c r="G213" s="30" t="s">
        <v>126</v>
      </c>
      <c r="H213" s="30" t="s">
        <v>165</v>
      </c>
      <c r="I213" s="29" t="s">
        <v>593</v>
      </c>
      <c r="J213" s="29">
        <v>99</v>
      </c>
      <c r="K213" s="29" t="s">
        <v>318</v>
      </c>
      <c r="L213" s="29" t="s">
        <v>318</v>
      </c>
      <c r="M213" s="30" t="s">
        <v>273</v>
      </c>
      <c r="N213" s="30" t="s">
        <v>930</v>
      </c>
      <c r="O213" s="31">
        <v>1</v>
      </c>
      <c r="P213" s="31"/>
      <c r="Q213" s="30"/>
      <c r="S213" s="2">
        <f t="shared" si="55"/>
        <v>0</v>
      </c>
      <c r="T213" s="2">
        <f t="shared" si="56"/>
        <v>0</v>
      </c>
      <c r="U213" s="2">
        <f t="shared" si="57"/>
        <v>0</v>
      </c>
      <c r="V213" s="2">
        <f t="shared" si="58"/>
        <v>0</v>
      </c>
      <c r="W213" s="2">
        <f t="shared" si="59"/>
        <v>0</v>
      </c>
      <c r="X213" s="2">
        <f t="shared" si="60"/>
        <v>0</v>
      </c>
      <c r="Y213" s="2">
        <f t="shared" si="61"/>
        <v>0</v>
      </c>
      <c r="Z213" s="2">
        <f t="shared" si="62"/>
        <v>0</v>
      </c>
      <c r="AA213" s="2">
        <f t="shared" si="63"/>
        <v>0</v>
      </c>
      <c r="AB213" s="2">
        <f t="shared" si="64"/>
        <v>0</v>
      </c>
      <c r="AD213" s="2">
        <f t="shared" si="65"/>
        <v>0</v>
      </c>
      <c r="AE213" s="2">
        <f t="shared" si="66"/>
        <v>1</v>
      </c>
      <c r="AF213" s="2">
        <f t="shared" si="67"/>
        <v>0</v>
      </c>
      <c r="AG213" s="2">
        <f t="shared" si="68"/>
        <v>1</v>
      </c>
      <c r="AH213" s="2">
        <f t="shared" si="69"/>
        <v>0</v>
      </c>
      <c r="AI213" s="2">
        <f t="shared" si="70"/>
        <v>1</v>
      </c>
    </row>
    <row r="214" spans="1:35" ht="14.25" customHeight="1" x14ac:dyDescent="0.25">
      <c r="A214" s="29">
        <v>1</v>
      </c>
      <c r="B214" s="29">
        <v>2</v>
      </c>
      <c r="C214" s="29">
        <v>7</v>
      </c>
      <c r="D214" s="30" t="s">
        <v>429</v>
      </c>
      <c r="E214" s="30" t="s">
        <v>31</v>
      </c>
      <c r="F214" s="30" t="s">
        <v>664</v>
      </c>
      <c r="G214" s="30" t="s">
        <v>665</v>
      </c>
      <c r="H214" s="30" t="s">
        <v>165</v>
      </c>
      <c r="I214" s="29" t="s">
        <v>593</v>
      </c>
      <c r="J214" s="29">
        <v>99</v>
      </c>
      <c r="K214" s="29" t="s">
        <v>318</v>
      </c>
      <c r="L214" s="29" t="s">
        <v>318</v>
      </c>
      <c r="M214" s="30" t="s">
        <v>273</v>
      </c>
      <c r="N214" s="30" t="s">
        <v>930</v>
      </c>
      <c r="O214" s="31">
        <v>1</v>
      </c>
      <c r="P214" s="31"/>
      <c r="Q214" s="30"/>
      <c r="S214" s="2">
        <f t="shared" si="55"/>
        <v>0</v>
      </c>
      <c r="T214" s="2">
        <f t="shared" si="56"/>
        <v>0</v>
      </c>
      <c r="U214" s="2">
        <f t="shared" si="57"/>
        <v>0</v>
      </c>
      <c r="V214" s="2">
        <f t="shared" si="58"/>
        <v>0</v>
      </c>
      <c r="W214" s="2">
        <f t="shared" si="59"/>
        <v>0</v>
      </c>
      <c r="X214" s="2">
        <f t="shared" si="60"/>
        <v>0</v>
      </c>
      <c r="Y214" s="2">
        <f t="shared" si="61"/>
        <v>0</v>
      </c>
      <c r="Z214" s="2">
        <f t="shared" si="62"/>
        <v>0</v>
      </c>
      <c r="AA214" s="2">
        <f t="shared" si="63"/>
        <v>0</v>
      </c>
      <c r="AB214" s="2">
        <f t="shared" si="64"/>
        <v>0</v>
      </c>
      <c r="AD214" s="2">
        <f t="shared" si="65"/>
        <v>0</v>
      </c>
      <c r="AE214" s="2">
        <f t="shared" si="66"/>
        <v>1</v>
      </c>
      <c r="AF214" s="2">
        <f t="shared" si="67"/>
        <v>0</v>
      </c>
      <c r="AG214" s="2">
        <f t="shared" si="68"/>
        <v>0</v>
      </c>
      <c r="AH214" s="2">
        <f t="shared" si="69"/>
        <v>0</v>
      </c>
      <c r="AI214" s="2">
        <f t="shared" si="70"/>
        <v>0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72</v>
      </c>
      <c r="E215" s="30" t="s">
        <v>31</v>
      </c>
      <c r="F215" s="30" t="s">
        <v>151</v>
      </c>
      <c r="G215" s="30" t="s">
        <v>99</v>
      </c>
      <c r="H215" s="30" t="s">
        <v>165</v>
      </c>
      <c r="I215" s="29" t="s">
        <v>195</v>
      </c>
      <c r="J215" s="29">
        <v>3</v>
      </c>
      <c r="K215" s="29" t="s">
        <v>320</v>
      </c>
      <c r="L215" s="29" t="s">
        <v>318</v>
      </c>
      <c r="M215" s="30" t="s">
        <v>273</v>
      </c>
      <c r="N215" s="30" t="s">
        <v>930</v>
      </c>
      <c r="O215" s="31">
        <v>1</v>
      </c>
      <c r="P215" s="31"/>
      <c r="Q215" s="30"/>
      <c r="S215" s="2">
        <f t="shared" si="55"/>
        <v>0</v>
      </c>
      <c r="T215" s="2">
        <f t="shared" si="56"/>
        <v>0</v>
      </c>
      <c r="U215" s="2">
        <f t="shared" si="57"/>
        <v>1</v>
      </c>
      <c r="V215" s="2">
        <f t="shared" si="58"/>
        <v>0</v>
      </c>
      <c r="W215" s="2">
        <f t="shared" si="59"/>
        <v>0</v>
      </c>
      <c r="X215" s="2">
        <f t="shared" si="60"/>
        <v>0</v>
      </c>
      <c r="Y215" s="2">
        <f t="shared" si="61"/>
        <v>0</v>
      </c>
      <c r="Z215" s="2">
        <f t="shared" si="62"/>
        <v>0</v>
      </c>
      <c r="AA215" s="2">
        <f t="shared" si="63"/>
        <v>0</v>
      </c>
      <c r="AB215" s="2">
        <f t="shared" si="64"/>
        <v>0</v>
      </c>
      <c r="AD215" s="2">
        <f t="shared" si="65"/>
        <v>0</v>
      </c>
      <c r="AE215" s="2">
        <f t="shared" si="66"/>
        <v>1</v>
      </c>
      <c r="AF215" s="2">
        <f t="shared" si="67"/>
        <v>0</v>
      </c>
      <c r="AG215" s="2">
        <f t="shared" si="68"/>
        <v>1</v>
      </c>
      <c r="AH215" s="2">
        <f t="shared" si="69"/>
        <v>0</v>
      </c>
      <c r="AI215" s="2">
        <f t="shared" si="70"/>
        <v>1</v>
      </c>
    </row>
    <row r="216" spans="1:35" ht="14.25" customHeight="1" x14ac:dyDescent="0.25">
      <c r="A216" s="29">
        <v>0</v>
      </c>
      <c r="B216" s="29">
        <v>2</v>
      </c>
      <c r="C216" s="29">
        <v>7</v>
      </c>
      <c r="D216" s="30" t="s">
        <v>305</v>
      </c>
      <c r="E216" s="30" t="s">
        <v>31</v>
      </c>
      <c r="F216" s="30" t="s">
        <v>820</v>
      </c>
      <c r="G216" s="30" t="s">
        <v>578</v>
      </c>
      <c r="H216" s="30" t="s">
        <v>165</v>
      </c>
      <c r="I216" s="29" t="s">
        <v>297</v>
      </c>
      <c r="J216" s="29">
        <v>99</v>
      </c>
      <c r="K216" s="29" t="s">
        <v>318</v>
      </c>
      <c r="L216" s="29" t="s">
        <v>318</v>
      </c>
      <c r="M216" s="30" t="s">
        <v>273</v>
      </c>
      <c r="N216" s="30" t="s">
        <v>935</v>
      </c>
      <c r="O216" s="31">
        <v>1</v>
      </c>
      <c r="P216" s="31"/>
      <c r="Q216" s="30"/>
      <c r="S216" s="2">
        <f t="shared" si="55"/>
        <v>0</v>
      </c>
      <c r="T216" s="2">
        <f t="shared" si="56"/>
        <v>0</v>
      </c>
      <c r="U216" s="2">
        <f t="shared" si="57"/>
        <v>0</v>
      </c>
      <c r="V216" s="2">
        <f t="shared" si="58"/>
        <v>0</v>
      </c>
      <c r="W216" s="2">
        <f t="shared" si="59"/>
        <v>0</v>
      </c>
      <c r="X216" s="2">
        <f t="shared" si="60"/>
        <v>0</v>
      </c>
      <c r="Y216" s="2">
        <f t="shared" si="61"/>
        <v>0</v>
      </c>
      <c r="Z216" s="2">
        <f t="shared" si="62"/>
        <v>0</v>
      </c>
      <c r="AA216" s="2">
        <f t="shared" si="63"/>
        <v>0</v>
      </c>
      <c r="AB216" s="2">
        <f t="shared" si="64"/>
        <v>0</v>
      </c>
      <c r="AD216" s="2">
        <f t="shared" si="65"/>
        <v>0</v>
      </c>
      <c r="AE216" s="2">
        <f t="shared" si="66"/>
        <v>1</v>
      </c>
      <c r="AF216" s="2">
        <f t="shared" si="67"/>
        <v>0</v>
      </c>
      <c r="AG216" s="2">
        <f t="shared" si="68"/>
        <v>1</v>
      </c>
      <c r="AH216" s="2">
        <f t="shared" si="69"/>
        <v>0</v>
      </c>
      <c r="AI216" s="2">
        <f t="shared" si="70"/>
        <v>1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73</v>
      </c>
      <c r="E217" s="30" t="s">
        <v>31</v>
      </c>
      <c r="F217" s="30" t="s">
        <v>152</v>
      </c>
      <c r="G217" s="30" t="s">
        <v>120</v>
      </c>
      <c r="H217" s="30" t="s">
        <v>165</v>
      </c>
      <c r="I217" s="29" t="s">
        <v>196</v>
      </c>
      <c r="J217" s="29">
        <v>6</v>
      </c>
      <c r="K217" s="29" t="s">
        <v>320</v>
      </c>
      <c r="L217" s="29" t="s">
        <v>318</v>
      </c>
      <c r="M217" s="30" t="s">
        <v>273</v>
      </c>
      <c r="N217" s="30" t="s">
        <v>906</v>
      </c>
      <c r="O217" s="31">
        <v>1</v>
      </c>
      <c r="P217" s="31"/>
      <c r="Q217" s="30"/>
      <c r="S217" s="2">
        <f t="shared" si="55"/>
        <v>0</v>
      </c>
      <c r="T217" s="2">
        <f t="shared" si="56"/>
        <v>0</v>
      </c>
      <c r="U217" s="2">
        <f t="shared" si="57"/>
        <v>0</v>
      </c>
      <c r="V217" s="2">
        <f t="shared" si="58"/>
        <v>0</v>
      </c>
      <c r="W217" s="2">
        <f t="shared" si="59"/>
        <v>0</v>
      </c>
      <c r="X217" s="2">
        <f t="shared" si="60"/>
        <v>1</v>
      </c>
      <c r="Y217" s="2">
        <f t="shared" si="61"/>
        <v>0</v>
      </c>
      <c r="Z217" s="2">
        <f t="shared" si="62"/>
        <v>0</v>
      </c>
      <c r="AA217" s="2">
        <f t="shared" si="63"/>
        <v>0</v>
      </c>
      <c r="AB217" s="2">
        <f t="shared" si="64"/>
        <v>0</v>
      </c>
      <c r="AD217" s="2">
        <f t="shared" si="65"/>
        <v>0</v>
      </c>
      <c r="AE217" s="2">
        <f t="shared" si="66"/>
        <v>1</v>
      </c>
      <c r="AF217" s="2">
        <f t="shared" si="67"/>
        <v>0</v>
      </c>
      <c r="AG217" s="2">
        <f t="shared" si="68"/>
        <v>1</v>
      </c>
      <c r="AH217" s="2">
        <f t="shared" si="69"/>
        <v>0</v>
      </c>
      <c r="AI217" s="2">
        <f t="shared" si="70"/>
        <v>1</v>
      </c>
    </row>
    <row r="218" spans="1:35" ht="14.25" customHeight="1" x14ac:dyDescent="0.25">
      <c r="A218" s="29">
        <v>1</v>
      </c>
      <c r="B218" s="29">
        <v>2</v>
      </c>
      <c r="C218" s="29">
        <v>7</v>
      </c>
      <c r="D218" s="30" t="s">
        <v>73</v>
      </c>
      <c r="E218" s="30" t="s">
        <v>31</v>
      </c>
      <c r="F218" s="30" t="s">
        <v>310</v>
      </c>
      <c r="G218" s="30" t="s">
        <v>102</v>
      </c>
      <c r="H218" s="30" t="s">
        <v>165</v>
      </c>
      <c r="I218" s="29" t="s">
        <v>316</v>
      </c>
      <c r="J218" s="29">
        <v>4</v>
      </c>
      <c r="K218" s="29" t="s">
        <v>320</v>
      </c>
      <c r="L218" s="29" t="s">
        <v>318</v>
      </c>
      <c r="M218" s="30" t="s">
        <v>273</v>
      </c>
      <c r="N218" s="30" t="s">
        <v>906</v>
      </c>
      <c r="O218" s="31">
        <v>1</v>
      </c>
      <c r="P218" s="31"/>
      <c r="Q218" s="30"/>
      <c r="S218" s="2">
        <f t="shared" si="55"/>
        <v>0</v>
      </c>
      <c r="T218" s="2">
        <f t="shared" si="56"/>
        <v>0</v>
      </c>
      <c r="U218" s="2">
        <f t="shared" si="57"/>
        <v>0</v>
      </c>
      <c r="V218" s="2">
        <f t="shared" si="58"/>
        <v>1</v>
      </c>
      <c r="W218" s="2">
        <f t="shared" si="59"/>
        <v>0</v>
      </c>
      <c r="X218" s="2">
        <f t="shared" si="60"/>
        <v>0</v>
      </c>
      <c r="Y218" s="2">
        <f t="shared" si="61"/>
        <v>0</v>
      </c>
      <c r="Z218" s="2">
        <f t="shared" si="62"/>
        <v>0</v>
      </c>
      <c r="AA218" s="2">
        <f t="shared" si="63"/>
        <v>0</v>
      </c>
      <c r="AB218" s="2">
        <f t="shared" si="64"/>
        <v>0</v>
      </c>
      <c r="AD218" s="2">
        <f t="shared" si="65"/>
        <v>0</v>
      </c>
      <c r="AE218" s="2">
        <f t="shared" si="66"/>
        <v>1</v>
      </c>
      <c r="AF218" s="2">
        <f t="shared" si="67"/>
        <v>0</v>
      </c>
      <c r="AG218" s="2">
        <f t="shared" si="68"/>
        <v>0</v>
      </c>
      <c r="AH218" s="2">
        <f t="shared" si="69"/>
        <v>0</v>
      </c>
      <c r="AI218" s="2">
        <f t="shared" si="70"/>
        <v>0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395</v>
      </c>
      <c r="E219" s="30" t="s">
        <v>31</v>
      </c>
      <c r="F219" s="30" t="s">
        <v>476</v>
      </c>
      <c r="G219" s="30" t="s">
        <v>477</v>
      </c>
      <c r="H219" s="30" t="s">
        <v>165</v>
      </c>
      <c r="I219" s="29" t="s">
        <v>396</v>
      </c>
      <c r="J219" s="29">
        <v>99</v>
      </c>
      <c r="K219" s="29" t="s">
        <v>318</v>
      </c>
      <c r="L219" s="29" t="s">
        <v>318</v>
      </c>
      <c r="M219" s="30" t="s">
        <v>273</v>
      </c>
      <c r="N219" s="30" t="s">
        <v>899</v>
      </c>
      <c r="O219" s="31">
        <v>1</v>
      </c>
      <c r="P219" s="31"/>
      <c r="Q219" s="30"/>
      <c r="S219" s="2">
        <f t="shared" si="55"/>
        <v>0</v>
      </c>
      <c r="T219" s="2">
        <f t="shared" si="56"/>
        <v>0</v>
      </c>
      <c r="U219" s="2">
        <f t="shared" si="57"/>
        <v>0</v>
      </c>
      <c r="V219" s="2">
        <f t="shared" si="58"/>
        <v>0</v>
      </c>
      <c r="W219" s="2">
        <f t="shared" si="59"/>
        <v>0</v>
      </c>
      <c r="X219" s="2">
        <f t="shared" si="60"/>
        <v>0</v>
      </c>
      <c r="Y219" s="2">
        <f t="shared" si="61"/>
        <v>0</v>
      </c>
      <c r="Z219" s="2">
        <f t="shared" si="62"/>
        <v>0</v>
      </c>
      <c r="AA219" s="2">
        <f t="shared" si="63"/>
        <v>0</v>
      </c>
      <c r="AB219" s="2">
        <f t="shared" si="64"/>
        <v>0</v>
      </c>
      <c r="AD219" s="2">
        <f t="shared" si="65"/>
        <v>0</v>
      </c>
      <c r="AE219" s="2">
        <f t="shared" si="66"/>
        <v>1</v>
      </c>
      <c r="AF219" s="2">
        <f t="shared" si="67"/>
        <v>0</v>
      </c>
      <c r="AG219" s="2">
        <f t="shared" si="68"/>
        <v>1</v>
      </c>
      <c r="AH219" s="2">
        <f t="shared" si="69"/>
        <v>0</v>
      </c>
      <c r="AI219" s="2">
        <f t="shared" si="70"/>
        <v>1</v>
      </c>
    </row>
    <row r="220" spans="1:35" ht="14.25" customHeight="1" x14ac:dyDescent="0.25">
      <c r="A220" s="32">
        <v>0</v>
      </c>
      <c r="B220" s="32">
        <v>2</v>
      </c>
      <c r="C220" s="32">
        <v>7</v>
      </c>
      <c r="D220" s="33" t="s">
        <v>568</v>
      </c>
      <c r="E220" s="33" t="s">
        <v>31</v>
      </c>
      <c r="F220" s="33" t="s">
        <v>579</v>
      </c>
      <c r="G220" s="33" t="s">
        <v>132</v>
      </c>
      <c r="H220" s="33" t="s">
        <v>165</v>
      </c>
      <c r="I220" s="32" t="s">
        <v>842</v>
      </c>
      <c r="J220" s="32">
        <v>3</v>
      </c>
      <c r="K220" s="32" t="s">
        <v>320</v>
      </c>
      <c r="L220" s="32" t="s">
        <v>318</v>
      </c>
      <c r="M220" s="33" t="s">
        <v>273</v>
      </c>
      <c r="N220" s="33" t="s">
        <v>929</v>
      </c>
      <c r="O220" s="34"/>
      <c r="P220" s="34"/>
      <c r="Q220" s="33"/>
      <c r="S220" s="2">
        <f t="shared" si="55"/>
        <v>0</v>
      </c>
      <c r="T220" s="2">
        <f t="shared" si="56"/>
        <v>0</v>
      </c>
      <c r="U220" s="2">
        <f t="shared" si="57"/>
        <v>1</v>
      </c>
      <c r="V220" s="2">
        <f t="shared" si="58"/>
        <v>0</v>
      </c>
      <c r="W220" s="2">
        <f t="shared" si="59"/>
        <v>0</v>
      </c>
      <c r="X220" s="2">
        <f t="shared" si="60"/>
        <v>0</v>
      </c>
      <c r="Y220" s="2">
        <f t="shared" si="61"/>
        <v>0</v>
      </c>
      <c r="Z220" s="2">
        <f t="shared" si="62"/>
        <v>0</v>
      </c>
      <c r="AA220" s="2">
        <f t="shared" si="63"/>
        <v>0</v>
      </c>
      <c r="AB220" s="2">
        <f t="shared" si="64"/>
        <v>0</v>
      </c>
      <c r="AD220" s="2">
        <f t="shared" si="65"/>
        <v>0</v>
      </c>
      <c r="AE220" s="2">
        <f t="shared" si="66"/>
        <v>0</v>
      </c>
      <c r="AF220" s="2">
        <f t="shared" si="67"/>
        <v>0</v>
      </c>
      <c r="AG220" s="2">
        <f t="shared" si="68"/>
        <v>0</v>
      </c>
      <c r="AH220" s="2">
        <f t="shared" si="69"/>
        <v>0</v>
      </c>
      <c r="AI220" s="2">
        <f t="shared" si="70"/>
        <v>1</v>
      </c>
    </row>
    <row r="221" spans="1:35" ht="14.25" customHeight="1" x14ac:dyDescent="0.25">
      <c r="A221" s="29">
        <v>0</v>
      </c>
      <c r="B221" s="29">
        <v>2</v>
      </c>
      <c r="C221" s="29">
        <v>7</v>
      </c>
      <c r="D221" s="30" t="s">
        <v>74</v>
      </c>
      <c r="E221" s="30" t="s">
        <v>31</v>
      </c>
      <c r="F221" s="30" t="s">
        <v>311</v>
      </c>
      <c r="G221" s="30" t="s">
        <v>103</v>
      </c>
      <c r="H221" s="30" t="s">
        <v>165</v>
      </c>
      <c r="I221" s="29" t="s">
        <v>843</v>
      </c>
      <c r="J221" s="29">
        <v>6</v>
      </c>
      <c r="K221" s="29" t="s">
        <v>318</v>
      </c>
      <c r="L221" s="29" t="s">
        <v>318</v>
      </c>
      <c r="M221" s="30" t="s">
        <v>273</v>
      </c>
      <c r="N221" s="30" t="s">
        <v>935</v>
      </c>
      <c r="O221" s="31">
        <v>1</v>
      </c>
      <c r="P221" s="31"/>
      <c r="Q221" s="30"/>
      <c r="S221" s="2">
        <f t="shared" si="55"/>
        <v>0</v>
      </c>
      <c r="T221" s="2">
        <f t="shared" si="56"/>
        <v>0</v>
      </c>
      <c r="U221" s="2">
        <f t="shared" si="57"/>
        <v>0</v>
      </c>
      <c r="V221" s="2">
        <f t="shared" si="58"/>
        <v>0</v>
      </c>
      <c r="W221" s="2">
        <f t="shared" si="59"/>
        <v>0</v>
      </c>
      <c r="X221" s="2">
        <f t="shared" si="60"/>
        <v>1</v>
      </c>
      <c r="Y221" s="2">
        <f t="shared" si="61"/>
        <v>0</v>
      </c>
      <c r="Z221" s="2">
        <f t="shared" si="62"/>
        <v>0</v>
      </c>
      <c r="AA221" s="2">
        <f t="shared" si="63"/>
        <v>0</v>
      </c>
      <c r="AB221" s="2">
        <f t="shared" si="64"/>
        <v>0</v>
      </c>
      <c r="AD221" s="2">
        <f t="shared" si="65"/>
        <v>0</v>
      </c>
      <c r="AE221" s="2">
        <f t="shared" si="66"/>
        <v>1</v>
      </c>
      <c r="AF221" s="2">
        <f t="shared" si="67"/>
        <v>0</v>
      </c>
      <c r="AG221" s="2">
        <f t="shared" si="68"/>
        <v>1</v>
      </c>
      <c r="AH221" s="2">
        <f t="shared" si="69"/>
        <v>0</v>
      </c>
      <c r="AI221" s="2">
        <f t="shared" si="70"/>
        <v>1</v>
      </c>
    </row>
    <row r="222" spans="1:35" ht="14.25" customHeight="1" x14ac:dyDescent="0.25">
      <c r="A222" s="32">
        <v>0</v>
      </c>
      <c r="B222" s="32">
        <v>2</v>
      </c>
      <c r="C222" s="32">
        <v>7</v>
      </c>
      <c r="D222" s="33" t="s">
        <v>68</v>
      </c>
      <c r="E222" s="33" t="s">
        <v>90</v>
      </c>
      <c r="F222" s="33" t="s">
        <v>146</v>
      </c>
      <c r="G222" s="33" t="s">
        <v>103</v>
      </c>
      <c r="H222" s="33" t="s">
        <v>165</v>
      </c>
      <c r="I222" s="32" t="s">
        <v>191</v>
      </c>
      <c r="J222" s="32">
        <v>6</v>
      </c>
      <c r="K222" s="32" t="s">
        <v>321</v>
      </c>
      <c r="L222" s="32" t="s">
        <v>333</v>
      </c>
      <c r="M222" s="33" t="s">
        <v>274</v>
      </c>
      <c r="N222" s="33" t="s">
        <v>929</v>
      </c>
      <c r="O222" s="34"/>
      <c r="P222" s="34"/>
      <c r="Q222" s="33"/>
      <c r="S222" s="2">
        <f t="shared" si="55"/>
        <v>0</v>
      </c>
      <c r="T222" s="2">
        <f t="shared" si="56"/>
        <v>0</v>
      </c>
      <c r="U222" s="2">
        <f t="shared" si="57"/>
        <v>0</v>
      </c>
      <c r="V222" s="2">
        <f t="shared" si="58"/>
        <v>0</v>
      </c>
      <c r="W222" s="2">
        <f t="shared" si="59"/>
        <v>0</v>
      </c>
      <c r="X222" s="2">
        <f t="shared" si="60"/>
        <v>1</v>
      </c>
      <c r="Y222" s="2">
        <f t="shared" si="61"/>
        <v>0</v>
      </c>
      <c r="Z222" s="2">
        <f t="shared" si="62"/>
        <v>0</v>
      </c>
      <c r="AA222" s="2">
        <f t="shared" si="63"/>
        <v>0</v>
      </c>
      <c r="AB222" s="2">
        <f t="shared" si="64"/>
        <v>0</v>
      </c>
      <c r="AD222" s="2">
        <f t="shared" si="65"/>
        <v>0</v>
      </c>
      <c r="AE222" s="2">
        <f t="shared" si="66"/>
        <v>0</v>
      </c>
      <c r="AF222" s="2">
        <f t="shared" si="67"/>
        <v>0</v>
      </c>
      <c r="AG222" s="2">
        <f t="shared" si="68"/>
        <v>0</v>
      </c>
      <c r="AH222" s="2">
        <f t="shared" si="69"/>
        <v>0</v>
      </c>
      <c r="AI222" s="2">
        <f t="shared" si="70"/>
        <v>1</v>
      </c>
    </row>
    <row r="223" spans="1:35" ht="14.25" customHeight="1" x14ac:dyDescent="0.25">
      <c r="A223" s="29">
        <v>0</v>
      </c>
      <c r="B223" s="29">
        <v>2</v>
      </c>
      <c r="C223" s="29">
        <v>7</v>
      </c>
      <c r="D223" s="30" t="s">
        <v>464</v>
      </c>
      <c r="E223" s="30" t="s">
        <v>31</v>
      </c>
      <c r="F223" s="30" t="s">
        <v>397</v>
      </c>
      <c r="G223" s="30" t="s">
        <v>480</v>
      </c>
      <c r="H223" s="30" t="s">
        <v>165</v>
      </c>
      <c r="I223" s="29" t="s">
        <v>490</v>
      </c>
      <c r="J223" s="29">
        <v>99</v>
      </c>
      <c r="K223" s="29" t="s">
        <v>378</v>
      </c>
      <c r="L223" s="29" t="s">
        <v>318</v>
      </c>
      <c r="M223" s="30" t="s">
        <v>273</v>
      </c>
      <c r="N223" s="30" t="s">
        <v>935</v>
      </c>
      <c r="O223" s="31">
        <v>1</v>
      </c>
      <c r="P223" s="31"/>
      <c r="Q223" s="30"/>
      <c r="S223" s="2">
        <f t="shared" si="55"/>
        <v>0</v>
      </c>
      <c r="T223" s="2">
        <f t="shared" si="56"/>
        <v>0</v>
      </c>
      <c r="U223" s="2">
        <f t="shared" si="57"/>
        <v>0</v>
      </c>
      <c r="V223" s="2">
        <f t="shared" si="58"/>
        <v>0</v>
      </c>
      <c r="W223" s="2">
        <f t="shared" si="59"/>
        <v>0</v>
      </c>
      <c r="X223" s="2">
        <f t="shared" si="60"/>
        <v>0</v>
      </c>
      <c r="Y223" s="2">
        <f t="shared" si="61"/>
        <v>0</v>
      </c>
      <c r="Z223" s="2">
        <f t="shared" si="62"/>
        <v>0</v>
      </c>
      <c r="AA223" s="2">
        <f t="shared" si="63"/>
        <v>0</v>
      </c>
      <c r="AB223" s="2">
        <f t="shared" si="64"/>
        <v>0</v>
      </c>
      <c r="AD223" s="2">
        <f t="shared" si="65"/>
        <v>0</v>
      </c>
      <c r="AE223" s="2">
        <f t="shared" si="66"/>
        <v>1</v>
      </c>
      <c r="AF223" s="2">
        <f t="shared" si="67"/>
        <v>0</v>
      </c>
      <c r="AG223" s="2">
        <f t="shared" si="68"/>
        <v>1</v>
      </c>
      <c r="AH223" s="2">
        <f t="shared" si="69"/>
        <v>0</v>
      </c>
      <c r="AI223" s="2">
        <f t="shared" si="70"/>
        <v>1</v>
      </c>
    </row>
    <row r="224" spans="1:35" ht="14.25" customHeight="1" x14ac:dyDescent="0.25">
      <c r="A224" s="29">
        <v>0</v>
      </c>
      <c r="B224" s="29">
        <v>2</v>
      </c>
      <c r="C224" s="29">
        <v>7</v>
      </c>
      <c r="D224" s="30" t="s">
        <v>506</v>
      </c>
      <c r="E224" s="30" t="s">
        <v>31</v>
      </c>
      <c r="F224" s="30" t="s">
        <v>507</v>
      </c>
      <c r="G224" s="30" t="s">
        <v>96</v>
      </c>
      <c r="H224" s="30" t="s">
        <v>165</v>
      </c>
      <c r="I224" s="29" t="s">
        <v>508</v>
      </c>
      <c r="J224" s="29">
        <v>3</v>
      </c>
      <c r="K224" s="29" t="s">
        <v>318</v>
      </c>
      <c r="L224" s="29" t="s">
        <v>318</v>
      </c>
      <c r="M224" s="30" t="s">
        <v>273</v>
      </c>
      <c r="N224" s="30" t="s">
        <v>913</v>
      </c>
      <c r="O224" s="31">
        <v>1</v>
      </c>
      <c r="P224" s="31"/>
      <c r="Q224" s="30"/>
      <c r="S224" s="2">
        <f t="shared" si="55"/>
        <v>0</v>
      </c>
      <c r="T224" s="2">
        <f t="shared" si="56"/>
        <v>0</v>
      </c>
      <c r="U224" s="2">
        <f t="shared" si="57"/>
        <v>1</v>
      </c>
      <c r="V224" s="2">
        <f t="shared" si="58"/>
        <v>0</v>
      </c>
      <c r="W224" s="2">
        <f t="shared" si="59"/>
        <v>0</v>
      </c>
      <c r="X224" s="2">
        <f t="shared" si="60"/>
        <v>0</v>
      </c>
      <c r="Y224" s="2">
        <f t="shared" si="61"/>
        <v>0</v>
      </c>
      <c r="Z224" s="2">
        <f t="shared" si="62"/>
        <v>0</v>
      </c>
      <c r="AA224" s="2">
        <f t="shared" si="63"/>
        <v>0</v>
      </c>
      <c r="AB224" s="2">
        <f t="shared" si="64"/>
        <v>0</v>
      </c>
      <c r="AD224" s="2">
        <f t="shared" si="65"/>
        <v>0</v>
      </c>
      <c r="AE224" s="2">
        <f t="shared" si="66"/>
        <v>1</v>
      </c>
      <c r="AF224" s="2">
        <f t="shared" si="67"/>
        <v>0</v>
      </c>
      <c r="AG224" s="2">
        <f t="shared" si="68"/>
        <v>1</v>
      </c>
      <c r="AH224" s="2">
        <f t="shared" si="69"/>
        <v>0</v>
      </c>
      <c r="AI224" s="2">
        <f t="shared" si="70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917</v>
      </c>
      <c r="E225" s="30" t="s">
        <v>918</v>
      </c>
      <c r="F225" s="30" t="s">
        <v>146</v>
      </c>
      <c r="G225" s="30" t="s">
        <v>103</v>
      </c>
      <c r="H225" s="30" t="s">
        <v>165</v>
      </c>
      <c r="I225" s="29" t="s">
        <v>33</v>
      </c>
      <c r="J225" s="29">
        <v>6</v>
      </c>
      <c r="K225" s="29" t="s">
        <v>378</v>
      </c>
      <c r="L225" s="29"/>
      <c r="M225" s="30"/>
      <c r="N225" s="30" t="s">
        <v>893</v>
      </c>
      <c r="O225" s="31">
        <v>1</v>
      </c>
      <c r="P225" s="31">
        <v>1</v>
      </c>
      <c r="Q225" s="30"/>
      <c r="S225" s="2">
        <f t="shared" si="55"/>
        <v>0</v>
      </c>
      <c r="T225" s="2">
        <f t="shared" si="56"/>
        <v>0</v>
      </c>
      <c r="U225" s="2">
        <f t="shared" si="57"/>
        <v>0</v>
      </c>
      <c r="V225" s="2">
        <f t="shared" si="58"/>
        <v>0</v>
      </c>
      <c r="W225" s="2">
        <f t="shared" si="59"/>
        <v>0</v>
      </c>
      <c r="X225" s="2">
        <f t="shared" si="60"/>
        <v>1</v>
      </c>
      <c r="Y225" s="2">
        <f t="shared" si="61"/>
        <v>0</v>
      </c>
      <c r="Z225" s="2">
        <f t="shared" si="62"/>
        <v>0</v>
      </c>
      <c r="AA225" s="2">
        <f t="shared" si="63"/>
        <v>0</v>
      </c>
      <c r="AB225" s="2">
        <f t="shared" si="64"/>
        <v>0</v>
      </c>
      <c r="AD225" s="2">
        <f t="shared" si="65"/>
        <v>1</v>
      </c>
      <c r="AE225" s="2">
        <f t="shared" si="66"/>
        <v>0</v>
      </c>
      <c r="AF225" s="2">
        <f t="shared" si="67"/>
        <v>1</v>
      </c>
      <c r="AG225" s="2">
        <f t="shared" si="68"/>
        <v>0</v>
      </c>
      <c r="AH225" s="2">
        <f t="shared" si="69"/>
        <v>1</v>
      </c>
      <c r="AI225" s="2">
        <f t="shared" si="70"/>
        <v>0</v>
      </c>
    </row>
    <row r="226" spans="1:35" ht="14.25" customHeight="1" x14ac:dyDescent="0.25">
      <c r="A226" s="29">
        <v>1</v>
      </c>
      <c r="B226" s="29">
        <v>2</v>
      </c>
      <c r="C226" s="29">
        <v>7</v>
      </c>
      <c r="D226" s="30" t="s">
        <v>917</v>
      </c>
      <c r="E226" s="30" t="s">
        <v>918</v>
      </c>
      <c r="F226" s="30" t="s">
        <v>919</v>
      </c>
      <c r="G226" s="30" t="s">
        <v>920</v>
      </c>
      <c r="H226" s="30" t="s">
        <v>165</v>
      </c>
      <c r="I226" s="29"/>
      <c r="J226" s="29"/>
      <c r="K226" s="29" t="s">
        <v>378</v>
      </c>
      <c r="L226" s="29"/>
      <c r="M226" s="30"/>
      <c r="N226" s="30" t="s">
        <v>893</v>
      </c>
      <c r="O226" s="31">
        <v>1</v>
      </c>
      <c r="P226" s="31">
        <v>1</v>
      </c>
      <c r="Q226" s="30"/>
      <c r="S226" s="2">
        <f t="shared" si="55"/>
        <v>0</v>
      </c>
      <c r="T226" s="2">
        <f t="shared" si="56"/>
        <v>0</v>
      </c>
      <c r="U226" s="2">
        <f t="shared" si="57"/>
        <v>0</v>
      </c>
      <c r="V226" s="2">
        <f t="shared" si="58"/>
        <v>0</v>
      </c>
      <c r="W226" s="2">
        <f t="shared" si="59"/>
        <v>0</v>
      </c>
      <c r="X226" s="2">
        <f t="shared" si="60"/>
        <v>0</v>
      </c>
      <c r="Y226" s="2">
        <f t="shared" si="61"/>
        <v>0</v>
      </c>
      <c r="Z226" s="2">
        <f t="shared" si="62"/>
        <v>0</v>
      </c>
      <c r="AA226" s="2">
        <f t="shared" si="63"/>
        <v>0</v>
      </c>
      <c r="AB226" s="2">
        <f t="shared" si="64"/>
        <v>0</v>
      </c>
      <c r="AD226" s="2">
        <f t="shared" si="65"/>
        <v>1</v>
      </c>
      <c r="AE226" s="2">
        <f t="shared" si="66"/>
        <v>0</v>
      </c>
      <c r="AF226" s="2">
        <f t="shared" si="67"/>
        <v>0</v>
      </c>
      <c r="AG226" s="2">
        <f t="shared" si="68"/>
        <v>0</v>
      </c>
      <c r="AH226" s="2">
        <f t="shared" si="69"/>
        <v>0</v>
      </c>
      <c r="AI226" s="2">
        <f t="shared" si="70"/>
        <v>0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362</v>
      </c>
      <c r="E227" s="30" t="s">
        <v>31</v>
      </c>
      <c r="F227" s="30" t="s">
        <v>153</v>
      </c>
      <c r="G227" s="30" t="s">
        <v>109</v>
      </c>
      <c r="H227" s="30" t="s">
        <v>165</v>
      </c>
      <c r="I227" s="29" t="s">
        <v>197</v>
      </c>
      <c r="J227" s="29">
        <v>9</v>
      </c>
      <c r="K227" s="29" t="s">
        <v>320</v>
      </c>
      <c r="L227" s="29" t="s">
        <v>318</v>
      </c>
      <c r="M227" s="30" t="s">
        <v>273</v>
      </c>
      <c r="N227" s="30" t="s">
        <v>913</v>
      </c>
      <c r="O227" s="31">
        <v>1</v>
      </c>
      <c r="P227" s="31"/>
      <c r="Q227" s="30"/>
      <c r="S227" s="2">
        <f t="shared" si="55"/>
        <v>0</v>
      </c>
      <c r="T227" s="2">
        <f t="shared" si="56"/>
        <v>0</v>
      </c>
      <c r="U227" s="2">
        <f t="shared" si="57"/>
        <v>0</v>
      </c>
      <c r="V227" s="2">
        <f t="shared" si="58"/>
        <v>0</v>
      </c>
      <c r="W227" s="2">
        <f t="shared" si="59"/>
        <v>0</v>
      </c>
      <c r="X227" s="2">
        <f t="shared" si="60"/>
        <v>0</v>
      </c>
      <c r="Y227" s="2">
        <f t="shared" si="61"/>
        <v>0</v>
      </c>
      <c r="Z227" s="2">
        <f t="shared" si="62"/>
        <v>0</v>
      </c>
      <c r="AA227" s="2">
        <f t="shared" si="63"/>
        <v>1</v>
      </c>
      <c r="AB227" s="2">
        <f t="shared" si="64"/>
        <v>0</v>
      </c>
      <c r="AD227" s="2">
        <f t="shared" si="65"/>
        <v>0</v>
      </c>
      <c r="AE227" s="2">
        <f t="shared" si="66"/>
        <v>1</v>
      </c>
      <c r="AF227" s="2">
        <f t="shared" si="67"/>
        <v>0</v>
      </c>
      <c r="AG227" s="2">
        <f t="shared" si="68"/>
        <v>1</v>
      </c>
      <c r="AH227" s="2">
        <f t="shared" si="69"/>
        <v>0</v>
      </c>
      <c r="AI227" s="2">
        <f t="shared" si="70"/>
        <v>1</v>
      </c>
    </row>
    <row r="228" spans="1:35" ht="14.25" customHeight="1" x14ac:dyDescent="0.25">
      <c r="A228" s="29">
        <v>1</v>
      </c>
      <c r="B228" s="29">
        <v>2</v>
      </c>
      <c r="C228" s="29">
        <v>7</v>
      </c>
      <c r="D228" s="30" t="s">
        <v>362</v>
      </c>
      <c r="E228" s="30" t="s">
        <v>31</v>
      </c>
      <c r="F228" s="30" t="s">
        <v>369</v>
      </c>
      <c r="G228" s="30" t="s">
        <v>109</v>
      </c>
      <c r="H228" s="30" t="s">
        <v>165</v>
      </c>
      <c r="I228" s="29" t="s">
        <v>376</v>
      </c>
      <c r="J228" s="29">
        <v>9</v>
      </c>
      <c r="K228" s="29" t="s">
        <v>320</v>
      </c>
      <c r="L228" s="29" t="s">
        <v>318</v>
      </c>
      <c r="M228" s="30" t="s">
        <v>273</v>
      </c>
      <c r="N228" s="30" t="s">
        <v>913</v>
      </c>
      <c r="O228" s="31">
        <v>1</v>
      </c>
      <c r="P228" s="31"/>
      <c r="Q228" s="30" t="s">
        <v>958</v>
      </c>
      <c r="S228" s="2">
        <f t="shared" si="55"/>
        <v>0</v>
      </c>
      <c r="T228" s="2">
        <f t="shared" si="56"/>
        <v>0</v>
      </c>
      <c r="U228" s="2">
        <f t="shared" si="57"/>
        <v>0</v>
      </c>
      <c r="V228" s="2">
        <f t="shared" si="58"/>
        <v>0</v>
      </c>
      <c r="W228" s="2">
        <f t="shared" si="59"/>
        <v>0</v>
      </c>
      <c r="X228" s="2">
        <f t="shared" si="60"/>
        <v>0</v>
      </c>
      <c r="Y228" s="2">
        <f t="shared" si="61"/>
        <v>0</v>
      </c>
      <c r="Z228" s="2">
        <f t="shared" si="62"/>
        <v>0</v>
      </c>
      <c r="AA228" s="2">
        <f t="shared" si="63"/>
        <v>1</v>
      </c>
      <c r="AB228" s="2">
        <f t="shared" si="64"/>
        <v>0</v>
      </c>
      <c r="AD228" s="2">
        <f t="shared" si="65"/>
        <v>0</v>
      </c>
      <c r="AE228" s="2">
        <f t="shared" si="66"/>
        <v>1</v>
      </c>
      <c r="AF228" s="2">
        <f t="shared" si="67"/>
        <v>0</v>
      </c>
      <c r="AG228" s="2">
        <f t="shared" si="68"/>
        <v>0</v>
      </c>
      <c r="AH228" s="2">
        <f t="shared" si="69"/>
        <v>0</v>
      </c>
      <c r="AI228" s="2">
        <f t="shared" si="70"/>
        <v>0</v>
      </c>
    </row>
    <row r="229" spans="1:35" ht="14.25" customHeight="1" x14ac:dyDescent="0.25">
      <c r="A229" s="29">
        <v>0</v>
      </c>
      <c r="B229" s="29">
        <v>2</v>
      </c>
      <c r="C229" s="29">
        <v>7</v>
      </c>
      <c r="D229" s="30" t="s">
        <v>398</v>
      </c>
      <c r="E229" s="30" t="s">
        <v>31</v>
      </c>
      <c r="F229" s="30" t="s">
        <v>401</v>
      </c>
      <c r="G229" s="30" t="s">
        <v>481</v>
      </c>
      <c r="H229" s="30" t="s">
        <v>165</v>
      </c>
      <c r="I229" s="29" t="s">
        <v>493</v>
      </c>
      <c r="J229" s="29">
        <v>6</v>
      </c>
      <c r="K229" s="29" t="s">
        <v>319</v>
      </c>
      <c r="L229" s="29" t="s">
        <v>318</v>
      </c>
      <c r="M229" s="30" t="s">
        <v>273</v>
      </c>
      <c r="N229" s="30" t="s">
        <v>935</v>
      </c>
      <c r="O229" s="31">
        <v>1</v>
      </c>
      <c r="P229" s="31"/>
      <c r="Q229" s="30"/>
      <c r="S229" s="2">
        <f t="shared" si="55"/>
        <v>0</v>
      </c>
      <c r="T229" s="2">
        <f t="shared" si="56"/>
        <v>0</v>
      </c>
      <c r="U229" s="2">
        <f t="shared" si="57"/>
        <v>0</v>
      </c>
      <c r="V229" s="2">
        <f t="shared" si="58"/>
        <v>0</v>
      </c>
      <c r="W229" s="2">
        <f t="shared" si="59"/>
        <v>0</v>
      </c>
      <c r="X229" s="2">
        <f t="shared" si="60"/>
        <v>1</v>
      </c>
      <c r="Y229" s="2">
        <f t="shared" si="61"/>
        <v>0</v>
      </c>
      <c r="Z229" s="2">
        <f t="shared" si="62"/>
        <v>0</v>
      </c>
      <c r="AA229" s="2">
        <f t="shared" si="63"/>
        <v>0</v>
      </c>
      <c r="AB229" s="2">
        <f t="shared" si="64"/>
        <v>0</v>
      </c>
      <c r="AD229" s="2">
        <f t="shared" si="65"/>
        <v>0</v>
      </c>
      <c r="AE229" s="2">
        <f t="shared" si="66"/>
        <v>1</v>
      </c>
      <c r="AF229" s="2">
        <f t="shared" si="67"/>
        <v>0</v>
      </c>
      <c r="AG229" s="2">
        <f t="shared" si="68"/>
        <v>1</v>
      </c>
      <c r="AH229" s="2">
        <f t="shared" si="69"/>
        <v>0</v>
      </c>
      <c r="AI229" s="2">
        <f t="shared" si="70"/>
        <v>1</v>
      </c>
    </row>
    <row r="230" spans="1:35" ht="14.25" customHeight="1" x14ac:dyDescent="0.25">
      <c r="A230" s="29">
        <v>1</v>
      </c>
      <c r="B230" s="29">
        <v>2</v>
      </c>
      <c r="C230" s="29">
        <v>7</v>
      </c>
      <c r="D230" s="30" t="s">
        <v>398</v>
      </c>
      <c r="E230" s="30" t="s">
        <v>31</v>
      </c>
      <c r="F230" s="30" t="s">
        <v>399</v>
      </c>
      <c r="G230" s="30" t="s">
        <v>124</v>
      </c>
      <c r="H230" s="30" t="s">
        <v>165</v>
      </c>
      <c r="I230" s="29" t="s">
        <v>400</v>
      </c>
      <c r="J230" s="29">
        <v>7</v>
      </c>
      <c r="K230" s="29" t="s">
        <v>319</v>
      </c>
      <c r="L230" s="29" t="s">
        <v>318</v>
      </c>
      <c r="M230" s="30" t="s">
        <v>273</v>
      </c>
      <c r="N230" s="30" t="s">
        <v>935</v>
      </c>
      <c r="O230" s="31">
        <v>1</v>
      </c>
      <c r="P230" s="31"/>
      <c r="Q230" s="30"/>
      <c r="S230" s="2">
        <f t="shared" si="55"/>
        <v>0</v>
      </c>
      <c r="T230" s="2">
        <f t="shared" si="56"/>
        <v>0</v>
      </c>
      <c r="U230" s="2">
        <f t="shared" si="57"/>
        <v>0</v>
      </c>
      <c r="V230" s="2">
        <f t="shared" si="58"/>
        <v>0</v>
      </c>
      <c r="W230" s="2">
        <f t="shared" si="59"/>
        <v>0</v>
      </c>
      <c r="X230" s="2">
        <f t="shared" si="60"/>
        <v>0</v>
      </c>
      <c r="Y230" s="2">
        <f t="shared" si="61"/>
        <v>1</v>
      </c>
      <c r="Z230" s="2">
        <f t="shared" si="62"/>
        <v>0</v>
      </c>
      <c r="AA230" s="2">
        <f t="shared" si="63"/>
        <v>0</v>
      </c>
      <c r="AB230" s="2">
        <f t="shared" si="64"/>
        <v>0</v>
      </c>
      <c r="AD230" s="2">
        <f t="shared" si="65"/>
        <v>0</v>
      </c>
      <c r="AE230" s="2">
        <f t="shared" si="66"/>
        <v>1</v>
      </c>
      <c r="AF230" s="2">
        <f t="shared" si="67"/>
        <v>0</v>
      </c>
      <c r="AG230" s="2">
        <f t="shared" si="68"/>
        <v>0</v>
      </c>
      <c r="AH230" s="2">
        <f t="shared" si="69"/>
        <v>0</v>
      </c>
      <c r="AI230" s="2">
        <f t="shared" si="70"/>
        <v>0</v>
      </c>
    </row>
    <row r="231" spans="1:35" ht="14.25" customHeight="1" x14ac:dyDescent="0.25">
      <c r="A231" s="29">
        <v>1</v>
      </c>
      <c r="B231" s="29">
        <v>2</v>
      </c>
      <c r="C231" s="29">
        <v>7</v>
      </c>
      <c r="D231" s="30" t="s">
        <v>398</v>
      </c>
      <c r="E231" s="30" t="s">
        <v>31</v>
      </c>
      <c r="F231" s="30" t="s">
        <v>402</v>
      </c>
      <c r="G231" s="30" t="s">
        <v>403</v>
      </c>
      <c r="H231" s="30" t="s">
        <v>165</v>
      </c>
      <c r="I231" s="29" t="s">
        <v>494</v>
      </c>
      <c r="J231" s="29">
        <v>99</v>
      </c>
      <c r="K231" s="29" t="s">
        <v>319</v>
      </c>
      <c r="L231" s="29" t="s">
        <v>318</v>
      </c>
      <c r="M231" s="30" t="s">
        <v>273</v>
      </c>
      <c r="N231" s="30" t="s">
        <v>935</v>
      </c>
      <c r="O231" s="31">
        <v>1</v>
      </c>
      <c r="P231" s="31"/>
      <c r="Q231" s="30"/>
      <c r="S231" s="2">
        <f t="shared" si="55"/>
        <v>0</v>
      </c>
      <c r="T231" s="2">
        <f t="shared" si="56"/>
        <v>0</v>
      </c>
      <c r="U231" s="2">
        <f t="shared" si="57"/>
        <v>0</v>
      </c>
      <c r="V231" s="2">
        <f t="shared" si="58"/>
        <v>0</v>
      </c>
      <c r="W231" s="2">
        <f t="shared" si="59"/>
        <v>0</v>
      </c>
      <c r="X231" s="2">
        <f t="shared" si="60"/>
        <v>0</v>
      </c>
      <c r="Y231" s="2">
        <f t="shared" si="61"/>
        <v>0</v>
      </c>
      <c r="Z231" s="2">
        <f t="shared" si="62"/>
        <v>0</v>
      </c>
      <c r="AA231" s="2">
        <f t="shared" si="63"/>
        <v>0</v>
      </c>
      <c r="AB231" s="2">
        <f t="shared" si="64"/>
        <v>0</v>
      </c>
      <c r="AD231" s="2">
        <f t="shared" si="65"/>
        <v>0</v>
      </c>
      <c r="AE231" s="2">
        <f t="shared" si="66"/>
        <v>1</v>
      </c>
      <c r="AF231" s="2">
        <f t="shared" si="67"/>
        <v>0</v>
      </c>
      <c r="AG231" s="2">
        <f t="shared" si="68"/>
        <v>0</v>
      </c>
      <c r="AH231" s="2">
        <f t="shared" si="69"/>
        <v>0</v>
      </c>
      <c r="AI231" s="2">
        <f t="shared" si="70"/>
        <v>0</v>
      </c>
    </row>
    <row r="232" spans="1:35" ht="14.25" customHeight="1" x14ac:dyDescent="0.25">
      <c r="A232" s="29">
        <v>0</v>
      </c>
      <c r="B232" s="29">
        <v>2</v>
      </c>
      <c r="C232" s="29">
        <v>7</v>
      </c>
      <c r="D232" s="30" t="s">
        <v>465</v>
      </c>
      <c r="E232" s="30" t="s">
        <v>31</v>
      </c>
      <c r="F232" s="30" t="s">
        <v>431</v>
      </c>
      <c r="G232" s="30" t="s">
        <v>125</v>
      </c>
      <c r="H232" s="30" t="s">
        <v>165</v>
      </c>
      <c r="I232" s="29" t="s">
        <v>495</v>
      </c>
      <c r="J232" s="29">
        <v>99</v>
      </c>
      <c r="K232" s="29" t="s">
        <v>320</v>
      </c>
      <c r="L232" s="29" t="s">
        <v>318</v>
      </c>
      <c r="M232" s="30" t="s">
        <v>273</v>
      </c>
      <c r="N232" s="30" t="s">
        <v>911</v>
      </c>
      <c r="O232" s="31">
        <v>1</v>
      </c>
      <c r="P232" s="31"/>
      <c r="Q232" s="30"/>
      <c r="S232" s="2">
        <f t="shared" si="55"/>
        <v>0</v>
      </c>
      <c r="T232" s="2">
        <f t="shared" si="56"/>
        <v>0</v>
      </c>
      <c r="U232" s="2">
        <f t="shared" si="57"/>
        <v>0</v>
      </c>
      <c r="V232" s="2">
        <f t="shared" si="58"/>
        <v>0</v>
      </c>
      <c r="W232" s="2">
        <f t="shared" si="59"/>
        <v>0</v>
      </c>
      <c r="X232" s="2">
        <f t="shared" si="60"/>
        <v>0</v>
      </c>
      <c r="Y232" s="2">
        <f t="shared" si="61"/>
        <v>0</v>
      </c>
      <c r="Z232" s="2">
        <f t="shared" si="62"/>
        <v>0</v>
      </c>
      <c r="AA232" s="2">
        <f t="shared" si="63"/>
        <v>0</v>
      </c>
      <c r="AB232" s="2">
        <f t="shared" si="64"/>
        <v>0</v>
      </c>
      <c r="AD232" s="2">
        <f t="shared" si="65"/>
        <v>0</v>
      </c>
      <c r="AE232" s="2">
        <f t="shared" si="66"/>
        <v>1</v>
      </c>
      <c r="AF232" s="2">
        <f t="shared" si="67"/>
        <v>0</v>
      </c>
      <c r="AG232" s="2">
        <f t="shared" si="68"/>
        <v>1</v>
      </c>
      <c r="AH232" s="2">
        <f t="shared" si="69"/>
        <v>0</v>
      </c>
      <c r="AI232" s="2">
        <f t="shared" si="70"/>
        <v>1</v>
      </c>
    </row>
    <row r="233" spans="1:35" ht="14.25" customHeight="1" x14ac:dyDescent="0.25">
      <c r="A233" s="29">
        <v>1</v>
      </c>
      <c r="B233" s="29">
        <v>2</v>
      </c>
      <c r="C233" s="29">
        <v>7</v>
      </c>
      <c r="D233" s="30" t="s">
        <v>465</v>
      </c>
      <c r="E233" s="30" t="s">
        <v>31</v>
      </c>
      <c r="F233" s="30" t="s">
        <v>692</v>
      </c>
      <c r="G233" s="30" t="s">
        <v>140</v>
      </c>
      <c r="H233" s="30" t="s">
        <v>165</v>
      </c>
      <c r="I233" s="29" t="s">
        <v>697</v>
      </c>
      <c r="J233" s="29">
        <v>99</v>
      </c>
      <c r="K233" s="29" t="s">
        <v>320</v>
      </c>
      <c r="L233" s="29" t="s">
        <v>318</v>
      </c>
      <c r="M233" s="30" t="s">
        <v>273</v>
      </c>
      <c r="N233" s="30" t="s">
        <v>911</v>
      </c>
      <c r="O233" s="31">
        <v>1</v>
      </c>
      <c r="P233" s="31"/>
      <c r="Q233" s="30"/>
      <c r="S233" s="2">
        <f t="shared" si="55"/>
        <v>0</v>
      </c>
      <c r="T233" s="2">
        <f t="shared" si="56"/>
        <v>0</v>
      </c>
      <c r="U233" s="2">
        <f t="shared" si="57"/>
        <v>0</v>
      </c>
      <c r="V233" s="2">
        <f t="shared" si="58"/>
        <v>0</v>
      </c>
      <c r="W233" s="2">
        <f t="shared" si="59"/>
        <v>0</v>
      </c>
      <c r="X233" s="2">
        <f t="shared" si="60"/>
        <v>0</v>
      </c>
      <c r="Y233" s="2">
        <f t="shared" si="61"/>
        <v>0</v>
      </c>
      <c r="Z233" s="2">
        <f t="shared" si="62"/>
        <v>0</v>
      </c>
      <c r="AA233" s="2">
        <f t="shared" si="63"/>
        <v>0</v>
      </c>
      <c r="AB233" s="2">
        <f t="shared" si="64"/>
        <v>0</v>
      </c>
      <c r="AD233" s="2">
        <f t="shared" si="65"/>
        <v>0</v>
      </c>
      <c r="AE233" s="2">
        <f t="shared" si="66"/>
        <v>1</v>
      </c>
      <c r="AF233" s="2">
        <f t="shared" si="67"/>
        <v>0</v>
      </c>
      <c r="AG233" s="2">
        <f t="shared" si="68"/>
        <v>0</v>
      </c>
      <c r="AH233" s="2">
        <f t="shared" si="69"/>
        <v>0</v>
      </c>
      <c r="AI233" s="2">
        <f t="shared" si="70"/>
        <v>0</v>
      </c>
    </row>
    <row r="234" spans="1:35" ht="14.25" customHeight="1" x14ac:dyDescent="0.25">
      <c r="A234" s="29">
        <v>0</v>
      </c>
      <c r="B234" s="29">
        <v>2</v>
      </c>
      <c r="C234" s="29">
        <v>7</v>
      </c>
      <c r="D234" s="30" t="s">
        <v>79</v>
      </c>
      <c r="E234" s="30" t="s">
        <v>31</v>
      </c>
      <c r="F234" s="30" t="s">
        <v>162</v>
      </c>
      <c r="G234" s="30" t="s">
        <v>163</v>
      </c>
      <c r="H234" s="30" t="s">
        <v>165</v>
      </c>
      <c r="I234" s="29" t="s">
        <v>202</v>
      </c>
      <c r="J234" s="29">
        <v>5</v>
      </c>
      <c r="K234" s="29" t="s">
        <v>378</v>
      </c>
      <c r="L234" s="29" t="s">
        <v>318</v>
      </c>
      <c r="M234" s="30" t="s">
        <v>273</v>
      </c>
      <c r="N234" s="30" t="s">
        <v>913</v>
      </c>
      <c r="O234" s="31">
        <v>1</v>
      </c>
      <c r="P234" s="31"/>
      <c r="Q234" s="30"/>
      <c r="S234" s="2">
        <f t="shared" si="55"/>
        <v>0</v>
      </c>
      <c r="T234" s="2">
        <f t="shared" si="56"/>
        <v>0</v>
      </c>
      <c r="U234" s="2">
        <f t="shared" si="57"/>
        <v>0</v>
      </c>
      <c r="V234" s="2">
        <f t="shared" si="58"/>
        <v>0</v>
      </c>
      <c r="W234" s="2">
        <f t="shared" si="59"/>
        <v>1</v>
      </c>
      <c r="X234" s="2">
        <f t="shared" si="60"/>
        <v>0</v>
      </c>
      <c r="Y234" s="2">
        <f t="shared" si="61"/>
        <v>0</v>
      </c>
      <c r="Z234" s="2">
        <f t="shared" si="62"/>
        <v>0</v>
      </c>
      <c r="AA234" s="2">
        <f t="shared" si="63"/>
        <v>0</v>
      </c>
      <c r="AB234" s="2">
        <f t="shared" si="64"/>
        <v>0</v>
      </c>
      <c r="AD234" s="2">
        <f t="shared" si="65"/>
        <v>0</v>
      </c>
      <c r="AE234" s="2">
        <f t="shared" si="66"/>
        <v>1</v>
      </c>
      <c r="AF234" s="2">
        <f t="shared" si="67"/>
        <v>0</v>
      </c>
      <c r="AG234" s="2">
        <f t="shared" si="68"/>
        <v>1</v>
      </c>
      <c r="AH234" s="2">
        <f t="shared" si="69"/>
        <v>0</v>
      </c>
      <c r="AI234" s="2">
        <f t="shared" si="70"/>
        <v>1</v>
      </c>
    </row>
    <row r="235" spans="1:35" ht="14.25" customHeight="1" x14ac:dyDescent="0.25">
      <c r="A235" s="29">
        <v>0</v>
      </c>
      <c r="B235" s="29">
        <v>2</v>
      </c>
      <c r="C235" s="29">
        <v>7</v>
      </c>
      <c r="D235" s="30" t="s">
        <v>59</v>
      </c>
      <c r="E235" s="30" t="s">
        <v>87</v>
      </c>
      <c r="F235" s="30" t="s">
        <v>351</v>
      </c>
      <c r="G235" s="30" t="s">
        <v>103</v>
      </c>
      <c r="H235" s="30" t="s">
        <v>165</v>
      </c>
      <c r="I235" s="29" t="s">
        <v>350</v>
      </c>
      <c r="J235" s="29">
        <v>6</v>
      </c>
      <c r="K235" s="29" t="s">
        <v>320</v>
      </c>
      <c r="L235" s="29" t="s">
        <v>336</v>
      </c>
      <c r="M235" s="30" t="s">
        <v>275</v>
      </c>
      <c r="N235" s="30" t="s">
        <v>901</v>
      </c>
      <c r="O235" s="31">
        <v>1</v>
      </c>
      <c r="P235" s="31"/>
      <c r="Q235" s="30"/>
      <c r="S235" s="2">
        <f t="shared" si="55"/>
        <v>0</v>
      </c>
      <c r="T235" s="2">
        <f t="shared" si="56"/>
        <v>0</v>
      </c>
      <c r="U235" s="2">
        <f t="shared" si="57"/>
        <v>0</v>
      </c>
      <c r="V235" s="2">
        <f t="shared" si="58"/>
        <v>0</v>
      </c>
      <c r="W235" s="2">
        <f t="shared" si="59"/>
        <v>0</v>
      </c>
      <c r="X235" s="2">
        <f t="shared" si="60"/>
        <v>1</v>
      </c>
      <c r="Y235" s="2">
        <f t="shared" si="61"/>
        <v>0</v>
      </c>
      <c r="Z235" s="2">
        <f t="shared" si="62"/>
        <v>0</v>
      </c>
      <c r="AA235" s="2">
        <f t="shared" si="63"/>
        <v>0</v>
      </c>
      <c r="AB235" s="2">
        <f t="shared" si="64"/>
        <v>0</v>
      </c>
      <c r="AD235" s="2">
        <f t="shared" si="65"/>
        <v>0</v>
      </c>
      <c r="AE235" s="2">
        <f t="shared" si="66"/>
        <v>1</v>
      </c>
      <c r="AF235" s="2">
        <f t="shared" si="67"/>
        <v>0</v>
      </c>
      <c r="AG235" s="2">
        <f t="shared" si="68"/>
        <v>1</v>
      </c>
      <c r="AH235" s="2">
        <f t="shared" si="69"/>
        <v>0</v>
      </c>
      <c r="AI235" s="2">
        <f t="shared" si="70"/>
        <v>1</v>
      </c>
    </row>
    <row r="236" spans="1:35" ht="14.25" customHeight="1" x14ac:dyDescent="0.25">
      <c r="A236" s="29">
        <v>1</v>
      </c>
      <c r="B236" s="29">
        <v>2</v>
      </c>
      <c r="C236" s="29">
        <v>7</v>
      </c>
      <c r="D236" s="30" t="s">
        <v>59</v>
      </c>
      <c r="E236" s="30" t="s">
        <v>87</v>
      </c>
      <c r="F236" s="30" t="s">
        <v>123</v>
      </c>
      <c r="G236" s="30" t="s">
        <v>124</v>
      </c>
      <c r="H236" s="30" t="s">
        <v>165</v>
      </c>
      <c r="I236" s="29" t="s">
        <v>180</v>
      </c>
      <c r="J236" s="29">
        <v>7</v>
      </c>
      <c r="K236" s="29" t="s">
        <v>320</v>
      </c>
      <c r="L236" s="29" t="s">
        <v>336</v>
      </c>
      <c r="M236" s="30" t="s">
        <v>275</v>
      </c>
      <c r="N236" s="30" t="s">
        <v>901</v>
      </c>
      <c r="O236" s="31">
        <v>1</v>
      </c>
      <c r="P236" s="31"/>
      <c r="Q236" s="30"/>
      <c r="S236" s="2">
        <f t="shared" si="55"/>
        <v>0</v>
      </c>
      <c r="T236" s="2">
        <f t="shared" si="56"/>
        <v>0</v>
      </c>
      <c r="U236" s="2">
        <f t="shared" si="57"/>
        <v>0</v>
      </c>
      <c r="V236" s="2">
        <f t="shared" si="58"/>
        <v>0</v>
      </c>
      <c r="W236" s="2">
        <f t="shared" si="59"/>
        <v>0</v>
      </c>
      <c r="X236" s="2">
        <f t="shared" si="60"/>
        <v>0</v>
      </c>
      <c r="Y236" s="2">
        <f t="shared" si="61"/>
        <v>1</v>
      </c>
      <c r="Z236" s="2">
        <f t="shared" si="62"/>
        <v>0</v>
      </c>
      <c r="AA236" s="2">
        <f t="shared" si="63"/>
        <v>0</v>
      </c>
      <c r="AB236" s="2">
        <f t="shared" si="64"/>
        <v>0</v>
      </c>
      <c r="AD236" s="2">
        <f t="shared" si="65"/>
        <v>0</v>
      </c>
      <c r="AE236" s="2">
        <f t="shared" si="66"/>
        <v>1</v>
      </c>
      <c r="AF236" s="2">
        <f t="shared" si="67"/>
        <v>0</v>
      </c>
      <c r="AG236" s="2">
        <f t="shared" si="68"/>
        <v>0</v>
      </c>
      <c r="AH236" s="2">
        <f t="shared" si="69"/>
        <v>0</v>
      </c>
      <c r="AI236" s="2">
        <f t="shared" si="70"/>
        <v>0</v>
      </c>
    </row>
    <row r="237" spans="1:35" ht="14.25" customHeight="1" x14ac:dyDescent="0.25">
      <c r="A237" s="29">
        <v>1</v>
      </c>
      <c r="B237" s="29">
        <v>2</v>
      </c>
      <c r="C237" s="29">
        <v>7</v>
      </c>
      <c r="D237" s="30" t="s">
        <v>59</v>
      </c>
      <c r="E237" s="30" t="s">
        <v>87</v>
      </c>
      <c r="F237" s="30" t="s">
        <v>348</v>
      </c>
      <c r="G237" s="30" t="s">
        <v>93</v>
      </c>
      <c r="H237" s="30" t="s">
        <v>165</v>
      </c>
      <c r="I237" s="29" t="s">
        <v>349</v>
      </c>
      <c r="J237" s="29">
        <v>8</v>
      </c>
      <c r="K237" s="29" t="s">
        <v>320</v>
      </c>
      <c r="L237" s="29" t="s">
        <v>336</v>
      </c>
      <c r="M237" s="30" t="s">
        <v>275</v>
      </c>
      <c r="N237" s="30" t="s">
        <v>901</v>
      </c>
      <c r="O237" s="31">
        <v>1</v>
      </c>
      <c r="P237" s="31"/>
      <c r="Q237" s="30"/>
      <c r="S237" s="2">
        <f t="shared" si="55"/>
        <v>0</v>
      </c>
      <c r="T237" s="2">
        <f t="shared" si="56"/>
        <v>0</v>
      </c>
      <c r="U237" s="2">
        <f t="shared" si="57"/>
        <v>0</v>
      </c>
      <c r="V237" s="2">
        <f t="shared" si="58"/>
        <v>0</v>
      </c>
      <c r="W237" s="2">
        <f t="shared" si="59"/>
        <v>0</v>
      </c>
      <c r="X237" s="2">
        <f t="shared" si="60"/>
        <v>0</v>
      </c>
      <c r="Y237" s="2">
        <f t="shared" si="61"/>
        <v>0</v>
      </c>
      <c r="Z237" s="2">
        <f t="shared" si="62"/>
        <v>1</v>
      </c>
      <c r="AA237" s="2">
        <f t="shared" si="63"/>
        <v>0</v>
      </c>
      <c r="AB237" s="2">
        <f t="shared" si="64"/>
        <v>0</v>
      </c>
      <c r="AD237" s="2">
        <f t="shared" si="65"/>
        <v>0</v>
      </c>
      <c r="AE237" s="2">
        <f t="shared" si="66"/>
        <v>1</v>
      </c>
      <c r="AF237" s="2">
        <f t="shared" si="67"/>
        <v>0</v>
      </c>
      <c r="AG237" s="2">
        <f t="shared" si="68"/>
        <v>0</v>
      </c>
      <c r="AH237" s="2">
        <f t="shared" si="69"/>
        <v>0</v>
      </c>
      <c r="AI237" s="2">
        <f t="shared" si="70"/>
        <v>0</v>
      </c>
    </row>
    <row r="238" spans="1:35" ht="14.25" customHeight="1" x14ac:dyDescent="0.25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  <c r="Q238" s="21"/>
    </row>
    <row r="239" spans="1:35" ht="14.25" customHeight="1" x14ac:dyDescent="0.25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  <c r="Q239" s="21"/>
    </row>
    <row r="240" spans="1:35" ht="14.25" customHeight="1" x14ac:dyDescent="0.25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  <row r="439" spans="1:17" ht="14.25" customHeight="1" x14ac:dyDescent="0.25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</row>
  </sheetData>
  <autoFilter ref="A7:AI237" xr:uid="{11EDAB9D-D4E1-484F-984E-C23E0F5BA036}">
    <sortState xmlns:xlrd2="http://schemas.microsoft.com/office/spreadsheetml/2017/richdata2" ref="A8:AI166">
      <sortCondition ref="J7:J152"/>
    </sortState>
  </autoFilter>
  <sortState xmlns:xlrd2="http://schemas.microsoft.com/office/spreadsheetml/2017/richdata2" ref="A8:Q237">
    <sortCondition ref="B8:B237"/>
    <sortCondition ref="C8:C237"/>
    <sortCondition ref="D8:D237"/>
    <sortCondition ref="A8:A237"/>
  </sortState>
  <phoneticPr fontId="0" type="noConversion"/>
  <hyperlinks>
    <hyperlink ref="I134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2026-09-10T19:37:06Z</dcterms:modified>
</cp:coreProperties>
</file>