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A212C7E-757B-4181-ACC9-4CEB5714C40F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<sst xmlns="http://schemas.openxmlformats.org/spreadsheetml/2006/main" count="2199" uniqueCount="1001">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</sst>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97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58</v>
      </c>
      <c r="G3" s="7">
        <f>+AF6</f>
        <v>45</v>
      </c>
      <c r="H3" s="7">
        <f>+E3-G3</f>
        <v>6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78</v>
      </c>
      <c r="G4" s="9">
        <f>+AG6</f>
        <v>59</v>
      </c>
      <c r="H4" s="7">
        <f>+E4-G4</f>
        <v>82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136</v>
      </c>
      <c r="G5" s="11">
        <f>+G3+G4</f>
        <v>104</v>
      </c>
      <c r="H5" s="11">
        <f>+H3+H4</f>
        <v>88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58</v>
      </c>
      <c r="AE6" s="2">
        <f t="shared" si="1"/>
        <v>78</v>
      </c>
      <c r="AF6" s="2">
        <f t="shared" si="1"/>
        <v>45</v>
      </c>
      <c r="AG6" s="2">
        <f t="shared" si="1"/>
        <v>59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764</v>
      </c>
      <c r="E23" s="30" t="s">
        <v>263</v>
      </c>
      <c r="F23" s="30" t="s">
        <v>765</v>
      </c>
      <c r="G23" s="30" t="s">
        <v>458</v>
      </c>
      <c r="H23" s="30" t="s">
        <v>165</v>
      </c>
      <c r="I23" s="29" t="s">
        <v>33</v>
      </c>
      <c r="J23" s="29">
        <v>99</v>
      </c>
      <c r="K23" s="29" t="s">
        <v>698</v>
      </c>
      <c r="L23" s="29" t="s">
        <v>341</v>
      </c>
      <c r="M23" s="30" t="s">
        <v>206</v>
      </c>
      <c r="N23" s="30" t="s">
        <v>908</v>
      </c>
      <c r="O23" s="31">
        <v>1</v>
      </c>
      <c r="P23" s="31"/>
      <c r="Q23" s="30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75</v>
      </c>
      <c r="E24" s="33" t="s">
        <v>263</v>
      </c>
      <c r="F24" s="33" t="s">
        <v>156</v>
      </c>
      <c r="G24" s="33" t="s">
        <v>157</v>
      </c>
      <c r="H24" s="33" t="s">
        <v>165</v>
      </c>
      <c r="I24" s="32" t="s">
        <v>842</v>
      </c>
      <c r="J24" s="32">
        <v>99</v>
      </c>
      <c r="K24" s="32" t="s">
        <v>325</v>
      </c>
      <c r="L24" s="32">
        <v>45</v>
      </c>
      <c r="M24" s="33" t="s">
        <v>906</v>
      </c>
      <c r="N24" s="33" t="s">
        <v>931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2">
        <v>0</v>
      </c>
      <c r="B25" s="32">
        <v>1</v>
      </c>
      <c r="C25" s="32">
        <v>2</v>
      </c>
      <c r="D25" s="33" t="s">
        <v>525</v>
      </c>
      <c r="E25" s="33" t="s">
        <v>263</v>
      </c>
      <c r="F25" s="33" t="s">
        <v>526</v>
      </c>
      <c r="G25" s="33" t="s">
        <v>154</v>
      </c>
      <c r="H25" s="33" t="s">
        <v>165</v>
      </c>
      <c r="I25" s="32" t="s">
        <v>527</v>
      </c>
      <c r="J25" s="32">
        <v>99</v>
      </c>
      <c r="K25" s="32" t="s">
        <v>330</v>
      </c>
      <c r="L25" s="32" t="s">
        <v>857</v>
      </c>
      <c r="M25" s="33" t="s">
        <v>740</v>
      </c>
      <c r="N25" s="33" t="s">
        <v>902</v>
      </c>
      <c r="O25" s="34"/>
      <c r="P25" s="34"/>
      <c r="Q25" s="33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384</v>
      </c>
      <c r="E27" s="30" t="s">
        <v>262</v>
      </c>
      <c r="F27" s="30" t="s">
        <v>385</v>
      </c>
      <c r="G27" s="30" t="s">
        <v>588</v>
      </c>
      <c r="H27" s="30" t="s">
        <v>165</v>
      </c>
      <c r="I27" s="29" t="s">
        <v>386</v>
      </c>
      <c r="J27" s="29">
        <v>99</v>
      </c>
      <c r="K27" s="29" t="s">
        <v>378</v>
      </c>
      <c r="L27" s="29">
        <v>40</v>
      </c>
      <c r="M27" s="30" t="s">
        <v>206</v>
      </c>
      <c r="N27" s="30" t="s">
        <v>910</v>
      </c>
      <c r="O27" s="31">
        <v>1</v>
      </c>
      <c r="P27" s="31"/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895</v>
      </c>
      <c r="O28" s="31">
        <v>1</v>
      </c>
      <c r="P28" s="31">
        <v>1</v>
      </c>
      <c r="Q28" s="30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896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2">
        <v>0</v>
      </c>
      <c r="B30" s="32">
        <v>1</v>
      </c>
      <c r="C30" s="32">
        <v>2</v>
      </c>
      <c r="D30" s="33" t="s">
        <v>435</v>
      </c>
      <c r="E30" s="33" t="s">
        <v>262</v>
      </c>
      <c r="F30" s="33" t="s">
        <v>434</v>
      </c>
      <c r="G30" s="33" t="s">
        <v>125</v>
      </c>
      <c r="H30" s="33" t="s">
        <v>165</v>
      </c>
      <c r="I30" s="32" t="s">
        <v>436</v>
      </c>
      <c r="J30" s="32">
        <v>99</v>
      </c>
      <c r="K30" s="32" t="s">
        <v>378</v>
      </c>
      <c r="L30" s="32">
        <v>150</v>
      </c>
      <c r="M30" s="33" t="s">
        <v>881</v>
      </c>
      <c r="N30" s="33" t="s">
        <v>899</v>
      </c>
      <c r="O30" s="34"/>
      <c r="P30" s="34"/>
      <c r="Q30" s="33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364</v>
      </c>
      <c r="G31" s="30" t="s">
        <v>40</v>
      </c>
      <c r="H31" s="30" t="s">
        <v>165</v>
      </c>
      <c r="I31" s="29" t="s">
        <v>371</v>
      </c>
      <c r="J31" s="29">
        <v>99</v>
      </c>
      <c r="K31" s="29" t="s">
        <v>322</v>
      </c>
      <c r="L31" s="29">
        <v>90</v>
      </c>
      <c r="M31" s="30" t="s">
        <v>907</v>
      </c>
      <c r="N31" s="30" t="s">
        <v>914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2">
        <v>0</v>
      </c>
      <c r="B32" s="32">
        <v>1</v>
      </c>
      <c r="C32" s="32">
        <v>2</v>
      </c>
      <c r="D32" s="33" t="s">
        <v>219</v>
      </c>
      <c r="E32" s="33" t="s">
        <v>263</v>
      </c>
      <c r="F32" s="33" t="s">
        <v>220</v>
      </c>
      <c r="G32" s="33" t="s">
        <v>103</v>
      </c>
      <c r="H32" s="33" t="s">
        <v>165</v>
      </c>
      <c r="I32" s="32" t="s">
        <v>221</v>
      </c>
      <c r="J32" s="32">
        <v>6</v>
      </c>
      <c r="K32" s="32" t="s">
        <v>326</v>
      </c>
      <c r="L32" s="32" t="s">
        <v>343</v>
      </c>
      <c r="M32" s="33" t="s">
        <v>344</v>
      </c>
      <c r="N32" s="33" t="s">
        <v>902</v>
      </c>
      <c r="O32" s="34"/>
      <c r="P32" s="34"/>
      <c r="Q32" s="33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R33" s="2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415</v>
      </c>
      <c r="E34" s="30" t="s">
        <v>262</v>
      </c>
      <c r="F34" s="30" t="s">
        <v>416</v>
      </c>
      <c r="G34" s="30" t="s">
        <v>96</v>
      </c>
      <c r="H34" s="30" t="s">
        <v>165</v>
      </c>
      <c r="I34" s="29" t="s">
        <v>417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895</v>
      </c>
      <c r="O34" s="31">
        <v>1</v>
      </c>
      <c r="P34" s="31">
        <v>1</v>
      </c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16384" s="3" customFormat="1" ht="14.25" customHeight="1" x14ac:dyDescent="0.25">
      <c r="A35" s="29">
        <v>0</v>
      </c>
      <c r="B35" s="29">
        <v>1</v>
      </c>
      <c r="C35" s="29">
        <v>2</v>
      </c>
      <c r="D35" s="30" t="s">
        <v>633</v>
      </c>
      <c r="E35" s="30" t="s">
        <v>262</v>
      </c>
      <c r="F35" s="30" t="s">
        <v>691</v>
      </c>
      <c r="G35" s="30" t="s">
        <v>93</v>
      </c>
      <c r="H35" s="30" t="s">
        <v>165</v>
      </c>
      <c r="I35" s="29" t="s">
        <v>634</v>
      </c>
      <c r="J35" s="29">
        <v>8</v>
      </c>
      <c r="K35" s="29" t="s">
        <v>325</v>
      </c>
      <c r="L35" s="29">
        <v>45</v>
      </c>
      <c r="M35" s="30" t="s">
        <v>883</v>
      </c>
      <c r="N35" s="30" t="s">
        <v>908</v>
      </c>
      <c r="O35" s="31">
        <v>1</v>
      </c>
      <c r="P35" s="31"/>
      <c r="Q35" s="30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25">
      <c r="A37" s="32">
        <v>0</v>
      </c>
      <c r="B37" s="32">
        <v>1</v>
      </c>
      <c r="C37" s="32">
        <v>3</v>
      </c>
      <c r="D37" s="33" t="s">
        <v>302</v>
      </c>
      <c r="E37" s="33" t="s">
        <v>263</v>
      </c>
      <c r="F37" s="33" t="s">
        <v>312</v>
      </c>
      <c r="G37" s="33" t="s">
        <v>40</v>
      </c>
      <c r="H37" s="33" t="s">
        <v>303</v>
      </c>
      <c r="I37" s="32" t="s">
        <v>304</v>
      </c>
      <c r="J37" s="32">
        <v>99</v>
      </c>
      <c r="K37" s="32" t="s">
        <v>378</v>
      </c>
      <c r="L37" s="32">
        <v>90</v>
      </c>
      <c r="M37" s="33" t="s">
        <v>598</v>
      </c>
      <c r="N37" s="33" t="s">
        <v>911</v>
      </c>
      <c r="O37" s="34"/>
      <c r="P37" s="34"/>
      <c r="Q37" s="33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16384" s="3" customFormat="1" ht="14.25" customHeight="1" x14ac:dyDescent="0.25">
      <c r="A38" s="29">
        <v>0</v>
      </c>
      <c r="B38" s="29">
        <v>1</v>
      </c>
      <c r="C38" s="29">
        <v>3</v>
      </c>
      <c r="D38" s="30" t="s">
        <v>438</v>
      </c>
      <c r="E38" s="30" t="s">
        <v>259</v>
      </c>
      <c r="F38" s="30" t="s">
        <v>439</v>
      </c>
      <c r="G38" s="30" t="s">
        <v>440</v>
      </c>
      <c r="H38" s="30" t="s">
        <v>165</v>
      </c>
      <c r="I38" s="29" t="s">
        <v>441</v>
      </c>
      <c r="J38" s="29">
        <v>99</v>
      </c>
      <c r="K38" s="29" t="s">
        <v>378</v>
      </c>
      <c r="L38" s="29">
        <v>60</v>
      </c>
      <c r="M38" s="30" t="s">
        <v>599</v>
      </c>
      <c r="N38" s="30" t="s">
        <v>895</v>
      </c>
      <c r="O38" s="31">
        <v>1</v>
      </c>
      <c r="P38" s="31">
        <v>1</v>
      </c>
      <c r="Q38" s="30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16384" s="3" customFormat="1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512</v>
      </c>
      <c r="E40" s="30" t="s">
        <v>676</v>
      </c>
      <c r="F40" s="30" t="s">
        <v>513</v>
      </c>
      <c r="G40" s="30" t="s">
        <v>39</v>
      </c>
      <c r="H40" s="30" t="s">
        <v>165</v>
      </c>
      <c r="I40" s="29" t="s">
        <v>514</v>
      </c>
      <c r="J40" s="29">
        <v>8</v>
      </c>
      <c r="K40" s="29" t="s">
        <v>326</v>
      </c>
      <c r="L40" s="29" t="s">
        <v>858</v>
      </c>
      <c r="M40" s="30" t="s">
        <v>743</v>
      </c>
      <c r="N40" s="30" t="s">
        <v>914</v>
      </c>
      <c r="O40" s="31">
        <v>1</v>
      </c>
      <c r="P40" s="31"/>
      <c r="Q40" s="30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25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862</v>
      </c>
      <c r="M41" s="33" t="s">
        <v>785</v>
      </c>
      <c r="N41" s="33" t="s">
        <v>911</v>
      </c>
      <c r="O41" s="34"/>
      <c r="P41" s="34"/>
      <c r="Q41" s="33"/>
      <c r="R41" s="2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756</v>
      </c>
      <c r="E42" s="30" t="s">
        <v>757</v>
      </c>
      <c r="F42" s="30" t="s">
        <v>758</v>
      </c>
      <c r="G42" s="30" t="s">
        <v>92</v>
      </c>
      <c r="H42" s="30" t="s">
        <v>165</v>
      </c>
      <c r="I42" s="29" t="s">
        <v>759</v>
      </c>
      <c r="J42" s="29">
        <v>1</v>
      </c>
      <c r="K42" s="29" t="s">
        <v>378</v>
      </c>
      <c r="L42" s="29">
        <v>35</v>
      </c>
      <c r="M42" s="30" t="s">
        <v>760</v>
      </c>
      <c r="N42" s="30" t="s">
        <v>903</v>
      </c>
      <c r="O42" s="31">
        <v>1</v>
      </c>
      <c r="P42" s="31"/>
      <c r="Q42" s="30"/>
      <c r="R42" s="2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413</v>
      </c>
      <c r="E43" s="30" t="s">
        <v>259</v>
      </c>
      <c r="F43" s="30" t="s">
        <v>589</v>
      </c>
      <c r="G43" s="30" t="s">
        <v>284</v>
      </c>
      <c r="H43" s="30" t="s">
        <v>165</v>
      </c>
      <c r="I43" s="29" t="s">
        <v>414</v>
      </c>
      <c r="J43" s="29">
        <v>99</v>
      </c>
      <c r="K43" s="29" t="s">
        <v>331</v>
      </c>
      <c r="L43" s="29" t="s">
        <v>341</v>
      </c>
      <c r="M43" s="30" t="s">
        <v>743</v>
      </c>
      <c r="N43" s="30" t="s">
        <v>909</v>
      </c>
      <c r="O43" s="31">
        <v>1</v>
      </c>
      <c r="P43" s="31"/>
      <c r="Q43" s="30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683</v>
      </c>
      <c r="E44" s="33" t="s">
        <v>624</v>
      </c>
      <c r="F44" s="33" t="s">
        <v>622</v>
      </c>
      <c r="G44" s="33" t="s">
        <v>40</v>
      </c>
      <c r="H44" s="33" t="s">
        <v>623</v>
      </c>
      <c r="I44" s="32" t="s">
        <v>625</v>
      </c>
      <c r="J44" s="32">
        <v>99</v>
      </c>
      <c r="K44" s="32" t="s">
        <v>378</v>
      </c>
      <c r="L44" s="32">
        <v>60</v>
      </c>
      <c r="M44" s="33" t="s">
        <v>599</v>
      </c>
      <c r="N44" s="33" t="s">
        <v>902</v>
      </c>
      <c r="O44" s="34"/>
      <c r="P44" s="34"/>
      <c r="Q44" s="33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572</v>
      </c>
      <c r="E45" s="30" t="s">
        <v>509</v>
      </c>
      <c r="F45" s="30" t="s">
        <v>591</v>
      </c>
      <c r="G45" s="30" t="s">
        <v>93</v>
      </c>
      <c r="H45" s="30" t="s">
        <v>165</v>
      </c>
      <c r="I45" s="29" t="s">
        <v>596</v>
      </c>
      <c r="J45" s="29">
        <v>8</v>
      </c>
      <c r="K45" s="29" t="s">
        <v>378</v>
      </c>
      <c r="L45" s="29" t="s">
        <v>346</v>
      </c>
      <c r="M45" s="30" t="s">
        <v>510</v>
      </c>
      <c r="N45" s="30" t="s">
        <v>909</v>
      </c>
      <c r="O45" s="31">
        <v>1</v>
      </c>
      <c r="P45" s="31"/>
      <c r="Q45" s="30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774</v>
      </c>
      <c r="E46" s="33" t="s">
        <v>259</v>
      </c>
      <c r="F46" s="33" t="s">
        <v>775</v>
      </c>
      <c r="G46" s="33" t="s">
        <v>103</v>
      </c>
      <c r="H46" s="33" t="s">
        <v>165</v>
      </c>
      <c r="I46" s="32" t="s">
        <v>776</v>
      </c>
      <c r="J46" s="32">
        <v>6</v>
      </c>
      <c r="K46" s="32" t="s">
        <v>378</v>
      </c>
      <c r="L46" s="32">
        <v>70</v>
      </c>
      <c r="M46" s="33" t="s">
        <v>777</v>
      </c>
      <c r="N46" s="33" t="s">
        <v>911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25">
      <c r="A47" s="32">
        <v>0</v>
      </c>
      <c r="B47" s="32">
        <v>1</v>
      </c>
      <c r="C47" s="32">
        <v>3</v>
      </c>
      <c r="D47" s="33" t="s">
        <v>609</v>
      </c>
      <c r="E47" s="33" t="s">
        <v>259</v>
      </c>
      <c r="F47" s="33" t="s">
        <v>610</v>
      </c>
      <c r="G47" s="33" t="s">
        <v>828</v>
      </c>
      <c r="H47" s="33" t="s">
        <v>165</v>
      </c>
      <c r="I47" s="32" t="s">
        <v>611</v>
      </c>
      <c r="J47" s="32">
        <v>99</v>
      </c>
      <c r="K47" s="32" t="s">
        <v>332</v>
      </c>
      <c r="L47" s="32" t="s">
        <v>341</v>
      </c>
      <c r="M47" s="33" t="s">
        <v>743</v>
      </c>
      <c r="N47" s="33" t="s">
        <v>896</v>
      </c>
      <c r="O47" s="34"/>
      <c r="P47" s="34"/>
      <c r="Q47" s="33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686</v>
      </c>
      <c r="E48" s="30" t="s">
        <v>263</v>
      </c>
      <c r="F48" s="30" t="s">
        <v>690</v>
      </c>
      <c r="G48" s="30" t="s">
        <v>93</v>
      </c>
      <c r="H48" s="30" t="s">
        <v>165</v>
      </c>
      <c r="I48" s="29" t="s">
        <v>511</v>
      </c>
      <c r="J48" s="29">
        <v>8</v>
      </c>
      <c r="K48" s="29" t="s">
        <v>332</v>
      </c>
      <c r="L48" s="29" t="s">
        <v>597</v>
      </c>
      <c r="M48" s="30" t="s">
        <v>206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9">
        <v>0</v>
      </c>
      <c r="B49" s="29">
        <v>1</v>
      </c>
      <c r="C49" s="29">
        <v>3</v>
      </c>
      <c r="D49" s="30" t="s">
        <v>687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909</v>
      </c>
      <c r="O49" s="31">
        <v>1</v>
      </c>
      <c r="P49" s="31"/>
      <c r="Q49" s="30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6">
        <v>0</v>
      </c>
      <c r="B50" s="26">
        <v>1</v>
      </c>
      <c r="C50" s="26">
        <v>3</v>
      </c>
      <c r="D50" s="27" t="s">
        <v>76</v>
      </c>
      <c r="E50" s="27" t="s">
        <v>259</v>
      </c>
      <c r="F50" s="27" t="s">
        <v>159</v>
      </c>
      <c r="G50" s="27" t="s">
        <v>130</v>
      </c>
      <c r="H50" s="27" t="s">
        <v>165</v>
      </c>
      <c r="I50" s="26" t="s">
        <v>200</v>
      </c>
      <c r="J50" s="26">
        <v>10</v>
      </c>
      <c r="K50" s="26" t="s">
        <v>322</v>
      </c>
      <c r="L50" s="26" t="s">
        <v>341</v>
      </c>
      <c r="M50" s="27" t="s">
        <v>266</v>
      </c>
      <c r="N50" s="27"/>
      <c r="O50" s="28"/>
      <c r="P50" s="28">
        <v>1</v>
      </c>
      <c r="Q50" s="27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637</v>
      </c>
      <c r="E51" s="33" t="s">
        <v>638</v>
      </c>
      <c r="F51" s="33" t="s">
        <v>639</v>
      </c>
      <c r="G51" s="33" t="s">
        <v>516</v>
      </c>
      <c r="H51" s="33" t="s">
        <v>165</v>
      </c>
      <c r="I51" s="32" t="s">
        <v>640</v>
      </c>
      <c r="J51" s="32"/>
      <c r="K51" s="32" t="s">
        <v>378</v>
      </c>
      <c r="L51" s="32">
        <v>55</v>
      </c>
      <c r="M51" s="33" t="s">
        <v>641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2">
        <v>0</v>
      </c>
      <c r="B52" s="32">
        <v>1</v>
      </c>
      <c r="C52" s="32">
        <v>3</v>
      </c>
      <c r="D52" s="33" t="s">
        <v>730</v>
      </c>
      <c r="E52" s="33" t="s">
        <v>259</v>
      </c>
      <c r="F52" s="33" t="s">
        <v>834</v>
      </c>
      <c r="G52" s="33" t="s">
        <v>733</v>
      </c>
      <c r="H52" s="33" t="s">
        <v>165</v>
      </c>
      <c r="I52" s="32" t="s">
        <v>732</v>
      </c>
      <c r="J52" s="32">
        <v>99</v>
      </c>
      <c r="K52" s="32" t="s">
        <v>331</v>
      </c>
      <c r="L52" s="32" t="s">
        <v>346</v>
      </c>
      <c r="M52" s="33" t="s">
        <v>731</v>
      </c>
      <c r="N52" s="33" t="s">
        <v>930</v>
      </c>
      <c r="O52" s="34"/>
      <c r="P52" s="34"/>
      <c r="Q52" s="33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2">
        <v>0</v>
      </c>
      <c r="B54" s="32">
        <v>1</v>
      </c>
      <c r="C54" s="32">
        <v>3</v>
      </c>
      <c r="D54" s="33" t="s">
        <v>56</v>
      </c>
      <c r="E54" s="33" t="s">
        <v>259</v>
      </c>
      <c r="F54" s="33" t="s">
        <v>111</v>
      </c>
      <c r="G54" s="33" t="s">
        <v>112</v>
      </c>
      <c r="H54" s="33" t="s">
        <v>165</v>
      </c>
      <c r="I54" s="32" t="s">
        <v>175</v>
      </c>
      <c r="J54" s="32">
        <v>99</v>
      </c>
      <c r="K54" s="32" t="s">
        <v>326</v>
      </c>
      <c r="L54" s="32">
        <v>65</v>
      </c>
      <c r="M54" s="33" t="s">
        <v>738</v>
      </c>
      <c r="N54" s="33" t="s">
        <v>930</v>
      </c>
      <c r="O54" s="34"/>
      <c r="P54" s="34"/>
      <c r="Q54" s="33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783</v>
      </c>
      <c r="N56" s="30" t="s">
        <v>895</v>
      </c>
      <c r="O56" s="31">
        <v>1</v>
      </c>
      <c r="P56" s="31">
        <v>1</v>
      </c>
      <c r="Q56" s="30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378</v>
      </c>
      <c r="L57" s="32" t="s">
        <v>334</v>
      </c>
      <c r="M57" s="33" t="s">
        <v>266</v>
      </c>
      <c r="N57" s="33" t="s">
        <v>931</v>
      </c>
      <c r="O57" s="34"/>
      <c r="P57" s="34"/>
      <c r="Q57" s="33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889</v>
      </c>
      <c r="E59" s="30" t="s">
        <v>892</v>
      </c>
      <c r="F59" s="30" t="s">
        <v>890</v>
      </c>
      <c r="G59" s="30" t="s">
        <v>403</v>
      </c>
      <c r="H59" s="30" t="s">
        <v>165</v>
      </c>
      <c r="I59" s="29" t="s">
        <v>891</v>
      </c>
      <c r="J59" s="29"/>
      <c r="K59" s="29" t="s">
        <v>378</v>
      </c>
      <c r="L59" s="29">
        <v>55</v>
      </c>
      <c r="M59" s="30" t="s">
        <v>893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29">
        <v>0</v>
      </c>
      <c r="B60" s="29">
        <v>1</v>
      </c>
      <c r="C60" s="29">
        <v>5</v>
      </c>
      <c r="D60" s="30" t="s">
        <v>874</v>
      </c>
      <c r="E60" s="30" t="s">
        <v>805</v>
      </c>
      <c r="F60" s="30" t="s">
        <v>875</v>
      </c>
      <c r="G60" s="30" t="s">
        <v>309</v>
      </c>
      <c r="H60" s="30" t="s">
        <v>165</v>
      </c>
      <c r="I60" s="29" t="s">
        <v>876</v>
      </c>
      <c r="J60" s="29"/>
      <c r="K60" s="29" t="s">
        <v>378</v>
      </c>
      <c r="L60" s="29">
        <v>50</v>
      </c>
      <c r="M60" s="30" t="s">
        <v>877</v>
      </c>
      <c r="N60" s="30" t="s">
        <v>937</v>
      </c>
      <c r="O60" s="31">
        <v>1</v>
      </c>
      <c r="P60" s="31"/>
      <c r="Q60" s="30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871</v>
      </c>
      <c r="E62" s="30" t="s">
        <v>805</v>
      </c>
      <c r="F62" s="30" t="s">
        <v>872</v>
      </c>
      <c r="G62" s="30" t="s">
        <v>370</v>
      </c>
      <c r="H62" s="30" t="s">
        <v>165</v>
      </c>
      <c r="I62" s="29" t="s">
        <v>873</v>
      </c>
      <c r="J62" s="29"/>
      <c r="K62" s="29" t="s">
        <v>378</v>
      </c>
      <c r="L62" s="29">
        <v>45</v>
      </c>
      <c r="M62" s="30" t="s">
        <v>420</v>
      </c>
      <c r="N62" s="30" t="s">
        <v>895</v>
      </c>
      <c r="O62" s="31">
        <v>1</v>
      </c>
      <c r="P62" s="31">
        <v>1</v>
      </c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378</v>
      </c>
      <c r="L63" s="29">
        <v>30</v>
      </c>
      <c r="M63" s="30" t="s">
        <v>266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358</v>
      </c>
      <c r="E64" s="30" t="s">
        <v>363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378</v>
      </c>
      <c r="L64" s="29">
        <v>42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557</v>
      </c>
      <c r="E65" s="30" t="s">
        <v>296</v>
      </c>
      <c r="F65" s="30" t="s">
        <v>558</v>
      </c>
      <c r="G65" s="30" t="s">
        <v>592</v>
      </c>
      <c r="H65" s="30" t="s">
        <v>165</v>
      </c>
      <c r="I65" s="29" t="s">
        <v>559</v>
      </c>
      <c r="J65" s="29">
        <v>99</v>
      </c>
      <c r="K65" s="29" t="s">
        <v>330</v>
      </c>
      <c r="L65" s="29" t="s">
        <v>597</v>
      </c>
      <c r="M65" s="30" t="s">
        <v>420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372</v>
      </c>
      <c r="J66" s="29">
        <v>99</v>
      </c>
      <c r="K66" s="29" t="s">
        <v>329</v>
      </c>
      <c r="L66" s="29" t="s">
        <v>341</v>
      </c>
      <c r="M66" s="30" t="s">
        <v>787</v>
      </c>
      <c r="N66" s="30" t="s">
        <v>914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378</v>
      </c>
      <c r="L67" s="29" t="s">
        <v>335</v>
      </c>
      <c r="M67" s="30" t="s">
        <v>496</v>
      </c>
      <c r="N67" s="30" t="s">
        <v>932</v>
      </c>
      <c r="O67" s="31">
        <v>1</v>
      </c>
      <c r="P67" s="31"/>
      <c r="Q67" s="30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46</v>
      </c>
      <c r="E69" s="33" t="s">
        <v>469</v>
      </c>
      <c r="F69" s="33" t="s">
        <v>693</v>
      </c>
      <c r="G69" s="33" t="s">
        <v>93</v>
      </c>
      <c r="H69" s="33" t="s">
        <v>165</v>
      </c>
      <c r="I69" s="32" t="s">
        <v>166</v>
      </c>
      <c r="J69" s="32">
        <v>8</v>
      </c>
      <c r="K69" s="32" t="s">
        <v>326</v>
      </c>
      <c r="L69" s="32" t="s">
        <v>346</v>
      </c>
      <c r="M69" s="33" t="s">
        <v>420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2">
        <v>0</v>
      </c>
      <c r="B70" s="32">
        <v>1</v>
      </c>
      <c r="C70" s="32">
        <v>5</v>
      </c>
      <c r="D70" s="33" t="s">
        <v>816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896</v>
      </c>
      <c r="O70" s="34"/>
      <c r="P70" s="34"/>
      <c r="Q70" s="33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6" si="31">+O72*P72*(1-A72)</f>
        <v>0</v>
      </c>
      <c r="AG72" s="2">
        <f t="shared" ref="AG72:AG136" si="32">O72*(1-P72)*(1-A72)</f>
        <v>0</v>
      </c>
      <c r="AH72" s="2">
        <f t="shared" ref="AH72:AH136" si="33">+P72*(1-A72)</f>
        <v>0</v>
      </c>
      <c r="AI72" s="2">
        <f t="shared" ref="AI72:AI136" si="34">+(1-A72)*(1-P72)</f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810</v>
      </c>
      <c r="E73" s="30" t="s">
        <v>261</v>
      </c>
      <c r="F73" s="30" t="s">
        <v>772</v>
      </c>
      <c r="G73" s="30" t="s">
        <v>519</v>
      </c>
      <c r="H73" s="30" t="s">
        <v>165</v>
      </c>
      <c r="I73" s="29" t="s">
        <v>773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895</v>
      </c>
      <c r="O74" s="31">
        <v>1</v>
      </c>
      <c r="P74" s="31">
        <v>1</v>
      </c>
      <c r="Q74" s="30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29">
        <v>0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666</v>
      </c>
      <c r="G75" s="30" t="s">
        <v>667</v>
      </c>
      <c r="H75" s="30" t="s">
        <v>165</v>
      </c>
      <c r="I75" s="29" t="s">
        <v>668</v>
      </c>
      <c r="J75" s="29"/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29">
        <v>1</v>
      </c>
      <c r="B76" s="29">
        <v>1</v>
      </c>
      <c r="C76" s="29">
        <v>6</v>
      </c>
      <c r="D76" s="30" t="s">
        <v>227</v>
      </c>
      <c r="E76" s="30" t="s">
        <v>674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754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719</v>
      </c>
      <c r="E77" s="30" t="s">
        <v>258</v>
      </c>
      <c r="F77" s="30" t="s">
        <v>720</v>
      </c>
      <c r="G77" s="30" t="s">
        <v>130</v>
      </c>
      <c r="H77" s="30" t="s">
        <v>165</v>
      </c>
      <c r="I77" s="29" t="s">
        <v>721</v>
      </c>
      <c r="J77" s="29"/>
      <c r="K77" s="29" t="s">
        <v>329</v>
      </c>
      <c r="L77" s="29">
        <v>35</v>
      </c>
      <c r="M77" s="30" t="s">
        <v>884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936</v>
      </c>
      <c r="N78" s="30" t="s">
        <v>901</v>
      </c>
      <c r="O78" s="31">
        <v>1</v>
      </c>
      <c r="P78" s="31"/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895</v>
      </c>
      <c r="O79" s="31">
        <v>1</v>
      </c>
      <c r="P79" s="31">
        <v>1</v>
      </c>
      <c r="Q79" s="30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2">
        <v>0</v>
      </c>
      <c r="B80" s="32">
        <v>1</v>
      </c>
      <c r="C80" s="32">
        <v>6</v>
      </c>
      <c r="D80" s="33" t="s">
        <v>359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487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931</v>
      </c>
      <c r="O80" s="34"/>
      <c r="P80" s="34"/>
      <c r="Q80" s="33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895</v>
      </c>
      <c r="O81" s="31">
        <v>1</v>
      </c>
      <c r="P81" s="31">
        <v>1</v>
      </c>
      <c r="Q81" s="30"/>
      <c r="R81" s="20"/>
      <c r="S81" s="20">
        <f t="shared" ref="S81:S145" si="35">IF(J81=$S$7,1,0)</f>
        <v>0</v>
      </c>
      <c r="T81" s="20">
        <f t="shared" ref="T81:T145" si="36">IF(J81=$T$7,1,0)</f>
        <v>0</v>
      </c>
      <c r="U81" s="21">
        <f t="shared" ref="U81:U145" si="37">IF(J81=$U$7,1,0)</f>
        <v>0</v>
      </c>
      <c r="V81" s="21">
        <f t="shared" ref="V81:V145" si="38">IF(J81=$V$7,1,0)</f>
        <v>0</v>
      </c>
      <c r="W81" s="21">
        <f t="shared" ref="W81:W145" si="39">IF(J81=$W$7,1,0)</f>
        <v>0</v>
      </c>
      <c r="X81" s="21">
        <f t="shared" ref="X81:X145" si="40">IF(J81=$X$7,1,0)</f>
        <v>0</v>
      </c>
      <c r="Y81" s="21">
        <f t="shared" ref="Y81:Y145" si="41">IF(J81=$Y$7,1,0)</f>
        <v>0</v>
      </c>
      <c r="Z81" s="20">
        <f t="shared" ref="Z81:Z145" si="42">IF(J81=$Z$7,1,0)</f>
        <v>0</v>
      </c>
      <c r="AA81" s="20">
        <f t="shared" ref="AA81:AA145" si="43">IF(J81=$AA$7,1,0)</f>
        <v>0</v>
      </c>
      <c r="AB81" s="20">
        <f t="shared" ref="AB81:AB145" si="44">IF(J81=$AB$7,1,0)</f>
        <v>0</v>
      </c>
      <c r="AC81" s="20"/>
      <c r="AD81" s="21">
        <f t="shared" ref="AD81:AD145" si="45">+O81*P81</f>
        <v>1</v>
      </c>
      <c r="AE81" s="21">
        <f t="shared" ref="AE81:AE145" si="46">O81*(1-P81)</f>
        <v>0</v>
      </c>
      <c r="AF81" s="7">
        <f t="shared" si="31"/>
        <v>1</v>
      </c>
      <c r="AG81" s="7">
        <f t="shared" si="32"/>
        <v>0</v>
      </c>
      <c r="AH81" s="21">
        <f t="shared" si="33"/>
        <v>1</v>
      </c>
      <c r="AI81" s="20">
        <f t="shared" si="34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843</v>
      </c>
      <c r="J82" s="29">
        <v>3</v>
      </c>
      <c r="K82" s="29" t="s">
        <v>330</v>
      </c>
      <c r="L82" s="29" t="s">
        <v>346</v>
      </c>
      <c r="M82" s="30" t="s">
        <v>767</v>
      </c>
      <c r="N82" s="30" t="s">
        <v>903</v>
      </c>
      <c r="O82" s="31">
        <v>1</v>
      </c>
      <c r="P82" s="31"/>
      <c r="Q82" s="30"/>
      <c r="R82" s="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25">
      <c r="A83" s="32">
        <v>0</v>
      </c>
      <c r="B83" s="32">
        <v>1</v>
      </c>
      <c r="C83" s="32">
        <v>6</v>
      </c>
      <c r="D83" s="33" t="s">
        <v>61</v>
      </c>
      <c r="E83" s="33" t="s">
        <v>261</v>
      </c>
      <c r="F83" s="33" t="s">
        <v>131</v>
      </c>
      <c r="G83" s="33" t="s">
        <v>132</v>
      </c>
      <c r="H83" s="33" t="s">
        <v>165</v>
      </c>
      <c r="I83" s="32" t="s">
        <v>182</v>
      </c>
      <c r="J83" s="32">
        <v>99</v>
      </c>
      <c r="K83" s="32" t="s">
        <v>329</v>
      </c>
      <c r="L83" s="32" t="s">
        <v>856</v>
      </c>
      <c r="M83" s="33" t="s">
        <v>700</v>
      </c>
      <c r="N83" s="33" t="s">
        <v>902</v>
      </c>
      <c r="O83" s="34"/>
      <c r="P83" s="34"/>
      <c r="Q83" s="33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25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590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751</v>
      </c>
      <c r="N84" s="30" t="s">
        <v>901</v>
      </c>
      <c r="O84" s="31">
        <v>1</v>
      </c>
      <c r="P84" s="31"/>
      <c r="Q84" s="30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16384" s="3" customFormat="1" ht="14.25" customHeight="1" x14ac:dyDescent="0.25">
      <c r="A86" s="26">
        <v>0</v>
      </c>
      <c r="B86" s="26">
        <v>1</v>
      </c>
      <c r="C86" s="26">
        <v>6</v>
      </c>
      <c r="D86" s="27" t="s">
        <v>249</v>
      </c>
      <c r="E86" s="27" t="s">
        <v>261</v>
      </c>
      <c r="F86" s="27" t="s">
        <v>255</v>
      </c>
      <c r="G86" s="27" t="s">
        <v>125</v>
      </c>
      <c r="H86" s="27" t="s">
        <v>165</v>
      </c>
      <c r="I86" s="26" t="s">
        <v>222</v>
      </c>
      <c r="J86" s="26">
        <v>99</v>
      </c>
      <c r="K86" s="26" t="s">
        <v>330</v>
      </c>
      <c r="L86" s="26" t="s">
        <v>40</v>
      </c>
      <c r="M86" s="27" t="s">
        <v>40</v>
      </c>
      <c r="N86" s="27"/>
      <c r="O86" s="28"/>
      <c r="P86" s="28">
        <v>1</v>
      </c>
      <c r="Q86" s="27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16384" s="3" customFormat="1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25">
      <c r="A88" s="32">
        <v>0</v>
      </c>
      <c r="B88" s="32">
        <v>1</v>
      </c>
      <c r="C88" s="32">
        <v>6</v>
      </c>
      <c r="D88" s="33" t="s">
        <v>541</v>
      </c>
      <c r="E88" s="33" t="s">
        <v>575</v>
      </c>
      <c r="F88" s="33" t="s">
        <v>831</v>
      </c>
      <c r="G88" s="33" t="s">
        <v>542</v>
      </c>
      <c r="H88" s="33" t="s">
        <v>165</v>
      </c>
      <c r="I88" s="32" t="s">
        <v>543</v>
      </c>
      <c r="J88" s="32">
        <v>99</v>
      </c>
      <c r="K88" s="32" t="s">
        <v>330</v>
      </c>
      <c r="L88" s="32" t="s">
        <v>334</v>
      </c>
      <c r="M88" s="33" t="s">
        <v>745</v>
      </c>
      <c r="N88" s="33" t="s">
        <v>902</v>
      </c>
      <c r="O88" s="34"/>
      <c r="P88" s="34"/>
      <c r="Q88" s="33"/>
      <c r="R88" s="2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25">
      <c r="A89" s="29">
        <v>0</v>
      </c>
      <c r="B89" s="29">
        <v>1</v>
      </c>
      <c r="C89" s="29">
        <v>6</v>
      </c>
      <c r="D89" s="30" t="s">
        <v>360</v>
      </c>
      <c r="E89" s="30" t="s">
        <v>576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378</v>
      </c>
      <c r="L89" s="29">
        <v>92</v>
      </c>
      <c r="M89" s="30" t="s">
        <v>784</v>
      </c>
      <c r="N89" s="30" t="s">
        <v>909</v>
      </c>
      <c r="O89" s="31">
        <v>1</v>
      </c>
      <c r="P89" s="31"/>
      <c r="Q89" s="30"/>
      <c r="R89" s="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16384" s="3" customFormat="1" ht="14.25" customHeight="1" x14ac:dyDescent="0.25">
      <c r="A90" s="26">
        <v>0</v>
      </c>
      <c r="B90" s="26">
        <v>1</v>
      </c>
      <c r="C90" s="26">
        <v>6</v>
      </c>
      <c r="D90" s="27" t="s">
        <v>984</v>
      </c>
      <c r="E90" s="27" t="s">
        <v>258</v>
      </c>
      <c r="F90" s="27" t="s">
        <v>985</v>
      </c>
      <c r="G90" s="27" t="s">
        <v>986</v>
      </c>
      <c r="H90" s="27" t="s">
        <v>165</v>
      </c>
      <c r="I90" s="26" t="s">
        <v>987</v>
      </c>
      <c r="J90" s="26"/>
      <c r="K90" s="26" t="s">
        <v>378</v>
      </c>
      <c r="L90" s="26"/>
      <c r="M90" s="27"/>
      <c r="N90" s="27"/>
      <c r="O90" s="28"/>
      <c r="P90" s="28">
        <v>1</v>
      </c>
      <c r="Q90" s="27"/>
      <c r="R90" s="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16384" s="3" customFormat="1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25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366</v>
      </c>
      <c r="G92" s="30" t="s">
        <v>91</v>
      </c>
      <c r="H92" s="30" t="s">
        <v>165</v>
      </c>
      <c r="I92" s="29" t="s">
        <v>374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671</v>
      </c>
      <c r="G95" s="30" t="s">
        <v>673</v>
      </c>
      <c r="H95" s="30" t="s">
        <v>165</v>
      </c>
      <c r="I95" s="29" t="s">
        <v>672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365</v>
      </c>
      <c r="G96" s="30" t="s">
        <v>93</v>
      </c>
      <c r="H96" s="30" t="s">
        <v>165</v>
      </c>
      <c r="I96" s="29" t="s">
        <v>373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914</v>
      </c>
      <c r="O97" s="31">
        <v>1</v>
      </c>
      <c r="P97" s="31"/>
      <c r="Q97" s="30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571</v>
      </c>
      <c r="E98" s="30" t="s">
        <v>32</v>
      </c>
      <c r="F98" s="30" t="s">
        <v>586</v>
      </c>
      <c r="G98" s="30" t="s">
        <v>309</v>
      </c>
      <c r="H98" s="30" t="s">
        <v>165</v>
      </c>
      <c r="I98" s="29" t="s">
        <v>528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895</v>
      </c>
      <c r="O98" s="31">
        <v>1</v>
      </c>
      <c r="P98" s="31">
        <v>1</v>
      </c>
      <c r="Q98" s="30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910</v>
      </c>
      <c r="O99" s="31">
        <v>1</v>
      </c>
      <c r="P99" s="31"/>
      <c r="Q99" s="30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669</v>
      </c>
      <c r="G100" s="30" t="s">
        <v>96</v>
      </c>
      <c r="H100" s="30" t="s">
        <v>165</v>
      </c>
      <c r="I100" s="29" t="s">
        <v>841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473</v>
      </c>
      <c r="G102" s="30" t="s">
        <v>92</v>
      </c>
      <c r="H102" s="30" t="s">
        <v>165</v>
      </c>
      <c r="I102" s="29" t="s">
        <v>485</v>
      </c>
      <c r="J102" s="29">
        <v>2</v>
      </c>
      <c r="K102" s="29" t="s">
        <v>320</v>
      </c>
      <c r="L102" s="29" t="s">
        <v>343</v>
      </c>
      <c r="M102" s="30" t="s">
        <v>752</v>
      </c>
      <c r="N102" s="30" t="s">
        <v>903</v>
      </c>
      <c r="O102" s="31">
        <v>1</v>
      </c>
      <c r="P102" s="31"/>
      <c r="Q102" s="30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29">
        <v>0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657</v>
      </c>
      <c r="G103" s="30" t="s">
        <v>96</v>
      </c>
      <c r="H103" s="30" t="s">
        <v>165</v>
      </c>
      <c r="I103" s="29" t="s">
        <v>658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447</v>
      </c>
      <c r="G104" s="30" t="s">
        <v>145</v>
      </c>
      <c r="H104" s="30" t="s">
        <v>165</v>
      </c>
      <c r="I104" s="29" t="s">
        <v>448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124</v>
      </c>
      <c r="H105" s="30" t="s">
        <v>165</v>
      </c>
      <c r="I105" s="29" t="s">
        <v>851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29">
        <v>1</v>
      </c>
      <c r="B106" s="29">
        <v>1</v>
      </c>
      <c r="C106" s="29">
        <v>7</v>
      </c>
      <c r="D106" s="30" t="s">
        <v>446</v>
      </c>
      <c r="E106" s="30" t="s">
        <v>32</v>
      </c>
      <c r="F106" s="30" t="s">
        <v>838</v>
      </c>
      <c r="G106" s="30" t="s">
        <v>103</v>
      </c>
      <c r="H106" s="30" t="s">
        <v>165</v>
      </c>
      <c r="I106" s="29" t="s">
        <v>852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895</v>
      </c>
      <c r="O106" s="31">
        <v>1</v>
      </c>
      <c r="P106" s="31">
        <v>1</v>
      </c>
      <c r="Q106" s="30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931</v>
      </c>
      <c r="O108" s="34"/>
      <c r="P108" s="34"/>
      <c r="Q108" s="33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948</v>
      </c>
      <c r="E109" s="30" t="s">
        <v>32</v>
      </c>
      <c r="F109" s="30" t="s">
        <v>949</v>
      </c>
      <c r="G109" s="30"/>
      <c r="H109" s="30" t="s">
        <v>165</v>
      </c>
      <c r="I109" s="29" t="s">
        <v>950</v>
      </c>
      <c r="J109" s="29"/>
      <c r="K109" s="29" t="s">
        <v>378</v>
      </c>
      <c r="L109" s="29">
        <v>30</v>
      </c>
      <c r="M109" s="30" t="s">
        <v>951</v>
      </c>
      <c r="N109" s="30" t="s">
        <v>895</v>
      </c>
      <c r="O109" s="31">
        <v>1</v>
      </c>
      <c r="P109" s="31">
        <v>1</v>
      </c>
      <c r="Q109" s="30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2">
        <v>0</v>
      </c>
      <c r="B111" s="32">
        <v>1</v>
      </c>
      <c r="C111" s="32">
        <v>7</v>
      </c>
      <c r="D111" s="33" t="s">
        <v>647</v>
      </c>
      <c r="E111" s="33" t="s">
        <v>32</v>
      </c>
      <c r="F111" s="33" t="s">
        <v>649</v>
      </c>
      <c r="G111" s="33" t="s">
        <v>117</v>
      </c>
      <c r="H111" s="33" t="s">
        <v>165</v>
      </c>
      <c r="I111" s="32" t="s">
        <v>694</v>
      </c>
      <c r="J111" s="32">
        <v>1</v>
      </c>
      <c r="K111" s="32" t="s">
        <v>320</v>
      </c>
      <c r="L111" s="32" t="s">
        <v>335</v>
      </c>
      <c r="M111" s="33" t="s">
        <v>648</v>
      </c>
      <c r="N111" s="33" t="s">
        <v>897</v>
      </c>
      <c r="O111" s="34"/>
      <c r="P111" s="34"/>
      <c r="Q111" s="33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29">
        <v>0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549</v>
      </c>
      <c r="G112" s="30" t="s">
        <v>550</v>
      </c>
      <c r="H112" s="30" t="s">
        <v>165</v>
      </c>
      <c r="I112" s="29" t="s">
        <v>551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29">
        <v>1</v>
      </c>
      <c r="B113" s="29">
        <v>1</v>
      </c>
      <c r="C113" s="29">
        <v>7</v>
      </c>
      <c r="D113" s="30" t="s">
        <v>548</v>
      </c>
      <c r="E113" s="30" t="s">
        <v>32</v>
      </c>
      <c r="F113" s="30" t="s">
        <v>662</v>
      </c>
      <c r="G113" s="30" t="s">
        <v>40</v>
      </c>
      <c r="H113" s="30" t="s">
        <v>165</v>
      </c>
      <c r="I113" s="29" t="s">
        <v>695</v>
      </c>
      <c r="J113" s="29"/>
      <c r="K113" s="29" t="s">
        <v>320</v>
      </c>
      <c r="L113" s="29">
        <v>30</v>
      </c>
      <c r="M113" s="30" t="s">
        <v>298</v>
      </c>
      <c r="N113" s="30" t="s">
        <v>915</v>
      </c>
      <c r="O113" s="31">
        <v>1</v>
      </c>
      <c r="P113" s="31"/>
      <c r="Q113" s="30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29">
        <v>0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619</v>
      </c>
      <c r="G115" s="30" t="s">
        <v>471</v>
      </c>
      <c r="H115" s="30" t="s">
        <v>165</v>
      </c>
      <c r="I115" s="29" t="s">
        <v>620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0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1</v>
      </c>
      <c r="AG115" s="2">
        <f t="shared" ref="AG115:AG178" si="60">O115*(1-P115)*(1-A115)</f>
        <v>0</v>
      </c>
      <c r="AH115" s="2">
        <f t="shared" ref="AH115:AH178" si="61">+P115*(1-A115)</f>
        <v>1</v>
      </c>
      <c r="AI115" s="2">
        <f t="shared" ref="AI115:AI178" si="62">+(1-A115)*(1-P115)</f>
        <v>0</v>
      </c>
    </row>
    <row r="116" spans="1:35" s="3" customFormat="1" ht="14.25" customHeight="1" x14ac:dyDescent="0.25">
      <c r="A116" s="29">
        <v>1</v>
      </c>
      <c r="B116" s="29">
        <v>2</v>
      </c>
      <c r="C116" s="29">
        <v>1</v>
      </c>
      <c r="D116" s="30" t="s">
        <v>670</v>
      </c>
      <c r="E116" s="30" t="s">
        <v>44</v>
      </c>
      <c r="F116" s="30" t="s">
        <v>621</v>
      </c>
      <c r="G116" s="30" t="s">
        <v>91</v>
      </c>
      <c r="H116" s="30" t="s">
        <v>165</v>
      </c>
      <c r="I116" s="29" t="s">
        <v>620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895</v>
      </c>
      <c r="O116" s="31">
        <v>1</v>
      </c>
      <c r="P116" s="31">
        <v>1</v>
      </c>
      <c r="Q116" s="30"/>
      <c r="R116" s="2"/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C116" s="2"/>
      <c r="AD116" s="2">
        <f t="shared" si="57"/>
        <v>1</v>
      </c>
      <c r="AE116" s="2">
        <f t="shared" si="58"/>
        <v>0</v>
      </c>
      <c r="AF116" s="2">
        <f t="shared" si="59"/>
        <v>0</v>
      </c>
      <c r="AG116" s="2">
        <f t="shared" si="60"/>
        <v>0</v>
      </c>
      <c r="AH116" s="2">
        <f t="shared" si="61"/>
        <v>0</v>
      </c>
      <c r="AI116" s="2">
        <f t="shared" si="62"/>
        <v>0</v>
      </c>
    </row>
    <row r="117" spans="1:35" s="3" customFormat="1" ht="14.25" customHeight="1" x14ac:dyDescent="0.25">
      <c r="A117" s="29">
        <v>0</v>
      </c>
      <c r="B117" s="29">
        <v>2</v>
      </c>
      <c r="C117" s="29">
        <v>1</v>
      </c>
      <c r="D117" s="30" t="s">
        <v>993</v>
      </c>
      <c r="E117" s="30" t="s">
        <v>44</v>
      </c>
      <c r="F117" s="30" t="s">
        <v>994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378</v>
      </c>
      <c r="L117" s="29"/>
      <c r="M117" s="30"/>
      <c r="N117" s="30" t="s">
        <v>895</v>
      </c>
      <c r="O117" s="31">
        <v>1</v>
      </c>
      <c r="P117" s="31">
        <v>1</v>
      </c>
      <c r="Q117" s="30" t="s">
        <v>995</v>
      </c>
      <c r="R117" s="2"/>
      <c r="S117" s="2">
        <f t="shared" si="47"/>
        <v>1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C117" s="2"/>
      <c r="AD117" s="2">
        <f t="shared" si="57"/>
        <v>1</v>
      </c>
      <c r="AE117" s="2">
        <f t="shared" si="58"/>
        <v>0</v>
      </c>
      <c r="AF117" s="2">
        <f t="shared" si="59"/>
        <v>1</v>
      </c>
      <c r="AG117" s="2">
        <f t="shared" si="60"/>
        <v>0</v>
      </c>
      <c r="AH117" s="2">
        <f t="shared" si="61"/>
        <v>1</v>
      </c>
      <c r="AI117" s="2">
        <f t="shared" si="62"/>
        <v>0</v>
      </c>
    </row>
    <row r="118" spans="1:35" s="3" customFormat="1" ht="14.25" customHeight="1" x14ac:dyDescent="0.25">
      <c r="A118" s="20">
        <v>0</v>
      </c>
      <c r="B118" s="20">
        <v>2</v>
      </c>
      <c r="C118" s="20">
        <v>1</v>
      </c>
      <c r="D118" s="21" t="s">
        <v>795</v>
      </c>
      <c r="E118" s="21" t="s">
        <v>470</v>
      </c>
      <c r="F118" s="21" t="s">
        <v>796</v>
      </c>
      <c r="G118" s="21" t="s">
        <v>114</v>
      </c>
      <c r="H118" s="21" t="s">
        <v>165</v>
      </c>
      <c r="I118" s="20" t="s">
        <v>797</v>
      </c>
      <c r="J118" s="20">
        <v>99</v>
      </c>
      <c r="K118" s="20" t="s">
        <v>378</v>
      </c>
      <c r="L118" s="20">
        <v>6</v>
      </c>
      <c r="M118" s="21" t="s">
        <v>944</v>
      </c>
      <c r="N118" s="21"/>
      <c r="O118" s="7"/>
      <c r="P118" s="7"/>
      <c r="Q118" s="21"/>
      <c r="R118" s="2"/>
      <c r="S118" s="2">
        <f t="shared" si="47"/>
        <v>0</v>
      </c>
      <c r="T118" s="2">
        <f t="shared" si="48"/>
        <v>0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C118" s="2"/>
      <c r="AD118" s="2">
        <f t="shared" si="57"/>
        <v>0</v>
      </c>
      <c r="AE118" s="2">
        <f t="shared" si="58"/>
        <v>0</v>
      </c>
      <c r="AF118" s="2">
        <f t="shared" si="59"/>
        <v>0</v>
      </c>
      <c r="AG118" s="2">
        <f t="shared" si="60"/>
        <v>0</v>
      </c>
      <c r="AH118" s="2">
        <f t="shared" si="61"/>
        <v>0</v>
      </c>
      <c r="AI118" s="2">
        <f t="shared" si="62"/>
        <v>1</v>
      </c>
    </row>
    <row r="119" spans="1:35" s="3" customFormat="1" ht="14.25" customHeight="1" x14ac:dyDescent="0.25">
      <c r="A119" s="29">
        <v>0</v>
      </c>
      <c r="B119" s="29">
        <v>2</v>
      </c>
      <c r="C119" s="29">
        <v>1</v>
      </c>
      <c r="D119" s="30" t="s">
        <v>790</v>
      </c>
      <c r="E119" s="30" t="s">
        <v>470</v>
      </c>
      <c r="F119" s="30" t="s">
        <v>791</v>
      </c>
      <c r="G119" s="30" t="s">
        <v>103</v>
      </c>
      <c r="H119" s="30" t="s">
        <v>165</v>
      </c>
      <c r="I119" s="29" t="s">
        <v>792</v>
      </c>
      <c r="J119" s="29">
        <v>2</v>
      </c>
      <c r="K119" s="29" t="s">
        <v>321</v>
      </c>
      <c r="L119" s="29">
        <v>15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R119" s="2"/>
      <c r="S119" s="2">
        <f t="shared" si="47"/>
        <v>0</v>
      </c>
      <c r="T119" s="2">
        <f t="shared" si="48"/>
        <v>1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C119" s="2"/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s="3" customFormat="1" ht="14.25" customHeight="1" x14ac:dyDescent="0.25">
      <c r="A120" s="29">
        <v>0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536</v>
      </c>
      <c r="G120" s="30" t="s">
        <v>471</v>
      </c>
      <c r="H120" s="30" t="s">
        <v>165</v>
      </c>
      <c r="I120" s="29" t="s">
        <v>538</v>
      </c>
      <c r="J120" s="29">
        <v>99</v>
      </c>
      <c r="K120" s="29" t="s">
        <v>318</v>
      </c>
      <c r="L120" s="29">
        <v>13</v>
      </c>
      <c r="M120" s="30" t="s">
        <v>864</v>
      </c>
      <c r="N120" s="30" t="s">
        <v>895</v>
      </c>
      <c r="O120" s="31">
        <v>1</v>
      </c>
      <c r="P120" s="31">
        <v>1</v>
      </c>
      <c r="Q120" s="30"/>
      <c r="R120" s="2"/>
      <c r="S120" s="2">
        <f t="shared" si="47"/>
        <v>0</v>
      </c>
      <c r="T120" s="2">
        <f t="shared" si="48"/>
        <v>0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C120" s="2"/>
      <c r="AD120" s="2">
        <f t="shared" si="57"/>
        <v>1</v>
      </c>
      <c r="AE120" s="2">
        <f t="shared" si="58"/>
        <v>0</v>
      </c>
      <c r="AF120" s="2">
        <f t="shared" si="59"/>
        <v>1</v>
      </c>
      <c r="AG120" s="2">
        <f t="shared" si="60"/>
        <v>0</v>
      </c>
      <c r="AH120" s="2">
        <f t="shared" si="61"/>
        <v>1</v>
      </c>
      <c r="AI120" s="2">
        <f t="shared" si="62"/>
        <v>0</v>
      </c>
    </row>
    <row r="121" spans="1:35" s="3" customFormat="1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532</v>
      </c>
      <c r="G121" s="30" t="s">
        <v>92</v>
      </c>
      <c r="H121" s="30" t="s">
        <v>165</v>
      </c>
      <c r="I121" s="29" t="s">
        <v>533</v>
      </c>
      <c r="J121" s="29">
        <v>2</v>
      </c>
      <c r="K121" s="29" t="s">
        <v>318</v>
      </c>
      <c r="L121" s="29">
        <v>13</v>
      </c>
      <c r="M121" s="30" t="s">
        <v>865</v>
      </c>
      <c r="N121" s="30" t="s">
        <v>895</v>
      </c>
      <c r="O121" s="31">
        <v>1</v>
      </c>
      <c r="P121" s="31">
        <v>1</v>
      </c>
      <c r="Q121" s="30"/>
      <c r="R121" s="2"/>
      <c r="S121" s="2">
        <f t="shared" si="47"/>
        <v>0</v>
      </c>
      <c r="T121" s="2">
        <f t="shared" si="48"/>
        <v>1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C121" s="2"/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s="3" customFormat="1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537</v>
      </c>
      <c r="G122" s="30" t="s">
        <v>405</v>
      </c>
      <c r="H122" s="30" t="s">
        <v>165</v>
      </c>
      <c r="I122" s="29" t="s">
        <v>539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895</v>
      </c>
      <c r="O122" s="31">
        <v>1</v>
      </c>
      <c r="P122" s="31">
        <v>1</v>
      </c>
      <c r="Q122" s="30"/>
      <c r="R122" s="2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C122" s="2"/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s="3" customFormat="1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779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867</v>
      </c>
      <c r="N123" s="30" t="s">
        <v>895</v>
      </c>
      <c r="O123" s="31">
        <v>1</v>
      </c>
      <c r="P123" s="31">
        <v>1</v>
      </c>
      <c r="Q123" s="30"/>
      <c r="R123" s="2"/>
      <c r="S123" s="2">
        <f t="shared" si="47"/>
        <v>0</v>
      </c>
      <c r="T123" s="2">
        <f t="shared" si="48"/>
        <v>0</v>
      </c>
      <c r="U123" s="2">
        <f t="shared" si="49"/>
        <v>0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C123" s="2"/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s="3" customFormat="1" ht="14.25" customHeight="1" x14ac:dyDescent="0.25">
      <c r="A124" s="29">
        <v>1</v>
      </c>
      <c r="B124" s="29">
        <v>2</v>
      </c>
      <c r="C124" s="29">
        <v>1</v>
      </c>
      <c r="D124" s="30" t="s">
        <v>531</v>
      </c>
      <c r="E124" s="30" t="s">
        <v>470</v>
      </c>
      <c r="F124" s="30" t="s">
        <v>780</v>
      </c>
      <c r="G124" s="30" t="s">
        <v>820</v>
      </c>
      <c r="H124" s="30" t="s">
        <v>165</v>
      </c>
      <c r="I124" s="29" t="s">
        <v>538</v>
      </c>
      <c r="J124" s="29">
        <v>3</v>
      </c>
      <c r="K124" s="29" t="s">
        <v>318</v>
      </c>
      <c r="L124" s="29">
        <v>13</v>
      </c>
      <c r="M124" s="30" t="s">
        <v>868</v>
      </c>
      <c r="N124" s="30" t="s">
        <v>895</v>
      </c>
      <c r="O124" s="31">
        <v>1</v>
      </c>
      <c r="P124" s="31">
        <v>1</v>
      </c>
      <c r="Q124" s="30"/>
      <c r="R124" s="2"/>
      <c r="S124" s="2">
        <f t="shared" si="47"/>
        <v>0</v>
      </c>
      <c r="T124" s="2">
        <f t="shared" si="48"/>
        <v>0</v>
      </c>
      <c r="U124" s="2">
        <f t="shared" si="49"/>
        <v>1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C124" s="2"/>
      <c r="AD124" s="2">
        <f t="shared" si="57"/>
        <v>1</v>
      </c>
      <c r="AE124" s="2">
        <f t="shared" si="58"/>
        <v>0</v>
      </c>
      <c r="AF124" s="2">
        <f t="shared" si="59"/>
        <v>0</v>
      </c>
      <c r="AG124" s="2">
        <f t="shared" si="60"/>
        <v>0</v>
      </c>
      <c r="AH124" s="2">
        <f t="shared" si="61"/>
        <v>0</v>
      </c>
      <c r="AI124" s="2">
        <f t="shared" si="62"/>
        <v>0</v>
      </c>
    </row>
    <row r="125" spans="1:35" s="3" customFormat="1" ht="14.25" customHeight="1" x14ac:dyDescent="0.25">
      <c r="A125" s="29">
        <v>0</v>
      </c>
      <c r="B125" s="29">
        <v>2</v>
      </c>
      <c r="C125" s="29">
        <v>1</v>
      </c>
      <c r="D125" s="30" t="s">
        <v>663</v>
      </c>
      <c r="E125" s="30" t="s">
        <v>35</v>
      </c>
      <c r="F125" s="30" t="s">
        <v>635</v>
      </c>
      <c r="G125" s="30" t="s">
        <v>688</v>
      </c>
      <c r="H125" s="30" t="s">
        <v>165</v>
      </c>
      <c r="I125" s="29" t="s">
        <v>636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901</v>
      </c>
      <c r="O125" s="31">
        <v>1</v>
      </c>
      <c r="P125" s="31"/>
      <c r="Q125" s="30"/>
      <c r="R125" s="2"/>
      <c r="S125" s="2">
        <f t="shared" si="47"/>
        <v>0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C125" s="2"/>
      <c r="AD125" s="2">
        <f t="shared" si="57"/>
        <v>0</v>
      </c>
      <c r="AE125" s="2">
        <f t="shared" si="58"/>
        <v>1</v>
      </c>
      <c r="AF125" s="2">
        <f t="shared" si="59"/>
        <v>0</v>
      </c>
      <c r="AG125" s="2">
        <f t="shared" si="60"/>
        <v>1</v>
      </c>
      <c r="AH125" s="2">
        <f t="shared" si="61"/>
        <v>0</v>
      </c>
      <c r="AI125" s="2">
        <f t="shared" si="62"/>
        <v>1</v>
      </c>
    </row>
    <row r="126" spans="1:35" s="3" customFormat="1" ht="14.25" customHeight="1" x14ac:dyDescent="0.25">
      <c r="A126" s="29">
        <v>0</v>
      </c>
      <c r="B126" s="29">
        <v>2</v>
      </c>
      <c r="C126" s="29">
        <v>1</v>
      </c>
      <c r="D126" s="30" t="s">
        <v>938</v>
      </c>
      <c r="E126" s="30" t="s">
        <v>470</v>
      </c>
      <c r="F126" s="30" t="s">
        <v>939</v>
      </c>
      <c r="G126" s="30" t="s">
        <v>38</v>
      </c>
      <c r="H126" s="30" t="s">
        <v>165</v>
      </c>
      <c r="I126" s="29" t="s">
        <v>940</v>
      </c>
      <c r="J126" s="29">
        <v>1</v>
      </c>
      <c r="K126" s="29" t="s">
        <v>378</v>
      </c>
      <c r="L126" s="29"/>
      <c r="M126" s="30"/>
      <c r="N126" s="30" t="s">
        <v>895</v>
      </c>
      <c r="O126" s="31">
        <v>1</v>
      </c>
      <c r="P126" s="31">
        <v>1</v>
      </c>
      <c r="Q126" s="30"/>
      <c r="R126" s="2"/>
      <c r="S126" s="2">
        <f t="shared" si="47"/>
        <v>1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C126" s="2"/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s="3" customFormat="1" ht="14.25" customHeight="1" x14ac:dyDescent="0.25">
      <c r="A127" s="29">
        <v>0</v>
      </c>
      <c r="B127" s="29">
        <v>2</v>
      </c>
      <c r="C127" s="29">
        <v>1</v>
      </c>
      <c r="D127" s="30" t="s">
        <v>761</v>
      </c>
      <c r="E127" s="30" t="s">
        <v>470</v>
      </c>
      <c r="F127" s="30" t="s">
        <v>762</v>
      </c>
      <c r="G127" s="30" t="s">
        <v>821</v>
      </c>
      <c r="H127" s="30" t="s">
        <v>165</v>
      </c>
      <c r="I127" s="29" t="s">
        <v>763</v>
      </c>
      <c r="J127" s="29">
        <v>99</v>
      </c>
      <c r="K127" s="29" t="s">
        <v>320</v>
      </c>
      <c r="L127" s="29"/>
      <c r="M127" s="30" t="s">
        <v>708</v>
      </c>
      <c r="N127" s="30" t="s">
        <v>895</v>
      </c>
      <c r="O127" s="31">
        <v>1</v>
      </c>
      <c r="P127" s="31">
        <v>1</v>
      </c>
      <c r="Q127" s="30"/>
      <c r="R127" s="2"/>
      <c r="S127" s="2">
        <f t="shared" si="47"/>
        <v>0</v>
      </c>
      <c r="T127" s="2">
        <f t="shared" si="48"/>
        <v>0</v>
      </c>
      <c r="U127" s="2">
        <f t="shared" si="49"/>
        <v>0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C127" s="2"/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s="3" customFormat="1" ht="14.25" customHeight="1" x14ac:dyDescent="0.25">
      <c r="A128" s="29">
        <v>0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486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R128" s="2"/>
      <c r="S128" s="2">
        <f t="shared" si="47"/>
        <v>0</v>
      </c>
      <c r="T128" s="2">
        <f t="shared" si="48"/>
        <v>0</v>
      </c>
      <c r="U128" s="2">
        <f t="shared" si="49"/>
        <v>1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C128" s="2"/>
      <c r="AD128" s="2">
        <f t="shared" si="57"/>
        <v>1</v>
      </c>
      <c r="AE128" s="2">
        <f t="shared" si="58"/>
        <v>0</v>
      </c>
      <c r="AF128" s="2">
        <f t="shared" si="59"/>
        <v>1</v>
      </c>
      <c r="AG128" s="2">
        <f t="shared" si="60"/>
        <v>0</v>
      </c>
      <c r="AH128" s="2">
        <f t="shared" si="61"/>
        <v>1</v>
      </c>
      <c r="AI128" s="2">
        <f t="shared" si="62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651</v>
      </c>
      <c r="G129" s="30" t="s">
        <v>92</v>
      </c>
      <c r="H129" s="30" t="s">
        <v>165</v>
      </c>
      <c r="I129" s="29" t="s">
        <v>652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1</v>
      </c>
      <c r="U129" s="2">
        <f t="shared" si="49"/>
        <v>0</v>
      </c>
      <c r="V129" s="2">
        <f t="shared" si="50"/>
        <v>0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680</v>
      </c>
      <c r="E130" s="30" t="s">
        <v>211</v>
      </c>
      <c r="F130" s="30" t="s">
        <v>650</v>
      </c>
      <c r="G130" s="30" t="s">
        <v>40</v>
      </c>
      <c r="H130" s="30" t="s">
        <v>165</v>
      </c>
      <c r="I130" s="29" t="s">
        <v>653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1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0</v>
      </c>
      <c r="AG130" s="2">
        <f t="shared" si="60"/>
        <v>0</v>
      </c>
      <c r="AH130" s="2">
        <f t="shared" si="61"/>
        <v>0</v>
      </c>
      <c r="AI130" s="2">
        <f t="shared" si="62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976</v>
      </c>
      <c r="E131" s="30" t="s">
        <v>470</v>
      </c>
      <c r="F131" s="30" t="s">
        <v>977</v>
      </c>
      <c r="G131" s="30"/>
      <c r="H131" s="30" t="s">
        <v>165</v>
      </c>
      <c r="I131" s="29" t="s">
        <v>978</v>
      </c>
      <c r="J131" s="29"/>
      <c r="K131" s="29" t="s">
        <v>378</v>
      </c>
      <c r="L131" s="29"/>
      <c r="M131" s="30"/>
      <c r="N131" s="30" t="s">
        <v>895</v>
      </c>
      <c r="O131" s="31">
        <v>1</v>
      </c>
      <c r="P131" s="31">
        <v>1</v>
      </c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1</v>
      </c>
      <c r="AE131" s="2">
        <f t="shared" si="58"/>
        <v>0</v>
      </c>
      <c r="AF131" s="2">
        <f t="shared" si="59"/>
        <v>1</v>
      </c>
      <c r="AG131" s="2">
        <f t="shared" si="60"/>
        <v>0</v>
      </c>
      <c r="AH131" s="2">
        <f t="shared" si="61"/>
        <v>1</v>
      </c>
      <c r="AI131" s="2">
        <f t="shared" si="62"/>
        <v>0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461</v>
      </c>
      <c r="E132" s="30" t="s">
        <v>468</v>
      </c>
      <c r="F132" s="30" t="s">
        <v>474</v>
      </c>
      <c r="G132" s="30" t="s">
        <v>475</v>
      </c>
      <c r="H132" s="30" t="s">
        <v>165</v>
      </c>
      <c r="I132" s="29" t="s">
        <v>409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932</v>
      </c>
      <c r="O132" s="31">
        <v>1</v>
      </c>
      <c r="P132" s="31"/>
      <c r="Q132" s="30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0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1</v>
      </c>
      <c r="AF132" s="2">
        <f t="shared" si="59"/>
        <v>0</v>
      </c>
      <c r="AG132" s="2">
        <f t="shared" si="60"/>
        <v>1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378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1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0</v>
      </c>
      <c r="AE133" s="2">
        <f t="shared" si="58"/>
        <v>0</v>
      </c>
      <c r="AF133" s="2">
        <f t="shared" si="59"/>
        <v>0</v>
      </c>
      <c r="AG133" s="2">
        <f t="shared" si="60"/>
        <v>0</v>
      </c>
      <c r="AH133" s="2">
        <f t="shared" si="61"/>
        <v>0</v>
      </c>
      <c r="AI133" s="2">
        <f t="shared" si="62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941</v>
      </c>
      <c r="E134" s="30" t="s">
        <v>942</v>
      </c>
      <c r="F134" s="30" t="s">
        <v>943</v>
      </c>
      <c r="G134" s="30"/>
      <c r="H134" s="30" t="s">
        <v>165</v>
      </c>
      <c r="I134" s="29" t="s">
        <v>33</v>
      </c>
      <c r="J134" s="29"/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916</v>
      </c>
      <c r="E135" s="30" t="s">
        <v>35</v>
      </c>
      <c r="F135" s="30" t="s">
        <v>917</v>
      </c>
      <c r="G135" s="30"/>
      <c r="H135" s="30" t="s">
        <v>165</v>
      </c>
      <c r="I135" s="29" t="s">
        <v>918</v>
      </c>
      <c r="J135" s="29">
        <v>99</v>
      </c>
      <c r="K135" s="29" t="s">
        <v>378</v>
      </c>
      <c r="L135" s="29"/>
      <c r="M135" s="30"/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552</v>
      </c>
      <c r="E136" s="30" t="s">
        <v>211</v>
      </c>
      <c r="F136" s="30" t="s">
        <v>553</v>
      </c>
      <c r="G136" s="30" t="s">
        <v>554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864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0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825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895</v>
      </c>
      <c r="O137" s="31">
        <v>1</v>
      </c>
      <c r="P137" s="31">
        <v>1</v>
      </c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0</v>
      </c>
      <c r="AB137" s="2">
        <f t="shared" si="56"/>
        <v>1</v>
      </c>
      <c r="AC137" s="2"/>
      <c r="AD137" s="2">
        <f t="shared" si="57"/>
        <v>1</v>
      </c>
      <c r="AE137" s="2">
        <f t="shared" si="58"/>
        <v>0</v>
      </c>
      <c r="AF137" s="2">
        <f t="shared" si="59"/>
        <v>1</v>
      </c>
      <c r="AG137" s="2">
        <f t="shared" si="60"/>
        <v>0</v>
      </c>
      <c r="AH137" s="2">
        <f t="shared" si="61"/>
        <v>1</v>
      </c>
      <c r="AI137" s="2">
        <f t="shared" si="62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353</v>
      </c>
      <c r="G138" s="30" t="s">
        <v>243</v>
      </c>
      <c r="H138" s="30" t="s">
        <v>165</v>
      </c>
      <c r="I138" s="29" t="s">
        <v>488</v>
      </c>
      <c r="J138" s="29">
        <v>9</v>
      </c>
      <c r="K138" s="29" t="s">
        <v>320</v>
      </c>
      <c r="L138" s="29">
        <v>11</v>
      </c>
      <c r="M138" s="30" t="s">
        <v>869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1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1</v>
      </c>
      <c r="AH138" s="2">
        <f t="shared" si="61"/>
        <v>0</v>
      </c>
      <c r="AI138" s="2">
        <f t="shared" si="62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470</v>
      </c>
      <c r="F139" s="30" t="s">
        <v>581</v>
      </c>
      <c r="G139" s="30" t="s">
        <v>555</v>
      </c>
      <c r="H139" s="30" t="s">
        <v>165</v>
      </c>
      <c r="I139" s="29" t="s">
        <v>556</v>
      </c>
      <c r="J139" s="29">
        <v>99</v>
      </c>
      <c r="K139" s="29" t="s">
        <v>320</v>
      </c>
      <c r="L139" s="29">
        <v>11</v>
      </c>
      <c r="M139" s="30" t="s">
        <v>870</v>
      </c>
      <c r="N139" s="30" t="s">
        <v>901</v>
      </c>
      <c r="O139" s="31">
        <v>1</v>
      </c>
      <c r="P139" s="31"/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0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0</v>
      </c>
      <c r="AE139" s="2">
        <f t="shared" si="58"/>
        <v>1</v>
      </c>
      <c r="AF139" s="2">
        <f t="shared" si="59"/>
        <v>0</v>
      </c>
      <c r="AG139" s="2">
        <f t="shared" si="60"/>
        <v>0</v>
      </c>
      <c r="AH139" s="2">
        <f t="shared" si="61"/>
        <v>0</v>
      </c>
      <c r="AI139" s="2">
        <f t="shared" si="62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247</v>
      </c>
      <c r="E140" s="30" t="s">
        <v>35</v>
      </c>
      <c r="F140" s="30" t="s">
        <v>209</v>
      </c>
      <c r="G140" s="30" t="s">
        <v>93</v>
      </c>
      <c r="H140" s="30" t="s">
        <v>165</v>
      </c>
      <c r="I140" s="29" t="s">
        <v>210</v>
      </c>
      <c r="J140" s="29">
        <v>8</v>
      </c>
      <c r="K140" s="29" t="s">
        <v>319</v>
      </c>
      <c r="L140" s="29" t="s">
        <v>318</v>
      </c>
      <c r="M140" s="30" t="s">
        <v>269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0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1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361</v>
      </c>
      <c r="E141" s="30" t="s">
        <v>470</v>
      </c>
      <c r="F141" s="30" t="s">
        <v>583</v>
      </c>
      <c r="G141" s="30" t="s">
        <v>91</v>
      </c>
      <c r="H141" s="30" t="s">
        <v>165</v>
      </c>
      <c r="I141" s="29" t="s">
        <v>357</v>
      </c>
      <c r="J141" s="29">
        <v>1</v>
      </c>
      <c r="K141" s="29" t="s">
        <v>321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1</v>
      </c>
      <c r="T141" s="2">
        <f t="shared" si="48"/>
        <v>0</v>
      </c>
      <c r="U141" s="2">
        <f t="shared" si="49"/>
        <v>0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55</v>
      </c>
      <c r="E142" s="30" t="s">
        <v>470</v>
      </c>
      <c r="F142" s="30" t="s">
        <v>110</v>
      </c>
      <c r="G142" s="30" t="s">
        <v>99</v>
      </c>
      <c r="H142" s="30" t="s">
        <v>165</v>
      </c>
      <c r="I142" s="29" t="s">
        <v>174</v>
      </c>
      <c r="J142" s="29">
        <v>3</v>
      </c>
      <c r="K142" s="29" t="s">
        <v>320</v>
      </c>
      <c r="L142" s="29" t="s">
        <v>325</v>
      </c>
      <c r="M142" s="30" t="s">
        <v>497</v>
      </c>
      <c r="N142" s="30" t="s">
        <v>895</v>
      </c>
      <c r="O142" s="31">
        <v>1</v>
      </c>
      <c r="P142" s="31">
        <v>1</v>
      </c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1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0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1</v>
      </c>
      <c r="AE142" s="2">
        <f t="shared" si="58"/>
        <v>0</v>
      </c>
      <c r="AF142" s="2">
        <f t="shared" si="59"/>
        <v>1</v>
      </c>
      <c r="AG142" s="2">
        <f t="shared" si="60"/>
        <v>0</v>
      </c>
      <c r="AH142" s="2">
        <f t="shared" si="61"/>
        <v>1</v>
      </c>
      <c r="AI142" s="2">
        <f t="shared" si="62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829</v>
      </c>
      <c r="G143" s="30" t="s">
        <v>93</v>
      </c>
      <c r="H143" s="30" t="s">
        <v>165</v>
      </c>
      <c r="I143" s="29" t="s">
        <v>167</v>
      </c>
      <c r="J143" s="29">
        <v>8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0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1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1</v>
      </c>
      <c r="AH143" s="2">
        <f t="shared" si="61"/>
        <v>0</v>
      </c>
      <c r="AI143" s="2">
        <f t="shared" si="62"/>
        <v>1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47</v>
      </c>
      <c r="E144" s="30" t="s">
        <v>82</v>
      </c>
      <c r="F144" s="30" t="s">
        <v>98</v>
      </c>
      <c r="G144" s="30" t="s">
        <v>99</v>
      </c>
      <c r="H144" s="30" t="s">
        <v>165</v>
      </c>
      <c r="I144" s="29" t="s">
        <v>492</v>
      </c>
      <c r="J144" s="29">
        <v>3</v>
      </c>
      <c r="K144" s="29" t="s">
        <v>320</v>
      </c>
      <c r="L144" s="29" t="s">
        <v>318</v>
      </c>
      <c r="M144" s="30" t="s">
        <v>269</v>
      </c>
      <c r="N144" s="30" t="s">
        <v>915</v>
      </c>
      <c r="O144" s="31">
        <v>1</v>
      </c>
      <c r="P144" s="31"/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1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0</v>
      </c>
      <c r="AE144" s="2">
        <f t="shared" si="58"/>
        <v>1</v>
      </c>
      <c r="AF144" s="2">
        <f t="shared" si="59"/>
        <v>0</v>
      </c>
      <c r="AG144" s="2">
        <f t="shared" si="60"/>
        <v>0</v>
      </c>
      <c r="AH144" s="2">
        <f t="shared" si="61"/>
        <v>0</v>
      </c>
      <c r="AI144" s="2">
        <f t="shared" si="62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923</v>
      </c>
      <c r="E145" s="30" t="s">
        <v>35</v>
      </c>
      <c r="F145" s="30" t="s">
        <v>924</v>
      </c>
      <c r="G145" s="30" t="s">
        <v>132</v>
      </c>
      <c r="H145" s="30" t="s">
        <v>165</v>
      </c>
      <c r="I145" s="29" t="s">
        <v>925</v>
      </c>
      <c r="J145" s="29">
        <v>99</v>
      </c>
      <c r="K145" s="29" t="s">
        <v>378</v>
      </c>
      <c r="L145" s="29"/>
      <c r="M145" s="30"/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455</v>
      </c>
      <c r="E146" s="30" t="s">
        <v>456</v>
      </c>
      <c r="F146" s="30" t="s">
        <v>457</v>
      </c>
      <c r="G146" s="30" t="s">
        <v>458</v>
      </c>
      <c r="H146" s="30" t="s">
        <v>165</v>
      </c>
      <c r="I146" s="29" t="s">
        <v>459</v>
      </c>
      <c r="J146" s="29">
        <v>99</v>
      </c>
      <c r="K146" s="29" t="s">
        <v>318</v>
      </c>
      <c r="L146" s="29" t="s">
        <v>321</v>
      </c>
      <c r="M146" s="30" t="s">
        <v>269</v>
      </c>
      <c r="N146" s="30" t="s">
        <v>895</v>
      </c>
      <c r="O146" s="31">
        <v>1</v>
      </c>
      <c r="P146" s="31">
        <v>1</v>
      </c>
      <c r="Q146" s="30"/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1</v>
      </c>
      <c r="AE146" s="2">
        <f t="shared" si="58"/>
        <v>0</v>
      </c>
      <c r="AF146" s="2">
        <f t="shared" si="59"/>
        <v>1</v>
      </c>
      <c r="AG146" s="2">
        <f t="shared" si="60"/>
        <v>0</v>
      </c>
      <c r="AH146" s="2">
        <f t="shared" si="61"/>
        <v>1</v>
      </c>
      <c r="AI146" s="2">
        <f t="shared" si="62"/>
        <v>0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560</v>
      </c>
      <c r="E147" s="30" t="s">
        <v>35</v>
      </c>
      <c r="F147" s="30" t="s">
        <v>832</v>
      </c>
      <c r="G147" s="30" t="s">
        <v>519</v>
      </c>
      <c r="H147" s="30" t="s">
        <v>165</v>
      </c>
      <c r="I147" s="29" t="s">
        <v>561</v>
      </c>
      <c r="J147" s="29">
        <v>99</v>
      </c>
      <c r="K147" s="29" t="s">
        <v>318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 t="s">
        <v>959</v>
      </c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0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392</v>
      </c>
      <c r="E148" s="30" t="s">
        <v>37</v>
      </c>
      <c r="F148" s="30" t="s">
        <v>483</v>
      </c>
      <c r="G148" s="30" t="s">
        <v>130</v>
      </c>
      <c r="H148" s="30" t="s">
        <v>165</v>
      </c>
      <c r="I148" s="29" t="s">
        <v>393</v>
      </c>
      <c r="J148" s="29">
        <v>10</v>
      </c>
      <c r="K148" s="29" t="s">
        <v>319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1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25">
      <c r="A149" s="29">
        <v>0</v>
      </c>
      <c r="B149" s="29">
        <v>2</v>
      </c>
      <c r="C149" s="29">
        <v>1</v>
      </c>
      <c r="D149" s="30" t="s">
        <v>248</v>
      </c>
      <c r="E149" s="30" t="s">
        <v>37</v>
      </c>
      <c r="F149" s="30" t="s">
        <v>232</v>
      </c>
      <c r="G149" s="30" t="s">
        <v>585</v>
      </c>
      <c r="H149" s="30" t="s">
        <v>165</v>
      </c>
      <c r="I149" s="29" t="s">
        <v>265</v>
      </c>
      <c r="J149" s="29">
        <v>99</v>
      </c>
      <c r="K149" s="29" t="s">
        <v>320</v>
      </c>
      <c r="L149" s="29">
        <v>5</v>
      </c>
      <c r="M149" s="30" t="s">
        <v>269</v>
      </c>
      <c r="N149" s="30" t="s">
        <v>901</v>
      </c>
      <c r="O149" s="31">
        <v>1</v>
      </c>
      <c r="P149" s="31"/>
      <c r="Q149" s="30"/>
      <c r="R149" s="2"/>
      <c r="S149" s="2">
        <f t="shared" si="47"/>
        <v>0</v>
      </c>
      <c r="T149" s="2">
        <f t="shared" si="48"/>
        <v>0</v>
      </c>
      <c r="U149" s="2">
        <f t="shared" si="49"/>
        <v>0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1</v>
      </c>
      <c r="AF149" s="2">
        <f t="shared" si="59"/>
        <v>0</v>
      </c>
      <c r="AG149" s="2">
        <f t="shared" si="60"/>
        <v>1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25">
      <c r="A150" s="20">
        <v>0</v>
      </c>
      <c r="B150" s="20">
        <v>2</v>
      </c>
      <c r="C150" s="20">
        <v>2</v>
      </c>
      <c r="D150" s="21" t="s">
        <v>724</v>
      </c>
      <c r="E150" s="21" t="s">
        <v>818</v>
      </c>
      <c r="F150" s="21" t="s">
        <v>725</v>
      </c>
      <c r="G150" s="21" t="s">
        <v>96</v>
      </c>
      <c r="H150" s="21" t="s">
        <v>165</v>
      </c>
      <c r="I150" s="20" t="s">
        <v>726</v>
      </c>
      <c r="J150" s="20">
        <v>3</v>
      </c>
      <c r="K150" s="20" t="s">
        <v>319</v>
      </c>
      <c r="L150" s="20">
        <v>35</v>
      </c>
      <c r="M150" s="21" t="s">
        <v>885</v>
      </c>
      <c r="N150" s="21"/>
      <c r="O150" s="7"/>
      <c r="P150" s="7"/>
      <c r="Q150" s="21"/>
      <c r="R150" s="2"/>
      <c r="S150" s="2">
        <f t="shared" si="47"/>
        <v>0</v>
      </c>
      <c r="T150" s="2">
        <f t="shared" si="48"/>
        <v>0</v>
      </c>
      <c r="U150" s="2">
        <f t="shared" si="49"/>
        <v>1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0</v>
      </c>
      <c r="AF150" s="2">
        <f t="shared" si="59"/>
        <v>0</v>
      </c>
      <c r="AG150" s="2">
        <f t="shared" si="60"/>
        <v>0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25">
      <c r="A151" s="29">
        <v>0</v>
      </c>
      <c r="B151" s="29">
        <v>2</v>
      </c>
      <c r="C151" s="29">
        <v>2</v>
      </c>
      <c r="D151" s="30" t="s">
        <v>503</v>
      </c>
      <c r="E151" s="30" t="s">
        <v>675</v>
      </c>
      <c r="F151" s="30" t="s">
        <v>504</v>
      </c>
      <c r="G151" s="30" t="s">
        <v>137</v>
      </c>
      <c r="H151" s="30" t="s">
        <v>165</v>
      </c>
      <c r="I151" s="29" t="s">
        <v>505</v>
      </c>
      <c r="J151" s="29">
        <v>1</v>
      </c>
      <c r="K151" s="29" t="s">
        <v>318</v>
      </c>
      <c r="L151" s="29">
        <v>45</v>
      </c>
      <c r="M151" s="30" t="s">
        <v>886</v>
      </c>
      <c r="N151" s="30" t="s">
        <v>901</v>
      </c>
      <c r="O151" s="31">
        <v>1</v>
      </c>
      <c r="P151" s="31"/>
      <c r="Q151" s="30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1</v>
      </c>
      <c r="AF151" s="2">
        <f t="shared" si="59"/>
        <v>0</v>
      </c>
      <c r="AG151" s="2">
        <f t="shared" si="60"/>
        <v>1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25">
      <c r="A152" s="32">
        <v>0</v>
      </c>
      <c r="B152" s="32">
        <v>2</v>
      </c>
      <c r="C152" s="32">
        <v>2</v>
      </c>
      <c r="D152" s="33" t="s">
        <v>798</v>
      </c>
      <c r="E152" s="33"/>
      <c r="F152" s="33" t="s">
        <v>799</v>
      </c>
      <c r="G152" s="33" t="s">
        <v>309</v>
      </c>
      <c r="H152" s="33" t="s">
        <v>165</v>
      </c>
      <c r="I152" s="32" t="s">
        <v>33</v>
      </c>
      <c r="J152" s="32">
        <v>1</v>
      </c>
      <c r="K152" s="32" t="s">
        <v>378</v>
      </c>
      <c r="L152" s="32">
        <v>40</v>
      </c>
      <c r="M152" s="33" t="s">
        <v>800</v>
      </c>
      <c r="N152" s="33" t="s">
        <v>931</v>
      </c>
      <c r="O152" s="34"/>
      <c r="P152" s="34"/>
      <c r="Q152" s="33"/>
      <c r="R152" s="2"/>
      <c r="S152" s="2">
        <f t="shared" si="47"/>
        <v>1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0</v>
      </c>
      <c r="AF152" s="2">
        <f t="shared" si="59"/>
        <v>0</v>
      </c>
      <c r="AG152" s="2">
        <f t="shared" si="60"/>
        <v>0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728</v>
      </c>
      <c r="E153" s="30" t="s">
        <v>30</v>
      </c>
      <c r="F153" s="30" t="s">
        <v>789</v>
      </c>
      <c r="G153" s="30" t="s">
        <v>40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345</v>
      </c>
      <c r="M153" s="30" t="s">
        <v>729</v>
      </c>
      <c r="N153" s="30" t="s">
        <v>901</v>
      </c>
      <c r="O153" s="31">
        <v>1</v>
      </c>
      <c r="P153" s="31"/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0</v>
      </c>
      <c r="AE153" s="2">
        <f t="shared" si="58"/>
        <v>1</v>
      </c>
      <c r="AF153" s="2">
        <f t="shared" si="59"/>
        <v>0</v>
      </c>
      <c r="AG153" s="2">
        <f t="shared" si="60"/>
        <v>1</v>
      </c>
      <c r="AH153" s="2">
        <f t="shared" si="61"/>
        <v>0</v>
      </c>
      <c r="AI153" s="2">
        <f t="shared" si="62"/>
        <v>1</v>
      </c>
    </row>
    <row r="154" spans="1:16384" s="3" customFormat="1" ht="14.25" customHeight="1" x14ac:dyDescent="0.25">
      <c r="A154" s="29">
        <v>0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515</v>
      </c>
      <c r="G154" s="30" t="s">
        <v>516</v>
      </c>
      <c r="H154" s="30" t="s">
        <v>165</v>
      </c>
      <c r="I154" s="29" t="s">
        <v>33</v>
      </c>
      <c r="J154" s="29">
        <v>99</v>
      </c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1</v>
      </c>
      <c r="AG154" s="2">
        <f t="shared" si="60"/>
        <v>0</v>
      </c>
      <c r="AH154" s="2">
        <f t="shared" si="61"/>
        <v>1</v>
      </c>
      <c r="AI154" s="2">
        <f t="shared" si="62"/>
        <v>0</v>
      </c>
    </row>
    <row r="155" spans="1:16384" s="3" customFormat="1" ht="14.25" customHeight="1" x14ac:dyDescent="0.25">
      <c r="A155" s="29">
        <v>1</v>
      </c>
      <c r="B155" s="29">
        <v>2</v>
      </c>
      <c r="C155" s="29">
        <v>2</v>
      </c>
      <c r="D155" s="30" t="s">
        <v>523</v>
      </c>
      <c r="E155" s="30" t="s">
        <v>524</v>
      </c>
      <c r="F155" s="30" t="s">
        <v>782</v>
      </c>
      <c r="G155" s="30" t="s">
        <v>130</v>
      </c>
      <c r="H155" s="30" t="s">
        <v>165</v>
      </c>
      <c r="I155" s="29" t="s">
        <v>33</v>
      </c>
      <c r="J155" s="29"/>
      <c r="K155" s="29" t="s">
        <v>320</v>
      </c>
      <c r="L155" s="29" t="s">
        <v>40</v>
      </c>
      <c r="M155" s="30" t="s">
        <v>40</v>
      </c>
      <c r="N155" s="30" t="s">
        <v>895</v>
      </c>
      <c r="O155" s="31">
        <v>1</v>
      </c>
      <c r="P155" s="31">
        <v>1</v>
      </c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0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1</v>
      </c>
      <c r="AE155" s="2">
        <f t="shared" si="58"/>
        <v>0</v>
      </c>
      <c r="AF155" s="2">
        <f t="shared" si="59"/>
        <v>0</v>
      </c>
      <c r="AG155" s="2">
        <f t="shared" si="60"/>
        <v>0</v>
      </c>
      <c r="AH155" s="2">
        <f t="shared" si="61"/>
        <v>0</v>
      </c>
      <c r="AI155" s="2">
        <f t="shared" si="62"/>
        <v>0</v>
      </c>
    </row>
    <row r="156" spans="1:16384" s="3" customFormat="1" ht="14.25" customHeight="1" x14ac:dyDescent="0.25">
      <c r="A156" s="29">
        <v>0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108</v>
      </c>
      <c r="G156" s="30" t="s">
        <v>40</v>
      </c>
      <c r="H156" s="30" t="s">
        <v>165</v>
      </c>
      <c r="I156" s="29" t="s">
        <v>173</v>
      </c>
      <c r="J156" s="29">
        <v>4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1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1</v>
      </c>
      <c r="AH156" s="2">
        <f t="shared" si="61"/>
        <v>0</v>
      </c>
      <c r="AI156" s="2">
        <f t="shared" si="62"/>
        <v>1</v>
      </c>
    </row>
    <row r="157" spans="1:16384" s="3" customFormat="1" ht="14.25" customHeight="1" x14ac:dyDescent="0.25">
      <c r="A157" s="29">
        <v>1</v>
      </c>
      <c r="B157" s="29">
        <v>2</v>
      </c>
      <c r="C157" s="29">
        <v>2</v>
      </c>
      <c r="D157" s="30" t="s">
        <v>54</v>
      </c>
      <c r="E157" s="30" t="s">
        <v>84</v>
      </c>
      <c r="F157" s="30" t="s">
        <v>727</v>
      </c>
      <c r="G157" s="30" t="s">
        <v>585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336</v>
      </c>
      <c r="M157" s="30" t="s">
        <v>337</v>
      </c>
      <c r="N157" s="30" t="s">
        <v>913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0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0</v>
      </c>
      <c r="AH157" s="2">
        <f t="shared" si="61"/>
        <v>0</v>
      </c>
      <c r="AI157" s="2">
        <f t="shared" si="62"/>
        <v>0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682</v>
      </c>
      <c r="E158" s="30" t="s">
        <v>677</v>
      </c>
      <c r="F158" s="30" t="s">
        <v>478</v>
      </c>
      <c r="G158" s="30" t="s">
        <v>122</v>
      </c>
      <c r="H158" s="30" t="s">
        <v>165</v>
      </c>
      <c r="I158" s="29" t="s">
        <v>419</v>
      </c>
      <c r="J158" s="29">
        <v>6</v>
      </c>
      <c r="K158" s="29" t="s">
        <v>319</v>
      </c>
      <c r="L158" s="29" t="s">
        <v>339</v>
      </c>
      <c r="M158" s="30" t="s">
        <v>746</v>
      </c>
      <c r="N158" s="30" t="s">
        <v>903</v>
      </c>
      <c r="O158" s="31">
        <v>1</v>
      </c>
      <c r="P158" s="31"/>
      <c r="Q158" s="30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1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1</v>
      </c>
      <c r="AF158" s="2">
        <f t="shared" si="59"/>
        <v>0</v>
      </c>
      <c r="AG158" s="2">
        <f t="shared" si="60"/>
        <v>1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25">
      <c r="A159" s="32">
        <v>0</v>
      </c>
      <c r="B159" s="32">
        <v>2</v>
      </c>
      <c r="C159" s="32">
        <v>2</v>
      </c>
      <c r="D159" s="33" t="s">
        <v>437</v>
      </c>
      <c r="E159" s="33" t="s">
        <v>30</v>
      </c>
      <c r="F159" s="33" t="s">
        <v>955</v>
      </c>
      <c r="G159" s="33" t="s">
        <v>580</v>
      </c>
      <c r="H159" s="33" t="s">
        <v>165</v>
      </c>
      <c r="I159" s="32" t="s">
        <v>594</v>
      </c>
      <c r="J159" s="32">
        <v>99</v>
      </c>
      <c r="K159" s="32" t="s">
        <v>378</v>
      </c>
      <c r="L159" s="32">
        <v>35</v>
      </c>
      <c r="M159" s="33" t="s">
        <v>600</v>
      </c>
      <c r="N159" s="33" t="s">
        <v>902</v>
      </c>
      <c r="O159" s="34"/>
      <c r="P159" s="34"/>
      <c r="Q159" s="33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0</v>
      </c>
      <c r="AE159" s="2">
        <f t="shared" si="58"/>
        <v>0</v>
      </c>
      <c r="AF159" s="2">
        <f t="shared" si="59"/>
        <v>0</v>
      </c>
      <c r="AG159" s="2">
        <f t="shared" si="60"/>
        <v>0</v>
      </c>
      <c r="AH159" s="2">
        <f t="shared" si="61"/>
        <v>0</v>
      </c>
      <c r="AI159" s="2">
        <f t="shared" si="62"/>
        <v>1</v>
      </c>
    </row>
    <row r="160" spans="1:16384" s="3" customFormat="1" ht="14.25" customHeight="1" x14ac:dyDescent="0.25">
      <c r="A160" s="29">
        <v>0</v>
      </c>
      <c r="B160" s="29">
        <v>2</v>
      </c>
      <c r="C160" s="29">
        <v>2</v>
      </c>
      <c r="D160" s="30" t="s">
        <v>562</v>
      </c>
      <c r="E160" s="30" t="s">
        <v>563</v>
      </c>
      <c r="F160" s="30" t="s">
        <v>564</v>
      </c>
      <c r="G160" s="30" t="s">
        <v>565</v>
      </c>
      <c r="H160" s="30" t="s">
        <v>165</v>
      </c>
      <c r="I160" s="29" t="s">
        <v>566</v>
      </c>
      <c r="J160" s="29">
        <v>99</v>
      </c>
      <c r="K160" s="29" t="s">
        <v>320</v>
      </c>
      <c r="L160" s="29" t="s">
        <v>40</v>
      </c>
      <c r="M160" s="30" t="s">
        <v>40</v>
      </c>
      <c r="N160" s="30" t="s">
        <v>895</v>
      </c>
      <c r="O160" s="31">
        <v>1</v>
      </c>
      <c r="P160" s="31">
        <v>1</v>
      </c>
      <c r="Q160" s="30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1</v>
      </c>
      <c r="AE160" s="2">
        <f t="shared" si="58"/>
        <v>0</v>
      </c>
      <c r="AF160" s="2">
        <f t="shared" si="59"/>
        <v>1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6">
        <v>0</v>
      </c>
      <c r="B161" s="26">
        <v>2</v>
      </c>
      <c r="C161" s="26">
        <v>2</v>
      </c>
      <c r="D161" s="27" t="s">
        <v>971</v>
      </c>
      <c r="E161" s="27" t="s">
        <v>972</v>
      </c>
      <c r="F161" s="27" t="s">
        <v>973</v>
      </c>
      <c r="G161" s="27" t="s">
        <v>974</v>
      </c>
      <c r="H161" s="27" t="s">
        <v>165</v>
      </c>
      <c r="I161" s="26" t="s">
        <v>975</v>
      </c>
      <c r="J161" s="26"/>
      <c r="K161" s="26" t="s">
        <v>378</v>
      </c>
      <c r="L161" s="26"/>
      <c r="M161" s="27"/>
      <c r="N161" s="27"/>
      <c r="O161" s="28"/>
      <c r="P161" s="28">
        <v>1</v>
      </c>
      <c r="Q161" s="27"/>
      <c r="R161" s="2"/>
      <c r="S161" s="2">
        <f t="shared" si="47"/>
        <v>0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0</v>
      </c>
      <c r="AE161" s="2">
        <f t="shared" si="58"/>
        <v>0</v>
      </c>
      <c r="AF161" s="2">
        <f t="shared" si="59"/>
        <v>0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999</v>
      </c>
      <c r="E162" s="30" t="s">
        <v>996</v>
      </c>
      <c r="F162" s="30" t="s">
        <v>997</v>
      </c>
      <c r="G162" s="30" t="s">
        <v>137</v>
      </c>
      <c r="H162" s="30" t="s">
        <v>165</v>
      </c>
      <c r="I162" s="29" t="s">
        <v>998</v>
      </c>
      <c r="J162" s="29">
        <v>1</v>
      </c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1000</v>
      </c>
      <c r="R162" s="20"/>
      <c r="S162" s="2">
        <f t="shared" si="47"/>
        <v>1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6">
        <v>0</v>
      </c>
      <c r="B163" s="26">
        <v>2</v>
      </c>
      <c r="C163" s="26">
        <v>2</v>
      </c>
      <c r="D163" s="27" t="s">
        <v>945</v>
      </c>
      <c r="E163" s="27" t="s">
        <v>946</v>
      </c>
      <c r="F163" s="27" t="s">
        <v>96</v>
      </c>
      <c r="G163" s="27"/>
      <c r="H163" s="27" t="s">
        <v>165</v>
      </c>
      <c r="I163" s="26" t="s">
        <v>947</v>
      </c>
      <c r="J163" s="26"/>
      <c r="K163" s="26" t="s">
        <v>378</v>
      </c>
      <c r="L163" s="26"/>
      <c r="M163" s="27"/>
      <c r="N163" s="27"/>
      <c r="O163" s="28"/>
      <c r="P163" s="28">
        <v>1</v>
      </c>
      <c r="Q163" s="27"/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0</v>
      </c>
      <c r="AE163" s="2">
        <f t="shared" si="58"/>
        <v>0</v>
      </c>
      <c r="AF163" s="2">
        <f t="shared" si="59"/>
        <v>0</v>
      </c>
      <c r="AG163" s="2">
        <f t="shared" si="60"/>
        <v>0</v>
      </c>
      <c r="AH163" s="2">
        <f t="shared" si="61"/>
        <v>1</v>
      </c>
      <c r="AI163" s="2">
        <f t="shared" si="62"/>
        <v>0</v>
      </c>
    </row>
    <row r="164" spans="1:16384" s="3" customFormat="1" ht="14.25" customHeight="1" x14ac:dyDescent="0.25">
      <c r="A164" s="32">
        <v>0</v>
      </c>
      <c r="B164" s="32">
        <v>2</v>
      </c>
      <c r="C164" s="32">
        <v>2</v>
      </c>
      <c r="D164" s="33" t="s">
        <v>713</v>
      </c>
      <c r="E164" s="33" t="s">
        <v>30</v>
      </c>
      <c r="F164" s="33" t="s">
        <v>715</v>
      </c>
      <c r="G164" s="33" t="s">
        <v>716</v>
      </c>
      <c r="H164" s="33" t="s">
        <v>165</v>
      </c>
      <c r="I164" s="32" t="s">
        <v>717</v>
      </c>
      <c r="J164" s="32">
        <v>99</v>
      </c>
      <c r="K164" s="32" t="s">
        <v>320</v>
      </c>
      <c r="L164" s="32" t="s">
        <v>335</v>
      </c>
      <c r="M164" s="33" t="s">
        <v>718</v>
      </c>
      <c r="N164" s="33" t="s">
        <v>898</v>
      </c>
      <c r="O164" s="34"/>
      <c r="P164" s="34"/>
      <c r="Q164" s="33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0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0</v>
      </c>
      <c r="AF164" s="2">
        <f t="shared" si="59"/>
        <v>0</v>
      </c>
      <c r="AG164" s="2">
        <f t="shared" si="60"/>
        <v>0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442</v>
      </c>
      <c r="E165" s="30" t="s">
        <v>443</v>
      </c>
      <c r="F165" s="30" t="s">
        <v>445</v>
      </c>
      <c r="G165" s="30" t="s">
        <v>93</v>
      </c>
      <c r="H165" s="30" t="s">
        <v>165</v>
      </c>
      <c r="I165" s="29" t="s">
        <v>444</v>
      </c>
      <c r="J165" s="29">
        <v>8</v>
      </c>
      <c r="K165" s="29" t="s">
        <v>318</v>
      </c>
      <c r="L165" s="29">
        <v>40</v>
      </c>
      <c r="M165" s="30" t="s">
        <v>887</v>
      </c>
      <c r="N165" s="30" t="s">
        <v>909</v>
      </c>
      <c r="O165" s="31">
        <v>1</v>
      </c>
      <c r="P165" s="31"/>
      <c r="Q165" s="30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1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1</v>
      </c>
      <c r="AF165" s="2">
        <f t="shared" si="59"/>
        <v>0</v>
      </c>
      <c r="AG165" s="2">
        <f t="shared" si="60"/>
        <v>1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815</v>
      </c>
      <c r="E166" s="33" t="s">
        <v>456</v>
      </c>
      <c r="F166" s="33" t="s">
        <v>794</v>
      </c>
      <c r="G166" s="33" t="s">
        <v>673</v>
      </c>
      <c r="H166" s="33" t="s">
        <v>165</v>
      </c>
      <c r="I166" s="32" t="s">
        <v>793</v>
      </c>
      <c r="J166" s="32">
        <v>99</v>
      </c>
      <c r="K166" s="32" t="s">
        <v>319</v>
      </c>
      <c r="L166" s="32">
        <v>20</v>
      </c>
      <c r="M166" s="33" t="s">
        <v>900</v>
      </c>
      <c r="N166" s="33" t="s">
        <v>902</v>
      </c>
      <c r="O166" s="34"/>
      <c r="P166" s="34"/>
      <c r="Q166" s="33"/>
      <c r="R166" s="2"/>
      <c r="S166" s="2">
        <f t="shared" si="47"/>
        <v>0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25">
      <c r="A167" s="32">
        <v>0</v>
      </c>
      <c r="B167" s="32">
        <v>2</v>
      </c>
      <c r="C167" s="32">
        <v>2</v>
      </c>
      <c r="D167" s="33" t="s">
        <v>722</v>
      </c>
      <c r="E167" s="33" t="s">
        <v>819</v>
      </c>
      <c r="F167" s="33" t="s">
        <v>833</v>
      </c>
      <c r="G167" s="33" t="s">
        <v>137</v>
      </c>
      <c r="H167" s="33" t="s">
        <v>165</v>
      </c>
      <c r="I167" s="32" t="s">
        <v>723</v>
      </c>
      <c r="J167" s="32">
        <v>1</v>
      </c>
      <c r="K167" s="32" t="s">
        <v>318</v>
      </c>
      <c r="L167" s="32">
        <v>40</v>
      </c>
      <c r="M167" s="33" t="s">
        <v>888</v>
      </c>
      <c r="N167" s="33" t="s">
        <v>897</v>
      </c>
      <c r="O167" s="34"/>
      <c r="P167" s="34"/>
      <c r="Q167" s="33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0</v>
      </c>
      <c r="AI167" s="2">
        <f t="shared" si="62"/>
        <v>1</v>
      </c>
    </row>
    <row r="168" spans="1:16384" s="3" customFormat="1" ht="14.25" customHeight="1" x14ac:dyDescent="0.25">
      <c r="A168" s="26">
        <v>0</v>
      </c>
      <c r="B168" s="26">
        <v>2</v>
      </c>
      <c r="C168" s="26">
        <v>2</v>
      </c>
      <c r="D168" s="27" t="s">
        <v>466</v>
      </c>
      <c r="E168" s="27" t="s">
        <v>30</v>
      </c>
      <c r="F168" s="27" t="s">
        <v>424</v>
      </c>
      <c r="G168" s="27" t="s">
        <v>160</v>
      </c>
      <c r="H168" s="27" t="s">
        <v>165</v>
      </c>
      <c r="I168" s="26" t="s">
        <v>425</v>
      </c>
      <c r="J168" s="26">
        <v>1</v>
      </c>
      <c r="K168" s="26" t="s">
        <v>321</v>
      </c>
      <c r="L168" s="26" t="s">
        <v>40</v>
      </c>
      <c r="M168" s="27" t="s">
        <v>40</v>
      </c>
      <c r="N168" s="27"/>
      <c r="O168" s="28"/>
      <c r="P168" s="28">
        <v>1</v>
      </c>
      <c r="Q168" s="27"/>
      <c r="R168" s="2"/>
      <c r="S168" s="2">
        <f t="shared" si="47"/>
        <v>1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0</v>
      </c>
      <c r="AE168" s="2">
        <f t="shared" si="58"/>
        <v>0</v>
      </c>
      <c r="AF168" s="2">
        <f t="shared" si="59"/>
        <v>0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354</v>
      </c>
      <c r="E169" s="30" t="s">
        <v>83</v>
      </c>
      <c r="F169" s="30" t="s">
        <v>355</v>
      </c>
      <c r="G169" s="30" t="s">
        <v>370</v>
      </c>
      <c r="H169" s="30" t="s">
        <v>165</v>
      </c>
      <c r="I169" s="29" t="s">
        <v>356</v>
      </c>
      <c r="J169" s="29">
        <v>99</v>
      </c>
      <c r="K169" s="29" t="s">
        <v>321</v>
      </c>
      <c r="L169" s="29" t="s">
        <v>40</v>
      </c>
      <c r="M169" s="30" t="s">
        <v>40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0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957</v>
      </c>
      <c r="G170" s="30" t="s">
        <v>38</v>
      </c>
      <c r="H170" s="30" t="s">
        <v>165</v>
      </c>
      <c r="I170" s="29">
        <v>2799979385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1</v>
      </c>
      <c r="AG170" s="2">
        <f t="shared" si="60"/>
        <v>0</v>
      </c>
      <c r="AH170" s="2">
        <f t="shared" si="61"/>
        <v>1</v>
      </c>
      <c r="AI170" s="2">
        <f t="shared" si="62"/>
        <v>0</v>
      </c>
    </row>
    <row r="171" spans="1:16384" s="3" customFormat="1" ht="14.25" customHeight="1" x14ac:dyDescent="0.25">
      <c r="A171" s="29">
        <v>1</v>
      </c>
      <c r="B171" s="29">
        <v>2</v>
      </c>
      <c r="C171" s="29">
        <v>3</v>
      </c>
      <c r="D171" s="30" t="s">
        <v>801</v>
      </c>
      <c r="E171" s="30" t="s">
        <v>573</v>
      </c>
      <c r="F171" s="30" t="s">
        <v>824</v>
      </c>
      <c r="G171" s="30" t="s">
        <v>160</v>
      </c>
      <c r="H171" s="30" t="s">
        <v>165</v>
      </c>
      <c r="I171" s="29" t="s">
        <v>502</v>
      </c>
      <c r="J171" s="29">
        <v>1</v>
      </c>
      <c r="K171" s="29" t="s">
        <v>318</v>
      </c>
      <c r="L171" s="29" t="s">
        <v>329</v>
      </c>
      <c r="M171" s="30" t="s">
        <v>270</v>
      </c>
      <c r="N171" s="30" t="s">
        <v>895</v>
      </c>
      <c r="O171" s="31">
        <v>1</v>
      </c>
      <c r="P171" s="31">
        <v>1</v>
      </c>
      <c r="Q171" s="30"/>
      <c r="R171" s="2"/>
      <c r="S171" s="2">
        <f t="shared" si="47"/>
        <v>1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1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0</v>
      </c>
    </row>
    <row r="172" spans="1:16384" s="3" customFormat="1" ht="14.25" customHeight="1" x14ac:dyDescent="0.25">
      <c r="A172" s="20">
        <v>0</v>
      </c>
      <c r="B172" s="20">
        <v>2</v>
      </c>
      <c r="C172" s="20">
        <v>3</v>
      </c>
      <c r="D172" s="21" t="s">
        <v>449</v>
      </c>
      <c r="E172" s="21" t="s">
        <v>450</v>
      </c>
      <c r="F172" s="21" t="s">
        <v>451</v>
      </c>
      <c r="G172" s="21" t="s">
        <v>107</v>
      </c>
      <c r="H172" s="21" t="s">
        <v>165</v>
      </c>
      <c r="I172" s="20" t="s">
        <v>452</v>
      </c>
      <c r="J172" s="20">
        <v>99</v>
      </c>
      <c r="K172" s="20" t="s">
        <v>378</v>
      </c>
      <c r="L172" s="20">
        <v>10</v>
      </c>
      <c r="M172" s="21" t="s">
        <v>601</v>
      </c>
      <c r="N172" s="21"/>
      <c r="O172" s="7"/>
      <c r="P172" s="7"/>
      <c r="Q172" s="21"/>
      <c r="R172" s="2"/>
      <c r="S172" s="2">
        <f t="shared" si="47"/>
        <v>0</v>
      </c>
      <c r="T172" s="2">
        <f t="shared" si="48"/>
        <v>0</v>
      </c>
      <c r="U172" s="2">
        <f t="shared" si="49"/>
        <v>0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0</v>
      </c>
      <c r="AE172" s="2">
        <f t="shared" si="58"/>
        <v>0</v>
      </c>
      <c r="AF172" s="2">
        <f t="shared" si="59"/>
        <v>0</v>
      </c>
      <c r="AG172" s="2">
        <f t="shared" si="60"/>
        <v>0</v>
      </c>
      <c r="AH172" s="2">
        <f t="shared" si="61"/>
        <v>0</v>
      </c>
      <c r="AI172" s="2">
        <f t="shared" si="62"/>
        <v>1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48</v>
      </c>
      <c r="E173" s="30" t="s">
        <v>83</v>
      </c>
      <c r="F173" s="30" t="s">
        <v>100</v>
      </c>
      <c r="G173" s="30" t="s">
        <v>96</v>
      </c>
      <c r="H173" s="30" t="s">
        <v>165</v>
      </c>
      <c r="I173" s="29" t="s">
        <v>168</v>
      </c>
      <c r="J173" s="29">
        <v>3</v>
      </c>
      <c r="K173" s="29" t="s">
        <v>321</v>
      </c>
      <c r="L173" s="29" t="s">
        <v>329</v>
      </c>
      <c r="M173" s="30" t="s">
        <v>270</v>
      </c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1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933</v>
      </c>
      <c r="E174" s="30"/>
      <c r="F174" s="30" t="s">
        <v>934</v>
      </c>
      <c r="G174" s="30"/>
      <c r="H174" s="30" t="s">
        <v>165</v>
      </c>
      <c r="I174" s="29" t="s">
        <v>935</v>
      </c>
      <c r="J174" s="29"/>
      <c r="K174" s="29" t="s">
        <v>378</v>
      </c>
      <c r="L174" s="29"/>
      <c r="M174" s="30"/>
      <c r="N174" s="30" t="s">
        <v>895</v>
      </c>
      <c r="O174" s="31">
        <v>1</v>
      </c>
      <c r="P174" s="31">
        <v>1</v>
      </c>
      <c r="Q174" s="30"/>
      <c r="R174" s="2"/>
      <c r="S174" s="2">
        <f t="shared" si="47"/>
        <v>0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1</v>
      </c>
      <c r="AE174" s="2">
        <f t="shared" si="58"/>
        <v>0</v>
      </c>
      <c r="AF174" s="2">
        <f t="shared" si="59"/>
        <v>1</v>
      </c>
      <c r="AG174" s="2">
        <f t="shared" si="60"/>
        <v>0</v>
      </c>
      <c r="AH174" s="2">
        <f t="shared" si="61"/>
        <v>1</v>
      </c>
      <c r="AI174" s="2">
        <f t="shared" si="62"/>
        <v>0</v>
      </c>
    </row>
    <row r="175" spans="1:16384" s="3" customFormat="1" ht="14.25" customHeight="1" x14ac:dyDescent="0.25">
      <c r="A175" s="20">
        <v>0</v>
      </c>
      <c r="B175" s="20">
        <v>2</v>
      </c>
      <c r="C175" s="20">
        <v>3</v>
      </c>
      <c r="D175" s="21" t="s">
        <v>654</v>
      </c>
      <c r="E175" s="21" t="s">
        <v>37</v>
      </c>
      <c r="F175" s="21" t="s">
        <v>655</v>
      </c>
      <c r="G175" s="21" t="s">
        <v>117</v>
      </c>
      <c r="H175" s="21" t="s">
        <v>165</v>
      </c>
      <c r="I175" s="20" t="s">
        <v>656</v>
      </c>
      <c r="J175" s="20">
        <v>1</v>
      </c>
      <c r="K175" s="20" t="s">
        <v>319</v>
      </c>
      <c r="L175" s="20" t="s">
        <v>329</v>
      </c>
      <c r="M175" s="21" t="s">
        <v>270</v>
      </c>
      <c r="N175" s="21"/>
      <c r="O175" s="7"/>
      <c r="P175" s="7"/>
      <c r="Q175" s="21"/>
      <c r="R175" s="2"/>
      <c r="S175" s="2">
        <f t="shared" si="47"/>
        <v>1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0</v>
      </c>
      <c r="AF175" s="2">
        <f t="shared" si="59"/>
        <v>0</v>
      </c>
      <c r="AG175" s="2">
        <f t="shared" si="60"/>
        <v>0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546</v>
      </c>
      <c r="E176" s="30" t="s">
        <v>29</v>
      </c>
      <c r="F176" s="30" t="s">
        <v>407</v>
      </c>
      <c r="G176" s="30" t="s">
        <v>405</v>
      </c>
      <c r="H176" s="30" t="s">
        <v>165</v>
      </c>
      <c r="I176" s="29" t="s">
        <v>547</v>
      </c>
      <c r="J176" s="29">
        <v>99</v>
      </c>
      <c r="K176" s="29" t="s">
        <v>378</v>
      </c>
      <c r="L176" s="29">
        <v>35</v>
      </c>
      <c r="M176" s="30" t="s">
        <v>928</v>
      </c>
      <c r="N176" s="30" t="s">
        <v>937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0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s="3" customFormat="1" ht="14.25" customHeight="1" x14ac:dyDescent="0.25">
      <c r="A177" s="29">
        <v>0</v>
      </c>
      <c r="B177" s="29">
        <v>2</v>
      </c>
      <c r="C177" s="29">
        <v>4</v>
      </c>
      <c r="D177" s="30" t="s">
        <v>62</v>
      </c>
      <c r="E177" s="30" t="s">
        <v>36</v>
      </c>
      <c r="F177" s="30" t="s">
        <v>134</v>
      </c>
      <c r="G177" s="30" t="s">
        <v>40</v>
      </c>
      <c r="H177" s="30" t="s">
        <v>165</v>
      </c>
      <c r="I177" s="29" t="s">
        <v>183</v>
      </c>
      <c r="J177" s="29">
        <v>4</v>
      </c>
      <c r="K177" s="29" t="s">
        <v>320</v>
      </c>
      <c r="L177" s="29" t="s">
        <v>855</v>
      </c>
      <c r="M177" s="30" t="s">
        <v>747</v>
      </c>
      <c r="N177" s="30" t="s">
        <v>932</v>
      </c>
      <c r="O177" s="31">
        <v>1</v>
      </c>
      <c r="P177" s="31"/>
      <c r="Q177" s="30"/>
      <c r="R177" s="2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1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C177" s="2"/>
      <c r="AD177" s="2">
        <f t="shared" si="57"/>
        <v>0</v>
      </c>
      <c r="AE177" s="2">
        <f t="shared" si="58"/>
        <v>1</v>
      </c>
      <c r="AF177" s="2">
        <f t="shared" si="59"/>
        <v>0</v>
      </c>
      <c r="AG177" s="2">
        <f t="shared" si="60"/>
        <v>1</v>
      </c>
      <c r="AH177" s="2">
        <f t="shared" si="61"/>
        <v>0</v>
      </c>
      <c r="AI177" s="2">
        <f t="shared" si="62"/>
        <v>1</v>
      </c>
    </row>
    <row r="178" spans="1:35" s="3" customFormat="1" ht="14.25" customHeight="1" x14ac:dyDescent="0.25">
      <c r="A178" s="32">
        <v>0</v>
      </c>
      <c r="B178" s="32">
        <v>2</v>
      </c>
      <c r="C178" s="32">
        <v>4</v>
      </c>
      <c r="D178" s="33" t="s">
        <v>65</v>
      </c>
      <c r="E178" s="33" t="s">
        <v>88</v>
      </c>
      <c r="F178" s="33" t="s">
        <v>141</v>
      </c>
      <c r="G178" s="33" t="s">
        <v>140</v>
      </c>
      <c r="H178" s="33" t="s">
        <v>165</v>
      </c>
      <c r="I178" s="32" t="s">
        <v>186</v>
      </c>
      <c r="J178" s="32">
        <v>99</v>
      </c>
      <c r="K178" s="32" t="s">
        <v>320</v>
      </c>
      <c r="L178" s="32" t="s">
        <v>338</v>
      </c>
      <c r="M178" s="33" t="s">
        <v>205</v>
      </c>
      <c r="N178" s="33" t="s">
        <v>897</v>
      </c>
      <c r="O178" s="34"/>
      <c r="P178" s="34"/>
      <c r="Q178" s="33"/>
      <c r="R178" s="2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0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C178" s="2"/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s="3" customFormat="1" ht="14.25" customHeight="1" x14ac:dyDescent="0.25">
      <c r="A179" s="32">
        <v>0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367</v>
      </c>
      <c r="G179" s="33" t="s">
        <v>642</v>
      </c>
      <c r="H179" s="33" t="s">
        <v>165</v>
      </c>
      <c r="I179" s="32" t="s">
        <v>204</v>
      </c>
      <c r="J179" s="32">
        <v>4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R179" s="2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1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0</v>
      </c>
      <c r="AC179" s="2"/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1</v>
      </c>
    </row>
    <row r="180" spans="1:35" s="3" customFormat="1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164</v>
      </c>
      <c r="G180" s="33" t="s">
        <v>130</v>
      </c>
      <c r="H180" s="33" t="s">
        <v>165</v>
      </c>
      <c r="I180" s="32" t="s">
        <v>204</v>
      </c>
      <c r="J180" s="32">
        <v>10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R180" s="2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1</v>
      </c>
      <c r="AC180" s="2"/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s="3" customFormat="1" ht="14.25" customHeight="1" x14ac:dyDescent="0.25">
      <c r="A181" s="32">
        <v>1</v>
      </c>
      <c r="B181" s="32">
        <v>2</v>
      </c>
      <c r="C181" s="32">
        <v>4</v>
      </c>
      <c r="D181" s="33" t="s">
        <v>81</v>
      </c>
      <c r="E181" s="33" t="s">
        <v>36</v>
      </c>
      <c r="F181" s="33" t="s">
        <v>802</v>
      </c>
      <c r="G181" s="33" t="s">
        <v>107</v>
      </c>
      <c r="H181" s="33" t="s">
        <v>165</v>
      </c>
      <c r="I181" s="32" t="s">
        <v>803</v>
      </c>
      <c r="J181" s="32">
        <v>99</v>
      </c>
      <c r="K181" s="32" t="s">
        <v>318</v>
      </c>
      <c r="L181" s="32" t="s">
        <v>856</v>
      </c>
      <c r="M181" s="33" t="s">
        <v>748</v>
      </c>
      <c r="N181" s="33" t="s">
        <v>931</v>
      </c>
      <c r="O181" s="34"/>
      <c r="P181" s="34"/>
      <c r="Q181" s="33"/>
      <c r="R181" s="2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C181" s="2"/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0</v>
      </c>
    </row>
    <row r="182" spans="1:35" s="3" customFormat="1" ht="14.25" customHeight="1" x14ac:dyDescent="0.25">
      <c r="A182" s="20">
        <v>0</v>
      </c>
      <c r="B182" s="20">
        <v>2</v>
      </c>
      <c r="C182" s="20">
        <v>4</v>
      </c>
      <c r="D182" s="21" t="s">
        <v>979</v>
      </c>
      <c r="E182" s="21" t="s">
        <v>980</v>
      </c>
      <c r="F182" s="21" t="s">
        <v>981</v>
      </c>
      <c r="G182" s="21" t="s">
        <v>982</v>
      </c>
      <c r="H182" s="21" t="s">
        <v>165</v>
      </c>
      <c r="I182" s="20"/>
      <c r="J182" s="20"/>
      <c r="K182" s="20" t="s">
        <v>378</v>
      </c>
      <c r="L182" s="20">
        <v>35</v>
      </c>
      <c r="M182" s="21" t="s">
        <v>983</v>
      </c>
      <c r="N182" s="21"/>
      <c r="O182" s="20"/>
      <c r="P182" s="20"/>
      <c r="Q182" s="21"/>
      <c r="R182" s="2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0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C182" s="2"/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s="3" customFormat="1" ht="14.25" customHeight="1" x14ac:dyDescent="0.25">
      <c r="A183" s="20">
        <v>0</v>
      </c>
      <c r="B183" s="20">
        <v>2</v>
      </c>
      <c r="C183" s="20">
        <v>4</v>
      </c>
      <c r="D183" s="21" t="s">
        <v>288</v>
      </c>
      <c r="E183" s="21" t="s">
        <v>85</v>
      </c>
      <c r="F183" s="21" t="s">
        <v>368</v>
      </c>
      <c r="G183" s="21" t="s">
        <v>308</v>
      </c>
      <c r="H183" s="21" t="s">
        <v>165</v>
      </c>
      <c r="I183" s="20" t="s">
        <v>289</v>
      </c>
      <c r="J183" s="20">
        <v>6</v>
      </c>
      <c r="K183" s="20" t="s">
        <v>319</v>
      </c>
      <c r="L183" s="20">
        <v>30</v>
      </c>
      <c r="M183" s="38" t="s">
        <v>905</v>
      </c>
      <c r="N183" s="21"/>
      <c r="O183" s="7"/>
      <c r="P183" s="7"/>
      <c r="Q183" s="21"/>
      <c r="R183" s="2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C183" s="2"/>
      <c r="AD183" s="2">
        <f t="shared" si="73"/>
        <v>0</v>
      </c>
      <c r="AE183" s="2">
        <f t="shared" si="74"/>
        <v>0</v>
      </c>
      <c r="AF183" s="2">
        <f t="shared" si="75"/>
        <v>0</v>
      </c>
      <c r="AG183" s="2">
        <f t="shared" si="76"/>
        <v>0</v>
      </c>
      <c r="AH183" s="2">
        <f t="shared" si="77"/>
        <v>0</v>
      </c>
      <c r="AI183" s="2">
        <f t="shared" si="78"/>
        <v>1</v>
      </c>
    </row>
    <row r="184" spans="1:35" s="3" customFormat="1" ht="14.25" customHeight="1" x14ac:dyDescent="0.25">
      <c r="A184" s="32">
        <v>0</v>
      </c>
      <c r="B184" s="32">
        <v>2</v>
      </c>
      <c r="C184" s="32">
        <v>4</v>
      </c>
      <c r="D184" s="33" t="s">
        <v>567</v>
      </c>
      <c r="E184" s="33" t="s">
        <v>36</v>
      </c>
      <c r="F184" s="33" t="s">
        <v>529</v>
      </c>
      <c r="G184" s="33" t="s">
        <v>103</v>
      </c>
      <c r="H184" s="33" t="s">
        <v>165</v>
      </c>
      <c r="I184" s="32" t="s">
        <v>530</v>
      </c>
      <c r="J184" s="32">
        <v>6</v>
      </c>
      <c r="K184" s="32" t="s">
        <v>318</v>
      </c>
      <c r="L184" s="32">
        <v>35</v>
      </c>
      <c r="M184" s="33" t="s">
        <v>699</v>
      </c>
      <c r="N184" s="33" t="s">
        <v>930</v>
      </c>
      <c r="O184" s="34"/>
      <c r="P184" s="34"/>
      <c r="Q184" s="33"/>
      <c r="R184" s="2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1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C184" s="2"/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s="3" customFormat="1" ht="14.25" customHeight="1" x14ac:dyDescent="0.25">
      <c r="A185" s="20">
        <v>0</v>
      </c>
      <c r="B185" s="20">
        <v>2</v>
      </c>
      <c r="C185" s="20">
        <v>4</v>
      </c>
      <c r="D185" s="21" t="s">
        <v>813</v>
      </c>
      <c r="E185" s="21" t="s">
        <v>29</v>
      </c>
      <c r="F185" s="21" t="s">
        <v>826</v>
      </c>
      <c r="G185" s="21" t="s">
        <v>827</v>
      </c>
      <c r="H185" s="21" t="s">
        <v>165</v>
      </c>
      <c r="I185" s="20" t="s">
        <v>846</v>
      </c>
      <c r="J185" s="20">
        <v>99</v>
      </c>
      <c r="K185" s="20" t="s">
        <v>318</v>
      </c>
      <c r="L185" s="20" t="s">
        <v>343</v>
      </c>
      <c r="M185" s="21" t="s">
        <v>646</v>
      </c>
      <c r="N185" s="21"/>
      <c r="O185" s="7"/>
      <c r="P185" s="7"/>
      <c r="Q185" s="21"/>
      <c r="R185" s="2"/>
      <c r="S185" s="2">
        <f t="shared" ref="S146:S210" si="79">IF(J185=$S$7,1,0)</f>
        <v>0</v>
      </c>
      <c r="T185" s="2">
        <f t="shared" ref="T146:T210" si="80">IF(J185=$T$7,1,0)</f>
        <v>0</v>
      </c>
      <c r="U185" s="2">
        <f t="shared" ref="U146:U210" si="81">IF(J185=$U$7,1,0)</f>
        <v>0</v>
      </c>
      <c r="V185" s="2">
        <f t="shared" ref="V146:V210" si="82">IF(J185=$V$7,1,0)</f>
        <v>0</v>
      </c>
      <c r="W185" s="2">
        <f t="shared" ref="W146:W210" si="83">IF(J185=$W$7,1,0)</f>
        <v>0</v>
      </c>
      <c r="X185" s="2">
        <f t="shared" ref="X146:X210" si="84">IF(J185=$X$7,1,0)</f>
        <v>0</v>
      </c>
      <c r="Y185" s="2">
        <f t="shared" ref="Y146:Y210" si="85">IF(J185=$Y$7,1,0)</f>
        <v>0</v>
      </c>
      <c r="Z185" s="2">
        <f t="shared" ref="Z146:Z210" si="86">IF(J185=$Z$7,1,0)</f>
        <v>0</v>
      </c>
      <c r="AA185" s="2">
        <f t="shared" ref="AA146:AA210" si="87">IF(J185=$AA$7,1,0)</f>
        <v>0</v>
      </c>
      <c r="AB185" s="2">
        <f t="shared" ref="AB146:AB210" si="88">IF(J185=$AB$7,1,0)</f>
        <v>0</v>
      </c>
      <c r="AC185" s="2"/>
      <c r="AD185" s="2">
        <f t="shared" ref="AD146:AD210" si="89">+O185*P185</f>
        <v>0</v>
      </c>
      <c r="AE185" s="2">
        <f t="shared" ref="AE146:AE210" si="90">O185*(1-P185)</f>
        <v>0</v>
      </c>
      <c r="AF185" s="2">
        <f t="shared" ref="AF137:AF201" si="91">+O185*P185*(1-A185)</f>
        <v>0</v>
      </c>
      <c r="AG185" s="2">
        <f t="shared" ref="AG137:AG201" si="92">O185*(1-P185)*(1-A185)</f>
        <v>0</v>
      </c>
      <c r="AH185" s="2">
        <f t="shared" ref="AH137:AH201" si="93">+P185*(1-A185)</f>
        <v>0</v>
      </c>
      <c r="AI185" s="2">
        <f t="shared" ref="AI137:AI201" si="94">+(1-A185)*(1-P185)</f>
        <v>1</v>
      </c>
    </row>
    <row r="186" spans="1:35" s="3" customFormat="1" ht="14.25" customHeight="1" x14ac:dyDescent="0.25">
      <c r="A186" s="20">
        <v>0</v>
      </c>
      <c r="B186" s="20">
        <v>2</v>
      </c>
      <c r="C186" s="20">
        <v>4</v>
      </c>
      <c r="D186" s="21" t="s">
        <v>569</v>
      </c>
      <c r="E186" s="21" t="s">
        <v>36</v>
      </c>
      <c r="F186" s="21" t="s">
        <v>582</v>
      </c>
      <c r="G186" s="21" t="s">
        <v>519</v>
      </c>
      <c r="H186" s="21" t="s">
        <v>165</v>
      </c>
      <c r="I186" s="20" t="s">
        <v>540</v>
      </c>
      <c r="J186" s="20">
        <v>7</v>
      </c>
      <c r="K186" s="20" t="s">
        <v>378</v>
      </c>
      <c r="L186" s="20">
        <v>30</v>
      </c>
      <c r="M186" s="21" t="s">
        <v>602</v>
      </c>
      <c r="N186" s="21"/>
      <c r="O186" s="7"/>
      <c r="P186" s="7"/>
      <c r="Q186" s="21"/>
      <c r="R186" s="2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1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C186" s="2"/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s="3" customFormat="1" ht="14.25" customHeight="1" x14ac:dyDescent="0.25">
      <c r="A187" s="32">
        <v>0</v>
      </c>
      <c r="B187" s="32">
        <v>2</v>
      </c>
      <c r="C187" s="32">
        <v>4</v>
      </c>
      <c r="D187" s="33" t="s">
        <v>684</v>
      </c>
      <c r="E187" s="33" t="s">
        <v>678</v>
      </c>
      <c r="F187" s="33" t="s">
        <v>615</v>
      </c>
      <c r="G187" s="33" t="s">
        <v>125</v>
      </c>
      <c r="H187" s="33" t="s">
        <v>165</v>
      </c>
      <c r="I187" s="32" t="s">
        <v>616</v>
      </c>
      <c r="J187" s="32">
        <v>99</v>
      </c>
      <c r="K187" s="32" t="s">
        <v>318</v>
      </c>
      <c r="L187" s="32" t="s">
        <v>343</v>
      </c>
      <c r="M187" s="33" t="s">
        <v>788</v>
      </c>
      <c r="N187" s="33" t="s">
        <v>931</v>
      </c>
      <c r="O187" s="34"/>
      <c r="P187" s="34"/>
      <c r="Q187" s="33"/>
      <c r="R187" s="2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C187" s="2"/>
      <c r="AD187" s="2">
        <f t="shared" si="89"/>
        <v>0</v>
      </c>
      <c r="AE187" s="2">
        <f t="shared" si="90"/>
        <v>0</v>
      </c>
      <c r="AF187" s="2">
        <f t="shared" si="91"/>
        <v>0</v>
      </c>
      <c r="AG187" s="2">
        <f t="shared" si="92"/>
        <v>0</v>
      </c>
      <c r="AH187" s="2">
        <f t="shared" si="93"/>
        <v>0</v>
      </c>
      <c r="AI187" s="2">
        <f t="shared" si="94"/>
        <v>1</v>
      </c>
    </row>
    <row r="188" spans="1:35" s="3" customFormat="1" ht="14.25" customHeight="1" x14ac:dyDescent="0.25">
      <c r="A188" s="29">
        <v>0</v>
      </c>
      <c r="B188" s="29">
        <v>2</v>
      </c>
      <c r="C188" s="29">
        <v>4</v>
      </c>
      <c r="D188" s="30" t="s">
        <v>768</v>
      </c>
      <c r="E188" s="30" t="s">
        <v>769</v>
      </c>
      <c r="F188" s="30" t="s">
        <v>770</v>
      </c>
      <c r="G188" s="30"/>
      <c r="H188" s="30" t="s">
        <v>165</v>
      </c>
      <c r="I188" s="29" t="s">
        <v>771</v>
      </c>
      <c r="J188" s="29">
        <v>99</v>
      </c>
      <c r="K188" s="29" t="s">
        <v>378</v>
      </c>
      <c r="L188" s="29">
        <v>35</v>
      </c>
      <c r="M188" s="30" t="s">
        <v>952</v>
      </c>
      <c r="N188" s="30" t="s">
        <v>901</v>
      </c>
      <c r="O188" s="31">
        <v>1</v>
      </c>
      <c r="P188" s="31"/>
      <c r="Q188" s="30"/>
      <c r="R188" s="2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C188" s="2"/>
      <c r="AD188" s="2">
        <f t="shared" si="89"/>
        <v>0</v>
      </c>
      <c r="AE188" s="2">
        <f t="shared" si="90"/>
        <v>1</v>
      </c>
      <c r="AF188" s="2">
        <f t="shared" si="91"/>
        <v>0</v>
      </c>
      <c r="AG188" s="2">
        <f t="shared" si="92"/>
        <v>1</v>
      </c>
      <c r="AH188" s="2">
        <f t="shared" si="93"/>
        <v>0</v>
      </c>
      <c r="AI188" s="2">
        <f t="shared" si="94"/>
        <v>1</v>
      </c>
    </row>
    <row r="189" spans="1:35" s="3" customFormat="1" ht="14.25" customHeight="1" x14ac:dyDescent="0.25">
      <c r="A189" s="32">
        <v>0</v>
      </c>
      <c r="B189" s="32">
        <v>2</v>
      </c>
      <c r="C189" s="32">
        <v>4</v>
      </c>
      <c r="D189" s="33" t="s">
        <v>67</v>
      </c>
      <c r="E189" s="33" t="s">
        <v>89</v>
      </c>
      <c r="F189" s="33" t="s">
        <v>144</v>
      </c>
      <c r="G189" s="33" t="s">
        <v>129</v>
      </c>
      <c r="H189" s="33" t="s">
        <v>165</v>
      </c>
      <c r="I189" s="32" t="s">
        <v>190</v>
      </c>
      <c r="J189" s="32">
        <v>99</v>
      </c>
      <c r="K189" s="32" t="s">
        <v>321</v>
      </c>
      <c r="L189" s="32" t="s">
        <v>333</v>
      </c>
      <c r="M189" s="33" t="s">
        <v>703</v>
      </c>
      <c r="N189" s="33" t="s">
        <v>896</v>
      </c>
      <c r="O189" s="34"/>
      <c r="P189" s="34"/>
      <c r="Q189" s="33"/>
      <c r="R189" s="2"/>
      <c r="S189" s="2">
        <f t="shared" si="79"/>
        <v>0</v>
      </c>
      <c r="T189" s="2">
        <f t="shared" si="80"/>
        <v>0</v>
      </c>
      <c r="U189" s="2">
        <f t="shared" si="81"/>
        <v>0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C189" s="2"/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s="3" customFormat="1" ht="14.25" customHeight="1" x14ac:dyDescent="0.25">
      <c r="A190" s="32">
        <v>0</v>
      </c>
      <c r="B190" s="32">
        <v>2</v>
      </c>
      <c r="C190" s="32">
        <v>4</v>
      </c>
      <c r="D190" s="33" t="s">
        <v>426</v>
      </c>
      <c r="E190" s="33" t="s">
        <v>234</v>
      </c>
      <c r="F190" s="33" t="s">
        <v>427</v>
      </c>
      <c r="G190" s="33" t="s">
        <v>96</v>
      </c>
      <c r="H190" s="33" t="s">
        <v>165</v>
      </c>
      <c r="I190" s="32" t="s">
        <v>428</v>
      </c>
      <c r="J190" s="32">
        <v>3</v>
      </c>
      <c r="K190" s="32" t="s">
        <v>318</v>
      </c>
      <c r="L190" s="32" t="s">
        <v>339</v>
      </c>
      <c r="M190" s="33" t="s">
        <v>749</v>
      </c>
      <c r="N190" s="33" t="s">
        <v>911</v>
      </c>
      <c r="O190" s="34"/>
      <c r="P190" s="34"/>
      <c r="Q190" s="33"/>
      <c r="R190" s="2"/>
      <c r="S190" s="2">
        <f t="shared" si="79"/>
        <v>0</v>
      </c>
      <c r="T190" s="2">
        <f t="shared" si="80"/>
        <v>0</v>
      </c>
      <c r="U190" s="2">
        <f t="shared" si="81"/>
        <v>1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C190" s="2"/>
      <c r="AD190" s="2">
        <f t="shared" si="89"/>
        <v>0</v>
      </c>
      <c r="AE190" s="2">
        <f t="shared" si="90"/>
        <v>0</v>
      </c>
      <c r="AF190" s="2">
        <f t="shared" si="91"/>
        <v>0</v>
      </c>
      <c r="AG190" s="2">
        <f t="shared" si="92"/>
        <v>0</v>
      </c>
      <c r="AH190" s="2">
        <f t="shared" si="93"/>
        <v>0</v>
      </c>
      <c r="AI190" s="2">
        <f t="shared" si="94"/>
        <v>1</v>
      </c>
    </row>
    <row r="191" spans="1:35" s="3" customFormat="1" ht="14.25" customHeight="1" x14ac:dyDescent="0.25">
      <c r="A191" s="32">
        <v>0</v>
      </c>
      <c r="B191" s="32">
        <v>2</v>
      </c>
      <c r="C191" s="32">
        <v>4</v>
      </c>
      <c r="D191" s="33" t="s">
        <v>214</v>
      </c>
      <c r="E191" s="33" t="s">
        <v>36</v>
      </c>
      <c r="F191" s="33" t="s">
        <v>213</v>
      </c>
      <c r="G191" s="33" t="s">
        <v>97</v>
      </c>
      <c r="H191" s="33" t="s">
        <v>165</v>
      </c>
      <c r="I191" s="32" t="s">
        <v>212</v>
      </c>
      <c r="J191" s="32">
        <v>99</v>
      </c>
      <c r="K191" s="32" t="s">
        <v>378</v>
      </c>
      <c r="L191" s="32">
        <v>25</v>
      </c>
      <c r="M191" s="33" t="s">
        <v>929</v>
      </c>
      <c r="N191" s="33" t="s">
        <v>930</v>
      </c>
      <c r="O191" s="34"/>
      <c r="P191" s="34"/>
      <c r="Q191" s="33"/>
      <c r="R191" s="2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C191" s="2"/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s="3" customFormat="1" ht="14.25" customHeight="1" x14ac:dyDescent="0.25">
      <c r="A192" s="32">
        <v>0</v>
      </c>
      <c r="B192" s="32">
        <v>2</v>
      </c>
      <c r="C192" s="32">
        <v>4</v>
      </c>
      <c r="D192" s="33" t="s">
        <v>215</v>
      </c>
      <c r="E192" s="33" t="s">
        <v>216</v>
      </c>
      <c r="F192" s="33" t="s">
        <v>217</v>
      </c>
      <c r="G192" s="33" t="s">
        <v>107</v>
      </c>
      <c r="H192" s="33" t="s">
        <v>165</v>
      </c>
      <c r="I192" s="32" t="s">
        <v>218</v>
      </c>
      <c r="J192" s="32">
        <v>99</v>
      </c>
      <c r="K192" s="32" t="s">
        <v>378</v>
      </c>
      <c r="L192" s="32">
        <v>25</v>
      </c>
      <c r="M192" s="33" t="s">
        <v>498</v>
      </c>
      <c r="N192" s="33" t="s">
        <v>931</v>
      </c>
      <c r="O192" s="34"/>
      <c r="P192" s="34"/>
      <c r="Q192" s="33"/>
      <c r="R192" s="2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C192" s="2"/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s="3" customFormat="1" ht="14.25" customHeight="1" x14ac:dyDescent="0.25">
      <c r="A193" s="32">
        <v>0</v>
      </c>
      <c r="B193" s="32">
        <v>2</v>
      </c>
      <c r="C193" s="32">
        <v>5</v>
      </c>
      <c r="D193" s="33" t="s">
        <v>421</v>
      </c>
      <c r="E193" s="33" t="s">
        <v>423</v>
      </c>
      <c r="F193" s="33" t="s">
        <v>577</v>
      </c>
      <c r="G193" s="33" t="s">
        <v>154</v>
      </c>
      <c r="H193" s="33" t="s">
        <v>165</v>
      </c>
      <c r="I193" s="32" t="s">
        <v>422</v>
      </c>
      <c r="J193" s="32">
        <v>99</v>
      </c>
      <c r="K193" s="32" t="s">
        <v>378</v>
      </c>
      <c r="L193" s="32">
        <v>30</v>
      </c>
      <c r="M193" s="33" t="s">
        <v>603</v>
      </c>
      <c r="N193" s="33" t="s">
        <v>931</v>
      </c>
      <c r="O193" s="34"/>
      <c r="P193" s="34"/>
      <c r="Q193" s="33"/>
      <c r="R193" s="2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C193" s="2"/>
      <c r="AD193" s="2">
        <f t="shared" si="89"/>
        <v>0</v>
      </c>
      <c r="AE193" s="2">
        <f t="shared" si="90"/>
        <v>0</v>
      </c>
      <c r="AF193" s="2">
        <f t="shared" si="91"/>
        <v>0</v>
      </c>
      <c r="AG193" s="2">
        <f t="shared" si="92"/>
        <v>0</v>
      </c>
      <c r="AH193" s="2">
        <f t="shared" si="93"/>
        <v>0</v>
      </c>
      <c r="AI193" s="2">
        <f t="shared" si="94"/>
        <v>1</v>
      </c>
    </row>
    <row r="194" spans="1:35" s="3" customFormat="1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R194" s="2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C194" s="2"/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s="3" customFormat="1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R195" s="2"/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C195" s="2"/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s="3" customFormat="1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R196" s="2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C196" s="2"/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s="3" customFormat="1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R197" s="2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C197" s="2"/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s="3" customFormat="1" ht="14.25" customHeight="1" x14ac:dyDescent="0.25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R198" s="2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C198" s="2"/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s="3" customFormat="1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R199" s="2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C199" s="2"/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s="3" customFormat="1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R200" s="2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C200" s="2"/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s="3" customFormat="1" ht="14.25" customHeight="1" x14ac:dyDescent="0.25">
      <c r="A201" s="32">
        <v>0</v>
      </c>
      <c r="B201" s="32">
        <v>2</v>
      </c>
      <c r="C201" s="32">
        <v>6</v>
      </c>
      <c r="D201" s="33" t="s">
        <v>463</v>
      </c>
      <c r="E201" s="33" t="s">
        <v>34</v>
      </c>
      <c r="F201" s="33" t="s">
        <v>956</v>
      </c>
      <c r="G201" s="33" t="s">
        <v>103</v>
      </c>
      <c r="H201" s="33" t="s">
        <v>165</v>
      </c>
      <c r="I201" s="32" t="s">
        <v>394</v>
      </c>
      <c r="J201" s="32">
        <v>6</v>
      </c>
      <c r="K201" s="32" t="s">
        <v>321</v>
      </c>
      <c r="L201" s="32" t="s">
        <v>339</v>
      </c>
      <c r="M201" s="33" t="s">
        <v>701</v>
      </c>
      <c r="N201" s="33" t="s">
        <v>930</v>
      </c>
      <c r="O201" s="34"/>
      <c r="P201" s="34"/>
      <c r="Q201" s="33"/>
      <c r="R201" s="2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C201" s="2"/>
      <c r="AD201" s="2">
        <f t="shared" si="89"/>
        <v>0</v>
      </c>
      <c r="AE201" s="2">
        <f t="shared" si="90"/>
        <v>0</v>
      </c>
      <c r="AF201" s="2">
        <f t="shared" si="91"/>
        <v>0</v>
      </c>
      <c r="AG201" s="2">
        <f t="shared" si="92"/>
        <v>0</v>
      </c>
      <c r="AH201" s="2">
        <f t="shared" si="93"/>
        <v>0</v>
      </c>
      <c r="AI201" s="2">
        <f t="shared" si="94"/>
        <v>1</v>
      </c>
    </row>
    <row r="202" spans="1:35" s="3" customFormat="1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R202" s="2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C202" s="2"/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s="3" customFormat="1" ht="14.25" customHeight="1" x14ac:dyDescent="0.25">
      <c r="A203" s="32">
        <v>0</v>
      </c>
      <c r="B203" s="32">
        <v>2</v>
      </c>
      <c r="C203" s="32">
        <v>6</v>
      </c>
      <c r="D203" s="33" t="s">
        <v>58</v>
      </c>
      <c r="E203" s="33" t="s">
        <v>34</v>
      </c>
      <c r="F203" s="33" t="s">
        <v>482</v>
      </c>
      <c r="G203" s="33" t="s">
        <v>103</v>
      </c>
      <c r="H203" s="33" t="s">
        <v>165</v>
      </c>
      <c r="I203" s="32" t="s">
        <v>179</v>
      </c>
      <c r="J203" s="32">
        <v>6</v>
      </c>
      <c r="K203" s="32" t="s">
        <v>321</v>
      </c>
      <c r="L203" s="32" t="s">
        <v>339</v>
      </c>
      <c r="M203" s="33" t="s">
        <v>702</v>
      </c>
      <c r="N203" s="33" t="s">
        <v>930</v>
      </c>
      <c r="O203" s="34"/>
      <c r="P203" s="34"/>
      <c r="Q203" s="33"/>
      <c r="R203" s="2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C203" s="2"/>
      <c r="AD203" s="2">
        <f t="shared" si="89"/>
        <v>0</v>
      </c>
      <c r="AE203" s="2">
        <f t="shared" si="90"/>
        <v>0</v>
      </c>
      <c r="AF203" s="2">
        <f t="shared" si="95"/>
        <v>0</v>
      </c>
      <c r="AG203" s="2">
        <f t="shared" si="96"/>
        <v>0</v>
      </c>
      <c r="AH203" s="2">
        <f t="shared" si="97"/>
        <v>0</v>
      </c>
      <c r="AI203" s="2">
        <f t="shared" si="98"/>
        <v>1</v>
      </c>
    </row>
    <row r="204" spans="1:35" s="3" customFormat="1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R204" s="2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C204" s="2"/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s="3" customFormat="1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R205" s="2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C205" s="2"/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s="3" customFormat="1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R206" s="2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C206" s="2"/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s="3" customFormat="1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R207" s="2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C207" s="2"/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s="3" customFormat="1" ht="14.25" customHeight="1" x14ac:dyDescent="0.25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R208" s="2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C208" s="2"/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s="3" customFormat="1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R209" s="2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C209" s="2"/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s="3" customFormat="1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R210" s="2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C210" s="2"/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s="3" customFormat="1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R211" s="2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C211" s="2"/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s="3" customFormat="1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R212" s="2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C212" s="2"/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s="3" customFormat="1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R213" s="2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C213" s="2"/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s="3" customFormat="1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R214" s="2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C214" s="2"/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s="3" customFormat="1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R215" s="2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C215" s="2"/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s="3" customFormat="1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R216" s="2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C216" s="2"/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s="3" customFormat="1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R217" s="2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C217" s="2"/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s="3" customFormat="1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R218" s="2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C218" s="2"/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s="3" customFormat="1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R219" s="2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C219" s="2"/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s="3" customFormat="1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R220" s="2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C220" s="2"/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s="3" customFormat="1" ht="14.25" customHeight="1" x14ac:dyDescent="0.25">
      <c r="A221" s="32">
        <v>0</v>
      </c>
      <c r="B221" s="32">
        <v>2</v>
      </c>
      <c r="C221" s="32">
        <v>7</v>
      </c>
      <c r="D221" s="33" t="s">
        <v>74</v>
      </c>
      <c r="E221" s="33" t="s">
        <v>31</v>
      </c>
      <c r="F221" s="33" t="s">
        <v>311</v>
      </c>
      <c r="G221" s="33" t="s">
        <v>103</v>
      </c>
      <c r="H221" s="33" t="s">
        <v>165</v>
      </c>
      <c r="I221" s="32" t="s">
        <v>845</v>
      </c>
      <c r="J221" s="32">
        <v>6</v>
      </c>
      <c r="K221" s="32" t="s">
        <v>318</v>
      </c>
      <c r="L221" s="32" t="s">
        <v>318</v>
      </c>
      <c r="M221" s="33" t="s">
        <v>273</v>
      </c>
      <c r="N221" s="33" t="s">
        <v>930</v>
      </c>
      <c r="O221" s="34"/>
      <c r="P221" s="34"/>
      <c r="Q221" s="33"/>
      <c r="R221" s="2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C221" s="2"/>
      <c r="AD221" s="2">
        <f t="shared" si="109"/>
        <v>0</v>
      </c>
      <c r="AE221" s="2">
        <f t="shared" si="110"/>
        <v>0</v>
      </c>
      <c r="AF221" s="2">
        <f t="shared" si="95"/>
        <v>0</v>
      </c>
      <c r="AG221" s="2">
        <f t="shared" si="96"/>
        <v>0</v>
      </c>
      <c r="AH221" s="2">
        <f t="shared" si="97"/>
        <v>0</v>
      </c>
      <c r="AI221" s="2">
        <f t="shared" si="98"/>
        <v>1</v>
      </c>
    </row>
    <row r="222" spans="1:35" s="3" customFormat="1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R222" s="2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C222" s="2"/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s="3" customFormat="1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R223" s="2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C223" s="2"/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s="3" customFormat="1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R224" s="2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C224" s="2"/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s="3" customFormat="1" ht="14.25" customHeight="1" x14ac:dyDescent="0.25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R225" s="2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C225" s="2"/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s="3" customFormat="1" ht="14.25" customHeight="1" x14ac:dyDescent="0.25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R226" s="2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C226" s="2"/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s="3" customFormat="1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R227" s="2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C227" s="2"/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s="3" customFormat="1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R228" s="2"/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C228" s="2"/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s="3" customFormat="1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R229" s="2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C229" s="2"/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s="3" customFormat="1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R230" s="2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C230" s="2"/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s="3" customFormat="1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R231" s="2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C231" s="2"/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s="3" customFormat="1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R232" s="2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C232" s="2"/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s="3" customFormat="1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R233" s="2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C233" s="2"/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s="3" customFormat="1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R234" s="2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C234" s="2"/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s="3" customFormat="1" ht="14.25" customHeight="1" x14ac:dyDescent="0.25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R235" s="2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C235" s="2"/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s="3" customFormat="1" ht="14.25" customHeight="1" x14ac:dyDescent="0.25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R236" s="2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C236" s="2"/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s="3" customFormat="1" ht="14.25" customHeight="1" x14ac:dyDescent="0.25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R237" s="2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C237" s="2"/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s="3" customFormat="1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</row>
    <row r="239" spans="1:35" s="3" customFormat="1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</row>
    <row r="240" spans="1:35" s="3" customFormat="1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spans="1:35" s="3" customFormat="1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spans="1:35" s="3" customFormat="1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1:35" s="3" customFormat="1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1:35" s="3" customFormat="1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spans="1:35" s="3" customFormat="1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1:35" s="3" customFormat="1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1:35" s="3" customFormat="1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1:35" s="3" customFormat="1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spans="1:35" s="3" customFormat="1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spans="1:35" s="3" customFormat="1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spans="1:35" s="3" customFormat="1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spans="1:35" s="3" customFormat="1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1:35" s="3" customFormat="1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1:35" s="3" customFormat="1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spans="1:35" s="3" customFormat="1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1:35" s="3" customFormat="1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1:35" s="3" customFormat="1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spans="1:35" s="3" customFormat="1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1:35" s="3" customFormat="1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1:35" s="3" customFormat="1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1:35" s="3" customFormat="1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1:35" s="3" customFormat="1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1:35" s="3" customFormat="1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1:35" s="3" customFormat="1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1:35" s="3" customFormat="1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1:35" s="3" customFormat="1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spans="1:35" s="3" customFormat="1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spans="1:35" s="3" customFormat="1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1:35" s="3" customFormat="1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spans="1:35" s="3" customFormat="1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spans="1:35" s="3" customFormat="1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spans="1:35" s="3" customFormat="1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1:35" s="3" customFormat="1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1:35" s="3" customFormat="1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spans="1:35" s="3" customFormat="1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1:35" s="3" customFormat="1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1:35" s="3" customFormat="1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1:35" s="3" customFormat="1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1:35" s="3" customFormat="1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1:35" s="3" customFormat="1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1:35" s="3" customFormat="1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1:35" s="3" customFormat="1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1:35" s="3" customFormat="1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1:35" s="3" customFormat="1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spans="1:35" s="3" customFormat="1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1:35" s="3" customFormat="1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1:35" s="3" customFormat="1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spans="1:35" s="3" customFormat="1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1:35" s="3" customFormat="1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1:35" s="3" customFormat="1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1:35" s="3" customFormat="1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1:35" s="3" customFormat="1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1:35" s="3" customFormat="1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1:35" s="3" customFormat="1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1:35" s="3" customFormat="1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spans="1:35" s="3" customFormat="1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1:35" s="3" customFormat="1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spans="1:35" s="3" customFormat="1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spans="1:35" s="3" customFormat="1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1:35" s="3" customFormat="1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1:35" s="3" customFormat="1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1:35" s="3" customFormat="1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1:35" s="3" customFormat="1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1:35" s="3" customFormat="1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1:35" s="3" customFormat="1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1:35" s="3" customFormat="1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1:35" s="3" customFormat="1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1:35" s="3" customFormat="1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1:35" s="3" customFormat="1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spans="1:35" s="3" customFormat="1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spans="1:35" s="3" customFormat="1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1:35" s="3" customFormat="1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spans="1:35" s="3" customFormat="1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1:35" s="3" customFormat="1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spans="1:35" s="3" customFormat="1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spans="1:35" s="3" customFormat="1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1:35" s="3" customFormat="1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spans="1:35" s="3" customFormat="1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1:35" s="3" customFormat="1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spans="1:35" s="3" customFormat="1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spans="1:35" s="3" customFormat="1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1:35" s="3" customFormat="1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1:35" s="3" customFormat="1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spans="1:35" s="3" customFormat="1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1:35" s="3" customFormat="1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1:35" s="3" customFormat="1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1:35" s="3" customFormat="1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1:35" s="3" customFormat="1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spans="1:35" s="3" customFormat="1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1:35" s="3" customFormat="1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spans="1:35" s="3" customFormat="1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1:35" s="3" customFormat="1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1:35" s="3" customFormat="1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1:35" s="3" customFormat="1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spans="1:35" s="3" customFormat="1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spans="1:35" s="3" customFormat="1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spans="1:35" s="3" customFormat="1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1:35" s="3" customFormat="1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spans="1:35" s="3" customFormat="1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spans="1:35" s="3" customFormat="1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1:35" s="3" customFormat="1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spans="1:35" s="3" customFormat="1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spans="1:35" s="3" customFormat="1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1:35" s="3" customFormat="1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spans="1:35" s="3" customFormat="1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spans="1:35" s="3" customFormat="1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spans="1:35" s="3" customFormat="1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spans="1:35" s="3" customFormat="1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1:35" s="3" customFormat="1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spans="1:35" s="3" customFormat="1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spans="1:35" s="3" customFormat="1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1:35" s="3" customFormat="1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1:35" s="3" customFormat="1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spans="1:35" s="3" customFormat="1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spans="1:35" s="3" customFormat="1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spans="1:35" s="3" customFormat="1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spans="1:35" s="3" customFormat="1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spans="1:35" s="3" customFormat="1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spans="1:35" s="3" customFormat="1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spans="1:35" s="3" customFormat="1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spans="1:35" s="3" customFormat="1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spans="1:35" s="3" customFormat="1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spans="1:35" s="3" customFormat="1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spans="1:35" s="3" customFormat="1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spans="1:35" s="3" customFormat="1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spans="1:35" s="3" customFormat="1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spans="1:35" s="3" customFormat="1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spans="1:35" s="3" customFormat="1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spans="1:35" s="3" customFormat="1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spans="1:35" s="3" customFormat="1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spans="1:35" s="3" customFormat="1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spans="1:35" s="3" customFormat="1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spans="1:35" s="3" customFormat="1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spans="1:35" s="3" customFormat="1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spans="1:35" s="3" customFormat="1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spans="1:35" s="3" customFormat="1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spans="1:35" s="3" customFormat="1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spans="1:35" s="3" customFormat="1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spans="1:35" s="3" customFormat="1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spans="1:35" s="3" customFormat="1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spans="1:35" s="3" customFormat="1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spans="1:35" s="3" customFormat="1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spans="1:35" s="3" customFormat="1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spans="1:35" s="3" customFormat="1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spans="1:35" s="3" customFormat="1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spans="1:35" s="3" customFormat="1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spans="1:35" s="3" customFormat="1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spans="1:35" s="3" customFormat="1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spans="1:35" s="3" customFormat="1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spans="1:35" s="3" customFormat="1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spans="1:35" s="3" customFormat="1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spans="1:35" s="3" customFormat="1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spans="1:35" s="3" customFormat="1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spans="1:35" s="3" customFormat="1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spans="1:35" s="3" customFormat="1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spans="1:35" s="3" customFormat="1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spans="1:35" s="3" customFormat="1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spans="1:35" s="3" customFormat="1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spans="1:35" s="3" customFormat="1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spans="1:35" s="3" customFormat="1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spans="1:35" s="3" customFormat="1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spans="1:35" s="3" customFormat="1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spans="1:35" s="3" customFormat="1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spans="1:35" s="3" customFormat="1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spans="1:35" s="3" customFormat="1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spans="1:35" s="3" customFormat="1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spans="1:35" s="3" customFormat="1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spans="1:35" s="3" customFormat="1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spans="1:35" s="3" customFormat="1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spans="1:35" s="3" customFormat="1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spans="1:35" s="3" customFormat="1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spans="1:35" s="3" customFormat="1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spans="1:35" s="3" customFormat="1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spans="1:35" s="3" customFormat="1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spans="1:35" s="3" customFormat="1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spans="1:35" s="3" customFormat="1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spans="1:35" s="3" customFormat="1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spans="1:35" s="3" customFormat="1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spans="1:35" s="3" customFormat="1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spans="1:35" s="3" customFormat="1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spans="1:35" s="3" customFormat="1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spans="1:35" s="3" customFormat="1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spans="1:35" s="3" customFormat="1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spans="1:35" s="3" customFormat="1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spans="1:35" s="3" customFormat="1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spans="1:35" s="3" customFormat="1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spans="1:35" s="3" customFormat="1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spans="1:35" s="3" customFormat="1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spans="1:35" s="3" customFormat="1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spans="1:35" s="3" customFormat="1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spans="1:35" s="3" customFormat="1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spans="1:35" s="3" customFormat="1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spans="1:35" s="3" customFormat="1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spans="1:35" s="3" customFormat="1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spans="1:35" s="3" customFormat="1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spans="1:35" s="3" customFormat="1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spans="1:35" s="3" customFormat="1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spans="1:35" s="3" customFormat="1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spans="1:35" s="3" customFormat="1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2026-07-23T17:05:45Z</dcterms:modified>
</cp:coreProperties>
</file>