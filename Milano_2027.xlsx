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A6D8AFC-0173-4878-9469-19039D266B5C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golose'!$A$7:$AI$241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37" i="6" l="1"/>
  <c r="AH237" i="6"/>
  <c r="AG237" i="6"/>
  <c r="AF237" i="6"/>
  <c r="AE237" i="6"/>
  <c r="AD237" i="6"/>
  <c r="AB237" i="6"/>
  <c r="AA237" i="6"/>
  <c r="Z237" i="6"/>
  <c r="Y237" i="6"/>
  <c r="X237" i="6"/>
  <c r="W237" i="6"/>
  <c r="V237" i="6"/>
  <c r="U237" i="6"/>
  <c r="T237" i="6"/>
  <c r="S237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T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183" i="6" s="1"/>
  <c r="S8" i="6"/>
  <c r="AD8" i="6"/>
  <c r="AE8" i="6"/>
  <c r="AF8" i="6"/>
  <c r="AG8" i="6"/>
  <c r="AH8" i="6"/>
  <c r="AI8" i="6"/>
  <c r="T144" i="6" l="1"/>
  <c r="T234" i="6"/>
  <c r="T140" i="6"/>
  <c r="T202" i="6"/>
  <c r="T206" i="6"/>
  <c r="T236" i="6"/>
  <c r="T204" i="6"/>
  <c r="T127" i="6"/>
  <c r="T241" i="6"/>
  <c r="T208" i="6"/>
  <c r="T210" i="6"/>
  <c r="T212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0" i="6"/>
  <c r="U7" i="6"/>
  <c r="U144" i="6" s="1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27" i="6" l="1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83" i="6"/>
  <c r="U191" i="6"/>
  <c r="U199" i="6"/>
  <c r="U207" i="6"/>
  <c r="U223" i="6"/>
  <c r="U234" i="6"/>
  <c r="U241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V144" i="6" s="1"/>
  <c r="U10" i="6"/>
  <c r="U9" i="6"/>
  <c r="H4" i="6"/>
  <c r="H3" i="6"/>
  <c r="E5" i="6"/>
  <c r="F5" i="6"/>
  <c r="G5" i="6"/>
  <c r="V127" i="6" l="1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83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41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W144" i="6" s="1"/>
  <c r="U5" i="6"/>
  <c r="H5" i="6"/>
  <c r="W127" i="6" l="1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W241" i="6"/>
  <c r="V5" i="6"/>
  <c r="W10" i="6"/>
  <c r="W8" i="6"/>
  <c r="X7" i="6"/>
  <c r="X144" i="6" s="1"/>
  <c r="W9" i="6"/>
  <c r="X127" i="6" l="1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241" i="6"/>
  <c r="X142" i="6"/>
  <c r="X159" i="6"/>
  <c r="X175" i="6"/>
  <c r="X146" i="6"/>
  <c r="X162" i="6"/>
  <c r="X178" i="6"/>
  <c r="X149" i="6"/>
  <c r="X165" i="6"/>
  <c r="X181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Y144" i="6" s="1"/>
  <c r="W5" i="6"/>
  <c r="Y127" i="6" l="1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241" i="6"/>
  <c r="Y93" i="6"/>
  <c r="Y142" i="6"/>
  <c r="Y159" i="6"/>
  <c r="Y175" i="6"/>
  <c r="Y146" i="6"/>
  <c r="Y162" i="6"/>
  <c r="Y178" i="6"/>
  <c r="Y149" i="6"/>
  <c r="Y165" i="6"/>
  <c r="Y181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Z144" i="6" s="1"/>
  <c r="X5" i="6"/>
  <c r="Z127" i="6" l="1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4" i="6"/>
  <c r="Z228" i="6"/>
  <c r="Z231" i="6"/>
  <c r="Z234" i="6"/>
  <c r="Z239" i="6"/>
  <c r="Z150" i="6"/>
  <c r="Z166" i="6"/>
  <c r="Z225" i="6"/>
  <c r="Z230" i="6"/>
  <c r="Z236" i="6"/>
  <c r="Z241" i="6"/>
  <c r="Z153" i="6"/>
  <c r="Z169" i="6"/>
  <c r="Z222" i="6"/>
  <c r="Z227" i="6"/>
  <c r="Z232" i="6"/>
  <c r="Z235" i="6"/>
  <c r="Z240" i="6"/>
  <c r="Z138" i="6"/>
  <c r="Z156" i="6"/>
  <c r="Z172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2" i="6"/>
  <c r="Z159" i="6"/>
  <c r="Z175" i="6"/>
  <c r="Z146" i="6"/>
  <c r="Z162" i="6"/>
  <c r="Z178" i="6"/>
  <c r="Z149" i="6"/>
  <c r="Z165" i="6"/>
  <c r="Z181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AA144" i="6" s="1"/>
  <c r="Z9" i="6"/>
  <c r="Y5" i="6"/>
  <c r="AA127" i="6" l="1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3" i="6"/>
  <c r="AA217" i="6"/>
  <c r="AA221" i="6"/>
  <c r="AA225" i="6"/>
  <c r="AA229" i="6"/>
  <c r="AA233" i="6"/>
  <c r="AA239" i="6"/>
  <c r="AA130" i="6"/>
  <c r="AA132" i="6"/>
  <c r="AA134" i="6"/>
  <c r="AA136" i="6"/>
  <c r="AA147" i="6"/>
  <c r="AA163" i="6"/>
  <c r="AA179" i="6"/>
  <c r="AA211" i="6"/>
  <c r="AA215" i="6"/>
  <c r="AA222" i="6"/>
  <c r="AA226" i="6"/>
  <c r="AA230" i="6"/>
  <c r="AA236" i="6"/>
  <c r="AA241" i="6"/>
  <c r="AA150" i="6"/>
  <c r="AA166" i="6"/>
  <c r="AA209" i="6"/>
  <c r="AA216" i="6"/>
  <c r="AA220" i="6"/>
  <c r="AA224" i="6"/>
  <c r="AA228" i="6"/>
  <c r="AA231" i="6"/>
  <c r="AA235" i="6"/>
  <c r="AA240" i="6"/>
  <c r="AA153" i="6"/>
  <c r="AA169" i="6"/>
  <c r="AA210" i="6"/>
  <c r="AA218" i="6"/>
  <c r="AA223" i="6"/>
  <c r="AA227" i="6"/>
  <c r="AA232" i="6"/>
  <c r="AA238" i="6"/>
  <c r="AA93" i="6"/>
  <c r="AA138" i="6"/>
  <c r="AA156" i="6"/>
  <c r="AA172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2" i="6"/>
  <c r="AA159" i="6"/>
  <c r="AA175" i="6"/>
  <c r="AA146" i="6"/>
  <c r="AA162" i="6"/>
  <c r="AA178" i="6"/>
  <c r="AA149" i="6"/>
  <c r="AA165" i="6"/>
  <c r="AA181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B144" i="6" s="1"/>
  <c r="AA10" i="6"/>
  <c r="AB127" i="6" l="1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41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<sst xmlns="http://schemas.openxmlformats.org/spreadsheetml/2006/main" count="2239" uniqueCount="1007">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</sst>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8" activePane="bottomLeft" state="frozen"/>
      <selection pane="bottomLeft" activeCell="D13" sqref="D13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61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108</v>
      </c>
      <c r="G4" s="9">
        <f>+AG6</f>
        <v>83</v>
      </c>
      <c r="H4" s="7">
        <f>+E4-G4</f>
        <v>58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169</v>
      </c>
      <c r="G5" s="11">
        <f>+G3+G4</f>
        <v>129</v>
      </c>
      <c r="H5" s="11">
        <f>+H3+H4</f>
        <v>63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61</v>
      </c>
      <c r="AE6" s="2">
        <f t="shared" si="1"/>
        <v>108</v>
      </c>
      <c r="AF6" s="2">
        <f t="shared" si="1"/>
        <v>46</v>
      </c>
      <c r="AG6" s="2">
        <f t="shared" si="1"/>
        <v>83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703</v>
      </c>
      <c r="B7" s="35" t="s">
        <v>700</v>
      </c>
      <c r="C7" s="35" t="s">
        <v>701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858</v>
      </c>
      <c r="L7" s="35" t="s">
        <v>19</v>
      </c>
      <c r="M7" s="36" t="s">
        <v>702</v>
      </c>
      <c r="N7" s="37" t="s">
        <v>0</v>
      </c>
      <c r="O7" s="36" t="s">
        <v>1</v>
      </c>
      <c r="P7" s="36" t="s">
        <v>2</v>
      </c>
      <c r="Q7" s="36" t="s">
        <v>949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452</v>
      </c>
      <c r="E8" s="30" t="s">
        <v>260</v>
      </c>
      <c r="F8" s="30" t="s">
        <v>471</v>
      </c>
      <c r="G8" s="30" t="s">
        <v>96</v>
      </c>
      <c r="H8" s="30" t="s">
        <v>165</v>
      </c>
      <c r="I8" s="29" t="s">
        <v>453</v>
      </c>
      <c r="J8" s="29">
        <v>3</v>
      </c>
      <c r="K8" s="29" t="s">
        <v>323</v>
      </c>
      <c r="L8" s="29">
        <v>260</v>
      </c>
      <c r="M8" s="30" t="s">
        <v>869</v>
      </c>
      <c r="N8" s="30" t="s">
        <v>900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656</v>
      </c>
      <c r="E9" s="30" t="s">
        <v>260</v>
      </c>
      <c r="F9" s="30" t="s">
        <v>657</v>
      </c>
      <c r="G9" s="30" t="s">
        <v>93</v>
      </c>
      <c r="H9" s="30" t="s">
        <v>165</v>
      </c>
      <c r="I9" s="29" t="s">
        <v>658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886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886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889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761</v>
      </c>
      <c r="E12" s="30" t="s">
        <v>260</v>
      </c>
      <c r="F12" s="30" t="s">
        <v>516</v>
      </c>
      <c r="G12" s="30" t="s">
        <v>585</v>
      </c>
      <c r="H12" s="30" t="s">
        <v>165</v>
      </c>
      <c r="I12" s="29" t="s">
        <v>517</v>
      </c>
      <c r="J12" s="29">
        <v>1</v>
      </c>
      <c r="K12" s="29" t="s">
        <v>377</v>
      </c>
      <c r="L12" s="29">
        <v>160</v>
      </c>
      <c r="M12" s="30" t="s">
        <v>870</v>
      </c>
      <c r="N12" s="30" t="s">
        <v>900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807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871</v>
      </c>
      <c r="N13" s="33" t="s">
        <v>887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572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886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856</v>
      </c>
      <c r="M15" s="33" t="s">
        <v>733</v>
      </c>
      <c r="N15" s="33" t="s">
        <v>921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582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854</v>
      </c>
      <c r="M16" s="21" t="s">
        <v>734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378</v>
      </c>
      <c r="E17" s="33" t="s">
        <v>260</v>
      </c>
      <c r="F17" s="33" t="s">
        <v>379</v>
      </c>
      <c r="G17" s="33" t="s">
        <v>380</v>
      </c>
      <c r="H17" s="33" t="s">
        <v>381</v>
      </c>
      <c r="I17" s="32" t="s">
        <v>382</v>
      </c>
      <c r="J17" s="32">
        <v>99</v>
      </c>
      <c r="K17" s="32" t="s">
        <v>377</v>
      </c>
      <c r="L17" s="32">
        <v>170</v>
      </c>
      <c r="M17" s="33" t="s">
        <v>885</v>
      </c>
      <c r="N17" s="33" t="s">
        <v>890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376</v>
      </c>
      <c r="L18" s="29" t="s">
        <v>40</v>
      </c>
      <c r="M18" s="30" t="s">
        <v>40</v>
      </c>
      <c r="N18" s="30" t="s">
        <v>886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544</v>
      </c>
      <c r="E19" s="33" t="s">
        <v>262</v>
      </c>
      <c r="F19" s="33" t="s">
        <v>543</v>
      </c>
      <c r="G19" s="33" t="s">
        <v>564</v>
      </c>
      <c r="H19" s="33" t="s">
        <v>165</v>
      </c>
      <c r="I19" s="32" t="s">
        <v>845</v>
      </c>
      <c r="J19" s="32">
        <v>99</v>
      </c>
      <c r="K19" s="32" t="s">
        <v>328</v>
      </c>
      <c r="L19" s="32" t="s">
        <v>854</v>
      </c>
      <c r="M19" s="33" t="s">
        <v>736</v>
      </c>
      <c r="N19" s="33" t="s">
        <v>888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604</v>
      </c>
      <c r="E20" s="21" t="s">
        <v>262</v>
      </c>
      <c r="F20" s="21" t="s">
        <v>605</v>
      </c>
      <c r="G20" s="21" t="s">
        <v>38</v>
      </c>
      <c r="H20" s="21" t="s">
        <v>165</v>
      </c>
      <c r="I20" s="20" t="s">
        <v>606</v>
      </c>
      <c r="J20" s="20">
        <v>1</v>
      </c>
      <c r="K20" s="20" t="s">
        <v>328</v>
      </c>
      <c r="L20" s="20" t="s">
        <v>855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s="3" customFormat="1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895</v>
      </c>
      <c r="N21" s="33" t="s">
        <v>922</v>
      </c>
      <c r="O21" s="34"/>
      <c r="P21" s="34"/>
      <c r="Q21" s="33"/>
      <c r="R21" s="2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s="3" customFormat="1" ht="14.25" customHeight="1" x14ac:dyDescent="0.25">
      <c r="A22" s="32">
        <v>0</v>
      </c>
      <c r="B22" s="32">
        <v>1</v>
      </c>
      <c r="C22" s="32">
        <v>2</v>
      </c>
      <c r="D22" s="33" t="s">
        <v>459</v>
      </c>
      <c r="E22" s="33" t="s">
        <v>466</v>
      </c>
      <c r="F22" s="33" t="s">
        <v>830</v>
      </c>
      <c r="G22" s="33" t="s">
        <v>831</v>
      </c>
      <c r="H22" s="33" t="s">
        <v>165</v>
      </c>
      <c r="I22" s="32" t="s">
        <v>417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921</v>
      </c>
      <c r="O22" s="34"/>
      <c r="P22" s="34"/>
      <c r="Q22" s="33"/>
      <c r="R22" s="2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837</v>
      </c>
      <c r="J23" s="32">
        <v>99</v>
      </c>
      <c r="K23" s="32" t="s">
        <v>325</v>
      </c>
      <c r="L23" s="32">
        <v>45</v>
      </c>
      <c r="M23" s="33" t="s">
        <v>897</v>
      </c>
      <c r="N23" s="33" t="s">
        <v>923</v>
      </c>
      <c r="O23" s="34">
        <v>1</v>
      </c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524</v>
      </c>
      <c r="E24" s="33" t="s">
        <v>263</v>
      </c>
      <c r="F24" s="33" t="s">
        <v>525</v>
      </c>
      <c r="G24" s="33" t="s">
        <v>154</v>
      </c>
      <c r="H24" s="33" t="s">
        <v>165</v>
      </c>
      <c r="I24" s="32" t="s">
        <v>526</v>
      </c>
      <c r="J24" s="32">
        <v>99</v>
      </c>
      <c r="K24" s="32" t="s">
        <v>330</v>
      </c>
      <c r="L24" s="32" t="s">
        <v>852</v>
      </c>
      <c r="M24" s="33" t="s">
        <v>735</v>
      </c>
      <c r="N24" s="33" t="s">
        <v>893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405</v>
      </c>
      <c r="E25" s="21" t="s">
        <v>263</v>
      </c>
      <c r="F25" s="21" t="s">
        <v>406</v>
      </c>
      <c r="G25" s="21" t="s">
        <v>404</v>
      </c>
      <c r="H25" s="21" t="s">
        <v>165</v>
      </c>
      <c r="I25" s="20" t="s">
        <v>407</v>
      </c>
      <c r="J25" s="20">
        <v>99</v>
      </c>
      <c r="K25" s="20" t="s">
        <v>329</v>
      </c>
      <c r="L25" s="20" t="s">
        <v>852</v>
      </c>
      <c r="M25" s="21" t="s">
        <v>776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s="3" customFormat="1" ht="14.25" customHeight="1" x14ac:dyDescent="0.25">
      <c r="A26" s="29">
        <v>0</v>
      </c>
      <c r="B26" s="29">
        <v>1</v>
      </c>
      <c r="C26" s="29">
        <v>2</v>
      </c>
      <c r="D26" s="30" t="s">
        <v>383</v>
      </c>
      <c r="E26" s="30" t="s">
        <v>262</v>
      </c>
      <c r="F26" s="30" t="s">
        <v>384</v>
      </c>
      <c r="G26" s="30" t="s">
        <v>586</v>
      </c>
      <c r="H26" s="30" t="s">
        <v>165</v>
      </c>
      <c r="I26" s="29" t="s">
        <v>385</v>
      </c>
      <c r="J26" s="29">
        <v>99</v>
      </c>
      <c r="K26" s="29" t="s">
        <v>377</v>
      </c>
      <c r="L26" s="29">
        <v>40</v>
      </c>
      <c r="M26" s="30" t="s">
        <v>206</v>
      </c>
      <c r="N26" s="30" t="s">
        <v>901</v>
      </c>
      <c r="O26" s="31">
        <v>1</v>
      </c>
      <c r="P26" s="31"/>
      <c r="Q26" s="30"/>
      <c r="R26" s="2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886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887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434</v>
      </c>
      <c r="E29" s="33" t="s">
        <v>262</v>
      </c>
      <c r="F29" s="33" t="s">
        <v>433</v>
      </c>
      <c r="G29" s="33" t="s">
        <v>125</v>
      </c>
      <c r="H29" s="33" t="s">
        <v>165</v>
      </c>
      <c r="I29" s="32" t="s">
        <v>435</v>
      </c>
      <c r="J29" s="32">
        <v>99</v>
      </c>
      <c r="K29" s="32" t="s">
        <v>377</v>
      </c>
      <c r="L29" s="32">
        <v>150</v>
      </c>
      <c r="M29" s="33" t="s">
        <v>872</v>
      </c>
      <c r="N29" s="33" t="s">
        <v>890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370</v>
      </c>
      <c r="J30" s="29">
        <v>99</v>
      </c>
      <c r="K30" s="29" t="s">
        <v>322</v>
      </c>
      <c r="L30" s="29">
        <v>90</v>
      </c>
      <c r="M30" s="30" t="s">
        <v>898</v>
      </c>
      <c r="N30" s="30" t="s">
        <v>905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894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799</v>
      </c>
      <c r="E32" s="21" t="s">
        <v>262</v>
      </c>
      <c r="F32" s="21" t="s">
        <v>750</v>
      </c>
      <c r="G32" s="21" t="s">
        <v>686</v>
      </c>
      <c r="H32" s="21" t="s">
        <v>165</v>
      </c>
      <c r="I32" s="20" t="s">
        <v>842</v>
      </c>
      <c r="J32" s="20">
        <v>4</v>
      </c>
      <c r="K32" s="20" t="s">
        <v>326</v>
      </c>
      <c r="L32" s="20">
        <v>130</v>
      </c>
      <c r="M32" s="21" t="s">
        <v>873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414</v>
      </c>
      <c r="E33" s="30" t="s">
        <v>262</v>
      </c>
      <c r="F33" s="30" t="s">
        <v>415</v>
      </c>
      <c r="G33" s="30" t="s">
        <v>96</v>
      </c>
      <c r="H33" s="30" t="s">
        <v>165</v>
      </c>
      <c r="I33" s="29" t="s">
        <v>416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886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631</v>
      </c>
      <c r="E34" s="30" t="s">
        <v>262</v>
      </c>
      <c r="F34" s="30" t="s">
        <v>688</v>
      </c>
      <c r="G34" s="30" t="s">
        <v>93</v>
      </c>
      <c r="H34" s="30" t="s">
        <v>165</v>
      </c>
      <c r="I34" s="29" t="s">
        <v>632</v>
      </c>
      <c r="J34" s="29">
        <v>8</v>
      </c>
      <c r="K34" s="29" t="s">
        <v>325</v>
      </c>
      <c r="L34" s="29">
        <v>45</v>
      </c>
      <c r="M34" s="30" t="s">
        <v>874</v>
      </c>
      <c r="N34" s="30" t="s">
        <v>899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386</v>
      </c>
      <c r="E35" s="21" t="s">
        <v>259</v>
      </c>
      <c r="F35" s="21" t="s">
        <v>387</v>
      </c>
      <c r="G35" s="21" t="s">
        <v>157</v>
      </c>
      <c r="H35" s="21" t="s">
        <v>165</v>
      </c>
      <c r="I35" s="20" t="s">
        <v>388</v>
      </c>
      <c r="J35" s="20">
        <v>99</v>
      </c>
      <c r="K35" s="20" t="s">
        <v>330</v>
      </c>
      <c r="L35" s="20">
        <v>65</v>
      </c>
      <c r="M35" s="21" t="s">
        <v>737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377</v>
      </c>
      <c r="L36" s="29">
        <v>90</v>
      </c>
      <c r="M36" s="30" t="s">
        <v>596</v>
      </c>
      <c r="N36" s="30" t="s">
        <v>905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437</v>
      </c>
      <c r="E37" s="30" t="s">
        <v>259</v>
      </c>
      <c r="F37" s="30" t="s">
        <v>438</v>
      </c>
      <c r="G37" s="30" t="s">
        <v>439</v>
      </c>
      <c r="H37" s="30" t="s">
        <v>165</v>
      </c>
      <c r="I37" s="29" t="s">
        <v>440</v>
      </c>
      <c r="J37" s="29">
        <v>99</v>
      </c>
      <c r="K37" s="29" t="s">
        <v>377</v>
      </c>
      <c r="L37" s="29">
        <v>60</v>
      </c>
      <c r="M37" s="30" t="s">
        <v>597</v>
      </c>
      <c r="N37" s="30" t="s">
        <v>886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806</v>
      </c>
      <c r="E38" s="21" t="s">
        <v>498</v>
      </c>
      <c r="F38" s="21" t="s">
        <v>499</v>
      </c>
      <c r="G38" s="21" t="s">
        <v>93</v>
      </c>
      <c r="H38" s="21" t="s">
        <v>165</v>
      </c>
      <c r="I38" s="20" t="s">
        <v>500</v>
      </c>
      <c r="J38" s="20">
        <v>8</v>
      </c>
      <c r="K38" s="20" t="s">
        <v>329</v>
      </c>
      <c r="L38" s="20" t="s">
        <v>849</v>
      </c>
      <c r="M38" s="21" t="s">
        <v>597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511</v>
      </c>
      <c r="E39" s="30" t="s">
        <v>673</v>
      </c>
      <c r="F39" s="30" t="s">
        <v>512</v>
      </c>
      <c r="G39" s="30" t="s">
        <v>39</v>
      </c>
      <c r="H39" s="30" t="s">
        <v>165</v>
      </c>
      <c r="I39" s="29" t="s">
        <v>513</v>
      </c>
      <c r="J39" s="29">
        <v>8</v>
      </c>
      <c r="K39" s="29" t="s">
        <v>326</v>
      </c>
      <c r="L39" s="29" t="s">
        <v>853</v>
      </c>
      <c r="M39" s="30" t="s">
        <v>738</v>
      </c>
      <c r="N39" s="30" t="s">
        <v>905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857</v>
      </c>
      <c r="M40" s="33" t="s">
        <v>780</v>
      </c>
      <c r="N40" s="33" t="s">
        <v>902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751</v>
      </c>
      <c r="E41" s="30" t="s">
        <v>752</v>
      </c>
      <c r="F41" s="30" t="s">
        <v>753</v>
      </c>
      <c r="G41" s="30" t="s">
        <v>92</v>
      </c>
      <c r="H41" s="30" t="s">
        <v>165</v>
      </c>
      <c r="I41" s="29" t="s">
        <v>754</v>
      </c>
      <c r="J41" s="29">
        <v>1</v>
      </c>
      <c r="K41" s="29" t="s">
        <v>377</v>
      </c>
      <c r="L41" s="29">
        <v>35</v>
      </c>
      <c r="M41" s="30" t="s">
        <v>755</v>
      </c>
      <c r="N41" s="30" t="s">
        <v>894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997</v>
      </c>
      <c r="E42" s="30" t="s">
        <v>508</v>
      </c>
      <c r="F42" s="30" t="s">
        <v>589</v>
      </c>
      <c r="G42" s="30" t="s">
        <v>93</v>
      </c>
      <c r="H42" s="30" t="s">
        <v>165</v>
      </c>
      <c r="I42" s="29" t="s">
        <v>594</v>
      </c>
      <c r="J42" s="29">
        <v>8</v>
      </c>
      <c r="K42" s="29" t="s">
        <v>377</v>
      </c>
      <c r="L42" s="29" t="s">
        <v>346</v>
      </c>
      <c r="M42" s="30" t="s">
        <v>509</v>
      </c>
      <c r="N42" s="30" t="s">
        <v>900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412</v>
      </c>
      <c r="E43" s="30" t="s">
        <v>259</v>
      </c>
      <c r="F43" s="30" t="s">
        <v>587</v>
      </c>
      <c r="G43" s="30" t="s">
        <v>284</v>
      </c>
      <c r="H43" s="30" t="s">
        <v>165</v>
      </c>
      <c r="I43" s="29" t="s">
        <v>413</v>
      </c>
      <c r="J43" s="29">
        <v>99</v>
      </c>
      <c r="K43" s="29" t="s">
        <v>331</v>
      </c>
      <c r="L43" s="29" t="s">
        <v>341</v>
      </c>
      <c r="M43" s="30" t="s">
        <v>738</v>
      </c>
      <c r="N43" s="30" t="s">
        <v>900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680</v>
      </c>
      <c r="E44" s="33" t="s">
        <v>622</v>
      </c>
      <c r="F44" s="33" t="s">
        <v>620</v>
      </c>
      <c r="G44" s="33" t="s">
        <v>40</v>
      </c>
      <c r="H44" s="33" t="s">
        <v>621</v>
      </c>
      <c r="I44" s="32" t="s">
        <v>623</v>
      </c>
      <c r="J44" s="32">
        <v>99</v>
      </c>
      <c r="K44" s="32" t="s">
        <v>377</v>
      </c>
      <c r="L44" s="32">
        <v>60</v>
      </c>
      <c r="M44" s="33" t="s">
        <v>597</v>
      </c>
      <c r="N44" s="33" t="s">
        <v>893</v>
      </c>
      <c r="O44" s="34"/>
      <c r="P44" s="34"/>
      <c r="Q44" s="33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769</v>
      </c>
      <c r="E45" s="30" t="s">
        <v>259</v>
      </c>
      <c r="F45" s="30" t="s">
        <v>770</v>
      </c>
      <c r="G45" s="30" t="s">
        <v>103</v>
      </c>
      <c r="H45" s="30" t="s">
        <v>165</v>
      </c>
      <c r="I45" s="29" t="s">
        <v>771</v>
      </c>
      <c r="J45" s="29">
        <v>6</v>
      </c>
      <c r="K45" s="29" t="s">
        <v>377</v>
      </c>
      <c r="L45" s="29">
        <v>70</v>
      </c>
      <c r="M45" s="30" t="s">
        <v>772</v>
      </c>
      <c r="N45" s="30" t="s">
        <v>905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607</v>
      </c>
      <c r="E46" s="33" t="s">
        <v>259</v>
      </c>
      <c r="F46" s="33" t="s">
        <v>608</v>
      </c>
      <c r="G46" s="33" t="s">
        <v>823</v>
      </c>
      <c r="H46" s="33" t="s">
        <v>165</v>
      </c>
      <c r="I46" s="32" t="s">
        <v>609</v>
      </c>
      <c r="J46" s="32">
        <v>99</v>
      </c>
      <c r="K46" s="32" t="s">
        <v>332</v>
      </c>
      <c r="L46" s="32" t="s">
        <v>341</v>
      </c>
      <c r="M46" s="33" t="s">
        <v>738</v>
      </c>
      <c r="N46" s="33" t="s">
        <v>887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683</v>
      </c>
      <c r="E47" s="30" t="s">
        <v>263</v>
      </c>
      <c r="F47" s="30" t="s">
        <v>687</v>
      </c>
      <c r="G47" s="30" t="s">
        <v>93</v>
      </c>
      <c r="H47" s="30" t="s">
        <v>165</v>
      </c>
      <c r="I47" s="29" t="s">
        <v>510</v>
      </c>
      <c r="J47" s="29">
        <v>8</v>
      </c>
      <c r="K47" s="29" t="s">
        <v>332</v>
      </c>
      <c r="L47" s="29" t="s">
        <v>595</v>
      </c>
      <c r="M47" s="30" t="s">
        <v>206</v>
      </c>
      <c r="N47" s="30" t="s">
        <v>900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684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900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635</v>
      </c>
      <c r="E50" s="30" t="s">
        <v>636</v>
      </c>
      <c r="F50" s="30" t="s">
        <v>637</v>
      </c>
      <c r="G50" s="30" t="s">
        <v>515</v>
      </c>
      <c r="H50" s="30" t="s">
        <v>165</v>
      </c>
      <c r="I50" s="29" t="s">
        <v>638</v>
      </c>
      <c r="J50" s="29"/>
      <c r="K50" s="29" t="s">
        <v>377</v>
      </c>
      <c r="L50" s="29">
        <v>55</v>
      </c>
      <c r="M50" s="30" t="s">
        <v>639</v>
      </c>
      <c r="N50" s="30" t="s">
        <v>928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29">
        <v>0</v>
      </c>
      <c r="B51" s="29">
        <v>1</v>
      </c>
      <c r="C51" s="29">
        <v>3</v>
      </c>
      <c r="D51" s="30" t="s">
        <v>725</v>
      </c>
      <c r="E51" s="30" t="s">
        <v>259</v>
      </c>
      <c r="F51" s="30" t="s">
        <v>829</v>
      </c>
      <c r="G51" s="30" t="s">
        <v>728</v>
      </c>
      <c r="H51" s="30" t="s">
        <v>165</v>
      </c>
      <c r="I51" s="29" t="s">
        <v>727</v>
      </c>
      <c r="J51" s="29">
        <v>99</v>
      </c>
      <c r="K51" s="29" t="s">
        <v>331</v>
      </c>
      <c r="L51" s="29" t="s">
        <v>346</v>
      </c>
      <c r="M51" s="30" t="s">
        <v>726</v>
      </c>
      <c r="N51" s="30" t="s">
        <v>894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978</v>
      </c>
      <c r="E52" s="21" t="s">
        <v>259</v>
      </c>
      <c r="F52" s="21" t="s">
        <v>979</v>
      </c>
      <c r="G52" s="21" t="s">
        <v>980</v>
      </c>
      <c r="H52" s="21" t="s">
        <v>165</v>
      </c>
      <c r="I52" s="20" t="s">
        <v>981</v>
      </c>
      <c r="J52" s="20"/>
      <c r="K52" s="20" t="s">
        <v>377</v>
      </c>
      <c r="L52" s="20">
        <v>65</v>
      </c>
      <c r="M52" s="21" t="s">
        <v>982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733</v>
      </c>
      <c r="N53" s="30" t="s">
        <v>928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903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778</v>
      </c>
      <c r="N55" s="30" t="s">
        <v>886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377</v>
      </c>
      <c r="L56" s="32" t="s">
        <v>334</v>
      </c>
      <c r="M56" s="33" t="s">
        <v>266</v>
      </c>
      <c r="N56" s="33" t="s">
        <v>922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710</v>
      </c>
      <c r="E57" s="21" t="s">
        <v>707</v>
      </c>
      <c r="F57" s="21" t="s">
        <v>706</v>
      </c>
      <c r="G57" s="21" t="s">
        <v>303</v>
      </c>
      <c r="H57" s="21" t="s">
        <v>165</v>
      </c>
      <c r="I57" s="20" t="s">
        <v>708</v>
      </c>
      <c r="J57" s="20">
        <v>99</v>
      </c>
      <c r="K57" s="20" t="s">
        <v>377</v>
      </c>
      <c r="L57" s="20">
        <v>55</v>
      </c>
      <c r="M57" s="21" t="s">
        <v>705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880</v>
      </c>
      <c r="E58" s="30" t="s">
        <v>883</v>
      </c>
      <c r="F58" s="30" t="s">
        <v>881</v>
      </c>
      <c r="G58" s="30" t="s">
        <v>402</v>
      </c>
      <c r="H58" s="30" t="s">
        <v>165</v>
      </c>
      <c r="I58" s="29" t="s">
        <v>882</v>
      </c>
      <c r="J58" s="29"/>
      <c r="K58" s="29" t="s">
        <v>377</v>
      </c>
      <c r="L58" s="29">
        <v>55</v>
      </c>
      <c r="M58" s="30" t="s">
        <v>884</v>
      </c>
      <c r="N58" s="30" t="s">
        <v>928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865</v>
      </c>
      <c r="E59" s="30" t="s">
        <v>800</v>
      </c>
      <c r="F59" s="30" t="s">
        <v>866</v>
      </c>
      <c r="G59" s="30" t="s">
        <v>309</v>
      </c>
      <c r="H59" s="30" t="s">
        <v>165</v>
      </c>
      <c r="I59" s="29" t="s">
        <v>867</v>
      </c>
      <c r="J59" s="29"/>
      <c r="K59" s="29" t="s">
        <v>377</v>
      </c>
      <c r="L59" s="29">
        <v>50</v>
      </c>
      <c r="M59" s="30" t="s">
        <v>868</v>
      </c>
      <c r="N59" s="30" t="s">
        <v>928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801</v>
      </c>
      <c r="E60" s="21" t="s">
        <v>800</v>
      </c>
      <c r="F60" s="21" t="s">
        <v>834</v>
      </c>
      <c r="G60" s="21" t="s">
        <v>93</v>
      </c>
      <c r="H60" s="21" t="s">
        <v>165</v>
      </c>
      <c r="I60" s="20" t="s">
        <v>848</v>
      </c>
      <c r="J60" s="20">
        <v>8</v>
      </c>
      <c r="K60" s="20" t="s">
        <v>332</v>
      </c>
      <c r="L60" s="20">
        <v>50</v>
      </c>
      <c r="M60" s="21" t="s">
        <v>868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862</v>
      </c>
      <c r="E61" s="30" t="s">
        <v>800</v>
      </c>
      <c r="F61" s="30" t="s">
        <v>863</v>
      </c>
      <c r="G61" s="30" t="s">
        <v>369</v>
      </c>
      <c r="H61" s="30" t="s">
        <v>165</v>
      </c>
      <c r="I61" s="29" t="s">
        <v>864</v>
      </c>
      <c r="J61" s="29"/>
      <c r="K61" s="29" t="s">
        <v>377</v>
      </c>
      <c r="L61" s="29">
        <v>45</v>
      </c>
      <c r="M61" s="30" t="s">
        <v>419</v>
      </c>
      <c r="N61" s="30" t="s">
        <v>886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377</v>
      </c>
      <c r="L62" s="29">
        <v>30</v>
      </c>
      <c r="M62" s="30" t="s">
        <v>266</v>
      </c>
      <c r="N62" s="30" t="s">
        <v>905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998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377</v>
      </c>
      <c r="L63" s="29">
        <v>42</v>
      </c>
      <c r="M63" s="30" t="s">
        <v>419</v>
      </c>
      <c r="N63" s="30" t="s">
        <v>905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556</v>
      </c>
      <c r="E64" s="30" t="s">
        <v>296</v>
      </c>
      <c r="F64" s="30" t="s">
        <v>557</v>
      </c>
      <c r="G64" s="30" t="s">
        <v>590</v>
      </c>
      <c r="H64" s="30" t="s">
        <v>165</v>
      </c>
      <c r="I64" s="29" t="s">
        <v>558</v>
      </c>
      <c r="J64" s="29">
        <v>99</v>
      </c>
      <c r="K64" s="29" t="s">
        <v>330</v>
      </c>
      <c r="L64" s="29" t="s">
        <v>595</v>
      </c>
      <c r="M64" s="30" t="s">
        <v>419</v>
      </c>
      <c r="N64" s="30" t="s">
        <v>905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371</v>
      </c>
      <c r="J65" s="29">
        <v>99</v>
      </c>
      <c r="K65" s="29" t="s">
        <v>329</v>
      </c>
      <c r="L65" s="29" t="s">
        <v>341</v>
      </c>
      <c r="M65" s="30" t="s">
        <v>782</v>
      </c>
      <c r="N65" s="30" t="s">
        <v>905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377</v>
      </c>
      <c r="L66" s="29" t="s">
        <v>335</v>
      </c>
      <c r="M66" s="30" t="s">
        <v>495</v>
      </c>
      <c r="N66" s="30" t="s">
        <v>923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625</v>
      </c>
      <c r="E67" s="21" t="s">
        <v>628</v>
      </c>
      <c r="F67" s="21" t="s">
        <v>624</v>
      </c>
      <c r="G67" s="21" t="s">
        <v>163</v>
      </c>
      <c r="H67" s="21" t="s">
        <v>165</v>
      </c>
      <c r="I67" s="20" t="s">
        <v>626</v>
      </c>
      <c r="J67" s="20">
        <v>5</v>
      </c>
      <c r="K67" s="20" t="s">
        <v>377</v>
      </c>
      <c r="L67" s="20">
        <v>40</v>
      </c>
      <c r="M67" s="21" t="s">
        <v>739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468</v>
      </c>
      <c r="F68" s="30" t="s">
        <v>690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419</v>
      </c>
      <c r="N68" s="30" t="s">
        <v>892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811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887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812</v>
      </c>
      <c r="E70" s="21" t="s">
        <v>800</v>
      </c>
      <c r="F70" s="21" t="s">
        <v>802</v>
      </c>
      <c r="G70" s="21" t="s">
        <v>117</v>
      </c>
      <c r="H70" s="21" t="s">
        <v>165</v>
      </c>
      <c r="I70" s="20" t="s">
        <v>803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812</v>
      </c>
      <c r="E71" s="21" t="s">
        <v>800</v>
      </c>
      <c r="F71" s="21" t="s">
        <v>835</v>
      </c>
      <c r="G71" s="21" t="s">
        <v>96</v>
      </c>
      <c r="H71" s="21" t="s">
        <v>165</v>
      </c>
      <c r="I71" s="20" t="s">
        <v>804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805</v>
      </c>
      <c r="E72" s="30" t="s">
        <v>261</v>
      </c>
      <c r="F72" s="30" t="s">
        <v>767</v>
      </c>
      <c r="G72" s="30" t="s">
        <v>518</v>
      </c>
      <c r="H72" s="30" t="s">
        <v>165</v>
      </c>
      <c r="I72" s="29" t="s">
        <v>768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886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886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671</v>
      </c>
      <c r="F74" s="30" t="s">
        <v>663</v>
      </c>
      <c r="G74" s="30" t="s">
        <v>664</v>
      </c>
      <c r="H74" s="30" t="s">
        <v>165</v>
      </c>
      <c r="I74" s="29" t="s">
        <v>665</v>
      </c>
      <c r="J74" s="29"/>
      <c r="K74" s="29" t="s">
        <v>332</v>
      </c>
      <c r="L74" s="29">
        <v>45</v>
      </c>
      <c r="M74" s="30" t="s">
        <v>749</v>
      </c>
      <c r="N74" s="30" t="s">
        <v>892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671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749</v>
      </c>
      <c r="N75" s="30" t="s">
        <v>892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714</v>
      </c>
      <c r="E76" s="30" t="s">
        <v>258</v>
      </c>
      <c r="F76" s="30" t="s">
        <v>715</v>
      </c>
      <c r="G76" s="30" t="s">
        <v>130</v>
      </c>
      <c r="H76" s="30" t="s">
        <v>165</v>
      </c>
      <c r="I76" s="29" t="s">
        <v>716</v>
      </c>
      <c r="J76" s="29"/>
      <c r="K76" s="29" t="s">
        <v>329</v>
      </c>
      <c r="L76" s="29">
        <v>35</v>
      </c>
      <c r="M76" s="30" t="s">
        <v>875</v>
      </c>
      <c r="N76" s="30" t="s">
        <v>892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927</v>
      </c>
      <c r="N77" s="30" t="s">
        <v>892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886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486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922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886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838</v>
      </c>
      <c r="J81" s="29">
        <v>3</v>
      </c>
      <c r="K81" s="29" t="s">
        <v>330</v>
      </c>
      <c r="L81" s="29" t="s">
        <v>346</v>
      </c>
      <c r="M81" s="30" t="s">
        <v>762</v>
      </c>
      <c r="N81" s="30" t="s">
        <v>894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851</v>
      </c>
      <c r="M82" s="30" t="s">
        <v>697</v>
      </c>
      <c r="N82" s="30" t="s">
        <v>894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588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746</v>
      </c>
      <c r="N83" s="30" t="s">
        <v>892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389</v>
      </c>
      <c r="E84" s="21" t="s">
        <v>390</v>
      </c>
      <c r="F84" s="21" t="s">
        <v>478</v>
      </c>
      <c r="G84" s="21" t="s">
        <v>133</v>
      </c>
      <c r="H84" s="21" t="s">
        <v>165</v>
      </c>
      <c r="I84" s="20" t="s">
        <v>488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730</v>
      </c>
      <c r="E86" s="21" t="s">
        <v>258</v>
      </c>
      <c r="F86" s="21" t="s">
        <v>731</v>
      </c>
      <c r="G86" s="21" t="s">
        <v>732</v>
      </c>
      <c r="H86" s="21" t="s">
        <v>165</v>
      </c>
      <c r="I86" s="20"/>
      <c r="J86" s="20">
        <v>99</v>
      </c>
      <c r="K86" s="20" t="s">
        <v>377</v>
      </c>
      <c r="L86" s="20">
        <v>75</v>
      </c>
      <c r="M86" s="21" t="s">
        <v>729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540</v>
      </c>
      <c r="E87" s="33" t="s">
        <v>573</v>
      </c>
      <c r="F87" s="33" t="s">
        <v>826</v>
      </c>
      <c r="G87" s="33" t="s">
        <v>541</v>
      </c>
      <c r="H87" s="33" t="s">
        <v>165</v>
      </c>
      <c r="I87" s="32" t="s">
        <v>542</v>
      </c>
      <c r="J87" s="32">
        <v>99</v>
      </c>
      <c r="K87" s="32" t="s">
        <v>330</v>
      </c>
      <c r="L87" s="32" t="s">
        <v>334</v>
      </c>
      <c r="M87" s="33" t="s">
        <v>740</v>
      </c>
      <c r="N87" s="33" t="s">
        <v>893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574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377</v>
      </c>
      <c r="L88" s="29">
        <v>92</v>
      </c>
      <c r="M88" s="30" t="s">
        <v>779</v>
      </c>
      <c r="N88" s="30" t="s">
        <v>900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974</v>
      </c>
      <c r="E89" s="27" t="s">
        <v>258</v>
      </c>
      <c r="F89" s="27" t="s">
        <v>975</v>
      </c>
      <c r="G89" s="27" t="s">
        <v>976</v>
      </c>
      <c r="H89" s="27" t="s">
        <v>165</v>
      </c>
      <c r="I89" s="26" t="s">
        <v>977</v>
      </c>
      <c r="J89" s="26"/>
      <c r="K89" s="26" t="s">
        <v>377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373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905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905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905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668</v>
      </c>
      <c r="G94" s="30" t="s">
        <v>670</v>
      </c>
      <c r="H94" s="30" t="s">
        <v>165</v>
      </c>
      <c r="I94" s="29" t="s">
        <v>669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905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372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905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905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570</v>
      </c>
      <c r="E97" s="30" t="s">
        <v>32</v>
      </c>
      <c r="F97" s="30" t="s">
        <v>584</v>
      </c>
      <c r="G97" s="30" t="s">
        <v>309</v>
      </c>
      <c r="H97" s="30" t="s">
        <v>165</v>
      </c>
      <c r="I97" s="29" t="s">
        <v>527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886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901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666</v>
      </c>
      <c r="G99" s="30" t="s">
        <v>96</v>
      </c>
      <c r="H99" s="30" t="s">
        <v>165</v>
      </c>
      <c r="I99" s="29" t="s">
        <v>836</v>
      </c>
      <c r="J99" s="29">
        <v>1</v>
      </c>
      <c r="K99" s="29" t="s">
        <v>320</v>
      </c>
      <c r="L99" s="29" t="s">
        <v>343</v>
      </c>
      <c r="M99" s="30" t="s">
        <v>747</v>
      </c>
      <c r="N99" s="30" t="s">
        <v>894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747</v>
      </c>
      <c r="N100" s="30" t="s">
        <v>894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472</v>
      </c>
      <c r="G101" s="30" t="s">
        <v>92</v>
      </c>
      <c r="H101" s="30" t="s">
        <v>165</v>
      </c>
      <c r="I101" s="29" t="s">
        <v>484</v>
      </c>
      <c r="J101" s="29">
        <v>2</v>
      </c>
      <c r="K101" s="29" t="s">
        <v>320</v>
      </c>
      <c r="L101" s="29" t="s">
        <v>343</v>
      </c>
      <c r="M101" s="30" t="s">
        <v>747</v>
      </c>
      <c r="N101" s="30" t="s">
        <v>894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445</v>
      </c>
      <c r="E102" s="30" t="s">
        <v>32</v>
      </c>
      <c r="F102" s="30" t="s">
        <v>654</v>
      </c>
      <c r="G102" s="30" t="s">
        <v>96</v>
      </c>
      <c r="H102" s="30" t="s">
        <v>165</v>
      </c>
      <c r="I102" s="29" t="s">
        <v>655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886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445</v>
      </c>
      <c r="E103" s="30" t="s">
        <v>32</v>
      </c>
      <c r="F103" s="30" t="s">
        <v>446</v>
      </c>
      <c r="G103" s="30" t="s">
        <v>145</v>
      </c>
      <c r="H103" s="30" t="s">
        <v>165</v>
      </c>
      <c r="I103" s="29" t="s">
        <v>447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886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445</v>
      </c>
      <c r="E104" s="30" t="s">
        <v>32</v>
      </c>
      <c r="F104" s="30" t="s">
        <v>832</v>
      </c>
      <c r="G104" s="30" t="s">
        <v>124</v>
      </c>
      <c r="H104" s="30" t="s">
        <v>165</v>
      </c>
      <c r="I104" s="29" t="s">
        <v>846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886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445</v>
      </c>
      <c r="E105" s="30" t="s">
        <v>32</v>
      </c>
      <c r="F105" s="30" t="s">
        <v>833</v>
      </c>
      <c r="G105" s="30" t="s">
        <v>103</v>
      </c>
      <c r="H105" s="30" t="s">
        <v>165</v>
      </c>
      <c r="I105" s="29" t="s">
        <v>847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886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922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922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939</v>
      </c>
      <c r="E108" s="30" t="s">
        <v>32</v>
      </c>
      <c r="F108" s="30" t="s">
        <v>940</v>
      </c>
      <c r="G108" s="30"/>
      <c r="H108" s="30" t="s">
        <v>165</v>
      </c>
      <c r="I108" s="29" t="s">
        <v>941</v>
      </c>
      <c r="J108" s="29"/>
      <c r="K108" s="29" t="s">
        <v>377</v>
      </c>
      <c r="L108" s="29">
        <v>30</v>
      </c>
      <c r="M108" s="30" t="s">
        <v>942</v>
      </c>
      <c r="N108" s="30" t="s">
        <v>886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954</v>
      </c>
      <c r="E109" s="33" t="s">
        <v>32</v>
      </c>
      <c r="F109" s="33" t="s">
        <v>955</v>
      </c>
      <c r="G109" s="33" t="s">
        <v>130</v>
      </c>
      <c r="H109" s="33" t="s">
        <v>165</v>
      </c>
      <c r="I109" s="32" t="s">
        <v>956</v>
      </c>
      <c r="J109" s="32">
        <v>10</v>
      </c>
      <c r="K109" s="32" t="s">
        <v>377</v>
      </c>
      <c r="L109" s="32">
        <v>40</v>
      </c>
      <c r="M109" s="33" t="s">
        <v>995</v>
      </c>
      <c r="N109" s="33" t="s">
        <v>902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645</v>
      </c>
      <c r="E110" s="30" t="s">
        <v>32</v>
      </c>
      <c r="F110" s="30" t="s">
        <v>646</v>
      </c>
      <c r="G110" s="30" t="s">
        <v>117</v>
      </c>
      <c r="H110" s="30" t="s">
        <v>165</v>
      </c>
      <c r="I110" s="29" t="s">
        <v>691</v>
      </c>
      <c r="J110" s="29">
        <v>1</v>
      </c>
      <c r="K110" s="29" t="s">
        <v>320</v>
      </c>
      <c r="L110" s="29">
        <v>35</v>
      </c>
      <c r="M110" s="30" t="s">
        <v>996</v>
      </c>
      <c r="N110" s="30" t="s">
        <v>899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547</v>
      </c>
      <c r="E111" s="30" t="s">
        <v>32</v>
      </c>
      <c r="F111" s="30" t="s">
        <v>548</v>
      </c>
      <c r="G111" s="30" t="s">
        <v>549</v>
      </c>
      <c r="H111" s="30" t="s">
        <v>165</v>
      </c>
      <c r="I111" s="29" t="s">
        <v>550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906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547</v>
      </c>
      <c r="E112" s="30" t="s">
        <v>32</v>
      </c>
      <c r="F112" s="30" t="s">
        <v>659</v>
      </c>
      <c r="G112" s="30" t="s">
        <v>40</v>
      </c>
      <c r="H112" s="30" t="s">
        <v>165</v>
      </c>
      <c r="I112" s="29" t="s">
        <v>692</v>
      </c>
      <c r="J112" s="29"/>
      <c r="K112" s="29" t="s">
        <v>320</v>
      </c>
      <c r="L112" s="29">
        <v>30</v>
      </c>
      <c r="M112" s="30" t="s">
        <v>298</v>
      </c>
      <c r="N112" s="30" t="s">
        <v>906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957</v>
      </c>
      <c r="E113" s="21" t="s">
        <v>32</v>
      </c>
      <c r="F113" s="21" t="s">
        <v>958</v>
      </c>
      <c r="G113" s="21" t="s">
        <v>402</v>
      </c>
      <c r="H113" s="21" t="s">
        <v>165</v>
      </c>
      <c r="I113" s="20" t="s">
        <v>959</v>
      </c>
      <c r="J113" s="20"/>
      <c r="K113" s="20" t="s">
        <v>377</v>
      </c>
      <c r="L113" s="20">
        <v>50</v>
      </c>
      <c r="M113" s="21" t="s">
        <v>960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667</v>
      </c>
      <c r="E114" s="30" t="s">
        <v>44</v>
      </c>
      <c r="F114" s="30" t="s">
        <v>617</v>
      </c>
      <c r="G114" s="30" t="s">
        <v>470</v>
      </c>
      <c r="H114" s="30" t="s">
        <v>165</v>
      </c>
      <c r="I114" s="29" t="s">
        <v>618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886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667</v>
      </c>
      <c r="E115" s="30" t="s">
        <v>44</v>
      </c>
      <c r="F115" s="30" t="s">
        <v>619</v>
      </c>
      <c r="G115" s="30" t="s">
        <v>91</v>
      </c>
      <c r="H115" s="30" t="s">
        <v>165</v>
      </c>
      <c r="I115" s="29" t="s">
        <v>618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886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999</v>
      </c>
      <c r="E116" s="30" t="s">
        <v>44</v>
      </c>
      <c r="F116" s="30" t="s">
        <v>983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377</v>
      </c>
      <c r="L116" s="29"/>
      <c r="M116" s="30"/>
      <c r="N116" s="30" t="s">
        <v>886</v>
      </c>
      <c r="O116" s="31">
        <v>1</v>
      </c>
      <c r="P116" s="31">
        <v>1</v>
      </c>
      <c r="Q116" s="30" t="s">
        <v>984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790</v>
      </c>
      <c r="E117" s="21" t="s">
        <v>469</v>
      </c>
      <c r="F117" s="21" t="s">
        <v>791</v>
      </c>
      <c r="G117" s="21" t="s">
        <v>114</v>
      </c>
      <c r="H117" s="21" t="s">
        <v>165</v>
      </c>
      <c r="I117" s="20" t="s">
        <v>792</v>
      </c>
      <c r="J117" s="20">
        <v>99</v>
      </c>
      <c r="K117" s="20" t="s">
        <v>377</v>
      </c>
      <c r="L117" s="20">
        <v>6</v>
      </c>
      <c r="M117" s="21" t="s">
        <v>935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785</v>
      </c>
      <c r="E118" s="30" t="s">
        <v>469</v>
      </c>
      <c r="F118" s="30" t="s">
        <v>786</v>
      </c>
      <c r="G118" s="30" t="s">
        <v>103</v>
      </c>
      <c r="H118" s="30" t="s">
        <v>165</v>
      </c>
      <c r="I118" s="29" t="s">
        <v>787</v>
      </c>
      <c r="J118" s="29">
        <v>2</v>
      </c>
      <c r="K118" s="29" t="s">
        <v>321</v>
      </c>
      <c r="L118" s="29">
        <v>15</v>
      </c>
      <c r="M118" s="30" t="s">
        <v>859</v>
      </c>
      <c r="N118" s="30" t="s">
        <v>886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530</v>
      </c>
      <c r="E119" s="30" t="s">
        <v>469</v>
      </c>
      <c r="F119" s="30" t="s">
        <v>535</v>
      </c>
      <c r="G119" s="30" t="s">
        <v>470</v>
      </c>
      <c r="H119" s="30" t="s">
        <v>165</v>
      </c>
      <c r="I119" s="29" t="s">
        <v>537</v>
      </c>
      <c r="J119" s="29">
        <v>99</v>
      </c>
      <c r="K119" s="29" t="s">
        <v>318</v>
      </c>
      <c r="L119" s="29">
        <v>13</v>
      </c>
      <c r="M119" s="30" t="s">
        <v>859</v>
      </c>
      <c r="N119" s="30" t="s">
        <v>886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530</v>
      </c>
      <c r="E120" s="30" t="s">
        <v>469</v>
      </c>
      <c r="F120" s="30" t="s">
        <v>531</v>
      </c>
      <c r="G120" s="30" t="s">
        <v>92</v>
      </c>
      <c r="H120" s="30" t="s">
        <v>165</v>
      </c>
      <c r="I120" s="29" t="s">
        <v>532</v>
      </c>
      <c r="J120" s="29">
        <v>2</v>
      </c>
      <c r="K120" s="29" t="s">
        <v>318</v>
      </c>
      <c r="L120" s="29">
        <v>13</v>
      </c>
      <c r="M120" s="30" t="s">
        <v>859</v>
      </c>
      <c r="N120" s="30" t="s">
        <v>886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530</v>
      </c>
      <c r="E121" s="30" t="s">
        <v>469</v>
      </c>
      <c r="F121" s="30" t="s">
        <v>536</v>
      </c>
      <c r="G121" s="30" t="s">
        <v>404</v>
      </c>
      <c r="H121" s="30" t="s">
        <v>165</v>
      </c>
      <c r="I121" s="29" t="s">
        <v>538</v>
      </c>
      <c r="J121" s="29">
        <v>99</v>
      </c>
      <c r="K121" s="29" t="s">
        <v>318</v>
      </c>
      <c r="L121" s="29">
        <v>13</v>
      </c>
      <c r="M121" s="30" t="s">
        <v>859</v>
      </c>
      <c r="N121" s="30" t="s">
        <v>886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530</v>
      </c>
      <c r="E122" s="30" t="s">
        <v>469</v>
      </c>
      <c r="F122" s="30" t="s">
        <v>773</v>
      </c>
      <c r="G122" s="30" t="s">
        <v>774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859</v>
      </c>
      <c r="N122" s="30" t="s">
        <v>886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530</v>
      </c>
      <c r="E123" s="30" t="s">
        <v>469</v>
      </c>
      <c r="F123" s="30" t="s">
        <v>775</v>
      </c>
      <c r="G123" s="30" t="s">
        <v>815</v>
      </c>
      <c r="H123" s="30" t="s">
        <v>165</v>
      </c>
      <c r="I123" s="29" t="s">
        <v>537</v>
      </c>
      <c r="J123" s="29">
        <v>3</v>
      </c>
      <c r="K123" s="29" t="s">
        <v>318</v>
      </c>
      <c r="L123" s="29">
        <v>13</v>
      </c>
      <c r="M123" s="30" t="s">
        <v>859</v>
      </c>
      <c r="N123" s="30" t="s">
        <v>886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660</v>
      </c>
      <c r="E124" s="30" t="s">
        <v>35</v>
      </c>
      <c r="F124" s="30" t="s">
        <v>633</v>
      </c>
      <c r="G124" s="30" t="s">
        <v>685</v>
      </c>
      <c r="H124" s="30" t="s">
        <v>165</v>
      </c>
      <c r="I124" s="29" t="s">
        <v>634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892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929</v>
      </c>
      <c r="E125" s="30" t="s">
        <v>469</v>
      </c>
      <c r="F125" s="30" t="s">
        <v>930</v>
      </c>
      <c r="G125" s="30" t="s">
        <v>38</v>
      </c>
      <c r="H125" s="30" t="s">
        <v>165</v>
      </c>
      <c r="I125" s="29" t="s">
        <v>931</v>
      </c>
      <c r="J125" s="29">
        <v>1</v>
      </c>
      <c r="K125" s="29" t="s">
        <v>377</v>
      </c>
      <c r="L125" s="29"/>
      <c r="M125" s="30"/>
      <c r="N125" s="30" t="s">
        <v>886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s="3" customFormat="1" ht="14.25" customHeight="1" x14ac:dyDescent="0.25">
      <c r="A126" s="29">
        <v>0</v>
      </c>
      <c r="B126" s="29">
        <v>2</v>
      </c>
      <c r="C126" s="29">
        <v>1</v>
      </c>
      <c r="D126" s="30" t="s">
        <v>756</v>
      </c>
      <c r="E126" s="30" t="s">
        <v>469</v>
      </c>
      <c r="F126" s="30" t="s">
        <v>757</v>
      </c>
      <c r="G126" s="30" t="s">
        <v>816</v>
      </c>
      <c r="H126" s="30" t="s">
        <v>165</v>
      </c>
      <c r="I126" s="29" t="s">
        <v>758</v>
      </c>
      <c r="J126" s="29">
        <v>99</v>
      </c>
      <c r="K126" s="29" t="s">
        <v>320</v>
      </c>
      <c r="L126" s="29"/>
      <c r="M126" s="30" t="s">
        <v>704</v>
      </c>
      <c r="N126" s="30" t="s">
        <v>886</v>
      </c>
      <c r="O126" s="31">
        <v>1</v>
      </c>
      <c r="P126" s="31">
        <v>1</v>
      </c>
      <c r="Q126" s="30"/>
      <c r="R126" s="2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C126" s="2"/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s="3" customFormat="1" ht="14.25" customHeight="1" x14ac:dyDescent="0.25">
      <c r="A127" s="29">
        <v>1</v>
      </c>
      <c r="B127" s="29">
        <v>2</v>
      </c>
      <c r="C127" s="29">
        <v>1</v>
      </c>
      <c r="D127" s="30" t="s">
        <v>756</v>
      </c>
      <c r="E127" s="30" t="s">
        <v>469</v>
      </c>
      <c r="F127" s="30" t="s">
        <v>1000</v>
      </c>
      <c r="G127" s="30" t="s">
        <v>1001</v>
      </c>
      <c r="H127" s="30" t="s">
        <v>165</v>
      </c>
      <c r="I127" s="29" t="s">
        <v>1002</v>
      </c>
      <c r="J127" s="29"/>
      <c r="K127" s="29" t="s">
        <v>320</v>
      </c>
      <c r="L127" s="29"/>
      <c r="M127" s="30" t="s">
        <v>704</v>
      </c>
      <c r="N127" s="30" t="s">
        <v>886</v>
      </c>
      <c r="O127" s="31">
        <v>1</v>
      </c>
      <c r="P127" s="31">
        <v>1</v>
      </c>
      <c r="Q127" s="30"/>
      <c r="R127" s="2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C127" s="2"/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s="3" customFormat="1" ht="14.25" customHeight="1" x14ac:dyDescent="0.25">
      <c r="A128" s="29">
        <v>0</v>
      </c>
      <c r="B128" s="29">
        <v>2</v>
      </c>
      <c r="C128" s="29">
        <v>1</v>
      </c>
      <c r="D128" s="30" t="s">
        <v>677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485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886</v>
      </c>
      <c r="O128" s="31">
        <v>1</v>
      </c>
      <c r="P128" s="31">
        <v>1</v>
      </c>
      <c r="Q128" s="30"/>
      <c r="R128" s="2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C128" s="2"/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677</v>
      </c>
      <c r="E129" s="30" t="s">
        <v>211</v>
      </c>
      <c r="F129" s="30" t="s">
        <v>648</v>
      </c>
      <c r="G129" s="30" t="s">
        <v>92</v>
      </c>
      <c r="H129" s="30" t="s">
        <v>165</v>
      </c>
      <c r="I129" s="29" t="s">
        <v>649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886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677</v>
      </c>
      <c r="E130" s="30" t="s">
        <v>211</v>
      </c>
      <c r="F130" s="30" t="s">
        <v>647</v>
      </c>
      <c r="G130" s="30" t="s">
        <v>40</v>
      </c>
      <c r="H130" s="30" t="s">
        <v>165</v>
      </c>
      <c r="I130" s="29" t="s">
        <v>650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886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966</v>
      </c>
      <c r="E131" s="30" t="s">
        <v>469</v>
      </c>
      <c r="F131" s="30" t="s">
        <v>967</v>
      </c>
      <c r="G131" s="30"/>
      <c r="H131" s="30" t="s">
        <v>165</v>
      </c>
      <c r="I131" s="29" t="s">
        <v>968</v>
      </c>
      <c r="J131" s="29"/>
      <c r="K131" s="29" t="s">
        <v>377</v>
      </c>
      <c r="L131" s="29"/>
      <c r="M131" s="30"/>
      <c r="N131" s="30" t="s">
        <v>886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460</v>
      </c>
      <c r="E132" s="30" t="s">
        <v>467</v>
      </c>
      <c r="F132" s="30" t="s">
        <v>473</v>
      </c>
      <c r="G132" s="30" t="s">
        <v>474</v>
      </c>
      <c r="H132" s="30" t="s">
        <v>165</v>
      </c>
      <c r="I132" s="29" t="s">
        <v>408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923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377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932</v>
      </c>
      <c r="E134" s="30" t="s">
        <v>933</v>
      </c>
      <c r="F134" s="30" t="s">
        <v>934</v>
      </c>
      <c r="G134" s="30"/>
      <c r="H134" s="30" t="s">
        <v>165</v>
      </c>
      <c r="I134" s="29" t="s">
        <v>33</v>
      </c>
      <c r="J134" s="29"/>
      <c r="K134" s="29" t="s">
        <v>377</v>
      </c>
      <c r="L134" s="29"/>
      <c r="M134" s="30"/>
      <c r="N134" s="30" t="s">
        <v>886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907</v>
      </c>
      <c r="E135" s="30" t="s">
        <v>35</v>
      </c>
      <c r="F135" s="30" t="s">
        <v>908</v>
      </c>
      <c r="G135" s="30"/>
      <c r="H135" s="30" t="s">
        <v>165</v>
      </c>
      <c r="I135" s="29" t="s">
        <v>909</v>
      </c>
      <c r="J135" s="29">
        <v>99</v>
      </c>
      <c r="K135" s="29" t="s">
        <v>377</v>
      </c>
      <c r="L135" s="29"/>
      <c r="M135" s="30"/>
      <c r="N135" s="30" t="s">
        <v>886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551</v>
      </c>
      <c r="E136" s="30" t="s">
        <v>211</v>
      </c>
      <c r="F136" s="30" t="s">
        <v>552</v>
      </c>
      <c r="G136" s="30" t="s">
        <v>553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859</v>
      </c>
      <c r="N136" s="30" t="s">
        <v>886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820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886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469</v>
      </c>
      <c r="F138" s="30" t="s">
        <v>353</v>
      </c>
      <c r="G138" s="30" t="s">
        <v>243</v>
      </c>
      <c r="H138" s="30" t="s">
        <v>165</v>
      </c>
      <c r="I138" s="29" t="s">
        <v>487</v>
      </c>
      <c r="J138" s="29">
        <v>9</v>
      </c>
      <c r="K138" s="29" t="s">
        <v>320</v>
      </c>
      <c r="L138" s="29">
        <v>11</v>
      </c>
      <c r="M138" s="30" t="s">
        <v>860</v>
      </c>
      <c r="N138" s="30" t="s">
        <v>892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469</v>
      </c>
      <c r="F139" s="30" t="s">
        <v>579</v>
      </c>
      <c r="G139" s="30" t="s">
        <v>554</v>
      </c>
      <c r="H139" s="30" t="s">
        <v>165</v>
      </c>
      <c r="I139" s="29" t="s">
        <v>555</v>
      </c>
      <c r="J139" s="29">
        <v>99</v>
      </c>
      <c r="K139" s="29" t="s">
        <v>320</v>
      </c>
      <c r="L139" s="29">
        <v>11</v>
      </c>
      <c r="M139" s="30" t="s">
        <v>861</v>
      </c>
      <c r="N139" s="30" t="s">
        <v>892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469</v>
      </c>
      <c r="F140" s="30" t="s">
        <v>1003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861</v>
      </c>
      <c r="N140" s="30" t="s">
        <v>892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886</v>
      </c>
      <c r="O141" s="31">
        <v>1</v>
      </c>
      <c r="P141" s="31">
        <v>1</v>
      </c>
      <c r="Q141" s="30"/>
      <c r="R141" s="2"/>
      <c r="S141" s="2">
        <f t="shared" ref="S141:S205" si="71">IF(J141=$S$7,1,0)</f>
        <v>0</v>
      </c>
      <c r="T141" s="2">
        <f t="shared" ref="T141:T205" si="72">IF(J141=$T$7,1,0)</f>
        <v>0</v>
      </c>
      <c r="U141" s="2">
        <f t="shared" ref="U141:U205" si="73">IF(J141=$U$7,1,0)</f>
        <v>0</v>
      </c>
      <c r="V141" s="2">
        <f t="shared" ref="V141:V205" si="74">IF(J141=$V$7,1,0)</f>
        <v>0</v>
      </c>
      <c r="W141" s="2">
        <f t="shared" ref="W141:W205" si="75">IF(J141=$W$7,1,0)</f>
        <v>0</v>
      </c>
      <c r="X141" s="2">
        <f t="shared" ref="X141:X205" si="76">IF(J141=$X$7,1,0)</f>
        <v>0</v>
      </c>
      <c r="Y141" s="2">
        <f t="shared" ref="Y141:Y205" si="77">IF(J141=$Y$7,1,0)</f>
        <v>0</v>
      </c>
      <c r="Z141" s="2">
        <f t="shared" ref="Z141:Z205" si="78">IF(J141=$Z$7,1,0)</f>
        <v>1</v>
      </c>
      <c r="AA141" s="2">
        <f t="shared" ref="AA141:AA205" si="79">IF(J141=$AA$7,1,0)</f>
        <v>0</v>
      </c>
      <c r="AB141" s="2">
        <f t="shared" ref="AB141:AB205" si="80">IF(J141=$AB$7,1,0)</f>
        <v>0</v>
      </c>
      <c r="AC141" s="2"/>
      <c r="AD141" s="2">
        <f t="shared" ref="AD141:AD205" si="81">+O141*P141</f>
        <v>1</v>
      </c>
      <c r="AE141" s="2">
        <f t="shared" ref="AE141:AE205" si="82">O141*(1-P141)</f>
        <v>0</v>
      </c>
      <c r="AF141" s="2">
        <f t="shared" ref="AF141:AF205" si="83">+O141*P141*(1-A141)</f>
        <v>1</v>
      </c>
      <c r="AG141" s="2">
        <f t="shared" ref="AG141:AG205" si="84">O141*(1-P141)*(1-A141)</f>
        <v>0</v>
      </c>
      <c r="AH141" s="2">
        <f t="shared" ref="AH141:AH205" si="85">+P141*(1-A141)</f>
        <v>1</v>
      </c>
      <c r="AI141" s="2">
        <f t="shared" ref="AI141:AI205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469</v>
      </c>
      <c r="F142" s="30" t="s">
        <v>581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496</v>
      </c>
      <c r="N142" s="30" t="s">
        <v>886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469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496</v>
      </c>
      <c r="N143" s="30" t="s">
        <v>886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469</v>
      </c>
      <c r="F144" s="30" t="s">
        <v>1004</v>
      </c>
      <c r="G144" s="30" t="s">
        <v>1005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496</v>
      </c>
      <c r="N144" s="30" t="s">
        <v>886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824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906</v>
      </c>
      <c r="O145" s="31">
        <v>1</v>
      </c>
      <c r="P145" s="31"/>
      <c r="Q145" s="30"/>
      <c r="R145" s="2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C145" s="2"/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s="3" customFormat="1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491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906</v>
      </c>
      <c r="O146" s="31">
        <v>1</v>
      </c>
      <c r="P146" s="31"/>
      <c r="Q146" s="30"/>
      <c r="R146" s="2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C146" s="2"/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914</v>
      </c>
      <c r="E147" s="30" t="s">
        <v>35</v>
      </c>
      <c r="F147" s="30" t="s">
        <v>915</v>
      </c>
      <c r="G147" s="30" t="s">
        <v>132</v>
      </c>
      <c r="H147" s="30" t="s">
        <v>165</v>
      </c>
      <c r="I147" s="29" t="s">
        <v>916</v>
      </c>
      <c r="J147" s="29">
        <v>99</v>
      </c>
      <c r="K147" s="29" t="s">
        <v>377</v>
      </c>
      <c r="L147" s="29"/>
      <c r="M147" s="30"/>
      <c r="N147" s="30" t="s">
        <v>886</v>
      </c>
      <c r="O147" s="31">
        <v>1</v>
      </c>
      <c r="P147" s="31">
        <v>1</v>
      </c>
      <c r="Q147" s="30"/>
      <c r="R147" s="2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C147" s="2"/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454</v>
      </c>
      <c r="E148" s="30" t="s">
        <v>455</v>
      </c>
      <c r="F148" s="30" t="s">
        <v>456</v>
      </c>
      <c r="G148" s="30" t="s">
        <v>457</v>
      </c>
      <c r="H148" s="30" t="s">
        <v>165</v>
      </c>
      <c r="I148" s="29" t="s">
        <v>458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886</v>
      </c>
      <c r="O148" s="31">
        <v>1</v>
      </c>
      <c r="P148" s="31">
        <v>1</v>
      </c>
      <c r="Q148" s="30"/>
      <c r="R148" s="2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C148" s="2"/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s="3" customFormat="1" ht="14.25" customHeight="1" x14ac:dyDescent="0.25">
      <c r="A149" s="29">
        <v>0</v>
      </c>
      <c r="B149" s="29">
        <v>2</v>
      </c>
      <c r="C149" s="29">
        <v>1</v>
      </c>
      <c r="D149" s="30" t="s">
        <v>559</v>
      </c>
      <c r="E149" s="30" t="s">
        <v>35</v>
      </c>
      <c r="F149" s="30" t="s">
        <v>827</v>
      </c>
      <c r="G149" s="30" t="s">
        <v>518</v>
      </c>
      <c r="H149" s="30" t="s">
        <v>165</v>
      </c>
      <c r="I149" s="29" t="s">
        <v>560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892</v>
      </c>
      <c r="O149" s="31">
        <v>1</v>
      </c>
      <c r="P149" s="31"/>
      <c r="Q149" s="30" t="s">
        <v>950</v>
      </c>
      <c r="R149" s="2"/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C149" s="2"/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s="3" customFormat="1" ht="14.25" customHeight="1" x14ac:dyDescent="0.25">
      <c r="A150" s="29">
        <v>0</v>
      </c>
      <c r="B150" s="29">
        <v>2</v>
      </c>
      <c r="C150" s="29">
        <v>1</v>
      </c>
      <c r="D150" s="30" t="s">
        <v>391</v>
      </c>
      <c r="E150" s="30" t="s">
        <v>37</v>
      </c>
      <c r="F150" s="30" t="s">
        <v>482</v>
      </c>
      <c r="G150" s="30" t="s">
        <v>130</v>
      </c>
      <c r="H150" s="30" t="s">
        <v>165</v>
      </c>
      <c r="I150" s="29" t="s">
        <v>392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892</v>
      </c>
      <c r="O150" s="31">
        <v>1</v>
      </c>
      <c r="P150" s="31"/>
      <c r="Q150" s="30"/>
      <c r="R150" s="2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C150" s="2"/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s="3" customFormat="1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583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892</v>
      </c>
      <c r="O151" s="31">
        <v>1</v>
      </c>
      <c r="P151" s="31"/>
      <c r="Q151" s="30"/>
      <c r="R151" s="2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C151" s="2"/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s="3" customFormat="1" ht="14.25" customHeight="1" x14ac:dyDescent="0.25">
      <c r="A152" s="20">
        <v>0</v>
      </c>
      <c r="B152" s="20">
        <v>2</v>
      </c>
      <c r="C152" s="20">
        <v>2</v>
      </c>
      <c r="D152" s="21" t="s">
        <v>719</v>
      </c>
      <c r="E152" s="21" t="s">
        <v>813</v>
      </c>
      <c r="F152" s="21" t="s">
        <v>720</v>
      </c>
      <c r="G152" s="21" t="s">
        <v>96</v>
      </c>
      <c r="H152" s="21" t="s">
        <v>165</v>
      </c>
      <c r="I152" s="20" t="s">
        <v>721</v>
      </c>
      <c r="J152" s="20">
        <v>3</v>
      </c>
      <c r="K152" s="20" t="s">
        <v>319</v>
      </c>
      <c r="L152" s="20">
        <v>35</v>
      </c>
      <c r="M152" s="21" t="s">
        <v>876</v>
      </c>
      <c r="N152" s="21"/>
      <c r="O152" s="7"/>
      <c r="P152" s="7"/>
      <c r="Q152" s="21"/>
      <c r="R152" s="2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C152" s="2"/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502</v>
      </c>
      <c r="E153" s="30" t="s">
        <v>672</v>
      </c>
      <c r="F153" s="30" t="s">
        <v>503</v>
      </c>
      <c r="G153" s="30" t="s">
        <v>137</v>
      </c>
      <c r="H153" s="30" t="s">
        <v>165</v>
      </c>
      <c r="I153" s="29" t="s">
        <v>504</v>
      </c>
      <c r="J153" s="29">
        <v>1</v>
      </c>
      <c r="K153" s="29" t="s">
        <v>318</v>
      </c>
      <c r="L153" s="29">
        <v>45</v>
      </c>
      <c r="M153" s="30" t="s">
        <v>877</v>
      </c>
      <c r="N153" s="30" t="s">
        <v>892</v>
      </c>
      <c r="O153" s="31">
        <v>1</v>
      </c>
      <c r="P153" s="31"/>
      <c r="Q153" s="30"/>
      <c r="R153" s="2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C153" s="2"/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s="3" customFormat="1" ht="14.25" customHeight="1" x14ac:dyDescent="0.25">
      <c r="A154" s="32">
        <v>0</v>
      </c>
      <c r="B154" s="32">
        <v>2</v>
      </c>
      <c r="C154" s="32">
        <v>2</v>
      </c>
      <c r="D154" s="33" t="s">
        <v>793</v>
      </c>
      <c r="E154" s="33"/>
      <c r="F154" s="33" t="s">
        <v>794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377</v>
      </c>
      <c r="L154" s="32">
        <v>40</v>
      </c>
      <c r="M154" s="33" t="s">
        <v>795</v>
      </c>
      <c r="N154" s="33" t="s">
        <v>922</v>
      </c>
      <c r="O154" s="34"/>
      <c r="P154" s="34"/>
      <c r="Q154" s="33"/>
      <c r="R154" s="2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C154" s="2"/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723</v>
      </c>
      <c r="E155" s="30" t="s">
        <v>30</v>
      </c>
      <c r="F155" s="30" t="s">
        <v>784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724</v>
      </c>
      <c r="N155" s="30" t="s">
        <v>892</v>
      </c>
      <c r="O155" s="31">
        <v>1</v>
      </c>
      <c r="P155" s="31"/>
      <c r="Q155" s="30"/>
      <c r="R155" s="2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C155" s="2"/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s="3" customFormat="1" ht="14.25" customHeight="1" x14ac:dyDescent="0.25">
      <c r="A156" s="29">
        <v>0</v>
      </c>
      <c r="B156" s="29">
        <v>2</v>
      </c>
      <c r="C156" s="29">
        <v>2</v>
      </c>
      <c r="D156" s="30" t="s">
        <v>522</v>
      </c>
      <c r="E156" s="30" t="s">
        <v>523</v>
      </c>
      <c r="F156" s="30" t="s">
        <v>514</v>
      </c>
      <c r="G156" s="30" t="s">
        <v>515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886</v>
      </c>
      <c r="O156" s="31">
        <v>1</v>
      </c>
      <c r="P156" s="31">
        <v>1</v>
      </c>
      <c r="Q156" s="30"/>
      <c r="R156" s="2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C156" s="2"/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s="3" customFormat="1" ht="14.25" customHeight="1" x14ac:dyDescent="0.25">
      <c r="A157" s="29">
        <v>1</v>
      </c>
      <c r="B157" s="29">
        <v>2</v>
      </c>
      <c r="C157" s="29">
        <v>2</v>
      </c>
      <c r="D157" s="30" t="s">
        <v>522</v>
      </c>
      <c r="E157" s="30" t="s">
        <v>523</v>
      </c>
      <c r="F157" s="30" t="s">
        <v>777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886</v>
      </c>
      <c r="O157" s="31">
        <v>1</v>
      </c>
      <c r="P157" s="31">
        <v>1</v>
      </c>
      <c r="Q157" s="30"/>
      <c r="R157" s="2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C157" s="2"/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904</v>
      </c>
      <c r="O158" s="31">
        <v>1</v>
      </c>
      <c r="P158" s="31"/>
      <c r="Q158" s="30"/>
      <c r="R158" s="2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C158" s="2"/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s="3" customFormat="1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722</v>
      </c>
      <c r="G159" s="30" t="s">
        <v>583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904</v>
      </c>
      <c r="O159" s="31">
        <v>1</v>
      </c>
      <c r="P159" s="31"/>
      <c r="Q159" s="30"/>
      <c r="R159" s="2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C159" s="2"/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s="3" customFormat="1" ht="14.25" customHeight="1" x14ac:dyDescent="0.25">
      <c r="A160" s="29">
        <v>0</v>
      </c>
      <c r="B160" s="29">
        <v>2</v>
      </c>
      <c r="C160" s="29">
        <v>2</v>
      </c>
      <c r="D160" s="30" t="s">
        <v>679</v>
      </c>
      <c r="E160" s="30" t="s">
        <v>674</v>
      </c>
      <c r="F160" s="30" t="s">
        <v>477</v>
      </c>
      <c r="G160" s="30" t="s">
        <v>122</v>
      </c>
      <c r="H160" s="30" t="s">
        <v>165</v>
      </c>
      <c r="I160" s="29" t="s">
        <v>418</v>
      </c>
      <c r="J160" s="29">
        <v>6</v>
      </c>
      <c r="K160" s="29" t="s">
        <v>319</v>
      </c>
      <c r="L160" s="29" t="s">
        <v>339</v>
      </c>
      <c r="M160" s="30" t="s">
        <v>741</v>
      </c>
      <c r="N160" s="30" t="s">
        <v>894</v>
      </c>
      <c r="O160" s="31">
        <v>1</v>
      </c>
      <c r="P160" s="31"/>
      <c r="Q160" s="30"/>
      <c r="R160" s="2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C160" s="2"/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436</v>
      </c>
      <c r="E161" s="30" t="s">
        <v>30</v>
      </c>
      <c r="F161" s="30" t="s">
        <v>946</v>
      </c>
      <c r="G161" s="30" t="s">
        <v>578</v>
      </c>
      <c r="H161" s="30" t="s">
        <v>165</v>
      </c>
      <c r="I161" s="29" t="s">
        <v>592</v>
      </c>
      <c r="J161" s="29">
        <v>99</v>
      </c>
      <c r="K161" s="29" t="s">
        <v>377</v>
      </c>
      <c r="L161" s="29">
        <v>35</v>
      </c>
      <c r="M161" s="30" t="s">
        <v>598</v>
      </c>
      <c r="N161" s="30" t="s">
        <v>928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561</v>
      </c>
      <c r="E162" s="30" t="s">
        <v>562</v>
      </c>
      <c r="F162" s="30" t="s">
        <v>563</v>
      </c>
      <c r="G162" s="30" t="s">
        <v>564</v>
      </c>
      <c r="H162" s="30" t="s">
        <v>165</v>
      </c>
      <c r="I162" s="29" t="s">
        <v>565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886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6">
        <v>0</v>
      </c>
      <c r="B163" s="26">
        <v>2</v>
      </c>
      <c r="C163" s="26">
        <v>2</v>
      </c>
      <c r="D163" s="27" t="s">
        <v>961</v>
      </c>
      <c r="E163" s="27" t="s">
        <v>962</v>
      </c>
      <c r="F163" s="27" t="s">
        <v>963</v>
      </c>
      <c r="G163" s="27" t="s">
        <v>964</v>
      </c>
      <c r="H163" s="27" t="s">
        <v>165</v>
      </c>
      <c r="I163" s="26" t="s">
        <v>965</v>
      </c>
      <c r="J163" s="26"/>
      <c r="K163" s="26" t="s">
        <v>377</v>
      </c>
      <c r="L163" s="26"/>
      <c r="M163" s="27"/>
      <c r="N163" s="27"/>
      <c r="O163" s="28"/>
      <c r="P163" s="28">
        <v>1</v>
      </c>
      <c r="Q163" s="27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0</v>
      </c>
      <c r="AE163" s="2">
        <f t="shared" si="82"/>
        <v>0</v>
      </c>
      <c r="AF163" s="2">
        <f t="shared" si="83"/>
        <v>0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988</v>
      </c>
      <c r="E164" s="30" t="s">
        <v>985</v>
      </c>
      <c r="F164" s="30" t="s">
        <v>986</v>
      </c>
      <c r="G164" s="30" t="s">
        <v>137</v>
      </c>
      <c r="H164" s="30" t="s">
        <v>165</v>
      </c>
      <c r="I164" s="29" t="s">
        <v>987</v>
      </c>
      <c r="J164" s="29">
        <v>1</v>
      </c>
      <c r="K164" s="29" t="s">
        <v>377</v>
      </c>
      <c r="L164" s="29"/>
      <c r="M164" s="30"/>
      <c r="N164" s="30" t="s">
        <v>886</v>
      </c>
      <c r="O164" s="31">
        <v>1</v>
      </c>
      <c r="P164" s="31">
        <v>1</v>
      </c>
      <c r="Q164" s="30" t="s">
        <v>989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936</v>
      </c>
      <c r="E165" s="30" t="s">
        <v>469</v>
      </c>
      <c r="F165" s="30" t="s">
        <v>937</v>
      </c>
      <c r="G165" s="30" t="s">
        <v>96</v>
      </c>
      <c r="H165" s="30" t="s">
        <v>165</v>
      </c>
      <c r="I165" s="29" t="s">
        <v>938</v>
      </c>
      <c r="J165" s="29"/>
      <c r="K165" s="29" t="s">
        <v>377</v>
      </c>
      <c r="L165" s="29"/>
      <c r="M165" s="30"/>
      <c r="N165" s="30" t="s">
        <v>886</v>
      </c>
      <c r="O165" s="31">
        <v>1</v>
      </c>
      <c r="P165" s="31">
        <v>1</v>
      </c>
      <c r="Q165" s="30" t="s">
        <v>991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709</v>
      </c>
      <c r="E166" s="30" t="s">
        <v>30</v>
      </c>
      <c r="F166" s="30" t="s">
        <v>711</v>
      </c>
      <c r="G166" s="30" t="s">
        <v>712</v>
      </c>
      <c r="H166" s="30" t="s">
        <v>165</v>
      </c>
      <c r="I166" s="29" t="s">
        <v>713</v>
      </c>
      <c r="J166" s="29">
        <v>99</v>
      </c>
      <c r="K166" s="29" t="s">
        <v>320</v>
      </c>
      <c r="L166" s="29">
        <v>55</v>
      </c>
      <c r="M166" s="30" t="s">
        <v>992</v>
      </c>
      <c r="N166" s="30" t="s">
        <v>906</v>
      </c>
      <c r="O166" s="31">
        <v>1</v>
      </c>
      <c r="P166" s="31"/>
      <c r="Q166" s="30" t="s">
        <v>990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441</v>
      </c>
      <c r="E167" s="30" t="s">
        <v>442</v>
      </c>
      <c r="F167" s="30" t="s">
        <v>444</v>
      </c>
      <c r="G167" s="30" t="s">
        <v>93</v>
      </c>
      <c r="H167" s="30" t="s">
        <v>165</v>
      </c>
      <c r="I167" s="29" t="s">
        <v>443</v>
      </c>
      <c r="J167" s="29">
        <v>8</v>
      </c>
      <c r="K167" s="29" t="s">
        <v>318</v>
      </c>
      <c r="L167" s="29">
        <v>40</v>
      </c>
      <c r="M167" s="30" t="s">
        <v>878</v>
      </c>
      <c r="N167" s="30" t="s">
        <v>900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810</v>
      </c>
      <c r="E168" s="33" t="s">
        <v>455</v>
      </c>
      <c r="F168" s="33" t="s">
        <v>789</v>
      </c>
      <c r="G168" s="33" t="s">
        <v>670</v>
      </c>
      <c r="H168" s="33" t="s">
        <v>165</v>
      </c>
      <c r="I168" s="32" t="s">
        <v>788</v>
      </c>
      <c r="J168" s="32">
        <v>99</v>
      </c>
      <c r="K168" s="32" t="s">
        <v>319</v>
      </c>
      <c r="L168" s="32">
        <v>20</v>
      </c>
      <c r="M168" s="33" t="s">
        <v>891</v>
      </c>
      <c r="N168" s="33" t="s">
        <v>893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717</v>
      </c>
      <c r="E169" s="33" t="s">
        <v>814</v>
      </c>
      <c r="F169" s="33" t="s">
        <v>828</v>
      </c>
      <c r="G169" s="33" t="s">
        <v>137</v>
      </c>
      <c r="H169" s="33" t="s">
        <v>165</v>
      </c>
      <c r="I169" s="32" t="s">
        <v>718</v>
      </c>
      <c r="J169" s="32">
        <v>1</v>
      </c>
      <c r="K169" s="32" t="s">
        <v>318</v>
      </c>
      <c r="L169" s="32">
        <v>40</v>
      </c>
      <c r="M169" s="33" t="s">
        <v>879</v>
      </c>
      <c r="N169" s="33" t="s">
        <v>888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6">
        <v>0</v>
      </c>
      <c r="B170" s="26">
        <v>2</v>
      </c>
      <c r="C170" s="26">
        <v>2</v>
      </c>
      <c r="D170" s="27" t="s">
        <v>465</v>
      </c>
      <c r="E170" s="27" t="s">
        <v>30</v>
      </c>
      <c r="F170" s="27" t="s">
        <v>423</v>
      </c>
      <c r="G170" s="27" t="s">
        <v>160</v>
      </c>
      <c r="H170" s="27" t="s">
        <v>165</v>
      </c>
      <c r="I170" s="26" t="s">
        <v>424</v>
      </c>
      <c r="J170" s="26">
        <v>1</v>
      </c>
      <c r="K170" s="26" t="s">
        <v>321</v>
      </c>
      <c r="L170" s="26" t="s">
        <v>40</v>
      </c>
      <c r="M170" s="27" t="s">
        <v>40</v>
      </c>
      <c r="N170" s="27"/>
      <c r="O170" s="28"/>
      <c r="P170" s="28">
        <v>1</v>
      </c>
      <c r="Q170" s="27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0</v>
      </c>
      <c r="AE170" s="2">
        <f t="shared" si="82"/>
        <v>0</v>
      </c>
      <c r="AF170" s="2">
        <f t="shared" si="83"/>
        <v>0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369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886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796</v>
      </c>
      <c r="E172" s="30" t="s">
        <v>571</v>
      </c>
      <c r="F172" s="30" t="s">
        <v>948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886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796</v>
      </c>
      <c r="E173" s="30" t="s">
        <v>571</v>
      </c>
      <c r="F173" s="30" t="s">
        <v>819</v>
      </c>
      <c r="G173" s="30" t="s">
        <v>160</v>
      </c>
      <c r="H173" s="30" t="s">
        <v>165</v>
      </c>
      <c r="I173" s="29" t="s">
        <v>501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886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448</v>
      </c>
      <c r="E174" s="21" t="s">
        <v>449</v>
      </c>
      <c r="F174" s="21" t="s">
        <v>450</v>
      </c>
      <c r="G174" s="21" t="s">
        <v>107</v>
      </c>
      <c r="H174" s="21" t="s">
        <v>165</v>
      </c>
      <c r="I174" s="20" t="s">
        <v>451</v>
      </c>
      <c r="J174" s="20">
        <v>99</v>
      </c>
      <c r="K174" s="20" t="s">
        <v>377</v>
      </c>
      <c r="L174" s="20">
        <v>10</v>
      </c>
      <c r="M174" s="21" t="s">
        <v>599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886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924</v>
      </c>
      <c r="E176" s="30"/>
      <c r="F176" s="30" t="s">
        <v>925</v>
      </c>
      <c r="G176" s="30"/>
      <c r="H176" s="30" t="s">
        <v>165</v>
      </c>
      <c r="I176" s="29" t="s">
        <v>926</v>
      </c>
      <c r="J176" s="29"/>
      <c r="K176" s="29" t="s">
        <v>377</v>
      </c>
      <c r="L176" s="29"/>
      <c r="M176" s="30"/>
      <c r="N176" s="30" t="s">
        <v>886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s="3" customFormat="1" ht="14.25" customHeight="1" x14ac:dyDescent="0.25">
      <c r="A177" s="20">
        <v>0</v>
      </c>
      <c r="B177" s="20">
        <v>2</v>
      </c>
      <c r="C177" s="20">
        <v>3</v>
      </c>
      <c r="D177" s="21" t="s">
        <v>651</v>
      </c>
      <c r="E177" s="21" t="s">
        <v>37</v>
      </c>
      <c r="F177" s="21" t="s">
        <v>652</v>
      </c>
      <c r="G177" s="21" t="s">
        <v>117</v>
      </c>
      <c r="H177" s="21" t="s">
        <v>165</v>
      </c>
      <c r="I177" s="20" t="s">
        <v>653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R177" s="2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C177" s="2"/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s="3" customFormat="1" ht="14.25" customHeight="1" x14ac:dyDescent="0.25">
      <c r="A178" s="29">
        <v>0</v>
      </c>
      <c r="B178" s="29">
        <v>2</v>
      </c>
      <c r="C178" s="29">
        <v>4</v>
      </c>
      <c r="D178" s="30" t="s">
        <v>545</v>
      </c>
      <c r="E178" s="30" t="s">
        <v>29</v>
      </c>
      <c r="F178" s="30" t="s">
        <v>406</v>
      </c>
      <c r="G178" s="30" t="s">
        <v>404</v>
      </c>
      <c r="H178" s="30" t="s">
        <v>165</v>
      </c>
      <c r="I178" s="29" t="s">
        <v>546</v>
      </c>
      <c r="J178" s="29">
        <v>99</v>
      </c>
      <c r="K178" s="29" t="s">
        <v>377</v>
      </c>
      <c r="L178" s="29">
        <v>35</v>
      </c>
      <c r="M178" s="30" t="s">
        <v>919</v>
      </c>
      <c r="N178" s="30" t="s">
        <v>928</v>
      </c>
      <c r="O178" s="31">
        <v>1</v>
      </c>
      <c r="P178" s="31"/>
      <c r="Q178" s="30"/>
      <c r="R178" s="2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C178" s="2"/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s="3" customFormat="1" ht="14.25" customHeight="1" x14ac:dyDescent="0.25">
      <c r="A179" s="29">
        <v>0</v>
      </c>
      <c r="B179" s="29">
        <v>2</v>
      </c>
      <c r="C179" s="29">
        <v>4</v>
      </c>
      <c r="D179" s="30" t="s">
        <v>62</v>
      </c>
      <c r="E179" s="30" t="s">
        <v>36</v>
      </c>
      <c r="F179" s="30" t="s">
        <v>134</v>
      </c>
      <c r="G179" s="30" t="s">
        <v>40</v>
      </c>
      <c r="H179" s="30" t="s">
        <v>165</v>
      </c>
      <c r="I179" s="29" t="s">
        <v>183</v>
      </c>
      <c r="J179" s="29">
        <v>4</v>
      </c>
      <c r="K179" s="29" t="s">
        <v>320</v>
      </c>
      <c r="L179" s="29" t="s">
        <v>850</v>
      </c>
      <c r="M179" s="30" t="s">
        <v>742</v>
      </c>
      <c r="N179" s="30" t="s">
        <v>923</v>
      </c>
      <c r="O179" s="31">
        <v>1</v>
      </c>
      <c r="P179" s="31"/>
      <c r="Q179" s="30"/>
      <c r="R179" s="2"/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1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C179" s="2"/>
      <c r="AD179" s="2">
        <f t="shared" si="81"/>
        <v>0</v>
      </c>
      <c r="AE179" s="2">
        <f t="shared" si="82"/>
        <v>1</v>
      </c>
      <c r="AF179" s="2">
        <f t="shared" si="83"/>
        <v>0</v>
      </c>
      <c r="AG179" s="2">
        <f t="shared" si="84"/>
        <v>1</v>
      </c>
      <c r="AH179" s="2">
        <f t="shared" si="85"/>
        <v>0</v>
      </c>
      <c r="AI179" s="2">
        <f t="shared" si="86"/>
        <v>1</v>
      </c>
    </row>
    <row r="180" spans="1:35" s="3" customFormat="1" ht="14.25" customHeight="1" x14ac:dyDescent="0.25">
      <c r="A180" s="32">
        <v>0</v>
      </c>
      <c r="B180" s="32">
        <v>2</v>
      </c>
      <c r="C180" s="32">
        <v>4</v>
      </c>
      <c r="D180" s="33" t="s">
        <v>65</v>
      </c>
      <c r="E180" s="33" t="s">
        <v>88</v>
      </c>
      <c r="F180" s="33" t="s">
        <v>141</v>
      </c>
      <c r="G180" s="33" t="s">
        <v>140</v>
      </c>
      <c r="H180" s="33" t="s">
        <v>165</v>
      </c>
      <c r="I180" s="32" t="s">
        <v>186</v>
      </c>
      <c r="J180" s="32">
        <v>99</v>
      </c>
      <c r="K180" s="32" t="s">
        <v>320</v>
      </c>
      <c r="L180" s="32" t="s">
        <v>338</v>
      </c>
      <c r="M180" s="33" t="s">
        <v>205</v>
      </c>
      <c r="N180" s="33" t="s">
        <v>888</v>
      </c>
      <c r="O180" s="34"/>
      <c r="P180" s="34"/>
      <c r="Q180" s="33"/>
      <c r="R180" s="2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0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C180" s="2"/>
      <c r="AD180" s="2">
        <f t="shared" si="81"/>
        <v>0</v>
      </c>
      <c r="AE180" s="2">
        <f t="shared" si="82"/>
        <v>0</v>
      </c>
      <c r="AF180" s="2">
        <f t="shared" si="83"/>
        <v>0</v>
      </c>
      <c r="AG180" s="2">
        <f t="shared" si="84"/>
        <v>0</v>
      </c>
      <c r="AH180" s="2">
        <f t="shared" si="85"/>
        <v>0</v>
      </c>
      <c r="AI180" s="2">
        <f t="shared" si="86"/>
        <v>1</v>
      </c>
    </row>
    <row r="181" spans="1:35" s="3" customFormat="1" ht="14.25" customHeight="1" x14ac:dyDescent="0.25">
      <c r="A181" s="29">
        <v>0</v>
      </c>
      <c r="B181" s="29">
        <v>2</v>
      </c>
      <c r="C181" s="29">
        <v>4</v>
      </c>
      <c r="D181" s="30" t="s">
        <v>81</v>
      </c>
      <c r="E181" s="30" t="s">
        <v>36</v>
      </c>
      <c r="F181" s="30" t="s">
        <v>366</v>
      </c>
      <c r="G181" s="30" t="s">
        <v>640</v>
      </c>
      <c r="H181" s="30" t="s">
        <v>165</v>
      </c>
      <c r="I181" s="29" t="s">
        <v>204</v>
      </c>
      <c r="J181" s="29">
        <v>4</v>
      </c>
      <c r="K181" s="29" t="s">
        <v>318</v>
      </c>
      <c r="L181" s="29" t="s">
        <v>851</v>
      </c>
      <c r="M181" s="30" t="s">
        <v>743</v>
      </c>
      <c r="N181" s="30" t="s">
        <v>923</v>
      </c>
      <c r="O181" s="31">
        <v>1</v>
      </c>
      <c r="P181" s="31"/>
      <c r="Q181" s="30"/>
      <c r="R181" s="2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1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C181" s="2"/>
      <c r="AD181" s="2">
        <f t="shared" si="81"/>
        <v>0</v>
      </c>
      <c r="AE181" s="2">
        <f t="shared" si="82"/>
        <v>1</v>
      </c>
      <c r="AF181" s="2">
        <f t="shared" si="83"/>
        <v>0</v>
      </c>
      <c r="AG181" s="2">
        <f t="shared" si="84"/>
        <v>1</v>
      </c>
      <c r="AH181" s="2">
        <f t="shared" si="85"/>
        <v>0</v>
      </c>
      <c r="AI181" s="2">
        <f t="shared" si="86"/>
        <v>1</v>
      </c>
    </row>
    <row r="182" spans="1:35" s="3" customFormat="1" ht="14.25" customHeight="1" x14ac:dyDescent="0.25">
      <c r="A182" s="29">
        <v>1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851</v>
      </c>
      <c r="M182" s="30" t="s">
        <v>743</v>
      </c>
      <c r="N182" s="30" t="s">
        <v>923</v>
      </c>
      <c r="O182" s="31">
        <v>1</v>
      </c>
      <c r="P182" s="31"/>
      <c r="Q182" s="30"/>
      <c r="R182" s="2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C182" s="2"/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0</v>
      </c>
      <c r="AH182" s="2">
        <f t="shared" si="85"/>
        <v>0</v>
      </c>
      <c r="AI182" s="2">
        <f t="shared" si="86"/>
        <v>0</v>
      </c>
    </row>
    <row r="183" spans="1:35" s="3" customFormat="1" ht="14.25" customHeight="1" x14ac:dyDescent="0.25">
      <c r="A183" s="29">
        <v>1</v>
      </c>
      <c r="B183" s="29">
        <v>2</v>
      </c>
      <c r="C183" s="29">
        <v>4</v>
      </c>
      <c r="D183" s="30" t="s">
        <v>81</v>
      </c>
      <c r="E183" s="30" t="s">
        <v>36</v>
      </c>
      <c r="F183" s="30" t="s">
        <v>797</v>
      </c>
      <c r="G183" s="30" t="s">
        <v>107</v>
      </c>
      <c r="H183" s="30" t="s">
        <v>165</v>
      </c>
      <c r="I183" s="29" t="s">
        <v>798</v>
      </c>
      <c r="J183" s="29">
        <v>99</v>
      </c>
      <c r="K183" s="29" t="s">
        <v>318</v>
      </c>
      <c r="L183" s="29" t="s">
        <v>851</v>
      </c>
      <c r="M183" s="30" t="s">
        <v>743</v>
      </c>
      <c r="N183" s="30" t="s">
        <v>923</v>
      </c>
      <c r="O183" s="31">
        <v>1</v>
      </c>
      <c r="P183" s="31"/>
      <c r="Q183" s="30"/>
      <c r="R183" s="2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C183" s="2"/>
      <c r="AD183" s="2">
        <f t="shared" si="81"/>
        <v>0</v>
      </c>
      <c r="AE183" s="2">
        <f t="shared" si="82"/>
        <v>1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0</v>
      </c>
    </row>
    <row r="184" spans="1:35" s="3" customFormat="1" ht="14.25" customHeight="1" x14ac:dyDescent="0.25">
      <c r="A184" s="20">
        <v>0</v>
      </c>
      <c r="B184" s="20">
        <v>2</v>
      </c>
      <c r="C184" s="20">
        <v>4</v>
      </c>
      <c r="D184" s="21" t="s">
        <v>969</v>
      </c>
      <c r="E184" s="21" t="s">
        <v>970</v>
      </c>
      <c r="F184" s="21" t="s">
        <v>971</v>
      </c>
      <c r="G184" s="21" t="s">
        <v>972</v>
      </c>
      <c r="H184" s="21" t="s">
        <v>165</v>
      </c>
      <c r="I184" s="20"/>
      <c r="J184" s="20"/>
      <c r="K184" s="20" t="s">
        <v>377</v>
      </c>
      <c r="L184" s="20">
        <v>35</v>
      </c>
      <c r="M184" s="21" t="s">
        <v>973</v>
      </c>
      <c r="N184" s="21"/>
      <c r="O184" s="20"/>
      <c r="P184" s="20"/>
      <c r="Q184" s="21"/>
      <c r="R184" s="2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0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C184" s="2"/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s="3" customFormat="1" ht="14.25" customHeight="1" x14ac:dyDescent="0.25">
      <c r="A185" s="20">
        <v>0</v>
      </c>
      <c r="B185" s="20">
        <v>2</v>
      </c>
      <c r="C185" s="20">
        <v>4</v>
      </c>
      <c r="D185" s="21" t="s">
        <v>288</v>
      </c>
      <c r="E185" s="21" t="s">
        <v>85</v>
      </c>
      <c r="F185" s="21" t="s">
        <v>367</v>
      </c>
      <c r="G185" s="21" t="s">
        <v>308</v>
      </c>
      <c r="H185" s="21" t="s">
        <v>165</v>
      </c>
      <c r="I185" s="20" t="s">
        <v>289</v>
      </c>
      <c r="J185" s="20">
        <v>6</v>
      </c>
      <c r="K185" s="20" t="s">
        <v>319</v>
      </c>
      <c r="L185" s="20">
        <v>30</v>
      </c>
      <c r="M185" s="38" t="s">
        <v>896</v>
      </c>
      <c r="N185" s="21"/>
      <c r="O185" s="7"/>
      <c r="P185" s="7"/>
      <c r="Q185" s="21"/>
      <c r="R185" s="2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C185" s="2"/>
      <c r="AD185" s="2">
        <f t="shared" si="81"/>
        <v>0</v>
      </c>
      <c r="AE185" s="2">
        <f t="shared" si="82"/>
        <v>0</v>
      </c>
      <c r="AF185" s="2">
        <f t="shared" si="83"/>
        <v>0</v>
      </c>
      <c r="AG185" s="2">
        <f t="shared" si="84"/>
        <v>0</v>
      </c>
      <c r="AH185" s="2">
        <f t="shared" si="85"/>
        <v>0</v>
      </c>
      <c r="AI185" s="2">
        <f t="shared" si="86"/>
        <v>1</v>
      </c>
    </row>
    <row r="186" spans="1:35" s="3" customFormat="1" ht="14.25" customHeight="1" x14ac:dyDescent="0.25">
      <c r="A186" s="29">
        <v>0</v>
      </c>
      <c r="B186" s="29">
        <v>2</v>
      </c>
      <c r="C186" s="29">
        <v>4</v>
      </c>
      <c r="D186" s="30" t="s">
        <v>566</v>
      </c>
      <c r="E186" s="30" t="s">
        <v>36</v>
      </c>
      <c r="F186" s="30" t="s">
        <v>528</v>
      </c>
      <c r="G186" s="30" t="s">
        <v>103</v>
      </c>
      <c r="H186" s="30" t="s">
        <v>165</v>
      </c>
      <c r="I186" s="29" t="s">
        <v>529</v>
      </c>
      <c r="J186" s="29">
        <v>6</v>
      </c>
      <c r="K186" s="29" t="s">
        <v>318</v>
      </c>
      <c r="L186" s="29">
        <v>35</v>
      </c>
      <c r="M186" s="30" t="s">
        <v>696</v>
      </c>
      <c r="N186" s="30" t="s">
        <v>928</v>
      </c>
      <c r="O186" s="31">
        <v>1</v>
      </c>
      <c r="P186" s="31"/>
      <c r="Q186" s="30"/>
      <c r="R186" s="2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1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C186" s="2"/>
      <c r="AD186" s="2">
        <f t="shared" si="81"/>
        <v>0</v>
      </c>
      <c r="AE186" s="2">
        <f t="shared" si="82"/>
        <v>1</v>
      </c>
      <c r="AF186" s="2">
        <f t="shared" si="83"/>
        <v>0</v>
      </c>
      <c r="AG186" s="2">
        <f t="shared" si="84"/>
        <v>1</v>
      </c>
      <c r="AH186" s="2">
        <f t="shared" si="85"/>
        <v>0</v>
      </c>
      <c r="AI186" s="2">
        <f t="shared" si="86"/>
        <v>1</v>
      </c>
    </row>
    <row r="187" spans="1:35" s="3" customFormat="1" ht="14.25" customHeight="1" x14ac:dyDescent="0.25">
      <c r="A187" s="20">
        <v>0</v>
      </c>
      <c r="B187" s="20">
        <v>2</v>
      </c>
      <c r="C187" s="20">
        <v>4</v>
      </c>
      <c r="D187" s="21" t="s">
        <v>808</v>
      </c>
      <c r="E187" s="21" t="s">
        <v>29</v>
      </c>
      <c r="F187" s="21" t="s">
        <v>821</v>
      </c>
      <c r="G187" s="21" t="s">
        <v>822</v>
      </c>
      <c r="H187" s="21" t="s">
        <v>165</v>
      </c>
      <c r="I187" s="20" t="s">
        <v>841</v>
      </c>
      <c r="J187" s="20">
        <v>99</v>
      </c>
      <c r="K187" s="20" t="s">
        <v>318</v>
      </c>
      <c r="L187" s="20" t="s">
        <v>343</v>
      </c>
      <c r="M187" s="21" t="s">
        <v>644</v>
      </c>
      <c r="N187" s="21"/>
      <c r="O187" s="7"/>
      <c r="P187" s="7"/>
      <c r="Q187" s="21"/>
      <c r="R187" s="2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0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C187" s="2"/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s="3" customFormat="1" ht="14.25" customHeight="1" x14ac:dyDescent="0.25">
      <c r="A188" s="20">
        <v>0</v>
      </c>
      <c r="B188" s="20">
        <v>2</v>
      </c>
      <c r="C188" s="20">
        <v>4</v>
      </c>
      <c r="D188" s="21" t="s">
        <v>568</v>
      </c>
      <c r="E188" s="21" t="s">
        <v>36</v>
      </c>
      <c r="F188" s="21" t="s">
        <v>580</v>
      </c>
      <c r="G188" s="21" t="s">
        <v>518</v>
      </c>
      <c r="H188" s="21" t="s">
        <v>165</v>
      </c>
      <c r="I188" s="20" t="s">
        <v>539</v>
      </c>
      <c r="J188" s="20">
        <v>7</v>
      </c>
      <c r="K188" s="20" t="s">
        <v>377</v>
      </c>
      <c r="L188" s="20">
        <v>30</v>
      </c>
      <c r="M188" s="21" t="s">
        <v>600</v>
      </c>
      <c r="N188" s="21"/>
      <c r="O188" s="7"/>
      <c r="P188" s="7"/>
      <c r="Q188" s="21"/>
      <c r="R188" s="2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1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C188" s="2"/>
      <c r="AD188" s="2">
        <f t="shared" si="81"/>
        <v>0</v>
      </c>
      <c r="AE188" s="2">
        <f t="shared" si="82"/>
        <v>0</v>
      </c>
      <c r="AF188" s="2">
        <f t="shared" si="83"/>
        <v>0</v>
      </c>
      <c r="AG188" s="2">
        <f t="shared" si="84"/>
        <v>0</v>
      </c>
      <c r="AH188" s="2">
        <f t="shared" si="85"/>
        <v>0</v>
      </c>
      <c r="AI188" s="2">
        <f t="shared" si="86"/>
        <v>1</v>
      </c>
    </row>
    <row r="189" spans="1:35" s="3" customFormat="1" ht="14.25" customHeight="1" x14ac:dyDescent="0.25">
      <c r="A189" s="32">
        <v>0</v>
      </c>
      <c r="B189" s="32">
        <v>2</v>
      </c>
      <c r="C189" s="32">
        <v>4</v>
      </c>
      <c r="D189" s="33" t="s">
        <v>681</v>
      </c>
      <c r="E189" s="33" t="s">
        <v>675</v>
      </c>
      <c r="F189" s="33" t="s">
        <v>613</v>
      </c>
      <c r="G189" s="33" t="s">
        <v>125</v>
      </c>
      <c r="H189" s="33" t="s">
        <v>165</v>
      </c>
      <c r="I189" s="32" t="s">
        <v>614</v>
      </c>
      <c r="J189" s="32">
        <v>99</v>
      </c>
      <c r="K189" s="32" t="s">
        <v>318</v>
      </c>
      <c r="L189" s="32" t="s">
        <v>343</v>
      </c>
      <c r="M189" s="33" t="s">
        <v>783</v>
      </c>
      <c r="N189" s="33" t="s">
        <v>922</v>
      </c>
      <c r="O189" s="34"/>
      <c r="P189" s="34"/>
      <c r="Q189" s="33"/>
      <c r="R189" s="2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C189" s="2"/>
      <c r="AD189" s="2">
        <f t="shared" si="81"/>
        <v>0</v>
      </c>
      <c r="AE189" s="2">
        <f t="shared" si="82"/>
        <v>0</v>
      </c>
      <c r="AF189" s="2">
        <f t="shared" si="83"/>
        <v>0</v>
      </c>
      <c r="AG189" s="2">
        <f t="shared" si="84"/>
        <v>0</v>
      </c>
      <c r="AH189" s="2">
        <f t="shared" si="85"/>
        <v>0</v>
      </c>
      <c r="AI189" s="2">
        <f t="shared" si="86"/>
        <v>1</v>
      </c>
    </row>
    <row r="190" spans="1:35" s="3" customFormat="1" ht="14.25" customHeight="1" x14ac:dyDescent="0.25">
      <c r="A190" s="29">
        <v>0</v>
      </c>
      <c r="B190" s="29">
        <v>2</v>
      </c>
      <c r="C190" s="29">
        <v>4</v>
      </c>
      <c r="D190" s="30" t="s">
        <v>763</v>
      </c>
      <c r="E190" s="30" t="s">
        <v>764</v>
      </c>
      <c r="F190" s="30" t="s">
        <v>765</v>
      </c>
      <c r="G190" s="30"/>
      <c r="H190" s="30" t="s">
        <v>165</v>
      </c>
      <c r="I190" s="29" t="s">
        <v>766</v>
      </c>
      <c r="J190" s="29">
        <v>99</v>
      </c>
      <c r="K190" s="29" t="s">
        <v>377</v>
      </c>
      <c r="L190" s="29">
        <v>35</v>
      </c>
      <c r="M190" s="30" t="s">
        <v>943</v>
      </c>
      <c r="N190" s="30" t="s">
        <v>892</v>
      </c>
      <c r="O190" s="31">
        <v>1</v>
      </c>
      <c r="P190" s="31"/>
      <c r="Q190" s="30"/>
      <c r="R190" s="2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C190" s="2"/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s="3" customFormat="1" ht="14.25" customHeight="1" x14ac:dyDescent="0.25">
      <c r="A191" s="29">
        <v>0</v>
      </c>
      <c r="B191" s="29">
        <v>2</v>
      </c>
      <c r="C191" s="29">
        <v>4</v>
      </c>
      <c r="D191" s="30" t="s">
        <v>67</v>
      </c>
      <c r="E191" s="30" t="s">
        <v>89</v>
      </c>
      <c r="F191" s="30" t="s">
        <v>144</v>
      </c>
      <c r="G191" s="30" t="s">
        <v>129</v>
      </c>
      <c r="H191" s="30" t="s">
        <v>165</v>
      </c>
      <c r="I191" s="29" t="s">
        <v>190</v>
      </c>
      <c r="J191" s="29">
        <v>99</v>
      </c>
      <c r="K191" s="29" t="s">
        <v>321</v>
      </c>
      <c r="L191" s="29">
        <v>25</v>
      </c>
      <c r="M191" s="30" t="s">
        <v>993</v>
      </c>
      <c r="N191" s="30" t="s">
        <v>892</v>
      </c>
      <c r="O191" s="31">
        <v>1</v>
      </c>
      <c r="P191" s="31"/>
      <c r="Q191" s="30"/>
      <c r="R191" s="2"/>
      <c r="S191" s="2">
        <f t="shared" si="71"/>
        <v>0</v>
      </c>
      <c r="T191" s="2">
        <f t="shared" si="72"/>
        <v>0</v>
      </c>
      <c r="U191" s="2">
        <f t="shared" si="73"/>
        <v>0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C191" s="2"/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s="3" customFormat="1" ht="14.25" customHeight="1" x14ac:dyDescent="0.25">
      <c r="A192" s="29">
        <v>0</v>
      </c>
      <c r="B192" s="29">
        <v>2</v>
      </c>
      <c r="C192" s="29">
        <v>4</v>
      </c>
      <c r="D192" s="30" t="s">
        <v>425</v>
      </c>
      <c r="E192" s="30" t="s">
        <v>234</v>
      </c>
      <c r="F192" s="30" t="s">
        <v>426</v>
      </c>
      <c r="G192" s="30" t="s">
        <v>96</v>
      </c>
      <c r="H192" s="30" t="s">
        <v>165</v>
      </c>
      <c r="I192" s="29" t="s">
        <v>427</v>
      </c>
      <c r="J192" s="29">
        <v>3</v>
      </c>
      <c r="K192" s="29" t="s">
        <v>318</v>
      </c>
      <c r="L192" s="29" t="s">
        <v>339</v>
      </c>
      <c r="M192" s="30" t="s">
        <v>744</v>
      </c>
      <c r="N192" s="30" t="s">
        <v>905</v>
      </c>
      <c r="O192" s="31">
        <v>1</v>
      </c>
      <c r="P192" s="31"/>
      <c r="Q192" s="30"/>
      <c r="R192" s="2"/>
      <c r="S192" s="2">
        <f t="shared" si="71"/>
        <v>0</v>
      </c>
      <c r="T192" s="2">
        <f t="shared" si="72"/>
        <v>0</v>
      </c>
      <c r="U192" s="2">
        <f t="shared" si="73"/>
        <v>1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C192" s="2"/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s="3" customFormat="1" ht="14.25" customHeight="1" x14ac:dyDescent="0.25">
      <c r="A193" s="29">
        <v>0</v>
      </c>
      <c r="B193" s="29">
        <v>2</v>
      </c>
      <c r="C193" s="29">
        <v>4</v>
      </c>
      <c r="D193" s="30" t="s">
        <v>214</v>
      </c>
      <c r="E193" s="30" t="s">
        <v>36</v>
      </c>
      <c r="F193" s="30" t="s">
        <v>213</v>
      </c>
      <c r="G193" s="30" t="s">
        <v>97</v>
      </c>
      <c r="H193" s="30" t="s">
        <v>165</v>
      </c>
      <c r="I193" s="29" t="s">
        <v>212</v>
      </c>
      <c r="J193" s="29">
        <v>99</v>
      </c>
      <c r="K193" s="29" t="s">
        <v>377</v>
      </c>
      <c r="L193" s="29">
        <v>25</v>
      </c>
      <c r="M193" s="30" t="s">
        <v>920</v>
      </c>
      <c r="N193" s="30" t="s">
        <v>928</v>
      </c>
      <c r="O193" s="31">
        <v>1</v>
      </c>
      <c r="P193" s="31"/>
      <c r="Q193" s="30"/>
      <c r="R193" s="2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C193" s="2"/>
      <c r="AD193" s="2">
        <f t="shared" si="81"/>
        <v>0</v>
      </c>
      <c r="AE193" s="2">
        <f t="shared" si="82"/>
        <v>1</v>
      </c>
      <c r="AF193" s="2">
        <f t="shared" si="83"/>
        <v>0</v>
      </c>
      <c r="AG193" s="2">
        <f t="shared" si="84"/>
        <v>1</v>
      </c>
      <c r="AH193" s="2">
        <f t="shared" si="85"/>
        <v>0</v>
      </c>
      <c r="AI193" s="2">
        <f t="shared" si="86"/>
        <v>1</v>
      </c>
    </row>
    <row r="194" spans="1:35" s="3" customFormat="1" ht="14.25" customHeight="1" x14ac:dyDescent="0.25">
      <c r="A194" s="32">
        <v>0</v>
      </c>
      <c r="B194" s="32">
        <v>2</v>
      </c>
      <c r="C194" s="32">
        <v>4</v>
      </c>
      <c r="D194" s="33" t="s">
        <v>215</v>
      </c>
      <c r="E194" s="33" t="s">
        <v>216</v>
      </c>
      <c r="F194" s="33" t="s">
        <v>217</v>
      </c>
      <c r="G194" s="33" t="s">
        <v>107</v>
      </c>
      <c r="H194" s="33" t="s">
        <v>165</v>
      </c>
      <c r="I194" s="32" t="s">
        <v>218</v>
      </c>
      <c r="J194" s="32">
        <v>99</v>
      </c>
      <c r="K194" s="32" t="s">
        <v>377</v>
      </c>
      <c r="L194" s="32">
        <v>25</v>
      </c>
      <c r="M194" s="33" t="s">
        <v>497</v>
      </c>
      <c r="N194" s="33" t="s">
        <v>922</v>
      </c>
      <c r="O194" s="34"/>
      <c r="P194" s="34"/>
      <c r="Q194" s="33"/>
      <c r="R194" s="2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C194" s="2"/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s="3" customFormat="1" ht="14.25" customHeight="1" x14ac:dyDescent="0.25">
      <c r="A195" s="32">
        <v>0</v>
      </c>
      <c r="B195" s="32">
        <v>2</v>
      </c>
      <c r="C195" s="32">
        <v>5</v>
      </c>
      <c r="D195" s="33" t="s">
        <v>420</v>
      </c>
      <c r="E195" s="33" t="s">
        <v>422</v>
      </c>
      <c r="F195" s="33" t="s">
        <v>575</v>
      </c>
      <c r="G195" s="33" t="s">
        <v>154</v>
      </c>
      <c r="H195" s="33" t="s">
        <v>165</v>
      </c>
      <c r="I195" s="32" t="s">
        <v>421</v>
      </c>
      <c r="J195" s="32">
        <v>99</v>
      </c>
      <c r="K195" s="32" t="s">
        <v>377</v>
      </c>
      <c r="L195" s="32">
        <v>30</v>
      </c>
      <c r="M195" s="33" t="s">
        <v>601</v>
      </c>
      <c r="N195" s="33" t="s">
        <v>922</v>
      </c>
      <c r="O195" s="34"/>
      <c r="P195" s="34"/>
      <c r="Q195" s="33"/>
      <c r="R195" s="2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C195" s="2"/>
      <c r="AD195" s="2">
        <f t="shared" si="81"/>
        <v>0</v>
      </c>
      <c r="AE195" s="2">
        <f t="shared" si="82"/>
        <v>0</v>
      </c>
      <c r="AF195" s="2">
        <f t="shared" si="83"/>
        <v>0</v>
      </c>
      <c r="AG195" s="2">
        <f t="shared" si="84"/>
        <v>0</v>
      </c>
      <c r="AH195" s="2">
        <f t="shared" si="85"/>
        <v>0</v>
      </c>
      <c r="AI195" s="2">
        <f t="shared" si="86"/>
        <v>1</v>
      </c>
    </row>
    <row r="196" spans="1:35" s="3" customFormat="1" ht="14.25" customHeight="1" x14ac:dyDescent="0.25">
      <c r="A196" s="29">
        <v>0</v>
      </c>
      <c r="B196" s="29">
        <v>2</v>
      </c>
      <c r="C196" s="29">
        <v>5</v>
      </c>
      <c r="D196" s="30" t="s">
        <v>759</v>
      </c>
      <c r="E196" s="30" t="s">
        <v>263</v>
      </c>
      <c r="F196" s="30" t="s">
        <v>760</v>
      </c>
      <c r="G196" s="30" t="s">
        <v>457</v>
      </c>
      <c r="H196" s="30" t="s">
        <v>165</v>
      </c>
      <c r="I196" s="29" t="s">
        <v>33</v>
      </c>
      <c r="J196" s="29">
        <v>99</v>
      </c>
      <c r="K196" s="29" t="s">
        <v>695</v>
      </c>
      <c r="L196" s="29">
        <v>45</v>
      </c>
      <c r="M196" s="30" t="s">
        <v>994</v>
      </c>
      <c r="N196" s="30" t="s">
        <v>899</v>
      </c>
      <c r="O196" s="31">
        <v>1</v>
      </c>
      <c r="P196" s="31"/>
      <c r="Q196" s="30"/>
      <c r="R196" s="2"/>
      <c r="S196" s="2">
        <f t="shared" si="71"/>
        <v>0</v>
      </c>
      <c r="T196" s="2">
        <f t="shared" si="72"/>
        <v>0</v>
      </c>
      <c r="U196" s="2">
        <f t="shared" si="73"/>
        <v>0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C196" s="2"/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s="3" customFormat="1" ht="14.25" customHeight="1" x14ac:dyDescent="0.25">
      <c r="A197" s="29">
        <v>0</v>
      </c>
      <c r="B197" s="29">
        <v>2</v>
      </c>
      <c r="C197" s="29">
        <v>5</v>
      </c>
      <c r="D197" s="30" t="s">
        <v>403</v>
      </c>
      <c r="E197" s="30" t="s">
        <v>29</v>
      </c>
      <c r="F197" s="30" t="s">
        <v>287</v>
      </c>
      <c r="G197" s="30" t="s">
        <v>96</v>
      </c>
      <c r="H197" s="30" t="s">
        <v>165</v>
      </c>
      <c r="I197" s="29" t="s">
        <v>490</v>
      </c>
      <c r="J197" s="29">
        <v>3</v>
      </c>
      <c r="K197" s="29" t="s">
        <v>319</v>
      </c>
      <c r="L197" s="29" t="s">
        <v>334</v>
      </c>
      <c r="M197" s="30" t="s">
        <v>748</v>
      </c>
      <c r="N197" s="30" t="s">
        <v>892</v>
      </c>
      <c r="O197" s="31">
        <v>1</v>
      </c>
      <c r="P197" s="31"/>
      <c r="Q197" s="30"/>
      <c r="R197" s="2"/>
      <c r="S197" s="2">
        <f t="shared" si="71"/>
        <v>0</v>
      </c>
      <c r="T197" s="2">
        <f t="shared" si="72"/>
        <v>0</v>
      </c>
      <c r="U197" s="2">
        <f t="shared" si="73"/>
        <v>1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C197" s="2"/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s="3" customFormat="1" ht="14.25" customHeight="1" x14ac:dyDescent="0.25">
      <c r="A198" s="29">
        <v>0</v>
      </c>
      <c r="B198" s="29">
        <v>2</v>
      </c>
      <c r="C198" s="29">
        <v>5</v>
      </c>
      <c r="D198" s="30" t="s">
        <v>569</v>
      </c>
      <c r="E198" s="30" t="s">
        <v>36</v>
      </c>
      <c r="F198" s="30" t="s">
        <v>952</v>
      </c>
      <c r="G198" s="30" t="s">
        <v>670</v>
      </c>
      <c r="H198" s="30" t="s">
        <v>165</v>
      </c>
      <c r="I198" s="29" t="s">
        <v>33</v>
      </c>
      <c r="J198" s="29">
        <v>99</v>
      </c>
      <c r="K198" s="29" t="s">
        <v>320</v>
      </c>
      <c r="L198" s="29" t="s">
        <v>335</v>
      </c>
      <c r="M198" s="30" t="s">
        <v>602</v>
      </c>
      <c r="N198" s="30" t="s">
        <v>906</v>
      </c>
      <c r="O198" s="31">
        <v>1</v>
      </c>
      <c r="P198" s="31"/>
      <c r="Q198" s="30" t="s">
        <v>953</v>
      </c>
      <c r="R198" s="2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0</v>
      </c>
      <c r="AC198" s="2"/>
      <c r="AD198" s="2">
        <f t="shared" si="81"/>
        <v>0</v>
      </c>
      <c r="AE198" s="2">
        <f t="shared" si="82"/>
        <v>1</v>
      </c>
      <c r="AF198" s="2">
        <f t="shared" si="83"/>
        <v>0</v>
      </c>
      <c r="AG198" s="2">
        <f t="shared" si="84"/>
        <v>1</v>
      </c>
      <c r="AH198" s="2">
        <f t="shared" si="85"/>
        <v>0</v>
      </c>
      <c r="AI198" s="2">
        <f t="shared" si="86"/>
        <v>1</v>
      </c>
    </row>
    <row r="199" spans="1:35" s="3" customFormat="1" ht="14.25" customHeight="1" x14ac:dyDescent="0.25">
      <c r="A199" s="20">
        <v>0</v>
      </c>
      <c r="B199" s="20">
        <v>2</v>
      </c>
      <c r="C199" s="20">
        <v>5</v>
      </c>
      <c r="D199" s="21" t="s">
        <v>233</v>
      </c>
      <c r="E199" s="21" t="s">
        <v>86</v>
      </c>
      <c r="F199" s="21" t="s">
        <v>254</v>
      </c>
      <c r="G199" s="21" t="s">
        <v>130</v>
      </c>
      <c r="H199" s="21" t="s">
        <v>165</v>
      </c>
      <c r="I199" s="20" t="s">
        <v>593</v>
      </c>
      <c r="J199" s="20">
        <v>10</v>
      </c>
      <c r="K199" s="20" t="s">
        <v>377</v>
      </c>
      <c r="L199" s="20" t="s">
        <v>333</v>
      </c>
      <c r="M199" s="21" t="s">
        <v>271</v>
      </c>
      <c r="N199" s="21"/>
      <c r="O199" s="7"/>
      <c r="P199" s="7"/>
      <c r="Q199" s="21"/>
      <c r="R199" s="2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1</v>
      </c>
      <c r="AC199" s="2"/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s="3" customFormat="1" ht="14.25" customHeight="1" x14ac:dyDescent="0.25">
      <c r="A200" s="32">
        <v>0</v>
      </c>
      <c r="B200" s="32">
        <v>2</v>
      </c>
      <c r="C200" s="32">
        <v>5</v>
      </c>
      <c r="D200" s="33" t="s">
        <v>627</v>
      </c>
      <c r="E200" s="33" t="s">
        <v>29</v>
      </c>
      <c r="F200" s="33" t="s">
        <v>629</v>
      </c>
      <c r="G200" s="33" t="s">
        <v>825</v>
      </c>
      <c r="H200" s="33" t="s">
        <v>165</v>
      </c>
      <c r="I200" s="32" t="s">
        <v>630</v>
      </c>
      <c r="J200" s="32">
        <v>99</v>
      </c>
      <c r="K200" s="32" t="s">
        <v>320</v>
      </c>
      <c r="L200" s="32" t="s">
        <v>341</v>
      </c>
      <c r="M200" s="33" t="s">
        <v>781</v>
      </c>
      <c r="N200" s="33" t="s">
        <v>893</v>
      </c>
      <c r="O200" s="34"/>
      <c r="P200" s="34"/>
      <c r="Q200" s="33"/>
      <c r="R200" s="2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C200" s="2"/>
      <c r="AD200" s="2">
        <f t="shared" si="81"/>
        <v>0</v>
      </c>
      <c r="AE200" s="2">
        <f t="shared" si="82"/>
        <v>0</v>
      </c>
      <c r="AF200" s="2">
        <f t="shared" si="83"/>
        <v>0</v>
      </c>
      <c r="AG200" s="2">
        <f t="shared" si="84"/>
        <v>0</v>
      </c>
      <c r="AH200" s="2">
        <f t="shared" si="85"/>
        <v>0</v>
      </c>
      <c r="AI200" s="2">
        <f t="shared" si="86"/>
        <v>1</v>
      </c>
    </row>
    <row r="201" spans="1:35" s="3" customFormat="1" ht="14.25" customHeight="1" x14ac:dyDescent="0.25">
      <c r="A201" s="29">
        <v>0</v>
      </c>
      <c r="B201" s="29">
        <v>2</v>
      </c>
      <c r="C201" s="29">
        <v>5</v>
      </c>
      <c r="D201" s="30" t="s">
        <v>809</v>
      </c>
      <c r="E201" s="30" t="s">
        <v>29</v>
      </c>
      <c r="F201" s="30" t="s">
        <v>642</v>
      </c>
      <c r="G201" s="30" t="s">
        <v>515</v>
      </c>
      <c r="H201" s="30" t="s">
        <v>165</v>
      </c>
      <c r="I201" s="29" t="s">
        <v>643</v>
      </c>
      <c r="J201" s="29">
        <v>99</v>
      </c>
      <c r="K201" s="29" t="s">
        <v>320</v>
      </c>
      <c r="L201" s="29" t="s">
        <v>346</v>
      </c>
      <c r="M201" s="30" t="s">
        <v>641</v>
      </c>
      <c r="N201" s="30" t="s">
        <v>906</v>
      </c>
      <c r="O201" s="31">
        <v>1</v>
      </c>
      <c r="P201" s="31"/>
      <c r="Q201" s="30"/>
      <c r="R201" s="2"/>
      <c r="S201" s="2">
        <f t="shared" si="71"/>
        <v>0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C201" s="2"/>
      <c r="AD201" s="2">
        <f t="shared" si="81"/>
        <v>0</v>
      </c>
      <c r="AE201" s="2">
        <f t="shared" si="82"/>
        <v>1</v>
      </c>
      <c r="AF201" s="2">
        <f t="shared" si="83"/>
        <v>0</v>
      </c>
      <c r="AG201" s="2">
        <f t="shared" si="84"/>
        <v>1</v>
      </c>
      <c r="AH201" s="2">
        <f t="shared" si="85"/>
        <v>0</v>
      </c>
      <c r="AI201" s="2">
        <f t="shared" si="86"/>
        <v>1</v>
      </c>
    </row>
    <row r="202" spans="1:35" s="3" customFormat="1" ht="14.25" customHeight="1" x14ac:dyDescent="0.25">
      <c r="A202" s="32">
        <v>0</v>
      </c>
      <c r="B202" s="32">
        <v>2</v>
      </c>
      <c r="C202" s="32">
        <v>6</v>
      </c>
      <c r="D202" s="33" t="s">
        <v>678</v>
      </c>
      <c r="E202" s="33" t="s">
        <v>34</v>
      </c>
      <c r="F202" s="33" t="s">
        <v>818</v>
      </c>
      <c r="G202" s="33" t="s">
        <v>96</v>
      </c>
      <c r="H202" s="33" t="s">
        <v>165</v>
      </c>
      <c r="I202" s="32" t="s">
        <v>615</v>
      </c>
      <c r="J202" s="32">
        <v>1</v>
      </c>
      <c r="K202" s="32" t="s">
        <v>318</v>
      </c>
      <c r="L202" s="32" t="s">
        <v>343</v>
      </c>
      <c r="M202" s="33" t="s">
        <v>616</v>
      </c>
      <c r="N202" s="33" t="s">
        <v>922</v>
      </c>
      <c r="O202" s="34"/>
      <c r="P202" s="34"/>
      <c r="Q202" s="33"/>
      <c r="R202" s="2"/>
      <c r="S202" s="2">
        <f t="shared" si="71"/>
        <v>1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0</v>
      </c>
      <c r="AA202" s="2">
        <f t="shared" si="79"/>
        <v>0</v>
      </c>
      <c r="AB202" s="2">
        <f t="shared" si="80"/>
        <v>0</v>
      </c>
      <c r="AC202" s="2"/>
      <c r="AD202" s="2">
        <f t="shared" si="81"/>
        <v>0</v>
      </c>
      <c r="AE202" s="2">
        <f t="shared" si="82"/>
        <v>0</v>
      </c>
      <c r="AF202" s="2">
        <f t="shared" si="83"/>
        <v>0</v>
      </c>
      <c r="AG202" s="2">
        <f t="shared" si="84"/>
        <v>0</v>
      </c>
      <c r="AH202" s="2">
        <f t="shared" si="85"/>
        <v>0</v>
      </c>
      <c r="AI202" s="2">
        <f t="shared" si="86"/>
        <v>1</v>
      </c>
    </row>
    <row r="203" spans="1:35" s="3" customFormat="1" ht="14.25" customHeight="1" x14ac:dyDescent="0.25">
      <c r="A203" s="29">
        <v>0</v>
      </c>
      <c r="B203" s="29">
        <v>2</v>
      </c>
      <c r="C203" s="29">
        <v>6</v>
      </c>
      <c r="D203" s="30" t="s">
        <v>52</v>
      </c>
      <c r="E203" s="30" t="s">
        <v>34</v>
      </c>
      <c r="F203" s="30" t="s">
        <v>105</v>
      </c>
      <c r="G203" s="30" t="s">
        <v>39</v>
      </c>
      <c r="H203" s="30" t="s">
        <v>165</v>
      </c>
      <c r="I203" s="29" t="s">
        <v>844</v>
      </c>
      <c r="J203" s="29">
        <v>8</v>
      </c>
      <c r="K203" s="29" t="s">
        <v>318</v>
      </c>
      <c r="L203" s="29" t="s">
        <v>339</v>
      </c>
      <c r="M203" s="30" t="s">
        <v>272</v>
      </c>
      <c r="N203" s="30" t="s">
        <v>905</v>
      </c>
      <c r="O203" s="31">
        <v>1</v>
      </c>
      <c r="P203" s="31"/>
      <c r="Q203" s="30"/>
      <c r="R203" s="2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0</v>
      </c>
      <c r="Y203" s="2">
        <f t="shared" si="77"/>
        <v>0</v>
      </c>
      <c r="Z203" s="2">
        <f t="shared" si="78"/>
        <v>1</v>
      </c>
      <c r="AA203" s="2">
        <f t="shared" si="79"/>
        <v>0</v>
      </c>
      <c r="AB203" s="2">
        <f t="shared" si="80"/>
        <v>0</v>
      </c>
      <c r="AC203" s="2"/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s="3" customFormat="1" ht="14.25" customHeight="1" x14ac:dyDescent="0.25">
      <c r="A204" s="29">
        <v>0</v>
      </c>
      <c r="B204" s="29">
        <v>2</v>
      </c>
      <c r="C204" s="29">
        <v>6</v>
      </c>
      <c r="D204" s="30" t="s">
        <v>462</v>
      </c>
      <c r="E204" s="30" t="s">
        <v>34</v>
      </c>
      <c r="F204" s="30" t="s">
        <v>947</v>
      </c>
      <c r="G204" s="30" t="s">
        <v>103</v>
      </c>
      <c r="H204" s="30" t="s">
        <v>165</v>
      </c>
      <c r="I204" s="29" t="s">
        <v>393</v>
      </c>
      <c r="J204" s="29">
        <v>6</v>
      </c>
      <c r="K204" s="29" t="s">
        <v>321</v>
      </c>
      <c r="L204" s="29" t="s">
        <v>339</v>
      </c>
      <c r="M204" s="30" t="s">
        <v>698</v>
      </c>
      <c r="N204" s="30" t="s">
        <v>928</v>
      </c>
      <c r="O204" s="31">
        <v>1</v>
      </c>
      <c r="P204" s="31"/>
      <c r="Q204" s="30"/>
      <c r="R204" s="2"/>
      <c r="S204" s="2">
        <f t="shared" si="71"/>
        <v>0</v>
      </c>
      <c r="T204" s="2">
        <f t="shared" si="72"/>
        <v>0</v>
      </c>
      <c r="U204" s="2">
        <f t="shared" si="73"/>
        <v>0</v>
      </c>
      <c r="V204" s="2">
        <f t="shared" si="74"/>
        <v>0</v>
      </c>
      <c r="W204" s="2">
        <f t="shared" si="75"/>
        <v>0</v>
      </c>
      <c r="X204" s="2">
        <f t="shared" si="76"/>
        <v>1</v>
      </c>
      <c r="Y204" s="2">
        <f t="shared" si="77"/>
        <v>0</v>
      </c>
      <c r="Z204" s="2">
        <f t="shared" si="78"/>
        <v>0</v>
      </c>
      <c r="AA204" s="2">
        <f t="shared" si="79"/>
        <v>0</v>
      </c>
      <c r="AB204" s="2">
        <f t="shared" si="80"/>
        <v>0</v>
      </c>
      <c r="AC204" s="2"/>
      <c r="AD204" s="2">
        <f t="shared" si="81"/>
        <v>0</v>
      </c>
      <c r="AE204" s="2">
        <f t="shared" si="82"/>
        <v>1</v>
      </c>
      <c r="AF204" s="2">
        <f t="shared" si="83"/>
        <v>0</v>
      </c>
      <c r="AG204" s="2">
        <f t="shared" si="84"/>
        <v>1</v>
      </c>
      <c r="AH204" s="2">
        <f t="shared" si="85"/>
        <v>0</v>
      </c>
      <c r="AI204" s="2">
        <f t="shared" si="86"/>
        <v>1</v>
      </c>
    </row>
    <row r="205" spans="1:35" s="3" customFormat="1" ht="14.25" customHeight="1" x14ac:dyDescent="0.25">
      <c r="A205" s="29">
        <v>0</v>
      </c>
      <c r="B205" s="29">
        <v>2</v>
      </c>
      <c r="C205" s="29">
        <v>6</v>
      </c>
      <c r="D205" s="30" t="s">
        <v>682</v>
      </c>
      <c r="E205" s="30" t="s">
        <v>34</v>
      </c>
      <c r="F205" s="30" t="s">
        <v>603</v>
      </c>
      <c r="G205" s="30" t="s">
        <v>163</v>
      </c>
      <c r="H205" s="30" t="s">
        <v>165</v>
      </c>
      <c r="I205" s="29" t="s">
        <v>693</v>
      </c>
      <c r="J205" s="29">
        <v>5</v>
      </c>
      <c r="K205" s="29" t="s">
        <v>320</v>
      </c>
      <c r="L205" s="29">
        <v>30</v>
      </c>
      <c r="M205" s="30" t="s">
        <v>745</v>
      </c>
      <c r="N205" s="30" t="s">
        <v>905</v>
      </c>
      <c r="O205" s="31">
        <v>1</v>
      </c>
      <c r="P205" s="31"/>
      <c r="Q205" s="30"/>
      <c r="R205" s="2"/>
      <c r="S205" s="2">
        <f t="shared" si="71"/>
        <v>0</v>
      </c>
      <c r="T205" s="2">
        <f t="shared" si="72"/>
        <v>0</v>
      </c>
      <c r="U205" s="2">
        <f t="shared" si="73"/>
        <v>0</v>
      </c>
      <c r="V205" s="2">
        <f t="shared" si="74"/>
        <v>0</v>
      </c>
      <c r="W205" s="2">
        <f t="shared" si="75"/>
        <v>1</v>
      </c>
      <c r="X205" s="2">
        <f t="shared" si="76"/>
        <v>0</v>
      </c>
      <c r="Y205" s="2">
        <f t="shared" si="77"/>
        <v>0</v>
      </c>
      <c r="Z205" s="2">
        <f t="shared" si="78"/>
        <v>0</v>
      </c>
      <c r="AA205" s="2">
        <f t="shared" si="79"/>
        <v>0</v>
      </c>
      <c r="AB205" s="2">
        <f t="shared" si="80"/>
        <v>0</v>
      </c>
      <c r="AC205" s="2"/>
      <c r="AD205" s="2">
        <f t="shared" si="81"/>
        <v>0</v>
      </c>
      <c r="AE205" s="2">
        <f t="shared" si="82"/>
        <v>1</v>
      </c>
      <c r="AF205" s="2">
        <f t="shared" si="83"/>
        <v>0</v>
      </c>
      <c r="AG205" s="2">
        <f t="shared" si="84"/>
        <v>1</v>
      </c>
      <c r="AH205" s="2">
        <f t="shared" si="85"/>
        <v>0</v>
      </c>
      <c r="AI205" s="2">
        <f t="shared" si="86"/>
        <v>1</v>
      </c>
    </row>
    <row r="206" spans="1:35" s="3" customFormat="1" ht="14.25" customHeight="1" x14ac:dyDescent="0.25">
      <c r="A206" s="29">
        <v>0</v>
      </c>
      <c r="B206" s="29">
        <v>2</v>
      </c>
      <c r="C206" s="29">
        <v>6</v>
      </c>
      <c r="D206" s="30" t="s">
        <v>58</v>
      </c>
      <c r="E206" s="30" t="s">
        <v>34</v>
      </c>
      <c r="F206" s="30" t="s">
        <v>481</v>
      </c>
      <c r="G206" s="30" t="s">
        <v>103</v>
      </c>
      <c r="H206" s="30" t="s">
        <v>165</v>
      </c>
      <c r="I206" s="29" t="s">
        <v>179</v>
      </c>
      <c r="J206" s="29">
        <v>6</v>
      </c>
      <c r="K206" s="29" t="s">
        <v>321</v>
      </c>
      <c r="L206" s="29" t="s">
        <v>339</v>
      </c>
      <c r="M206" s="30" t="s">
        <v>699</v>
      </c>
      <c r="N206" s="30" t="s">
        <v>928</v>
      </c>
      <c r="O206" s="31">
        <v>1</v>
      </c>
      <c r="P206" s="31"/>
      <c r="Q206" s="30"/>
      <c r="R206" s="2"/>
      <c r="S206" s="2">
        <f t="shared" ref="S206:S241" si="103">IF(J206=$S$7,1,0)</f>
        <v>0</v>
      </c>
      <c r="T206" s="2">
        <f t="shared" ref="T206:T241" si="104">IF(J206=$T$7,1,0)</f>
        <v>0</v>
      </c>
      <c r="U206" s="2">
        <f t="shared" ref="U206:U241" si="105">IF(J206=$U$7,1,0)</f>
        <v>0</v>
      </c>
      <c r="V206" s="2">
        <f t="shared" ref="V206:V241" si="106">IF(J206=$V$7,1,0)</f>
        <v>0</v>
      </c>
      <c r="W206" s="2">
        <f t="shared" ref="W206:W241" si="107">IF(J206=$W$7,1,0)</f>
        <v>0</v>
      </c>
      <c r="X206" s="2">
        <f t="shared" ref="X206:X241" si="108">IF(J206=$X$7,1,0)</f>
        <v>1</v>
      </c>
      <c r="Y206" s="2">
        <f t="shared" ref="Y206:Y241" si="109">IF(J206=$Y$7,1,0)</f>
        <v>0</v>
      </c>
      <c r="Z206" s="2">
        <f t="shared" ref="Z206:Z241" si="110">IF(J206=$Z$7,1,0)</f>
        <v>0</v>
      </c>
      <c r="AA206" s="2">
        <f t="shared" ref="AA206:AA241" si="111">IF(J206=$AA$7,1,0)</f>
        <v>0</v>
      </c>
      <c r="AB206" s="2">
        <f t="shared" ref="AB206:AB241" si="112">IF(J206=$AB$7,1,0)</f>
        <v>0</v>
      </c>
      <c r="AC206" s="2"/>
      <c r="AD206" s="2">
        <f t="shared" ref="AD206:AD241" si="113">+O206*P206</f>
        <v>0</v>
      </c>
      <c r="AE206" s="2">
        <f t="shared" ref="AE206:AE241" si="114">O206*(1-P206)</f>
        <v>1</v>
      </c>
      <c r="AF206" s="2">
        <f t="shared" ref="AF206:AF241" si="115">+O206*P206*(1-A206)</f>
        <v>0</v>
      </c>
      <c r="AG206" s="2">
        <f t="shared" ref="AG206:AG241" si="116">O206*(1-P206)*(1-A206)</f>
        <v>1</v>
      </c>
      <c r="AH206" s="2">
        <f t="shared" ref="AH206:AH241" si="117">+P206*(1-A206)</f>
        <v>0</v>
      </c>
      <c r="AI206" s="2">
        <f t="shared" ref="AI206:AI241" si="118">+(1-A206)*(1-P206)</f>
        <v>1</v>
      </c>
    </row>
    <row r="207" spans="1:35" s="3" customFormat="1" ht="14.25" customHeight="1" x14ac:dyDescent="0.25">
      <c r="A207" s="32">
        <v>0</v>
      </c>
      <c r="B207" s="32">
        <v>2</v>
      </c>
      <c r="C207" s="32">
        <v>6</v>
      </c>
      <c r="D207" s="33" t="s">
        <v>610</v>
      </c>
      <c r="E207" s="33" t="s">
        <v>34</v>
      </c>
      <c r="F207" s="33" t="s">
        <v>611</v>
      </c>
      <c r="G207" s="33" t="s">
        <v>515</v>
      </c>
      <c r="H207" s="33" t="s">
        <v>165</v>
      </c>
      <c r="I207" s="32" t="s">
        <v>612</v>
      </c>
      <c r="J207" s="32"/>
      <c r="K207" s="32" t="s">
        <v>377</v>
      </c>
      <c r="L207" s="32">
        <v>30</v>
      </c>
      <c r="M207" s="33" t="s">
        <v>272</v>
      </c>
      <c r="N207" s="33" t="s">
        <v>889</v>
      </c>
      <c r="O207" s="34"/>
      <c r="P207" s="34"/>
      <c r="Q207" s="33"/>
      <c r="R207" s="2"/>
      <c r="S207" s="2">
        <f t="shared" si="103"/>
        <v>0</v>
      </c>
      <c r="T207" s="2">
        <f t="shared" si="104"/>
        <v>0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C207" s="2"/>
      <c r="AD207" s="2">
        <f t="shared" si="113"/>
        <v>0</v>
      </c>
      <c r="AE207" s="2">
        <f t="shared" si="114"/>
        <v>0</v>
      </c>
      <c r="AF207" s="2">
        <f t="shared" si="115"/>
        <v>0</v>
      </c>
      <c r="AG207" s="2">
        <f t="shared" si="116"/>
        <v>0</v>
      </c>
      <c r="AH207" s="2">
        <f t="shared" si="117"/>
        <v>0</v>
      </c>
      <c r="AI207" s="2">
        <f t="shared" si="118"/>
        <v>1</v>
      </c>
    </row>
    <row r="208" spans="1:35" s="3" customFormat="1" ht="14.25" customHeight="1" x14ac:dyDescent="0.25">
      <c r="A208" s="29">
        <v>0</v>
      </c>
      <c r="B208" s="29">
        <v>2</v>
      </c>
      <c r="C208" s="29">
        <v>6</v>
      </c>
      <c r="D208" s="30" t="s">
        <v>533</v>
      </c>
      <c r="E208" s="30" t="s">
        <v>676</v>
      </c>
      <c r="F208" s="30" t="s">
        <v>944</v>
      </c>
      <c r="G208" s="30" t="s">
        <v>582</v>
      </c>
      <c r="H208" s="30" t="s">
        <v>165</v>
      </c>
      <c r="I208" s="29" t="s">
        <v>534</v>
      </c>
      <c r="J208" s="29">
        <v>2</v>
      </c>
      <c r="K208" s="29" t="s">
        <v>320</v>
      </c>
      <c r="L208" s="29" t="s">
        <v>339</v>
      </c>
      <c r="M208" s="30" t="s">
        <v>272</v>
      </c>
      <c r="N208" s="30" t="s">
        <v>900</v>
      </c>
      <c r="O208" s="31">
        <v>1</v>
      </c>
      <c r="P208" s="31"/>
      <c r="Q208" s="30"/>
      <c r="R208" s="2"/>
      <c r="S208" s="2">
        <f t="shared" si="103"/>
        <v>0</v>
      </c>
      <c r="T208" s="2">
        <f t="shared" si="104"/>
        <v>1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0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C208" s="2"/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1</v>
      </c>
      <c r="AH208" s="2">
        <f t="shared" si="117"/>
        <v>0</v>
      </c>
      <c r="AI208" s="2">
        <f t="shared" si="118"/>
        <v>1</v>
      </c>
    </row>
    <row r="209" spans="1:35" s="3" customFormat="1" ht="14.25" customHeight="1" x14ac:dyDescent="0.25">
      <c r="A209" s="29">
        <v>1</v>
      </c>
      <c r="B209" s="29">
        <v>2</v>
      </c>
      <c r="C209" s="29">
        <v>6</v>
      </c>
      <c r="D209" s="30" t="s">
        <v>533</v>
      </c>
      <c r="E209" s="30" t="s">
        <v>676</v>
      </c>
      <c r="F209" s="30" t="s">
        <v>945</v>
      </c>
      <c r="G209" s="30" t="s">
        <v>103</v>
      </c>
      <c r="H209" s="30" t="s">
        <v>165</v>
      </c>
      <c r="I209" s="29" t="s">
        <v>843</v>
      </c>
      <c r="J209" s="29">
        <v>6</v>
      </c>
      <c r="K209" s="29" t="s">
        <v>320</v>
      </c>
      <c r="L209" s="29" t="s">
        <v>339</v>
      </c>
      <c r="M209" s="30" t="s">
        <v>272</v>
      </c>
      <c r="N209" s="30" t="s">
        <v>900</v>
      </c>
      <c r="O209" s="31">
        <v>1</v>
      </c>
      <c r="P209" s="31"/>
      <c r="Q209" s="30"/>
      <c r="R209" s="2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1</v>
      </c>
      <c r="Y209" s="2">
        <f t="shared" si="109"/>
        <v>0</v>
      </c>
      <c r="Z209" s="2">
        <f t="shared" si="110"/>
        <v>0</v>
      </c>
      <c r="AA209" s="2">
        <f t="shared" si="111"/>
        <v>0</v>
      </c>
      <c r="AB209" s="2">
        <f t="shared" si="112"/>
        <v>0</v>
      </c>
      <c r="AC209" s="2"/>
      <c r="AD209" s="2">
        <f t="shared" si="113"/>
        <v>0</v>
      </c>
      <c r="AE209" s="2">
        <f t="shared" si="114"/>
        <v>1</v>
      </c>
      <c r="AF209" s="2">
        <f t="shared" si="115"/>
        <v>0</v>
      </c>
      <c r="AG209" s="2">
        <f t="shared" si="116"/>
        <v>0</v>
      </c>
      <c r="AH209" s="2">
        <f t="shared" si="117"/>
        <v>0</v>
      </c>
      <c r="AI209" s="2">
        <f t="shared" si="118"/>
        <v>0</v>
      </c>
    </row>
    <row r="210" spans="1:35" s="3" customFormat="1" ht="14.25" customHeight="1" x14ac:dyDescent="0.25">
      <c r="A210" s="29">
        <v>0</v>
      </c>
      <c r="B210" s="29">
        <v>2</v>
      </c>
      <c r="C210" s="29">
        <v>7</v>
      </c>
      <c r="D210" s="30" t="s">
        <v>409</v>
      </c>
      <c r="E210" s="30" t="s">
        <v>31</v>
      </c>
      <c r="F210" s="30" t="s">
        <v>410</v>
      </c>
      <c r="G210" s="30" t="s">
        <v>470</v>
      </c>
      <c r="H210" s="30" t="s">
        <v>165</v>
      </c>
      <c r="I210" s="29" t="s">
        <v>411</v>
      </c>
      <c r="J210" s="29">
        <v>9</v>
      </c>
      <c r="K210" s="29" t="s">
        <v>320</v>
      </c>
      <c r="L210" s="29" t="s">
        <v>318</v>
      </c>
      <c r="M210" s="30" t="s">
        <v>273</v>
      </c>
      <c r="N210" s="30" t="s">
        <v>886</v>
      </c>
      <c r="O210" s="31">
        <v>1</v>
      </c>
      <c r="P210" s="31">
        <v>1</v>
      </c>
      <c r="Q210" s="30"/>
      <c r="R210" s="2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1</v>
      </c>
      <c r="AB210" s="2">
        <f t="shared" si="112"/>
        <v>0</v>
      </c>
      <c r="AC210" s="2"/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s="3" customFormat="1" ht="14.25" customHeight="1" x14ac:dyDescent="0.25">
      <c r="A211" s="29">
        <v>0</v>
      </c>
      <c r="B211" s="29">
        <v>2</v>
      </c>
      <c r="C211" s="29">
        <v>7</v>
      </c>
      <c r="D211" s="30" t="s">
        <v>917</v>
      </c>
      <c r="E211" s="30" t="s">
        <v>911</v>
      </c>
      <c r="F211" s="30" t="s">
        <v>915</v>
      </c>
      <c r="G211" s="30" t="s">
        <v>132</v>
      </c>
      <c r="H211" s="30" t="s">
        <v>165</v>
      </c>
      <c r="I211" s="29" t="s">
        <v>918</v>
      </c>
      <c r="J211" s="29">
        <v>99</v>
      </c>
      <c r="K211" s="29" t="s">
        <v>377</v>
      </c>
      <c r="L211" s="29"/>
      <c r="M211" s="30"/>
      <c r="N211" s="30" t="s">
        <v>886</v>
      </c>
      <c r="O211" s="31">
        <v>1</v>
      </c>
      <c r="P211" s="31">
        <v>1</v>
      </c>
      <c r="Q211" s="30"/>
      <c r="R211" s="2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0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C211" s="2"/>
      <c r="AD211" s="2">
        <f t="shared" si="113"/>
        <v>1</v>
      </c>
      <c r="AE211" s="2">
        <f t="shared" si="114"/>
        <v>0</v>
      </c>
      <c r="AF211" s="2">
        <f t="shared" si="115"/>
        <v>1</v>
      </c>
      <c r="AG211" s="2">
        <f t="shared" si="116"/>
        <v>0</v>
      </c>
      <c r="AH211" s="2">
        <f t="shared" si="117"/>
        <v>1</v>
      </c>
      <c r="AI211" s="2">
        <f t="shared" si="118"/>
        <v>0</v>
      </c>
    </row>
    <row r="212" spans="1:35" s="3" customFormat="1" ht="14.25" customHeight="1" x14ac:dyDescent="0.25">
      <c r="A212" s="29">
        <v>0</v>
      </c>
      <c r="B212" s="29">
        <v>2</v>
      </c>
      <c r="C212" s="29">
        <v>7</v>
      </c>
      <c r="D212" s="30" t="s">
        <v>519</v>
      </c>
      <c r="E212" s="30" t="s">
        <v>31</v>
      </c>
      <c r="F212" s="30" t="s">
        <v>520</v>
      </c>
      <c r="G212" s="30" t="s">
        <v>124</v>
      </c>
      <c r="H212" s="30" t="s">
        <v>165</v>
      </c>
      <c r="I212" s="29" t="s">
        <v>521</v>
      </c>
      <c r="J212" s="29">
        <v>7</v>
      </c>
      <c r="K212" s="29" t="s">
        <v>319</v>
      </c>
      <c r="L212" s="29" t="s">
        <v>318</v>
      </c>
      <c r="M212" s="30" t="s">
        <v>273</v>
      </c>
      <c r="N212" s="30" t="s">
        <v>892</v>
      </c>
      <c r="O212" s="31">
        <v>1</v>
      </c>
      <c r="P212" s="31"/>
      <c r="Q212" s="30"/>
      <c r="R212" s="2"/>
      <c r="S212" s="2">
        <f t="shared" si="103"/>
        <v>0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1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C212" s="2"/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s="3" customFormat="1" ht="14.25" customHeight="1" x14ac:dyDescent="0.25">
      <c r="A213" s="32">
        <v>0</v>
      </c>
      <c r="B213" s="32">
        <v>2</v>
      </c>
      <c r="C213" s="32">
        <v>7</v>
      </c>
      <c r="D213" s="33" t="s">
        <v>431</v>
      </c>
      <c r="E213" s="33" t="s">
        <v>31</v>
      </c>
      <c r="F213" s="33" t="s">
        <v>432</v>
      </c>
      <c r="G213" s="33" t="s">
        <v>117</v>
      </c>
      <c r="H213" s="33" t="s">
        <v>165</v>
      </c>
      <c r="I213" s="32" t="s">
        <v>483</v>
      </c>
      <c r="J213" s="32">
        <v>1</v>
      </c>
      <c r="K213" s="32" t="s">
        <v>320</v>
      </c>
      <c r="L213" s="32" t="s">
        <v>318</v>
      </c>
      <c r="M213" s="33" t="s">
        <v>273</v>
      </c>
      <c r="N213" s="33" t="s">
        <v>922</v>
      </c>
      <c r="O213" s="34"/>
      <c r="P213" s="34"/>
      <c r="Q213" s="33"/>
      <c r="R213" s="2"/>
      <c r="S213" s="2">
        <f t="shared" si="103"/>
        <v>1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0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C213" s="2"/>
      <c r="AD213" s="2">
        <f t="shared" si="113"/>
        <v>0</v>
      </c>
      <c r="AE213" s="2">
        <f t="shared" si="114"/>
        <v>0</v>
      </c>
      <c r="AF213" s="2">
        <f t="shared" si="115"/>
        <v>0</v>
      </c>
      <c r="AG213" s="2">
        <f t="shared" si="116"/>
        <v>0</v>
      </c>
      <c r="AH213" s="2">
        <f t="shared" si="117"/>
        <v>0</v>
      </c>
      <c r="AI213" s="2">
        <f t="shared" si="118"/>
        <v>1</v>
      </c>
    </row>
    <row r="214" spans="1:35" s="3" customFormat="1" ht="14.25" customHeight="1" x14ac:dyDescent="0.25">
      <c r="A214" s="29">
        <v>0</v>
      </c>
      <c r="B214" s="29">
        <v>2</v>
      </c>
      <c r="C214" s="29">
        <v>7</v>
      </c>
      <c r="D214" s="30" t="s">
        <v>461</v>
      </c>
      <c r="E214" s="30" t="s">
        <v>31</v>
      </c>
      <c r="F214" s="30" t="s">
        <v>155</v>
      </c>
      <c r="G214" s="30" t="s">
        <v>122</v>
      </c>
      <c r="H214" s="30" t="s">
        <v>165</v>
      </c>
      <c r="I214" s="29" t="s">
        <v>198</v>
      </c>
      <c r="J214" s="29">
        <v>6</v>
      </c>
      <c r="K214" s="29" t="s">
        <v>321</v>
      </c>
      <c r="L214" s="29" t="s">
        <v>318</v>
      </c>
      <c r="M214" s="30" t="s">
        <v>273</v>
      </c>
      <c r="N214" s="30" t="s">
        <v>886</v>
      </c>
      <c r="O214" s="31">
        <v>1</v>
      </c>
      <c r="P214" s="31">
        <v>1</v>
      </c>
      <c r="Q214" s="30"/>
      <c r="R214" s="2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1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C214" s="2"/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s="3" customFormat="1" ht="14.25" customHeight="1" x14ac:dyDescent="0.25">
      <c r="A215" s="29">
        <v>0</v>
      </c>
      <c r="B215" s="29">
        <v>2</v>
      </c>
      <c r="C215" s="29">
        <v>7</v>
      </c>
      <c r="D215" s="30" t="s">
        <v>63</v>
      </c>
      <c r="E215" s="30" t="s">
        <v>31</v>
      </c>
      <c r="F215" s="30" t="s">
        <v>138</v>
      </c>
      <c r="G215" s="30" t="s">
        <v>125</v>
      </c>
      <c r="H215" s="30" t="s">
        <v>165</v>
      </c>
      <c r="I215" s="29" t="s">
        <v>374</v>
      </c>
      <c r="J215" s="29">
        <v>99</v>
      </c>
      <c r="K215" s="29" t="s">
        <v>320</v>
      </c>
      <c r="L215" s="29" t="s">
        <v>318</v>
      </c>
      <c r="M215" s="30" t="s">
        <v>273</v>
      </c>
      <c r="N215" s="30" t="s">
        <v>886</v>
      </c>
      <c r="O215" s="31">
        <v>1</v>
      </c>
      <c r="P215" s="31">
        <v>1</v>
      </c>
      <c r="Q215" s="30"/>
      <c r="R215" s="2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C215" s="2"/>
      <c r="AD215" s="2">
        <f t="shared" si="113"/>
        <v>1</v>
      </c>
      <c r="AE215" s="2">
        <f t="shared" si="114"/>
        <v>0</v>
      </c>
      <c r="AF215" s="2">
        <f t="shared" si="115"/>
        <v>1</v>
      </c>
      <c r="AG215" s="2">
        <f t="shared" si="116"/>
        <v>0</v>
      </c>
      <c r="AH215" s="2">
        <f t="shared" si="117"/>
        <v>1</v>
      </c>
      <c r="AI215" s="2">
        <f t="shared" si="118"/>
        <v>0</v>
      </c>
    </row>
    <row r="216" spans="1:35" s="3" customFormat="1" ht="14.25" customHeight="1" x14ac:dyDescent="0.25">
      <c r="A216" s="29">
        <v>0</v>
      </c>
      <c r="B216" s="29">
        <v>2</v>
      </c>
      <c r="C216" s="29">
        <v>7</v>
      </c>
      <c r="D216" s="30" t="s">
        <v>428</v>
      </c>
      <c r="E216" s="30" t="s">
        <v>31</v>
      </c>
      <c r="F216" s="30" t="s">
        <v>429</v>
      </c>
      <c r="G216" s="30" t="s">
        <v>126</v>
      </c>
      <c r="H216" s="30" t="s">
        <v>165</v>
      </c>
      <c r="I216" s="29" t="s">
        <v>591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923</v>
      </c>
      <c r="O216" s="31">
        <v>1</v>
      </c>
      <c r="P216" s="31"/>
      <c r="Q216" s="30"/>
      <c r="R216" s="2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C216" s="2"/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1</v>
      </c>
      <c r="AH216" s="2">
        <f t="shared" si="117"/>
        <v>0</v>
      </c>
      <c r="AI216" s="2">
        <f t="shared" si="118"/>
        <v>1</v>
      </c>
    </row>
    <row r="217" spans="1:35" s="3" customFormat="1" ht="14.25" customHeight="1" x14ac:dyDescent="0.25">
      <c r="A217" s="29">
        <v>1</v>
      </c>
      <c r="B217" s="29">
        <v>2</v>
      </c>
      <c r="C217" s="29">
        <v>7</v>
      </c>
      <c r="D217" s="30" t="s">
        <v>428</v>
      </c>
      <c r="E217" s="30" t="s">
        <v>31</v>
      </c>
      <c r="F217" s="30" t="s">
        <v>661</v>
      </c>
      <c r="G217" s="30" t="s">
        <v>662</v>
      </c>
      <c r="H217" s="30" t="s">
        <v>165</v>
      </c>
      <c r="I217" s="29" t="s">
        <v>591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923</v>
      </c>
      <c r="O217" s="31">
        <v>1</v>
      </c>
      <c r="P217" s="31"/>
      <c r="Q217" s="30"/>
      <c r="R217" s="2"/>
      <c r="S217" s="2">
        <f t="shared" si="103"/>
        <v>0</v>
      </c>
      <c r="T217" s="2">
        <f t="shared" si="104"/>
        <v>0</v>
      </c>
      <c r="U217" s="2">
        <f t="shared" si="105"/>
        <v>0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C217" s="2"/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0</v>
      </c>
      <c r="AH217" s="2">
        <f t="shared" si="117"/>
        <v>0</v>
      </c>
      <c r="AI217" s="2">
        <f t="shared" si="118"/>
        <v>0</v>
      </c>
    </row>
    <row r="218" spans="1:35" s="3" customFormat="1" ht="14.25" customHeight="1" x14ac:dyDescent="0.25">
      <c r="A218" s="29">
        <v>0</v>
      </c>
      <c r="B218" s="29">
        <v>2</v>
      </c>
      <c r="C218" s="29">
        <v>7</v>
      </c>
      <c r="D218" s="30" t="s">
        <v>72</v>
      </c>
      <c r="E218" s="30" t="s">
        <v>31</v>
      </c>
      <c r="F218" s="30" t="s">
        <v>151</v>
      </c>
      <c r="G218" s="30" t="s">
        <v>99</v>
      </c>
      <c r="H218" s="30" t="s">
        <v>165</v>
      </c>
      <c r="I218" s="29" t="s">
        <v>195</v>
      </c>
      <c r="J218" s="29">
        <v>3</v>
      </c>
      <c r="K218" s="29" t="s">
        <v>320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R218" s="2"/>
      <c r="S218" s="2">
        <f t="shared" si="103"/>
        <v>0</v>
      </c>
      <c r="T218" s="2">
        <f t="shared" si="104"/>
        <v>0</v>
      </c>
      <c r="U218" s="2">
        <f t="shared" si="105"/>
        <v>1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C218" s="2"/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s="3" customFormat="1" ht="14.25" customHeight="1" x14ac:dyDescent="0.25">
      <c r="A219" s="29">
        <v>0</v>
      </c>
      <c r="B219" s="29">
        <v>2</v>
      </c>
      <c r="C219" s="29">
        <v>7</v>
      </c>
      <c r="D219" s="30" t="s">
        <v>305</v>
      </c>
      <c r="E219" s="30" t="s">
        <v>31</v>
      </c>
      <c r="F219" s="30" t="s">
        <v>817</v>
      </c>
      <c r="G219" s="30" t="s">
        <v>576</v>
      </c>
      <c r="H219" s="30" t="s">
        <v>165</v>
      </c>
      <c r="I219" s="29" t="s">
        <v>297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928</v>
      </c>
      <c r="O219" s="31">
        <v>1</v>
      </c>
      <c r="P219" s="31"/>
      <c r="Q219" s="30"/>
      <c r="R219" s="2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0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C219" s="2"/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s="3" customFormat="1" ht="14.25" customHeight="1" x14ac:dyDescent="0.25">
      <c r="A220" s="29">
        <v>0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152</v>
      </c>
      <c r="G220" s="30" t="s">
        <v>120</v>
      </c>
      <c r="H220" s="30" t="s">
        <v>165</v>
      </c>
      <c r="I220" s="29" t="s">
        <v>196</v>
      </c>
      <c r="J220" s="29">
        <v>6</v>
      </c>
      <c r="K220" s="29" t="s">
        <v>320</v>
      </c>
      <c r="L220" s="29" t="s">
        <v>318</v>
      </c>
      <c r="M220" s="30" t="s">
        <v>273</v>
      </c>
      <c r="N220" s="30" t="s">
        <v>899</v>
      </c>
      <c r="O220" s="31">
        <v>1</v>
      </c>
      <c r="P220" s="31"/>
      <c r="Q220" s="30"/>
      <c r="R220" s="2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0</v>
      </c>
      <c r="W220" s="2">
        <f t="shared" si="107"/>
        <v>0</v>
      </c>
      <c r="X220" s="2">
        <f t="shared" si="108"/>
        <v>1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C220" s="2"/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1</v>
      </c>
      <c r="AH220" s="2">
        <f t="shared" si="117"/>
        <v>0</v>
      </c>
      <c r="AI220" s="2">
        <f t="shared" si="118"/>
        <v>1</v>
      </c>
    </row>
    <row r="221" spans="1:35" s="3" customFormat="1" ht="14.25" customHeight="1" x14ac:dyDescent="0.25">
      <c r="A221" s="29">
        <v>1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310</v>
      </c>
      <c r="G221" s="30" t="s">
        <v>102</v>
      </c>
      <c r="H221" s="30" t="s">
        <v>165</v>
      </c>
      <c r="I221" s="29" t="s">
        <v>316</v>
      </c>
      <c r="J221" s="29">
        <v>4</v>
      </c>
      <c r="K221" s="29" t="s">
        <v>320</v>
      </c>
      <c r="L221" s="29" t="s">
        <v>318</v>
      </c>
      <c r="M221" s="30" t="s">
        <v>273</v>
      </c>
      <c r="N221" s="30" t="s">
        <v>899</v>
      </c>
      <c r="O221" s="31">
        <v>1</v>
      </c>
      <c r="P221" s="31"/>
      <c r="Q221" s="30"/>
      <c r="R221" s="2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1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C221" s="2"/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0</v>
      </c>
      <c r="AH221" s="2">
        <f t="shared" si="117"/>
        <v>0</v>
      </c>
      <c r="AI221" s="2">
        <f t="shared" si="118"/>
        <v>0</v>
      </c>
    </row>
    <row r="222" spans="1:35" s="3" customFormat="1" ht="14.25" customHeight="1" x14ac:dyDescent="0.25">
      <c r="A222" s="29">
        <v>0</v>
      </c>
      <c r="B222" s="29">
        <v>2</v>
      </c>
      <c r="C222" s="29">
        <v>7</v>
      </c>
      <c r="D222" s="30" t="s">
        <v>394</v>
      </c>
      <c r="E222" s="30" t="s">
        <v>31</v>
      </c>
      <c r="F222" s="30" t="s">
        <v>475</v>
      </c>
      <c r="G222" s="30" t="s">
        <v>476</v>
      </c>
      <c r="H222" s="30" t="s">
        <v>165</v>
      </c>
      <c r="I222" s="29" t="s">
        <v>395</v>
      </c>
      <c r="J222" s="29">
        <v>99</v>
      </c>
      <c r="K222" s="29" t="s">
        <v>318</v>
      </c>
      <c r="L222" s="29" t="s">
        <v>318</v>
      </c>
      <c r="M222" s="30" t="s">
        <v>273</v>
      </c>
      <c r="N222" s="30" t="s">
        <v>892</v>
      </c>
      <c r="O222" s="31">
        <v>1</v>
      </c>
      <c r="P222" s="31"/>
      <c r="Q222" s="30"/>
      <c r="R222" s="2"/>
      <c r="S222" s="2">
        <f t="shared" si="103"/>
        <v>0</v>
      </c>
      <c r="T222" s="2">
        <f t="shared" si="104"/>
        <v>0</v>
      </c>
      <c r="U222" s="2">
        <f t="shared" si="105"/>
        <v>0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C222" s="2"/>
      <c r="AD222" s="2">
        <f t="shared" si="113"/>
        <v>0</v>
      </c>
      <c r="AE222" s="2">
        <f t="shared" si="114"/>
        <v>1</v>
      </c>
      <c r="AF222" s="2">
        <f t="shared" si="115"/>
        <v>0</v>
      </c>
      <c r="AG222" s="2">
        <f t="shared" si="116"/>
        <v>1</v>
      </c>
      <c r="AH222" s="2">
        <f t="shared" si="117"/>
        <v>0</v>
      </c>
      <c r="AI222" s="2">
        <f t="shared" si="118"/>
        <v>1</v>
      </c>
    </row>
    <row r="223" spans="1:35" s="3" customFormat="1" ht="14.25" customHeight="1" x14ac:dyDescent="0.25">
      <c r="A223" s="32">
        <v>0</v>
      </c>
      <c r="B223" s="32">
        <v>2</v>
      </c>
      <c r="C223" s="32">
        <v>7</v>
      </c>
      <c r="D223" s="33" t="s">
        <v>567</v>
      </c>
      <c r="E223" s="33" t="s">
        <v>31</v>
      </c>
      <c r="F223" s="33" t="s">
        <v>577</v>
      </c>
      <c r="G223" s="33" t="s">
        <v>132</v>
      </c>
      <c r="H223" s="33" t="s">
        <v>165</v>
      </c>
      <c r="I223" s="32" t="s">
        <v>839</v>
      </c>
      <c r="J223" s="32">
        <v>3</v>
      </c>
      <c r="K223" s="32" t="s">
        <v>320</v>
      </c>
      <c r="L223" s="32" t="s">
        <v>318</v>
      </c>
      <c r="M223" s="33" t="s">
        <v>273</v>
      </c>
      <c r="N223" s="33" t="s">
        <v>922</v>
      </c>
      <c r="O223" s="34"/>
      <c r="P223" s="34"/>
      <c r="Q223" s="33"/>
      <c r="R223" s="2"/>
      <c r="S223" s="2">
        <f t="shared" si="103"/>
        <v>0</v>
      </c>
      <c r="T223" s="2">
        <f t="shared" si="104"/>
        <v>0</v>
      </c>
      <c r="U223" s="2">
        <f t="shared" si="105"/>
        <v>1</v>
      </c>
      <c r="V223" s="2">
        <f t="shared" si="106"/>
        <v>0</v>
      </c>
      <c r="W223" s="2">
        <f t="shared" si="107"/>
        <v>0</v>
      </c>
      <c r="X223" s="2">
        <f t="shared" si="108"/>
        <v>0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C223" s="2"/>
      <c r="AD223" s="2">
        <f t="shared" si="113"/>
        <v>0</v>
      </c>
      <c r="AE223" s="2">
        <f t="shared" si="114"/>
        <v>0</v>
      </c>
      <c r="AF223" s="2">
        <f t="shared" si="115"/>
        <v>0</v>
      </c>
      <c r="AG223" s="2">
        <f t="shared" si="116"/>
        <v>0</v>
      </c>
      <c r="AH223" s="2">
        <f t="shared" si="117"/>
        <v>0</v>
      </c>
      <c r="AI223" s="2">
        <f t="shared" si="118"/>
        <v>1</v>
      </c>
    </row>
    <row r="224" spans="1:35" s="3" customFormat="1" ht="14.25" customHeight="1" x14ac:dyDescent="0.25">
      <c r="A224" s="29">
        <v>0</v>
      </c>
      <c r="B224" s="29">
        <v>2</v>
      </c>
      <c r="C224" s="29">
        <v>7</v>
      </c>
      <c r="D224" s="30" t="s">
        <v>74</v>
      </c>
      <c r="E224" s="30" t="s">
        <v>31</v>
      </c>
      <c r="F224" s="30" t="s">
        <v>311</v>
      </c>
      <c r="G224" s="30" t="s">
        <v>103</v>
      </c>
      <c r="H224" s="30" t="s">
        <v>165</v>
      </c>
      <c r="I224" s="29" t="s">
        <v>840</v>
      </c>
      <c r="J224" s="29">
        <v>6</v>
      </c>
      <c r="K224" s="29" t="s">
        <v>318</v>
      </c>
      <c r="L224" s="29" t="s">
        <v>318</v>
      </c>
      <c r="M224" s="30" t="s">
        <v>273</v>
      </c>
      <c r="N224" s="30" t="s">
        <v>928</v>
      </c>
      <c r="O224" s="31">
        <v>1</v>
      </c>
      <c r="P224" s="31"/>
      <c r="Q224" s="30"/>
      <c r="R224" s="2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C224" s="2"/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s="3" customFormat="1" ht="14.25" customHeight="1" x14ac:dyDescent="0.25">
      <c r="A225" s="32">
        <v>0</v>
      </c>
      <c r="B225" s="32">
        <v>2</v>
      </c>
      <c r="C225" s="32">
        <v>7</v>
      </c>
      <c r="D225" s="33" t="s">
        <v>68</v>
      </c>
      <c r="E225" s="33" t="s">
        <v>90</v>
      </c>
      <c r="F225" s="33" t="s">
        <v>146</v>
      </c>
      <c r="G225" s="33" t="s">
        <v>103</v>
      </c>
      <c r="H225" s="33" t="s">
        <v>165</v>
      </c>
      <c r="I225" s="32" t="s">
        <v>191</v>
      </c>
      <c r="J225" s="32">
        <v>6</v>
      </c>
      <c r="K225" s="32" t="s">
        <v>321</v>
      </c>
      <c r="L225" s="32" t="s">
        <v>333</v>
      </c>
      <c r="M225" s="33" t="s">
        <v>274</v>
      </c>
      <c r="N225" s="33" t="s">
        <v>922</v>
      </c>
      <c r="O225" s="34"/>
      <c r="P225" s="34"/>
      <c r="Q225" s="33"/>
      <c r="R225" s="2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1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C225" s="2"/>
      <c r="AD225" s="2">
        <f t="shared" si="113"/>
        <v>0</v>
      </c>
      <c r="AE225" s="2">
        <f t="shared" si="114"/>
        <v>0</v>
      </c>
      <c r="AF225" s="2">
        <f t="shared" si="115"/>
        <v>0</v>
      </c>
      <c r="AG225" s="2">
        <f t="shared" si="116"/>
        <v>0</v>
      </c>
      <c r="AH225" s="2">
        <f t="shared" si="117"/>
        <v>0</v>
      </c>
      <c r="AI225" s="2">
        <f t="shared" si="118"/>
        <v>1</v>
      </c>
    </row>
    <row r="226" spans="1:35" s="3" customFormat="1" ht="14.25" customHeight="1" x14ac:dyDescent="0.25">
      <c r="A226" s="29">
        <v>0</v>
      </c>
      <c r="B226" s="29">
        <v>2</v>
      </c>
      <c r="C226" s="29">
        <v>7</v>
      </c>
      <c r="D226" s="30" t="s">
        <v>463</v>
      </c>
      <c r="E226" s="30" t="s">
        <v>31</v>
      </c>
      <c r="F226" s="30" t="s">
        <v>396</v>
      </c>
      <c r="G226" s="30" t="s">
        <v>479</v>
      </c>
      <c r="H226" s="30" t="s">
        <v>165</v>
      </c>
      <c r="I226" s="29" t="s">
        <v>489</v>
      </c>
      <c r="J226" s="29">
        <v>99</v>
      </c>
      <c r="K226" s="29" t="s">
        <v>377</v>
      </c>
      <c r="L226" s="29" t="s">
        <v>318</v>
      </c>
      <c r="M226" s="30" t="s">
        <v>273</v>
      </c>
      <c r="N226" s="30" t="s">
        <v>928</v>
      </c>
      <c r="O226" s="31">
        <v>1</v>
      </c>
      <c r="P226" s="31"/>
      <c r="Q226" s="30"/>
      <c r="R226" s="2"/>
      <c r="S226" s="2">
        <f t="shared" si="103"/>
        <v>0</v>
      </c>
      <c r="T226" s="2">
        <f t="shared" si="104"/>
        <v>0</v>
      </c>
      <c r="U226" s="2">
        <f t="shared" si="105"/>
        <v>0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C226" s="2"/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s="3" customFormat="1" ht="14.25" customHeight="1" x14ac:dyDescent="0.25">
      <c r="A227" s="29">
        <v>0</v>
      </c>
      <c r="B227" s="29">
        <v>2</v>
      </c>
      <c r="C227" s="29">
        <v>7</v>
      </c>
      <c r="D227" s="30" t="s">
        <v>505</v>
      </c>
      <c r="E227" s="30" t="s">
        <v>31</v>
      </c>
      <c r="F227" s="30" t="s">
        <v>506</v>
      </c>
      <c r="G227" s="30" t="s">
        <v>96</v>
      </c>
      <c r="H227" s="30" t="s">
        <v>165</v>
      </c>
      <c r="I227" s="29" t="s">
        <v>507</v>
      </c>
      <c r="J227" s="29">
        <v>3</v>
      </c>
      <c r="K227" s="29" t="s">
        <v>318</v>
      </c>
      <c r="L227" s="29" t="s">
        <v>318</v>
      </c>
      <c r="M227" s="30" t="s">
        <v>273</v>
      </c>
      <c r="N227" s="30" t="s">
        <v>906</v>
      </c>
      <c r="O227" s="31">
        <v>1</v>
      </c>
      <c r="P227" s="31"/>
      <c r="Q227" s="30"/>
      <c r="R227" s="2"/>
      <c r="S227" s="2">
        <f t="shared" si="103"/>
        <v>0</v>
      </c>
      <c r="T227" s="2">
        <f t="shared" si="104"/>
        <v>0</v>
      </c>
      <c r="U227" s="2">
        <f t="shared" si="105"/>
        <v>1</v>
      </c>
      <c r="V227" s="2">
        <f t="shared" si="106"/>
        <v>0</v>
      </c>
      <c r="W227" s="2">
        <f t="shared" si="107"/>
        <v>0</v>
      </c>
      <c r="X227" s="2">
        <f t="shared" si="108"/>
        <v>0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C227" s="2"/>
      <c r="AD227" s="2">
        <f t="shared" si="113"/>
        <v>0</v>
      </c>
      <c r="AE227" s="2">
        <f t="shared" si="114"/>
        <v>1</v>
      </c>
      <c r="AF227" s="2">
        <f t="shared" si="115"/>
        <v>0</v>
      </c>
      <c r="AG227" s="2">
        <f t="shared" si="116"/>
        <v>1</v>
      </c>
      <c r="AH227" s="2">
        <f t="shared" si="117"/>
        <v>0</v>
      </c>
      <c r="AI227" s="2">
        <f t="shared" si="118"/>
        <v>1</v>
      </c>
    </row>
    <row r="228" spans="1:35" s="3" customFormat="1" ht="14.25" customHeight="1" x14ac:dyDescent="0.25">
      <c r="A228" s="29">
        <v>0</v>
      </c>
      <c r="B228" s="29">
        <v>2</v>
      </c>
      <c r="C228" s="29">
        <v>7</v>
      </c>
      <c r="D228" s="30" t="s">
        <v>910</v>
      </c>
      <c r="E228" s="30" t="s">
        <v>911</v>
      </c>
      <c r="F228" s="30" t="s">
        <v>146</v>
      </c>
      <c r="G228" s="30" t="s">
        <v>103</v>
      </c>
      <c r="H228" s="30" t="s">
        <v>165</v>
      </c>
      <c r="I228" s="29" t="s">
        <v>33</v>
      </c>
      <c r="J228" s="29">
        <v>6</v>
      </c>
      <c r="K228" s="29" t="s">
        <v>377</v>
      </c>
      <c r="L228" s="29"/>
      <c r="M228" s="30"/>
      <c r="N228" s="30" t="s">
        <v>886</v>
      </c>
      <c r="O228" s="31">
        <v>1</v>
      </c>
      <c r="P228" s="31">
        <v>1</v>
      </c>
      <c r="Q228" s="30"/>
      <c r="R228" s="2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1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C228" s="2"/>
      <c r="AD228" s="2">
        <f t="shared" si="113"/>
        <v>1</v>
      </c>
      <c r="AE228" s="2">
        <f t="shared" si="114"/>
        <v>0</v>
      </c>
      <c r="AF228" s="2">
        <f t="shared" si="115"/>
        <v>1</v>
      </c>
      <c r="AG228" s="2">
        <f t="shared" si="116"/>
        <v>0</v>
      </c>
      <c r="AH228" s="2">
        <f t="shared" si="117"/>
        <v>1</v>
      </c>
      <c r="AI228" s="2">
        <f t="shared" si="118"/>
        <v>0</v>
      </c>
    </row>
    <row r="229" spans="1:35" s="3" customFormat="1" ht="14.25" customHeight="1" x14ac:dyDescent="0.25">
      <c r="A229" s="29">
        <v>1</v>
      </c>
      <c r="B229" s="29">
        <v>2</v>
      </c>
      <c r="C229" s="29">
        <v>7</v>
      </c>
      <c r="D229" s="30" t="s">
        <v>910</v>
      </c>
      <c r="E229" s="30" t="s">
        <v>911</v>
      </c>
      <c r="F229" s="30" t="s">
        <v>912</v>
      </c>
      <c r="G229" s="30" t="s">
        <v>913</v>
      </c>
      <c r="H229" s="30" t="s">
        <v>165</v>
      </c>
      <c r="I229" s="29"/>
      <c r="J229" s="29"/>
      <c r="K229" s="29" t="s">
        <v>377</v>
      </c>
      <c r="L229" s="29"/>
      <c r="M229" s="30"/>
      <c r="N229" s="30" t="s">
        <v>886</v>
      </c>
      <c r="O229" s="31">
        <v>1</v>
      </c>
      <c r="P229" s="31">
        <v>1</v>
      </c>
      <c r="Q229" s="30"/>
      <c r="R229" s="2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0</v>
      </c>
      <c r="AB229" s="2">
        <f t="shared" si="112"/>
        <v>0</v>
      </c>
      <c r="AC229" s="2"/>
      <c r="AD229" s="2">
        <f t="shared" si="113"/>
        <v>1</v>
      </c>
      <c r="AE229" s="2">
        <f t="shared" si="114"/>
        <v>0</v>
      </c>
      <c r="AF229" s="2">
        <f t="shared" si="115"/>
        <v>0</v>
      </c>
      <c r="AG229" s="2">
        <f t="shared" si="116"/>
        <v>0</v>
      </c>
      <c r="AH229" s="2">
        <f t="shared" si="117"/>
        <v>0</v>
      </c>
      <c r="AI229" s="2">
        <f t="shared" si="118"/>
        <v>0</v>
      </c>
    </row>
    <row r="230" spans="1:35" s="3" customFormat="1" ht="14.25" customHeight="1" x14ac:dyDescent="0.25">
      <c r="A230" s="29">
        <v>0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153</v>
      </c>
      <c r="G230" s="30" t="s">
        <v>109</v>
      </c>
      <c r="H230" s="30" t="s">
        <v>165</v>
      </c>
      <c r="I230" s="29" t="s">
        <v>197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906</v>
      </c>
      <c r="O230" s="31">
        <v>1</v>
      </c>
      <c r="P230" s="31"/>
      <c r="Q230" s="30"/>
      <c r="R230" s="2"/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C230" s="2"/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1</v>
      </c>
      <c r="AH230" s="2">
        <f t="shared" si="117"/>
        <v>0</v>
      </c>
      <c r="AI230" s="2">
        <f t="shared" si="118"/>
        <v>1</v>
      </c>
    </row>
    <row r="231" spans="1:35" s="3" customFormat="1" ht="14.25" customHeight="1" x14ac:dyDescent="0.25">
      <c r="A231" s="29">
        <v>1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368</v>
      </c>
      <c r="G231" s="30" t="s">
        <v>109</v>
      </c>
      <c r="H231" s="30" t="s">
        <v>165</v>
      </c>
      <c r="I231" s="29" t="s">
        <v>375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906</v>
      </c>
      <c r="O231" s="31">
        <v>1</v>
      </c>
      <c r="P231" s="31"/>
      <c r="Q231" s="30" t="s">
        <v>951</v>
      </c>
      <c r="R231" s="2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0</v>
      </c>
      <c r="Y231" s="2">
        <f t="shared" si="109"/>
        <v>0</v>
      </c>
      <c r="Z231" s="2">
        <f t="shared" si="110"/>
        <v>0</v>
      </c>
      <c r="AA231" s="2">
        <f t="shared" si="111"/>
        <v>1</v>
      </c>
      <c r="AB231" s="2">
        <f t="shared" si="112"/>
        <v>0</v>
      </c>
      <c r="AC231" s="2"/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0</v>
      </c>
      <c r="AH231" s="2">
        <f t="shared" si="117"/>
        <v>0</v>
      </c>
      <c r="AI231" s="2">
        <f t="shared" si="118"/>
        <v>0</v>
      </c>
    </row>
    <row r="232" spans="1:35" s="3" customFormat="1" ht="14.25" customHeight="1" x14ac:dyDescent="0.25">
      <c r="A232" s="29">
        <v>0</v>
      </c>
      <c r="B232" s="29">
        <v>2</v>
      </c>
      <c r="C232" s="29">
        <v>7</v>
      </c>
      <c r="D232" s="30" t="s">
        <v>397</v>
      </c>
      <c r="E232" s="30" t="s">
        <v>31</v>
      </c>
      <c r="F232" s="30" t="s">
        <v>400</v>
      </c>
      <c r="G232" s="30" t="s">
        <v>480</v>
      </c>
      <c r="H232" s="30" t="s">
        <v>165</v>
      </c>
      <c r="I232" s="29" t="s">
        <v>492</v>
      </c>
      <c r="J232" s="29">
        <v>6</v>
      </c>
      <c r="K232" s="29" t="s">
        <v>319</v>
      </c>
      <c r="L232" s="29" t="s">
        <v>318</v>
      </c>
      <c r="M232" s="30" t="s">
        <v>273</v>
      </c>
      <c r="N232" s="30" t="s">
        <v>928</v>
      </c>
      <c r="O232" s="31">
        <v>1</v>
      </c>
      <c r="P232" s="31"/>
      <c r="Q232" s="30"/>
      <c r="R232" s="2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1</v>
      </c>
      <c r="Y232" s="2">
        <f t="shared" si="109"/>
        <v>0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C232" s="2"/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1</v>
      </c>
      <c r="AH232" s="2">
        <f t="shared" si="117"/>
        <v>0</v>
      </c>
      <c r="AI232" s="2">
        <f t="shared" si="118"/>
        <v>1</v>
      </c>
    </row>
    <row r="233" spans="1:35" s="3" customFormat="1" ht="14.25" customHeight="1" x14ac:dyDescent="0.25">
      <c r="A233" s="29">
        <v>1</v>
      </c>
      <c r="B233" s="29">
        <v>2</v>
      </c>
      <c r="C233" s="29">
        <v>7</v>
      </c>
      <c r="D233" s="30" t="s">
        <v>397</v>
      </c>
      <c r="E233" s="30" t="s">
        <v>31</v>
      </c>
      <c r="F233" s="30" t="s">
        <v>398</v>
      </c>
      <c r="G233" s="30" t="s">
        <v>124</v>
      </c>
      <c r="H233" s="30" t="s">
        <v>165</v>
      </c>
      <c r="I233" s="29" t="s">
        <v>399</v>
      </c>
      <c r="J233" s="29">
        <v>7</v>
      </c>
      <c r="K233" s="29" t="s">
        <v>319</v>
      </c>
      <c r="L233" s="29" t="s">
        <v>318</v>
      </c>
      <c r="M233" s="30" t="s">
        <v>273</v>
      </c>
      <c r="N233" s="30" t="s">
        <v>928</v>
      </c>
      <c r="O233" s="31">
        <v>1</v>
      </c>
      <c r="P233" s="31"/>
      <c r="Q233" s="30"/>
      <c r="R233" s="2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1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C233" s="2"/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s="3" customFormat="1" ht="14.25" customHeight="1" x14ac:dyDescent="0.25">
      <c r="A234" s="29">
        <v>1</v>
      </c>
      <c r="B234" s="29">
        <v>2</v>
      </c>
      <c r="C234" s="29">
        <v>7</v>
      </c>
      <c r="D234" s="30" t="s">
        <v>397</v>
      </c>
      <c r="E234" s="30" t="s">
        <v>31</v>
      </c>
      <c r="F234" s="30" t="s">
        <v>401</v>
      </c>
      <c r="G234" s="30" t="s">
        <v>402</v>
      </c>
      <c r="H234" s="30" t="s">
        <v>165</v>
      </c>
      <c r="I234" s="29" t="s">
        <v>493</v>
      </c>
      <c r="J234" s="29">
        <v>99</v>
      </c>
      <c r="K234" s="29" t="s">
        <v>319</v>
      </c>
      <c r="L234" s="29" t="s">
        <v>318</v>
      </c>
      <c r="M234" s="30" t="s">
        <v>273</v>
      </c>
      <c r="N234" s="30" t="s">
        <v>928</v>
      </c>
      <c r="O234" s="31">
        <v>1</v>
      </c>
      <c r="P234" s="31"/>
      <c r="Q234" s="30"/>
      <c r="R234" s="2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C234" s="2"/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0</v>
      </c>
      <c r="AH234" s="2">
        <f t="shared" si="117"/>
        <v>0</v>
      </c>
      <c r="AI234" s="2">
        <f t="shared" si="118"/>
        <v>0</v>
      </c>
    </row>
    <row r="235" spans="1:35" s="3" customFormat="1" ht="14.25" customHeight="1" x14ac:dyDescent="0.25">
      <c r="A235" s="29">
        <v>0</v>
      </c>
      <c r="B235" s="29">
        <v>2</v>
      </c>
      <c r="C235" s="29">
        <v>7</v>
      </c>
      <c r="D235" s="30" t="s">
        <v>464</v>
      </c>
      <c r="E235" s="30" t="s">
        <v>31</v>
      </c>
      <c r="F235" s="30" t="s">
        <v>430</v>
      </c>
      <c r="G235" s="30" t="s">
        <v>125</v>
      </c>
      <c r="H235" s="30" t="s">
        <v>165</v>
      </c>
      <c r="I235" s="29" t="s">
        <v>494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904</v>
      </c>
      <c r="O235" s="31">
        <v>1</v>
      </c>
      <c r="P235" s="31"/>
      <c r="Q235" s="30"/>
      <c r="R235" s="2"/>
      <c r="S235" s="2">
        <f t="shared" si="103"/>
        <v>0</v>
      </c>
      <c r="T235" s="2">
        <f t="shared" si="104"/>
        <v>0</v>
      </c>
      <c r="U235" s="2">
        <f t="shared" si="105"/>
        <v>0</v>
      </c>
      <c r="V235" s="2">
        <f t="shared" si="106"/>
        <v>0</v>
      </c>
      <c r="W235" s="2">
        <f t="shared" si="107"/>
        <v>0</v>
      </c>
      <c r="X235" s="2">
        <f t="shared" si="108"/>
        <v>0</v>
      </c>
      <c r="Y235" s="2">
        <f t="shared" si="109"/>
        <v>0</v>
      </c>
      <c r="Z235" s="2">
        <f t="shared" si="110"/>
        <v>0</v>
      </c>
      <c r="AA235" s="2">
        <f t="shared" si="111"/>
        <v>0</v>
      </c>
      <c r="AB235" s="2">
        <f t="shared" si="112"/>
        <v>0</v>
      </c>
      <c r="AC235" s="2"/>
      <c r="AD235" s="2">
        <f t="shared" si="113"/>
        <v>0</v>
      </c>
      <c r="AE235" s="2">
        <f t="shared" si="114"/>
        <v>1</v>
      </c>
      <c r="AF235" s="2">
        <f t="shared" si="115"/>
        <v>0</v>
      </c>
      <c r="AG235" s="2">
        <f t="shared" si="116"/>
        <v>1</v>
      </c>
      <c r="AH235" s="2">
        <f t="shared" si="117"/>
        <v>0</v>
      </c>
      <c r="AI235" s="2">
        <f t="shared" si="118"/>
        <v>1</v>
      </c>
    </row>
    <row r="236" spans="1:35" s="3" customFormat="1" ht="14.25" customHeight="1" x14ac:dyDescent="0.25">
      <c r="A236" s="29">
        <v>1</v>
      </c>
      <c r="B236" s="29">
        <v>2</v>
      </c>
      <c r="C236" s="29">
        <v>7</v>
      </c>
      <c r="D236" s="30" t="s">
        <v>464</v>
      </c>
      <c r="E236" s="30" t="s">
        <v>31</v>
      </c>
      <c r="F236" s="30" t="s">
        <v>689</v>
      </c>
      <c r="G236" s="30" t="s">
        <v>140</v>
      </c>
      <c r="H236" s="30" t="s">
        <v>165</v>
      </c>
      <c r="I236" s="29" t="s">
        <v>694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904</v>
      </c>
      <c r="O236" s="31">
        <v>1</v>
      </c>
      <c r="P236" s="31"/>
      <c r="Q236" s="30"/>
      <c r="R236" s="2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0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C236" s="2"/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s="3" customFormat="1" ht="14.25" customHeight="1" x14ac:dyDescent="0.25">
      <c r="A237" s="29">
        <v>1</v>
      </c>
      <c r="B237" s="29">
        <v>2</v>
      </c>
      <c r="C237" s="29">
        <v>7</v>
      </c>
      <c r="D237" s="30" t="s">
        <v>464</v>
      </c>
      <c r="E237" s="30" t="s">
        <v>31</v>
      </c>
      <c r="F237" s="30" t="s">
        <v>1006</v>
      </c>
      <c r="G237" s="30" t="s">
        <v>103</v>
      </c>
      <c r="H237" s="30" t="s">
        <v>165</v>
      </c>
      <c r="I237" s="29" t="s">
        <v>33</v>
      </c>
      <c r="J237" s="29">
        <v>6</v>
      </c>
      <c r="K237" s="29" t="s">
        <v>320</v>
      </c>
      <c r="L237" s="29" t="s">
        <v>318</v>
      </c>
      <c r="M237" s="30" t="s">
        <v>273</v>
      </c>
      <c r="N237" s="30" t="s">
        <v>904</v>
      </c>
      <c r="O237" s="31">
        <v>1</v>
      </c>
      <c r="P237" s="31"/>
      <c r="Q237" s="30"/>
      <c r="R237" s="2"/>
      <c r="S237" s="2">
        <f t="shared" ref="S237" si="119">IF(J237=$S$7,1,0)</f>
        <v>0</v>
      </c>
      <c r="T237" s="2">
        <f t="shared" ref="T237" si="120">IF(J237=$T$7,1,0)</f>
        <v>0</v>
      </c>
      <c r="U237" s="2">
        <f t="shared" ref="U237" si="121">IF(J237=$U$7,1,0)</f>
        <v>0</v>
      </c>
      <c r="V237" s="2">
        <f t="shared" ref="V237" si="122">IF(J237=$V$7,1,0)</f>
        <v>0</v>
      </c>
      <c r="W237" s="2">
        <f t="shared" ref="W237" si="123">IF(J237=$W$7,1,0)</f>
        <v>0</v>
      </c>
      <c r="X237" s="2">
        <f t="shared" ref="X237" si="124">IF(J237=$X$7,1,0)</f>
        <v>1</v>
      </c>
      <c r="Y237" s="2">
        <f t="shared" ref="Y237" si="125">IF(J237=$Y$7,1,0)</f>
        <v>0</v>
      </c>
      <c r="Z237" s="2">
        <f t="shared" ref="Z237" si="126">IF(J237=$Z$7,1,0)</f>
        <v>0</v>
      </c>
      <c r="AA237" s="2">
        <f t="shared" ref="AA237" si="127">IF(J237=$AA$7,1,0)</f>
        <v>0</v>
      </c>
      <c r="AB237" s="2">
        <f t="shared" ref="AB237" si="128">IF(J237=$AB$7,1,0)</f>
        <v>0</v>
      </c>
      <c r="AC237" s="2"/>
      <c r="AD237" s="2">
        <f t="shared" ref="AD237" si="129">+O237*P237</f>
        <v>0</v>
      </c>
      <c r="AE237" s="2">
        <f t="shared" ref="AE237" si="130">O237*(1-P237)</f>
        <v>1</v>
      </c>
      <c r="AF237" s="2">
        <f t="shared" ref="AF237" si="131">+O237*P237*(1-A237)</f>
        <v>0</v>
      </c>
      <c r="AG237" s="2">
        <f t="shared" ref="AG237" si="132">O237*(1-P237)*(1-A237)</f>
        <v>0</v>
      </c>
      <c r="AH237" s="2">
        <f t="shared" ref="AH237" si="133">+P237*(1-A237)</f>
        <v>0</v>
      </c>
      <c r="AI237" s="2">
        <f t="shared" ref="AI237" si="134">+(1-A237)*(1-P237)</f>
        <v>0</v>
      </c>
    </row>
    <row r="238" spans="1:35" s="3" customFormat="1" ht="14.25" customHeight="1" x14ac:dyDescent="0.25">
      <c r="A238" s="29">
        <v>0</v>
      </c>
      <c r="B238" s="29">
        <v>2</v>
      </c>
      <c r="C238" s="29">
        <v>7</v>
      </c>
      <c r="D238" s="30" t="s">
        <v>79</v>
      </c>
      <c r="E238" s="30" t="s">
        <v>31</v>
      </c>
      <c r="F238" s="30" t="s">
        <v>162</v>
      </c>
      <c r="G238" s="30" t="s">
        <v>163</v>
      </c>
      <c r="H238" s="30" t="s">
        <v>165</v>
      </c>
      <c r="I238" s="29" t="s">
        <v>202</v>
      </c>
      <c r="J238" s="29">
        <v>5</v>
      </c>
      <c r="K238" s="29" t="s">
        <v>377</v>
      </c>
      <c r="L238" s="29" t="s">
        <v>318</v>
      </c>
      <c r="M238" s="30" t="s">
        <v>273</v>
      </c>
      <c r="N238" s="30" t="s">
        <v>906</v>
      </c>
      <c r="O238" s="31">
        <v>1</v>
      </c>
      <c r="P238" s="31"/>
      <c r="Q238" s="30"/>
      <c r="R238" s="2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1</v>
      </c>
      <c r="X238" s="2">
        <f t="shared" si="108"/>
        <v>0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C238" s="2"/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s="3" customFormat="1" ht="14.25" customHeight="1" x14ac:dyDescent="0.25">
      <c r="A239" s="29">
        <v>0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351</v>
      </c>
      <c r="G239" s="30" t="s">
        <v>103</v>
      </c>
      <c r="H239" s="30" t="s">
        <v>165</v>
      </c>
      <c r="I239" s="29" t="s">
        <v>350</v>
      </c>
      <c r="J239" s="29">
        <v>6</v>
      </c>
      <c r="K239" s="29" t="s">
        <v>320</v>
      </c>
      <c r="L239" s="29" t="s">
        <v>336</v>
      </c>
      <c r="M239" s="30" t="s">
        <v>275</v>
      </c>
      <c r="N239" s="30" t="s">
        <v>894</v>
      </c>
      <c r="O239" s="31">
        <v>1</v>
      </c>
      <c r="P239" s="31"/>
      <c r="Q239" s="30"/>
      <c r="R239" s="2"/>
      <c r="S239" s="2">
        <f t="shared" si="103"/>
        <v>0</v>
      </c>
      <c r="T239" s="2">
        <f t="shared" si="104"/>
        <v>0</v>
      </c>
      <c r="U239" s="2">
        <f t="shared" si="105"/>
        <v>0</v>
      </c>
      <c r="V239" s="2">
        <f t="shared" si="106"/>
        <v>0</v>
      </c>
      <c r="W239" s="2">
        <f t="shared" si="107"/>
        <v>0</v>
      </c>
      <c r="X239" s="2">
        <f t="shared" si="108"/>
        <v>1</v>
      </c>
      <c r="Y239" s="2">
        <f t="shared" si="109"/>
        <v>0</v>
      </c>
      <c r="Z239" s="2">
        <f t="shared" si="110"/>
        <v>0</v>
      </c>
      <c r="AA239" s="2">
        <f t="shared" si="111"/>
        <v>0</v>
      </c>
      <c r="AB239" s="2">
        <f t="shared" si="112"/>
        <v>0</v>
      </c>
      <c r="AC239" s="2"/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1</v>
      </c>
      <c r="AH239" s="2">
        <f t="shared" si="117"/>
        <v>0</v>
      </c>
      <c r="AI239" s="2">
        <f t="shared" si="118"/>
        <v>1</v>
      </c>
    </row>
    <row r="240" spans="1:35" s="3" customFormat="1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123</v>
      </c>
      <c r="G240" s="30" t="s">
        <v>124</v>
      </c>
      <c r="H240" s="30" t="s">
        <v>165</v>
      </c>
      <c r="I240" s="29" t="s">
        <v>180</v>
      </c>
      <c r="J240" s="29">
        <v>7</v>
      </c>
      <c r="K240" s="29" t="s">
        <v>320</v>
      </c>
      <c r="L240" s="29" t="s">
        <v>336</v>
      </c>
      <c r="M240" s="30" t="s">
        <v>275</v>
      </c>
      <c r="N240" s="30" t="s">
        <v>894</v>
      </c>
      <c r="O240" s="31">
        <v>1</v>
      </c>
      <c r="P240" s="31"/>
      <c r="Q240" s="30"/>
      <c r="R240" s="2"/>
      <c r="S240" s="2">
        <f t="shared" si="103"/>
        <v>0</v>
      </c>
      <c r="T240" s="2">
        <f t="shared" si="104"/>
        <v>0</v>
      </c>
      <c r="U240" s="2">
        <f t="shared" si="105"/>
        <v>0</v>
      </c>
      <c r="V240" s="2">
        <f t="shared" si="106"/>
        <v>0</v>
      </c>
      <c r="W240" s="2">
        <f t="shared" si="107"/>
        <v>0</v>
      </c>
      <c r="X240" s="2">
        <f t="shared" si="108"/>
        <v>0</v>
      </c>
      <c r="Y240" s="2">
        <f t="shared" si="109"/>
        <v>1</v>
      </c>
      <c r="Z240" s="2">
        <f t="shared" si="110"/>
        <v>0</v>
      </c>
      <c r="AA240" s="2">
        <f t="shared" si="111"/>
        <v>0</v>
      </c>
      <c r="AB240" s="2">
        <f t="shared" si="112"/>
        <v>0</v>
      </c>
      <c r="AC240" s="2"/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35" s="3" customFormat="1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348</v>
      </c>
      <c r="G241" s="30" t="s">
        <v>93</v>
      </c>
      <c r="H241" s="30" t="s">
        <v>165</v>
      </c>
      <c r="I241" s="29" t="s">
        <v>349</v>
      </c>
      <c r="J241" s="29">
        <v>8</v>
      </c>
      <c r="K241" s="29" t="s">
        <v>320</v>
      </c>
      <c r="L241" s="29" t="s">
        <v>336</v>
      </c>
      <c r="M241" s="30" t="s">
        <v>275</v>
      </c>
      <c r="N241" s="30" t="s">
        <v>894</v>
      </c>
      <c r="O241" s="31">
        <v>1</v>
      </c>
      <c r="P241" s="31"/>
      <c r="Q241" s="30"/>
      <c r="R241" s="2"/>
      <c r="S241" s="2">
        <f t="shared" si="103"/>
        <v>0</v>
      </c>
      <c r="T241" s="2">
        <f t="shared" si="104"/>
        <v>0</v>
      </c>
      <c r="U241" s="2">
        <f t="shared" si="105"/>
        <v>0</v>
      </c>
      <c r="V241" s="2">
        <f t="shared" si="106"/>
        <v>0</v>
      </c>
      <c r="W241" s="2">
        <f t="shared" si="107"/>
        <v>0</v>
      </c>
      <c r="X241" s="2">
        <f t="shared" si="108"/>
        <v>0</v>
      </c>
      <c r="Y241" s="2">
        <f t="shared" si="109"/>
        <v>0</v>
      </c>
      <c r="Z241" s="2">
        <f t="shared" si="110"/>
        <v>1</v>
      </c>
      <c r="AA241" s="2">
        <f t="shared" si="111"/>
        <v>0</v>
      </c>
      <c r="AB241" s="2">
        <f t="shared" si="112"/>
        <v>0</v>
      </c>
      <c r="AC241" s="2"/>
      <c r="AD241" s="2">
        <f t="shared" si="113"/>
        <v>0</v>
      </c>
      <c r="AE241" s="2">
        <f t="shared" si="114"/>
        <v>1</v>
      </c>
      <c r="AF241" s="2">
        <f t="shared" si="115"/>
        <v>0</v>
      </c>
      <c r="AG241" s="2">
        <f t="shared" si="116"/>
        <v>0</v>
      </c>
      <c r="AH241" s="2">
        <f t="shared" si="117"/>
        <v>0</v>
      </c>
      <c r="AI241" s="2">
        <f t="shared" si="118"/>
        <v>0</v>
      </c>
    </row>
    <row r="242" spans="1:35" s="3" customFormat="1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spans="1:35" s="3" customFormat="1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spans="1:35" s="3" customFormat="1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spans="1:35" s="3" customFormat="1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spans="1:35" s="3" customFormat="1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spans="1:35" s="3" customFormat="1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spans="1:35" s="3" customFormat="1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spans="1:35" s="3" customFormat="1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spans="1:35" s="3" customFormat="1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spans="1:35" s="3" customFormat="1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spans="1:35" s="3" customFormat="1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spans="1:35" s="3" customFormat="1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spans="1:35" s="3" customFormat="1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spans="1:35" s="3" customFormat="1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spans="1:35" s="3" customFormat="1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spans="1:35" s="3" customFormat="1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spans="1:35" s="3" customFormat="1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spans="1:35" s="3" customFormat="1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spans="1:35" s="3" customFormat="1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spans="1:35" s="3" customFormat="1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spans="1:35" s="3" customFormat="1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spans="1:35" s="3" customFormat="1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spans="1:35" s="3" customFormat="1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spans="1:35" s="3" customFormat="1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spans="1:35" s="3" customFormat="1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spans="1:35" s="3" customFormat="1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spans="1:35" s="3" customFormat="1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spans="1:35" s="3" customFormat="1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spans="1:35" s="3" customFormat="1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spans="1:35" s="3" customFormat="1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spans="1:35" s="3" customFormat="1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spans="1:35" s="3" customFormat="1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spans="1:35" s="3" customFormat="1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spans="1:35" s="3" customFormat="1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spans="1:35" s="3" customFormat="1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spans="1:35" s="3" customFormat="1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spans="1:35" s="3" customFormat="1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spans="1:35" s="3" customFormat="1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spans="1:35" s="3" customFormat="1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spans="1:35" s="3" customFormat="1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spans="1:35" s="3" customFormat="1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spans="1:35" s="3" customFormat="1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spans="1:35" s="3" customFormat="1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spans="1:35" s="3" customFormat="1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spans="1:35" s="3" customFormat="1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spans="1:35" s="3" customFormat="1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spans="1:35" s="3" customFormat="1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spans="1:35" s="3" customFormat="1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spans="1:35" s="3" customFormat="1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spans="1:35" s="3" customFormat="1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spans="1:35" s="3" customFormat="1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spans="1:35" s="3" customFormat="1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spans="1:35" s="3" customFormat="1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spans="1:35" s="3" customFormat="1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spans="1:35" s="3" customFormat="1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spans="1:35" s="3" customFormat="1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spans="1:35" s="3" customFormat="1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spans="1:35" s="3" customFormat="1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spans="1:35" s="3" customFormat="1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spans="1:35" s="3" customFormat="1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spans="1:35" s="3" customFormat="1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spans="1:35" s="3" customFormat="1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spans="1:35" s="3" customFormat="1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spans="1:35" s="3" customFormat="1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spans="1:35" s="3" customFormat="1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spans="1:35" s="3" customFormat="1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spans="1:35" s="3" customFormat="1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spans="1:35" s="3" customFormat="1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spans="1:35" s="3" customFormat="1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spans="1:35" s="3" customFormat="1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spans="1:35" s="3" customFormat="1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spans="1:35" s="3" customFormat="1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spans="1:35" s="3" customFormat="1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spans="1:35" s="3" customFormat="1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spans="1:35" s="3" customFormat="1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spans="1:35" s="3" customFormat="1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spans="1:35" s="3" customFormat="1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spans="1:35" s="3" customFormat="1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spans="1:35" s="3" customFormat="1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spans="1:35" s="3" customFormat="1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spans="1:35" s="3" customFormat="1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spans="1:35" s="3" customFormat="1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spans="1:35" s="3" customFormat="1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spans="1:35" s="3" customFormat="1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spans="1:35" s="3" customFormat="1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spans="1:35" s="3" customFormat="1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spans="1:35" s="3" customFormat="1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spans="1:35" s="3" customFormat="1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spans="1:35" s="3" customFormat="1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spans="1:35" s="3" customFormat="1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spans="1:35" s="3" customFormat="1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spans="1:35" s="3" customFormat="1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spans="1:35" s="3" customFormat="1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spans="1:35" s="3" customFormat="1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spans="1:35" s="3" customFormat="1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spans="1:35" s="3" customFormat="1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spans="1:35" s="3" customFormat="1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spans="1:35" s="3" customFormat="1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spans="1:35" s="3" customFormat="1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spans="1:35" s="3" customFormat="1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spans="1:35" s="3" customFormat="1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spans="1:35" s="3" customFormat="1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spans="1:35" s="3" customFormat="1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spans="1:35" s="3" customFormat="1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spans="1:35" s="3" customFormat="1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spans="1:35" s="3" customFormat="1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spans="1:35" s="3" customFormat="1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spans="1:35" s="3" customFormat="1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spans="1:35" s="3" customFormat="1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spans="1:35" s="3" customFormat="1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spans="1:35" s="3" customFormat="1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spans="1:35" s="3" customFormat="1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spans="1:35" s="3" customFormat="1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spans="1:35" s="3" customFormat="1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spans="1:35" s="3" customFormat="1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spans="1:35" s="3" customFormat="1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spans="1:35" s="3" customFormat="1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spans="1:35" s="3" customFormat="1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spans="1:35" s="3" customFormat="1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spans="1:35" s="3" customFormat="1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spans="1:35" s="3" customFormat="1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spans="1:35" s="3" customFormat="1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spans="1:35" s="3" customFormat="1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spans="1:35" s="3" customFormat="1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spans="1:35" s="3" customFormat="1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spans="1:35" s="3" customFormat="1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spans="1:35" s="3" customFormat="1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spans="1:35" s="3" customFormat="1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spans="1:35" s="3" customFormat="1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spans="1:35" s="3" customFormat="1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spans="1:35" s="3" customFormat="1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spans="1:35" s="3" customFormat="1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spans="1:35" s="3" customFormat="1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spans="1:35" s="3" customFormat="1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spans="1:35" s="3" customFormat="1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spans="1:35" s="3" customFormat="1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spans="1:35" s="3" customFormat="1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spans="1:35" s="3" customFormat="1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spans="1:35" s="3" customFormat="1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spans="1:35" s="3" customFormat="1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spans="1:35" s="3" customFormat="1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spans="1:35" s="3" customFormat="1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spans="1:35" s="3" customFormat="1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spans="1:35" s="3" customFormat="1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spans="1:35" s="3" customFormat="1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spans="1:35" s="3" customFormat="1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spans="1:35" s="3" customFormat="1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spans="1:35" s="3" customFormat="1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spans="1:35" s="3" customFormat="1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spans="1:35" s="3" customFormat="1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spans="1:35" s="3" customFormat="1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spans="1:35" s="3" customFormat="1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spans="1:35" s="3" customFormat="1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spans="1:35" s="3" customFormat="1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spans="1:35" s="3" customFormat="1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spans="1:35" s="3" customFormat="1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spans="1:35" s="3" customFormat="1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spans="1:35" s="3" customFormat="1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spans="1:35" s="3" customFormat="1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spans="1:35" s="3" customFormat="1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spans="1:35" s="3" customFormat="1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spans="1:35" s="3" customFormat="1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spans="1:35" s="3" customFormat="1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spans="1:35" s="3" customFormat="1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spans="1:35" s="3" customFormat="1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spans="1:35" s="3" customFormat="1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spans="1:35" s="3" customFormat="1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spans="1:35" s="3" customFormat="1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spans="1:35" s="3" customFormat="1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spans="1:35" s="3" customFormat="1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spans="1:35" s="3" customFormat="1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spans="1:35" s="3" customFormat="1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spans="1:35" s="3" customFormat="1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spans="1:35" s="3" customFormat="1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spans="1:35" s="3" customFormat="1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spans="1:35" s="3" customFormat="1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spans="1:35" s="3" customFormat="1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spans="1:35" s="3" customFormat="1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spans="1:35" s="3" customFormat="1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spans="1:35" s="3" customFormat="1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spans="1:35" s="3" customFormat="1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spans="1:35" s="3" customFormat="1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spans="1:35" s="3" customFormat="1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spans="1:35" s="3" customFormat="1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spans="1:35" s="3" customFormat="1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spans="1:35" s="3" customFormat="1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spans="1:35" s="3" customFormat="1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spans="1:35" s="3" customFormat="1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spans="1:35" s="3" customFormat="1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</row>
    <row r="431" spans="1:35" s="3" customFormat="1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</row>
    <row r="432" spans="1:35" s="3" customFormat="1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</row>
    <row r="433" spans="1:35" s="3" customFormat="1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</row>
    <row r="434" spans="1:35" s="3" customFormat="1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</row>
    <row r="435" spans="1:35" s="3" customFormat="1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</row>
    <row r="436" spans="1:35" s="3" customFormat="1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</row>
    <row r="437" spans="1:35" s="3" customFormat="1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</row>
    <row r="438" spans="1:35" s="3" customFormat="1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</row>
    <row r="439" spans="1:35" s="3" customFormat="1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</row>
    <row r="440" spans="1:35" s="3" customFormat="1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</row>
    <row r="441" spans="1:35" s="3" customFormat="1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</row>
    <row r="442" spans="1:35" s="3" customFormat="1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</row>
  </sheetData>
  <autoFilter ref="A7:AI241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1">
    <sortCondition ref="B8:B241"/>
    <sortCondition ref="C8:C241"/>
    <sortCondition ref="D8:D241"/>
    <sortCondition ref="A8:A241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Simone Cargiani</cp:lastModifiedBy>
  <cp:lastPrinted>2017-07-19T17:39:32Z</cp:lastPrinted>
  <dcterms:created xsi:type="dcterms:W3CDTF">2003-01-08T15:13:21Z</dcterms:created>
  <dcterms:modified xsi:type="dcterms:W3CDTF">2026-09-21T10:28:11Z</dcterms:modified>
</cp:coreProperties>
</file>