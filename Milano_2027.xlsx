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12E56E5-248F-4782-87E3-3367EC67AC4E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35" i="6" l="1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39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39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39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W239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239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239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239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239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39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<sst xmlns="http://schemas.openxmlformats.org/spreadsheetml/2006/main" count="2219" uniqueCount="1003">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</sst>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170" activePane="bottomLeft" state="frozen"/>
      <selection pane="bottomLeft" activeCell="A182" sqref="A18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61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107</v>
      </c>
      <c r="G4" s="9">
        <f>+AG6</f>
        <v>84</v>
      </c>
      <c r="H4" s="7">
        <f>+E4-G4</f>
        <v>57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168</v>
      </c>
      <c r="G5" s="11">
        <f>+G3+G4</f>
        <v>130</v>
      </c>
      <c r="H5" s="11">
        <f>+H3+H4</f>
        <v>62</v>
      </c>
      <c r="I5" s="25" t="s">
        <v>43</v>
      </c>
      <c r="J5" s="12"/>
      <c r="K5" s="12"/>
      <c r="N5" s="13"/>
      <c r="R5" s="12"/>
      <c r="S5" s="12">
        <f>SUM(S8:S1882)</f>
        <v>25</v>
      </c>
      <c r="T5" s="12">
        <f>SUM(T8:T1882)</f>
        <v>10</v>
      </c>
      <c r="U5" s="12">
        <f>SUM(U8:U1882)</f>
        <v>19</v>
      </c>
      <c r="V5" s="12">
        <f>SUM(V8:V1882)</f>
        <v>6</v>
      </c>
      <c r="W5" s="12">
        <f>SUM(W8:W1882)</f>
        <v>3</v>
      </c>
      <c r="X5" s="12">
        <f>SUM(X8:X1882)</f>
        <v>22</v>
      </c>
      <c r="Y5" s="12">
        <f>SUM(Y8:Y1882)</f>
        <v>4</v>
      </c>
      <c r="Z5" s="12">
        <f>SUM(Z8:Z1882)</f>
        <v>17</v>
      </c>
      <c r="AA5" s="12">
        <f>SUM(AA8:AA1882)</f>
        <v>6</v>
      </c>
      <c r="AB5" s="12">
        <f>SUM(AB8:AB1882)</f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>SUM(AD8:AD1881)</f>
        <v>61</v>
      </c>
      <c r="AE6" s="2">
        <f>SUM(AE8:AE1881)</f>
        <v>107</v>
      </c>
      <c r="AF6" s="2">
        <f>SUM(AF8:AF1881)</f>
        <v>46</v>
      </c>
      <c r="AG6" s="2">
        <f>SUM(AG8:AG1881)</f>
        <v>84</v>
      </c>
      <c r="AH6" s="2">
        <f>SUM(AH8:AH1881)</f>
        <v>51</v>
      </c>
      <c r="AI6" s="2">
        <f>SUM(AI8:AI1881)</f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945</v>
      </c>
      <c r="R7" s="39"/>
      <c r="S7" s="39">
        <v>1</v>
      </c>
      <c r="T7" s="39">
        <f>+S7+1</f>
        <v>2</v>
      </c>
      <c r="U7" s="39">
        <f t="shared" ref="U7:AB7" si="0">+T7+1</f>
        <v>3</v>
      </c>
      <c r="V7" s="39">
        <f t="shared" si="0"/>
        <v>4</v>
      </c>
      <c r="W7" s="39">
        <f t="shared" si="0"/>
        <v>5</v>
      </c>
      <c r="X7" s="39">
        <f t="shared" si="0"/>
        <v>6</v>
      </c>
      <c r="Y7" s="39">
        <f t="shared" si="0"/>
        <v>7</v>
      </c>
      <c r="Z7" s="39">
        <f t="shared" si="0"/>
        <v>8</v>
      </c>
      <c r="AA7" s="39">
        <f t="shared" si="0"/>
        <v>9</v>
      </c>
      <c r="AB7" s="39">
        <f t="shared" si="0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1">+O8*P8*(1-A8)</f>
        <v>0</v>
      </c>
      <c r="AG8" s="2">
        <f t="shared" ref="AG8:AG10" si="2">O8*(1-P8)*(1-A8)</f>
        <v>1</v>
      </c>
      <c r="AH8" s="2">
        <f t="shared" ref="AH8:AH10" si="3">+P8*(1-A8)</f>
        <v>0</v>
      </c>
      <c r="AI8" s="2">
        <f t="shared" ref="AI8:AI10" si="4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1"/>
        <v>1</v>
      </c>
      <c r="AG9" s="2">
        <f t="shared" si="2"/>
        <v>0</v>
      </c>
      <c r="AH9" s="2">
        <f t="shared" si="3"/>
        <v>1</v>
      </c>
      <c r="AI9" s="2">
        <f t="shared" si="4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1"/>
        <v>1</v>
      </c>
      <c r="AG10" s="2">
        <f t="shared" si="2"/>
        <v>0</v>
      </c>
      <c r="AH10" s="2">
        <f t="shared" si="3"/>
        <v>1</v>
      </c>
      <c r="AI10" s="2">
        <f t="shared" si="4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885</v>
      </c>
      <c r="O11" s="34"/>
      <c r="P11" s="34"/>
      <c r="Q11" s="33"/>
      <c r="S11" s="2">
        <f t="shared" ref="S11:S74" si="5">IF(J11=$S$7,1,0)</f>
        <v>0</v>
      </c>
      <c r="T11" s="2">
        <f t="shared" ref="T11:T74" si="6">IF(J11=$T$7,1,0)</f>
        <v>0</v>
      </c>
      <c r="U11" s="2">
        <f t="shared" ref="U11:U74" si="7">IF(J11=$U$7,1,0)</f>
        <v>0</v>
      </c>
      <c r="V11" s="2">
        <f t="shared" ref="V11:V74" si="8">IF(J11=$V$7,1,0)</f>
        <v>0</v>
      </c>
      <c r="W11" s="2">
        <f t="shared" ref="W11:W74" si="9">IF(J11=$W$7,1,0)</f>
        <v>0</v>
      </c>
      <c r="X11" s="2">
        <f t="shared" ref="X11:X74" si="10">IF(J11=$X$7,1,0)</f>
        <v>1</v>
      </c>
      <c r="Y11" s="2">
        <f t="shared" ref="Y11:Y74" si="11">IF(J11=$Y$7,1,0)</f>
        <v>0</v>
      </c>
      <c r="Z11" s="2">
        <f t="shared" ref="Z11:Z74" si="12">IF(J11=$Z$7,1,0)</f>
        <v>0</v>
      </c>
      <c r="AA11" s="2">
        <f t="shared" ref="AA11:AA74" si="13">IF(J11=$AA$7,1,0)</f>
        <v>0</v>
      </c>
      <c r="AB11" s="2">
        <f t="shared" ref="AB11:AB74" si="14">IF(J11=$AB$7,1,0)</f>
        <v>0</v>
      </c>
      <c r="AD11" s="2">
        <f t="shared" ref="AD11:AD74" si="15">+O11*P11</f>
        <v>0</v>
      </c>
      <c r="AE11" s="2">
        <f t="shared" ref="AE11:AE74" si="16">O11*(1-P11)</f>
        <v>0</v>
      </c>
      <c r="AF11" s="2">
        <f t="shared" ref="AF11:AF74" si="17">+O11*P11*(1-A11)</f>
        <v>0</v>
      </c>
      <c r="AG11" s="2">
        <f t="shared" ref="AG11:AG74" si="18">O11*(1-P11)*(1-A11)</f>
        <v>0</v>
      </c>
      <c r="AH11" s="2">
        <f t="shared" ref="AH11:AH74" si="19">+P11*(1-A11)</f>
        <v>0</v>
      </c>
      <c r="AI11" s="2">
        <f t="shared" ref="AI11:AI74" si="20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5"/>
        <v>1</v>
      </c>
      <c r="T12" s="2">
        <f t="shared" si="6"/>
        <v>0</v>
      </c>
      <c r="U12" s="2">
        <f t="shared" si="7"/>
        <v>0</v>
      </c>
      <c r="V12" s="2">
        <f t="shared" si="8"/>
        <v>0</v>
      </c>
      <c r="W12" s="2">
        <f t="shared" si="9"/>
        <v>0</v>
      </c>
      <c r="X12" s="2">
        <f t="shared" si="10"/>
        <v>0</v>
      </c>
      <c r="Y12" s="2">
        <f t="shared" si="11"/>
        <v>0</v>
      </c>
      <c r="Z12" s="2">
        <f t="shared" si="12"/>
        <v>0</v>
      </c>
      <c r="AA12" s="2">
        <f t="shared" si="13"/>
        <v>0</v>
      </c>
      <c r="AB12" s="2">
        <f t="shared" si="14"/>
        <v>0</v>
      </c>
      <c r="AD12" s="2">
        <f t="shared" si="15"/>
        <v>0</v>
      </c>
      <c r="AE12" s="2">
        <f t="shared" si="16"/>
        <v>1</v>
      </c>
      <c r="AF12" s="2">
        <f t="shared" si="17"/>
        <v>0</v>
      </c>
      <c r="AG12" s="2">
        <f t="shared" si="18"/>
        <v>1</v>
      </c>
      <c r="AH12" s="2">
        <f t="shared" si="19"/>
        <v>0</v>
      </c>
      <c r="AI12" s="2">
        <f t="shared" si="20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803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867</v>
      </c>
      <c r="N13" s="33" t="s">
        <v>883</v>
      </c>
      <c r="O13" s="34"/>
      <c r="P13" s="34"/>
      <c r="Q13" s="33"/>
      <c r="S13" s="2">
        <f t="shared" si="5"/>
        <v>0</v>
      </c>
      <c r="T13" s="2">
        <f t="shared" si="6"/>
        <v>0</v>
      </c>
      <c r="U13" s="2">
        <f t="shared" si="7"/>
        <v>0</v>
      </c>
      <c r="V13" s="2">
        <f t="shared" si="8"/>
        <v>0</v>
      </c>
      <c r="W13" s="2">
        <f t="shared" si="9"/>
        <v>0</v>
      </c>
      <c r="X13" s="2">
        <f t="shared" si="10"/>
        <v>0</v>
      </c>
      <c r="Y13" s="2">
        <f t="shared" si="11"/>
        <v>0</v>
      </c>
      <c r="Z13" s="2">
        <f t="shared" si="12"/>
        <v>0</v>
      </c>
      <c r="AA13" s="2">
        <f t="shared" si="13"/>
        <v>0</v>
      </c>
      <c r="AB13" s="2">
        <f t="shared" si="14"/>
        <v>0</v>
      </c>
      <c r="AD13" s="2">
        <f t="shared" si="15"/>
        <v>0</v>
      </c>
      <c r="AE13" s="2">
        <f t="shared" si="16"/>
        <v>0</v>
      </c>
      <c r="AF13" s="2">
        <f t="shared" si="17"/>
        <v>0</v>
      </c>
      <c r="AG13" s="2">
        <f t="shared" si="18"/>
        <v>0</v>
      </c>
      <c r="AH13" s="2">
        <f t="shared" si="19"/>
        <v>0</v>
      </c>
      <c r="AI13" s="2">
        <f t="shared" si="20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5"/>
        <v>0</v>
      </c>
      <c r="T14" s="2">
        <f t="shared" si="6"/>
        <v>0</v>
      </c>
      <c r="U14" s="2">
        <f t="shared" si="7"/>
        <v>1</v>
      </c>
      <c r="V14" s="2">
        <f t="shared" si="8"/>
        <v>0</v>
      </c>
      <c r="W14" s="2">
        <f t="shared" si="9"/>
        <v>0</v>
      </c>
      <c r="X14" s="2">
        <f t="shared" si="10"/>
        <v>0</v>
      </c>
      <c r="Y14" s="2">
        <f t="shared" si="11"/>
        <v>0</v>
      </c>
      <c r="Z14" s="2">
        <f t="shared" si="12"/>
        <v>0</v>
      </c>
      <c r="AA14" s="2">
        <f t="shared" si="13"/>
        <v>0</v>
      </c>
      <c r="AB14" s="2">
        <f t="shared" si="14"/>
        <v>0</v>
      </c>
      <c r="AD14" s="2">
        <f t="shared" si="15"/>
        <v>1</v>
      </c>
      <c r="AE14" s="2">
        <f t="shared" si="16"/>
        <v>0</v>
      </c>
      <c r="AF14" s="2">
        <f t="shared" si="17"/>
        <v>1</v>
      </c>
      <c r="AG14" s="2">
        <f t="shared" si="18"/>
        <v>0</v>
      </c>
      <c r="AH14" s="2">
        <f t="shared" si="19"/>
        <v>1</v>
      </c>
      <c r="AI14" s="2">
        <f t="shared" si="20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852</v>
      </c>
      <c r="M15" s="33" t="s">
        <v>731</v>
      </c>
      <c r="N15" s="33" t="s">
        <v>917</v>
      </c>
      <c r="O15" s="34"/>
      <c r="P15" s="34"/>
      <c r="Q15" s="33"/>
      <c r="S15" s="2">
        <f t="shared" si="5"/>
        <v>0</v>
      </c>
      <c r="T15" s="2">
        <f t="shared" si="6"/>
        <v>0</v>
      </c>
      <c r="U15" s="2">
        <f t="shared" si="7"/>
        <v>0</v>
      </c>
      <c r="V15" s="2">
        <f t="shared" si="8"/>
        <v>0</v>
      </c>
      <c r="W15" s="2">
        <f t="shared" si="9"/>
        <v>0</v>
      </c>
      <c r="X15" s="2">
        <f t="shared" si="10"/>
        <v>0</v>
      </c>
      <c r="Y15" s="2">
        <f t="shared" si="11"/>
        <v>0</v>
      </c>
      <c r="Z15" s="2">
        <f t="shared" si="12"/>
        <v>0</v>
      </c>
      <c r="AA15" s="2">
        <f t="shared" si="13"/>
        <v>0</v>
      </c>
      <c r="AB15" s="2">
        <f t="shared" si="14"/>
        <v>0</v>
      </c>
      <c r="AD15" s="2">
        <f t="shared" si="15"/>
        <v>0</v>
      </c>
      <c r="AE15" s="2">
        <f t="shared" si="16"/>
        <v>0</v>
      </c>
      <c r="AF15" s="2">
        <f t="shared" si="17"/>
        <v>0</v>
      </c>
      <c r="AG15" s="2">
        <f t="shared" si="18"/>
        <v>0</v>
      </c>
      <c r="AH15" s="2">
        <f t="shared" si="19"/>
        <v>0</v>
      </c>
      <c r="AI15" s="2">
        <f t="shared" si="20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5"/>
        <v>0</v>
      </c>
      <c r="T16" s="2">
        <f t="shared" si="6"/>
        <v>0</v>
      </c>
      <c r="U16" s="2">
        <f t="shared" si="7"/>
        <v>0</v>
      </c>
      <c r="V16" s="2">
        <f t="shared" si="8"/>
        <v>0</v>
      </c>
      <c r="W16" s="2">
        <f t="shared" si="9"/>
        <v>0</v>
      </c>
      <c r="X16" s="2">
        <f t="shared" si="10"/>
        <v>0</v>
      </c>
      <c r="Y16" s="2">
        <f t="shared" si="11"/>
        <v>0</v>
      </c>
      <c r="Z16" s="2">
        <f t="shared" si="12"/>
        <v>0</v>
      </c>
      <c r="AA16" s="2">
        <f t="shared" si="13"/>
        <v>0</v>
      </c>
      <c r="AB16" s="2">
        <f t="shared" si="14"/>
        <v>0</v>
      </c>
      <c r="AD16" s="2">
        <f t="shared" si="15"/>
        <v>0</v>
      </c>
      <c r="AE16" s="2">
        <f t="shared" si="16"/>
        <v>0</v>
      </c>
      <c r="AF16" s="2">
        <f t="shared" si="17"/>
        <v>0</v>
      </c>
      <c r="AG16" s="2">
        <f t="shared" si="18"/>
        <v>0</v>
      </c>
      <c r="AH16" s="2">
        <f t="shared" si="19"/>
        <v>0</v>
      </c>
      <c r="AI16" s="2">
        <f t="shared" si="20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5"/>
        <v>0</v>
      </c>
      <c r="T17" s="2">
        <f t="shared" si="6"/>
        <v>0</v>
      </c>
      <c r="U17" s="2">
        <f t="shared" si="7"/>
        <v>0</v>
      </c>
      <c r="V17" s="2">
        <f t="shared" si="8"/>
        <v>0</v>
      </c>
      <c r="W17" s="2">
        <f t="shared" si="9"/>
        <v>0</v>
      </c>
      <c r="X17" s="2">
        <f t="shared" si="10"/>
        <v>0</v>
      </c>
      <c r="Y17" s="2">
        <f t="shared" si="11"/>
        <v>0</v>
      </c>
      <c r="Z17" s="2">
        <f t="shared" si="12"/>
        <v>0</v>
      </c>
      <c r="AA17" s="2">
        <f t="shared" si="13"/>
        <v>0</v>
      </c>
      <c r="AB17" s="2">
        <f t="shared" si="14"/>
        <v>0</v>
      </c>
      <c r="AD17" s="2">
        <f t="shared" si="15"/>
        <v>0</v>
      </c>
      <c r="AE17" s="2">
        <f t="shared" si="16"/>
        <v>0</v>
      </c>
      <c r="AF17" s="2">
        <f t="shared" si="17"/>
        <v>0</v>
      </c>
      <c r="AG17" s="2">
        <f t="shared" si="18"/>
        <v>0</v>
      </c>
      <c r="AH17" s="2">
        <f t="shared" si="19"/>
        <v>0</v>
      </c>
      <c r="AI17" s="2">
        <f t="shared" si="20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5"/>
        <v>1</v>
      </c>
      <c r="T18" s="2">
        <f t="shared" si="6"/>
        <v>0</v>
      </c>
      <c r="U18" s="2">
        <f t="shared" si="7"/>
        <v>0</v>
      </c>
      <c r="V18" s="2">
        <f t="shared" si="8"/>
        <v>0</v>
      </c>
      <c r="W18" s="2">
        <f t="shared" si="9"/>
        <v>0</v>
      </c>
      <c r="X18" s="2">
        <f t="shared" si="10"/>
        <v>0</v>
      </c>
      <c r="Y18" s="2">
        <f t="shared" si="11"/>
        <v>0</v>
      </c>
      <c r="Z18" s="2">
        <f t="shared" si="12"/>
        <v>0</v>
      </c>
      <c r="AA18" s="2">
        <f t="shared" si="13"/>
        <v>0</v>
      </c>
      <c r="AB18" s="2">
        <f t="shared" si="14"/>
        <v>0</v>
      </c>
      <c r="AD18" s="2">
        <f t="shared" si="15"/>
        <v>1</v>
      </c>
      <c r="AE18" s="2">
        <f t="shared" si="16"/>
        <v>0</v>
      </c>
      <c r="AF18" s="2">
        <f t="shared" si="17"/>
        <v>1</v>
      </c>
      <c r="AG18" s="2">
        <f t="shared" si="18"/>
        <v>0</v>
      </c>
      <c r="AH18" s="2">
        <f t="shared" si="19"/>
        <v>1</v>
      </c>
      <c r="AI18" s="2">
        <f t="shared" si="20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5"/>
        <v>0</v>
      </c>
      <c r="T19" s="2">
        <f t="shared" si="6"/>
        <v>0</v>
      </c>
      <c r="U19" s="2">
        <f t="shared" si="7"/>
        <v>0</v>
      </c>
      <c r="V19" s="2">
        <f t="shared" si="8"/>
        <v>0</v>
      </c>
      <c r="W19" s="2">
        <f t="shared" si="9"/>
        <v>0</v>
      </c>
      <c r="X19" s="2">
        <f t="shared" si="10"/>
        <v>0</v>
      </c>
      <c r="Y19" s="2">
        <f t="shared" si="11"/>
        <v>0</v>
      </c>
      <c r="Z19" s="2">
        <f t="shared" si="12"/>
        <v>0</v>
      </c>
      <c r="AA19" s="2">
        <f t="shared" si="13"/>
        <v>0</v>
      </c>
      <c r="AB19" s="2">
        <f t="shared" si="14"/>
        <v>0</v>
      </c>
      <c r="AD19" s="2">
        <f t="shared" si="15"/>
        <v>0</v>
      </c>
      <c r="AE19" s="2">
        <f t="shared" si="16"/>
        <v>0</v>
      </c>
      <c r="AF19" s="2">
        <f t="shared" si="17"/>
        <v>0</v>
      </c>
      <c r="AG19" s="2">
        <f t="shared" si="18"/>
        <v>0</v>
      </c>
      <c r="AH19" s="2">
        <f t="shared" si="19"/>
        <v>0</v>
      </c>
      <c r="AI19" s="2">
        <f t="shared" si="20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5"/>
        <v>1</v>
      </c>
      <c r="T20" s="2">
        <f t="shared" si="6"/>
        <v>0</v>
      </c>
      <c r="U20" s="2">
        <f t="shared" si="7"/>
        <v>0</v>
      </c>
      <c r="V20" s="2">
        <f t="shared" si="8"/>
        <v>0</v>
      </c>
      <c r="W20" s="2">
        <f t="shared" si="9"/>
        <v>0</v>
      </c>
      <c r="X20" s="2">
        <f t="shared" si="10"/>
        <v>0</v>
      </c>
      <c r="Y20" s="2">
        <f t="shared" si="11"/>
        <v>0</v>
      </c>
      <c r="Z20" s="2">
        <f t="shared" si="12"/>
        <v>0</v>
      </c>
      <c r="AA20" s="2">
        <f t="shared" si="13"/>
        <v>0</v>
      </c>
      <c r="AB20" s="2">
        <f t="shared" si="14"/>
        <v>0</v>
      </c>
      <c r="AD20" s="2">
        <f t="shared" si="15"/>
        <v>0</v>
      </c>
      <c r="AE20" s="2">
        <f t="shared" si="16"/>
        <v>0</v>
      </c>
      <c r="AF20" s="2">
        <f t="shared" si="17"/>
        <v>0</v>
      </c>
      <c r="AG20" s="2">
        <f t="shared" si="18"/>
        <v>0</v>
      </c>
      <c r="AH20" s="2">
        <f t="shared" si="19"/>
        <v>0</v>
      </c>
      <c r="AI20" s="2">
        <f t="shared" si="20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891</v>
      </c>
      <c r="N21" s="33" t="s">
        <v>918</v>
      </c>
      <c r="O21" s="34"/>
      <c r="P21" s="34"/>
      <c r="Q21" s="33"/>
      <c r="S21" s="2">
        <f t="shared" si="5"/>
        <v>0</v>
      </c>
      <c r="T21" s="2">
        <f t="shared" si="6"/>
        <v>0</v>
      </c>
      <c r="U21" s="2">
        <f t="shared" si="7"/>
        <v>0</v>
      </c>
      <c r="V21" s="2">
        <f t="shared" si="8"/>
        <v>0</v>
      </c>
      <c r="W21" s="2">
        <f t="shared" si="9"/>
        <v>0</v>
      </c>
      <c r="X21" s="2">
        <f t="shared" si="10"/>
        <v>1</v>
      </c>
      <c r="Y21" s="2">
        <f t="shared" si="11"/>
        <v>0</v>
      </c>
      <c r="Z21" s="2">
        <f t="shared" si="12"/>
        <v>0</v>
      </c>
      <c r="AA21" s="2">
        <f t="shared" si="13"/>
        <v>0</v>
      </c>
      <c r="AB21" s="2">
        <f t="shared" si="14"/>
        <v>0</v>
      </c>
      <c r="AD21" s="2">
        <f t="shared" si="15"/>
        <v>0</v>
      </c>
      <c r="AE21" s="2">
        <f t="shared" si="16"/>
        <v>0</v>
      </c>
      <c r="AF21" s="2">
        <f t="shared" si="17"/>
        <v>0</v>
      </c>
      <c r="AG21" s="2">
        <f t="shared" si="18"/>
        <v>0</v>
      </c>
      <c r="AH21" s="2">
        <f t="shared" si="19"/>
        <v>0</v>
      </c>
      <c r="AI21" s="2">
        <f t="shared" si="20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458</v>
      </c>
      <c r="E22" s="33" t="s">
        <v>465</v>
      </c>
      <c r="F22" s="33" t="s">
        <v>826</v>
      </c>
      <c r="G22" s="33" t="s">
        <v>827</v>
      </c>
      <c r="H22" s="33" t="s">
        <v>165</v>
      </c>
      <c r="I22" s="32" t="s">
        <v>416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917</v>
      </c>
      <c r="O22" s="34"/>
      <c r="P22" s="34"/>
      <c r="Q22" s="33"/>
      <c r="S22" s="2">
        <f t="shared" si="5"/>
        <v>0</v>
      </c>
      <c r="T22" s="2">
        <f t="shared" si="6"/>
        <v>0</v>
      </c>
      <c r="U22" s="2">
        <f t="shared" si="7"/>
        <v>0</v>
      </c>
      <c r="V22" s="2">
        <f t="shared" si="8"/>
        <v>0</v>
      </c>
      <c r="W22" s="2">
        <f t="shared" si="9"/>
        <v>0</v>
      </c>
      <c r="X22" s="2">
        <f t="shared" si="10"/>
        <v>0</v>
      </c>
      <c r="Y22" s="2">
        <f t="shared" si="11"/>
        <v>0</v>
      </c>
      <c r="Z22" s="2">
        <f t="shared" si="12"/>
        <v>0</v>
      </c>
      <c r="AA22" s="2">
        <f t="shared" si="13"/>
        <v>0</v>
      </c>
      <c r="AB22" s="2">
        <f t="shared" si="14"/>
        <v>0</v>
      </c>
      <c r="AD22" s="2">
        <f t="shared" si="15"/>
        <v>0</v>
      </c>
      <c r="AE22" s="2">
        <f t="shared" si="16"/>
        <v>0</v>
      </c>
      <c r="AF22" s="2">
        <f t="shared" si="17"/>
        <v>0</v>
      </c>
      <c r="AG22" s="2">
        <f t="shared" si="18"/>
        <v>0</v>
      </c>
      <c r="AH22" s="2">
        <f t="shared" si="19"/>
        <v>0</v>
      </c>
      <c r="AI22" s="2">
        <f t="shared" si="20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833</v>
      </c>
      <c r="J23" s="32">
        <v>99</v>
      </c>
      <c r="K23" s="32" t="s">
        <v>325</v>
      </c>
      <c r="L23" s="32">
        <v>45</v>
      </c>
      <c r="M23" s="33" t="s">
        <v>893</v>
      </c>
      <c r="N23" s="33" t="s">
        <v>919</v>
      </c>
      <c r="O23" s="34">
        <v>1</v>
      </c>
      <c r="P23" s="34"/>
      <c r="Q23" s="33"/>
      <c r="S23" s="2">
        <f t="shared" si="5"/>
        <v>0</v>
      </c>
      <c r="T23" s="2">
        <f t="shared" si="6"/>
        <v>0</v>
      </c>
      <c r="U23" s="2">
        <f t="shared" si="7"/>
        <v>0</v>
      </c>
      <c r="V23" s="2">
        <f t="shared" si="8"/>
        <v>0</v>
      </c>
      <c r="W23" s="2">
        <f t="shared" si="9"/>
        <v>0</v>
      </c>
      <c r="X23" s="2">
        <f t="shared" si="10"/>
        <v>0</v>
      </c>
      <c r="Y23" s="2">
        <f t="shared" si="11"/>
        <v>0</v>
      </c>
      <c r="Z23" s="2">
        <f t="shared" si="12"/>
        <v>0</v>
      </c>
      <c r="AA23" s="2">
        <f t="shared" si="13"/>
        <v>0</v>
      </c>
      <c r="AB23" s="2">
        <f t="shared" si="14"/>
        <v>0</v>
      </c>
      <c r="AD23" s="2">
        <f t="shared" si="15"/>
        <v>0</v>
      </c>
      <c r="AE23" s="2">
        <f t="shared" si="16"/>
        <v>1</v>
      </c>
      <c r="AF23" s="2">
        <f t="shared" si="17"/>
        <v>0</v>
      </c>
      <c r="AG23" s="2">
        <f t="shared" si="18"/>
        <v>1</v>
      </c>
      <c r="AH23" s="2">
        <f t="shared" si="19"/>
        <v>0</v>
      </c>
      <c r="AI23" s="2">
        <f t="shared" si="20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5"/>
        <v>0</v>
      </c>
      <c r="T24" s="2">
        <f t="shared" si="6"/>
        <v>0</v>
      </c>
      <c r="U24" s="2">
        <f t="shared" si="7"/>
        <v>0</v>
      </c>
      <c r="V24" s="2">
        <f t="shared" si="8"/>
        <v>0</v>
      </c>
      <c r="W24" s="2">
        <f t="shared" si="9"/>
        <v>0</v>
      </c>
      <c r="X24" s="2">
        <f t="shared" si="10"/>
        <v>0</v>
      </c>
      <c r="Y24" s="2">
        <f t="shared" si="11"/>
        <v>0</v>
      </c>
      <c r="Z24" s="2">
        <f t="shared" si="12"/>
        <v>0</v>
      </c>
      <c r="AA24" s="2">
        <f t="shared" si="13"/>
        <v>0</v>
      </c>
      <c r="AB24" s="2">
        <f t="shared" si="14"/>
        <v>0</v>
      </c>
      <c r="AD24" s="2">
        <f t="shared" si="15"/>
        <v>0</v>
      </c>
      <c r="AE24" s="2">
        <f t="shared" si="16"/>
        <v>0</v>
      </c>
      <c r="AF24" s="2">
        <f t="shared" si="17"/>
        <v>0</v>
      </c>
      <c r="AG24" s="2">
        <f t="shared" si="18"/>
        <v>0</v>
      </c>
      <c r="AH24" s="2">
        <f t="shared" si="19"/>
        <v>0</v>
      </c>
      <c r="AI24" s="2">
        <f t="shared" si="20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5"/>
        <v>0</v>
      </c>
      <c r="T25" s="2">
        <f t="shared" si="6"/>
        <v>0</v>
      </c>
      <c r="U25" s="2">
        <f t="shared" si="7"/>
        <v>0</v>
      </c>
      <c r="V25" s="2">
        <f t="shared" si="8"/>
        <v>0</v>
      </c>
      <c r="W25" s="2">
        <f t="shared" si="9"/>
        <v>0</v>
      </c>
      <c r="X25" s="2">
        <f t="shared" si="10"/>
        <v>0</v>
      </c>
      <c r="Y25" s="2">
        <f t="shared" si="11"/>
        <v>0</v>
      </c>
      <c r="Z25" s="2">
        <f t="shared" si="12"/>
        <v>0</v>
      </c>
      <c r="AA25" s="2">
        <f t="shared" si="13"/>
        <v>0</v>
      </c>
      <c r="AB25" s="2">
        <f t="shared" si="14"/>
        <v>0</v>
      </c>
      <c r="AD25" s="2">
        <f t="shared" si="15"/>
        <v>0</v>
      </c>
      <c r="AE25" s="2">
        <f t="shared" si="16"/>
        <v>0</v>
      </c>
      <c r="AF25" s="2">
        <f t="shared" si="17"/>
        <v>0</v>
      </c>
      <c r="AG25" s="2">
        <f t="shared" si="18"/>
        <v>0</v>
      </c>
      <c r="AH25" s="2">
        <f t="shared" si="19"/>
        <v>0</v>
      </c>
      <c r="AI25" s="2">
        <f t="shared" si="20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5"/>
        <v>0</v>
      </c>
      <c r="T26" s="2">
        <f t="shared" si="6"/>
        <v>0</v>
      </c>
      <c r="U26" s="2">
        <f t="shared" si="7"/>
        <v>0</v>
      </c>
      <c r="V26" s="2">
        <f t="shared" si="8"/>
        <v>0</v>
      </c>
      <c r="W26" s="2">
        <f t="shared" si="9"/>
        <v>0</v>
      </c>
      <c r="X26" s="2">
        <f t="shared" si="10"/>
        <v>0</v>
      </c>
      <c r="Y26" s="2">
        <f t="shared" si="11"/>
        <v>0</v>
      </c>
      <c r="Z26" s="2">
        <f t="shared" si="12"/>
        <v>0</v>
      </c>
      <c r="AA26" s="2">
        <f t="shared" si="13"/>
        <v>0</v>
      </c>
      <c r="AB26" s="2">
        <f t="shared" si="14"/>
        <v>0</v>
      </c>
      <c r="AD26" s="2">
        <f t="shared" si="15"/>
        <v>0</v>
      </c>
      <c r="AE26" s="2">
        <f t="shared" si="16"/>
        <v>1</v>
      </c>
      <c r="AF26" s="2">
        <f t="shared" si="17"/>
        <v>0</v>
      </c>
      <c r="AG26" s="2">
        <f t="shared" si="18"/>
        <v>1</v>
      </c>
      <c r="AH26" s="2">
        <f t="shared" si="19"/>
        <v>0</v>
      </c>
      <c r="AI26" s="2">
        <f t="shared" si="20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5"/>
        <v>0</v>
      </c>
      <c r="T27" s="2">
        <f t="shared" si="6"/>
        <v>0</v>
      </c>
      <c r="U27" s="2">
        <f t="shared" si="7"/>
        <v>0</v>
      </c>
      <c r="V27" s="2">
        <f t="shared" si="8"/>
        <v>0</v>
      </c>
      <c r="W27" s="2">
        <f t="shared" si="9"/>
        <v>0</v>
      </c>
      <c r="X27" s="2">
        <f t="shared" si="10"/>
        <v>0</v>
      </c>
      <c r="Y27" s="2">
        <f t="shared" si="11"/>
        <v>0</v>
      </c>
      <c r="Z27" s="2">
        <f t="shared" si="12"/>
        <v>0</v>
      </c>
      <c r="AA27" s="2">
        <f t="shared" si="13"/>
        <v>0</v>
      </c>
      <c r="AB27" s="2">
        <f t="shared" si="14"/>
        <v>0</v>
      </c>
      <c r="AD27" s="2">
        <f t="shared" si="15"/>
        <v>1</v>
      </c>
      <c r="AE27" s="2">
        <f t="shared" si="16"/>
        <v>0</v>
      </c>
      <c r="AF27" s="2">
        <f t="shared" si="17"/>
        <v>1</v>
      </c>
      <c r="AG27" s="2">
        <f t="shared" si="18"/>
        <v>0</v>
      </c>
      <c r="AH27" s="2">
        <f t="shared" si="19"/>
        <v>1</v>
      </c>
      <c r="AI27" s="2">
        <f t="shared" si="20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5"/>
        <v>0</v>
      </c>
      <c r="T28" s="2">
        <f t="shared" si="6"/>
        <v>0</v>
      </c>
      <c r="U28" s="2">
        <f t="shared" si="7"/>
        <v>0</v>
      </c>
      <c r="V28" s="2">
        <f t="shared" si="8"/>
        <v>0</v>
      </c>
      <c r="W28" s="2">
        <f t="shared" si="9"/>
        <v>0</v>
      </c>
      <c r="X28" s="2">
        <f t="shared" si="10"/>
        <v>0</v>
      </c>
      <c r="Y28" s="2">
        <f t="shared" si="11"/>
        <v>0</v>
      </c>
      <c r="Z28" s="2">
        <f t="shared" si="12"/>
        <v>0</v>
      </c>
      <c r="AA28" s="2">
        <f t="shared" si="13"/>
        <v>0</v>
      </c>
      <c r="AB28" s="2">
        <f t="shared" si="14"/>
        <v>0</v>
      </c>
      <c r="AD28" s="2">
        <f t="shared" si="15"/>
        <v>0</v>
      </c>
      <c r="AE28" s="2">
        <f t="shared" si="16"/>
        <v>0</v>
      </c>
      <c r="AF28" s="2">
        <f t="shared" si="17"/>
        <v>0</v>
      </c>
      <c r="AG28" s="2">
        <f t="shared" si="18"/>
        <v>0</v>
      </c>
      <c r="AH28" s="2">
        <f t="shared" si="19"/>
        <v>0</v>
      </c>
      <c r="AI28" s="2">
        <f t="shared" si="20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433</v>
      </c>
      <c r="E29" s="33" t="s">
        <v>262</v>
      </c>
      <c r="F29" s="33" t="s">
        <v>432</v>
      </c>
      <c r="G29" s="33" t="s">
        <v>125</v>
      </c>
      <c r="H29" s="33" t="s">
        <v>165</v>
      </c>
      <c r="I29" s="32" t="s">
        <v>434</v>
      </c>
      <c r="J29" s="32">
        <v>99</v>
      </c>
      <c r="K29" s="32" t="s">
        <v>376</v>
      </c>
      <c r="L29" s="32">
        <v>150</v>
      </c>
      <c r="M29" s="33" t="s">
        <v>868</v>
      </c>
      <c r="N29" s="33" t="s">
        <v>886</v>
      </c>
      <c r="O29" s="34"/>
      <c r="P29" s="34"/>
      <c r="Q29" s="33"/>
      <c r="S29" s="2">
        <f t="shared" si="5"/>
        <v>0</v>
      </c>
      <c r="T29" s="2">
        <f t="shared" si="6"/>
        <v>0</v>
      </c>
      <c r="U29" s="2">
        <f t="shared" si="7"/>
        <v>0</v>
      </c>
      <c r="V29" s="2">
        <f t="shared" si="8"/>
        <v>0</v>
      </c>
      <c r="W29" s="2">
        <f t="shared" si="9"/>
        <v>0</v>
      </c>
      <c r="X29" s="2">
        <f t="shared" si="10"/>
        <v>0</v>
      </c>
      <c r="Y29" s="2">
        <f t="shared" si="11"/>
        <v>0</v>
      </c>
      <c r="Z29" s="2">
        <f t="shared" si="12"/>
        <v>0</v>
      </c>
      <c r="AA29" s="2">
        <f t="shared" si="13"/>
        <v>0</v>
      </c>
      <c r="AB29" s="2">
        <f t="shared" si="14"/>
        <v>0</v>
      </c>
      <c r="AD29" s="2">
        <f t="shared" si="15"/>
        <v>0</v>
      </c>
      <c r="AE29" s="2">
        <f t="shared" si="16"/>
        <v>0</v>
      </c>
      <c r="AF29" s="2">
        <f t="shared" si="17"/>
        <v>0</v>
      </c>
      <c r="AG29" s="2">
        <f t="shared" si="18"/>
        <v>0</v>
      </c>
      <c r="AH29" s="2">
        <f t="shared" si="19"/>
        <v>0</v>
      </c>
      <c r="AI29" s="2">
        <f t="shared" si="20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5"/>
        <v>0</v>
      </c>
      <c r="T30" s="2">
        <f t="shared" si="6"/>
        <v>0</v>
      </c>
      <c r="U30" s="2">
        <f t="shared" si="7"/>
        <v>0</v>
      </c>
      <c r="V30" s="2">
        <f t="shared" si="8"/>
        <v>0</v>
      </c>
      <c r="W30" s="2">
        <f t="shared" si="9"/>
        <v>0</v>
      </c>
      <c r="X30" s="2">
        <f t="shared" si="10"/>
        <v>0</v>
      </c>
      <c r="Y30" s="2">
        <f t="shared" si="11"/>
        <v>0</v>
      </c>
      <c r="Z30" s="2">
        <f t="shared" si="12"/>
        <v>0</v>
      </c>
      <c r="AA30" s="2">
        <f t="shared" si="13"/>
        <v>0</v>
      </c>
      <c r="AB30" s="2">
        <f t="shared" si="14"/>
        <v>0</v>
      </c>
      <c r="AD30" s="2">
        <f t="shared" si="15"/>
        <v>0</v>
      </c>
      <c r="AE30" s="2">
        <f t="shared" si="16"/>
        <v>1</v>
      </c>
      <c r="AF30" s="2">
        <f t="shared" si="17"/>
        <v>0</v>
      </c>
      <c r="AG30" s="2">
        <f t="shared" si="18"/>
        <v>1</v>
      </c>
      <c r="AH30" s="2">
        <f t="shared" si="19"/>
        <v>0</v>
      </c>
      <c r="AI30" s="2">
        <f t="shared" si="20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5"/>
        <v>0</v>
      </c>
      <c r="T31" s="2">
        <f t="shared" si="6"/>
        <v>0</v>
      </c>
      <c r="U31" s="2">
        <f t="shared" si="7"/>
        <v>0</v>
      </c>
      <c r="V31" s="2">
        <f t="shared" si="8"/>
        <v>0</v>
      </c>
      <c r="W31" s="2">
        <f t="shared" si="9"/>
        <v>0</v>
      </c>
      <c r="X31" s="2">
        <f t="shared" si="10"/>
        <v>1</v>
      </c>
      <c r="Y31" s="2">
        <f t="shared" si="11"/>
        <v>0</v>
      </c>
      <c r="Z31" s="2">
        <f t="shared" si="12"/>
        <v>0</v>
      </c>
      <c r="AA31" s="2">
        <f t="shared" si="13"/>
        <v>0</v>
      </c>
      <c r="AB31" s="2">
        <f t="shared" si="14"/>
        <v>0</v>
      </c>
      <c r="AD31" s="2">
        <f t="shared" si="15"/>
        <v>0</v>
      </c>
      <c r="AE31" s="2">
        <f t="shared" si="16"/>
        <v>1</v>
      </c>
      <c r="AF31" s="2">
        <f t="shared" si="17"/>
        <v>0</v>
      </c>
      <c r="AG31" s="2">
        <f t="shared" si="18"/>
        <v>1</v>
      </c>
      <c r="AH31" s="2">
        <f t="shared" si="19"/>
        <v>0</v>
      </c>
      <c r="AI31" s="2">
        <f t="shared" si="20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5"/>
        <v>0</v>
      </c>
      <c r="T32" s="2">
        <f t="shared" si="6"/>
        <v>0</v>
      </c>
      <c r="U32" s="2">
        <f t="shared" si="7"/>
        <v>0</v>
      </c>
      <c r="V32" s="2">
        <f t="shared" si="8"/>
        <v>1</v>
      </c>
      <c r="W32" s="2">
        <f t="shared" si="9"/>
        <v>0</v>
      </c>
      <c r="X32" s="2">
        <f t="shared" si="10"/>
        <v>0</v>
      </c>
      <c r="Y32" s="2">
        <f t="shared" si="11"/>
        <v>0</v>
      </c>
      <c r="Z32" s="2">
        <f t="shared" si="12"/>
        <v>0</v>
      </c>
      <c r="AA32" s="2">
        <f t="shared" si="13"/>
        <v>0</v>
      </c>
      <c r="AB32" s="2">
        <f t="shared" si="14"/>
        <v>0</v>
      </c>
      <c r="AD32" s="2">
        <f t="shared" si="15"/>
        <v>0</v>
      </c>
      <c r="AE32" s="2">
        <f t="shared" si="16"/>
        <v>0</v>
      </c>
      <c r="AF32" s="2">
        <f t="shared" si="17"/>
        <v>0</v>
      </c>
      <c r="AG32" s="2">
        <f t="shared" si="18"/>
        <v>0</v>
      </c>
      <c r="AH32" s="2">
        <f t="shared" si="19"/>
        <v>0</v>
      </c>
      <c r="AI32" s="2">
        <f t="shared" si="20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5"/>
        <v>0</v>
      </c>
      <c r="T33" s="2">
        <f t="shared" si="6"/>
        <v>0</v>
      </c>
      <c r="U33" s="2">
        <f t="shared" si="7"/>
        <v>1</v>
      </c>
      <c r="V33" s="2">
        <f t="shared" si="8"/>
        <v>0</v>
      </c>
      <c r="W33" s="2">
        <f t="shared" si="9"/>
        <v>0</v>
      </c>
      <c r="X33" s="2">
        <f t="shared" si="10"/>
        <v>0</v>
      </c>
      <c r="Y33" s="2">
        <f t="shared" si="11"/>
        <v>0</v>
      </c>
      <c r="Z33" s="2">
        <f t="shared" si="12"/>
        <v>0</v>
      </c>
      <c r="AA33" s="2">
        <f t="shared" si="13"/>
        <v>0</v>
      </c>
      <c r="AB33" s="2">
        <f t="shared" si="14"/>
        <v>0</v>
      </c>
      <c r="AC33" s="2"/>
      <c r="AD33" s="2">
        <f t="shared" si="15"/>
        <v>1</v>
      </c>
      <c r="AE33" s="2">
        <f t="shared" si="16"/>
        <v>0</v>
      </c>
      <c r="AF33" s="2">
        <f t="shared" si="17"/>
        <v>1</v>
      </c>
      <c r="AG33" s="2">
        <f t="shared" si="18"/>
        <v>0</v>
      </c>
      <c r="AH33" s="2">
        <f t="shared" si="19"/>
        <v>1</v>
      </c>
      <c r="AI33" s="2">
        <f t="shared" si="20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5"/>
        <v>0</v>
      </c>
      <c r="T34" s="2">
        <f t="shared" si="6"/>
        <v>0</v>
      </c>
      <c r="U34" s="2">
        <f t="shared" si="7"/>
        <v>0</v>
      </c>
      <c r="V34" s="2">
        <f t="shared" si="8"/>
        <v>0</v>
      </c>
      <c r="W34" s="2">
        <f t="shared" si="9"/>
        <v>0</v>
      </c>
      <c r="X34" s="2">
        <f t="shared" si="10"/>
        <v>0</v>
      </c>
      <c r="Y34" s="2">
        <f t="shared" si="11"/>
        <v>0</v>
      </c>
      <c r="Z34" s="2">
        <f t="shared" si="12"/>
        <v>1</v>
      </c>
      <c r="AA34" s="2">
        <f t="shared" si="13"/>
        <v>0</v>
      </c>
      <c r="AB34" s="2">
        <f t="shared" si="14"/>
        <v>0</v>
      </c>
      <c r="AC34" s="2"/>
      <c r="AD34" s="2">
        <f t="shared" si="15"/>
        <v>0</v>
      </c>
      <c r="AE34" s="2">
        <f t="shared" si="16"/>
        <v>1</v>
      </c>
      <c r="AF34" s="2">
        <f t="shared" si="17"/>
        <v>0</v>
      </c>
      <c r="AG34" s="2">
        <f t="shared" si="18"/>
        <v>1</v>
      </c>
      <c r="AH34" s="2">
        <f t="shared" si="19"/>
        <v>0</v>
      </c>
      <c r="AI34" s="2">
        <f t="shared" si="20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5"/>
        <v>0</v>
      </c>
      <c r="T35" s="2">
        <f t="shared" si="6"/>
        <v>0</v>
      </c>
      <c r="U35" s="2">
        <f t="shared" si="7"/>
        <v>0</v>
      </c>
      <c r="V35" s="2">
        <f t="shared" si="8"/>
        <v>0</v>
      </c>
      <c r="W35" s="2">
        <f t="shared" si="9"/>
        <v>0</v>
      </c>
      <c r="X35" s="2">
        <f t="shared" si="10"/>
        <v>0</v>
      </c>
      <c r="Y35" s="2">
        <f t="shared" si="11"/>
        <v>0</v>
      </c>
      <c r="Z35" s="2">
        <f t="shared" si="12"/>
        <v>0</v>
      </c>
      <c r="AA35" s="2">
        <f t="shared" si="13"/>
        <v>0</v>
      </c>
      <c r="AB35" s="2">
        <f t="shared" si="14"/>
        <v>0</v>
      </c>
      <c r="AC35" s="2"/>
      <c r="AD35" s="2">
        <f t="shared" si="15"/>
        <v>0</v>
      </c>
      <c r="AE35" s="2">
        <f t="shared" si="16"/>
        <v>0</v>
      </c>
      <c r="AF35" s="2">
        <f t="shared" si="17"/>
        <v>0</v>
      </c>
      <c r="AG35" s="2">
        <f t="shared" si="18"/>
        <v>0</v>
      </c>
      <c r="AH35" s="2">
        <f t="shared" si="19"/>
        <v>0</v>
      </c>
      <c r="AI35" s="2">
        <f t="shared" si="20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5"/>
        <v>0</v>
      </c>
      <c r="T36" s="2">
        <f t="shared" si="6"/>
        <v>0</v>
      </c>
      <c r="U36" s="2">
        <f t="shared" si="7"/>
        <v>0</v>
      </c>
      <c r="V36" s="2">
        <f t="shared" si="8"/>
        <v>0</v>
      </c>
      <c r="W36" s="2">
        <f t="shared" si="9"/>
        <v>0</v>
      </c>
      <c r="X36" s="2">
        <f t="shared" si="10"/>
        <v>0</v>
      </c>
      <c r="Y36" s="2">
        <f t="shared" si="11"/>
        <v>0</v>
      </c>
      <c r="Z36" s="2">
        <f t="shared" si="12"/>
        <v>0</v>
      </c>
      <c r="AA36" s="2">
        <f t="shared" si="13"/>
        <v>0</v>
      </c>
      <c r="AB36" s="2">
        <f t="shared" si="14"/>
        <v>0</v>
      </c>
      <c r="AC36" s="2"/>
      <c r="AD36" s="2">
        <f t="shared" si="15"/>
        <v>0</v>
      </c>
      <c r="AE36" s="2">
        <f t="shared" si="16"/>
        <v>1</v>
      </c>
      <c r="AF36" s="2">
        <f t="shared" si="17"/>
        <v>0</v>
      </c>
      <c r="AG36" s="2">
        <f t="shared" si="18"/>
        <v>1</v>
      </c>
      <c r="AH36" s="2">
        <f t="shared" si="19"/>
        <v>0</v>
      </c>
      <c r="AI36" s="2">
        <f t="shared" si="20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5"/>
        <v>0</v>
      </c>
      <c r="T37" s="2">
        <f t="shared" si="6"/>
        <v>0</v>
      </c>
      <c r="U37" s="2">
        <f t="shared" si="7"/>
        <v>0</v>
      </c>
      <c r="V37" s="2">
        <f t="shared" si="8"/>
        <v>0</v>
      </c>
      <c r="W37" s="2">
        <f t="shared" si="9"/>
        <v>0</v>
      </c>
      <c r="X37" s="2">
        <f t="shared" si="10"/>
        <v>0</v>
      </c>
      <c r="Y37" s="2">
        <f t="shared" si="11"/>
        <v>0</v>
      </c>
      <c r="Z37" s="2">
        <f t="shared" si="12"/>
        <v>0</v>
      </c>
      <c r="AA37" s="2">
        <f t="shared" si="13"/>
        <v>0</v>
      </c>
      <c r="AB37" s="2">
        <f t="shared" si="14"/>
        <v>0</v>
      </c>
      <c r="AC37" s="2"/>
      <c r="AD37" s="2">
        <f t="shared" si="15"/>
        <v>1</v>
      </c>
      <c r="AE37" s="2">
        <f t="shared" si="16"/>
        <v>0</v>
      </c>
      <c r="AF37" s="2">
        <f t="shared" si="17"/>
        <v>1</v>
      </c>
      <c r="AG37" s="2">
        <f t="shared" si="18"/>
        <v>0</v>
      </c>
      <c r="AH37" s="2">
        <f t="shared" si="19"/>
        <v>1</v>
      </c>
      <c r="AI37" s="2">
        <f t="shared" si="20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5"/>
        <v>0</v>
      </c>
      <c r="T38" s="2">
        <f t="shared" si="6"/>
        <v>0</v>
      </c>
      <c r="U38" s="2">
        <f t="shared" si="7"/>
        <v>0</v>
      </c>
      <c r="V38" s="2">
        <f t="shared" si="8"/>
        <v>0</v>
      </c>
      <c r="W38" s="2">
        <f t="shared" si="9"/>
        <v>0</v>
      </c>
      <c r="X38" s="2">
        <f t="shared" si="10"/>
        <v>0</v>
      </c>
      <c r="Y38" s="2">
        <f t="shared" si="11"/>
        <v>0</v>
      </c>
      <c r="Z38" s="2">
        <f t="shared" si="12"/>
        <v>1</v>
      </c>
      <c r="AA38" s="2">
        <f t="shared" si="13"/>
        <v>0</v>
      </c>
      <c r="AB38" s="2">
        <f t="shared" si="14"/>
        <v>0</v>
      </c>
      <c r="AC38" s="2"/>
      <c r="AD38" s="2">
        <f t="shared" si="15"/>
        <v>0</v>
      </c>
      <c r="AE38" s="2">
        <f t="shared" si="16"/>
        <v>0</v>
      </c>
      <c r="AF38" s="2">
        <f t="shared" si="17"/>
        <v>0</v>
      </c>
      <c r="AG38" s="2">
        <f t="shared" si="18"/>
        <v>0</v>
      </c>
      <c r="AH38" s="2">
        <f t="shared" si="19"/>
        <v>0</v>
      </c>
      <c r="AI38" s="2">
        <f t="shared" si="20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5"/>
        <v>0</v>
      </c>
      <c r="T39" s="2">
        <f t="shared" si="6"/>
        <v>0</v>
      </c>
      <c r="U39" s="2">
        <f t="shared" si="7"/>
        <v>0</v>
      </c>
      <c r="V39" s="2">
        <f t="shared" si="8"/>
        <v>0</v>
      </c>
      <c r="W39" s="2">
        <f t="shared" si="9"/>
        <v>0</v>
      </c>
      <c r="X39" s="2">
        <f t="shared" si="10"/>
        <v>0</v>
      </c>
      <c r="Y39" s="2">
        <f t="shared" si="11"/>
        <v>0</v>
      </c>
      <c r="Z39" s="2">
        <f t="shared" si="12"/>
        <v>1</v>
      </c>
      <c r="AA39" s="2">
        <f t="shared" si="13"/>
        <v>0</v>
      </c>
      <c r="AB39" s="2">
        <f t="shared" si="14"/>
        <v>0</v>
      </c>
      <c r="AC39" s="2"/>
      <c r="AD39" s="2">
        <f t="shared" si="15"/>
        <v>0</v>
      </c>
      <c r="AE39" s="2">
        <f t="shared" si="16"/>
        <v>1</v>
      </c>
      <c r="AF39" s="2">
        <f t="shared" si="17"/>
        <v>0</v>
      </c>
      <c r="AG39" s="2">
        <f t="shared" si="18"/>
        <v>1</v>
      </c>
      <c r="AH39" s="2">
        <f t="shared" si="19"/>
        <v>0</v>
      </c>
      <c r="AI39" s="2">
        <f t="shared" si="20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5"/>
        <v>0</v>
      </c>
      <c r="T40" s="2">
        <f t="shared" si="6"/>
        <v>0</v>
      </c>
      <c r="U40" s="2">
        <f t="shared" si="7"/>
        <v>0</v>
      </c>
      <c r="V40" s="2">
        <f t="shared" si="8"/>
        <v>0</v>
      </c>
      <c r="W40" s="2">
        <f t="shared" si="9"/>
        <v>0</v>
      </c>
      <c r="X40" s="2">
        <f t="shared" si="10"/>
        <v>0</v>
      </c>
      <c r="Y40" s="2">
        <f t="shared" si="11"/>
        <v>0</v>
      </c>
      <c r="Z40" s="2">
        <f t="shared" si="12"/>
        <v>0</v>
      </c>
      <c r="AA40" s="2">
        <f t="shared" si="13"/>
        <v>0</v>
      </c>
      <c r="AB40" s="2">
        <f t="shared" si="14"/>
        <v>0</v>
      </c>
      <c r="AC40" s="2"/>
      <c r="AD40" s="2">
        <f t="shared" si="15"/>
        <v>0</v>
      </c>
      <c r="AE40" s="2">
        <f t="shared" si="16"/>
        <v>0</v>
      </c>
      <c r="AF40" s="2">
        <f t="shared" si="17"/>
        <v>0</v>
      </c>
      <c r="AG40" s="2">
        <f t="shared" si="18"/>
        <v>0</v>
      </c>
      <c r="AH40" s="2">
        <f t="shared" si="19"/>
        <v>0</v>
      </c>
      <c r="AI40" s="2">
        <f t="shared" si="20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5"/>
        <v>1</v>
      </c>
      <c r="T41" s="2">
        <f t="shared" si="6"/>
        <v>0</v>
      </c>
      <c r="U41" s="2">
        <f t="shared" si="7"/>
        <v>0</v>
      </c>
      <c r="V41" s="2">
        <f t="shared" si="8"/>
        <v>0</v>
      </c>
      <c r="W41" s="2">
        <f t="shared" si="9"/>
        <v>0</v>
      </c>
      <c r="X41" s="2">
        <f t="shared" si="10"/>
        <v>0</v>
      </c>
      <c r="Y41" s="2">
        <f t="shared" si="11"/>
        <v>0</v>
      </c>
      <c r="Z41" s="2">
        <f t="shared" si="12"/>
        <v>0</v>
      </c>
      <c r="AA41" s="2">
        <f t="shared" si="13"/>
        <v>0</v>
      </c>
      <c r="AB41" s="2">
        <f t="shared" si="14"/>
        <v>0</v>
      </c>
      <c r="AC41" s="2"/>
      <c r="AD41" s="2">
        <f t="shared" si="15"/>
        <v>0</v>
      </c>
      <c r="AE41" s="2">
        <f t="shared" si="16"/>
        <v>1</v>
      </c>
      <c r="AF41" s="2">
        <f t="shared" si="17"/>
        <v>0</v>
      </c>
      <c r="AG41" s="2">
        <f t="shared" si="18"/>
        <v>1</v>
      </c>
      <c r="AH41" s="2">
        <f t="shared" si="19"/>
        <v>0</v>
      </c>
      <c r="AI41" s="2">
        <f t="shared" si="20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993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5"/>
        <v>0</v>
      </c>
      <c r="T42" s="2">
        <f t="shared" si="6"/>
        <v>0</v>
      </c>
      <c r="U42" s="2">
        <f t="shared" si="7"/>
        <v>0</v>
      </c>
      <c r="V42" s="2">
        <f t="shared" si="8"/>
        <v>0</v>
      </c>
      <c r="W42" s="2">
        <f t="shared" si="9"/>
        <v>0</v>
      </c>
      <c r="X42" s="2">
        <f t="shared" si="10"/>
        <v>0</v>
      </c>
      <c r="Y42" s="2">
        <f t="shared" si="11"/>
        <v>0</v>
      </c>
      <c r="Z42" s="2">
        <f t="shared" si="12"/>
        <v>1</v>
      </c>
      <c r="AA42" s="2">
        <f t="shared" si="13"/>
        <v>0</v>
      </c>
      <c r="AB42" s="2">
        <f t="shared" si="14"/>
        <v>0</v>
      </c>
      <c r="AC42" s="2"/>
      <c r="AD42" s="2">
        <f t="shared" si="15"/>
        <v>0</v>
      </c>
      <c r="AE42" s="2">
        <f t="shared" si="16"/>
        <v>1</v>
      </c>
      <c r="AF42" s="2">
        <f t="shared" si="17"/>
        <v>0</v>
      </c>
      <c r="AG42" s="2">
        <f t="shared" si="18"/>
        <v>1</v>
      </c>
      <c r="AH42" s="2">
        <f t="shared" si="19"/>
        <v>0</v>
      </c>
      <c r="AI42" s="2">
        <f t="shared" si="20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5"/>
        <v>0</v>
      </c>
      <c r="T43" s="2">
        <f t="shared" si="6"/>
        <v>0</v>
      </c>
      <c r="U43" s="2">
        <f t="shared" si="7"/>
        <v>0</v>
      </c>
      <c r="V43" s="2">
        <f t="shared" si="8"/>
        <v>0</v>
      </c>
      <c r="W43" s="2">
        <f t="shared" si="9"/>
        <v>0</v>
      </c>
      <c r="X43" s="2">
        <f t="shared" si="10"/>
        <v>0</v>
      </c>
      <c r="Y43" s="2">
        <f t="shared" si="11"/>
        <v>0</v>
      </c>
      <c r="Z43" s="2">
        <f t="shared" si="12"/>
        <v>0</v>
      </c>
      <c r="AA43" s="2">
        <f t="shared" si="13"/>
        <v>0</v>
      </c>
      <c r="AB43" s="2">
        <f t="shared" si="14"/>
        <v>0</v>
      </c>
      <c r="AC43" s="2"/>
      <c r="AD43" s="2">
        <f t="shared" si="15"/>
        <v>0</v>
      </c>
      <c r="AE43" s="2">
        <f t="shared" si="16"/>
        <v>1</v>
      </c>
      <c r="AF43" s="2">
        <f t="shared" si="17"/>
        <v>0</v>
      </c>
      <c r="AG43" s="2">
        <f t="shared" si="18"/>
        <v>1</v>
      </c>
      <c r="AH43" s="2">
        <f t="shared" si="19"/>
        <v>0</v>
      </c>
      <c r="AI43" s="2">
        <f t="shared" si="20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5"/>
        <v>0</v>
      </c>
      <c r="T44" s="2">
        <f t="shared" si="6"/>
        <v>0</v>
      </c>
      <c r="U44" s="2">
        <f t="shared" si="7"/>
        <v>0</v>
      </c>
      <c r="V44" s="2">
        <f t="shared" si="8"/>
        <v>0</v>
      </c>
      <c r="W44" s="2">
        <f t="shared" si="9"/>
        <v>0</v>
      </c>
      <c r="X44" s="2">
        <f t="shared" si="10"/>
        <v>0</v>
      </c>
      <c r="Y44" s="2">
        <f t="shared" si="11"/>
        <v>0</v>
      </c>
      <c r="Z44" s="2">
        <f t="shared" si="12"/>
        <v>0</v>
      </c>
      <c r="AA44" s="2">
        <f t="shared" si="13"/>
        <v>0</v>
      </c>
      <c r="AB44" s="2">
        <f t="shared" si="14"/>
        <v>0</v>
      </c>
      <c r="AC44" s="2"/>
      <c r="AD44" s="2">
        <f t="shared" si="15"/>
        <v>0</v>
      </c>
      <c r="AE44" s="2">
        <f t="shared" si="16"/>
        <v>0</v>
      </c>
      <c r="AF44" s="2">
        <f t="shared" si="17"/>
        <v>0</v>
      </c>
      <c r="AG44" s="2">
        <f t="shared" si="18"/>
        <v>0</v>
      </c>
      <c r="AH44" s="2">
        <f t="shared" si="19"/>
        <v>0</v>
      </c>
      <c r="AI44" s="2">
        <f t="shared" si="20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5"/>
        <v>0</v>
      </c>
      <c r="T45" s="2">
        <f t="shared" si="6"/>
        <v>0</v>
      </c>
      <c r="U45" s="2">
        <f t="shared" si="7"/>
        <v>0</v>
      </c>
      <c r="V45" s="2">
        <f t="shared" si="8"/>
        <v>0</v>
      </c>
      <c r="W45" s="2">
        <f t="shared" si="9"/>
        <v>0</v>
      </c>
      <c r="X45" s="2">
        <f t="shared" si="10"/>
        <v>1</v>
      </c>
      <c r="Y45" s="2">
        <f t="shared" si="11"/>
        <v>0</v>
      </c>
      <c r="Z45" s="2">
        <f t="shared" si="12"/>
        <v>0</v>
      </c>
      <c r="AA45" s="2">
        <f t="shared" si="13"/>
        <v>0</v>
      </c>
      <c r="AB45" s="2">
        <f t="shared" si="14"/>
        <v>0</v>
      </c>
      <c r="AC45" s="2"/>
      <c r="AD45" s="2">
        <f t="shared" si="15"/>
        <v>0</v>
      </c>
      <c r="AE45" s="2">
        <f t="shared" si="16"/>
        <v>1</v>
      </c>
      <c r="AF45" s="2">
        <f t="shared" si="17"/>
        <v>0</v>
      </c>
      <c r="AG45" s="2">
        <f t="shared" si="18"/>
        <v>1</v>
      </c>
      <c r="AH45" s="2">
        <f t="shared" si="19"/>
        <v>0</v>
      </c>
      <c r="AI45" s="2">
        <f t="shared" si="20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5"/>
        <v>0</v>
      </c>
      <c r="T46" s="2">
        <f t="shared" si="6"/>
        <v>0</v>
      </c>
      <c r="U46" s="2">
        <f t="shared" si="7"/>
        <v>0</v>
      </c>
      <c r="V46" s="2">
        <f t="shared" si="8"/>
        <v>0</v>
      </c>
      <c r="W46" s="2">
        <f t="shared" si="9"/>
        <v>0</v>
      </c>
      <c r="X46" s="2">
        <f t="shared" si="10"/>
        <v>0</v>
      </c>
      <c r="Y46" s="2">
        <f t="shared" si="11"/>
        <v>0</v>
      </c>
      <c r="Z46" s="2">
        <f t="shared" si="12"/>
        <v>0</v>
      </c>
      <c r="AA46" s="2">
        <f t="shared" si="13"/>
        <v>0</v>
      </c>
      <c r="AB46" s="2">
        <f t="shared" si="14"/>
        <v>0</v>
      </c>
      <c r="AC46" s="2"/>
      <c r="AD46" s="2">
        <f t="shared" si="15"/>
        <v>0</v>
      </c>
      <c r="AE46" s="2">
        <f t="shared" si="16"/>
        <v>0</v>
      </c>
      <c r="AF46" s="2">
        <f t="shared" si="17"/>
        <v>0</v>
      </c>
      <c r="AG46" s="2">
        <f t="shared" si="18"/>
        <v>0</v>
      </c>
      <c r="AH46" s="2">
        <f t="shared" si="19"/>
        <v>0</v>
      </c>
      <c r="AI46" s="2">
        <f t="shared" si="20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5"/>
        <v>0</v>
      </c>
      <c r="T47" s="2">
        <f t="shared" si="6"/>
        <v>0</v>
      </c>
      <c r="U47" s="2">
        <f t="shared" si="7"/>
        <v>0</v>
      </c>
      <c r="V47" s="2">
        <f t="shared" si="8"/>
        <v>0</v>
      </c>
      <c r="W47" s="2">
        <f t="shared" si="9"/>
        <v>0</v>
      </c>
      <c r="X47" s="2">
        <f t="shared" si="10"/>
        <v>0</v>
      </c>
      <c r="Y47" s="2">
        <f t="shared" si="11"/>
        <v>0</v>
      </c>
      <c r="Z47" s="2">
        <f t="shared" si="12"/>
        <v>1</v>
      </c>
      <c r="AA47" s="2">
        <f t="shared" si="13"/>
        <v>0</v>
      </c>
      <c r="AB47" s="2">
        <f t="shared" si="14"/>
        <v>0</v>
      </c>
      <c r="AC47" s="2"/>
      <c r="AD47" s="2">
        <f t="shared" si="15"/>
        <v>0</v>
      </c>
      <c r="AE47" s="2">
        <f t="shared" si="16"/>
        <v>1</v>
      </c>
      <c r="AF47" s="2">
        <f t="shared" si="17"/>
        <v>0</v>
      </c>
      <c r="AG47" s="2">
        <f t="shared" si="18"/>
        <v>1</v>
      </c>
      <c r="AH47" s="2">
        <f t="shared" si="19"/>
        <v>0</v>
      </c>
      <c r="AI47" s="2">
        <f t="shared" si="20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5"/>
        <v>0</v>
      </c>
      <c r="T48" s="2">
        <f t="shared" si="6"/>
        <v>0</v>
      </c>
      <c r="U48" s="2">
        <f t="shared" si="7"/>
        <v>0</v>
      </c>
      <c r="V48" s="2">
        <f t="shared" si="8"/>
        <v>0</v>
      </c>
      <c r="W48" s="2">
        <f t="shared" si="9"/>
        <v>0</v>
      </c>
      <c r="X48" s="2">
        <f t="shared" si="10"/>
        <v>0</v>
      </c>
      <c r="Y48" s="2">
        <f t="shared" si="11"/>
        <v>0</v>
      </c>
      <c r="Z48" s="2">
        <f t="shared" si="12"/>
        <v>1</v>
      </c>
      <c r="AA48" s="2">
        <f t="shared" si="13"/>
        <v>0</v>
      </c>
      <c r="AB48" s="2">
        <f t="shared" si="14"/>
        <v>0</v>
      </c>
      <c r="AC48" s="2"/>
      <c r="AD48" s="2">
        <f t="shared" si="15"/>
        <v>0</v>
      </c>
      <c r="AE48" s="2">
        <f t="shared" si="16"/>
        <v>1</v>
      </c>
      <c r="AF48" s="2">
        <f t="shared" si="17"/>
        <v>0</v>
      </c>
      <c r="AG48" s="2">
        <f t="shared" si="18"/>
        <v>1</v>
      </c>
      <c r="AH48" s="2">
        <f t="shared" si="19"/>
        <v>0</v>
      </c>
      <c r="AI48" s="2">
        <f t="shared" si="20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5"/>
        <v>0</v>
      </c>
      <c r="T49" s="2">
        <f t="shared" si="6"/>
        <v>0</v>
      </c>
      <c r="U49" s="2">
        <f t="shared" si="7"/>
        <v>0</v>
      </c>
      <c r="V49" s="2">
        <f t="shared" si="8"/>
        <v>0</v>
      </c>
      <c r="W49" s="2">
        <f t="shared" si="9"/>
        <v>0</v>
      </c>
      <c r="X49" s="2">
        <f t="shared" si="10"/>
        <v>0</v>
      </c>
      <c r="Y49" s="2">
        <f t="shared" si="11"/>
        <v>0</v>
      </c>
      <c r="Z49" s="2">
        <f t="shared" si="12"/>
        <v>0</v>
      </c>
      <c r="AA49" s="2">
        <f t="shared" si="13"/>
        <v>0</v>
      </c>
      <c r="AB49" s="2">
        <f t="shared" si="14"/>
        <v>1</v>
      </c>
      <c r="AD49" s="2">
        <f t="shared" si="15"/>
        <v>0</v>
      </c>
      <c r="AE49" s="2">
        <f t="shared" si="16"/>
        <v>0</v>
      </c>
      <c r="AF49" s="2">
        <f t="shared" si="17"/>
        <v>0</v>
      </c>
      <c r="AG49" s="2">
        <f t="shared" si="18"/>
        <v>0</v>
      </c>
      <c r="AH49" s="2">
        <f t="shared" si="19"/>
        <v>1</v>
      </c>
      <c r="AI49" s="2">
        <f t="shared" si="20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924</v>
      </c>
      <c r="O50" s="31">
        <v>1</v>
      </c>
      <c r="P50" s="31"/>
      <c r="Q50" s="30"/>
      <c r="S50" s="2">
        <f t="shared" si="5"/>
        <v>0</v>
      </c>
      <c r="T50" s="2">
        <f t="shared" si="6"/>
        <v>0</v>
      </c>
      <c r="U50" s="2">
        <f t="shared" si="7"/>
        <v>0</v>
      </c>
      <c r="V50" s="2">
        <f t="shared" si="8"/>
        <v>0</v>
      </c>
      <c r="W50" s="2">
        <f t="shared" si="9"/>
        <v>0</v>
      </c>
      <c r="X50" s="2">
        <f t="shared" si="10"/>
        <v>0</v>
      </c>
      <c r="Y50" s="2">
        <f t="shared" si="11"/>
        <v>0</v>
      </c>
      <c r="Z50" s="2">
        <f t="shared" si="12"/>
        <v>0</v>
      </c>
      <c r="AA50" s="2">
        <f t="shared" si="13"/>
        <v>0</v>
      </c>
      <c r="AB50" s="2">
        <f t="shared" si="14"/>
        <v>0</v>
      </c>
      <c r="AD50" s="2">
        <f t="shared" si="15"/>
        <v>0</v>
      </c>
      <c r="AE50" s="2">
        <f t="shared" si="16"/>
        <v>1</v>
      </c>
      <c r="AF50" s="2">
        <f t="shared" si="17"/>
        <v>0</v>
      </c>
      <c r="AG50" s="2">
        <f t="shared" si="18"/>
        <v>1</v>
      </c>
      <c r="AH50" s="2">
        <f t="shared" si="19"/>
        <v>0</v>
      </c>
      <c r="AI50" s="2">
        <f t="shared" si="20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5"/>
        <v>0</v>
      </c>
      <c r="T51" s="2">
        <f t="shared" si="6"/>
        <v>0</v>
      </c>
      <c r="U51" s="2">
        <f t="shared" si="7"/>
        <v>0</v>
      </c>
      <c r="V51" s="2">
        <f t="shared" si="8"/>
        <v>0</v>
      </c>
      <c r="W51" s="2">
        <f t="shared" si="9"/>
        <v>0</v>
      </c>
      <c r="X51" s="2">
        <f t="shared" si="10"/>
        <v>0</v>
      </c>
      <c r="Y51" s="2">
        <f t="shared" si="11"/>
        <v>0</v>
      </c>
      <c r="Z51" s="2">
        <f t="shared" si="12"/>
        <v>0</v>
      </c>
      <c r="AA51" s="2">
        <f t="shared" si="13"/>
        <v>0</v>
      </c>
      <c r="AB51" s="2">
        <f t="shared" si="14"/>
        <v>0</v>
      </c>
      <c r="AD51" s="2">
        <f t="shared" si="15"/>
        <v>0</v>
      </c>
      <c r="AE51" s="2">
        <f t="shared" si="16"/>
        <v>1</v>
      </c>
      <c r="AF51" s="2">
        <f t="shared" si="17"/>
        <v>0</v>
      </c>
      <c r="AG51" s="2">
        <f t="shared" si="18"/>
        <v>1</v>
      </c>
      <c r="AH51" s="2">
        <f t="shared" si="19"/>
        <v>0</v>
      </c>
      <c r="AI51" s="2">
        <f t="shared" si="20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974</v>
      </c>
      <c r="E52" s="21" t="s">
        <v>259</v>
      </c>
      <c r="F52" s="21" t="s">
        <v>975</v>
      </c>
      <c r="G52" s="21" t="s">
        <v>976</v>
      </c>
      <c r="H52" s="21" t="s">
        <v>165</v>
      </c>
      <c r="I52" s="20" t="s">
        <v>977</v>
      </c>
      <c r="J52" s="20"/>
      <c r="K52" s="20" t="s">
        <v>376</v>
      </c>
      <c r="L52" s="20">
        <v>65</v>
      </c>
      <c r="M52" s="21" t="s">
        <v>978</v>
      </c>
      <c r="N52" s="21"/>
      <c r="O52" s="20"/>
      <c r="P52" s="20"/>
      <c r="Q52" s="21"/>
      <c r="S52" s="2">
        <f t="shared" si="5"/>
        <v>0</v>
      </c>
      <c r="T52" s="2">
        <f t="shared" si="6"/>
        <v>0</v>
      </c>
      <c r="U52" s="2">
        <f t="shared" si="7"/>
        <v>0</v>
      </c>
      <c r="V52" s="2">
        <f t="shared" si="8"/>
        <v>0</v>
      </c>
      <c r="W52" s="2">
        <f t="shared" si="9"/>
        <v>0</v>
      </c>
      <c r="X52" s="2">
        <f t="shared" si="10"/>
        <v>0</v>
      </c>
      <c r="Y52" s="2">
        <f t="shared" si="11"/>
        <v>0</v>
      </c>
      <c r="Z52" s="2">
        <f t="shared" si="12"/>
        <v>0</v>
      </c>
      <c r="AA52" s="2">
        <f t="shared" si="13"/>
        <v>0</v>
      </c>
      <c r="AB52" s="2">
        <f t="shared" si="14"/>
        <v>0</v>
      </c>
      <c r="AD52" s="2">
        <f t="shared" si="15"/>
        <v>0</v>
      </c>
      <c r="AE52" s="2">
        <f t="shared" si="16"/>
        <v>0</v>
      </c>
      <c r="AF52" s="2">
        <f t="shared" si="17"/>
        <v>0</v>
      </c>
      <c r="AG52" s="2">
        <f t="shared" si="18"/>
        <v>0</v>
      </c>
      <c r="AH52" s="2">
        <f t="shared" si="19"/>
        <v>0</v>
      </c>
      <c r="AI52" s="2">
        <f t="shared" si="20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924</v>
      </c>
      <c r="O53" s="31">
        <v>1</v>
      </c>
      <c r="P53" s="31"/>
      <c r="Q53" s="30"/>
      <c r="S53" s="2">
        <f t="shared" si="5"/>
        <v>0</v>
      </c>
      <c r="T53" s="2">
        <f t="shared" si="6"/>
        <v>0</v>
      </c>
      <c r="U53" s="2">
        <f t="shared" si="7"/>
        <v>0</v>
      </c>
      <c r="V53" s="2">
        <f t="shared" si="8"/>
        <v>0</v>
      </c>
      <c r="W53" s="2">
        <f t="shared" si="9"/>
        <v>0</v>
      </c>
      <c r="X53" s="2">
        <f t="shared" si="10"/>
        <v>0</v>
      </c>
      <c r="Y53" s="2">
        <f t="shared" si="11"/>
        <v>0</v>
      </c>
      <c r="Z53" s="2">
        <f t="shared" si="12"/>
        <v>0</v>
      </c>
      <c r="AA53" s="2">
        <f t="shared" si="13"/>
        <v>0</v>
      </c>
      <c r="AB53" s="2">
        <f t="shared" si="14"/>
        <v>0</v>
      </c>
      <c r="AD53" s="2">
        <f t="shared" si="15"/>
        <v>0</v>
      </c>
      <c r="AE53" s="2">
        <f t="shared" si="16"/>
        <v>1</v>
      </c>
      <c r="AF53" s="2">
        <f t="shared" si="17"/>
        <v>0</v>
      </c>
      <c r="AG53" s="2">
        <f t="shared" si="18"/>
        <v>1</v>
      </c>
      <c r="AH53" s="2">
        <f t="shared" si="19"/>
        <v>0</v>
      </c>
      <c r="AI53" s="2">
        <f t="shared" si="20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5"/>
        <v>0</v>
      </c>
      <c r="T54" s="2">
        <f t="shared" si="6"/>
        <v>0</v>
      </c>
      <c r="U54" s="2">
        <f t="shared" si="7"/>
        <v>0</v>
      </c>
      <c r="V54" s="2">
        <f t="shared" si="8"/>
        <v>0</v>
      </c>
      <c r="W54" s="2">
        <f t="shared" si="9"/>
        <v>0</v>
      </c>
      <c r="X54" s="2">
        <f t="shared" si="10"/>
        <v>0</v>
      </c>
      <c r="Y54" s="2">
        <f t="shared" si="11"/>
        <v>0</v>
      </c>
      <c r="Z54" s="2">
        <f t="shared" si="12"/>
        <v>1</v>
      </c>
      <c r="AA54" s="2">
        <f t="shared" si="13"/>
        <v>0</v>
      </c>
      <c r="AB54" s="2">
        <f t="shared" si="14"/>
        <v>0</v>
      </c>
      <c r="AD54" s="2">
        <f t="shared" si="15"/>
        <v>0</v>
      </c>
      <c r="AE54" s="2">
        <f t="shared" si="16"/>
        <v>0</v>
      </c>
      <c r="AF54" s="2">
        <f t="shared" si="17"/>
        <v>0</v>
      </c>
      <c r="AG54" s="2">
        <f t="shared" si="18"/>
        <v>0</v>
      </c>
      <c r="AH54" s="2">
        <f t="shared" si="19"/>
        <v>0</v>
      </c>
      <c r="AI54" s="2">
        <f t="shared" si="20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5"/>
        <v>0</v>
      </c>
      <c r="T55" s="2">
        <f t="shared" si="6"/>
        <v>0</v>
      </c>
      <c r="U55" s="2">
        <f t="shared" si="7"/>
        <v>0</v>
      </c>
      <c r="V55" s="2">
        <f t="shared" si="8"/>
        <v>0</v>
      </c>
      <c r="W55" s="2">
        <f t="shared" si="9"/>
        <v>0</v>
      </c>
      <c r="X55" s="2">
        <f t="shared" si="10"/>
        <v>0</v>
      </c>
      <c r="Y55" s="2">
        <f t="shared" si="11"/>
        <v>0</v>
      </c>
      <c r="Z55" s="2">
        <f t="shared" si="12"/>
        <v>0</v>
      </c>
      <c r="AA55" s="2">
        <f t="shared" si="13"/>
        <v>1</v>
      </c>
      <c r="AB55" s="2">
        <f t="shared" si="14"/>
        <v>0</v>
      </c>
      <c r="AD55" s="2">
        <f t="shared" si="15"/>
        <v>1</v>
      </c>
      <c r="AE55" s="2">
        <f t="shared" si="16"/>
        <v>0</v>
      </c>
      <c r="AF55" s="2">
        <f t="shared" si="17"/>
        <v>1</v>
      </c>
      <c r="AG55" s="2">
        <f t="shared" si="18"/>
        <v>0</v>
      </c>
      <c r="AH55" s="2">
        <f t="shared" si="19"/>
        <v>1</v>
      </c>
      <c r="AI55" s="2">
        <f t="shared" si="20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918</v>
      </c>
      <c r="O56" s="34"/>
      <c r="P56" s="34"/>
      <c r="Q56" s="33"/>
      <c r="S56" s="2">
        <f t="shared" si="5"/>
        <v>0</v>
      </c>
      <c r="T56" s="2">
        <f t="shared" si="6"/>
        <v>0</v>
      </c>
      <c r="U56" s="2">
        <f t="shared" si="7"/>
        <v>0</v>
      </c>
      <c r="V56" s="2">
        <f t="shared" si="8"/>
        <v>0</v>
      </c>
      <c r="W56" s="2">
        <f t="shared" si="9"/>
        <v>0</v>
      </c>
      <c r="X56" s="2">
        <f t="shared" si="10"/>
        <v>0</v>
      </c>
      <c r="Y56" s="2">
        <f t="shared" si="11"/>
        <v>0</v>
      </c>
      <c r="Z56" s="2">
        <f t="shared" si="12"/>
        <v>0</v>
      </c>
      <c r="AA56" s="2">
        <f t="shared" si="13"/>
        <v>0</v>
      </c>
      <c r="AB56" s="2">
        <f t="shared" si="14"/>
        <v>0</v>
      </c>
      <c r="AD56" s="2">
        <f t="shared" si="15"/>
        <v>0</v>
      </c>
      <c r="AE56" s="2">
        <f t="shared" si="16"/>
        <v>0</v>
      </c>
      <c r="AF56" s="2">
        <f t="shared" si="17"/>
        <v>0</v>
      </c>
      <c r="AG56" s="2">
        <f t="shared" si="18"/>
        <v>0</v>
      </c>
      <c r="AH56" s="2">
        <f t="shared" si="19"/>
        <v>0</v>
      </c>
      <c r="AI56" s="2">
        <f t="shared" si="20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5"/>
        <v>0</v>
      </c>
      <c r="T57" s="2">
        <f t="shared" si="6"/>
        <v>0</v>
      </c>
      <c r="U57" s="2">
        <f t="shared" si="7"/>
        <v>0</v>
      </c>
      <c r="V57" s="2">
        <f t="shared" si="8"/>
        <v>0</v>
      </c>
      <c r="W57" s="2">
        <f t="shared" si="9"/>
        <v>0</v>
      </c>
      <c r="X57" s="2">
        <f t="shared" si="10"/>
        <v>0</v>
      </c>
      <c r="Y57" s="2">
        <f t="shared" si="11"/>
        <v>0</v>
      </c>
      <c r="Z57" s="2">
        <f t="shared" si="12"/>
        <v>0</v>
      </c>
      <c r="AA57" s="2">
        <f t="shared" si="13"/>
        <v>0</v>
      </c>
      <c r="AB57" s="2">
        <f t="shared" si="14"/>
        <v>0</v>
      </c>
      <c r="AD57" s="2">
        <f t="shared" si="15"/>
        <v>0</v>
      </c>
      <c r="AE57" s="2">
        <f t="shared" si="16"/>
        <v>0</v>
      </c>
      <c r="AF57" s="2">
        <f t="shared" si="17"/>
        <v>0</v>
      </c>
      <c r="AG57" s="2">
        <f t="shared" si="18"/>
        <v>0</v>
      </c>
      <c r="AH57" s="2">
        <f t="shared" si="19"/>
        <v>0</v>
      </c>
      <c r="AI57" s="2">
        <f t="shared" si="20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924</v>
      </c>
      <c r="O58" s="31">
        <v>1</v>
      </c>
      <c r="P58" s="31"/>
      <c r="Q58" s="30"/>
      <c r="S58" s="2">
        <f t="shared" si="5"/>
        <v>0</v>
      </c>
      <c r="T58" s="2">
        <f t="shared" si="6"/>
        <v>0</v>
      </c>
      <c r="U58" s="2">
        <f t="shared" si="7"/>
        <v>0</v>
      </c>
      <c r="V58" s="2">
        <f t="shared" si="8"/>
        <v>0</v>
      </c>
      <c r="W58" s="2">
        <f t="shared" si="9"/>
        <v>0</v>
      </c>
      <c r="X58" s="2">
        <f t="shared" si="10"/>
        <v>0</v>
      </c>
      <c r="Y58" s="2">
        <f t="shared" si="11"/>
        <v>0</v>
      </c>
      <c r="Z58" s="2">
        <f t="shared" si="12"/>
        <v>0</v>
      </c>
      <c r="AA58" s="2">
        <f t="shared" si="13"/>
        <v>0</v>
      </c>
      <c r="AB58" s="2">
        <f t="shared" si="14"/>
        <v>0</v>
      </c>
      <c r="AD58" s="2">
        <f t="shared" si="15"/>
        <v>0</v>
      </c>
      <c r="AE58" s="2">
        <f t="shared" si="16"/>
        <v>1</v>
      </c>
      <c r="AF58" s="2">
        <f t="shared" si="17"/>
        <v>0</v>
      </c>
      <c r="AG58" s="2">
        <f t="shared" si="18"/>
        <v>1</v>
      </c>
      <c r="AH58" s="2">
        <f t="shared" si="19"/>
        <v>0</v>
      </c>
      <c r="AI58" s="2">
        <f t="shared" si="20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924</v>
      </c>
      <c r="O59" s="31">
        <v>1</v>
      </c>
      <c r="P59" s="31"/>
      <c r="Q59" s="30"/>
      <c r="S59" s="2">
        <f t="shared" si="5"/>
        <v>0</v>
      </c>
      <c r="T59" s="2">
        <f t="shared" si="6"/>
        <v>0</v>
      </c>
      <c r="U59" s="2">
        <f t="shared" si="7"/>
        <v>0</v>
      </c>
      <c r="V59" s="2">
        <f t="shared" si="8"/>
        <v>0</v>
      </c>
      <c r="W59" s="2">
        <f t="shared" si="9"/>
        <v>0</v>
      </c>
      <c r="X59" s="2">
        <f t="shared" si="10"/>
        <v>0</v>
      </c>
      <c r="Y59" s="2">
        <f t="shared" si="11"/>
        <v>0</v>
      </c>
      <c r="Z59" s="2">
        <f t="shared" si="12"/>
        <v>0</v>
      </c>
      <c r="AA59" s="2">
        <f t="shared" si="13"/>
        <v>0</v>
      </c>
      <c r="AB59" s="2">
        <f t="shared" si="14"/>
        <v>0</v>
      </c>
      <c r="AD59" s="2">
        <f t="shared" si="15"/>
        <v>0</v>
      </c>
      <c r="AE59" s="2">
        <f t="shared" si="16"/>
        <v>1</v>
      </c>
      <c r="AF59" s="2">
        <f t="shared" si="17"/>
        <v>0</v>
      </c>
      <c r="AG59" s="2">
        <f t="shared" si="18"/>
        <v>1</v>
      </c>
      <c r="AH59" s="2">
        <f t="shared" si="19"/>
        <v>0</v>
      </c>
      <c r="AI59" s="2">
        <f t="shared" si="20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5"/>
        <v>0</v>
      </c>
      <c r="T60" s="2">
        <f t="shared" si="6"/>
        <v>0</v>
      </c>
      <c r="U60" s="2">
        <f t="shared" si="7"/>
        <v>0</v>
      </c>
      <c r="V60" s="2">
        <f t="shared" si="8"/>
        <v>0</v>
      </c>
      <c r="W60" s="2">
        <f t="shared" si="9"/>
        <v>0</v>
      </c>
      <c r="X60" s="2">
        <f t="shared" si="10"/>
        <v>0</v>
      </c>
      <c r="Y60" s="2">
        <f t="shared" si="11"/>
        <v>0</v>
      </c>
      <c r="Z60" s="2">
        <f t="shared" si="12"/>
        <v>1</v>
      </c>
      <c r="AA60" s="2">
        <f t="shared" si="13"/>
        <v>0</v>
      </c>
      <c r="AB60" s="2">
        <f t="shared" si="14"/>
        <v>0</v>
      </c>
      <c r="AD60" s="2">
        <f t="shared" si="15"/>
        <v>0</v>
      </c>
      <c r="AE60" s="2">
        <f t="shared" si="16"/>
        <v>0</v>
      </c>
      <c r="AF60" s="2">
        <f t="shared" si="17"/>
        <v>0</v>
      </c>
      <c r="AG60" s="2">
        <f t="shared" si="18"/>
        <v>0</v>
      </c>
      <c r="AH60" s="2">
        <f t="shared" si="19"/>
        <v>0</v>
      </c>
      <c r="AI60" s="2">
        <f t="shared" si="20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5"/>
        <v>0</v>
      </c>
      <c r="T61" s="2">
        <f t="shared" si="6"/>
        <v>0</v>
      </c>
      <c r="U61" s="2">
        <f t="shared" si="7"/>
        <v>0</v>
      </c>
      <c r="V61" s="2">
        <f t="shared" si="8"/>
        <v>0</v>
      </c>
      <c r="W61" s="2">
        <f t="shared" si="9"/>
        <v>0</v>
      </c>
      <c r="X61" s="2">
        <f t="shared" si="10"/>
        <v>0</v>
      </c>
      <c r="Y61" s="2">
        <f t="shared" si="11"/>
        <v>0</v>
      </c>
      <c r="Z61" s="2">
        <f t="shared" si="12"/>
        <v>0</v>
      </c>
      <c r="AA61" s="2">
        <f t="shared" si="13"/>
        <v>0</v>
      </c>
      <c r="AB61" s="2">
        <f t="shared" si="14"/>
        <v>0</v>
      </c>
      <c r="AD61" s="2">
        <f t="shared" si="15"/>
        <v>1</v>
      </c>
      <c r="AE61" s="2">
        <f t="shared" si="16"/>
        <v>0</v>
      </c>
      <c r="AF61" s="2">
        <f t="shared" si="17"/>
        <v>1</v>
      </c>
      <c r="AG61" s="2">
        <f t="shared" si="18"/>
        <v>0</v>
      </c>
      <c r="AH61" s="2">
        <f t="shared" si="19"/>
        <v>1</v>
      </c>
      <c r="AI61" s="2">
        <f t="shared" si="20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5"/>
        <v>0</v>
      </c>
      <c r="T62" s="2">
        <f t="shared" si="6"/>
        <v>0</v>
      </c>
      <c r="U62" s="2">
        <f t="shared" si="7"/>
        <v>0</v>
      </c>
      <c r="V62" s="2">
        <f t="shared" si="8"/>
        <v>0</v>
      </c>
      <c r="W62" s="2">
        <f t="shared" si="9"/>
        <v>0</v>
      </c>
      <c r="X62" s="2">
        <f t="shared" si="10"/>
        <v>0</v>
      </c>
      <c r="Y62" s="2">
        <f t="shared" si="11"/>
        <v>0</v>
      </c>
      <c r="Z62" s="2">
        <f t="shared" si="12"/>
        <v>0</v>
      </c>
      <c r="AA62" s="2">
        <f t="shared" si="13"/>
        <v>0</v>
      </c>
      <c r="AB62" s="2">
        <f t="shared" si="14"/>
        <v>0</v>
      </c>
      <c r="AD62" s="2">
        <f t="shared" si="15"/>
        <v>0</v>
      </c>
      <c r="AE62" s="2">
        <f t="shared" si="16"/>
        <v>1</v>
      </c>
      <c r="AF62" s="2">
        <f t="shared" si="17"/>
        <v>0</v>
      </c>
      <c r="AG62" s="2">
        <f t="shared" si="18"/>
        <v>1</v>
      </c>
      <c r="AH62" s="2">
        <f t="shared" si="19"/>
        <v>0</v>
      </c>
      <c r="AI62" s="2">
        <f t="shared" si="20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994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5"/>
        <v>0</v>
      </c>
      <c r="T63" s="2">
        <f t="shared" si="6"/>
        <v>0</v>
      </c>
      <c r="U63" s="2">
        <f t="shared" si="7"/>
        <v>0</v>
      </c>
      <c r="V63" s="2">
        <f t="shared" si="8"/>
        <v>0</v>
      </c>
      <c r="W63" s="2">
        <f t="shared" si="9"/>
        <v>0</v>
      </c>
      <c r="X63" s="2">
        <f t="shared" si="10"/>
        <v>0</v>
      </c>
      <c r="Y63" s="2">
        <f t="shared" si="11"/>
        <v>0</v>
      </c>
      <c r="Z63" s="2">
        <f t="shared" si="12"/>
        <v>0</v>
      </c>
      <c r="AA63" s="2">
        <f t="shared" si="13"/>
        <v>0</v>
      </c>
      <c r="AB63" s="2">
        <f t="shared" si="14"/>
        <v>0</v>
      </c>
      <c r="AD63" s="2">
        <f t="shared" si="15"/>
        <v>0</v>
      </c>
      <c r="AE63" s="2">
        <f t="shared" si="16"/>
        <v>1</v>
      </c>
      <c r="AF63" s="2">
        <f t="shared" si="17"/>
        <v>0</v>
      </c>
      <c r="AG63" s="2">
        <f t="shared" si="18"/>
        <v>1</v>
      </c>
      <c r="AH63" s="2">
        <f t="shared" si="19"/>
        <v>0</v>
      </c>
      <c r="AI63" s="2">
        <f t="shared" si="20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5"/>
        <v>0</v>
      </c>
      <c r="T64" s="2">
        <f t="shared" si="6"/>
        <v>0</v>
      </c>
      <c r="U64" s="2">
        <f t="shared" si="7"/>
        <v>0</v>
      </c>
      <c r="V64" s="2">
        <f t="shared" si="8"/>
        <v>0</v>
      </c>
      <c r="W64" s="2">
        <f t="shared" si="9"/>
        <v>0</v>
      </c>
      <c r="X64" s="2">
        <f t="shared" si="10"/>
        <v>0</v>
      </c>
      <c r="Y64" s="2">
        <f t="shared" si="11"/>
        <v>0</v>
      </c>
      <c r="Z64" s="2">
        <f t="shared" si="12"/>
        <v>0</v>
      </c>
      <c r="AA64" s="2">
        <f t="shared" si="13"/>
        <v>0</v>
      </c>
      <c r="AB64" s="2">
        <f t="shared" si="14"/>
        <v>0</v>
      </c>
      <c r="AD64" s="2">
        <f t="shared" si="15"/>
        <v>0</v>
      </c>
      <c r="AE64" s="2">
        <f t="shared" si="16"/>
        <v>1</v>
      </c>
      <c r="AF64" s="2">
        <f t="shared" si="17"/>
        <v>0</v>
      </c>
      <c r="AG64" s="2">
        <f t="shared" si="18"/>
        <v>1</v>
      </c>
      <c r="AH64" s="2">
        <f t="shared" si="19"/>
        <v>0</v>
      </c>
      <c r="AI64" s="2">
        <f t="shared" si="20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5"/>
        <v>0</v>
      </c>
      <c r="T65" s="2">
        <f t="shared" si="6"/>
        <v>0</v>
      </c>
      <c r="U65" s="2">
        <f t="shared" si="7"/>
        <v>0</v>
      </c>
      <c r="V65" s="2">
        <f t="shared" si="8"/>
        <v>0</v>
      </c>
      <c r="W65" s="2">
        <f t="shared" si="9"/>
        <v>0</v>
      </c>
      <c r="X65" s="2">
        <f t="shared" si="10"/>
        <v>0</v>
      </c>
      <c r="Y65" s="2">
        <f t="shared" si="11"/>
        <v>0</v>
      </c>
      <c r="Z65" s="2">
        <f t="shared" si="12"/>
        <v>0</v>
      </c>
      <c r="AA65" s="2">
        <f t="shared" si="13"/>
        <v>0</v>
      </c>
      <c r="AB65" s="2">
        <f t="shared" si="14"/>
        <v>0</v>
      </c>
      <c r="AD65" s="2">
        <f t="shared" si="15"/>
        <v>0</v>
      </c>
      <c r="AE65" s="2">
        <f t="shared" si="16"/>
        <v>1</v>
      </c>
      <c r="AF65" s="2">
        <f t="shared" si="17"/>
        <v>0</v>
      </c>
      <c r="AG65" s="2">
        <f t="shared" si="18"/>
        <v>1</v>
      </c>
      <c r="AH65" s="2">
        <f t="shared" si="19"/>
        <v>0</v>
      </c>
      <c r="AI65" s="2">
        <f t="shared" si="20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919</v>
      </c>
      <c r="O66" s="31">
        <v>1</v>
      </c>
      <c r="P66" s="31"/>
      <c r="Q66" s="30"/>
      <c r="S66" s="2">
        <f t="shared" si="5"/>
        <v>0</v>
      </c>
      <c r="T66" s="2">
        <f t="shared" si="6"/>
        <v>0</v>
      </c>
      <c r="U66" s="2">
        <f t="shared" si="7"/>
        <v>1</v>
      </c>
      <c r="V66" s="2">
        <f t="shared" si="8"/>
        <v>0</v>
      </c>
      <c r="W66" s="2">
        <f t="shared" si="9"/>
        <v>0</v>
      </c>
      <c r="X66" s="2">
        <f t="shared" si="10"/>
        <v>0</v>
      </c>
      <c r="Y66" s="2">
        <f t="shared" si="11"/>
        <v>0</v>
      </c>
      <c r="Z66" s="2">
        <f t="shared" si="12"/>
        <v>0</v>
      </c>
      <c r="AA66" s="2">
        <f t="shared" si="13"/>
        <v>0</v>
      </c>
      <c r="AB66" s="2">
        <f t="shared" si="14"/>
        <v>0</v>
      </c>
      <c r="AD66" s="2">
        <f t="shared" si="15"/>
        <v>0</v>
      </c>
      <c r="AE66" s="2">
        <f t="shared" si="16"/>
        <v>1</v>
      </c>
      <c r="AF66" s="2">
        <f t="shared" si="17"/>
        <v>0</v>
      </c>
      <c r="AG66" s="2">
        <f t="shared" si="18"/>
        <v>1</v>
      </c>
      <c r="AH66" s="2">
        <f t="shared" si="19"/>
        <v>0</v>
      </c>
      <c r="AI66" s="2">
        <f t="shared" si="20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5"/>
        <v>0</v>
      </c>
      <c r="T67" s="2">
        <f t="shared" si="6"/>
        <v>0</v>
      </c>
      <c r="U67" s="2">
        <f t="shared" si="7"/>
        <v>0</v>
      </c>
      <c r="V67" s="2">
        <f t="shared" si="8"/>
        <v>0</v>
      </c>
      <c r="W67" s="2">
        <f t="shared" si="9"/>
        <v>1</v>
      </c>
      <c r="X67" s="2">
        <f t="shared" si="10"/>
        <v>0</v>
      </c>
      <c r="Y67" s="2">
        <f t="shared" si="11"/>
        <v>0</v>
      </c>
      <c r="Z67" s="2">
        <f t="shared" si="12"/>
        <v>0</v>
      </c>
      <c r="AA67" s="2">
        <f t="shared" si="13"/>
        <v>0</v>
      </c>
      <c r="AB67" s="2">
        <f t="shared" si="14"/>
        <v>0</v>
      </c>
      <c r="AD67" s="2">
        <f t="shared" si="15"/>
        <v>0</v>
      </c>
      <c r="AE67" s="2">
        <f t="shared" si="16"/>
        <v>0</v>
      </c>
      <c r="AF67" s="2">
        <f t="shared" si="17"/>
        <v>0</v>
      </c>
      <c r="AG67" s="2">
        <f t="shared" si="18"/>
        <v>0</v>
      </c>
      <c r="AH67" s="2">
        <f t="shared" si="19"/>
        <v>0</v>
      </c>
      <c r="AI67" s="2">
        <f t="shared" si="20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5"/>
        <v>0</v>
      </c>
      <c r="T68" s="2">
        <f t="shared" si="6"/>
        <v>0</v>
      </c>
      <c r="U68" s="2">
        <f t="shared" si="7"/>
        <v>0</v>
      </c>
      <c r="V68" s="2">
        <f t="shared" si="8"/>
        <v>0</v>
      </c>
      <c r="W68" s="2">
        <f t="shared" si="9"/>
        <v>0</v>
      </c>
      <c r="X68" s="2">
        <f t="shared" si="10"/>
        <v>0</v>
      </c>
      <c r="Y68" s="2">
        <f t="shared" si="11"/>
        <v>0</v>
      </c>
      <c r="Z68" s="2">
        <f t="shared" si="12"/>
        <v>1</v>
      </c>
      <c r="AA68" s="2">
        <f t="shared" si="13"/>
        <v>0</v>
      </c>
      <c r="AB68" s="2">
        <f t="shared" si="14"/>
        <v>0</v>
      </c>
      <c r="AD68" s="2">
        <f t="shared" si="15"/>
        <v>0</v>
      </c>
      <c r="AE68" s="2">
        <f t="shared" si="16"/>
        <v>1</v>
      </c>
      <c r="AF68" s="2">
        <f t="shared" si="17"/>
        <v>0</v>
      </c>
      <c r="AG68" s="2">
        <f t="shared" si="18"/>
        <v>1</v>
      </c>
      <c r="AH68" s="2">
        <f t="shared" si="19"/>
        <v>0</v>
      </c>
      <c r="AI68" s="2">
        <f t="shared" si="20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5"/>
        <v>0</v>
      </c>
      <c r="T69" s="2">
        <f t="shared" si="6"/>
        <v>0</v>
      </c>
      <c r="U69" s="2">
        <f t="shared" si="7"/>
        <v>0</v>
      </c>
      <c r="V69" s="2">
        <f t="shared" si="8"/>
        <v>0</v>
      </c>
      <c r="W69" s="2">
        <f t="shared" si="9"/>
        <v>0</v>
      </c>
      <c r="X69" s="2">
        <f t="shared" si="10"/>
        <v>0</v>
      </c>
      <c r="Y69" s="2">
        <f t="shared" si="11"/>
        <v>0</v>
      </c>
      <c r="Z69" s="2">
        <f t="shared" si="12"/>
        <v>1</v>
      </c>
      <c r="AA69" s="2">
        <f t="shared" si="13"/>
        <v>0</v>
      </c>
      <c r="AB69" s="2">
        <f t="shared" si="14"/>
        <v>0</v>
      </c>
      <c r="AD69" s="2">
        <f t="shared" si="15"/>
        <v>0</v>
      </c>
      <c r="AE69" s="2">
        <f t="shared" si="16"/>
        <v>0</v>
      </c>
      <c r="AF69" s="2">
        <f t="shared" si="17"/>
        <v>0</v>
      </c>
      <c r="AG69" s="2">
        <f t="shared" si="18"/>
        <v>0</v>
      </c>
      <c r="AH69" s="2">
        <f t="shared" si="19"/>
        <v>0</v>
      </c>
      <c r="AI69" s="2">
        <f t="shared" si="20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5"/>
        <v>1</v>
      </c>
      <c r="T70" s="2">
        <f t="shared" si="6"/>
        <v>0</v>
      </c>
      <c r="U70" s="2">
        <f t="shared" si="7"/>
        <v>0</v>
      </c>
      <c r="V70" s="2">
        <f t="shared" si="8"/>
        <v>0</v>
      </c>
      <c r="W70" s="2">
        <f t="shared" si="9"/>
        <v>0</v>
      </c>
      <c r="X70" s="2">
        <f t="shared" si="10"/>
        <v>0</v>
      </c>
      <c r="Y70" s="2">
        <f t="shared" si="11"/>
        <v>0</v>
      </c>
      <c r="Z70" s="2">
        <f t="shared" si="12"/>
        <v>0</v>
      </c>
      <c r="AA70" s="2">
        <f t="shared" si="13"/>
        <v>0</v>
      </c>
      <c r="AB70" s="2">
        <f t="shared" si="14"/>
        <v>0</v>
      </c>
      <c r="AD70" s="2">
        <f t="shared" si="15"/>
        <v>0</v>
      </c>
      <c r="AE70" s="2">
        <f t="shared" si="16"/>
        <v>0</v>
      </c>
      <c r="AF70" s="2">
        <f t="shared" si="17"/>
        <v>0</v>
      </c>
      <c r="AG70" s="2">
        <f t="shared" si="18"/>
        <v>0</v>
      </c>
      <c r="AH70" s="2">
        <f t="shared" si="19"/>
        <v>0</v>
      </c>
      <c r="AI70" s="2">
        <f t="shared" si="20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5"/>
        <v>0</v>
      </c>
      <c r="T71" s="2">
        <f t="shared" si="6"/>
        <v>0</v>
      </c>
      <c r="U71" s="2">
        <f t="shared" si="7"/>
        <v>1</v>
      </c>
      <c r="V71" s="2">
        <f t="shared" si="8"/>
        <v>0</v>
      </c>
      <c r="W71" s="2">
        <f t="shared" si="9"/>
        <v>0</v>
      </c>
      <c r="X71" s="2">
        <f t="shared" si="10"/>
        <v>0</v>
      </c>
      <c r="Y71" s="2">
        <f t="shared" si="11"/>
        <v>0</v>
      </c>
      <c r="Z71" s="2">
        <f t="shared" si="12"/>
        <v>0</v>
      </c>
      <c r="AA71" s="2">
        <f t="shared" si="13"/>
        <v>0</v>
      </c>
      <c r="AB71" s="2">
        <f t="shared" si="14"/>
        <v>0</v>
      </c>
      <c r="AD71" s="2">
        <f t="shared" si="15"/>
        <v>0</v>
      </c>
      <c r="AE71" s="2">
        <f t="shared" si="16"/>
        <v>0</v>
      </c>
      <c r="AF71" s="2">
        <f t="shared" si="17"/>
        <v>0</v>
      </c>
      <c r="AG71" s="2">
        <f t="shared" si="18"/>
        <v>0</v>
      </c>
      <c r="AH71" s="2">
        <f t="shared" si="19"/>
        <v>0</v>
      </c>
      <c r="AI71" s="2">
        <f t="shared" si="20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5"/>
        <v>0</v>
      </c>
      <c r="T72" s="2">
        <f t="shared" si="6"/>
        <v>0</v>
      </c>
      <c r="U72" s="2">
        <f t="shared" si="7"/>
        <v>0</v>
      </c>
      <c r="V72" s="2">
        <f t="shared" si="8"/>
        <v>0</v>
      </c>
      <c r="W72" s="2">
        <f t="shared" si="9"/>
        <v>0</v>
      </c>
      <c r="X72" s="2">
        <f t="shared" si="10"/>
        <v>0</v>
      </c>
      <c r="Y72" s="2">
        <f t="shared" si="11"/>
        <v>0</v>
      </c>
      <c r="Z72" s="2">
        <f t="shared" si="12"/>
        <v>0</v>
      </c>
      <c r="AA72" s="2">
        <f t="shared" si="13"/>
        <v>0</v>
      </c>
      <c r="AB72" s="2">
        <f t="shared" si="14"/>
        <v>0</v>
      </c>
      <c r="AD72" s="2">
        <f t="shared" si="15"/>
        <v>1</v>
      </c>
      <c r="AE72" s="2">
        <f t="shared" si="16"/>
        <v>0</v>
      </c>
      <c r="AF72" s="2">
        <f t="shared" si="17"/>
        <v>1</v>
      </c>
      <c r="AG72" s="2">
        <f t="shared" si="18"/>
        <v>0</v>
      </c>
      <c r="AH72" s="2">
        <f t="shared" si="19"/>
        <v>1</v>
      </c>
      <c r="AI72" s="2">
        <f t="shared" si="20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5"/>
        <v>1</v>
      </c>
      <c r="T73" s="2">
        <f t="shared" si="6"/>
        <v>0</v>
      </c>
      <c r="U73" s="2">
        <f t="shared" si="7"/>
        <v>0</v>
      </c>
      <c r="V73" s="2">
        <f t="shared" si="8"/>
        <v>0</v>
      </c>
      <c r="W73" s="2">
        <f t="shared" si="9"/>
        <v>0</v>
      </c>
      <c r="X73" s="2">
        <f t="shared" si="10"/>
        <v>0</v>
      </c>
      <c r="Y73" s="2">
        <f t="shared" si="11"/>
        <v>0</v>
      </c>
      <c r="Z73" s="2">
        <f t="shared" si="12"/>
        <v>0</v>
      </c>
      <c r="AA73" s="2">
        <f t="shared" si="13"/>
        <v>0</v>
      </c>
      <c r="AB73" s="2">
        <f t="shared" si="14"/>
        <v>0</v>
      </c>
      <c r="AD73" s="2">
        <f t="shared" si="15"/>
        <v>1</v>
      </c>
      <c r="AE73" s="2">
        <f t="shared" si="16"/>
        <v>0</v>
      </c>
      <c r="AF73" s="2">
        <f t="shared" si="17"/>
        <v>1</v>
      </c>
      <c r="AG73" s="2">
        <f t="shared" si="18"/>
        <v>0</v>
      </c>
      <c r="AH73" s="2">
        <f t="shared" si="19"/>
        <v>1</v>
      </c>
      <c r="AI73" s="2">
        <f t="shared" si="20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5"/>
        <v>0</v>
      </c>
      <c r="T74" s="2">
        <f t="shared" si="6"/>
        <v>0</v>
      </c>
      <c r="U74" s="2">
        <f t="shared" si="7"/>
        <v>0</v>
      </c>
      <c r="V74" s="2">
        <f t="shared" si="8"/>
        <v>0</v>
      </c>
      <c r="W74" s="2">
        <f t="shared" si="9"/>
        <v>0</v>
      </c>
      <c r="X74" s="2">
        <f t="shared" si="10"/>
        <v>0</v>
      </c>
      <c r="Y74" s="2">
        <f t="shared" si="11"/>
        <v>0</v>
      </c>
      <c r="Z74" s="2">
        <f t="shared" si="12"/>
        <v>0</v>
      </c>
      <c r="AA74" s="2">
        <f t="shared" si="13"/>
        <v>0</v>
      </c>
      <c r="AB74" s="2">
        <f t="shared" si="14"/>
        <v>0</v>
      </c>
      <c r="AD74" s="2">
        <f t="shared" si="15"/>
        <v>0</v>
      </c>
      <c r="AE74" s="2">
        <f t="shared" si="16"/>
        <v>1</v>
      </c>
      <c r="AF74" s="2">
        <f t="shared" si="17"/>
        <v>0</v>
      </c>
      <c r="AG74" s="2">
        <f t="shared" si="18"/>
        <v>1</v>
      </c>
      <c r="AH74" s="2">
        <f t="shared" si="19"/>
        <v>0</v>
      </c>
      <c r="AI74" s="2">
        <f t="shared" si="20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1">IF(J75=$S$7,1,0)</f>
        <v>0</v>
      </c>
      <c r="T75" s="2">
        <f t="shared" ref="T75:T139" si="22">IF(J75=$T$7,1,0)</f>
        <v>0</v>
      </c>
      <c r="U75" s="2">
        <f t="shared" ref="U75:U139" si="23">IF(J75=$U$7,1,0)</f>
        <v>0</v>
      </c>
      <c r="V75" s="2">
        <f t="shared" ref="V75:V139" si="24">IF(J75=$V$7,1,0)</f>
        <v>0</v>
      </c>
      <c r="W75" s="2">
        <f t="shared" ref="W75:W139" si="25">IF(J75=$W$7,1,0)</f>
        <v>0</v>
      </c>
      <c r="X75" s="2">
        <f t="shared" ref="X75:X139" si="26">IF(J75=$X$7,1,0)</f>
        <v>1</v>
      </c>
      <c r="Y75" s="2">
        <f t="shared" ref="Y75:Y139" si="27">IF(J75=$Y$7,1,0)</f>
        <v>0</v>
      </c>
      <c r="Z75" s="2">
        <f t="shared" ref="Z75:Z139" si="28">IF(J75=$Z$7,1,0)</f>
        <v>0</v>
      </c>
      <c r="AA75" s="2">
        <f t="shared" ref="AA75:AA139" si="29">IF(J75=$AA$7,1,0)</f>
        <v>0</v>
      </c>
      <c r="AB75" s="2">
        <f t="shared" ref="AB75:AB139" si="30">IF(J75=$AB$7,1,0)</f>
        <v>0</v>
      </c>
      <c r="AD75" s="2">
        <f t="shared" ref="AD75:AD139" si="31">+O75*P75</f>
        <v>0</v>
      </c>
      <c r="AE75" s="2">
        <f t="shared" ref="AE75:AE139" si="32">O75*(1-P75)</f>
        <v>1</v>
      </c>
      <c r="AF75" s="2">
        <f t="shared" ref="AF75:AF139" si="33">+O75*P75*(1-A75)</f>
        <v>0</v>
      </c>
      <c r="AG75" s="2">
        <f t="shared" ref="AG75:AG139" si="34">O75*(1-P75)*(1-A75)</f>
        <v>0</v>
      </c>
      <c r="AH75" s="2">
        <f t="shared" ref="AH75:AH139" si="35">+P75*(1-A75)</f>
        <v>0</v>
      </c>
      <c r="AI75" s="2">
        <f t="shared" ref="AI75:AI139" si="36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1"/>
        <v>0</v>
      </c>
      <c r="T76" s="2">
        <f t="shared" si="22"/>
        <v>0</v>
      </c>
      <c r="U76" s="2">
        <f t="shared" si="23"/>
        <v>0</v>
      </c>
      <c r="V76" s="2">
        <f t="shared" si="24"/>
        <v>0</v>
      </c>
      <c r="W76" s="2">
        <f t="shared" si="25"/>
        <v>0</v>
      </c>
      <c r="X76" s="2">
        <f t="shared" si="26"/>
        <v>0</v>
      </c>
      <c r="Y76" s="2">
        <f t="shared" si="27"/>
        <v>0</v>
      </c>
      <c r="Z76" s="2">
        <f t="shared" si="28"/>
        <v>0</v>
      </c>
      <c r="AA76" s="2">
        <f t="shared" si="29"/>
        <v>0</v>
      </c>
      <c r="AB76" s="2">
        <f t="shared" si="30"/>
        <v>0</v>
      </c>
      <c r="AD76" s="2">
        <f t="shared" si="31"/>
        <v>0</v>
      </c>
      <c r="AE76" s="2">
        <f t="shared" si="32"/>
        <v>1</v>
      </c>
      <c r="AF76" s="2">
        <f t="shared" si="33"/>
        <v>0</v>
      </c>
      <c r="AG76" s="2">
        <f t="shared" si="34"/>
        <v>1</v>
      </c>
      <c r="AH76" s="2">
        <f t="shared" si="35"/>
        <v>0</v>
      </c>
      <c r="AI76" s="2">
        <f t="shared" si="36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923</v>
      </c>
      <c r="N77" s="30" t="s">
        <v>888</v>
      </c>
      <c r="O77" s="31">
        <v>1</v>
      </c>
      <c r="P77" s="31"/>
      <c r="Q77" s="30"/>
      <c r="S77" s="2">
        <f t="shared" si="21"/>
        <v>0</v>
      </c>
      <c r="T77" s="2">
        <f t="shared" si="22"/>
        <v>0</v>
      </c>
      <c r="U77" s="2">
        <f t="shared" si="23"/>
        <v>0</v>
      </c>
      <c r="V77" s="2">
        <f t="shared" si="24"/>
        <v>0</v>
      </c>
      <c r="W77" s="2">
        <f t="shared" si="25"/>
        <v>0</v>
      </c>
      <c r="X77" s="2">
        <f t="shared" si="26"/>
        <v>0</v>
      </c>
      <c r="Y77" s="2">
        <f t="shared" si="27"/>
        <v>0</v>
      </c>
      <c r="Z77" s="2">
        <f t="shared" si="28"/>
        <v>0</v>
      </c>
      <c r="AA77" s="2">
        <f t="shared" si="29"/>
        <v>0</v>
      </c>
      <c r="AB77" s="2">
        <f t="shared" si="30"/>
        <v>1</v>
      </c>
      <c r="AD77" s="2">
        <f t="shared" si="31"/>
        <v>0</v>
      </c>
      <c r="AE77" s="2">
        <f t="shared" si="32"/>
        <v>1</v>
      </c>
      <c r="AF77" s="2">
        <f t="shared" si="33"/>
        <v>0</v>
      </c>
      <c r="AG77" s="2">
        <f t="shared" si="34"/>
        <v>1</v>
      </c>
      <c r="AH77" s="2">
        <f t="shared" si="35"/>
        <v>0</v>
      </c>
      <c r="AI77" s="2">
        <f t="shared" si="36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1"/>
        <v>0</v>
      </c>
      <c r="T78" s="2">
        <f t="shared" si="22"/>
        <v>0</v>
      </c>
      <c r="U78" s="2">
        <f t="shared" si="23"/>
        <v>0</v>
      </c>
      <c r="V78" s="2">
        <f t="shared" si="24"/>
        <v>0</v>
      </c>
      <c r="W78" s="2">
        <f t="shared" si="25"/>
        <v>0</v>
      </c>
      <c r="X78" s="2">
        <f t="shared" si="26"/>
        <v>0</v>
      </c>
      <c r="Y78" s="2">
        <f t="shared" si="27"/>
        <v>0</v>
      </c>
      <c r="Z78" s="2">
        <f t="shared" si="28"/>
        <v>0</v>
      </c>
      <c r="AA78" s="2">
        <f t="shared" si="29"/>
        <v>1</v>
      </c>
      <c r="AB78" s="2">
        <f t="shared" si="30"/>
        <v>0</v>
      </c>
      <c r="AD78" s="2">
        <f t="shared" si="31"/>
        <v>1</v>
      </c>
      <c r="AE78" s="2">
        <f t="shared" si="32"/>
        <v>0</v>
      </c>
      <c r="AF78" s="2">
        <f t="shared" si="33"/>
        <v>1</v>
      </c>
      <c r="AG78" s="2">
        <f t="shared" si="34"/>
        <v>0</v>
      </c>
      <c r="AH78" s="2">
        <f t="shared" si="35"/>
        <v>1</v>
      </c>
      <c r="AI78" s="2">
        <f t="shared" si="36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918</v>
      </c>
      <c r="O79" s="34"/>
      <c r="P79" s="34"/>
      <c r="Q79" s="33"/>
      <c r="S79" s="2">
        <f t="shared" si="21"/>
        <v>0</v>
      </c>
      <c r="T79" s="2">
        <f t="shared" si="22"/>
        <v>1</v>
      </c>
      <c r="U79" s="2">
        <f t="shared" si="23"/>
        <v>0</v>
      </c>
      <c r="V79" s="2">
        <f t="shared" si="24"/>
        <v>0</v>
      </c>
      <c r="W79" s="2">
        <f t="shared" si="25"/>
        <v>0</v>
      </c>
      <c r="X79" s="2">
        <f t="shared" si="26"/>
        <v>0</v>
      </c>
      <c r="Y79" s="2">
        <f t="shared" si="27"/>
        <v>0</v>
      </c>
      <c r="Z79" s="2">
        <f t="shared" si="28"/>
        <v>0</v>
      </c>
      <c r="AA79" s="2">
        <f t="shared" si="29"/>
        <v>0</v>
      </c>
      <c r="AB79" s="2">
        <f t="shared" si="30"/>
        <v>0</v>
      </c>
      <c r="AD79" s="2">
        <f t="shared" si="31"/>
        <v>0</v>
      </c>
      <c r="AE79" s="2">
        <f t="shared" si="32"/>
        <v>0</v>
      </c>
      <c r="AF79" s="2">
        <f t="shared" si="33"/>
        <v>0</v>
      </c>
      <c r="AG79" s="2">
        <f t="shared" si="34"/>
        <v>0</v>
      </c>
      <c r="AH79" s="2">
        <f t="shared" si="35"/>
        <v>0</v>
      </c>
      <c r="AI79" s="2">
        <f t="shared" si="36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1"/>
        <v>0</v>
      </c>
      <c r="T80" s="2">
        <f t="shared" si="22"/>
        <v>0</v>
      </c>
      <c r="U80" s="2">
        <f t="shared" si="23"/>
        <v>0</v>
      </c>
      <c r="V80" s="2">
        <f t="shared" si="24"/>
        <v>0</v>
      </c>
      <c r="W80" s="2">
        <f t="shared" si="25"/>
        <v>0</v>
      </c>
      <c r="X80" s="2">
        <f t="shared" si="26"/>
        <v>0</v>
      </c>
      <c r="Y80" s="2">
        <f t="shared" si="27"/>
        <v>0</v>
      </c>
      <c r="Z80" s="2">
        <f t="shared" si="28"/>
        <v>0</v>
      </c>
      <c r="AA80" s="2">
        <f t="shared" si="29"/>
        <v>0</v>
      </c>
      <c r="AB80" s="2">
        <f t="shared" si="30"/>
        <v>0</v>
      </c>
      <c r="AD80" s="2">
        <f t="shared" si="31"/>
        <v>1</v>
      </c>
      <c r="AE80" s="2">
        <f t="shared" si="32"/>
        <v>0</v>
      </c>
      <c r="AF80" s="2">
        <f t="shared" si="33"/>
        <v>1</v>
      </c>
      <c r="AG80" s="2">
        <f t="shared" si="34"/>
        <v>0</v>
      </c>
      <c r="AH80" s="2">
        <f t="shared" si="35"/>
        <v>1</v>
      </c>
      <c r="AI80" s="2">
        <f t="shared" si="36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1"/>
        <v>0</v>
      </c>
      <c r="T81" s="2">
        <f t="shared" si="22"/>
        <v>0</v>
      </c>
      <c r="U81" s="2">
        <f t="shared" si="23"/>
        <v>1</v>
      </c>
      <c r="V81" s="2">
        <f t="shared" si="24"/>
        <v>0</v>
      </c>
      <c r="W81" s="2">
        <f t="shared" si="25"/>
        <v>0</v>
      </c>
      <c r="X81" s="2">
        <f t="shared" si="26"/>
        <v>0</v>
      </c>
      <c r="Y81" s="2">
        <f t="shared" si="27"/>
        <v>0</v>
      </c>
      <c r="Z81" s="2">
        <f t="shared" si="28"/>
        <v>0</v>
      </c>
      <c r="AA81" s="2">
        <f t="shared" si="29"/>
        <v>0</v>
      </c>
      <c r="AB81" s="2">
        <f t="shared" si="30"/>
        <v>0</v>
      </c>
      <c r="AC81" s="2"/>
      <c r="AD81" s="2">
        <f t="shared" si="31"/>
        <v>0</v>
      </c>
      <c r="AE81" s="2">
        <f t="shared" si="32"/>
        <v>1</v>
      </c>
      <c r="AF81" s="2">
        <f t="shared" si="33"/>
        <v>0</v>
      </c>
      <c r="AG81" s="2">
        <f t="shared" si="34"/>
        <v>1</v>
      </c>
      <c r="AH81" s="2">
        <f t="shared" si="35"/>
        <v>0</v>
      </c>
      <c r="AI81" s="2">
        <f t="shared" si="36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1"/>
        <v>0</v>
      </c>
      <c r="T82" s="2">
        <f t="shared" si="22"/>
        <v>0</v>
      </c>
      <c r="U82" s="2">
        <f t="shared" si="23"/>
        <v>0</v>
      </c>
      <c r="V82" s="2">
        <f t="shared" si="24"/>
        <v>0</v>
      </c>
      <c r="W82" s="2">
        <f t="shared" si="25"/>
        <v>0</v>
      </c>
      <c r="X82" s="2">
        <f t="shared" si="26"/>
        <v>0</v>
      </c>
      <c r="Y82" s="2">
        <f t="shared" si="27"/>
        <v>0</v>
      </c>
      <c r="Z82" s="2">
        <f t="shared" si="28"/>
        <v>0</v>
      </c>
      <c r="AA82" s="2">
        <f t="shared" si="29"/>
        <v>0</v>
      </c>
      <c r="AB82" s="2">
        <f t="shared" si="30"/>
        <v>0</v>
      </c>
      <c r="AC82" s="2"/>
      <c r="AD82" s="2">
        <f t="shared" si="31"/>
        <v>0</v>
      </c>
      <c r="AE82" s="2">
        <f t="shared" si="32"/>
        <v>1</v>
      </c>
      <c r="AF82" s="2">
        <f t="shared" si="33"/>
        <v>0</v>
      </c>
      <c r="AG82" s="2">
        <f t="shared" si="34"/>
        <v>1</v>
      </c>
      <c r="AH82" s="2">
        <f t="shared" si="35"/>
        <v>0</v>
      </c>
      <c r="AI82" s="2">
        <f t="shared" si="36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1"/>
        <v>0</v>
      </c>
      <c r="T83" s="2">
        <f t="shared" si="22"/>
        <v>0</v>
      </c>
      <c r="U83" s="2">
        <f t="shared" si="23"/>
        <v>0</v>
      </c>
      <c r="V83" s="2">
        <f t="shared" si="24"/>
        <v>0</v>
      </c>
      <c r="W83" s="2">
        <f t="shared" si="25"/>
        <v>0</v>
      </c>
      <c r="X83" s="2">
        <f t="shared" si="26"/>
        <v>0</v>
      </c>
      <c r="Y83" s="2">
        <f t="shared" si="27"/>
        <v>0</v>
      </c>
      <c r="Z83" s="2">
        <f t="shared" si="28"/>
        <v>0</v>
      </c>
      <c r="AA83" s="2">
        <f t="shared" si="29"/>
        <v>0</v>
      </c>
      <c r="AB83" s="2">
        <f t="shared" si="30"/>
        <v>0</v>
      </c>
      <c r="AC83" s="2"/>
      <c r="AD83" s="2">
        <f t="shared" si="31"/>
        <v>0</v>
      </c>
      <c r="AE83" s="2">
        <f t="shared" si="32"/>
        <v>1</v>
      </c>
      <c r="AF83" s="2">
        <f t="shared" si="33"/>
        <v>0</v>
      </c>
      <c r="AG83" s="2">
        <f t="shared" si="34"/>
        <v>1</v>
      </c>
      <c r="AH83" s="2">
        <f t="shared" si="35"/>
        <v>0</v>
      </c>
      <c r="AI83" s="2">
        <f t="shared" si="36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1"/>
        <v>0</v>
      </c>
      <c r="T84" s="2">
        <f t="shared" si="22"/>
        <v>0</v>
      </c>
      <c r="U84" s="2">
        <f t="shared" si="23"/>
        <v>0</v>
      </c>
      <c r="V84" s="2">
        <f t="shared" si="24"/>
        <v>0</v>
      </c>
      <c r="W84" s="2">
        <f t="shared" si="25"/>
        <v>0</v>
      </c>
      <c r="X84" s="2">
        <f t="shared" si="26"/>
        <v>0</v>
      </c>
      <c r="Y84" s="2">
        <f t="shared" si="27"/>
        <v>0</v>
      </c>
      <c r="Z84" s="2">
        <f t="shared" si="28"/>
        <v>0</v>
      </c>
      <c r="AA84" s="2">
        <f t="shared" si="29"/>
        <v>0</v>
      </c>
      <c r="AB84" s="2">
        <f t="shared" si="30"/>
        <v>0</v>
      </c>
      <c r="AC84" s="2"/>
      <c r="AD84" s="2">
        <f t="shared" si="31"/>
        <v>0</v>
      </c>
      <c r="AE84" s="2">
        <f t="shared" si="32"/>
        <v>0</v>
      </c>
      <c r="AF84" s="2">
        <f t="shared" si="33"/>
        <v>0</v>
      </c>
      <c r="AG84" s="2">
        <f t="shared" si="34"/>
        <v>0</v>
      </c>
      <c r="AH84" s="2">
        <f t="shared" si="35"/>
        <v>0</v>
      </c>
      <c r="AI84" s="2">
        <f t="shared" si="36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1"/>
        <v>0</v>
      </c>
      <c r="T85" s="2">
        <f t="shared" si="22"/>
        <v>0</v>
      </c>
      <c r="U85" s="2">
        <f t="shared" si="23"/>
        <v>0</v>
      </c>
      <c r="V85" s="2">
        <f t="shared" si="24"/>
        <v>0</v>
      </c>
      <c r="W85" s="2">
        <f t="shared" si="25"/>
        <v>0</v>
      </c>
      <c r="X85" s="2">
        <f t="shared" si="26"/>
        <v>0</v>
      </c>
      <c r="Y85" s="2">
        <f t="shared" si="27"/>
        <v>0</v>
      </c>
      <c r="Z85" s="2">
        <f t="shared" si="28"/>
        <v>0</v>
      </c>
      <c r="AA85" s="2">
        <f t="shared" si="29"/>
        <v>0</v>
      </c>
      <c r="AB85" s="2">
        <f t="shared" si="30"/>
        <v>0</v>
      </c>
      <c r="AC85" s="2"/>
      <c r="AD85" s="2">
        <f t="shared" si="31"/>
        <v>0</v>
      </c>
      <c r="AE85" s="2">
        <f t="shared" si="32"/>
        <v>0</v>
      </c>
      <c r="AF85" s="2">
        <f t="shared" si="33"/>
        <v>0</v>
      </c>
      <c r="AG85" s="2">
        <f t="shared" si="34"/>
        <v>0</v>
      </c>
      <c r="AH85" s="2">
        <f t="shared" si="35"/>
        <v>1</v>
      </c>
      <c r="AI85" s="2">
        <f t="shared" si="36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1"/>
        <v>0</v>
      </c>
      <c r="T86" s="2">
        <f t="shared" si="22"/>
        <v>0</v>
      </c>
      <c r="U86" s="2">
        <f t="shared" si="23"/>
        <v>0</v>
      </c>
      <c r="V86" s="2">
        <f t="shared" si="24"/>
        <v>0</v>
      </c>
      <c r="W86" s="2">
        <f t="shared" si="25"/>
        <v>0</v>
      </c>
      <c r="X86" s="2">
        <f t="shared" si="26"/>
        <v>0</v>
      </c>
      <c r="Y86" s="2">
        <f t="shared" si="27"/>
        <v>0</v>
      </c>
      <c r="Z86" s="2">
        <f t="shared" si="28"/>
        <v>0</v>
      </c>
      <c r="AA86" s="2">
        <f t="shared" si="29"/>
        <v>0</v>
      </c>
      <c r="AB86" s="2">
        <f t="shared" si="30"/>
        <v>0</v>
      </c>
      <c r="AC86" s="2"/>
      <c r="AD86" s="2">
        <f t="shared" si="31"/>
        <v>0</v>
      </c>
      <c r="AE86" s="2">
        <f t="shared" si="32"/>
        <v>0</v>
      </c>
      <c r="AF86" s="2">
        <f t="shared" si="33"/>
        <v>0</v>
      </c>
      <c r="AG86" s="2">
        <f t="shared" si="34"/>
        <v>0</v>
      </c>
      <c r="AH86" s="2">
        <f t="shared" si="35"/>
        <v>0</v>
      </c>
      <c r="AI86" s="2">
        <f t="shared" si="36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1"/>
        <v>0</v>
      </c>
      <c r="T87" s="2">
        <f t="shared" si="22"/>
        <v>0</v>
      </c>
      <c r="U87" s="2">
        <f t="shared" si="23"/>
        <v>0</v>
      </c>
      <c r="V87" s="2">
        <f t="shared" si="24"/>
        <v>0</v>
      </c>
      <c r="W87" s="2">
        <f t="shared" si="25"/>
        <v>0</v>
      </c>
      <c r="X87" s="2">
        <f t="shared" si="26"/>
        <v>0</v>
      </c>
      <c r="Y87" s="2">
        <f t="shared" si="27"/>
        <v>0</v>
      </c>
      <c r="Z87" s="2">
        <f t="shared" si="28"/>
        <v>0</v>
      </c>
      <c r="AA87" s="2">
        <f t="shared" si="29"/>
        <v>0</v>
      </c>
      <c r="AB87" s="2">
        <f t="shared" si="30"/>
        <v>0</v>
      </c>
      <c r="AC87" s="2"/>
      <c r="AD87" s="2">
        <f t="shared" si="31"/>
        <v>0</v>
      </c>
      <c r="AE87" s="2">
        <f t="shared" si="32"/>
        <v>0</v>
      </c>
      <c r="AF87" s="2">
        <f t="shared" si="33"/>
        <v>0</v>
      </c>
      <c r="AG87" s="2">
        <f t="shared" si="34"/>
        <v>0</v>
      </c>
      <c r="AH87" s="2">
        <f t="shared" si="35"/>
        <v>0</v>
      </c>
      <c r="AI87" s="2">
        <f t="shared" si="36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1"/>
        <v>1</v>
      </c>
      <c r="T88" s="2">
        <f t="shared" si="22"/>
        <v>0</v>
      </c>
      <c r="U88" s="2">
        <f t="shared" si="23"/>
        <v>0</v>
      </c>
      <c r="V88" s="2">
        <f t="shared" si="24"/>
        <v>0</v>
      </c>
      <c r="W88" s="2">
        <f t="shared" si="25"/>
        <v>0</v>
      </c>
      <c r="X88" s="2">
        <f t="shared" si="26"/>
        <v>0</v>
      </c>
      <c r="Y88" s="2">
        <f t="shared" si="27"/>
        <v>0</v>
      </c>
      <c r="Z88" s="2">
        <f t="shared" si="28"/>
        <v>0</v>
      </c>
      <c r="AA88" s="2">
        <f t="shared" si="29"/>
        <v>0</v>
      </c>
      <c r="AB88" s="2">
        <f t="shared" si="30"/>
        <v>0</v>
      </c>
      <c r="AC88" s="2"/>
      <c r="AD88" s="2">
        <f t="shared" si="31"/>
        <v>0</v>
      </c>
      <c r="AE88" s="2">
        <f t="shared" si="32"/>
        <v>1</v>
      </c>
      <c r="AF88" s="2">
        <f t="shared" si="33"/>
        <v>0</v>
      </c>
      <c r="AG88" s="2">
        <f t="shared" si="34"/>
        <v>1</v>
      </c>
      <c r="AH88" s="2">
        <f t="shared" si="35"/>
        <v>0</v>
      </c>
      <c r="AI88" s="2">
        <f t="shared" si="36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970</v>
      </c>
      <c r="E89" s="27" t="s">
        <v>258</v>
      </c>
      <c r="F89" s="27" t="s">
        <v>971</v>
      </c>
      <c r="G89" s="27" t="s">
        <v>972</v>
      </c>
      <c r="H89" s="27" t="s">
        <v>165</v>
      </c>
      <c r="I89" s="26" t="s">
        <v>973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1"/>
        <v>0</v>
      </c>
      <c r="T89" s="2">
        <f t="shared" si="22"/>
        <v>0</v>
      </c>
      <c r="U89" s="2">
        <f t="shared" si="23"/>
        <v>0</v>
      </c>
      <c r="V89" s="2">
        <f t="shared" si="24"/>
        <v>0</v>
      </c>
      <c r="W89" s="2">
        <f t="shared" si="25"/>
        <v>0</v>
      </c>
      <c r="X89" s="2">
        <f t="shared" si="26"/>
        <v>0</v>
      </c>
      <c r="Y89" s="2">
        <f t="shared" si="27"/>
        <v>0</v>
      </c>
      <c r="Z89" s="2">
        <f t="shared" si="28"/>
        <v>0</v>
      </c>
      <c r="AA89" s="2">
        <f t="shared" si="29"/>
        <v>0</v>
      </c>
      <c r="AB89" s="2">
        <f t="shared" si="30"/>
        <v>0</v>
      </c>
      <c r="AC89" s="2"/>
      <c r="AD89" s="2">
        <f t="shared" si="31"/>
        <v>0</v>
      </c>
      <c r="AE89" s="2">
        <f t="shared" si="32"/>
        <v>0</v>
      </c>
      <c r="AF89" s="2">
        <f t="shared" si="33"/>
        <v>0</v>
      </c>
      <c r="AG89" s="2">
        <f t="shared" si="34"/>
        <v>0</v>
      </c>
      <c r="AH89" s="2">
        <f t="shared" si="35"/>
        <v>1</v>
      </c>
      <c r="AI89" s="2">
        <f t="shared" si="36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1"/>
        <v>0</v>
      </c>
      <c r="T90" s="2">
        <f t="shared" si="22"/>
        <v>1</v>
      </c>
      <c r="U90" s="2">
        <f t="shared" si="23"/>
        <v>0</v>
      </c>
      <c r="V90" s="2">
        <f t="shared" si="24"/>
        <v>0</v>
      </c>
      <c r="W90" s="2">
        <f t="shared" si="25"/>
        <v>0</v>
      </c>
      <c r="X90" s="2">
        <f t="shared" si="26"/>
        <v>0</v>
      </c>
      <c r="Y90" s="2">
        <f t="shared" si="27"/>
        <v>0</v>
      </c>
      <c r="Z90" s="2">
        <f t="shared" si="28"/>
        <v>0</v>
      </c>
      <c r="AA90" s="2">
        <f t="shared" si="29"/>
        <v>0</v>
      </c>
      <c r="AB90" s="2">
        <f t="shared" si="30"/>
        <v>0</v>
      </c>
      <c r="AC90" s="2"/>
      <c r="AD90" s="2">
        <f t="shared" si="31"/>
        <v>0</v>
      </c>
      <c r="AE90" s="2">
        <f t="shared" si="32"/>
        <v>0</v>
      </c>
      <c r="AF90" s="2">
        <f t="shared" si="33"/>
        <v>0</v>
      </c>
      <c r="AG90" s="2">
        <f t="shared" si="34"/>
        <v>0</v>
      </c>
      <c r="AH90" s="2">
        <f t="shared" si="35"/>
        <v>0</v>
      </c>
      <c r="AI90" s="2">
        <f t="shared" si="36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1"/>
        <v>0</v>
      </c>
      <c r="T91" s="2">
        <f t="shared" si="22"/>
        <v>0</v>
      </c>
      <c r="U91" s="2">
        <f t="shared" si="23"/>
        <v>0</v>
      </c>
      <c r="V91" s="2">
        <f t="shared" si="24"/>
        <v>0</v>
      </c>
      <c r="W91" s="2">
        <f t="shared" si="25"/>
        <v>0</v>
      </c>
      <c r="X91" s="2">
        <f t="shared" si="26"/>
        <v>1</v>
      </c>
      <c r="Y91" s="2">
        <f t="shared" si="27"/>
        <v>0</v>
      </c>
      <c r="Z91" s="2">
        <f t="shared" si="28"/>
        <v>0</v>
      </c>
      <c r="AA91" s="2">
        <f t="shared" si="29"/>
        <v>0</v>
      </c>
      <c r="AB91" s="2">
        <f t="shared" si="30"/>
        <v>0</v>
      </c>
      <c r="AC91" s="2"/>
      <c r="AD91" s="2">
        <f t="shared" si="31"/>
        <v>0</v>
      </c>
      <c r="AE91" s="2">
        <f t="shared" si="32"/>
        <v>1</v>
      </c>
      <c r="AF91" s="2">
        <f t="shared" si="33"/>
        <v>0</v>
      </c>
      <c r="AG91" s="2">
        <f t="shared" si="34"/>
        <v>1</v>
      </c>
      <c r="AH91" s="2">
        <f t="shared" si="35"/>
        <v>0</v>
      </c>
      <c r="AI91" s="2">
        <f t="shared" si="36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1"/>
        <v>0</v>
      </c>
      <c r="T92" s="2">
        <f t="shared" si="22"/>
        <v>0</v>
      </c>
      <c r="U92" s="2">
        <f t="shared" si="23"/>
        <v>0</v>
      </c>
      <c r="V92" s="2">
        <f t="shared" si="24"/>
        <v>0</v>
      </c>
      <c r="W92" s="2">
        <f t="shared" si="25"/>
        <v>0</v>
      </c>
      <c r="X92" s="2">
        <f t="shared" si="26"/>
        <v>0</v>
      </c>
      <c r="Y92" s="2">
        <f t="shared" si="27"/>
        <v>0</v>
      </c>
      <c r="Z92" s="2">
        <f t="shared" si="28"/>
        <v>0</v>
      </c>
      <c r="AA92" s="2">
        <f t="shared" si="29"/>
        <v>0</v>
      </c>
      <c r="AB92" s="2">
        <f t="shared" si="30"/>
        <v>1</v>
      </c>
      <c r="AC92" s="2"/>
      <c r="AD92" s="2">
        <f t="shared" si="31"/>
        <v>0</v>
      </c>
      <c r="AE92" s="2">
        <f t="shared" si="32"/>
        <v>1</v>
      </c>
      <c r="AF92" s="2">
        <f t="shared" si="33"/>
        <v>0</v>
      </c>
      <c r="AG92" s="2">
        <f t="shared" si="34"/>
        <v>0</v>
      </c>
      <c r="AH92" s="2">
        <f t="shared" si="35"/>
        <v>0</v>
      </c>
      <c r="AI92" s="2">
        <f t="shared" si="36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1"/>
        <v>0</v>
      </c>
      <c r="T93" s="2">
        <f t="shared" si="22"/>
        <v>0</v>
      </c>
      <c r="U93" s="2">
        <f t="shared" si="23"/>
        <v>0</v>
      </c>
      <c r="V93" s="2">
        <f t="shared" si="24"/>
        <v>0</v>
      </c>
      <c r="W93" s="2">
        <f t="shared" si="25"/>
        <v>0</v>
      </c>
      <c r="X93" s="2">
        <f t="shared" si="26"/>
        <v>1</v>
      </c>
      <c r="Y93" s="2">
        <f t="shared" si="27"/>
        <v>0</v>
      </c>
      <c r="Z93" s="2">
        <f t="shared" si="28"/>
        <v>0</v>
      </c>
      <c r="AA93" s="2">
        <f t="shared" si="29"/>
        <v>0</v>
      </c>
      <c r="AB93" s="2">
        <f t="shared" si="30"/>
        <v>0</v>
      </c>
      <c r="AC93" s="2"/>
      <c r="AD93" s="2">
        <f t="shared" si="31"/>
        <v>0</v>
      </c>
      <c r="AE93" s="2">
        <f t="shared" si="32"/>
        <v>1</v>
      </c>
      <c r="AF93" s="2">
        <f t="shared" si="33"/>
        <v>0</v>
      </c>
      <c r="AG93" s="2">
        <f t="shared" si="34"/>
        <v>0</v>
      </c>
      <c r="AH93" s="2">
        <f t="shared" si="35"/>
        <v>0</v>
      </c>
      <c r="AI93" s="2">
        <f t="shared" si="36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1"/>
        <v>0</v>
      </c>
      <c r="T94" s="2">
        <f t="shared" si="22"/>
        <v>0</v>
      </c>
      <c r="U94" s="2">
        <f t="shared" si="23"/>
        <v>0</v>
      </c>
      <c r="V94" s="2">
        <f t="shared" si="24"/>
        <v>0</v>
      </c>
      <c r="W94" s="2">
        <f t="shared" si="25"/>
        <v>0</v>
      </c>
      <c r="X94" s="2">
        <f t="shared" si="26"/>
        <v>0</v>
      </c>
      <c r="Y94" s="2">
        <f t="shared" si="27"/>
        <v>0</v>
      </c>
      <c r="Z94" s="2">
        <f t="shared" si="28"/>
        <v>0</v>
      </c>
      <c r="AA94" s="2">
        <f t="shared" si="29"/>
        <v>0</v>
      </c>
      <c r="AB94" s="2">
        <f t="shared" si="30"/>
        <v>0</v>
      </c>
      <c r="AC94" s="2"/>
      <c r="AD94" s="2">
        <f t="shared" si="31"/>
        <v>0</v>
      </c>
      <c r="AE94" s="2">
        <f t="shared" si="32"/>
        <v>1</v>
      </c>
      <c r="AF94" s="2">
        <f t="shared" si="33"/>
        <v>0</v>
      </c>
      <c r="AG94" s="2">
        <f t="shared" si="34"/>
        <v>0</v>
      </c>
      <c r="AH94" s="2">
        <f t="shared" si="35"/>
        <v>0</v>
      </c>
      <c r="AI94" s="2">
        <f t="shared" si="36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1"/>
        <v>0</v>
      </c>
      <c r="T95" s="2">
        <f t="shared" si="22"/>
        <v>0</v>
      </c>
      <c r="U95" s="2">
        <f t="shared" si="23"/>
        <v>0</v>
      </c>
      <c r="V95" s="2">
        <f t="shared" si="24"/>
        <v>0</v>
      </c>
      <c r="W95" s="2">
        <f t="shared" si="25"/>
        <v>0</v>
      </c>
      <c r="X95" s="2">
        <f t="shared" si="26"/>
        <v>0</v>
      </c>
      <c r="Y95" s="2">
        <f t="shared" si="27"/>
        <v>0</v>
      </c>
      <c r="Z95" s="2">
        <f t="shared" si="28"/>
        <v>1</v>
      </c>
      <c r="AA95" s="2">
        <f t="shared" si="29"/>
        <v>0</v>
      </c>
      <c r="AB95" s="2">
        <f t="shared" si="30"/>
        <v>0</v>
      </c>
      <c r="AC95" s="2"/>
      <c r="AD95" s="2">
        <f t="shared" si="31"/>
        <v>0</v>
      </c>
      <c r="AE95" s="2">
        <f t="shared" si="32"/>
        <v>1</v>
      </c>
      <c r="AF95" s="2">
        <f t="shared" si="33"/>
        <v>0</v>
      </c>
      <c r="AG95" s="2">
        <f t="shared" si="34"/>
        <v>0</v>
      </c>
      <c r="AH95" s="2">
        <f t="shared" si="35"/>
        <v>0</v>
      </c>
      <c r="AI95" s="2">
        <f t="shared" si="36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1"/>
        <v>0</v>
      </c>
      <c r="T96" s="2">
        <f t="shared" si="22"/>
        <v>0</v>
      </c>
      <c r="U96" s="2">
        <f t="shared" si="23"/>
        <v>0</v>
      </c>
      <c r="V96" s="2">
        <f t="shared" si="24"/>
        <v>0</v>
      </c>
      <c r="W96" s="2">
        <f t="shared" si="25"/>
        <v>0</v>
      </c>
      <c r="X96" s="2">
        <f t="shared" si="26"/>
        <v>0</v>
      </c>
      <c r="Y96" s="2">
        <f t="shared" si="27"/>
        <v>0</v>
      </c>
      <c r="Z96" s="2">
        <f t="shared" si="28"/>
        <v>0</v>
      </c>
      <c r="AA96" s="2">
        <f t="shared" si="29"/>
        <v>0</v>
      </c>
      <c r="AB96" s="2">
        <f t="shared" si="30"/>
        <v>0</v>
      </c>
      <c r="AC96" s="2"/>
      <c r="AD96" s="2">
        <f t="shared" si="31"/>
        <v>0</v>
      </c>
      <c r="AE96" s="2">
        <f t="shared" si="32"/>
        <v>1</v>
      </c>
      <c r="AF96" s="2">
        <f t="shared" si="33"/>
        <v>0</v>
      </c>
      <c r="AG96" s="2">
        <f t="shared" si="34"/>
        <v>0</v>
      </c>
      <c r="AH96" s="2">
        <f t="shared" si="35"/>
        <v>0</v>
      </c>
      <c r="AI96" s="2">
        <f t="shared" si="36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1"/>
        <v>1</v>
      </c>
      <c r="T97" s="2">
        <f t="shared" si="22"/>
        <v>0</v>
      </c>
      <c r="U97" s="2">
        <f t="shared" si="23"/>
        <v>0</v>
      </c>
      <c r="V97" s="2">
        <f t="shared" si="24"/>
        <v>0</v>
      </c>
      <c r="W97" s="2">
        <f t="shared" si="25"/>
        <v>0</v>
      </c>
      <c r="X97" s="2">
        <f t="shared" si="26"/>
        <v>0</v>
      </c>
      <c r="Y97" s="2">
        <f t="shared" si="27"/>
        <v>0</v>
      </c>
      <c r="Z97" s="2">
        <f t="shared" si="28"/>
        <v>0</v>
      </c>
      <c r="AA97" s="2">
        <f t="shared" si="29"/>
        <v>0</v>
      </c>
      <c r="AB97" s="2">
        <f t="shared" si="30"/>
        <v>0</v>
      </c>
      <c r="AD97" s="2">
        <f t="shared" si="31"/>
        <v>1</v>
      </c>
      <c r="AE97" s="2">
        <f t="shared" si="32"/>
        <v>0</v>
      </c>
      <c r="AF97" s="2">
        <f t="shared" si="33"/>
        <v>1</v>
      </c>
      <c r="AG97" s="2">
        <f t="shared" si="34"/>
        <v>0</v>
      </c>
      <c r="AH97" s="2">
        <f t="shared" si="35"/>
        <v>1</v>
      </c>
      <c r="AI97" s="2">
        <f t="shared" si="36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1"/>
        <v>0</v>
      </c>
      <c r="T98" s="2">
        <f t="shared" si="22"/>
        <v>0</v>
      </c>
      <c r="U98" s="2">
        <f t="shared" si="23"/>
        <v>1</v>
      </c>
      <c r="V98" s="2">
        <f t="shared" si="24"/>
        <v>0</v>
      </c>
      <c r="W98" s="2">
        <f t="shared" si="25"/>
        <v>0</v>
      </c>
      <c r="X98" s="2">
        <f t="shared" si="26"/>
        <v>0</v>
      </c>
      <c r="Y98" s="2">
        <f t="shared" si="27"/>
        <v>0</v>
      </c>
      <c r="Z98" s="2">
        <f t="shared" si="28"/>
        <v>0</v>
      </c>
      <c r="AA98" s="2">
        <f t="shared" si="29"/>
        <v>0</v>
      </c>
      <c r="AB98" s="2">
        <f t="shared" si="30"/>
        <v>0</v>
      </c>
      <c r="AD98" s="2">
        <f t="shared" si="31"/>
        <v>0</v>
      </c>
      <c r="AE98" s="2">
        <f t="shared" si="32"/>
        <v>1</v>
      </c>
      <c r="AF98" s="2">
        <f t="shared" si="33"/>
        <v>0</v>
      </c>
      <c r="AG98" s="2">
        <f t="shared" si="34"/>
        <v>1</v>
      </c>
      <c r="AH98" s="2">
        <f t="shared" si="35"/>
        <v>0</v>
      </c>
      <c r="AI98" s="2">
        <f t="shared" si="36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1"/>
        <v>1</v>
      </c>
      <c r="T99" s="2">
        <f t="shared" si="22"/>
        <v>0</v>
      </c>
      <c r="U99" s="2">
        <f t="shared" si="23"/>
        <v>0</v>
      </c>
      <c r="V99" s="2">
        <f t="shared" si="24"/>
        <v>0</v>
      </c>
      <c r="W99" s="2">
        <f t="shared" si="25"/>
        <v>0</v>
      </c>
      <c r="X99" s="2">
        <f t="shared" si="26"/>
        <v>0</v>
      </c>
      <c r="Y99" s="2">
        <f t="shared" si="27"/>
        <v>0</v>
      </c>
      <c r="Z99" s="2">
        <f t="shared" si="28"/>
        <v>0</v>
      </c>
      <c r="AA99" s="2">
        <f t="shared" si="29"/>
        <v>0</v>
      </c>
      <c r="AB99" s="2">
        <f t="shared" si="30"/>
        <v>0</v>
      </c>
      <c r="AD99" s="2">
        <f t="shared" si="31"/>
        <v>0</v>
      </c>
      <c r="AE99" s="2">
        <f t="shared" si="32"/>
        <v>1</v>
      </c>
      <c r="AF99" s="2">
        <f t="shared" si="33"/>
        <v>0</v>
      </c>
      <c r="AG99" s="2">
        <f t="shared" si="34"/>
        <v>1</v>
      </c>
      <c r="AH99" s="2">
        <f t="shared" si="35"/>
        <v>0</v>
      </c>
      <c r="AI99" s="2">
        <f t="shared" si="36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1"/>
        <v>1</v>
      </c>
      <c r="T100" s="2">
        <f t="shared" si="22"/>
        <v>0</v>
      </c>
      <c r="U100" s="2">
        <f t="shared" si="23"/>
        <v>0</v>
      </c>
      <c r="V100" s="2">
        <f t="shared" si="24"/>
        <v>0</v>
      </c>
      <c r="W100" s="2">
        <f t="shared" si="25"/>
        <v>0</v>
      </c>
      <c r="X100" s="2">
        <f t="shared" si="26"/>
        <v>0</v>
      </c>
      <c r="Y100" s="2">
        <f t="shared" si="27"/>
        <v>0</v>
      </c>
      <c r="Z100" s="2">
        <f t="shared" si="28"/>
        <v>0</v>
      </c>
      <c r="AA100" s="2">
        <f t="shared" si="29"/>
        <v>0</v>
      </c>
      <c r="AB100" s="2">
        <f t="shared" si="30"/>
        <v>0</v>
      </c>
      <c r="AD100" s="2">
        <f t="shared" si="31"/>
        <v>0</v>
      </c>
      <c r="AE100" s="2">
        <f t="shared" si="32"/>
        <v>1</v>
      </c>
      <c r="AF100" s="2">
        <f t="shared" si="33"/>
        <v>0</v>
      </c>
      <c r="AG100" s="2">
        <f t="shared" si="34"/>
        <v>0</v>
      </c>
      <c r="AH100" s="2">
        <f t="shared" si="35"/>
        <v>0</v>
      </c>
      <c r="AI100" s="2">
        <f t="shared" si="36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1"/>
        <v>0</v>
      </c>
      <c r="T101" s="2">
        <f t="shared" si="22"/>
        <v>1</v>
      </c>
      <c r="U101" s="2">
        <f t="shared" si="23"/>
        <v>0</v>
      </c>
      <c r="V101" s="2">
        <f t="shared" si="24"/>
        <v>0</v>
      </c>
      <c r="W101" s="2">
        <f t="shared" si="25"/>
        <v>0</v>
      </c>
      <c r="X101" s="2">
        <f t="shared" si="26"/>
        <v>0</v>
      </c>
      <c r="Y101" s="2">
        <f t="shared" si="27"/>
        <v>0</v>
      </c>
      <c r="Z101" s="2">
        <f t="shared" si="28"/>
        <v>0</v>
      </c>
      <c r="AA101" s="2">
        <f t="shared" si="29"/>
        <v>0</v>
      </c>
      <c r="AB101" s="2">
        <f t="shared" si="30"/>
        <v>0</v>
      </c>
      <c r="AD101" s="2">
        <f t="shared" si="31"/>
        <v>0</v>
      </c>
      <c r="AE101" s="2">
        <f t="shared" si="32"/>
        <v>1</v>
      </c>
      <c r="AF101" s="2">
        <f t="shared" si="33"/>
        <v>0</v>
      </c>
      <c r="AG101" s="2">
        <f t="shared" si="34"/>
        <v>0</v>
      </c>
      <c r="AH101" s="2">
        <f t="shared" si="35"/>
        <v>0</v>
      </c>
      <c r="AI101" s="2">
        <f t="shared" si="36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1"/>
        <v>0</v>
      </c>
      <c r="T102" s="2">
        <f t="shared" si="22"/>
        <v>0</v>
      </c>
      <c r="U102" s="2">
        <f t="shared" si="23"/>
        <v>1</v>
      </c>
      <c r="V102" s="2">
        <f t="shared" si="24"/>
        <v>0</v>
      </c>
      <c r="W102" s="2">
        <f t="shared" si="25"/>
        <v>0</v>
      </c>
      <c r="X102" s="2">
        <f t="shared" si="26"/>
        <v>0</v>
      </c>
      <c r="Y102" s="2">
        <f t="shared" si="27"/>
        <v>0</v>
      </c>
      <c r="Z102" s="2">
        <f t="shared" si="28"/>
        <v>0</v>
      </c>
      <c r="AA102" s="2">
        <f t="shared" si="29"/>
        <v>0</v>
      </c>
      <c r="AB102" s="2">
        <f t="shared" si="30"/>
        <v>0</v>
      </c>
      <c r="AD102" s="2">
        <f t="shared" si="31"/>
        <v>1</v>
      </c>
      <c r="AE102" s="2">
        <f t="shared" si="32"/>
        <v>0</v>
      </c>
      <c r="AF102" s="2">
        <f t="shared" si="33"/>
        <v>1</v>
      </c>
      <c r="AG102" s="2">
        <f t="shared" si="34"/>
        <v>0</v>
      </c>
      <c r="AH102" s="2">
        <f t="shared" si="35"/>
        <v>1</v>
      </c>
      <c r="AI102" s="2">
        <f t="shared" si="36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1"/>
        <v>0</v>
      </c>
      <c r="T103" s="2">
        <f t="shared" si="22"/>
        <v>1</v>
      </c>
      <c r="U103" s="2">
        <f t="shared" si="23"/>
        <v>0</v>
      </c>
      <c r="V103" s="2">
        <f t="shared" si="24"/>
        <v>0</v>
      </c>
      <c r="W103" s="2">
        <f t="shared" si="25"/>
        <v>0</v>
      </c>
      <c r="X103" s="2">
        <f t="shared" si="26"/>
        <v>0</v>
      </c>
      <c r="Y103" s="2">
        <f t="shared" si="27"/>
        <v>0</v>
      </c>
      <c r="Z103" s="2">
        <f t="shared" si="28"/>
        <v>0</v>
      </c>
      <c r="AA103" s="2">
        <f t="shared" si="29"/>
        <v>0</v>
      </c>
      <c r="AB103" s="2">
        <f t="shared" si="30"/>
        <v>0</v>
      </c>
      <c r="AD103" s="2">
        <f t="shared" si="31"/>
        <v>1</v>
      </c>
      <c r="AE103" s="2">
        <f t="shared" si="32"/>
        <v>0</v>
      </c>
      <c r="AF103" s="2">
        <f t="shared" si="33"/>
        <v>0</v>
      </c>
      <c r="AG103" s="2">
        <f t="shared" si="34"/>
        <v>0</v>
      </c>
      <c r="AH103" s="2">
        <f t="shared" si="35"/>
        <v>0</v>
      </c>
      <c r="AI103" s="2">
        <f t="shared" si="36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1"/>
        <v>0</v>
      </c>
      <c r="T104" s="2">
        <f t="shared" si="22"/>
        <v>0</v>
      </c>
      <c r="U104" s="2">
        <f t="shared" si="23"/>
        <v>0</v>
      </c>
      <c r="V104" s="2">
        <f t="shared" si="24"/>
        <v>0</v>
      </c>
      <c r="W104" s="2">
        <f t="shared" si="25"/>
        <v>0</v>
      </c>
      <c r="X104" s="2">
        <f t="shared" si="26"/>
        <v>0</v>
      </c>
      <c r="Y104" s="2">
        <f t="shared" si="27"/>
        <v>0</v>
      </c>
      <c r="Z104" s="2">
        <f t="shared" si="28"/>
        <v>0</v>
      </c>
      <c r="AA104" s="2">
        <f t="shared" si="29"/>
        <v>0</v>
      </c>
      <c r="AB104" s="2">
        <f t="shared" si="30"/>
        <v>0</v>
      </c>
      <c r="AD104" s="2">
        <f t="shared" si="31"/>
        <v>1</v>
      </c>
      <c r="AE104" s="2">
        <f t="shared" si="32"/>
        <v>0</v>
      </c>
      <c r="AF104" s="2">
        <f t="shared" si="33"/>
        <v>0</v>
      </c>
      <c r="AG104" s="2">
        <f t="shared" si="34"/>
        <v>0</v>
      </c>
      <c r="AH104" s="2">
        <f t="shared" si="35"/>
        <v>0</v>
      </c>
      <c r="AI104" s="2">
        <f t="shared" si="36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1"/>
        <v>0</v>
      </c>
      <c r="T105" s="2">
        <f t="shared" si="22"/>
        <v>1</v>
      </c>
      <c r="U105" s="2">
        <f t="shared" si="23"/>
        <v>0</v>
      </c>
      <c r="V105" s="2">
        <f t="shared" si="24"/>
        <v>0</v>
      </c>
      <c r="W105" s="2">
        <f t="shared" si="25"/>
        <v>0</v>
      </c>
      <c r="X105" s="2">
        <f t="shared" si="26"/>
        <v>0</v>
      </c>
      <c r="Y105" s="2">
        <f t="shared" si="27"/>
        <v>0</v>
      </c>
      <c r="Z105" s="2">
        <f t="shared" si="28"/>
        <v>0</v>
      </c>
      <c r="AA105" s="2">
        <f t="shared" si="29"/>
        <v>0</v>
      </c>
      <c r="AB105" s="2">
        <f t="shared" si="30"/>
        <v>0</v>
      </c>
      <c r="AD105" s="2">
        <f t="shared" si="31"/>
        <v>1</v>
      </c>
      <c r="AE105" s="2">
        <f t="shared" si="32"/>
        <v>0</v>
      </c>
      <c r="AF105" s="2">
        <f t="shared" si="33"/>
        <v>0</v>
      </c>
      <c r="AG105" s="2">
        <f t="shared" si="34"/>
        <v>0</v>
      </c>
      <c r="AH105" s="2">
        <f t="shared" si="35"/>
        <v>0</v>
      </c>
      <c r="AI105" s="2">
        <f t="shared" si="36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918</v>
      </c>
      <c r="O106" s="34"/>
      <c r="P106" s="34"/>
      <c r="Q106" s="33"/>
      <c r="S106" s="2">
        <f t="shared" si="21"/>
        <v>0</v>
      </c>
      <c r="T106" s="2">
        <f t="shared" si="22"/>
        <v>1</v>
      </c>
      <c r="U106" s="2">
        <f t="shared" si="23"/>
        <v>0</v>
      </c>
      <c r="V106" s="2">
        <f t="shared" si="24"/>
        <v>0</v>
      </c>
      <c r="W106" s="2">
        <f t="shared" si="25"/>
        <v>0</v>
      </c>
      <c r="X106" s="2">
        <f t="shared" si="26"/>
        <v>0</v>
      </c>
      <c r="Y106" s="2">
        <f t="shared" si="27"/>
        <v>0</v>
      </c>
      <c r="Z106" s="2">
        <f t="shared" si="28"/>
        <v>0</v>
      </c>
      <c r="AA106" s="2">
        <f t="shared" si="29"/>
        <v>0</v>
      </c>
      <c r="AB106" s="2">
        <f t="shared" si="30"/>
        <v>0</v>
      </c>
      <c r="AD106" s="2">
        <f t="shared" si="31"/>
        <v>0</v>
      </c>
      <c r="AE106" s="2">
        <f t="shared" si="32"/>
        <v>0</v>
      </c>
      <c r="AF106" s="2">
        <f t="shared" si="33"/>
        <v>0</v>
      </c>
      <c r="AG106" s="2">
        <f t="shared" si="34"/>
        <v>0</v>
      </c>
      <c r="AH106" s="2">
        <f t="shared" si="35"/>
        <v>0</v>
      </c>
      <c r="AI106" s="2">
        <f t="shared" si="36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918</v>
      </c>
      <c r="O107" s="34"/>
      <c r="P107" s="34"/>
      <c r="Q107" s="33"/>
      <c r="S107" s="2">
        <f t="shared" si="21"/>
        <v>0</v>
      </c>
      <c r="T107" s="2">
        <f t="shared" si="22"/>
        <v>0</v>
      </c>
      <c r="U107" s="2">
        <f t="shared" si="23"/>
        <v>0</v>
      </c>
      <c r="V107" s="2">
        <f t="shared" si="24"/>
        <v>0</v>
      </c>
      <c r="W107" s="2">
        <f t="shared" si="25"/>
        <v>0</v>
      </c>
      <c r="X107" s="2">
        <f t="shared" si="26"/>
        <v>0</v>
      </c>
      <c r="Y107" s="2">
        <f t="shared" si="27"/>
        <v>0</v>
      </c>
      <c r="Z107" s="2">
        <f t="shared" si="28"/>
        <v>0</v>
      </c>
      <c r="AA107" s="2">
        <f t="shared" si="29"/>
        <v>0</v>
      </c>
      <c r="AB107" s="2">
        <f t="shared" si="30"/>
        <v>0</v>
      </c>
      <c r="AD107" s="2">
        <f t="shared" si="31"/>
        <v>0</v>
      </c>
      <c r="AE107" s="2">
        <f t="shared" si="32"/>
        <v>0</v>
      </c>
      <c r="AF107" s="2">
        <f t="shared" si="33"/>
        <v>0</v>
      </c>
      <c r="AG107" s="2">
        <f t="shared" si="34"/>
        <v>0</v>
      </c>
      <c r="AH107" s="2">
        <f t="shared" si="35"/>
        <v>0</v>
      </c>
      <c r="AI107" s="2">
        <f t="shared" si="36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935</v>
      </c>
      <c r="E108" s="30" t="s">
        <v>32</v>
      </c>
      <c r="F108" s="30" t="s">
        <v>936</v>
      </c>
      <c r="G108" s="30"/>
      <c r="H108" s="30" t="s">
        <v>165</v>
      </c>
      <c r="I108" s="29" t="s">
        <v>937</v>
      </c>
      <c r="J108" s="29"/>
      <c r="K108" s="29" t="s">
        <v>376</v>
      </c>
      <c r="L108" s="29">
        <v>30</v>
      </c>
      <c r="M108" s="30" t="s">
        <v>938</v>
      </c>
      <c r="N108" s="30" t="s">
        <v>882</v>
      </c>
      <c r="O108" s="31">
        <v>1</v>
      </c>
      <c r="P108" s="31">
        <v>1</v>
      </c>
      <c r="Q108" s="30"/>
      <c r="S108" s="2">
        <f t="shared" si="21"/>
        <v>0</v>
      </c>
      <c r="T108" s="2">
        <f t="shared" si="22"/>
        <v>0</v>
      </c>
      <c r="U108" s="2">
        <f t="shared" si="23"/>
        <v>0</v>
      </c>
      <c r="V108" s="2">
        <f t="shared" si="24"/>
        <v>0</v>
      </c>
      <c r="W108" s="2">
        <f t="shared" si="25"/>
        <v>0</v>
      </c>
      <c r="X108" s="2">
        <f t="shared" si="26"/>
        <v>0</v>
      </c>
      <c r="Y108" s="2">
        <f t="shared" si="27"/>
        <v>0</v>
      </c>
      <c r="Z108" s="2">
        <f t="shared" si="28"/>
        <v>0</v>
      </c>
      <c r="AA108" s="2">
        <f t="shared" si="29"/>
        <v>0</v>
      </c>
      <c r="AB108" s="2">
        <f t="shared" si="30"/>
        <v>0</v>
      </c>
      <c r="AD108" s="2">
        <f t="shared" si="31"/>
        <v>1</v>
      </c>
      <c r="AE108" s="2">
        <f t="shared" si="32"/>
        <v>0</v>
      </c>
      <c r="AF108" s="2">
        <f t="shared" si="33"/>
        <v>1</v>
      </c>
      <c r="AG108" s="2">
        <f t="shared" si="34"/>
        <v>0</v>
      </c>
      <c r="AH108" s="2">
        <f t="shared" si="35"/>
        <v>1</v>
      </c>
      <c r="AI108" s="2">
        <f t="shared" si="36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950</v>
      </c>
      <c r="E109" s="33" t="s">
        <v>32</v>
      </c>
      <c r="F109" s="33" t="s">
        <v>951</v>
      </c>
      <c r="G109" s="33" t="s">
        <v>130</v>
      </c>
      <c r="H109" s="33" t="s">
        <v>165</v>
      </c>
      <c r="I109" s="32" t="s">
        <v>952</v>
      </c>
      <c r="J109" s="32">
        <v>10</v>
      </c>
      <c r="K109" s="32" t="s">
        <v>376</v>
      </c>
      <c r="L109" s="32">
        <v>40</v>
      </c>
      <c r="M109" s="33" t="s">
        <v>991</v>
      </c>
      <c r="N109" s="33" t="s">
        <v>898</v>
      </c>
      <c r="O109" s="34"/>
      <c r="P109" s="34"/>
      <c r="Q109" s="33"/>
      <c r="S109" s="2">
        <f t="shared" si="21"/>
        <v>0</v>
      </c>
      <c r="T109" s="2">
        <f t="shared" si="22"/>
        <v>0</v>
      </c>
      <c r="U109" s="2">
        <f t="shared" si="23"/>
        <v>0</v>
      </c>
      <c r="V109" s="2">
        <f t="shared" si="24"/>
        <v>0</v>
      </c>
      <c r="W109" s="2">
        <f t="shared" si="25"/>
        <v>0</v>
      </c>
      <c r="X109" s="2">
        <f t="shared" si="26"/>
        <v>0</v>
      </c>
      <c r="Y109" s="2">
        <f t="shared" si="27"/>
        <v>0</v>
      </c>
      <c r="Z109" s="2">
        <f t="shared" si="28"/>
        <v>0</v>
      </c>
      <c r="AA109" s="2">
        <f t="shared" si="29"/>
        <v>0</v>
      </c>
      <c r="AB109" s="2">
        <f t="shared" si="30"/>
        <v>1</v>
      </c>
      <c r="AD109" s="2">
        <f t="shared" si="31"/>
        <v>0</v>
      </c>
      <c r="AE109" s="2">
        <f t="shared" si="32"/>
        <v>0</v>
      </c>
      <c r="AF109" s="2">
        <f t="shared" si="33"/>
        <v>0</v>
      </c>
      <c r="AG109" s="2">
        <f t="shared" si="34"/>
        <v>0</v>
      </c>
      <c r="AH109" s="2">
        <f t="shared" si="35"/>
        <v>0</v>
      </c>
      <c r="AI109" s="2">
        <f t="shared" si="36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992</v>
      </c>
      <c r="N110" s="30" t="s">
        <v>895</v>
      </c>
      <c r="O110" s="31">
        <v>1</v>
      </c>
      <c r="P110" s="31"/>
      <c r="Q110" s="30"/>
      <c r="S110" s="2">
        <f t="shared" si="21"/>
        <v>1</v>
      </c>
      <c r="T110" s="2">
        <f t="shared" si="22"/>
        <v>0</v>
      </c>
      <c r="U110" s="2">
        <f t="shared" si="23"/>
        <v>0</v>
      </c>
      <c r="V110" s="2">
        <f t="shared" si="24"/>
        <v>0</v>
      </c>
      <c r="W110" s="2">
        <f t="shared" si="25"/>
        <v>0</v>
      </c>
      <c r="X110" s="2">
        <f t="shared" si="26"/>
        <v>0</v>
      </c>
      <c r="Y110" s="2">
        <f t="shared" si="27"/>
        <v>0</v>
      </c>
      <c r="Z110" s="2">
        <f t="shared" si="28"/>
        <v>0</v>
      </c>
      <c r="AA110" s="2">
        <f t="shared" si="29"/>
        <v>0</v>
      </c>
      <c r="AB110" s="2">
        <f t="shared" si="30"/>
        <v>0</v>
      </c>
      <c r="AD110" s="2">
        <f t="shared" si="31"/>
        <v>0</v>
      </c>
      <c r="AE110" s="2">
        <f t="shared" si="32"/>
        <v>1</v>
      </c>
      <c r="AF110" s="2">
        <f t="shared" si="33"/>
        <v>0</v>
      </c>
      <c r="AG110" s="2">
        <f t="shared" si="34"/>
        <v>1</v>
      </c>
      <c r="AH110" s="2">
        <f t="shared" si="35"/>
        <v>0</v>
      </c>
      <c r="AI110" s="2">
        <f t="shared" si="36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1"/>
        <v>0</v>
      </c>
      <c r="T111" s="2">
        <f t="shared" si="22"/>
        <v>0</v>
      </c>
      <c r="U111" s="2">
        <f t="shared" si="23"/>
        <v>0</v>
      </c>
      <c r="V111" s="2">
        <f t="shared" si="24"/>
        <v>0</v>
      </c>
      <c r="W111" s="2">
        <f t="shared" si="25"/>
        <v>0</v>
      </c>
      <c r="X111" s="2">
        <f t="shared" si="26"/>
        <v>0</v>
      </c>
      <c r="Y111" s="2">
        <f t="shared" si="27"/>
        <v>0</v>
      </c>
      <c r="Z111" s="2">
        <f t="shared" si="28"/>
        <v>0</v>
      </c>
      <c r="AA111" s="2">
        <f t="shared" si="29"/>
        <v>0</v>
      </c>
      <c r="AB111" s="2">
        <f t="shared" si="30"/>
        <v>0</v>
      </c>
      <c r="AD111" s="2">
        <f t="shared" si="31"/>
        <v>0</v>
      </c>
      <c r="AE111" s="2">
        <f t="shared" si="32"/>
        <v>1</v>
      </c>
      <c r="AF111" s="2">
        <f t="shared" si="33"/>
        <v>0</v>
      </c>
      <c r="AG111" s="2">
        <f t="shared" si="34"/>
        <v>1</v>
      </c>
      <c r="AH111" s="2">
        <f t="shared" si="35"/>
        <v>0</v>
      </c>
      <c r="AI111" s="2">
        <f t="shared" si="36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1"/>
        <v>0</v>
      </c>
      <c r="T112" s="2">
        <f t="shared" si="22"/>
        <v>0</v>
      </c>
      <c r="U112" s="2">
        <f t="shared" si="23"/>
        <v>0</v>
      </c>
      <c r="V112" s="2">
        <f t="shared" si="24"/>
        <v>0</v>
      </c>
      <c r="W112" s="2">
        <f t="shared" si="25"/>
        <v>0</v>
      </c>
      <c r="X112" s="2">
        <f t="shared" si="26"/>
        <v>0</v>
      </c>
      <c r="Y112" s="2">
        <f t="shared" si="27"/>
        <v>0</v>
      </c>
      <c r="Z112" s="2">
        <f t="shared" si="28"/>
        <v>0</v>
      </c>
      <c r="AA112" s="2">
        <f t="shared" si="29"/>
        <v>0</v>
      </c>
      <c r="AB112" s="2">
        <f t="shared" si="30"/>
        <v>0</v>
      </c>
      <c r="AD112" s="2">
        <f t="shared" si="31"/>
        <v>0</v>
      </c>
      <c r="AE112" s="2">
        <f t="shared" si="32"/>
        <v>1</v>
      </c>
      <c r="AF112" s="2">
        <f t="shared" si="33"/>
        <v>0</v>
      </c>
      <c r="AG112" s="2">
        <f t="shared" si="34"/>
        <v>0</v>
      </c>
      <c r="AH112" s="2">
        <f t="shared" si="35"/>
        <v>0</v>
      </c>
      <c r="AI112" s="2">
        <f t="shared" si="36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953</v>
      </c>
      <c r="E113" s="21" t="s">
        <v>32</v>
      </c>
      <c r="F113" s="21" t="s">
        <v>954</v>
      </c>
      <c r="G113" s="21" t="s">
        <v>401</v>
      </c>
      <c r="H113" s="21" t="s">
        <v>165</v>
      </c>
      <c r="I113" s="20" t="s">
        <v>955</v>
      </c>
      <c r="J113" s="20"/>
      <c r="K113" s="20" t="s">
        <v>376</v>
      </c>
      <c r="L113" s="20">
        <v>50</v>
      </c>
      <c r="M113" s="21" t="s">
        <v>956</v>
      </c>
      <c r="N113" s="21"/>
      <c r="O113" s="7"/>
      <c r="P113" s="7"/>
      <c r="Q113" s="21"/>
      <c r="S113" s="2">
        <f t="shared" si="21"/>
        <v>0</v>
      </c>
      <c r="T113" s="2">
        <f t="shared" si="22"/>
        <v>0</v>
      </c>
      <c r="U113" s="2">
        <f t="shared" si="23"/>
        <v>0</v>
      </c>
      <c r="V113" s="2">
        <f t="shared" si="24"/>
        <v>0</v>
      </c>
      <c r="W113" s="2">
        <f t="shared" si="25"/>
        <v>0</v>
      </c>
      <c r="X113" s="2">
        <f t="shared" si="26"/>
        <v>0</v>
      </c>
      <c r="Y113" s="2">
        <f t="shared" si="27"/>
        <v>0</v>
      </c>
      <c r="Z113" s="2">
        <f t="shared" si="28"/>
        <v>0</v>
      </c>
      <c r="AA113" s="2">
        <f t="shared" si="29"/>
        <v>0</v>
      </c>
      <c r="AB113" s="2">
        <f t="shared" si="30"/>
        <v>0</v>
      </c>
      <c r="AD113" s="2">
        <f t="shared" si="31"/>
        <v>0</v>
      </c>
      <c r="AE113" s="2">
        <f t="shared" si="32"/>
        <v>0</v>
      </c>
      <c r="AF113" s="2">
        <f t="shared" si="33"/>
        <v>0</v>
      </c>
      <c r="AG113" s="2">
        <f t="shared" si="34"/>
        <v>0</v>
      </c>
      <c r="AH113" s="2">
        <f t="shared" si="35"/>
        <v>0</v>
      </c>
      <c r="AI113" s="2">
        <f t="shared" si="36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1"/>
        <v>0</v>
      </c>
      <c r="T114" s="2">
        <f t="shared" si="22"/>
        <v>0</v>
      </c>
      <c r="U114" s="2">
        <f t="shared" si="23"/>
        <v>0</v>
      </c>
      <c r="V114" s="2">
        <f t="shared" si="24"/>
        <v>0</v>
      </c>
      <c r="W114" s="2">
        <f t="shared" si="25"/>
        <v>0</v>
      </c>
      <c r="X114" s="2">
        <f t="shared" si="26"/>
        <v>0</v>
      </c>
      <c r="Y114" s="2">
        <f t="shared" si="27"/>
        <v>0</v>
      </c>
      <c r="Z114" s="2">
        <f t="shared" si="28"/>
        <v>0</v>
      </c>
      <c r="AA114" s="2">
        <f t="shared" si="29"/>
        <v>0</v>
      </c>
      <c r="AB114" s="2">
        <f t="shared" si="30"/>
        <v>0</v>
      </c>
      <c r="AD114" s="2">
        <f t="shared" si="31"/>
        <v>1</v>
      </c>
      <c r="AE114" s="2">
        <f t="shared" si="32"/>
        <v>0</v>
      </c>
      <c r="AF114" s="2">
        <f t="shared" si="33"/>
        <v>1</v>
      </c>
      <c r="AG114" s="2">
        <f t="shared" si="34"/>
        <v>0</v>
      </c>
      <c r="AH114" s="2">
        <f t="shared" si="35"/>
        <v>1</v>
      </c>
      <c r="AI114" s="2">
        <f t="shared" si="36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1"/>
        <v>1</v>
      </c>
      <c r="T115" s="2">
        <f t="shared" si="22"/>
        <v>0</v>
      </c>
      <c r="U115" s="2">
        <f t="shared" si="23"/>
        <v>0</v>
      </c>
      <c r="V115" s="2">
        <f t="shared" si="24"/>
        <v>0</v>
      </c>
      <c r="W115" s="2">
        <f t="shared" si="25"/>
        <v>0</v>
      </c>
      <c r="X115" s="2">
        <f t="shared" si="26"/>
        <v>0</v>
      </c>
      <c r="Y115" s="2">
        <f t="shared" si="27"/>
        <v>0</v>
      </c>
      <c r="Z115" s="2">
        <f t="shared" si="28"/>
        <v>0</v>
      </c>
      <c r="AA115" s="2">
        <f t="shared" si="29"/>
        <v>0</v>
      </c>
      <c r="AB115" s="2">
        <f t="shared" si="30"/>
        <v>0</v>
      </c>
      <c r="AD115" s="2">
        <f t="shared" si="31"/>
        <v>1</v>
      </c>
      <c r="AE115" s="2">
        <f t="shared" si="32"/>
        <v>0</v>
      </c>
      <c r="AF115" s="2">
        <f t="shared" si="33"/>
        <v>0</v>
      </c>
      <c r="AG115" s="2">
        <f t="shared" si="34"/>
        <v>0</v>
      </c>
      <c r="AH115" s="2">
        <f t="shared" si="35"/>
        <v>0</v>
      </c>
      <c r="AI115" s="2">
        <f t="shared" si="36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995</v>
      </c>
      <c r="E116" s="30" t="s">
        <v>44</v>
      </c>
      <c r="F116" s="30" t="s">
        <v>979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980</v>
      </c>
      <c r="S116" s="2">
        <f t="shared" si="21"/>
        <v>1</v>
      </c>
      <c r="T116" s="2">
        <f t="shared" si="22"/>
        <v>0</v>
      </c>
      <c r="U116" s="2">
        <f t="shared" si="23"/>
        <v>0</v>
      </c>
      <c r="V116" s="2">
        <f t="shared" si="24"/>
        <v>0</v>
      </c>
      <c r="W116" s="2">
        <f t="shared" si="25"/>
        <v>0</v>
      </c>
      <c r="X116" s="2">
        <f t="shared" si="26"/>
        <v>0</v>
      </c>
      <c r="Y116" s="2">
        <f t="shared" si="27"/>
        <v>0</v>
      </c>
      <c r="Z116" s="2">
        <f t="shared" si="28"/>
        <v>0</v>
      </c>
      <c r="AA116" s="2">
        <f t="shared" si="29"/>
        <v>0</v>
      </c>
      <c r="AB116" s="2">
        <f t="shared" si="30"/>
        <v>0</v>
      </c>
      <c r="AD116" s="2">
        <f t="shared" si="31"/>
        <v>1</v>
      </c>
      <c r="AE116" s="2">
        <f t="shared" si="32"/>
        <v>0</v>
      </c>
      <c r="AF116" s="2">
        <f t="shared" si="33"/>
        <v>1</v>
      </c>
      <c r="AG116" s="2">
        <f t="shared" si="34"/>
        <v>0</v>
      </c>
      <c r="AH116" s="2">
        <f t="shared" si="35"/>
        <v>1</v>
      </c>
      <c r="AI116" s="2">
        <f t="shared" si="36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931</v>
      </c>
      <c r="N117" s="21"/>
      <c r="O117" s="7"/>
      <c r="P117" s="7"/>
      <c r="Q117" s="21"/>
      <c r="S117" s="2">
        <f t="shared" si="21"/>
        <v>0</v>
      </c>
      <c r="T117" s="2">
        <f t="shared" si="22"/>
        <v>0</v>
      </c>
      <c r="U117" s="2">
        <f t="shared" si="23"/>
        <v>0</v>
      </c>
      <c r="V117" s="2">
        <f t="shared" si="24"/>
        <v>0</v>
      </c>
      <c r="W117" s="2">
        <f t="shared" si="25"/>
        <v>0</v>
      </c>
      <c r="X117" s="2">
        <f t="shared" si="26"/>
        <v>0</v>
      </c>
      <c r="Y117" s="2">
        <f t="shared" si="27"/>
        <v>0</v>
      </c>
      <c r="Z117" s="2">
        <f t="shared" si="28"/>
        <v>0</v>
      </c>
      <c r="AA117" s="2">
        <f t="shared" si="29"/>
        <v>0</v>
      </c>
      <c r="AB117" s="2">
        <f t="shared" si="30"/>
        <v>0</v>
      </c>
      <c r="AD117" s="2">
        <f t="shared" si="31"/>
        <v>0</v>
      </c>
      <c r="AE117" s="2">
        <f t="shared" si="32"/>
        <v>0</v>
      </c>
      <c r="AF117" s="2">
        <f t="shared" si="33"/>
        <v>0</v>
      </c>
      <c r="AG117" s="2">
        <f t="shared" si="34"/>
        <v>0</v>
      </c>
      <c r="AH117" s="2">
        <f t="shared" si="35"/>
        <v>0</v>
      </c>
      <c r="AI117" s="2">
        <f t="shared" si="36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1"/>
        <v>0</v>
      </c>
      <c r="T118" s="2">
        <f t="shared" si="22"/>
        <v>1</v>
      </c>
      <c r="U118" s="2">
        <f t="shared" si="23"/>
        <v>0</v>
      </c>
      <c r="V118" s="2">
        <f t="shared" si="24"/>
        <v>0</v>
      </c>
      <c r="W118" s="2">
        <f t="shared" si="25"/>
        <v>0</v>
      </c>
      <c r="X118" s="2">
        <f t="shared" si="26"/>
        <v>0</v>
      </c>
      <c r="Y118" s="2">
        <f t="shared" si="27"/>
        <v>0</v>
      </c>
      <c r="Z118" s="2">
        <f t="shared" si="28"/>
        <v>0</v>
      </c>
      <c r="AA118" s="2">
        <f t="shared" si="29"/>
        <v>0</v>
      </c>
      <c r="AB118" s="2">
        <f t="shared" si="30"/>
        <v>0</v>
      </c>
      <c r="AD118" s="2">
        <f t="shared" si="31"/>
        <v>1</v>
      </c>
      <c r="AE118" s="2">
        <f t="shared" si="32"/>
        <v>0</v>
      </c>
      <c r="AF118" s="2">
        <f t="shared" si="33"/>
        <v>1</v>
      </c>
      <c r="AG118" s="2">
        <f t="shared" si="34"/>
        <v>0</v>
      </c>
      <c r="AH118" s="2">
        <f t="shared" si="35"/>
        <v>1</v>
      </c>
      <c r="AI118" s="2">
        <f t="shared" si="36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1"/>
        <v>0</v>
      </c>
      <c r="T119" s="2">
        <f t="shared" si="22"/>
        <v>0</v>
      </c>
      <c r="U119" s="2">
        <f t="shared" si="23"/>
        <v>0</v>
      </c>
      <c r="V119" s="2">
        <f t="shared" si="24"/>
        <v>0</v>
      </c>
      <c r="W119" s="2">
        <f t="shared" si="25"/>
        <v>0</v>
      </c>
      <c r="X119" s="2">
        <f t="shared" si="26"/>
        <v>0</v>
      </c>
      <c r="Y119" s="2">
        <f t="shared" si="27"/>
        <v>0</v>
      </c>
      <c r="Z119" s="2">
        <f t="shared" si="28"/>
        <v>0</v>
      </c>
      <c r="AA119" s="2">
        <f t="shared" si="29"/>
        <v>0</v>
      </c>
      <c r="AB119" s="2">
        <f t="shared" si="30"/>
        <v>0</v>
      </c>
      <c r="AD119" s="2">
        <f t="shared" si="31"/>
        <v>1</v>
      </c>
      <c r="AE119" s="2">
        <f t="shared" si="32"/>
        <v>0</v>
      </c>
      <c r="AF119" s="2">
        <f t="shared" si="33"/>
        <v>1</v>
      </c>
      <c r="AG119" s="2">
        <f t="shared" si="34"/>
        <v>0</v>
      </c>
      <c r="AH119" s="2">
        <f t="shared" si="35"/>
        <v>1</v>
      </c>
      <c r="AI119" s="2">
        <f t="shared" si="36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1"/>
        <v>0</v>
      </c>
      <c r="T120" s="2">
        <f t="shared" si="22"/>
        <v>1</v>
      </c>
      <c r="U120" s="2">
        <f t="shared" si="23"/>
        <v>0</v>
      </c>
      <c r="V120" s="2">
        <f t="shared" si="24"/>
        <v>0</v>
      </c>
      <c r="W120" s="2">
        <f t="shared" si="25"/>
        <v>0</v>
      </c>
      <c r="X120" s="2">
        <f t="shared" si="26"/>
        <v>0</v>
      </c>
      <c r="Y120" s="2">
        <f t="shared" si="27"/>
        <v>0</v>
      </c>
      <c r="Z120" s="2">
        <f t="shared" si="28"/>
        <v>0</v>
      </c>
      <c r="AA120" s="2">
        <f t="shared" si="29"/>
        <v>0</v>
      </c>
      <c r="AB120" s="2">
        <f t="shared" si="30"/>
        <v>0</v>
      </c>
      <c r="AD120" s="2">
        <f t="shared" si="31"/>
        <v>1</v>
      </c>
      <c r="AE120" s="2">
        <f t="shared" si="32"/>
        <v>0</v>
      </c>
      <c r="AF120" s="2">
        <f t="shared" si="33"/>
        <v>0</v>
      </c>
      <c r="AG120" s="2">
        <f t="shared" si="34"/>
        <v>0</v>
      </c>
      <c r="AH120" s="2">
        <f t="shared" si="35"/>
        <v>0</v>
      </c>
      <c r="AI120" s="2">
        <f t="shared" si="36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1"/>
        <v>0</v>
      </c>
      <c r="T121" s="2">
        <f t="shared" si="22"/>
        <v>0</v>
      </c>
      <c r="U121" s="2">
        <f t="shared" si="23"/>
        <v>0</v>
      </c>
      <c r="V121" s="2">
        <f t="shared" si="24"/>
        <v>0</v>
      </c>
      <c r="W121" s="2">
        <f t="shared" si="25"/>
        <v>0</v>
      </c>
      <c r="X121" s="2">
        <f t="shared" si="26"/>
        <v>0</v>
      </c>
      <c r="Y121" s="2">
        <f t="shared" si="27"/>
        <v>0</v>
      </c>
      <c r="Z121" s="2">
        <f t="shared" si="28"/>
        <v>0</v>
      </c>
      <c r="AA121" s="2">
        <f t="shared" si="29"/>
        <v>0</v>
      </c>
      <c r="AB121" s="2">
        <f t="shared" si="30"/>
        <v>0</v>
      </c>
      <c r="AD121" s="2">
        <f t="shared" si="31"/>
        <v>1</v>
      </c>
      <c r="AE121" s="2">
        <f t="shared" si="32"/>
        <v>0</v>
      </c>
      <c r="AF121" s="2">
        <f t="shared" si="33"/>
        <v>0</v>
      </c>
      <c r="AG121" s="2">
        <f t="shared" si="34"/>
        <v>0</v>
      </c>
      <c r="AH121" s="2">
        <f t="shared" si="35"/>
        <v>0</v>
      </c>
      <c r="AI121" s="2">
        <f t="shared" si="36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1"/>
        <v>0</v>
      </c>
      <c r="T122" s="2">
        <f t="shared" si="22"/>
        <v>0</v>
      </c>
      <c r="U122" s="2">
        <f t="shared" si="23"/>
        <v>0</v>
      </c>
      <c r="V122" s="2">
        <f t="shared" si="24"/>
        <v>0</v>
      </c>
      <c r="W122" s="2">
        <f t="shared" si="25"/>
        <v>0</v>
      </c>
      <c r="X122" s="2">
        <f t="shared" si="26"/>
        <v>0</v>
      </c>
      <c r="Y122" s="2">
        <f t="shared" si="27"/>
        <v>0</v>
      </c>
      <c r="Z122" s="2">
        <f t="shared" si="28"/>
        <v>0</v>
      </c>
      <c r="AA122" s="2">
        <f t="shared" si="29"/>
        <v>0</v>
      </c>
      <c r="AB122" s="2">
        <f t="shared" si="30"/>
        <v>0</v>
      </c>
      <c r="AD122" s="2">
        <f t="shared" si="31"/>
        <v>1</v>
      </c>
      <c r="AE122" s="2">
        <f t="shared" si="32"/>
        <v>0</v>
      </c>
      <c r="AF122" s="2">
        <f t="shared" si="33"/>
        <v>0</v>
      </c>
      <c r="AG122" s="2">
        <f t="shared" si="34"/>
        <v>0</v>
      </c>
      <c r="AH122" s="2">
        <f t="shared" si="35"/>
        <v>0</v>
      </c>
      <c r="AI122" s="2">
        <f t="shared" si="36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1"/>
        <v>0</v>
      </c>
      <c r="T123" s="2">
        <f t="shared" si="22"/>
        <v>0</v>
      </c>
      <c r="U123" s="2">
        <f t="shared" si="23"/>
        <v>1</v>
      </c>
      <c r="V123" s="2">
        <f t="shared" si="24"/>
        <v>0</v>
      </c>
      <c r="W123" s="2">
        <f t="shared" si="25"/>
        <v>0</v>
      </c>
      <c r="X123" s="2">
        <f t="shared" si="26"/>
        <v>0</v>
      </c>
      <c r="Y123" s="2">
        <f t="shared" si="27"/>
        <v>0</v>
      </c>
      <c r="Z123" s="2">
        <f t="shared" si="28"/>
        <v>0</v>
      </c>
      <c r="AA123" s="2">
        <f t="shared" si="29"/>
        <v>0</v>
      </c>
      <c r="AB123" s="2">
        <f t="shared" si="30"/>
        <v>0</v>
      </c>
      <c r="AD123" s="2">
        <f t="shared" si="31"/>
        <v>1</v>
      </c>
      <c r="AE123" s="2">
        <f t="shared" si="32"/>
        <v>0</v>
      </c>
      <c r="AF123" s="2">
        <f t="shared" si="33"/>
        <v>0</v>
      </c>
      <c r="AG123" s="2">
        <f t="shared" si="34"/>
        <v>0</v>
      </c>
      <c r="AH123" s="2">
        <f t="shared" si="35"/>
        <v>0</v>
      </c>
      <c r="AI123" s="2">
        <f t="shared" si="36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1"/>
        <v>0</v>
      </c>
      <c r="T124" s="2">
        <f t="shared" si="22"/>
        <v>0</v>
      </c>
      <c r="U124" s="2">
        <f t="shared" si="23"/>
        <v>0</v>
      </c>
      <c r="V124" s="2">
        <f t="shared" si="24"/>
        <v>0</v>
      </c>
      <c r="W124" s="2">
        <f t="shared" si="25"/>
        <v>0</v>
      </c>
      <c r="X124" s="2">
        <f t="shared" si="26"/>
        <v>0</v>
      </c>
      <c r="Y124" s="2">
        <f t="shared" si="27"/>
        <v>0</v>
      </c>
      <c r="Z124" s="2">
        <f t="shared" si="28"/>
        <v>0</v>
      </c>
      <c r="AA124" s="2">
        <f t="shared" si="29"/>
        <v>0</v>
      </c>
      <c r="AB124" s="2">
        <f t="shared" si="30"/>
        <v>0</v>
      </c>
      <c r="AD124" s="2">
        <f t="shared" si="31"/>
        <v>0</v>
      </c>
      <c r="AE124" s="2">
        <f t="shared" si="32"/>
        <v>1</v>
      </c>
      <c r="AF124" s="2">
        <f t="shared" si="33"/>
        <v>0</v>
      </c>
      <c r="AG124" s="2">
        <f t="shared" si="34"/>
        <v>1</v>
      </c>
      <c r="AH124" s="2">
        <f t="shared" si="35"/>
        <v>0</v>
      </c>
      <c r="AI124" s="2">
        <f t="shared" si="36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925</v>
      </c>
      <c r="E125" s="30" t="s">
        <v>468</v>
      </c>
      <c r="F125" s="30" t="s">
        <v>926</v>
      </c>
      <c r="G125" s="30" t="s">
        <v>38</v>
      </c>
      <c r="H125" s="30" t="s">
        <v>165</v>
      </c>
      <c r="I125" s="29" t="s">
        <v>927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1"/>
        <v>1</v>
      </c>
      <c r="T125" s="2">
        <f t="shared" si="22"/>
        <v>0</v>
      </c>
      <c r="U125" s="2">
        <f t="shared" si="23"/>
        <v>0</v>
      </c>
      <c r="V125" s="2">
        <f t="shared" si="24"/>
        <v>0</v>
      </c>
      <c r="W125" s="2">
        <f t="shared" si="25"/>
        <v>0</v>
      </c>
      <c r="X125" s="2">
        <f t="shared" si="26"/>
        <v>0</v>
      </c>
      <c r="Y125" s="2">
        <f t="shared" si="27"/>
        <v>0</v>
      </c>
      <c r="Z125" s="2">
        <f t="shared" si="28"/>
        <v>0</v>
      </c>
      <c r="AA125" s="2">
        <f t="shared" si="29"/>
        <v>0</v>
      </c>
      <c r="AB125" s="2">
        <f t="shared" si="30"/>
        <v>0</v>
      </c>
      <c r="AD125" s="2">
        <f t="shared" si="31"/>
        <v>1</v>
      </c>
      <c r="AE125" s="2">
        <f t="shared" si="32"/>
        <v>0</v>
      </c>
      <c r="AF125" s="2">
        <f t="shared" si="33"/>
        <v>1</v>
      </c>
      <c r="AG125" s="2">
        <f t="shared" si="34"/>
        <v>0</v>
      </c>
      <c r="AH125" s="2">
        <f t="shared" si="35"/>
        <v>1</v>
      </c>
      <c r="AI125" s="2">
        <f t="shared" si="36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1"/>
        <v>0</v>
      </c>
      <c r="T126" s="2">
        <f t="shared" si="22"/>
        <v>0</v>
      </c>
      <c r="U126" s="2">
        <f t="shared" si="23"/>
        <v>0</v>
      </c>
      <c r="V126" s="2">
        <f t="shared" si="24"/>
        <v>0</v>
      </c>
      <c r="W126" s="2">
        <f t="shared" si="25"/>
        <v>0</v>
      </c>
      <c r="X126" s="2">
        <f t="shared" si="26"/>
        <v>0</v>
      </c>
      <c r="Y126" s="2">
        <f t="shared" si="27"/>
        <v>0</v>
      </c>
      <c r="Z126" s="2">
        <f t="shared" si="28"/>
        <v>0</v>
      </c>
      <c r="AA126" s="2">
        <f t="shared" si="29"/>
        <v>0</v>
      </c>
      <c r="AB126" s="2">
        <f t="shared" si="30"/>
        <v>0</v>
      </c>
      <c r="AD126" s="2">
        <f t="shared" si="31"/>
        <v>1</v>
      </c>
      <c r="AE126" s="2">
        <f t="shared" si="32"/>
        <v>0</v>
      </c>
      <c r="AF126" s="2">
        <f t="shared" si="33"/>
        <v>1</v>
      </c>
      <c r="AG126" s="2">
        <f t="shared" si="34"/>
        <v>0</v>
      </c>
      <c r="AH126" s="2">
        <f t="shared" si="35"/>
        <v>1</v>
      </c>
      <c r="AI126" s="2">
        <f t="shared" si="36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996</v>
      </c>
      <c r="G127" s="30" t="s">
        <v>997</v>
      </c>
      <c r="H127" s="30" t="s">
        <v>165</v>
      </c>
      <c r="I127" s="29" t="s">
        <v>998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7">IF(J127=$S$7,1,0)</f>
        <v>0</v>
      </c>
      <c r="T127" s="2">
        <f t="shared" ref="T127" si="38">IF(J127=$T$7,1,0)</f>
        <v>0</v>
      </c>
      <c r="U127" s="2">
        <f t="shared" ref="U127" si="39">IF(J127=$U$7,1,0)</f>
        <v>0</v>
      </c>
      <c r="V127" s="2">
        <f t="shared" ref="V127" si="40">IF(J127=$V$7,1,0)</f>
        <v>0</v>
      </c>
      <c r="W127" s="2">
        <f t="shared" ref="W127" si="41">IF(J127=$W$7,1,0)</f>
        <v>0</v>
      </c>
      <c r="X127" s="2">
        <f t="shared" ref="X127" si="42">IF(J127=$X$7,1,0)</f>
        <v>0</v>
      </c>
      <c r="Y127" s="2">
        <f t="shared" ref="Y127" si="43">IF(J127=$Y$7,1,0)</f>
        <v>0</v>
      </c>
      <c r="Z127" s="2">
        <f t="shared" ref="Z127" si="44">IF(J127=$Z$7,1,0)</f>
        <v>0</v>
      </c>
      <c r="AA127" s="2">
        <f t="shared" ref="AA127" si="45">IF(J127=$AA$7,1,0)</f>
        <v>0</v>
      </c>
      <c r="AB127" s="2">
        <f t="shared" ref="AB127" si="46">IF(J127=$AB$7,1,0)</f>
        <v>0</v>
      </c>
      <c r="AD127" s="2">
        <f t="shared" ref="AD127" si="47">+O127*P127</f>
        <v>1</v>
      </c>
      <c r="AE127" s="2">
        <f t="shared" ref="AE127" si="48">O127*(1-P127)</f>
        <v>0</v>
      </c>
      <c r="AF127" s="2">
        <f t="shared" ref="AF127" si="49">+O127*P127*(1-A127)</f>
        <v>0</v>
      </c>
      <c r="AG127" s="2">
        <f t="shared" ref="AG127" si="50">O127*(1-P127)*(1-A127)</f>
        <v>0</v>
      </c>
      <c r="AH127" s="2">
        <f t="shared" ref="AH127" si="51">+P127*(1-A127)</f>
        <v>0</v>
      </c>
      <c r="AI127" s="2">
        <f t="shared" ref="AI127" si="52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1"/>
        <v>0</v>
      </c>
      <c r="T128" s="2">
        <f t="shared" si="22"/>
        <v>0</v>
      </c>
      <c r="U128" s="2">
        <f t="shared" si="23"/>
        <v>1</v>
      </c>
      <c r="V128" s="2">
        <f t="shared" si="24"/>
        <v>0</v>
      </c>
      <c r="W128" s="2">
        <f t="shared" si="25"/>
        <v>0</v>
      </c>
      <c r="X128" s="2">
        <f t="shared" si="26"/>
        <v>0</v>
      </c>
      <c r="Y128" s="2">
        <f t="shared" si="27"/>
        <v>0</v>
      </c>
      <c r="Z128" s="2">
        <f t="shared" si="28"/>
        <v>0</v>
      </c>
      <c r="AA128" s="2">
        <f t="shared" si="29"/>
        <v>0</v>
      </c>
      <c r="AB128" s="2">
        <f t="shared" si="30"/>
        <v>0</v>
      </c>
      <c r="AD128" s="2">
        <f t="shared" si="31"/>
        <v>1</v>
      </c>
      <c r="AE128" s="2">
        <f t="shared" si="32"/>
        <v>0</v>
      </c>
      <c r="AF128" s="2">
        <f t="shared" si="33"/>
        <v>1</v>
      </c>
      <c r="AG128" s="2">
        <f t="shared" si="34"/>
        <v>0</v>
      </c>
      <c r="AH128" s="2">
        <f t="shared" si="35"/>
        <v>1</v>
      </c>
      <c r="AI128" s="2">
        <f t="shared" si="36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1"/>
        <v>0</v>
      </c>
      <c r="T129" s="2">
        <f t="shared" si="22"/>
        <v>1</v>
      </c>
      <c r="U129" s="2">
        <f t="shared" si="23"/>
        <v>0</v>
      </c>
      <c r="V129" s="2">
        <f t="shared" si="24"/>
        <v>0</v>
      </c>
      <c r="W129" s="2">
        <f t="shared" si="25"/>
        <v>0</v>
      </c>
      <c r="X129" s="2">
        <f t="shared" si="26"/>
        <v>0</v>
      </c>
      <c r="Y129" s="2">
        <f t="shared" si="27"/>
        <v>0</v>
      </c>
      <c r="Z129" s="2">
        <f t="shared" si="28"/>
        <v>0</v>
      </c>
      <c r="AA129" s="2">
        <f t="shared" si="29"/>
        <v>0</v>
      </c>
      <c r="AB129" s="2">
        <f t="shared" si="30"/>
        <v>0</v>
      </c>
      <c r="AC129" s="2"/>
      <c r="AD129" s="2">
        <f t="shared" si="31"/>
        <v>1</v>
      </c>
      <c r="AE129" s="2">
        <f t="shared" si="32"/>
        <v>0</v>
      </c>
      <c r="AF129" s="2">
        <f t="shared" si="33"/>
        <v>0</v>
      </c>
      <c r="AG129" s="2">
        <f t="shared" si="34"/>
        <v>0</v>
      </c>
      <c r="AH129" s="2">
        <f t="shared" si="35"/>
        <v>0</v>
      </c>
      <c r="AI129" s="2">
        <f t="shared" si="36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1"/>
        <v>0</v>
      </c>
      <c r="T130" s="2">
        <f t="shared" si="22"/>
        <v>0</v>
      </c>
      <c r="U130" s="2">
        <f t="shared" si="23"/>
        <v>0</v>
      </c>
      <c r="V130" s="2">
        <f t="shared" si="24"/>
        <v>1</v>
      </c>
      <c r="W130" s="2">
        <f t="shared" si="25"/>
        <v>0</v>
      </c>
      <c r="X130" s="2">
        <f t="shared" si="26"/>
        <v>0</v>
      </c>
      <c r="Y130" s="2">
        <f t="shared" si="27"/>
        <v>0</v>
      </c>
      <c r="Z130" s="2">
        <f t="shared" si="28"/>
        <v>0</v>
      </c>
      <c r="AA130" s="2">
        <f t="shared" si="29"/>
        <v>0</v>
      </c>
      <c r="AB130" s="2">
        <f t="shared" si="30"/>
        <v>0</v>
      </c>
      <c r="AC130" s="2"/>
      <c r="AD130" s="2">
        <f t="shared" si="31"/>
        <v>1</v>
      </c>
      <c r="AE130" s="2">
        <f t="shared" si="32"/>
        <v>0</v>
      </c>
      <c r="AF130" s="2">
        <f t="shared" si="33"/>
        <v>0</v>
      </c>
      <c r="AG130" s="2">
        <f t="shared" si="34"/>
        <v>0</v>
      </c>
      <c r="AH130" s="2">
        <f t="shared" si="35"/>
        <v>0</v>
      </c>
      <c r="AI130" s="2">
        <f t="shared" si="36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962</v>
      </c>
      <c r="E131" s="30" t="s">
        <v>468</v>
      </c>
      <c r="F131" s="30" t="s">
        <v>963</v>
      </c>
      <c r="G131" s="30"/>
      <c r="H131" s="30" t="s">
        <v>165</v>
      </c>
      <c r="I131" s="29" t="s">
        <v>964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1"/>
        <v>0</v>
      </c>
      <c r="T131" s="2">
        <f t="shared" si="22"/>
        <v>0</v>
      </c>
      <c r="U131" s="2">
        <f t="shared" si="23"/>
        <v>0</v>
      </c>
      <c r="V131" s="2">
        <f t="shared" si="24"/>
        <v>0</v>
      </c>
      <c r="W131" s="2">
        <f t="shared" si="25"/>
        <v>0</v>
      </c>
      <c r="X131" s="2">
        <f t="shared" si="26"/>
        <v>0</v>
      </c>
      <c r="Y131" s="2">
        <f t="shared" si="27"/>
        <v>0</v>
      </c>
      <c r="Z131" s="2">
        <f t="shared" si="28"/>
        <v>0</v>
      </c>
      <c r="AA131" s="2">
        <f t="shared" si="29"/>
        <v>0</v>
      </c>
      <c r="AB131" s="2">
        <f t="shared" si="30"/>
        <v>0</v>
      </c>
      <c r="AC131" s="2"/>
      <c r="AD131" s="2">
        <f t="shared" si="31"/>
        <v>1</v>
      </c>
      <c r="AE131" s="2">
        <f t="shared" si="32"/>
        <v>0</v>
      </c>
      <c r="AF131" s="2">
        <f t="shared" si="33"/>
        <v>1</v>
      </c>
      <c r="AG131" s="2">
        <f t="shared" si="34"/>
        <v>0</v>
      </c>
      <c r="AH131" s="2">
        <f t="shared" si="35"/>
        <v>1</v>
      </c>
      <c r="AI131" s="2">
        <f t="shared" si="36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919</v>
      </c>
      <c r="O132" s="31">
        <v>1</v>
      </c>
      <c r="P132" s="31"/>
      <c r="Q132" s="30"/>
      <c r="R132" s="20"/>
      <c r="S132" s="2">
        <f t="shared" si="21"/>
        <v>0</v>
      </c>
      <c r="T132" s="2">
        <f t="shared" si="22"/>
        <v>0</v>
      </c>
      <c r="U132" s="2">
        <f t="shared" si="23"/>
        <v>0</v>
      </c>
      <c r="V132" s="2">
        <f t="shared" si="24"/>
        <v>0</v>
      </c>
      <c r="W132" s="2">
        <f t="shared" si="25"/>
        <v>0</v>
      </c>
      <c r="X132" s="2">
        <f t="shared" si="26"/>
        <v>0</v>
      </c>
      <c r="Y132" s="2">
        <f t="shared" si="27"/>
        <v>0</v>
      </c>
      <c r="Z132" s="2">
        <f t="shared" si="28"/>
        <v>0</v>
      </c>
      <c r="AA132" s="2">
        <f t="shared" si="29"/>
        <v>0</v>
      </c>
      <c r="AB132" s="2">
        <f t="shared" si="30"/>
        <v>0</v>
      </c>
      <c r="AC132" s="2"/>
      <c r="AD132" s="2">
        <f t="shared" si="31"/>
        <v>0</v>
      </c>
      <c r="AE132" s="2">
        <f t="shared" si="32"/>
        <v>1</v>
      </c>
      <c r="AF132" s="2">
        <f t="shared" si="33"/>
        <v>0</v>
      </c>
      <c r="AG132" s="2">
        <f t="shared" si="34"/>
        <v>1</v>
      </c>
      <c r="AH132" s="2">
        <f t="shared" si="35"/>
        <v>0</v>
      </c>
      <c r="AI132" s="2">
        <f t="shared" si="36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1"/>
        <v>0</v>
      </c>
      <c r="T133" s="2">
        <f t="shared" si="22"/>
        <v>0</v>
      </c>
      <c r="U133" s="2">
        <f t="shared" si="23"/>
        <v>0</v>
      </c>
      <c r="V133" s="2">
        <f t="shared" si="24"/>
        <v>1</v>
      </c>
      <c r="W133" s="2">
        <f t="shared" si="25"/>
        <v>0</v>
      </c>
      <c r="X133" s="2">
        <f t="shared" si="26"/>
        <v>0</v>
      </c>
      <c r="Y133" s="2">
        <f t="shared" si="27"/>
        <v>0</v>
      </c>
      <c r="Z133" s="2">
        <f t="shared" si="28"/>
        <v>0</v>
      </c>
      <c r="AA133" s="2">
        <f t="shared" si="29"/>
        <v>0</v>
      </c>
      <c r="AB133" s="2">
        <f t="shared" si="30"/>
        <v>0</v>
      </c>
      <c r="AC133" s="2"/>
      <c r="AD133" s="2">
        <f t="shared" si="31"/>
        <v>0</v>
      </c>
      <c r="AE133" s="2">
        <f t="shared" si="32"/>
        <v>0</v>
      </c>
      <c r="AF133" s="2">
        <f t="shared" si="33"/>
        <v>0</v>
      </c>
      <c r="AG133" s="2">
        <f t="shared" si="34"/>
        <v>0</v>
      </c>
      <c r="AH133" s="2">
        <f t="shared" si="35"/>
        <v>0</v>
      </c>
      <c r="AI133" s="2">
        <f t="shared" si="36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928</v>
      </c>
      <c r="E134" s="30" t="s">
        <v>929</v>
      </c>
      <c r="F134" s="30" t="s">
        <v>930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1"/>
        <v>0</v>
      </c>
      <c r="T134" s="2">
        <f t="shared" si="22"/>
        <v>0</v>
      </c>
      <c r="U134" s="2">
        <f t="shared" si="23"/>
        <v>0</v>
      </c>
      <c r="V134" s="2">
        <f t="shared" si="24"/>
        <v>0</v>
      </c>
      <c r="W134" s="2">
        <f t="shared" si="25"/>
        <v>0</v>
      </c>
      <c r="X134" s="2">
        <f t="shared" si="26"/>
        <v>0</v>
      </c>
      <c r="Y134" s="2">
        <f t="shared" si="27"/>
        <v>0</v>
      </c>
      <c r="Z134" s="2">
        <f t="shared" si="28"/>
        <v>0</v>
      </c>
      <c r="AA134" s="2">
        <f t="shared" si="29"/>
        <v>0</v>
      </c>
      <c r="AB134" s="2">
        <f t="shared" si="30"/>
        <v>0</v>
      </c>
      <c r="AC134" s="2"/>
      <c r="AD134" s="2">
        <f t="shared" si="31"/>
        <v>1</v>
      </c>
      <c r="AE134" s="2">
        <f t="shared" si="32"/>
        <v>0</v>
      </c>
      <c r="AF134" s="2">
        <f t="shared" si="33"/>
        <v>1</v>
      </c>
      <c r="AG134" s="2">
        <f t="shared" si="34"/>
        <v>0</v>
      </c>
      <c r="AH134" s="2">
        <f t="shared" si="35"/>
        <v>1</v>
      </c>
      <c r="AI134" s="2">
        <f t="shared" si="36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1"/>
        <v>0</v>
      </c>
      <c r="T135" s="2">
        <f t="shared" si="22"/>
        <v>0</v>
      </c>
      <c r="U135" s="2">
        <f t="shared" si="23"/>
        <v>0</v>
      </c>
      <c r="V135" s="2">
        <f t="shared" si="24"/>
        <v>0</v>
      </c>
      <c r="W135" s="2">
        <f t="shared" si="25"/>
        <v>0</v>
      </c>
      <c r="X135" s="2">
        <f t="shared" si="26"/>
        <v>0</v>
      </c>
      <c r="Y135" s="2">
        <f t="shared" si="27"/>
        <v>0</v>
      </c>
      <c r="Z135" s="2">
        <f t="shared" si="28"/>
        <v>0</v>
      </c>
      <c r="AA135" s="2">
        <f t="shared" si="29"/>
        <v>0</v>
      </c>
      <c r="AB135" s="2">
        <f t="shared" si="30"/>
        <v>0</v>
      </c>
      <c r="AC135" s="2"/>
      <c r="AD135" s="2">
        <f t="shared" si="31"/>
        <v>1</v>
      </c>
      <c r="AE135" s="2">
        <f t="shared" si="32"/>
        <v>0</v>
      </c>
      <c r="AF135" s="2">
        <f t="shared" si="33"/>
        <v>1</v>
      </c>
      <c r="AG135" s="2">
        <f t="shared" si="34"/>
        <v>0</v>
      </c>
      <c r="AH135" s="2">
        <f t="shared" si="35"/>
        <v>1</v>
      </c>
      <c r="AI135" s="2">
        <f t="shared" si="36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1"/>
        <v>0</v>
      </c>
      <c r="T136" s="2">
        <f t="shared" si="22"/>
        <v>0</v>
      </c>
      <c r="U136" s="2">
        <f t="shared" si="23"/>
        <v>0</v>
      </c>
      <c r="V136" s="2">
        <f t="shared" si="24"/>
        <v>0</v>
      </c>
      <c r="W136" s="2">
        <f t="shared" si="25"/>
        <v>0</v>
      </c>
      <c r="X136" s="2">
        <f t="shared" si="26"/>
        <v>0</v>
      </c>
      <c r="Y136" s="2">
        <f t="shared" si="27"/>
        <v>0</v>
      </c>
      <c r="Z136" s="2">
        <f t="shared" si="28"/>
        <v>0</v>
      </c>
      <c r="AA136" s="2">
        <f t="shared" si="29"/>
        <v>0</v>
      </c>
      <c r="AB136" s="2">
        <f t="shared" si="30"/>
        <v>0</v>
      </c>
      <c r="AC136" s="2"/>
      <c r="AD136" s="2">
        <f t="shared" si="31"/>
        <v>1</v>
      </c>
      <c r="AE136" s="2">
        <f t="shared" si="32"/>
        <v>0</v>
      </c>
      <c r="AF136" s="2">
        <f t="shared" si="33"/>
        <v>1</v>
      </c>
      <c r="AG136" s="2">
        <f t="shared" si="34"/>
        <v>0</v>
      </c>
      <c r="AH136" s="2">
        <f t="shared" si="35"/>
        <v>1</v>
      </c>
      <c r="AI136" s="2">
        <f t="shared" si="36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1"/>
        <v>0</v>
      </c>
      <c r="T137" s="2">
        <f t="shared" si="22"/>
        <v>0</v>
      </c>
      <c r="U137" s="2">
        <f t="shared" si="23"/>
        <v>0</v>
      </c>
      <c r="V137" s="2">
        <f t="shared" si="24"/>
        <v>0</v>
      </c>
      <c r="W137" s="2">
        <f t="shared" si="25"/>
        <v>0</v>
      </c>
      <c r="X137" s="2">
        <f t="shared" si="26"/>
        <v>0</v>
      </c>
      <c r="Y137" s="2">
        <f t="shared" si="27"/>
        <v>0</v>
      </c>
      <c r="Z137" s="2">
        <f t="shared" si="28"/>
        <v>0</v>
      </c>
      <c r="AA137" s="2">
        <f t="shared" si="29"/>
        <v>0</v>
      </c>
      <c r="AB137" s="2">
        <f t="shared" si="30"/>
        <v>1</v>
      </c>
      <c r="AC137" s="2"/>
      <c r="AD137" s="2">
        <f t="shared" si="31"/>
        <v>1</v>
      </c>
      <c r="AE137" s="2">
        <f t="shared" si="32"/>
        <v>0</v>
      </c>
      <c r="AF137" s="2">
        <f t="shared" si="33"/>
        <v>1</v>
      </c>
      <c r="AG137" s="2">
        <f t="shared" si="34"/>
        <v>0</v>
      </c>
      <c r="AH137" s="2">
        <f t="shared" si="35"/>
        <v>1</v>
      </c>
      <c r="AI137" s="2">
        <f t="shared" si="36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1"/>
        <v>0</v>
      </c>
      <c r="T138" s="2">
        <f t="shared" si="22"/>
        <v>0</v>
      </c>
      <c r="U138" s="2">
        <f t="shared" si="23"/>
        <v>0</v>
      </c>
      <c r="V138" s="2">
        <f t="shared" si="24"/>
        <v>0</v>
      </c>
      <c r="W138" s="2">
        <f t="shared" si="25"/>
        <v>0</v>
      </c>
      <c r="X138" s="2">
        <f t="shared" si="26"/>
        <v>0</v>
      </c>
      <c r="Y138" s="2">
        <f t="shared" si="27"/>
        <v>0</v>
      </c>
      <c r="Z138" s="2">
        <f t="shared" si="28"/>
        <v>0</v>
      </c>
      <c r="AA138" s="2">
        <f t="shared" si="29"/>
        <v>1</v>
      </c>
      <c r="AB138" s="2">
        <f t="shared" si="30"/>
        <v>0</v>
      </c>
      <c r="AC138" s="2"/>
      <c r="AD138" s="2">
        <f t="shared" si="31"/>
        <v>0</v>
      </c>
      <c r="AE138" s="2">
        <f t="shared" si="32"/>
        <v>1</v>
      </c>
      <c r="AF138" s="2">
        <f t="shared" si="33"/>
        <v>0</v>
      </c>
      <c r="AG138" s="2">
        <f t="shared" si="34"/>
        <v>1</v>
      </c>
      <c r="AH138" s="2">
        <f t="shared" si="35"/>
        <v>0</v>
      </c>
      <c r="AI138" s="2">
        <f t="shared" si="36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1"/>
        <v>0</v>
      </c>
      <c r="T139" s="2">
        <f t="shared" si="22"/>
        <v>0</v>
      </c>
      <c r="U139" s="2">
        <f t="shared" si="23"/>
        <v>0</v>
      </c>
      <c r="V139" s="2">
        <f t="shared" si="24"/>
        <v>0</v>
      </c>
      <c r="W139" s="2">
        <f t="shared" si="25"/>
        <v>0</v>
      </c>
      <c r="X139" s="2">
        <f t="shared" si="26"/>
        <v>0</v>
      </c>
      <c r="Y139" s="2">
        <f t="shared" si="27"/>
        <v>0</v>
      </c>
      <c r="Z139" s="2">
        <f t="shared" si="28"/>
        <v>0</v>
      </c>
      <c r="AA139" s="2">
        <f t="shared" si="29"/>
        <v>0</v>
      </c>
      <c r="AB139" s="2">
        <f t="shared" si="30"/>
        <v>0</v>
      </c>
      <c r="AC139" s="2"/>
      <c r="AD139" s="2">
        <f t="shared" si="31"/>
        <v>0</v>
      </c>
      <c r="AE139" s="2">
        <f t="shared" si="32"/>
        <v>1</v>
      </c>
      <c r="AF139" s="2">
        <f t="shared" si="33"/>
        <v>0</v>
      </c>
      <c r="AG139" s="2">
        <f t="shared" si="34"/>
        <v>0</v>
      </c>
      <c r="AH139" s="2">
        <f t="shared" si="35"/>
        <v>0</v>
      </c>
      <c r="AI139" s="2">
        <f t="shared" si="36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999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3">IF(J140=$S$7,1,0)</f>
        <v>0</v>
      </c>
      <c r="T140" s="2">
        <f t="shared" ref="T140" si="54">IF(J140=$T$7,1,0)</f>
        <v>0</v>
      </c>
      <c r="U140" s="2">
        <f t="shared" ref="U140" si="55">IF(J140=$U$7,1,0)</f>
        <v>0</v>
      </c>
      <c r="V140" s="2">
        <f t="shared" ref="V140" si="56">IF(J140=$V$7,1,0)</f>
        <v>0</v>
      </c>
      <c r="W140" s="2">
        <f t="shared" ref="W140" si="57">IF(J140=$W$7,1,0)</f>
        <v>0</v>
      </c>
      <c r="X140" s="2">
        <f t="shared" ref="X140" si="58">IF(J140=$X$7,1,0)</f>
        <v>0</v>
      </c>
      <c r="Y140" s="2">
        <f t="shared" ref="Y140" si="59">IF(J140=$Y$7,1,0)</f>
        <v>0</v>
      </c>
      <c r="Z140" s="2">
        <f t="shared" ref="Z140" si="60">IF(J140=$Z$7,1,0)</f>
        <v>0</v>
      </c>
      <c r="AA140" s="2">
        <f t="shared" ref="AA140" si="61">IF(J140=$AA$7,1,0)</f>
        <v>0</v>
      </c>
      <c r="AB140" s="2">
        <f t="shared" ref="AB140" si="62">IF(J140=$AB$7,1,0)</f>
        <v>0</v>
      </c>
      <c r="AC140" s="2"/>
      <c r="AD140" s="2">
        <f t="shared" ref="AD140" si="63">+O140*P140</f>
        <v>0</v>
      </c>
      <c r="AE140" s="2">
        <f t="shared" ref="AE140" si="64">O140*(1-P140)</f>
        <v>1</v>
      </c>
      <c r="AF140" s="2">
        <f t="shared" ref="AF140" si="65">+O140*P140*(1-A140)</f>
        <v>0</v>
      </c>
      <c r="AG140" s="2">
        <f t="shared" ref="AG140" si="66">O140*(1-P140)*(1-A140)</f>
        <v>0</v>
      </c>
      <c r="AH140" s="2">
        <f t="shared" ref="AH140" si="67">+P140*(1-A140)</f>
        <v>0</v>
      </c>
      <c r="AI140" s="2">
        <f t="shared" ref="AI140" si="68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69">IF(J141=$S$7,1,0)</f>
        <v>0</v>
      </c>
      <c r="T141" s="2">
        <f t="shared" ref="T141:T203" si="70">IF(J141=$T$7,1,0)</f>
        <v>0</v>
      </c>
      <c r="U141" s="2">
        <f t="shared" ref="U141:U203" si="71">IF(J141=$U$7,1,0)</f>
        <v>0</v>
      </c>
      <c r="V141" s="2">
        <f t="shared" ref="V141:V203" si="72">IF(J141=$V$7,1,0)</f>
        <v>0</v>
      </c>
      <c r="W141" s="2">
        <f t="shared" ref="W141:W203" si="73">IF(J141=$W$7,1,0)</f>
        <v>0</v>
      </c>
      <c r="X141" s="2">
        <f t="shared" ref="X141:X203" si="74">IF(J141=$X$7,1,0)</f>
        <v>0</v>
      </c>
      <c r="Y141" s="2">
        <f t="shared" ref="Y141:Y203" si="75">IF(J141=$Y$7,1,0)</f>
        <v>0</v>
      </c>
      <c r="Z141" s="2">
        <f t="shared" ref="Z141:Z203" si="76">IF(J141=$Z$7,1,0)</f>
        <v>1</v>
      </c>
      <c r="AA141" s="2">
        <f t="shared" ref="AA141:AA203" si="77">IF(J141=$AA$7,1,0)</f>
        <v>0</v>
      </c>
      <c r="AB141" s="2">
        <f t="shared" ref="AB141:AB203" si="78">IF(J141=$AB$7,1,0)</f>
        <v>0</v>
      </c>
      <c r="AC141" s="2"/>
      <c r="AD141" s="2">
        <f t="shared" ref="AD141:AD203" si="79">+O141*P141</f>
        <v>1</v>
      </c>
      <c r="AE141" s="2">
        <f t="shared" ref="AE141:AE203" si="80">O141*(1-P141)</f>
        <v>0</v>
      </c>
      <c r="AF141" s="2">
        <f t="shared" ref="AF141:AF203" si="81">+O141*P141*(1-A141)</f>
        <v>1</v>
      </c>
      <c r="AG141" s="2">
        <f t="shared" ref="AG141:AG203" si="82">O141*(1-P141)*(1-A141)</f>
        <v>0</v>
      </c>
      <c r="AH141" s="2">
        <f t="shared" ref="AH141:AH203" si="83">+P141*(1-A141)</f>
        <v>1</v>
      </c>
      <c r="AI141" s="2">
        <f t="shared" ref="AI141:AI203" si="84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69"/>
        <v>1</v>
      </c>
      <c r="T142" s="2">
        <f t="shared" si="70"/>
        <v>0</v>
      </c>
      <c r="U142" s="2">
        <f t="shared" si="71"/>
        <v>0</v>
      </c>
      <c r="V142" s="2">
        <f t="shared" si="72"/>
        <v>0</v>
      </c>
      <c r="W142" s="2">
        <f t="shared" si="73"/>
        <v>0</v>
      </c>
      <c r="X142" s="2">
        <f t="shared" si="74"/>
        <v>0</v>
      </c>
      <c r="Y142" s="2">
        <f t="shared" si="75"/>
        <v>0</v>
      </c>
      <c r="Z142" s="2">
        <f t="shared" si="76"/>
        <v>0</v>
      </c>
      <c r="AA142" s="2">
        <f t="shared" si="77"/>
        <v>0</v>
      </c>
      <c r="AB142" s="2">
        <f t="shared" si="78"/>
        <v>0</v>
      </c>
      <c r="AC142" s="2"/>
      <c r="AD142" s="2">
        <f t="shared" si="79"/>
        <v>1</v>
      </c>
      <c r="AE142" s="2">
        <f t="shared" si="80"/>
        <v>0</v>
      </c>
      <c r="AF142" s="2">
        <f t="shared" si="81"/>
        <v>1</v>
      </c>
      <c r="AG142" s="2">
        <f t="shared" si="82"/>
        <v>0</v>
      </c>
      <c r="AH142" s="2">
        <f t="shared" si="83"/>
        <v>1</v>
      </c>
      <c r="AI142" s="2">
        <f t="shared" si="84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69"/>
        <v>0</v>
      </c>
      <c r="T143" s="2">
        <f t="shared" si="70"/>
        <v>0</v>
      </c>
      <c r="U143" s="2">
        <f t="shared" si="71"/>
        <v>1</v>
      </c>
      <c r="V143" s="2">
        <f t="shared" si="72"/>
        <v>0</v>
      </c>
      <c r="W143" s="2">
        <f t="shared" si="73"/>
        <v>0</v>
      </c>
      <c r="X143" s="2">
        <f t="shared" si="74"/>
        <v>0</v>
      </c>
      <c r="Y143" s="2">
        <f t="shared" si="75"/>
        <v>0</v>
      </c>
      <c r="Z143" s="2">
        <f t="shared" si="76"/>
        <v>0</v>
      </c>
      <c r="AA143" s="2">
        <f t="shared" si="77"/>
        <v>0</v>
      </c>
      <c r="AB143" s="2">
        <f t="shared" si="78"/>
        <v>0</v>
      </c>
      <c r="AC143" s="2"/>
      <c r="AD143" s="2">
        <f t="shared" si="79"/>
        <v>1</v>
      </c>
      <c r="AE143" s="2">
        <f t="shared" si="80"/>
        <v>0</v>
      </c>
      <c r="AF143" s="2">
        <f t="shared" si="81"/>
        <v>1</v>
      </c>
      <c r="AG143" s="2">
        <f t="shared" si="82"/>
        <v>0</v>
      </c>
      <c r="AH143" s="2">
        <f t="shared" si="83"/>
        <v>1</v>
      </c>
      <c r="AI143" s="2">
        <f t="shared" si="84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1000</v>
      </c>
      <c r="G144" s="30" t="s">
        <v>1001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5">IF(J144=$S$7,1,0)</f>
        <v>0</v>
      </c>
      <c r="T144" s="2">
        <f t="shared" ref="T144" si="86">IF(J144=$T$7,1,0)</f>
        <v>0</v>
      </c>
      <c r="U144" s="2">
        <f t="shared" ref="U144" si="87">IF(J144=$U$7,1,0)</f>
        <v>0</v>
      </c>
      <c r="V144" s="2">
        <f t="shared" ref="V144" si="88">IF(J144=$V$7,1,0)</f>
        <v>0</v>
      </c>
      <c r="W144" s="2">
        <f t="shared" ref="W144" si="89">IF(J144=$W$7,1,0)</f>
        <v>0</v>
      </c>
      <c r="X144" s="2">
        <f t="shared" ref="X144" si="90">IF(J144=$X$7,1,0)</f>
        <v>0</v>
      </c>
      <c r="Y144" s="2">
        <f t="shared" ref="Y144" si="91">IF(J144=$Y$7,1,0)</f>
        <v>0</v>
      </c>
      <c r="Z144" s="2">
        <f t="shared" ref="Z144" si="92">IF(J144=$Z$7,1,0)</f>
        <v>0</v>
      </c>
      <c r="AA144" s="2">
        <f t="shared" ref="AA144" si="93">IF(J144=$AA$7,1,0)</f>
        <v>0</v>
      </c>
      <c r="AB144" s="2">
        <f t="shared" ref="AB144" si="94">IF(J144=$AB$7,1,0)</f>
        <v>0</v>
      </c>
      <c r="AC144" s="2"/>
      <c r="AD144" s="2">
        <f t="shared" ref="AD144" si="95">+O144*P144</f>
        <v>1</v>
      </c>
      <c r="AE144" s="2">
        <f t="shared" ref="AE144" si="96">O144*(1-P144)</f>
        <v>0</v>
      </c>
      <c r="AF144" s="2">
        <f t="shared" ref="AF144" si="97">+O144*P144*(1-A144)</f>
        <v>0</v>
      </c>
      <c r="AG144" s="2">
        <f t="shared" ref="AG144" si="98">O144*(1-P144)*(1-A144)</f>
        <v>0</v>
      </c>
      <c r="AH144" s="2">
        <f t="shared" ref="AH144" si="99">+P144*(1-A144)</f>
        <v>0</v>
      </c>
      <c r="AI144" s="2">
        <f t="shared" ref="AI144" si="100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69"/>
        <v>0</v>
      </c>
      <c r="T145" s="2">
        <f t="shared" si="70"/>
        <v>0</v>
      </c>
      <c r="U145" s="2">
        <f t="shared" si="71"/>
        <v>0</v>
      </c>
      <c r="V145" s="2">
        <f t="shared" si="72"/>
        <v>0</v>
      </c>
      <c r="W145" s="2">
        <f t="shared" si="73"/>
        <v>0</v>
      </c>
      <c r="X145" s="2">
        <f t="shared" si="74"/>
        <v>0</v>
      </c>
      <c r="Y145" s="2">
        <f t="shared" si="75"/>
        <v>0</v>
      </c>
      <c r="Z145" s="2">
        <f t="shared" si="76"/>
        <v>1</v>
      </c>
      <c r="AA145" s="2">
        <f t="shared" si="77"/>
        <v>0</v>
      </c>
      <c r="AB145" s="2">
        <f t="shared" si="78"/>
        <v>0</v>
      </c>
      <c r="AD145" s="2">
        <f t="shared" si="79"/>
        <v>0</v>
      </c>
      <c r="AE145" s="2">
        <f t="shared" si="80"/>
        <v>1</v>
      </c>
      <c r="AF145" s="2">
        <f t="shared" si="81"/>
        <v>0</v>
      </c>
      <c r="AG145" s="2">
        <f t="shared" si="82"/>
        <v>1</v>
      </c>
      <c r="AH145" s="2">
        <f t="shared" si="83"/>
        <v>0</v>
      </c>
      <c r="AI145" s="2">
        <f t="shared" si="84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69"/>
        <v>0</v>
      </c>
      <c r="T146" s="2">
        <f t="shared" si="70"/>
        <v>0</v>
      </c>
      <c r="U146" s="2">
        <f t="shared" si="71"/>
        <v>1</v>
      </c>
      <c r="V146" s="2">
        <f t="shared" si="72"/>
        <v>0</v>
      </c>
      <c r="W146" s="2">
        <f t="shared" si="73"/>
        <v>0</v>
      </c>
      <c r="X146" s="2">
        <f t="shared" si="74"/>
        <v>0</v>
      </c>
      <c r="Y146" s="2">
        <f t="shared" si="75"/>
        <v>0</v>
      </c>
      <c r="Z146" s="2">
        <f t="shared" si="76"/>
        <v>0</v>
      </c>
      <c r="AA146" s="2">
        <f t="shared" si="77"/>
        <v>0</v>
      </c>
      <c r="AB146" s="2">
        <f t="shared" si="78"/>
        <v>0</v>
      </c>
      <c r="AD146" s="2">
        <f t="shared" si="79"/>
        <v>0</v>
      </c>
      <c r="AE146" s="2">
        <f t="shared" si="80"/>
        <v>1</v>
      </c>
      <c r="AF146" s="2">
        <f t="shared" si="81"/>
        <v>0</v>
      </c>
      <c r="AG146" s="2">
        <f t="shared" si="82"/>
        <v>0</v>
      </c>
      <c r="AH146" s="2">
        <f t="shared" si="83"/>
        <v>0</v>
      </c>
      <c r="AI146" s="2">
        <f t="shared" si="84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69"/>
        <v>0</v>
      </c>
      <c r="T147" s="2">
        <f t="shared" si="70"/>
        <v>0</v>
      </c>
      <c r="U147" s="2">
        <f t="shared" si="71"/>
        <v>0</v>
      </c>
      <c r="V147" s="2">
        <f t="shared" si="72"/>
        <v>0</v>
      </c>
      <c r="W147" s="2">
        <f t="shared" si="73"/>
        <v>0</v>
      </c>
      <c r="X147" s="2">
        <f t="shared" si="74"/>
        <v>0</v>
      </c>
      <c r="Y147" s="2">
        <f t="shared" si="75"/>
        <v>0</v>
      </c>
      <c r="Z147" s="2">
        <f t="shared" si="76"/>
        <v>0</v>
      </c>
      <c r="AA147" s="2">
        <f t="shared" si="77"/>
        <v>0</v>
      </c>
      <c r="AB147" s="2">
        <f t="shared" si="78"/>
        <v>0</v>
      </c>
      <c r="AD147" s="2">
        <f t="shared" si="79"/>
        <v>1</v>
      </c>
      <c r="AE147" s="2">
        <f t="shared" si="80"/>
        <v>0</v>
      </c>
      <c r="AF147" s="2">
        <f t="shared" si="81"/>
        <v>1</v>
      </c>
      <c r="AG147" s="2">
        <f t="shared" si="82"/>
        <v>0</v>
      </c>
      <c r="AH147" s="2">
        <f t="shared" si="83"/>
        <v>1</v>
      </c>
      <c r="AI147" s="2">
        <f t="shared" si="84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69"/>
        <v>0</v>
      </c>
      <c r="T148" s="2">
        <f t="shared" si="70"/>
        <v>0</v>
      </c>
      <c r="U148" s="2">
        <f t="shared" si="71"/>
        <v>0</v>
      </c>
      <c r="V148" s="2">
        <f t="shared" si="72"/>
        <v>0</v>
      </c>
      <c r="W148" s="2">
        <f t="shared" si="73"/>
        <v>0</v>
      </c>
      <c r="X148" s="2">
        <f t="shared" si="74"/>
        <v>0</v>
      </c>
      <c r="Y148" s="2">
        <f t="shared" si="75"/>
        <v>0</v>
      </c>
      <c r="Z148" s="2">
        <f t="shared" si="76"/>
        <v>0</v>
      </c>
      <c r="AA148" s="2">
        <f t="shared" si="77"/>
        <v>0</v>
      </c>
      <c r="AB148" s="2">
        <f t="shared" si="78"/>
        <v>0</v>
      </c>
      <c r="AD148" s="2">
        <f t="shared" si="79"/>
        <v>1</v>
      </c>
      <c r="AE148" s="2">
        <f t="shared" si="80"/>
        <v>0</v>
      </c>
      <c r="AF148" s="2">
        <f t="shared" si="81"/>
        <v>1</v>
      </c>
      <c r="AG148" s="2">
        <f t="shared" si="82"/>
        <v>0</v>
      </c>
      <c r="AH148" s="2">
        <f t="shared" si="83"/>
        <v>1</v>
      </c>
      <c r="AI148" s="2">
        <f t="shared" si="84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946</v>
      </c>
      <c r="S149" s="2">
        <f t="shared" si="69"/>
        <v>0</v>
      </c>
      <c r="T149" s="2">
        <f t="shared" si="70"/>
        <v>0</v>
      </c>
      <c r="U149" s="2">
        <f t="shared" si="71"/>
        <v>0</v>
      </c>
      <c r="V149" s="2">
        <f t="shared" si="72"/>
        <v>0</v>
      </c>
      <c r="W149" s="2">
        <f t="shared" si="73"/>
        <v>0</v>
      </c>
      <c r="X149" s="2">
        <f t="shared" si="74"/>
        <v>0</v>
      </c>
      <c r="Y149" s="2">
        <f t="shared" si="75"/>
        <v>0</v>
      </c>
      <c r="Z149" s="2">
        <f t="shared" si="76"/>
        <v>0</v>
      </c>
      <c r="AA149" s="2">
        <f t="shared" si="77"/>
        <v>0</v>
      </c>
      <c r="AB149" s="2">
        <f t="shared" si="78"/>
        <v>0</v>
      </c>
      <c r="AD149" s="2">
        <f t="shared" si="79"/>
        <v>0</v>
      </c>
      <c r="AE149" s="2">
        <f t="shared" si="80"/>
        <v>1</v>
      </c>
      <c r="AF149" s="2">
        <f t="shared" si="81"/>
        <v>0</v>
      </c>
      <c r="AG149" s="2">
        <f t="shared" si="82"/>
        <v>1</v>
      </c>
      <c r="AH149" s="2">
        <f t="shared" si="83"/>
        <v>0</v>
      </c>
      <c r="AI149" s="2">
        <f t="shared" si="84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69"/>
        <v>0</v>
      </c>
      <c r="T150" s="2">
        <f t="shared" si="70"/>
        <v>0</v>
      </c>
      <c r="U150" s="2">
        <f t="shared" si="71"/>
        <v>0</v>
      </c>
      <c r="V150" s="2">
        <f t="shared" si="72"/>
        <v>0</v>
      </c>
      <c r="W150" s="2">
        <f t="shared" si="73"/>
        <v>0</v>
      </c>
      <c r="X150" s="2">
        <f t="shared" si="74"/>
        <v>0</v>
      </c>
      <c r="Y150" s="2">
        <f t="shared" si="75"/>
        <v>0</v>
      </c>
      <c r="Z150" s="2">
        <f t="shared" si="76"/>
        <v>0</v>
      </c>
      <c r="AA150" s="2">
        <f t="shared" si="77"/>
        <v>0</v>
      </c>
      <c r="AB150" s="2">
        <f t="shared" si="78"/>
        <v>1</v>
      </c>
      <c r="AD150" s="2">
        <f t="shared" si="79"/>
        <v>0</v>
      </c>
      <c r="AE150" s="2">
        <f t="shared" si="80"/>
        <v>1</v>
      </c>
      <c r="AF150" s="2">
        <f t="shared" si="81"/>
        <v>0</v>
      </c>
      <c r="AG150" s="2">
        <f t="shared" si="82"/>
        <v>1</v>
      </c>
      <c r="AH150" s="2">
        <f t="shared" si="83"/>
        <v>0</v>
      </c>
      <c r="AI150" s="2">
        <f t="shared" si="84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69"/>
        <v>0</v>
      </c>
      <c r="T151" s="2">
        <f t="shared" si="70"/>
        <v>0</v>
      </c>
      <c r="U151" s="2">
        <f t="shared" si="71"/>
        <v>0</v>
      </c>
      <c r="V151" s="2">
        <f t="shared" si="72"/>
        <v>0</v>
      </c>
      <c r="W151" s="2">
        <f t="shared" si="73"/>
        <v>0</v>
      </c>
      <c r="X151" s="2">
        <f t="shared" si="74"/>
        <v>0</v>
      </c>
      <c r="Y151" s="2">
        <f t="shared" si="75"/>
        <v>0</v>
      </c>
      <c r="Z151" s="2">
        <f t="shared" si="76"/>
        <v>0</v>
      </c>
      <c r="AA151" s="2">
        <f t="shared" si="77"/>
        <v>0</v>
      </c>
      <c r="AB151" s="2">
        <f t="shared" si="78"/>
        <v>0</v>
      </c>
      <c r="AD151" s="2">
        <f t="shared" si="79"/>
        <v>0</v>
      </c>
      <c r="AE151" s="2">
        <f t="shared" si="80"/>
        <v>1</v>
      </c>
      <c r="AF151" s="2">
        <f t="shared" si="81"/>
        <v>0</v>
      </c>
      <c r="AG151" s="2">
        <f t="shared" si="82"/>
        <v>1</v>
      </c>
      <c r="AH151" s="2">
        <f t="shared" si="83"/>
        <v>0</v>
      </c>
      <c r="AI151" s="2">
        <f t="shared" si="84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69"/>
        <v>0</v>
      </c>
      <c r="T152" s="2">
        <f t="shared" si="70"/>
        <v>0</v>
      </c>
      <c r="U152" s="2">
        <f t="shared" si="71"/>
        <v>1</v>
      </c>
      <c r="V152" s="2">
        <f t="shared" si="72"/>
        <v>0</v>
      </c>
      <c r="W152" s="2">
        <f t="shared" si="73"/>
        <v>0</v>
      </c>
      <c r="X152" s="2">
        <f t="shared" si="74"/>
        <v>0</v>
      </c>
      <c r="Y152" s="2">
        <f t="shared" si="75"/>
        <v>0</v>
      </c>
      <c r="Z152" s="2">
        <f t="shared" si="76"/>
        <v>0</v>
      </c>
      <c r="AA152" s="2">
        <f t="shared" si="77"/>
        <v>0</v>
      </c>
      <c r="AB152" s="2">
        <f t="shared" si="78"/>
        <v>0</v>
      </c>
      <c r="AD152" s="2">
        <f t="shared" si="79"/>
        <v>0</v>
      </c>
      <c r="AE152" s="2">
        <f t="shared" si="80"/>
        <v>0</v>
      </c>
      <c r="AF152" s="2">
        <f t="shared" si="81"/>
        <v>0</v>
      </c>
      <c r="AG152" s="2">
        <f t="shared" si="82"/>
        <v>0</v>
      </c>
      <c r="AH152" s="2">
        <f t="shared" si="83"/>
        <v>0</v>
      </c>
      <c r="AI152" s="2">
        <f t="shared" si="84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69"/>
        <v>1</v>
      </c>
      <c r="T153" s="2">
        <f t="shared" si="70"/>
        <v>0</v>
      </c>
      <c r="U153" s="2">
        <f t="shared" si="71"/>
        <v>0</v>
      </c>
      <c r="V153" s="2">
        <f t="shared" si="72"/>
        <v>0</v>
      </c>
      <c r="W153" s="2">
        <f t="shared" si="73"/>
        <v>0</v>
      </c>
      <c r="X153" s="2">
        <f t="shared" si="74"/>
        <v>0</v>
      </c>
      <c r="Y153" s="2">
        <f t="shared" si="75"/>
        <v>0</v>
      </c>
      <c r="Z153" s="2">
        <f t="shared" si="76"/>
        <v>0</v>
      </c>
      <c r="AA153" s="2">
        <f t="shared" si="77"/>
        <v>0</v>
      </c>
      <c r="AB153" s="2">
        <f t="shared" si="78"/>
        <v>0</v>
      </c>
      <c r="AD153" s="2">
        <f t="shared" si="79"/>
        <v>0</v>
      </c>
      <c r="AE153" s="2">
        <f t="shared" si="80"/>
        <v>1</v>
      </c>
      <c r="AF153" s="2">
        <f t="shared" si="81"/>
        <v>0</v>
      </c>
      <c r="AG153" s="2">
        <f t="shared" si="82"/>
        <v>1</v>
      </c>
      <c r="AH153" s="2">
        <f t="shared" si="83"/>
        <v>0</v>
      </c>
      <c r="AI153" s="2">
        <f t="shared" si="84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918</v>
      </c>
      <c r="O154" s="34"/>
      <c r="P154" s="34"/>
      <c r="Q154" s="33"/>
      <c r="S154" s="2">
        <f t="shared" si="69"/>
        <v>1</v>
      </c>
      <c r="T154" s="2">
        <f t="shared" si="70"/>
        <v>0</v>
      </c>
      <c r="U154" s="2">
        <f t="shared" si="71"/>
        <v>0</v>
      </c>
      <c r="V154" s="2">
        <f t="shared" si="72"/>
        <v>0</v>
      </c>
      <c r="W154" s="2">
        <f t="shared" si="73"/>
        <v>0</v>
      </c>
      <c r="X154" s="2">
        <f t="shared" si="74"/>
        <v>0</v>
      </c>
      <c r="Y154" s="2">
        <f t="shared" si="75"/>
        <v>0</v>
      </c>
      <c r="Z154" s="2">
        <f t="shared" si="76"/>
        <v>0</v>
      </c>
      <c r="AA154" s="2">
        <f t="shared" si="77"/>
        <v>0</v>
      </c>
      <c r="AB154" s="2">
        <f t="shared" si="78"/>
        <v>0</v>
      </c>
      <c r="AD154" s="2">
        <f t="shared" si="79"/>
        <v>0</v>
      </c>
      <c r="AE154" s="2">
        <f t="shared" si="80"/>
        <v>0</v>
      </c>
      <c r="AF154" s="2">
        <f t="shared" si="81"/>
        <v>0</v>
      </c>
      <c r="AG154" s="2">
        <f t="shared" si="82"/>
        <v>0</v>
      </c>
      <c r="AH154" s="2">
        <f t="shared" si="83"/>
        <v>0</v>
      </c>
      <c r="AI154" s="2">
        <f t="shared" si="84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69"/>
        <v>0</v>
      </c>
      <c r="T155" s="2">
        <f t="shared" si="70"/>
        <v>0</v>
      </c>
      <c r="U155" s="2">
        <f t="shared" si="71"/>
        <v>0</v>
      </c>
      <c r="V155" s="2">
        <f t="shared" si="72"/>
        <v>0</v>
      </c>
      <c r="W155" s="2">
        <f t="shared" si="73"/>
        <v>0</v>
      </c>
      <c r="X155" s="2">
        <f t="shared" si="74"/>
        <v>0</v>
      </c>
      <c r="Y155" s="2">
        <f t="shared" si="75"/>
        <v>0</v>
      </c>
      <c r="Z155" s="2">
        <f t="shared" si="76"/>
        <v>0</v>
      </c>
      <c r="AA155" s="2">
        <f t="shared" si="77"/>
        <v>0</v>
      </c>
      <c r="AB155" s="2">
        <f t="shared" si="78"/>
        <v>0</v>
      </c>
      <c r="AD155" s="2">
        <f t="shared" si="79"/>
        <v>0</v>
      </c>
      <c r="AE155" s="2">
        <f t="shared" si="80"/>
        <v>1</v>
      </c>
      <c r="AF155" s="2">
        <f t="shared" si="81"/>
        <v>0</v>
      </c>
      <c r="AG155" s="2">
        <f t="shared" si="82"/>
        <v>1</v>
      </c>
      <c r="AH155" s="2">
        <f t="shared" si="83"/>
        <v>0</v>
      </c>
      <c r="AI155" s="2">
        <f t="shared" si="84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69"/>
        <v>0</v>
      </c>
      <c r="T156" s="2">
        <f t="shared" si="70"/>
        <v>0</v>
      </c>
      <c r="U156" s="2">
        <f t="shared" si="71"/>
        <v>0</v>
      </c>
      <c r="V156" s="2">
        <f t="shared" si="72"/>
        <v>0</v>
      </c>
      <c r="W156" s="2">
        <f t="shared" si="73"/>
        <v>0</v>
      </c>
      <c r="X156" s="2">
        <f t="shared" si="74"/>
        <v>0</v>
      </c>
      <c r="Y156" s="2">
        <f t="shared" si="75"/>
        <v>0</v>
      </c>
      <c r="Z156" s="2">
        <f t="shared" si="76"/>
        <v>0</v>
      </c>
      <c r="AA156" s="2">
        <f t="shared" si="77"/>
        <v>0</v>
      </c>
      <c r="AB156" s="2">
        <f t="shared" si="78"/>
        <v>0</v>
      </c>
      <c r="AD156" s="2">
        <f t="shared" si="79"/>
        <v>1</v>
      </c>
      <c r="AE156" s="2">
        <f t="shared" si="80"/>
        <v>0</v>
      </c>
      <c r="AF156" s="2">
        <f t="shared" si="81"/>
        <v>1</v>
      </c>
      <c r="AG156" s="2">
        <f t="shared" si="82"/>
        <v>0</v>
      </c>
      <c r="AH156" s="2">
        <f t="shared" si="83"/>
        <v>1</v>
      </c>
      <c r="AI156" s="2">
        <f t="shared" si="84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69"/>
        <v>0</v>
      </c>
      <c r="T157" s="2">
        <f t="shared" si="70"/>
        <v>0</v>
      </c>
      <c r="U157" s="2">
        <f t="shared" si="71"/>
        <v>0</v>
      </c>
      <c r="V157" s="2">
        <f t="shared" si="72"/>
        <v>0</v>
      </c>
      <c r="W157" s="2">
        <f t="shared" si="73"/>
        <v>0</v>
      </c>
      <c r="X157" s="2">
        <f t="shared" si="74"/>
        <v>0</v>
      </c>
      <c r="Y157" s="2">
        <f t="shared" si="75"/>
        <v>0</v>
      </c>
      <c r="Z157" s="2">
        <f t="shared" si="76"/>
        <v>0</v>
      </c>
      <c r="AA157" s="2">
        <f t="shared" si="77"/>
        <v>0</v>
      </c>
      <c r="AB157" s="2">
        <f t="shared" si="78"/>
        <v>0</v>
      </c>
      <c r="AD157" s="2">
        <f t="shared" si="79"/>
        <v>1</v>
      </c>
      <c r="AE157" s="2">
        <f t="shared" si="80"/>
        <v>0</v>
      </c>
      <c r="AF157" s="2">
        <f t="shared" si="81"/>
        <v>0</v>
      </c>
      <c r="AG157" s="2">
        <f t="shared" si="82"/>
        <v>0</v>
      </c>
      <c r="AH157" s="2">
        <f t="shared" si="83"/>
        <v>0</v>
      </c>
      <c r="AI157" s="2">
        <f t="shared" si="84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69"/>
        <v>0</v>
      </c>
      <c r="T158" s="2">
        <f t="shared" si="70"/>
        <v>0</v>
      </c>
      <c r="U158" s="2">
        <f t="shared" si="71"/>
        <v>0</v>
      </c>
      <c r="V158" s="2">
        <f t="shared" si="72"/>
        <v>1</v>
      </c>
      <c r="W158" s="2">
        <f t="shared" si="73"/>
        <v>0</v>
      </c>
      <c r="X158" s="2">
        <f t="shared" si="74"/>
        <v>0</v>
      </c>
      <c r="Y158" s="2">
        <f t="shared" si="75"/>
        <v>0</v>
      </c>
      <c r="Z158" s="2">
        <f t="shared" si="76"/>
        <v>0</v>
      </c>
      <c r="AA158" s="2">
        <f t="shared" si="77"/>
        <v>0</v>
      </c>
      <c r="AB158" s="2">
        <f t="shared" si="78"/>
        <v>0</v>
      </c>
      <c r="AD158" s="2">
        <f t="shared" si="79"/>
        <v>0</v>
      </c>
      <c r="AE158" s="2">
        <f t="shared" si="80"/>
        <v>1</v>
      </c>
      <c r="AF158" s="2">
        <f t="shared" si="81"/>
        <v>0</v>
      </c>
      <c r="AG158" s="2">
        <f t="shared" si="82"/>
        <v>1</v>
      </c>
      <c r="AH158" s="2">
        <f t="shared" si="83"/>
        <v>0</v>
      </c>
      <c r="AI158" s="2">
        <f t="shared" si="84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69"/>
        <v>0</v>
      </c>
      <c r="T159" s="2">
        <f t="shared" si="70"/>
        <v>0</v>
      </c>
      <c r="U159" s="2">
        <f t="shared" si="71"/>
        <v>0</v>
      </c>
      <c r="V159" s="2">
        <f t="shared" si="72"/>
        <v>0</v>
      </c>
      <c r="W159" s="2">
        <f t="shared" si="73"/>
        <v>0</v>
      </c>
      <c r="X159" s="2">
        <f t="shared" si="74"/>
        <v>0</v>
      </c>
      <c r="Y159" s="2">
        <f t="shared" si="75"/>
        <v>0</v>
      </c>
      <c r="Z159" s="2">
        <f t="shared" si="76"/>
        <v>0</v>
      </c>
      <c r="AA159" s="2">
        <f t="shared" si="77"/>
        <v>0</v>
      </c>
      <c r="AB159" s="2">
        <f t="shared" si="78"/>
        <v>0</v>
      </c>
      <c r="AD159" s="2">
        <f t="shared" si="79"/>
        <v>0</v>
      </c>
      <c r="AE159" s="2">
        <f t="shared" si="80"/>
        <v>1</v>
      </c>
      <c r="AF159" s="2">
        <f t="shared" si="81"/>
        <v>0</v>
      </c>
      <c r="AG159" s="2">
        <f t="shared" si="82"/>
        <v>0</v>
      </c>
      <c r="AH159" s="2">
        <f t="shared" si="83"/>
        <v>0</v>
      </c>
      <c r="AI159" s="2">
        <f t="shared" si="84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69"/>
        <v>0</v>
      </c>
      <c r="T160" s="2">
        <f t="shared" si="70"/>
        <v>0</v>
      </c>
      <c r="U160" s="2">
        <f t="shared" si="71"/>
        <v>0</v>
      </c>
      <c r="V160" s="2">
        <f t="shared" si="72"/>
        <v>0</v>
      </c>
      <c r="W160" s="2">
        <f t="shared" si="73"/>
        <v>0</v>
      </c>
      <c r="X160" s="2">
        <f t="shared" si="74"/>
        <v>1</v>
      </c>
      <c r="Y160" s="2">
        <f t="shared" si="75"/>
        <v>0</v>
      </c>
      <c r="Z160" s="2">
        <f t="shared" si="76"/>
        <v>0</v>
      </c>
      <c r="AA160" s="2">
        <f t="shared" si="77"/>
        <v>0</v>
      </c>
      <c r="AB160" s="2">
        <f t="shared" si="78"/>
        <v>0</v>
      </c>
      <c r="AD160" s="2">
        <f t="shared" si="79"/>
        <v>0</v>
      </c>
      <c r="AE160" s="2">
        <f t="shared" si="80"/>
        <v>1</v>
      </c>
      <c r="AF160" s="2">
        <f t="shared" si="81"/>
        <v>0</v>
      </c>
      <c r="AG160" s="2">
        <f t="shared" si="82"/>
        <v>1</v>
      </c>
      <c r="AH160" s="2">
        <f t="shared" si="83"/>
        <v>0</v>
      </c>
      <c r="AI160" s="2">
        <f t="shared" si="84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942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924</v>
      </c>
      <c r="O161" s="31">
        <v>1</v>
      </c>
      <c r="P161" s="31"/>
      <c r="Q161" s="30"/>
      <c r="R161" s="2"/>
      <c r="S161" s="2">
        <f t="shared" si="69"/>
        <v>0</v>
      </c>
      <c r="T161" s="2">
        <f t="shared" si="70"/>
        <v>0</v>
      </c>
      <c r="U161" s="2">
        <f t="shared" si="71"/>
        <v>0</v>
      </c>
      <c r="V161" s="2">
        <f t="shared" si="72"/>
        <v>0</v>
      </c>
      <c r="W161" s="2">
        <f t="shared" si="73"/>
        <v>0</v>
      </c>
      <c r="X161" s="2">
        <f t="shared" si="74"/>
        <v>0</v>
      </c>
      <c r="Y161" s="2">
        <f t="shared" si="75"/>
        <v>0</v>
      </c>
      <c r="Z161" s="2">
        <f t="shared" si="76"/>
        <v>0</v>
      </c>
      <c r="AA161" s="2">
        <f t="shared" si="77"/>
        <v>0</v>
      </c>
      <c r="AB161" s="2">
        <f t="shared" si="78"/>
        <v>0</v>
      </c>
      <c r="AC161" s="2"/>
      <c r="AD161" s="2">
        <f t="shared" si="79"/>
        <v>0</v>
      </c>
      <c r="AE161" s="2">
        <f t="shared" si="80"/>
        <v>1</v>
      </c>
      <c r="AF161" s="2">
        <f t="shared" si="81"/>
        <v>0</v>
      </c>
      <c r="AG161" s="2">
        <f t="shared" si="82"/>
        <v>1</v>
      </c>
      <c r="AH161" s="2">
        <f t="shared" si="83"/>
        <v>0</v>
      </c>
      <c r="AI161" s="2">
        <f t="shared" si="84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69"/>
        <v>0</v>
      </c>
      <c r="T162" s="2">
        <f t="shared" si="70"/>
        <v>0</v>
      </c>
      <c r="U162" s="2">
        <f t="shared" si="71"/>
        <v>0</v>
      </c>
      <c r="V162" s="2">
        <f t="shared" si="72"/>
        <v>0</v>
      </c>
      <c r="W162" s="2">
        <f t="shared" si="73"/>
        <v>0</v>
      </c>
      <c r="X162" s="2">
        <f t="shared" si="74"/>
        <v>0</v>
      </c>
      <c r="Y162" s="2">
        <f t="shared" si="75"/>
        <v>0</v>
      </c>
      <c r="Z162" s="2">
        <f t="shared" si="76"/>
        <v>0</v>
      </c>
      <c r="AA162" s="2">
        <f t="shared" si="77"/>
        <v>0</v>
      </c>
      <c r="AB162" s="2">
        <f t="shared" si="78"/>
        <v>0</v>
      </c>
      <c r="AC162" s="2"/>
      <c r="AD162" s="2">
        <f t="shared" si="79"/>
        <v>1</v>
      </c>
      <c r="AE162" s="2">
        <f t="shared" si="80"/>
        <v>0</v>
      </c>
      <c r="AF162" s="2">
        <f t="shared" si="81"/>
        <v>1</v>
      </c>
      <c r="AG162" s="2">
        <f t="shared" si="82"/>
        <v>0</v>
      </c>
      <c r="AH162" s="2">
        <f t="shared" si="83"/>
        <v>1</v>
      </c>
      <c r="AI162" s="2">
        <f t="shared" si="84"/>
        <v>0</v>
      </c>
    </row>
    <row r="163" spans="1:16384" s="3" customFormat="1" ht="14.25" customHeight="1" x14ac:dyDescent="0.25">
      <c r="A163" s="26">
        <v>0</v>
      </c>
      <c r="B163" s="26">
        <v>2</v>
      </c>
      <c r="C163" s="26">
        <v>2</v>
      </c>
      <c r="D163" s="27" t="s">
        <v>957</v>
      </c>
      <c r="E163" s="27" t="s">
        <v>958</v>
      </c>
      <c r="F163" s="27" t="s">
        <v>959</v>
      </c>
      <c r="G163" s="27" t="s">
        <v>960</v>
      </c>
      <c r="H163" s="27" t="s">
        <v>165</v>
      </c>
      <c r="I163" s="26" t="s">
        <v>961</v>
      </c>
      <c r="J163" s="26"/>
      <c r="K163" s="26" t="s">
        <v>376</v>
      </c>
      <c r="L163" s="26"/>
      <c r="M163" s="27"/>
      <c r="N163" s="27"/>
      <c r="O163" s="28"/>
      <c r="P163" s="28">
        <v>1</v>
      </c>
      <c r="Q163" s="27"/>
      <c r="R163" s="20"/>
      <c r="S163" s="2">
        <f t="shared" si="69"/>
        <v>0</v>
      </c>
      <c r="T163" s="2">
        <f t="shared" si="70"/>
        <v>0</v>
      </c>
      <c r="U163" s="2">
        <f t="shared" si="71"/>
        <v>0</v>
      </c>
      <c r="V163" s="2">
        <f t="shared" si="72"/>
        <v>0</v>
      </c>
      <c r="W163" s="2">
        <f t="shared" si="73"/>
        <v>0</v>
      </c>
      <c r="X163" s="2">
        <f t="shared" si="74"/>
        <v>0</v>
      </c>
      <c r="Y163" s="2">
        <f t="shared" si="75"/>
        <v>0</v>
      </c>
      <c r="Z163" s="2">
        <f t="shared" si="76"/>
        <v>0</v>
      </c>
      <c r="AA163" s="2">
        <f t="shared" si="77"/>
        <v>0</v>
      </c>
      <c r="AB163" s="2">
        <f t="shared" si="78"/>
        <v>0</v>
      </c>
      <c r="AC163" s="2"/>
      <c r="AD163" s="2">
        <f t="shared" si="79"/>
        <v>0</v>
      </c>
      <c r="AE163" s="2">
        <f t="shared" si="80"/>
        <v>0</v>
      </c>
      <c r="AF163" s="2">
        <f t="shared" si="81"/>
        <v>0</v>
      </c>
      <c r="AG163" s="2">
        <f t="shared" si="82"/>
        <v>0</v>
      </c>
      <c r="AH163" s="2">
        <f t="shared" si="83"/>
        <v>1</v>
      </c>
      <c r="AI163" s="2">
        <f t="shared" si="84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984</v>
      </c>
      <c r="E164" s="30" t="s">
        <v>981</v>
      </c>
      <c r="F164" s="30" t="s">
        <v>982</v>
      </c>
      <c r="G164" s="30" t="s">
        <v>137</v>
      </c>
      <c r="H164" s="30" t="s">
        <v>165</v>
      </c>
      <c r="I164" s="29" t="s">
        <v>983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985</v>
      </c>
      <c r="R164" s="2"/>
      <c r="S164" s="2">
        <f t="shared" si="69"/>
        <v>1</v>
      </c>
      <c r="T164" s="2">
        <f t="shared" si="70"/>
        <v>0</v>
      </c>
      <c r="U164" s="2">
        <f t="shared" si="71"/>
        <v>0</v>
      </c>
      <c r="V164" s="2">
        <f t="shared" si="72"/>
        <v>0</v>
      </c>
      <c r="W164" s="2">
        <f t="shared" si="73"/>
        <v>0</v>
      </c>
      <c r="X164" s="2">
        <f t="shared" si="74"/>
        <v>0</v>
      </c>
      <c r="Y164" s="2">
        <f t="shared" si="75"/>
        <v>0</v>
      </c>
      <c r="Z164" s="2">
        <f t="shared" si="76"/>
        <v>0</v>
      </c>
      <c r="AA164" s="2">
        <f t="shared" si="77"/>
        <v>0</v>
      </c>
      <c r="AB164" s="2">
        <f t="shared" si="78"/>
        <v>0</v>
      </c>
      <c r="AC164" s="2"/>
      <c r="AD164" s="2">
        <f t="shared" si="79"/>
        <v>1</v>
      </c>
      <c r="AE164" s="2">
        <f t="shared" si="80"/>
        <v>0</v>
      </c>
      <c r="AF164" s="2">
        <f t="shared" si="81"/>
        <v>1</v>
      </c>
      <c r="AG164" s="2">
        <f t="shared" si="82"/>
        <v>0</v>
      </c>
      <c r="AH164" s="2">
        <f t="shared" si="83"/>
        <v>1</v>
      </c>
      <c r="AI164" s="2">
        <f t="shared" si="84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932</v>
      </c>
      <c r="E165" s="30" t="s">
        <v>468</v>
      </c>
      <c r="F165" s="30" t="s">
        <v>933</v>
      </c>
      <c r="G165" s="30" t="s">
        <v>96</v>
      </c>
      <c r="H165" s="30" t="s">
        <v>165</v>
      </c>
      <c r="I165" s="29" t="s">
        <v>934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987</v>
      </c>
      <c r="R165" s="20"/>
      <c r="S165" s="2">
        <f t="shared" si="69"/>
        <v>0</v>
      </c>
      <c r="T165" s="2">
        <f t="shared" si="70"/>
        <v>0</v>
      </c>
      <c r="U165" s="2">
        <f t="shared" si="71"/>
        <v>0</v>
      </c>
      <c r="V165" s="2">
        <f t="shared" si="72"/>
        <v>0</v>
      </c>
      <c r="W165" s="2">
        <f t="shared" si="73"/>
        <v>0</v>
      </c>
      <c r="X165" s="2">
        <f t="shared" si="74"/>
        <v>0</v>
      </c>
      <c r="Y165" s="2">
        <f t="shared" si="75"/>
        <v>0</v>
      </c>
      <c r="Z165" s="2">
        <f t="shared" si="76"/>
        <v>0</v>
      </c>
      <c r="AA165" s="2">
        <f t="shared" si="77"/>
        <v>0</v>
      </c>
      <c r="AB165" s="2">
        <f t="shared" si="78"/>
        <v>0</v>
      </c>
      <c r="AC165" s="2"/>
      <c r="AD165" s="2">
        <f t="shared" si="79"/>
        <v>1</v>
      </c>
      <c r="AE165" s="2">
        <f t="shared" si="80"/>
        <v>0</v>
      </c>
      <c r="AF165" s="2">
        <f t="shared" si="81"/>
        <v>1</v>
      </c>
      <c r="AG165" s="2">
        <f t="shared" si="82"/>
        <v>0</v>
      </c>
      <c r="AH165" s="2">
        <f t="shared" si="83"/>
        <v>1</v>
      </c>
      <c r="AI165" s="2">
        <f t="shared" si="84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988</v>
      </c>
      <c r="N166" s="30" t="s">
        <v>902</v>
      </c>
      <c r="O166" s="31">
        <v>1</v>
      </c>
      <c r="P166" s="31"/>
      <c r="Q166" s="30" t="s">
        <v>986</v>
      </c>
      <c r="R166" s="2"/>
      <c r="S166" s="2">
        <f t="shared" si="69"/>
        <v>0</v>
      </c>
      <c r="T166" s="2">
        <f t="shared" si="70"/>
        <v>0</v>
      </c>
      <c r="U166" s="2">
        <f t="shared" si="71"/>
        <v>0</v>
      </c>
      <c r="V166" s="2">
        <f t="shared" si="72"/>
        <v>0</v>
      </c>
      <c r="W166" s="2">
        <f t="shared" si="73"/>
        <v>0</v>
      </c>
      <c r="X166" s="2">
        <f t="shared" si="74"/>
        <v>0</v>
      </c>
      <c r="Y166" s="2">
        <f t="shared" si="75"/>
        <v>0</v>
      </c>
      <c r="Z166" s="2">
        <f t="shared" si="76"/>
        <v>0</v>
      </c>
      <c r="AA166" s="2">
        <f t="shared" si="77"/>
        <v>0</v>
      </c>
      <c r="AB166" s="2">
        <f t="shared" si="78"/>
        <v>0</v>
      </c>
      <c r="AC166" s="2"/>
      <c r="AD166" s="2">
        <f t="shared" si="79"/>
        <v>0</v>
      </c>
      <c r="AE166" s="2">
        <f t="shared" si="80"/>
        <v>1</v>
      </c>
      <c r="AF166" s="2">
        <f t="shared" si="81"/>
        <v>0</v>
      </c>
      <c r="AG166" s="2">
        <f t="shared" si="82"/>
        <v>1</v>
      </c>
      <c r="AH166" s="2">
        <f t="shared" si="83"/>
        <v>0</v>
      </c>
      <c r="AI166" s="2">
        <f t="shared" si="84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69"/>
        <v>0</v>
      </c>
      <c r="T167" s="2">
        <f t="shared" si="70"/>
        <v>0</v>
      </c>
      <c r="U167" s="2">
        <f t="shared" si="71"/>
        <v>0</v>
      </c>
      <c r="V167" s="2">
        <f t="shared" si="72"/>
        <v>0</v>
      </c>
      <c r="W167" s="2">
        <f t="shared" si="73"/>
        <v>0</v>
      </c>
      <c r="X167" s="2">
        <f t="shared" si="74"/>
        <v>0</v>
      </c>
      <c r="Y167" s="2">
        <f t="shared" si="75"/>
        <v>0</v>
      </c>
      <c r="Z167" s="2">
        <f t="shared" si="76"/>
        <v>1</v>
      </c>
      <c r="AA167" s="2">
        <f t="shared" si="77"/>
        <v>0</v>
      </c>
      <c r="AB167" s="2">
        <f t="shared" si="78"/>
        <v>0</v>
      </c>
      <c r="AC167" s="2"/>
      <c r="AD167" s="2">
        <f t="shared" si="79"/>
        <v>0</v>
      </c>
      <c r="AE167" s="2">
        <f t="shared" si="80"/>
        <v>1</v>
      </c>
      <c r="AF167" s="2">
        <f t="shared" si="81"/>
        <v>0</v>
      </c>
      <c r="AG167" s="2">
        <f t="shared" si="82"/>
        <v>1</v>
      </c>
      <c r="AH167" s="2">
        <f t="shared" si="83"/>
        <v>0</v>
      </c>
      <c r="AI167" s="2">
        <f t="shared" si="84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69"/>
        <v>0</v>
      </c>
      <c r="T168" s="2">
        <f t="shared" si="70"/>
        <v>0</v>
      </c>
      <c r="U168" s="2">
        <f t="shared" si="71"/>
        <v>0</v>
      </c>
      <c r="V168" s="2">
        <f t="shared" si="72"/>
        <v>0</v>
      </c>
      <c r="W168" s="2">
        <f t="shared" si="73"/>
        <v>0</v>
      </c>
      <c r="X168" s="2">
        <f t="shared" si="74"/>
        <v>0</v>
      </c>
      <c r="Y168" s="2">
        <f t="shared" si="75"/>
        <v>0</v>
      </c>
      <c r="Z168" s="2">
        <f t="shared" si="76"/>
        <v>0</v>
      </c>
      <c r="AA168" s="2">
        <f t="shared" si="77"/>
        <v>0</v>
      </c>
      <c r="AB168" s="2">
        <f t="shared" si="78"/>
        <v>0</v>
      </c>
      <c r="AC168" s="2"/>
      <c r="AD168" s="2">
        <f t="shared" si="79"/>
        <v>0</v>
      </c>
      <c r="AE168" s="2">
        <f t="shared" si="80"/>
        <v>0</v>
      </c>
      <c r="AF168" s="2">
        <f t="shared" si="81"/>
        <v>0</v>
      </c>
      <c r="AG168" s="2">
        <f t="shared" si="82"/>
        <v>0</v>
      </c>
      <c r="AH168" s="2">
        <f t="shared" si="83"/>
        <v>0</v>
      </c>
      <c r="AI168" s="2">
        <f t="shared" si="84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69"/>
        <v>1</v>
      </c>
      <c r="T169" s="2">
        <f t="shared" si="70"/>
        <v>0</v>
      </c>
      <c r="U169" s="2">
        <f t="shared" si="71"/>
        <v>0</v>
      </c>
      <c r="V169" s="2">
        <f t="shared" si="72"/>
        <v>0</v>
      </c>
      <c r="W169" s="2">
        <f t="shared" si="73"/>
        <v>0</v>
      </c>
      <c r="X169" s="2">
        <f t="shared" si="74"/>
        <v>0</v>
      </c>
      <c r="Y169" s="2">
        <f t="shared" si="75"/>
        <v>0</v>
      </c>
      <c r="Z169" s="2">
        <f t="shared" si="76"/>
        <v>0</v>
      </c>
      <c r="AA169" s="2">
        <f t="shared" si="77"/>
        <v>0</v>
      </c>
      <c r="AB169" s="2">
        <f t="shared" si="78"/>
        <v>0</v>
      </c>
      <c r="AC169" s="2"/>
      <c r="AD169" s="2">
        <f t="shared" si="79"/>
        <v>0</v>
      </c>
      <c r="AE169" s="2">
        <f t="shared" si="80"/>
        <v>0</v>
      </c>
      <c r="AF169" s="2">
        <f t="shared" si="81"/>
        <v>0</v>
      </c>
      <c r="AG169" s="2">
        <f t="shared" si="82"/>
        <v>0</v>
      </c>
      <c r="AH169" s="2">
        <f t="shared" si="83"/>
        <v>0</v>
      </c>
      <c r="AI169" s="2">
        <f t="shared" si="84"/>
        <v>1</v>
      </c>
    </row>
    <row r="170" spans="1:16384" s="3" customFormat="1" ht="14.25" customHeight="1" x14ac:dyDescent="0.25">
      <c r="A170" s="26">
        <v>0</v>
      </c>
      <c r="B170" s="26">
        <v>2</v>
      </c>
      <c r="C170" s="26">
        <v>2</v>
      </c>
      <c r="D170" s="27" t="s">
        <v>464</v>
      </c>
      <c r="E170" s="27" t="s">
        <v>30</v>
      </c>
      <c r="F170" s="27" t="s">
        <v>422</v>
      </c>
      <c r="G170" s="27" t="s">
        <v>160</v>
      </c>
      <c r="H170" s="27" t="s">
        <v>165</v>
      </c>
      <c r="I170" s="26" t="s">
        <v>423</v>
      </c>
      <c r="J170" s="26">
        <v>1</v>
      </c>
      <c r="K170" s="26" t="s">
        <v>321</v>
      </c>
      <c r="L170" s="26" t="s">
        <v>40</v>
      </c>
      <c r="M170" s="27" t="s">
        <v>40</v>
      </c>
      <c r="N170" s="27"/>
      <c r="O170" s="28"/>
      <c r="P170" s="28">
        <v>1</v>
      </c>
      <c r="Q170" s="27"/>
      <c r="R170" s="2"/>
      <c r="S170" s="2">
        <f t="shared" si="69"/>
        <v>1</v>
      </c>
      <c r="T170" s="2">
        <f t="shared" si="70"/>
        <v>0</v>
      </c>
      <c r="U170" s="2">
        <f t="shared" si="71"/>
        <v>0</v>
      </c>
      <c r="V170" s="2">
        <f t="shared" si="72"/>
        <v>0</v>
      </c>
      <c r="W170" s="2">
        <f t="shared" si="73"/>
        <v>0</v>
      </c>
      <c r="X170" s="2">
        <f t="shared" si="74"/>
        <v>0</v>
      </c>
      <c r="Y170" s="2">
        <f t="shared" si="75"/>
        <v>0</v>
      </c>
      <c r="Z170" s="2">
        <f t="shared" si="76"/>
        <v>0</v>
      </c>
      <c r="AA170" s="2">
        <f t="shared" si="77"/>
        <v>0</v>
      </c>
      <c r="AB170" s="2">
        <f t="shared" si="78"/>
        <v>0</v>
      </c>
      <c r="AC170" s="2"/>
      <c r="AD170" s="2">
        <f t="shared" si="79"/>
        <v>0</v>
      </c>
      <c r="AE170" s="2">
        <f t="shared" si="80"/>
        <v>0</v>
      </c>
      <c r="AF170" s="2">
        <f t="shared" si="81"/>
        <v>0</v>
      </c>
      <c r="AG170" s="2">
        <f t="shared" si="82"/>
        <v>0</v>
      </c>
      <c r="AH170" s="2">
        <f t="shared" si="83"/>
        <v>1</v>
      </c>
      <c r="AI170" s="2">
        <f t="shared" si="84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69"/>
        <v>0</v>
      </c>
      <c r="T171" s="2">
        <f t="shared" si="70"/>
        <v>0</v>
      </c>
      <c r="U171" s="2">
        <f t="shared" si="71"/>
        <v>0</v>
      </c>
      <c r="V171" s="2">
        <f t="shared" si="72"/>
        <v>0</v>
      </c>
      <c r="W171" s="2">
        <f t="shared" si="73"/>
        <v>0</v>
      </c>
      <c r="X171" s="2">
        <f t="shared" si="74"/>
        <v>0</v>
      </c>
      <c r="Y171" s="2">
        <f t="shared" si="75"/>
        <v>0</v>
      </c>
      <c r="Z171" s="2">
        <f t="shared" si="76"/>
        <v>0</v>
      </c>
      <c r="AA171" s="2">
        <f t="shared" si="77"/>
        <v>0</v>
      </c>
      <c r="AB171" s="2">
        <f t="shared" si="78"/>
        <v>0</v>
      </c>
      <c r="AC171" s="2"/>
      <c r="AD171" s="2">
        <f t="shared" si="79"/>
        <v>1</v>
      </c>
      <c r="AE171" s="2">
        <f t="shared" si="80"/>
        <v>0</v>
      </c>
      <c r="AF171" s="2">
        <f t="shared" si="81"/>
        <v>1</v>
      </c>
      <c r="AG171" s="2">
        <f t="shared" si="82"/>
        <v>0</v>
      </c>
      <c r="AH171" s="2">
        <f t="shared" si="83"/>
        <v>1</v>
      </c>
      <c r="AI171" s="2">
        <f t="shared" si="84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944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69"/>
        <v>1</v>
      </c>
      <c r="T172" s="2">
        <f t="shared" si="70"/>
        <v>0</v>
      </c>
      <c r="U172" s="2">
        <f t="shared" si="71"/>
        <v>0</v>
      </c>
      <c r="V172" s="2">
        <f t="shared" si="72"/>
        <v>0</v>
      </c>
      <c r="W172" s="2">
        <f t="shared" si="73"/>
        <v>0</v>
      </c>
      <c r="X172" s="2">
        <f t="shared" si="74"/>
        <v>0</v>
      </c>
      <c r="Y172" s="2">
        <f t="shared" si="75"/>
        <v>0</v>
      </c>
      <c r="Z172" s="2">
        <f t="shared" si="76"/>
        <v>0</v>
      </c>
      <c r="AA172" s="2">
        <f t="shared" si="77"/>
        <v>0</v>
      </c>
      <c r="AB172" s="2">
        <f t="shared" si="78"/>
        <v>0</v>
      </c>
      <c r="AC172" s="2"/>
      <c r="AD172" s="2">
        <f t="shared" si="79"/>
        <v>1</v>
      </c>
      <c r="AE172" s="2">
        <f t="shared" si="80"/>
        <v>0</v>
      </c>
      <c r="AF172" s="2">
        <f t="shared" si="81"/>
        <v>1</v>
      </c>
      <c r="AG172" s="2">
        <f t="shared" si="82"/>
        <v>0</v>
      </c>
      <c r="AH172" s="2">
        <f t="shared" si="83"/>
        <v>1</v>
      </c>
      <c r="AI172" s="2">
        <f t="shared" si="84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69"/>
        <v>1</v>
      </c>
      <c r="T173" s="2">
        <f t="shared" si="70"/>
        <v>0</v>
      </c>
      <c r="U173" s="2">
        <f t="shared" si="71"/>
        <v>0</v>
      </c>
      <c r="V173" s="2">
        <f t="shared" si="72"/>
        <v>0</v>
      </c>
      <c r="W173" s="2">
        <f t="shared" si="73"/>
        <v>0</v>
      </c>
      <c r="X173" s="2">
        <f t="shared" si="74"/>
        <v>0</v>
      </c>
      <c r="Y173" s="2">
        <f t="shared" si="75"/>
        <v>0</v>
      </c>
      <c r="Z173" s="2">
        <f t="shared" si="76"/>
        <v>0</v>
      </c>
      <c r="AA173" s="2">
        <f t="shared" si="77"/>
        <v>0</v>
      </c>
      <c r="AB173" s="2">
        <f t="shared" si="78"/>
        <v>0</v>
      </c>
      <c r="AC173" s="2"/>
      <c r="AD173" s="2">
        <f t="shared" si="79"/>
        <v>1</v>
      </c>
      <c r="AE173" s="2">
        <f t="shared" si="80"/>
        <v>0</v>
      </c>
      <c r="AF173" s="2">
        <f t="shared" si="81"/>
        <v>0</v>
      </c>
      <c r="AG173" s="2">
        <f t="shared" si="82"/>
        <v>0</v>
      </c>
      <c r="AH173" s="2">
        <f t="shared" si="83"/>
        <v>0</v>
      </c>
      <c r="AI173" s="2">
        <f t="shared" si="8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69"/>
        <v>0</v>
      </c>
      <c r="T174" s="2">
        <f t="shared" si="70"/>
        <v>0</v>
      </c>
      <c r="U174" s="2">
        <f t="shared" si="71"/>
        <v>0</v>
      </c>
      <c r="V174" s="2">
        <f t="shared" si="72"/>
        <v>0</v>
      </c>
      <c r="W174" s="2">
        <f t="shared" si="73"/>
        <v>0</v>
      </c>
      <c r="X174" s="2">
        <f t="shared" si="74"/>
        <v>0</v>
      </c>
      <c r="Y174" s="2">
        <f t="shared" si="75"/>
        <v>0</v>
      </c>
      <c r="Z174" s="2">
        <f t="shared" si="76"/>
        <v>0</v>
      </c>
      <c r="AA174" s="2">
        <f t="shared" si="77"/>
        <v>0</v>
      </c>
      <c r="AB174" s="2">
        <f t="shared" si="78"/>
        <v>0</v>
      </c>
      <c r="AC174" s="2"/>
      <c r="AD174" s="2">
        <f t="shared" si="79"/>
        <v>0</v>
      </c>
      <c r="AE174" s="2">
        <f t="shared" si="80"/>
        <v>0</v>
      </c>
      <c r="AF174" s="2">
        <f t="shared" si="81"/>
        <v>0</v>
      </c>
      <c r="AG174" s="2">
        <f t="shared" si="82"/>
        <v>0</v>
      </c>
      <c r="AH174" s="2">
        <f t="shared" si="83"/>
        <v>0</v>
      </c>
      <c r="AI174" s="2">
        <f t="shared" si="8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69"/>
        <v>0</v>
      </c>
      <c r="T175" s="2">
        <f t="shared" si="70"/>
        <v>0</v>
      </c>
      <c r="U175" s="2">
        <f t="shared" si="71"/>
        <v>1</v>
      </c>
      <c r="V175" s="2">
        <f t="shared" si="72"/>
        <v>0</v>
      </c>
      <c r="W175" s="2">
        <f t="shared" si="73"/>
        <v>0</v>
      </c>
      <c r="X175" s="2">
        <f t="shared" si="74"/>
        <v>0</v>
      </c>
      <c r="Y175" s="2">
        <f t="shared" si="75"/>
        <v>0</v>
      </c>
      <c r="Z175" s="2">
        <f t="shared" si="76"/>
        <v>0</v>
      </c>
      <c r="AA175" s="2">
        <f t="shared" si="77"/>
        <v>0</v>
      </c>
      <c r="AB175" s="2">
        <f t="shared" si="78"/>
        <v>0</v>
      </c>
      <c r="AC175" s="2"/>
      <c r="AD175" s="2">
        <f t="shared" si="79"/>
        <v>1</v>
      </c>
      <c r="AE175" s="2">
        <f t="shared" si="80"/>
        <v>0</v>
      </c>
      <c r="AF175" s="2">
        <f t="shared" si="81"/>
        <v>1</v>
      </c>
      <c r="AG175" s="2">
        <f t="shared" si="82"/>
        <v>0</v>
      </c>
      <c r="AH175" s="2">
        <f t="shared" si="83"/>
        <v>1</v>
      </c>
      <c r="AI175" s="2">
        <f t="shared" si="84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920</v>
      </c>
      <c r="E176" s="30"/>
      <c r="F176" s="30" t="s">
        <v>921</v>
      </c>
      <c r="G176" s="30"/>
      <c r="H176" s="30" t="s">
        <v>165</v>
      </c>
      <c r="I176" s="29" t="s">
        <v>922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69"/>
        <v>0</v>
      </c>
      <c r="T176" s="2">
        <f t="shared" si="70"/>
        <v>0</v>
      </c>
      <c r="U176" s="2">
        <f t="shared" si="71"/>
        <v>0</v>
      </c>
      <c r="V176" s="2">
        <f t="shared" si="72"/>
        <v>0</v>
      </c>
      <c r="W176" s="2">
        <f t="shared" si="73"/>
        <v>0</v>
      </c>
      <c r="X176" s="2">
        <f t="shared" si="74"/>
        <v>0</v>
      </c>
      <c r="Y176" s="2">
        <f t="shared" si="75"/>
        <v>0</v>
      </c>
      <c r="Z176" s="2">
        <f t="shared" si="76"/>
        <v>0</v>
      </c>
      <c r="AA176" s="2">
        <f t="shared" si="77"/>
        <v>0</v>
      </c>
      <c r="AB176" s="2">
        <f t="shared" si="78"/>
        <v>0</v>
      </c>
      <c r="AC176" s="2"/>
      <c r="AD176" s="2">
        <f t="shared" si="79"/>
        <v>1</v>
      </c>
      <c r="AE176" s="2">
        <f t="shared" si="80"/>
        <v>0</v>
      </c>
      <c r="AF176" s="2">
        <f t="shared" si="81"/>
        <v>1</v>
      </c>
      <c r="AG176" s="2">
        <f t="shared" si="82"/>
        <v>0</v>
      </c>
      <c r="AH176" s="2">
        <f t="shared" si="83"/>
        <v>1</v>
      </c>
      <c r="AI176" s="2">
        <f t="shared" si="84"/>
        <v>0</v>
      </c>
    </row>
    <row r="177" spans="1:35" s="3" customFormat="1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R177" s="2"/>
      <c r="S177" s="2">
        <f t="shared" si="69"/>
        <v>1</v>
      </c>
      <c r="T177" s="2">
        <f t="shared" si="70"/>
        <v>0</v>
      </c>
      <c r="U177" s="2">
        <f t="shared" si="71"/>
        <v>0</v>
      </c>
      <c r="V177" s="2">
        <f t="shared" si="72"/>
        <v>0</v>
      </c>
      <c r="W177" s="2">
        <f t="shared" si="73"/>
        <v>0</v>
      </c>
      <c r="X177" s="2">
        <f t="shared" si="74"/>
        <v>0</v>
      </c>
      <c r="Y177" s="2">
        <f t="shared" si="75"/>
        <v>0</v>
      </c>
      <c r="Z177" s="2">
        <f t="shared" si="76"/>
        <v>0</v>
      </c>
      <c r="AA177" s="2">
        <f t="shared" si="77"/>
        <v>0</v>
      </c>
      <c r="AB177" s="2">
        <f t="shared" si="78"/>
        <v>0</v>
      </c>
      <c r="AC177" s="2"/>
      <c r="AD177" s="2">
        <f t="shared" si="79"/>
        <v>0</v>
      </c>
      <c r="AE177" s="2">
        <f t="shared" si="80"/>
        <v>0</v>
      </c>
      <c r="AF177" s="2">
        <f t="shared" si="81"/>
        <v>0</v>
      </c>
      <c r="AG177" s="2">
        <f t="shared" si="82"/>
        <v>0</v>
      </c>
      <c r="AH177" s="2">
        <f t="shared" si="83"/>
        <v>0</v>
      </c>
      <c r="AI177" s="2">
        <f t="shared" si="84"/>
        <v>1</v>
      </c>
    </row>
    <row r="178" spans="1:35" s="3" customFormat="1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924</v>
      </c>
      <c r="O178" s="31">
        <v>1</v>
      </c>
      <c r="P178" s="31"/>
      <c r="Q178" s="30"/>
      <c r="R178" s="2"/>
      <c r="S178" s="2">
        <f t="shared" si="69"/>
        <v>0</v>
      </c>
      <c r="T178" s="2">
        <f t="shared" si="70"/>
        <v>0</v>
      </c>
      <c r="U178" s="2">
        <f t="shared" si="71"/>
        <v>0</v>
      </c>
      <c r="V178" s="2">
        <f t="shared" si="72"/>
        <v>0</v>
      </c>
      <c r="W178" s="2">
        <f t="shared" si="73"/>
        <v>0</v>
      </c>
      <c r="X178" s="2">
        <f t="shared" si="74"/>
        <v>0</v>
      </c>
      <c r="Y178" s="2">
        <f t="shared" si="75"/>
        <v>0</v>
      </c>
      <c r="Z178" s="2">
        <f t="shared" si="76"/>
        <v>0</v>
      </c>
      <c r="AA178" s="2">
        <f t="shared" si="77"/>
        <v>0</v>
      </c>
      <c r="AB178" s="2">
        <f t="shared" si="78"/>
        <v>0</v>
      </c>
      <c r="AC178" s="2"/>
      <c r="AD178" s="2">
        <f t="shared" si="79"/>
        <v>0</v>
      </c>
      <c r="AE178" s="2">
        <f t="shared" si="80"/>
        <v>1</v>
      </c>
      <c r="AF178" s="2">
        <f t="shared" si="81"/>
        <v>0</v>
      </c>
      <c r="AG178" s="2">
        <f t="shared" si="82"/>
        <v>1</v>
      </c>
      <c r="AH178" s="2">
        <f t="shared" si="83"/>
        <v>0</v>
      </c>
      <c r="AI178" s="2">
        <f t="shared" si="84"/>
        <v>1</v>
      </c>
    </row>
    <row r="179" spans="1:35" s="3" customFormat="1" ht="14.25" customHeight="1" x14ac:dyDescent="0.25">
      <c r="A179" s="29">
        <v>0</v>
      </c>
      <c r="B179" s="29">
        <v>2</v>
      </c>
      <c r="C179" s="29">
        <v>4</v>
      </c>
      <c r="D179" s="30" t="s">
        <v>62</v>
      </c>
      <c r="E179" s="30" t="s">
        <v>36</v>
      </c>
      <c r="F179" s="30" t="s">
        <v>134</v>
      </c>
      <c r="G179" s="30" t="s">
        <v>40</v>
      </c>
      <c r="H179" s="30" t="s">
        <v>165</v>
      </c>
      <c r="I179" s="29" t="s">
        <v>183</v>
      </c>
      <c r="J179" s="29">
        <v>4</v>
      </c>
      <c r="K179" s="29" t="s">
        <v>320</v>
      </c>
      <c r="L179" s="29" t="s">
        <v>846</v>
      </c>
      <c r="M179" s="30" t="s">
        <v>740</v>
      </c>
      <c r="N179" s="30" t="s">
        <v>919</v>
      </c>
      <c r="O179" s="31">
        <v>1</v>
      </c>
      <c r="P179" s="31"/>
      <c r="Q179" s="30"/>
      <c r="R179" s="2"/>
      <c r="S179" s="2">
        <f t="shared" si="69"/>
        <v>0</v>
      </c>
      <c r="T179" s="2">
        <f t="shared" si="70"/>
        <v>0</v>
      </c>
      <c r="U179" s="2">
        <f t="shared" si="71"/>
        <v>0</v>
      </c>
      <c r="V179" s="2">
        <f t="shared" si="72"/>
        <v>1</v>
      </c>
      <c r="W179" s="2">
        <f t="shared" si="73"/>
        <v>0</v>
      </c>
      <c r="X179" s="2">
        <f t="shared" si="74"/>
        <v>0</v>
      </c>
      <c r="Y179" s="2">
        <f t="shared" si="75"/>
        <v>0</v>
      </c>
      <c r="Z179" s="2">
        <f t="shared" si="76"/>
        <v>0</v>
      </c>
      <c r="AA179" s="2">
        <f t="shared" si="77"/>
        <v>0</v>
      </c>
      <c r="AB179" s="2">
        <f t="shared" si="78"/>
        <v>0</v>
      </c>
      <c r="AC179" s="2"/>
      <c r="AD179" s="2">
        <f t="shared" si="79"/>
        <v>0</v>
      </c>
      <c r="AE179" s="2">
        <f t="shared" si="80"/>
        <v>1</v>
      </c>
      <c r="AF179" s="2">
        <f t="shared" si="81"/>
        <v>0</v>
      </c>
      <c r="AG179" s="2">
        <f t="shared" si="82"/>
        <v>1</v>
      </c>
      <c r="AH179" s="2">
        <f t="shared" si="83"/>
        <v>0</v>
      </c>
      <c r="AI179" s="2">
        <f t="shared" si="84"/>
        <v>1</v>
      </c>
    </row>
    <row r="180" spans="1:35" s="3" customFormat="1" ht="14.25" customHeight="1" x14ac:dyDescent="0.25">
      <c r="A180" s="32">
        <v>0</v>
      </c>
      <c r="B180" s="32">
        <v>2</v>
      </c>
      <c r="C180" s="32">
        <v>4</v>
      </c>
      <c r="D180" s="33" t="s">
        <v>65</v>
      </c>
      <c r="E180" s="33" t="s">
        <v>88</v>
      </c>
      <c r="F180" s="33" t="s">
        <v>141</v>
      </c>
      <c r="G180" s="33" t="s">
        <v>140</v>
      </c>
      <c r="H180" s="33" t="s">
        <v>165</v>
      </c>
      <c r="I180" s="32" t="s">
        <v>186</v>
      </c>
      <c r="J180" s="32">
        <v>99</v>
      </c>
      <c r="K180" s="32" t="s">
        <v>320</v>
      </c>
      <c r="L180" s="32" t="s">
        <v>338</v>
      </c>
      <c r="M180" s="33" t="s">
        <v>205</v>
      </c>
      <c r="N180" s="33" t="s">
        <v>884</v>
      </c>
      <c r="O180" s="34"/>
      <c r="P180" s="34"/>
      <c r="Q180" s="33"/>
      <c r="R180" s="2"/>
      <c r="S180" s="2">
        <f t="shared" si="69"/>
        <v>0</v>
      </c>
      <c r="T180" s="2">
        <f t="shared" si="70"/>
        <v>0</v>
      </c>
      <c r="U180" s="2">
        <f t="shared" si="71"/>
        <v>0</v>
      </c>
      <c r="V180" s="2">
        <f t="shared" si="72"/>
        <v>0</v>
      </c>
      <c r="W180" s="2">
        <f t="shared" si="73"/>
        <v>0</v>
      </c>
      <c r="X180" s="2">
        <f t="shared" si="74"/>
        <v>0</v>
      </c>
      <c r="Y180" s="2">
        <f t="shared" si="75"/>
        <v>0</v>
      </c>
      <c r="Z180" s="2">
        <f t="shared" si="76"/>
        <v>0</v>
      </c>
      <c r="AA180" s="2">
        <f t="shared" si="77"/>
        <v>0</v>
      </c>
      <c r="AB180" s="2">
        <f t="shared" si="78"/>
        <v>0</v>
      </c>
      <c r="AC180" s="2"/>
      <c r="AD180" s="2">
        <f t="shared" si="79"/>
        <v>0</v>
      </c>
      <c r="AE180" s="2">
        <f t="shared" si="80"/>
        <v>0</v>
      </c>
      <c r="AF180" s="2">
        <f t="shared" si="81"/>
        <v>0</v>
      </c>
      <c r="AG180" s="2">
        <f t="shared" si="82"/>
        <v>0</v>
      </c>
      <c r="AH180" s="2">
        <f t="shared" si="83"/>
        <v>0</v>
      </c>
      <c r="AI180" s="2">
        <f t="shared" si="84"/>
        <v>1</v>
      </c>
    </row>
    <row r="181" spans="1:35" s="3" customFormat="1" ht="14.25" customHeight="1" x14ac:dyDescent="0.25">
      <c r="A181" s="29">
        <v>0</v>
      </c>
      <c r="B181" s="29">
        <v>2</v>
      </c>
      <c r="C181" s="29">
        <v>4</v>
      </c>
      <c r="D181" s="30" t="s">
        <v>81</v>
      </c>
      <c r="E181" s="30" t="s">
        <v>36</v>
      </c>
      <c r="F181" s="30" t="s">
        <v>164</v>
      </c>
      <c r="G181" s="30" t="s">
        <v>130</v>
      </c>
      <c r="H181" s="30" t="s">
        <v>165</v>
      </c>
      <c r="I181" s="29" t="s">
        <v>204</v>
      </c>
      <c r="J181" s="29">
        <v>10</v>
      </c>
      <c r="K181" s="29" t="s">
        <v>318</v>
      </c>
      <c r="L181" s="29" t="s">
        <v>847</v>
      </c>
      <c r="M181" s="30" t="s">
        <v>741</v>
      </c>
      <c r="N181" s="30" t="s">
        <v>919</v>
      </c>
      <c r="O181" s="31">
        <v>1</v>
      </c>
      <c r="P181" s="31"/>
      <c r="Q181" s="30"/>
      <c r="R181" s="2"/>
      <c r="S181" s="2">
        <f t="shared" si="69"/>
        <v>0</v>
      </c>
      <c r="T181" s="2">
        <f t="shared" si="70"/>
        <v>0</v>
      </c>
      <c r="U181" s="2">
        <f t="shared" si="71"/>
        <v>0</v>
      </c>
      <c r="V181" s="2">
        <f t="shared" si="72"/>
        <v>0</v>
      </c>
      <c r="W181" s="2">
        <f t="shared" si="73"/>
        <v>0</v>
      </c>
      <c r="X181" s="2">
        <f t="shared" si="74"/>
        <v>0</v>
      </c>
      <c r="Y181" s="2">
        <f t="shared" si="75"/>
        <v>0</v>
      </c>
      <c r="Z181" s="2">
        <f t="shared" si="76"/>
        <v>0</v>
      </c>
      <c r="AA181" s="2">
        <f t="shared" si="77"/>
        <v>0</v>
      </c>
      <c r="AB181" s="2">
        <f t="shared" si="78"/>
        <v>1</v>
      </c>
      <c r="AC181" s="2"/>
      <c r="AD181" s="2">
        <f t="shared" si="79"/>
        <v>0</v>
      </c>
      <c r="AE181" s="2">
        <f t="shared" si="80"/>
        <v>1</v>
      </c>
      <c r="AF181" s="2">
        <f t="shared" si="81"/>
        <v>0</v>
      </c>
      <c r="AG181" s="2">
        <f t="shared" si="82"/>
        <v>1</v>
      </c>
      <c r="AH181" s="2">
        <f t="shared" si="83"/>
        <v>0</v>
      </c>
      <c r="AI181" s="2">
        <f t="shared" si="84"/>
        <v>1</v>
      </c>
    </row>
    <row r="182" spans="1:35" s="3" customFormat="1" ht="14.25" customHeight="1" x14ac:dyDescent="0.25">
      <c r="A182" s="20">
        <v>0</v>
      </c>
      <c r="B182" s="20">
        <v>2</v>
      </c>
      <c r="C182" s="20">
        <v>4</v>
      </c>
      <c r="D182" s="21" t="s">
        <v>965</v>
      </c>
      <c r="E182" s="21" t="s">
        <v>966</v>
      </c>
      <c r="F182" s="21" t="s">
        <v>967</v>
      </c>
      <c r="G182" s="21" t="s">
        <v>968</v>
      </c>
      <c r="H182" s="21" t="s">
        <v>165</v>
      </c>
      <c r="I182" s="20"/>
      <c r="J182" s="20"/>
      <c r="K182" s="20" t="s">
        <v>376</v>
      </c>
      <c r="L182" s="20">
        <v>35</v>
      </c>
      <c r="M182" s="21" t="s">
        <v>969</v>
      </c>
      <c r="N182" s="21"/>
      <c r="O182" s="20"/>
      <c r="P182" s="20"/>
      <c r="Q182" s="21"/>
      <c r="R182" s="2"/>
      <c r="S182" s="2">
        <f t="shared" si="69"/>
        <v>0</v>
      </c>
      <c r="T182" s="2">
        <f t="shared" si="70"/>
        <v>0</v>
      </c>
      <c r="U182" s="2">
        <f t="shared" si="71"/>
        <v>0</v>
      </c>
      <c r="V182" s="2">
        <f t="shared" si="72"/>
        <v>0</v>
      </c>
      <c r="W182" s="2">
        <f t="shared" si="73"/>
        <v>0</v>
      </c>
      <c r="X182" s="2">
        <f t="shared" si="74"/>
        <v>0</v>
      </c>
      <c r="Y182" s="2">
        <f t="shared" si="75"/>
        <v>0</v>
      </c>
      <c r="Z182" s="2">
        <f t="shared" si="76"/>
        <v>0</v>
      </c>
      <c r="AA182" s="2">
        <f t="shared" si="77"/>
        <v>0</v>
      </c>
      <c r="AB182" s="2">
        <f t="shared" si="78"/>
        <v>0</v>
      </c>
      <c r="AC182" s="2"/>
      <c r="AD182" s="2">
        <f t="shared" si="79"/>
        <v>0</v>
      </c>
      <c r="AE182" s="2">
        <f t="shared" si="80"/>
        <v>0</v>
      </c>
      <c r="AF182" s="2">
        <f t="shared" si="81"/>
        <v>0</v>
      </c>
      <c r="AG182" s="2">
        <f t="shared" si="82"/>
        <v>0</v>
      </c>
      <c r="AH182" s="2">
        <f t="shared" si="83"/>
        <v>0</v>
      </c>
      <c r="AI182" s="2">
        <f t="shared" si="84"/>
        <v>1</v>
      </c>
    </row>
    <row r="183" spans="1:35" s="3" customFormat="1" ht="14.25" customHeight="1" x14ac:dyDescent="0.25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366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892</v>
      </c>
      <c r="N183" s="21"/>
      <c r="O183" s="7"/>
      <c r="P183" s="7"/>
      <c r="Q183" s="21"/>
      <c r="R183" s="2"/>
      <c r="S183" s="2">
        <f t="shared" si="69"/>
        <v>0</v>
      </c>
      <c r="T183" s="2">
        <f t="shared" si="70"/>
        <v>0</v>
      </c>
      <c r="U183" s="2">
        <f t="shared" si="71"/>
        <v>0</v>
      </c>
      <c r="V183" s="2">
        <f t="shared" si="72"/>
        <v>0</v>
      </c>
      <c r="W183" s="2">
        <f t="shared" si="73"/>
        <v>0</v>
      </c>
      <c r="X183" s="2">
        <f t="shared" si="74"/>
        <v>1</v>
      </c>
      <c r="Y183" s="2">
        <f t="shared" si="75"/>
        <v>0</v>
      </c>
      <c r="Z183" s="2">
        <f t="shared" si="76"/>
        <v>0</v>
      </c>
      <c r="AA183" s="2">
        <f t="shared" si="77"/>
        <v>0</v>
      </c>
      <c r="AB183" s="2">
        <f t="shared" si="78"/>
        <v>0</v>
      </c>
      <c r="AC183" s="2"/>
      <c r="AD183" s="2">
        <f t="shared" si="79"/>
        <v>0</v>
      </c>
      <c r="AE183" s="2">
        <f t="shared" si="80"/>
        <v>0</v>
      </c>
      <c r="AF183" s="2">
        <f t="shared" si="81"/>
        <v>0</v>
      </c>
      <c r="AG183" s="2">
        <f t="shared" si="82"/>
        <v>0</v>
      </c>
      <c r="AH183" s="2">
        <f t="shared" si="83"/>
        <v>0</v>
      </c>
      <c r="AI183" s="2">
        <f t="shared" si="84"/>
        <v>1</v>
      </c>
    </row>
    <row r="184" spans="1:35" s="3" customFormat="1" ht="14.25" customHeight="1" x14ac:dyDescent="0.25">
      <c r="A184" s="29">
        <v>0</v>
      </c>
      <c r="B184" s="29">
        <v>2</v>
      </c>
      <c r="C184" s="29">
        <v>4</v>
      </c>
      <c r="D184" s="30" t="s">
        <v>565</v>
      </c>
      <c r="E184" s="30" t="s">
        <v>36</v>
      </c>
      <c r="F184" s="30" t="s">
        <v>527</v>
      </c>
      <c r="G184" s="30" t="s">
        <v>103</v>
      </c>
      <c r="H184" s="30" t="s">
        <v>165</v>
      </c>
      <c r="I184" s="29" t="s">
        <v>528</v>
      </c>
      <c r="J184" s="29">
        <v>6</v>
      </c>
      <c r="K184" s="29" t="s">
        <v>318</v>
      </c>
      <c r="L184" s="29">
        <v>35</v>
      </c>
      <c r="M184" s="30" t="s">
        <v>694</v>
      </c>
      <c r="N184" s="30" t="s">
        <v>924</v>
      </c>
      <c r="O184" s="31">
        <v>1</v>
      </c>
      <c r="P184" s="31"/>
      <c r="Q184" s="30"/>
      <c r="R184" s="2"/>
      <c r="S184" s="2">
        <f t="shared" si="69"/>
        <v>0</v>
      </c>
      <c r="T184" s="2">
        <f t="shared" si="70"/>
        <v>0</v>
      </c>
      <c r="U184" s="2">
        <f t="shared" si="71"/>
        <v>0</v>
      </c>
      <c r="V184" s="2">
        <f t="shared" si="72"/>
        <v>0</v>
      </c>
      <c r="W184" s="2">
        <f t="shared" si="73"/>
        <v>0</v>
      </c>
      <c r="X184" s="2">
        <f t="shared" si="74"/>
        <v>1</v>
      </c>
      <c r="Y184" s="2">
        <f t="shared" si="75"/>
        <v>0</v>
      </c>
      <c r="Z184" s="2">
        <f t="shared" si="76"/>
        <v>0</v>
      </c>
      <c r="AA184" s="2">
        <f t="shared" si="77"/>
        <v>0</v>
      </c>
      <c r="AB184" s="2">
        <f t="shared" si="78"/>
        <v>0</v>
      </c>
      <c r="AC184" s="2"/>
      <c r="AD184" s="2">
        <f t="shared" si="79"/>
        <v>0</v>
      </c>
      <c r="AE184" s="2">
        <f t="shared" si="80"/>
        <v>1</v>
      </c>
      <c r="AF184" s="2">
        <f t="shared" si="81"/>
        <v>0</v>
      </c>
      <c r="AG184" s="2">
        <f t="shared" si="82"/>
        <v>1</v>
      </c>
      <c r="AH184" s="2">
        <f t="shared" si="83"/>
        <v>0</v>
      </c>
      <c r="AI184" s="2">
        <f t="shared" si="84"/>
        <v>1</v>
      </c>
    </row>
    <row r="185" spans="1:35" s="3" customFormat="1" ht="14.25" customHeight="1" x14ac:dyDescent="0.25">
      <c r="A185" s="20">
        <v>0</v>
      </c>
      <c r="B185" s="20">
        <v>2</v>
      </c>
      <c r="C185" s="20">
        <v>4</v>
      </c>
      <c r="D185" s="21" t="s">
        <v>804</v>
      </c>
      <c r="E185" s="21" t="s">
        <v>29</v>
      </c>
      <c r="F185" s="21" t="s">
        <v>817</v>
      </c>
      <c r="G185" s="21" t="s">
        <v>818</v>
      </c>
      <c r="H185" s="21" t="s">
        <v>165</v>
      </c>
      <c r="I185" s="20" t="s">
        <v>837</v>
      </c>
      <c r="J185" s="20">
        <v>99</v>
      </c>
      <c r="K185" s="20" t="s">
        <v>318</v>
      </c>
      <c r="L185" s="20" t="s">
        <v>343</v>
      </c>
      <c r="M185" s="21" t="s">
        <v>642</v>
      </c>
      <c r="N185" s="21"/>
      <c r="O185" s="7"/>
      <c r="P185" s="7"/>
      <c r="Q185" s="21"/>
      <c r="R185" s="2"/>
      <c r="S185" s="2">
        <f t="shared" si="69"/>
        <v>0</v>
      </c>
      <c r="T185" s="2">
        <f t="shared" si="70"/>
        <v>0</v>
      </c>
      <c r="U185" s="2">
        <f t="shared" si="71"/>
        <v>0</v>
      </c>
      <c r="V185" s="2">
        <f t="shared" si="72"/>
        <v>0</v>
      </c>
      <c r="W185" s="2">
        <f t="shared" si="73"/>
        <v>0</v>
      </c>
      <c r="X185" s="2">
        <f t="shared" si="74"/>
        <v>0</v>
      </c>
      <c r="Y185" s="2">
        <f t="shared" si="75"/>
        <v>0</v>
      </c>
      <c r="Z185" s="2">
        <f t="shared" si="76"/>
        <v>0</v>
      </c>
      <c r="AA185" s="2">
        <f t="shared" si="77"/>
        <v>0</v>
      </c>
      <c r="AB185" s="2">
        <f t="shared" si="78"/>
        <v>0</v>
      </c>
      <c r="AC185" s="2"/>
      <c r="AD185" s="2">
        <f t="shared" si="79"/>
        <v>0</v>
      </c>
      <c r="AE185" s="2">
        <f t="shared" si="80"/>
        <v>0</v>
      </c>
      <c r="AF185" s="2">
        <f t="shared" si="81"/>
        <v>0</v>
      </c>
      <c r="AG185" s="2">
        <f t="shared" si="82"/>
        <v>0</v>
      </c>
      <c r="AH185" s="2">
        <f t="shared" si="83"/>
        <v>0</v>
      </c>
      <c r="AI185" s="2">
        <f t="shared" si="84"/>
        <v>1</v>
      </c>
    </row>
    <row r="186" spans="1:35" s="3" customFormat="1" ht="14.25" customHeight="1" x14ac:dyDescent="0.25">
      <c r="A186" s="20">
        <v>0</v>
      </c>
      <c r="B186" s="20">
        <v>2</v>
      </c>
      <c r="C186" s="20">
        <v>4</v>
      </c>
      <c r="D186" s="21" t="s">
        <v>567</v>
      </c>
      <c r="E186" s="21" t="s">
        <v>36</v>
      </c>
      <c r="F186" s="21" t="s">
        <v>579</v>
      </c>
      <c r="G186" s="21" t="s">
        <v>517</v>
      </c>
      <c r="H186" s="21" t="s">
        <v>165</v>
      </c>
      <c r="I186" s="20" t="s">
        <v>538</v>
      </c>
      <c r="J186" s="20">
        <v>7</v>
      </c>
      <c r="K186" s="20" t="s">
        <v>376</v>
      </c>
      <c r="L186" s="20">
        <v>30</v>
      </c>
      <c r="M186" s="21" t="s">
        <v>599</v>
      </c>
      <c r="N186" s="21"/>
      <c r="O186" s="7"/>
      <c r="P186" s="7"/>
      <c r="Q186" s="21"/>
      <c r="R186" s="2"/>
      <c r="S186" s="2">
        <f t="shared" si="69"/>
        <v>0</v>
      </c>
      <c r="T186" s="2">
        <f t="shared" si="70"/>
        <v>0</v>
      </c>
      <c r="U186" s="2">
        <f t="shared" si="71"/>
        <v>0</v>
      </c>
      <c r="V186" s="2">
        <f t="shared" si="72"/>
        <v>0</v>
      </c>
      <c r="W186" s="2">
        <f t="shared" si="73"/>
        <v>0</v>
      </c>
      <c r="X186" s="2">
        <f t="shared" si="74"/>
        <v>0</v>
      </c>
      <c r="Y186" s="2">
        <f t="shared" si="75"/>
        <v>1</v>
      </c>
      <c r="Z186" s="2">
        <f t="shared" si="76"/>
        <v>0</v>
      </c>
      <c r="AA186" s="2">
        <f t="shared" si="77"/>
        <v>0</v>
      </c>
      <c r="AB186" s="2">
        <f t="shared" si="78"/>
        <v>0</v>
      </c>
      <c r="AC186" s="2"/>
      <c r="AD186" s="2">
        <f t="shared" si="79"/>
        <v>0</v>
      </c>
      <c r="AE186" s="2">
        <f t="shared" si="80"/>
        <v>0</v>
      </c>
      <c r="AF186" s="2">
        <f t="shared" si="81"/>
        <v>0</v>
      </c>
      <c r="AG186" s="2">
        <f t="shared" si="82"/>
        <v>0</v>
      </c>
      <c r="AH186" s="2">
        <f t="shared" si="83"/>
        <v>0</v>
      </c>
      <c r="AI186" s="2">
        <f t="shared" si="84"/>
        <v>1</v>
      </c>
    </row>
    <row r="187" spans="1:35" s="3" customFormat="1" ht="14.25" customHeight="1" x14ac:dyDescent="0.25">
      <c r="A187" s="29">
        <v>0</v>
      </c>
      <c r="B187" s="29">
        <v>2</v>
      </c>
      <c r="C187" s="29">
        <v>4</v>
      </c>
      <c r="D187" s="30" t="s">
        <v>679</v>
      </c>
      <c r="E187" s="30" t="s">
        <v>673</v>
      </c>
      <c r="F187" s="30" t="s">
        <v>612</v>
      </c>
      <c r="G187" s="30" t="s">
        <v>125</v>
      </c>
      <c r="H187" s="30" t="s">
        <v>165</v>
      </c>
      <c r="I187" s="29" t="s">
        <v>613</v>
      </c>
      <c r="J187" s="29">
        <v>99</v>
      </c>
      <c r="K187" s="29" t="s">
        <v>318</v>
      </c>
      <c r="L187" s="29" t="s">
        <v>343</v>
      </c>
      <c r="M187" s="30" t="s">
        <v>781</v>
      </c>
      <c r="N187" s="30" t="s">
        <v>919</v>
      </c>
      <c r="O187" s="31">
        <v>1</v>
      </c>
      <c r="P187" s="31"/>
      <c r="Q187" s="30"/>
      <c r="R187" s="2"/>
      <c r="S187" s="2">
        <f t="shared" si="69"/>
        <v>0</v>
      </c>
      <c r="T187" s="2">
        <f t="shared" si="70"/>
        <v>0</v>
      </c>
      <c r="U187" s="2">
        <f t="shared" si="71"/>
        <v>0</v>
      </c>
      <c r="V187" s="2">
        <f t="shared" si="72"/>
        <v>0</v>
      </c>
      <c r="W187" s="2">
        <f t="shared" si="73"/>
        <v>0</v>
      </c>
      <c r="X187" s="2">
        <f t="shared" si="74"/>
        <v>0</v>
      </c>
      <c r="Y187" s="2">
        <f t="shared" si="75"/>
        <v>0</v>
      </c>
      <c r="Z187" s="2">
        <f t="shared" si="76"/>
        <v>0</v>
      </c>
      <c r="AA187" s="2">
        <f t="shared" si="77"/>
        <v>0</v>
      </c>
      <c r="AB187" s="2">
        <f t="shared" si="78"/>
        <v>0</v>
      </c>
      <c r="AC187" s="2"/>
      <c r="AD187" s="2">
        <f t="shared" si="79"/>
        <v>0</v>
      </c>
      <c r="AE187" s="2">
        <f t="shared" si="80"/>
        <v>1</v>
      </c>
      <c r="AF187" s="2">
        <f t="shared" si="81"/>
        <v>0</v>
      </c>
      <c r="AG187" s="2">
        <f t="shared" si="82"/>
        <v>1</v>
      </c>
      <c r="AH187" s="2">
        <f t="shared" si="83"/>
        <v>0</v>
      </c>
      <c r="AI187" s="2">
        <f t="shared" si="84"/>
        <v>1</v>
      </c>
    </row>
    <row r="188" spans="1:35" s="3" customFormat="1" ht="14.25" customHeight="1" x14ac:dyDescent="0.25">
      <c r="A188" s="29">
        <v>0</v>
      </c>
      <c r="B188" s="29">
        <v>2</v>
      </c>
      <c r="C188" s="29">
        <v>4</v>
      </c>
      <c r="D188" s="30" t="s">
        <v>761</v>
      </c>
      <c r="E188" s="30" t="s">
        <v>762</v>
      </c>
      <c r="F188" s="30" t="s">
        <v>763</v>
      </c>
      <c r="G188" s="30"/>
      <c r="H188" s="30" t="s">
        <v>165</v>
      </c>
      <c r="I188" s="29" t="s">
        <v>764</v>
      </c>
      <c r="J188" s="29">
        <v>99</v>
      </c>
      <c r="K188" s="29" t="s">
        <v>376</v>
      </c>
      <c r="L188" s="29">
        <v>35</v>
      </c>
      <c r="M188" s="30" t="s">
        <v>939</v>
      </c>
      <c r="N188" s="30" t="s">
        <v>888</v>
      </c>
      <c r="O188" s="31">
        <v>1</v>
      </c>
      <c r="P188" s="31"/>
      <c r="Q188" s="30"/>
      <c r="R188" s="2"/>
      <c r="S188" s="2">
        <f t="shared" si="69"/>
        <v>0</v>
      </c>
      <c r="T188" s="2">
        <f t="shared" si="70"/>
        <v>0</v>
      </c>
      <c r="U188" s="2">
        <f t="shared" si="71"/>
        <v>0</v>
      </c>
      <c r="V188" s="2">
        <f t="shared" si="72"/>
        <v>0</v>
      </c>
      <c r="W188" s="2">
        <f t="shared" si="73"/>
        <v>0</v>
      </c>
      <c r="X188" s="2">
        <f t="shared" si="74"/>
        <v>0</v>
      </c>
      <c r="Y188" s="2">
        <f t="shared" si="75"/>
        <v>0</v>
      </c>
      <c r="Z188" s="2">
        <f t="shared" si="76"/>
        <v>0</v>
      </c>
      <c r="AA188" s="2">
        <f t="shared" si="77"/>
        <v>0</v>
      </c>
      <c r="AB188" s="2">
        <f t="shared" si="78"/>
        <v>0</v>
      </c>
      <c r="AC188" s="2"/>
      <c r="AD188" s="2">
        <f t="shared" si="79"/>
        <v>0</v>
      </c>
      <c r="AE188" s="2">
        <f t="shared" si="80"/>
        <v>1</v>
      </c>
      <c r="AF188" s="2">
        <f t="shared" si="81"/>
        <v>0</v>
      </c>
      <c r="AG188" s="2">
        <f t="shared" si="82"/>
        <v>1</v>
      </c>
      <c r="AH188" s="2">
        <f t="shared" si="83"/>
        <v>0</v>
      </c>
      <c r="AI188" s="2">
        <f t="shared" si="84"/>
        <v>1</v>
      </c>
    </row>
    <row r="189" spans="1:35" s="3" customFormat="1" ht="14.25" customHeight="1" x14ac:dyDescent="0.25">
      <c r="A189" s="29">
        <v>0</v>
      </c>
      <c r="B189" s="29">
        <v>2</v>
      </c>
      <c r="C189" s="29">
        <v>4</v>
      </c>
      <c r="D189" s="30" t="s">
        <v>67</v>
      </c>
      <c r="E189" s="30" t="s">
        <v>89</v>
      </c>
      <c r="F189" s="30" t="s">
        <v>144</v>
      </c>
      <c r="G189" s="30" t="s">
        <v>129</v>
      </c>
      <c r="H189" s="30" t="s">
        <v>165</v>
      </c>
      <c r="I189" s="29" t="s">
        <v>190</v>
      </c>
      <c r="J189" s="29">
        <v>99</v>
      </c>
      <c r="K189" s="29" t="s">
        <v>321</v>
      </c>
      <c r="L189" s="29">
        <v>25</v>
      </c>
      <c r="M189" s="30" t="s">
        <v>989</v>
      </c>
      <c r="N189" s="30" t="s">
        <v>888</v>
      </c>
      <c r="O189" s="31">
        <v>1</v>
      </c>
      <c r="P189" s="31"/>
      <c r="Q189" s="30"/>
      <c r="R189" s="2"/>
      <c r="S189" s="2">
        <f t="shared" si="69"/>
        <v>0</v>
      </c>
      <c r="T189" s="2">
        <f t="shared" si="70"/>
        <v>0</v>
      </c>
      <c r="U189" s="2">
        <f t="shared" si="71"/>
        <v>0</v>
      </c>
      <c r="V189" s="2">
        <f t="shared" si="72"/>
        <v>0</v>
      </c>
      <c r="W189" s="2">
        <f t="shared" si="73"/>
        <v>0</v>
      </c>
      <c r="X189" s="2">
        <f t="shared" si="74"/>
        <v>0</v>
      </c>
      <c r="Y189" s="2">
        <f t="shared" si="75"/>
        <v>0</v>
      </c>
      <c r="Z189" s="2">
        <f t="shared" si="76"/>
        <v>0</v>
      </c>
      <c r="AA189" s="2">
        <f t="shared" si="77"/>
        <v>0</v>
      </c>
      <c r="AB189" s="2">
        <f t="shared" si="78"/>
        <v>0</v>
      </c>
      <c r="AC189" s="2"/>
      <c r="AD189" s="2">
        <f t="shared" si="79"/>
        <v>0</v>
      </c>
      <c r="AE189" s="2">
        <f t="shared" si="80"/>
        <v>1</v>
      </c>
      <c r="AF189" s="2">
        <f t="shared" si="81"/>
        <v>0</v>
      </c>
      <c r="AG189" s="2">
        <f t="shared" si="82"/>
        <v>1</v>
      </c>
      <c r="AH189" s="2">
        <f t="shared" si="83"/>
        <v>0</v>
      </c>
      <c r="AI189" s="2">
        <f t="shared" si="84"/>
        <v>1</v>
      </c>
    </row>
    <row r="190" spans="1:35" s="3" customFormat="1" ht="14.25" customHeight="1" x14ac:dyDescent="0.25">
      <c r="A190" s="29">
        <v>0</v>
      </c>
      <c r="B190" s="29">
        <v>2</v>
      </c>
      <c r="C190" s="29">
        <v>4</v>
      </c>
      <c r="D190" s="30" t="s">
        <v>424</v>
      </c>
      <c r="E190" s="30" t="s">
        <v>234</v>
      </c>
      <c r="F190" s="30" t="s">
        <v>425</v>
      </c>
      <c r="G190" s="30" t="s">
        <v>96</v>
      </c>
      <c r="H190" s="30" t="s">
        <v>165</v>
      </c>
      <c r="I190" s="29" t="s">
        <v>426</v>
      </c>
      <c r="J190" s="29">
        <v>3</v>
      </c>
      <c r="K190" s="29" t="s">
        <v>318</v>
      </c>
      <c r="L190" s="29" t="s">
        <v>339</v>
      </c>
      <c r="M190" s="30" t="s">
        <v>742</v>
      </c>
      <c r="N190" s="30" t="s">
        <v>901</v>
      </c>
      <c r="O190" s="31">
        <v>1</v>
      </c>
      <c r="P190" s="31"/>
      <c r="Q190" s="30"/>
      <c r="R190" s="2"/>
      <c r="S190" s="2">
        <f t="shared" si="69"/>
        <v>0</v>
      </c>
      <c r="T190" s="2">
        <f t="shared" si="70"/>
        <v>0</v>
      </c>
      <c r="U190" s="2">
        <f t="shared" si="71"/>
        <v>1</v>
      </c>
      <c r="V190" s="2">
        <f t="shared" si="72"/>
        <v>0</v>
      </c>
      <c r="W190" s="2">
        <f t="shared" si="73"/>
        <v>0</v>
      </c>
      <c r="X190" s="2">
        <f t="shared" si="74"/>
        <v>0</v>
      </c>
      <c r="Y190" s="2">
        <f t="shared" si="75"/>
        <v>0</v>
      </c>
      <c r="Z190" s="2">
        <f t="shared" si="76"/>
        <v>0</v>
      </c>
      <c r="AA190" s="2">
        <f t="shared" si="77"/>
        <v>0</v>
      </c>
      <c r="AB190" s="2">
        <f t="shared" si="78"/>
        <v>0</v>
      </c>
      <c r="AC190" s="2"/>
      <c r="AD190" s="2">
        <f t="shared" si="79"/>
        <v>0</v>
      </c>
      <c r="AE190" s="2">
        <f t="shared" si="80"/>
        <v>1</v>
      </c>
      <c r="AF190" s="2">
        <f t="shared" si="81"/>
        <v>0</v>
      </c>
      <c r="AG190" s="2">
        <f t="shared" si="82"/>
        <v>1</v>
      </c>
      <c r="AH190" s="2">
        <f t="shared" si="83"/>
        <v>0</v>
      </c>
      <c r="AI190" s="2">
        <f t="shared" si="84"/>
        <v>1</v>
      </c>
    </row>
    <row r="191" spans="1:35" s="3" customFormat="1" ht="14.25" customHeight="1" x14ac:dyDescent="0.25">
      <c r="A191" s="29">
        <v>0</v>
      </c>
      <c r="B191" s="29">
        <v>2</v>
      </c>
      <c r="C191" s="29">
        <v>4</v>
      </c>
      <c r="D191" s="30" t="s">
        <v>214</v>
      </c>
      <c r="E191" s="30" t="s">
        <v>36</v>
      </c>
      <c r="F191" s="30" t="s">
        <v>213</v>
      </c>
      <c r="G191" s="30" t="s">
        <v>97</v>
      </c>
      <c r="H191" s="30" t="s">
        <v>165</v>
      </c>
      <c r="I191" s="29" t="s">
        <v>212</v>
      </c>
      <c r="J191" s="29">
        <v>99</v>
      </c>
      <c r="K191" s="29" t="s">
        <v>376</v>
      </c>
      <c r="L191" s="29">
        <v>25</v>
      </c>
      <c r="M191" s="30" t="s">
        <v>916</v>
      </c>
      <c r="N191" s="30" t="s">
        <v>924</v>
      </c>
      <c r="O191" s="31">
        <v>1</v>
      </c>
      <c r="P191" s="31"/>
      <c r="Q191" s="30"/>
      <c r="R191" s="2"/>
      <c r="S191" s="2">
        <f t="shared" si="69"/>
        <v>0</v>
      </c>
      <c r="T191" s="2">
        <f t="shared" si="70"/>
        <v>0</v>
      </c>
      <c r="U191" s="2">
        <f t="shared" si="71"/>
        <v>0</v>
      </c>
      <c r="V191" s="2">
        <f t="shared" si="72"/>
        <v>0</v>
      </c>
      <c r="W191" s="2">
        <f t="shared" si="73"/>
        <v>0</v>
      </c>
      <c r="X191" s="2">
        <f t="shared" si="74"/>
        <v>0</v>
      </c>
      <c r="Y191" s="2">
        <f t="shared" si="75"/>
        <v>0</v>
      </c>
      <c r="Z191" s="2">
        <f t="shared" si="76"/>
        <v>0</v>
      </c>
      <c r="AA191" s="2">
        <f t="shared" si="77"/>
        <v>0</v>
      </c>
      <c r="AB191" s="2">
        <f t="shared" si="78"/>
        <v>0</v>
      </c>
      <c r="AC191" s="2"/>
      <c r="AD191" s="2">
        <f t="shared" si="79"/>
        <v>0</v>
      </c>
      <c r="AE191" s="2">
        <f t="shared" si="80"/>
        <v>1</v>
      </c>
      <c r="AF191" s="2">
        <f t="shared" si="81"/>
        <v>0</v>
      </c>
      <c r="AG191" s="2">
        <f t="shared" si="82"/>
        <v>1</v>
      </c>
      <c r="AH191" s="2">
        <f t="shared" si="83"/>
        <v>0</v>
      </c>
      <c r="AI191" s="2">
        <f t="shared" si="84"/>
        <v>1</v>
      </c>
    </row>
    <row r="192" spans="1:35" s="3" customFormat="1" ht="14.25" customHeight="1" x14ac:dyDescent="0.25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376</v>
      </c>
      <c r="L192" s="32">
        <v>25</v>
      </c>
      <c r="M192" s="33" t="s">
        <v>496</v>
      </c>
      <c r="N192" s="33" t="s">
        <v>918</v>
      </c>
      <c r="O192" s="34"/>
      <c r="P192" s="34"/>
      <c r="Q192" s="33"/>
      <c r="R192" s="2"/>
      <c r="S192" s="2">
        <f t="shared" si="69"/>
        <v>0</v>
      </c>
      <c r="T192" s="2">
        <f t="shared" si="70"/>
        <v>0</v>
      </c>
      <c r="U192" s="2">
        <f t="shared" si="71"/>
        <v>0</v>
      </c>
      <c r="V192" s="2">
        <f t="shared" si="72"/>
        <v>0</v>
      </c>
      <c r="W192" s="2">
        <f t="shared" si="73"/>
        <v>0</v>
      </c>
      <c r="X192" s="2">
        <f t="shared" si="74"/>
        <v>0</v>
      </c>
      <c r="Y192" s="2">
        <f t="shared" si="75"/>
        <v>0</v>
      </c>
      <c r="Z192" s="2">
        <f t="shared" si="76"/>
        <v>0</v>
      </c>
      <c r="AA192" s="2">
        <f t="shared" si="77"/>
        <v>0</v>
      </c>
      <c r="AB192" s="2">
        <f t="shared" si="78"/>
        <v>0</v>
      </c>
      <c r="AC192" s="2"/>
      <c r="AD192" s="2">
        <f t="shared" si="79"/>
        <v>0</v>
      </c>
      <c r="AE192" s="2">
        <f t="shared" si="80"/>
        <v>0</v>
      </c>
      <c r="AF192" s="2">
        <f t="shared" si="81"/>
        <v>0</v>
      </c>
      <c r="AG192" s="2">
        <f t="shared" si="82"/>
        <v>0</v>
      </c>
      <c r="AH192" s="2">
        <f t="shared" si="83"/>
        <v>0</v>
      </c>
      <c r="AI192" s="2">
        <f t="shared" si="84"/>
        <v>1</v>
      </c>
    </row>
    <row r="193" spans="1:35" s="3" customFormat="1" ht="14.25" customHeight="1" x14ac:dyDescent="0.25">
      <c r="A193" s="32">
        <v>0</v>
      </c>
      <c r="B193" s="32">
        <v>2</v>
      </c>
      <c r="C193" s="32">
        <v>5</v>
      </c>
      <c r="D193" s="33" t="s">
        <v>419</v>
      </c>
      <c r="E193" s="33" t="s">
        <v>421</v>
      </c>
      <c r="F193" s="33" t="s">
        <v>574</v>
      </c>
      <c r="G193" s="33" t="s">
        <v>154</v>
      </c>
      <c r="H193" s="33" t="s">
        <v>165</v>
      </c>
      <c r="I193" s="32" t="s">
        <v>420</v>
      </c>
      <c r="J193" s="32">
        <v>99</v>
      </c>
      <c r="K193" s="32" t="s">
        <v>376</v>
      </c>
      <c r="L193" s="32">
        <v>30</v>
      </c>
      <c r="M193" s="33" t="s">
        <v>600</v>
      </c>
      <c r="N193" s="33" t="s">
        <v>918</v>
      </c>
      <c r="O193" s="34"/>
      <c r="P193" s="34"/>
      <c r="Q193" s="33"/>
      <c r="R193" s="2"/>
      <c r="S193" s="2">
        <f t="shared" si="69"/>
        <v>0</v>
      </c>
      <c r="T193" s="2">
        <f t="shared" si="70"/>
        <v>0</v>
      </c>
      <c r="U193" s="2">
        <f t="shared" si="71"/>
        <v>0</v>
      </c>
      <c r="V193" s="2">
        <f t="shared" si="72"/>
        <v>0</v>
      </c>
      <c r="W193" s="2">
        <f t="shared" si="73"/>
        <v>0</v>
      </c>
      <c r="X193" s="2">
        <f t="shared" si="74"/>
        <v>0</v>
      </c>
      <c r="Y193" s="2">
        <f t="shared" si="75"/>
        <v>0</v>
      </c>
      <c r="Z193" s="2">
        <f t="shared" si="76"/>
        <v>0</v>
      </c>
      <c r="AA193" s="2">
        <f t="shared" si="77"/>
        <v>0</v>
      </c>
      <c r="AB193" s="2">
        <f t="shared" si="78"/>
        <v>0</v>
      </c>
      <c r="AC193" s="2"/>
      <c r="AD193" s="2">
        <f t="shared" si="79"/>
        <v>0</v>
      </c>
      <c r="AE193" s="2">
        <f t="shared" si="80"/>
        <v>0</v>
      </c>
      <c r="AF193" s="2">
        <f t="shared" si="81"/>
        <v>0</v>
      </c>
      <c r="AG193" s="2">
        <f t="shared" si="82"/>
        <v>0</v>
      </c>
      <c r="AH193" s="2">
        <f t="shared" si="83"/>
        <v>0</v>
      </c>
      <c r="AI193" s="2">
        <f t="shared" si="84"/>
        <v>1</v>
      </c>
    </row>
    <row r="194" spans="1:35" s="3" customFormat="1" ht="14.25" customHeight="1" x14ac:dyDescent="0.25">
      <c r="A194" s="29">
        <v>0</v>
      </c>
      <c r="B194" s="29">
        <v>2</v>
      </c>
      <c r="C194" s="29">
        <v>5</v>
      </c>
      <c r="D194" s="30" t="s">
        <v>757</v>
      </c>
      <c r="E194" s="30" t="s">
        <v>263</v>
      </c>
      <c r="F194" s="30" t="s">
        <v>758</v>
      </c>
      <c r="G194" s="30" t="s">
        <v>456</v>
      </c>
      <c r="H194" s="30" t="s">
        <v>165</v>
      </c>
      <c r="I194" s="29" t="s">
        <v>33</v>
      </c>
      <c r="J194" s="29">
        <v>99</v>
      </c>
      <c r="K194" s="29" t="s">
        <v>693</v>
      </c>
      <c r="L194" s="29">
        <v>45</v>
      </c>
      <c r="M194" s="30" t="s">
        <v>990</v>
      </c>
      <c r="N194" s="30" t="s">
        <v>895</v>
      </c>
      <c r="O194" s="31">
        <v>1</v>
      </c>
      <c r="P194" s="31"/>
      <c r="Q194" s="30"/>
      <c r="R194" s="2"/>
      <c r="S194" s="2">
        <f t="shared" si="69"/>
        <v>0</v>
      </c>
      <c r="T194" s="2">
        <f t="shared" si="70"/>
        <v>0</v>
      </c>
      <c r="U194" s="2">
        <f t="shared" si="71"/>
        <v>0</v>
      </c>
      <c r="V194" s="2">
        <f t="shared" si="72"/>
        <v>0</v>
      </c>
      <c r="W194" s="2">
        <f t="shared" si="73"/>
        <v>0</v>
      </c>
      <c r="X194" s="2">
        <f t="shared" si="74"/>
        <v>0</v>
      </c>
      <c r="Y194" s="2">
        <f t="shared" si="75"/>
        <v>0</v>
      </c>
      <c r="Z194" s="2">
        <f t="shared" si="76"/>
        <v>0</v>
      </c>
      <c r="AA194" s="2">
        <f t="shared" si="77"/>
        <v>0</v>
      </c>
      <c r="AB194" s="2">
        <f t="shared" si="78"/>
        <v>0</v>
      </c>
      <c r="AC194" s="2"/>
      <c r="AD194" s="2">
        <f t="shared" si="79"/>
        <v>0</v>
      </c>
      <c r="AE194" s="2">
        <f t="shared" si="80"/>
        <v>1</v>
      </c>
      <c r="AF194" s="2">
        <f t="shared" si="81"/>
        <v>0</v>
      </c>
      <c r="AG194" s="2">
        <f t="shared" si="82"/>
        <v>1</v>
      </c>
      <c r="AH194" s="2">
        <f t="shared" si="83"/>
        <v>0</v>
      </c>
      <c r="AI194" s="2">
        <f t="shared" si="84"/>
        <v>1</v>
      </c>
    </row>
    <row r="195" spans="1:35" s="3" customFormat="1" ht="14.25" customHeight="1" x14ac:dyDescent="0.25">
      <c r="A195" s="29">
        <v>0</v>
      </c>
      <c r="B195" s="29">
        <v>2</v>
      </c>
      <c r="C195" s="29">
        <v>5</v>
      </c>
      <c r="D195" s="30" t="s">
        <v>402</v>
      </c>
      <c r="E195" s="30" t="s">
        <v>29</v>
      </c>
      <c r="F195" s="30" t="s">
        <v>287</v>
      </c>
      <c r="G195" s="30" t="s">
        <v>96</v>
      </c>
      <c r="H195" s="30" t="s">
        <v>165</v>
      </c>
      <c r="I195" s="29" t="s">
        <v>489</v>
      </c>
      <c r="J195" s="29">
        <v>3</v>
      </c>
      <c r="K195" s="29" t="s">
        <v>319</v>
      </c>
      <c r="L195" s="29" t="s">
        <v>334</v>
      </c>
      <c r="M195" s="30" t="s">
        <v>746</v>
      </c>
      <c r="N195" s="30" t="s">
        <v>888</v>
      </c>
      <c r="O195" s="31">
        <v>1</v>
      </c>
      <c r="P195" s="31"/>
      <c r="Q195" s="30"/>
      <c r="R195" s="2"/>
      <c r="S195" s="2">
        <f t="shared" si="69"/>
        <v>0</v>
      </c>
      <c r="T195" s="2">
        <f t="shared" si="70"/>
        <v>0</v>
      </c>
      <c r="U195" s="2">
        <f t="shared" si="71"/>
        <v>1</v>
      </c>
      <c r="V195" s="2">
        <f t="shared" si="72"/>
        <v>0</v>
      </c>
      <c r="W195" s="2">
        <f t="shared" si="73"/>
        <v>0</v>
      </c>
      <c r="X195" s="2">
        <f t="shared" si="74"/>
        <v>0</v>
      </c>
      <c r="Y195" s="2">
        <f t="shared" si="75"/>
        <v>0</v>
      </c>
      <c r="Z195" s="2">
        <f t="shared" si="76"/>
        <v>0</v>
      </c>
      <c r="AA195" s="2">
        <f t="shared" si="77"/>
        <v>0</v>
      </c>
      <c r="AB195" s="2">
        <f t="shared" si="78"/>
        <v>0</v>
      </c>
      <c r="AC195" s="2"/>
      <c r="AD195" s="2">
        <f t="shared" si="79"/>
        <v>0</v>
      </c>
      <c r="AE195" s="2">
        <f t="shared" si="80"/>
        <v>1</v>
      </c>
      <c r="AF195" s="2">
        <f t="shared" si="81"/>
        <v>0</v>
      </c>
      <c r="AG195" s="2">
        <f t="shared" si="82"/>
        <v>1</v>
      </c>
      <c r="AH195" s="2">
        <f t="shared" si="83"/>
        <v>0</v>
      </c>
      <c r="AI195" s="2">
        <f t="shared" si="84"/>
        <v>1</v>
      </c>
    </row>
    <row r="196" spans="1:35" s="3" customFormat="1" ht="14.25" customHeight="1" x14ac:dyDescent="0.25">
      <c r="A196" s="29">
        <v>0</v>
      </c>
      <c r="B196" s="29">
        <v>2</v>
      </c>
      <c r="C196" s="29">
        <v>5</v>
      </c>
      <c r="D196" s="30" t="s">
        <v>568</v>
      </c>
      <c r="E196" s="30" t="s">
        <v>36</v>
      </c>
      <c r="F196" s="30" t="s">
        <v>948</v>
      </c>
      <c r="G196" s="30" t="s">
        <v>668</v>
      </c>
      <c r="H196" s="30" t="s">
        <v>165</v>
      </c>
      <c r="I196" s="29" t="s">
        <v>33</v>
      </c>
      <c r="J196" s="29">
        <v>99</v>
      </c>
      <c r="K196" s="29" t="s">
        <v>320</v>
      </c>
      <c r="L196" s="29" t="s">
        <v>335</v>
      </c>
      <c r="M196" s="30" t="s">
        <v>601</v>
      </c>
      <c r="N196" s="30" t="s">
        <v>902</v>
      </c>
      <c r="O196" s="31">
        <v>1</v>
      </c>
      <c r="P196" s="31"/>
      <c r="Q196" s="30" t="s">
        <v>949</v>
      </c>
      <c r="R196" s="2"/>
      <c r="S196" s="2">
        <f t="shared" si="69"/>
        <v>0</v>
      </c>
      <c r="T196" s="2">
        <f t="shared" si="70"/>
        <v>0</v>
      </c>
      <c r="U196" s="2">
        <f t="shared" si="71"/>
        <v>0</v>
      </c>
      <c r="V196" s="2">
        <f t="shared" si="72"/>
        <v>0</v>
      </c>
      <c r="W196" s="2">
        <f t="shared" si="73"/>
        <v>0</v>
      </c>
      <c r="X196" s="2">
        <f t="shared" si="74"/>
        <v>0</v>
      </c>
      <c r="Y196" s="2">
        <f t="shared" si="75"/>
        <v>0</v>
      </c>
      <c r="Z196" s="2">
        <f t="shared" si="76"/>
        <v>0</v>
      </c>
      <c r="AA196" s="2">
        <f t="shared" si="77"/>
        <v>0</v>
      </c>
      <c r="AB196" s="2">
        <f t="shared" si="78"/>
        <v>0</v>
      </c>
      <c r="AC196" s="2"/>
      <c r="AD196" s="2">
        <f t="shared" si="79"/>
        <v>0</v>
      </c>
      <c r="AE196" s="2">
        <f t="shared" si="80"/>
        <v>1</v>
      </c>
      <c r="AF196" s="2">
        <f t="shared" si="81"/>
        <v>0</v>
      </c>
      <c r="AG196" s="2">
        <f t="shared" si="82"/>
        <v>1</v>
      </c>
      <c r="AH196" s="2">
        <f t="shared" si="83"/>
        <v>0</v>
      </c>
      <c r="AI196" s="2">
        <f t="shared" si="84"/>
        <v>1</v>
      </c>
    </row>
    <row r="197" spans="1:35" s="3" customFormat="1" ht="14.25" customHeight="1" x14ac:dyDescent="0.25">
      <c r="A197" s="20">
        <v>0</v>
      </c>
      <c r="B197" s="20">
        <v>2</v>
      </c>
      <c r="C197" s="20">
        <v>5</v>
      </c>
      <c r="D197" s="21" t="s">
        <v>233</v>
      </c>
      <c r="E197" s="21" t="s">
        <v>86</v>
      </c>
      <c r="F197" s="21" t="s">
        <v>254</v>
      </c>
      <c r="G197" s="21" t="s">
        <v>130</v>
      </c>
      <c r="H197" s="21" t="s">
        <v>165</v>
      </c>
      <c r="I197" s="20" t="s">
        <v>592</v>
      </c>
      <c r="J197" s="20">
        <v>10</v>
      </c>
      <c r="K197" s="20" t="s">
        <v>376</v>
      </c>
      <c r="L197" s="20" t="s">
        <v>333</v>
      </c>
      <c r="M197" s="21" t="s">
        <v>271</v>
      </c>
      <c r="N197" s="21"/>
      <c r="O197" s="7"/>
      <c r="P197" s="7"/>
      <c r="Q197" s="21"/>
      <c r="R197" s="2"/>
      <c r="S197" s="2">
        <f t="shared" si="69"/>
        <v>0</v>
      </c>
      <c r="T197" s="2">
        <f t="shared" si="70"/>
        <v>0</v>
      </c>
      <c r="U197" s="2">
        <f t="shared" si="71"/>
        <v>0</v>
      </c>
      <c r="V197" s="2">
        <f t="shared" si="72"/>
        <v>0</v>
      </c>
      <c r="W197" s="2">
        <f t="shared" si="73"/>
        <v>0</v>
      </c>
      <c r="X197" s="2">
        <f t="shared" si="74"/>
        <v>0</v>
      </c>
      <c r="Y197" s="2">
        <f t="shared" si="75"/>
        <v>0</v>
      </c>
      <c r="Z197" s="2">
        <f t="shared" si="76"/>
        <v>0</v>
      </c>
      <c r="AA197" s="2">
        <f t="shared" si="77"/>
        <v>0</v>
      </c>
      <c r="AB197" s="2">
        <f t="shared" si="78"/>
        <v>1</v>
      </c>
      <c r="AC197" s="2"/>
      <c r="AD197" s="2">
        <f t="shared" si="79"/>
        <v>0</v>
      </c>
      <c r="AE197" s="2">
        <f t="shared" si="80"/>
        <v>0</v>
      </c>
      <c r="AF197" s="2">
        <f t="shared" si="81"/>
        <v>0</v>
      </c>
      <c r="AG197" s="2">
        <f t="shared" si="82"/>
        <v>0</v>
      </c>
      <c r="AH197" s="2">
        <f t="shared" si="83"/>
        <v>0</v>
      </c>
      <c r="AI197" s="2">
        <f t="shared" si="84"/>
        <v>1</v>
      </c>
    </row>
    <row r="198" spans="1:35" s="3" customFormat="1" ht="14.25" customHeight="1" x14ac:dyDescent="0.25">
      <c r="A198" s="32">
        <v>0</v>
      </c>
      <c r="B198" s="32">
        <v>2</v>
      </c>
      <c r="C198" s="32">
        <v>5</v>
      </c>
      <c r="D198" s="33" t="s">
        <v>626</v>
      </c>
      <c r="E198" s="33" t="s">
        <v>29</v>
      </c>
      <c r="F198" s="33" t="s">
        <v>628</v>
      </c>
      <c r="G198" s="33" t="s">
        <v>821</v>
      </c>
      <c r="H198" s="33" t="s">
        <v>165</v>
      </c>
      <c r="I198" s="32" t="s">
        <v>629</v>
      </c>
      <c r="J198" s="32">
        <v>99</v>
      </c>
      <c r="K198" s="32" t="s">
        <v>320</v>
      </c>
      <c r="L198" s="32" t="s">
        <v>341</v>
      </c>
      <c r="M198" s="33" t="s">
        <v>779</v>
      </c>
      <c r="N198" s="33" t="s">
        <v>889</v>
      </c>
      <c r="O198" s="34"/>
      <c r="P198" s="34"/>
      <c r="Q198" s="33"/>
      <c r="R198" s="2"/>
      <c r="S198" s="2">
        <f t="shared" si="69"/>
        <v>0</v>
      </c>
      <c r="T198" s="2">
        <f t="shared" si="70"/>
        <v>0</v>
      </c>
      <c r="U198" s="2">
        <f t="shared" si="71"/>
        <v>0</v>
      </c>
      <c r="V198" s="2">
        <f t="shared" si="72"/>
        <v>0</v>
      </c>
      <c r="W198" s="2">
        <f t="shared" si="73"/>
        <v>0</v>
      </c>
      <c r="X198" s="2">
        <f t="shared" si="74"/>
        <v>0</v>
      </c>
      <c r="Y198" s="2">
        <f t="shared" si="75"/>
        <v>0</v>
      </c>
      <c r="Z198" s="2">
        <f t="shared" si="76"/>
        <v>0</v>
      </c>
      <c r="AA198" s="2">
        <f t="shared" si="77"/>
        <v>0</v>
      </c>
      <c r="AB198" s="2">
        <f t="shared" si="78"/>
        <v>0</v>
      </c>
      <c r="AC198" s="2"/>
      <c r="AD198" s="2">
        <f t="shared" si="79"/>
        <v>0</v>
      </c>
      <c r="AE198" s="2">
        <f t="shared" si="80"/>
        <v>0</v>
      </c>
      <c r="AF198" s="2">
        <f t="shared" si="81"/>
        <v>0</v>
      </c>
      <c r="AG198" s="2">
        <f t="shared" si="82"/>
        <v>0</v>
      </c>
      <c r="AH198" s="2">
        <f t="shared" si="83"/>
        <v>0</v>
      </c>
      <c r="AI198" s="2">
        <f t="shared" si="84"/>
        <v>1</v>
      </c>
    </row>
    <row r="199" spans="1:35" s="3" customFormat="1" ht="14.25" customHeight="1" x14ac:dyDescent="0.25">
      <c r="A199" s="29">
        <v>0</v>
      </c>
      <c r="B199" s="29">
        <v>2</v>
      </c>
      <c r="C199" s="29">
        <v>5</v>
      </c>
      <c r="D199" s="30" t="s">
        <v>805</v>
      </c>
      <c r="E199" s="30" t="s">
        <v>29</v>
      </c>
      <c r="F199" s="30" t="s">
        <v>640</v>
      </c>
      <c r="G199" s="30" t="s">
        <v>514</v>
      </c>
      <c r="H199" s="30" t="s">
        <v>165</v>
      </c>
      <c r="I199" s="29" t="s">
        <v>641</v>
      </c>
      <c r="J199" s="29">
        <v>99</v>
      </c>
      <c r="K199" s="29" t="s">
        <v>320</v>
      </c>
      <c r="L199" s="29" t="s">
        <v>346</v>
      </c>
      <c r="M199" s="30" t="s">
        <v>639</v>
      </c>
      <c r="N199" s="30" t="s">
        <v>902</v>
      </c>
      <c r="O199" s="31">
        <v>1</v>
      </c>
      <c r="P199" s="31"/>
      <c r="Q199" s="30"/>
      <c r="R199" s="2"/>
      <c r="S199" s="2">
        <f t="shared" si="69"/>
        <v>0</v>
      </c>
      <c r="T199" s="2">
        <f t="shared" si="70"/>
        <v>0</v>
      </c>
      <c r="U199" s="2">
        <f t="shared" si="71"/>
        <v>0</v>
      </c>
      <c r="V199" s="2">
        <f t="shared" si="72"/>
        <v>0</v>
      </c>
      <c r="W199" s="2">
        <f t="shared" si="73"/>
        <v>0</v>
      </c>
      <c r="X199" s="2">
        <f t="shared" si="74"/>
        <v>0</v>
      </c>
      <c r="Y199" s="2">
        <f t="shared" si="75"/>
        <v>0</v>
      </c>
      <c r="Z199" s="2">
        <f t="shared" si="76"/>
        <v>0</v>
      </c>
      <c r="AA199" s="2">
        <f t="shared" si="77"/>
        <v>0</v>
      </c>
      <c r="AB199" s="2">
        <f t="shared" si="78"/>
        <v>0</v>
      </c>
      <c r="AC199" s="2"/>
      <c r="AD199" s="2">
        <f t="shared" si="79"/>
        <v>0</v>
      </c>
      <c r="AE199" s="2">
        <f t="shared" si="80"/>
        <v>1</v>
      </c>
      <c r="AF199" s="2">
        <f t="shared" si="81"/>
        <v>0</v>
      </c>
      <c r="AG199" s="2">
        <f t="shared" si="82"/>
        <v>1</v>
      </c>
      <c r="AH199" s="2">
        <f t="shared" si="83"/>
        <v>0</v>
      </c>
      <c r="AI199" s="2">
        <f t="shared" si="84"/>
        <v>1</v>
      </c>
    </row>
    <row r="200" spans="1:35" s="3" customFormat="1" ht="14.25" customHeight="1" x14ac:dyDescent="0.25">
      <c r="A200" s="32">
        <v>0</v>
      </c>
      <c r="B200" s="32">
        <v>2</v>
      </c>
      <c r="C200" s="32">
        <v>6</v>
      </c>
      <c r="D200" s="33" t="s">
        <v>676</v>
      </c>
      <c r="E200" s="33" t="s">
        <v>34</v>
      </c>
      <c r="F200" s="33" t="s">
        <v>814</v>
      </c>
      <c r="G200" s="33" t="s">
        <v>96</v>
      </c>
      <c r="H200" s="33" t="s">
        <v>165</v>
      </c>
      <c r="I200" s="32" t="s">
        <v>614</v>
      </c>
      <c r="J200" s="32">
        <v>1</v>
      </c>
      <c r="K200" s="32" t="s">
        <v>318</v>
      </c>
      <c r="L200" s="32" t="s">
        <v>343</v>
      </c>
      <c r="M200" s="33" t="s">
        <v>615</v>
      </c>
      <c r="N200" s="33" t="s">
        <v>918</v>
      </c>
      <c r="O200" s="34"/>
      <c r="P200" s="34"/>
      <c r="Q200" s="33"/>
      <c r="R200" s="2"/>
      <c r="S200" s="2">
        <f t="shared" si="69"/>
        <v>1</v>
      </c>
      <c r="T200" s="2">
        <f t="shared" si="70"/>
        <v>0</v>
      </c>
      <c r="U200" s="2">
        <f t="shared" si="71"/>
        <v>0</v>
      </c>
      <c r="V200" s="2">
        <f t="shared" si="72"/>
        <v>0</v>
      </c>
      <c r="W200" s="2">
        <f t="shared" si="73"/>
        <v>0</v>
      </c>
      <c r="X200" s="2">
        <f t="shared" si="74"/>
        <v>0</v>
      </c>
      <c r="Y200" s="2">
        <f t="shared" si="75"/>
        <v>0</v>
      </c>
      <c r="Z200" s="2">
        <f t="shared" si="76"/>
        <v>0</v>
      </c>
      <c r="AA200" s="2">
        <f t="shared" si="77"/>
        <v>0</v>
      </c>
      <c r="AB200" s="2">
        <f t="shared" si="78"/>
        <v>0</v>
      </c>
      <c r="AC200" s="2"/>
      <c r="AD200" s="2">
        <f t="shared" si="79"/>
        <v>0</v>
      </c>
      <c r="AE200" s="2">
        <f t="shared" si="80"/>
        <v>0</v>
      </c>
      <c r="AF200" s="2">
        <f t="shared" si="81"/>
        <v>0</v>
      </c>
      <c r="AG200" s="2">
        <f t="shared" si="82"/>
        <v>0</v>
      </c>
      <c r="AH200" s="2">
        <f t="shared" si="83"/>
        <v>0</v>
      </c>
      <c r="AI200" s="2">
        <f t="shared" si="84"/>
        <v>1</v>
      </c>
    </row>
    <row r="201" spans="1:35" s="3" customFormat="1" ht="14.25" customHeight="1" x14ac:dyDescent="0.25">
      <c r="A201" s="29">
        <v>0</v>
      </c>
      <c r="B201" s="29">
        <v>2</v>
      </c>
      <c r="C201" s="29">
        <v>6</v>
      </c>
      <c r="D201" s="30" t="s">
        <v>52</v>
      </c>
      <c r="E201" s="30" t="s">
        <v>34</v>
      </c>
      <c r="F201" s="30" t="s">
        <v>105</v>
      </c>
      <c r="G201" s="30" t="s">
        <v>39</v>
      </c>
      <c r="H201" s="30" t="s">
        <v>165</v>
      </c>
      <c r="I201" s="29" t="s">
        <v>840</v>
      </c>
      <c r="J201" s="29">
        <v>8</v>
      </c>
      <c r="K201" s="29" t="s">
        <v>318</v>
      </c>
      <c r="L201" s="29" t="s">
        <v>339</v>
      </c>
      <c r="M201" s="30" t="s">
        <v>272</v>
      </c>
      <c r="N201" s="30" t="s">
        <v>901</v>
      </c>
      <c r="O201" s="31">
        <v>1</v>
      </c>
      <c r="P201" s="31"/>
      <c r="Q201" s="30"/>
      <c r="R201" s="2"/>
      <c r="S201" s="2">
        <f t="shared" si="69"/>
        <v>0</v>
      </c>
      <c r="T201" s="2">
        <f t="shared" si="70"/>
        <v>0</v>
      </c>
      <c r="U201" s="2">
        <f t="shared" si="71"/>
        <v>0</v>
      </c>
      <c r="V201" s="2">
        <f t="shared" si="72"/>
        <v>0</v>
      </c>
      <c r="W201" s="2">
        <f t="shared" si="73"/>
        <v>0</v>
      </c>
      <c r="X201" s="2">
        <f t="shared" si="74"/>
        <v>0</v>
      </c>
      <c r="Y201" s="2">
        <f t="shared" si="75"/>
        <v>0</v>
      </c>
      <c r="Z201" s="2">
        <f t="shared" si="76"/>
        <v>1</v>
      </c>
      <c r="AA201" s="2">
        <f t="shared" si="77"/>
        <v>0</v>
      </c>
      <c r="AB201" s="2">
        <f t="shared" si="78"/>
        <v>0</v>
      </c>
      <c r="AC201" s="2"/>
      <c r="AD201" s="2">
        <f t="shared" si="79"/>
        <v>0</v>
      </c>
      <c r="AE201" s="2">
        <f t="shared" si="80"/>
        <v>1</v>
      </c>
      <c r="AF201" s="2">
        <f t="shared" si="81"/>
        <v>0</v>
      </c>
      <c r="AG201" s="2">
        <f t="shared" si="82"/>
        <v>1</v>
      </c>
      <c r="AH201" s="2">
        <f t="shared" si="83"/>
        <v>0</v>
      </c>
      <c r="AI201" s="2">
        <f t="shared" si="84"/>
        <v>1</v>
      </c>
    </row>
    <row r="202" spans="1:35" s="3" customFormat="1" ht="14.25" customHeight="1" x14ac:dyDescent="0.25">
      <c r="A202" s="29">
        <v>0</v>
      </c>
      <c r="B202" s="29">
        <v>2</v>
      </c>
      <c r="C202" s="29">
        <v>6</v>
      </c>
      <c r="D202" s="30" t="s">
        <v>461</v>
      </c>
      <c r="E202" s="30" t="s">
        <v>34</v>
      </c>
      <c r="F202" s="30" t="s">
        <v>943</v>
      </c>
      <c r="G202" s="30" t="s">
        <v>103</v>
      </c>
      <c r="H202" s="30" t="s">
        <v>165</v>
      </c>
      <c r="I202" s="29" t="s">
        <v>392</v>
      </c>
      <c r="J202" s="29">
        <v>6</v>
      </c>
      <c r="K202" s="29" t="s">
        <v>321</v>
      </c>
      <c r="L202" s="29" t="s">
        <v>339</v>
      </c>
      <c r="M202" s="30" t="s">
        <v>696</v>
      </c>
      <c r="N202" s="30" t="s">
        <v>924</v>
      </c>
      <c r="O202" s="31">
        <v>1</v>
      </c>
      <c r="P202" s="31"/>
      <c r="Q202" s="30"/>
      <c r="R202" s="2"/>
      <c r="S202" s="2">
        <f t="shared" si="69"/>
        <v>0</v>
      </c>
      <c r="T202" s="2">
        <f t="shared" si="70"/>
        <v>0</v>
      </c>
      <c r="U202" s="2">
        <f t="shared" si="71"/>
        <v>0</v>
      </c>
      <c r="V202" s="2">
        <f t="shared" si="72"/>
        <v>0</v>
      </c>
      <c r="W202" s="2">
        <f t="shared" si="73"/>
        <v>0</v>
      </c>
      <c r="X202" s="2">
        <f t="shared" si="74"/>
        <v>1</v>
      </c>
      <c r="Y202" s="2">
        <f t="shared" si="75"/>
        <v>0</v>
      </c>
      <c r="Z202" s="2">
        <f t="shared" si="76"/>
        <v>0</v>
      </c>
      <c r="AA202" s="2">
        <f t="shared" si="77"/>
        <v>0</v>
      </c>
      <c r="AB202" s="2">
        <f t="shared" si="78"/>
        <v>0</v>
      </c>
      <c r="AC202" s="2"/>
      <c r="AD202" s="2">
        <f t="shared" si="79"/>
        <v>0</v>
      </c>
      <c r="AE202" s="2">
        <f t="shared" si="80"/>
        <v>1</v>
      </c>
      <c r="AF202" s="2">
        <f t="shared" si="81"/>
        <v>0</v>
      </c>
      <c r="AG202" s="2">
        <f t="shared" si="82"/>
        <v>1</v>
      </c>
      <c r="AH202" s="2">
        <f t="shared" si="83"/>
        <v>0</v>
      </c>
      <c r="AI202" s="2">
        <f t="shared" si="84"/>
        <v>1</v>
      </c>
    </row>
    <row r="203" spans="1:35" s="3" customFormat="1" ht="14.25" customHeight="1" x14ac:dyDescent="0.25">
      <c r="A203" s="29">
        <v>0</v>
      </c>
      <c r="B203" s="29">
        <v>2</v>
      </c>
      <c r="C203" s="29">
        <v>6</v>
      </c>
      <c r="D203" s="30" t="s">
        <v>680</v>
      </c>
      <c r="E203" s="30" t="s">
        <v>34</v>
      </c>
      <c r="F203" s="30" t="s">
        <v>602</v>
      </c>
      <c r="G203" s="30" t="s">
        <v>163</v>
      </c>
      <c r="H203" s="30" t="s">
        <v>165</v>
      </c>
      <c r="I203" s="29" t="s">
        <v>691</v>
      </c>
      <c r="J203" s="29">
        <v>5</v>
      </c>
      <c r="K203" s="29" t="s">
        <v>320</v>
      </c>
      <c r="L203" s="29">
        <v>30</v>
      </c>
      <c r="M203" s="30" t="s">
        <v>743</v>
      </c>
      <c r="N203" s="30" t="s">
        <v>901</v>
      </c>
      <c r="O203" s="31">
        <v>1</v>
      </c>
      <c r="P203" s="31"/>
      <c r="Q203" s="30"/>
      <c r="R203" s="2"/>
      <c r="S203" s="2">
        <f t="shared" si="69"/>
        <v>0</v>
      </c>
      <c r="T203" s="2">
        <f t="shared" si="70"/>
        <v>0</v>
      </c>
      <c r="U203" s="2">
        <f t="shared" si="71"/>
        <v>0</v>
      </c>
      <c r="V203" s="2">
        <f t="shared" si="72"/>
        <v>0</v>
      </c>
      <c r="W203" s="2">
        <f t="shared" si="73"/>
        <v>1</v>
      </c>
      <c r="X203" s="2">
        <f t="shared" si="74"/>
        <v>0</v>
      </c>
      <c r="Y203" s="2">
        <f t="shared" si="75"/>
        <v>0</v>
      </c>
      <c r="Z203" s="2">
        <f t="shared" si="76"/>
        <v>0</v>
      </c>
      <c r="AA203" s="2">
        <f t="shared" si="77"/>
        <v>0</v>
      </c>
      <c r="AB203" s="2">
        <f t="shared" si="78"/>
        <v>0</v>
      </c>
      <c r="AC203" s="2"/>
      <c r="AD203" s="2">
        <f t="shared" si="79"/>
        <v>0</v>
      </c>
      <c r="AE203" s="2">
        <f t="shared" si="80"/>
        <v>1</v>
      </c>
      <c r="AF203" s="2">
        <f t="shared" si="81"/>
        <v>0</v>
      </c>
      <c r="AG203" s="2">
        <f t="shared" si="82"/>
        <v>1</v>
      </c>
      <c r="AH203" s="2">
        <f t="shared" si="83"/>
        <v>0</v>
      </c>
      <c r="AI203" s="2">
        <f t="shared" si="84"/>
        <v>1</v>
      </c>
    </row>
    <row r="204" spans="1:35" s="3" customFormat="1" ht="14.25" customHeight="1" x14ac:dyDescent="0.25">
      <c r="A204" s="29">
        <v>0</v>
      </c>
      <c r="B204" s="29">
        <v>2</v>
      </c>
      <c r="C204" s="29">
        <v>6</v>
      </c>
      <c r="D204" s="30" t="s">
        <v>58</v>
      </c>
      <c r="E204" s="30" t="s">
        <v>34</v>
      </c>
      <c r="F204" s="30" t="s">
        <v>480</v>
      </c>
      <c r="G204" s="30" t="s">
        <v>103</v>
      </c>
      <c r="H204" s="30" t="s">
        <v>165</v>
      </c>
      <c r="I204" s="29" t="s">
        <v>179</v>
      </c>
      <c r="J204" s="29">
        <v>6</v>
      </c>
      <c r="K204" s="29" t="s">
        <v>321</v>
      </c>
      <c r="L204" s="29" t="s">
        <v>339</v>
      </c>
      <c r="M204" s="30" t="s">
        <v>697</v>
      </c>
      <c r="N204" s="30" t="s">
        <v>924</v>
      </c>
      <c r="O204" s="31">
        <v>1</v>
      </c>
      <c r="P204" s="31"/>
      <c r="Q204" s="30"/>
      <c r="R204" s="2"/>
      <c r="S204" s="2">
        <f t="shared" ref="S204:S239" si="101">IF(J204=$S$7,1,0)</f>
        <v>0</v>
      </c>
      <c r="T204" s="2">
        <f t="shared" ref="T204:T239" si="102">IF(J204=$T$7,1,0)</f>
        <v>0</v>
      </c>
      <c r="U204" s="2">
        <f t="shared" ref="U204:U239" si="103">IF(J204=$U$7,1,0)</f>
        <v>0</v>
      </c>
      <c r="V204" s="2">
        <f t="shared" ref="V204:V239" si="104">IF(J204=$V$7,1,0)</f>
        <v>0</v>
      </c>
      <c r="W204" s="2">
        <f t="shared" ref="W204:W239" si="105">IF(J204=$W$7,1,0)</f>
        <v>0</v>
      </c>
      <c r="X204" s="2">
        <f t="shared" ref="X204:X239" si="106">IF(J204=$X$7,1,0)</f>
        <v>1</v>
      </c>
      <c r="Y204" s="2">
        <f t="shared" ref="Y204:Y239" si="107">IF(J204=$Y$7,1,0)</f>
        <v>0</v>
      </c>
      <c r="Z204" s="2">
        <f t="shared" ref="Z204:Z239" si="108">IF(J204=$Z$7,1,0)</f>
        <v>0</v>
      </c>
      <c r="AA204" s="2">
        <f t="shared" ref="AA204:AA239" si="109">IF(J204=$AA$7,1,0)</f>
        <v>0</v>
      </c>
      <c r="AB204" s="2">
        <f t="shared" ref="AB204:AB239" si="110">IF(J204=$AB$7,1,0)</f>
        <v>0</v>
      </c>
      <c r="AC204" s="2"/>
      <c r="AD204" s="2">
        <f t="shared" ref="AD204:AD239" si="111">+O204*P204</f>
        <v>0</v>
      </c>
      <c r="AE204" s="2">
        <f t="shared" ref="AE204:AE239" si="112">O204*(1-P204)</f>
        <v>1</v>
      </c>
      <c r="AF204" s="2">
        <f t="shared" ref="AF204:AF239" si="113">+O204*P204*(1-A204)</f>
        <v>0</v>
      </c>
      <c r="AG204" s="2">
        <f t="shared" ref="AG204:AG239" si="114">O204*(1-P204)*(1-A204)</f>
        <v>1</v>
      </c>
      <c r="AH204" s="2">
        <f t="shared" ref="AH204:AH239" si="115">+P204*(1-A204)</f>
        <v>0</v>
      </c>
      <c r="AI204" s="2">
        <f t="shared" ref="AI204:AI239" si="116">+(1-A204)*(1-P204)</f>
        <v>1</v>
      </c>
    </row>
    <row r="205" spans="1:35" s="3" customFormat="1" ht="14.25" customHeight="1" x14ac:dyDescent="0.25">
      <c r="A205" s="32">
        <v>0</v>
      </c>
      <c r="B205" s="32">
        <v>2</v>
      </c>
      <c r="C205" s="32">
        <v>6</v>
      </c>
      <c r="D205" s="33" t="s">
        <v>609</v>
      </c>
      <c r="E205" s="33" t="s">
        <v>34</v>
      </c>
      <c r="F205" s="33" t="s">
        <v>610</v>
      </c>
      <c r="G205" s="33" t="s">
        <v>514</v>
      </c>
      <c r="H205" s="33" t="s">
        <v>165</v>
      </c>
      <c r="I205" s="32" t="s">
        <v>611</v>
      </c>
      <c r="J205" s="32"/>
      <c r="K205" s="32" t="s">
        <v>376</v>
      </c>
      <c r="L205" s="32">
        <v>30</v>
      </c>
      <c r="M205" s="33" t="s">
        <v>272</v>
      </c>
      <c r="N205" s="33" t="s">
        <v>885</v>
      </c>
      <c r="O205" s="34"/>
      <c r="P205" s="34"/>
      <c r="Q205" s="33"/>
      <c r="R205" s="2"/>
      <c r="S205" s="2">
        <f t="shared" si="101"/>
        <v>0</v>
      </c>
      <c r="T205" s="2">
        <f t="shared" si="102"/>
        <v>0</v>
      </c>
      <c r="U205" s="2">
        <f t="shared" si="103"/>
        <v>0</v>
      </c>
      <c r="V205" s="2">
        <f t="shared" si="104"/>
        <v>0</v>
      </c>
      <c r="W205" s="2">
        <f t="shared" si="105"/>
        <v>0</v>
      </c>
      <c r="X205" s="2">
        <f t="shared" si="106"/>
        <v>0</v>
      </c>
      <c r="Y205" s="2">
        <f t="shared" si="107"/>
        <v>0</v>
      </c>
      <c r="Z205" s="2">
        <f t="shared" si="108"/>
        <v>0</v>
      </c>
      <c r="AA205" s="2">
        <f t="shared" si="109"/>
        <v>0</v>
      </c>
      <c r="AB205" s="2">
        <f t="shared" si="110"/>
        <v>0</v>
      </c>
      <c r="AC205" s="2"/>
      <c r="AD205" s="2">
        <f t="shared" si="111"/>
        <v>0</v>
      </c>
      <c r="AE205" s="2">
        <f t="shared" si="112"/>
        <v>0</v>
      </c>
      <c r="AF205" s="2">
        <f t="shared" si="113"/>
        <v>0</v>
      </c>
      <c r="AG205" s="2">
        <f t="shared" si="114"/>
        <v>0</v>
      </c>
      <c r="AH205" s="2">
        <f t="shared" si="115"/>
        <v>0</v>
      </c>
      <c r="AI205" s="2">
        <f t="shared" si="116"/>
        <v>1</v>
      </c>
    </row>
    <row r="206" spans="1:35" s="3" customFormat="1" ht="14.25" customHeight="1" x14ac:dyDescent="0.25">
      <c r="A206" s="29">
        <v>0</v>
      </c>
      <c r="B206" s="29">
        <v>2</v>
      </c>
      <c r="C206" s="29">
        <v>6</v>
      </c>
      <c r="D206" s="30" t="s">
        <v>532</v>
      </c>
      <c r="E206" s="30" t="s">
        <v>674</v>
      </c>
      <c r="F206" s="30" t="s">
        <v>940</v>
      </c>
      <c r="G206" s="30" t="s">
        <v>581</v>
      </c>
      <c r="H206" s="30" t="s">
        <v>165</v>
      </c>
      <c r="I206" s="29" t="s">
        <v>533</v>
      </c>
      <c r="J206" s="29">
        <v>2</v>
      </c>
      <c r="K206" s="29" t="s">
        <v>320</v>
      </c>
      <c r="L206" s="29" t="s">
        <v>339</v>
      </c>
      <c r="M206" s="30" t="s">
        <v>272</v>
      </c>
      <c r="N206" s="30" t="s">
        <v>896</v>
      </c>
      <c r="O206" s="31">
        <v>1</v>
      </c>
      <c r="P206" s="31"/>
      <c r="Q206" s="30"/>
      <c r="R206" s="2"/>
      <c r="S206" s="2">
        <f t="shared" si="101"/>
        <v>0</v>
      </c>
      <c r="T206" s="2">
        <f t="shared" si="102"/>
        <v>1</v>
      </c>
      <c r="U206" s="2">
        <f t="shared" si="103"/>
        <v>0</v>
      </c>
      <c r="V206" s="2">
        <f t="shared" si="104"/>
        <v>0</v>
      </c>
      <c r="W206" s="2">
        <f t="shared" si="105"/>
        <v>0</v>
      </c>
      <c r="X206" s="2">
        <f t="shared" si="106"/>
        <v>0</v>
      </c>
      <c r="Y206" s="2">
        <f t="shared" si="107"/>
        <v>0</v>
      </c>
      <c r="Z206" s="2">
        <f t="shared" si="108"/>
        <v>0</v>
      </c>
      <c r="AA206" s="2">
        <f t="shared" si="109"/>
        <v>0</v>
      </c>
      <c r="AB206" s="2">
        <f t="shared" si="110"/>
        <v>0</v>
      </c>
      <c r="AC206" s="2"/>
      <c r="AD206" s="2">
        <f t="shared" si="111"/>
        <v>0</v>
      </c>
      <c r="AE206" s="2">
        <f t="shared" si="112"/>
        <v>1</v>
      </c>
      <c r="AF206" s="2">
        <f t="shared" si="113"/>
        <v>0</v>
      </c>
      <c r="AG206" s="2">
        <f t="shared" si="114"/>
        <v>1</v>
      </c>
      <c r="AH206" s="2">
        <f t="shared" si="115"/>
        <v>0</v>
      </c>
      <c r="AI206" s="2">
        <f t="shared" si="116"/>
        <v>1</v>
      </c>
    </row>
    <row r="207" spans="1:35" s="3" customFormat="1" ht="14.25" customHeight="1" x14ac:dyDescent="0.25">
      <c r="A207" s="29">
        <v>1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941</v>
      </c>
      <c r="G207" s="30" t="s">
        <v>103</v>
      </c>
      <c r="H207" s="30" t="s">
        <v>165</v>
      </c>
      <c r="I207" s="29" t="s">
        <v>839</v>
      </c>
      <c r="J207" s="29">
        <v>6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R207" s="2"/>
      <c r="S207" s="2">
        <f t="shared" si="101"/>
        <v>0</v>
      </c>
      <c r="T207" s="2">
        <f t="shared" si="102"/>
        <v>0</v>
      </c>
      <c r="U207" s="2">
        <f t="shared" si="103"/>
        <v>0</v>
      </c>
      <c r="V207" s="2">
        <f t="shared" si="104"/>
        <v>0</v>
      </c>
      <c r="W207" s="2">
        <f t="shared" si="105"/>
        <v>0</v>
      </c>
      <c r="X207" s="2">
        <f t="shared" si="106"/>
        <v>1</v>
      </c>
      <c r="Y207" s="2">
        <f t="shared" si="107"/>
        <v>0</v>
      </c>
      <c r="Z207" s="2">
        <f t="shared" si="108"/>
        <v>0</v>
      </c>
      <c r="AA207" s="2">
        <f t="shared" si="109"/>
        <v>0</v>
      </c>
      <c r="AB207" s="2">
        <f t="shared" si="110"/>
        <v>0</v>
      </c>
      <c r="AC207" s="2"/>
      <c r="AD207" s="2">
        <f t="shared" si="111"/>
        <v>0</v>
      </c>
      <c r="AE207" s="2">
        <f t="shared" si="112"/>
        <v>1</v>
      </c>
      <c r="AF207" s="2">
        <f t="shared" si="113"/>
        <v>0</v>
      </c>
      <c r="AG207" s="2">
        <f t="shared" si="114"/>
        <v>0</v>
      </c>
      <c r="AH207" s="2">
        <f t="shared" si="115"/>
        <v>0</v>
      </c>
      <c r="AI207" s="2">
        <f t="shared" si="116"/>
        <v>0</v>
      </c>
    </row>
    <row r="208" spans="1:35" s="3" customFormat="1" ht="14.25" customHeight="1" x14ac:dyDescent="0.25">
      <c r="A208" s="29">
        <v>0</v>
      </c>
      <c r="B208" s="29">
        <v>2</v>
      </c>
      <c r="C208" s="29">
        <v>7</v>
      </c>
      <c r="D208" s="30" t="s">
        <v>408</v>
      </c>
      <c r="E208" s="30" t="s">
        <v>31</v>
      </c>
      <c r="F208" s="30" t="s">
        <v>409</v>
      </c>
      <c r="G208" s="30" t="s">
        <v>469</v>
      </c>
      <c r="H208" s="30" t="s">
        <v>165</v>
      </c>
      <c r="I208" s="29" t="s">
        <v>410</v>
      </c>
      <c r="J208" s="29">
        <v>9</v>
      </c>
      <c r="K208" s="29" t="s">
        <v>320</v>
      </c>
      <c r="L208" s="29" t="s">
        <v>318</v>
      </c>
      <c r="M208" s="30" t="s">
        <v>273</v>
      </c>
      <c r="N208" s="30" t="s">
        <v>882</v>
      </c>
      <c r="O208" s="31">
        <v>1</v>
      </c>
      <c r="P208" s="31">
        <v>1</v>
      </c>
      <c r="Q208" s="30"/>
      <c r="R208" s="2"/>
      <c r="S208" s="2">
        <f t="shared" si="101"/>
        <v>0</v>
      </c>
      <c r="T208" s="2">
        <f t="shared" si="102"/>
        <v>0</v>
      </c>
      <c r="U208" s="2">
        <f t="shared" si="103"/>
        <v>0</v>
      </c>
      <c r="V208" s="2">
        <f t="shared" si="104"/>
        <v>0</v>
      </c>
      <c r="W208" s="2">
        <f t="shared" si="105"/>
        <v>0</v>
      </c>
      <c r="X208" s="2">
        <f t="shared" si="106"/>
        <v>0</v>
      </c>
      <c r="Y208" s="2">
        <f t="shared" si="107"/>
        <v>0</v>
      </c>
      <c r="Z208" s="2">
        <f t="shared" si="108"/>
        <v>0</v>
      </c>
      <c r="AA208" s="2">
        <f t="shared" si="109"/>
        <v>1</v>
      </c>
      <c r="AB208" s="2">
        <f t="shared" si="110"/>
        <v>0</v>
      </c>
      <c r="AC208" s="2"/>
      <c r="AD208" s="2">
        <f t="shared" si="111"/>
        <v>1</v>
      </c>
      <c r="AE208" s="2">
        <f t="shared" si="112"/>
        <v>0</v>
      </c>
      <c r="AF208" s="2">
        <f t="shared" si="113"/>
        <v>1</v>
      </c>
      <c r="AG208" s="2">
        <f t="shared" si="114"/>
        <v>0</v>
      </c>
      <c r="AH208" s="2">
        <f t="shared" si="115"/>
        <v>1</v>
      </c>
      <c r="AI208" s="2">
        <f t="shared" si="116"/>
        <v>0</v>
      </c>
    </row>
    <row r="209" spans="1:35" s="3" customFormat="1" ht="14.25" customHeight="1" x14ac:dyDescent="0.25">
      <c r="A209" s="29">
        <v>0</v>
      </c>
      <c r="B209" s="29">
        <v>2</v>
      </c>
      <c r="C209" s="29">
        <v>7</v>
      </c>
      <c r="D209" s="30" t="s">
        <v>913</v>
      </c>
      <c r="E209" s="30" t="s">
        <v>907</v>
      </c>
      <c r="F209" s="30" t="s">
        <v>911</v>
      </c>
      <c r="G209" s="30" t="s">
        <v>132</v>
      </c>
      <c r="H209" s="30" t="s">
        <v>165</v>
      </c>
      <c r="I209" s="29" t="s">
        <v>914</v>
      </c>
      <c r="J209" s="29">
        <v>99</v>
      </c>
      <c r="K209" s="29" t="s">
        <v>376</v>
      </c>
      <c r="L209" s="29"/>
      <c r="M209" s="30"/>
      <c r="N209" s="30" t="s">
        <v>882</v>
      </c>
      <c r="O209" s="31">
        <v>1</v>
      </c>
      <c r="P209" s="31">
        <v>1</v>
      </c>
      <c r="Q209" s="30"/>
      <c r="R209" s="2"/>
      <c r="S209" s="2">
        <f t="shared" si="101"/>
        <v>0</v>
      </c>
      <c r="T209" s="2">
        <f t="shared" si="102"/>
        <v>0</v>
      </c>
      <c r="U209" s="2">
        <f t="shared" si="103"/>
        <v>0</v>
      </c>
      <c r="V209" s="2">
        <f t="shared" si="104"/>
        <v>0</v>
      </c>
      <c r="W209" s="2">
        <f t="shared" si="105"/>
        <v>0</v>
      </c>
      <c r="X209" s="2">
        <f t="shared" si="106"/>
        <v>0</v>
      </c>
      <c r="Y209" s="2">
        <f t="shared" si="107"/>
        <v>0</v>
      </c>
      <c r="Z209" s="2">
        <f t="shared" si="108"/>
        <v>0</v>
      </c>
      <c r="AA209" s="2">
        <f t="shared" si="109"/>
        <v>0</v>
      </c>
      <c r="AB209" s="2">
        <f t="shared" si="110"/>
        <v>0</v>
      </c>
      <c r="AC209" s="2"/>
      <c r="AD209" s="2">
        <f t="shared" si="111"/>
        <v>1</v>
      </c>
      <c r="AE209" s="2">
        <f t="shared" si="112"/>
        <v>0</v>
      </c>
      <c r="AF209" s="2">
        <f t="shared" si="113"/>
        <v>1</v>
      </c>
      <c r="AG209" s="2">
        <f t="shared" si="114"/>
        <v>0</v>
      </c>
      <c r="AH209" s="2">
        <f t="shared" si="115"/>
        <v>1</v>
      </c>
      <c r="AI209" s="2">
        <f t="shared" si="116"/>
        <v>0</v>
      </c>
    </row>
    <row r="210" spans="1:35" s="3" customFormat="1" ht="14.25" customHeight="1" x14ac:dyDescent="0.25">
      <c r="A210" s="29">
        <v>0</v>
      </c>
      <c r="B210" s="29">
        <v>2</v>
      </c>
      <c r="C210" s="29">
        <v>7</v>
      </c>
      <c r="D210" s="30" t="s">
        <v>518</v>
      </c>
      <c r="E210" s="30" t="s">
        <v>31</v>
      </c>
      <c r="F210" s="30" t="s">
        <v>519</v>
      </c>
      <c r="G210" s="30" t="s">
        <v>124</v>
      </c>
      <c r="H210" s="30" t="s">
        <v>165</v>
      </c>
      <c r="I210" s="29" t="s">
        <v>520</v>
      </c>
      <c r="J210" s="29">
        <v>7</v>
      </c>
      <c r="K210" s="29" t="s">
        <v>319</v>
      </c>
      <c r="L210" s="29" t="s">
        <v>318</v>
      </c>
      <c r="M210" s="30" t="s">
        <v>273</v>
      </c>
      <c r="N210" s="30" t="s">
        <v>888</v>
      </c>
      <c r="O210" s="31">
        <v>1</v>
      </c>
      <c r="P210" s="31"/>
      <c r="Q210" s="30"/>
      <c r="R210" s="2"/>
      <c r="S210" s="2">
        <f t="shared" si="101"/>
        <v>0</v>
      </c>
      <c r="T210" s="2">
        <f t="shared" si="102"/>
        <v>0</v>
      </c>
      <c r="U210" s="2">
        <f t="shared" si="103"/>
        <v>0</v>
      </c>
      <c r="V210" s="2">
        <f t="shared" si="104"/>
        <v>0</v>
      </c>
      <c r="W210" s="2">
        <f t="shared" si="105"/>
        <v>0</v>
      </c>
      <c r="X210" s="2">
        <f t="shared" si="106"/>
        <v>0</v>
      </c>
      <c r="Y210" s="2">
        <f t="shared" si="107"/>
        <v>1</v>
      </c>
      <c r="Z210" s="2">
        <f t="shared" si="108"/>
        <v>0</v>
      </c>
      <c r="AA210" s="2">
        <f t="shared" si="109"/>
        <v>0</v>
      </c>
      <c r="AB210" s="2">
        <f t="shared" si="110"/>
        <v>0</v>
      </c>
      <c r="AC210" s="2"/>
      <c r="AD210" s="2">
        <f t="shared" si="111"/>
        <v>0</v>
      </c>
      <c r="AE210" s="2">
        <f t="shared" si="112"/>
        <v>1</v>
      </c>
      <c r="AF210" s="2">
        <f t="shared" si="113"/>
        <v>0</v>
      </c>
      <c r="AG210" s="2">
        <f t="shared" si="114"/>
        <v>1</v>
      </c>
      <c r="AH210" s="2">
        <f t="shared" si="115"/>
        <v>0</v>
      </c>
      <c r="AI210" s="2">
        <f t="shared" si="116"/>
        <v>1</v>
      </c>
    </row>
    <row r="211" spans="1:35" s="3" customFormat="1" ht="14.25" customHeight="1" x14ac:dyDescent="0.25">
      <c r="A211" s="32">
        <v>0</v>
      </c>
      <c r="B211" s="32">
        <v>2</v>
      </c>
      <c r="C211" s="32">
        <v>7</v>
      </c>
      <c r="D211" s="33" t="s">
        <v>430</v>
      </c>
      <c r="E211" s="33" t="s">
        <v>31</v>
      </c>
      <c r="F211" s="33" t="s">
        <v>431</v>
      </c>
      <c r="G211" s="33" t="s">
        <v>117</v>
      </c>
      <c r="H211" s="33" t="s">
        <v>165</v>
      </c>
      <c r="I211" s="32" t="s">
        <v>482</v>
      </c>
      <c r="J211" s="32">
        <v>1</v>
      </c>
      <c r="K211" s="32" t="s">
        <v>320</v>
      </c>
      <c r="L211" s="32" t="s">
        <v>318</v>
      </c>
      <c r="M211" s="33" t="s">
        <v>273</v>
      </c>
      <c r="N211" s="33" t="s">
        <v>918</v>
      </c>
      <c r="O211" s="34"/>
      <c r="P211" s="34"/>
      <c r="Q211" s="33"/>
      <c r="R211" s="2"/>
      <c r="S211" s="2">
        <f t="shared" si="101"/>
        <v>1</v>
      </c>
      <c r="T211" s="2">
        <f t="shared" si="102"/>
        <v>0</v>
      </c>
      <c r="U211" s="2">
        <f t="shared" si="103"/>
        <v>0</v>
      </c>
      <c r="V211" s="2">
        <f t="shared" si="104"/>
        <v>0</v>
      </c>
      <c r="W211" s="2">
        <f t="shared" si="105"/>
        <v>0</v>
      </c>
      <c r="X211" s="2">
        <f t="shared" si="106"/>
        <v>0</v>
      </c>
      <c r="Y211" s="2">
        <f t="shared" si="107"/>
        <v>0</v>
      </c>
      <c r="Z211" s="2">
        <f t="shared" si="108"/>
        <v>0</v>
      </c>
      <c r="AA211" s="2">
        <f t="shared" si="109"/>
        <v>0</v>
      </c>
      <c r="AB211" s="2">
        <f t="shared" si="110"/>
        <v>0</v>
      </c>
      <c r="AC211" s="2"/>
      <c r="AD211" s="2">
        <f t="shared" si="111"/>
        <v>0</v>
      </c>
      <c r="AE211" s="2">
        <f t="shared" si="112"/>
        <v>0</v>
      </c>
      <c r="AF211" s="2">
        <f t="shared" si="113"/>
        <v>0</v>
      </c>
      <c r="AG211" s="2">
        <f t="shared" si="114"/>
        <v>0</v>
      </c>
      <c r="AH211" s="2">
        <f t="shared" si="115"/>
        <v>0</v>
      </c>
      <c r="AI211" s="2">
        <f t="shared" si="116"/>
        <v>1</v>
      </c>
    </row>
    <row r="212" spans="1:35" s="3" customFormat="1" ht="14.25" customHeight="1" x14ac:dyDescent="0.25">
      <c r="A212" s="29">
        <v>0</v>
      </c>
      <c r="B212" s="29">
        <v>2</v>
      </c>
      <c r="C212" s="29">
        <v>7</v>
      </c>
      <c r="D212" s="30" t="s">
        <v>460</v>
      </c>
      <c r="E212" s="30" t="s">
        <v>31</v>
      </c>
      <c r="F212" s="30" t="s">
        <v>155</v>
      </c>
      <c r="G212" s="30" t="s">
        <v>122</v>
      </c>
      <c r="H212" s="30" t="s">
        <v>165</v>
      </c>
      <c r="I212" s="29" t="s">
        <v>198</v>
      </c>
      <c r="J212" s="29">
        <v>6</v>
      </c>
      <c r="K212" s="29" t="s">
        <v>321</v>
      </c>
      <c r="L212" s="29" t="s">
        <v>318</v>
      </c>
      <c r="M212" s="30" t="s">
        <v>273</v>
      </c>
      <c r="N212" s="30" t="s">
        <v>882</v>
      </c>
      <c r="O212" s="31">
        <v>1</v>
      </c>
      <c r="P212" s="31">
        <v>1</v>
      </c>
      <c r="Q212" s="30"/>
      <c r="R212" s="2"/>
      <c r="S212" s="2">
        <f t="shared" si="101"/>
        <v>0</v>
      </c>
      <c r="T212" s="2">
        <f t="shared" si="102"/>
        <v>0</v>
      </c>
      <c r="U212" s="2">
        <f t="shared" si="103"/>
        <v>0</v>
      </c>
      <c r="V212" s="2">
        <f t="shared" si="104"/>
        <v>0</v>
      </c>
      <c r="W212" s="2">
        <f t="shared" si="105"/>
        <v>0</v>
      </c>
      <c r="X212" s="2">
        <f t="shared" si="106"/>
        <v>1</v>
      </c>
      <c r="Y212" s="2">
        <f t="shared" si="107"/>
        <v>0</v>
      </c>
      <c r="Z212" s="2">
        <f t="shared" si="108"/>
        <v>0</v>
      </c>
      <c r="AA212" s="2">
        <f t="shared" si="109"/>
        <v>0</v>
      </c>
      <c r="AB212" s="2">
        <f t="shared" si="110"/>
        <v>0</v>
      </c>
      <c r="AC212" s="2"/>
      <c r="AD212" s="2">
        <f t="shared" si="111"/>
        <v>1</v>
      </c>
      <c r="AE212" s="2">
        <f t="shared" si="112"/>
        <v>0</v>
      </c>
      <c r="AF212" s="2">
        <f t="shared" si="113"/>
        <v>1</v>
      </c>
      <c r="AG212" s="2">
        <f t="shared" si="114"/>
        <v>0</v>
      </c>
      <c r="AH212" s="2">
        <f t="shared" si="115"/>
        <v>1</v>
      </c>
      <c r="AI212" s="2">
        <f t="shared" si="116"/>
        <v>0</v>
      </c>
    </row>
    <row r="213" spans="1:35" s="3" customFormat="1" ht="14.25" customHeight="1" x14ac:dyDescent="0.25">
      <c r="A213" s="29">
        <v>0</v>
      </c>
      <c r="B213" s="29">
        <v>2</v>
      </c>
      <c r="C213" s="29">
        <v>7</v>
      </c>
      <c r="D213" s="30" t="s">
        <v>63</v>
      </c>
      <c r="E213" s="30" t="s">
        <v>31</v>
      </c>
      <c r="F213" s="30" t="s">
        <v>138</v>
      </c>
      <c r="G213" s="30" t="s">
        <v>125</v>
      </c>
      <c r="H213" s="30" t="s">
        <v>165</v>
      </c>
      <c r="I213" s="29" t="s">
        <v>373</v>
      </c>
      <c r="J213" s="29">
        <v>99</v>
      </c>
      <c r="K213" s="29" t="s">
        <v>320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R213" s="2"/>
      <c r="S213" s="2">
        <f t="shared" si="101"/>
        <v>0</v>
      </c>
      <c r="T213" s="2">
        <f t="shared" si="102"/>
        <v>0</v>
      </c>
      <c r="U213" s="2">
        <f t="shared" si="103"/>
        <v>0</v>
      </c>
      <c r="V213" s="2">
        <f t="shared" si="104"/>
        <v>0</v>
      </c>
      <c r="W213" s="2">
        <f t="shared" si="105"/>
        <v>0</v>
      </c>
      <c r="X213" s="2">
        <f t="shared" si="106"/>
        <v>0</v>
      </c>
      <c r="Y213" s="2">
        <f t="shared" si="107"/>
        <v>0</v>
      </c>
      <c r="Z213" s="2">
        <f t="shared" si="108"/>
        <v>0</v>
      </c>
      <c r="AA213" s="2">
        <f t="shared" si="109"/>
        <v>0</v>
      </c>
      <c r="AB213" s="2">
        <f t="shared" si="110"/>
        <v>0</v>
      </c>
      <c r="AC213" s="2"/>
      <c r="AD213" s="2">
        <f t="shared" si="111"/>
        <v>1</v>
      </c>
      <c r="AE213" s="2">
        <f t="shared" si="112"/>
        <v>0</v>
      </c>
      <c r="AF213" s="2">
        <f t="shared" si="113"/>
        <v>1</v>
      </c>
      <c r="AG213" s="2">
        <f t="shared" si="114"/>
        <v>0</v>
      </c>
      <c r="AH213" s="2">
        <f t="shared" si="115"/>
        <v>1</v>
      </c>
      <c r="AI213" s="2">
        <f t="shared" si="116"/>
        <v>0</v>
      </c>
    </row>
    <row r="214" spans="1:35" s="3" customFormat="1" ht="14.25" customHeight="1" x14ac:dyDescent="0.25">
      <c r="A214" s="29">
        <v>0</v>
      </c>
      <c r="B214" s="29">
        <v>2</v>
      </c>
      <c r="C214" s="29">
        <v>7</v>
      </c>
      <c r="D214" s="30" t="s">
        <v>427</v>
      </c>
      <c r="E214" s="30" t="s">
        <v>31</v>
      </c>
      <c r="F214" s="30" t="s">
        <v>428</v>
      </c>
      <c r="G214" s="30" t="s">
        <v>126</v>
      </c>
      <c r="H214" s="30" t="s">
        <v>165</v>
      </c>
      <c r="I214" s="29" t="s">
        <v>590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919</v>
      </c>
      <c r="O214" s="31">
        <v>1</v>
      </c>
      <c r="P214" s="31"/>
      <c r="Q214" s="30"/>
      <c r="R214" s="2"/>
      <c r="S214" s="2">
        <f t="shared" si="101"/>
        <v>0</v>
      </c>
      <c r="T214" s="2">
        <f t="shared" si="102"/>
        <v>0</v>
      </c>
      <c r="U214" s="2">
        <f t="shared" si="103"/>
        <v>0</v>
      </c>
      <c r="V214" s="2">
        <f t="shared" si="104"/>
        <v>0</v>
      </c>
      <c r="W214" s="2">
        <f t="shared" si="105"/>
        <v>0</v>
      </c>
      <c r="X214" s="2">
        <f t="shared" si="106"/>
        <v>0</v>
      </c>
      <c r="Y214" s="2">
        <f t="shared" si="107"/>
        <v>0</v>
      </c>
      <c r="Z214" s="2">
        <f t="shared" si="108"/>
        <v>0</v>
      </c>
      <c r="AA214" s="2">
        <f t="shared" si="109"/>
        <v>0</v>
      </c>
      <c r="AB214" s="2">
        <f t="shared" si="110"/>
        <v>0</v>
      </c>
      <c r="AC214" s="2"/>
      <c r="AD214" s="2">
        <f t="shared" si="111"/>
        <v>0</v>
      </c>
      <c r="AE214" s="2">
        <f t="shared" si="112"/>
        <v>1</v>
      </c>
      <c r="AF214" s="2">
        <f t="shared" si="113"/>
        <v>0</v>
      </c>
      <c r="AG214" s="2">
        <f t="shared" si="114"/>
        <v>1</v>
      </c>
      <c r="AH214" s="2">
        <f t="shared" si="115"/>
        <v>0</v>
      </c>
      <c r="AI214" s="2">
        <f t="shared" si="116"/>
        <v>1</v>
      </c>
    </row>
    <row r="215" spans="1:35" s="3" customFormat="1" ht="14.25" customHeight="1" x14ac:dyDescent="0.25">
      <c r="A215" s="29">
        <v>1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659</v>
      </c>
      <c r="G215" s="30" t="s">
        <v>660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919</v>
      </c>
      <c r="O215" s="31">
        <v>1</v>
      </c>
      <c r="P215" s="31"/>
      <c r="Q215" s="30"/>
      <c r="R215" s="2"/>
      <c r="S215" s="2">
        <f t="shared" si="101"/>
        <v>0</v>
      </c>
      <c r="T215" s="2">
        <f t="shared" si="102"/>
        <v>0</v>
      </c>
      <c r="U215" s="2">
        <f t="shared" si="103"/>
        <v>0</v>
      </c>
      <c r="V215" s="2">
        <f t="shared" si="104"/>
        <v>0</v>
      </c>
      <c r="W215" s="2">
        <f t="shared" si="105"/>
        <v>0</v>
      </c>
      <c r="X215" s="2">
        <f t="shared" si="106"/>
        <v>0</v>
      </c>
      <c r="Y215" s="2">
        <f t="shared" si="107"/>
        <v>0</v>
      </c>
      <c r="Z215" s="2">
        <f t="shared" si="108"/>
        <v>0</v>
      </c>
      <c r="AA215" s="2">
        <f t="shared" si="109"/>
        <v>0</v>
      </c>
      <c r="AB215" s="2">
        <f t="shared" si="110"/>
        <v>0</v>
      </c>
      <c r="AC215" s="2"/>
      <c r="AD215" s="2">
        <f t="shared" si="111"/>
        <v>0</v>
      </c>
      <c r="AE215" s="2">
        <f t="shared" si="112"/>
        <v>1</v>
      </c>
      <c r="AF215" s="2">
        <f t="shared" si="113"/>
        <v>0</v>
      </c>
      <c r="AG215" s="2">
        <f t="shared" si="114"/>
        <v>0</v>
      </c>
      <c r="AH215" s="2">
        <f t="shared" si="115"/>
        <v>0</v>
      </c>
      <c r="AI215" s="2">
        <f t="shared" si="116"/>
        <v>0</v>
      </c>
    </row>
    <row r="216" spans="1:35" s="3" customFormat="1" ht="14.25" customHeight="1" x14ac:dyDescent="0.25">
      <c r="A216" s="29">
        <v>0</v>
      </c>
      <c r="B216" s="29">
        <v>2</v>
      </c>
      <c r="C216" s="29">
        <v>7</v>
      </c>
      <c r="D216" s="30" t="s">
        <v>72</v>
      </c>
      <c r="E216" s="30" t="s">
        <v>31</v>
      </c>
      <c r="F216" s="30" t="s">
        <v>151</v>
      </c>
      <c r="G216" s="30" t="s">
        <v>99</v>
      </c>
      <c r="H216" s="30" t="s">
        <v>165</v>
      </c>
      <c r="I216" s="29" t="s">
        <v>195</v>
      </c>
      <c r="J216" s="29">
        <v>3</v>
      </c>
      <c r="K216" s="29" t="s">
        <v>320</v>
      </c>
      <c r="L216" s="29" t="s">
        <v>318</v>
      </c>
      <c r="M216" s="30" t="s">
        <v>273</v>
      </c>
      <c r="N216" s="30" t="s">
        <v>919</v>
      </c>
      <c r="O216" s="31">
        <v>1</v>
      </c>
      <c r="P216" s="31"/>
      <c r="Q216" s="30"/>
      <c r="R216" s="2"/>
      <c r="S216" s="2">
        <f t="shared" si="101"/>
        <v>0</v>
      </c>
      <c r="T216" s="2">
        <f t="shared" si="102"/>
        <v>0</v>
      </c>
      <c r="U216" s="2">
        <f t="shared" si="103"/>
        <v>1</v>
      </c>
      <c r="V216" s="2">
        <f t="shared" si="104"/>
        <v>0</v>
      </c>
      <c r="W216" s="2">
        <f t="shared" si="105"/>
        <v>0</v>
      </c>
      <c r="X216" s="2">
        <f t="shared" si="106"/>
        <v>0</v>
      </c>
      <c r="Y216" s="2">
        <f t="shared" si="107"/>
        <v>0</v>
      </c>
      <c r="Z216" s="2">
        <f t="shared" si="108"/>
        <v>0</v>
      </c>
      <c r="AA216" s="2">
        <f t="shared" si="109"/>
        <v>0</v>
      </c>
      <c r="AB216" s="2">
        <f t="shared" si="110"/>
        <v>0</v>
      </c>
      <c r="AC216" s="2"/>
      <c r="AD216" s="2">
        <f t="shared" si="111"/>
        <v>0</v>
      </c>
      <c r="AE216" s="2">
        <f t="shared" si="112"/>
        <v>1</v>
      </c>
      <c r="AF216" s="2">
        <f t="shared" si="113"/>
        <v>0</v>
      </c>
      <c r="AG216" s="2">
        <f t="shared" si="114"/>
        <v>1</v>
      </c>
      <c r="AH216" s="2">
        <f t="shared" si="115"/>
        <v>0</v>
      </c>
      <c r="AI216" s="2">
        <f t="shared" si="116"/>
        <v>1</v>
      </c>
    </row>
    <row r="217" spans="1:35" s="3" customFormat="1" ht="14.25" customHeight="1" x14ac:dyDescent="0.25">
      <c r="A217" s="29">
        <v>0</v>
      </c>
      <c r="B217" s="29">
        <v>2</v>
      </c>
      <c r="C217" s="29">
        <v>7</v>
      </c>
      <c r="D217" s="30" t="s">
        <v>305</v>
      </c>
      <c r="E217" s="30" t="s">
        <v>31</v>
      </c>
      <c r="F217" s="30" t="s">
        <v>813</v>
      </c>
      <c r="G217" s="30" t="s">
        <v>575</v>
      </c>
      <c r="H217" s="30" t="s">
        <v>165</v>
      </c>
      <c r="I217" s="29" t="s">
        <v>297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924</v>
      </c>
      <c r="O217" s="31">
        <v>1</v>
      </c>
      <c r="P217" s="31"/>
      <c r="Q217" s="30"/>
      <c r="R217" s="2"/>
      <c r="S217" s="2">
        <f t="shared" si="101"/>
        <v>0</v>
      </c>
      <c r="T217" s="2">
        <f t="shared" si="102"/>
        <v>0</v>
      </c>
      <c r="U217" s="2">
        <f t="shared" si="103"/>
        <v>0</v>
      </c>
      <c r="V217" s="2">
        <f t="shared" si="104"/>
        <v>0</v>
      </c>
      <c r="W217" s="2">
        <f t="shared" si="105"/>
        <v>0</v>
      </c>
      <c r="X217" s="2">
        <f t="shared" si="106"/>
        <v>0</v>
      </c>
      <c r="Y217" s="2">
        <f t="shared" si="107"/>
        <v>0</v>
      </c>
      <c r="Z217" s="2">
        <f t="shared" si="108"/>
        <v>0</v>
      </c>
      <c r="AA217" s="2">
        <f t="shared" si="109"/>
        <v>0</v>
      </c>
      <c r="AB217" s="2">
        <f t="shared" si="110"/>
        <v>0</v>
      </c>
      <c r="AC217" s="2"/>
      <c r="AD217" s="2">
        <f t="shared" si="111"/>
        <v>0</v>
      </c>
      <c r="AE217" s="2">
        <f t="shared" si="112"/>
        <v>1</v>
      </c>
      <c r="AF217" s="2">
        <f t="shared" si="113"/>
        <v>0</v>
      </c>
      <c r="AG217" s="2">
        <f t="shared" si="114"/>
        <v>1</v>
      </c>
      <c r="AH217" s="2">
        <f t="shared" si="115"/>
        <v>0</v>
      </c>
      <c r="AI217" s="2">
        <f t="shared" si="116"/>
        <v>1</v>
      </c>
    </row>
    <row r="218" spans="1:35" s="3" customFormat="1" ht="14.25" customHeight="1" x14ac:dyDescent="0.25">
      <c r="A218" s="29">
        <v>0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152</v>
      </c>
      <c r="G218" s="30" t="s">
        <v>120</v>
      </c>
      <c r="H218" s="30" t="s">
        <v>165</v>
      </c>
      <c r="I218" s="29" t="s">
        <v>196</v>
      </c>
      <c r="J218" s="29">
        <v>6</v>
      </c>
      <c r="K218" s="29" t="s">
        <v>320</v>
      </c>
      <c r="L218" s="29" t="s">
        <v>318</v>
      </c>
      <c r="M218" s="30" t="s">
        <v>273</v>
      </c>
      <c r="N218" s="30" t="s">
        <v>895</v>
      </c>
      <c r="O218" s="31">
        <v>1</v>
      </c>
      <c r="P218" s="31"/>
      <c r="Q218" s="30"/>
      <c r="R218" s="2"/>
      <c r="S218" s="2">
        <f t="shared" si="101"/>
        <v>0</v>
      </c>
      <c r="T218" s="2">
        <f t="shared" si="102"/>
        <v>0</v>
      </c>
      <c r="U218" s="2">
        <f t="shared" si="103"/>
        <v>0</v>
      </c>
      <c r="V218" s="2">
        <f t="shared" si="104"/>
        <v>0</v>
      </c>
      <c r="W218" s="2">
        <f t="shared" si="105"/>
        <v>0</v>
      </c>
      <c r="X218" s="2">
        <f t="shared" si="106"/>
        <v>1</v>
      </c>
      <c r="Y218" s="2">
        <f t="shared" si="107"/>
        <v>0</v>
      </c>
      <c r="Z218" s="2">
        <f t="shared" si="108"/>
        <v>0</v>
      </c>
      <c r="AA218" s="2">
        <f t="shared" si="109"/>
        <v>0</v>
      </c>
      <c r="AB218" s="2">
        <f t="shared" si="110"/>
        <v>0</v>
      </c>
      <c r="AC218" s="2"/>
      <c r="AD218" s="2">
        <f t="shared" si="111"/>
        <v>0</v>
      </c>
      <c r="AE218" s="2">
        <f t="shared" si="112"/>
        <v>1</v>
      </c>
      <c r="AF218" s="2">
        <f t="shared" si="113"/>
        <v>0</v>
      </c>
      <c r="AG218" s="2">
        <f t="shared" si="114"/>
        <v>1</v>
      </c>
      <c r="AH218" s="2">
        <f t="shared" si="115"/>
        <v>0</v>
      </c>
      <c r="AI218" s="2">
        <f t="shared" si="116"/>
        <v>1</v>
      </c>
    </row>
    <row r="219" spans="1:35" s="3" customFormat="1" ht="14.25" customHeight="1" x14ac:dyDescent="0.25">
      <c r="A219" s="29">
        <v>1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310</v>
      </c>
      <c r="G219" s="30" t="s">
        <v>102</v>
      </c>
      <c r="H219" s="30" t="s">
        <v>165</v>
      </c>
      <c r="I219" s="29" t="s">
        <v>316</v>
      </c>
      <c r="J219" s="29">
        <v>4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R219" s="2"/>
      <c r="S219" s="2">
        <f t="shared" si="101"/>
        <v>0</v>
      </c>
      <c r="T219" s="2">
        <f t="shared" si="102"/>
        <v>0</v>
      </c>
      <c r="U219" s="2">
        <f t="shared" si="103"/>
        <v>0</v>
      </c>
      <c r="V219" s="2">
        <f t="shared" si="104"/>
        <v>1</v>
      </c>
      <c r="W219" s="2">
        <f t="shared" si="105"/>
        <v>0</v>
      </c>
      <c r="X219" s="2">
        <f t="shared" si="106"/>
        <v>0</v>
      </c>
      <c r="Y219" s="2">
        <f t="shared" si="107"/>
        <v>0</v>
      </c>
      <c r="Z219" s="2">
        <f t="shared" si="108"/>
        <v>0</v>
      </c>
      <c r="AA219" s="2">
        <f t="shared" si="109"/>
        <v>0</v>
      </c>
      <c r="AB219" s="2">
        <f t="shared" si="110"/>
        <v>0</v>
      </c>
      <c r="AC219" s="2"/>
      <c r="AD219" s="2">
        <f t="shared" si="111"/>
        <v>0</v>
      </c>
      <c r="AE219" s="2">
        <f t="shared" si="112"/>
        <v>1</v>
      </c>
      <c r="AF219" s="2">
        <f t="shared" si="113"/>
        <v>0</v>
      </c>
      <c r="AG219" s="2">
        <f t="shared" si="114"/>
        <v>0</v>
      </c>
      <c r="AH219" s="2">
        <f t="shared" si="115"/>
        <v>0</v>
      </c>
      <c r="AI219" s="2">
        <f t="shared" si="116"/>
        <v>0</v>
      </c>
    </row>
    <row r="220" spans="1:35" s="3" customFormat="1" ht="14.25" customHeight="1" x14ac:dyDescent="0.25">
      <c r="A220" s="29">
        <v>0</v>
      </c>
      <c r="B220" s="29">
        <v>2</v>
      </c>
      <c r="C220" s="29">
        <v>7</v>
      </c>
      <c r="D220" s="30" t="s">
        <v>393</v>
      </c>
      <c r="E220" s="30" t="s">
        <v>31</v>
      </c>
      <c r="F220" s="30" t="s">
        <v>474</v>
      </c>
      <c r="G220" s="30" t="s">
        <v>475</v>
      </c>
      <c r="H220" s="30" t="s">
        <v>165</v>
      </c>
      <c r="I220" s="29" t="s">
        <v>394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888</v>
      </c>
      <c r="O220" s="31">
        <v>1</v>
      </c>
      <c r="P220" s="31"/>
      <c r="Q220" s="30"/>
      <c r="R220" s="2"/>
      <c r="S220" s="2">
        <f t="shared" si="101"/>
        <v>0</v>
      </c>
      <c r="T220" s="2">
        <f t="shared" si="102"/>
        <v>0</v>
      </c>
      <c r="U220" s="2">
        <f t="shared" si="103"/>
        <v>0</v>
      </c>
      <c r="V220" s="2">
        <f t="shared" si="104"/>
        <v>0</v>
      </c>
      <c r="W220" s="2">
        <f t="shared" si="105"/>
        <v>0</v>
      </c>
      <c r="X220" s="2">
        <f t="shared" si="106"/>
        <v>0</v>
      </c>
      <c r="Y220" s="2">
        <f t="shared" si="107"/>
        <v>0</v>
      </c>
      <c r="Z220" s="2">
        <f t="shared" si="108"/>
        <v>0</v>
      </c>
      <c r="AA220" s="2">
        <f t="shared" si="109"/>
        <v>0</v>
      </c>
      <c r="AB220" s="2">
        <f t="shared" si="110"/>
        <v>0</v>
      </c>
      <c r="AC220" s="2"/>
      <c r="AD220" s="2">
        <f t="shared" si="111"/>
        <v>0</v>
      </c>
      <c r="AE220" s="2">
        <f t="shared" si="112"/>
        <v>1</v>
      </c>
      <c r="AF220" s="2">
        <f t="shared" si="113"/>
        <v>0</v>
      </c>
      <c r="AG220" s="2">
        <f t="shared" si="114"/>
        <v>1</v>
      </c>
      <c r="AH220" s="2">
        <f t="shared" si="115"/>
        <v>0</v>
      </c>
      <c r="AI220" s="2">
        <f t="shared" si="116"/>
        <v>1</v>
      </c>
    </row>
    <row r="221" spans="1:35" s="3" customFormat="1" ht="14.25" customHeight="1" x14ac:dyDescent="0.25">
      <c r="A221" s="32">
        <v>0</v>
      </c>
      <c r="B221" s="32">
        <v>2</v>
      </c>
      <c r="C221" s="32">
        <v>7</v>
      </c>
      <c r="D221" s="33" t="s">
        <v>566</v>
      </c>
      <c r="E221" s="33" t="s">
        <v>31</v>
      </c>
      <c r="F221" s="33" t="s">
        <v>576</v>
      </c>
      <c r="G221" s="33" t="s">
        <v>132</v>
      </c>
      <c r="H221" s="33" t="s">
        <v>165</v>
      </c>
      <c r="I221" s="32" t="s">
        <v>835</v>
      </c>
      <c r="J221" s="32">
        <v>3</v>
      </c>
      <c r="K221" s="32" t="s">
        <v>320</v>
      </c>
      <c r="L221" s="32" t="s">
        <v>318</v>
      </c>
      <c r="M221" s="33" t="s">
        <v>273</v>
      </c>
      <c r="N221" s="33" t="s">
        <v>918</v>
      </c>
      <c r="O221" s="34"/>
      <c r="P221" s="34"/>
      <c r="Q221" s="33"/>
      <c r="R221" s="2"/>
      <c r="S221" s="2">
        <f t="shared" si="101"/>
        <v>0</v>
      </c>
      <c r="T221" s="2">
        <f t="shared" si="102"/>
        <v>0</v>
      </c>
      <c r="U221" s="2">
        <f t="shared" si="103"/>
        <v>1</v>
      </c>
      <c r="V221" s="2">
        <f t="shared" si="104"/>
        <v>0</v>
      </c>
      <c r="W221" s="2">
        <f t="shared" si="105"/>
        <v>0</v>
      </c>
      <c r="X221" s="2">
        <f t="shared" si="106"/>
        <v>0</v>
      </c>
      <c r="Y221" s="2">
        <f t="shared" si="107"/>
        <v>0</v>
      </c>
      <c r="Z221" s="2">
        <f t="shared" si="108"/>
        <v>0</v>
      </c>
      <c r="AA221" s="2">
        <f t="shared" si="109"/>
        <v>0</v>
      </c>
      <c r="AB221" s="2">
        <f t="shared" si="110"/>
        <v>0</v>
      </c>
      <c r="AC221" s="2"/>
      <c r="AD221" s="2">
        <f t="shared" si="111"/>
        <v>0</v>
      </c>
      <c r="AE221" s="2">
        <f t="shared" si="112"/>
        <v>0</v>
      </c>
      <c r="AF221" s="2">
        <f t="shared" si="113"/>
        <v>0</v>
      </c>
      <c r="AG221" s="2">
        <f t="shared" si="114"/>
        <v>0</v>
      </c>
      <c r="AH221" s="2">
        <f t="shared" si="115"/>
        <v>0</v>
      </c>
      <c r="AI221" s="2">
        <f t="shared" si="116"/>
        <v>1</v>
      </c>
    </row>
    <row r="222" spans="1:35" s="3" customFormat="1" ht="14.25" customHeight="1" x14ac:dyDescent="0.25">
      <c r="A222" s="29">
        <v>0</v>
      </c>
      <c r="B222" s="29">
        <v>2</v>
      </c>
      <c r="C222" s="29">
        <v>7</v>
      </c>
      <c r="D222" s="30" t="s">
        <v>74</v>
      </c>
      <c r="E222" s="30" t="s">
        <v>31</v>
      </c>
      <c r="F222" s="30" t="s">
        <v>311</v>
      </c>
      <c r="G222" s="30" t="s">
        <v>103</v>
      </c>
      <c r="H222" s="30" t="s">
        <v>165</v>
      </c>
      <c r="I222" s="29" t="s">
        <v>836</v>
      </c>
      <c r="J222" s="29">
        <v>6</v>
      </c>
      <c r="K222" s="29" t="s">
        <v>318</v>
      </c>
      <c r="L222" s="29" t="s">
        <v>318</v>
      </c>
      <c r="M222" s="30" t="s">
        <v>273</v>
      </c>
      <c r="N222" s="30" t="s">
        <v>924</v>
      </c>
      <c r="O222" s="31">
        <v>1</v>
      </c>
      <c r="P222" s="31"/>
      <c r="Q222" s="30"/>
      <c r="R222" s="2"/>
      <c r="S222" s="2">
        <f t="shared" si="101"/>
        <v>0</v>
      </c>
      <c r="T222" s="2">
        <f t="shared" si="102"/>
        <v>0</v>
      </c>
      <c r="U222" s="2">
        <f t="shared" si="103"/>
        <v>0</v>
      </c>
      <c r="V222" s="2">
        <f t="shared" si="104"/>
        <v>0</v>
      </c>
      <c r="W222" s="2">
        <f t="shared" si="105"/>
        <v>0</v>
      </c>
      <c r="X222" s="2">
        <f t="shared" si="106"/>
        <v>1</v>
      </c>
      <c r="Y222" s="2">
        <f t="shared" si="107"/>
        <v>0</v>
      </c>
      <c r="Z222" s="2">
        <f t="shared" si="108"/>
        <v>0</v>
      </c>
      <c r="AA222" s="2">
        <f t="shared" si="109"/>
        <v>0</v>
      </c>
      <c r="AB222" s="2">
        <f t="shared" si="110"/>
        <v>0</v>
      </c>
      <c r="AC222" s="2"/>
      <c r="AD222" s="2">
        <f t="shared" si="111"/>
        <v>0</v>
      </c>
      <c r="AE222" s="2">
        <f t="shared" si="112"/>
        <v>1</v>
      </c>
      <c r="AF222" s="2">
        <f t="shared" si="113"/>
        <v>0</v>
      </c>
      <c r="AG222" s="2">
        <f t="shared" si="114"/>
        <v>1</v>
      </c>
      <c r="AH222" s="2">
        <f t="shared" si="115"/>
        <v>0</v>
      </c>
      <c r="AI222" s="2">
        <f t="shared" si="116"/>
        <v>1</v>
      </c>
    </row>
    <row r="223" spans="1:35" s="3" customFormat="1" ht="14.25" customHeight="1" x14ac:dyDescent="0.25">
      <c r="A223" s="32">
        <v>0</v>
      </c>
      <c r="B223" s="32">
        <v>2</v>
      </c>
      <c r="C223" s="32">
        <v>7</v>
      </c>
      <c r="D223" s="33" t="s">
        <v>68</v>
      </c>
      <c r="E223" s="33" t="s">
        <v>90</v>
      </c>
      <c r="F223" s="33" t="s">
        <v>146</v>
      </c>
      <c r="G223" s="33" t="s">
        <v>103</v>
      </c>
      <c r="H223" s="33" t="s">
        <v>165</v>
      </c>
      <c r="I223" s="32" t="s">
        <v>191</v>
      </c>
      <c r="J223" s="32">
        <v>6</v>
      </c>
      <c r="K223" s="32" t="s">
        <v>321</v>
      </c>
      <c r="L223" s="32" t="s">
        <v>333</v>
      </c>
      <c r="M223" s="33" t="s">
        <v>274</v>
      </c>
      <c r="N223" s="33" t="s">
        <v>918</v>
      </c>
      <c r="O223" s="34"/>
      <c r="P223" s="34"/>
      <c r="Q223" s="33"/>
      <c r="R223" s="2"/>
      <c r="S223" s="2">
        <f t="shared" si="101"/>
        <v>0</v>
      </c>
      <c r="T223" s="2">
        <f t="shared" si="102"/>
        <v>0</v>
      </c>
      <c r="U223" s="2">
        <f t="shared" si="103"/>
        <v>0</v>
      </c>
      <c r="V223" s="2">
        <f t="shared" si="104"/>
        <v>0</v>
      </c>
      <c r="W223" s="2">
        <f t="shared" si="105"/>
        <v>0</v>
      </c>
      <c r="X223" s="2">
        <f t="shared" si="106"/>
        <v>1</v>
      </c>
      <c r="Y223" s="2">
        <f t="shared" si="107"/>
        <v>0</v>
      </c>
      <c r="Z223" s="2">
        <f t="shared" si="108"/>
        <v>0</v>
      </c>
      <c r="AA223" s="2">
        <f t="shared" si="109"/>
        <v>0</v>
      </c>
      <c r="AB223" s="2">
        <f t="shared" si="110"/>
        <v>0</v>
      </c>
      <c r="AC223" s="2"/>
      <c r="AD223" s="2">
        <f t="shared" si="111"/>
        <v>0</v>
      </c>
      <c r="AE223" s="2">
        <f t="shared" si="112"/>
        <v>0</v>
      </c>
      <c r="AF223" s="2">
        <f t="shared" si="113"/>
        <v>0</v>
      </c>
      <c r="AG223" s="2">
        <f t="shared" si="114"/>
        <v>0</v>
      </c>
      <c r="AH223" s="2">
        <f t="shared" si="115"/>
        <v>0</v>
      </c>
      <c r="AI223" s="2">
        <f t="shared" si="116"/>
        <v>1</v>
      </c>
    </row>
    <row r="224" spans="1:35" s="3" customFormat="1" ht="14.25" customHeight="1" x14ac:dyDescent="0.25">
      <c r="A224" s="29">
        <v>0</v>
      </c>
      <c r="B224" s="29">
        <v>2</v>
      </c>
      <c r="C224" s="29">
        <v>7</v>
      </c>
      <c r="D224" s="30" t="s">
        <v>462</v>
      </c>
      <c r="E224" s="30" t="s">
        <v>31</v>
      </c>
      <c r="F224" s="30" t="s">
        <v>395</v>
      </c>
      <c r="G224" s="30" t="s">
        <v>478</v>
      </c>
      <c r="H224" s="30" t="s">
        <v>165</v>
      </c>
      <c r="I224" s="29" t="s">
        <v>488</v>
      </c>
      <c r="J224" s="29">
        <v>99</v>
      </c>
      <c r="K224" s="29" t="s">
        <v>376</v>
      </c>
      <c r="L224" s="29" t="s">
        <v>318</v>
      </c>
      <c r="M224" s="30" t="s">
        <v>273</v>
      </c>
      <c r="N224" s="30" t="s">
        <v>924</v>
      </c>
      <c r="O224" s="31">
        <v>1</v>
      </c>
      <c r="P224" s="31"/>
      <c r="Q224" s="30"/>
      <c r="R224" s="2"/>
      <c r="S224" s="2">
        <f t="shared" si="101"/>
        <v>0</v>
      </c>
      <c r="T224" s="2">
        <f t="shared" si="102"/>
        <v>0</v>
      </c>
      <c r="U224" s="2">
        <f t="shared" si="103"/>
        <v>0</v>
      </c>
      <c r="V224" s="2">
        <f t="shared" si="104"/>
        <v>0</v>
      </c>
      <c r="W224" s="2">
        <f t="shared" si="105"/>
        <v>0</v>
      </c>
      <c r="X224" s="2">
        <f t="shared" si="106"/>
        <v>0</v>
      </c>
      <c r="Y224" s="2">
        <f t="shared" si="107"/>
        <v>0</v>
      </c>
      <c r="Z224" s="2">
        <f t="shared" si="108"/>
        <v>0</v>
      </c>
      <c r="AA224" s="2">
        <f t="shared" si="109"/>
        <v>0</v>
      </c>
      <c r="AB224" s="2">
        <f t="shared" si="110"/>
        <v>0</v>
      </c>
      <c r="AC224" s="2"/>
      <c r="AD224" s="2">
        <f t="shared" si="111"/>
        <v>0</v>
      </c>
      <c r="AE224" s="2">
        <f t="shared" si="112"/>
        <v>1</v>
      </c>
      <c r="AF224" s="2">
        <f t="shared" si="113"/>
        <v>0</v>
      </c>
      <c r="AG224" s="2">
        <f t="shared" si="114"/>
        <v>1</v>
      </c>
      <c r="AH224" s="2">
        <f t="shared" si="115"/>
        <v>0</v>
      </c>
      <c r="AI224" s="2">
        <f t="shared" si="116"/>
        <v>1</v>
      </c>
    </row>
    <row r="225" spans="1:35" s="3" customFormat="1" ht="14.25" customHeight="1" x14ac:dyDescent="0.25">
      <c r="A225" s="29">
        <v>0</v>
      </c>
      <c r="B225" s="29">
        <v>2</v>
      </c>
      <c r="C225" s="29">
        <v>7</v>
      </c>
      <c r="D225" s="30" t="s">
        <v>504</v>
      </c>
      <c r="E225" s="30" t="s">
        <v>31</v>
      </c>
      <c r="F225" s="30" t="s">
        <v>505</v>
      </c>
      <c r="G225" s="30" t="s">
        <v>96</v>
      </c>
      <c r="H225" s="30" t="s">
        <v>165</v>
      </c>
      <c r="I225" s="29" t="s">
        <v>506</v>
      </c>
      <c r="J225" s="29">
        <v>3</v>
      </c>
      <c r="K225" s="29" t="s">
        <v>318</v>
      </c>
      <c r="L225" s="29" t="s">
        <v>318</v>
      </c>
      <c r="M225" s="30" t="s">
        <v>273</v>
      </c>
      <c r="N225" s="30" t="s">
        <v>902</v>
      </c>
      <c r="O225" s="31">
        <v>1</v>
      </c>
      <c r="P225" s="31"/>
      <c r="Q225" s="30"/>
      <c r="R225" s="2"/>
      <c r="S225" s="2">
        <f t="shared" si="101"/>
        <v>0</v>
      </c>
      <c r="T225" s="2">
        <f t="shared" si="102"/>
        <v>0</v>
      </c>
      <c r="U225" s="2">
        <f t="shared" si="103"/>
        <v>1</v>
      </c>
      <c r="V225" s="2">
        <f t="shared" si="104"/>
        <v>0</v>
      </c>
      <c r="W225" s="2">
        <f t="shared" si="105"/>
        <v>0</v>
      </c>
      <c r="X225" s="2">
        <f t="shared" si="106"/>
        <v>0</v>
      </c>
      <c r="Y225" s="2">
        <f t="shared" si="107"/>
        <v>0</v>
      </c>
      <c r="Z225" s="2">
        <f t="shared" si="108"/>
        <v>0</v>
      </c>
      <c r="AA225" s="2">
        <f t="shared" si="109"/>
        <v>0</v>
      </c>
      <c r="AB225" s="2">
        <f t="shared" si="110"/>
        <v>0</v>
      </c>
      <c r="AC225" s="2"/>
      <c r="AD225" s="2">
        <f t="shared" si="111"/>
        <v>0</v>
      </c>
      <c r="AE225" s="2">
        <f t="shared" si="112"/>
        <v>1</v>
      </c>
      <c r="AF225" s="2">
        <f t="shared" si="113"/>
        <v>0</v>
      </c>
      <c r="AG225" s="2">
        <f t="shared" si="114"/>
        <v>1</v>
      </c>
      <c r="AH225" s="2">
        <f t="shared" si="115"/>
        <v>0</v>
      </c>
      <c r="AI225" s="2">
        <f t="shared" si="116"/>
        <v>1</v>
      </c>
    </row>
    <row r="226" spans="1:35" s="3" customFormat="1" ht="14.25" customHeight="1" x14ac:dyDescent="0.25">
      <c r="A226" s="29">
        <v>0</v>
      </c>
      <c r="B226" s="29">
        <v>2</v>
      </c>
      <c r="C226" s="29">
        <v>7</v>
      </c>
      <c r="D226" s="30" t="s">
        <v>906</v>
      </c>
      <c r="E226" s="30" t="s">
        <v>907</v>
      </c>
      <c r="F226" s="30" t="s">
        <v>146</v>
      </c>
      <c r="G226" s="30" t="s">
        <v>103</v>
      </c>
      <c r="H226" s="30" t="s">
        <v>165</v>
      </c>
      <c r="I226" s="29" t="s">
        <v>33</v>
      </c>
      <c r="J226" s="29">
        <v>6</v>
      </c>
      <c r="K226" s="29" t="s">
        <v>376</v>
      </c>
      <c r="L226" s="29"/>
      <c r="M226" s="30"/>
      <c r="N226" s="30" t="s">
        <v>882</v>
      </c>
      <c r="O226" s="31">
        <v>1</v>
      </c>
      <c r="P226" s="31">
        <v>1</v>
      </c>
      <c r="Q226" s="30"/>
      <c r="R226" s="2"/>
      <c r="S226" s="2">
        <f t="shared" si="101"/>
        <v>0</v>
      </c>
      <c r="T226" s="2">
        <f t="shared" si="102"/>
        <v>0</v>
      </c>
      <c r="U226" s="2">
        <f t="shared" si="103"/>
        <v>0</v>
      </c>
      <c r="V226" s="2">
        <f t="shared" si="104"/>
        <v>0</v>
      </c>
      <c r="W226" s="2">
        <f t="shared" si="105"/>
        <v>0</v>
      </c>
      <c r="X226" s="2">
        <f t="shared" si="106"/>
        <v>1</v>
      </c>
      <c r="Y226" s="2">
        <f t="shared" si="107"/>
        <v>0</v>
      </c>
      <c r="Z226" s="2">
        <f t="shared" si="108"/>
        <v>0</v>
      </c>
      <c r="AA226" s="2">
        <f t="shared" si="109"/>
        <v>0</v>
      </c>
      <c r="AB226" s="2">
        <f t="shared" si="110"/>
        <v>0</v>
      </c>
      <c r="AC226" s="2"/>
      <c r="AD226" s="2">
        <f t="shared" si="111"/>
        <v>1</v>
      </c>
      <c r="AE226" s="2">
        <f t="shared" si="112"/>
        <v>0</v>
      </c>
      <c r="AF226" s="2">
        <f t="shared" si="113"/>
        <v>1</v>
      </c>
      <c r="AG226" s="2">
        <f t="shared" si="114"/>
        <v>0</v>
      </c>
      <c r="AH226" s="2">
        <f t="shared" si="115"/>
        <v>1</v>
      </c>
      <c r="AI226" s="2">
        <f t="shared" si="116"/>
        <v>0</v>
      </c>
    </row>
    <row r="227" spans="1:35" s="3" customFormat="1" ht="14.25" customHeight="1" x14ac:dyDescent="0.25">
      <c r="A227" s="29">
        <v>1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908</v>
      </c>
      <c r="G227" s="30" t="s">
        <v>909</v>
      </c>
      <c r="H227" s="30" t="s">
        <v>165</v>
      </c>
      <c r="I227" s="29"/>
      <c r="J227" s="29"/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R227" s="2"/>
      <c r="S227" s="2">
        <f t="shared" si="101"/>
        <v>0</v>
      </c>
      <c r="T227" s="2">
        <f t="shared" si="102"/>
        <v>0</v>
      </c>
      <c r="U227" s="2">
        <f t="shared" si="103"/>
        <v>0</v>
      </c>
      <c r="V227" s="2">
        <f t="shared" si="104"/>
        <v>0</v>
      </c>
      <c r="W227" s="2">
        <f t="shared" si="105"/>
        <v>0</v>
      </c>
      <c r="X227" s="2">
        <f t="shared" si="106"/>
        <v>0</v>
      </c>
      <c r="Y227" s="2">
        <f t="shared" si="107"/>
        <v>0</v>
      </c>
      <c r="Z227" s="2">
        <f t="shared" si="108"/>
        <v>0</v>
      </c>
      <c r="AA227" s="2">
        <f t="shared" si="109"/>
        <v>0</v>
      </c>
      <c r="AB227" s="2">
        <f t="shared" si="110"/>
        <v>0</v>
      </c>
      <c r="AC227" s="2"/>
      <c r="AD227" s="2">
        <f t="shared" si="111"/>
        <v>1</v>
      </c>
      <c r="AE227" s="2">
        <f t="shared" si="112"/>
        <v>0</v>
      </c>
      <c r="AF227" s="2">
        <f t="shared" si="113"/>
        <v>0</v>
      </c>
      <c r="AG227" s="2">
        <f t="shared" si="114"/>
        <v>0</v>
      </c>
      <c r="AH227" s="2">
        <f t="shared" si="115"/>
        <v>0</v>
      </c>
      <c r="AI227" s="2">
        <f t="shared" si="116"/>
        <v>0</v>
      </c>
    </row>
    <row r="228" spans="1:35" s="3" customFormat="1" ht="14.25" customHeight="1" x14ac:dyDescent="0.25">
      <c r="A228" s="29">
        <v>0</v>
      </c>
      <c r="B228" s="29">
        <v>2</v>
      </c>
      <c r="C228" s="29">
        <v>7</v>
      </c>
      <c r="D228" s="30" t="s">
        <v>361</v>
      </c>
      <c r="E228" s="30" t="s">
        <v>31</v>
      </c>
      <c r="F228" s="30" t="s">
        <v>153</v>
      </c>
      <c r="G228" s="30" t="s">
        <v>109</v>
      </c>
      <c r="H228" s="30" t="s">
        <v>165</v>
      </c>
      <c r="I228" s="29" t="s">
        <v>197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902</v>
      </c>
      <c r="O228" s="31">
        <v>1</v>
      </c>
      <c r="P228" s="31"/>
      <c r="Q228" s="30"/>
      <c r="R228" s="2"/>
      <c r="S228" s="2">
        <f t="shared" si="101"/>
        <v>0</v>
      </c>
      <c r="T228" s="2">
        <f t="shared" si="102"/>
        <v>0</v>
      </c>
      <c r="U228" s="2">
        <f t="shared" si="103"/>
        <v>0</v>
      </c>
      <c r="V228" s="2">
        <f t="shared" si="104"/>
        <v>0</v>
      </c>
      <c r="W228" s="2">
        <f t="shared" si="105"/>
        <v>0</v>
      </c>
      <c r="X228" s="2">
        <f t="shared" si="106"/>
        <v>0</v>
      </c>
      <c r="Y228" s="2">
        <f t="shared" si="107"/>
        <v>0</v>
      </c>
      <c r="Z228" s="2">
        <f t="shared" si="108"/>
        <v>0</v>
      </c>
      <c r="AA228" s="2">
        <f t="shared" si="109"/>
        <v>1</v>
      </c>
      <c r="AB228" s="2">
        <f t="shared" si="110"/>
        <v>0</v>
      </c>
      <c r="AC228" s="2"/>
      <c r="AD228" s="2">
        <f t="shared" si="111"/>
        <v>0</v>
      </c>
      <c r="AE228" s="2">
        <f t="shared" si="112"/>
        <v>1</v>
      </c>
      <c r="AF228" s="2">
        <f t="shared" si="113"/>
        <v>0</v>
      </c>
      <c r="AG228" s="2">
        <f t="shared" si="114"/>
        <v>1</v>
      </c>
      <c r="AH228" s="2">
        <f t="shared" si="115"/>
        <v>0</v>
      </c>
      <c r="AI228" s="2">
        <f t="shared" si="116"/>
        <v>1</v>
      </c>
    </row>
    <row r="229" spans="1:35" s="3" customFormat="1" ht="14.25" customHeight="1" x14ac:dyDescent="0.25">
      <c r="A229" s="29">
        <v>1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367</v>
      </c>
      <c r="G229" s="30" t="s">
        <v>109</v>
      </c>
      <c r="H229" s="30" t="s">
        <v>165</v>
      </c>
      <c r="I229" s="29" t="s">
        <v>374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 t="s">
        <v>947</v>
      </c>
      <c r="R229" s="2"/>
      <c r="S229" s="2">
        <f t="shared" si="101"/>
        <v>0</v>
      </c>
      <c r="T229" s="2">
        <f t="shared" si="102"/>
        <v>0</v>
      </c>
      <c r="U229" s="2">
        <f t="shared" si="103"/>
        <v>0</v>
      </c>
      <c r="V229" s="2">
        <f t="shared" si="104"/>
        <v>0</v>
      </c>
      <c r="W229" s="2">
        <f t="shared" si="105"/>
        <v>0</v>
      </c>
      <c r="X229" s="2">
        <f t="shared" si="106"/>
        <v>0</v>
      </c>
      <c r="Y229" s="2">
        <f t="shared" si="107"/>
        <v>0</v>
      </c>
      <c r="Z229" s="2">
        <f t="shared" si="108"/>
        <v>0</v>
      </c>
      <c r="AA229" s="2">
        <f t="shared" si="109"/>
        <v>1</v>
      </c>
      <c r="AB229" s="2">
        <f t="shared" si="110"/>
        <v>0</v>
      </c>
      <c r="AC229" s="2"/>
      <c r="AD229" s="2">
        <f t="shared" si="111"/>
        <v>0</v>
      </c>
      <c r="AE229" s="2">
        <f t="shared" si="112"/>
        <v>1</v>
      </c>
      <c r="AF229" s="2">
        <f t="shared" si="113"/>
        <v>0</v>
      </c>
      <c r="AG229" s="2">
        <f t="shared" si="114"/>
        <v>0</v>
      </c>
      <c r="AH229" s="2">
        <f t="shared" si="115"/>
        <v>0</v>
      </c>
      <c r="AI229" s="2">
        <f t="shared" si="116"/>
        <v>0</v>
      </c>
    </row>
    <row r="230" spans="1:35" s="3" customFormat="1" ht="14.25" customHeight="1" x14ac:dyDescent="0.25">
      <c r="A230" s="29">
        <v>0</v>
      </c>
      <c r="B230" s="29">
        <v>2</v>
      </c>
      <c r="C230" s="29">
        <v>7</v>
      </c>
      <c r="D230" s="30" t="s">
        <v>396</v>
      </c>
      <c r="E230" s="30" t="s">
        <v>31</v>
      </c>
      <c r="F230" s="30" t="s">
        <v>399</v>
      </c>
      <c r="G230" s="30" t="s">
        <v>479</v>
      </c>
      <c r="H230" s="30" t="s">
        <v>165</v>
      </c>
      <c r="I230" s="29" t="s">
        <v>491</v>
      </c>
      <c r="J230" s="29">
        <v>6</v>
      </c>
      <c r="K230" s="29" t="s">
        <v>319</v>
      </c>
      <c r="L230" s="29" t="s">
        <v>318</v>
      </c>
      <c r="M230" s="30" t="s">
        <v>273</v>
      </c>
      <c r="N230" s="30" t="s">
        <v>924</v>
      </c>
      <c r="O230" s="31">
        <v>1</v>
      </c>
      <c r="P230" s="31"/>
      <c r="Q230" s="30"/>
      <c r="R230" s="2"/>
      <c r="S230" s="2">
        <f t="shared" si="101"/>
        <v>0</v>
      </c>
      <c r="T230" s="2">
        <f t="shared" si="102"/>
        <v>0</v>
      </c>
      <c r="U230" s="2">
        <f t="shared" si="103"/>
        <v>0</v>
      </c>
      <c r="V230" s="2">
        <f t="shared" si="104"/>
        <v>0</v>
      </c>
      <c r="W230" s="2">
        <f t="shared" si="105"/>
        <v>0</v>
      </c>
      <c r="X230" s="2">
        <f t="shared" si="106"/>
        <v>1</v>
      </c>
      <c r="Y230" s="2">
        <f t="shared" si="107"/>
        <v>0</v>
      </c>
      <c r="Z230" s="2">
        <f t="shared" si="108"/>
        <v>0</v>
      </c>
      <c r="AA230" s="2">
        <f t="shared" si="109"/>
        <v>0</v>
      </c>
      <c r="AB230" s="2">
        <f t="shared" si="110"/>
        <v>0</v>
      </c>
      <c r="AC230" s="2"/>
      <c r="AD230" s="2">
        <f t="shared" si="111"/>
        <v>0</v>
      </c>
      <c r="AE230" s="2">
        <f t="shared" si="112"/>
        <v>1</v>
      </c>
      <c r="AF230" s="2">
        <f t="shared" si="113"/>
        <v>0</v>
      </c>
      <c r="AG230" s="2">
        <f t="shared" si="114"/>
        <v>1</v>
      </c>
      <c r="AH230" s="2">
        <f t="shared" si="115"/>
        <v>0</v>
      </c>
      <c r="AI230" s="2">
        <f t="shared" si="116"/>
        <v>1</v>
      </c>
    </row>
    <row r="231" spans="1:35" s="3" customFormat="1" ht="14.25" customHeight="1" x14ac:dyDescent="0.25">
      <c r="A231" s="29">
        <v>1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397</v>
      </c>
      <c r="G231" s="30" t="s">
        <v>124</v>
      </c>
      <c r="H231" s="30" t="s">
        <v>165</v>
      </c>
      <c r="I231" s="29" t="s">
        <v>398</v>
      </c>
      <c r="J231" s="29">
        <v>7</v>
      </c>
      <c r="K231" s="29" t="s">
        <v>319</v>
      </c>
      <c r="L231" s="29" t="s">
        <v>318</v>
      </c>
      <c r="M231" s="30" t="s">
        <v>273</v>
      </c>
      <c r="N231" s="30" t="s">
        <v>924</v>
      </c>
      <c r="O231" s="31">
        <v>1</v>
      </c>
      <c r="P231" s="31"/>
      <c r="Q231" s="30"/>
      <c r="R231" s="2"/>
      <c r="S231" s="2">
        <f t="shared" si="101"/>
        <v>0</v>
      </c>
      <c r="T231" s="2">
        <f t="shared" si="102"/>
        <v>0</v>
      </c>
      <c r="U231" s="2">
        <f t="shared" si="103"/>
        <v>0</v>
      </c>
      <c r="V231" s="2">
        <f t="shared" si="104"/>
        <v>0</v>
      </c>
      <c r="W231" s="2">
        <f t="shared" si="105"/>
        <v>0</v>
      </c>
      <c r="X231" s="2">
        <f t="shared" si="106"/>
        <v>0</v>
      </c>
      <c r="Y231" s="2">
        <f t="shared" si="107"/>
        <v>1</v>
      </c>
      <c r="Z231" s="2">
        <f t="shared" si="108"/>
        <v>0</v>
      </c>
      <c r="AA231" s="2">
        <f t="shared" si="109"/>
        <v>0</v>
      </c>
      <c r="AB231" s="2">
        <f t="shared" si="110"/>
        <v>0</v>
      </c>
      <c r="AC231" s="2"/>
      <c r="AD231" s="2">
        <f t="shared" si="111"/>
        <v>0</v>
      </c>
      <c r="AE231" s="2">
        <f t="shared" si="112"/>
        <v>1</v>
      </c>
      <c r="AF231" s="2">
        <f t="shared" si="113"/>
        <v>0</v>
      </c>
      <c r="AG231" s="2">
        <f t="shared" si="114"/>
        <v>0</v>
      </c>
      <c r="AH231" s="2">
        <f t="shared" si="115"/>
        <v>0</v>
      </c>
      <c r="AI231" s="2">
        <f t="shared" si="116"/>
        <v>0</v>
      </c>
    </row>
    <row r="232" spans="1:35" s="3" customFormat="1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400</v>
      </c>
      <c r="G232" s="30" t="s">
        <v>401</v>
      </c>
      <c r="H232" s="30" t="s">
        <v>165</v>
      </c>
      <c r="I232" s="29" t="s">
        <v>492</v>
      </c>
      <c r="J232" s="29">
        <v>99</v>
      </c>
      <c r="K232" s="29" t="s">
        <v>319</v>
      </c>
      <c r="L232" s="29" t="s">
        <v>318</v>
      </c>
      <c r="M232" s="30" t="s">
        <v>273</v>
      </c>
      <c r="N232" s="30" t="s">
        <v>924</v>
      </c>
      <c r="O232" s="31">
        <v>1</v>
      </c>
      <c r="P232" s="31"/>
      <c r="Q232" s="30"/>
      <c r="R232" s="2"/>
      <c r="S232" s="2">
        <f t="shared" si="101"/>
        <v>0</v>
      </c>
      <c r="T232" s="2">
        <f t="shared" si="102"/>
        <v>0</v>
      </c>
      <c r="U232" s="2">
        <f t="shared" si="103"/>
        <v>0</v>
      </c>
      <c r="V232" s="2">
        <f t="shared" si="104"/>
        <v>0</v>
      </c>
      <c r="W232" s="2">
        <f t="shared" si="105"/>
        <v>0</v>
      </c>
      <c r="X232" s="2">
        <f t="shared" si="106"/>
        <v>0</v>
      </c>
      <c r="Y232" s="2">
        <f t="shared" si="107"/>
        <v>0</v>
      </c>
      <c r="Z232" s="2">
        <f t="shared" si="108"/>
        <v>0</v>
      </c>
      <c r="AA232" s="2">
        <f t="shared" si="109"/>
        <v>0</v>
      </c>
      <c r="AB232" s="2">
        <f t="shared" si="110"/>
        <v>0</v>
      </c>
      <c r="AC232" s="2"/>
      <c r="AD232" s="2">
        <f t="shared" si="111"/>
        <v>0</v>
      </c>
      <c r="AE232" s="2">
        <f t="shared" si="112"/>
        <v>1</v>
      </c>
      <c r="AF232" s="2">
        <f t="shared" si="113"/>
        <v>0</v>
      </c>
      <c r="AG232" s="2">
        <f t="shared" si="114"/>
        <v>0</v>
      </c>
      <c r="AH232" s="2">
        <f t="shared" si="115"/>
        <v>0</v>
      </c>
      <c r="AI232" s="2">
        <f t="shared" si="116"/>
        <v>0</v>
      </c>
    </row>
    <row r="233" spans="1:35" s="3" customFormat="1" ht="14.25" customHeight="1" x14ac:dyDescent="0.25">
      <c r="A233" s="29">
        <v>0</v>
      </c>
      <c r="B233" s="29">
        <v>2</v>
      </c>
      <c r="C233" s="29">
        <v>7</v>
      </c>
      <c r="D233" s="30" t="s">
        <v>463</v>
      </c>
      <c r="E233" s="30" t="s">
        <v>31</v>
      </c>
      <c r="F233" s="30" t="s">
        <v>429</v>
      </c>
      <c r="G233" s="30" t="s">
        <v>125</v>
      </c>
      <c r="H233" s="30" t="s">
        <v>165</v>
      </c>
      <c r="I233" s="29" t="s">
        <v>493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900</v>
      </c>
      <c r="O233" s="31">
        <v>1</v>
      </c>
      <c r="P233" s="31"/>
      <c r="Q233" s="30"/>
      <c r="R233" s="2"/>
      <c r="S233" s="2">
        <f t="shared" si="101"/>
        <v>0</v>
      </c>
      <c r="T233" s="2">
        <f t="shared" si="102"/>
        <v>0</v>
      </c>
      <c r="U233" s="2">
        <f t="shared" si="103"/>
        <v>0</v>
      </c>
      <c r="V233" s="2">
        <f t="shared" si="104"/>
        <v>0</v>
      </c>
      <c r="W233" s="2">
        <f t="shared" si="105"/>
        <v>0</v>
      </c>
      <c r="X233" s="2">
        <f t="shared" si="106"/>
        <v>0</v>
      </c>
      <c r="Y233" s="2">
        <f t="shared" si="107"/>
        <v>0</v>
      </c>
      <c r="Z233" s="2">
        <f t="shared" si="108"/>
        <v>0</v>
      </c>
      <c r="AA233" s="2">
        <f t="shared" si="109"/>
        <v>0</v>
      </c>
      <c r="AB233" s="2">
        <f t="shared" si="110"/>
        <v>0</v>
      </c>
      <c r="AC233" s="2"/>
      <c r="AD233" s="2">
        <f t="shared" si="111"/>
        <v>0</v>
      </c>
      <c r="AE233" s="2">
        <f t="shared" si="112"/>
        <v>1</v>
      </c>
      <c r="AF233" s="2">
        <f t="shared" si="113"/>
        <v>0</v>
      </c>
      <c r="AG233" s="2">
        <f t="shared" si="114"/>
        <v>1</v>
      </c>
      <c r="AH233" s="2">
        <f t="shared" si="115"/>
        <v>0</v>
      </c>
      <c r="AI233" s="2">
        <f t="shared" si="116"/>
        <v>1</v>
      </c>
    </row>
    <row r="234" spans="1:35" s="3" customFormat="1" ht="14.25" customHeight="1" x14ac:dyDescent="0.25">
      <c r="A234" s="29">
        <v>1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687</v>
      </c>
      <c r="G234" s="30" t="s">
        <v>140</v>
      </c>
      <c r="H234" s="30" t="s">
        <v>165</v>
      </c>
      <c r="I234" s="29" t="s">
        <v>692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R234" s="2"/>
      <c r="S234" s="2">
        <f t="shared" si="101"/>
        <v>0</v>
      </c>
      <c r="T234" s="2">
        <f t="shared" si="102"/>
        <v>0</v>
      </c>
      <c r="U234" s="2">
        <f t="shared" si="103"/>
        <v>0</v>
      </c>
      <c r="V234" s="2">
        <f t="shared" si="104"/>
        <v>0</v>
      </c>
      <c r="W234" s="2">
        <f t="shared" si="105"/>
        <v>0</v>
      </c>
      <c r="X234" s="2">
        <f t="shared" si="106"/>
        <v>0</v>
      </c>
      <c r="Y234" s="2">
        <f t="shared" si="107"/>
        <v>0</v>
      </c>
      <c r="Z234" s="2">
        <f t="shared" si="108"/>
        <v>0</v>
      </c>
      <c r="AA234" s="2">
        <f t="shared" si="109"/>
        <v>0</v>
      </c>
      <c r="AB234" s="2">
        <f t="shared" si="110"/>
        <v>0</v>
      </c>
      <c r="AC234" s="2"/>
      <c r="AD234" s="2">
        <f t="shared" si="111"/>
        <v>0</v>
      </c>
      <c r="AE234" s="2">
        <f t="shared" si="112"/>
        <v>1</v>
      </c>
      <c r="AF234" s="2">
        <f t="shared" si="113"/>
        <v>0</v>
      </c>
      <c r="AG234" s="2">
        <f t="shared" si="114"/>
        <v>0</v>
      </c>
      <c r="AH234" s="2">
        <f t="shared" si="115"/>
        <v>0</v>
      </c>
      <c r="AI234" s="2">
        <f t="shared" si="116"/>
        <v>0</v>
      </c>
    </row>
    <row r="235" spans="1:35" s="3" customFormat="1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1002</v>
      </c>
      <c r="G235" s="30" t="s">
        <v>103</v>
      </c>
      <c r="H235" s="30" t="s">
        <v>165</v>
      </c>
      <c r="I235" s="29" t="s">
        <v>33</v>
      </c>
      <c r="J235" s="29">
        <v>6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R235" s="2"/>
      <c r="S235" s="2">
        <f t="shared" ref="S235" si="117">IF(J235=$S$7,1,0)</f>
        <v>0</v>
      </c>
      <c r="T235" s="2">
        <f t="shared" ref="T235" si="118">IF(J235=$T$7,1,0)</f>
        <v>0</v>
      </c>
      <c r="U235" s="2">
        <f t="shared" ref="U235" si="119">IF(J235=$U$7,1,0)</f>
        <v>0</v>
      </c>
      <c r="V235" s="2">
        <f t="shared" ref="V235" si="120">IF(J235=$V$7,1,0)</f>
        <v>0</v>
      </c>
      <c r="W235" s="2">
        <f t="shared" ref="W235" si="121">IF(J235=$W$7,1,0)</f>
        <v>0</v>
      </c>
      <c r="X235" s="2">
        <f t="shared" ref="X235" si="122">IF(J235=$X$7,1,0)</f>
        <v>1</v>
      </c>
      <c r="Y235" s="2">
        <f t="shared" ref="Y235" si="123">IF(J235=$Y$7,1,0)</f>
        <v>0</v>
      </c>
      <c r="Z235" s="2">
        <f t="shared" ref="Z235" si="124">IF(J235=$Z$7,1,0)</f>
        <v>0</v>
      </c>
      <c r="AA235" s="2">
        <f t="shared" ref="AA235" si="125">IF(J235=$AA$7,1,0)</f>
        <v>0</v>
      </c>
      <c r="AB235" s="2">
        <f t="shared" ref="AB235" si="126">IF(J235=$AB$7,1,0)</f>
        <v>0</v>
      </c>
      <c r="AC235" s="2"/>
      <c r="AD235" s="2">
        <f t="shared" ref="AD235" si="127">+O235*P235</f>
        <v>0</v>
      </c>
      <c r="AE235" s="2">
        <f t="shared" ref="AE235" si="128">O235*(1-P235)</f>
        <v>1</v>
      </c>
      <c r="AF235" s="2">
        <f t="shared" ref="AF235" si="129">+O235*P235*(1-A235)</f>
        <v>0</v>
      </c>
      <c r="AG235" s="2">
        <f t="shared" ref="AG235" si="130">O235*(1-P235)*(1-A235)</f>
        <v>0</v>
      </c>
      <c r="AH235" s="2">
        <f t="shared" ref="AH235" si="131">+P235*(1-A235)</f>
        <v>0</v>
      </c>
      <c r="AI235" s="2">
        <f t="shared" ref="AI235" si="132">+(1-A235)*(1-P235)</f>
        <v>0</v>
      </c>
    </row>
    <row r="236" spans="1:35" s="3" customFormat="1" ht="14.25" customHeight="1" x14ac:dyDescent="0.25">
      <c r="A236" s="29">
        <v>0</v>
      </c>
      <c r="B236" s="29">
        <v>2</v>
      </c>
      <c r="C236" s="29">
        <v>7</v>
      </c>
      <c r="D236" s="30" t="s">
        <v>79</v>
      </c>
      <c r="E236" s="30" t="s">
        <v>31</v>
      </c>
      <c r="F236" s="30" t="s">
        <v>162</v>
      </c>
      <c r="G236" s="30" t="s">
        <v>163</v>
      </c>
      <c r="H236" s="30" t="s">
        <v>165</v>
      </c>
      <c r="I236" s="29" t="s">
        <v>202</v>
      </c>
      <c r="J236" s="29">
        <v>5</v>
      </c>
      <c r="K236" s="29" t="s">
        <v>376</v>
      </c>
      <c r="L236" s="29" t="s">
        <v>318</v>
      </c>
      <c r="M236" s="30" t="s">
        <v>273</v>
      </c>
      <c r="N236" s="30" t="s">
        <v>902</v>
      </c>
      <c r="O236" s="31">
        <v>1</v>
      </c>
      <c r="P236" s="31"/>
      <c r="Q236" s="30"/>
      <c r="R236" s="2"/>
      <c r="S236" s="2">
        <f t="shared" si="101"/>
        <v>0</v>
      </c>
      <c r="T236" s="2">
        <f t="shared" si="102"/>
        <v>0</v>
      </c>
      <c r="U236" s="2">
        <f t="shared" si="103"/>
        <v>0</v>
      </c>
      <c r="V236" s="2">
        <f t="shared" si="104"/>
        <v>0</v>
      </c>
      <c r="W236" s="2">
        <f t="shared" si="105"/>
        <v>1</v>
      </c>
      <c r="X236" s="2">
        <f t="shared" si="106"/>
        <v>0</v>
      </c>
      <c r="Y236" s="2">
        <f t="shared" si="107"/>
        <v>0</v>
      </c>
      <c r="Z236" s="2">
        <f t="shared" si="108"/>
        <v>0</v>
      </c>
      <c r="AA236" s="2">
        <f t="shared" si="109"/>
        <v>0</v>
      </c>
      <c r="AB236" s="2">
        <f t="shared" si="110"/>
        <v>0</v>
      </c>
      <c r="AC236" s="2"/>
      <c r="AD236" s="2">
        <f t="shared" si="111"/>
        <v>0</v>
      </c>
      <c r="AE236" s="2">
        <f t="shared" si="112"/>
        <v>1</v>
      </c>
      <c r="AF236" s="2">
        <f t="shared" si="113"/>
        <v>0</v>
      </c>
      <c r="AG236" s="2">
        <f t="shared" si="114"/>
        <v>1</v>
      </c>
      <c r="AH236" s="2">
        <f t="shared" si="115"/>
        <v>0</v>
      </c>
      <c r="AI236" s="2">
        <f t="shared" si="116"/>
        <v>1</v>
      </c>
    </row>
    <row r="237" spans="1:35" s="3" customFormat="1" ht="14.25" customHeight="1" x14ac:dyDescent="0.25">
      <c r="A237" s="29">
        <v>0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351</v>
      </c>
      <c r="G237" s="30" t="s">
        <v>103</v>
      </c>
      <c r="H237" s="30" t="s">
        <v>165</v>
      </c>
      <c r="I237" s="29" t="s">
        <v>350</v>
      </c>
      <c r="J237" s="29">
        <v>6</v>
      </c>
      <c r="K237" s="29" t="s">
        <v>320</v>
      </c>
      <c r="L237" s="29" t="s">
        <v>336</v>
      </c>
      <c r="M237" s="30" t="s">
        <v>275</v>
      </c>
      <c r="N237" s="30" t="s">
        <v>890</v>
      </c>
      <c r="O237" s="31">
        <v>1</v>
      </c>
      <c r="P237" s="31"/>
      <c r="Q237" s="30"/>
      <c r="R237" s="2"/>
      <c r="S237" s="2">
        <f t="shared" si="101"/>
        <v>0</v>
      </c>
      <c r="T237" s="2">
        <f t="shared" si="102"/>
        <v>0</v>
      </c>
      <c r="U237" s="2">
        <f t="shared" si="103"/>
        <v>0</v>
      </c>
      <c r="V237" s="2">
        <f t="shared" si="104"/>
        <v>0</v>
      </c>
      <c r="W237" s="2">
        <f t="shared" si="105"/>
        <v>0</v>
      </c>
      <c r="X237" s="2">
        <f t="shared" si="106"/>
        <v>1</v>
      </c>
      <c r="Y237" s="2">
        <f t="shared" si="107"/>
        <v>0</v>
      </c>
      <c r="Z237" s="2">
        <f t="shared" si="108"/>
        <v>0</v>
      </c>
      <c r="AA237" s="2">
        <f t="shared" si="109"/>
        <v>0</v>
      </c>
      <c r="AB237" s="2">
        <f t="shared" si="110"/>
        <v>0</v>
      </c>
      <c r="AC237" s="2"/>
      <c r="AD237" s="2">
        <f t="shared" si="111"/>
        <v>0</v>
      </c>
      <c r="AE237" s="2">
        <f t="shared" si="112"/>
        <v>1</v>
      </c>
      <c r="AF237" s="2">
        <f t="shared" si="113"/>
        <v>0</v>
      </c>
      <c r="AG237" s="2">
        <f t="shared" si="114"/>
        <v>1</v>
      </c>
      <c r="AH237" s="2">
        <f t="shared" si="115"/>
        <v>0</v>
      </c>
      <c r="AI237" s="2">
        <f t="shared" si="116"/>
        <v>1</v>
      </c>
    </row>
    <row r="238" spans="1:35" s="3" customFormat="1" ht="14.25" customHeight="1" x14ac:dyDescent="0.25">
      <c r="A238" s="29">
        <v>1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123</v>
      </c>
      <c r="G238" s="30" t="s">
        <v>124</v>
      </c>
      <c r="H238" s="30" t="s">
        <v>165</v>
      </c>
      <c r="I238" s="29" t="s">
        <v>180</v>
      </c>
      <c r="J238" s="29">
        <v>7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R238" s="2"/>
      <c r="S238" s="2">
        <f t="shared" si="101"/>
        <v>0</v>
      </c>
      <c r="T238" s="2">
        <f t="shared" si="102"/>
        <v>0</v>
      </c>
      <c r="U238" s="2">
        <f t="shared" si="103"/>
        <v>0</v>
      </c>
      <c r="V238" s="2">
        <f t="shared" si="104"/>
        <v>0</v>
      </c>
      <c r="W238" s="2">
        <f t="shared" si="105"/>
        <v>0</v>
      </c>
      <c r="X238" s="2">
        <f t="shared" si="106"/>
        <v>0</v>
      </c>
      <c r="Y238" s="2">
        <f t="shared" si="107"/>
        <v>1</v>
      </c>
      <c r="Z238" s="2">
        <f t="shared" si="108"/>
        <v>0</v>
      </c>
      <c r="AA238" s="2">
        <f t="shared" si="109"/>
        <v>0</v>
      </c>
      <c r="AB238" s="2">
        <f t="shared" si="110"/>
        <v>0</v>
      </c>
      <c r="AC238" s="2"/>
      <c r="AD238" s="2">
        <f t="shared" si="111"/>
        <v>0</v>
      </c>
      <c r="AE238" s="2">
        <f t="shared" si="112"/>
        <v>1</v>
      </c>
      <c r="AF238" s="2">
        <f t="shared" si="113"/>
        <v>0</v>
      </c>
      <c r="AG238" s="2">
        <f t="shared" si="114"/>
        <v>0</v>
      </c>
      <c r="AH238" s="2">
        <f t="shared" si="115"/>
        <v>0</v>
      </c>
      <c r="AI238" s="2">
        <f t="shared" si="116"/>
        <v>0</v>
      </c>
    </row>
    <row r="239" spans="1:35" s="3" customFormat="1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348</v>
      </c>
      <c r="G239" s="30" t="s">
        <v>93</v>
      </c>
      <c r="H239" s="30" t="s">
        <v>165</v>
      </c>
      <c r="I239" s="29" t="s">
        <v>349</v>
      </c>
      <c r="J239" s="29">
        <v>8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R239" s="2"/>
      <c r="S239" s="2">
        <f t="shared" si="101"/>
        <v>0</v>
      </c>
      <c r="T239" s="2">
        <f t="shared" si="102"/>
        <v>0</v>
      </c>
      <c r="U239" s="2">
        <f t="shared" si="103"/>
        <v>0</v>
      </c>
      <c r="V239" s="2">
        <f t="shared" si="104"/>
        <v>0</v>
      </c>
      <c r="W239" s="2">
        <f t="shared" si="105"/>
        <v>0</v>
      </c>
      <c r="X239" s="2">
        <f t="shared" si="106"/>
        <v>0</v>
      </c>
      <c r="Y239" s="2">
        <f t="shared" si="107"/>
        <v>0</v>
      </c>
      <c r="Z239" s="2">
        <f t="shared" si="108"/>
        <v>1</v>
      </c>
      <c r="AA239" s="2">
        <f t="shared" si="109"/>
        <v>0</v>
      </c>
      <c r="AB239" s="2">
        <f t="shared" si="110"/>
        <v>0</v>
      </c>
      <c r="AC239" s="2"/>
      <c r="AD239" s="2">
        <f t="shared" si="111"/>
        <v>0</v>
      </c>
      <c r="AE239" s="2">
        <f t="shared" si="112"/>
        <v>1</v>
      </c>
      <c r="AF239" s="2">
        <f t="shared" si="113"/>
        <v>0</v>
      </c>
      <c r="AG239" s="2">
        <f t="shared" si="114"/>
        <v>0</v>
      </c>
      <c r="AH239" s="2">
        <f t="shared" si="115"/>
        <v>0</v>
      </c>
      <c r="AI239" s="2">
        <f t="shared" si="116"/>
        <v>0</v>
      </c>
    </row>
    <row r="240" spans="1:35" s="3" customFormat="1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1:35" s="3" customFormat="1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1:35" s="3" customFormat="1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s="3" customFormat="1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 s="3" customFormat="1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1:35" s="3" customFormat="1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s="3" customFormat="1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s="3" customFormat="1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s="3" customFormat="1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1:35" s="3" customFormat="1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1:35" s="3" customFormat="1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1:35" s="3" customFormat="1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1:35" s="3" customFormat="1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s="3" customFormat="1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 s="3" customFormat="1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1:35" s="3" customFormat="1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s="3" customFormat="1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s="3" customFormat="1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1:35" s="3" customFormat="1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s="3" customFormat="1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s="3" customFormat="1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s="3" customFormat="1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s="3" customFormat="1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s="3" customFormat="1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s="3" customFormat="1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s="3" customFormat="1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s="3" customFormat="1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1:35" s="3" customFormat="1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1:35" s="3" customFormat="1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 s="3" customFormat="1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1:35" s="3" customFormat="1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1:35" s="3" customFormat="1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1:35" s="3" customFormat="1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s="3" customFormat="1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s="3" customFormat="1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1:35" s="3" customFormat="1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s="3" customFormat="1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s="3" customFormat="1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s="3" customFormat="1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s="3" customFormat="1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s="3" customFormat="1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s="3" customFormat="1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s="3" customFormat="1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s="3" customFormat="1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s="3" customFormat="1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1:35" s="3" customFormat="1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s="3" customFormat="1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s="3" customFormat="1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1:35" s="3" customFormat="1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s="3" customFormat="1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s="3" customFormat="1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s="3" customFormat="1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s="3" customFormat="1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s="3" customFormat="1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s="3" customFormat="1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s="3" customFormat="1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1:35" s="3" customFormat="1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s="3" customFormat="1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1:35" s="3" customFormat="1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1:35" s="3" customFormat="1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s="3" customFormat="1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s="3" customFormat="1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s="3" customFormat="1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s="3" customFormat="1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s="3" customFormat="1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s="3" customFormat="1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s="3" customFormat="1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s="3" customFormat="1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s="3" customFormat="1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s="3" customFormat="1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1:35" s="3" customFormat="1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1:35" s="3" customFormat="1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s="3" customFormat="1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1:35" s="3" customFormat="1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s="3" customFormat="1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1:35" s="3" customFormat="1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1:35" s="3" customFormat="1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 s="3" customFormat="1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1:35" s="3" customFormat="1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 s="3" customFormat="1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1:35" s="3" customFormat="1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1:35" s="3" customFormat="1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s="3" customFormat="1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 s="3" customFormat="1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1:35" s="3" customFormat="1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s="3" customFormat="1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s="3" customFormat="1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s="3" customFormat="1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 s="3" customFormat="1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1:35" s="3" customFormat="1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s="3" customFormat="1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1:35" s="3" customFormat="1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s="3" customFormat="1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s="3" customFormat="1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s="3" customFormat="1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1:35" s="3" customFormat="1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1:35" s="3" customFormat="1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1:35" s="3" customFormat="1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s="3" customFormat="1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1:35" s="3" customFormat="1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1:35" s="3" customFormat="1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s="3" customFormat="1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1:35" s="3" customFormat="1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1:35" s="3" customFormat="1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s="3" customFormat="1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1:35" s="3" customFormat="1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1:35" s="3" customFormat="1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1:35" s="3" customFormat="1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1:35" s="3" customFormat="1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s="3" customFormat="1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1:35" s="3" customFormat="1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1:35" s="3" customFormat="1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s="3" customFormat="1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 s="3" customFormat="1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1:35" s="3" customFormat="1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 s="3" customFormat="1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spans="1:35" s="3" customFormat="1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spans="1:35" s="3" customFormat="1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s="3" customFormat="1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s="3" customFormat="1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spans="1:35" s="3" customFormat="1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s="3" customFormat="1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s="3" customFormat="1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 s="3" customFormat="1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spans="1:35" s="3" customFormat="1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s="3" customFormat="1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s="3" customFormat="1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s="3" customFormat="1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s="3" customFormat="1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spans="1:35" s="3" customFormat="1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s="3" customFormat="1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s="3" customFormat="1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s="3" customFormat="1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spans="1:35" s="3" customFormat="1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s="3" customFormat="1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spans="1:35" s="3" customFormat="1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 s="3" customFormat="1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spans="1:35" s="3" customFormat="1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spans="1:35" s="3" customFormat="1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spans="1:35" s="3" customFormat="1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spans="1:35" s="3" customFormat="1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spans="1:35" s="3" customFormat="1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spans="1:35" s="3" customFormat="1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spans="1:35" s="3" customFormat="1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spans="1:35" s="3" customFormat="1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s="3" customFormat="1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spans="1:35" s="3" customFormat="1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s="3" customFormat="1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spans="1:35" s="3" customFormat="1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spans="1:35" s="3" customFormat="1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spans="1:35" s="3" customFormat="1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spans="1:35" s="3" customFormat="1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spans="1:35" s="3" customFormat="1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spans="1:35" s="3" customFormat="1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spans="1:35" s="3" customFormat="1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spans="1:35" s="3" customFormat="1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spans="1:35" s="3" customFormat="1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spans="1:35" s="3" customFormat="1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spans="1:35" s="3" customFormat="1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s="3" customFormat="1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 s="3" customFormat="1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spans="1:35" s="3" customFormat="1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 s="3" customFormat="1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spans="1:35" s="3" customFormat="1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s="3" customFormat="1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s="3" customFormat="1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s="3" customFormat="1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spans="1:35" s="3" customFormat="1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spans="1:35" s="3" customFormat="1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 s="3" customFormat="1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spans="1:35" s="3" customFormat="1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spans="1:35" s="3" customFormat="1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spans="1:35" s="3" customFormat="1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spans="1:35" s="3" customFormat="1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s="3" customFormat="1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spans="1:35" s="3" customFormat="1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spans="1:35" s="3" customFormat="1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spans="1:35" s="3" customFormat="1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spans="1:35" s="3" customFormat="1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spans="1:35" s="3" customFormat="1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spans="1:35" s="3" customFormat="1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spans="1:35" s="3" customFormat="1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spans="1:35" s="3" customFormat="1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spans="1:35" s="3" customFormat="1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spans="1:35" s="3" customFormat="1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spans="1:35" s="3" customFormat="1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s="3" customFormat="1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spans="1:35" s="3" customFormat="1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spans="1:35" s="3" customFormat="1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spans="1:35" s="3" customFormat="1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spans="1:35" s="3" customFormat="1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spans="1:35" s="3" customFormat="1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spans="1:35" s="3" customFormat="1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s="3" customFormat="1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spans="1:35" s="3" customFormat="1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spans="1:35" s="3" customFormat="1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s="3" customFormat="1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spans="1:35" s="3" customFormat="1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s="3" customFormat="1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spans="1:35" s="3" customFormat="1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  <row r="440" spans="1:35" s="3" customFormat="1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</row>
    <row r="441" spans="1:35" s="3" customFormat="1" ht="14.25" customHeight="1" x14ac:dyDescent="0.2">
      <c r="A441" s="2"/>
      <c r="B441" s="2"/>
      <c r="C441" s="2"/>
      <c r="E441" s="2"/>
      <c r="G441" s="2"/>
      <c r="H441" s="2"/>
      <c r="I441" s="2"/>
      <c r="J441" s="2"/>
      <c r="K441" s="2"/>
      <c r="L441" s="14"/>
      <c r="M441" s="15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</row>
    <row r="442" spans="1:35" s="3" customFormat="1" ht="14.25" customHeight="1" x14ac:dyDescent="0.2">
      <c r="A442" s="2"/>
      <c r="B442" s="2"/>
      <c r="C442" s="2"/>
      <c r="E442" s="2"/>
      <c r="G442" s="2"/>
      <c r="H442" s="2"/>
      <c r="I442" s="2"/>
      <c r="J442" s="2"/>
      <c r="K442" s="2"/>
      <c r="L442" s="14"/>
      <c r="M442" s="15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39">
    <sortCondition ref="B8:B239"/>
    <sortCondition ref="C8:C239"/>
    <sortCondition ref="D8:D239"/>
    <sortCondition ref="A8:A239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2026-09-23T15:33:57Z</dcterms:modified>
</cp:coreProperties>
</file>