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2795B318-C00A-478B-AA07-4EC54BCFC5C3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golose'!$A$7:$AI$219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9" i="6" l="1"/>
  <c r="AE219" i="6"/>
  <c r="AF219" i="6"/>
  <c r="AG219" i="6"/>
  <c r="AH219" i="6"/>
  <c r="AI219" i="6"/>
  <c r="S219" i="6"/>
  <c r="T219" i="6"/>
  <c r="U219" i="6"/>
  <c r="V219" i="6"/>
  <c r="W219" i="6"/>
  <c r="X219" i="6"/>
  <c r="Y219" i="6"/>
  <c r="Z219" i="6"/>
  <c r="AA219" i="6"/>
  <c r="AB219" i="6"/>
  <c r="AI197" i="6"/>
  <c r="AH197" i="6"/>
  <c r="AG197" i="6"/>
  <c r="AF197" i="6"/>
  <c r="AE197" i="6"/>
  <c r="AD197" i="6"/>
  <c r="AB197" i="6"/>
  <c r="AA197" i="6"/>
  <c r="Z197" i="6"/>
  <c r="Y197" i="6"/>
  <c r="X197" i="6"/>
  <c r="W197" i="6"/>
  <c r="V197" i="6"/>
  <c r="U197" i="6"/>
  <c r="T197" i="6"/>
  <c r="S197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7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2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9" i="6"/>
  <c r="T168" i="6"/>
  <c r="T118" i="6"/>
  <c r="T193" i="6"/>
  <c r="T167" i="6"/>
  <c r="T201" i="6"/>
  <c r="T22" i="6"/>
  <c r="T174" i="6"/>
  <c r="T191" i="6"/>
  <c r="T147" i="6"/>
  <c r="T153" i="6"/>
  <c r="T169" i="6"/>
  <c r="T124" i="6"/>
  <c r="T47" i="6"/>
  <c r="T48" i="6"/>
  <c r="T199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1" i="6"/>
  <c r="T18" i="6"/>
  <c r="T32" i="6"/>
  <c r="T110" i="6"/>
  <c r="T196" i="6"/>
  <c r="T31" i="6"/>
  <c r="T206" i="6"/>
  <c r="T37" i="6"/>
  <c r="T148" i="6"/>
  <c r="T51" i="6"/>
  <c r="T57" i="6"/>
  <c r="T107" i="6"/>
  <c r="T184" i="6"/>
  <c r="T165" i="6"/>
  <c r="T141" i="6"/>
  <c r="T213" i="6"/>
  <c r="T140" i="6"/>
  <c r="T215" i="6"/>
  <c r="T146" i="6"/>
  <c r="T171" i="6"/>
  <c r="T35" i="6"/>
  <c r="T14" i="6"/>
  <c r="T16" i="6"/>
  <c r="T202" i="6"/>
  <c r="T106" i="6"/>
  <c r="T84" i="6"/>
  <c r="T64" i="6"/>
  <c r="T10" i="6"/>
  <c r="T33" i="6"/>
  <c r="T41" i="6"/>
  <c r="T112" i="6"/>
  <c r="T154" i="6"/>
  <c r="T205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200" i="6"/>
  <c r="T21" i="6"/>
  <c r="T204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3" i="6"/>
  <c r="T108" i="6"/>
  <c r="T210" i="6"/>
  <c r="T29" i="6"/>
  <c r="T58" i="6"/>
  <c r="T192" i="6"/>
  <c r="T93" i="6"/>
  <c r="T127" i="6"/>
  <c r="T104" i="6"/>
  <c r="T46" i="6"/>
  <c r="T214" i="6"/>
  <c r="T178" i="6"/>
  <c r="T59" i="6"/>
  <c r="T207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8" i="6"/>
  <c r="T149" i="6"/>
  <c r="T19" i="6"/>
  <c r="T24" i="6"/>
  <c r="T72" i="6"/>
  <c r="T198" i="6"/>
  <c r="T155" i="6"/>
  <c r="T62" i="6"/>
  <c r="T143" i="6"/>
  <c r="T56" i="6"/>
  <c r="T188" i="6"/>
  <c r="T133" i="6"/>
  <c r="T45" i="6"/>
  <c r="T66" i="6"/>
  <c r="T161" i="6"/>
  <c r="T126" i="6"/>
  <c r="T216" i="6"/>
  <c r="T94" i="6"/>
  <c r="T28" i="6"/>
  <c r="T61" i="6"/>
  <c r="T218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5" i="6"/>
  <c r="U128" i="6"/>
  <c r="U202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6" i="6"/>
  <c r="U49" i="6"/>
  <c r="U196" i="6"/>
  <c r="U45" i="6"/>
  <c r="U190" i="6"/>
  <c r="U214" i="6"/>
  <c r="U52" i="6"/>
  <c r="U94" i="6"/>
  <c r="U92" i="6"/>
  <c r="U181" i="6"/>
  <c r="U183" i="6"/>
  <c r="U132" i="6"/>
  <c r="U122" i="6"/>
  <c r="U107" i="6"/>
  <c r="U208" i="6"/>
  <c r="U26" i="6"/>
  <c r="U145" i="6"/>
  <c r="U186" i="6"/>
  <c r="U203" i="6"/>
  <c r="U86" i="6"/>
  <c r="U182" i="6"/>
  <c r="U89" i="6"/>
  <c r="V7" i="6"/>
  <c r="U218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4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9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6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7" i="6"/>
  <c r="U105" i="6"/>
  <c r="U61" i="6"/>
  <c r="U213" i="6"/>
  <c r="U200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8" i="6"/>
  <c r="U192" i="6"/>
  <c r="U127" i="6"/>
  <c r="U110" i="6"/>
  <c r="U53" i="6"/>
  <c r="U99" i="6"/>
  <c r="U43" i="6"/>
  <c r="U166" i="6"/>
  <c r="U189" i="6"/>
  <c r="U78" i="6"/>
  <c r="U210" i="6"/>
  <c r="U9" i="6"/>
  <c r="U32" i="6"/>
  <c r="U70" i="6"/>
  <c r="U215" i="6"/>
  <c r="U20" i="6"/>
  <c r="U44" i="6"/>
  <c r="U173" i="6"/>
  <c r="U42" i="6"/>
  <c r="U169" i="6"/>
  <c r="U154" i="6"/>
  <c r="U209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7" i="6"/>
  <c r="U116" i="6"/>
  <c r="U139" i="6"/>
  <c r="U195" i="6"/>
  <c r="U135" i="6"/>
  <c r="U177" i="6"/>
  <c r="U157" i="6"/>
  <c r="U60" i="6"/>
  <c r="U40" i="6"/>
  <c r="U103" i="6"/>
  <c r="U212" i="6"/>
  <c r="U149" i="6"/>
  <c r="U22" i="6"/>
  <c r="U194" i="6"/>
  <c r="U136" i="6"/>
  <c r="U126" i="6"/>
  <c r="U38" i="6"/>
  <c r="U95" i="6"/>
  <c r="U147" i="6"/>
  <c r="U201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1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6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8" i="6"/>
  <c r="V71" i="6"/>
  <c r="V158" i="6"/>
  <c r="V215" i="6"/>
  <c r="V99" i="6"/>
  <c r="V212" i="6"/>
  <c r="V10" i="6"/>
  <c r="V203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9" i="6"/>
  <c r="V69" i="6"/>
  <c r="V84" i="6"/>
  <c r="V98" i="6"/>
  <c r="V143" i="6"/>
  <c r="V19" i="6"/>
  <c r="V214" i="6"/>
  <c r="V26" i="6"/>
  <c r="V121" i="6"/>
  <c r="V164" i="6"/>
  <c r="V202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4" i="6"/>
  <c r="V185" i="6"/>
  <c r="V97" i="6"/>
  <c r="V168" i="6"/>
  <c r="V217" i="6"/>
  <c r="V181" i="6"/>
  <c r="V137" i="6"/>
  <c r="V131" i="6"/>
  <c r="V80" i="6"/>
  <c r="V213" i="6"/>
  <c r="V79" i="6"/>
  <c r="V102" i="6"/>
  <c r="V190" i="6"/>
  <c r="V31" i="6"/>
  <c r="V57" i="6"/>
  <c r="V124" i="6"/>
  <c r="V40" i="6"/>
  <c r="V90" i="6"/>
  <c r="V209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7" i="6"/>
  <c r="V206" i="6"/>
  <c r="V208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8" i="6"/>
  <c r="V126" i="6"/>
  <c r="V159" i="6"/>
  <c r="V46" i="6"/>
  <c r="V141" i="6"/>
  <c r="V36" i="6"/>
  <c r="V205" i="6"/>
  <c r="V81" i="6"/>
  <c r="V44" i="6"/>
  <c r="V29" i="6"/>
  <c r="V160" i="6"/>
  <c r="V47" i="6"/>
  <c r="V155" i="6"/>
  <c r="V173" i="6"/>
  <c r="V192" i="6"/>
  <c r="V194" i="6"/>
  <c r="V13" i="6"/>
  <c r="V210" i="6"/>
  <c r="V138" i="6"/>
  <c r="V93" i="6"/>
  <c r="V123" i="6"/>
  <c r="V8" i="6"/>
  <c r="V150" i="6"/>
  <c r="V109" i="6"/>
  <c r="V27" i="6"/>
  <c r="V170" i="6"/>
  <c r="V25" i="6"/>
  <c r="V201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200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1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8" i="6"/>
  <c r="W11" i="6"/>
  <c r="W82" i="6"/>
  <c r="W138" i="6"/>
  <c r="W87" i="6"/>
  <c r="W206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200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9" i="6"/>
  <c r="W100" i="6"/>
  <c r="W52" i="6"/>
  <c r="W43" i="6"/>
  <c r="W147" i="6"/>
  <c r="W74" i="6"/>
  <c r="W115" i="6"/>
  <c r="W107" i="6"/>
  <c r="W164" i="6"/>
  <c r="W130" i="6"/>
  <c r="W97" i="6"/>
  <c r="W207" i="6"/>
  <c r="W196" i="6"/>
  <c r="W59" i="6"/>
  <c r="W85" i="6"/>
  <c r="W10" i="6"/>
  <c r="W79" i="6"/>
  <c r="W156" i="6"/>
  <c r="W198" i="6"/>
  <c r="W217" i="6"/>
  <c r="W199" i="6"/>
  <c r="W151" i="6"/>
  <c r="W189" i="6"/>
  <c r="W175" i="6"/>
  <c r="W45" i="6"/>
  <c r="W127" i="6"/>
  <c r="W32" i="6"/>
  <c r="W63" i="6"/>
  <c r="W103" i="6"/>
  <c r="W211" i="6"/>
  <c r="W190" i="6"/>
  <c r="W214" i="6"/>
  <c r="W49" i="6"/>
  <c r="W157" i="6"/>
  <c r="W159" i="6"/>
  <c r="W213" i="6"/>
  <c r="W131" i="6"/>
  <c r="W22" i="6"/>
  <c r="W192" i="6"/>
  <c r="W25" i="6"/>
  <c r="W68" i="6"/>
  <c r="W176" i="6"/>
  <c r="W218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3" i="6"/>
  <c r="W141" i="6"/>
  <c r="W210" i="6"/>
  <c r="W215" i="6"/>
  <c r="W19" i="6"/>
  <c r="W137" i="6"/>
  <c r="W76" i="6"/>
  <c r="W163" i="6"/>
  <c r="W212" i="6"/>
  <c r="W54" i="6"/>
  <c r="W205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2" i="6"/>
  <c r="W18" i="6"/>
  <c r="W201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6" i="6"/>
  <c r="W153" i="6"/>
  <c r="W105" i="6"/>
  <c r="W204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3" i="6"/>
  <c r="X67" i="6"/>
  <c r="X32" i="6"/>
  <c r="X106" i="6"/>
  <c r="X82" i="6"/>
  <c r="X73" i="6"/>
  <c r="X207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2" i="6"/>
  <c r="X188" i="6"/>
  <c r="X127" i="6"/>
  <c r="X128" i="6"/>
  <c r="X165" i="6"/>
  <c r="X132" i="6"/>
  <c r="X215" i="6"/>
  <c r="X16" i="6"/>
  <c r="X41" i="6"/>
  <c r="X147" i="6"/>
  <c r="X63" i="6"/>
  <c r="X194" i="6"/>
  <c r="X183" i="6"/>
  <c r="X216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9" i="6"/>
  <c r="X180" i="6"/>
  <c r="X198" i="6"/>
  <c r="X80" i="6"/>
  <c r="X61" i="6"/>
  <c r="X68" i="6"/>
  <c r="X201" i="6"/>
  <c r="X192" i="6"/>
  <c r="X36" i="6"/>
  <c r="X65" i="6"/>
  <c r="X218" i="6"/>
  <c r="X51" i="6"/>
  <c r="X83" i="6"/>
  <c r="X133" i="6"/>
  <c r="X99" i="6"/>
  <c r="Y7" i="6"/>
  <c r="X161" i="6"/>
  <c r="X168" i="6"/>
  <c r="X170" i="6"/>
  <c r="X152" i="6"/>
  <c r="X181" i="6"/>
  <c r="X204" i="6"/>
  <c r="X90" i="6"/>
  <c r="X47" i="6"/>
  <c r="X25" i="6"/>
  <c r="X43" i="6"/>
  <c r="X157" i="6"/>
  <c r="X53" i="6"/>
  <c r="X28" i="6"/>
  <c r="X76" i="6"/>
  <c r="X206" i="6"/>
  <c r="X154" i="6"/>
  <c r="X14" i="6"/>
  <c r="X134" i="6"/>
  <c r="X92" i="6"/>
  <c r="X217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10" i="6"/>
  <c r="X21" i="6"/>
  <c r="X117" i="6"/>
  <c r="X96" i="6"/>
  <c r="X211" i="6"/>
  <c r="X87" i="6"/>
  <c r="X205" i="6"/>
  <c r="X195" i="6"/>
  <c r="X182" i="6"/>
  <c r="X130" i="6"/>
  <c r="X49" i="6"/>
  <c r="X45" i="6"/>
  <c r="X77" i="6"/>
  <c r="X26" i="6"/>
  <c r="X71" i="6"/>
  <c r="X143" i="6"/>
  <c r="X114" i="6"/>
  <c r="X212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8" i="6"/>
  <c r="X214" i="6"/>
  <c r="X24" i="6"/>
  <c r="X200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9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3" i="6"/>
  <c r="X5" i="6" l="1"/>
  <c r="Y84" i="6"/>
  <c r="Y202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1" i="6"/>
  <c r="Y68" i="6"/>
  <c r="Y85" i="6"/>
  <c r="Y109" i="6"/>
  <c r="Y157" i="6"/>
  <c r="Y160" i="6"/>
  <c r="Y214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7" i="6"/>
  <c r="Y178" i="6"/>
  <c r="Y215" i="6"/>
  <c r="Y70" i="6"/>
  <c r="Y204" i="6"/>
  <c r="Y127" i="6"/>
  <c r="Y104" i="6"/>
  <c r="Y175" i="6"/>
  <c r="Y82" i="6"/>
  <c r="Y54" i="6"/>
  <c r="Y218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9" i="6"/>
  <c r="Y134" i="6"/>
  <c r="Y216" i="6"/>
  <c r="Y182" i="6"/>
  <c r="Y80" i="6"/>
  <c r="Y144" i="6"/>
  <c r="Y88" i="6"/>
  <c r="Y95" i="6"/>
  <c r="Y94" i="6"/>
  <c r="Y139" i="6"/>
  <c r="Y140" i="6"/>
  <c r="Y30" i="6"/>
  <c r="Y39" i="6"/>
  <c r="Y129" i="6"/>
  <c r="Y212" i="6"/>
  <c r="Y117" i="6"/>
  <c r="Y31" i="6"/>
  <c r="Y174" i="6"/>
  <c r="Y33" i="6"/>
  <c r="Y155" i="6"/>
  <c r="Y196" i="6"/>
  <c r="Y213" i="6"/>
  <c r="Y26" i="6"/>
  <c r="Y128" i="6"/>
  <c r="Y185" i="6"/>
  <c r="Y180" i="6"/>
  <c r="Y205" i="6"/>
  <c r="Y98" i="6"/>
  <c r="Y24" i="6"/>
  <c r="Y191" i="6"/>
  <c r="Y166" i="6"/>
  <c r="Y10" i="6"/>
  <c r="Y38" i="6"/>
  <c r="Y201" i="6"/>
  <c r="Y183" i="6"/>
  <c r="Y32" i="6"/>
  <c r="Y198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9" i="6"/>
  <c r="Y203" i="6"/>
  <c r="Y195" i="6"/>
  <c r="Y75" i="6"/>
  <c r="Y200" i="6"/>
  <c r="Y210" i="6"/>
  <c r="Y15" i="6"/>
  <c r="Y152" i="6"/>
  <c r="Y62" i="6"/>
  <c r="Y22" i="6"/>
  <c r="Y194" i="6"/>
  <c r="Y186" i="6"/>
  <c r="Y193" i="6"/>
  <c r="Y40" i="6"/>
  <c r="Y64" i="6"/>
  <c r="Y57" i="6"/>
  <c r="Y105" i="6"/>
  <c r="Y153" i="6"/>
  <c r="Y207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8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6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4" i="6"/>
  <c r="Z117" i="6"/>
  <c r="Z35" i="6"/>
  <c r="Z8" i="6"/>
  <c r="Z29" i="6"/>
  <c r="Z154" i="6"/>
  <c r="Z150" i="6"/>
  <c r="Z199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4" i="6"/>
  <c r="Z118" i="6"/>
  <c r="Z81" i="6"/>
  <c r="Z206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3" i="6"/>
  <c r="Z133" i="6"/>
  <c r="Z97" i="6"/>
  <c r="Z71" i="6"/>
  <c r="Z43" i="6"/>
  <c r="Z216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8" i="6"/>
  <c r="Z31" i="6"/>
  <c r="Z47" i="6"/>
  <c r="Z147" i="6"/>
  <c r="Z167" i="6"/>
  <c r="Z93" i="6"/>
  <c r="Z137" i="6"/>
  <c r="Z80" i="6"/>
  <c r="Z38" i="6"/>
  <c r="Z198" i="6"/>
  <c r="Z62" i="6"/>
  <c r="Z23" i="6"/>
  <c r="Z172" i="6"/>
  <c r="Z108" i="6"/>
  <c r="Z207" i="6"/>
  <c r="Z55" i="6"/>
  <c r="Z69" i="6"/>
  <c r="Z73" i="6"/>
  <c r="Z181" i="6"/>
  <c r="Z157" i="6"/>
  <c r="Z99" i="6"/>
  <c r="Z146" i="6"/>
  <c r="Z66" i="6"/>
  <c r="Z152" i="6"/>
  <c r="Z135" i="6"/>
  <c r="Z10" i="6"/>
  <c r="Z32" i="6"/>
  <c r="Z201" i="6"/>
  <c r="Z25" i="6"/>
  <c r="Z82" i="6"/>
  <c r="Z52" i="6"/>
  <c r="Z178" i="6"/>
  <c r="Z90" i="6"/>
  <c r="Z58" i="6"/>
  <c r="Z209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200" i="6"/>
  <c r="Z72" i="6"/>
  <c r="Z125" i="6"/>
  <c r="Z202" i="6"/>
  <c r="Z193" i="6"/>
  <c r="Z28" i="6"/>
  <c r="Z128" i="6"/>
  <c r="Z143" i="6"/>
  <c r="Z205" i="6"/>
  <c r="Z155" i="6"/>
  <c r="Z103" i="6"/>
  <c r="Z218" i="6"/>
  <c r="Z186" i="6"/>
  <c r="Z173" i="6"/>
  <c r="Z215" i="6"/>
  <c r="Z141" i="6"/>
  <c r="Z127" i="6"/>
  <c r="Z211" i="6"/>
  <c r="Z158" i="6"/>
  <c r="Z78" i="6"/>
  <c r="Z95" i="6"/>
  <c r="Z156" i="6"/>
  <c r="Z210" i="6"/>
  <c r="Z115" i="6"/>
  <c r="Z212" i="6"/>
  <c r="Z122" i="6"/>
  <c r="Z45" i="6"/>
  <c r="Z114" i="6"/>
  <c r="Z166" i="6"/>
  <c r="Z59" i="6"/>
  <c r="Z20" i="6"/>
  <c r="Z110" i="6"/>
  <c r="Z217" i="6"/>
  <c r="Z121" i="6"/>
  <c r="Z11" i="6"/>
  <c r="Z194" i="6"/>
  <c r="Z203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5" i="6"/>
  <c r="AA199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8" i="6"/>
  <c r="AA174" i="6"/>
  <c r="AA38" i="6"/>
  <c r="AA96" i="6"/>
  <c r="AA27" i="6"/>
  <c r="AA149" i="6"/>
  <c r="AA148" i="6"/>
  <c r="AA132" i="6"/>
  <c r="AA202" i="6"/>
  <c r="AA201" i="6"/>
  <c r="AA16" i="6"/>
  <c r="AA157" i="6"/>
  <c r="AA128" i="6"/>
  <c r="AA211" i="6"/>
  <c r="AA106" i="6"/>
  <c r="AA200" i="6"/>
  <c r="AA55" i="6"/>
  <c r="AA116" i="6"/>
  <c r="AA44" i="6"/>
  <c r="AA101" i="6"/>
  <c r="AA195" i="6"/>
  <c r="AA217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10" i="6"/>
  <c r="AA125" i="6"/>
  <c r="AA35" i="6"/>
  <c r="AA102" i="6"/>
  <c r="AA17" i="6"/>
  <c r="AA12" i="6"/>
  <c r="AA208" i="6"/>
  <c r="AA111" i="6"/>
  <c r="AA143" i="6"/>
  <c r="AA89" i="6"/>
  <c r="AA87" i="6"/>
  <c r="AA203" i="6"/>
  <c r="AA171" i="6"/>
  <c r="AA216" i="6"/>
  <c r="AA20" i="6"/>
  <c r="AA62" i="6"/>
  <c r="AA207" i="6"/>
  <c r="AA204" i="6"/>
  <c r="AA214" i="6"/>
  <c r="AA26" i="6"/>
  <c r="AA176" i="6"/>
  <c r="AA85" i="6"/>
  <c r="AA46" i="6"/>
  <c r="AA94" i="6"/>
  <c r="AA209" i="6"/>
  <c r="AA212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3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5" i="6"/>
  <c r="AA36" i="6"/>
  <c r="AA71" i="6"/>
  <c r="AA168" i="6"/>
  <c r="AA167" i="6"/>
  <c r="AA198" i="6"/>
  <c r="AA114" i="6"/>
  <c r="AA42" i="6"/>
  <c r="AA57" i="6"/>
  <c r="AA9" i="6"/>
  <c r="AA117" i="6"/>
  <c r="AA179" i="6"/>
  <c r="AA43" i="6"/>
  <c r="AA98" i="6"/>
  <c r="AA14" i="6"/>
  <c r="AB7" i="6"/>
  <c r="AA131" i="6"/>
  <c r="AA206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200" i="6"/>
  <c r="AB30" i="6"/>
  <c r="AB201" i="6"/>
  <c r="AB109" i="6"/>
  <c r="AB112" i="6"/>
  <c r="AB58" i="6"/>
  <c r="AB169" i="6"/>
  <c r="AB209" i="6"/>
  <c r="AB218" i="6"/>
  <c r="AB215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2" i="6"/>
  <c r="AB121" i="6"/>
  <c r="AB145" i="6"/>
  <c r="AB212" i="6"/>
  <c r="AB63" i="6"/>
  <c r="AB183" i="6"/>
  <c r="AB94" i="6"/>
  <c r="AB203" i="6"/>
  <c r="AB56" i="6"/>
  <c r="AB161" i="6"/>
  <c r="AB193" i="6"/>
  <c r="AB114" i="6"/>
  <c r="AB46" i="6"/>
  <c r="AB93" i="6"/>
  <c r="AB76" i="6"/>
  <c r="AB189" i="6"/>
  <c r="AB33" i="6"/>
  <c r="AB204" i="6"/>
  <c r="AB177" i="6"/>
  <c r="AB139" i="6"/>
  <c r="AB77" i="6"/>
  <c r="AB206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8" i="6"/>
  <c r="AB86" i="6"/>
  <c r="AB67" i="6"/>
  <c r="AB64" i="6"/>
  <c r="AB105" i="6"/>
  <c r="AB29" i="6"/>
  <c r="AB116" i="6"/>
  <c r="AB23" i="6"/>
  <c r="AB59" i="6"/>
  <c r="AB216" i="6"/>
  <c r="AB127" i="6"/>
  <c r="AB210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8" i="6"/>
  <c r="AB99" i="6"/>
  <c r="AB128" i="6"/>
  <c r="AB19" i="6"/>
  <c r="AB24" i="6"/>
  <c r="AB25" i="6"/>
  <c r="AB78" i="6"/>
  <c r="AB176" i="6"/>
  <c r="AB214" i="6"/>
  <c r="AB143" i="6"/>
  <c r="AB133" i="6"/>
  <c r="AB97" i="6"/>
  <c r="AB129" i="6"/>
  <c r="AB66" i="6"/>
  <c r="AB134" i="6"/>
  <c r="AB213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9" i="6"/>
  <c r="AB180" i="6"/>
  <c r="AB103" i="6"/>
  <c r="AB22" i="6"/>
  <c r="AB73" i="6"/>
  <c r="AB52" i="6"/>
  <c r="AB106" i="6"/>
  <c r="AB205" i="6"/>
  <c r="AB140" i="6"/>
  <c r="AB102" i="6"/>
  <c r="AB119" i="6"/>
  <c r="AB162" i="6"/>
  <c r="AB157" i="6"/>
  <c r="AB211" i="6"/>
  <c r="AB61" i="6"/>
  <c r="AB14" i="6"/>
  <c r="AB75" i="6"/>
  <c r="AB31" i="6"/>
  <c r="AB167" i="6"/>
  <c r="AB57" i="6"/>
  <c r="AB207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7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9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2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<sst xmlns="http://schemas.openxmlformats.org/spreadsheetml/2006/main" count="2026" uniqueCount="923">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</sst>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8"/>
  <sheetViews>
    <sheetView tabSelected="1" zoomScale="110" zoomScaleNormal="110" workbookViewId="0">
      <pane ySplit="7" topLeftCell="A41" activePane="bottomLeft" state="frozen"/>
      <selection pane="bottomLeft" activeCell="N42" sqref="N42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46</v>
      </c>
      <c r="F3" s="7">
        <f>+AD6</f>
        <v>53</v>
      </c>
      <c r="G3" s="7">
        <f>+AF6</f>
        <v>40</v>
      </c>
      <c r="H3" s="7">
        <f>+E3-G3</f>
        <v>6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134</v>
      </c>
      <c r="F4" s="10">
        <f>+AE6</f>
        <v>45</v>
      </c>
      <c r="G4" s="10">
        <f>+AG6</f>
        <v>42</v>
      </c>
      <c r="H4" s="7">
        <f>+E4-G4</f>
        <v>92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180</v>
      </c>
      <c r="F5" s="12">
        <f>+F3+F4</f>
        <v>98</v>
      </c>
      <c r="G5" s="12">
        <f>+G3+G4</f>
        <v>82</v>
      </c>
      <c r="H5" s="12">
        <f>+H3+H4</f>
        <v>98</v>
      </c>
      <c r="I5" s="22" t="s">
        <v>623</v>
      </c>
      <c r="J5" s="13"/>
      <c r="K5" s="13"/>
      <c r="R5" s="13"/>
      <c r="S5" s="13">
        <f t="shared" ref="S5:AB5" si="0">SUM(S8:S1960)</f>
        <v>55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SUM(AD8:AD1959)</f>
        <v>53</v>
      </c>
      <c r="AE6" s="2">
        <f t="shared" si="1"/>
        <v>45</v>
      </c>
      <c r="AF6" s="2">
        <f t="shared" si="1"/>
        <v>40</v>
      </c>
      <c r="AG6" s="2">
        <f t="shared" si="1"/>
        <v>42</v>
      </c>
      <c r="AH6" s="2">
        <f t="shared" si="1"/>
        <v>46</v>
      </c>
      <c r="AI6" s="2">
        <f t="shared" si="1"/>
        <v>134</v>
      </c>
    </row>
    <row r="7" spans="1:46" s="26" customFormat="1" ht="14.25" customHeight="1" x14ac:dyDescent="0.25">
      <c r="A7" s="23" t="s">
        <v>689</v>
      </c>
      <c r="B7" s="23" t="s">
        <v>690</v>
      </c>
      <c r="C7" s="23" t="s">
        <v>691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692</v>
      </c>
      <c r="K7" s="29" t="s">
        <v>800</v>
      </c>
      <c r="L7" s="23" t="s">
        <v>19</v>
      </c>
      <c r="M7" s="27" t="s">
        <v>693</v>
      </c>
      <c r="N7" s="24" t="s">
        <v>0</v>
      </c>
      <c r="O7" s="24" t="s">
        <v>1</v>
      </c>
      <c r="P7" s="24" t="s">
        <v>2</v>
      </c>
      <c r="Q7" s="43" t="s">
        <v>907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592</v>
      </c>
      <c r="E8" s="34" t="s">
        <v>238</v>
      </c>
      <c r="F8" s="34" t="s">
        <v>666</v>
      </c>
      <c r="G8" s="34" t="s">
        <v>667</v>
      </c>
      <c r="H8" s="34" t="s">
        <v>192</v>
      </c>
      <c r="I8" s="33" t="s">
        <v>593</v>
      </c>
      <c r="J8" s="33">
        <v>99</v>
      </c>
      <c r="K8" s="33" t="s">
        <v>302</v>
      </c>
      <c r="L8" s="33" t="s">
        <v>798</v>
      </c>
      <c r="M8" s="34" t="s">
        <v>726</v>
      </c>
      <c r="N8" s="34" t="s">
        <v>866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708</v>
      </c>
      <c r="N10" s="34" t="s">
        <v>865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164</v>
      </c>
      <c r="E11" s="34" t="s">
        <v>238</v>
      </c>
      <c r="F11" s="34" t="s">
        <v>906</v>
      </c>
      <c r="G11" s="34" t="s">
        <v>109</v>
      </c>
      <c r="H11" s="34" t="s">
        <v>192</v>
      </c>
      <c r="I11" s="33" t="s">
        <v>166</v>
      </c>
      <c r="J11" s="33">
        <v>99</v>
      </c>
      <c r="K11" s="33" t="s">
        <v>793</v>
      </c>
      <c r="L11" s="33" t="s">
        <v>687</v>
      </c>
      <c r="M11" s="34" t="s">
        <v>688</v>
      </c>
      <c r="N11" s="34" t="s">
        <v>865</v>
      </c>
      <c r="O11" s="35">
        <v>1</v>
      </c>
      <c r="P11" s="33"/>
      <c r="Q11" s="34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590</v>
      </c>
      <c r="E12" s="41" t="s">
        <v>280</v>
      </c>
      <c r="F12" s="41" t="s">
        <v>665</v>
      </c>
      <c r="G12" s="41" t="s">
        <v>374</v>
      </c>
      <c r="H12" s="41" t="s">
        <v>192</v>
      </c>
      <c r="I12" s="40" t="s">
        <v>591</v>
      </c>
      <c r="J12" s="40">
        <v>99</v>
      </c>
      <c r="K12" s="40" t="s">
        <v>302</v>
      </c>
      <c r="L12" s="40" t="s">
        <v>796</v>
      </c>
      <c r="M12" s="41" t="s">
        <v>725</v>
      </c>
      <c r="N12" s="41"/>
      <c r="O12" s="42"/>
      <c r="P12" s="40"/>
      <c r="Q12" s="41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856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587</v>
      </c>
      <c r="E14" s="37" t="s">
        <v>280</v>
      </c>
      <c r="F14" s="37" t="s">
        <v>589</v>
      </c>
      <c r="G14" s="37" t="s">
        <v>90</v>
      </c>
      <c r="H14" s="37" t="s">
        <v>192</v>
      </c>
      <c r="I14" s="36" t="s">
        <v>588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859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867</v>
      </c>
      <c r="E15" s="31" t="s">
        <v>280</v>
      </c>
      <c r="F15" s="31" t="s">
        <v>868</v>
      </c>
      <c r="G15" s="31"/>
      <c r="H15" s="31" t="s">
        <v>192</v>
      </c>
      <c r="I15" s="30" t="s">
        <v>869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759</v>
      </c>
      <c r="E16" s="19" t="s">
        <v>763</v>
      </c>
      <c r="F16" s="19" t="s">
        <v>779</v>
      </c>
      <c r="G16" s="19" t="s">
        <v>84</v>
      </c>
      <c r="H16" s="19" t="s">
        <v>192</v>
      </c>
      <c r="I16" s="20" t="s">
        <v>789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581</v>
      </c>
      <c r="E17" s="34" t="s">
        <v>237</v>
      </c>
      <c r="F17" s="34" t="s">
        <v>660</v>
      </c>
      <c r="G17" s="34" t="s">
        <v>105</v>
      </c>
      <c r="H17" s="34" t="s">
        <v>582</v>
      </c>
      <c r="I17" s="33" t="s">
        <v>672</v>
      </c>
      <c r="J17" s="33">
        <v>99</v>
      </c>
      <c r="K17" s="33" t="s">
        <v>294</v>
      </c>
      <c r="L17" s="33">
        <v>47</v>
      </c>
      <c r="M17" s="34" t="s">
        <v>707</v>
      </c>
      <c r="N17" s="34" t="s">
        <v>898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819</v>
      </c>
      <c r="E18" s="37" t="s">
        <v>237</v>
      </c>
      <c r="F18" s="37" t="s">
        <v>821</v>
      </c>
      <c r="G18" s="37" t="s">
        <v>664</v>
      </c>
      <c r="H18" s="37" t="s">
        <v>192</v>
      </c>
      <c r="I18" s="36" t="s">
        <v>822</v>
      </c>
      <c r="J18" s="36"/>
      <c r="K18" s="36" t="s">
        <v>388</v>
      </c>
      <c r="L18" s="36">
        <v>45</v>
      </c>
      <c r="M18" s="37" t="s">
        <v>820</v>
      </c>
      <c r="N18" s="37" t="s">
        <v>858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236</v>
      </c>
      <c r="F20" s="34" t="s">
        <v>346</v>
      </c>
      <c r="G20" s="34" t="s">
        <v>84</v>
      </c>
      <c r="H20" s="34" t="s">
        <v>192</v>
      </c>
      <c r="I20" s="33" t="s">
        <v>60</v>
      </c>
      <c r="J20" s="33">
        <v>1</v>
      </c>
      <c r="K20" s="33" t="s">
        <v>294</v>
      </c>
      <c r="L20" s="33" t="s">
        <v>514</v>
      </c>
      <c r="M20" s="34" t="s">
        <v>730</v>
      </c>
      <c r="N20" s="34" t="s">
        <v>856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173</v>
      </c>
      <c r="E22" s="34" t="s">
        <v>237</v>
      </c>
      <c r="F22" s="34" t="s">
        <v>229</v>
      </c>
      <c r="G22" s="34" t="s">
        <v>84</v>
      </c>
      <c r="H22" s="34" t="s">
        <v>192</v>
      </c>
      <c r="I22" s="33" t="s">
        <v>165</v>
      </c>
      <c r="J22" s="33">
        <v>1</v>
      </c>
      <c r="K22" s="33" t="s">
        <v>294</v>
      </c>
      <c r="L22" s="33" t="s">
        <v>303</v>
      </c>
      <c r="M22" s="34" t="s">
        <v>684</v>
      </c>
      <c r="N22" s="34" t="s">
        <v>856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150</v>
      </c>
      <c r="E23" s="34" t="s">
        <v>237</v>
      </c>
      <c r="F23" s="34" t="s">
        <v>151</v>
      </c>
      <c r="G23" s="34" t="s">
        <v>109</v>
      </c>
      <c r="H23" s="34" t="s">
        <v>192</v>
      </c>
      <c r="I23" s="33" t="s">
        <v>152</v>
      </c>
      <c r="J23" s="33">
        <v>99</v>
      </c>
      <c r="K23" s="33" t="s">
        <v>299</v>
      </c>
      <c r="L23" s="33" t="s">
        <v>307</v>
      </c>
      <c r="M23" s="34" t="s">
        <v>248</v>
      </c>
      <c r="N23" s="34" t="s">
        <v>892</v>
      </c>
      <c r="O23" s="35">
        <v>1</v>
      </c>
      <c r="P23" s="33"/>
      <c r="Q23" s="34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3">
        <v>0</v>
      </c>
      <c r="B24" s="33">
        <v>1</v>
      </c>
      <c r="C24" s="33">
        <v>2</v>
      </c>
      <c r="D24" s="34" t="s">
        <v>279</v>
      </c>
      <c r="E24" s="34" t="s">
        <v>280</v>
      </c>
      <c r="F24" s="34" t="s">
        <v>347</v>
      </c>
      <c r="G24" s="34" t="s">
        <v>84</v>
      </c>
      <c r="H24" s="34" t="s">
        <v>192</v>
      </c>
      <c r="I24" s="33" t="s">
        <v>269</v>
      </c>
      <c r="J24" s="33">
        <v>1</v>
      </c>
      <c r="K24" s="33" t="s">
        <v>293</v>
      </c>
      <c r="L24" s="33" t="s">
        <v>516</v>
      </c>
      <c r="M24" s="34" t="s">
        <v>517</v>
      </c>
      <c r="N24" s="34" t="s">
        <v>866</v>
      </c>
      <c r="O24" s="35">
        <v>1</v>
      </c>
      <c r="P24" s="33"/>
      <c r="Q24" s="34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1</v>
      </c>
      <c r="AF24" s="2">
        <f t="shared" si="3"/>
        <v>0</v>
      </c>
      <c r="AG24" s="2">
        <f t="shared" si="4"/>
        <v>1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605</v>
      </c>
      <c r="E25" s="37" t="s">
        <v>280</v>
      </c>
      <c r="F25" s="37" t="s">
        <v>606</v>
      </c>
      <c r="G25" s="37" t="s">
        <v>607</v>
      </c>
      <c r="H25" s="37" t="s">
        <v>192</v>
      </c>
      <c r="I25" s="36" t="s">
        <v>608</v>
      </c>
      <c r="J25" s="36">
        <v>99</v>
      </c>
      <c r="K25" s="36" t="s">
        <v>292</v>
      </c>
      <c r="L25" s="36" t="s">
        <v>795</v>
      </c>
      <c r="M25" s="37" t="s">
        <v>197</v>
      </c>
      <c r="N25" s="37" t="s">
        <v>859</v>
      </c>
      <c r="O25" s="38"/>
      <c r="P25" s="36"/>
      <c r="Q25" s="37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s="14" customFormat="1" ht="14.25" customHeight="1" x14ac:dyDescent="0.25">
      <c r="A26" s="33">
        <v>0</v>
      </c>
      <c r="B26" s="33">
        <v>1</v>
      </c>
      <c r="C26" s="33">
        <v>2</v>
      </c>
      <c r="D26" s="34" t="s">
        <v>449</v>
      </c>
      <c r="E26" s="34" t="s">
        <v>237</v>
      </c>
      <c r="F26" s="34" t="s">
        <v>772</v>
      </c>
      <c r="G26" s="34" t="s">
        <v>773</v>
      </c>
      <c r="H26" s="34" t="s">
        <v>192</v>
      </c>
      <c r="I26" s="33" t="s">
        <v>450</v>
      </c>
      <c r="J26" s="33">
        <v>7</v>
      </c>
      <c r="K26" s="33" t="s">
        <v>294</v>
      </c>
      <c r="L26" s="33" t="s">
        <v>516</v>
      </c>
      <c r="M26" s="34" t="s">
        <v>197</v>
      </c>
      <c r="N26" s="34" t="s">
        <v>892</v>
      </c>
      <c r="O26" s="35">
        <v>1</v>
      </c>
      <c r="P26" s="33"/>
      <c r="Q26" s="34"/>
      <c r="R26" s="13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C26" s="2"/>
      <c r="AD26" s="2">
        <f t="shared" si="17"/>
        <v>0</v>
      </c>
      <c r="AE26" s="2">
        <f t="shared" si="18"/>
        <v>1</v>
      </c>
      <c r="AF26" s="2">
        <f t="shared" si="3"/>
        <v>0</v>
      </c>
      <c r="AG26" s="2">
        <f t="shared" si="4"/>
        <v>1</v>
      </c>
      <c r="AH26" s="2">
        <f t="shared" si="5"/>
        <v>0</v>
      </c>
      <c r="AI26" s="2">
        <f t="shared" si="6"/>
        <v>1</v>
      </c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pans="1:46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637</v>
      </c>
      <c r="E28" s="19" t="s">
        <v>238</v>
      </c>
      <c r="F28" s="19" t="s">
        <v>628</v>
      </c>
      <c r="G28" s="19" t="s">
        <v>139</v>
      </c>
      <c r="H28" s="19" t="s">
        <v>192</v>
      </c>
      <c r="I28" s="20" t="s">
        <v>629</v>
      </c>
      <c r="J28" s="20">
        <v>6</v>
      </c>
      <c r="K28" s="20" t="s">
        <v>388</v>
      </c>
      <c r="L28" s="20" t="s">
        <v>680</v>
      </c>
      <c r="M28" s="19" t="s">
        <v>197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632</v>
      </c>
      <c r="E29" s="34" t="s">
        <v>280</v>
      </c>
      <c r="F29" s="34" t="s">
        <v>633</v>
      </c>
      <c r="G29" s="34" t="s">
        <v>90</v>
      </c>
      <c r="H29" s="34" t="s">
        <v>192</v>
      </c>
      <c r="I29" s="33" t="s">
        <v>634</v>
      </c>
      <c r="J29" s="33">
        <v>2</v>
      </c>
      <c r="K29" s="33" t="s">
        <v>293</v>
      </c>
      <c r="L29" s="33" t="s">
        <v>514</v>
      </c>
      <c r="M29" s="34" t="s">
        <v>709</v>
      </c>
      <c r="N29" s="34" t="s">
        <v>866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801</v>
      </c>
      <c r="N30" s="37" t="s">
        <v>859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799</v>
      </c>
      <c r="M31" s="37" t="s">
        <v>710</v>
      </c>
      <c r="N31" s="37" t="s">
        <v>858</v>
      </c>
      <c r="O31" s="38"/>
      <c r="P31" s="36"/>
      <c r="Q31" s="37" t="s">
        <v>909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203</v>
      </c>
      <c r="E32" s="34" t="s">
        <v>237</v>
      </c>
      <c r="F32" s="34" t="s">
        <v>227</v>
      </c>
      <c r="G32" s="34" t="s">
        <v>112</v>
      </c>
      <c r="H32" s="34" t="s">
        <v>192</v>
      </c>
      <c r="I32" s="33" t="s">
        <v>202</v>
      </c>
      <c r="J32" s="33">
        <v>3</v>
      </c>
      <c r="K32" s="33" t="s">
        <v>294</v>
      </c>
      <c r="L32" s="33" t="s">
        <v>305</v>
      </c>
      <c r="M32" s="34" t="s">
        <v>248</v>
      </c>
      <c r="N32" s="34" t="s">
        <v>865</v>
      </c>
      <c r="O32" s="35">
        <v>1</v>
      </c>
      <c r="P32" s="33"/>
      <c r="Q32" s="34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1</v>
      </c>
      <c r="AF32" s="2">
        <f t="shared" si="3"/>
        <v>0</v>
      </c>
      <c r="AG32" s="2">
        <f t="shared" si="4"/>
        <v>1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844</v>
      </c>
      <c r="E33" s="34"/>
      <c r="F33" s="34" t="s">
        <v>845</v>
      </c>
      <c r="G33" s="34" t="s">
        <v>90</v>
      </c>
      <c r="H33" s="34" t="s">
        <v>192</v>
      </c>
      <c r="I33" s="33" t="s">
        <v>846</v>
      </c>
      <c r="J33" s="33"/>
      <c r="K33" s="33" t="s">
        <v>388</v>
      </c>
      <c r="L33" s="33"/>
      <c r="M33" s="34"/>
      <c r="N33" s="34" t="s">
        <v>856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852</v>
      </c>
      <c r="E34" s="19" t="s">
        <v>280</v>
      </c>
      <c r="F34" s="19" t="s">
        <v>853</v>
      </c>
      <c r="G34" s="19" t="s">
        <v>84</v>
      </c>
      <c r="H34" s="19" t="s">
        <v>192</v>
      </c>
      <c r="I34" s="20" t="s">
        <v>854</v>
      </c>
      <c r="J34" s="20"/>
      <c r="K34" s="20" t="s">
        <v>388</v>
      </c>
      <c r="L34" s="20">
        <v>75</v>
      </c>
      <c r="M34" s="19" t="s">
        <v>855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733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857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856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639</v>
      </c>
      <c r="E38" s="37" t="s">
        <v>236</v>
      </c>
      <c r="F38" s="37" t="s">
        <v>594</v>
      </c>
      <c r="G38" s="37" t="s">
        <v>105</v>
      </c>
      <c r="H38" s="37" t="s">
        <v>668</v>
      </c>
      <c r="I38" s="36" t="s">
        <v>595</v>
      </c>
      <c r="J38" s="36">
        <v>99</v>
      </c>
      <c r="K38" s="36" t="s">
        <v>292</v>
      </c>
      <c r="L38" s="36">
        <v>65</v>
      </c>
      <c r="M38" s="37" t="s">
        <v>802</v>
      </c>
      <c r="N38" s="37" t="s">
        <v>859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671</v>
      </c>
      <c r="J39" s="20">
        <v>99</v>
      </c>
      <c r="K39" s="20" t="s">
        <v>388</v>
      </c>
      <c r="L39" s="20" t="s">
        <v>307</v>
      </c>
      <c r="M39" s="19" t="s">
        <v>679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760</v>
      </c>
      <c r="E40" s="37" t="s">
        <v>765</v>
      </c>
      <c r="F40" s="37" t="s">
        <v>753</v>
      </c>
      <c r="G40" s="37" t="s">
        <v>84</v>
      </c>
      <c r="H40" s="37" t="s">
        <v>192</v>
      </c>
      <c r="I40" s="36" t="s">
        <v>754</v>
      </c>
      <c r="J40" s="36">
        <v>1</v>
      </c>
      <c r="K40" s="36" t="s">
        <v>300</v>
      </c>
      <c r="L40" s="36">
        <v>50</v>
      </c>
      <c r="M40" s="37" t="s">
        <v>803</v>
      </c>
      <c r="N40" s="37" t="s">
        <v>859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699</v>
      </c>
      <c r="E41" s="34" t="s">
        <v>236</v>
      </c>
      <c r="F41" s="34" t="s">
        <v>701</v>
      </c>
      <c r="G41" s="34" t="s">
        <v>104</v>
      </c>
      <c r="H41" s="34" t="s">
        <v>192</v>
      </c>
      <c r="I41" s="33" t="s">
        <v>700</v>
      </c>
      <c r="J41" s="33">
        <v>2</v>
      </c>
      <c r="K41" s="33" t="s">
        <v>294</v>
      </c>
      <c r="L41" s="33" t="s">
        <v>512</v>
      </c>
      <c r="M41" s="34" t="s">
        <v>702</v>
      </c>
      <c r="N41" s="34" t="s">
        <v>864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599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596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597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619</v>
      </c>
      <c r="E46" s="19" t="s">
        <v>236</v>
      </c>
      <c r="F46" s="19" t="s">
        <v>618</v>
      </c>
      <c r="G46" s="19" t="s">
        <v>84</v>
      </c>
      <c r="H46" s="19" t="s">
        <v>192</v>
      </c>
      <c r="I46" s="20" t="s">
        <v>620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866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686</v>
      </c>
      <c r="N48" s="37" t="s">
        <v>858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93</v>
      </c>
      <c r="E49" s="34" t="s">
        <v>236</v>
      </c>
      <c r="F49" s="34" t="s">
        <v>58</v>
      </c>
      <c r="G49" s="34" t="s">
        <v>84</v>
      </c>
      <c r="H49" s="34" t="s">
        <v>192</v>
      </c>
      <c r="I49" s="33" t="s">
        <v>79</v>
      </c>
      <c r="J49" s="33">
        <v>1</v>
      </c>
      <c r="K49" s="33" t="s">
        <v>300</v>
      </c>
      <c r="L49" s="33" t="s">
        <v>305</v>
      </c>
      <c r="M49" s="34" t="s">
        <v>304</v>
      </c>
      <c r="N49" s="34" t="s">
        <v>866</v>
      </c>
      <c r="O49" s="35">
        <v>1</v>
      </c>
      <c r="P49" s="33"/>
      <c r="Q49" s="34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892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609</v>
      </c>
      <c r="E51" s="37" t="s">
        <v>236</v>
      </c>
      <c r="F51" s="37" t="s">
        <v>610</v>
      </c>
      <c r="G51" s="37" t="s">
        <v>612</v>
      </c>
      <c r="H51" s="37" t="s">
        <v>192</v>
      </c>
      <c r="I51" s="36" t="s">
        <v>611</v>
      </c>
      <c r="J51" s="36">
        <v>99</v>
      </c>
      <c r="K51" s="36" t="s">
        <v>300</v>
      </c>
      <c r="L51" s="36" t="s">
        <v>681</v>
      </c>
      <c r="M51" s="37" t="s">
        <v>682</v>
      </c>
      <c r="N51" s="37" t="s">
        <v>891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3">
        <v>0</v>
      </c>
      <c r="B53" s="33">
        <v>1</v>
      </c>
      <c r="C53" s="33">
        <v>3</v>
      </c>
      <c r="D53" s="34" t="s">
        <v>31</v>
      </c>
      <c r="E53" s="34" t="s">
        <v>236</v>
      </c>
      <c r="F53" s="34" t="s">
        <v>352</v>
      </c>
      <c r="G53" s="34" t="s">
        <v>72</v>
      </c>
      <c r="H53" s="34" t="s">
        <v>192</v>
      </c>
      <c r="I53" s="33" t="s">
        <v>32</v>
      </c>
      <c r="J53" s="33">
        <v>4</v>
      </c>
      <c r="K53" s="33" t="s">
        <v>294</v>
      </c>
      <c r="L53" s="33" t="s">
        <v>305</v>
      </c>
      <c r="M53" s="34" t="s">
        <v>304</v>
      </c>
      <c r="N53" s="34" t="s">
        <v>864</v>
      </c>
      <c r="O53" s="35">
        <v>1</v>
      </c>
      <c r="P53" s="33"/>
      <c r="Q53" s="34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1</v>
      </c>
      <c r="AF53" s="2">
        <f t="shared" si="3"/>
        <v>0</v>
      </c>
      <c r="AG53" s="2">
        <f t="shared" si="4"/>
        <v>1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448</v>
      </c>
      <c r="E54" s="34" t="s">
        <v>237</v>
      </c>
      <c r="F54" s="34" t="s">
        <v>899</v>
      </c>
      <c r="G54" s="34" t="s">
        <v>497</v>
      </c>
      <c r="H54" s="34" t="s">
        <v>192</v>
      </c>
      <c r="I54" s="33" t="s">
        <v>569</v>
      </c>
      <c r="J54" s="33">
        <v>7</v>
      </c>
      <c r="K54" s="33" t="s">
        <v>294</v>
      </c>
      <c r="L54" s="33" t="s">
        <v>303</v>
      </c>
      <c r="M54" s="34" t="s">
        <v>267</v>
      </c>
      <c r="N54" s="34" t="s">
        <v>864</v>
      </c>
      <c r="O54" s="35">
        <v>1</v>
      </c>
      <c r="P54" s="33"/>
      <c r="Q54" s="34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1</v>
      </c>
      <c r="AF54" s="2">
        <f t="shared" si="3"/>
        <v>0</v>
      </c>
      <c r="AG54" s="2">
        <f t="shared" si="4"/>
        <v>1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703</v>
      </c>
      <c r="E55" s="41" t="s">
        <v>237</v>
      </c>
      <c r="F55" s="41" t="s">
        <v>704</v>
      </c>
      <c r="G55" s="41" t="s">
        <v>105</v>
      </c>
      <c r="H55" s="41" t="s">
        <v>192</v>
      </c>
      <c r="I55" s="40" t="s">
        <v>705</v>
      </c>
      <c r="J55" s="40">
        <v>99</v>
      </c>
      <c r="K55" s="40" t="s">
        <v>294</v>
      </c>
      <c r="L55" s="40" t="s">
        <v>681</v>
      </c>
      <c r="M55" s="41" t="s">
        <v>706</v>
      </c>
      <c r="N55" s="41"/>
      <c r="O55" s="42"/>
      <c r="P55" s="40"/>
      <c r="Q55" s="41" t="s">
        <v>908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861</v>
      </c>
      <c r="E56" s="34" t="s">
        <v>236</v>
      </c>
      <c r="F56" s="34" t="s">
        <v>862</v>
      </c>
      <c r="G56" s="34" t="s">
        <v>111</v>
      </c>
      <c r="H56" s="34" t="s">
        <v>192</v>
      </c>
      <c r="I56" s="33" t="s">
        <v>863</v>
      </c>
      <c r="J56" s="33"/>
      <c r="K56" s="33" t="s">
        <v>388</v>
      </c>
      <c r="L56" s="33">
        <v>38</v>
      </c>
      <c r="M56" s="34" t="s">
        <v>197</v>
      </c>
      <c r="N56" s="34" t="s">
        <v>856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806</v>
      </c>
      <c r="E58" s="34" t="s">
        <v>237</v>
      </c>
      <c r="F58" s="34" t="s">
        <v>807</v>
      </c>
      <c r="G58" s="34" t="s">
        <v>90</v>
      </c>
      <c r="H58" s="34" t="s">
        <v>192</v>
      </c>
      <c r="I58" s="33" t="s">
        <v>808</v>
      </c>
      <c r="J58" s="33">
        <v>2</v>
      </c>
      <c r="K58" s="33" t="s">
        <v>388</v>
      </c>
      <c r="L58" s="33"/>
      <c r="M58" s="34"/>
      <c r="N58" s="34" t="s">
        <v>856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856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683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809</v>
      </c>
      <c r="E61" s="34" t="s">
        <v>239</v>
      </c>
      <c r="F61" s="34" t="s">
        <v>810</v>
      </c>
      <c r="G61" s="34" t="s">
        <v>72</v>
      </c>
      <c r="H61" s="34" t="s">
        <v>192</v>
      </c>
      <c r="I61" s="33" t="s">
        <v>811</v>
      </c>
      <c r="J61" s="33">
        <v>4</v>
      </c>
      <c r="K61" s="33" t="s">
        <v>388</v>
      </c>
      <c r="L61" s="33"/>
      <c r="M61" s="34"/>
      <c r="N61" s="34" t="s">
        <v>856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738</v>
      </c>
      <c r="E63" s="19" t="s">
        <v>239</v>
      </c>
      <c r="F63" s="19" t="s">
        <v>739</v>
      </c>
      <c r="G63" s="19" t="s">
        <v>740</v>
      </c>
      <c r="H63" s="19" t="s">
        <v>192</v>
      </c>
      <c r="I63" s="20" t="s">
        <v>741</v>
      </c>
      <c r="J63" s="20">
        <v>99</v>
      </c>
      <c r="K63" s="20" t="s">
        <v>388</v>
      </c>
      <c r="L63" s="20">
        <v>30</v>
      </c>
      <c r="M63" s="19" t="s">
        <v>742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756</v>
      </c>
      <c r="E64" s="19" t="s">
        <v>765</v>
      </c>
      <c r="F64" s="19" t="s">
        <v>782</v>
      </c>
      <c r="G64" s="19" t="s">
        <v>147</v>
      </c>
      <c r="H64" s="19" t="s">
        <v>192</v>
      </c>
      <c r="I64" s="20" t="s">
        <v>792</v>
      </c>
      <c r="J64" s="20">
        <v>99</v>
      </c>
      <c r="K64" s="20" t="s">
        <v>300</v>
      </c>
      <c r="L64" s="20">
        <v>40</v>
      </c>
      <c r="M64" s="19" t="s">
        <v>805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756</v>
      </c>
      <c r="E65" s="19" t="s">
        <v>765</v>
      </c>
      <c r="F65" s="19" t="s">
        <v>781</v>
      </c>
      <c r="G65" s="19" t="s">
        <v>105</v>
      </c>
      <c r="H65" s="19" t="s">
        <v>192</v>
      </c>
      <c r="I65" s="20" t="s">
        <v>757</v>
      </c>
      <c r="J65" s="20">
        <v>99</v>
      </c>
      <c r="K65" s="20" t="s">
        <v>300</v>
      </c>
      <c r="L65" s="20">
        <v>40</v>
      </c>
      <c r="M65" s="19" t="s">
        <v>804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3">
        <v>0</v>
      </c>
      <c r="B66" s="33">
        <v>1</v>
      </c>
      <c r="C66" s="33">
        <v>5</v>
      </c>
      <c r="D66" s="34" t="s">
        <v>647</v>
      </c>
      <c r="E66" s="34" t="s">
        <v>239</v>
      </c>
      <c r="F66" s="34" t="s">
        <v>661</v>
      </c>
      <c r="G66" s="34" t="s">
        <v>84</v>
      </c>
      <c r="H66" s="34" t="s">
        <v>192</v>
      </c>
      <c r="I66" s="33" t="s">
        <v>613</v>
      </c>
      <c r="J66" s="33">
        <v>1</v>
      </c>
      <c r="K66" s="33" t="s">
        <v>294</v>
      </c>
      <c r="L66" s="33" t="s">
        <v>514</v>
      </c>
      <c r="M66" s="34" t="s">
        <v>685</v>
      </c>
      <c r="N66" s="34" t="s">
        <v>898</v>
      </c>
      <c r="O66" s="35">
        <v>1</v>
      </c>
      <c r="P66" s="33"/>
      <c r="Q66" s="34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711</v>
      </c>
      <c r="N67" s="37" t="s">
        <v>859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857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20">
        <v>0</v>
      </c>
      <c r="B69" s="20">
        <v>1</v>
      </c>
      <c r="C69" s="20">
        <v>5</v>
      </c>
      <c r="D69" s="19" t="s">
        <v>916</v>
      </c>
      <c r="E69" s="19" t="s">
        <v>848</v>
      </c>
      <c r="F69" s="19" t="s">
        <v>917</v>
      </c>
      <c r="G69" s="19" t="s">
        <v>72</v>
      </c>
      <c r="H69" s="19" t="s">
        <v>192</v>
      </c>
      <c r="I69" s="20" t="s">
        <v>918</v>
      </c>
      <c r="J69" s="20">
        <v>4</v>
      </c>
      <c r="K69" s="20" t="s">
        <v>388</v>
      </c>
      <c r="L69" s="20">
        <v>45</v>
      </c>
      <c r="M69" s="19" t="s">
        <v>919</v>
      </c>
      <c r="N69" s="19"/>
      <c r="O69" s="18"/>
      <c r="P69" s="20"/>
      <c r="Q69" s="19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1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3">
        <v>0</v>
      </c>
      <c r="B70" s="33">
        <v>1</v>
      </c>
      <c r="C70" s="33">
        <v>5</v>
      </c>
      <c r="D70" s="34" t="s">
        <v>823</v>
      </c>
      <c r="E70" s="34" t="s">
        <v>824</v>
      </c>
      <c r="F70" s="34" t="s">
        <v>827</v>
      </c>
      <c r="G70" s="34" t="s">
        <v>72</v>
      </c>
      <c r="H70" s="34" t="s">
        <v>192</v>
      </c>
      <c r="I70" s="33" t="s">
        <v>826</v>
      </c>
      <c r="J70" s="33"/>
      <c r="K70" s="33" t="s">
        <v>388</v>
      </c>
      <c r="L70" s="33">
        <v>45</v>
      </c>
      <c r="M70" s="34" t="s">
        <v>825</v>
      </c>
      <c r="N70" s="34" t="s">
        <v>866</v>
      </c>
      <c r="O70" s="35">
        <v>1</v>
      </c>
      <c r="P70" s="33"/>
      <c r="Q70" s="34"/>
      <c r="R70" s="1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1</v>
      </c>
      <c r="AF70" s="2">
        <f t="shared" si="3"/>
        <v>0</v>
      </c>
      <c r="AG70" s="2">
        <f t="shared" si="4"/>
        <v>1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6">
        <v>0</v>
      </c>
      <c r="B71" s="36">
        <v>1</v>
      </c>
      <c r="C71" s="36">
        <v>5</v>
      </c>
      <c r="D71" s="37" t="s">
        <v>444</v>
      </c>
      <c r="E71" s="37" t="s">
        <v>239</v>
      </c>
      <c r="F71" s="37" t="s">
        <v>500</v>
      </c>
      <c r="G71" s="37" t="s">
        <v>139</v>
      </c>
      <c r="H71" s="37" t="s">
        <v>192</v>
      </c>
      <c r="I71" s="36" t="s">
        <v>445</v>
      </c>
      <c r="J71" s="36">
        <v>1</v>
      </c>
      <c r="K71" s="36" t="s">
        <v>293</v>
      </c>
      <c r="L71" s="36" t="s">
        <v>681</v>
      </c>
      <c r="M71" s="37" t="s">
        <v>720</v>
      </c>
      <c r="N71" s="37" t="s">
        <v>858</v>
      </c>
      <c r="O71" s="38"/>
      <c r="P71" s="36"/>
      <c r="Q71" s="37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815</v>
      </c>
      <c r="E72" s="34" t="s">
        <v>239</v>
      </c>
      <c r="F72" s="34" t="s">
        <v>816</v>
      </c>
      <c r="G72" s="34" t="s">
        <v>817</v>
      </c>
      <c r="H72" s="34" t="s">
        <v>192</v>
      </c>
      <c r="I72" s="33" t="s">
        <v>818</v>
      </c>
      <c r="J72" s="33">
        <v>1</v>
      </c>
      <c r="K72" s="33" t="s">
        <v>388</v>
      </c>
      <c r="L72" s="33">
        <v>40</v>
      </c>
      <c r="M72" s="34" t="s">
        <v>520</v>
      </c>
      <c r="N72" s="34" t="s">
        <v>864</v>
      </c>
      <c r="O72" s="35">
        <v>1</v>
      </c>
      <c r="P72" s="33"/>
      <c r="Q72" s="34"/>
      <c r="R72" s="13"/>
      <c r="S72" s="2">
        <f t="shared" si="7"/>
        <v>1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755</v>
      </c>
      <c r="E73" s="34" t="s">
        <v>765</v>
      </c>
      <c r="F73" s="34" t="s">
        <v>68</v>
      </c>
      <c r="G73" s="34" t="s">
        <v>90</v>
      </c>
      <c r="H73" s="34" t="s">
        <v>192</v>
      </c>
      <c r="I73" s="33" t="s">
        <v>791</v>
      </c>
      <c r="J73" s="33">
        <v>2</v>
      </c>
      <c r="K73" s="33" t="s">
        <v>299</v>
      </c>
      <c r="L73" s="33">
        <v>40</v>
      </c>
      <c r="M73" s="34" t="s">
        <v>520</v>
      </c>
      <c r="N73" s="34" t="s">
        <v>864</v>
      </c>
      <c r="O73" s="35">
        <v>1</v>
      </c>
      <c r="P73" s="33"/>
      <c r="Q73" s="34"/>
      <c r="R73" s="13"/>
      <c r="S73" s="2">
        <f t="shared" ref="S73:S125" si="23">IF(J73=$S$7,1,0)</f>
        <v>0</v>
      </c>
      <c r="T73" s="2">
        <f t="shared" ref="T73:T125" si="24">IF(J73=$T$7,1,0)</f>
        <v>1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5</v>
      </c>
      <c r="D74" s="19" t="s">
        <v>129</v>
      </c>
      <c r="E74" s="19" t="s">
        <v>37</v>
      </c>
      <c r="F74" s="19" t="s">
        <v>130</v>
      </c>
      <c r="G74" s="19" t="s">
        <v>131</v>
      </c>
      <c r="H74" s="19" t="s">
        <v>192</v>
      </c>
      <c r="I74" s="20" t="s">
        <v>379</v>
      </c>
      <c r="J74" s="20">
        <v>99</v>
      </c>
      <c r="K74" s="20" t="s">
        <v>388</v>
      </c>
      <c r="L74" s="20" t="s">
        <v>309</v>
      </c>
      <c r="M74" s="19" t="s">
        <v>199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6</v>
      </c>
      <c r="D75" s="19" t="s">
        <v>456</v>
      </c>
      <c r="E75" s="19" t="s">
        <v>242</v>
      </c>
      <c r="F75" s="19" t="s">
        <v>457</v>
      </c>
      <c r="G75" s="19" t="s">
        <v>72</v>
      </c>
      <c r="H75" s="19" t="s">
        <v>192</v>
      </c>
      <c r="I75" s="20" t="s">
        <v>458</v>
      </c>
      <c r="J75" s="20">
        <v>4</v>
      </c>
      <c r="K75" s="20" t="s">
        <v>388</v>
      </c>
      <c r="L75" s="20" t="s">
        <v>308</v>
      </c>
      <c r="M75" s="19" t="s">
        <v>510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1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36">
        <v>0</v>
      </c>
      <c r="B76" s="36">
        <v>1</v>
      </c>
      <c r="C76" s="36">
        <v>6</v>
      </c>
      <c r="D76" s="37" t="s">
        <v>438</v>
      </c>
      <c r="E76" s="37" t="s">
        <v>485</v>
      </c>
      <c r="F76" s="37" t="s">
        <v>491</v>
      </c>
      <c r="G76" s="37" t="s">
        <v>492</v>
      </c>
      <c r="H76" s="37" t="s">
        <v>192</v>
      </c>
      <c r="I76" s="36" t="s">
        <v>437</v>
      </c>
      <c r="J76" s="36">
        <v>1</v>
      </c>
      <c r="K76" s="36" t="s">
        <v>294</v>
      </c>
      <c r="L76" s="36">
        <v>70</v>
      </c>
      <c r="M76" s="37" t="s">
        <v>922</v>
      </c>
      <c r="N76" s="37" t="s">
        <v>860</v>
      </c>
      <c r="O76" s="38"/>
      <c r="P76" s="36"/>
      <c r="Q76" s="37"/>
      <c r="R76" s="13"/>
      <c r="S76" s="2">
        <f t="shared" si="23"/>
        <v>1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271</v>
      </c>
      <c r="E77" s="19" t="s">
        <v>282</v>
      </c>
      <c r="F77" s="19" t="s">
        <v>272</v>
      </c>
      <c r="G77" s="19" t="s">
        <v>112</v>
      </c>
      <c r="H77" s="19" t="s">
        <v>192</v>
      </c>
      <c r="I77" s="20" t="s">
        <v>289</v>
      </c>
      <c r="J77" s="20">
        <v>3</v>
      </c>
      <c r="K77" s="20" t="s">
        <v>388</v>
      </c>
      <c r="L77" s="20" t="s">
        <v>309</v>
      </c>
      <c r="M77" s="19" t="s">
        <v>310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0</v>
      </c>
      <c r="U77" s="2">
        <f t="shared" si="25"/>
        <v>1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614</v>
      </c>
      <c r="E78" s="19" t="s">
        <v>243</v>
      </c>
      <c r="F78" s="19" t="s">
        <v>617</v>
      </c>
      <c r="G78" s="19" t="s">
        <v>90</v>
      </c>
      <c r="H78" s="19" t="s">
        <v>192</v>
      </c>
      <c r="I78" s="20" t="s">
        <v>784</v>
      </c>
      <c r="J78" s="20">
        <v>2</v>
      </c>
      <c r="K78" s="20" t="s">
        <v>299</v>
      </c>
      <c r="L78" s="20" t="s">
        <v>303</v>
      </c>
      <c r="M78" s="19" t="s">
        <v>616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1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1</v>
      </c>
      <c r="B79" s="20">
        <v>1</v>
      </c>
      <c r="C79" s="20">
        <v>6</v>
      </c>
      <c r="D79" s="19" t="s">
        <v>614</v>
      </c>
      <c r="E79" s="19" t="s">
        <v>243</v>
      </c>
      <c r="F79" s="19" t="s">
        <v>615</v>
      </c>
      <c r="G79" s="19" t="s">
        <v>84</v>
      </c>
      <c r="H79" s="19" t="s">
        <v>192</v>
      </c>
      <c r="I79" s="20" t="s">
        <v>785</v>
      </c>
      <c r="J79" s="20">
        <v>1</v>
      </c>
      <c r="K79" s="20" t="s">
        <v>299</v>
      </c>
      <c r="L79" s="20" t="s">
        <v>303</v>
      </c>
      <c r="M79" s="19" t="s">
        <v>616</v>
      </c>
      <c r="N79" s="19"/>
      <c r="O79" s="18"/>
      <c r="P79" s="20"/>
      <c r="Q79" s="19" t="s">
        <v>911</v>
      </c>
      <c r="R79" s="13"/>
      <c r="S79" s="2">
        <f t="shared" si="23"/>
        <v>1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19"/>
        <v>0</v>
      </c>
      <c r="AG79" s="2">
        <f t="shared" si="20"/>
        <v>0</v>
      </c>
      <c r="AH79" s="2">
        <f t="shared" si="21"/>
        <v>0</v>
      </c>
      <c r="AI79" s="2">
        <f t="shared" si="22"/>
        <v>0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208</v>
      </c>
      <c r="E80" s="34" t="s">
        <v>242</v>
      </c>
      <c r="F80" s="34" t="s">
        <v>209</v>
      </c>
      <c r="G80" s="34" t="s">
        <v>72</v>
      </c>
      <c r="H80" s="34" t="s">
        <v>192</v>
      </c>
      <c r="I80" s="33" t="s">
        <v>210</v>
      </c>
      <c r="J80" s="33">
        <v>4</v>
      </c>
      <c r="K80" s="33" t="s">
        <v>292</v>
      </c>
      <c r="L80" s="33" t="s">
        <v>514</v>
      </c>
      <c r="M80" s="34" t="s">
        <v>515</v>
      </c>
      <c r="N80" s="34" t="s">
        <v>866</v>
      </c>
      <c r="O80" s="35">
        <v>1</v>
      </c>
      <c r="P80" s="33"/>
      <c r="Q80" s="34"/>
      <c r="R80" s="13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1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0</v>
      </c>
      <c r="AE80" s="2">
        <f t="shared" si="34"/>
        <v>1</v>
      </c>
      <c r="AF80" s="2">
        <f t="shared" si="19"/>
        <v>0</v>
      </c>
      <c r="AG80" s="2">
        <f t="shared" si="20"/>
        <v>1</v>
      </c>
      <c r="AH80" s="2">
        <f t="shared" si="21"/>
        <v>0</v>
      </c>
      <c r="AI80" s="2">
        <f t="shared" si="22"/>
        <v>1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577</v>
      </c>
      <c r="E81" s="34" t="s">
        <v>578</v>
      </c>
      <c r="F81" s="34" t="s">
        <v>579</v>
      </c>
      <c r="G81" s="34" t="s">
        <v>663</v>
      </c>
      <c r="H81" s="34" t="s">
        <v>192</v>
      </c>
      <c r="I81" s="33" t="s">
        <v>580</v>
      </c>
      <c r="J81" s="33">
        <v>1</v>
      </c>
      <c r="K81" s="33" t="s">
        <v>294</v>
      </c>
      <c r="L81" s="33" t="s">
        <v>105</v>
      </c>
      <c r="M81" s="34" t="s">
        <v>105</v>
      </c>
      <c r="N81" s="34" t="s">
        <v>856</v>
      </c>
      <c r="O81" s="35">
        <v>1</v>
      </c>
      <c r="P81" s="33">
        <v>1</v>
      </c>
      <c r="Q81" s="34"/>
      <c r="R81" s="13"/>
      <c r="S81" s="2">
        <f t="shared" si="23"/>
        <v>1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19"/>
        <v>1</v>
      </c>
      <c r="AG81" s="2">
        <f t="shared" si="20"/>
        <v>0</v>
      </c>
      <c r="AH81" s="2">
        <f t="shared" si="21"/>
        <v>1</v>
      </c>
      <c r="AI81" s="2">
        <f t="shared" si="22"/>
        <v>0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172</v>
      </c>
      <c r="E82" s="34" t="s">
        <v>240</v>
      </c>
      <c r="F82" s="34" t="s">
        <v>179</v>
      </c>
      <c r="G82" s="34" t="s">
        <v>85</v>
      </c>
      <c r="H82" s="34" t="s">
        <v>192</v>
      </c>
      <c r="I82" s="33" t="s">
        <v>232</v>
      </c>
      <c r="J82" s="33">
        <v>6</v>
      </c>
      <c r="K82" s="33" t="s">
        <v>294</v>
      </c>
      <c r="L82" s="33" t="s">
        <v>514</v>
      </c>
      <c r="M82" s="34" t="s">
        <v>250</v>
      </c>
      <c r="N82" s="34" t="s">
        <v>865</v>
      </c>
      <c r="O82" s="35">
        <v>1</v>
      </c>
      <c r="P82" s="33"/>
      <c r="Q82" s="34"/>
      <c r="R82" s="13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1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19"/>
        <v>0</v>
      </c>
      <c r="AG82" s="2">
        <f t="shared" si="20"/>
        <v>1</v>
      </c>
      <c r="AH82" s="2">
        <f t="shared" si="21"/>
        <v>0</v>
      </c>
      <c r="AI82" s="2">
        <f t="shared" si="22"/>
        <v>1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638</v>
      </c>
      <c r="E83" s="34" t="s">
        <v>526</v>
      </c>
      <c r="F83" s="34" t="s">
        <v>621</v>
      </c>
      <c r="G83" s="34" t="s">
        <v>502</v>
      </c>
      <c r="H83" s="34" t="s">
        <v>192</v>
      </c>
      <c r="I83" s="33" t="s">
        <v>622</v>
      </c>
      <c r="J83" s="33">
        <v>2</v>
      </c>
      <c r="K83" s="33" t="s">
        <v>294</v>
      </c>
      <c r="L83" s="33" t="s">
        <v>105</v>
      </c>
      <c r="M83" s="34" t="s">
        <v>105</v>
      </c>
      <c r="N83" s="34" t="s">
        <v>856</v>
      </c>
      <c r="O83" s="35">
        <v>1</v>
      </c>
      <c r="P83" s="33">
        <v>1</v>
      </c>
      <c r="Q83" s="34"/>
      <c r="R83" s="13"/>
      <c r="S83" s="2">
        <f t="shared" si="23"/>
        <v>0</v>
      </c>
      <c r="T83" s="2">
        <f t="shared" si="24"/>
        <v>1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1</v>
      </c>
      <c r="AE83" s="2">
        <f t="shared" si="34"/>
        <v>0</v>
      </c>
      <c r="AF83" s="2">
        <f t="shared" si="19"/>
        <v>1</v>
      </c>
      <c r="AG83" s="2">
        <f t="shared" si="20"/>
        <v>0</v>
      </c>
      <c r="AH83" s="2">
        <f t="shared" si="21"/>
        <v>1</v>
      </c>
      <c r="AI83" s="2">
        <f t="shared" si="22"/>
        <v>0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717</v>
      </c>
      <c r="E84" s="34" t="s">
        <v>762</v>
      </c>
      <c r="F84" s="34" t="s">
        <v>774</v>
      </c>
      <c r="G84" s="34" t="s">
        <v>146</v>
      </c>
      <c r="H84" s="34" t="s">
        <v>192</v>
      </c>
      <c r="I84" s="33" t="s">
        <v>718</v>
      </c>
      <c r="J84" s="33">
        <v>99</v>
      </c>
      <c r="K84" s="33" t="s">
        <v>299</v>
      </c>
      <c r="L84" s="33" t="s">
        <v>514</v>
      </c>
      <c r="M84" s="34" t="s">
        <v>719</v>
      </c>
      <c r="N84" s="34" t="s">
        <v>865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3">
        <v>0</v>
      </c>
      <c r="B85" s="33">
        <v>1</v>
      </c>
      <c r="C85" s="33">
        <v>6</v>
      </c>
      <c r="D85" s="34" t="s">
        <v>893</v>
      </c>
      <c r="E85" s="34" t="s">
        <v>894</v>
      </c>
      <c r="F85" s="34" t="s">
        <v>895</v>
      </c>
      <c r="G85" s="34" t="s">
        <v>90</v>
      </c>
      <c r="H85" s="34" t="s">
        <v>192</v>
      </c>
      <c r="I85" s="33" t="s">
        <v>896</v>
      </c>
      <c r="J85" s="33">
        <v>2</v>
      </c>
      <c r="K85" s="33" t="s">
        <v>388</v>
      </c>
      <c r="L85" s="33">
        <v>45</v>
      </c>
      <c r="M85" s="34" t="s">
        <v>897</v>
      </c>
      <c r="N85" s="34" t="s">
        <v>864</v>
      </c>
      <c r="O85" s="35">
        <v>1</v>
      </c>
      <c r="P85" s="33"/>
      <c r="Q85" s="34"/>
      <c r="S85" s="2">
        <f t="shared" si="23"/>
        <v>0</v>
      </c>
      <c r="T85" s="2">
        <f t="shared" si="24"/>
        <v>1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1</v>
      </c>
      <c r="AF85" s="2">
        <f t="shared" si="19"/>
        <v>0</v>
      </c>
      <c r="AG85" s="2">
        <f t="shared" si="20"/>
        <v>1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0</v>
      </c>
      <c r="B86" s="36">
        <v>1</v>
      </c>
      <c r="C86" s="36">
        <v>6</v>
      </c>
      <c r="D86" s="37" t="s">
        <v>648</v>
      </c>
      <c r="E86" s="37" t="s">
        <v>488</v>
      </c>
      <c r="F86" s="37" t="s">
        <v>446</v>
      </c>
      <c r="G86" s="37" t="s">
        <v>72</v>
      </c>
      <c r="H86" s="37" t="s">
        <v>192</v>
      </c>
      <c r="I86" s="36" t="s">
        <v>447</v>
      </c>
      <c r="J86" s="36">
        <v>4</v>
      </c>
      <c r="K86" s="36" t="s">
        <v>300</v>
      </c>
      <c r="L86" s="36" t="s">
        <v>308</v>
      </c>
      <c r="M86" s="37" t="s">
        <v>523</v>
      </c>
      <c r="N86" s="37" t="s">
        <v>891</v>
      </c>
      <c r="O86" s="38"/>
      <c r="P86" s="36"/>
      <c r="Q86" s="37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1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6">
        <v>1</v>
      </c>
      <c r="B87" s="36">
        <v>1</v>
      </c>
      <c r="C87" s="36">
        <v>6</v>
      </c>
      <c r="D87" s="37" t="s">
        <v>648</v>
      </c>
      <c r="E87" s="37" t="s">
        <v>488</v>
      </c>
      <c r="F87" s="37" t="s">
        <v>625</v>
      </c>
      <c r="G87" s="37" t="s">
        <v>662</v>
      </c>
      <c r="H87" s="37" t="s">
        <v>192</v>
      </c>
      <c r="I87" s="36" t="s">
        <v>626</v>
      </c>
      <c r="J87" s="36">
        <v>1</v>
      </c>
      <c r="K87" s="36" t="s">
        <v>300</v>
      </c>
      <c r="L87" s="36" t="s">
        <v>308</v>
      </c>
      <c r="M87" s="37" t="s">
        <v>523</v>
      </c>
      <c r="N87" s="37" t="s">
        <v>891</v>
      </c>
      <c r="O87" s="38"/>
      <c r="P87" s="36"/>
      <c r="Q87" s="37"/>
      <c r="R87" s="13"/>
      <c r="S87" s="2">
        <f t="shared" si="23"/>
        <v>1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19"/>
        <v>0</v>
      </c>
      <c r="AG87" s="2">
        <f t="shared" si="20"/>
        <v>0</v>
      </c>
      <c r="AH87" s="2">
        <f t="shared" si="21"/>
        <v>0</v>
      </c>
      <c r="AI87" s="2">
        <f t="shared" si="22"/>
        <v>0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261</v>
      </c>
      <c r="E88" s="34" t="s">
        <v>240</v>
      </c>
      <c r="F88" s="34" t="s">
        <v>262</v>
      </c>
      <c r="G88" s="34" t="s">
        <v>113</v>
      </c>
      <c r="H88" s="34" t="s">
        <v>192</v>
      </c>
      <c r="I88" s="33" t="s">
        <v>263</v>
      </c>
      <c r="J88" s="33">
        <v>5</v>
      </c>
      <c r="K88" s="33" t="s">
        <v>299</v>
      </c>
      <c r="L88" s="33">
        <v>58</v>
      </c>
      <c r="M88" s="34" t="s">
        <v>250</v>
      </c>
      <c r="N88" s="34" t="s">
        <v>864</v>
      </c>
      <c r="O88" s="35">
        <v>1</v>
      </c>
      <c r="P88" s="33"/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1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19"/>
        <v>0</v>
      </c>
      <c r="AG88" s="2">
        <f t="shared" si="20"/>
        <v>1</v>
      </c>
      <c r="AH88" s="2">
        <f t="shared" si="21"/>
        <v>0</v>
      </c>
      <c r="AI88" s="2">
        <f t="shared" si="22"/>
        <v>1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870</v>
      </c>
      <c r="E89" s="34" t="s">
        <v>871</v>
      </c>
      <c r="F89" s="34" t="s">
        <v>872</v>
      </c>
      <c r="G89" s="34"/>
      <c r="H89" s="34" t="s">
        <v>192</v>
      </c>
      <c r="I89" s="33" t="s">
        <v>873</v>
      </c>
      <c r="J89" s="33"/>
      <c r="K89" s="33" t="s">
        <v>388</v>
      </c>
      <c r="L89" s="33"/>
      <c r="M89" s="34"/>
      <c r="N89" s="34" t="s">
        <v>856</v>
      </c>
      <c r="O89" s="35">
        <v>1</v>
      </c>
      <c r="P89" s="33">
        <v>1</v>
      </c>
      <c r="Q89" s="34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1</v>
      </c>
      <c r="AE89" s="2">
        <f t="shared" si="34"/>
        <v>0</v>
      </c>
      <c r="AF89" s="2">
        <f t="shared" si="19"/>
        <v>1</v>
      </c>
      <c r="AG89" s="2">
        <f t="shared" si="20"/>
        <v>0</v>
      </c>
      <c r="AH89" s="2">
        <f t="shared" si="21"/>
        <v>1</v>
      </c>
      <c r="AI89" s="2">
        <f t="shared" si="22"/>
        <v>0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335</v>
      </c>
      <c r="E90" s="34" t="s">
        <v>243</v>
      </c>
      <c r="F90" s="34" t="s">
        <v>334</v>
      </c>
      <c r="G90" s="34" t="s">
        <v>102</v>
      </c>
      <c r="H90" s="34" t="s">
        <v>192</v>
      </c>
      <c r="I90" s="33" t="s">
        <v>673</v>
      </c>
      <c r="J90" s="33">
        <v>5</v>
      </c>
      <c r="K90" s="33" t="s">
        <v>293</v>
      </c>
      <c r="L90" s="33" t="s">
        <v>512</v>
      </c>
      <c r="M90" s="34" t="s">
        <v>197</v>
      </c>
      <c r="N90" s="34" t="s">
        <v>865</v>
      </c>
      <c r="O90" s="35">
        <v>1</v>
      </c>
      <c r="P90" s="33"/>
      <c r="Q90" s="34"/>
      <c r="R90" s="13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1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1</v>
      </c>
      <c r="AF90" s="2">
        <f t="shared" si="19"/>
        <v>0</v>
      </c>
      <c r="AG90" s="2">
        <f t="shared" si="20"/>
        <v>1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649</v>
      </c>
      <c r="E91" s="34" t="s">
        <v>526</v>
      </c>
      <c r="F91" s="34" t="s">
        <v>527</v>
      </c>
      <c r="G91" s="34" t="s">
        <v>110</v>
      </c>
      <c r="H91" s="34" t="s">
        <v>192</v>
      </c>
      <c r="I91" s="33" t="s">
        <v>528</v>
      </c>
      <c r="J91" s="33">
        <v>1</v>
      </c>
      <c r="K91" s="33" t="s">
        <v>300</v>
      </c>
      <c r="L91" s="33" t="s">
        <v>307</v>
      </c>
      <c r="M91" s="34" t="s">
        <v>712</v>
      </c>
      <c r="N91" s="34" t="s">
        <v>866</v>
      </c>
      <c r="O91" s="35">
        <v>1</v>
      </c>
      <c r="P91" s="33"/>
      <c r="Q91" s="34"/>
      <c r="R91" s="13"/>
      <c r="S91" s="2">
        <f t="shared" si="23"/>
        <v>1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19"/>
        <v>0</v>
      </c>
      <c r="AG91" s="2">
        <f t="shared" si="20"/>
        <v>1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20">
        <v>0</v>
      </c>
      <c r="B92" s="20">
        <v>1</v>
      </c>
      <c r="C92" s="20">
        <v>7</v>
      </c>
      <c r="D92" s="19" t="s">
        <v>258</v>
      </c>
      <c r="E92" s="19" t="s">
        <v>40</v>
      </c>
      <c r="F92" s="19" t="s">
        <v>259</v>
      </c>
      <c r="G92" s="19" t="s">
        <v>102</v>
      </c>
      <c r="H92" s="19" t="s">
        <v>192</v>
      </c>
      <c r="I92" s="20" t="s">
        <v>260</v>
      </c>
      <c r="J92" s="20">
        <v>5</v>
      </c>
      <c r="K92" s="20" t="s">
        <v>388</v>
      </c>
      <c r="L92" s="20" t="s">
        <v>309</v>
      </c>
      <c r="M92" s="19" t="s">
        <v>257</v>
      </c>
      <c r="N92" s="19"/>
      <c r="O92" s="18"/>
      <c r="P92" s="20"/>
      <c r="Q92" s="19"/>
      <c r="R92" s="13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1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0</v>
      </c>
      <c r="AF92" s="2">
        <f t="shared" si="19"/>
        <v>0</v>
      </c>
      <c r="AG92" s="2">
        <f t="shared" si="20"/>
        <v>0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552</v>
      </c>
      <c r="E93" s="34" t="s">
        <v>40</v>
      </c>
      <c r="F93" s="34" t="s">
        <v>631</v>
      </c>
      <c r="G93" s="34" t="s">
        <v>105</v>
      </c>
      <c r="H93" s="34" t="s">
        <v>192</v>
      </c>
      <c r="I93" s="33" t="s">
        <v>213</v>
      </c>
      <c r="J93" s="33">
        <v>1</v>
      </c>
      <c r="K93" s="33" t="s">
        <v>298</v>
      </c>
      <c r="L93" s="33" t="s">
        <v>307</v>
      </c>
      <c r="M93" s="34" t="s">
        <v>635</v>
      </c>
      <c r="N93" s="34" t="s">
        <v>865</v>
      </c>
      <c r="O93" s="35">
        <v>1</v>
      </c>
      <c r="P93" s="33"/>
      <c r="Q93" s="34"/>
      <c r="R93" s="13"/>
      <c r="S93" s="2">
        <f t="shared" si="23"/>
        <v>1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19"/>
        <v>0</v>
      </c>
      <c r="AG93" s="2">
        <f t="shared" si="20"/>
        <v>1</v>
      </c>
      <c r="AH93" s="2">
        <f t="shared" si="21"/>
        <v>0</v>
      </c>
      <c r="AI93" s="2">
        <f t="shared" si="22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0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137</v>
      </c>
      <c r="G94" s="34" t="s">
        <v>113</v>
      </c>
      <c r="H94" s="34" t="s">
        <v>192</v>
      </c>
      <c r="I94" s="33" t="s">
        <v>128</v>
      </c>
      <c r="J94" s="33">
        <v>5</v>
      </c>
      <c r="K94" s="33" t="s">
        <v>296</v>
      </c>
      <c r="L94" s="33" t="s">
        <v>309</v>
      </c>
      <c r="M94" s="34" t="s">
        <v>311</v>
      </c>
      <c r="N94" s="34" t="s">
        <v>856</v>
      </c>
      <c r="O94" s="35">
        <v>1</v>
      </c>
      <c r="P94" s="33">
        <v>1</v>
      </c>
      <c r="Q94" s="34"/>
      <c r="R94" s="13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1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1</v>
      </c>
      <c r="AG94" s="2">
        <f t="shared" si="20"/>
        <v>0</v>
      </c>
      <c r="AH94" s="2">
        <f t="shared" si="21"/>
        <v>1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230</v>
      </c>
      <c r="G95" s="34" t="s">
        <v>84</v>
      </c>
      <c r="H95" s="34" t="s">
        <v>192</v>
      </c>
      <c r="I95" s="33" t="s">
        <v>234</v>
      </c>
      <c r="J95" s="33">
        <v>1</v>
      </c>
      <c r="K95" s="33" t="s">
        <v>296</v>
      </c>
      <c r="L95" s="33" t="s">
        <v>309</v>
      </c>
      <c r="M95" s="34" t="s">
        <v>311</v>
      </c>
      <c r="N95" s="34" t="s">
        <v>856</v>
      </c>
      <c r="O95" s="35">
        <v>1</v>
      </c>
      <c r="P95" s="33">
        <v>1</v>
      </c>
      <c r="Q95" s="34"/>
      <c r="R95" s="13"/>
      <c r="S95" s="2">
        <f t="shared" si="23"/>
        <v>1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134</v>
      </c>
      <c r="E96" s="34" t="s">
        <v>40</v>
      </c>
      <c r="F96" s="34" t="s">
        <v>332</v>
      </c>
      <c r="G96" s="34" t="s">
        <v>90</v>
      </c>
      <c r="H96" s="34" t="s">
        <v>192</v>
      </c>
      <c r="I96" s="33" t="s">
        <v>333</v>
      </c>
      <c r="J96" s="33">
        <v>2</v>
      </c>
      <c r="K96" s="33" t="s">
        <v>296</v>
      </c>
      <c r="L96" s="33" t="s">
        <v>309</v>
      </c>
      <c r="M96" s="34" t="s">
        <v>311</v>
      </c>
      <c r="N96" s="34" t="s">
        <v>856</v>
      </c>
      <c r="O96" s="35">
        <v>1</v>
      </c>
      <c r="P96" s="33">
        <v>1</v>
      </c>
      <c r="Q96" s="34" t="s">
        <v>913</v>
      </c>
      <c r="R96" s="13"/>
      <c r="S96" s="2">
        <f t="shared" si="23"/>
        <v>0</v>
      </c>
      <c r="T96" s="2">
        <f t="shared" si="24"/>
        <v>1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1</v>
      </c>
      <c r="AE96" s="2">
        <f t="shared" si="34"/>
        <v>0</v>
      </c>
      <c r="AF96" s="2">
        <f t="shared" si="19"/>
        <v>0</v>
      </c>
      <c r="AG96" s="2">
        <f t="shared" si="20"/>
        <v>0</v>
      </c>
      <c r="AH96" s="2">
        <f t="shared" si="21"/>
        <v>0</v>
      </c>
      <c r="AI96" s="2">
        <f t="shared" si="22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0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654</v>
      </c>
      <c r="G97" s="34" t="s">
        <v>139</v>
      </c>
      <c r="H97" s="34" t="s">
        <v>192</v>
      </c>
      <c r="I97" s="33" t="s">
        <v>624</v>
      </c>
      <c r="J97" s="33">
        <v>99</v>
      </c>
      <c r="K97" s="33" t="s">
        <v>296</v>
      </c>
      <c r="L97" s="33" t="s">
        <v>308</v>
      </c>
      <c r="M97" s="34" t="s">
        <v>270</v>
      </c>
      <c r="N97" s="34" t="s">
        <v>892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1</v>
      </c>
      <c r="AH97" s="2">
        <f t="shared" si="21"/>
        <v>0</v>
      </c>
      <c r="AI97" s="2">
        <f t="shared" si="22"/>
        <v>1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1</v>
      </c>
      <c r="B98" s="33">
        <v>1</v>
      </c>
      <c r="C98" s="33">
        <v>7</v>
      </c>
      <c r="D98" s="34" t="s">
        <v>214</v>
      </c>
      <c r="E98" s="34" t="s">
        <v>40</v>
      </c>
      <c r="F98" s="34" t="s">
        <v>215</v>
      </c>
      <c r="G98" s="34" t="s">
        <v>90</v>
      </c>
      <c r="H98" s="34" t="s">
        <v>192</v>
      </c>
      <c r="I98" s="33" t="s">
        <v>216</v>
      </c>
      <c r="J98" s="33">
        <v>2</v>
      </c>
      <c r="K98" s="33" t="s">
        <v>296</v>
      </c>
      <c r="L98" s="33" t="s">
        <v>308</v>
      </c>
      <c r="M98" s="34" t="s">
        <v>270</v>
      </c>
      <c r="N98" s="34" t="s">
        <v>892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1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0</v>
      </c>
      <c r="AH98" s="2">
        <f t="shared" si="21"/>
        <v>0</v>
      </c>
      <c r="AI98" s="2">
        <f t="shared" si="22"/>
        <v>0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840</v>
      </c>
      <c r="E99" s="34" t="s">
        <v>40</v>
      </c>
      <c r="F99" s="34" t="s">
        <v>842</v>
      </c>
      <c r="G99" s="34" t="s">
        <v>72</v>
      </c>
      <c r="H99" s="34" t="s">
        <v>192</v>
      </c>
      <c r="I99" s="33" t="s">
        <v>843</v>
      </c>
      <c r="J99" s="33">
        <v>3</v>
      </c>
      <c r="K99" s="33" t="s">
        <v>388</v>
      </c>
      <c r="L99" s="33">
        <v>28</v>
      </c>
      <c r="M99" s="34" t="s">
        <v>841</v>
      </c>
      <c r="N99" s="34" t="s">
        <v>865</v>
      </c>
      <c r="O99" s="35">
        <v>1</v>
      </c>
      <c r="P99" s="33"/>
      <c r="Q99" s="34"/>
      <c r="R99" s="13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337</v>
      </c>
      <c r="E100" s="34" t="s">
        <v>640</v>
      </c>
      <c r="F100" s="34" t="s">
        <v>359</v>
      </c>
      <c r="G100" s="34" t="s">
        <v>84</v>
      </c>
      <c r="H100" s="34" t="s">
        <v>192</v>
      </c>
      <c r="I100" s="33" t="s">
        <v>549</v>
      </c>
      <c r="J100" s="33">
        <v>1</v>
      </c>
      <c r="K100" s="33" t="s">
        <v>295</v>
      </c>
      <c r="L100" s="33">
        <v>29</v>
      </c>
      <c r="M100" s="34" t="s">
        <v>197</v>
      </c>
      <c r="N100" s="34" t="s">
        <v>865</v>
      </c>
      <c r="O100" s="35">
        <v>1</v>
      </c>
      <c r="P100" s="33"/>
      <c r="Q100" s="34"/>
      <c r="R100" s="13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1</v>
      </c>
      <c r="AF100" s="2">
        <f t="shared" si="19"/>
        <v>0</v>
      </c>
      <c r="AG100" s="2">
        <f t="shared" si="20"/>
        <v>1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20">
        <v>0</v>
      </c>
      <c r="B101" s="20">
        <v>1</v>
      </c>
      <c r="C101" s="20">
        <v>7</v>
      </c>
      <c r="D101" s="19" t="s">
        <v>601</v>
      </c>
      <c r="E101" s="19" t="s">
        <v>40</v>
      </c>
      <c r="F101" s="19" t="s">
        <v>602</v>
      </c>
      <c r="G101" s="19" t="s">
        <v>650</v>
      </c>
      <c r="H101" s="19" t="s">
        <v>192</v>
      </c>
      <c r="I101" s="20" t="s">
        <v>603</v>
      </c>
      <c r="J101" s="20">
        <v>99</v>
      </c>
      <c r="K101" s="20" t="s">
        <v>388</v>
      </c>
      <c r="L101" s="20" t="s">
        <v>308</v>
      </c>
      <c r="M101" s="19" t="s">
        <v>713</v>
      </c>
      <c r="N101" s="19"/>
      <c r="O101" s="18"/>
      <c r="P101" s="20"/>
      <c r="Q101" s="19"/>
      <c r="R101" s="13"/>
      <c r="S101" s="2">
        <f t="shared" si="23"/>
        <v>0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744</v>
      </c>
      <c r="E102" s="37" t="s">
        <v>40</v>
      </c>
      <c r="F102" s="37" t="s">
        <v>745</v>
      </c>
      <c r="G102" s="37" t="s">
        <v>72</v>
      </c>
      <c r="H102" s="37" t="s">
        <v>192</v>
      </c>
      <c r="I102" s="36" t="s">
        <v>746</v>
      </c>
      <c r="J102" s="36">
        <v>3</v>
      </c>
      <c r="K102" s="36" t="s">
        <v>296</v>
      </c>
      <c r="L102" s="36">
        <v>30</v>
      </c>
      <c r="M102" s="37" t="s">
        <v>812</v>
      </c>
      <c r="N102" s="37" t="s">
        <v>859</v>
      </c>
      <c r="O102" s="38"/>
      <c r="P102" s="36"/>
      <c r="Q102" s="37"/>
      <c r="R102" s="13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0</v>
      </c>
      <c r="AF102" s="2">
        <f t="shared" si="19"/>
        <v>0</v>
      </c>
      <c r="AG102" s="2">
        <f t="shared" si="20"/>
        <v>0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529</v>
      </c>
      <c r="E103" s="37" t="s">
        <v>40</v>
      </c>
      <c r="F103" s="37" t="s">
        <v>562</v>
      </c>
      <c r="G103" s="37" t="s">
        <v>374</v>
      </c>
      <c r="H103" s="37" t="s">
        <v>192</v>
      </c>
      <c r="I103" s="36" t="s">
        <v>530</v>
      </c>
      <c r="J103" s="36">
        <v>99</v>
      </c>
      <c r="K103" s="36" t="s">
        <v>296</v>
      </c>
      <c r="L103" s="36" t="s">
        <v>307</v>
      </c>
      <c r="M103" s="37" t="s">
        <v>570</v>
      </c>
      <c r="N103" s="37" t="s">
        <v>858</v>
      </c>
      <c r="O103" s="38"/>
      <c r="P103" s="36"/>
      <c r="Q103" s="37"/>
      <c r="S103" s="2">
        <f t="shared" si="23"/>
        <v>0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6">
        <v>0</v>
      </c>
      <c r="B104" s="36">
        <v>1</v>
      </c>
      <c r="C104" s="36">
        <v>7</v>
      </c>
      <c r="D104" s="37" t="s">
        <v>222</v>
      </c>
      <c r="E104" s="37" t="s">
        <v>40</v>
      </c>
      <c r="F104" s="37" t="s">
        <v>180</v>
      </c>
      <c r="G104" s="37" t="s">
        <v>84</v>
      </c>
      <c r="H104" s="37" t="s">
        <v>192</v>
      </c>
      <c r="I104" s="36" t="s">
        <v>204</v>
      </c>
      <c r="J104" s="36">
        <v>1</v>
      </c>
      <c r="K104" s="36" t="s">
        <v>296</v>
      </c>
      <c r="L104" s="36" t="s">
        <v>307</v>
      </c>
      <c r="M104" s="37" t="s">
        <v>251</v>
      </c>
      <c r="N104" s="37" t="s">
        <v>891</v>
      </c>
      <c r="O104" s="38"/>
      <c r="P104" s="36"/>
      <c r="Q104" s="37"/>
      <c r="R104" s="13"/>
      <c r="S104" s="2">
        <f t="shared" si="23"/>
        <v>1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0</v>
      </c>
      <c r="AE104" s="2">
        <f t="shared" si="34"/>
        <v>0</v>
      </c>
      <c r="AF104" s="2">
        <f t="shared" si="19"/>
        <v>0</v>
      </c>
      <c r="AG104" s="2">
        <f t="shared" si="20"/>
        <v>0</v>
      </c>
      <c r="AH104" s="2">
        <f t="shared" si="21"/>
        <v>0</v>
      </c>
      <c r="AI104" s="2">
        <f t="shared" si="22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694</v>
      </c>
      <c r="E105" s="34" t="s">
        <v>695</v>
      </c>
      <c r="F105" s="34" t="s">
        <v>696</v>
      </c>
      <c r="G105" s="34" t="s">
        <v>90</v>
      </c>
      <c r="H105" s="34" t="s">
        <v>192</v>
      </c>
      <c r="I105" s="33" t="s">
        <v>783</v>
      </c>
      <c r="J105" s="33">
        <v>2</v>
      </c>
      <c r="K105" s="33" t="s">
        <v>296</v>
      </c>
      <c r="L105" s="33">
        <v>7</v>
      </c>
      <c r="M105" s="34" t="s">
        <v>698</v>
      </c>
      <c r="N105" s="34" t="s">
        <v>856</v>
      </c>
      <c r="O105" s="35">
        <v>1</v>
      </c>
      <c r="P105" s="33">
        <v>1</v>
      </c>
      <c r="Q105" s="34"/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888</v>
      </c>
      <c r="E106" s="34" t="s">
        <v>69</v>
      </c>
      <c r="F106" s="34" t="s">
        <v>904</v>
      </c>
      <c r="G106" s="34" t="s">
        <v>90</v>
      </c>
      <c r="H106" s="34" t="s">
        <v>192</v>
      </c>
      <c r="I106" s="33" t="s">
        <v>890</v>
      </c>
      <c r="J106" s="33">
        <v>2</v>
      </c>
      <c r="K106" s="33" t="s">
        <v>388</v>
      </c>
      <c r="L106" s="33">
        <v>5</v>
      </c>
      <c r="M106" s="34" t="s">
        <v>889</v>
      </c>
      <c r="N106" s="34" t="s">
        <v>856</v>
      </c>
      <c r="O106" s="35">
        <v>1</v>
      </c>
      <c r="P106" s="33">
        <v>1</v>
      </c>
      <c r="Q106" s="34" t="s">
        <v>912</v>
      </c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600</v>
      </c>
      <c r="E107" s="34" t="s">
        <v>641</v>
      </c>
      <c r="F107" s="34" t="s">
        <v>655</v>
      </c>
      <c r="G107" s="34" t="s">
        <v>84</v>
      </c>
      <c r="H107" s="34" t="s">
        <v>192</v>
      </c>
      <c r="I107" s="33" t="s">
        <v>547</v>
      </c>
      <c r="J107" s="33">
        <v>1</v>
      </c>
      <c r="K107" s="33" t="s">
        <v>296</v>
      </c>
      <c r="L107" s="33" t="s">
        <v>296</v>
      </c>
      <c r="M107" s="34" t="s">
        <v>195</v>
      </c>
      <c r="N107" s="34" t="s">
        <v>856</v>
      </c>
      <c r="O107" s="35">
        <v>1</v>
      </c>
      <c r="P107" s="33">
        <v>1</v>
      </c>
      <c r="Q107" s="34" t="s">
        <v>910</v>
      </c>
      <c r="R107" s="13"/>
      <c r="S107" s="2">
        <f>IF(J107=$S$7,1,0)</f>
        <v>1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884</v>
      </c>
      <c r="E108" s="34" t="s">
        <v>764</v>
      </c>
      <c r="F108" s="34" t="s">
        <v>780</v>
      </c>
      <c r="G108" s="34" t="s">
        <v>146</v>
      </c>
      <c r="H108" s="34" t="s">
        <v>192</v>
      </c>
      <c r="I108" s="33" t="s">
        <v>743</v>
      </c>
      <c r="J108" s="33">
        <v>99</v>
      </c>
      <c r="K108" s="33" t="s">
        <v>296</v>
      </c>
      <c r="L108" s="33" t="s">
        <v>296</v>
      </c>
      <c r="M108" s="34" t="s">
        <v>195</v>
      </c>
      <c r="N108" s="34" t="s">
        <v>856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722</v>
      </c>
      <c r="E109" s="34" t="s">
        <v>695</v>
      </c>
      <c r="F109" s="34" t="s">
        <v>770</v>
      </c>
      <c r="G109" s="34" t="s">
        <v>105</v>
      </c>
      <c r="H109" s="34" t="s">
        <v>192</v>
      </c>
      <c r="I109" s="33" t="s">
        <v>697</v>
      </c>
      <c r="J109" s="33">
        <v>99</v>
      </c>
      <c r="K109" s="33" t="s">
        <v>296</v>
      </c>
      <c r="L109" s="33">
        <v>9</v>
      </c>
      <c r="M109" s="34" t="s">
        <v>813</v>
      </c>
      <c r="N109" s="34" t="s">
        <v>856</v>
      </c>
      <c r="O109" s="35">
        <v>1</v>
      </c>
      <c r="P109" s="33">
        <v>1</v>
      </c>
      <c r="Q109" s="34"/>
      <c r="R109" s="1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1</v>
      </c>
      <c r="AE109" s="2">
        <f t="shared" si="34"/>
        <v>0</v>
      </c>
      <c r="AF109" s="2">
        <f t="shared" si="19"/>
        <v>1</v>
      </c>
      <c r="AG109" s="2">
        <f t="shared" si="20"/>
        <v>0</v>
      </c>
      <c r="AH109" s="2">
        <f t="shared" si="21"/>
        <v>1</v>
      </c>
      <c r="AI109" s="2">
        <f t="shared" si="22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0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34</v>
      </c>
      <c r="G110" s="19" t="s">
        <v>495</v>
      </c>
      <c r="H110" s="19" t="s">
        <v>192</v>
      </c>
      <c r="I110" s="20" t="s">
        <v>288</v>
      </c>
      <c r="J110" s="20">
        <v>1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1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354</v>
      </c>
      <c r="G111" s="19" t="s">
        <v>85</v>
      </c>
      <c r="H111" s="19" t="s">
        <v>192</v>
      </c>
      <c r="I111" s="20" t="s">
        <v>133</v>
      </c>
      <c r="J111" s="20">
        <v>6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1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91</v>
      </c>
      <c r="E112" s="19" t="s">
        <v>54</v>
      </c>
      <c r="F112" s="19" t="s">
        <v>496</v>
      </c>
      <c r="G112" s="19" t="s">
        <v>84</v>
      </c>
      <c r="H112" s="19" t="s">
        <v>192</v>
      </c>
      <c r="I112" s="20" t="s">
        <v>505</v>
      </c>
      <c r="J112" s="20">
        <v>1</v>
      </c>
      <c r="K112" s="20" t="s">
        <v>388</v>
      </c>
      <c r="L112" s="20" t="s">
        <v>296</v>
      </c>
      <c r="M112" s="19" t="s">
        <v>195</v>
      </c>
      <c r="N112" s="19"/>
      <c r="O112" s="18"/>
      <c r="P112" s="20"/>
      <c r="Q112" s="19"/>
      <c r="R112" s="13"/>
      <c r="S112" s="2">
        <f t="shared" si="23"/>
        <v>1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0</v>
      </c>
      <c r="AF112" s="2">
        <f t="shared" si="19"/>
        <v>0</v>
      </c>
      <c r="AG112" s="2">
        <f t="shared" si="20"/>
        <v>0</v>
      </c>
      <c r="AH112" s="2">
        <f t="shared" si="21"/>
        <v>0</v>
      </c>
      <c r="AI112" s="2">
        <f t="shared" si="22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3">
        <v>0</v>
      </c>
      <c r="B113" s="33">
        <v>2</v>
      </c>
      <c r="C113" s="33">
        <v>1</v>
      </c>
      <c r="D113" s="34" t="s">
        <v>168</v>
      </c>
      <c r="E113" s="34" t="s">
        <v>641</v>
      </c>
      <c r="F113" s="34" t="s">
        <v>167</v>
      </c>
      <c r="G113" s="34" t="s">
        <v>169</v>
      </c>
      <c r="H113" s="34" t="s">
        <v>192</v>
      </c>
      <c r="I113" s="33" t="s">
        <v>170</v>
      </c>
      <c r="J113" s="33">
        <v>99</v>
      </c>
      <c r="K113" s="33" t="s">
        <v>298</v>
      </c>
      <c r="L113" s="33" t="s">
        <v>296</v>
      </c>
      <c r="M113" s="34" t="s">
        <v>195</v>
      </c>
      <c r="N113" s="34" t="s">
        <v>865</v>
      </c>
      <c r="O113" s="35">
        <v>1</v>
      </c>
      <c r="P113" s="33"/>
      <c r="Q113" s="34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1</v>
      </c>
      <c r="AF113" s="2">
        <f t="shared" si="19"/>
        <v>0</v>
      </c>
      <c r="AG113" s="2">
        <f t="shared" si="20"/>
        <v>1</v>
      </c>
      <c r="AH113" s="2">
        <f t="shared" si="21"/>
        <v>0</v>
      </c>
      <c r="AI113" s="2">
        <f t="shared" si="22"/>
        <v>1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95</v>
      </c>
      <c r="E114" s="34" t="s">
        <v>61</v>
      </c>
      <c r="F114" s="34" t="s">
        <v>355</v>
      </c>
      <c r="G114" s="34" t="s">
        <v>72</v>
      </c>
      <c r="H114" s="34" t="s">
        <v>192</v>
      </c>
      <c r="I114" s="33" t="s">
        <v>138</v>
      </c>
      <c r="J114" s="33">
        <v>4</v>
      </c>
      <c r="K114" s="33" t="s">
        <v>298</v>
      </c>
      <c r="L114" s="33" t="s">
        <v>296</v>
      </c>
      <c r="M114" s="34" t="s">
        <v>195</v>
      </c>
      <c r="N114" s="34" t="s">
        <v>856</v>
      </c>
      <c r="O114" s="35">
        <v>1</v>
      </c>
      <c r="P114" s="33">
        <v>1</v>
      </c>
      <c r="Q114" s="34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1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1</v>
      </c>
      <c r="AE114" s="2">
        <f t="shared" si="34"/>
        <v>0</v>
      </c>
      <c r="AF114" s="2">
        <f t="shared" si="19"/>
        <v>1</v>
      </c>
      <c r="AG114" s="2">
        <f t="shared" si="20"/>
        <v>0</v>
      </c>
      <c r="AH114" s="2">
        <f t="shared" si="21"/>
        <v>1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1</v>
      </c>
      <c r="B115" s="33">
        <v>2</v>
      </c>
      <c r="C115" s="33">
        <v>1</v>
      </c>
      <c r="D115" s="34" t="s">
        <v>95</v>
      </c>
      <c r="E115" s="34" t="s">
        <v>61</v>
      </c>
      <c r="F115" s="34" t="s">
        <v>723</v>
      </c>
      <c r="G115" s="34" t="s">
        <v>777</v>
      </c>
      <c r="H115" s="34" t="s">
        <v>192</v>
      </c>
      <c r="I115" s="33" t="s">
        <v>697</v>
      </c>
      <c r="J115" s="33">
        <v>99</v>
      </c>
      <c r="K115" s="33" t="s">
        <v>298</v>
      </c>
      <c r="L115" s="33" t="s">
        <v>296</v>
      </c>
      <c r="M115" s="34" t="s">
        <v>195</v>
      </c>
      <c r="N115" s="34" t="s">
        <v>856</v>
      </c>
      <c r="O115" s="35">
        <v>1</v>
      </c>
      <c r="P115" s="33">
        <v>1</v>
      </c>
      <c r="Q115" s="34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1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20">
        <v>0</v>
      </c>
      <c r="B116" s="20">
        <v>2</v>
      </c>
      <c r="C116" s="20">
        <v>1</v>
      </c>
      <c r="D116" s="19" t="s">
        <v>132</v>
      </c>
      <c r="E116" s="19" t="s">
        <v>54</v>
      </c>
      <c r="F116" s="19" t="s">
        <v>356</v>
      </c>
      <c r="G116" s="19" t="s">
        <v>108</v>
      </c>
      <c r="H116" s="19" t="s">
        <v>192</v>
      </c>
      <c r="I116" s="20" t="s">
        <v>157</v>
      </c>
      <c r="J116" s="20">
        <v>7</v>
      </c>
      <c r="K116" s="20" t="s">
        <v>296</v>
      </c>
      <c r="L116" s="20" t="s">
        <v>296</v>
      </c>
      <c r="M116" s="19" t="s">
        <v>195</v>
      </c>
      <c r="N116" s="19"/>
      <c r="O116" s="18"/>
      <c r="P116" s="20"/>
      <c r="Q116" s="19"/>
      <c r="R116" s="13"/>
      <c r="S116" s="2">
        <f t="shared" si="23"/>
        <v>0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1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0</v>
      </c>
      <c r="AE116" s="2">
        <f t="shared" si="34"/>
        <v>0</v>
      </c>
      <c r="AF116" s="2">
        <f t="shared" si="19"/>
        <v>0</v>
      </c>
      <c r="AG116" s="2">
        <f t="shared" si="20"/>
        <v>0</v>
      </c>
      <c r="AH116" s="2">
        <f t="shared" si="21"/>
        <v>0</v>
      </c>
      <c r="AI116" s="2">
        <f t="shared" si="22"/>
        <v>1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51</v>
      </c>
      <c r="E117" s="34" t="s">
        <v>69</v>
      </c>
      <c r="F117" s="34" t="s">
        <v>116</v>
      </c>
      <c r="G117" s="34" t="s">
        <v>90</v>
      </c>
      <c r="H117" s="34" t="s">
        <v>192</v>
      </c>
      <c r="I117" s="33" t="s">
        <v>52</v>
      </c>
      <c r="J117" s="33">
        <v>2</v>
      </c>
      <c r="K117" s="33" t="s">
        <v>296</v>
      </c>
      <c r="L117" s="33" t="s">
        <v>296</v>
      </c>
      <c r="M117" s="34" t="s">
        <v>195</v>
      </c>
      <c r="N117" s="34" t="s">
        <v>856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574</v>
      </c>
      <c r="E118" s="34" t="s">
        <v>695</v>
      </c>
      <c r="F118" s="34" t="s">
        <v>575</v>
      </c>
      <c r="G118" s="34" t="s">
        <v>90</v>
      </c>
      <c r="H118" s="34" t="s">
        <v>192</v>
      </c>
      <c r="I118" s="33" t="s">
        <v>576</v>
      </c>
      <c r="J118" s="33">
        <v>2</v>
      </c>
      <c r="K118" s="33" t="s">
        <v>291</v>
      </c>
      <c r="L118" s="33">
        <v>9</v>
      </c>
      <c r="M118" s="34" t="s">
        <v>813</v>
      </c>
      <c r="N118" s="34" t="s">
        <v>856</v>
      </c>
      <c r="O118" s="35">
        <v>1</v>
      </c>
      <c r="P118" s="33">
        <v>1</v>
      </c>
      <c r="Q118" s="34"/>
      <c r="R118" s="13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1</v>
      </c>
      <c r="AE118" s="2">
        <f t="shared" si="34"/>
        <v>0</v>
      </c>
      <c r="AF118" s="2">
        <f t="shared" si="19"/>
        <v>1</v>
      </c>
      <c r="AG118" s="2">
        <f t="shared" si="20"/>
        <v>0</v>
      </c>
      <c r="AH118" s="2">
        <f t="shared" si="21"/>
        <v>1</v>
      </c>
      <c r="AI118" s="2">
        <f t="shared" si="22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20">
        <v>0</v>
      </c>
      <c r="B119" s="20">
        <v>2</v>
      </c>
      <c r="C119" s="20">
        <v>2</v>
      </c>
      <c r="D119" s="19" t="s">
        <v>396</v>
      </c>
      <c r="E119" s="19" t="s">
        <v>53</v>
      </c>
      <c r="F119" s="19" t="s">
        <v>397</v>
      </c>
      <c r="G119" s="19" t="s">
        <v>398</v>
      </c>
      <c r="H119" s="19" t="s">
        <v>192</v>
      </c>
      <c r="I119" s="20" t="s">
        <v>399</v>
      </c>
      <c r="J119" s="20">
        <v>6</v>
      </c>
      <c r="K119" s="20" t="s">
        <v>388</v>
      </c>
      <c r="L119" s="20">
        <v>20</v>
      </c>
      <c r="M119" s="19" t="s">
        <v>400</v>
      </c>
      <c r="N119" s="19"/>
      <c r="O119" s="18"/>
      <c r="P119" s="20"/>
      <c r="Q119" s="19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1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63</v>
      </c>
      <c r="E120" s="34" t="s">
        <v>64</v>
      </c>
      <c r="F120" s="34" t="s">
        <v>284</v>
      </c>
      <c r="G120" s="34" t="s">
        <v>72</v>
      </c>
      <c r="H120" s="34" t="s">
        <v>192</v>
      </c>
      <c r="I120" s="33" t="s">
        <v>65</v>
      </c>
      <c r="J120" s="33">
        <v>4</v>
      </c>
      <c r="K120" s="33" t="s">
        <v>291</v>
      </c>
      <c r="L120" s="33" t="s">
        <v>305</v>
      </c>
      <c r="M120" s="34" t="s">
        <v>714</v>
      </c>
      <c r="N120" s="34" t="s">
        <v>866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1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828</v>
      </c>
      <c r="E121" s="34" t="s">
        <v>761</v>
      </c>
      <c r="F121" s="34" t="s">
        <v>829</v>
      </c>
      <c r="G121" s="34" t="s">
        <v>830</v>
      </c>
      <c r="H121" s="34" t="s">
        <v>192</v>
      </c>
      <c r="I121" s="33" t="s">
        <v>831</v>
      </c>
      <c r="J121" s="33"/>
      <c r="K121" s="33" t="s">
        <v>388</v>
      </c>
      <c r="L121" s="33">
        <v>30</v>
      </c>
      <c r="M121" s="34" t="s">
        <v>883</v>
      </c>
      <c r="N121" s="34" t="s">
        <v>864</v>
      </c>
      <c r="O121" s="35">
        <v>1</v>
      </c>
      <c r="P121" s="33"/>
      <c r="Q121" s="34"/>
      <c r="R121" s="13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0</v>
      </c>
      <c r="AE121" s="2">
        <f t="shared" si="34"/>
        <v>1</v>
      </c>
      <c r="AF121" s="2">
        <f t="shared" si="19"/>
        <v>0</v>
      </c>
      <c r="AG121" s="2">
        <f t="shared" si="20"/>
        <v>1</v>
      </c>
      <c r="AH121" s="2">
        <f t="shared" si="21"/>
        <v>0</v>
      </c>
      <c r="AI121" s="2">
        <f t="shared" si="22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409</v>
      </c>
      <c r="E122" s="34" t="s">
        <v>410</v>
      </c>
      <c r="F122" s="34" t="s">
        <v>411</v>
      </c>
      <c r="G122" s="34" t="s">
        <v>84</v>
      </c>
      <c r="H122" s="34" t="s">
        <v>192</v>
      </c>
      <c r="I122" s="33" t="s">
        <v>412</v>
      </c>
      <c r="J122" s="33">
        <v>1</v>
      </c>
      <c r="K122" s="33" t="s">
        <v>296</v>
      </c>
      <c r="L122" s="33" t="s">
        <v>312</v>
      </c>
      <c r="M122" s="34" t="s">
        <v>814</v>
      </c>
      <c r="N122" s="34" t="s">
        <v>856</v>
      </c>
      <c r="O122" s="35">
        <v>1</v>
      </c>
      <c r="P122" s="33">
        <v>1</v>
      </c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1</v>
      </c>
      <c r="AE122" s="2">
        <f t="shared" si="34"/>
        <v>0</v>
      </c>
      <c r="AF122" s="2">
        <f t="shared" si="19"/>
        <v>1</v>
      </c>
      <c r="AG122" s="2">
        <f t="shared" si="20"/>
        <v>0</v>
      </c>
      <c r="AH122" s="2">
        <f t="shared" si="21"/>
        <v>1</v>
      </c>
      <c r="AI122" s="2">
        <f t="shared" si="22"/>
        <v>0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731</v>
      </c>
      <c r="E123" s="34" t="s">
        <v>243</v>
      </c>
      <c r="F123" s="34" t="s">
        <v>771</v>
      </c>
      <c r="G123" s="34" t="s">
        <v>162</v>
      </c>
      <c r="H123" s="34" t="s">
        <v>192</v>
      </c>
      <c r="I123" s="33" t="s">
        <v>732</v>
      </c>
      <c r="J123" s="33">
        <v>1</v>
      </c>
      <c r="K123" s="33" t="s">
        <v>295</v>
      </c>
      <c r="L123" s="33" t="s">
        <v>794</v>
      </c>
      <c r="M123" s="34" t="s">
        <v>734</v>
      </c>
      <c r="N123" s="34" t="s">
        <v>865</v>
      </c>
      <c r="O123" s="35">
        <v>1</v>
      </c>
      <c r="P123" s="33"/>
      <c r="Q123" s="34"/>
      <c r="R123" s="13"/>
      <c r="S123" s="2">
        <f t="shared" si="23"/>
        <v>1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1</v>
      </c>
      <c r="AF123" s="2">
        <f t="shared" si="19"/>
        <v>0</v>
      </c>
      <c r="AG123" s="2">
        <f t="shared" si="20"/>
        <v>1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481</v>
      </c>
      <c r="E124" s="19" t="s">
        <v>482</v>
      </c>
      <c r="F124" s="19" t="s">
        <v>498</v>
      </c>
      <c r="G124" s="19" t="s">
        <v>72</v>
      </c>
      <c r="H124" s="19" t="s">
        <v>192</v>
      </c>
      <c r="I124" s="20" t="s">
        <v>483</v>
      </c>
      <c r="J124" s="20">
        <v>4</v>
      </c>
      <c r="K124" s="20" t="s">
        <v>388</v>
      </c>
      <c r="L124" s="20" t="s">
        <v>309</v>
      </c>
      <c r="M124" s="19" t="s">
        <v>518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401</v>
      </c>
      <c r="E125" s="19" t="s">
        <v>402</v>
      </c>
      <c r="F125" s="19" t="s">
        <v>499</v>
      </c>
      <c r="G125" s="19" t="s">
        <v>72</v>
      </c>
      <c r="H125" s="19" t="s">
        <v>192</v>
      </c>
      <c r="I125" s="20" t="s">
        <v>403</v>
      </c>
      <c r="J125" s="20">
        <v>4</v>
      </c>
      <c r="K125" s="20" t="s">
        <v>388</v>
      </c>
      <c r="L125" s="20" t="s">
        <v>308</v>
      </c>
      <c r="M125" s="19" t="s">
        <v>519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1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651</v>
      </c>
      <c r="G126" s="19" t="s">
        <v>652</v>
      </c>
      <c r="H126" s="19" t="s">
        <v>192</v>
      </c>
      <c r="I126" s="20" t="s">
        <v>669</v>
      </c>
      <c r="J126" s="20">
        <v>99</v>
      </c>
      <c r="K126" s="20" t="s">
        <v>291</v>
      </c>
      <c r="L126" s="20" t="s">
        <v>308</v>
      </c>
      <c r="M126" s="19" t="s">
        <v>674</v>
      </c>
      <c r="N126" s="19"/>
      <c r="O126" s="18"/>
      <c r="P126" s="20"/>
      <c r="Q126" s="19"/>
      <c r="R126" s="13"/>
      <c r="S126" s="2">
        <f t="shared" ref="S126:S180" si="35">IF(J126=$S$7,1,0)</f>
        <v>0</v>
      </c>
      <c r="T126" s="2">
        <f t="shared" ref="T126:T180" si="36">IF(J126=$T$7,1,0)</f>
        <v>0</v>
      </c>
      <c r="U126" s="2">
        <f t="shared" ref="U126:U180" si="37">IF(J126=$U$7,1,0)</f>
        <v>0</v>
      </c>
      <c r="V126" s="2">
        <f t="shared" ref="V126:V180" si="38">IF(J126=$V$7,1,0)</f>
        <v>0</v>
      </c>
      <c r="W126" s="2">
        <f t="shared" ref="W126:W180" si="39">IF(J126=$W$7,1,0)</f>
        <v>0</v>
      </c>
      <c r="X126" s="2">
        <f t="shared" ref="X126:X180" si="40">IF(J126=$X$7,1,0)</f>
        <v>0</v>
      </c>
      <c r="Y126" s="2">
        <f t="shared" ref="Y126:Y180" si="41">IF(J126=$Y$7,1,0)</f>
        <v>0</v>
      </c>
      <c r="Z126" s="2">
        <f t="shared" ref="Z126:Z180" si="42">IF(J126=$Z$7,1,0)</f>
        <v>0</v>
      </c>
      <c r="AA126" s="2">
        <f t="shared" ref="AA126:AA180" si="43">IF(J126=$AA$7,1,0)</f>
        <v>0</v>
      </c>
      <c r="AB126" s="2">
        <f t="shared" ref="AB126:AB180" si="44">IF(J126=$AB$7,1,0)</f>
        <v>0</v>
      </c>
      <c r="AC126" s="2"/>
      <c r="AD126" s="2">
        <f t="shared" ref="AD126:AD180" si="45">+O126*P126</f>
        <v>0</v>
      </c>
      <c r="AE126" s="2">
        <f t="shared" ref="AE126:AE180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1</v>
      </c>
      <c r="B127" s="20">
        <v>2</v>
      </c>
      <c r="C127" s="20">
        <v>2</v>
      </c>
      <c r="D127" s="19" t="s">
        <v>205</v>
      </c>
      <c r="E127" s="19" t="s">
        <v>385</v>
      </c>
      <c r="F127" s="19" t="s">
        <v>905</v>
      </c>
      <c r="G127" s="19" t="s">
        <v>206</v>
      </c>
      <c r="H127" s="19" t="s">
        <v>192</v>
      </c>
      <c r="I127" s="20" t="s">
        <v>207</v>
      </c>
      <c r="J127" s="20">
        <v>1</v>
      </c>
      <c r="K127" s="20" t="s">
        <v>291</v>
      </c>
      <c r="L127" s="20" t="s">
        <v>308</v>
      </c>
      <c r="M127" s="19" t="s">
        <v>674</v>
      </c>
      <c r="N127" s="19"/>
      <c r="O127" s="18"/>
      <c r="P127" s="20"/>
      <c r="Q127" s="19"/>
      <c r="R127" s="13"/>
      <c r="S127" s="2">
        <f t="shared" si="35"/>
        <v>1</v>
      </c>
      <c r="T127" s="2">
        <f t="shared" si="36"/>
        <v>0</v>
      </c>
      <c r="U127" s="2">
        <f t="shared" si="37"/>
        <v>0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0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404</v>
      </c>
      <c r="E128" s="19" t="s">
        <v>405</v>
      </c>
      <c r="F128" s="19" t="s">
        <v>501</v>
      </c>
      <c r="G128" s="19" t="s">
        <v>72</v>
      </c>
      <c r="H128" s="19" t="s">
        <v>192</v>
      </c>
      <c r="I128" s="20" t="s">
        <v>406</v>
      </c>
      <c r="J128" s="20">
        <v>4</v>
      </c>
      <c r="K128" s="20" t="s">
        <v>388</v>
      </c>
      <c r="L128" s="20" t="s">
        <v>312</v>
      </c>
      <c r="M128" s="19" t="s">
        <v>522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477</v>
      </c>
      <c r="G129" s="19" t="s">
        <v>72</v>
      </c>
      <c r="H129" s="19" t="s">
        <v>192</v>
      </c>
      <c r="I129" s="20" t="s">
        <v>476</v>
      </c>
      <c r="J129" s="20">
        <v>4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1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357</v>
      </c>
      <c r="G130" s="19" t="s">
        <v>104</v>
      </c>
      <c r="H130" s="19" t="s">
        <v>192</v>
      </c>
      <c r="I130" s="20" t="s">
        <v>122</v>
      </c>
      <c r="J130" s="20">
        <v>2</v>
      </c>
      <c r="K130" s="20" t="s">
        <v>291</v>
      </c>
      <c r="L130" s="20" t="s">
        <v>312</v>
      </c>
      <c r="M130" s="19" t="s">
        <v>252</v>
      </c>
      <c r="N130" s="19"/>
      <c r="O130" s="18"/>
      <c r="P130" s="20"/>
      <c r="Q130" s="19"/>
      <c r="R130" s="13"/>
      <c r="S130" s="2">
        <f t="shared" si="35"/>
        <v>0</v>
      </c>
      <c r="T130" s="2">
        <f t="shared" si="36"/>
        <v>1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0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0</v>
      </c>
      <c r="B131" s="20">
        <v>2</v>
      </c>
      <c r="C131" s="20">
        <v>2</v>
      </c>
      <c r="D131" s="19" t="s">
        <v>879</v>
      </c>
      <c r="E131" s="19"/>
      <c r="F131" s="19" t="s">
        <v>880</v>
      </c>
      <c r="G131" s="19"/>
      <c r="H131" s="19" t="s">
        <v>192</v>
      </c>
      <c r="I131" s="20" t="s">
        <v>881</v>
      </c>
      <c r="J131" s="20"/>
      <c r="K131" s="20" t="s">
        <v>388</v>
      </c>
      <c r="L131" s="15">
        <v>22</v>
      </c>
      <c r="M131" s="39" t="s">
        <v>882</v>
      </c>
      <c r="N131" s="39"/>
      <c r="O131" s="2"/>
      <c r="P131" s="2"/>
      <c r="Q131" s="19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0</v>
      </c>
      <c r="AE131" s="2">
        <f t="shared" si="46"/>
        <v>0</v>
      </c>
      <c r="AF131" s="2">
        <f t="shared" si="19"/>
        <v>0</v>
      </c>
      <c r="AG131" s="2">
        <f t="shared" si="20"/>
        <v>0</v>
      </c>
      <c r="AH131" s="2">
        <f t="shared" si="21"/>
        <v>0</v>
      </c>
      <c r="AI131" s="2">
        <f t="shared" si="22"/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551</v>
      </c>
      <c r="E132" s="34" t="s">
        <v>554</v>
      </c>
      <c r="F132" s="34" t="s">
        <v>557</v>
      </c>
      <c r="G132" s="34" t="s">
        <v>90</v>
      </c>
      <c r="H132" s="34" t="s">
        <v>192</v>
      </c>
      <c r="I132" s="33" t="s">
        <v>540</v>
      </c>
      <c r="J132" s="33">
        <v>2</v>
      </c>
      <c r="K132" s="33" t="s">
        <v>295</v>
      </c>
      <c r="L132" s="33" t="s">
        <v>309</v>
      </c>
      <c r="M132" s="34" t="s">
        <v>598</v>
      </c>
      <c r="N132" s="34" t="s">
        <v>856</v>
      </c>
      <c r="O132" s="35">
        <v>1</v>
      </c>
      <c r="P132" s="33">
        <v>1</v>
      </c>
      <c r="Q132" s="34"/>
      <c r="R132" s="13"/>
      <c r="S132" s="2">
        <f t="shared" si="35"/>
        <v>0</v>
      </c>
      <c r="T132" s="2">
        <f t="shared" si="36"/>
        <v>1</v>
      </c>
      <c r="U132" s="2">
        <f t="shared" si="37"/>
        <v>0</v>
      </c>
      <c r="V132" s="2">
        <f t="shared" si="38"/>
        <v>0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1</v>
      </c>
      <c r="AE132" s="2">
        <f t="shared" si="46"/>
        <v>0</v>
      </c>
      <c r="AF132" s="2">
        <f t="shared" si="19"/>
        <v>1</v>
      </c>
      <c r="AG132" s="2">
        <f t="shared" si="20"/>
        <v>0</v>
      </c>
      <c r="AH132" s="2">
        <f t="shared" si="21"/>
        <v>1</v>
      </c>
      <c r="AI132" s="2">
        <f t="shared" si="22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6">
        <v>0</v>
      </c>
      <c r="B133" s="36">
        <v>2</v>
      </c>
      <c r="C133" s="36">
        <v>2</v>
      </c>
      <c r="D133" s="37" t="s">
        <v>440</v>
      </c>
      <c r="E133" s="37" t="s">
        <v>487</v>
      </c>
      <c r="F133" s="37" t="s">
        <v>439</v>
      </c>
      <c r="G133" s="37" t="s">
        <v>102</v>
      </c>
      <c r="H133" s="37" t="s">
        <v>192</v>
      </c>
      <c r="I133" s="36" t="s">
        <v>670</v>
      </c>
      <c r="J133" s="36">
        <v>5</v>
      </c>
      <c r="K133" s="36" t="s">
        <v>295</v>
      </c>
      <c r="L133" s="36" t="s">
        <v>307</v>
      </c>
      <c r="M133" s="37" t="s">
        <v>463</v>
      </c>
      <c r="N133" s="37" t="s">
        <v>858</v>
      </c>
      <c r="O133" s="38"/>
      <c r="P133" s="36"/>
      <c r="Q133" s="37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1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0</v>
      </c>
      <c r="AF133" s="2">
        <f t="shared" si="19"/>
        <v>0</v>
      </c>
      <c r="AG133" s="2">
        <f t="shared" si="20"/>
        <v>0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20">
        <v>0</v>
      </c>
      <c r="B134" s="20">
        <v>2</v>
      </c>
      <c r="C134" s="20">
        <v>2</v>
      </c>
      <c r="D134" s="19" t="s">
        <v>478</v>
      </c>
      <c r="E134" s="19" t="s">
        <v>461</v>
      </c>
      <c r="F134" s="19" t="s">
        <v>460</v>
      </c>
      <c r="G134" s="19" t="s">
        <v>72</v>
      </c>
      <c r="H134" s="19" t="s">
        <v>192</v>
      </c>
      <c r="I134" s="20" t="s">
        <v>462</v>
      </c>
      <c r="J134" s="20">
        <v>4</v>
      </c>
      <c r="K134" s="20" t="s">
        <v>388</v>
      </c>
      <c r="L134" s="20" t="s">
        <v>308</v>
      </c>
      <c r="M134" s="19" t="s">
        <v>463</v>
      </c>
      <c r="N134" s="19"/>
      <c r="O134" s="18"/>
      <c r="P134" s="20"/>
      <c r="Q134" s="19"/>
      <c r="R134" s="13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1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0</v>
      </c>
      <c r="AE134" s="2">
        <f t="shared" si="46"/>
        <v>0</v>
      </c>
      <c r="AF134" s="2">
        <f t="shared" si="19"/>
        <v>0</v>
      </c>
      <c r="AG134" s="2">
        <f t="shared" si="20"/>
        <v>0</v>
      </c>
      <c r="AH134" s="2">
        <f t="shared" si="21"/>
        <v>0</v>
      </c>
      <c r="AI134" s="2">
        <f t="shared" si="22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6">
        <v>0</v>
      </c>
      <c r="B135" s="36">
        <v>2</v>
      </c>
      <c r="C135" s="36">
        <v>2</v>
      </c>
      <c r="D135" s="37" t="s">
        <v>644</v>
      </c>
      <c r="E135" s="37" t="s">
        <v>281</v>
      </c>
      <c r="F135" s="37" t="s">
        <v>653</v>
      </c>
      <c r="G135" s="37" t="s">
        <v>147</v>
      </c>
      <c r="H135" s="37" t="s">
        <v>192</v>
      </c>
      <c r="I135" s="36" t="s">
        <v>790</v>
      </c>
      <c r="J135" s="36">
        <v>99</v>
      </c>
      <c r="K135" s="36" t="s">
        <v>291</v>
      </c>
      <c r="L135" s="36" t="s">
        <v>512</v>
      </c>
      <c r="M135" s="37" t="s">
        <v>675</v>
      </c>
      <c r="N135" s="37" t="s">
        <v>858</v>
      </c>
      <c r="O135" s="38"/>
      <c r="P135" s="36"/>
      <c r="Q135" s="37"/>
      <c r="R135" s="13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0</v>
      </c>
      <c r="AI135" s="2">
        <f t="shared" si="22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81</v>
      </c>
      <c r="E136" s="34" t="s">
        <v>98</v>
      </c>
      <c r="F136" s="34" t="s">
        <v>33</v>
      </c>
      <c r="G136" s="34" t="s">
        <v>90</v>
      </c>
      <c r="H136" s="34" t="s">
        <v>192</v>
      </c>
      <c r="I136" s="33" t="s">
        <v>119</v>
      </c>
      <c r="J136" s="33">
        <v>2</v>
      </c>
      <c r="K136" s="33" t="s">
        <v>295</v>
      </c>
      <c r="L136" s="33" t="s">
        <v>794</v>
      </c>
      <c r="M136" s="34" t="s">
        <v>797</v>
      </c>
      <c r="N136" s="34" t="s">
        <v>856</v>
      </c>
      <c r="O136" s="35">
        <v>1</v>
      </c>
      <c r="P136" s="33">
        <v>1</v>
      </c>
      <c r="Q136" s="34"/>
      <c r="R136" s="13"/>
      <c r="S136" s="2">
        <f t="shared" si="35"/>
        <v>0</v>
      </c>
      <c r="T136" s="2">
        <f t="shared" si="36"/>
        <v>1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200" si="47">+O136*P136*(1-A136)</f>
        <v>1</v>
      </c>
      <c r="AG136" s="2">
        <f t="shared" ref="AG136:AG200" si="48">O136*(1-P136)*(1-A136)</f>
        <v>0</v>
      </c>
      <c r="AH136" s="2">
        <f t="shared" ref="AH136:AH200" si="49">+P136*(1-A136)</f>
        <v>1</v>
      </c>
      <c r="AI136" s="2">
        <f t="shared" ref="AI136:AI200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0">
        <v>0</v>
      </c>
      <c r="B137" s="30">
        <v>2</v>
      </c>
      <c r="C137" s="30">
        <v>3</v>
      </c>
      <c r="D137" s="31" t="s">
        <v>550</v>
      </c>
      <c r="E137" s="31" t="s">
        <v>553</v>
      </c>
      <c r="F137" s="31" t="s">
        <v>541</v>
      </c>
      <c r="G137" s="31" t="s">
        <v>109</v>
      </c>
      <c r="H137" s="31" t="s">
        <v>192</v>
      </c>
      <c r="I137" s="30" t="s">
        <v>542</v>
      </c>
      <c r="J137" s="30">
        <v>1</v>
      </c>
      <c r="K137" s="30" t="s">
        <v>296</v>
      </c>
      <c r="L137" s="30" t="s">
        <v>105</v>
      </c>
      <c r="M137" s="31" t="s">
        <v>105</v>
      </c>
      <c r="N137" s="31"/>
      <c r="O137" s="32"/>
      <c r="P137" s="30">
        <v>1</v>
      </c>
      <c r="Q137" s="31"/>
      <c r="R137" s="13"/>
      <c r="S137" s="2">
        <f t="shared" si="35"/>
        <v>1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0</v>
      </c>
      <c r="AE137" s="2">
        <f t="shared" si="46"/>
        <v>0</v>
      </c>
      <c r="AF137" s="2">
        <f t="shared" si="47"/>
        <v>0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645</v>
      </c>
      <c r="E138" s="34" t="s">
        <v>642</v>
      </c>
      <c r="F138" s="34" t="s">
        <v>656</v>
      </c>
      <c r="G138" s="34" t="s">
        <v>503</v>
      </c>
      <c r="H138" s="34" t="s">
        <v>192</v>
      </c>
      <c r="I138" s="33" t="s">
        <v>627</v>
      </c>
      <c r="J138" s="33">
        <v>1</v>
      </c>
      <c r="K138" s="33" t="s">
        <v>297</v>
      </c>
      <c r="L138" s="33" t="s">
        <v>105</v>
      </c>
      <c r="M138" s="34" t="s">
        <v>105</v>
      </c>
      <c r="N138" s="34" t="s">
        <v>856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278</v>
      </c>
      <c r="E139" s="34" t="s">
        <v>101</v>
      </c>
      <c r="F139" s="34" t="s">
        <v>285</v>
      </c>
      <c r="G139" s="34" t="s">
        <v>90</v>
      </c>
      <c r="H139" s="34" t="s">
        <v>192</v>
      </c>
      <c r="I139" s="33" t="s">
        <v>268</v>
      </c>
      <c r="J139" s="33">
        <v>2</v>
      </c>
      <c r="K139" s="33" t="s">
        <v>295</v>
      </c>
      <c r="L139" s="33" t="s">
        <v>105</v>
      </c>
      <c r="M139" s="34" t="s">
        <v>105</v>
      </c>
      <c r="N139" s="34" t="s">
        <v>856</v>
      </c>
      <c r="O139" s="35">
        <v>1</v>
      </c>
      <c r="P139" s="33">
        <v>1</v>
      </c>
      <c r="Q139" s="34"/>
      <c r="R139" s="13"/>
      <c r="S139" s="2">
        <f t="shared" si="35"/>
        <v>0</v>
      </c>
      <c r="T139" s="2">
        <f t="shared" si="36"/>
        <v>1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886</v>
      </c>
      <c r="E140" s="34" t="s">
        <v>885</v>
      </c>
      <c r="F140" s="34" t="s">
        <v>887</v>
      </c>
      <c r="G140" s="34" t="s">
        <v>139</v>
      </c>
      <c r="H140" s="34" t="s">
        <v>192</v>
      </c>
      <c r="I140" s="33" t="s">
        <v>697</v>
      </c>
      <c r="J140" s="33">
        <v>1</v>
      </c>
      <c r="K140" s="33" t="s">
        <v>388</v>
      </c>
      <c r="L140" s="33"/>
      <c r="M140" s="34"/>
      <c r="N140" s="34" t="s">
        <v>856</v>
      </c>
      <c r="O140" s="35">
        <v>1</v>
      </c>
      <c r="P140" s="33">
        <v>1</v>
      </c>
      <c r="Q140" s="34"/>
      <c r="R140" s="13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572</v>
      </c>
      <c r="E141" s="34" t="s">
        <v>643</v>
      </c>
      <c r="F141" s="34" t="s">
        <v>920</v>
      </c>
      <c r="G141" s="34" t="s">
        <v>85</v>
      </c>
      <c r="H141" s="34" t="s">
        <v>192</v>
      </c>
      <c r="I141" s="33" t="s">
        <v>573</v>
      </c>
      <c r="J141" s="33">
        <v>1</v>
      </c>
      <c r="K141" s="33" t="s">
        <v>296</v>
      </c>
      <c r="L141" s="33" t="s">
        <v>105</v>
      </c>
      <c r="M141" s="34" t="s">
        <v>105</v>
      </c>
      <c r="N141" s="34" t="s">
        <v>856</v>
      </c>
      <c r="O141" s="35">
        <v>1</v>
      </c>
      <c r="P141" s="33">
        <v>1</v>
      </c>
      <c r="Q141" s="34" t="s">
        <v>921</v>
      </c>
      <c r="R141" s="13"/>
      <c r="S141" s="2">
        <f t="shared" si="35"/>
        <v>1</v>
      </c>
      <c r="T141" s="2">
        <f t="shared" si="36"/>
        <v>0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45</v>
      </c>
      <c r="E142" s="34" t="s">
        <v>101</v>
      </c>
      <c r="F142" s="34" t="s">
        <v>118</v>
      </c>
      <c r="G142" s="34" t="s">
        <v>90</v>
      </c>
      <c r="H142" s="34" t="s">
        <v>192</v>
      </c>
      <c r="I142" s="33" t="s">
        <v>46</v>
      </c>
      <c r="J142" s="33">
        <v>2</v>
      </c>
      <c r="K142" s="33" t="s">
        <v>295</v>
      </c>
      <c r="L142" s="33" t="s">
        <v>315</v>
      </c>
      <c r="M142" s="34" t="s">
        <v>316</v>
      </c>
      <c r="N142" s="34" t="s">
        <v>856</v>
      </c>
      <c r="O142" s="35">
        <v>1</v>
      </c>
      <c r="P142" s="33">
        <v>1</v>
      </c>
      <c r="Q142" s="34"/>
      <c r="R142" s="13"/>
      <c r="S142" s="2">
        <f t="shared" si="35"/>
        <v>0</v>
      </c>
      <c r="T142" s="2">
        <f t="shared" si="36"/>
        <v>1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1</v>
      </c>
      <c r="AE142" s="2">
        <f t="shared" si="46"/>
        <v>0</v>
      </c>
      <c r="AF142" s="2">
        <f t="shared" si="47"/>
        <v>1</v>
      </c>
      <c r="AG142" s="2">
        <f t="shared" si="48"/>
        <v>0</v>
      </c>
      <c r="AH142" s="2">
        <f t="shared" si="49"/>
        <v>1</v>
      </c>
      <c r="AI142" s="2">
        <f t="shared" si="50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0">
        <v>0</v>
      </c>
      <c r="B143" s="30">
        <v>2</v>
      </c>
      <c r="C143" s="30">
        <v>3</v>
      </c>
      <c r="D143" s="31" t="s">
        <v>70</v>
      </c>
      <c r="E143" s="31" t="s">
        <v>88</v>
      </c>
      <c r="F143" s="31" t="s">
        <v>358</v>
      </c>
      <c r="G143" s="31" t="s">
        <v>90</v>
      </c>
      <c r="H143" s="31" t="s">
        <v>192</v>
      </c>
      <c r="I143" s="30" t="s">
        <v>71</v>
      </c>
      <c r="J143" s="30">
        <v>2</v>
      </c>
      <c r="K143" s="30" t="s">
        <v>296</v>
      </c>
      <c r="L143" s="30" t="s">
        <v>315</v>
      </c>
      <c r="M143" s="31" t="s">
        <v>196</v>
      </c>
      <c r="N143" s="31"/>
      <c r="O143" s="32"/>
      <c r="P143" s="30">
        <v>1</v>
      </c>
      <c r="Q143" s="31"/>
      <c r="R143" s="13"/>
      <c r="S143" s="2">
        <f t="shared" si="35"/>
        <v>0</v>
      </c>
      <c r="T143" s="2">
        <f t="shared" si="36"/>
        <v>1</v>
      </c>
      <c r="U143" s="2">
        <f t="shared" si="37"/>
        <v>0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1</v>
      </c>
      <c r="AI143" s="2">
        <f t="shared" si="50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548</v>
      </c>
      <c r="E144" s="19" t="s">
        <v>414</v>
      </c>
      <c r="F144" s="19" t="s">
        <v>407</v>
      </c>
      <c r="G144" s="19" t="s">
        <v>110</v>
      </c>
      <c r="H144" s="19" t="s">
        <v>192</v>
      </c>
      <c r="I144" s="20" t="s">
        <v>564</v>
      </c>
      <c r="J144" s="20">
        <v>1</v>
      </c>
      <c r="K144" s="20" t="s">
        <v>388</v>
      </c>
      <c r="L144" s="20" t="s">
        <v>408</v>
      </c>
      <c r="M144" s="19" t="s">
        <v>511</v>
      </c>
      <c r="N144" s="19"/>
      <c r="O144" s="18"/>
      <c r="P144" s="20"/>
      <c r="Q144" s="19"/>
      <c r="R144" s="13"/>
      <c r="S144" s="2">
        <f t="shared" si="35"/>
        <v>1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36">
        <v>0</v>
      </c>
      <c r="B145" s="36">
        <v>2</v>
      </c>
      <c r="C145" s="36">
        <v>4</v>
      </c>
      <c r="D145" s="37" t="s">
        <v>537</v>
      </c>
      <c r="E145" s="37" t="s">
        <v>37</v>
      </c>
      <c r="F145" s="37" t="s">
        <v>657</v>
      </c>
      <c r="G145" s="37" t="s">
        <v>72</v>
      </c>
      <c r="H145" s="37" t="s">
        <v>192</v>
      </c>
      <c r="I145" s="36" t="s">
        <v>538</v>
      </c>
      <c r="J145" s="36">
        <v>3</v>
      </c>
      <c r="K145" s="36" t="s">
        <v>295</v>
      </c>
      <c r="L145" s="36" t="s">
        <v>307</v>
      </c>
      <c r="M145" s="37" t="s">
        <v>676</v>
      </c>
      <c r="N145" s="37" t="s">
        <v>860</v>
      </c>
      <c r="O145" s="38"/>
      <c r="P145" s="36"/>
      <c r="Q145" s="37"/>
      <c r="R145" s="13"/>
      <c r="S145" s="2">
        <f t="shared" si="35"/>
        <v>0</v>
      </c>
      <c r="T145" s="2">
        <f t="shared" si="36"/>
        <v>0</v>
      </c>
      <c r="U145" s="2">
        <f t="shared" si="37"/>
        <v>1</v>
      </c>
      <c r="V145" s="2">
        <f t="shared" si="38"/>
        <v>0</v>
      </c>
      <c r="W145" s="2">
        <f t="shared" si="39"/>
        <v>0</v>
      </c>
      <c r="X145" s="2">
        <f t="shared" si="40"/>
        <v>0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20">
        <v>0</v>
      </c>
      <c r="B146" s="20">
        <v>2</v>
      </c>
      <c r="C146" s="20">
        <v>4</v>
      </c>
      <c r="D146" s="19" t="s">
        <v>636</v>
      </c>
      <c r="E146" s="19" t="s">
        <v>418</v>
      </c>
      <c r="F146" s="19" t="s">
        <v>769</v>
      </c>
      <c r="G146" s="19" t="s">
        <v>502</v>
      </c>
      <c r="H146" s="19" t="s">
        <v>192</v>
      </c>
      <c r="I146" s="20" t="s">
        <v>421</v>
      </c>
      <c r="J146" s="20">
        <v>2</v>
      </c>
      <c r="K146" s="20" t="s">
        <v>296</v>
      </c>
      <c r="L146" s="20" t="s">
        <v>309</v>
      </c>
      <c r="M146" s="19" t="s">
        <v>715</v>
      </c>
      <c r="N146" s="19"/>
      <c r="O146" s="18"/>
      <c r="P146" s="20"/>
      <c r="Q146" s="19"/>
      <c r="R146" s="13"/>
      <c r="S146" s="2">
        <f t="shared" si="35"/>
        <v>0</v>
      </c>
      <c r="T146" s="2">
        <f t="shared" si="36"/>
        <v>1</v>
      </c>
      <c r="U146" s="2">
        <f t="shared" si="37"/>
        <v>0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413</v>
      </c>
      <c r="E147" s="19" t="s">
        <v>414</v>
      </c>
      <c r="F147" s="19" t="s">
        <v>415</v>
      </c>
      <c r="G147" s="19" t="s">
        <v>85</v>
      </c>
      <c r="H147" s="19" t="s">
        <v>192</v>
      </c>
      <c r="I147" s="20" t="s">
        <v>416</v>
      </c>
      <c r="J147" s="20">
        <v>6</v>
      </c>
      <c r="K147" s="20" t="s">
        <v>388</v>
      </c>
      <c r="L147" s="20">
        <v>8</v>
      </c>
      <c r="M147" s="19" t="s">
        <v>417</v>
      </c>
      <c r="N147" s="19"/>
      <c r="O147" s="18"/>
      <c r="P147" s="20"/>
      <c r="Q147" s="19"/>
      <c r="R147" s="13"/>
      <c r="S147" s="2">
        <f t="shared" si="35"/>
        <v>0</v>
      </c>
      <c r="T147" s="2">
        <f t="shared" si="36"/>
        <v>0</v>
      </c>
      <c r="U147" s="2">
        <f t="shared" si="37"/>
        <v>0</v>
      </c>
      <c r="V147" s="2">
        <f t="shared" si="38"/>
        <v>0</v>
      </c>
      <c r="W147" s="2">
        <f t="shared" si="39"/>
        <v>0</v>
      </c>
      <c r="X147" s="2">
        <f t="shared" si="40"/>
        <v>1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646</v>
      </c>
      <c r="E148" s="34" t="s">
        <v>418</v>
      </c>
      <c r="F148" s="34" t="s">
        <v>658</v>
      </c>
      <c r="G148" s="34" t="s">
        <v>112</v>
      </c>
      <c r="H148" s="34" t="s">
        <v>192</v>
      </c>
      <c r="I148" s="33" t="s">
        <v>604</v>
      </c>
      <c r="J148" s="33">
        <v>3</v>
      </c>
      <c r="K148" s="33" t="s">
        <v>295</v>
      </c>
      <c r="L148" s="33" t="s">
        <v>307</v>
      </c>
      <c r="M148" s="34" t="s">
        <v>630</v>
      </c>
      <c r="N148" s="34" t="s">
        <v>866</v>
      </c>
      <c r="O148" s="35">
        <v>1</v>
      </c>
      <c r="P148" s="33"/>
      <c r="Q148" s="34"/>
      <c r="R148" s="13"/>
      <c r="S148" s="2">
        <f t="shared" si="35"/>
        <v>0</v>
      </c>
      <c r="T148" s="2">
        <f t="shared" si="36"/>
        <v>0</v>
      </c>
      <c r="U148" s="2">
        <f t="shared" si="37"/>
        <v>1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6">
        <v>0</v>
      </c>
      <c r="B149" s="36">
        <v>2</v>
      </c>
      <c r="C149" s="36">
        <v>4</v>
      </c>
      <c r="D149" s="37" t="s">
        <v>473</v>
      </c>
      <c r="E149" s="37" t="s">
        <v>418</v>
      </c>
      <c r="F149" s="37" t="s">
        <v>474</v>
      </c>
      <c r="G149" s="37" t="s">
        <v>84</v>
      </c>
      <c r="H149" s="37" t="s">
        <v>192</v>
      </c>
      <c r="I149" s="36" t="s">
        <v>475</v>
      </c>
      <c r="J149" s="36">
        <v>1</v>
      </c>
      <c r="K149" s="36" t="s">
        <v>296</v>
      </c>
      <c r="L149" s="36" t="s">
        <v>309</v>
      </c>
      <c r="M149" s="37" t="s">
        <v>521</v>
      </c>
      <c r="N149" s="37" t="s">
        <v>858</v>
      </c>
      <c r="O149" s="38"/>
      <c r="P149" s="36"/>
      <c r="Q149" s="37"/>
      <c r="R149" s="13"/>
      <c r="S149" s="2">
        <f t="shared" si="35"/>
        <v>1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0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20">
        <v>0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724</v>
      </c>
      <c r="G150" s="19" t="s">
        <v>103</v>
      </c>
      <c r="H150" s="19" t="s">
        <v>192</v>
      </c>
      <c r="I150" s="20" t="s">
        <v>421</v>
      </c>
      <c r="J150" s="20">
        <v>7</v>
      </c>
      <c r="K150" s="20" t="s">
        <v>295</v>
      </c>
      <c r="L150" s="20" t="s">
        <v>312</v>
      </c>
      <c r="M150" s="19" t="s">
        <v>678</v>
      </c>
      <c r="N150" s="19"/>
      <c r="O150" s="18"/>
      <c r="P150" s="20"/>
      <c r="Q150" s="19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0</v>
      </c>
      <c r="W150" s="2">
        <f t="shared" si="39"/>
        <v>0</v>
      </c>
      <c r="X150" s="2">
        <f t="shared" si="40"/>
        <v>0</v>
      </c>
      <c r="Y150" s="2">
        <f t="shared" si="41"/>
        <v>1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1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20">
        <v>1</v>
      </c>
      <c r="B151" s="20">
        <v>2</v>
      </c>
      <c r="C151" s="20">
        <v>4</v>
      </c>
      <c r="D151" s="19" t="s">
        <v>419</v>
      </c>
      <c r="E151" s="19" t="s">
        <v>30</v>
      </c>
      <c r="F151" s="19" t="s">
        <v>420</v>
      </c>
      <c r="G151" s="19" t="s">
        <v>72</v>
      </c>
      <c r="H151" s="19" t="s">
        <v>192</v>
      </c>
      <c r="I151" s="20" t="s">
        <v>421</v>
      </c>
      <c r="J151" s="20">
        <v>4</v>
      </c>
      <c r="K151" s="20" t="s">
        <v>295</v>
      </c>
      <c r="L151" s="20" t="s">
        <v>312</v>
      </c>
      <c r="M151" s="19" t="s">
        <v>678</v>
      </c>
      <c r="N151" s="19"/>
      <c r="O151" s="18"/>
      <c r="P151" s="20"/>
      <c r="Q151" s="19"/>
      <c r="R151" s="13"/>
      <c r="S151" s="2">
        <f t="shared" si="35"/>
        <v>0</v>
      </c>
      <c r="T151" s="2">
        <f t="shared" si="36"/>
        <v>0</v>
      </c>
      <c r="U151" s="2">
        <f t="shared" si="37"/>
        <v>0</v>
      </c>
      <c r="V151" s="2">
        <f t="shared" si="38"/>
        <v>1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422</v>
      </c>
      <c r="E152" s="19" t="s">
        <v>414</v>
      </c>
      <c r="F152" s="19" t="s">
        <v>423</v>
      </c>
      <c r="G152" s="19" t="s">
        <v>84</v>
      </c>
      <c r="H152" s="19" t="s">
        <v>192</v>
      </c>
      <c r="I152" s="20" t="s">
        <v>424</v>
      </c>
      <c r="J152" s="20">
        <v>1</v>
      </c>
      <c r="K152" s="20" t="s">
        <v>388</v>
      </c>
      <c r="L152" s="20">
        <v>15</v>
      </c>
      <c r="M152" s="19" t="s">
        <v>425</v>
      </c>
      <c r="N152" s="19"/>
      <c r="O152" s="18"/>
      <c r="P152" s="20"/>
      <c r="Q152" s="19"/>
      <c r="S152" s="2">
        <f t="shared" si="35"/>
        <v>1</v>
      </c>
      <c r="T152" s="2">
        <f t="shared" si="36"/>
        <v>0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40">
        <v>0</v>
      </c>
      <c r="B153" s="40">
        <v>2</v>
      </c>
      <c r="C153" s="40">
        <v>4</v>
      </c>
      <c r="D153" s="41" t="s">
        <v>469</v>
      </c>
      <c r="E153" s="41" t="s">
        <v>470</v>
      </c>
      <c r="F153" s="41" t="s">
        <v>471</v>
      </c>
      <c r="G153" s="41" t="s">
        <v>90</v>
      </c>
      <c r="H153" s="41" t="s">
        <v>192</v>
      </c>
      <c r="I153" s="40" t="s">
        <v>472</v>
      </c>
      <c r="J153" s="40">
        <v>2</v>
      </c>
      <c r="K153" s="40" t="s">
        <v>296</v>
      </c>
      <c r="L153" s="40" t="s">
        <v>309</v>
      </c>
      <c r="M153" s="41" t="s">
        <v>677</v>
      </c>
      <c r="N153" s="41" t="s">
        <v>891</v>
      </c>
      <c r="O153" s="42"/>
      <c r="P153" s="40"/>
      <c r="Q153" s="41"/>
      <c r="R153" s="13"/>
      <c r="S153" s="2">
        <f t="shared" si="35"/>
        <v>0</v>
      </c>
      <c r="T153" s="2">
        <f t="shared" si="36"/>
        <v>1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583</v>
      </c>
      <c r="E154" s="19" t="s">
        <v>414</v>
      </c>
      <c r="F154" s="19" t="s">
        <v>585</v>
      </c>
      <c r="G154" s="19"/>
      <c r="H154" s="19" t="s">
        <v>192</v>
      </c>
      <c r="I154" s="20" t="s">
        <v>586</v>
      </c>
      <c r="J154" s="20"/>
      <c r="K154" s="20" t="s">
        <v>388</v>
      </c>
      <c r="L154" s="20">
        <v>20</v>
      </c>
      <c r="M154" s="19" t="s">
        <v>584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221</v>
      </c>
      <c r="E155" s="19" t="s">
        <v>484</v>
      </c>
      <c r="F155" s="19" t="s">
        <v>226</v>
      </c>
      <c r="G155" s="19" t="s">
        <v>109</v>
      </c>
      <c r="H155" s="19" t="s">
        <v>192</v>
      </c>
      <c r="I155" s="20" t="s">
        <v>201</v>
      </c>
      <c r="J155" s="20">
        <v>99</v>
      </c>
      <c r="K155" s="20" t="s">
        <v>388</v>
      </c>
      <c r="L155" s="20">
        <v>30</v>
      </c>
      <c r="M155" s="19" t="s">
        <v>716</v>
      </c>
      <c r="N155" s="19"/>
      <c r="O155" s="18"/>
      <c r="P155" s="20"/>
      <c r="Q155" s="19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0</v>
      </c>
      <c r="AF155" s="2">
        <f t="shared" si="47"/>
        <v>0</v>
      </c>
      <c r="AG155" s="2">
        <f t="shared" si="48"/>
        <v>0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832</v>
      </c>
      <c r="E156" s="34" t="s">
        <v>539</v>
      </c>
      <c r="F156" s="34" t="s">
        <v>833</v>
      </c>
      <c r="G156" s="34" t="s">
        <v>84</v>
      </c>
      <c r="H156" s="34" t="s">
        <v>192</v>
      </c>
      <c r="I156" s="33" t="s">
        <v>834</v>
      </c>
      <c r="J156" s="33"/>
      <c r="K156" s="33" t="s">
        <v>388</v>
      </c>
      <c r="L156" s="33">
        <v>40</v>
      </c>
      <c r="M156" s="34" t="s">
        <v>825</v>
      </c>
      <c r="N156" s="34" t="s">
        <v>865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0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758</v>
      </c>
      <c r="E157" s="34" t="s">
        <v>484</v>
      </c>
      <c r="F157" s="34" t="s">
        <v>735</v>
      </c>
      <c r="G157" s="34" t="s">
        <v>768</v>
      </c>
      <c r="H157" s="34" t="s">
        <v>192</v>
      </c>
      <c r="I157" s="33" t="s">
        <v>736</v>
      </c>
      <c r="J157" s="33">
        <v>2</v>
      </c>
      <c r="K157" s="33" t="s">
        <v>295</v>
      </c>
      <c r="L157" s="33" t="s">
        <v>307</v>
      </c>
      <c r="M157" s="34" t="s">
        <v>737</v>
      </c>
      <c r="N157" s="34" t="s">
        <v>865</v>
      </c>
      <c r="O157" s="35">
        <v>1</v>
      </c>
      <c r="P157" s="33"/>
      <c r="Q157" s="34"/>
      <c r="R157" s="13"/>
      <c r="S157" s="2">
        <f t="shared" si="35"/>
        <v>0</v>
      </c>
      <c r="T157" s="2">
        <f t="shared" si="36"/>
        <v>1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533</v>
      </c>
      <c r="E158" s="19" t="s">
        <v>534</v>
      </c>
      <c r="F158" s="19" t="s">
        <v>535</v>
      </c>
      <c r="G158" s="19" t="s">
        <v>84</v>
      </c>
      <c r="H158" s="19" t="s">
        <v>192</v>
      </c>
      <c r="I158" s="20" t="s">
        <v>536</v>
      </c>
      <c r="J158" s="20">
        <v>1</v>
      </c>
      <c r="K158" s="20" t="s">
        <v>388</v>
      </c>
      <c r="L158" s="20" t="s">
        <v>307</v>
      </c>
      <c r="M158" s="19" t="s">
        <v>197</v>
      </c>
      <c r="N158" s="19"/>
      <c r="O158" s="18"/>
      <c r="P158" s="20"/>
      <c r="Q158" s="19"/>
      <c r="R158" s="13"/>
      <c r="S158" s="2">
        <f t="shared" si="35"/>
        <v>1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6">
        <v>0</v>
      </c>
      <c r="B159" s="36">
        <v>2</v>
      </c>
      <c r="C159" s="36">
        <v>5</v>
      </c>
      <c r="D159" s="37" t="s">
        <v>847</v>
      </c>
      <c r="E159" s="37" t="s">
        <v>848</v>
      </c>
      <c r="F159" s="37" t="s">
        <v>849</v>
      </c>
      <c r="G159" s="37" t="s">
        <v>131</v>
      </c>
      <c r="H159" s="37" t="s">
        <v>192</v>
      </c>
      <c r="I159" s="36" t="s">
        <v>850</v>
      </c>
      <c r="J159" s="36">
        <v>99</v>
      </c>
      <c r="K159" s="36" t="s">
        <v>388</v>
      </c>
      <c r="L159" s="36">
        <v>40</v>
      </c>
      <c r="M159" s="37" t="s">
        <v>851</v>
      </c>
      <c r="N159" s="37" t="s">
        <v>860</v>
      </c>
      <c r="O159" s="38"/>
      <c r="P159" s="36"/>
      <c r="Q159" s="37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0</v>
      </c>
      <c r="AF159" s="2">
        <f t="shared" si="47"/>
        <v>0</v>
      </c>
      <c r="AG159" s="2">
        <f t="shared" si="48"/>
        <v>0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835</v>
      </c>
      <c r="E160" s="34" t="s">
        <v>839</v>
      </c>
      <c r="F160" s="34" t="s">
        <v>837</v>
      </c>
      <c r="G160" s="34"/>
      <c r="H160" s="34" t="s">
        <v>192</v>
      </c>
      <c r="I160" s="33" t="s">
        <v>838</v>
      </c>
      <c r="J160" s="33"/>
      <c r="K160" s="33" t="s">
        <v>388</v>
      </c>
      <c r="L160" s="33">
        <v>35</v>
      </c>
      <c r="M160" s="34" t="s">
        <v>836</v>
      </c>
      <c r="N160" s="34" t="s">
        <v>866</v>
      </c>
      <c r="O160" s="35">
        <v>1</v>
      </c>
      <c r="P160" s="33"/>
      <c r="Q160" s="34"/>
      <c r="R160" s="13"/>
      <c r="S160" s="2">
        <f t="shared" si="35"/>
        <v>0</v>
      </c>
      <c r="T160" s="2">
        <f t="shared" si="36"/>
        <v>0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490</v>
      </c>
      <c r="E161" s="34" t="s">
        <v>466</v>
      </c>
      <c r="F161" s="34" t="s">
        <v>465</v>
      </c>
      <c r="G161" s="34" t="s">
        <v>90</v>
      </c>
      <c r="H161" s="34" t="s">
        <v>192</v>
      </c>
      <c r="I161" s="33" t="s">
        <v>467</v>
      </c>
      <c r="J161" s="33">
        <v>2</v>
      </c>
      <c r="K161" s="33" t="s">
        <v>296</v>
      </c>
      <c r="L161" s="33" t="s">
        <v>307</v>
      </c>
      <c r="M161" s="34" t="s">
        <v>468</v>
      </c>
      <c r="N161" s="34" t="s">
        <v>866</v>
      </c>
      <c r="O161" s="35">
        <v>1</v>
      </c>
      <c r="P161" s="33"/>
      <c r="Q161" s="34"/>
      <c r="S161" s="2">
        <f t="shared" si="35"/>
        <v>0</v>
      </c>
      <c r="T161" s="2">
        <f t="shared" si="36"/>
        <v>1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1</v>
      </c>
      <c r="AF161" s="2">
        <f t="shared" si="47"/>
        <v>0</v>
      </c>
      <c r="AG161" s="2">
        <f t="shared" si="48"/>
        <v>1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36">
        <v>0</v>
      </c>
      <c r="B162" s="36">
        <v>2</v>
      </c>
      <c r="C162" s="36">
        <v>5</v>
      </c>
      <c r="D162" s="37" t="s">
        <v>874</v>
      </c>
      <c r="E162" s="37" t="s">
        <v>875</v>
      </c>
      <c r="F162" s="37" t="s">
        <v>876</v>
      </c>
      <c r="G162" s="37"/>
      <c r="H162" s="37" t="s">
        <v>192</v>
      </c>
      <c r="I162" s="36" t="s">
        <v>877</v>
      </c>
      <c r="J162" s="36"/>
      <c r="K162" s="36" t="s">
        <v>388</v>
      </c>
      <c r="L162" s="36">
        <v>35</v>
      </c>
      <c r="M162" s="37" t="s">
        <v>878</v>
      </c>
      <c r="N162" s="37" t="s">
        <v>891</v>
      </c>
      <c r="O162" s="38"/>
      <c r="P162" s="36"/>
      <c r="Q162" s="37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0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264</v>
      </c>
      <c r="E163" s="19" t="s">
        <v>50</v>
      </c>
      <c r="F163" s="19" t="s">
        <v>360</v>
      </c>
      <c r="G163" s="19" t="s">
        <v>72</v>
      </c>
      <c r="H163" s="19" t="s">
        <v>192</v>
      </c>
      <c r="I163" s="20" t="s">
        <v>265</v>
      </c>
      <c r="J163" s="20">
        <v>4</v>
      </c>
      <c r="K163" s="20" t="s">
        <v>295</v>
      </c>
      <c r="L163" s="20" t="s">
        <v>309</v>
      </c>
      <c r="M163" s="19" t="s">
        <v>266</v>
      </c>
      <c r="N163" s="19"/>
      <c r="O163" s="18"/>
      <c r="P163" s="20"/>
      <c r="Q163" s="19"/>
      <c r="R163" s="13"/>
      <c r="S163" s="2">
        <f t="shared" si="35"/>
        <v>0</v>
      </c>
      <c r="T163" s="2">
        <f t="shared" si="36"/>
        <v>0</v>
      </c>
      <c r="U163" s="2">
        <f t="shared" si="37"/>
        <v>0</v>
      </c>
      <c r="V163" s="2">
        <f t="shared" si="38"/>
        <v>1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86</v>
      </c>
      <c r="E164" s="19" t="s">
        <v>50</v>
      </c>
      <c r="F164" s="19" t="s">
        <v>42</v>
      </c>
      <c r="G164" s="19" t="s">
        <v>84</v>
      </c>
      <c r="H164" s="19" t="s">
        <v>192</v>
      </c>
      <c r="I164" s="20" t="s">
        <v>87</v>
      </c>
      <c r="J164" s="20">
        <v>1</v>
      </c>
      <c r="K164" s="20" t="s">
        <v>388</v>
      </c>
      <c r="L164" s="20" t="s">
        <v>307</v>
      </c>
      <c r="M164" s="19" t="s">
        <v>253</v>
      </c>
      <c r="N164" s="19"/>
      <c r="O164" s="18"/>
      <c r="P164" s="20"/>
      <c r="Q164" s="19"/>
      <c r="R164" s="13"/>
      <c r="S164" s="2">
        <f t="shared" si="35"/>
        <v>1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0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20">
        <v>0</v>
      </c>
      <c r="B165" s="20">
        <v>2</v>
      </c>
      <c r="C165" s="20">
        <v>6</v>
      </c>
      <c r="D165" s="19" t="s">
        <v>73</v>
      </c>
      <c r="E165" s="19" t="s">
        <v>50</v>
      </c>
      <c r="F165" s="19" t="s">
        <v>225</v>
      </c>
      <c r="G165" s="19" t="s">
        <v>103</v>
      </c>
      <c r="H165" s="19" t="s">
        <v>192</v>
      </c>
      <c r="I165" s="20" t="s">
        <v>74</v>
      </c>
      <c r="J165" s="20">
        <v>7</v>
      </c>
      <c r="K165" s="20" t="s">
        <v>388</v>
      </c>
      <c r="L165" s="20" t="s">
        <v>312</v>
      </c>
      <c r="M165" s="19" t="s">
        <v>253</v>
      </c>
      <c r="N165" s="19"/>
      <c r="O165" s="18"/>
      <c r="P165" s="20"/>
      <c r="Q165" s="19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0</v>
      </c>
      <c r="W165" s="2">
        <f t="shared" si="39"/>
        <v>0</v>
      </c>
      <c r="X165" s="2">
        <f t="shared" si="40"/>
        <v>0</v>
      </c>
      <c r="Y165" s="2">
        <f t="shared" si="41"/>
        <v>1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33">
        <v>0</v>
      </c>
      <c r="B166" s="33">
        <v>2</v>
      </c>
      <c r="C166" s="33">
        <v>6</v>
      </c>
      <c r="D166" s="34" t="s">
        <v>426</v>
      </c>
      <c r="E166" s="34" t="s">
        <v>50</v>
      </c>
      <c r="F166" s="34" t="s">
        <v>427</v>
      </c>
      <c r="G166" s="34" t="s">
        <v>72</v>
      </c>
      <c r="H166" s="34" t="s">
        <v>192</v>
      </c>
      <c r="I166" s="33" t="s">
        <v>428</v>
      </c>
      <c r="J166" s="33">
        <v>4</v>
      </c>
      <c r="K166" s="33" t="s">
        <v>295</v>
      </c>
      <c r="L166" s="33" t="s">
        <v>307</v>
      </c>
      <c r="M166" s="34" t="s">
        <v>752</v>
      </c>
      <c r="N166" s="34" t="s">
        <v>864</v>
      </c>
      <c r="O166" s="35">
        <v>1</v>
      </c>
      <c r="P166" s="33"/>
      <c r="Q166" s="34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1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1</v>
      </c>
      <c r="AF166" s="2">
        <f t="shared" si="47"/>
        <v>0</v>
      </c>
      <c r="AG166" s="2">
        <f t="shared" si="48"/>
        <v>1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20">
        <v>0</v>
      </c>
      <c r="B167" s="20">
        <v>2</v>
      </c>
      <c r="C167" s="20">
        <v>6</v>
      </c>
      <c r="D167" s="19" t="s">
        <v>429</v>
      </c>
      <c r="E167" s="19" t="s">
        <v>50</v>
      </c>
      <c r="F167" s="19" t="s">
        <v>430</v>
      </c>
      <c r="G167" s="19" t="s">
        <v>109</v>
      </c>
      <c r="H167" s="19" t="s">
        <v>192</v>
      </c>
      <c r="I167" s="20" t="s">
        <v>431</v>
      </c>
      <c r="J167" s="20">
        <v>99</v>
      </c>
      <c r="K167" s="20" t="s">
        <v>388</v>
      </c>
      <c r="L167" s="20" t="s">
        <v>312</v>
      </c>
      <c r="M167" s="19" t="s">
        <v>253</v>
      </c>
      <c r="N167" s="19"/>
      <c r="O167" s="18"/>
      <c r="P167" s="20"/>
      <c r="Q167" s="19"/>
      <c r="R167" s="13"/>
      <c r="S167" s="2">
        <f t="shared" si="35"/>
        <v>0</v>
      </c>
      <c r="T167" s="2">
        <f t="shared" si="36"/>
        <v>0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0</v>
      </c>
      <c r="AI167" s="2">
        <f t="shared" si="50"/>
        <v>1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30">
        <v>0</v>
      </c>
      <c r="B168" s="30">
        <v>2</v>
      </c>
      <c r="C168" s="30">
        <v>6</v>
      </c>
      <c r="D168" s="31" t="s">
        <v>67</v>
      </c>
      <c r="E168" s="31" t="s">
        <v>50</v>
      </c>
      <c r="F168" s="31" t="s">
        <v>117</v>
      </c>
      <c r="G168" s="31" t="s">
        <v>90</v>
      </c>
      <c r="H168" s="31" t="s">
        <v>192</v>
      </c>
      <c r="I168" s="30" t="s">
        <v>507</v>
      </c>
      <c r="J168" s="30">
        <v>2</v>
      </c>
      <c r="K168" s="30" t="s">
        <v>298</v>
      </c>
      <c r="L168" s="30" t="s">
        <v>105</v>
      </c>
      <c r="M168" s="31" t="s">
        <v>105</v>
      </c>
      <c r="N168" s="31"/>
      <c r="O168" s="32"/>
      <c r="P168" s="30">
        <v>1</v>
      </c>
      <c r="Q168" s="31"/>
      <c r="R168" s="13"/>
      <c r="S168" s="2">
        <f t="shared" si="35"/>
        <v>0</v>
      </c>
      <c r="T168" s="2">
        <f t="shared" si="36"/>
        <v>1</v>
      </c>
      <c r="U168" s="2">
        <f t="shared" si="37"/>
        <v>0</v>
      </c>
      <c r="V168" s="2">
        <f t="shared" si="38"/>
        <v>0</v>
      </c>
      <c r="W168" s="2">
        <f t="shared" si="39"/>
        <v>0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1</v>
      </c>
      <c r="AI168" s="2">
        <f t="shared" si="50"/>
        <v>0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20">
        <v>0</v>
      </c>
      <c r="B169" s="20">
        <v>2</v>
      </c>
      <c r="C169" s="20">
        <v>6</v>
      </c>
      <c r="D169" s="19" t="s">
        <v>155</v>
      </c>
      <c r="E169" s="19" t="s">
        <v>89</v>
      </c>
      <c r="F169" s="19" t="s">
        <v>900</v>
      </c>
      <c r="G169" s="19" t="s">
        <v>102</v>
      </c>
      <c r="H169" s="19" t="s">
        <v>192</v>
      </c>
      <c r="I169" s="20" t="s">
        <v>156</v>
      </c>
      <c r="J169" s="20">
        <v>5</v>
      </c>
      <c r="K169" s="20" t="s">
        <v>388</v>
      </c>
      <c r="L169" s="20">
        <v>20</v>
      </c>
      <c r="M169" s="19" t="s">
        <v>254</v>
      </c>
      <c r="N169" s="19"/>
      <c r="O169" s="18"/>
      <c r="P169" s="20"/>
      <c r="Q169" s="19"/>
      <c r="R169" s="13"/>
      <c r="S169" s="2">
        <f t="shared" si="35"/>
        <v>0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1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0</v>
      </c>
      <c r="AE169" s="2">
        <f t="shared" si="46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1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0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184</v>
      </c>
      <c r="G170" s="34" t="s">
        <v>84</v>
      </c>
      <c r="H170" s="34" t="s">
        <v>192</v>
      </c>
      <c r="I170" s="33" t="s">
        <v>194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856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1</v>
      </c>
      <c r="AG170" s="2">
        <f t="shared" si="48"/>
        <v>0</v>
      </c>
      <c r="AH170" s="2">
        <f t="shared" si="49"/>
        <v>1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902</v>
      </c>
      <c r="G171" s="34" t="s">
        <v>84</v>
      </c>
      <c r="H171" s="34" t="s">
        <v>192</v>
      </c>
      <c r="I171" s="33" t="s">
        <v>47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856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185</v>
      </c>
      <c r="G172" s="34" t="s">
        <v>84</v>
      </c>
      <c r="H172" s="34" t="s">
        <v>192</v>
      </c>
      <c r="I172" s="33" t="s">
        <v>48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856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903</v>
      </c>
      <c r="G173" s="34" t="s">
        <v>766</v>
      </c>
      <c r="H173" s="34" t="s">
        <v>192</v>
      </c>
      <c r="I173" s="33" t="s">
        <v>751</v>
      </c>
      <c r="J173" s="33">
        <v>1</v>
      </c>
      <c r="K173" s="33" t="s">
        <v>295</v>
      </c>
      <c r="L173" s="33" t="s">
        <v>296</v>
      </c>
      <c r="M173" s="34" t="s">
        <v>198</v>
      </c>
      <c r="N173" s="34" t="s">
        <v>856</v>
      </c>
      <c r="O173" s="35">
        <v>1</v>
      </c>
      <c r="P173" s="33">
        <v>1</v>
      </c>
      <c r="Q173" s="34"/>
      <c r="R173" s="13"/>
      <c r="S173" s="2">
        <f t="shared" si="35"/>
        <v>1</v>
      </c>
      <c r="T173" s="2">
        <f t="shared" si="36"/>
        <v>0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1</v>
      </c>
      <c r="B174" s="33">
        <v>2</v>
      </c>
      <c r="C174" s="33">
        <v>7</v>
      </c>
      <c r="D174" s="34" t="s">
        <v>338</v>
      </c>
      <c r="E174" s="34" t="s">
        <v>38</v>
      </c>
      <c r="F174" s="34" t="s">
        <v>361</v>
      </c>
      <c r="G174" s="34" t="s">
        <v>90</v>
      </c>
      <c r="H174" s="34" t="s">
        <v>192</v>
      </c>
      <c r="I174" s="33" t="s">
        <v>380</v>
      </c>
      <c r="J174" s="33">
        <v>2</v>
      </c>
      <c r="K174" s="33" t="s">
        <v>295</v>
      </c>
      <c r="L174" s="33" t="s">
        <v>296</v>
      </c>
      <c r="M174" s="34" t="s">
        <v>198</v>
      </c>
      <c r="N174" s="34" t="s">
        <v>856</v>
      </c>
      <c r="O174" s="35">
        <v>1</v>
      </c>
      <c r="P174" s="33">
        <v>1</v>
      </c>
      <c r="Q174" s="34"/>
      <c r="R174" s="13"/>
      <c r="S174" s="2">
        <f t="shared" si="35"/>
        <v>0</v>
      </c>
      <c r="T174" s="2">
        <f t="shared" si="36"/>
        <v>1</v>
      </c>
      <c r="U174" s="2">
        <f t="shared" si="37"/>
        <v>0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1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0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0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544</v>
      </c>
      <c r="G175" s="37" t="s">
        <v>112</v>
      </c>
      <c r="H175" s="37" t="s">
        <v>192</v>
      </c>
      <c r="I175" s="36" t="s">
        <v>545</v>
      </c>
      <c r="J175" s="36">
        <v>3</v>
      </c>
      <c r="K175" s="36" t="s">
        <v>298</v>
      </c>
      <c r="L175" s="36" t="s">
        <v>296</v>
      </c>
      <c r="M175" s="37" t="s">
        <v>198</v>
      </c>
      <c r="N175" s="37" t="s">
        <v>857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1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36">
        <v>1</v>
      </c>
      <c r="B176" s="36">
        <v>2</v>
      </c>
      <c r="C176" s="36">
        <v>7</v>
      </c>
      <c r="D176" s="37" t="s">
        <v>543</v>
      </c>
      <c r="E176" s="37" t="s">
        <v>38</v>
      </c>
      <c r="F176" s="37" t="s">
        <v>767</v>
      </c>
      <c r="G176" s="37" t="s">
        <v>147</v>
      </c>
      <c r="H176" s="37" t="s">
        <v>192</v>
      </c>
      <c r="I176" s="36" t="s">
        <v>697</v>
      </c>
      <c r="J176" s="36">
        <v>99</v>
      </c>
      <c r="K176" s="36" t="s">
        <v>298</v>
      </c>
      <c r="L176" s="36" t="s">
        <v>296</v>
      </c>
      <c r="M176" s="37" t="s">
        <v>198</v>
      </c>
      <c r="N176" s="37" t="s">
        <v>857</v>
      </c>
      <c r="O176" s="38"/>
      <c r="P176" s="36"/>
      <c r="Q176" s="37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0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464</v>
      </c>
      <c r="E177" s="19" t="s">
        <v>38</v>
      </c>
      <c r="F177" s="19" t="s">
        <v>493</v>
      </c>
      <c r="G177" s="19" t="s">
        <v>169</v>
      </c>
      <c r="H177" s="19" t="s">
        <v>192</v>
      </c>
      <c r="I177" s="20" t="s">
        <v>504</v>
      </c>
      <c r="J177" s="20">
        <v>99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0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0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362</v>
      </c>
      <c r="G178" s="19" t="s">
        <v>190</v>
      </c>
      <c r="H178" s="19" t="s">
        <v>192</v>
      </c>
      <c r="I178" s="20" t="s">
        <v>381</v>
      </c>
      <c r="J178" s="20">
        <v>3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1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1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1</v>
      </c>
      <c r="B179" s="20">
        <v>2</v>
      </c>
      <c r="C179" s="20">
        <v>7</v>
      </c>
      <c r="D179" s="19" t="s">
        <v>140</v>
      </c>
      <c r="E179" s="19" t="s">
        <v>38</v>
      </c>
      <c r="F179" s="19" t="s">
        <v>363</v>
      </c>
      <c r="G179" s="19" t="s">
        <v>375</v>
      </c>
      <c r="H179" s="19" t="s">
        <v>192</v>
      </c>
      <c r="I179" s="20" t="s">
        <v>381</v>
      </c>
      <c r="J179" s="20">
        <v>99</v>
      </c>
      <c r="K179" s="20" t="s">
        <v>388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5"/>
        <v>0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339</v>
      </c>
      <c r="E180" s="19" t="s">
        <v>38</v>
      </c>
      <c r="F180" s="19" t="s">
        <v>77</v>
      </c>
      <c r="G180" s="19" t="s">
        <v>84</v>
      </c>
      <c r="H180" s="19" t="s">
        <v>192</v>
      </c>
      <c r="I180" s="20" t="s">
        <v>78</v>
      </c>
      <c r="J180" s="20">
        <v>1</v>
      </c>
      <c r="K180" s="20" t="s">
        <v>296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35"/>
        <v>1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20">
        <v>0</v>
      </c>
      <c r="B181" s="20">
        <v>2</v>
      </c>
      <c r="C181" s="20">
        <v>7</v>
      </c>
      <c r="D181" s="19" t="s">
        <v>340</v>
      </c>
      <c r="E181" s="19" t="s">
        <v>38</v>
      </c>
      <c r="F181" s="19" t="s">
        <v>364</v>
      </c>
      <c r="G181" s="19" t="s">
        <v>147</v>
      </c>
      <c r="H181" s="19" t="s">
        <v>192</v>
      </c>
      <c r="I181" s="20" t="s">
        <v>382</v>
      </c>
      <c r="J181" s="20">
        <v>99</v>
      </c>
      <c r="K181" s="20" t="s">
        <v>388</v>
      </c>
      <c r="L181" s="20" t="s">
        <v>296</v>
      </c>
      <c r="M181" s="19" t="s">
        <v>198</v>
      </c>
      <c r="N181" s="19"/>
      <c r="O181" s="18"/>
      <c r="P181" s="20"/>
      <c r="Q181" s="19"/>
      <c r="R181" s="13"/>
      <c r="S181" s="2">
        <f t="shared" ref="S181:S212" si="51">IF(J181=$S$7,1,0)</f>
        <v>0</v>
      </c>
      <c r="T181" s="2">
        <f t="shared" ref="T181:T212" si="52">IF(J181=$T$7,1,0)</f>
        <v>0</v>
      </c>
      <c r="U181" s="2">
        <f t="shared" ref="U181:U212" si="53">IF(J181=$U$7,1,0)</f>
        <v>0</v>
      </c>
      <c r="V181" s="2">
        <f t="shared" ref="V181:V212" si="54">IF(J181=$V$7,1,0)</f>
        <v>0</v>
      </c>
      <c r="W181" s="2">
        <f t="shared" ref="W181:W212" si="55">IF(J181=$W$7,1,0)</f>
        <v>0</v>
      </c>
      <c r="X181" s="2">
        <f t="shared" ref="X181:X212" si="56">IF(J181=$X$7,1,0)</f>
        <v>0</v>
      </c>
      <c r="Y181" s="2">
        <f t="shared" ref="Y181:Y212" si="57">IF(J181=$Y$7,1,0)</f>
        <v>0</v>
      </c>
      <c r="Z181" s="2">
        <f t="shared" ref="Z181:Z212" si="58">IF(J181=$Z$7,1,0)</f>
        <v>0</v>
      </c>
      <c r="AA181" s="2">
        <f t="shared" ref="AA181:AA212" si="59">IF(J181=$AA$7,1,0)</f>
        <v>0</v>
      </c>
      <c r="AB181" s="2">
        <f t="shared" ref="AB181:AB212" si="60">IF(J181=$AB$7,1,0)</f>
        <v>0</v>
      </c>
      <c r="AC181" s="2"/>
      <c r="AD181" s="2">
        <f t="shared" ref="AD181:AD212" si="61">+O181*P181</f>
        <v>0</v>
      </c>
      <c r="AE181" s="2">
        <f t="shared" ref="AE181:AE212" si="62">O181*(1-P181)</f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33">
        <v>0</v>
      </c>
      <c r="B182" s="33">
        <v>2</v>
      </c>
      <c r="C182" s="33">
        <v>7</v>
      </c>
      <c r="D182" s="34" t="s">
        <v>178</v>
      </c>
      <c r="E182" s="34" t="s">
        <v>38</v>
      </c>
      <c r="F182" s="34" t="s">
        <v>189</v>
      </c>
      <c r="G182" s="34" t="s">
        <v>112</v>
      </c>
      <c r="H182" s="34" t="s">
        <v>192</v>
      </c>
      <c r="I182" s="33" t="s">
        <v>120</v>
      </c>
      <c r="J182" s="33">
        <v>3</v>
      </c>
      <c r="K182" s="33" t="s">
        <v>295</v>
      </c>
      <c r="L182" s="33" t="s">
        <v>296</v>
      </c>
      <c r="M182" s="34" t="s">
        <v>198</v>
      </c>
      <c r="N182" s="34" t="s">
        <v>856</v>
      </c>
      <c r="O182" s="35">
        <v>1</v>
      </c>
      <c r="P182" s="33">
        <v>1</v>
      </c>
      <c r="Q182" s="34"/>
      <c r="R182" s="13"/>
      <c r="S182" s="2">
        <f t="shared" si="51"/>
        <v>0</v>
      </c>
      <c r="T182" s="2">
        <f t="shared" si="52"/>
        <v>0</v>
      </c>
      <c r="U182" s="2">
        <f t="shared" si="53"/>
        <v>1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1</v>
      </c>
      <c r="AE182" s="2">
        <f t="shared" si="62"/>
        <v>0</v>
      </c>
      <c r="AF182" s="2">
        <f t="shared" si="47"/>
        <v>1</v>
      </c>
      <c r="AG182" s="2">
        <f t="shared" si="48"/>
        <v>0</v>
      </c>
      <c r="AH182" s="2">
        <f t="shared" si="49"/>
        <v>1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33">
        <v>1</v>
      </c>
      <c r="B183" s="33">
        <v>2</v>
      </c>
      <c r="C183" s="33">
        <v>7</v>
      </c>
      <c r="D183" s="34" t="s">
        <v>178</v>
      </c>
      <c r="E183" s="34" t="s">
        <v>38</v>
      </c>
      <c r="F183" s="34" t="s">
        <v>365</v>
      </c>
      <c r="G183" s="34" t="s">
        <v>103</v>
      </c>
      <c r="H183" s="34" t="s">
        <v>192</v>
      </c>
      <c r="I183" s="33" t="s">
        <v>120</v>
      </c>
      <c r="J183" s="33">
        <v>7</v>
      </c>
      <c r="K183" s="33" t="s">
        <v>295</v>
      </c>
      <c r="L183" s="33" t="s">
        <v>296</v>
      </c>
      <c r="M183" s="34" t="s">
        <v>198</v>
      </c>
      <c r="N183" s="34" t="s">
        <v>856</v>
      </c>
      <c r="O183" s="35">
        <v>1</v>
      </c>
      <c r="P183" s="33">
        <v>1</v>
      </c>
      <c r="Q183" s="34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1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25">
      <c r="A184" s="33">
        <v>0</v>
      </c>
      <c r="B184" s="33">
        <v>2</v>
      </c>
      <c r="C184" s="33">
        <v>7</v>
      </c>
      <c r="D184" s="34" t="s">
        <v>177</v>
      </c>
      <c r="E184" s="34" t="s">
        <v>38</v>
      </c>
      <c r="F184" s="34" t="s">
        <v>366</v>
      </c>
      <c r="G184" s="34" t="s">
        <v>146</v>
      </c>
      <c r="H184" s="34" t="s">
        <v>192</v>
      </c>
      <c r="I184" s="33" t="s">
        <v>145</v>
      </c>
      <c r="J184" s="33">
        <v>99</v>
      </c>
      <c r="K184" s="33" t="s">
        <v>388</v>
      </c>
      <c r="L184" s="33" t="s">
        <v>296</v>
      </c>
      <c r="M184" s="34" t="s">
        <v>198</v>
      </c>
      <c r="N184" s="34" t="s">
        <v>856</v>
      </c>
      <c r="O184" s="35">
        <v>1</v>
      </c>
      <c r="P184" s="33">
        <v>1</v>
      </c>
      <c r="Q184" s="34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1</v>
      </c>
      <c r="AE184" s="2">
        <f t="shared" si="62"/>
        <v>0</v>
      </c>
      <c r="AF184" s="2">
        <f t="shared" si="47"/>
        <v>1</v>
      </c>
      <c r="AG184" s="2">
        <f t="shared" si="48"/>
        <v>0</v>
      </c>
      <c r="AH184" s="2">
        <f t="shared" si="49"/>
        <v>1</v>
      </c>
      <c r="AI184" s="2">
        <f t="shared" si="50"/>
        <v>0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25">
      <c r="A185" s="36">
        <v>0</v>
      </c>
      <c r="B185" s="36">
        <v>2</v>
      </c>
      <c r="C185" s="36">
        <v>7</v>
      </c>
      <c r="D185" s="37" t="s">
        <v>176</v>
      </c>
      <c r="E185" s="37" t="s">
        <v>38</v>
      </c>
      <c r="F185" s="37" t="s">
        <v>283</v>
      </c>
      <c r="G185" s="37" t="s">
        <v>188</v>
      </c>
      <c r="H185" s="37" t="s">
        <v>192</v>
      </c>
      <c r="I185" s="36" t="s">
        <v>141</v>
      </c>
      <c r="J185" s="36">
        <v>99</v>
      </c>
      <c r="K185" s="36" t="s">
        <v>388</v>
      </c>
      <c r="L185" s="36">
        <v>4</v>
      </c>
      <c r="M185" s="37" t="s">
        <v>198</v>
      </c>
      <c r="N185" s="37" t="s">
        <v>891</v>
      </c>
      <c r="O185" s="38"/>
      <c r="P185" s="36"/>
      <c r="Q185" s="37"/>
      <c r="R185" s="13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171</v>
      </c>
      <c r="E186" s="19" t="s">
        <v>38</v>
      </c>
      <c r="F186" s="19" t="s">
        <v>158</v>
      </c>
      <c r="G186" s="19" t="s">
        <v>84</v>
      </c>
      <c r="H186" s="19" t="s">
        <v>192</v>
      </c>
      <c r="I186" s="20" t="s">
        <v>159</v>
      </c>
      <c r="J186" s="20">
        <v>1</v>
      </c>
      <c r="K186" s="20" t="s">
        <v>291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51"/>
        <v>1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341</v>
      </c>
      <c r="E187" s="19" t="s">
        <v>38</v>
      </c>
      <c r="F187" s="19" t="s">
        <v>367</v>
      </c>
      <c r="G187" s="19" t="s">
        <v>187</v>
      </c>
      <c r="H187" s="19" t="s">
        <v>192</v>
      </c>
      <c r="I187" s="20" t="s">
        <v>142</v>
      </c>
      <c r="J187" s="20">
        <v>99</v>
      </c>
      <c r="K187" s="20" t="s">
        <v>388</v>
      </c>
      <c r="L187" s="20" t="s">
        <v>296</v>
      </c>
      <c r="M187" s="19" t="s">
        <v>198</v>
      </c>
      <c r="N187" s="19"/>
      <c r="O187" s="18"/>
      <c r="P187" s="20"/>
      <c r="Q187" s="19"/>
      <c r="R187" s="13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92</v>
      </c>
      <c r="E188" s="34" t="s">
        <v>100</v>
      </c>
      <c r="F188" s="34" t="s">
        <v>107</v>
      </c>
      <c r="G188" s="34" t="s">
        <v>90</v>
      </c>
      <c r="H188" s="34" t="s">
        <v>192</v>
      </c>
      <c r="I188" s="33" t="s">
        <v>121</v>
      </c>
      <c r="J188" s="33">
        <v>2</v>
      </c>
      <c r="K188" s="33" t="s">
        <v>295</v>
      </c>
      <c r="L188" s="33" t="s">
        <v>105</v>
      </c>
      <c r="M188" s="34" t="s">
        <v>105</v>
      </c>
      <c r="N188" s="34" t="s">
        <v>856</v>
      </c>
      <c r="O188" s="35">
        <v>1</v>
      </c>
      <c r="P188" s="33">
        <v>1</v>
      </c>
      <c r="Q188" s="34"/>
      <c r="R188" s="13"/>
      <c r="S188" s="2">
        <f t="shared" si="51"/>
        <v>0</v>
      </c>
      <c r="T188" s="2">
        <f t="shared" si="52"/>
        <v>1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1</v>
      </c>
      <c r="AE188" s="2">
        <f t="shared" si="62"/>
        <v>0</v>
      </c>
      <c r="AF188" s="2">
        <f t="shared" si="47"/>
        <v>1</v>
      </c>
      <c r="AG188" s="2">
        <f t="shared" si="48"/>
        <v>0</v>
      </c>
      <c r="AH188" s="2">
        <f t="shared" si="49"/>
        <v>1</v>
      </c>
      <c r="AI188" s="2">
        <f t="shared" si="50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274</v>
      </c>
      <c r="E189" s="19" t="s">
        <v>38</v>
      </c>
      <c r="F189" s="19" t="s">
        <v>368</v>
      </c>
      <c r="G189" s="19" t="s">
        <v>110</v>
      </c>
      <c r="H189" s="19" t="s">
        <v>192</v>
      </c>
      <c r="I189" s="20" t="s">
        <v>273</v>
      </c>
      <c r="J189" s="20">
        <v>1</v>
      </c>
      <c r="K189" s="20" t="s">
        <v>388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432</v>
      </c>
      <c r="E190" s="19" t="s">
        <v>38</v>
      </c>
      <c r="F190" s="19" t="s">
        <v>433</v>
      </c>
      <c r="G190" s="19" t="s">
        <v>84</v>
      </c>
      <c r="H190" s="19" t="s">
        <v>192</v>
      </c>
      <c r="I190" s="20" t="s">
        <v>434</v>
      </c>
      <c r="J190" s="20">
        <v>1</v>
      </c>
      <c r="K190" s="20" t="s">
        <v>296</v>
      </c>
      <c r="L190" s="20" t="s">
        <v>296</v>
      </c>
      <c r="M190" s="19" t="s">
        <v>198</v>
      </c>
      <c r="N190" s="19"/>
      <c r="O190" s="18"/>
      <c r="P190" s="20"/>
      <c r="Q190" s="19"/>
      <c r="R190" s="13"/>
      <c r="S190" s="2">
        <f t="shared" si="51"/>
        <v>1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0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524</v>
      </c>
      <c r="G191" s="19" t="s">
        <v>556</v>
      </c>
      <c r="H191" s="19" t="s">
        <v>192</v>
      </c>
      <c r="I191" s="20" t="s">
        <v>525</v>
      </c>
      <c r="J191" s="20">
        <v>99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114</v>
      </c>
      <c r="G192" s="19" t="s">
        <v>84</v>
      </c>
      <c r="H192" s="19" t="s">
        <v>192</v>
      </c>
      <c r="I192" s="20" t="s">
        <v>35</v>
      </c>
      <c r="J192" s="20">
        <v>1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51"/>
        <v>1</v>
      </c>
      <c r="T192" s="2">
        <f t="shared" si="52"/>
        <v>0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20">
        <v>1</v>
      </c>
      <c r="B193" s="20">
        <v>2</v>
      </c>
      <c r="C193" s="20">
        <v>7</v>
      </c>
      <c r="D193" s="19" t="s">
        <v>94</v>
      </c>
      <c r="E193" s="19" t="s">
        <v>99</v>
      </c>
      <c r="F193" s="19" t="s">
        <v>369</v>
      </c>
      <c r="G193" s="19" t="s">
        <v>90</v>
      </c>
      <c r="H193" s="19" t="s">
        <v>192</v>
      </c>
      <c r="I193" s="20" t="s">
        <v>36</v>
      </c>
      <c r="J193" s="20">
        <v>2</v>
      </c>
      <c r="K193" s="20" t="s">
        <v>291</v>
      </c>
      <c r="L193" s="20" t="s">
        <v>312</v>
      </c>
      <c r="M193" s="19" t="s">
        <v>313</v>
      </c>
      <c r="N193" s="19"/>
      <c r="O193" s="18"/>
      <c r="P193" s="20"/>
      <c r="Q193" s="19"/>
      <c r="R193" s="13"/>
      <c r="S193" s="2">
        <f t="shared" si="51"/>
        <v>0</v>
      </c>
      <c r="T193" s="2">
        <f t="shared" si="52"/>
        <v>1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0</v>
      </c>
      <c r="AE193" s="2">
        <f t="shared" si="62"/>
        <v>0</v>
      </c>
      <c r="AF193" s="2">
        <f t="shared" si="47"/>
        <v>0</v>
      </c>
      <c r="AG193" s="2">
        <f t="shared" si="48"/>
        <v>0</v>
      </c>
      <c r="AH193" s="2">
        <f t="shared" si="49"/>
        <v>0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0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659</v>
      </c>
      <c r="G194" s="34" t="s">
        <v>72</v>
      </c>
      <c r="H194" s="34" t="s">
        <v>192</v>
      </c>
      <c r="I194" s="33" t="s">
        <v>49</v>
      </c>
      <c r="J194" s="33">
        <v>4</v>
      </c>
      <c r="K194" s="33" t="s">
        <v>298</v>
      </c>
      <c r="L194" s="33" t="s">
        <v>296</v>
      </c>
      <c r="M194" s="34" t="s">
        <v>198</v>
      </c>
      <c r="N194" s="34" t="s">
        <v>856</v>
      </c>
      <c r="O194" s="35">
        <v>1</v>
      </c>
      <c r="P194" s="33">
        <v>1</v>
      </c>
      <c r="Q194" s="34"/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1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1</v>
      </c>
      <c r="AG194" s="2">
        <f t="shared" si="48"/>
        <v>0</v>
      </c>
      <c r="AH194" s="2">
        <f t="shared" si="49"/>
        <v>1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186</v>
      </c>
      <c r="G195" s="34" t="s">
        <v>85</v>
      </c>
      <c r="H195" s="34" t="s">
        <v>192</v>
      </c>
      <c r="I195" s="33" t="s">
        <v>383</v>
      </c>
      <c r="J195" s="33">
        <v>6</v>
      </c>
      <c r="K195" s="33" t="s">
        <v>298</v>
      </c>
      <c r="L195" s="33" t="s">
        <v>296</v>
      </c>
      <c r="M195" s="34" t="s">
        <v>198</v>
      </c>
      <c r="N195" s="34" t="s">
        <v>856</v>
      </c>
      <c r="O195" s="35">
        <v>1</v>
      </c>
      <c r="P195" s="33">
        <v>1</v>
      </c>
      <c r="Q195" s="34"/>
      <c r="R195" s="13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1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175</v>
      </c>
      <c r="E196" s="34" t="s">
        <v>38</v>
      </c>
      <c r="F196" s="34" t="s">
        <v>224</v>
      </c>
      <c r="G196" s="34" t="s">
        <v>84</v>
      </c>
      <c r="H196" s="34" t="s">
        <v>192</v>
      </c>
      <c r="I196" s="33" t="s">
        <v>231</v>
      </c>
      <c r="J196" s="33">
        <v>1</v>
      </c>
      <c r="K196" s="33" t="s">
        <v>298</v>
      </c>
      <c r="L196" s="33" t="s">
        <v>296</v>
      </c>
      <c r="M196" s="34" t="s">
        <v>198</v>
      </c>
      <c r="N196" s="34" t="s">
        <v>856</v>
      </c>
      <c r="O196" s="35">
        <v>1</v>
      </c>
      <c r="P196" s="33">
        <v>1</v>
      </c>
      <c r="Q196" s="34"/>
      <c r="R196" s="13"/>
      <c r="S196" s="2">
        <f t="shared" si="51"/>
        <v>1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1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33">
        <v>0</v>
      </c>
      <c r="B197" s="33">
        <v>2</v>
      </c>
      <c r="C197" s="33">
        <v>7</v>
      </c>
      <c r="D197" s="34" t="s">
        <v>321</v>
      </c>
      <c r="E197" s="34" t="s">
        <v>55</v>
      </c>
      <c r="F197" s="34" t="s">
        <v>370</v>
      </c>
      <c r="G197" s="34" t="s">
        <v>112</v>
      </c>
      <c r="H197" s="34" t="s">
        <v>192</v>
      </c>
      <c r="I197" s="33" t="s">
        <v>322</v>
      </c>
      <c r="J197" s="33">
        <v>3</v>
      </c>
      <c r="K197" s="33" t="s">
        <v>296</v>
      </c>
      <c r="L197" s="33" t="s">
        <v>315</v>
      </c>
      <c r="M197" s="34" t="s">
        <v>387</v>
      </c>
      <c r="N197" s="34" t="s">
        <v>856</v>
      </c>
      <c r="O197" s="35">
        <v>1</v>
      </c>
      <c r="P197" s="33">
        <v>1</v>
      </c>
      <c r="Q197" s="34"/>
      <c r="R197" s="13"/>
      <c r="S197" s="2">
        <f t="shared" ref="S197" si="63">IF(J197=$S$7,1,0)</f>
        <v>0</v>
      </c>
      <c r="T197" s="2">
        <f t="shared" ref="T197" si="64">IF(J197=$T$7,1,0)</f>
        <v>0</v>
      </c>
      <c r="U197" s="2">
        <f t="shared" ref="U197" si="65">IF(J197=$U$7,1,0)</f>
        <v>1</v>
      </c>
      <c r="V197" s="2">
        <f t="shared" ref="V197" si="66">IF(J197=$V$7,1,0)</f>
        <v>0</v>
      </c>
      <c r="W197" s="2">
        <f t="shared" ref="W197" si="67">IF(J197=$W$7,1,0)</f>
        <v>0</v>
      </c>
      <c r="X197" s="2">
        <f t="shared" ref="X197" si="68">IF(J197=$X$7,1,0)</f>
        <v>0</v>
      </c>
      <c r="Y197" s="2">
        <f t="shared" ref="Y197" si="69">IF(J197=$Y$7,1,0)</f>
        <v>0</v>
      </c>
      <c r="Z197" s="2">
        <f t="shared" ref="Z197" si="70">IF(J197=$Z$7,1,0)</f>
        <v>0</v>
      </c>
      <c r="AA197" s="2">
        <f t="shared" ref="AA197" si="71">IF(J197=$AA$7,1,0)</f>
        <v>0</v>
      </c>
      <c r="AB197" s="2">
        <f t="shared" ref="AB197" si="72">IF(J197=$AB$7,1,0)</f>
        <v>0</v>
      </c>
      <c r="AC197" s="2"/>
      <c r="AD197" s="2">
        <f t="shared" ref="AD197" si="73">+O197*P197</f>
        <v>1</v>
      </c>
      <c r="AE197" s="2">
        <f t="shared" ref="AE197" si="74">O197*(1-P197)</f>
        <v>0</v>
      </c>
      <c r="AF197" s="2">
        <f t="shared" ref="AF197" si="75">+O197*P197*(1-A197)</f>
        <v>1</v>
      </c>
      <c r="AG197" s="2">
        <f t="shared" ref="AG197" si="76">O197*(1-P197)*(1-A197)</f>
        <v>0</v>
      </c>
      <c r="AH197" s="2">
        <f t="shared" ref="AH197" si="77">+P197*(1-A197)</f>
        <v>1</v>
      </c>
      <c r="AI197" s="2">
        <f t="shared" ref="AI197" si="78">+(1-A197)*(1-P197)</f>
        <v>0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33">
        <v>1</v>
      </c>
      <c r="B198" s="33">
        <v>2</v>
      </c>
      <c r="C198" s="33">
        <v>7</v>
      </c>
      <c r="D198" s="34" t="s">
        <v>321</v>
      </c>
      <c r="E198" s="34" t="s">
        <v>55</v>
      </c>
      <c r="F198" s="34" t="s">
        <v>914</v>
      </c>
      <c r="G198" s="34" t="s">
        <v>72</v>
      </c>
      <c r="H198" s="34" t="s">
        <v>192</v>
      </c>
      <c r="I198" s="33" t="s">
        <v>915</v>
      </c>
      <c r="J198" s="33">
        <v>4</v>
      </c>
      <c r="K198" s="33" t="s">
        <v>296</v>
      </c>
      <c r="L198" s="33" t="s">
        <v>315</v>
      </c>
      <c r="M198" s="34" t="s">
        <v>387</v>
      </c>
      <c r="N198" s="34" t="s">
        <v>856</v>
      </c>
      <c r="O198" s="35">
        <v>1</v>
      </c>
      <c r="P198" s="33">
        <v>1</v>
      </c>
      <c r="Q198" s="34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1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1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0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329</v>
      </c>
      <c r="G199" s="19" t="s">
        <v>330</v>
      </c>
      <c r="H199" s="19" t="s">
        <v>192</v>
      </c>
      <c r="I199" s="20" t="s">
        <v>325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1</v>
      </c>
      <c r="B200" s="20">
        <v>2</v>
      </c>
      <c r="C200" s="20">
        <v>7</v>
      </c>
      <c r="D200" s="19" t="s">
        <v>323</v>
      </c>
      <c r="E200" s="19" t="s">
        <v>38</v>
      </c>
      <c r="F200" s="19" t="s">
        <v>324</v>
      </c>
      <c r="G200" s="19" t="s">
        <v>108</v>
      </c>
      <c r="H200" s="19" t="s">
        <v>192</v>
      </c>
      <c r="I200" s="20" t="s">
        <v>331</v>
      </c>
      <c r="J200" s="20">
        <v>7</v>
      </c>
      <c r="K200" s="20" t="s">
        <v>388</v>
      </c>
      <c r="L200" s="20" t="s">
        <v>296</v>
      </c>
      <c r="M200" s="19" t="s">
        <v>198</v>
      </c>
      <c r="N200" s="19"/>
      <c r="O200" s="18"/>
      <c r="P200" s="20"/>
      <c r="Q200" s="19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0</v>
      </c>
      <c r="X200" s="2">
        <f t="shared" si="56"/>
        <v>0</v>
      </c>
      <c r="Y200" s="2">
        <f t="shared" si="57"/>
        <v>1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si="47"/>
        <v>0</v>
      </c>
      <c r="AG200" s="2">
        <f t="shared" si="48"/>
        <v>0</v>
      </c>
      <c r="AH200" s="2">
        <f t="shared" si="49"/>
        <v>0</v>
      </c>
      <c r="AI200" s="2">
        <f t="shared" si="50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323</v>
      </c>
      <c r="E201" s="19" t="s">
        <v>38</v>
      </c>
      <c r="F201" s="19" t="s">
        <v>326</v>
      </c>
      <c r="G201" s="19" t="s">
        <v>328</v>
      </c>
      <c r="H201" s="19" t="s">
        <v>192</v>
      </c>
      <c r="I201" s="20" t="s">
        <v>327</v>
      </c>
      <c r="J201" s="20">
        <v>99</v>
      </c>
      <c r="K201" s="20" t="s">
        <v>388</v>
      </c>
      <c r="L201" s="20" t="s">
        <v>296</v>
      </c>
      <c r="M201" s="19" t="s">
        <v>198</v>
      </c>
      <c r="N201" s="19"/>
      <c r="O201" s="18"/>
      <c r="P201" s="20"/>
      <c r="Q201" s="19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ref="AF201:AF218" si="79">+O201*P201*(1-A201)</f>
        <v>0</v>
      </c>
      <c r="AG201" s="2">
        <f t="shared" ref="AG201:AG218" si="80">O201*(1-P201)*(1-A201)</f>
        <v>0</v>
      </c>
      <c r="AH201" s="2">
        <f t="shared" ref="AH201:AH218" si="81">+P201*(1-A201)</f>
        <v>0</v>
      </c>
      <c r="AI201" s="2">
        <f t="shared" ref="AI201:AI218" si="82">+(1-A201)*(1-P201)</f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20">
        <v>0</v>
      </c>
      <c r="B202" s="20">
        <v>2</v>
      </c>
      <c r="C202" s="20">
        <v>7</v>
      </c>
      <c r="D202" s="19" t="s">
        <v>747</v>
      </c>
      <c r="E202" s="19" t="s">
        <v>38</v>
      </c>
      <c r="F202" s="19" t="s">
        <v>749</v>
      </c>
      <c r="G202" s="19" t="s">
        <v>72</v>
      </c>
      <c r="H202" s="19" t="s">
        <v>192</v>
      </c>
      <c r="I202" s="20" t="s">
        <v>750</v>
      </c>
      <c r="J202" s="20">
        <v>4</v>
      </c>
      <c r="K202" s="20" t="s">
        <v>296</v>
      </c>
      <c r="L202" s="20" t="s">
        <v>296</v>
      </c>
      <c r="M202" s="19" t="s">
        <v>105</v>
      </c>
      <c r="N202" s="19"/>
      <c r="O202" s="18"/>
      <c r="P202" s="20"/>
      <c r="Q202" s="19"/>
      <c r="R202" s="13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1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0</v>
      </c>
      <c r="AF202" s="2">
        <f t="shared" si="79"/>
        <v>0</v>
      </c>
      <c r="AG202" s="2">
        <f t="shared" si="80"/>
        <v>0</v>
      </c>
      <c r="AH202" s="2">
        <f t="shared" si="81"/>
        <v>0</v>
      </c>
      <c r="AI202" s="2">
        <f t="shared" si="82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20">
        <v>1</v>
      </c>
      <c r="B203" s="20">
        <v>2</v>
      </c>
      <c r="C203" s="20">
        <v>7</v>
      </c>
      <c r="D203" s="19" t="s">
        <v>747</v>
      </c>
      <c r="E203" s="19" t="s">
        <v>38</v>
      </c>
      <c r="F203" s="19" t="s">
        <v>775</v>
      </c>
      <c r="G203" s="19" t="s">
        <v>102</v>
      </c>
      <c r="H203" s="19" t="s">
        <v>192</v>
      </c>
      <c r="I203" s="20" t="s">
        <v>748</v>
      </c>
      <c r="J203" s="20">
        <v>99</v>
      </c>
      <c r="K203" s="20" t="s">
        <v>296</v>
      </c>
      <c r="L203" s="20" t="s">
        <v>296</v>
      </c>
      <c r="M203" s="19" t="s">
        <v>105</v>
      </c>
      <c r="N203" s="19"/>
      <c r="O203" s="18"/>
      <c r="P203" s="20"/>
      <c r="Q203" s="19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0</v>
      </c>
      <c r="AF203" s="2">
        <f t="shared" si="79"/>
        <v>0</v>
      </c>
      <c r="AG203" s="2">
        <f t="shared" si="80"/>
        <v>0</v>
      </c>
      <c r="AH203" s="2">
        <f t="shared" si="81"/>
        <v>0</v>
      </c>
      <c r="AI203" s="2">
        <f t="shared" si="82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342</v>
      </c>
      <c r="E204" s="34" t="s">
        <v>38</v>
      </c>
      <c r="F204" s="34" t="s">
        <v>776</v>
      </c>
      <c r="G204" s="34" t="s">
        <v>84</v>
      </c>
      <c r="H204" s="34" t="s">
        <v>192</v>
      </c>
      <c r="I204" s="33" t="s">
        <v>82</v>
      </c>
      <c r="J204" s="33">
        <v>1</v>
      </c>
      <c r="K204" s="33" t="s">
        <v>295</v>
      </c>
      <c r="L204" s="33" t="s">
        <v>296</v>
      </c>
      <c r="M204" s="34" t="s">
        <v>198</v>
      </c>
      <c r="N204" s="34" t="s">
        <v>865</v>
      </c>
      <c r="O204" s="35">
        <v>1</v>
      </c>
      <c r="P204" s="33"/>
      <c r="Q204" s="34"/>
      <c r="R204" s="13"/>
      <c r="S204" s="2">
        <f t="shared" si="51"/>
        <v>1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0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1</v>
      </c>
      <c r="AF204" s="2">
        <f t="shared" si="79"/>
        <v>0</v>
      </c>
      <c r="AG204" s="2">
        <f t="shared" si="80"/>
        <v>1</v>
      </c>
      <c r="AH204" s="2">
        <f t="shared" si="81"/>
        <v>0</v>
      </c>
      <c r="AI204" s="2">
        <f t="shared" si="82"/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342</v>
      </c>
      <c r="E205" s="34" t="s">
        <v>38</v>
      </c>
      <c r="F205" s="34" t="s">
        <v>106</v>
      </c>
      <c r="G205" s="34" t="s">
        <v>85</v>
      </c>
      <c r="H205" s="34" t="s">
        <v>192</v>
      </c>
      <c r="I205" s="33" t="s">
        <v>83</v>
      </c>
      <c r="J205" s="33">
        <v>6</v>
      </c>
      <c r="K205" s="33" t="s">
        <v>295</v>
      </c>
      <c r="L205" s="33" t="s">
        <v>296</v>
      </c>
      <c r="M205" s="34" t="s">
        <v>198</v>
      </c>
      <c r="N205" s="34" t="s">
        <v>865</v>
      </c>
      <c r="O205" s="35">
        <v>1</v>
      </c>
      <c r="P205" s="33"/>
      <c r="Q205" s="34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1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1</v>
      </c>
      <c r="AF205" s="2">
        <f t="shared" si="79"/>
        <v>0</v>
      </c>
      <c r="AG205" s="2">
        <f t="shared" si="80"/>
        <v>0</v>
      </c>
      <c r="AH205" s="2">
        <f t="shared" si="81"/>
        <v>0</v>
      </c>
      <c r="AI205" s="2">
        <f t="shared" si="82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20">
        <v>0</v>
      </c>
      <c r="B206" s="20">
        <v>2</v>
      </c>
      <c r="C206" s="20">
        <v>7</v>
      </c>
      <c r="D206" s="19" t="s">
        <v>96</v>
      </c>
      <c r="E206" s="19" t="s">
        <v>38</v>
      </c>
      <c r="F206" s="19" t="s">
        <v>183</v>
      </c>
      <c r="G206" s="19" t="s">
        <v>85</v>
      </c>
      <c r="H206" s="19" t="s">
        <v>192</v>
      </c>
      <c r="I206" s="20" t="s">
        <v>506</v>
      </c>
      <c r="J206" s="20">
        <v>6</v>
      </c>
      <c r="K206" s="20" t="s">
        <v>296</v>
      </c>
      <c r="L206" s="20" t="s">
        <v>296</v>
      </c>
      <c r="M206" s="19" t="s">
        <v>198</v>
      </c>
      <c r="N206" s="19"/>
      <c r="O206" s="18"/>
      <c r="P206" s="20"/>
      <c r="Q206" s="19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1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0</v>
      </c>
      <c r="AF206" s="2">
        <f t="shared" si="79"/>
        <v>0</v>
      </c>
      <c r="AG206" s="2">
        <f t="shared" si="80"/>
        <v>0</v>
      </c>
      <c r="AH206" s="2">
        <f t="shared" si="81"/>
        <v>0</v>
      </c>
      <c r="AI206" s="2">
        <f t="shared" si="82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20">
        <v>1</v>
      </c>
      <c r="B207" s="20">
        <v>2</v>
      </c>
      <c r="C207" s="20">
        <v>7</v>
      </c>
      <c r="D207" s="19" t="s">
        <v>96</v>
      </c>
      <c r="E207" s="19" t="s">
        <v>38</v>
      </c>
      <c r="F207" s="19" t="s">
        <v>371</v>
      </c>
      <c r="G207" s="19" t="s">
        <v>376</v>
      </c>
      <c r="H207" s="19" t="s">
        <v>192</v>
      </c>
      <c r="I207" s="20" t="s">
        <v>786</v>
      </c>
      <c r="J207" s="20">
        <v>99</v>
      </c>
      <c r="K207" s="20" t="s">
        <v>296</v>
      </c>
      <c r="L207" s="20" t="s">
        <v>296</v>
      </c>
      <c r="M207" s="19" t="s">
        <v>198</v>
      </c>
      <c r="N207" s="19"/>
      <c r="O207" s="18"/>
      <c r="P207" s="20"/>
      <c r="Q207" s="19"/>
      <c r="R207" s="13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0</v>
      </c>
      <c r="AF207" s="2">
        <f t="shared" si="79"/>
        <v>0</v>
      </c>
      <c r="AG207" s="2">
        <f t="shared" si="80"/>
        <v>0</v>
      </c>
      <c r="AH207" s="2">
        <f t="shared" si="81"/>
        <v>0</v>
      </c>
      <c r="AI207" s="2">
        <f t="shared" si="82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727</v>
      </c>
      <c r="E208" s="34" t="s">
        <v>38</v>
      </c>
      <c r="F208" s="34" t="s">
        <v>728</v>
      </c>
      <c r="G208" s="34" t="s">
        <v>72</v>
      </c>
      <c r="H208" s="34" t="s">
        <v>192</v>
      </c>
      <c r="I208" s="33" t="s">
        <v>729</v>
      </c>
      <c r="J208" s="33">
        <v>4</v>
      </c>
      <c r="K208" s="33" t="s">
        <v>298</v>
      </c>
      <c r="L208" s="33" t="s">
        <v>296</v>
      </c>
      <c r="M208" s="34" t="s">
        <v>198</v>
      </c>
      <c r="N208" s="34" t="s">
        <v>865</v>
      </c>
      <c r="O208" s="35">
        <v>1</v>
      </c>
      <c r="P208" s="33"/>
      <c r="Q208" s="34"/>
      <c r="R208" s="13"/>
      <c r="S208" s="2">
        <f t="shared" si="51"/>
        <v>0</v>
      </c>
      <c r="T208" s="2">
        <f t="shared" si="52"/>
        <v>0</v>
      </c>
      <c r="U208" s="2">
        <f t="shared" si="53"/>
        <v>0</v>
      </c>
      <c r="V208" s="2">
        <f t="shared" si="54"/>
        <v>1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0</v>
      </c>
      <c r="AE208" s="2">
        <f t="shared" si="62"/>
        <v>1</v>
      </c>
      <c r="AF208" s="2">
        <f t="shared" si="79"/>
        <v>0</v>
      </c>
      <c r="AG208" s="2">
        <f t="shared" si="80"/>
        <v>1</v>
      </c>
      <c r="AH208" s="2">
        <f t="shared" si="81"/>
        <v>0</v>
      </c>
      <c r="AI208" s="2">
        <f t="shared" si="82"/>
        <v>1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1</v>
      </c>
      <c r="B209" s="33">
        <v>2</v>
      </c>
      <c r="C209" s="33">
        <v>7</v>
      </c>
      <c r="D209" s="34" t="s">
        <v>727</v>
      </c>
      <c r="E209" s="34" t="s">
        <v>38</v>
      </c>
      <c r="F209" s="34" t="s">
        <v>778</v>
      </c>
      <c r="G209" s="34" t="s">
        <v>90</v>
      </c>
      <c r="H209" s="34" t="s">
        <v>192</v>
      </c>
      <c r="I209" s="33" t="s">
        <v>787</v>
      </c>
      <c r="J209" s="33">
        <v>2</v>
      </c>
      <c r="K209" s="33" t="s">
        <v>298</v>
      </c>
      <c r="L209" s="33" t="s">
        <v>296</v>
      </c>
      <c r="M209" s="34" t="s">
        <v>198</v>
      </c>
      <c r="N209" s="34" t="s">
        <v>865</v>
      </c>
      <c r="O209" s="35">
        <v>1</v>
      </c>
      <c r="P209" s="33"/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0</v>
      </c>
      <c r="AE209" s="2">
        <f t="shared" si="62"/>
        <v>1</v>
      </c>
      <c r="AF209" s="2">
        <f t="shared" si="79"/>
        <v>0</v>
      </c>
      <c r="AG209" s="2">
        <f t="shared" si="80"/>
        <v>0</v>
      </c>
      <c r="AH209" s="2">
        <f t="shared" si="81"/>
        <v>0</v>
      </c>
      <c r="AI209" s="2">
        <f t="shared" si="82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33">
        <v>0</v>
      </c>
      <c r="B210" s="33">
        <v>2</v>
      </c>
      <c r="C210" s="33">
        <v>7</v>
      </c>
      <c r="D210" s="34" t="s">
        <v>160</v>
      </c>
      <c r="E210" s="34" t="s">
        <v>38</v>
      </c>
      <c r="F210" s="34" t="s">
        <v>721</v>
      </c>
      <c r="G210" s="34" t="s">
        <v>84</v>
      </c>
      <c r="H210" s="34" t="s">
        <v>192</v>
      </c>
      <c r="I210" s="33" t="s">
        <v>161</v>
      </c>
      <c r="J210" s="33">
        <v>1</v>
      </c>
      <c r="K210" s="33" t="s">
        <v>295</v>
      </c>
      <c r="L210" s="33" t="s">
        <v>296</v>
      </c>
      <c r="M210" s="34" t="s">
        <v>198</v>
      </c>
      <c r="N210" s="34" t="s">
        <v>856</v>
      </c>
      <c r="O210" s="35">
        <v>1</v>
      </c>
      <c r="P210" s="33">
        <v>1</v>
      </c>
      <c r="Q210" s="34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1</v>
      </c>
      <c r="AE210" s="2">
        <f t="shared" si="62"/>
        <v>0</v>
      </c>
      <c r="AF210" s="2">
        <f t="shared" si="79"/>
        <v>1</v>
      </c>
      <c r="AG210" s="2">
        <f t="shared" si="80"/>
        <v>0</v>
      </c>
      <c r="AH210" s="2">
        <f t="shared" si="81"/>
        <v>1</v>
      </c>
      <c r="AI210" s="2">
        <f t="shared" si="82"/>
        <v>0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33">
        <v>0</v>
      </c>
      <c r="B211" s="33">
        <v>2</v>
      </c>
      <c r="C211" s="33">
        <v>7</v>
      </c>
      <c r="D211" s="34" t="s">
        <v>343</v>
      </c>
      <c r="E211" s="34" t="s">
        <v>386</v>
      </c>
      <c r="F211" s="34" t="s">
        <v>372</v>
      </c>
      <c r="G211" s="34" t="s">
        <v>90</v>
      </c>
      <c r="H211" s="34" t="s">
        <v>192</v>
      </c>
      <c r="I211" s="33" t="s">
        <v>384</v>
      </c>
      <c r="J211" s="33">
        <v>2</v>
      </c>
      <c r="K211" s="33" t="s">
        <v>295</v>
      </c>
      <c r="L211" s="33" t="s">
        <v>105</v>
      </c>
      <c r="M211" s="34" t="s">
        <v>105</v>
      </c>
      <c r="N211" s="34" t="s">
        <v>856</v>
      </c>
      <c r="O211" s="35">
        <v>1</v>
      </c>
      <c r="P211" s="33">
        <v>1</v>
      </c>
      <c r="Q211" s="34"/>
      <c r="R211" s="13"/>
      <c r="S211" s="2">
        <f t="shared" si="51"/>
        <v>0</v>
      </c>
      <c r="T211" s="2">
        <f t="shared" si="52"/>
        <v>1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1</v>
      </c>
      <c r="AE211" s="2">
        <f t="shared" si="62"/>
        <v>0</v>
      </c>
      <c r="AF211" s="2">
        <f t="shared" si="79"/>
        <v>1</v>
      </c>
      <c r="AG211" s="2">
        <f t="shared" si="80"/>
        <v>0</v>
      </c>
      <c r="AH211" s="2">
        <f t="shared" si="81"/>
        <v>1</v>
      </c>
      <c r="AI211" s="2">
        <f t="shared" si="82"/>
        <v>0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20">
        <v>0</v>
      </c>
      <c r="B212" s="20">
        <v>2</v>
      </c>
      <c r="C212" s="20">
        <v>7</v>
      </c>
      <c r="D212" s="19" t="s">
        <v>435</v>
      </c>
      <c r="E212" s="19" t="s">
        <v>38</v>
      </c>
      <c r="F212" s="19" t="s">
        <v>436</v>
      </c>
      <c r="G212" s="19" t="s">
        <v>558</v>
      </c>
      <c r="H212" s="19" t="s">
        <v>192</v>
      </c>
      <c r="I212" s="20" t="s">
        <v>565</v>
      </c>
      <c r="J212" s="20">
        <v>1</v>
      </c>
      <c r="K212" s="20" t="s">
        <v>388</v>
      </c>
      <c r="L212" s="20" t="s">
        <v>296</v>
      </c>
      <c r="M212" s="19" t="s">
        <v>198</v>
      </c>
      <c r="N212" s="19"/>
      <c r="O212" s="18"/>
      <c r="P212" s="20"/>
      <c r="Q212" s="19"/>
      <c r="R212" s="13"/>
      <c r="S212" s="2">
        <f t="shared" si="51"/>
        <v>1</v>
      </c>
      <c r="T212" s="2">
        <f t="shared" si="52"/>
        <v>0</v>
      </c>
      <c r="U212" s="2">
        <f t="shared" si="53"/>
        <v>0</v>
      </c>
      <c r="V212" s="2">
        <f t="shared" si="54"/>
        <v>0</v>
      </c>
      <c r="W212" s="2">
        <f t="shared" si="55"/>
        <v>0</v>
      </c>
      <c r="X212" s="2">
        <f t="shared" si="56"/>
        <v>0</v>
      </c>
      <c r="Y212" s="2">
        <f t="shared" si="57"/>
        <v>0</v>
      </c>
      <c r="Z212" s="2">
        <f t="shared" si="58"/>
        <v>0</v>
      </c>
      <c r="AA212" s="2">
        <f t="shared" si="59"/>
        <v>0</v>
      </c>
      <c r="AB212" s="2">
        <f t="shared" si="60"/>
        <v>0</v>
      </c>
      <c r="AC212" s="2"/>
      <c r="AD212" s="2">
        <f t="shared" si="61"/>
        <v>0</v>
      </c>
      <c r="AE212" s="2">
        <f t="shared" si="62"/>
        <v>0</v>
      </c>
      <c r="AF212" s="2">
        <f t="shared" si="79"/>
        <v>0</v>
      </c>
      <c r="AG212" s="2">
        <f t="shared" si="80"/>
        <v>0</v>
      </c>
      <c r="AH212" s="2">
        <f t="shared" si="81"/>
        <v>0</v>
      </c>
      <c r="AI212" s="2">
        <f t="shared" si="82"/>
        <v>1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20">
        <v>0</v>
      </c>
      <c r="B213" s="20">
        <v>2</v>
      </c>
      <c r="C213" s="20">
        <v>7</v>
      </c>
      <c r="D213" s="19" t="s">
        <v>344</v>
      </c>
      <c r="E213" s="19" t="s">
        <v>38</v>
      </c>
      <c r="F213" s="19" t="s">
        <v>143</v>
      </c>
      <c r="G213" s="19" t="s">
        <v>182</v>
      </c>
      <c r="H213" s="19" t="s">
        <v>192</v>
      </c>
      <c r="I213" s="20" t="s">
        <v>144</v>
      </c>
      <c r="J213" s="20">
        <v>99</v>
      </c>
      <c r="K213" s="20" t="s">
        <v>296</v>
      </c>
      <c r="L213" s="20" t="s">
        <v>296</v>
      </c>
      <c r="M213" s="19" t="s">
        <v>198</v>
      </c>
      <c r="N213" s="19"/>
      <c r="O213" s="18"/>
      <c r="P213" s="20"/>
      <c r="Q213" s="19"/>
      <c r="R213" s="13"/>
      <c r="S213" s="2">
        <f t="shared" ref="S213:S219" si="83">IF(J213=$S$7,1,0)</f>
        <v>0</v>
      </c>
      <c r="T213" s="2">
        <f t="shared" ref="T213:T219" si="84">IF(J213=$T$7,1,0)</f>
        <v>0</v>
      </c>
      <c r="U213" s="2">
        <f t="shared" ref="U213:U219" si="85">IF(J213=$U$7,1,0)</f>
        <v>0</v>
      </c>
      <c r="V213" s="2">
        <f t="shared" ref="V213:V219" si="86">IF(J213=$V$7,1,0)</f>
        <v>0</v>
      </c>
      <c r="W213" s="2">
        <f t="shared" ref="W213:W219" si="87">IF(J213=$W$7,1,0)</f>
        <v>0</v>
      </c>
      <c r="X213" s="2">
        <f t="shared" ref="X213:X219" si="88">IF(J213=$X$7,1,0)</f>
        <v>0</v>
      </c>
      <c r="Y213" s="2">
        <f t="shared" ref="Y213:Y219" si="89">IF(J213=$Y$7,1,0)</f>
        <v>0</v>
      </c>
      <c r="Z213" s="2">
        <f t="shared" ref="Z213:Z219" si="90">IF(J213=$Z$7,1,0)</f>
        <v>0</v>
      </c>
      <c r="AA213" s="2">
        <f t="shared" ref="AA213:AA219" si="91">IF(J213=$AA$7,1,0)</f>
        <v>0</v>
      </c>
      <c r="AB213" s="2">
        <f t="shared" ref="AB213:AB219" si="92">IF(J213=$AB$7,1,0)</f>
        <v>0</v>
      </c>
      <c r="AC213" s="2"/>
      <c r="AD213" s="2">
        <f t="shared" ref="AD213:AD218" si="93">+O213*P213</f>
        <v>0</v>
      </c>
      <c r="AE213" s="2">
        <f t="shared" ref="AE213:AE218" si="94">O213*(1-P213)</f>
        <v>0</v>
      </c>
      <c r="AF213" s="2">
        <f t="shared" si="79"/>
        <v>0</v>
      </c>
      <c r="AG213" s="2">
        <f t="shared" si="80"/>
        <v>0</v>
      </c>
      <c r="AH213" s="2">
        <f t="shared" si="81"/>
        <v>0</v>
      </c>
      <c r="AI213" s="2">
        <f t="shared" si="82"/>
        <v>1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345</v>
      </c>
      <c r="E214" s="34" t="s">
        <v>55</v>
      </c>
      <c r="F214" s="34" t="s">
        <v>373</v>
      </c>
      <c r="G214" s="34" t="s">
        <v>90</v>
      </c>
      <c r="H214" s="34" t="s">
        <v>192</v>
      </c>
      <c r="I214" s="33" t="s">
        <v>56</v>
      </c>
      <c r="J214" s="33">
        <v>2</v>
      </c>
      <c r="K214" s="33" t="s">
        <v>298</v>
      </c>
      <c r="L214" s="33" t="s">
        <v>105</v>
      </c>
      <c r="M214" s="34" t="s">
        <v>105</v>
      </c>
      <c r="N214" s="34" t="s">
        <v>856</v>
      </c>
      <c r="O214" s="35">
        <v>1</v>
      </c>
      <c r="P214" s="33">
        <v>1</v>
      </c>
      <c r="Q214" s="34"/>
      <c r="R214" s="13"/>
      <c r="S214" s="2">
        <f t="shared" si="83"/>
        <v>0</v>
      </c>
      <c r="T214" s="2">
        <f t="shared" si="84"/>
        <v>1</v>
      </c>
      <c r="U214" s="2">
        <f t="shared" si="85"/>
        <v>0</v>
      </c>
      <c r="V214" s="2">
        <f t="shared" si="86"/>
        <v>0</v>
      </c>
      <c r="W214" s="2">
        <f t="shared" si="87"/>
        <v>0</v>
      </c>
      <c r="X214" s="2">
        <f t="shared" si="88"/>
        <v>0</v>
      </c>
      <c r="Y214" s="2">
        <f t="shared" si="89"/>
        <v>0</v>
      </c>
      <c r="Z214" s="2">
        <f t="shared" si="90"/>
        <v>0</v>
      </c>
      <c r="AA214" s="2">
        <f t="shared" si="91"/>
        <v>0</v>
      </c>
      <c r="AB214" s="2">
        <f t="shared" si="92"/>
        <v>0</v>
      </c>
      <c r="AC214" s="2"/>
      <c r="AD214" s="2">
        <f t="shared" si="93"/>
        <v>1</v>
      </c>
      <c r="AE214" s="2">
        <f t="shared" si="94"/>
        <v>0</v>
      </c>
      <c r="AF214" s="2">
        <f t="shared" si="79"/>
        <v>1</v>
      </c>
      <c r="AG214" s="2">
        <f t="shared" si="80"/>
        <v>0</v>
      </c>
      <c r="AH214" s="2">
        <f t="shared" si="81"/>
        <v>1</v>
      </c>
      <c r="AI214" s="2">
        <f t="shared" si="82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s="14" customFormat="1" ht="14.25" customHeight="1" x14ac:dyDescent="0.25">
      <c r="A215" s="33">
        <v>1</v>
      </c>
      <c r="B215" s="33">
        <v>2</v>
      </c>
      <c r="C215" s="33">
        <v>7</v>
      </c>
      <c r="D215" s="34" t="s">
        <v>345</v>
      </c>
      <c r="E215" s="34" t="s">
        <v>55</v>
      </c>
      <c r="F215" s="34" t="s">
        <v>559</v>
      </c>
      <c r="G215" s="34" t="s">
        <v>560</v>
      </c>
      <c r="H215" s="34" t="s">
        <v>192</v>
      </c>
      <c r="I215" s="33" t="s">
        <v>566</v>
      </c>
      <c r="J215" s="33">
        <v>1</v>
      </c>
      <c r="K215" s="33" t="s">
        <v>298</v>
      </c>
      <c r="L215" s="33" t="s">
        <v>105</v>
      </c>
      <c r="M215" s="34" t="s">
        <v>105</v>
      </c>
      <c r="N215" s="34" t="s">
        <v>856</v>
      </c>
      <c r="O215" s="35">
        <v>1</v>
      </c>
      <c r="P215" s="33">
        <v>1</v>
      </c>
      <c r="Q215" s="34"/>
      <c r="R215" s="13"/>
      <c r="S215" s="2">
        <f t="shared" si="83"/>
        <v>1</v>
      </c>
      <c r="T215" s="2">
        <f t="shared" si="84"/>
        <v>0</v>
      </c>
      <c r="U215" s="2">
        <f t="shared" si="85"/>
        <v>0</v>
      </c>
      <c r="V215" s="2">
        <f t="shared" si="86"/>
        <v>0</v>
      </c>
      <c r="W215" s="2">
        <f t="shared" si="87"/>
        <v>0</v>
      </c>
      <c r="X215" s="2">
        <f t="shared" si="88"/>
        <v>0</v>
      </c>
      <c r="Y215" s="2">
        <f t="shared" si="89"/>
        <v>0</v>
      </c>
      <c r="Z215" s="2">
        <f t="shared" si="90"/>
        <v>0</v>
      </c>
      <c r="AA215" s="2">
        <f t="shared" si="91"/>
        <v>0</v>
      </c>
      <c r="AB215" s="2">
        <f t="shared" si="92"/>
        <v>0</v>
      </c>
      <c r="AC215" s="2"/>
      <c r="AD215" s="2">
        <f t="shared" si="93"/>
        <v>1</v>
      </c>
      <c r="AE215" s="2">
        <f t="shared" si="94"/>
        <v>0</v>
      </c>
      <c r="AF215" s="2">
        <f t="shared" si="79"/>
        <v>0</v>
      </c>
      <c r="AG215" s="2">
        <f t="shared" si="80"/>
        <v>0</v>
      </c>
      <c r="AH215" s="2">
        <f t="shared" si="81"/>
        <v>0</v>
      </c>
      <c r="AI215" s="2">
        <f t="shared" si="82"/>
        <v>0</v>
      </c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spans="1:46" ht="14.25" customHeight="1" x14ac:dyDescent="0.25">
      <c r="A216" s="33">
        <v>0</v>
      </c>
      <c r="B216" s="33">
        <v>2</v>
      </c>
      <c r="C216" s="33">
        <v>7</v>
      </c>
      <c r="D216" s="34" t="s">
        <v>320</v>
      </c>
      <c r="E216" s="34" t="s">
        <v>55</v>
      </c>
      <c r="F216" s="34" t="s">
        <v>479</v>
      </c>
      <c r="G216" s="34" t="s">
        <v>503</v>
      </c>
      <c r="H216" s="34" t="s">
        <v>192</v>
      </c>
      <c r="I216" s="33" t="s">
        <v>480</v>
      </c>
      <c r="J216" s="33">
        <v>1</v>
      </c>
      <c r="K216" s="33" t="s">
        <v>298</v>
      </c>
      <c r="L216" s="33" t="s">
        <v>105</v>
      </c>
      <c r="M216" s="34" t="s">
        <v>105</v>
      </c>
      <c r="N216" s="34" t="s">
        <v>856</v>
      </c>
      <c r="O216" s="35">
        <v>1</v>
      </c>
      <c r="P216" s="33">
        <v>1</v>
      </c>
      <c r="Q216" s="34"/>
      <c r="S216" s="2">
        <f t="shared" si="83"/>
        <v>1</v>
      </c>
      <c r="T216" s="2">
        <f t="shared" si="84"/>
        <v>0</v>
      </c>
      <c r="U216" s="2">
        <f t="shared" si="85"/>
        <v>0</v>
      </c>
      <c r="V216" s="2">
        <f t="shared" si="86"/>
        <v>0</v>
      </c>
      <c r="W216" s="2">
        <f t="shared" si="87"/>
        <v>0</v>
      </c>
      <c r="X216" s="2">
        <f t="shared" si="88"/>
        <v>0</v>
      </c>
      <c r="Y216" s="2">
        <f t="shared" si="89"/>
        <v>0</v>
      </c>
      <c r="Z216" s="2">
        <f t="shared" si="90"/>
        <v>0</v>
      </c>
      <c r="AA216" s="2">
        <f t="shared" si="91"/>
        <v>0</v>
      </c>
      <c r="AB216" s="2">
        <f t="shared" si="92"/>
        <v>0</v>
      </c>
      <c r="AD216" s="2">
        <f t="shared" si="93"/>
        <v>1</v>
      </c>
      <c r="AE216" s="2">
        <f t="shared" si="94"/>
        <v>0</v>
      </c>
      <c r="AF216" s="2">
        <f t="shared" si="79"/>
        <v>1</v>
      </c>
      <c r="AG216" s="2">
        <f t="shared" si="80"/>
        <v>0</v>
      </c>
      <c r="AH216" s="2">
        <f t="shared" si="81"/>
        <v>1</v>
      </c>
      <c r="AI216" s="2">
        <f t="shared" si="82"/>
        <v>0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ht="14.25" customHeight="1" x14ac:dyDescent="0.25">
      <c r="A217" s="33">
        <v>1</v>
      </c>
      <c r="B217" s="33">
        <v>2</v>
      </c>
      <c r="C217" s="33">
        <v>7</v>
      </c>
      <c r="D217" s="34" t="s">
        <v>320</v>
      </c>
      <c r="E217" s="34" t="s">
        <v>55</v>
      </c>
      <c r="F217" s="34" t="s">
        <v>901</v>
      </c>
      <c r="G217" s="34" t="s">
        <v>147</v>
      </c>
      <c r="H217" s="34" t="s">
        <v>192</v>
      </c>
      <c r="I217" s="33" t="s">
        <v>788</v>
      </c>
      <c r="J217" s="33">
        <v>99</v>
      </c>
      <c r="K217" s="33" t="s">
        <v>298</v>
      </c>
      <c r="L217" s="33" t="s">
        <v>105</v>
      </c>
      <c r="M217" s="34" t="s">
        <v>105</v>
      </c>
      <c r="N217" s="34" t="s">
        <v>856</v>
      </c>
      <c r="O217" s="35">
        <v>1</v>
      </c>
      <c r="P217" s="33">
        <v>1</v>
      </c>
      <c r="Q217" s="34"/>
      <c r="S217" s="2">
        <f t="shared" si="83"/>
        <v>0</v>
      </c>
      <c r="T217" s="2">
        <f t="shared" si="84"/>
        <v>0</v>
      </c>
      <c r="U217" s="2">
        <f t="shared" si="85"/>
        <v>0</v>
      </c>
      <c r="V217" s="2">
        <f t="shared" si="86"/>
        <v>0</v>
      </c>
      <c r="W217" s="2">
        <f t="shared" si="87"/>
        <v>0</v>
      </c>
      <c r="X217" s="2">
        <f t="shared" si="88"/>
        <v>0</v>
      </c>
      <c r="Y217" s="2">
        <f t="shared" si="89"/>
        <v>0</v>
      </c>
      <c r="Z217" s="2">
        <f t="shared" si="90"/>
        <v>0</v>
      </c>
      <c r="AA217" s="2">
        <f t="shared" si="91"/>
        <v>0</v>
      </c>
      <c r="AB217" s="2">
        <f t="shared" si="92"/>
        <v>0</v>
      </c>
      <c r="AD217" s="2">
        <f t="shared" si="93"/>
        <v>1</v>
      </c>
      <c r="AE217" s="2">
        <f t="shared" si="94"/>
        <v>0</v>
      </c>
      <c r="AF217" s="2">
        <f t="shared" si="79"/>
        <v>0</v>
      </c>
      <c r="AG217" s="2">
        <f t="shared" si="80"/>
        <v>0</v>
      </c>
      <c r="AH217" s="2">
        <f t="shared" si="81"/>
        <v>0</v>
      </c>
      <c r="AI217" s="2">
        <f t="shared" si="82"/>
        <v>0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:46" s="14" customFormat="1" ht="14.25" customHeight="1" x14ac:dyDescent="0.25">
      <c r="A218" s="36">
        <v>0</v>
      </c>
      <c r="B218" s="36">
        <v>2</v>
      </c>
      <c r="C218" s="36">
        <v>7</v>
      </c>
      <c r="D218" s="37" t="s">
        <v>219</v>
      </c>
      <c r="E218" s="37" t="s">
        <v>235</v>
      </c>
      <c r="F218" s="37" t="s">
        <v>223</v>
      </c>
      <c r="G218" s="37" t="s">
        <v>84</v>
      </c>
      <c r="H218" s="37" t="s">
        <v>192</v>
      </c>
      <c r="I218" s="36" t="s">
        <v>220</v>
      </c>
      <c r="J218" s="36">
        <v>1</v>
      </c>
      <c r="K218" s="36" t="s">
        <v>296</v>
      </c>
      <c r="L218" s="36" t="s">
        <v>312</v>
      </c>
      <c r="M218" s="37" t="s">
        <v>314</v>
      </c>
      <c r="N218" s="37" t="s">
        <v>891</v>
      </c>
      <c r="O218" s="38"/>
      <c r="P218" s="36"/>
      <c r="Q218" s="37"/>
      <c r="R218" s="13"/>
      <c r="S218" s="2">
        <f t="shared" si="83"/>
        <v>1</v>
      </c>
      <c r="T218" s="2">
        <f t="shared" si="84"/>
        <v>0</v>
      </c>
      <c r="U218" s="2">
        <f t="shared" si="85"/>
        <v>0</v>
      </c>
      <c r="V218" s="2">
        <f t="shared" si="86"/>
        <v>0</v>
      </c>
      <c r="W218" s="2">
        <f t="shared" si="87"/>
        <v>0</v>
      </c>
      <c r="X218" s="2">
        <f t="shared" si="88"/>
        <v>0</v>
      </c>
      <c r="Y218" s="2">
        <f t="shared" si="89"/>
        <v>0</v>
      </c>
      <c r="Z218" s="2">
        <f t="shared" si="90"/>
        <v>0</v>
      </c>
      <c r="AA218" s="2">
        <f t="shared" si="91"/>
        <v>0</v>
      </c>
      <c r="AB218" s="2">
        <f t="shared" si="92"/>
        <v>0</v>
      </c>
      <c r="AC218" s="2"/>
      <c r="AD218" s="2">
        <f t="shared" si="93"/>
        <v>0</v>
      </c>
      <c r="AE218" s="2">
        <f t="shared" si="94"/>
        <v>0</v>
      </c>
      <c r="AF218" s="2">
        <f t="shared" si="79"/>
        <v>0</v>
      </c>
      <c r="AG218" s="2">
        <f t="shared" si="80"/>
        <v>0</v>
      </c>
      <c r="AH218" s="2">
        <f t="shared" si="81"/>
        <v>0</v>
      </c>
      <c r="AI218" s="2">
        <f t="shared" si="82"/>
        <v>1</v>
      </c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33">
        <v>0</v>
      </c>
      <c r="B219" s="33">
        <v>2</v>
      </c>
      <c r="C219" s="33">
        <v>7</v>
      </c>
      <c r="D219" s="34" t="s">
        <v>97</v>
      </c>
      <c r="E219" s="34" t="s">
        <v>38</v>
      </c>
      <c r="F219" s="34" t="s">
        <v>181</v>
      </c>
      <c r="G219" s="34" t="s">
        <v>84</v>
      </c>
      <c r="H219" s="34" t="s">
        <v>192</v>
      </c>
      <c r="I219" s="33" t="s">
        <v>62</v>
      </c>
      <c r="J219" s="33">
        <v>1</v>
      </c>
      <c r="K219" s="33" t="s">
        <v>296</v>
      </c>
      <c r="L219" s="33" t="s">
        <v>296</v>
      </c>
      <c r="M219" s="34" t="s">
        <v>198</v>
      </c>
      <c r="N219" s="34" t="s">
        <v>856</v>
      </c>
      <c r="O219" s="35">
        <v>1</v>
      </c>
      <c r="P219" s="33">
        <v>1</v>
      </c>
      <c r="Q219" s="34"/>
      <c r="R219" s="13"/>
      <c r="S219" s="2">
        <f t="shared" si="83"/>
        <v>1</v>
      </c>
      <c r="T219" s="2">
        <f t="shared" si="84"/>
        <v>0</v>
      </c>
      <c r="U219" s="2">
        <f t="shared" si="85"/>
        <v>0</v>
      </c>
      <c r="V219" s="2">
        <f t="shared" si="86"/>
        <v>0</v>
      </c>
      <c r="W219" s="2">
        <f t="shared" si="87"/>
        <v>0</v>
      </c>
      <c r="X219" s="2">
        <f t="shared" si="88"/>
        <v>0</v>
      </c>
      <c r="Y219" s="2">
        <f t="shared" si="89"/>
        <v>0</v>
      </c>
      <c r="Z219" s="2">
        <f t="shared" si="90"/>
        <v>0</v>
      </c>
      <c r="AA219" s="2">
        <f t="shared" si="91"/>
        <v>0</v>
      </c>
      <c r="AB219" s="2">
        <f t="shared" si="92"/>
        <v>0</v>
      </c>
      <c r="AC219" s="2"/>
      <c r="AD219" s="2">
        <f t="shared" ref="AD219" si="95">+O219*P219</f>
        <v>1</v>
      </c>
      <c r="AE219" s="2">
        <f t="shared" ref="AE219" si="96">O219*(1-P219)</f>
        <v>0</v>
      </c>
      <c r="AF219" s="2">
        <f t="shared" ref="AF219" si="97">+O219*P219*(1-A219)</f>
        <v>1</v>
      </c>
      <c r="AG219" s="2">
        <f t="shared" ref="AG219" si="98">O219*(1-P219)*(1-A219)</f>
        <v>0</v>
      </c>
      <c r="AH219" s="2">
        <f t="shared" ref="AH219" si="99">+P219*(1-A219)</f>
        <v>1</v>
      </c>
      <c r="AI219" s="2">
        <f t="shared" ref="AI219" si="100">+(1-A219)*(1-P219)</f>
        <v>0</v>
      </c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  <row r="318" spans="1:46" s="14" customFormat="1" ht="14.25" customHeight="1" x14ac:dyDescent="0.25">
      <c r="A318" s="20"/>
      <c r="B318" s="20"/>
      <c r="C318" s="20"/>
      <c r="D318" s="19"/>
      <c r="E318" s="19"/>
      <c r="F318" s="19"/>
      <c r="G318" s="19"/>
      <c r="H318" s="19"/>
      <c r="I318" s="20"/>
      <c r="J318" s="20"/>
      <c r="K318" s="20"/>
      <c r="L318" s="20"/>
      <c r="M318" s="19"/>
      <c r="N318" s="19"/>
      <c r="O318" s="18"/>
      <c r="P318" s="20"/>
      <c r="Q318" s="19"/>
      <c r="R318" s="13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</row>
  </sheetData>
  <autoFilter ref="A7:AI219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8:Q219">
    <sortCondition ref="B8:B219"/>
    <sortCondition ref="C8:C219"/>
    <sortCondition ref="D8:D219"/>
    <sortCondition ref="A8:A219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2026-07-03T08:06:45Z</dcterms:modified>
</cp:coreProperties>
</file>