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D82E10E-F737-45C2-8C5B-9F5B0AB98F0C}" xr6:coauthVersionLast="47" xr6:coauthVersionMax="47" xr10:uidLastSave="{00000000-0000-0000-0000-000000000000}"/>
  <bookViews>
    <workbookView xWindow="-108" yWindow="-108" windowWidth="23256" windowHeight="12576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7" i="6" l="1"/>
  <c r="AE217" i="6"/>
  <c r="AF217" i="6"/>
  <c r="AG217" i="6"/>
  <c r="AH217" i="6"/>
  <c r="AI217" i="6"/>
  <c r="S217" i="6"/>
  <c r="AI195" i="6"/>
  <c r="AH195" i="6"/>
  <c r="AG195" i="6"/>
  <c r="AF195" i="6"/>
  <c r="AE195" i="6"/>
  <c r="AD195" i="6"/>
  <c r="S195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5" i="6" s="1"/>
  <c r="T195" i="6" l="1"/>
  <c r="T119" i="6"/>
  <c r="T217" i="6"/>
  <c r="T187" i="6"/>
  <c r="T176" i="6"/>
  <c r="T181" i="6"/>
  <c r="T105" i="6"/>
  <c r="T49" i="6"/>
  <c r="T131" i="6"/>
  <c r="T165" i="6"/>
  <c r="T161" i="6"/>
  <c r="T109" i="6"/>
  <c r="T63" i="6"/>
  <c r="T125" i="6"/>
  <c r="T210" i="6"/>
  <c r="T11" i="6"/>
  <c r="T174" i="6"/>
  <c r="T96" i="6"/>
  <c r="T144" i="6"/>
  <c r="T171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T130" i="6"/>
  <c r="T207" i="6"/>
  <c r="T167" i="6"/>
  <c r="T118" i="6"/>
  <c r="T191" i="6"/>
  <c r="T166" i="6"/>
  <c r="T199" i="6"/>
  <c r="T22" i="6"/>
  <c r="T173" i="6"/>
  <c r="T189" i="6"/>
  <c r="T152" i="6"/>
  <c r="T168" i="6"/>
  <c r="T124" i="6"/>
  <c r="T47" i="6"/>
  <c r="T48" i="6"/>
  <c r="T197" i="6"/>
  <c r="T158" i="6"/>
  <c r="T34" i="6"/>
  <c r="T73" i="6"/>
  <c r="T76" i="6"/>
  <c r="T87" i="6"/>
  <c r="T95" i="6"/>
  <c r="T128" i="6"/>
  <c r="T71" i="6"/>
  <c r="T69" i="6"/>
  <c r="T116" i="6"/>
  <c r="T185" i="6"/>
  <c r="T162" i="6"/>
  <c r="T50" i="6"/>
  <c r="T43" i="6"/>
  <c r="T132" i="6"/>
  <c r="T138" i="6"/>
  <c r="T17" i="6"/>
  <c r="T103" i="6"/>
  <c r="T68" i="6"/>
  <c r="T193" i="6"/>
  <c r="T114" i="6"/>
  <c r="T184" i="6"/>
  <c r="T183" i="6"/>
  <c r="T100" i="6"/>
  <c r="T129" i="6"/>
  <c r="T99" i="6"/>
  <c r="T12" i="6"/>
  <c r="T117" i="6"/>
  <c r="T121" i="6"/>
  <c r="T209" i="6"/>
  <c r="T18" i="6"/>
  <c r="T32" i="6"/>
  <c r="T110" i="6"/>
  <c r="T194" i="6"/>
  <c r="T31" i="6"/>
  <c r="T204" i="6"/>
  <c r="T37" i="6"/>
  <c r="T147" i="6"/>
  <c r="T51" i="6"/>
  <c r="T57" i="6"/>
  <c r="T107" i="6"/>
  <c r="T182" i="6"/>
  <c r="T164" i="6"/>
  <c r="T141" i="6"/>
  <c r="T211" i="6"/>
  <c r="T140" i="6"/>
  <c r="T213" i="6"/>
  <c r="T146" i="6"/>
  <c r="T170" i="6"/>
  <c r="T35" i="6"/>
  <c r="T14" i="6"/>
  <c r="T16" i="6"/>
  <c r="T200" i="6"/>
  <c r="T106" i="6"/>
  <c r="T84" i="6"/>
  <c r="T64" i="6"/>
  <c r="T10" i="6"/>
  <c r="T33" i="6"/>
  <c r="T41" i="6"/>
  <c r="T112" i="6"/>
  <c r="T153" i="6"/>
  <c r="T203" i="6"/>
  <c r="T97" i="6"/>
  <c r="T172" i="6"/>
  <c r="T53" i="6"/>
  <c r="T40" i="6"/>
  <c r="T8" i="6"/>
  <c r="T159" i="6"/>
  <c r="T122" i="6"/>
  <c r="T15" i="6"/>
  <c r="T75" i="6"/>
  <c r="T142" i="6"/>
  <c r="T36" i="6"/>
  <c r="T145" i="6"/>
  <c r="T179" i="6"/>
  <c r="T169" i="6"/>
  <c r="T135" i="6"/>
  <c r="T198" i="6"/>
  <c r="T21" i="6"/>
  <c r="T202" i="6"/>
  <c r="T74" i="6"/>
  <c r="T77" i="6"/>
  <c r="T44" i="6"/>
  <c r="T149" i="6"/>
  <c r="T102" i="6"/>
  <c r="T123" i="6"/>
  <c r="T156" i="6"/>
  <c r="T52" i="6"/>
  <c r="T151" i="6"/>
  <c r="T120" i="6"/>
  <c r="T82" i="6"/>
  <c r="T98" i="6"/>
  <c r="T9" i="6"/>
  <c r="T80" i="6"/>
  <c r="T115" i="6"/>
  <c r="T137" i="6"/>
  <c r="T39" i="6"/>
  <c r="T163" i="6"/>
  <c r="T201" i="6"/>
  <c r="T108" i="6"/>
  <c r="T208" i="6"/>
  <c r="T29" i="6"/>
  <c r="T58" i="6"/>
  <c r="T190" i="6"/>
  <c r="T93" i="6"/>
  <c r="T127" i="6"/>
  <c r="T104" i="6"/>
  <c r="T46" i="6"/>
  <c r="T212" i="6"/>
  <c r="T177" i="6"/>
  <c r="T59" i="6"/>
  <c r="T205" i="6"/>
  <c r="T155" i="6"/>
  <c r="T90" i="6"/>
  <c r="T101" i="6"/>
  <c r="T91" i="6"/>
  <c r="T92" i="6"/>
  <c r="T188" i="6"/>
  <c r="T78" i="6"/>
  <c r="T27" i="6"/>
  <c r="T89" i="6"/>
  <c r="T79" i="6"/>
  <c r="T85" i="6"/>
  <c r="T180" i="6"/>
  <c r="T25" i="6"/>
  <c r="T26" i="6"/>
  <c r="T192" i="6"/>
  <c r="T70" i="6"/>
  <c r="T150" i="6"/>
  <c r="T81" i="6"/>
  <c r="T157" i="6"/>
  <c r="T54" i="6"/>
  <c r="T42" i="6"/>
  <c r="T23" i="6"/>
  <c r="T139" i="6"/>
  <c r="T175" i="6"/>
  <c r="T30" i="6"/>
  <c r="T136" i="6"/>
  <c r="T178" i="6"/>
  <c r="T206" i="6"/>
  <c r="T148" i="6"/>
  <c r="T19" i="6"/>
  <c r="T24" i="6"/>
  <c r="T72" i="6"/>
  <c r="T196" i="6"/>
  <c r="T154" i="6"/>
  <c r="T62" i="6"/>
  <c r="T143" i="6"/>
  <c r="T56" i="6"/>
  <c r="T186" i="6"/>
  <c r="T133" i="6"/>
  <c r="T45" i="6"/>
  <c r="T66" i="6"/>
  <c r="T160" i="6"/>
  <c r="T126" i="6"/>
  <c r="T214" i="6"/>
  <c r="T94" i="6"/>
  <c r="T28" i="6"/>
  <c r="T61" i="6"/>
  <c r="T216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7" i="6"/>
  <c r="U195" i="6"/>
  <c r="U82" i="6"/>
  <c r="U203" i="6"/>
  <c r="U128" i="6"/>
  <c r="U200" i="6"/>
  <c r="U71" i="6"/>
  <c r="U154" i="6"/>
  <c r="U66" i="6"/>
  <c r="U113" i="6"/>
  <c r="U85" i="6"/>
  <c r="U77" i="6"/>
  <c r="U130" i="6"/>
  <c r="U76" i="6"/>
  <c r="U79" i="6"/>
  <c r="U57" i="6"/>
  <c r="U120" i="6"/>
  <c r="U102" i="6"/>
  <c r="U169" i="6"/>
  <c r="U87" i="6"/>
  <c r="U23" i="6"/>
  <c r="U204" i="6"/>
  <c r="U49" i="6"/>
  <c r="U194" i="6"/>
  <c r="U45" i="6"/>
  <c r="U188" i="6"/>
  <c r="U212" i="6"/>
  <c r="U52" i="6"/>
  <c r="U94" i="6"/>
  <c r="U92" i="6"/>
  <c r="U179" i="6"/>
  <c r="U181" i="6"/>
  <c r="U132" i="6"/>
  <c r="U122" i="6"/>
  <c r="U107" i="6"/>
  <c r="U206" i="6"/>
  <c r="U26" i="6"/>
  <c r="U145" i="6"/>
  <c r="U184" i="6"/>
  <c r="U201" i="6"/>
  <c r="U86" i="6"/>
  <c r="U180" i="6"/>
  <c r="U89" i="6"/>
  <c r="V7" i="6"/>
  <c r="U216" i="6"/>
  <c r="U186" i="6"/>
  <c r="U162" i="6"/>
  <c r="U183" i="6"/>
  <c r="U27" i="6"/>
  <c r="U65" i="6"/>
  <c r="U36" i="6"/>
  <c r="U123" i="6"/>
  <c r="U142" i="6"/>
  <c r="U155" i="6"/>
  <c r="U164" i="6"/>
  <c r="U39" i="6"/>
  <c r="U138" i="6"/>
  <c r="U202" i="6"/>
  <c r="U14" i="6"/>
  <c r="U111" i="6"/>
  <c r="U29" i="6"/>
  <c r="U96" i="6"/>
  <c r="U62" i="6"/>
  <c r="U177" i="6"/>
  <c r="U19" i="6"/>
  <c r="U41" i="6"/>
  <c r="U121" i="6"/>
  <c r="U158" i="6"/>
  <c r="U84" i="6"/>
  <c r="U112" i="6"/>
  <c r="U117" i="6"/>
  <c r="U182" i="6"/>
  <c r="U197" i="6"/>
  <c r="U160" i="6"/>
  <c r="U48" i="6"/>
  <c r="U15" i="6"/>
  <c r="U104" i="6"/>
  <c r="U13" i="6"/>
  <c r="U125" i="6"/>
  <c r="U98" i="6"/>
  <c r="U178" i="6"/>
  <c r="U30" i="6"/>
  <c r="U175" i="6"/>
  <c r="U80" i="6"/>
  <c r="U151" i="6"/>
  <c r="U140" i="6"/>
  <c r="U189" i="6"/>
  <c r="U214" i="6"/>
  <c r="U47" i="6"/>
  <c r="U119" i="6"/>
  <c r="U108" i="6"/>
  <c r="U93" i="6"/>
  <c r="U33" i="6"/>
  <c r="U106" i="6"/>
  <c r="U35" i="6"/>
  <c r="U149" i="6"/>
  <c r="U68" i="6"/>
  <c r="U73" i="6"/>
  <c r="U143" i="6"/>
  <c r="U18" i="6"/>
  <c r="U133" i="6"/>
  <c r="U205" i="6"/>
  <c r="U105" i="6"/>
  <c r="U61" i="6"/>
  <c r="U211" i="6"/>
  <c r="U198" i="6"/>
  <c r="U16" i="6"/>
  <c r="U137" i="6"/>
  <c r="U55" i="6"/>
  <c r="U24" i="6"/>
  <c r="U81" i="6"/>
  <c r="U59" i="6"/>
  <c r="U131" i="6"/>
  <c r="U74" i="6"/>
  <c r="U115" i="6"/>
  <c r="U97" i="6"/>
  <c r="U161" i="6"/>
  <c r="U11" i="6"/>
  <c r="U185" i="6"/>
  <c r="U150" i="6"/>
  <c r="U90" i="6"/>
  <c r="U152" i="6"/>
  <c r="U118" i="6"/>
  <c r="U34" i="6"/>
  <c r="U31" i="6"/>
  <c r="U69" i="6"/>
  <c r="U174" i="6"/>
  <c r="U12" i="6"/>
  <c r="U173" i="6"/>
  <c r="U114" i="6"/>
  <c r="U83" i="6"/>
  <c r="U144" i="6"/>
  <c r="U167" i="6"/>
  <c r="U25" i="6"/>
  <c r="U91" i="6"/>
  <c r="U46" i="6"/>
  <c r="U64" i="6"/>
  <c r="U56" i="6"/>
  <c r="U100" i="6"/>
  <c r="U196" i="6"/>
  <c r="U190" i="6"/>
  <c r="U127" i="6"/>
  <c r="U110" i="6"/>
  <c r="U53" i="6"/>
  <c r="U99" i="6"/>
  <c r="U43" i="6"/>
  <c r="U165" i="6"/>
  <c r="U187" i="6"/>
  <c r="U78" i="6"/>
  <c r="U208" i="6"/>
  <c r="U9" i="6"/>
  <c r="U32" i="6"/>
  <c r="U70" i="6"/>
  <c r="U213" i="6"/>
  <c r="U20" i="6"/>
  <c r="U44" i="6"/>
  <c r="U172" i="6"/>
  <c r="U42" i="6"/>
  <c r="U168" i="6"/>
  <c r="U153" i="6"/>
  <c r="U207" i="6"/>
  <c r="U159" i="6"/>
  <c r="U129" i="6"/>
  <c r="U67" i="6"/>
  <c r="U170" i="6"/>
  <c r="U72" i="6"/>
  <c r="U171" i="6"/>
  <c r="U146" i="6"/>
  <c r="U58" i="6"/>
  <c r="U75" i="6"/>
  <c r="U101" i="6"/>
  <c r="U21" i="6"/>
  <c r="U157" i="6"/>
  <c r="U215" i="6"/>
  <c r="U116" i="6"/>
  <c r="U139" i="6"/>
  <c r="U193" i="6"/>
  <c r="U135" i="6"/>
  <c r="U176" i="6"/>
  <c r="U156" i="6"/>
  <c r="U60" i="6"/>
  <c r="U40" i="6"/>
  <c r="U103" i="6"/>
  <c r="U210" i="6"/>
  <c r="U148" i="6"/>
  <c r="U22" i="6"/>
  <c r="U192" i="6"/>
  <c r="U136" i="6"/>
  <c r="U126" i="6"/>
  <c r="U38" i="6"/>
  <c r="U95" i="6"/>
  <c r="U199" i="6"/>
  <c r="U51" i="6"/>
  <c r="U50" i="6"/>
  <c r="U191" i="6"/>
  <c r="U109" i="6"/>
  <c r="U28" i="6"/>
  <c r="U141" i="6"/>
  <c r="U147" i="6"/>
  <c r="U134" i="6"/>
  <c r="U124" i="6"/>
  <c r="U163" i="6"/>
  <c r="U37" i="6"/>
  <c r="U63" i="6"/>
  <c r="U88" i="6"/>
  <c r="U209" i="6"/>
  <c r="U10" i="6"/>
  <c r="U17" i="6"/>
  <c r="U54" i="6"/>
  <c r="U166" i="6"/>
  <c r="T5" i="6"/>
  <c r="E5" i="6"/>
  <c r="G5" i="6"/>
  <c r="F5" i="6"/>
  <c r="H3" i="6"/>
  <c r="H4" i="6"/>
  <c r="V217" i="6" l="1"/>
  <c r="V195" i="6"/>
  <c r="U5" i="6"/>
  <c r="V155" i="6"/>
  <c r="V103" i="6"/>
  <c r="V120" i="6"/>
  <c r="V24" i="6"/>
  <c r="V42" i="6"/>
  <c r="V86" i="6"/>
  <c r="V119" i="6"/>
  <c r="V165" i="6"/>
  <c r="V70" i="6"/>
  <c r="V193" i="6"/>
  <c r="V146" i="6"/>
  <c r="V56" i="6"/>
  <c r="V214" i="6"/>
  <c r="V136" i="6"/>
  <c r="V62" i="6"/>
  <c r="V134" i="6"/>
  <c r="V77" i="6"/>
  <c r="V55" i="6"/>
  <c r="V147" i="6"/>
  <c r="V115" i="6"/>
  <c r="V104" i="6"/>
  <c r="V15" i="6"/>
  <c r="V161" i="6"/>
  <c r="V48" i="6"/>
  <c r="V125" i="6"/>
  <c r="V49" i="6"/>
  <c r="V191" i="6"/>
  <c r="V91" i="6"/>
  <c r="V59" i="6"/>
  <c r="V175" i="6"/>
  <c r="V64" i="6"/>
  <c r="V156" i="6"/>
  <c r="V128" i="6"/>
  <c r="V135" i="6"/>
  <c r="V67" i="6"/>
  <c r="V39" i="6"/>
  <c r="V168" i="6"/>
  <c r="V37" i="6"/>
  <c r="V76" i="6"/>
  <c r="V216" i="6"/>
  <c r="V71" i="6"/>
  <c r="V157" i="6"/>
  <c r="V213" i="6"/>
  <c r="V99" i="6"/>
  <c r="V210" i="6"/>
  <c r="V10" i="6"/>
  <c r="V201" i="6"/>
  <c r="V106" i="6"/>
  <c r="V145" i="6"/>
  <c r="V110" i="6"/>
  <c r="V129" i="6"/>
  <c r="V58" i="6"/>
  <c r="V194" i="6"/>
  <c r="V111" i="6"/>
  <c r="V144" i="6"/>
  <c r="V51" i="6"/>
  <c r="V12" i="6"/>
  <c r="V54" i="6"/>
  <c r="V187" i="6"/>
  <c r="V152" i="6"/>
  <c r="V139" i="6"/>
  <c r="V197" i="6"/>
  <c r="V69" i="6"/>
  <c r="V84" i="6"/>
  <c r="V98" i="6"/>
  <c r="V143" i="6"/>
  <c r="V19" i="6"/>
  <c r="V212" i="6"/>
  <c r="V26" i="6"/>
  <c r="V121" i="6"/>
  <c r="V163" i="6"/>
  <c r="V200" i="6"/>
  <c r="V43" i="6"/>
  <c r="V89" i="6"/>
  <c r="V73" i="6"/>
  <c r="V122" i="6"/>
  <c r="V28" i="6"/>
  <c r="V63" i="6"/>
  <c r="V118" i="6"/>
  <c r="V32" i="6"/>
  <c r="V148" i="6"/>
  <c r="V176" i="6"/>
  <c r="V189" i="6"/>
  <c r="V101" i="6"/>
  <c r="V173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2" i="6"/>
  <c r="V183" i="6"/>
  <c r="V97" i="6"/>
  <c r="V167" i="6"/>
  <c r="V215" i="6"/>
  <c r="V179" i="6"/>
  <c r="V137" i="6"/>
  <c r="V131" i="6"/>
  <c r="V80" i="6"/>
  <c r="V211" i="6"/>
  <c r="V79" i="6"/>
  <c r="V102" i="6"/>
  <c r="V188" i="6"/>
  <c r="V31" i="6"/>
  <c r="V57" i="6"/>
  <c r="V124" i="6"/>
  <c r="V40" i="6"/>
  <c r="V90" i="6"/>
  <c r="V207" i="6"/>
  <c r="V83" i="6"/>
  <c r="V82" i="6"/>
  <c r="V105" i="6"/>
  <c r="V160" i="6"/>
  <c r="V162" i="6"/>
  <c r="V174" i="6"/>
  <c r="V151" i="6"/>
  <c r="V181" i="6"/>
  <c r="V78" i="6"/>
  <c r="V117" i="6"/>
  <c r="V38" i="6"/>
  <c r="V178" i="6"/>
  <c r="V60" i="6"/>
  <c r="V140" i="6"/>
  <c r="V41" i="6"/>
  <c r="V66" i="6"/>
  <c r="V205" i="6"/>
  <c r="V204" i="6"/>
  <c r="V206" i="6"/>
  <c r="V133" i="6"/>
  <c r="V171" i="6"/>
  <c r="V18" i="6"/>
  <c r="V150" i="6"/>
  <c r="V21" i="6"/>
  <c r="V61" i="6"/>
  <c r="V164" i="6"/>
  <c r="V180" i="6"/>
  <c r="V112" i="6"/>
  <c r="V132" i="6"/>
  <c r="V95" i="6"/>
  <c r="V75" i="6"/>
  <c r="V88" i="6"/>
  <c r="V196" i="6"/>
  <c r="V126" i="6"/>
  <c r="V158" i="6"/>
  <c r="V46" i="6"/>
  <c r="V141" i="6"/>
  <c r="V36" i="6"/>
  <c r="V203" i="6"/>
  <c r="V81" i="6"/>
  <c r="V44" i="6"/>
  <c r="V29" i="6"/>
  <c r="V159" i="6"/>
  <c r="V47" i="6"/>
  <c r="V154" i="6"/>
  <c r="V172" i="6"/>
  <c r="V190" i="6"/>
  <c r="V192" i="6"/>
  <c r="V13" i="6"/>
  <c r="V208" i="6"/>
  <c r="V138" i="6"/>
  <c r="V93" i="6"/>
  <c r="V123" i="6"/>
  <c r="V8" i="6"/>
  <c r="V149" i="6"/>
  <c r="V109" i="6"/>
  <c r="V27" i="6"/>
  <c r="V169" i="6"/>
  <c r="V25" i="6"/>
  <c r="V199" i="6"/>
  <c r="W7" i="6"/>
  <c r="V166" i="6"/>
  <c r="V23" i="6"/>
  <c r="V177" i="6"/>
  <c r="V116" i="6"/>
  <c r="V34" i="6"/>
  <c r="V130" i="6"/>
  <c r="V108" i="6"/>
  <c r="V182" i="6"/>
  <c r="V113" i="6"/>
  <c r="V170" i="6"/>
  <c r="V74" i="6"/>
  <c r="V33" i="6"/>
  <c r="V198" i="6"/>
  <c r="V94" i="6"/>
  <c r="V153" i="6"/>
  <c r="V186" i="6"/>
  <c r="V72" i="6"/>
  <c r="V45" i="6"/>
  <c r="V185" i="6"/>
  <c r="V184" i="6"/>
  <c r="V30" i="6"/>
  <c r="V114" i="6"/>
  <c r="V53" i="6"/>
  <c r="V52" i="6"/>
  <c r="V22" i="6"/>
  <c r="V68" i="6"/>
  <c r="V209" i="6"/>
  <c r="V20" i="6"/>
  <c r="H5" i="6"/>
  <c r="W217" i="6" l="1"/>
  <c r="W195" i="6"/>
  <c r="W165" i="6"/>
  <c r="W171" i="6"/>
  <c r="W124" i="6"/>
  <c r="W154" i="6"/>
  <c r="W161" i="6"/>
  <c r="W166" i="6"/>
  <c r="W12" i="6"/>
  <c r="W13" i="6"/>
  <c r="W122" i="6"/>
  <c r="W180" i="6"/>
  <c r="W108" i="6"/>
  <c r="W71" i="6"/>
  <c r="W144" i="6"/>
  <c r="W67" i="6"/>
  <c r="W83" i="6"/>
  <c r="W120" i="6"/>
  <c r="W153" i="6"/>
  <c r="W184" i="6"/>
  <c r="W80" i="6"/>
  <c r="W145" i="6"/>
  <c r="W28" i="6"/>
  <c r="W33" i="6"/>
  <c r="W94" i="6"/>
  <c r="W62" i="6"/>
  <c r="W206" i="6"/>
  <c r="W11" i="6"/>
  <c r="W82" i="6"/>
  <c r="W138" i="6"/>
  <c r="W87" i="6"/>
  <c r="W204" i="6"/>
  <c r="W146" i="6"/>
  <c r="W168" i="6"/>
  <c r="W189" i="6"/>
  <c r="W34" i="6"/>
  <c r="W111" i="6"/>
  <c r="W41" i="6"/>
  <c r="W151" i="6"/>
  <c r="W51" i="6"/>
  <c r="W65" i="6"/>
  <c r="W21" i="6"/>
  <c r="W66" i="6"/>
  <c r="W48" i="6"/>
  <c r="W70" i="6"/>
  <c r="W69" i="6"/>
  <c r="W44" i="6"/>
  <c r="W56" i="6"/>
  <c r="W24" i="6"/>
  <c r="W192" i="6"/>
  <c r="W77" i="6"/>
  <c r="W42" i="6"/>
  <c r="W198" i="6"/>
  <c r="W102" i="6"/>
  <c r="W118" i="6"/>
  <c r="W182" i="6"/>
  <c r="W126" i="6"/>
  <c r="W14" i="6"/>
  <c r="W143" i="6"/>
  <c r="W176" i="6"/>
  <c r="W139" i="6"/>
  <c r="W20" i="6"/>
  <c r="W181" i="6"/>
  <c r="W88" i="6"/>
  <c r="W121" i="6"/>
  <c r="W31" i="6"/>
  <c r="W90" i="6"/>
  <c r="W159" i="6"/>
  <c r="W84" i="6"/>
  <c r="W148" i="6"/>
  <c r="W183" i="6"/>
  <c r="W38" i="6"/>
  <c r="W185" i="6"/>
  <c r="W186" i="6"/>
  <c r="W95" i="6"/>
  <c r="W50" i="6"/>
  <c r="W26" i="6"/>
  <c r="W91" i="6"/>
  <c r="W96" i="6"/>
  <c r="W164" i="6"/>
  <c r="W128" i="6"/>
  <c r="W109" i="6"/>
  <c r="W207" i="6"/>
  <c r="W100" i="6"/>
  <c r="W52" i="6"/>
  <c r="W43" i="6"/>
  <c r="W74" i="6"/>
  <c r="W115" i="6"/>
  <c r="W107" i="6"/>
  <c r="W163" i="6"/>
  <c r="W130" i="6"/>
  <c r="W97" i="6"/>
  <c r="W205" i="6"/>
  <c r="W194" i="6"/>
  <c r="W59" i="6"/>
  <c r="W85" i="6"/>
  <c r="W10" i="6"/>
  <c r="W79" i="6"/>
  <c r="W155" i="6"/>
  <c r="W196" i="6"/>
  <c r="W215" i="6"/>
  <c r="W197" i="6"/>
  <c r="W150" i="6"/>
  <c r="W187" i="6"/>
  <c r="W174" i="6"/>
  <c r="W45" i="6"/>
  <c r="W127" i="6"/>
  <c r="W32" i="6"/>
  <c r="W63" i="6"/>
  <c r="W103" i="6"/>
  <c r="W209" i="6"/>
  <c r="W188" i="6"/>
  <c r="W212" i="6"/>
  <c r="W49" i="6"/>
  <c r="W156" i="6"/>
  <c r="W158" i="6"/>
  <c r="W211" i="6"/>
  <c r="W131" i="6"/>
  <c r="W22" i="6"/>
  <c r="W190" i="6"/>
  <c r="W25" i="6"/>
  <c r="W68" i="6"/>
  <c r="W175" i="6"/>
  <c r="W216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0" i="6"/>
  <c r="W135" i="6"/>
  <c r="W86" i="6"/>
  <c r="W104" i="6"/>
  <c r="W29" i="6"/>
  <c r="W73" i="6"/>
  <c r="W201" i="6"/>
  <c r="W141" i="6"/>
  <c r="W208" i="6"/>
  <c r="W213" i="6"/>
  <c r="W19" i="6"/>
  <c r="W137" i="6"/>
  <c r="W76" i="6"/>
  <c r="W162" i="6"/>
  <c r="W210" i="6"/>
  <c r="W54" i="6"/>
  <c r="W203" i="6"/>
  <c r="W98" i="6"/>
  <c r="W119" i="6"/>
  <c r="W170" i="6"/>
  <c r="W16" i="6"/>
  <c r="W136" i="6"/>
  <c r="W81" i="6"/>
  <c r="W106" i="6"/>
  <c r="W112" i="6"/>
  <c r="W89" i="6"/>
  <c r="W61" i="6"/>
  <c r="W123" i="6"/>
  <c r="W157" i="6"/>
  <c r="W37" i="6"/>
  <c r="W117" i="6"/>
  <c r="W101" i="6"/>
  <c r="W179" i="6"/>
  <c r="W64" i="6"/>
  <c r="W191" i="6"/>
  <c r="W173" i="6"/>
  <c r="W193" i="6"/>
  <c r="W110" i="6"/>
  <c r="W132" i="6"/>
  <c r="W57" i="6"/>
  <c r="W147" i="6"/>
  <c r="W169" i="6"/>
  <c r="W200" i="6"/>
  <c r="W18" i="6"/>
  <c r="W199" i="6"/>
  <c r="W78" i="6"/>
  <c r="W92" i="6"/>
  <c r="W75" i="6"/>
  <c r="W113" i="6"/>
  <c r="W99" i="6"/>
  <c r="W9" i="6"/>
  <c r="W142" i="6"/>
  <c r="W72" i="6"/>
  <c r="W8" i="6"/>
  <c r="W30" i="6"/>
  <c r="W172" i="6"/>
  <c r="W40" i="6"/>
  <c r="W36" i="6"/>
  <c r="W167" i="6"/>
  <c r="W214" i="6"/>
  <c r="W152" i="6"/>
  <c r="W105" i="6"/>
  <c r="W202" i="6"/>
  <c r="W149" i="6"/>
  <c r="W27" i="6"/>
  <c r="W133" i="6"/>
  <c r="W39" i="6"/>
  <c r="W178" i="6"/>
  <c r="W125" i="6"/>
  <c r="W47" i="6"/>
  <c r="W93" i="6"/>
  <c r="W177" i="6"/>
  <c r="X7" i="6"/>
  <c r="W114" i="6"/>
  <c r="V5" i="6"/>
  <c r="X195" i="6" l="1"/>
  <c r="X217" i="6"/>
  <c r="W5" i="6"/>
  <c r="X84" i="6"/>
  <c r="X31" i="6"/>
  <c r="X93" i="6"/>
  <c r="X166" i="6"/>
  <c r="X211" i="6"/>
  <c r="X67" i="6"/>
  <c r="X32" i="6"/>
  <c r="X106" i="6"/>
  <c r="X82" i="6"/>
  <c r="X73" i="6"/>
  <c r="X205" i="6"/>
  <c r="X10" i="6"/>
  <c r="X97" i="6"/>
  <c r="X123" i="6"/>
  <c r="X172" i="6"/>
  <c r="X40" i="6"/>
  <c r="X50" i="6"/>
  <c r="X9" i="6"/>
  <c r="X116" i="6"/>
  <c r="X72" i="6"/>
  <c r="X105" i="6"/>
  <c r="X94" i="6"/>
  <c r="X34" i="6"/>
  <c r="X48" i="6"/>
  <c r="X122" i="6"/>
  <c r="X152" i="6"/>
  <c r="X12" i="6"/>
  <c r="X126" i="6"/>
  <c r="X200" i="6"/>
  <c r="X186" i="6"/>
  <c r="X127" i="6"/>
  <c r="X128" i="6"/>
  <c r="X164" i="6"/>
  <c r="X132" i="6"/>
  <c r="X213" i="6"/>
  <c r="X16" i="6"/>
  <c r="X41" i="6"/>
  <c r="X63" i="6"/>
  <c r="X192" i="6"/>
  <c r="X181" i="6"/>
  <c r="X214" i="6"/>
  <c r="X98" i="6"/>
  <c r="X102" i="6"/>
  <c r="X8" i="6"/>
  <c r="X23" i="6"/>
  <c r="X74" i="6"/>
  <c r="X147" i="6"/>
  <c r="X140" i="6"/>
  <c r="X142" i="6"/>
  <c r="X13" i="6"/>
  <c r="X176" i="6"/>
  <c r="X185" i="6"/>
  <c r="X100" i="6"/>
  <c r="X158" i="6"/>
  <c r="X64" i="6"/>
  <c r="X189" i="6"/>
  <c r="X58" i="6"/>
  <c r="X146" i="6"/>
  <c r="X62" i="6"/>
  <c r="X144" i="6"/>
  <c r="X33" i="6"/>
  <c r="X30" i="6"/>
  <c r="X111" i="6"/>
  <c r="X54" i="6"/>
  <c r="X70" i="6"/>
  <c r="X149" i="6"/>
  <c r="X184" i="6"/>
  <c r="X118" i="6"/>
  <c r="X60" i="6"/>
  <c r="X112" i="6"/>
  <c r="X155" i="6"/>
  <c r="X44" i="6"/>
  <c r="X119" i="6"/>
  <c r="X107" i="6"/>
  <c r="X197" i="6"/>
  <c r="X196" i="6"/>
  <c r="X80" i="6"/>
  <c r="X61" i="6"/>
  <c r="X68" i="6"/>
  <c r="X199" i="6"/>
  <c r="X190" i="6"/>
  <c r="X36" i="6"/>
  <c r="X65" i="6"/>
  <c r="X216" i="6"/>
  <c r="X51" i="6"/>
  <c r="X83" i="6"/>
  <c r="X133" i="6"/>
  <c r="X99" i="6"/>
  <c r="Y7" i="6"/>
  <c r="X160" i="6"/>
  <c r="X167" i="6"/>
  <c r="X169" i="6"/>
  <c r="X151" i="6"/>
  <c r="X179" i="6"/>
  <c r="X202" i="6"/>
  <c r="X90" i="6"/>
  <c r="X47" i="6"/>
  <c r="X25" i="6"/>
  <c r="X43" i="6"/>
  <c r="X156" i="6"/>
  <c r="X53" i="6"/>
  <c r="X28" i="6"/>
  <c r="X76" i="6"/>
  <c r="X204" i="6"/>
  <c r="X153" i="6"/>
  <c r="X14" i="6"/>
  <c r="X134" i="6"/>
  <c r="X92" i="6"/>
  <c r="X215" i="6"/>
  <c r="X103" i="6"/>
  <c r="X109" i="6"/>
  <c r="X81" i="6"/>
  <c r="X27" i="6"/>
  <c r="X124" i="6"/>
  <c r="X37" i="6"/>
  <c r="X139" i="6"/>
  <c r="X52" i="6"/>
  <c r="X177" i="6"/>
  <c r="X57" i="6"/>
  <c r="X145" i="6"/>
  <c r="X110" i="6"/>
  <c r="X88" i="6"/>
  <c r="X22" i="6"/>
  <c r="X191" i="6"/>
  <c r="X11" i="6"/>
  <c r="X208" i="6"/>
  <c r="X21" i="6"/>
  <c r="X117" i="6"/>
  <c r="X96" i="6"/>
  <c r="X209" i="6"/>
  <c r="X87" i="6"/>
  <c r="X203" i="6"/>
  <c r="X193" i="6"/>
  <c r="X180" i="6"/>
  <c r="X130" i="6"/>
  <c r="X49" i="6"/>
  <c r="X45" i="6"/>
  <c r="X77" i="6"/>
  <c r="X26" i="6"/>
  <c r="X71" i="6"/>
  <c r="X143" i="6"/>
  <c r="X114" i="6"/>
  <c r="X210" i="6"/>
  <c r="X115" i="6"/>
  <c r="X19" i="6"/>
  <c r="X75" i="6"/>
  <c r="X187" i="6"/>
  <c r="X95" i="6"/>
  <c r="X194" i="6"/>
  <c r="X135" i="6"/>
  <c r="X20" i="6"/>
  <c r="X29" i="6"/>
  <c r="X85" i="6"/>
  <c r="X182" i="6"/>
  <c r="X174" i="6"/>
  <c r="X141" i="6"/>
  <c r="X150" i="6"/>
  <c r="X206" i="6"/>
  <c r="X212" i="6"/>
  <c r="X24" i="6"/>
  <c r="X198" i="6"/>
  <c r="X108" i="6"/>
  <c r="X121" i="6"/>
  <c r="X56" i="6"/>
  <c r="X35" i="6"/>
  <c r="X165" i="6"/>
  <c r="X39" i="6"/>
  <c r="X148" i="6"/>
  <c r="X66" i="6"/>
  <c r="X173" i="6"/>
  <c r="X170" i="6"/>
  <c r="X86" i="6"/>
  <c r="X15" i="6"/>
  <c r="X104" i="6"/>
  <c r="X79" i="6"/>
  <c r="X46" i="6"/>
  <c r="X55" i="6"/>
  <c r="X125" i="6"/>
  <c r="X78" i="6"/>
  <c r="X175" i="6"/>
  <c r="X137" i="6"/>
  <c r="X159" i="6"/>
  <c r="X188" i="6"/>
  <c r="X178" i="6"/>
  <c r="X38" i="6"/>
  <c r="X163" i="6"/>
  <c r="X120" i="6"/>
  <c r="X207" i="6"/>
  <c r="X136" i="6"/>
  <c r="X101" i="6"/>
  <c r="X42" i="6"/>
  <c r="X171" i="6"/>
  <c r="X154" i="6"/>
  <c r="X168" i="6"/>
  <c r="X138" i="6"/>
  <c r="X183" i="6"/>
  <c r="X157" i="6"/>
  <c r="X18" i="6"/>
  <c r="X69" i="6"/>
  <c r="X162" i="6"/>
  <c r="X131" i="6"/>
  <c r="X161" i="6"/>
  <c r="X89" i="6"/>
  <c r="X59" i="6"/>
  <c r="X91" i="6"/>
  <c r="X17" i="6"/>
  <c r="X113" i="6"/>
  <c r="X129" i="6"/>
  <c r="X201" i="6"/>
  <c r="Y195" i="6" l="1"/>
  <c r="Y217" i="6"/>
  <c r="X5" i="6"/>
  <c r="Y84" i="6"/>
  <c r="Y200" i="6"/>
  <c r="Y25" i="6"/>
  <c r="Y130" i="6"/>
  <c r="Y124" i="6"/>
  <c r="Y142" i="6"/>
  <c r="Y92" i="6"/>
  <c r="Y136" i="6"/>
  <c r="Y118" i="6"/>
  <c r="Y120" i="6"/>
  <c r="Y182" i="6"/>
  <c r="Y76" i="6"/>
  <c r="Y91" i="6"/>
  <c r="Y158" i="6"/>
  <c r="Y209" i="6"/>
  <c r="Y68" i="6"/>
  <c r="Y85" i="6"/>
  <c r="Y109" i="6"/>
  <c r="Y156" i="6"/>
  <c r="Y159" i="6"/>
  <c r="Y212" i="6"/>
  <c r="Y86" i="6"/>
  <c r="Y100" i="6"/>
  <c r="Y169" i="6"/>
  <c r="Y153" i="6"/>
  <c r="Y11" i="6"/>
  <c r="Y73" i="6"/>
  <c r="Y63" i="6"/>
  <c r="Y71" i="6"/>
  <c r="Y164" i="6"/>
  <c r="Y18" i="6"/>
  <c r="Y167" i="6"/>
  <c r="Y185" i="6"/>
  <c r="Y53" i="6"/>
  <c r="Y131" i="6"/>
  <c r="Y21" i="6"/>
  <c r="Y119" i="6"/>
  <c r="Y186" i="6"/>
  <c r="Y178" i="6"/>
  <c r="Y215" i="6"/>
  <c r="Y177" i="6"/>
  <c r="Y213" i="6"/>
  <c r="Y70" i="6"/>
  <c r="Y202" i="6"/>
  <c r="Y127" i="6"/>
  <c r="Y104" i="6"/>
  <c r="Y174" i="6"/>
  <c r="Y82" i="6"/>
  <c r="Y54" i="6"/>
  <c r="Y216" i="6"/>
  <c r="Y27" i="6"/>
  <c r="Y67" i="6"/>
  <c r="Y12" i="6"/>
  <c r="Y171" i="6"/>
  <c r="Y143" i="6"/>
  <c r="Y93" i="6"/>
  <c r="Y19" i="6"/>
  <c r="Y145" i="6"/>
  <c r="Y168" i="6"/>
  <c r="Y141" i="6"/>
  <c r="Y66" i="6"/>
  <c r="Y51" i="6"/>
  <c r="Y149" i="6"/>
  <c r="Y133" i="6"/>
  <c r="Y52" i="6"/>
  <c r="Y28" i="6"/>
  <c r="Y166" i="6"/>
  <c r="Y83" i="6"/>
  <c r="Y175" i="6"/>
  <c r="Y29" i="6"/>
  <c r="Y138" i="6"/>
  <c r="Y90" i="6"/>
  <c r="Y96" i="6"/>
  <c r="Y116" i="6"/>
  <c r="Y35" i="6"/>
  <c r="Y16" i="6"/>
  <c r="Y23" i="6"/>
  <c r="Y146" i="6"/>
  <c r="Y61" i="6"/>
  <c r="Y147" i="6"/>
  <c r="Y123" i="6"/>
  <c r="Y107" i="6"/>
  <c r="Y161" i="6"/>
  <c r="Y45" i="6"/>
  <c r="Y72" i="6"/>
  <c r="Y77" i="6"/>
  <c r="Y137" i="6"/>
  <c r="Y163" i="6"/>
  <c r="Y48" i="6"/>
  <c r="Y188" i="6"/>
  <c r="Y13" i="6"/>
  <c r="Y81" i="6"/>
  <c r="Y122" i="6"/>
  <c r="Y126" i="6"/>
  <c r="Y44" i="6"/>
  <c r="Y78" i="6"/>
  <c r="Y121" i="6"/>
  <c r="Y58" i="6"/>
  <c r="Y65" i="6"/>
  <c r="Y50" i="6"/>
  <c r="Y160" i="6"/>
  <c r="Y155" i="6"/>
  <c r="Y79" i="6"/>
  <c r="Y197" i="6"/>
  <c r="Y134" i="6"/>
  <c r="Y214" i="6"/>
  <c r="Y180" i="6"/>
  <c r="Y80" i="6"/>
  <c r="Y144" i="6"/>
  <c r="Y88" i="6"/>
  <c r="Y95" i="6"/>
  <c r="Y94" i="6"/>
  <c r="Y139" i="6"/>
  <c r="Y140" i="6"/>
  <c r="Y30" i="6"/>
  <c r="Y39" i="6"/>
  <c r="Y129" i="6"/>
  <c r="Y210" i="6"/>
  <c r="Y117" i="6"/>
  <c r="Y31" i="6"/>
  <c r="Y173" i="6"/>
  <c r="Y33" i="6"/>
  <c r="Y154" i="6"/>
  <c r="Y194" i="6"/>
  <c r="Y211" i="6"/>
  <c r="Y26" i="6"/>
  <c r="Y128" i="6"/>
  <c r="Y183" i="6"/>
  <c r="Y203" i="6"/>
  <c r="Y98" i="6"/>
  <c r="Y24" i="6"/>
  <c r="Y189" i="6"/>
  <c r="Y165" i="6"/>
  <c r="Y10" i="6"/>
  <c r="Y38" i="6"/>
  <c r="Y199" i="6"/>
  <c r="Y181" i="6"/>
  <c r="Y32" i="6"/>
  <c r="Y196" i="6"/>
  <c r="Y97" i="6"/>
  <c r="Y190" i="6"/>
  <c r="Y150" i="6"/>
  <c r="Y99" i="6"/>
  <c r="Y37" i="6"/>
  <c r="Y55" i="6"/>
  <c r="Y74" i="6"/>
  <c r="Y148" i="6"/>
  <c r="Y103" i="6"/>
  <c r="Y108" i="6"/>
  <c r="Y8" i="6"/>
  <c r="Y187" i="6"/>
  <c r="Y59" i="6"/>
  <c r="Y36" i="6"/>
  <c r="Y207" i="6"/>
  <c r="Y201" i="6"/>
  <c r="Y193" i="6"/>
  <c r="Y75" i="6"/>
  <c r="Y198" i="6"/>
  <c r="Y208" i="6"/>
  <c r="Y15" i="6"/>
  <c r="Y151" i="6"/>
  <c r="Y62" i="6"/>
  <c r="Y22" i="6"/>
  <c r="Y192" i="6"/>
  <c r="Y184" i="6"/>
  <c r="Y191" i="6"/>
  <c r="Y40" i="6"/>
  <c r="Y64" i="6"/>
  <c r="Y57" i="6"/>
  <c r="Y105" i="6"/>
  <c r="Y152" i="6"/>
  <c r="Y205" i="6"/>
  <c r="Y43" i="6"/>
  <c r="Y106" i="6"/>
  <c r="Y110" i="6"/>
  <c r="Y17" i="6"/>
  <c r="Y14" i="6"/>
  <c r="Y69" i="6"/>
  <c r="Y87" i="6"/>
  <c r="Y60" i="6"/>
  <c r="Y56" i="6"/>
  <c r="Y9" i="6"/>
  <c r="Y170" i="6"/>
  <c r="Y135" i="6"/>
  <c r="Y101" i="6"/>
  <c r="Y176" i="6"/>
  <c r="Y113" i="6"/>
  <c r="Y206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2" i="6"/>
  <c r="Y132" i="6"/>
  <c r="Z7" i="6"/>
  <c r="Y179" i="6"/>
  <c r="Y204" i="6"/>
  <c r="Y157" i="6"/>
  <c r="Y172" i="6"/>
  <c r="Y41" i="6"/>
  <c r="Z195" i="6" l="1"/>
  <c r="Z217" i="6"/>
  <c r="Z84" i="6"/>
  <c r="Z12" i="6"/>
  <c r="Z174" i="6"/>
  <c r="Z22" i="6"/>
  <c r="Z40" i="6"/>
  <c r="Z126" i="6"/>
  <c r="Z119" i="6"/>
  <c r="Z163" i="6"/>
  <c r="Z162" i="6"/>
  <c r="Z212" i="6"/>
  <c r="Z117" i="6"/>
  <c r="Z35" i="6"/>
  <c r="Z8" i="6"/>
  <c r="Z29" i="6"/>
  <c r="Z153" i="6"/>
  <c r="Z149" i="6"/>
  <c r="Z197" i="6"/>
  <c r="Z19" i="6"/>
  <c r="Z140" i="6"/>
  <c r="Z49" i="6"/>
  <c r="Z182" i="6"/>
  <c r="Z185" i="6"/>
  <c r="Z46" i="6"/>
  <c r="Z152" i="6"/>
  <c r="Z87" i="6"/>
  <c r="Z105" i="6"/>
  <c r="Z14" i="6"/>
  <c r="Z75" i="6"/>
  <c r="Z50" i="6"/>
  <c r="Z85" i="6"/>
  <c r="Z161" i="6"/>
  <c r="Z39" i="6"/>
  <c r="Z96" i="6"/>
  <c r="Z60" i="6"/>
  <c r="Z67" i="6"/>
  <c r="Z77" i="6"/>
  <c r="Z190" i="6"/>
  <c r="Z173" i="6"/>
  <c r="Z89" i="6"/>
  <c r="Z116" i="6"/>
  <c r="Z68" i="6"/>
  <c r="Z102" i="6"/>
  <c r="Z145" i="6"/>
  <c r="Z176" i="6"/>
  <c r="Z44" i="6"/>
  <c r="Z15" i="6"/>
  <c r="Z65" i="6"/>
  <c r="Z53" i="6"/>
  <c r="Z139" i="6"/>
  <c r="Z202" i="6"/>
  <c r="Z118" i="6"/>
  <c r="Z81" i="6"/>
  <c r="Z204" i="6"/>
  <c r="Z134" i="6"/>
  <c r="Z167" i="6"/>
  <c r="Z193" i="6"/>
  <c r="Z169" i="6"/>
  <c r="Z30" i="6"/>
  <c r="Z138" i="6"/>
  <c r="Z74" i="6"/>
  <c r="Z79" i="6"/>
  <c r="Z159" i="6"/>
  <c r="Z76" i="6"/>
  <c r="Z107" i="6"/>
  <c r="Z170" i="6"/>
  <c r="Z106" i="6"/>
  <c r="Z86" i="6"/>
  <c r="Z13" i="6"/>
  <c r="Z123" i="6"/>
  <c r="Z94" i="6"/>
  <c r="Z168" i="6"/>
  <c r="Z111" i="6"/>
  <c r="Z188" i="6"/>
  <c r="Z64" i="6"/>
  <c r="Z21" i="6"/>
  <c r="Z160" i="6"/>
  <c r="Z186" i="6"/>
  <c r="Z130" i="6"/>
  <c r="Z63" i="6"/>
  <c r="Z181" i="6"/>
  <c r="Z211" i="6"/>
  <c r="Z133" i="6"/>
  <c r="Z97" i="6"/>
  <c r="Z71" i="6"/>
  <c r="Z43" i="6"/>
  <c r="Z214" i="6"/>
  <c r="Z83" i="6"/>
  <c r="Z37" i="6"/>
  <c r="Z26" i="6"/>
  <c r="Z48" i="6"/>
  <c r="Z180" i="6"/>
  <c r="Z56" i="6"/>
  <c r="Z98" i="6"/>
  <c r="Z33" i="6"/>
  <c r="Z27" i="6"/>
  <c r="Z100" i="6"/>
  <c r="Z164" i="6"/>
  <c r="Z57" i="6"/>
  <c r="Z54" i="6"/>
  <c r="Z189" i="6"/>
  <c r="Z18" i="6"/>
  <c r="Z131" i="6"/>
  <c r="Z51" i="6"/>
  <c r="Z194" i="6"/>
  <c r="Z91" i="6"/>
  <c r="Z112" i="6"/>
  <c r="Z175" i="6"/>
  <c r="Z70" i="6"/>
  <c r="Z150" i="6"/>
  <c r="Z42" i="6"/>
  <c r="Z142" i="6"/>
  <c r="Z34" i="6"/>
  <c r="Z124" i="6"/>
  <c r="Z41" i="6"/>
  <c r="Z17" i="6"/>
  <c r="Z101" i="6"/>
  <c r="Z136" i="6"/>
  <c r="Z16" i="6"/>
  <c r="Z206" i="6"/>
  <c r="Z31" i="6"/>
  <c r="Z47" i="6"/>
  <c r="Z166" i="6"/>
  <c r="Z93" i="6"/>
  <c r="Z137" i="6"/>
  <c r="Z80" i="6"/>
  <c r="Z38" i="6"/>
  <c r="Z196" i="6"/>
  <c r="Z62" i="6"/>
  <c r="Z23" i="6"/>
  <c r="Z171" i="6"/>
  <c r="Z108" i="6"/>
  <c r="Z205" i="6"/>
  <c r="Z55" i="6"/>
  <c r="Z69" i="6"/>
  <c r="Z73" i="6"/>
  <c r="Z179" i="6"/>
  <c r="Z156" i="6"/>
  <c r="Z99" i="6"/>
  <c r="Z146" i="6"/>
  <c r="Z66" i="6"/>
  <c r="Z151" i="6"/>
  <c r="Z135" i="6"/>
  <c r="Z10" i="6"/>
  <c r="Z32" i="6"/>
  <c r="Z199" i="6"/>
  <c r="Z25" i="6"/>
  <c r="Z82" i="6"/>
  <c r="Z52" i="6"/>
  <c r="Z177" i="6"/>
  <c r="Z90" i="6"/>
  <c r="Z58" i="6"/>
  <c r="Z207" i="6"/>
  <c r="Z183" i="6"/>
  <c r="Z113" i="6"/>
  <c r="Z109" i="6"/>
  <c r="Z158" i="6"/>
  <c r="Z148" i="6"/>
  <c r="Z120" i="6"/>
  <c r="Z187" i="6"/>
  <c r="Z147" i="6"/>
  <c r="Z61" i="6"/>
  <c r="Z36" i="6"/>
  <c r="Z24" i="6"/>
  <c r="Z92" i="6"/>
  <c r="Z144" i="6"/>
  <c r="AA7" i="6"/>
  <c r="Z88" i="6"/>
  <c r="Z198" i="6"/>
  <c r="Z72" i="6"/>
  <c r="Z125" i="6"/>
  <c r="Z200" i="6"/>
  <c r="Z191" i="6"/>
  <c r="Z28" i="6"/>
  <c r="Z128" i="6"/>
  <c r="Z143" i="6"/>
  <c r="Z203" i="6"/>
  <c r="Z154" i="6"/>
  <c r="Z103" i="6"/>
  <c r="Z216" i="6"/>
  <c r="Z184" i="6"/>
  <c r="Z172" i="6"/>
  <c r="Z213" i="6"/>
  <c r="Z141" i="6"/>
  <c r="Z127" i="6"/>
  <c r="Z209" i="6"/>
  <c r="Z157" i="6"/>
  <c r="Z78" i="6"/>
  <c r="Z95" i="6"/>
  <c r="Z155" i="6"/>
  <c r="Z208" i="6"/>
  <c r="Z115" i="6"/>
  <c r="Z210" i="6"/>
  <c r="Z122" i="6"/>
  <c r="Z45" i="6"/>
  <c r="Z114" i="6"/>
  <c r="Z165" i="6"/>
  <c r="Z59" i="6"/>
  <c r="Z20" i="6"/>
  <c r="Z110" i="6"/>
  <c r="Z215" i="6"/>
  <c r="Z121" i="6"/>
  <c r="Z11" i="6"/>
  <c r="Z192" i="6"/>
  <c r="Z201" i="6"/>
  <c r="Z132" i="6"/>
  <c r="Z104" i="6"/>
  <c r="Z9" i="6"/>
  <c r="Z129" i="6"/>
  <c r="Z178" i="6"/>
  <c r="Y5" i="6"/>
  <c r="AA195" i="6" l="1"/>
  <c r="AA217" i="6"/>
  <c r="Z5" i="6"/>
  <c r="AA84" i="6"/>
  <c r="AA53" i="6"/>
  <c r="AA29" i="6"/>
  <c r="AA23" i="6"/>
  <c r="AA48" i="6"/>
  <c r="AA105" i="6"/>
  <c r="AA160" i="6"/>
  <c r="AA194" i="6"/>
  <c r="AA203" i="6"/>
  <c r="AA197" i="6"/>
  <c r="AA165" i="6"/>
  <c r="AA47" i="6"/>
  <c r="AA60" i="6"/>
  <c r="AA64" i="6"/>
  <c r="AA162" i="6"/>
  <c r="AA24" i="6"/>
  <c r="AA76" i="6"/>
  <c r="AA80" i="6"/>
  <c r="AA177" i="6"/>
  <c r="AA118" i="6"/>
  <c r="AA130" i="6"/>
  <c r="AA121" i="6"/>
  <c r="AA104" i="6"/>
  <c r="AA70" i="6"/>
  <c r="AA61" i="6"/>
  <c r="AA95" i="6"/>
  <c r="AA157" i="6"/>
  <c r="AA41" i="6"/>
  <c r="AA90" i="6"/>
  <c r="AA78" i="6"/>
  <c r="AA21" i="6"/>
  <c r="AA133" i="6"/>
  <c r="AA32" i="6"/>
  <c r="AA74" i="6"/>
  <c r="AA216" i="6"/>
  <c r="AA173" i="6"/>
  <c r="AA38" i="6"/>
  <c r="AA96" i="6"/>
  <c r="AA27" i="6"/>
  <c r="AA148" i="6"/>
  <c r="AA147" i="6"/>
  <c r="AA132" i="6"/>
  <c r="AA200" i="6"/>
  <c r="AA199" i="6"/>
  <c r="AA16" i="6"/>
  <c r="AA156" i="6"/>
  <c r="AA128" i="6"/>
  <c r="AA209" i="6"/>
  <c r="AA106" i="6"/>
  <c r="AA198" i="6"/>
  <c r="AA55" i="6"/>
  <c r="AA116" i="6"/>
  <c r="AA44" i="6"/>
  <c r="AA101" i="6"/>
  <c r="AA193" i="6"/>
  <c r="AA215" i="6"/>
  <c r="AA172" i="6"/>
  <c r="AA50" i="6"/>
  <c r="AA79" i="6"/>
  <c r="AA155" i="6"/>
  <c r="AA34" i="6"/>
  <c r="AA110" i="6"/>
  <c r="AA22" i="6"/>
  <c r="AA86" i="6"/>
  <c r="AA51" i="6"/>
  <c r="AA100" i="6"/>
  <c r="AA8" i="6"/>
  <c r="AA186" i="6"/>
  <c r="AA123" i="6"/>
  <c r="AA63" i="6"/>
  <c r="AA124" i="6"/>
  <c r="AA152" i="6"/>
  <c r="AA19" i="6"/>
  <c r="AA112" i="6"/>
  <c r="AA161" i="6"/>
  <c r="AA208" i="6"/>
  <c r="AA125" i="6"/>
  <c r="AA35" i="6"/>
  <c r="AA102" i="6"/>
  <c r="AA17" i="6"/>
  <c r="AA12" i="6"/>
  <c r="AA206" i="6"/>
  <c r="AA111" i="6"/>
  <c r="AA143" i="6"/>
  <c r="AA89" i="6"/>
  <c r="AA87" i="6"/>
  <c r="AA201" i="6"/>
  <c r="AA170" i="6"/>
  <c r="AA214" i="6"/>
  <c r="AA20" i="6"/>
  <c r="AA62" i="6"/>
  <c r="AA205" i="6"/>
  <c r="AA202" i="6"/>
  <c r="AA212" i="6"/>
  <c r="AA26" i="6"/>
  <c r="AA175" i="6"/>
  <c r="AA85" i="6"/>
  <c r="AA46" i="6"/>
  <c r="AA94" i="6"/>
  <c r="AA207" i="6"/>
  <c r="AA210" i="6"/>
  <c r="AA18" i="6"/>
  <c r="AA40" i="6"/>
  <c r="AA190" i="6"/>
  <c r="AA69" i="6"/>
  <c r="AA97" i="6"/>
  <c r="AA56" i="6"/>
  <c r="AA176" i="6"/>
  <c r="AA49" i="6"/>
  <c r="AA107" i="6"/>
  <c r="AA37" i="6"/>
  <c r="AA108" i="6"/>
  <c r="AA137" i="6"/>
  <c r="AA211" i="6"/>
  <c r="AA77" i="6"/>
  <c r="AA129" i="6"/>
  <c r="AA146" i="6"/>
  <c r="AA103" i="6"/>
  <c r="AA174" i="6"/>
  <c r="AA39" i="6"/>
  <c r="AA59" i="6"/>
  <c r="AA181" i="6"/>
  <c r="AA119" i="6"/>
  <c r="AA187" i="6"/>
  <c r="AA189" i="6"/>
  <c r="AA183" i="6"/>
  <c r="AA163" i="6"/>
  <c r="AA68" i="6"/>
  <c r="AA81" i="6"/>
  <c r="AA145" i="6"/>
  <c r="AA185" i="6"/>
  <c r="AA136" i="6"/>
  <c r="AA182" i="6"/>
  <c r="AA158" i="6"/>
  <c r="AA75" i="6"/>
  <c r="AA11" i="6"/>
  <c r="AA154" i="6"/>
  <c r="AA88" i="6"/>
  <c r="AA192" i="6"/>
  <c r="AA30" i="6"/>
  <c r="AA115" i="6"/>
  <c r="AA10" i="6"/>
  <c r="AA142" i="6"/>
  <c r="AA66" i="6"/>
  <c r="AA45" i="6"/>
  <c r="AA135" i="6"/>
  <c r="AA82" i="6"/>
  <c r="AA15" i="6"/>
  <c r="AA140" i="6"/>
  <c r="AA120" i="6"/>
  <c r="AA150" i="6"/>
  <c r="AA83" i="6"/>
  <c r="AA153" i="6"/>
  <c r="AA122" i="6"/>
  <c r="AA13" i="6"/>
  <c r="AA191" i="6"/>
  <c r="AA52" i="6"/>
  <c r="AA73" i="6"/>
  <c r="AA91" i="6"/>
  <c r="AA164" i="6"/>
  <c r="AA213" i="6"/>
  <c r="AA36" i="6"/>
  <c r="AA71" i="6"/>
  <c r="AA167" i="6"/>
  <c r="AA166" i="6"/>
  <c r="AA196" i="6"/>
  <c r="AA114" i="6"/>
  <c r="AA42" i="6"/>
  <c r="AA57" i="6"/>
  <c r="AA9" i="6"/>
  <c r="AA117" i="6"/>
  <c r="AA178" i="6"/>
  <c r="AA43" i="6"/>
  <c r="AA98" i="6"/>
  <c r="AA14" i="6"/>
  <c r="AB7" i="6"/>
  <c r="AA131" i="6"/>
  <c r="AA204" i="6"/>
  <c r="AA72" i="6"/>
  <c r="AA179" i="6"/>
  <c r="AA138" i="6"/>
  <c r="AA184" i="6"/>
  <c r="AA151" i="6"/>
  <c r="AA180" i="6"/>
  <c r="AA139" i="6"/>
  <c r="AA169" i="6"/>
  <c r="AA31" i="6"/>
  <c r="AA99" i="6"/>
  <c r="AA149" i="6"/>
  <c r="AA134" i="6"/>
  <c r="AA159" i="6"/>
  <c r="AA67" i="6"/>
  <c r="AA127" i="6"/>
  <c r="AA28" i="6"/>
  <c r="AA65" i="6"/>
  <c r="AA188" i="6"/>
  <c r="AA93" i="6"/>
  <c r="AA168" i="6"/>
  <c r="AA109" i="6"/>
  <c r="AA54" i="6"/>
  <c r="AA58" i="6"/>
  <c r="AA25" i="6"/>
  <c r="AA144" i="6"/>
  <c r="AA33" i="6"/>
  <c r="AA171" i="6"/>
  <c r="AA113" i="6"/>
  <c r="AA141" i="6"/>
  <c r="AA126" i="6"/>
  <c r="AA92" i="6"/>
  <c r="AB195" i="6" l="1"/>
  <c r="AB217" i="6"/>
  <c r="AA5" i="6"/>
  <c r="AB84" i="6"/>
  <c r="AB41" i="6"/>
  <c r="AB198" i="6"/>
  <c r="AB30" i="6"/>
  <c r="AB199" i="6"/>
  <c r="AB109" i="6"/>
  <c r="AB112" i="6"/>
  <c r="AB58" i="6"/>
  <c r="AB168" i="6"/>
  <c r="AB207" i="6"/>
  <c r="AB216" i="6"/>
  <c r="AB213" i="6"/>
  <c r="AB88" i="6"/>
  <c r="AB51" i="6"/>
  <c r="AB151" i="6"/>
  <c r="AB47" i="6"/>
  <c r="AB70" i="6"/>
  <c r="AB144" i="6"/>
  <c r="AB146" i="6"/>
  <c r="AB60" i="6"/>
  <c r="AB91" i="6"/>
  <c r="AB182" i="6"/>
  <c r="AB101" i="6"/>
  <c r="AB194" i="6"/>
  <c r="AB154" i="6"/>
  <c r="AB107" i="6"/>
  <c r="AB54" i="6"/>
  <c r="AB16" i="6"/>
  <c r="AB157" i="6"/>
  <c r="AB17" i="6"/>
  <c r="AB38" i="6"/>
  <c r="AB12" i="6"/>
  <c r="AB108" i="6"/>
  <c r="AB44" i="6"/>
  <c r="AB39" i="6"/>
  <c r="AB148" i="6"/>
  <c r="AB200" i="6"/>
  <c r="AB121" i="6"/>
  <c r="AB145" i="6"/>
  <c r="AB210" i="6"/>
  <c r="AB63" i="6"/>
  <c r="AB181" i="6"/>
  <c r="AB94" i="6"/>
  <c r="AB201" i="6"/>
  <c r="AB56" i="6"/>
  <c r="AB160" i="6"/>
  <c r="AB191" i="6"/>
  <c r="AB114" i="6"/>
  <c r="AB46" i="6"/>
  <c r="AB93" i="6"/>
  <c r="AB76" i="6"/>
  <c r="AB187" i="6"/>
  <c r="AB33" i="6"/>
  <c r="AB202" i="6"/>
  <c r="AB176" i="6"/>
  <c r="AB139" i="6"/>
  <c r="AB77" i="6"/>
  <c r="AB204" i="6"/>
  <c r="AB162" i="6"/>
  <c r="AB117" i="6"/>
  <c r="AB126" i="6"/>
  <c r="AB36" i="6"/>
  <c r="AB87" i="6"/>
  <c r="AB185" i="6"/>
  <c r="AB18" i="6"/>
  <c r="AB179" i="6"/>
  <c r="AB28" i="6"/>
  <c r="AB188" i="6"/>
  <c r="AB155" i="6"/>
  <c r="AB170" i="6"/>
  <c r="AB147" i="6"/>
  <c r="AB158" i="6"/>
  <c r="AB90" i="6"/>
  <c r="AB83" i="6"/>
  <c r="AB196" i="6"/>
  <c r="AB86" i="6"/>
  <c r="AB67" i="6"/>
  <c r="AB64" i="6"/>
  <c r="AB105" i="6"/>
  <c r="AB29" i="6"/>
  <c r="AB116" i="6"/>
  <c r="AB23" i="6"/>
  <c r="AB59" i="6"/>
  <c r="AB214" i="6"/>
  <c r="AB127" i="6"/>
  <c r="AB208" i="6"/>
  <c r="AB110" i="6"/>
  <c r="AB62" i="6"/>
  <c r="AB136" i="6"/>
  <c r="AB32" i="6"/>
  <c r="AB100" i="6"/>
  <c r="AB113" i="6"/>
  <c r="AB184" i="6"/>
  <c r="AB174" i="6"/>
  <c r="AB159" i="6"/>
  <c r="AB163" i="6"/>
  <c r="AB82" i="6"/>
  <c r="AB48" i="6"/>
  <c r="AB206" i="6"/>
  <c r="AB99" i="6"/>
  <c r="AB128" i="6"/>
  <c r="AB19" i="6"/>
  <c r="AB24" i="6"/>
  <c r="AB25" i="6"/>
  <c r="AB78" i="6"/>
  <c r="AB175" i="6"/>
  <c r="AB212" i="6"/>
  <c r="AB143" i="6"/>
  <c r="AB133" i="6"/>
  <c r="AB97" i="6"/>
  <c r="AB129" i="6"/>
  <c r="AB66" i="6"/>
  <c r="AB134" i="6"/>
  <c r="AB211" i="6"/>
  <c r="AB186" i="6"/>
  <c r="AB138" i="6"/>
  <c r="AB167" i="6"/>
  <c r="AB122" i="6"/>
  <c r="AB81" i="6"/>
  <c r="AB125" i="6"/>
  <c r="AB135" i="6"/>
  <c r="AB180" i="6"/>
  <c r="AB111" i="6"/>
  <c r="AB69" i="6"/>
  <c r="AB96" i="6"/>
  <c r="AB137" i="6"/>
  <c r="AB104" i="6"/>
  <c r="AB183" i="6"/>
  <c r="AB15" i="6"/>
  <c r="AB13" i="6"/>
  <c r="AB95" i="6"/>
  <c r="AB72" i="6"/>
  <c r="AB21" i="6"/>
  <c r="AB120" i="6"/>
  <c r="AB149" i="6"/>
  <c r="AB172" i="6"/>
  <c r="AB40" i="6"/>
  <c r="AB152" i="6"/>
  <c r="AB197" i="6"/>
  <c r="AB103" i="6"/>
  <c r="AB22" i="6"/>
  <c r="AB73" i="6"/>
  <c r="AB52" i="6"/>
  <c r="AB106" i="6"/>
  <c r="AB203" i="6"/>
  <c r="AB140" i="6"/>
  <c r="AB102" i="6"/>
  <c r="AB119" i="6"/>
  <c r="AB161" i="6"/>
  <c r="AB156" i="6"/>
  <c r="AB209" i="6"/>
  <c r="AB61" i="6"/>
  <c r="AB14" i="6"/>
  <c r="AB75" i="6"/>
  <c r="AB31" i="6"/>
  <c r="AB166" i="6"/>
  <c r="AB57" i="6"/>
  <c r="AB205" i="6"/>
  <c r="AB89" i="6"/>
  <c r="AB153" i="6"/>
  <c r="AB173" i="6"/>
  <c r="AB98" i="6"/>
  <c r="AB9" i="6"/>
  <c r="AB42" i="6"/>
  <c r="AB130" i="6"/>
  <c r="AB150" i="6"/>
  <c r="AB65" i="6"/>
  <c r="AB74" i="6"/>
  <c r="AB177" i="6"/>
  <c r="AB164" i="6"/>
  <c r="AB71" i="6"/>
  <c r="AB193" i="6"/>
  <c r="AB37" i="6"/>
  <c r="AB178" i="6"/>
  <c r="AB171" i="6"/>
  <c r="AB8" i="6"/>
  <c r="AB190" i="6"/>
  <c r="AB50" i="6"/>
  <c r="AB68" i="6"/>
  <c r="AB43" i="6"/>
  <c r="AB79" i="6"/>
  <c r="AB27" i="6"/>
  <c r="AB11" i="6"/>
  <c r="AB131" i="6"/>
  <c r="AB165" i="6"/>
  <c r="AB124" i="6"/>
  <c r="AB115" i="6"/>
  <c r="AB123" i="6"/>
  <c r="AB189" i="6"/>
  <c r="AB192" i="6"/>
  <c r="AB55" i="6"/>
  <c r="AB132" i="6"/>
  <c r="AB118" i="6"/>
  <c r="AB142" i="6"/>
  <c r="AB49" i="6"/>
  <c r="AB20" i="6"/>
  <c r="AB34" i="6"/>
  <c r="AB92" i="6"/>
  <c r="AB26" i="6"/>
  <c r="AB80" i="6"/>
  <c r="AB169" i="6"/>
  <c r="AB45" i="6"/>
  <c r="AB141" i="6"/>
  <c r="AB215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<sst xmlns="http://schemas.openxmlformats.org/spreadsheetml/2006/main" count="2021" uniqueCount="916">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</sst>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topLeftCell="E1" zoomScale="110" zoomScaleNormal="110" workbookViewId="0">
      <pane ySplit="7" topLeftCell="A14" activePane="bottomLeft" state="frozen"/>
      <selection pane="bottomLeft" activeCell="O26" sqref="O26"/>
    </sheetView>
  </sheetViews>
  <sheetFormatPr defaultColWidth="9.109375" defaultRowHeight="14.25" customHeight="1" x14ac:dyDescent="0.25"/>
  <cols>
    <col min="1" max="1" width="6.109375" style="2" customWidth="1"/>
    <col min="2" max="2" width="4.88671875" style="2" customWidth="1"/>
    <col min="3" max="3" width="6.109375" style="2" customWidth="1"/>
    <col min="4" max="4" width="31.109375" style="3" customWidth="1"/>
    <col min="5" max="5" width="12.44140625" style="2" customWidth="1"/>
    <col min="6" max="6" width="24.88671875" style="3" customWidth="1"/>
    <col min="7" max="7" width="23.109375" style="2" customWidth="1"/>
    <col min="8" max="8" width="11.6640625" style="2" customWidth="1"/>
    <col min="9" max="9" width="17.33203125" style="2" customWidth="1"/>
    <col min="10" max="10" width="8.109375" style="2" customWidth="1"/>
    <col min="11" max="11" width="12.109375" style="2" customWidth="1"/>
    <col min="12" max="12" width="6.88671875" style="15" customWidth="1"/>
    <col min="13" max="13" width="28.5546875" style="16" customWidth="1"/>
    <col min="14" max="14" width="22.109375" style="16" customWidth="1"/>
    <col min="15" max="15" width="7.109375" style="2" customWidth="1"/>
    <col min="16" max="16" width="7" style="2" customWidth="1"/>
    <col min="17" max="17" width="11.66406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46" width="9.109375" style="2"/>
    <col min="47" max="16384" width="9.109375" style="3"/>
  </cols>
  <sheetData>
    <row r="1" spans="1:46" ht="14.25" customHeight="1" x14ac:dyDescent="0.25">
      <c r="D1" s="2"/>
      <c r="F1" s="2"/>
    </row>
    <row r="2" spans="1:46" ht="14.25" customHeight="1" x14ac:dyDescent="0.25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5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5">
      <c r="D4" s="9" t="s">
        <v>3</v>
      </c>
      <c r="E4" s="10">
        <f>+AI6</f>
        <v>127</v>
      </c>
      <c r="F4" s="10">
        <f>+AE6</f>
        <v>50</v>
      </c>
      <c r="G4" s="10">
        <f>+AG6</f>
        <v>47</v>
      </c>
      <c r="H4" s="7">
        <f>+E4-G4</f>
        <v>80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5">
      <c r="D5" s="12" t="s">
        <v>12</v>
      </c>
      <c r="E5" s="12">
        <f>+E3+E4</f>
        <v>178</v>
      </c>
      <c r="F5" s="12">
        <f>+F3+F4</f>
        <v>115</v>
      </c>
      <c r="G5" s="12">
        <f>+G3+G4</f>
        <v>96</v>
      </c>
      <c r="H5" s="12">
        <f>+H3+H4</f>
        <v>82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5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50</v>
      </c>
      <c r="AF6" s="2">
        <f t="shared" si="1"/>
        <v>49</v>
      </c>
      <c r="AG6" s="2">
        <f t="shared" si="1"/>
        <v>47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3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900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3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3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3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3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899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3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3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3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3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3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3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891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3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3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3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3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3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3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885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3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3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1</v>
      </c>
      <c r="AF25" s="2">
        <f t="shared" si="3"/>
        <v>0</v>
      </c>
      <c r="AG25" s="2">
        <f t="shared" si="4"/>
        <v>1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3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885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3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1</v>
      </c>
      <c r="AE27" s="2">
        <f t="shared" si="18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3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3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3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3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902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3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3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3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3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3">
      <c r="A36" s="36">
        <v>0</v>
      </c>
      <c r="B36" s="36">
        <v>1</v>
      </c>
      <c r="C36" s="36">
        <v>3</v>
      </c>
      <c r="D36" s="37" t="s">
        <v>524</v>
      </c>
      <c r="E36" s="37" t="s">
        <v>235</v>
      </c>
      <c r="F36" s="37" t="s">
        <v>525</v>
      </c>
      <c r="G36" s="37" t="s">
        <v>101</v>
      </c>
      <c r="H36" s="37" t="s">
        <v>190</v>
      </c>
      <c r="I36" s="36" t="s">
        <v>560</v>
      </c>
      <c r="J36" s="36">
        <v>7</v>
      </c>
      <c r="K36" s="36" t="s">
        <v>298</v>
      </c>
      <c r="L36" s="36" t="s">
        <v>505</v>
      </c>
      <c r="M36" s="37" t="s">
        <v>195</v>
      </c>
      <c r="N36" s="37" t="s">
        <v>850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3">
      <c r="A37" s="33">
        <v>0</v>
      </c>
      <c r="B37" s="33">
        <v>1</v>
      </c>
      <c r="C37" s="33">
        <v>3</v>
      </c>
      <c r="D37" s="34" t="s">
        <v>78</v>
      </c>
      <c r="E37" s="34" t="s">
        <v>234</v>
      </c>
      <c r="F37" s="34" t="s">
        <v>28</v>
      </c>
      <c r="G37" s="34" t="s">
        <v>88</v>
      </c>
      <c r="H37" s="34" t="s">
        <v>190</v>
      </c>
      <c r="I37" s="33" t="s">
        <v>29</v>
      </c>
      <c r="J37" s="33">
        <v>2</v>
      </c>
      <c r="K37" s="33" t="s">
        <v>290</v>
      </c>
      <c r="L37" s="33" t="s">
        <v>509</v>
      </c>
      <c r="M37" s="34" t="s">
        <v>304</v>
      </c>
      <c r="N37" s="34" t="s">
        <v>849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3">
      <c r="A38" s="36">
        <v>0</v>
      </c>
      <c r="B38" s="36">
        <v>1</v>
      </c>
      <c r="C38" s="36">
        <v>3</v>
      </c>
      <c r="D38" s="37" t="s">
        <v>632</v>
      </c>
      <c r="E38" s="37" t="s">
        <v>234</v>
      </c>
      <c r="F38" s="37" t="s">
        <v>587</v>
      </c>
      <c r="G38" s="37" t="s">
        <v>103</v>
      </c>
      <c r="H38" s="37" t="s">
        <v>661</v>
      </c>
      <c r="I38" s="36" t="s">
        <v>588</v>
      </c>
      <c r="J38" s="36">
        <v>99</v>
      </c>
      <c r="K38" s="36" t="s">
        <v>290</v>
      </c>
      <c r="L38" s="36">
        <v>65</v>
      </c>
      <c r="M38" s="37" t="s">
        <v>795</v>
      </c>
      <c r="N38" s="37" t="s">
        <v>852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3">
      <c r="A39" s="20">
        <v>0</v>
      </c>
      <c r="B39" s="20">
        <v>1</v>
      </c>
      <c r="C39" s="20">
        <v>3</v>
      </c>
      <c r="D39" s="19" t="s">
        <v>482</v>
      </c>
      <c r="E39" s="19" t="s">
        <v>234</v>
      </c>
      <c r="F39" s="19" t="s">
        <v>452</v>
      </c>
      <c r="G39" s="19" t="s">
        <v>490</v>
      </c>
      <c r="H39" s="19" t="s">
        <v>190</v>
      </c>
      <c r="I39" s="20" t="s">
        <v>664</v>
      </c>
      <c r="J39" s="20">
        <v>99</v>
      </c>
      <c r="K39" s="20" t="s">
        <v>385</v>
      </c>
      <c r="L39" s="20" t="s">
        <v>305</v>
      </c>
      <c r="M39" s="19" t="s">
        <v>672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3">
      <c r="A40" s="36">
        <v>0</v>
      </c>
      <c r="B40" s="36">
        <v>1</v>
      </c>
      <c r="C40" s="36">
        <v>3</v>
      </c>
      <c r="D40" s="37" t="s">
        <v>753</v>
      </c>
      <c r="E40" s="37" t="s">
        <v>758</v>
      </c>
      <c r="F40" s="37" t="s">
        <v>746</v>
      </c>
      <c r="G40" s="37" t="s">
        <v>82</v>
      </c>
      <c r="H40" s="37" t="s">
        <v>190</v>
      </c>
      <c r="I40" s="36" t="s">
        <v>747</v>
      </c>
      <c r="J40" s="36">
        <v>1</v>
      </c>
      <c r="K40" s="36" t="s">
        <v>298</v>
      </c>
      <c r="L40" s="36">
        <v>50</v>
      </c>
      <c r="M40" s="37" t="s">
        <v>796</v>
      </c>
      <c r="N40" s="37" t="s">
        <v>852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3">
      <c r="A41" s="33">
        <v>0</v>
      </c>
      <c r="B41" s="33">
        <v>1</v>
      </c>
      <c r="C41" s="33">
        <v>3</v>
      </c>
      <c r="D41" s="34" t="s">
        <v>692</v>
      </c>
      <c r="E41" s="34" t="s">
        <v>234</v>
      </c>
      <c r="F41" s="34" t="s">
        <v>694</v>
      </c>
      <c r="G41" s="34" t="s">
        <v>102</v>
      </c>
      <c r="H41" s="34" t="s">
        <v>190</v>
      </c>
      <c r="I41" s="33" t="s">
        <v>693</v>
      </c>
      <c r="J41" s="33">
        <v>2</v>
      </c>
      <c r="K41" s="33" t="s">
        <v>292</v>
      </c>
      <c r="L41" s="33" t="s">
        <v>505</v>
      </c>
      <c r="M41" s="34" t="s">
        <v>695</v>
      </c>
      <c r="N41" s="34" t="s">
        <v>857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3">
      <c r="A42" s="20">
        <v>0</v>
      </c>
      <c r="B42" s="20">
        <v>1</v>
      </c>
      <c r="C42" s="20">
        <v>3</v>
      </c>
      <c r="D42" s="19" t="s">
        <v>146</v>
      </c>
      <c r="E42" s="19" t="s">
        <v>234</v>
      </c>
      <c r="F42" s="19" t="s">
        <v>147</v>
      </c>
      <c r="G42" s="19" t="s">
        <v>72</v>
      </c>
      <c r="H42" s="19" t="s">
        <v>190</v>
      </c>
      <c r="I42" s="20" t="s">
        <v>191</v>
      </c>
      <c r="J42" s="20">
        <v>4</v>
      </c>
      <c r="K42" s="20" t="s">
        <v>385</v>
      </c>
      <c r="L42" s="20">
        <v>40</v>
      </c>
      <c r="M42" s="19" t="s">
        <v>592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3">
      <c r="A43" s="20">
        <v>0</v>
      </c>
      <c r="B43" s="20">
        <v>1</v>
      </c>
      <c r="C43" s="20">
        <v>3</v>
      </c>
      <c r="D43" s="19" t="s">
        <v>275</v>
      </c>
      <c r="E43" s="19" t="s">
        <v>279</v>
      </c>
      <c r="F43" s="19" t="s">
        <v>39</v>
      </c>
      <c r="G43" s="19" t="s">
        <v>107</v>
      </c>
      <c r="H43" s="19" t="s">
        <v>190</v>
      </c>
      <c r="I43" s="20" t="s">
        <v>41</v>
      </c>
      <c r="J43" s="20">
        <v>99</v>
      </c>
      <c r="K43" s="20" t="s">
        <v>385</v>
      </c>
      <c r="L43" s="20">
        <v>30</v>
      </c>
      <c r="M43" s="19" t="s">
        <v>198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3">
      <c r="A44" s="20">
        <v>0</v>
      </c>
      <c r="B44" s="20">
        <v>1</v>
      </c>
      <c r="C44" s="20">
        <v>3</v>
      </c>
      <c r="D44" s="19" t="s">
        <v>209</v>
      </c>
      <c r="E44" s="19" t="s">
        <v>239</v>
      </c>
      <c r="F44" s="19" t="s">
        <v>554</v>
      </c>
      <c r="G44" s="19" t="s">
        <v>72</v>
      </c>
      <c r="H44" s="19" t="s">
        <v>190</v>
      </c>
      <c r="I44" s="20" t="s">
        <v>210</v>
      </c>
      <c r="J44" s="20">
        <v>4</v>
      </c>
      <c r="K44" s="20" t="s">
        <v>385</v>
      </c>
      <c r="L44" s="20">
        <v>38</v>
      </c>
      <c r="M44" s="19" t="s">
        <v>589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3">
      <c r="A45" s="20">
        <v>0</v>
      </c>
      <c r="B45" s="20">
        <v>1</v>
      </c>
      <c r="C45" s="20">
        <v>3</v>
      </c>
      <c r="D45" s="19" t="s">
        <v>386</v>
      </c>
      <c r="E45" s="19" t="s">
        <v>234</v>
      </c>
      <c r="F45" s="19" t="s">
        <v>387</v>
      </c>
      <c r="G45" s="19" t="s">
        <v>107</v>
      </c>
      <c r="H45" s="19" t="s">
        <v>190</v>
      </c>
      <c r="I45" s="20" t="s">
        <v>388</v>
      </c>
      <c r="J45" s="20">
        <v>99</v>
      </c>
      <c r="K45" s="20" t="s">
        <v>385</v>
      </c>
      <c r="L45" s="20">
        <v>25</v>
      </c>
      <c r="M45" s="19" t="s">
        <v>590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3">
      <c r="A46" s="20">
        <v>0</v>
      </c>
      <c r="B46" s="20">
        <v>1</v>
      </c>
      <c r="C46" s="20">
        <v>3</v>
      </c>
      <c r="D46" s="19" t="s">
        <v>612</v>
      </c>
      <c r="E46" s="19" t="s">
        <v>234</v>
      </c>
      <c r="F46" s="19" t="s">
        <v>611</v>
      </c>
      <c r="G46" s="19" t="s">
        <v>82</v>
      </c>
      <c r="H46" s="19" t="s">
        <v>190</v>
      </c>
      <c r="I46" s="20" t="s">
        <v>613</v>
      </c>
      <c r="J46" s="20">
        <v>1</v>
      </c>
      <c r="K46" s="20" t="s">
        <v>385</v>
      </c>
      <c r="L46" s="20">
        <v>35</v>
      </c>
      <c r="M46" s="19" t="s">
        <v>195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3">
      <c r="A47" s="33">
        <v>0</v>
      </c>
      <c r="B47" s="33">
        <v>1</v>
      </c>
      <c r="C47" s="33">
        <v>3</v>
      </c>
      <c r="D47" s="34" t="s">
        <v>57</v>
      </c>
      <c r="E47" s="34" t="s">
        <v>235</v>
      </c>
      <c r="F47" s="34" t="s">
        <v>346</v>
      </c>
      <c r="G47" s="34" t="s">
        <v>88</v>
      </c>
      <c r="H47" s="34" t="s">
        <v>190</v>
      </c>
      <c r="I47" s="33" t="s">
        <v>374</v>
      </c>
      <c r="J47" s="33">
        <v>2</v>
      </c>
      <c r="K47" s="33" t="s">
        <v>298</v>
      </c>
      <c r="L47" s="33" t="s">
        <v>507</v>
      </c>
      <c r="M47" s="34" t="s">
        <v>513</v>
      </c>
      <c r="N47" s="34" t="s">
        <v>859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3">
      <c r="A48" s="36">
        <v>0</v>
      </c>
      <c r="B48" s="36">
        <v>1</v>
      </c>
      <c r="C48" s="36">
        <v>3</v>
      </c>
      <c r="D48" s="37" t="s">
        <v>123</v>
      </c>
      <c r="E48" s="37" t="s">
        <v>234</v>
      </c>
      <c r="F48" s="37" t="s">
        <v>347</v>
      </c>
      <c r="G48" s="37" t="s">
        <v>88</v>
      </c>
      <c r="H48" s="37" t="s">
        <v>190</v>
      </c>
      <c r="I48" s="36" t="s">
        <v>231</v>
      </c>
      <c r="J48" s="36">
        <v>2</v>
      </c>
      <c r="K48" s="36" t="s">
        <v>292</v>
      </c>
      <c r="L48" s="36" t="s">
        <v>303</v>
      </c>
      <c r="M48" s="37" t="s">
        <v>679</v>
      </c>
      <c r="N48" s="37" t="s">
        <v>851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3">
      <c r="A49" s="33">
        <v>0</v>
      </c>
      <c r="B49" s="33">
        <v>1</v>
      </c>
      <c r="C49" s="33">
        <v>3</v>
      </c>
      <c r="D49" s="34" t="s">
        <v>91</v>
      </c>
      <c r="E49" s="34" t="s">
        <v>234</v>
      </c>
      <c r="F49" s="34" t="s">
        <v>58</v>
      </c>
      <c r="G49" s="34" t="s">
        <v>82</v>
      </c>
      <c r="H49" s="34" t="s">
        <v>190</v>
      </c>
      <c r="I49" s="33" t="s">
        <v>77</v>
      </c>
      <c r="J49" s="33">
        <v>1</v>
      </c>
      <c r="K49" s="33" t="s">
        <v>298</v>
      </c>
      <c r="L49" s="33" t="s">
        <v>303</v>
      </c>
      <c r="M49" s="34" t="s">
        <v>302</v>
      </c>
      <c r="N49" s="34" t="s">
        <v>859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3">
      <c r="A50" s="33">
        <v>0</v>
      </c>
      <c r="B50" s="33">
        <v>1</v>
      </c>
      <c r="C50" s="33">
        <v>3</v>
      </c>
      <c r="D50" s="34" t="s">
        <v>242</v>
      </c>
      <c r="E50" s="34" t="s">
        <v>237</v>
      </c>
      <c r="F50" s="34" t="s">
        <v>348</v>
      </c>
      <c r="G50" s="34" t="s">
        <v>72</v>
      </c>
      <c r="H50" s="34" t="s">
        <v>190</v>
      </c>
      <c r="I50" s="33" t="s">
        <v>243</v>
      </c>
      <c r="J50" s="33">
        <v>4</v>
      </c>
      <c r="K50" s="33" t="s">
        <v>291</v>
      </c>
      <c r="L50" s="33">
        <v>45</v>
      </c>
      <c r="M50" s="34" t="s">
        <v>195</v>
      </c>
      <c r="N50" s="34" t="s">
        <v>885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3">
      <c r="A51" s="36">
        <v>0</v>
      </c>
      <c r="B51" s="36">
        <v>1</v>
      </c>
      <c r="C51" s="36">
        <v>3</v>
      </c>
      <c r="D51" s="37" t="s">
        <v>602</v>
      </c>
      <c r="E51" s="37" t="s">
        <v>234</v>
      </c>
      <c r="F51" s="37" t="s">
        <v>603</v>
      </c>
      <c r="G51" s="37" t="s">
        <v>605</v>
      </c>
      <c r="H51" s="37" t="s">
        <v>190</v>
      </c>
      <c r="I51" s="36" t="s">
        <v>604</v>
      </c>
      <c r="J51" s="36">
        <v>99</v>
      </c>
      <c r="K51" s="36" t="s">
        <v>298</v>
      </c>
      <c r="L51" s="36" t="s">
        <v>674</v>
      </c>
      <c r="M51" s="37" t="s">
        <v>675</v>
      </c>
      <c r="N51" s="37" t="s">
        <v>884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3">
      <c r="A52" s="20">
        <v>0</v>
      </c>
      <c r="B52" s="20">
        <v>1</v>
      </c>
      <c r="C52" s="20">
        <v>3</v>
      </c>
      <c r="D52" s="19" t="s">
        <v>316</v>
      </c>
      <c r="E52" s="19" t="s">
        <v>234</v>
      </c>
      <c r="F52" s="19" t="s">
        <v>317</v>
      </c>
      <c r="G52" s="19" t="s">
        <v>102</v>
      </c>
      <c r="H52" s="19" t="s">
        <v>190</v>
      </c>
      <c r="I52" s="20" t="s">
        <v>375</v>
      </c>
      <c r="J52" s="20">
        <v>2</v>
      </c>
      <c r="K52" s="20" t="s">
        <v>297</v>
      </c>
      <c r="L52" s="20" t="s">
        <v>507</v>
      </c>
      <c r="M52" s="19" t="s">
        <v>513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3">
      <c r="A53" s="33">
        <v>0</v>
      </c>
      <c r="B53" s="33">
        <v>1</v>
      </c>
      <c r="C53" s="33">
        <v>3</v>
      </c>
      <c r="D53" s="34" t="s">
        <v>31</v>
      </c>
      <c r="E53" s="34" t="s">
        <v>234</v>
      </c>
      <c r="F53" s="34" t="s">
        <v>349</v>
      </c>
      <c r="G53" s="34" t="s">
        <v>72</v>
      </c>
      <c r="H53" s="34" t="s">
        <v>190</v>
      </c>
      <c r="I53" s="33" t="s">
        <v>32</v>
      </c>
      <c r="J53" s="33">
        <v>4</v>
      </c>
      <c r="K53" s="33" t="s">
        <v>292</v>
      </c>
      <c r="L53" s="33" t="s">
        <v>303</v>
      </c>
      <c r="M53" s="34" t="s">
        <v>302</v>
      </c>
      <c r="N53" s="34" t="s">
        <v>857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3">
      <c r="A54" s="33">
        <v>0</v>
      </c>
      <c r="B54" s="33">
        <v>1</v>
      </c>
      <c r="C54" s="33">
        <v>3</v>
      </c>
      <c r="D54" s="34" t="s">
        <v>441</v>
      </c>
      <c r="E54" s="34" t="s">
        <v>235</v>
      </c>
      <c r="F54" s="34" t="s">
        <v>892</v>
      </c>
      <c r="G54" s="34" t="s">
        <v>490</v>
      </c>
      <c r="H54" s="34" t="s">
        <v>190</v>
      </c>
      <c r="I54" s="33" t="s">
        <v>562</v>
      </c>
      <c r="J54" s="33">
        <v>7</v>
      </c>
      <c r="K54" s="33" t="s">
        <v>292</v>
      </c>
      <c r="L54" s="33" t="s">
        <v>301</v>
      </c>
      <c r="M54" s="34" t="s">
        <v>265</v>
      </c>
      <c r="N54" s="34" t="s">
        <v>857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3">
      <c r="A55" s="39">
        <v>0</v>
      </c>
      <c r="B55" s="39">
        <v>1</v>
      </c>
      <c r="C55" s="39">
        <v>3</v>
      </c>
      <c r="D55" s="40" t="s">
        <v>696</v>
      </c>
      <c r="E55" s="40" t="s">
        <v>235</v>
      </c>
      <c r="F55" s="40" t="s">
        <v>697</v>
      </c>
      <c r="G55" s="40" t="s">
        <v>103</v>
      </c>
      <c r="H55" s="40" t="s">
        <v>190</v>
      </c>
      <c r="I55" s="39" t="s">
        <v>698</v>
      </c>
      <c r="J55" s="39">
        <v>99</v>
      </c>
      <c r="K55" s="39" t="s">
        <v>292</v>
      </c>
      <c r="L55" s="39" t="s">
        <v>674</v>
      </c>
      <c r="M55" s="40" t="s">
        <v>699</v>
      </c>
      <c r="N55" s="40"/>
      <c r="O55" s="41"/>
      <c r="P55" s="39"/>
      <c r="Q55" s="40" t="s">
        <v>901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3">
      <c r="A56" s="33">
        <v>0</v>
      </c>
      <c r="B56" s="33">
        <v>1</v>
      </c>
      <c r="C56" s="33">
        <v>3</v>
      </c>
      <c r="D56" s="34" t="s">
        <v>854</v>
      </c>
      <c r="E56" s="34" t="s">
        <v>234</v>
      </c>
      <c r="F56" s="34" t="s">
        <v>855</v>
      </c>
      <c r="G56" s="34" t="s">
        <v>109</v>
      </c>
      <c r="H56" s="34" t="s">
        <v>190</v>
      </c>
      <c r="I56" s="33" t="s">
        <v>856</v>
      </c>
      <c r="J56" s="33"/>
      <c r="K56" s="33" t="s">
        <v>385</v>
      </c>
      <c r="L56" s="33">
        <v>38</v>
      </c>
      <c r="M56" s="34" t="s">
        <v>195</v>
      </c>
      <c r="N56" s="34" t="s">
        <v>849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3">
      <c r="A57" s="20">
        <v>0</v>
      </c>
      <c r="B57" s="20">
        <v>1</v>
      </c>
      <c r="C57" s="20">
        <v>3</v>
      </c>
      <c r="D57" s="19" t="s">
        <v>244</v>
      </c>
      <c r="E57" s="19" t="s">
        <v>235</v>
      </c>
      <c r="F57" s="19" t="s">
        <v>350</v>
      </c>
      <c r="G57" s="19" t="s">
        <v>88</v>
      </c>
      <c r="H57" s="19" t="s">
        <v>190</v>
      </c>
      <c r="I57" s="20" t="s">
        <v>245</v>
      </c>
      <c r="J57" s="20">
        <v>2</v>
      </c>
      <c r="K57" s="20" t="s">
        <v>385</v>
      </c>
      <c r="L57" s="20" t="s">
        <v>305</v>
      </c>
      <c r="M57" s="19" t="s">
        <v>195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3">
      <c r="A58" s="33">
        <v>0</v>
      </c>
      <c r="B58" s="33">
        <v>1</v>
      </c>
      <c r="C58" s="33">
        <v>3</v>
      </c>
      <c r="D58" s="34" t="s">
        <v>799</v>
      </c>
      <c r="E58" s="34" t="s">
        <v>235</v>
      </c>
      <c r="F58" s="34" t="s">
        <v>800</v>
      </c>
      <c r="G58" s="34" t="s">
        <v>88</v>
      </c>
      <c r="H58" s="34" t="s">
        <v>190</v>
      </c>
      <c r="I58" s="33" t="s">
        <v>801</v>
      </c>
      <c r="J58" s="33">
        <v>2</v>
      </c>
      <c r="K58" s="33" t="s">
        <v>385</v>
      </c>
      <c r="L58" s="33"/>
      <c r="M58" s="34"/>
      <c r="N58" s="34" t="s">
        <v>849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3">
      <c r="A59" s="33">
        <v>0</v>
      </c>
      <c r="B59" s="33">
        <v>1</v>
      </c>
      <c r="C59" s="33">
        <v>4</v>
      </c>
      <c r="D59" s="34" t="s">
        <v>133</v>
      </c>
      <c r="E59" s="34" t="s">
        <v>30</v>
      </c>
      <c r="F59" s="34" t="s">
        <v>121</v>
      </c>
      <c r="G59" s="34" t="s">
        <v>109</v>
      </c>
      <c r="H59" s="34" t="s">
        <v>190</v>
      </c>
      <c r="I59" s="33" t="s">
        <v>122</v>
      </c>
      <c r="J59" s="33">
        <v>99</v>
      </c>
      <c r="K59" s="33" t="s">
        <v>292</v>
      </c>
      <c r="L59" s="33" t="s">
        <v>305</v>
      </c>
      <c r="M59" s="34" t="s">
        <v>247</v>
      </c>
      <c r="N59" s="34" t="s">
        <v>849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3">
      <c r="A60" s="20">
        <v>0</v>
      </c>
      <c r="B60" s="20">
        <v>1</v>
      </c>
      <c r="C60" s="20">
        <v>5</v>
      </c>
      <c r="D60" s="19" t="s">
        <v>390</v>
      </c>
      <c r="E60" s="19" t="s">
        <v>237</v>
      </c>
      <c r="F60" s="19" t="s">
        <v>391</v>
      </c>
      <c r="G60" s="19" t="s">
        <v>100</v>
      </c>
      <c r="H60" s="19" t="s">
        <v>190</v>
      </c>
      <c r="I60" s="20" t="s">
        <v>392</v>
      </c>
      <c r="J60" s="20">
        <v>5</v>
      </c>
      <c r="K60" s="20" t="s">
        <v>298</v>
      </c>
      <c r="L60" s="20" t="s">
        <v>305</v>
      </c>
      <c r="M60" s="19" t="s">
        <v>676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3">
      <c r="A61" s="33">
        <v>0</v>
      </c>
      <c r="B61" s="33">
        <v>1</v>
      </c>
      <c r="C61" s="33">
        <v>5</v>
      </c>
      <c r="D61" s="34" t="s">
        <v>802</v>
      </c>
      <c r="E61" s="34" t="s">
        <v>237</v>
      </c>
      <c r="F61" s="34" t="s">
        <v>803</v>
      </c>
      <c r="G61" s="34" t="s">
        <v>72</v>
      </c>
      <c r="H61" s="34" t="s">
        <v>190</v>
      </c>
      <c r="I61" s="33" t="s">
        <v>804</v>
      </c>
      <c r="J61" s="33">
        <v>4</v>
      </c>
      <c r="K61" s="33" t="s">
        <v>385</v>
      </c>
      <c r="L61" s="33"/>
      <c r="M61" s="34"/>
      <c r="N61" s="34" t="s">
        <v>849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3">
      <c r="A62" s="20">
        <v>0</v>
      </c>
      <c r="B62" s="20">
        <v>1</v>
      </c>
      <c r="C62" s="20">
        <v>5</v>
      </c>
      <c r="D62" s="19" t="s">
        <v>434</v>
      </c>
      <c r="E62" s="19" t="s">
        <v>237</v>
      </c>
      <c r="F62" s="19" t="s">
        <v>435</v>
      </c>
      <c r="G62" s="19" t="s">
        <v>100</v>
      </c>
      <c r="H62" s="19" t="s">
        <v>190</v>
      </c>
      <c r="I62" s="20" t="s">
        <v>436</v>
      </c>
      <c r="J62" s="20">
        <v>5</v>
      </c>
      <c r="K62" s="20" t="s">
        <v>385</v>
      </c>
      <c r="L62" s="20" t="s">
        <v>305</v>
      </c>
      <c r="M62" s="19" t="s">
        <v>389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3">
      <c r="A63" s="20">
        <v>0</v>
      </c>
      <c r="B63" s="20">
        <v>1</v>
      </c>
      <c r="C63" s="20">
        <v>5</v>
      </c>
      <c r="D63" s="19" t="s">
        <v>731</v>
      </c>
      <c r="E63" s="19" t="s">
        <v>237</v>
      </c>
      <c r="F63" s="19" t="s">
        <v>732</v>
      </c>
      <c r="G63" s="19" t="s">
        <v>733</v>
      </c>
      <c r="H63" s="19" t="s">
        <v>190</v>
      </c>
      <c r="I63" s="20" t="s">
        <v>734</v>
      </c>
      <c r="J63" s="20">
        <v>99</v>
      </c>
      <c r="K63" s="20" t="s">
        <v>385</v>
      </c>
      <c r="L63" s="20">
        <v>30</v>
      </c>
      <c r="M63" s="19" t="s">
        <v>735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3">
      <c r="A64" s="20">
        <v>0</v>
      </c>
      <c r="B64" s="20">
        <v>1</v>
      </c>
      <c r="C64" s="20">
        <v>5</v>
      </c>
      <c r="D64" s="19" t="s">
        <v>749</v>
      </c>
      <c r="E64" s="19" t="s">
        <v>758</v>
      </c>
      <c r="F64" s="19" t="s">
        <v>775</v>
      </c>
      <c r="G64" s="19" t="s">
        <v>145</v>
      </c>
      <c r="H64" s="19" t="s">
        <v>190</v>
      </c>
      <c r="I64" s="20" t="s">
        <v>785</v>
      </c>
      <c r="J64" s="20">
        <v>99</v>
      </c>
      <c r="K64" s="20" t="s">
        <v>298</v>
      </c>
      <c r="L64" s="20">
        <v>40</v>
      </c>
      <c r="M64" s="19" t="s">
        <v>798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3">
      <c r="A65" s="20">
        <v>1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774</v>
      </c>
      <c r="G65" s="19" t="s">
        <v>103</v>
      </c>
      <c r="H65" s="19" t="s">
        <v>190</v>
      </c>
      <c r="I65" s="20" t="s">
        <v>750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3">
      <c r="A66" s="33">
        <v>0</v>
      </c>
      <c r="B66" s="33">
        <v>1</v>
      </c>
      <c r="C66" s="33">
        <v>5</v>
      </c>
      <c r="D66" s="34" t="s">
        <v>640</v>
      </c>
      <c r="E66" s="34" t="s">
        <v>237</v>
      </c>
      <c r="F66" s="34" t="s">
        <v>654</v>
      </c>
      <c r="G66" s="34" t="s">
        <v>82</v>
      </c>
      <c r="H66" s="34" t="s">
        <v>190</v>
      </c>
      <c r="I66" s="33" t="s">
        <v>606</v>
      </c>
      <c r="J66" s="33">
        <v>1</v>
      </c>
      <c r="K66" s="33" t="s">
        <v>292</v>
      </c>
      <c r="L66" s="33" t="s">
        <v>507</v>
      </c>
      <c r="M66" s="34" t="s">
        <v>678</v>
      </c>
      <c r="N66" s="34" t="s">
        <v>891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3">
      <c r="A67" s="36">
        <v>0</v>
      </c>
      <c r="B67" s="36">
        <v>1</v>
      </c>
      <c r="C67" s="36">
        <v>5</v>
      </c>
      <c r="D67" s="37" t="s">
        <v>124</v>
      </c>
      <c r="E67" s="37" t="s">
        <v>237</v>
      </c>
      <c r="F67" s="37" t="s">
        <v>134</v>
      </c>
      <c r="G67" s="37" t="s">
        <v>72</v>
      </c>
      <c r="H67" s="37" t="s">
        <v>190</v>
      </c>
      <c r="I67" s="36" t="s">
        <v>125</v>
      </c>
      <c r="J67" s="36">
        <v>4</v>
      </c>
      <c r="K67" s="36" t="s">
        <v>385</v>
      </c>
      <c r="L67" s="36">
        <v>31</v>
      </c>
      <c r="M67" s="37" t="s">
        <v>704</v>
      </c>
      <c r="N67" s="37" t="s">
        <v>852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3">
      <c r="A68" s="36">
        <v>0</v>
      </c>
      <c r="B68" s="36">
        <v>1</v>
      </c>
      <c r="C68" s="36">
        <v>5</v>
      </c>
      <c r="D68" s="37" t="s">
        <v>334</v>
      </c>
      <c r="E68" s="37" t="s">
        <v>237</v>
      </c>
      <c r="F68" s="37" t="s">
        <v>66</v>
      </c>
      <c r="G68" s="37" t="s">
        <v>111</v>
      </c>
      <c r="H68" s="37" t="s">
        <v>190</v>
      </c>
      <c r="I68" s="36" t="s">
        <v>561</v>
      </c>
      <c r="J68" s="36">
        <v>5</v>
      </c>
      <c r="K68" s="36" t="s">
        <v>298</v>
      </c>
      <c r="L68" s="36" t="s">
        <v>564</v>
      </c>
      <c r="M68" s="37" t="s">
        <v>195</v>
      </c>
      <c r="N68" s="37" t="s">
        <v>850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3">
      <c r="A69" s="20">
        <v>0</v>
      </c>
      <c r="B69" s="20">
        <v>1</v>
      </c>
      <c r="C69" s="20">
        <v>5</v>
      </c>
      <c r="D69" s="19" t="s">
        <v>909</v>
      </c>
      <c r="E69" s="19" t="s">
        <v>841</v>
      </c>
      <c r="F69" s="19" t="s">
        <v>910</v>
      </c>
      <c r="G69" s="19" t="s">
        <v>72</v>
      </c>
      <c r="H69" s="19" t="s">
        <v>190</v>
      </c>
      <c r="I69" s="20" t="s">
        <v>911</v>
      </c>
      <c r="J69" s="20">
        <v>4</v>
      </c>
      <c r="K69" s="20" t="s">
        <v>385</v>
      </c>
      <c r="L69" s="20">
        <v>45</v>
      </c>
      <c r="M69" s="19" t="s">
        <v>912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3">
      <c r="A70" s="33">
        <v>0</v>
      </c>
      <c r="B70" s="33">
        <v>1</v>
      </c>
      <c r="C70" s="33">
        <v>5</v>
      </c>
      <c r="D70" s="34" t="s">
        <v>816</v>
      </c>
      <c r="E70" s="34" t="s">
        <v>817</v>
      </c>
      <c r="F70" s="34" t="s">
        <v>820</v>
      </c>
      <c r="G70" s="34" t="s">
        <v>72</v>
      </c>
      <c r="H70" s="34" t="s">
        <v>190</v>
      </c>
      <c r="I70" s="33" t="s">
        <v>819</v>
      </c>
      <c r="J70" s="33"/>
      <c r="K70" s="33" t="s">
        <v>385</v>
      </c>
      <c r="L70" s="33">
        <v>45</v>
      </c>
      <c r="M70" s="34" t="s">
        <v>818</v>
      </c>
      <c r="N70" s="34" t="s">
        <v>859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3">
      <c r="A71" s="36">
        <v>0</v>
      </c>
      <c r="B71" s="36">
        <v>1</v>
      </c>
      <c r="C71" s="36">
        <v>5</v>
      </c>
      <c r="D71" s="37" t="s">
        <v>437</v>
      </c>
      <c r="E71" s="37" t="s">
        <v>237</v>
      </c>
      <c r="F71" s="37" t="s">
        <v>493</v>
      </c>
      <c r="G71" s="37" t="s">
        <v>137</v>
      </c>
      <c r="H71" s="37" t="s">
        <v>190</v>
      </c>
      <c r="I71" s="36" t="s">
        <v>438</v>
      </c>
      <c r="J71" s="36">
        <v>1</v>
      </c>
      <c r="K71" s="36" t="s">
        <v>291</v>
      </c>
      <c r="L71" s="36" t="s">
        <v>674</v>
      </c>
      <c r="M71" s="37" t="s">
        <v>713</v>
      </c>
      <c r="N71" s="37" t="s">
        <v>851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3">
      <c r="A72" s="33">
        <v>0</v>
      </c>
      <c r="B72" s="33">
        <v>1</v>
      </c>
      <c r="C72" s="33">
        <v>5</v>
      </c>
      <c r="D72" s="34" t="s">
        <v>808</v>
      </c>
      <c r="E72" s="34" t="s">
        <v>237</v>
      </c>
      <c r="F72" s="34" t="s">
        <v>809</v>
      </c>
      <c r="G72" s="34" t="s">
        <v>810</v>
      </c>
      <c r="H72" s="34" t="s">
        <v>190</v>
      </c>
      <c r="I72" s="33" t="s">
        <v>811</v>
      </c>
      <c r="J72" s="33">
        <v>1</v>
      </c>
      <c r="K72" s="33" t="s">
        <v>385</v>
      </c>
      <c r="L72" s="33">
        <v>40</v>
      </c>
      <c r="M72" s="34" t="s">
        <v>513</v>
      </c>
      <c r="N72" s="34" t="s">
        <v>857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3">
      <c r="A73" s="33">
        <v>0</v>
      </c>
      <c r="B73" s="33">
        <v>1</v>
      </c>
      <c r="C73" s="33">
        <v>5</v>
      </c>
      <c r="D73" s="34" t="s">
        <v>748</v>
      </c>
      <c r="E73" s="34" t="s">
        <v>758</v>
      </c>
      <c r="F73" s="34" t="s">
        <v>68</v>
      </c>
      <c r="G73" s="34" t="s">
        <v>88</v>
      </c>
      <c r="H73" s="34" t="s">
        <v>190</v>
      </c>
      <c r="I73" s="33" t="s">
        <v>784</v>
      </c>
      <c r="J73" s="33">
        <v>2</v>
      </c>
      <c r="K73" s="33" t="s">
        <v>297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3">
      <c r="A74" s="20">
        <v>0</v>
      </c>
      <c r="B74" s="20">
        <v>1</v>
      </c>
      <c r="C74" s="20">
        <v>5</v>
      </c>
      <c r="D74" s="19" t="s">
        <v>127</v>
      </c>
      <c r="E74" s="19" t="s">
        <v>37</v>
      </c>
      <c r="F74" s="19" t="s">
        <v>128</v>
      </c>
      <c r="G74" s="19" t="s">
        <v>129</v>
      </c>
      <c r="H74" s="19" t="s">
        <v>190</v>
      </c>
      <c r="I74" s="20" t="s">
        <v>376</v>
      </c>
      <c r="J74" s="20">
        <v>99</v>
      </c>
      <c r="K74" s="20" t="s">
        <v>385</v>
      </c>
      <c r="L74" s="20" t="s">
        <v>307</v>
      </c>
      <c r="M74" s="19" t="s">
        <v>197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3">
      <c r="A75" s="20">
        <v>0</v>
      </c>
      <c r="B75" s="20">
        <v>1</v>
      </c>
      <c r="C75" s="20">
        <v>6</v>
      </c>
      <c r="D75" s="19" t="s">
        <v>449</v>
      </c>
      <c r="E75" s="19" t="s">
        <v>240</v>
      </c>
      <c r="F75" s="19" t="s">
        <v>450</v>
      </c>
      <c r="G75" s="19" t="s">
        <v>72</v>
      </c>
      <c r="H75" s="19" t="s">
        <v>190</v>
      </c>
      <c r="I75" s="20" t="s">
        <v>451</v>
      </c>
      <c r="J75" s="20">
        <v>4</v>
      </c>
      <c r="K75" s="20" t="s">
        <v>385</v>
      </c>
      <c r="L75" s="20" t="s">
        <v>306</v>
      </c>
      <c r="M75" s="19" t="s">
        <v>503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3">
      <c r="A76" s="33">
        <v>0</v>
      </c>
      <c r="B76" s="33">
        <v>1</v>
      </c>
      <c r="C76" s="33">
        <v>6</v>
      </c>
      <c r="D76" s="34" t="s">
        <v>431</v>
      </c>
      <c r="E76" s="34" t="s">
        <v>478</v>
      </c>
      <c r="F76" s="34" t="s">
        <v>484</v>
      </c>
      <c r="G76" s="34" t="s">
        <v>485</v>
      </c>
      <c r="H76" s="34" t="s">
        <v>190</v>
      </c>
      <c r="I76" s="33" t="s">
        <v>430</v>
      </c>
      <c r="J76" s="33">
        <v>1</v>
      </c>
      <c r="K76" s="33" t="s">
        <v>292</v>
      </c>
      <c r="L76" s="33">
        <v>70</v>
      </c>
      <c r="M76" s="34" t="s">
        <v>915</v>
      </c>
      <c r="N76" s="34" t="s">
        <v>891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3">
      <c r="A77" s="20">
        <v>0</v>
      </c>
      <c r="B77" s="20">
        <v>1</v>
      </c>
      <c r="C77" s="20">
        <v>6</v>
      </c>
      <c r="D77" s="19" t="s">
        <v>269</v>
      </c>
      <c r="E77" s="19" t="s">
        <v>280</v>
      </c>
      <c r="F77" s="19" t="s">
        <v>270</v>
      </c>
      <c r="G77" s="19" t="s">
        <v>110</v>
      </c>
      <c r="H77" s="19" t="s">
        <v>190</v>
      </c>
      <c r="I77" s="20" t="s">
        <v>287</v>
      </c>
      <c r="J77" s="20">
        <v>3</v>
      </c>
      <c r="K77" s="20" t="s">
        <v>385</v>
      </c>
      <c r="L77" s="20" t="s">
        <v>307</v>
      </c>
      <c r="M77" s="19" t="s">
        <v>308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3">
      <c r="A78" s="20">
        <v>0</v>
      </c>
      <c r="B78" s="20">
        <v>1</v>
      </c>
      <c r="C78" s="20">
        <v>6</v>
      </c>
      <c r="D78" s="19" t="s">
        <v>607</v>
      </c>
      <c r="E78" s="19" t="s">
        <v>241</v>
      </c>
      <c r="F78" s="19" t="s">
        <v>610</v>
      </c>
      <c r="G78" s="19" t="s">
        <v>88</v>
      </c>
      <c r="H78" s="19" t="s">
        <v>190</v>
      </c>
      <c r="I78" s="20" t="s">
        <v>777</v>
      </c>
      <c r="J78" s="20">
        <v>2</v>
      </c>
      <c r="K78" s="20" t="s">
        <v>297</v>
      </c>
      <c r="L78" s="20" t="s">
        <v>301</v>
      </c>
      <c r="M78" s="19" t="s">
        <v>609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3">
      <c r="A79" s="20">
        <v>1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608</v>
      </c>
      <c r="G79" s="19" t="s">
        <v>82</v>
      </c>
      <c r="H79" s="19" t="s">
        <v>190</v>
      </c>
      <c r="I79" s="20" t="s">
        <v>778</v>
      </c>
      <c r="J79" s="20">
        <v>1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 t="s">
        <v>904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3">
      <c r="A80" s="33">
        <v>0</v>
      </c>
      <c r="B80" s="33">
        <v>1</v>
      </c>
      <c r="C80" s="33">
        <v>6</v>
      </c>
      <c r="D80" s="34" t="s">
        <v>206</v>
      </c>
      <c r="E80" s="34" t="s">
        <v>240</v>
      </c>
      <c r="F80" s="34" t="s">
        <v>207</v>
      </c>
      <c r="G80" s="34" t="s">
        <v>72</v>
      </c>
      <c r="H80" s="34" t="s">
        <v>190</v>
      </c>
      <c r="I80" s="33" t="s">
        <v>208</v>
      </c>
      <c r="J80" s="33">
        <v>4</v>
      </c>
      <c r="K80" s="33" t="s">
        <v>290</v>
      </c>
      <c r="L80" s="33" t="s">
        <v>507</v>
      </c>
      <c r="M80" s="34" t="s">
        <v>508</v>
      </c>
      <c r="N80" s="34" t="s">
        <v>859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3">
      <c r="A81" s="33">
        <v>0</v>
      </c>
      <c r="B81" s="33">
        <v>1</v>
      </c>
      <c r="C81" s="33">
        <v>6</v>
      </c>
      <c r="D81" s="34" t="s">
        <v>570</v>
      </c>
      <c r="E81" s="34" t="s">
        <v>571</v>
      </c>
      <c r="F81" s="34" t="s">
        <v>572</v>
      </c>
      <c r="G81" s="34" t="s">
        <v>656</v>
      </c>
      <c r="H81" s="34" t="s">
        <v>190</v>
      </c>
      <c r="I81" s="33" t="s">
        <v>573</v>
      </c>
      <c r="J81" s="33">
        <v>1</v>
      </c>
      <c r="K81" s="33" t="s">
        <v>292</v>
      </c>
      <c r="L81" s="33" t="s">
        <v>103</v>
      </c>
      <c r="M81" s="34" t="s">
        <v>103</v>
      </c>
      <c r="N81" s="34" t="s">
        <v>849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3">
      <c r="A82" s="33">
        <v>0</v>
      </c>
      <c r="B82" s="33">
        <v>1</v>
      </c>
      <c r="C82" s="33">
        <v>6</v>
      </c>
      <c r="D82" s="34" t="s">
        <v>170</v>
      </c>
      <c r="E82" s="34" t="s">
        <v>238</v>
      </c>
      <c r="F82" s="34" t="s">
        <v>177</v>
      </c>
      <c r="G82" s="34" t="s">
        <v>83</v>
      </c>
      <c r="H82" s="34" t="s">
        <v>190</v>
      </c>
      <c r="I82" s="33" t="s">
        <v>230</v>
      </c>
      <c r="J82" s="33">
        <v>6</v>
      </c>
      <c r="K82" s="33" t="s">
        <v>292</v>
      </c>
      <c r="L82" s="33" t="s">
        <v>507</v>
      </c>
      <c r="M82" s="34" t="s">
        <v>248</v>
      </c>
      <c r="N82" s="34" t="s">
        <v>858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3">
      <c r="A83" s="33">
        <v>0</v>
      </c>
      <c r="B83" s="33">
        <v>1</v>
      </c>
      <c r="C83" s="33">
        <v>6</v>
      </c>
      <c r="D83" s="34" t="s">
        <v>631</v>
      </c>
      <c r="E83" s="34" t="s">
        <v>519</v>
      </c>
      <c r="F83" s="34" t="s">
        <v>614</v>
      </c>
      <c r="G83" s="34" t="s">
        <v>495</v>
      </c>
      <c r="H83" s="34" t="s">
        <v>190</v>
      </c>
      <c r="I83" s="33" t="s">
        <v>615</v>
      </c>
      <c r="J83" s="33">
        <v>2</v>
      </c>
      <c r="K83" s="33" t="s">
        <v>292</v>
      </c>
      <c r="L83" s="33" t="s">
        <v>103</v>
      </c>
      <c r="M83" s="34" t="s">
        <v>103</v>
      </c>
      <c r="N83" s="34" t="s">
        <v>849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3">
      <c r="A84" s="33">
        <v>0</v>
      </c>
      <c r="B84" s="33">
        <v>1</v>
      </c>
      <c r="C84" s="33">
        <v>6</v>
      </c>
      <c r="D84" s="34" t="s">
        <v>710</v>
      </c>
      <c r="E84" s="34" t="s">
        <v>755</v>
      </c>
      <c r="F84" s="34" t="s">
        <v>767</v>
      </c>
      <c r="G84" s="34" t="s">
        <v>144</v>
      </c>
      <c r="H84" s="34" t="s">
        <v>190</v>
      </c>
      <c r="I84" s="33" t="s">
        <v>711</v>
      </c>
      <c r="J84" s="33">
        <v>99</v>
      </c>
      <c r="K84" s="33" t="s">
        <v>297</v>
      </c>
      <c r="L84" s="33" t="s">
        <v>507</v>
      </c>
      <c r="M84" s="34" t="s">
        <v>712</v>
      </c>
      <c r="N84" s="34" t="s">
        <v>858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3">
      <c r="A85" s="33">
        <v>0</v>
      </c>
      <c r="B85" s="33">
        <v>1</v>
      </c>
      <c r="C85" s="33">
        <v>6</v>
      </c>
      <c r="D85" s="34" t="s">
        <v>886</v>
      </c>
      <c r="E85" s="34" t="s">
        <v>887</v>
      </c>
      <c r="F85" s="34" t="s">
        <v>888</v>
      </c>
      <c r="G85" s="34" t="s">
        <v>88</v>
      </c>
      <c r="H85" s="34" t="s">
        <v>190</v>
      </c>
      <c r="I85" s="33" t="s">
        <v>889</v>
      </c>
      <c r="J85" s="33">
        <v>2</v>
      </c>
      <c r="K85" s="33" t="s">
        <v>385</v>
      </c>
      <c r="L85" s="33">
        <v>45</v>
      </c>
      <c r="M85" s="34" t="s">
        <v>890</v>
      </c>
      <c r="N85" s="34" t="s">
        <v>857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3">
      <c r="A86" s="36">
        <v>0</v>
      </c>
      <c r="B86" s="36">
        <v>1</v>
      </c>
      <c r="C86" s="36">
        <v>6</v>
      </c>
      <c r="D86" s="37" t="s">
        <v>641</v>
      </c>
      <c r="E86" s="37" t="s">
        <v>481</v>
      </c>
      <c r="F86" s="37" t="s">
        <v>439</v>
      </c>
      <c r="G86" s="37" t="s">
        <v>72</v>
      </c>
      <c r="H86" s="37" t="s">
        <v>190</v>
      </c>
      <c r="I86" s="36" t="s">
        <v>440</v>
      </c>
      <c r="J86" s="36">
        <v>4</v>
      </c>
      <c r="K86" s="36" t="s">
        <v>298</v>
      </c>
      <c r="L86" s="36" t="s">
        <v>306</v>
      </c>
      <c r="M86" s="37" t="s">
        <v>516</v>
      </c>
      <c r="N86" s="37" t="s">
        <v>884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3">
      <c r="A87" s="36">
        <v>1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618</v>
      </c>
      <c r="G87" s="37" t="s">
        <v>655</v>
      </c>
      <c r="H87" s="37" t="s">
        <v>190</v>
      </c>
      <c r="I87" s="36" t="s">
        <v>619</v>
      </c>
      <c r="J87" s="36">
        <v>1</v>
      </c>
      <c r="K87" s="36" t="s">
        <v>298</v>
      </c>
      <c r="L87" s="36" t="s">
        <v>306</v>
      </c>
      <c r="M87" s="37" t="s">
        <v>516</v>
      </c>
      <c r="N87" s="37" t="s">
        <v>884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3">
      <c r="A88" s="33">
        <v>0</v>
      </c>
      <c r="B88" s="33">
        <v>1</v>
      </c>
      <c r="C88" s="33">
        <v>6</v>
      </c>
      <c r="D88" s="34" t="s">
        <v>259</v>
      </c>
      <c r="E88" s="34" t="s">
        <v>238</v>
      </c>
      <c r="F88" s="34" t="s">
        <v>260</v>
      </c>
      <c r="G88" s="34" t="s">
        <v>111</v>
      </c>
      <c r="H88" s="34" t="s">
        <v>190</v>
      </c>
      <c r="I88" s="33" t="s">
        <v>261</v>
      </c>
      <c r="J88" s="33">
        <v>5</v>
      </c>
      <c r="K88" s="33" t="s">
        <v>297</v>
      </c>
      <c r="L88" s="33">
        <v>58</v>
      </c>
      <c r="M88" s="34" t="s">
        <v>248</v>
      </c>
      <c r="N88" s="34" t="s">
        <v>857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3">
      <c r="A89" s="33">
        <v>0</v>
      </c>
      <c r="B89" s="33">
        <v>1</v>
      </c>
      <c r="C89" s="33">
        <v>6</v>
      </c>
      <c r="D89" s="34" t="s">
        <v>863</v>
      </c>
      <c r="E89" s="34" t="s">
        <v>864</v>
      </c>
      <c r="F89" s="34" t="s">
        <v>865</v>
      </c>
      <c r="G89" s="34"/>
      <c r="H89" s="34" t="s">
        <v>190</v>
      </c>
      <c r="I89" s="33" t="s">
        <v>866</v>
      </c>
      <c r="J89" s="33"/>
      <c r="K89" s="33" t="s">
        <v>385</v>
      </c>
      <c r="L89" s="33"/>
      <c r="M89" s="34"/>
      <c r="N89" s="34" t="s">
        <v>849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3">
      <c r="A90" s="33">
        <v>0</v>
      </c>
      <c r="B90" s="33">
        <v>1</v>
      </c>
      <c r="C90" s="33">
        <v>6</v>
      </c>
      <c r="D90" s="34" t="s">
        <v>333</v>
      </c>
      <c r="E90" s="34" t="s">
        <v>241</v>
      </c>
      <c r="F90" s="34" t="s">
        <v>332</v>
      </c>
      <c r="G90" s="34" t="s">
        <v>100</v>
      </c>
      <c r="H90" s="34" t="s">
        <v>190</v>
      </c>
      <c r="I90" s="33" t="s">
        <v>666</v>
      </c>
      <c r="J90" s="33">
        <v>5</v>
      </c>
      <c r="K90" s="33" t="s">
        <v>291</v>
      </c>
      <c r="L90" s="33" t="s">
        <v>505</v>
      </c>
      <c r="M90" s="34" t="s">
        <v>195</v>
      </c>
      <c r="N90" s="34" t="s">
        <v>858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3">
      <c r="A91" s="33">
        <v>0</v>
      </c>
      <c r="B91" s="33">
        <v>1</v>
      </c>
      <c r="C91" s="33">
        <v>6</v>
      </c>
      <c r="D91" s="34" t="s">
        <v>642</v>
      </c>
      <c r="E91" s="34" t="s">
        <v>519</v>
      </c>
      <c r="F91" s="34" t="s">
        <v>520</v>
      </c>
      <c r="G91" s="34" t="s">
        <v>108</v>
      </c>
      <c r="H91" s="34" t="s">
        <v>190</v>
      </c>
      <c r="I91" s="33" t="s">
        <v>521</v>
      </c>
      <c r="J91" s="33">
        <v>1</v>
      </c>
      <c r="K91" s="33" t="s">
        <v>298</v>
      </c>
      <c r="L91" s="33" t="s">
        <v>305</v>
      </c>
      <c r="M91" s="34" t="s">
        <v>705</v>
      </c>
      <c r="N91" s="34" t="s">
        <v>859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3">
      <c r="A92" s="20">
        <v>0</v>
      </c>
      <c r="B92" s="20">
        <v>1</v>
      </c>
      <c r="C92" s="20">
        <v>7</v>
      </c>
      <c r="D92" s="19" t="s">
        <v>256</v>
      </c>
      <c r="E92" s="19" t="s">
        <v>40</v>
      </c>
      <c r="F92" s="19" t="s">
        <v>257</v>
      </c>
      <c r="G92" s="19" t="s">
        <v>100</v>
      </c>
      <c r="H92" s="19" t="s">
        <v>190</v>
      </c>
      <c r="I92" s="20" t="s">
        <v>258</v>
      </c>
      <c r="J92" s="20">
        <v>5</v>
      </c>
      <c r="K92" s="20" t="s">
        <v>385</v>
      </c>
      <c r="L92" s="20" t="s">
        <v>307</v>
      </c>
      <c r="M92" s="19" t="s">
        <v>255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3">
      <c r="A93" s="33">
        <v>0</v>
      </c>
      <c r="B93" s="33">
        <v>1</v>
      </c>
      <c r="C93" s="33">
        <v>7</v>
      </c>
      <c r="D93" s="34" t="s">
        <v>545</v>
      </c>
      <c r="E93" s="34" t="s">
        <v>40</v>
      </c>
      <c r="F93" s="34" t="s">
        <v>624</v>
      </c>
      <c r="G93" s="34" t="s">
        <v>103</v>
      </c>
      <c r="H93" s="34" t="s">
        <v>190</v>
      </c>
      <c r="I93" s="33" t="s">
        <v>211</v>
      </c>
      <c r="J93" s="33">
        <v>1</v>
      </c>
      <c r="K93" s="33" t="s">
        <v>296</v>
      </c>
      <c r="L93" s="33" t="s">
        <v>305</v>
      </c>
      <c r="M93" s="34" t="s">
        <v>628</v>
      </c>
      <c r="N93" s="34" t="s">
        <v>858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3">
      <c r="A94" s="33">
        <v>0</v>
      </c>
      <c r="B94" s="33">
        <v>1</v>
      </c>
      <c r="C94" s="33">
        <v>7</v>
      </c>
      <c r="D94" s="34" t="s">
        <v>132</v>
      </c>
      <c r="E94" s="34" t="s">
        <v>40</v>
      </c>
      <c r="F94" s="34" t="s">
        <v>135</v>
      </c>
      <c r="G94" s="34" t="s">
        <v>111</v>
      </c>
      <c r="H94" s="34" t="s">
        <v>190</v>
      </c>
      <c r="I94" s="33" t="s">
        <v>126</v>
      </c>
      <c r="J94" s="33">
        <v>5</v>
      </c>
      <c r="K94" s="33" t="s">
        <v>294</v>
      </c>
      <c r="L94" s="33" t="s">
        <v>307</v>
      </c>
      <c r="M94" s="34" t="s">
        <v>309</v>
      </c>
      <c r="N94" s="34" t="s">
        <v>849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3">
      <c r="A95" s="33">
        <v>1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228</v>
      </c>
      <c r="G95" s="34" t="s">
        <v>82</v>
      </c>
      <c r="H95" s="34" t="s">
        <v>190</v>
      </c>
      <c r="I95" s="33" t="s">
        <v>232</v>
      </c>
      <c r="J95" s="33">
        <v>1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3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330</v>
      </c>
      <c r="G96" s="34" t="s">
        <v>88</v>
      </c>
      <c r="H96" s="34" t="s">
        <v>190</v>
      </c>
      <c r="I96" s="33" t="s">
        <v>331</v>
      </c>
      <c r="J96" s="33">
        <v>2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 t="s">
        <v>906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3">
      <c r="A97" s="33">
        <v>0</v>
      </c>
      <c r="B97" s="33">
        <v>1</v>
      </c>
      <c r="C97" s="33">
        <v>7</v>
      </c>
      <c r="D97" s="34" t="s">
        <v>212</v>
      </c>
      <c r="E97" s="34" t="s">
        <v>40</v>
      </c>
      <c r="F97" s="34" t="s">
        <v>647</v>
      </c>
      <c r="G97" s="34" t="s">
        <v>137</v>
      </c>
      <c r="H97" s="34" t="s">
        <v>190</v>
      </c>
      <c r="I97" s="33" t="s">
        <v>617</v>
      </c>
      <c r="J97" s="33">
        <v>99</v>
      </c>
      <c r="K97" s="33" t="s">
        <v>294</v>
      </c>
      <c r="L97" s="33" t="s">
        <v>306</v>
      </c>
      <c r="M97" s="34" t="s">
        <v>268</v>
      </c>
      <c r="N97" s="34" t="s">
        <v>885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3">
      <c r="A98" s="33">
        <v>1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213</v>
      </c>
      <c r="G98" s="34" t="s">
        <v>88</v>
      </c>
      <c r="H98" s="34" t="s">
        <v>190</v>
      </c>
      <c r="I98" s="33" t="s">
        <v>214</v>
      </c>
      <c r="J98" s="33">
        <v>2</v>
      </c>
      <c r="K98" s="33" t="s">
        <v>294</v>
      </c>
      <c r="L98" s="33" t="s">
        <v>306</v>
      </c>
      <c r="M98" s="34" t="s">
        <v>268</v>
      </c>
      <c r="N98" s="34" t="s">
        <v>885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3">
      <c r="A99" s="33">
        <v>0</v>
      </c>
      <c r="B99" s="33">
        <v>1</v>
      </c>
      <c r="C99" s="33">
        <v>7</v>
      </c>
      <c r="D99" s="34" t="s">
        <v>833</v>
      </c>
      <c r="E99" s="34" t="s">
        <v>40</v>
      </c>
      <c r="F99" s="34" t="s">
        <v>835</v>
      </c>
      <c r="G99" s="34" t="s">
        <v>72</v>
      </c>
      <c r="H99" s="34" t="s">
        <v>190</v>
      </c>
      <c r="I99" s="33" t="s">
        <v>836</v>
      </c>
      <c r="J99" s="33">
        <v>3</v>
      </c>
      <c r="K99" s="33" t="s">
        <v>385</v>
      </c>
      <c r="L99" s="33">
        <v>28</v>
      </c>
      <c r="M99" s="34" t="s">
        <v>834</v>
      </c>
      <c r="N99" s="34" t="s">
        <v>858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3">
      <c r="A100" s="33">
        <v>0</v>
      </c>
      <c r="B100" s="33">
        <v>1</v>
      </c>
      <c r="C100" s="33">
        <v>7</v>
      </c>
      <c r="D100" s="34" t="s">
        <v>335</v>
      </c>
      <c r="E100" s="34" t="s">
        <v>633</v>
      </c>
      <c r="F100" s="34" t="s">
        <v>356</v>
      </c>
      <c r="G100" s="34" t="s">
        <v>82</v>
      </c>
      <c r="H100" s="34" t="s">
        <v>190</v>
      </c>
      <c r="I100" s="33" t="s">
        <v>542</v>
      </c>
      <c r="J100" s="33">
        <v>1</v>
      </c>
      <c r="K100" s="33" t="s">
        <v>293</v>
      </c>
      <c r="L100" s="33">
        <v>29</v>
      </c>
      <c r="M100" s="34" t="s">
        <v>195</v>
      </c>
      <c r="N100" s="34" t="s">
        <v>858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3">
      <c r="A101" s="20">
        <v>0</v>
      </c>
      <c r="B101" s="20">
        <v>1</v>
      </c>
      <c r="C101" s="20">
        <v>7</v>
      </c>
      <c r="D101" s="19" t="s">
        <v>594</v>
      </c>
      <c r="E101" s="19" t="s">
        <v>40</v>
      </c>
      <c r="F101" s="19" t="s">
        <v>595</v>
      </c>
      <c r="G101" s="19" t="s">
        <v>643</v>
      </c>
      <c r="H101" s="19" t="s">
        <v>190</v>
      </c>
      <c r="I101" s="20" t="s">
        <v>596</v>
      </c>
      <c r="J101" s="20">
        <v>99</v>
      </c>
      <c r="K101" s="20" t="s">
        <v>385</v>
      </c>
      <c r="L101" s="20" t="s">
        <v>306</v>
      </c>
      <c r="M101" s="19" t="s">
        <v>706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3">
      <c r="A102" s="33">
        <v>0</v>
      </c>
      <c r="B102" s="33">
        <v>1</v>
      </c>
      <c r="C102" s="33">
        <v>7</v>
      </c>
      <c r="D102" s="34" t="s">
        <v>737</v>
      </c>
      <c r="E102" s="34" t="s">
        <v>40</v>
      </c>
      <c r="F102" s="34" t="s">
        <v>738</v>
      </c>
      <c r="G102" s="34" t="s">
        <v>72</v>
      </c>
      <c r="H102" s="34" t="s">
        <v>190</v>
      </c>
      <c r="I102" s="33" t="s">
        <v>739</v>
      </c>
      <c r="J102" s="33">
        <v>3</v>
      </c>
      <c r="K102" s="33" t="s">
        <v>294</v>
      </c>
      <c r="L102" s="33">
        <v>30</v>
      </c>
      <c r="M102" s="34" t="s">
        <v>805</v>
      </c>
      <c r="N102" s="34" t="s">
        <v>857</v>
      </c>
      <c r="O102" s="35">
        <v>1</v>
      </c>
      <c r="P102" s="33"/>
      <c r="Q102" s="34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1</v>
      </c>
      <c r="AF102" s="2">
        <f t="shared" si="19"/>
        <v>0</v>
      </c>
      <c r="AG102" s="2">
        <f t="shared" si="20"/>
        <v>1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3">
      <c r="A103" s="36">
        <v>0</v>
      </c>
      <c r="B103" s="36">
        <v>1</v>
      </c>
      <c r="C103" s="36">
        <v>7</v>
      </c>
      <c r="D103" s="37" t="s">
        <v>522</v>
      </c>
      <c r="E103" s="37" t="s">
        <v>40</v>
      </c>
      <c r="F103" s="37" t="s">
        <v>555</v>
      </c>
      <c r="G103" s="37" t="s">
        <v>371</v>
      </c>
      <c r="H103" s="37" t="s">
        <v>190</v>
      </c>
      <c r="I103" s="36" t="s">
        <v>523</v>
      </c>
      <c r="J103" s="36">
        <v>99</v>
      </c>
      <c r="K103" s="36" t="s">
        <v>294</v>
      </c>
      <c r="L103" s="36" t="s">
        <v>305</v>
      </c>
      <c r="M103" s="37" t="s">
        <v>563</v>
      </c>
      <c r="N103" s="37" t="s">
        <v>851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3">
      <c r="A104" s="36">
        <v>0</v>
      </c>
      <c r="B104" s="36">
        <v>1</v>
      </c>
      <c r="C104" s="36">
        <v>7</v>
      </c>
      <c r="D104" s="37" t="s">
        <v>220</v>
      </c>
      <c r="E104" s="37" t="s">
        <v>40</v>
      </c>
      <c r="F104" s="37" t="s">
        <v>178</v>
      </c>
      <c r="G104" s="37" t="s">
        <v>82</v>
      </c>
      <c r="H104" s="37" t="s">
        <v>190</v>
      </c>
      <c r="I104" s="36" t="s">
        <v>202</v>
      </c>
      <c r="J104" s="36">
        <v>1</v>
      </c>
      <c r="K104" s="36" t="s">
        <v>294</v>
      </c>
      <c r="L104" s="36" t="s">
        <v>305</v>
      </c>
      <c r="M104" s="37" t="s">
        <v>249</v>
      </c>
      <c r="N104" s="37" t="s">
        <v>884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3">
      <c r="A105" s="33">
        <v>0</v>
      </c>
      <c r="B105" s="33">
        <v>2</v>
      </c>
      <c r="C105" s="33">
        <v>1</v>
      </c>
      <c r="D105" s="34" t="s">
        <v>687</v>
      </c>
      <c r="E105" s="34" t="s">
        <v>688</v>
      </c>
      <c r="F105" s="34" t="s">
        <v>689</v>
      </c>
      <c r="G105" s="34" t="s">
        <v>88</v>
      </c>
      <c r="H105" s="34" t="s">
        <v>190</v>
      </c>
      <c r="I105" s="33" t="s">
        <v>776</v>
      </c>
      <c r="J105" s="33">
        <v>2</v>
      </c>
      <c r="K105" s="33" t="s">
        <v>294</v>
      </c>
      <c r="L105" s="33">
        <v>7</v>
      </c>
      <c r="M105" s="34" t="s">
        <v>691</v>
      </c>
      <c r="N105" s="34" t="s">
        <v>849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3">
      <c r="A106" s="33">
        <v>0</v>
      </c>
      <c r="B106" s="33">
        <v>2</v>
      </c>
      <c r="C106" s="33">
        <v>1</v>
      </c>
      <c r="D106" s="34" t="s">
        <v>881</v>
      </c>
      <c r="E106" s="34" t="s">
        <v>69</v>
      </c>
      <c r="F106" s="34" t="s">
        <v>897</v>
      </c>
      <c r="G106" s="34" t="s">
        <v>88</v>
      </c>
      <c r="H106" s="34" t="s">
        <v>190</v>
      </c>
      <c r="I106" s="33" t="s">
        <v>883</v>
      </c>
      <c r="J106" s="33">
        <v>2</v>
      </c>
      <c r="K106" s="33" t="s">
        <v>385</v>
      </c>
      <c r="L106" s="33">
        <v>5</v>
      </c>
      <c r="M106" s="34" t="s">
        <v>882</v>
      </c>
      <c r="N106" s="34" t="s">
        <v>849</v>
      </c>
      <c r="O106" s="35">
        <v>1</v>
      </c>
      <c r="P106" s="33">
        <v>1</v>
      </c>
      <c r="Q106" s="34" t="s">
        <v>905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3">
      <c r="A107" s="33">
        <v>0</v>
      </c>
      <c r="B107" s="33">
        <v>2</v>
      </c>
      <c r="C107" s="33">
        <v>1</v>
      </c>
      <c r="D107" s="34" t="s">
        <v>593</v>
      </c>
      <c r="E107" s="34" t="s">
        <v>634</v>
      </c>
      <c r="F107" s="34" t="s">
        <v>648</v>
      </c>
      <c r="G107" s="34" t="s">
        <v>82</v>
      </c>
      <c r="H107" s="34" t="s">
        <v>190</v>
      </c>
      <c r="I107" s="33" t="s">
        <v>540</v>
      </c>
      <c r="J107" s="33">
        <v>1</v>
      </c>
      <c r="K107" s="33" t="s">
        <v>294</v>
      </c>
      <c r="L107" s="33" t="s">
        <v>294</v>
      </c>
      <c r="M107" s="34" t="s">
        <v>193</v>
      </c>
      <c r="N107" s="34" t="s">
        <v>849</v>
      </c>
      <c r="O107" s="35">
        <v>1</v>
      </c>
      <c r="P107" s="33">
        <v>1</v>
      </c>
      <c r="Q107" s="34" t="s">
        <v>903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3">
      <c r="A108" s="33">
        <v>0</v>
      </c>
      <c r="B108" s="33">
        <v>2</v>
      </c>
      <c r="C108" s="33">
        <v>1</v>
      </c>
      <c r="D108" s="34" t="s">
        <v>877</v>
      </c>
      <c r="E108" s="34" t="s">
        <v>757</v>
      </c>
      <c r="F108" s="34" t="s">
        <v>773</v>
      </c>
      <c r="G108" s="34" t="s">
        <v>144</v>
      </c>
      <c r="H108" s="34" t="s">
        <v>190</v>
      </c>
      <c r="I108" s="33" t="s">
        <v>736</v>
      </c>
      <c r="J108" s="33">
        <v>99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3">
      <c r="A109" s="33">
        <v>0</v>
      </c>
      <c r="B109" s="33">
        <v>2</v>
      </c>
      <c r="C109" s="33">
        <v>1</v>
      </c>
      <c r="D109" s="34" t="s">
        <v>715</v>
      </c>
      <c r="E109" s="34" t="s">
        <v>688</v>
      </c>
      <c r="F109" s="34" t="s">
        <v>763</v>
      </c>
      <c r="G109" s="34" t="s">
        <v>103</v>
      </c>
      <c r="H109" s="34" t="s">
        <v>190</v>
      </c>
      <c r="I109" s="33" t="s">
        <v>690</v>
      </c>
      <c r="J109" s="33">
        <v>99</v>
      </c>
      <c r="K109" s="33" t="s">
        <v>294</v>
      </c>
      <c r="L109" s="33">
        <v>9</v>
      </c>
      <c r="M109" s="34" t="s">
        <v>806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3">
      <c r="A110" s="20">
        <v>0</v>
      </c>
      <c r="B110" s="20">
        <v>2</v>
      </c>
      <c r="C110" s="20">
        <v>1</v>
      </c>
      <c r="D110" s="19" t="s">
        <v>89</v>
      </c>
      <c r="E110" s="19" t="s">
        <v>54</v>
      </c>
      <c r="F110" s="19" t="s">
        <v>34</v>
      </c>
      <c r="G110" s="19" t="s">
        <v>488</v>
      </c>
      <c r="H110" s="19" t="s">
        <v>190</v>
      </c>
      <c r="I110" s="20" t="s">
        <v>286</v>
      </c>
      <c r="J110" s="20">
        <v>1</v>
      </c>
      <c r="K110" s="20" t="s">
        <v>385</v>
      </c>
      <c r="L110" s="20" t="s">
        <v>294</v>
      </c>
      <c r="M110" s="19" t="s">
        <v>193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3">
      <c r="A111" s="20">
        <v>1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351</v>
      </c>
      <c r="G111" s="19" t="s">
        <v>83</v>
      </c>
      <c r="H111" s="19" t="s">
        <v>190</v>
      </c>
      <c r="I111" s="20" t="s">
        <v>131</v>
      </c>
      <c r="J111" s="20">
        <v>6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3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489</v>
      </c>
      <c r="G112" s="19" t="s">
        <v>82</v>
      </c>
      <c r="H112" s="19" t="s">
        <v>190</v>
      </c>
      <c r="I112" s="20" t="s">
        <v>498</v>
      </c>
      <c r="J112" s="20">
        <v>1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3">
      <c r="A113" s="33">
        <v>0</v>
      </c>
      <c r="B113" s="33">
        <v>2</v>
      </c>
      <c r="C113" s="33">
        <v>1</v>
      </c>
      <c r="D113" s="34" t="s">
        <v>166</v>
      </c>
      <c r="E113" s="34" t="s">
        <v>634</v>
      </c>
      <c r="F113" s="34" t="s">
        <v>165</v>
      </c>
      <c r="G113" s="34" t="s">
        <v>167</v>
      </c>
      <c r="H113" s="34" t="s">
        <v>190</v>
      </c>
      <c r="I113" s="33" t="s">
        <v>168</v>
      </c>
      <c r="J113" s="33">
        <v>99</v>
      </c>
      <c r="K113" s="33" t="s">
        <v>296</v>
      </c>
      <c r="L113" s="33" t="s">
        <v>294</v>
      </c>
      <c r="M113" s="34" t="s">
        <v>193</v>
      </c>
      <c r="N113" s="34" t="s">
        <v>858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3">
      <c r="A114" s="33">
        <v>0</v>
      </c>
      <c r="B114" s="33">
        <v>2</v>
      </c>
      <c r="C114" s="33">
        <v>1</v>
      </c>
      <c r="D114" s="34" t="s">
        <v>93</v>
      </c>
      <c r="E114" s="34" t="s">
        <v>61</v>
      </c>
      <c r="F114" s="34" t="s">
        <v>352</v>
      </c>
      <c r="G114" s="34" t="s">
        <v>72</v>
      </c>
      <c r="H114" s="34" t="s">
        <v>190</v>
      </c>
      <c r="I114" s="33" t="s">
        <v>136</v>
      </c>
      <c r="J114" s="33">
        <v>4</v>
      </c>
      <c r="K114" s="33" t="s">
        <v>296</v>
      </c>
      <c r="L114" s="33" t="s">
        <v>294</v>
      </c>
      <c r="M114" s="34" t="s">
        <v>193</v>
      </c>
      <c r="N114" s="34" t="s">
        <v>849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3">
      <c r="A115" s="33">
        <v>1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716</v>
      </c>
      <c r="G115" s="34" t="s">
        <v>770</v>
      </c>
      <c r="H115" s="34" t="s">
        <v>190</v>
      </c>
      <c r="I115" s="33" t="s">
        <v>690</v>
      </c>
      <c r="J115" s="33">
        <v>99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3">
      <c r="A116" s="20">
        <v>0</v>
      </c>
      <c r="B116" s="20">
        <v>2</v>
      </c>
      <c r="C116" s="20">
        <v>1</v>
      </c>
      <c r="D116" s="19" t="s">
        <v>130</v>
      </c>
      <c r="E116" s="19" t="s">
        <v>54</v>
      </c>
      <c r="F116" s="19" t="s">
        <v>353</v>
      </c>
      <c r="G116" s="19" t="s">
        <v>106</v>
      </c>
      <c r="H116" s="19" t="s">
        <v>190</v>
      </c>
      <c r="I116" s="20" t="s">
        <v>155</v>
      </c>
      <c r="J116" s="20">
        <v>7</v>
      </c>
      <c r="K116" s="20" t="s">
        <v>294</v>
      </c>
      <c r="L116" s="20" t="s">
        <v>294</v>
      </c>
      <c r="M116" s="19" t="s">
        <v>193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3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114</v>
      </c>
      <c r="G117" s="34" t="s">
        <v>88</v>
      </c>
      <c r="H117" s="34" t="s">
        <v>190</v>
      </c>
      <c r="I117" s="33" t="s">
        <v>52</v>
      </c>
      <c r="J117" s="33">
        <v>2</v>
      </c>
      <c r="K117" s="33" t="s">
        <v>294</v>
      </c>
      <c r="L117" s="33" t="s">
        <v>294</v>
      </c>
      <c r="M117" s="34" t="s">
        <v>193</v>
      </c>
      <c r="N117" s="34" t="s">
        <v>849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3">
      <c r="A118" s="33">
        <v>0</v>
      </c>
      <c r="B118" s="33">
        <v>2</v>
      </c>
      <c r="C118" s="33">
        <v>1</v>
      </c>
      <c r="D118" s="34" t="s">
        <v>567</v>
      </c>
      <c r="E118" s="34" t="s">
        <v>688</v>
      </c>
      <c r="F118" s="34" t="s">
        <v>568</v>
      </c>
      <c r="G118" s="34" t="s">
        <v>88</v>
      </c>
      <c r="H118" s="34" t="s">
        <v>190</v>
      </c>
      <c r="I118" s="33" t="s">
        <v>569</v>
      </c>
      <c r="J118" s="33">
        <v>2</v>
      </c>
      <c r="K118" s="33" t="s">
        <v>289</v>
      </c>
      <c r="L118" s="33">
        <v>9</v>
      </c>
      <c r="M118" s="34" t="s">
        <v>806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3">
      <c r="A119" s="20">
        <v>0</v>
      </c>
      <c r="B119" s="20">
        <v>2</v>
      </c>
      <c r="C119" s="20">
        <v>2</v>
      </c>
      <c r="D119" s="19" t="s">
        <v>393</v>
      </c>
      <c r="E119" s="19" t="s">
        <v>53</v>
      </c>
      <c r="F119" s="19" t="s">
        <v>394</v>
      </c>
      <c r="G119" s="19" t="s">
        <v>395</v>
      </c>
      <c r="H119" s="19" t="s">
        <v>190</v>
      </c>
      <c r="I119" s="20" t="s">
        <v>396</v>
      </c>
      <c r="J119" s="20">
        <v>6</v>
      </c>
      <c r="K119" s="20" t="s">
        <v>385</v>
      </c>
      <c r="L119" s="20">
        <v>20</v>
      </c>
      <c r="M119" s="19" t="s">
        <v>397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3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282</v>
      </c>
      <c r="G120" s="34" t="s">
        <v>72</v>
      </c>
      <c r="H120" s="34" t="s">
        <v>190</v>
      </c>
      <c r="I120" s="33" t="s">
        <v>65</v>
      </c>
      <c r="J120" s="33">
        <v>4</v>
      </c>
      <c r="K120" s="33" t="s">
        <v>289</v>
      </c>
      <c r="L120" s="33" t="s">
        <v>303</v>
      </c>
      <c r="M120" s="34" t="s">
        <v>707</v>
      </c>
      <c r="N120" s="34" t="s">
        <v>859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3">
      <c r="A121" s="33">
        <v>0</v>
      </c>
      <c r="B121" s="33">
        <v>2</v>
      </c>
      <c r="C121" s="33">
        <v>2</v>
      </c>
      <c r="D121" s="34" t="s">
        <v>821</v>
      </c>
      <c r="E121" s="34" t="s">
        <v>754</v>
      </c>
      <c r="F121" s="34" t="s">
        <v>822</v>
      </c>
      <c r="G121" s="34" t="s">
        <v>823</v>
      </c>
      <c r="H121" s="34" t="s">
        <v>190</v>
      </c>
      <c r="I121" s="33" t="s">
        <v>824</v>
      </c>
      <c r="J121" s="33"/>
      <c r="K121" s="33" t="s">
        <v>385</v>
      </c>
      <c r="L121" s="33">
        <v>30</v>
      </c>
      <c r="M121" s="34" t="s">
        <v>876</v>
      </c>
      <c r="N121" s="34" t="s">
        <v>857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3">
      <c r="A122" s="33">
        <v>0</v>
      </c>
      <c r="B122" s="33">
        <v>2</v>
      </c>
      <c r="C122" s="33">
        <v>2</v>
      </c>
      <c r="D122" s="34" t="s">
        <v>406</v>
      </c>
      <c r="E122" s="34" t="s">
        <v>407</v>
      </c>
      <c r="F122" s="34" t="s">
        <v>408</v>
      </c>
      <c r="G122" s="34" t="s">
        <v>82</v>
      </c>
      <c r="H122" s="34" t="s">
        <v>190</v>
      </c>
      <c r="I122" s="33" t="s">
        <v>409</v>
      </c>
      <c r="J122" s="33">
        <v>1</v>
      </c>
      <c r="K122" s="33" t="s">
        <v>294</v>
      </c>
      <c r="L122" s="33" t="s">
        <v>310</v>
      </c>
      <c r="M122" s="34" t="s">
        <v>807</v>
      </c>
      <c r="N122" s="34" t="s">
        <v>849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3">
      <c r="A123" s="33">
        <v>0</v>
      </c>
      <c r="B123" s="33">
        <v>2</v>
      </c>
      <c r="C123" s="33">
        <v>2</v>
      </c>
      <c r="D123" s="34" t="s">
        <v>724</v>
      </c>
      <c r="E123" s="34" t="s">
        <v>241</v>
      </c>
      <c r="F123" s="34" t="s">
        <v>764</v>
      </c>
      <c r="G123" s="34" t="s">
        <v>160</v>
      </c>
      <c r="H123" s="34" t="s">
        <v>190</v>
      </c>
      <c r="I123" s="33" t="s">
        <v>725</v>
      </c>
      <c r="J123" s="33">
        <v>1</v>
      </c>
      <c r="K123" s="33" t="s">
        <v>293</v>
      </c>
      <c r="L123" s="33" t="s">
        <v>787</v>
      </c>
      <c r="M123" s="34" t="s">
        <v>727</v>
      </c>
      <c r="N123" s="34" t="s">
        <v>858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3">
      <c r="A124" s="20">
        <v>0</v>
      </c>
      <c r="B124" s="20">
        <v>2</v>
      </c>
      <c r="C124" s="20">
        <v>2</v>
      </c>
      <c r="D124" s="19" t="s">
        <v>474</v>
      </c>
      <c r="E124" s="19" t="s">
        <v>475</v>
      </c>
      <c r="F124" s="19" t="s">
        <v>491</v>
      </c>
      <c r="G124" s="19" t="s">
        <v>72</v>
      </c>
      <c r="H124" s="19" t="s">
        <v>190</v>
      </c>
      <c r="I124" s="20" t="s">
        <v>476</v>
      </c>
      <c r="J124" s="20">
        <v>4</v>
      </c>
      <c r="K124" s="20" t="s">
        <v>385</v>
      </c>
      <c r="L124" s="20" t="s">
        <v>307</v>
      </c>
      <c r="M124" s="19" t="s">
        <v>511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3">
      <c r="A125" s="20">
        <v>0</v>
      </c>
      <c r="B125" s="20">
        <v>2</v>
      </c>
      <c r="C125" s="20">
        <v>2</v>
      </c>
      <c r="D125" s="19" t="s">
        <v>398</v>
      </c>
      <c r="E125" s="19" t="s">
        <v>399</v>
      </c>
      <c r="F125" s="19" t="s">
        <v>492</v>
      </c>
      <c r="G125" s="19" t="s">
        <v>72</v>
      </c>
      <c r="H125" s="19" t="s">
        <v>190</v>
      </c>
      <c r="I125" s="20" t="s">
        <v>400</v>
      </c>
      <c r="J125" s="20">
        <v>4</v>
      </c>
      <c r="K125" s="20" t="s">
        <v>385</v>
      </c>
      <c r="L125" s="20" t="s">
        <v>306</v>
      </c>
      <c r="M125" s="19" t="s">
        <v>512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3">
      <c r="A126" s="20">
        <v>0</v>
      </c>
      <c r="B126" s="20">
        <v>2</v>
      </c>
      <c r="C126" s="20">
        <v>2</v>
      </c>
      <c r="D126" s="19" t="s">
        <v>203</v>
      </c>
      <c r="E126" s="19" t="s">
        <v>382</v>
      </c>
      <c r="F126" s="19" t="s">
        <v>644</v>
      </c>
      <c r="G126" s="19" t="s">
        <v>645</v>
      </c>
      <c r="H126" s="19" t="s">
        <v>190</v>
      </c>
      <c r="I126" s="20" t="s">
        <v>662</v>
      </c>
      <c r="J126" s="20">
        <v>99</v>
      </c>
      <c r="K126" s="20" t="s">
        <v>289</v>
      </c>
      <c r="L126" s="20" t="s">
        <v>306</v>
      </c>
      <c r="M126" s="19" t="s">
        <v>667</v>
      </c>
      <c r="N126" s="19"/>
      <c r="O126" s="18"/>
      <c r="P126" s="20"/>
      <c r="Q126" s="19"/>
      <c r="R126" s="13"/>
      <c r="S126" s="2">
        <f t="shared" ref="S126:S178" si="35">IF(J126=$S$7,1,0)</f>
        <v>0</v>
      </c>
      <c r="T126" s="2">
        <f t="shared" ref="T126:T178" si="36">IF(J126=$T$7,1,0)</f>
        <v>0</v>
      </c>
      <c r="U126" s="2">
        <f t="shared" ref="U126:U178" si="37">IF(J126=$U$7,1,0)</f>
        <v>0</v>
      </c>
      <c r="V126" s="2">
        <f t="shared" ref="V126:V178" si="38">IF(J126=$V$7,1,0)</f>
        <v>0</v>
      </c>
      <c r="W126" s="2">
        <f t="shared" ref="W126:W178" si="39">IF(J126=$W$7,1,0)</f>
        <v>0</v>
      </c>
      <c r="X126" s="2">
        <f t="shared" ref="X126:X178" si="40">IF(J126=$X$7,1,0)</f>
        <v>0</v>
      </c>
      <c r="Y126" s="2">
        <f t="shared" ref="Y126:Y178" si="41">IF(J126=$Y$7,1,0)</f>
        <v>0</v>
      </c>
      <c r="Z126" s="2">
        <f t="shared" ref="Z126:Z178" si="42">IF(J126=$Z$7,1,0)</f>
        <v>0</v>
      </c>
      <c r="AA126" s="2">
        <f t="shared" ref="AA126:AA178" si="43">IF(J126=$AA$7,1,0)</f>
        <v>0</v>
      </c>
      <c r="AB126" s="2">
        <f t="shared" ref="AB126:AB178" si="44">IF(J126=$AB$7,1,0)</f>
        <v>0</v>
      </c>
      <c r="AC126" s="2"/>
      <c r="AD126" s="2">
        <f t="shared" ref="AD126:AD178" si="45">+O126*P126</f>
        <v>0</v>
      </c>
      <c r="AE126" s="2">
        <f t="shared" ref="AE126:AE178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3">
      <c r="A127" s="20">
        <v>1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898</v>
      </c>
      <c r="G127" s="19" t="s">
        <v>204</v>
      </c>
      <c r="H127" s="19" t="s">
        <v>190</v>
      </c>
      <c r="I127" s="20" t="s">
        <v>205</v>
      </c>
      <c r="J127" s="20">
        <v>1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3">
      <c r="A128" s="20">
        <v>0</v>
      </c>
      <c r="B128" s="20">
        <v>2</v>
      </c>
      <c r="C128" s="20">
        <v>2</v>
      </c>
      <c r="D128" s="19" t="s">
        <v>401</v>
      </c>
      <c r="E128" s="19" t="s">
        <v>402</v>
      </c>
      <c r="F128" s="19" t="s">
        <v>494</v>
      </c>
      <c r="G128" s="19" t="s">
        <v>72</v>
      </c>
      <c r="H128" s="19" t="s">
        <v>190</v>
      </c>
      <c r="I128" s="20" t="s">
        <v>403</v>
      </c>
      <c r="J128" s="20">
        <v>4</v>
      </c>
      <c r="K128" s="20" t="s">
        <v>385</v>
      </c>
      <c r="L128" s="20" t="s">
        <v>310</v>
      </c>
      <c r="M128" s="19" t="s">
        <v>515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3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470</v>
      </c>
      <c r="G129" s="19" t="s">
        <v>72</v>
      </c>
      <c r="H129" s="19" t="s">
        <v>190</v>
      </c>
      <c r="I129" s="20" t="s">
        <v>469</v>
      </c>
      <c r="J129" s="20">
        <v>4</v>
      </c>
      <c r="K129" s="20" t="s">
        <v>289</v>
      </c>
      <c r="L129" s="20" t="s">
        <v>310</v>
      </c>
      <c r="M129" s="19" t="s">
        <v>250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3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354</v>
      </c>
      <c r="G130" s="19" t="s">
        <v>102</v>
      </c>
      <c r="H130" s="19" t="s">
        <v>190</v>
      </c>
      <c r="I130" s="20" t="s">
        <v>120</v>
      </c>
      <c r="J130" s="20">
        <v>2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3">
      <c r="A131" s="33">
        <v>0</v>
      </c>
      <c r="B131" s="33">
        <v>2</v>
      </c>
      <c r="C131" s="33">
        <v>2</v>
      </c>
      <c r="D131" s="34" t="s">
        <v>872</v>
      </c>
      <c r="E131" s="34"/>
      <c r="F131" s="34" t="s">
        <v>873</v>
      </c>
      <c r="G131" s="34"/>
      <c r="H131" s="34" t="s">
        <v>190</v>
      </c>
      <c r="I131" s="33" t="s">
        <v>874</v>
      </c>
      <c r="J131" s="33"/>
      <c r="K131" s="33" t="s">
        <v>385</v>
      </c>
      <c r="L131" s="33">
        <v>22</v>
      </c>
      <c r="M131" s="34" t="s">
        <v>875</v>
      </c>
      <c r="N131" s="34" t="s">
        <v>849</v>
      </c>
      <c r="O131" s="35">
        <v>1</v>
      </c>
      <c r="P131" s="33">
        <v>1</v>
      </c>
      <c r="Q131" s="34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1</v>
      </c>
      <c r="AE131" s="2">
        <f t="shared" si="46"/>
        <v>0</v>
      </c>
      <c r="AF131" s="2">
        <f t="shared" si="19"/>
        <v>1</v>
      </c>
      <c r="AG131" s="2">
        <f t="shared" si="20"/>
        <v>0</v>
      </c>
      <c r="AH131" s="2">
        <f t="shared" si="21"/>
        <v>1</v>
      </c>
      <c r="AI131" s="2">
        <f t="shared" si="22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3">
      <c r="A132" s="33">
        <v>0</v>
      </c>
      <c r="B132" s="33">
        <v>2</v>
      </c>
      <c r="C132" s="33">
        <v>2</v>
      </c>
      <c r="D132" s="34" t="s">
        <v>544</v>
      </c>
      <c r="E132" s="34" t="s">
        <v>547</v>
      </c>
      <c r="F132" s="34" t="s">
        <v>550</v>
      </c>
      <c r="G132" s="34" t="s">
        <v>88</v>
      </c>
      <c r="H132" s="34" t="s">
        <v>190</v>
      </c>
      <c r="I132" s="33" t="s">
        <v>533</v>
      </c>
      <c r="J132" s="33">
        <v>2</v>
      </c>
      <c r="K132" s="33" t="s">
        <v>293</v>
      </c>
      <c r="L132" s="33" t="s">
        <v>307</v>
      </c>
      <c r="M132" s="34" t="s">
        <v>591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3">
      <c r="A133" s="33">
        <v>0</v>
      </c>
      <c r="B133" s="33">
        <v>2</v>
      </c>
      <c r="C133" s="33">
        <v>2</v>
      </c>
      <c r="D133" s="34" t="s">
        <v>433</v>
      </c>
      <c r="E133" s="34" t="s">
        <v>480</v>
      </c>
      <c r="F133" s="34" t="s">
        <v>432</v>
      </c>
      <c r="G133" s="34" t="s">
        <v>100</v>
      </c>
      <c r="H133" s="34" t="s">
        <v>190</v>
      </c>
      <c r="I133" s="33" t="s">
        <v>663</v>
      </c>
      <c r="J133" s="33">
        <v>5</v>
      </c>
      <c r="K133" s="33" t="s">
        <v>293</v>
      </c>
      <c r="L133" s="33" t="s">
        <v>305</v>
      </c>
      <c r="M133" s="34" t="s">
        <v>456</v>
      </c>
      <c r="N133" s="34" t="s">
        <v>859</v>
      </c>
      <c r="O133" s="35">
        <v>1</v>
      </c>
      <c r="P133" s="33"/>
      <c r="Q133" s="34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1</v>
      </c>
      <c r="AF133" s="2">
        <f t="shared" si="19"/>
        <v>0</v>
      </c>
      <c r="AG133" s="2">
        <f t="shared" si="20"/>
        <v>1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3">
      <c r="A134" s="20">
        <v>0</v>
      </c>
      <c r="B134" s="20">
        <v>2</v>
      </c>
      <c r="C134" s="20">
        <v>2</v>
      </c>
      <c r="D134" s="19" t="s">
        <v>471</v>
      </c>
      <c r="E134" s="19" t="s">
        <v>454</v>
      </c>
      <c r="F134" s="19" t="s">
        <v>453</v>
      </c>
      <c r="G134" s="19" t="s">
        <v>72</v>
      </c>
      <c r="H134" s="19" t="s">
        <v>190</v>
      </c>
      <c r="I134" s="20" t="s">
        <v>455</v>
      </c>
      <c r="J134" s="20">
        <v>4</v>
      </c>
      <c r="K134" s="20" t="s">
        <v>385</v>
      </c>
      <c r="L134" s="20" t="s">
        <v>306</v>
      </c>
      <c r="M134" s="19" t="s">
        <v>456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3">
      <c r="A135" s="36">
        <v>0</v>
      </c>
      <c r="B135" s="36">
        <v>2</v>
      </c>
      <c r="C135" s="36">
        <v>2</v>
      </c>
      <c r="D135" s="37" t="s">
        <v>637</v>
      </c>
      <c r="E135" s="37" t="s">
        <v>279</v>
      </c>
      <c r="F135" s="37" t="s">
        <v>646</v>
      </c>
      <c r="G135" s="37" t="s">
        <v>145</v>
      </c>
      <c r="H135" s="37" t="s">
        <v>190</v>
      </c>
      <c r="I135" s="36" t="s">
        <v>783</v>
      </c>
      <c r="J135" s="36">
        <v>99</v>
      </c>
      <c r="K135" s="36" t="s">
        <v>289</v>
      </c>
      <c r="L135" s="36" t="s">
        <v>505</v>
      </c>
      <c r="M135" s="37" t="s">
        <v>668</v>
      </c>
      <c r="N135" s="37" t="s">
        <v>851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3">
      <c r="A136" s="33">
        <v>0</v>
      </c>
      <c r="B136" s="33">
        <v>2</v>
      </c>
      <c r="C136" s="33">
        <v>3</v>
      </c>
      <c r="D136" s="34" t="s">
        <v>79</v>
      </c>
      <c r="E136" s="34" t="s">
        <v>96</v>
      </c>
      <c r="F136" s="34" t="s">
        <v>33</v>
      </c>
      <c r="G136" s="34" t="s">
        <v>88</v>
      </c>
      <c r="H136" s="34" t="s">
        <v>190</v>
      </c>
      <c r="I136" s="33" t="s">
        <v>117</v>
      </c>
      <c r="J136" s="33">
        <v>2</v>
      </c>
      <c r="K136" s="33" t="s">
        <v>293</v>
      </c>
      <c r="L136" s="33" t="s">
        <v>787</v>
      </c>
      <c r="M136" s="34" t="s">
        <v>790</v>
      </c>
      <c r="N136" s="34" t="s">
        <v>849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8" si="47">+O136*P136*(1-A136)</f>
        <v>1</v>
      </c>
      <c r="AG136" s="2">
        <f t="shared" ref="AG136:AG198" si="48">O136*(1-P136)*(1-A136)</f>
        <v>0</v>
      </c>
      <c r="AH136" s="2">
        <f t="shared" ref="AH136:AH198" si="49">+P136*(1-A136)</f>
        <v>1</v>
      </c>
      <c r="AI136" s="2">
        <f t="shared" ref="AI136:AI198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3">
      <c r="A137" s="33">
        <v>0</v>
      </c>
      <c r="B137" s="33">
        <v>2</v>
      </c>
      <c r="C137" s="33">
        <v>3</v>
      </c>
      <c r="D137" s="34" t="s">
        <v>543</v>
      </c>
      <c r="E137" s="34" t="s">
        <v>546</v>
      </c>
      <c r="F137" s="34" t="s">
        <v>534</v>
      </c>
      <c r="G137" s="34" t="s">
        <v>107</v>
      </c>
      <c r="H137" s="34" t="s">
        <v>190</v>
      </c>
      <c r="I137" s="33" t="s">
        <v>535</v>
      </c>
      <c r="J137" s="33">
        <v>1</v>
      </c>
      <c r="K137" s="33" t="s">
        <v>294</v>
      </c>
      <c r="L137" s="33" t="s">
        <v>103</v>
      </c>
      <c r="M137" s="34" t="s">
        <v>103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3">
      <c r="A138" s="33">
        <v>0</v>
      </c>
      <c r="B138" s="33">
        <v>2</v>
      </c>
      <c r="C138" s="33">
        <v>3</v>
      </c>
      <c r="D138" s="34" t="s">
        <v>638</v>
      </c>
      <c r="E138" s="34" t="s">
        <v>635</v>
      </c>
      <c r="F138" s="34" t="s">
        <v>649</v>
      </c>
      <c r="G138" s="34" t="s">
        <v>496</v>
      </c>
      <c r="H138" s="34" t="s">
        <v>190</v>
      </c>
      <c r="I138" s="33" t="s">
        <v>620</v>
      </c>
      <c r="J138" s="33">
        <v>1</v>
      </c>
      <c r="K138" s="33" t="s">
        <v>295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3">
      <c r="A139" s="33">
        <v>0</v>
      </c>
      <c r="B139" s="33">
        <v>2</v>
      </c>
      <c r="C139" s="33">
        <v>3</v>
      </c>
      <c r="D139" s="34" t="s">
        <v>276</v>
      </c>
      <c r="E139" s="34" t="s">
        <v>99</v>
      </c>
      <c r="F139" s="34" t="s">
        <v>283</v>
      </c>
      <c r="G139" s="34" t="s">
        <v>88</v>
      </c>
      <c r="H139" s="34" t="s">
        <v>190</v>
      </c>
      <c r="I139" s="33" t="s">
        <v>266</v>
      </c>
      <c r="J139" s="33">
        <v>2</v>
      </c>
      <c r="K139" s="33" t="s">
        <v>293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3">
      <c r="A140" s="33">
        <v>0</v>
      </c>
      <c r="B140" s="33">
        <v>2</v>
      </c>
      <c r="C140" s="33">
        <v>3</v>
      </c>
      <c r="D140" s="34" t="s">
        <v>879</v>
      </c>
      <c r="E140" s="34" t="s">
        <v>878</v>
      </c>
      <c r="F140" s="34" t="s">
        <v>880</v>
      </c>
      <c r="G140" s="34" t="s">
        <v>137</v>
      </c>
      <c r="H140" s="34" t="s">
        <v>190</v>
      </c>
      <c r="I140" s="33" t="s">
        <v>690</v>
      </c>
      <c r="J140" s="33">
        <v>1</v>
      </c>
      <c r="K140" s="33" t="s">
        <v>385</v>
      </c>
      <c r="L140" s="33"/>
      <c r="M140" s="34"/>
      <c r="N140" s="34" t="s">
        <v>849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3">
      <c r="A141" s="33">
        <v>0</v>
      </c>
      <c r="B141" s="33">
        <v>2</v>
      </c>
      <c r="C141" s="33">
        <v>3</v>
      </c>
      <c r="D141" s="34" t="s">
        <v>565</v>
      </c>
      <c r="E141" s="34" t="s">
        <v>636</v>
      </c>
      <c r="F141" s="34" t="s">
        <v>913</v>
      </c>
      <c r="G141" s="34" t="s">
        <v>83</v>
      </c>
      <c r="H141" s="34" t="s">
        <v>190</v>
      </c>
      <c r="I141" s="33" t="s">
        <v>566</v>
      </c>
      <c r="J141" s="33">
        <v>1</v>
      </c>
      <c r="K141" s="33" t="s">
        <v>294</v>
      </c>
      <c r="L141" s="33" t="s">
        <v>103</v>
      </c>
      <c r="M141" s="34" t="s">
        <v>103</v>
      </c>
      <c r="N141" s="34" t="s">
        <v>849</v>
      </c>
      <c r="O141" s="35">
        <v>1</v>
      </c>
      <c r="P141" s="33">
        <v>1</v>
      </c>
      <c r="Q141" s="34" t="s">
        <v>914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3">
      <c r="A142" s="33">
        <v>0</v>
      </c>
      <c r="B142" s="33">
        <v>2</v>
      </c>
      <c r="C142" s="33">
        <v>3</v>
      </c>
      <c r="D142" s="34" t="s">
        <v>45</v>
      </c>
      <c r="E142" s="34" t="s">
        <v>99</v>
      </c>
      <c r="F142" s="34" t="s">
        <v>116</v>
      </c>
      <c r="G142" s="34" t="s">
        <v>88</v>
      </c>
      <c r="H142" s="34" t="s">
        <v>190</v>
      </c>
      <c r="I142" s="33" t="s">
        <v>46</v>
      </c>
      <c r="J142" s="33">
        <v>2</v>
      </c>
      <c r="K142" s="33" t="s">
        <v>293</v>
      </c>
      <c r="L142" s="33" t="s">
        <v>313</v>
      </c>
      <c r="M142" s="34" t="s">
        <v>314</v>
      </c>
      <c r="N142" s="34" t="s">
        <v>849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3">
      <c r="A143" s="30">
        <v>0</v>
      </c>
      <c r="B143" s="30">
        <v>2</v>
      </c>
      <c r="C143" s="30">
        <v>3</v>
      </c>
      <c r="D143" s="31" t="s">
        <v>70</v>
      </c>
      <c r="E143" s="31" t="s">
        <v>86</v>
      </c>
      <c r="F143" s="31" t="s">
        <v>355</v>
      </c>
      <c r="G143" s="31" t="s">
        <v>88</v>
      </c>
      <c r="H143" s="31" t="s">
        <v>190</v>
      </c>
      <c r="I143" s="30" t="s">
        <v>71</v>
      </c>
      <c r="J143" s="30">
        <v>2</v>
      </c>
      <c r="K143" s="30" t="s">
        <v>294</v>
      </c>
      <c r="L143" s="30" t="s">
        <v>313</v>
      </c>
      <c r="M143" s="31" t="s">
        <v>194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3">
      <c r="A144" s="20">
        <v>0</v>
      </c>
      <c r="B144" s="20">
        <v>2</v>
      </c>
      <c r="C144" s="20">
        <v>4</v>
      </c>
      <c r="D144" s="19" t="s">
        <v>541</v>
      </c>
      <c r="E144" s="19" t="s">
        <v>410</v>
      </c>
      <c r="F144" s="19" t="s">
        <v>404</v>
      </c>
      <c r="G144" s="19" t="s">
        <v>108</v>
      </c>
      <c r="H144" s="19" t="s">
        <v>190</v>
      </c>
      <c r="I144" s="20" t="s">
        <v>557</v>
      </c>
      <c r="J144" s="20">
        <v>1</v>
      </c>
      <c r="K144" s="20" t="s">
        <v>385</v>
      </c>
      <c r="L144" s="20" t="s">
        <v>405</v>
      </c>
      <c r="M144" s="19" t="s">
        <v>504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3">
      <c r="A145" s="36">
        <v>0</v>
      </c>
      <c r="B145" s="36">
        <v>2</v>
      </c>
      <c r="C145" s="36">
        <v>4</v>
      </c>
      <c r="D145" s="37" t="s">
        <v>530</v>
      </c>
      <c r="E145" s="37" t="s">
        <v>37</v>
      </c>
      <c r="F145" s="37" t="s">
        <v>650</v>
      </c>
      <c r="G145" s="37" t="s">
        <v>72</v>
      </c>
      <c r="H145" s="37" t="s">
        <v>190</v>
      </c>
      <c r="I145" s="36" t="s">
        <v>531</v>
      </c>
      <c r="J145" s="36">
        <v>3</v>
      </c>
      <c r="K145" s="36" t="s">
        <v>293</v>
      </c>
      <c r="L145" s="36" t="s">
        <v>305</v>
      </c>
      <c r="M145" s="37" t="s">
        <v>669</v>
      </c>
      <c r="N145" s="37" t="s">
        <v>853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3">
      <c r="A146" s="20">
        <v>0</v>
      </c>
      <c r="B146" s="20">
        <v>2</v>
      </c>
      <c r="C146" s="20">
        <v>4</v>
      </c>
      <c r="D146" s="19" t="s">
        <v>629</v>
      </c>
      <c r="E146" s="19" t="s">
        <v>411</v>
      </c>
      <c r="F146" s="19" t="s">
        <v>762</v>
      </c>
      <c r="G146" s="19" t="s">
        <v>495</v>
      </c>
      <c r="H146" s="19" t="s">
        <v>190</v>
      </c>
      <c r="I146" s="20" t="s">
        <v>414</v>
      </c>
      <c r="J146" s="20">
        <v>2</v>
      </c>
      <c r="K146" s="20" t="s">
        <v>294</v>
      </c>
      <c r="L146" s="20" t="s">
        <v>307</v>
      </c>
      <c r="M146" s="19" t="s">
        <v>708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3">
      <c r="A147" s="33">
        <v>0</v>
      </c>
      <c r="B147" s="33">
        <v>2</v>
      </c>
      <c r="C147" s="33">
        <v>4</v>
      </c>
      <c r="D147" s="34" t="s">
        <v>639</v>
      </c>
      <c r="E147" s="34" t="s">
        <v>411</v>
      </c>
      <c r="F147" s="34" t="s">
        <v>651</v>
      </c>
      <c r="G147" s="34" t="s">
        <v>110</v>
      </c>
      <c r="H147" s="34" t="s">
        <v>190</v>
      </c>
      <c r="I147" s="33" t="s">
        <v>597</v>
      </c>
      <c r="J147" s="33">
        <v>3</v>
      </c>
      <c r="K147" s="33" t="s">
        <v>293</v>
      </c>
      <c r="L147" s="33" t="s">
        <v>305</v>
      </c>
      <c r="M147" s="34" t="s">
        <v>623</v>
      </c>
      <c r="N147" s="34" t="s">
        <v>859</v>
      </c>
      <c r="O147" s="35">
        <v>1</v>
      </c>
      <c r="P147" s="33"/>
      <c r="Q147" s="34"/>
      <c r="R147" s="13"/>
      <c r="S147" s="2">
        <f t="shared" si="35"/>
        <v>0</v>
      </c>
      <c r="T147" s="2">
        <f t="shared" si="36"/>
        <v>0</v>
      </c>
      <c r="U147" s="2">
        <f t="shared" si="37"/>
        <v>1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3">
      <c r="A148" s="33">
        <v>0</v>
      </c>
      <c r="B148" s="33">
        <v>2</v>
      </c>
      <c r="C148" s="33">
        <v>4</v>
      </c>
      <c r="D148" s="34" t="s">
        <v>466</v>
      </c>
      <c r="E148" s="34" t="s">
        <v>411</v>
      </c>
      <c r="F148" s="34" t="s">
        <v>467</v>
      </c>
      <c r="G148" s="34" t="s">
        <v>82</v>
      </c>
      <c r="H148" s="34" t="s">
        <v>190</v>
      </c>
      <c r="I148" s="33" t="s">
        <v>468</v>
      </c>
      <c r="J148" s="33">
        <v>1</v>
      </c>
      <c r="K148" s="33" t="s">
        <v>294</v>
      </c>
      <c r="L148" s="33" t="s">
        <v>307</v>
      </c>
      <c r="M148" s="34" t="s">
        <v>514</v>
      </c>
      <c r="N148" s="34" t="s">
        <v>859</v>
      </c>
      <c r="O148" s="35">
        <v>1</v>
      </c>
      <c r="P148" s="33"/>
      <c r="Q148" s="34"/>
      <c r="R148" s="13"/>
      <c r="S148" s="2">
        <f t="shared" si="35"/>
        <v>1</v>
      </c>
      <c r="T148" s="2">
        <f t="shared" si="36"/>
        <v>0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3">
      <c r="A149" s="33">
        <v>0</v>
      </c>
      <c r="B149" s="33">
        <v>2</v>
      </c>
      <c r="C149" s="33">
        <v>4</v>
      </c>
      <c r="D149" s="34" t="s">
        <v>412</v>
      </c>
      <c r="E149" s="34" t="s">
        <v>30</v>
      </c>
      <c r="F149" s="34" t="s">
        <v>717</v>
      </c>
      <c r="G149" s="34" t="s">
        <v>101</v>
      </c>
      <c r="H149" s="34" t="s">
        <v>190</v>
      </c>
      <c r="I149" s="33" t="s">
        <v>414</v>
      </c>
      <c r="J149" s="33">
        <v>7</v>
      </c>
      <c r="K149" s="33" t="s">
        <v>293</v>
      </c>
      <c r="L149" s="33" t="s">
        <v>310</v>
      </c>
      <c r="M149" s="34" t="s">
        <v>671</v>
      </c>
      <c r="N149" s="34" t="s">
        <v>849</v>
      </c>
      <c r="O149" s="35">
        <v>1</v>
      </c>
      <c r="P149" s="33">
        <v>1</v>
      </c>
      <c r="Q149" s="34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1</v>
      </c>
      <c r="AE149" s="2">
        <f t="shared" si="46"/>
        <v>0</v>
      </c>
      <c r="AF149" s="2">
        <f t="shared" si="47"/>
        <v>1</v>
      </c>
      <c r="AG149" s="2">
        <f t="shared" si="48"/>
        <v>0</v>
      </c>
      <c r="AH149" s="2">
        <f t="shared" si="49"/>
        <v>1</v>
      </c>
      <c r="AI149" s="2">
        <f t="shared" si="50"/>
        <v>0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3">
      <c r="A150" s="33">
        <v>1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413</v>
      </c>
      <c r="G150" s="34" t="s">
        <v>72</v>
      </c>
      <c r="H150" s="34" t="s">
        <v>190</v>
      </c>
      <c r="I150" s="33" t="s">
        <v>414</v>
      </c>
      <c r="J150" s="33">
        <v>4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1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ht="14.25" customHeight="1" x14ac:dyDescent="0.3">
      <c r="A151" s="20">
        <v>0</v>
      </c>
      <c r="B151" s="20">
        <v>2</v>
      </c>
      <c r="C151" s="20">
        <v>4</v>
      </c>
      <c r="D151" s="19" t="s">
        <v>415</v>
      </c>
      <c r="E151" s="19" t="s">
        <v>410</v>
      </c>
      <c r="F151" s="19" t="s">
        <v>416</v>
      </c>
      <c r="G151" s="19" t="s">
        <v>82</v>
      </c>
      <c r="H151" s="19" t="s">
        <v>190</v>
      </c>
      <c r="I151" s="20" t="s">
        <v>417</v>
      </c>
      <c r="J151" s="20">
        <v>1</v>
      </c>
      <c r="K151" s="20" t="s">
        <v>385</v>
      </c>
      <c r="L151" s="20">
        <v>15</v>
      </c>
      <c r="M151" s="19" t="s">
        <v>418</v>
      </c>
      <c r="N151" s="19"/>
      <c r="O151" s="18"/>
      <c r="P151" s="20"/>
      <c r="Q151" s="19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s="14" customFormat="1" ht="14.25" customHeight="1" x14ac:dyDescent="0.3">
      <c r="A152" s="39">
        <v>0</v>
      </c>
      <c r="B152" s="39">
        <v>2</v>
      </c>
      <c r="C152" s="39">
        <v>4</v>
      </c>
      <c r="D152" s="40" t="s">
        <v>462</v>
      </c>
      <c r="E152" s="40" t="s">
        <v>463</v>
      </c>
      <c r="F152" s="40" t="s">
        <v>464</v>
      </c>
      <c r="G152" s="40" t="s">
        <v>88</v>
      </c>
      <c r="H152" s="40" t="s">
        <v>190</v>
      </c>
      <c r="I152" s="39" t="s">
        <v>465</v>
      </c>
      <c r="J152" s="39">
        <v>2</v>
      </c>
      <c r="K152" s="39" t="s">
        <v>294</v>
      </c>
      <c r="L152" s="39" t="s">
        <v>307</v>
      </c>
      <c r="M152" s="40" t="s">
        <v>670</v>
      </c>
      <c r="N152" s="40" t="s">
        <v>884</v>
      </c>
      <c r="O152" s="41"/>
      <c r="P152" s="39"/>
      <c r="Q152" s="40"/>
      <c r="R152" s="13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C152" s="2"/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pans="1:46" s="14" customFormat="1" ht="14.25" customHeight="1" x14ac:dyDescent="0.3">
      <c r="A153" s="20">
        <v>0</v>
      </c>
      <c r="B153" s="20">
        <v>2</v>
      </c>
      <c r="C153" s="20">
        <v>4</v>
      </c>
      <c r="D153" s="19" t="s">
        <v>576</v>
      </c>
      <c r="E153" s="19" t="s">
        <v>410</v>
      </c>
      <c r="F153" s="19" t="s">
        <v>578</v>
      </c>
      <c r="G153" s="19"/>
      <c r="H153" s="19" t="s">
        <v>190</v>
      </c>
      <c r="I153" s="20" t="s">
        <v>579</v>
      </c>
      <c r="J153" s="20"/>
      <c r="K153" s="20" t="s">
        <v>385</v>
      </c>
      <c r="L153" s="20">
        <v>20</v>
      </c>
      <c r="M153" s="19" t="s">
        <v>577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3">
      <c r="A154" s="20">
        <v>0</v>
      </c>
      <c r="B154" s="20">
        <v>2</v>
      </c>
      <c r="C154" s="20">
        <v>5</v>
      </c>
      <c r="D154" s="19" t="s">
        <v>219</v>
      </c>
      <c r="E154" s="19" t="s">
        <v>477</v>
      </c>
      <c r="F154" s="19" t="s">
        <v>224</v>
      </c>
      <c r="G154" s="19" t="s">
        <v>107</v>
      </c>
      <c r="H154" s="19" t="s">
        <v>190</v>
      </c>
      <c r="I154" s="20" t="s">
        <v>199</v>
      </c>
      <c r="J154" s="20">
        <v>99</v>
      </c>
      <c r="K154" s="20" t="s">
        <v>385</v>
      </c>
      <c r="L154" s="20">
        <v>30</v>
      </c>
      <c r="M154" s="19" t="s">
        <v>709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3">
      <c r="A155" s="33">
        <v>0</v>
      </c>
      <c r="B155" s="33">
        <v>2</v>
      </c>
      <c r="C155" s="33">
        <v>5</v>
      </c>
      <c r="D155" s="34" t="s">
        <v>825</v>
      </c>
      <c r="E155" s="34" t="s">
        <v>532</v>
      </c>
      <c r="F155" s="34" t="s">
        <v>826</v>
      </c>
      <c r="G155" s="34" t="s">
        <v>82</v>
      </c>
      <c r="H155" s="34" t="s">
        <v>190</v>
      </c>
      <c r="I155" s="33" t="s">
        <v>827</v>
      </c>
      <c r="J155" s="33"/>
      <c r="K155" s="33" t="s">
        <v>385</v>
      </c>
      <c r="L155" s="33">
        <v>40</v>
      </c>
      <c r="M155" s="34" t="s">
        <v>818</v>
      </c>
      <c r="N155" s="34" t="s">
        <v>858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3">
      <c r="A156" s="33">
        <v>0</v>
      </c>
      <c r="B156" s="33">
        <v>2</v>
      </c>
      <c r="C156" s="33">
        <v>5</v>
      </c>
      <c r="D156" s="34" t="s">
        <v>751</v>
      </c>
      <c r="E156" s="34" t="s">
        <v>477</v>
      </c>
      <c r="F156" s="34" t="s">
        <v>728</v>
      </c>
      <c r="G156" s="34" t="s">
        <v>761</v>
      </c>
      <c r="H156" s="34" t="s">
        <v>190</v>
      </c>
      <c r="I156" s="33" t="s">
        <v>729</v>
      </c>
      <c r="J156" s="33">
        <v>2</v>
      </c>
      <c r="K156" s="33" t="s">
        <v>293</v>
      </c>
      <c r="L156" s="33" t="s">
        <v>305</v>
      </c>
      <c r="M156" s="34" t="s">
        <v>730</v>
      </c>
      <c r="N156" s="34" t="s">
        <v>858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3">
      <c r="A157" s="20">
        <v>0</v>
      </c>
      <c r="B157" s="20">
        <v>2</v>
      </c>
      <c r="C157" s="20">
        <v>5</v>
      </c>
      <c r="D157" s="19" t="s">
        <v>526</v>
      </c>
      <c r="E157" s="19" t="s">
        <v>527</v>
      </c>
      <c r="F157" s="19" t="s">
        <v>528</v>
      </c>
      <c r="G157" s="19" t="s">
        <v>82</v>
      </c>
      <c r="H157" s="19" t="s">
        <v>190</v>
      </c>
      <c r="I157" s="20" t="s">
        <v>529</v>
      </c>
      <c r="J157" s="20">
        <v>1</v>
      </c>
      <c r="K157" s="20" t="s">
        <v>385</v>
      </c>
      <c r="L157" s="20" t="s">
        <v>305</v>
      </c>
      <c r="M157" s="19" t="s">
        <v>195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3">
      <c r="A158" s="36">
        <v>0</v>
      </c>
      <c r="B158" s="36">
        <v>2</v>
      </c>
      <c r="C158" s="36">
        <v>5</v>
      </c>
      <c r="D158" s="37" t="s">
        <v>840</v>
      </c>
      <c r="E158" s="37" t="s">
        <v>841</v>
      </c>
      <c r="F158" s="37" t="s">
        <v>842</v>
      </c>
      <c r="G158" s="37" t="s">
        <v>129</v>
      </c>
      <c r="H158" s="37" t="s">
        <v>190</v>
      </c>
      <c r="I158" s="36" t="s">
        <v>843</v>
      </c>
      <c r="J158" s="36">
        <v>99</v>
      </c>
      <c r="K158" s="36" t="s">
        <v>385</v>
      </c>
      <c r="L158" s="36">
        <v>40</v>
      </c>
      <c r="M158" s="37" t="s">
        <v>844</v>
      </c>
      <c r="N158" s="37" t="s">
        <v>853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3">
      <c r="A159" s="33">
        <v>0</v>
      </c>
      <c r="B159" s="33">
        <v>2</v>
      </c>
      <c r="C159" s="33">
        <v>5</v>
      </c>
      <c r="D159" s="34" t="s">
        <v>828</v>
      </c>
      <c r="E159" s="34" t="s">
        <v>832</v>
      </c>
      <c r="F159" s="34" t="s">
        <v>830</v>
      </c>
      <c r="G159" s="34"/>
      <c r="H159" s="34" t="s">
        <v>190</v>
      </c>
      <c r="I159" s="33" t="s">
        <v>831</v>
      </c>
      <c r="J159" s="33"/>
      <c r="K159" s="33" t="s">
        <v>385</v>
      </c>
      <c r="L159" s="33">
        <v>35</v>
      </c>
      <c r="M159" s="34" t="s">
        <v>829</v>
      </c>
      <c r="N159" s="34" t="s">
        <v>859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ht="14.25" customHeight="1" x14ac:dyDescent="0.3">
      <c r="A160" s="33">
        <v>0</v>
      </c>
      <c r="B160" s="33">
        <v>2</v>
      </c>
      <c r="C160" s="33">
        <v>5</v>
      </c>
      <c r="D160" s="34" t="s">
        <v>483</v>
      </c>
      <c r="E160" s="34" t="s">
        <v>459</v>
      </c>
      <c r="F160" s="34" t="s">
        <v>458</v>
      </c>
      <c r="G160" s="34" t="s">
        <v>88</v>
      </c>
      <c r="H160" s="34" t="s">
        <v>190</v>
      </c>
      <c r="I160" s="33" t="s">
        <v>460</v>
      </c>
      <c r="J160" s="33">
        <v>2</v>
      </c>
      <c r="K160" s="33" t="s">
        <v>294</v>
      </c>
      <c r="L160" s="33" t="s">
        <v>305</v>
      </c>
      <c r="M160" s="34" t="s">
        <v>461</v>
      </c>
      <c r="N160" s="34" t="s">
        <v>859</v>
      </c>
      <c r="O160" s="35">
        <v>1</v>
      </c>
      <c r="P160" s="33"/>
      <c r="Q160" s="34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s="14" customFormat="1" ht="14.25" customHeight="1" x14ac:dyDescent="0.3">
      <c r="A161" s="36">
        <v>0</v>
      </c>
      <c r="B161" s="36">
        <v>2</v>
      </c>
      <c r="C161" s="36">
        <v>5</v>
      </c>
      <c r="D161" s="37" t="s">
        <v>867</v>
      </c>
      <c r="E161" s="37" t="s">
        <v>868</v>
      </c>
      <c r="F161" s="37" t="s">
        <v>869</v>
      </c>
      <c r="G161" s="37"/>
      <c r="H161" s="37" t="s">
        <v>190</v>
      </c>
      <c r="I161" s="36" t="s">
        <v>870</v>
      </c>
      <c r="J161" s="36"/>
      <c r="K161" s="36" t="s">
        <v>385</v>
      </c>
      <c r="L161" s="36">
        <v>35</v>
      </c>
      <c r="M161" s="37" t="s">
        <v>871</v>
      </c>
      <c r="N161" s="37" t="s">
        <v>884</v>
      </c>
      <c r="O161" s="38"/>
      <c r="P161" s="36"/>
      <c r="Q161" s="37"/>
      <c r="R161" s="13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C161" s="2"/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pans="1:46" s="14" customFormat="1" ht="14.25" customHeight="1" x14ac:dyDescent="0.3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3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3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3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3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3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1</v>
      </c>
      <c r="AE167" s="2">
        <f t="shared" si="46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3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893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3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3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895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3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3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896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3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3">
      <c r="A174" s="36">
        <v>0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537</v>
      </c>
      <c r="G174" s="37" t="s">
        <v>110</v>
      </c>
      <c r="H174" s="37" t="s">
        <v>190</v>
      </c>
      <c r="I174" s="36" t="s">
        <v>538</v>
      </c>
      <c r="J174" s="36">
        <v>3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3">
      <c r="A175" s="36">
        <v>1</v>
      </c>
      <c r="B175" s="36">
        <v>2</v>
      </c>
      <c r="C175" s="36">
        <v>7</v>
      </c>
      <c r="D175" s="37" t="s">
        <v>536</v>
      </c>
      <c r="E175" s="37" t="s">
        <v>38</v>
      </c>
      <c r="F175" s="37" t="s">
        <v>760</v>
      </c>
      <c r="G175" s="37" t="s">
        <v>145</v>
      </c>
      <c r="H175" s="37" t="s">
        <v>190</v>
      </c>
      <c r="I175" s="36" t="s">
        <v>690</v>
      </c>
      <c r="J175" s="36">
        <v>99</v>
      </c>
      <c r="K175" s="36" t="s">
        <v>296</v>
      </c>
      <c r="L175" s="36" t="s">
        <v>294</v>
      </c>
      <c r="M175" s="37" t="s">
        <v>196</v>
      </c>
      <c r="N175" s="37" t="s">
        <v>850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3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3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3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3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ref="S179:S210" si="51">IF(J179=$S$7,1,0)</f>
        <v>0</v>
      </c>
      <c r="T179" s="2">
        <f t="shared" ref="T179:T210" si="52">IF(J179=$T$7,1,0)</f>
        <v>0</v>
      </c>
      <c r="U179" s="2">
        <f t="shared" ref="U179:U210" si="53">IF(J179=$U$7,1,0)</f>
        <v>0</v>
      </c>
      <c r="V179" s="2">
        <f t="shared" ref="V179:V210" si="54">IF(J179=$V$7,1,0)</f>
        <v>0</v>
      </c>
      <c r="W179" s="2">
        <f t="shared" ref="W179:W210" si="55">IF(J179=$W$7,1,0)</f>
        <v>0</v>
      </c>
      <c r="X179" s="2">
        <f t="shared" ref="X179:X210" si="56">IF(J179=$X$7,1,0)</f>
        <v>0</v>
      </c>
      <c r="Y179" s="2">
        <f t="shared" ref="Y179:Y210" si="57">IF(J179=$Y$7,1,0)</f>
        <v>0</v>
      </c>
      <c r="Z179" s="2">
        <f t="shared" ref="Z179:Z210" si="58">IF(J179=$Z$7,1,0)</f>
        <v>0</v>
      </c>
      <c r="AA179" s="2">
        <f t="shared" ref="AA179:AA210" si="59">IF(J179=$AA$7,1,0)</f>
        <v>0</v>
      </c>
      <c r="AB179" s="2">
        <f t="shared" ref="AB179:AB210" si="60">IF(J179=$AB$7,1,0)</f>
        <v>0</v>
      </c>
      <c r="AC179" s="2"/>
      <c r="AD179" s="2">
        <f t="shared" ref="AD179:AD210" si="61">+O179*P179</f>
        <v>0</v>
      </c>
      <c r="AE179" s="2">
        <f t="shared" ref="AE179:AE210" si="62">O179*(1-P179)</f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3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51"/>
        <v>0</v>
      </c>
      <c r="T180" s="2">
        <f t="shared" si="52"/>
        <v>0</v>
      </c>
      <c r="U180" s="2">
        <f t="shared" si="53"/>
        <v>1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C180" s="2"/>
      <c r="AD180" s="2">
        <f t="shared" si="61"/>
        <v>1</v>
      </c>
      <c r="AE180" s="2">
        <f t="shared" si="62"/>
        <v>0</v>
      </c>
      <c r="AF180" s="2">
        <f t="shared" si="47"/>
        <v>1</v>
      </c>
      <c r="AG180" s="2">
        <f t="shared" si="48"/>
        <v>0</v>
      </c>
      <c r="AH180" s="2">
        <f t="shared" si="49"/>
        <v>1</v>
      </c>
      <c r="AI180" s="2">
        <f t="shared" si="50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3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0</v>
      </c>
      <c r="Y181" s="2">
        <f t="shared" si="57"/>
        <v>1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C181" s="2"/>
      <c r="AD181" s="2">
        <f t="shared" si="61"/>
        <v>1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3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3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884</v>
      </c>
      <c r="O183" s="38"/>
      <c r="P183" s="36"/>
      <c r="Q183" s="37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3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1"/>
        <v>1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C184" s="2"/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3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3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51"/>
        <v>0</v>
      </c>
      <c r="T186" s="2">
        <f t="shared" si="52"/>
        <v>1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1</v>
      </c>
      <c r="AE186" s="2">
        <f t="shared" si="62"/>
        <v>0</v>
      </c>
      <c r="AF186" s="2">
        <f t="shared" si="47"/>
        <v>1</v>
      </c>
      <c r="AG186" s="2">
        <f t="shared" si="48"/>
        <v>0</v>
      </c>
      <c r="AH186" s="2">
        <f t="shared" si="49"/>
        <v>1</v>
      </c>
      <c r="AI186" s="2">
        <f t="shared" si="50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3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1"/>
        <v>1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3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3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3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3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1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3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51"/>
        <v>0</v>
      </c>
      <c r="T192" s="2">
        <f t="shared" si="52"/>
        <v>0</v>
      </c>
      <c r="U192" s="2">
        <f t="shared" si="53"/>
        <v>0</v>
      </c>
      <c r="V192" s="2">
        <f t="shared" si="54"/>
        <v>1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1</v>
      </c>
      <c r="AE192" s="2">
        <f t="shared" si="62"/>
        <v>0</v>
      </c>
      <c r="AF192" s="2">
        <f t="shared" si="47"/>
        <v>1</v>
      </c>
      <c r="AG192" s="2">
        <f t="shared" si="48"/>
        <v>0</v>
      </c>
      <c r="AH192" s="2">
        <f t="shared" si="49"/>
        <v>1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3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1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3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51"/>
        <v>1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3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ref="S195" si="63">IF(J195=$S$7,1,0)</f>
        <v>0</v>
      </c>
      <c r="T195" s="2">
        <f t="shared" ref="T195" si="64">IF(J195=$T$7,1,0)</f>
        <v>0</v>
      </c>
      <c r="U195" s="2">
        <f t="shared" ref="U195" si="65">IF(J195=$U$7,1,0)</f>
        <v>1</v>
      </c>
      <c r="V195" s="2">
        <f t="shared" ref="V195" si="66">IF(J195=$V$7,1,0)</f>
        <v>0</v>
      </c>
      <c r="W195" s="2">
        <f t="shared" ref="W195" si="67">IF(J195=$W$7,1,0)</f>
        <v>0</v>
      </c>
      <c r="X195" s="2">
        <f t="shared" ref="X195" si="68">IF(J195=$X$7,1,0)</f>
        <v>0</v>
      </c>
      <c r="Y195" s="2">
        <f t="shared" ref="Y195" si="69">IF(J195=$Y$7,1,0)</f>
        <v>0</v>
      </c>
      <c r="Z195" s="2">
        <f t="shared" ref="Z195" si="70">IF(J195=$Z$7,1,0)</f>
        <v>0</v>
      </c>
      <c r="AA195" s="2">
        <f t="shared" ref="AA195" si="71">IF(J195=$AA$7,1,0)</f>
        <v>0</v>
      </c>
      <c r="AB195" s="2">
        <f t="shared" ref="AB195" si="72">IF(J195=$AB$7,1,0)</f>
        <v>0</v>
      </c>
      <c r="AC195" s="2"/>
      <c r="AD195" s="2">
        <f t="shared" ref="AD195" si="73">+O195*P195</f>
        <v>1</v>
      </c>
      <c r="AE195" s="2">
        <f t="shared" ref="AE195" si="74">O195*(1-P195)</f>
        <v>0</v>
      </c>
      <c r="AF195" s="2">
        <f t="shared" ref="AF195" si="75">+O195*P195*(1-A195)</f>
        <v>1</v>
      </c>
      <c r="AG195" s="2">
        <f t="shared" ref="AG195" si="76">O195*(1-P195)*(1-A195)</f>
        <v>0</v>
      </c>
      <c r="AH195" s="2">
        <f t="shared" ref="AH195" si="77">+P195*(1-A195)</f>
        <v>1</v>
      </c>
      <c r="AI195" s="2">
        <f t="shared" ref="AI195" si="78"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3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907</v>
      </c>
      <c r="G196" s="34" t="s">
        <v>72</v>
      </c>
      <c r="H196" s="34" t="s">
        <v>190</v>
      </c>
      <c r="I196" s="33" t="s">
        <v>908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1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3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3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3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ref="AF199:AF216" si="79">+O199*P199*(1-A199)</f>
        <v>0</v>
      </c>
      <c r="AG199" s="2">
        <f t="shared" ref="AG199:AG216" si="80">O199*(1-P199)*(1-A199)</f>
        <v>0</v>
      </c>
      <c r="AH199" s="2">
        <f t="shared" ref="AH199:AH216" si="81">+P199*(1-A199)</f>
        <v>0</v>
      </c>
      <c r="AI199" s="2">
        <f t="shared" ref="AI199:AI216" si="82"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3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1</v>
      </c>
      <c r="AE200" s="2">
        <f t="shared" si="62"/>
        <v>0</v>
      </c>
      <c r="AF200" s="2">
        <f t="shared" si="79"/>
        <v>1</v>
      </c>
      <c r="AG200" s="2">
        <f t="shared" si="80"/>
        <v>0</v>
      </c>
      <c r="AH200" s="2">
        <f t="shared" si="81"/>
        <v>1</v>
      </c>
      <c r="AI200" s="2">
        <f t="shared" si="82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3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1</v>
      </c>
      <c r="AE201" s="2">
        <f t="shared" si="62"/>
        <v>0</v>
      </c>
      <c r="AF201" s="2">
        <f t="shared" si="79"/>
        <v>0</v>
      </c>
      <c r="AG201" s="2">
        <f t="shared" si="80"/>
        <v>0</v>
      </c>
      <c r="AH201" s="2">
        <f t="shared" si="81"/>
        <v>0</v>
      </c>
      <c r="AI201" s="2">
        <f t="shared" si="82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3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79"/>
        <v>0</v>
      </c>
      <c r="AG202" s="2">
        <f t="shared" si="80"/>
        <v>1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3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3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1</v>
      </c>
      <c r="AE204" s="2">
        <f t="shared" si="62"/>
        <v>0</v>
      </c>
      <c r="AF204" s="2">
        <f t="shared" si="79"/>
        <v>1</v>
      </c>
      <c r="AG204" s="2">
        <f t="shared" si="80"/>
        <v>0</v>
      </c>
      <c r="AH204" s="2">
        <f t="shared" si="81"/>
        <v>1</v>
      </c>
      <c r="AI204" s="2">
        <f t="shared" si="82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3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1</v>
      </c>
      <c r="AE205" s="2">
        <f t="shared" si="62"/>
        <v>0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3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79"/>
        <v>0</v>
      </c>
      <c r="AG206" s="2">
        <f t="shared" si="80"/>
        <v>1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3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3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79"/>
        <v>1</v>
      </c>
      <c r="AG208" s="2">
        <f t="shared" si="80"/>
        <v>0</v>
      </c>
      <c r="AH208" s="2">
        <f t="shared" si="81"/>
        <v>1</v>
      </c>
      <c r="AI208" s="2">
        <f t="shared" si="82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3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79"/>
        <v>1</v>
      </c>
      <c r="AG209" s="2">
        <f t="shared" si="80"/>
        <v>0</v>
      </c>
      <c r="AH209" s="2">
        <f t="shared" si="81"/>
        <v>1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3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79"/>
        <v>0</v>
      </c>
      <c r="AG210" s="2">
        <f t="shared" si="80"/>
        <v>0</v>
      </c>
      <c r="AH210" s="2">
        <f t="shared" si="81"/>
        <v>0</v>
      </c>
      <c r="AI210" s="2">
        <f t="shared" si="82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3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ref="S211:S217" si="83">IF(J211=$S$7,1,0)</f>
        <v>0</v>
      </c>
      <c r="T211" s="2">
        <f t="shared" ref="T211:T217" si="84">IF(J211=$T$7,1,0)</f>
        <v>0</v>
      </c>
      <c r="U211" s="2">
        <f t="shared" ref="U211:U217" si="85">IF(J211=$U$7,1,0)</f>
        <v>0</v>
      </c>
      <c r="V211" s="2">
        <f t="shared" ref="V211:V217" si="86">IF(J211=$V$7,1,0)</f>
        <v>0</v>
      </c>
      <c r="W211" s="2">
        <f t="shared" ref="W211:W217" si="87">IF(J211=$W$7,1,0)</f>
        <v>0</v>
      </c>
      <c r="X211" s="2">
        <f t="shared" ref="X211:X217" si="88">IF(J211=$X$7,1,0)</f>
        <v>0</v>
      </c>
      <c r="Y211" s="2">
        <f t="shared" ref="Y211:Y217" si="89">IF(J211=$Y$7,1,0)</f>
        <v>0</v>
      </c>
      <c r="Z211" s="2">
        <f t="shared" ref="Z211:Z217" si="90">IF(J211=$Z$7,1,0)</f>
        <v>0</v>
      </c>
      <c r="AA211" s="2">
        <f t="shared" ref="AA211:AA217" si="91">IF(J211=$AA$7,1,0)</f>
        <v>0</v>
      </c>
      <c r="AB211" s="2">
        <f t="shared" ref="AB211:AB217" si="92">IF(J211=$AB$7,1,0)</f>
        <v>0</v>
      </c>
      <c r="AC211" s="2"/>
      <c r="AD211" s="2">
        <f t="shared" ref="AD211:AD216" si="93">+O211*P211</f>
        <v>0</v>
      </c>
      <c r="AE211" s="2">
        <f t="shared" ref="AE211:AE216" si="94">O211*(1-P211)</f>
        <v>0</v>
      </c>
      <c r="AF211" s="2">
        <f t="shared" si="79"/>
        <v>0</v>
      </c>
      <c r="AG211" s="2">
        <f t="shared" si="80"/>
        <v>0</v>
      </c>
      <c r="AH211" s="2">
        <f t="shared" si="81"/>
        <v>0</v>
      </c>
      <c r="AI211" s="2">
        <f t="shared" si="82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3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83"/>
        <v>0</v>
      </c>
      <c r="T212" s="2">
        <f t="shared" si="84"/>
        <v>1</v>
      </c>
      <c r="U212" s="2">
        <f t="shared" si="85"/>
        <v>0</v>
      </c>
      <c r="V212" s="2">
        <f t="shared" si="86"/>
        <v>0</v>
      </c>
      <c r="W212" s="2">
        <f t="shared" si="87"/>
        <v>0</v>
      </c>
      <c r="X212" s="2">
        <f t="shared" si="88"/>
        <v>0</v>
      </c>
      <c r="Y212" s="2">
        <f t="shared" si="89"/>
        <v>0</v>
      </c>
      <c r="Z212" s="2">
        <f t="shared" si="90"/>
        <v>0</v>
      </c>
      <c r="AA212" s="2">
        <f t="shared" si="91"/>
        <v>0</v>
      </c>
      <c r="AB212" s="2">
        <f t="shared" si="92"/>
        <v>0</v>
      </c>
      <c r="AC212" s="2"/>
      <c r="AD212" s="2">
        <f t="shared" si="93"/>
        <v>1</v>
      </c>
      <c r="AE212" s="2">
        <f t="shared" si="94"/>
        <v>0</v>
      </c>
      <c r="AF212" s="2">
        <f t="shared" si="79"/>
        <v>1</v>
      </c>
      <c r="AG212" s="2">
        <f t="shared" si="80"/>
        <v>0</v>
      </c>
      <c r="AH212" s="2">
        <f t="shared" si="81"/>
        <v>1</v>
      </c>
      <c r="AI212" s="2">
        <f t="shared" si="82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3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83"/>
        <v>1</v>
      </c>
      <c r="T213" s="2">
        <f t="shared" si="84"/>
        <v>0</v>
      </c>
      <c r="U213" s="2">
        <f t="shared" si="85"/>
        <v>0</v>
      </c>
      <c r="V213" s="2">
        <f t="shared" si="86"/>
        <v>0</v>
      </c>
      <c r="W213" s="2">
        <f t="shared" si="87"/>
        <v>0</v>
      </c>
      <c r="X213" s="2">
        <f t="shared" si="88"/>
        <v>0</v>
      </c>
      <c r="Y213" s="2">
        <f t="shared" si="89"/>
        <v>0</v>
      </c>
      <c r="Z213" s="2">
        <f t="shared" si="90"/>
        <v>0</v>
      </c>
      <c r="AA213" s="2">
        <f t="shared" si="91"/>
        <v>0</v>
      </c>
      <c r="AB213" s="2">
        <f t="shared" si="92"/>
        <v>0</v>
      </c>
      <c r="AC213" s="2"/>
      <c r="AD213" s="2">
        <f t="shared" si="93"/>
        <v>1</v>
      </c>
      <c r="AE213" s="2">
        <f t="shared" si="94"/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3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83"/>
        <v>1</v>
      </c>
      <c r="T214" s="2">
        <f t="shared" si="84"/>
        <v>0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3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894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83"/>
        <v>0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3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884</v>
      </c>
      <c r="O216" s="38"/>
      <c r="P216" s="36"/>
      <c r="Q216" s="37"/>
      <c r="R216" s="13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C216" s="2"/>
      <c r="AD216" s="2">
        <f t="shared" si="93"/>
        <v>0</v>
      </c>
      <c r="AE216" s="2">
        <f t="shared" si="94"/>
        <v>0</v>
      </c>
      <c r="AF216" s="2">
        <f t="shared" si="79"/>
        <v>0</v>
      </c>
      <c r="AG216" s="2">
        <f t="shared" si="80"/>
        <v>0</v>
      </c>
      <c r="AH216" s="2">
        <f t="shared" si="81"/>
        <v>0</v>
      </c>
      <c r="AI216" s="2">
        <f t="shared" si="82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3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83"/>
        <v>1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C217" s="2"/>
      <c r="AD217" s="2">
        <f t="shared" ref="AD217" si="95">+O217*P217</f>
        <v>1</v>
      </c>
      <c r="AE217" s="2">
        <f t="shared" ref="AE217" si="96">O217*(1-P217)</f>
        <v>0</v>
      </c>
      <c r="AF217" s="2">
        <f t="shared" ref="AF217" si="97">+O217*P217*(1-A217)</f>
        <v>1</v>
      </c>
      <c r="AG217" s="2">
        <f t="shared" ref="AG217" si="98">O217*(1-P217)*(1-A217)</f>
        <v>0</v>
      </c>
      <c r="AH217" s="2">
        <f t="shared" ref="AH217" si="99">+P217*(1-A217)</f>
        <v>1</v>
      </c>
      <c r="AI217" s="2">
        <f t="shared" ref="AI217" si="100">+(1-A217)*(1-P217)</f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3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3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3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3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3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3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3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3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3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3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3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3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3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3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3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3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3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3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3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3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3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3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3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3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3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3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3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3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3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3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3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3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3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3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3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3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3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3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3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3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3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3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3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3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3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3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3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3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3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3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3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3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3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3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3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3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3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3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3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3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3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3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3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3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3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3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3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3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3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3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3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3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3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3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3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3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3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3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3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3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3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3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3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3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3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3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3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3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3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3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3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3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3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3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3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3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3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3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3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2026-07-25T10:23:31Z</dcterms:modified>
</cp:coreProperties>
</file>