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314CD3E-E41C-43B3-9C86-83E100360B9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<sst xmlns="http://schemas.openxmlformats.org/spreadsheetml/2006/main" count="2006" uniqueCount="918">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</sst>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48" activePane="bottomLeft" state="frozen"/>
      <selection pane="bottomLeft" activeCell="A148" sqref="A148:XFD148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50</v>
      </c>
      <c r="G3" s="7">
        <f>+AF6</f>
        <v>39</v>
      </c>
      <c r="H3" s="7">
        <f>+E3-G3</f>
        <v>7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133</v>
      </c>
      <c r="F4" s="10">
        <f>+AE6</f>
        <v>33</v>
      </c>
      <c r="G4" s="10">
        <f>+AG6</f>
        <v>30</v>
      </c>
      <c r="H4" s="7">
        <f>+E4-G4</f>
        <v>103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83</v>
      </c>
      <c r="G5" s="12">
        <f>+G3+G4</f>
        <v>69</v>
      </c>
      <c r="H5" s="12">
        <f>+H3+H4</f>
        <v>110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50</v>
      </c>
      <c r="AE6" s="2">
        <f t="shared" si="1"/>
        <v>33</v>
      </c>
      <c r="AF6" s="2">
        <f t="shared" si="1"/>
        <v>39</v>
      </c>
      <c r="AG6" s="2">
        <f t="shared" si="1"/>
        <v>30</v>
      </c>
      <c r="AH6" s="2">
        <f t="shared" si="1"/>
        <v>46</v>
      </c>
      <c r="AI6" s="2">
        <f t="shared" si="1"/>
        <v>133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860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860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31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0</v>
      </c>
      <c r="AF113" s="2">
        <f t="shared" si="19"/>
        <v>0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31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0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409</v>
      </c>
      <c r="E121" s="34" t="s">
        <v>410</v>
      </c>
      <c r="F121" s="34" t="s">
        <v>411</v>
      </c>
      <c r="G121" s="34" t="s">
        <v>84</v>
      </c>
      <c r="H121" s="34" t="s">
        <v>192</v>
      </c>
      <c r="I121" s="33" t="s">
        <v>412</v>
      </c>
      <c r="J121" s="33">
        <v>1</v>
      </c>
      <c r="K121" s="33" t="s">
        <v>296</v>
      </c>
      <c r="L121" s="33" t="s">
        <v>312</v>
      </c>
      <c r="M121" s="34" t="s">
        <v>818</v>
      </c>
      <c r="N121" s="34" t="s">
        <v>860</v>
      </c>
      <c r="O121" s="35">
        <v>1</v>
      </c>
      <c r="P121" s="33">
        <v>1</v>
      </c>
      <c r="Q121" s="34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1</v>
      </c>
      <c r="AE121" s="2">
        <f t="shared" si="34"/>
        <v>0</v>
      </c>
      <c r="AF121" s="2">
        <f t="shared" si="19"/>
        <v>1</v>
      </c>
      <c r="AG121" s="2">
        <f t="shared" si="20"/>
        <v>0</v>
      </c>
      <c r="AH121" s="2">
        <f t="shared" si="21"/>
        <v>1</v>
      </c>
      <c r="AI121" s="2">
        <f t="shared" si="22"/>
        <v>0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19"/>
        <v>1</v>
      </c>
      <c r="AG134" s="2">
        <f t="shared" si="20"/>
        <v>0</v>
      </c>
      <c r="AH134" s="2">
        <f t="shared" si="21"/>
        <v>1</v>
      </c>
      <c r="AI134" s="2">
        <f t="shared" si="22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551</v>
      </c>
      <c r="E148" s="34" t="s">
        <v>554</v>
      </c>
      <c r="F148" s="34" t="s">
        <v>557</v>
      </c>
      <c r="G148" s="34" t="s">
        <v>90</v>
      </c>
      <c r="H148" s="34" t="s">
        <v>192</v>
      </c>
      <c r="I148" s="33" t="s">
        <v>540</v>
      </c>
      <c r="J148" s="33">
        <v>2</v>
      </c>
      <c r="K148" s="33" t="s">
        <v>295</v>
      </c>
      <c r="L148" s="33" t="s">
        <v>309</v>
      </c>
      <c r="M148" s="34" t="s">
        <v>599</v>
      </c>
      <c r="N148" s="34" t="s">
        <v>860</v>
      </c>
      <c r="O148" s="35">
        <v>1</v>
      </c>
      <c r="P148" s="33">
        <v>1</v>
      </c>
      <c r="Q148" s="34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1</v>
      </c>
      <c r="AE148" s="2">
        <f t="shared" si="46"/>
        <v>0</v>
      </c>
      <c r="AF148" s="2">
        <f t="shared" si="47"/>
        <v>1</v>
      </c>
      <c r="AG148" s="2">
        <f t="shared" si="48"/>
        <v>0</v>
      </c>
      <c r="AH148" s="2">
        <f t="shared" si="49"/>
        <v>1</v>
      </c>
      <c r="AI148" s="2">
        <f t="shared" si="50"/>
        <v>0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0</v>
      </c>
      <c r="B181" s="33">
        <v>2</v>
      </c>
      <c r="C181" s="33">
        <v>7</v>
      </c>
      <c r="D181" s="34" t="s">
        <v>178</v>
      </c>
      <c r="E181" s="34" t="s">
        <v>38</v>
      </c>
      <c r="F181" s="34" t="s">
        <v>189</v>
      </c>
      <c r="G181" s="34" t="s">
        <v>112</v>
      </c>
      <c r="H181" s="34" t="s">
        <v>192</v>
      </c>
      <c r="I181" s="33" t="s">
        <v>120</v>
      </c>
      <c r="J181" s="33">
        <v>3</v>
      </c>
      <c r="K181" s="33" t="s">
        <v>295</v>
      </c>
      <c r="L181" s="33" t="s">
        <v>296</v>
      </c>
      <c r="M181" s="34" t="s">
        <v>198</v>
      </c>
      <c r="N181" s="34" t="s">
        <v>860</v>
      </c>
      <c r="O181" s="35">
        <v>1</v>
      </c>
      <c r="P181" s="33">
        <v>1</v>
      </c>
      <c r="Q181" s="34"/>
      <c r="R181" s="13"/>
      <c r="S181" s="2">
        <f t="shared" ref="S181:S211" si="51">IF(J181=$S$7,1,0)</f>
        <v>0</v>
      </c>
      <c r="T181" s="2">
        <f t="shared" ref="T181:T211" si="52">IF(J181=$T$7,1,0)</f>
        <v>0</v>
      </c>
      <c r="U181" s="2">
        <f t="shared" ref="U181:U211" si="53">IF(J181=$U$7,1,0)</f>
        <v>1</v>
      </c>
      <c r="V181" s="2">
        <f t="shared" ref="V181:V211" si="54">IF(J181=$V$7,1,0)</f>
        <v>0</v>
      </c>
      <c r="W181" s="2">
        <f t="shared" ref="W181:W211" si="55">IF(J181=$W$7,1,0)</f>
        <v>0</v>
      </c>
      <c r="X181" s="2">
        <f t="shared" ref="X181:X211" si="56">IF(J181=$X$7,1,0)</f>
        <v>0</v>
      </c>
      <c r="Y181" s="2">
        <f t="shared" ref="Y181:Y211" si="57">IF(J181=$Y$7,1,0)</f>
        <v>0</v>
      </c>
      <c r="Z181" s="2">
        <f t="shared" ref="Z181:Z211" si="58">IF(J181=$Z$7,1,0)</f>
        <v>0</v>
      </c>
      <c r="AA181" s="2">
        <f t="shared" ref="AA181:AA211" si="59">IF(J181=$AA$7,1,0)</f>
        <v>0</v>
      </c>
      <c r="AB181" s="2">
        <f t="shared" ref="AB181:AB211" si="60">IF(J181=$AB$7,1,0)</f>
        <v>0</v>
      </c>
      <c r="AC181" s="2"/>
      <c r="AD181" s="2">
        <f t="shared" ref="AD181:AD211" si="61">+O181*P181</f>
        <v>1</v>
      </c>
      <c r="AE181" s="2">
        <f t="shared" ref="AE181:AE211" si="62">O181*(1-P181)</f>
        <v>0</v>
      </c>
      <c r="AF181" s="2">
        <f t="shared" si="47"/>
        <v>1</v>
      </c>
      <c r="AG181" s="2">
        <f t="shared" si="48"/>
        <v>0</v>
      </c>
      <c r="AH181" s="2">
        <f t="shared" si="49"/>
        <v>1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1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365</v>
      </c>
      <c r="G182" s="34" t="s">
        <v>103</v>
      </c>
      <c r="H182" s="34" t="s">
        <v>192</v>
      </c>
      <c r="I182" s="33" t="s">
        <v>120</v>
      </c>
      <c r="J182" s="33">
        <v>7</v>
      </c>
      <c r="K182" s="33" t="s">
        <v>295</v>
      </c>
      <c r="L182" s="33" t="s">
        <v>296</v>
      </c>
      <c r="M182" s="34" t="s">
        <v>198</v>
      </c>
      <c r="N182" s="34" t="s">
        <v>860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860</v>
      </c>
      <c r="O187" s="35">
        <v>1</v>
      </c>
      <c r="P187" s="33">
        <v>1</v>
      </c>
      <c r="Q187" s="34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1</v>
      </c>
      <c r="AE187" s="2">
        <f t="shared" si="62"/>
        <v>0</v>
      </c>
      <c r="AF187" s="2">
        <f t="shared" si="47"/>
        <v>1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0</v>
      </c>
      <c r="B196" s="33">
        <v>2</v>
      </c>
      <c r="C196" s="33">
        <v>7</v>
      </c>
      <c r="D196" s="34" t="s">
        <v>321</v>
      </c>
      <c r="E196" s="34" t="s">
        <v>55</v>
      </c>
      <c r="F196" s="34" t="s">
        <v>370</v>
      </c>
      <c r="G196" s="34" t="s">
        <v>112</v>
      </c>
      <c r="H196" s="34" t="s">
        <v>192</v>
      </c>
      <c r="I196" s="33" t="s">
        <v>322</v>
      </c>
      <c r="J196" s="33">
        <v>3</v>
      </c>
      <c r="K196" s="33" t="s">
        <v>296</v>
      </c>
      <c r="L196" s="33" t="s">
        <v>315</v>
      </c>
      <c r="M196" s="34" t="s">
        <v>387</v>
      </c>
      <c r="N196" s="34" t="s">
        <v>860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1</v>
      </c>
      <c r="AG196" s="2">
        <f t="shared" si="48"/>
        <v>0</v>
      </c>
      <c r="AH196" s="2">
        <f t="shared" si="49"/>
        <v>1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ref="AF200:AF217" si="63">+O200*P200*(1-A200)</f>
        <v>0</v>
      </c>
      <c r="AG200" s="2">
        <f t="shared" ref="AG200:AG217" si="64">O200*(1-P200)*(1-A200)</f>
        <v>0</v>
      </c>
      <c r="AH200" s="2">
        <f t="shared" ref="AH200:AH217" si="65">+P200*(1-A200)</f>
        <v>0</v>
      </c>
      <c r="AI200" s="2">
        <f t="shared" ref="AI200:AI217" si="66"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345</v>
      </c>
      <c r="E212" s="34" t="s">
        <v>55</v>
      </c>
      <c r="F212" s="34" t="s">
        <v>373</v>
      </c>
      <c r="G212" s="34" t="s">
        <v>90</v>
      </c>
      <c r="H212" s="34" t="s">
        <v>192</v>
      </c>
      <c r="I212" s="33" t="s">
        <v>56</v>
      </c>
      <c r="J212" s="33">
        <v>2</v>
      </c>
      <c r="K212" s="33" t="s">
        <v>298</v>
      </c>
      <c r="L212" s="33" t="s">
        <v>105</v>
      </c>
      <c r="M212" s="34" t="s">
        <v>105</v>
      </c>
      <c r="N212" s="34" t="s">
        <v>860</v>
      </c>
      <c r="O212" s="35">
        <v>1</v>
      </c>
      <c r="P212" s="33">
        <v>1</v>
      </c>
      <c r="Q212" s="34"/>
      <c r="R212" s="13"/>
      <c r="S212" s="2">
        <f t="shared" ref="S212:S217" si="67">IF(J212=$S$7,1,0)</f>
        <v>0</v>
      </c>
      <c r="T212" s="2">
        <f t="shared" ref="T212:T217" si="68">IF(J212=$T$7,1,0)</f>
        <v>1</v>
      </c>
      <c r="U212" s="2">
        <f t="shared" ref="U212:U217" si="69">IF(J212=$U$7,1,0)</f>
        <v>0</v>
      </c>
      <c r="V212" s="2">
        <f t="shared" ref="V212:V217" si="70">IF(J212=$V$7,1,0)</f>
        <v>0</v>
      </c>
      <c r="W212" s="2">
        <f t="shared" ref="W212:W217" si="71">IF(J212=$W$7,1,0)</f>
        <v>0</v>
      </c>
      <c r="X212" s="2">
        <f t="shared" ref="X212:X217" si="72">IF(J212=$X$7,1,0)</f>
        <v>0</v>
      </c>
      <c r="Y212" s="2">
        <f t="shared" ref="Y212:Y217" si="73">IF(J212=$Y$7,1,0)</f>
        <v>0</v>
      </c>
      <c r="Z212" s="2">
        <f t="shared" ref="Z212:Z217" si="74">IF(J212=$Z$7,1,0)</f>
        <v>0</v>
      </c>
      <c r="AA212" s="2">
        <f t="shared" ref="AA212:AA217" si="75">IF(J212=$AA$7,1,0)</f>
        <v>0</v>
      </c>
      <c r="AB212" s="2">
        <f t="shared" ref="AB212:AB217" si="76">IF(J212=$AB$7,1,0)</f>
        <v>0</v>
      </c>
      <c r="AC212" s="2"/>
      <c r="AD212" s="2">
        <f t="shared" ref="AD212:AD217" si="77">+O212*P212</f>
        <v>1</v>
      </c>
      <c r="AE212" s="2">
        <f t="shared" ref="AE212:AE217" si="78">O212*(1-P212)</f>
        <v>0</v>
      </c>
      <c r="AF212" s="2">
        <f t="shared" si="63"/>
        <v>1</v>
      </c>
      <c r="AG212" s="2">
        <f t="shared" si="64"/>
        <v>0</v>
      </c>
      <c r="AH212" s="2">
        <f t="shared" si="65"/>
        <v>1</v>
      </c>
      <c r="AI212" s="2">
        <f t="shared" si="66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559</v>
      </c>
      <c r="G213" s="34" t="s">
        <v>560</v>
      </c>
      <c r="H213" s="34" t="s">
        <v>192</v>
      </c>
      <c r="I213" s="33" t="s">
        <v>566</v>
      </c>
      <c r="J213" s="33">
        <v>1</v>
      </c>
      <c r="K213" s="33" t="s">
        <v>298</v>
      </c>
      <c r="L213" s="33" t="s">
        <v>105</v>
      </c>
      <c r="M213" s="34" t="s">
        <v>105</v>
      </c>
      <c r="N213" s="34" t="s">
        <v>860</v>
      </c>
      <c r="O213" s="35">
        <v>1</v>
      </c>
      <c r="P213" s="33">
        <v>1</v>
      </c>
      <c r="Q213" s="34"/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1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63"/>
        <v>1</v>
      </c>
      <c r="AG214" s="2">
        <f t="shared" si="64"/>
        <v>0</v>
      </c>
      <c r="AH214" s="2">
        <f t="shared" si="65"/>
        <v>1</v>
      </c>
      <c r="AI214" s="2">
        <f t="shared" si="66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97</v>
      </c>
      <c r="E217" s="34" t="s">
        <v>38</v>
      </c>
      <c r="F217" s="34" t="s">
        <v>181</v>
      </c>
      <c r="G217" s="34" t="s">
        <v>84</v>
      </c>
      <c r="H217" s="34" t="s">
        <v>192</v>
      </c>
      <c r="I217" s="33" t="s">
        <v>62</v>
      </c>
      <c r="J217" s="33">
        <v>1</v>
      </c>
      <c r="K217" s="33" t="s">
        <v>296</v>
      </c>
      <c r="L217" s="33" t="s">
        <v>296</v>
      </c>
      <c r="M217" s="34" t="s">
        <v>198</v>
      </c>
      <c r="N217" s="34" t="s">
        <v>860</v>
      </c>
      <c r="O217" s="35">
        <v>1</v>
      </c>
      <c r="P217" s="33">
        <v>1</v>
      </c>
      <c r="Q217" s="34"/>
      <c r="R217" s="13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C217" s="2"/>
      <c r="AD217" s="2">
        <f t="shared" si="77"/>
        <v>1</v>
      </c>
      <c r="AE217" s="2">
        <f t="shared" si="78"/>
        <v>0</v>
      </c>
      <c r="AF217" s="2">
        <f t="shared" si="63"/>
        <v>1</v>
      </c>
      <c r="AG217" s="2">
        <f t="shared" si="64"/>
        <v>0</v>
      </c>
      <c r="AH217" s="2">
        <f t="shared" si="65"/>
        <v>1</v>
      </c>
      <c r="AI217" s="2">
        <f t="shared" si="66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2026-05-27T11:58:24Z</dcterms:modified>
</cp:coreProperties>
</file>