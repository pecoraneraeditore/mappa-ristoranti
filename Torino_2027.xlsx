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16E9CC8-9B6A-49D6-8B4C-1FED2B488999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4" i="6"/>
  <c r="U128" i="6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<sst xmlns="http://schemas.openxmlformats.org/spreadsheetml/2006/main" count="1995" uniqueCount="918">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</sst>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94" activePane="bottomLeft" state="frozen"/>
      <selection pane="bottomLeft" activeCell="O95" sqref="O95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39</v>
      </c>
      <c r="F3" s="7">
        <f>+AD6</f>
        <v>39</v>
      </c>
      <c r="G3" s="7">
        <f>+AF6</f>
        <v>30</v>
      </c>
      <c r="H3" s="7">
        <f>+E3-G3</f>
        <v>9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140</v>
      </c>
      <c r="F4" s="10">
        <f>+AE6</f>
        <v>33</v>
      </c>
      <c r="G4" s="10">
        <f>+AG6</f>
        <v>30</v>
      </c>
      <c r="H4" s="7">
        <f>+E4-G4</f>
        <v>110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72</v>
      </c>
      <c r="G5" s="12">
        <f>+G3+G4</f>
        <v>60</v>
      </c>
      <c r="H5" s="12">
        <f>+H3+H4</f>
        <v>119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39</v>
      </c>
      <c r="AE6" s="2">
        <f t="shared" si="1"/>
        <v>33</v>
      </c>
      <c r="AF6" s="2">
        <f t="shared" si="1"/>
        <v>30</v>
      </c>
      <c r="AG6" s="2">
        <f t="shared" si="1"/>
        <v>30</v>
      </c>
      <c r="AH6" s="2">
        <f t="shared" si="1"/>
        <v>39</v>
      </c>
      <c r="AI6" s="2">
        <f t="shared" si="1"/>
        <v>140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20">
        <v>0</v>
      </c>
      <c r="B20" s="20">
        <v>1</v>
      </c>
      <c r="C20" s="20">
        <v>2</v>
      </c>
      <c r="D20" s="19" t="s">
        <v>59</v>
      </c>
      <c r="E20" s="19" t="s">
        <v>236</v>
      </c>
      <c r="F20" s="19" t="s">
        <v>346</v>
      </c>
      <c r="G20" s="19" t="s">
        <v>84</v>
      </c>
      <c r="H20" s="19" t="s">
        <v>192</v>
      </c>
      <c r="I20" s="20" t="s">
        <v>60</v>
      </c>
      <c r="J20" s="20">
        <v>1</v>
      </c>
      <c r="K20" s="20" t="s">
        <v>294</v>
      </c>
      <c r="L20" s="20" t="s">
        <v>514</v>
      </c>
      <c r="M20" s="19" t="s">
        <v>732</v>
      </c>
      <c r="N20" s="19"/>
      <c r="O20" s="18"/>
      <c r="P20" s="20"/>
      <c r="Q20" s="19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0</v>
      </c>
      <c r="AE20" s="2">
        <f t="shared" si="18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20">
        <v>0</v>
      </c>
      <c r="B22" s="20">
        <v>1</v>
      </c>
      <c r="C22" s="20">
        <v>2</v>
      </c>
      <c r="D22" s="19" t="s">
        <v>173</v>
      </c>
      <c r="E22" s="19" t="s">
        <v>237</v>
      </c>
      <c r="F22" s="19" t="s">
        <v>229</v>
      </c>
      <c r="G22" s="19" t="s">
        <v>84</v>
      </c>
      <c r="H22" s="19" t="s">
        <v>192</v>
      </c>
      <c r="I22" s="20" t="s">
        <v>165</v>
      </c>
      <c r="J22" s="20">
        <v>1</v>
      </c>
      <c r="K22" s="20" t="s">
        <v>294</v>
      </c>
      <c r="L22" s="20" t="s">
        <v>303</v>
      </c>
      <c r="M22" s="19" t="s">
        <v>685</v>
      </c>
      <c r="N22" s="19"/>
      <c r="O22" s="18"/>
      <c r="P22" s="20"/>
      <c r="Q22" s="19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0</v>
      </c>
      <c r="AE22" s="2">
        <f t="shared" si="18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23">IF(J73=$S$7,1,0)</f>
        <v>0</v>
      </c>
      <c r="T73" s="2">
        <f t="shared" ref="T73:T125" si="24">IF(J73=$T$7,1,0)</f>
        <v>0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0</v>
      </c>
      <c r="B96" s="33">
        <v>1</v>
      </c>
      <c r="C96" s="33">
        <v>7</v>
      </c>
      <c r="D96" s="34" t="s">
        <v>214</v>
      </c>
      <c r="E96" s="34" t="s">
        <v>40</v>
      </c>
      <c r="F96" s="34" t="s">
        <v>655</v>
      </c>
      <c r="G96" s="34" t="s">
        <v>139</v>
      </c>
      <c r="H96" s="34" t="s">
        <v>192</v>
      </c>
      <c r="I96" s="33" t="s">
        <v>625</v>
      </c>
      <c r="J96" s="33">
        <v>99</v>
      </c>
      <c r="K96" s="33" t="s">
        <v>296</v>
      </c>
      <c r="L96" s="33" t="s">
        <v>308</v>
      </c>
      <c r="M96" s="34" t="s">
        <v>270</v>
      </c>
      <c r="N96" s="34" t="s">
        <v>896</v>
      </c>
      <c r="O96" s="35">
        <v>1</v>
      </c>
      <c r="P96" s="33"/>
      <c r="Q96" s="34"/>
      <c r="R96" s="13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19"/>
        <v>0</v>
      </c>
      <c r="AG96" s="2">
        <f t="shared" si="20"/>
        <v>1</v>
      </c>
      <c r="AH96" s="2">
        <f t="shared" si="21"/>
        <v>0</v>
      </c>
      <c r="AI96" s="2">
        <f t="shared" si="22"/>
        <v>1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215</v>
      </c>
      <c r="G97" s="34" t="s">
        <v>90</v>
      </c>
      <c r="H97" s="34" t="s">
        <v>192</v>
      </c>
      <c r="I97" s="33" t="s">
        <v>216</v>
      </c>
      <c r="J97" s="33">
        <v>2</v>
      </c>
      <c r="K97" s="33" t="s">
        <v>296</v>
      </c>
      <c r="L97" s="33" t="s">
        <v>308</v>
      </c>
      <c r="M97" s="34" t="s">
        <v>270</v>
      </c>
      <c r="N97" s="34" t="s">
        <v>896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0" t="s">
        <v>138</v>
      </c>
      <c r="J113" s="30">
        <v>4</v>
      </c>
      <c r="K113" s="30" t="s">
        <v>298</v>
      </c>
      <c r="L113" s="30" t="s">
        <v>296</v>
      </c>
      <c r="M113" s="31" t="s">
        <v>195</v>
      </c>
      <c r="N113" s="31"/>
      <c r="O113" s="32"/>
      <c r="P113" s="30">
        <v>1</v>
      </c>
      <c r="Q113" s="31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0</v>
      </c>
      <c r="AF113" s="2">
        <f t="shared" si="19"/>
        <v>0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0" t="s">
        <v>698</v>
      </c>
      <c r="J114" s="30">
        <v>99</v>
      </c>
      <c r="K114" s="30" t="s">
        <v>298</v>
      </c>
      <c r="L114" s="30" t="s">
        <v>296</v>
      </c>
      <c r="M114" s="31" t="s">
        <v>195</v>
      </c>
      <c r="N114" s="31"/>
      <c r="O114" s="32"/>
      <c r="P114" s="30">
        <v>1</v>
      </c>
      <c r="Q114" s="31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0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20">
        <v>0</v>
      </c>
      <c r="B121" s="20">
        <v>2</v>
      </c>
      <c r="C121" s="20">
        <v>2</v>
      </c>
      <c r="D121" s="19" t="s">
        <v>409</v>
      </c>
      <c r="E121" s="19" t="s">
        <v>410</v>
      </c>
      <c r="F121" s="19" t="s">
        <v>411</v>
      </c>
      <c r="G121" s="19" t="s">
        <v>84</v>
      </c>
      <c r="H121" s="19" t="s">
        <v>192</v>
      </c>
      <c r="I121" s="20" t="s">
        <v>412</v>
      </c>
      <c r="J121" s="20">
        <v>1</v>
      </c>
      <c r="K121" s="20" t="s">
        <v>296</v>
      </c>
      <c r="L121" s="20" t="s">
        <v>312</v>
      </c>
      <c r="M121" s="19" t="s">
        <v>818</v>
      </c>
      <c r="N121" s="19"/>
      <c r="O121" s="18"/>
      <c r="P121" s="20"/>
      <c r="Q121" s="19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0</v>
      </c>
      <c r="AF121" s="2">
        <f t="shared" si="19"/>
        <v>0</v>
      </c>
      <c r="AG121" s="2">
        <f t="shared" si="20"/>
        <v>0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1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37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1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9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19"/>
        <v>0</v>
      </c>
      <c r="AG132" s="2">
        <f t="shared" si="20"/>
        <v>0</v>
      </c>
      <c r="AH132" s="2">
        <f t="shared" si="21"/>
        <v>0</v>
      </c>
      <c r="AI132" s="2">
        <f t="shared" si="22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34"/>
      <c r="R134" s="13"/>
      <c r="S134" s="2">
        <f t="shared" si="35"/>
        <v>0</v>
      </c>
      <c r="T134" s="2">
        <f t="shared" si="36"/>
        <v>1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1</v>
      </c>
      <c r="AE134" s="2">
        <f t="shared" si="46"/>
        <v>0</v>
      </c>
      <c r="AF134" s="2">
        <f t="shared" si="19"/>
        <v>1</v>
      </c>
      <c r="AG134" s="2">
        <f t="shared" si="20"/>
        <v>0</v>
      </c>
      <c r="AH134" s="2">
        <f t="shared" si="21"/>
        <v>1</v>
      </c>
      <c r="AI134" s="2">
        <f t="shared" si="22"/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31"/>
      <c r="R135" s="13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1</v>
      </c>
      <c r="AI135" s="2">
        <f t="shared" si="22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34"/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35"/>
        <v>0</v>
      </c>
      <c r="T137" s="2">
        <f t="shared" si="36"/>
        <v>1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34"/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35"/>
        <v>0</v>
      </c>
      <c r="T140" s="2">
        <f t="shared" si="36"/>
        <v>1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31"/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0</v>
      </c>
      <c r="AE141" s="2">
        <f t="shared" si="46"/>
        <v>0</v>
      </c>
      <c r="AF141" s="2">
        <f t="shared" si="47"/>
        <v>0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9"/>
      <c r="R142" s="13"/>
      <c r="S142" s="2">
        <f t="shared" si="35"/>
        <v>1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0</v>
      </c>
      <c r="AI142" s="2">
        <f t="shared" si="50"/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37"/>
      <c r="R143" s="13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9"/>
      <c r="R144" s="13"/>
      <c r="S144" s="2">
        <f t="shared" si="35"/>
        <v>0</v>
      </c>
      <c r="T144" s="2">
        <f t="shared" si="36"/>
        <v>1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9"/>
      <c r="R145" s="13"/>
      <c r="S145" s="2">
        <f t="shared" si="35"/>
        <v>0</v>
      </c>
      <c r="T145" s="2">
        <f t="shared" si="36"/>
        <v>0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1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37"/>
      <c r="R146" s="13"/>
      <c r="S146" s="2">
        <f t="shared" si="35"/>
        <v>0</v>
      </c>
      <c r="T146" s="2">
        <f t="shared" si="36"/>
        <v>0</v>
      </c>
      <c r="U146" s="2">
        <f t="shared" si="37"/>
        <v>1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37"/>
      <c r="R147" s="13"/>
      <c r="S147" s="2">
        <f t="shared" si="35"/>
        <v>1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551</v>
      </c>
      <c r="E148" s="19" t="s">
        <v>554</v>
      </c>
      <c r="F148" s="19" t="s">
        <v>557</v>
      </c>
      <c r="G148" s="19" t="s">
        <v>90</v>
      </c>
      <c r="H148" s="19" t="s">
        <v>192</v>
      </c>
      <c r="I148" s="20" t="s">
        <v>540</v>
      </c>
      <c r="J148" s="20">
        <v>2</v>
      </c>
      <c r="K148" s="20" t="s">
        <v>295</v>
      </c>
      <c r="L148" s="20" t="s">
        <v>309</v>
      </c>
      <c r="M148" s="19" t="s">
        <v>599</v>
      </c>
      <c r="N148" s="19"/>
      <c r="O148" s="18"/>
      <c r="P148" s="20"/>
      <c r="Q148" s="19"/>
      <c r="R148" s="13"/>
      <c r="S148" s="2">
        <f t="shared" si="35"/>
        <v>0</v>
      </c>
      <c r="T148" s="2">
        <f t="shared" si="36"/>
        <v>1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178</v>
      </c>
      <c r="E181" s="19" t="s">
        <v>38</v>
      </c>
      <c r="F181" s="19" t="s">
        <v>189</v>
      </c>
      <c r="G181" s="19" t="s">
        <v>112</v>
      </c>
      <c r="H181" s="19" t="s">
        <v>192</v>
      </c>
      <c r="I181" s="20" t="s">
        <v>120</v>
      </c>
      <c r="J181" s="20">
        <v>3</v>
      </c>
      <c r="K181" s="20" t="s">
        <v>295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1" si="51">IF(J181=$S$7,1,0)</f>
        <v>0</v>
      </c>
      <c r="T181" s="2">
        <f t="shared" ref="T181:T211" si="52">IF(J181=$T$7,1,0)</f>
        <v>0</v>
      </c>
      <c r="U181" s="2">
        <f t="shared" ref="U181:U211" si="53">IF(J181=$U$7,1,0)</f>
        <v>1</v>
      </c>
      <c r="V181" s="2">
        <f t="shared" ref="V181:V211" si="54">IF(J181=$V$7,1,0)</f>
        <v>0</v>
      </c>
      <c r="W181" s="2">
        <f t="shared" ref="W181:W211" si="55">IF(J181=$W$7,1,0)</f>
        <v>0</v>
      </c>
      <c r="X181" s="2">
        <f t="shared" ref="X181:X211" si="56">IF(J181=$X$7,1,0)</f>
        <v>0</v>
      </c>
      <c r="Y181" s="2">
        <f t="shared" ref="Y181:Y211" si="57">IF(J181=$Y$7,1,0)</f>
        <v>0</v>
      </c>
      <c r="Z181" s="2">
        <f t="shared" ref="Z181:Z211" si="58">IF(J181=$Z$7,1,0)</f>
        <v>0</v>
      </c>
      <c r="AA181" s="2">
        <f t="shared" ref="AA181:AA211" si="59">IF(J181=$AA$7,1,0)</f>
        <v>0</v>
      </c>
      <c r="AB181" s="2">
        <f t="shared" ref="AB181:AB211" si="60">IF(J181=$AB$7,1,0)</f>
        <v>0</v>
      </c>
      <c r="AC181" s="2"/>
      <c r="AD181" s="2">
        <f t="shared" ref="AD181:AD211" si="61">+O181*P181</f>
        <v>0</v>
      </c>
      <c r="AE181" s="2">
        <f t="shared" ref="AE181:AE211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178</v>
      </c>
      <c r="E182" s="19" t="s">
        <v>38</v>
      </c>
      <c r="F182" s="19" t="s">
        <v>365</v>
      </c>
      <c r="G182" s="19" t="s">
        <v>103</v>
      </c>
      <c r="H182" s="19" t="s">
        <v>192</v>
      </c>
      <c r="I182" s="20" t="s">
        <v>120</v>
      </c>
      <c r="J182" s="20">
        <v>7</v>
      </c>
      <c r="K182" s="20" t="s">
        <v>295</v>
      </c>
      <c r="L182" s="20" t="s">
        <v>296</v>
      </c>
      <c r="M182" s="19" t="s">
        <v>198</v>
      </c>
      <c r="N182" s="19"/>
      <c r="O182" s="18"/>
      <c r="P182" s="20"/>
      <c r="Q182" s="19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0">
        <v>0</v>
      </c>
      <c r="B187" s="30">
        <v>2</v>
      </c>
      <c r="C187" s="30">
        <v>7</v>
      </c>
      <c r="D187" s="31" t="s">
        <v>92</v>
      </c>
      <c r="E187" s="31" t="s">
        <v>100</v>
      </c>
      <c r="F187" s="31" t="s">
        <v>107</v>
      </c>
      <c r="G187" s="31" t="s">
        <v>90</v>
      </c>
      <c r="H187" s="31" t="s">
        <v>192</v>
      </c>
      <c r="I187" s="30" t="s">
        <v>121</v>
      </c>
      <c r="J187" s="30">
        <v>2</v>
      </c>
      <c r="K187" s="30" t="s">
        <v>295</v>
      </c>
      <c r="L187" s="30" t="s">
        <v>105</v>
      </c>
      <c r="M187" s="31" t="s">
        <v>105</v>
      </c>
      <c r="N187" s="31"/>
      <c r="O187" s="32"/>
      <c r="P187" s="30">
        <v>1</v>
      </c>
      <c r="Q187" s="31"/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1</v>
      </c>
      <c r="AG193" s="2">
        <f t="shared" si="48"/>
        <v>0</v>
      </c>
      <c r="AH193" s="2">
        <f t="shared" si="49"/>
        <v>1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55</v>
      </c>
      <c r="F196" s="19" t="s">
        <v>370</v>
      </c>
      <c r="G196" s="19" t="s">
        <v>112</v>
      </c>
      <c r="H196" s="19" t="s">
        <v>192</v>
      </c>
      <c r="I196" s="20" t="s">
        <v>322</v>
      </c>
      <c r="J196" s="20">
        <v>3</v>
      </c>
      <c r="K196" s="20" t="s">
        <v>296</v>
      </c>
      <c r="L196" s="20" t="s">
        <v>315</v>
      </c>
      <c r="M196" s="19" t="s">
        <v>387</v>
      </c>
      <c r="N196" s="19"/>
      <c r="O196" s="18"/>
      <c r="P196" s="20"/>
      <c r="Q196" s="19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ref="AF200:AF217" si="63">+O200*P200*(1-A200)</f>
        <v>0</v>
      </c>
      <c r="AG200" s="2">
        <f t="shared" ref="AG200:AG217" si="64">O200*(1-P200)*(1-A200)</f>
        <v>0</v>
      </c>
      <c r="AH200" s="2">
        <f t="shared" ref="AH200:AH217" si="65">+P200*(1-A200)</f>
        <v>0</v>
      </c>
      <c r="AI200" s="2">
        <f t="shared" ref="AI200:AI217" si="66">+(1-A200)*(1-P200)</f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63"/>
        <v>0</v>
      </c>
      <c r="AG202" s="2">
        <f t="shared" si="64"/>
        <v>1</v>
      </c>
      <c r="AH202" s="2">
        <f t="shared" si="65"/>
        <v>0</v>
      </c>
      <c r="AI202" s="2">
        <f t="shared" si="66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9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63"/>
        <v>1</v>
      </c>
      <c r="AG208" s="2">
        <f t="shared" si="64"/>
        <v>0</v>
      </c>
      <c r="AH208" s="2">
        <f t="shared" si="65"/>
        <v>1</v>
      </c>
      <c r="AI208" s="2">
        <f t="shared" si="66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63"/>
        <v>0</v>
      </c>
      <c r="AG210" s="2">
        <f t="shared" si="64"/>
        <v>0</v>
      </c>
      <c r="AH210" s="2">
        <f t="shared" si="65"/>
        <v>0</v>
      </c>
      <c r="AI210" s="2">
        <f t="shared" si="66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51"/>
        <v>0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0">
        <v>0</v>
      </c>
      <c r="B212" s="30">
        <v>2</v>
      </c>
      <c r="C212" s="30">
        <v>7</v>
      </c>
      <c r="D212" s="31" t="s">
        <v>345</v>
      </c>
      <c r="E212" s="31" t="s">
        <v>55</v>
      </c>
      <c r="F212" s="31" t="s">
        <v>373</v>
      </c>
      <c r="G212" s="31" t="s">
        <v>90</v>
      </c>
      <c r="H212" s="31" t="s">
        <v>192</v>
      </c>
      <c r="I212" s="30" t="s">
        <v>56</v>
      </c>
      <c r="J212" s="30">
        <v>2</v>
      </c>
      <c r="K212" s="30" t="s">
        <v>298</v>
      </c>
      <c r="L212" s="30" t="s">
        <v>105</v>
      </c>
      <c r="M212" s="31" t="s">
        <v>105</v>
      </c>
      <c r="N212" s="31"/>
      <c r="O212" s="32"/>
      <c r="P212" s="30">
        <v>1</v>
      </c>
      <c r="Q212" s="31"/>
      <c r="R212" s="13"/>
      <c r="S212" s="2">
        <f t="shared" ref="S212:S217" si="67">IF(J212=$S$7,1,0)</f>
        <v>0</v>
      </c>
      <c r="T212" s="2">
        <f t="shared" ref="T212:T217" si="68">IF(J212=$T$7,1,0)</f>
        <v>1</v>
      </c>
      <c r="U212" s="2">
        <f t="shared" ref="U212:U217" si="69">IF(J212=$U$7,1,0)</f>
        <v>0</v>
      </c>
      <c r="V212" s="2">
        <f t="shared" ref="V212:V217" si="70">IF(J212=$V$7,1,0)</f>
        <v>0</v>
      </c>
      <c r="W212" s="2">
        <f t="shared" ref="W212:W217" si="71">IF(J212=$W$7,1,0)</f>
        <v>0</v>
      </c>
      <c r="X212" s="2">
        <f t="shared" ref="X212:X217" si="72">IF(J212=$X$7,1,0)</f>
        <v>0</v>
      </c>
      <c r="Y212" s="2">
        <f t="shared" ref="Y212:Y217" si="73">IF(J212=$Y$7,1,0)</f>
        <v>0</v>
      </c>
      <c r="Z212" s="2">
        <f t="shared" ref="Z212:Z217" si="74">IF(J212=$Z$7,1,0)</f>
        <v>0</v>
      </c>
      <c r="AA212" s="2">
        <f t="shared" ref="AA212:AA217" si="75">IF(J212=$AA$7,1,0)</f>
        <v>0</v>
      </c>
      <c r="AB212" s="2">
        <f t="shared" ref="AB212:AB217" si="76">IF(J212=$AB$7,1,0)</f>
        <v>0</v>
      </c>
      <c r="AC212" s="2"/>
      <c r="AD212" s="2">
        <f t="shared" ref="AD212:AD217" si="77">+O212*P212</f>
        <v>0</v>
      </c>
      <c r="AE212" s="2">
        <f t="shared" ref="AE212:AE217" si="78">O212*(1-P212)</f>
        <v>0</v>
      </c>
      <c r="AF212" s="2">
        <f t="shared" si="63"/>
        <v>0</v>
      </c>
      <c r="AG212" s="2">
        <f t="shared" si="64"/>
        <v>0</v>
      </c>
      <c r="AH212" s="2">
        <f t="shared" si="65"/>
        <v>1</v>
      </c>
      <c r="AI212" s="2">
        <f t="shared" si="66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0">
        <v>1</v>
      </c>
      <c r="B213" s="30">
        <v>2</v>
      </c>
      <c r="C213" s="30">
        <v>7</v>
      </c>
      <c r="D213" s="31" t="s">
        <v>345</v>
      </c>
      <c r="E213" s="31" t="s">
        <v>55</v>
      </c>
      <c r="F213" s="31" t="s">
        <v>559</v>
      </c>
      <c r="G213" s="31" t="s">
        <v>560</v>
      </c>
      <c r="H213" s="31" t="s">
        <v>192</v>
      </c>
      <c r="I213" s="30" t="s">
        <v>566</v>
      </c>
      <c r="J213" s="30">
        <v>1</v>
      </c>
      <c r="K213" s="30" t="s">
        <v>298</v>
      </c>
      <c r="L213" s="30" t="s">
        <v>105</v>
      </c>
      <c r="M213" s="31" t="s">
        <v>105</v>
      </c>
      <c r="N213" s="31"/>
      <c r="O213" s="32"/>
      <c r="P213" s="30">
        <v>1</v>
      </c>
      <c r="Q213" s="31"/>
      <c r="R213" s="13"/>
      <c r="S213" s="2">
        <f t="shared" si="67"/>
        <v>1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C213" s="2"/>
      <c r="AD213" s="2">
        <f t="shared" si="77"/>
        <v>0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67"/>
        <v>1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C214" s="2"/>
      <c r="AD214" s="2">
        <f t="shared" si="77"/>
        <v>1</v>
      </c>
      <c r="AE214" s="2">
        <f t="shared" si="78"/>
        <v>0</v>
      </c>
      <c r="AF214" s="2">
        <f t="shared" si="63"/>
        <v>1</v>
      </c>
      <c r="AG214" s="2">
        <f t="shared" si="64"/>
        <v>0</v>
      </c>
      <c r="AH214" s="2">
        <f t="shared" si="65"/>
        <v>1</v>
      </c>
      <c r="AI214" s="2">
        <f t="shared" si="66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1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Q216" s="37"/>
      <c r="S216" s="2">
        <f t="shared" si="67"/>
        <v>1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20">
        <v>0</v>
      </c>
      <c r="B217" s="20">
        <v>2</v>
      </c>
      <c r="C217" s="20">
        <v>7</v>
      </c>
      <c r="D217" s="19" t="s">
        <v>97</v>
      </c>
      <c r="E217" s="19" t="s">
        <v>38</v>
      </c>
      <c r="F217" s="19" t="s">
        <v>181</v>
      </c>
      <c r="G217" s="19" t="s">
        <v>84</v>
      </c>
      <c r="H217" s="19" t="s">
        <v>192</v>
      </c>
      <c r="I217" s="20" t="s">
        <v>62</v>
      </c>
      <c r="J217" s="20">
        <v>1</v>
      </c>
      <c r="K217" s="20" t="s">
        <v>296</v>
      </c>
      <c r="L217" s="20" t="s">
        <v>296</v>
      </c>
      <c r="M217" s="19" t="s">
        <v>198</v>
      </c>
      <c r="N217" s="19"/>
      <c r="O217" s="18"/>
      <c r="P217" s="20"/>
      <c r="Q217" s="19"/>
      <c r="S217" s="2">
        <f t="shared" si="67"/>
        <v>1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0</v>
      </c>
      <c r="AF217" s="2">
        <f t="shared" si="63"/>
        <v>0</v>
      </c>
      <c r="AG217" s="2">
        <f t="shared" si="64"/>
        <v>0</v>
      </c>
      <c r="AH217" s="2">
        <f t="shared" si="65"/>
        <v>0</v>
      </c>
      <c r="AI217" s="2">
        <f t="shared" si="66"/>
        <v>1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2026-05-25T04:46:23Z</dcterms:modified>
</cp:coreProperties>
</file>