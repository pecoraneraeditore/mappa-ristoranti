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B34BB01-DD21-4E34-A63F-DAB5CFCF7DDD}" xr6:coauthVersionLast="47" xr6:coauthVersionMax="47" xr10:uidLastSave="{00000000-0000-0000-0000-000000000000}"/>
  <bookViews>
    <workbookView xWindow="-108" yWindow="-108" windowWidth="23256" windowHeight="12576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6" l="1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AD217" i="6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5" i="6"/>
  <c r="AE85" i="6"/>
  <c r="AF85" i="6"/>
  <c r="AG85" i="6"/>
  <c r="S85" i="6"/>
  <c r="AH85" i="6"/>
  <c r="AI8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AD139" i="6"/>
  <c r="AE139" i="6"/>
  <c r="AF139" i="6"/>
  <c r="AG139" i="6"/>
  <c r="AH139" i="6"/>
  <c r="AI139" i="6"/>
  <c r="S139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2" i="6"/>
  <c r="AD132" i="6"/>
  <c r="AE132" i="6"/>
  <c r="AF132" i="6"/>
  <c r="AG132" i="6"/>
  <c r="AH132" i="6"/>
  <c r="AI132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20" i="6"/>
  <c r="T217" i="6"/>
  <c r="T187" i="6"/>
  <c r="T176" i="6"/>
  <c r="T181" i="6"/>
  <c r="T106" i="6"/>
  <c r="T50" i="6"/>
  <c r="T132" i="6"/>
  <c r="T165" i="6"/>
  <c r="T110" i="6"/>
  <c r="T64" i="6"/>
  <c r="T126" i="6"/>
  <c r="T210" i="6"/>
  <c r="T11" i="6"/>
  <c r="T174" i="6"/>
  <c r="T97" i="6"/>
  <c r="T145" i="6"/>
  <c r="T171" i="6"/>
  <c r="T114" i="6"/>
  <c r="T84" i="6"/>
  <c r="T66" i="6"/>
  <c r="T112" i="6"/>
  <c r="T61" i="6"/>
  <c r="T13" i="6"/>
  <c r="T68" i="6"/>
  <c r="T135" i="6"/>
  <c r="T20" i="6"/>
  <c r="T56" i="6"/>
  <c r="T39" i="6"/>
  <c r="T87" i="6"/>
  <c r="T89" i="6"/>
  <c r="U7" i="6"/>
  <c r="T131" i="6"/>
  <c r="T207" i="6"/>
  <c r="T167" i="6"/>
  <c r="T119" i="6"/>
  <c r="T191" i="6"/>
  <c r="T166" i="6"/>
  <c r="T199" i="6"/>
  <c r="T22" i="6"/>
  <c r="T173" i="6"/>
  <c r="T189" i="6"/>
  <c r="T153" i="6"/>
  <c r="T168" i="6"/>
  <c r="T125" i="6"/>
  <c r="T48" i="6"/>
  <c r="T49" i="6"/>
  <c r="T197" i="6"/>
  <c r="T159" i="6"/>
  <c r="T34" i="6"/>
  <c r="T74" i="6"/>
  <c r="T77" i="6"/>
  <c r="T88" i="6"/>
  <c r="T96" i="6"/>
  <c r="T129" i="6"/>
  <c r="T72" i="6"/>
  <c r="T70" i="6"/>
  <c r="T117" i="6"/>
  <c r="T185" i="6"/>
  <c r="T162" i="6"/>
  <c r="T51" i="6"/>
  <c r="T44" i="6"/>
  <c r="T133" i="6"/>
  <c r="T139" i="6"/>
  <c r="T17" i="6"/>
  <c r="T104" i="6"/>
  <c r="T69" i="6"/>
  <c r="T193" i="6"/>
  <c r="T115" i="6"/>
  <c r="T184" i="6"/>
  <c r="T183" i="6"/>
  <c r="T101" i="6"/>
  <c r="T130" i="6"/>
  <c r="T100" i="6"/>
  <c r="T12" i="6"/>
  <c r="T118" i="6"/>
  <c r="T122" i="6"/>
  <c r="T209" i="6"/>
  <c r="T18" i="6"/>
  <c r="T32" i="6"/>
  <c r="T111" i="6"/>
  <c r="T194" i="6"/>
  <c r="T31" i="6"/>
  <c r="T204" i="6"/>
  <c r="T38" i="6"/>
  <c r="T148" i="6"/>
  <c r="T52" i="6"/>
  <c r="T58" i="6"/>
  <c r="T108" i="6"/>
  <c r="T182" i="6"/>
  <c r="T164" i="6"/>
  <c r="T142" i="6"/>
  <c r="T211" i="6"/>
  <c r="T141" i="6"/>
  <c r="T213" i="6"/>
  <c r="T147" i="6"/>
  <c r="T170" i="6"/>
  <c r="T14" i="6"/>
  <c r="T16" i="6"/>
  <c r="T200" i="6"/>
  <c r="T107" i="6"/>
  <c r="T85" i="6"/>
  <c r="T65" i="6"/>
  <c r="T10" i="6"/>
  <c r="T33" i="6"/>
  <c r="T42" i="6"/>
  <c r="T113" i="6"/>
  <c r="T154" i="6"/>
  <c r="T203" i="6"/>
  <c r="T98" i="6"/>
  <c r="T172" i="6"/>
  <c r="T54" i="6"/>
  <c r="T41" i="6"/>
  <c r="T8" i="6"/>
  <c r="T160" i="6"/>
  <c r="T123" i="6"/>
  <c r="T15" i="6"/>
  <c r="T76" i="6"/>
  <c r="T143" i="6"/>
  <c r="T146" i="6"/>
  <c r="T179" i="6"/>
  <c r="T169" i="6"/>
  <c r="T136" i="6"/>
  <c r="T198" i="6"/>
  <c r="T21" i="6"/>
  <c r="T202" i="6"/>
  <c r="T75" i="6"/>
  <c r="T78" i="6"/>
  <c r="T45" i="6"/>
  <c r="T150" i="6"/>
  <c r="T103" i="6"/>
  <c r="T124" i="6"/>
  <c r="T157" i="6"/>
  <c r="T53" i="6"/>
  <c r="T152" i="6"/>
  <c r="T121" i="6"/>
  <c r="T83" i="6"/>
  <c r="T99" i="6"/>
  <c r="T9" i="6"/>
  <c r="T81" i="6"/>
  <c r="T116" i="6"/>
  <c r="T138" i="6"/>
  <c r="T40" i="6"/>
  <c r="T163" i="6"/>
  <c r="T201" i="6"/>
  <c r="T109" i="6"/>
  <c r="T208" i="6"/>
  <c r="T29" i="6"/>
  <c r="T59" i="6"/>
  <c r="T190" i="6"/>
  <c r="T94" i="6"/>
  <c r="T128" i="6"/>
  <c r="T105" i="6"/>
  <c r="T47" i="6"/>
  <c r="T212" i="6"/>
  <c r="T177" i="6"/>
  <c r="T60" i="6"/>
  <c r="T205" i="6"/>
  <c r="T156" i="6"/>
  <c r="T91" i="6"/>
  <c r="T102" i="6"/>
  <c r="T92" i="6"/>
  <c r="T93" i="6"/>
  <c r="T188" i="6"/>
  <c r="T79" i="6"/>
  <c r="T27" i="6"/>
  <c r="T90" i="6"/>
  <c r="T80" i="6"/>
  <c r="T86" i="6"/>
  <c r="T180" i="6"/>
  <c r="T25" i="6"/>
  <c r="T26" i="6"/>
  <c r="T192" i="6"/>
  <c r="T71" i="6"/>
  <c r="T151" i="6"/>
  <c r="T82" i="6"/>
  <c r="T158" i="6"/>
  <c r="T55" i="6"/>
  <c r="T43" i="6"/>
  <c r="T23" i="6"/>
  <c r="T140" i="6"/>
  <c r="T175" i="6"/>
  <c r="T30" i="6"/>
  <c r="T137" i="6"/>
  <c r="T178" i="6"/>
  <c r="T206" i="6"/>
  <c r="T149" i="6"/>
  <c r="T19" i="6"/>
  <c r="T24" i="6"/>
  <c r="T73" i="6"/>
  <c r="T196" i="6"/>
  <c r="T155" i="6"/>
  <c r="T63" i="6"/>
  <c r="T144" i="6"/>
  <c r="T57" i="6"/>
  <c r="T186" i="6"/>
  <c r="T134" i="6"/>
  <c r="T46" i="6"/>
  <c r="T67" i="6"/>
  <c r="T161" i="6"/>
  <c r="T127" i="6"/>
  <c r="T214" i="6"/>
  <c r="T95" i="6"/>
  <c r="T28" i="6"/>
  <c r="T62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3" i="6"/>
  <c r="U203" i="6"/>
  <c r="U129" i="6"/>
  <c r="U200" i="6"/>
  <c r="U72" i="6"/>
  <c r="U155" i="6"/>
  <c r="U67" i="6"/>
  <c r="U114" i="6"/>
  <c r="U86" i="6"/>
  <c r="U78" i="6"/>
  <c r="U131" i="6"/>
  <c r="U77" i="6"/>
  <c r="U80" i="6"/>
  <c r="U58" i="6"/>
  <c r="U121" i="6"/>
  <c r="U103" i="6"/>
  <c r="U169" i="6"/>
  <c r="U88" i="6"/>
  <c r="U23" i="6"/>
  <c r="U204" i="6"/>
  <c r="U50" i="6"/>
  <c r="U194" i="6"/>
  <c r="U46" i="6"/>
  <c r="U188" i="6"/>
  <c r="U212" i="6"/>
  <c r="U53" i="6"/>
  <c r="U95" i="6"/>
  <c r="U93" i="6"/>
  <c r="U179" i="6"/>
  <c r="U181" i="6"/>
  <c r="U133" i="6"/>
  <c r="U123" i="6"/>
  <c r="U108" i="6"/>
  <c r="U206" i="6"/>
  <c r="U26" i="6"/>
  <c r="U146" i="6"/>
  <c r="U184" i="6"/>
  <c r="U201" i="6"/>
  <c r="U87" i="6"/>
  <c r="U180" i="6"/>
  <c r="U90" i="6"/>
  <c r="V7" i="6"/>
  <c r="U216" i="6"/>
  <c r="U186" i="6"/>
  <c r="U162" i="6"/>
  <c r="U183" i="6"/>
  <c r="U27" i="6"/>
  <c r="U66" i="6"/>
  <c r="U124" i="6"/>
  <c r="U143" i="6"/>
  <c r="U156" i="6"/>
  <c r="U164" i="6"/>
  <c r="U40" i="6"/>
  <c r="U139" i="6"/>
  <c r="U202" i="6"/>
  <c r="U14" i="6"/>
  <c r="U112" i="6"/>
  <c r="U29" i="6"/>
  <c r="U97" i="6"/>
  <c r="U63" i="6"/>
  <c r="U177" i="6"/>
  <c r="U19" i="6"/>
  <c r="U42" i="6"/>
  <c r="U122" i="6"/>
  <c r="U159" i="6"/>
  <c r="U85" i="6"/>
  <c r="U113" i="6"/>
  <c r="U118" i="6"/>
  <c r="U182" i="6"/>
  <c r="U197" i="6"/>
  <c r="U161" i="6"/>
  <c r="U49" i="6"/>
  <c r="U15" i="6"/>
  <c r="U105" i="6"/>
  <c r="U13" i="6"/>
  <c r="U126" i="6"/>
  <c r="U99" i="6"/>
  <c r="U178" i="6"/>
  <c r="U30" i="6"/>
  <c r="U175" i="6"/>
  <c r="U81" i="6"/>
  <c r="U152" i="6"/>
  <c r="U141" i="6"/>
  <c r="U189" i="6"/>
  <c r="U214" i="6"/>
  <c r="U48" i="6"/>
  <c r="U120" i="6"/>
  <c r="U109" i="6"/>
  <c r="U94" i="6"/>
  <c r="U33" i="6"/>
  <c r="U107" i="6"/>
  <c r="U150" i="6"/>
  <c r="U69" i="6"/>
  <c r="U74" i="6"/>
  <c r="U144" i="6"/>
  <c r="U18" i="6"/>
  <c r="U134" i="6"/>
  <c r="U205" i="6"/>
  <c r="U106" i="6"/>
  <c r="U62" i="6"/>
  <c r="U211" i="6"/>
  <c r="U198" i="6"/>
  <c r="U16" i="6"/>
  <c r="U138" i="6"/>
  <c r="U56" i="6"/>
  <c r="U24" i="6"/>
  <c r="U82" i="6"/>
  <c r="U60" i="6"/>
  <c r="U132" i="6"/>
  <c r="U75" i="6"/>
  <c r="U116" i="6"/>
  <c r="U98" i="6"/>
  <c r="U11" i="6"/>
  <c r="U185" i="6"/>
  <c r="U151" i="6"/>
  <c r="U91" i="6"/>
  <c r="U153" i="6"/>
  <c r="U119" i="6"/>
  <c r="U34" i="6"/>
  <c r="U31" i="6"/>
  <c r="U70" i="6"/>
  <c r="U174" i="6"/>
  <c r="U12" i="6"/>
  <c r="U173" i="6"/>
  <c r="U115" i="6"/>
  <c r="U84" i="6"/>
  <c r="U145" i="6"/>
  <c r="U167" i="6"/>
  <c r="U25" i="6"/>
  <c r="U92" i="6"/>
  <c r="U47" i="6"/>
  <c r="U65" i="6"/>
  <c r="U57" i="6"/>
  <c r="U101" i="6"/>
  <c r="U196" i="6"/>
  <c r="U190" i="6"/>
  <c r="U128" i="6"/>
  <c r="U111" i="6"/>
  <c r="U54" i="6"/>
  <c r="U100" i="6"/>
  <c r="U44" i="6"/>
  <c r="U165" i="6"/>
  <c r="U187" i="6"/>
  <c r="U79" i="6"/>
  <c r="U208" i="6"/>
  <c r="U9" i="6"/>
  <c r="U32" i="6"/>
  <c r="U71" i="6"/>
  <c r="U213" i="6"/>
  <c r="U20" i="6"/>
  <c r="U45" i="6"/>
  <c r="U172" i="6"/>
  <c r="U43" i="6"/>
  <c r="U168" i="6"/>
  <c r="U154" i="6"/>
  <c r="U207" i="6"/>
  <c r="U160" i="6"/>
  <c r="U130" i="6"/>
  <c r="U68" i="6"/>
  <c r="U170" i="6"/>
  <c r="U73" i="6"/>
  <c r="U171" i="6"/>
  <c r="U147" i="6"/>
  <c r="U59" i="6"/>
  <c r="U76" i="6"/>
  <c r="U102" i="6"/>
  <c r="U21" i="6"/>
  <c r="U158" i="6"/>
  <c r="U215" i="6"/>
  <c r="U117" i="6"/>
  <c r="U140" i="6"/>
  <c r="U193" i="6"/>
  <c r="U136" i="6"/>
  <c r="U176" i="6"/>
  <c r="U157" i="6"/>
  <c r="U61" i="6"/>
  <c r="U41" i="6"/>
  <c r="U104" i="6"/>
  <c r="U210" i="6"/>
  <c r="U149" i="6"/>
  <c r="U22" i="6"/>
  <c r="U192" i="6"/>
  <c r="U137" i="6"/>
  <c r="U127" i="6"/>
  <c r="U39" i="6"/>
  <c r="U96" i="6"/>
  <c r="U199" i="6"/>
  <c r="U52" i="6"/>
  <c r="U51" i="6"/>
  <c r="U191" i="6"/>
  <c r="U110" i="6"/>
  <c r="U28" i="6"/>
  <c r="U142" i="6"/>
  <c r="U148" i="6"/>
  <c r="U135" i="6"/>
  <c r="U125" i="6"/>
  <c r="U163" i="6"/>
  <c r="U38" i="6"/>
  <c r="U64" i="6"/>
  <c r="U89" i="6"/>
  <c r="U209" i="6"/>
  <c r="U10" i="6"/>
  <c r="U17" i="6"/>
  <c r="U55" i="6"/>
  <c r="U166" i="6"/>
  <c r="T5" i="6"/>
  <c r="E5" i="6"/>
  <c r="G5" i="6"/>
  <c r="F5" i="6"/>
  <c r="H3" i="6"/>
  <c r="H4" i="6"/>
  <c r="V217" i="6" l="1"/>
  <c r="V195" i="6"/>
  <c r="U5" i="6"/>
  <c r="V156" i="6"/>
  <c r="V104" i="6"/>
  <c r="V121" i="6"/>
  <c r="V24" i="6"/>
  <c r="V43" i="6"/>
  <c r="V87" i="6"/>
  <c r="V120" i="6"/>
  <c r="V165" i="6"/>
  <c r="V71" i="6"/>
  <c r="V193" i="6"/>
  <c r="V147" i="6"/>
  <c r="V57" i="6"/>
  <c r="V214" i="6"/>
  <c r="V137" i="6"/>
  <c r="V63" i="6"/>
  <c r="V135" i="6"/>
  <c r="V78" i="6"/>
  <c r="V56" i="6"/>
  <c r="V148" i="6"/>
  <c r="V116" i="6"/>
  <c r="V105" i="6"/>
  <c r="V15" i="6"/>
  <c r="V49" i="6"/>
  <c r="V126" i="6"/>
  <c r="V50" i="6"/>
  <c r="V191" i="6"/>
  <c r="V92" i="6"/>
  <c r="V60" i="6"/>
  <c r="V175" i="6"/>
  <c r="V65" i="6"/>
  <c r="V157" i="6"/>
  <c r="V129" i="6"/>
  <c r="V136" i="6"/>
  <c r="V68" i="6"/>
  <c r="V40" i="6"/>
  <c r="V168" i="6"/>
  <c r="V38" i="6"/>
  <c r="V77" i="6"/>
  <c r="V216" i="6"/>
  <c r="V72" i="6"/>
  <c r="V158" i="6"/>
  <c r="V213" i="6"/>
  <c r="V100" i="6"/>
  <c r="V210" i="6"/>
  <c r="V10" i="6"/>
  <c r="V201" i="6"/>
  <c r="V107" i="6"/>
  <c r="V146" i="6"/>
  <c r="V111" i="6"/>
  <c r="V130" i="6"/>
  <c r="V59" i="6"/>
  <c r="V194" i="6"/>
  <c r="V112" i="6"/>
  <c r="V145" i="6"/>
  <c r="V52" i="6"/>
  <c r="V12" i="6"/>
  <c r="V55" i="6"/>
  <c r="V187" i="6"/>
  <c r="V153" i="6"/>
  <c r="V140" i="6"/>
  <c r="V197" i="6"/>
  <c r="V70" i="6"/>
  <c r="V85" i="6"/>
  <c r="V99" i="6"/>
  <c r="V144" i="6"/>
  <c r="V19" i="6"/>
  <c r="V212" i="6"/>
  <c r="V26" i="6"/>
  <c r="V122" i="6"/>
  <c r="V163" i="6"/>
  <c r="V200" i="6"/>
  <c r="V44" i="6"/>
  <c r="V90" i="6"/>
  <c r="V74" i="6"/>
  <c r="V123" i="6"/>
  <c r="V28" i="6"/>
  <c r="V64" i="6"/>
  <c r="V119" i="6"/>
  <c r="V32" i="6"/>
  <c r="V149" i="6"/>
  <c r="V176" i="6"/>
  <c r="V189" i="6"/>
  <c r="V102" i="6"/>
  <c r="V173" i="6"/>
  <c r="V101" i="6"/>
  <c r="V51" i="6"/>
  <c r="V86" i="6"/>
  <c r="V143" i="6"/>
  <c r="V14" i="6"/>
  <c r="V108" i="6"/>
  <c r="V66" i="6"/>
  <c r="V11" i="6"/>
  <c r="V17" i="6"/>
  <c r="V128" i="6"/>
  <c r="V16" i="6"/>
  <c r="V88" i="6"/>
  <c r="V97" i="6"/>
  <c r="V9" i="6"/>
  <c r="V93" i="6"/>
  <c r="V202" i="6"/>
  <c r="V183" i="6"/>
  <c r="V98" i="6"/>
  <c r="V167" i="6"/>
  <c r="V215" i="6"/>
  <c r="V179" i="6"/>
  <c r="V138" i="6"/>
  <c r="V132" i="6"/>
  <c r="V81" i="6"/>
  <c r="V211" i="6"/>
  <c r="V80" i="6"/>
  <c r="V103" i="6"/>
  <c r="V188" i="6"/>
  <c r="V31" i="6"/>
  <c r="V58" i="6"/>
  <c r="V125" i="6"/>
  <c r="V41" i="6"/>
  <c r="V91" i="6"/>
  <c r="V207" i="6"/>
  <c r="V84" i="6"/>
  <c r="V83" i="6"/>
  <c r="V106" i="6"/>
  <c r="V161" i="6"/>
  <c r="V162" i="6"/>
  <c r="V174" i="6"/>
  <c r="V152" i="6"/>
  <c r="V181" i="6"/>
  <c r="V79" i="6"/>
  <c r="V118" i="6"/>
  <c r="V39" i="6"/>
  <c r="V178" i="6"/>
  <c r="V61" i="6"/>
  <c r="V141" i="6"/>
  <c r="V42" i="6"/>
  <c r="V67" i="6"/>
  <c r="V205" i="6"/>
  <c r="V204" i="6"/>
  <c r="V206" i="6"/>
  <c r="V134" i="6"/>
  <c r="V171" i="6"/>
  <c r="V18" i="6"/>
  <c r="V151" i="6"/>
  <c r="V21" i="6"/>
  <c r="V62" i="6"/>
  <c r="V164" i="6"/>
  <c r="V180" i="6"/>
  <c r="V113" i="6"/>
  <c r="V133" i="6"/>
  <c r="V96" i="6"/>
  <c r="V76" i="6"/>
  <c r="V89" i="6"/>
  <c r="V196" i="6"/>
  <c r="V127" i="6"/>
  <c r="V159" i="6"/>
  <c r="V47" i="6"/>
  <c r="V142" i="6"/>
  <c r="V203" i="6"/>
  <c r="V82" i="6"/>
  <c r="V45" i="6"/>
  <c r="V29" i="6"/>
  <c r="V160" i="6"/>
  <c r="V48" i="6"/>
  <c r="V155" i="6"/>
  <c r="V172" i="6"/>
  <c r="V190" i="6"/>
  <c r="V192" i="6"/>
  <c r="V13" i="6"/>
  <c r="V208" i="6"/>
  <c r="V139" i="6"/>
  <c r="V94" i="6"/>
  <c r="V124" i="6"/>
  <c r="V8" i="6"/>
  <c r="V150" i="6"/>
  <c r="V110" i="6"/>
  <c r="V27" i="6"/>
  <c r="V169" i="6"/>
  <c r="V25" i="6"/>
  <c r="V199" i="6"/>
  <c r="W7" i="6"/>
  <c r="V166" i="6"/>
  <c r="V23" i="6"/>
  <c r="V177" i="6"/>
  <c r="V117" i="6"/>
  <c r="V34" i="6"/>
  <c r="V131" i="6"/>
  <c r="V109" i="6"/>
  <c r="V182" i="6"/>
  <c r="V114" i="6"/>
  <c r="V170" i="6"/>
  <c r="V75" i="6"/>
  <c r="V33" i="6"/>
  <c r="V198" i="6"/>
  <c r="V95" i="6"/>
  <c r="V154" i="6"/>
  <c r="V186" i="6"/>
  <c r="V73" i="6"/>
  <c r="V46" i="6"/>
  <c r="V185" i="6"/>
  <c r="V184" i="6"/>
  <c r="V30" i="6"/>
  <c r="V115" i="6"/>
  <c r="V54" i="6"/>
  <c r="V53" i="6"/>
  <c r="V22" i="6"/>
  <c r="V69" i="6"/>
  <c r="V209" i="6"/>
  <c r="V20" i="6"/>
  <c r="H5" i="6"/>
  <c r="W217" i="6" l="1"/>
  <c r="W195" i="6"/>
  <c r="W165" i="6"/>
  <c r="W171" i="6"/>
  <c r="W125" i="6"/>
  <c r="W155" i="6"/>
  <c r="W166" i="6"/>
  <c r="W12" i="6"/>
  <c r="W13" i="6"/>
  <c r="W123" i="6"/>
  <c r="W180" i="6"/>
  <c r="W109" i="6"/>
  <c r="W72" i="6"/>
  <c r="W145" i="6"/>
  <c r="W68" i="6"/>
  <c r="W84" i="6"/>
  <c r="W121" i="6"/>
  <c r="W154" i="6"/>
  <c r="W184" i="6"/>
  <c r="W81" i="6"/>
  <c r="W146" i="6"/>
  <c r="W28" i="6"/>
  <c r="W33" i="6"/>
  <c r="W95" i="6"/>
  <c r="W63" i="6"/>
  <c r="W206" i="6"/>
  <c r="W11" i="6"/>
  <c r="W83" i="6"/>
  <c r="W139" i="6"/>
  <c r="W88" i="6"/>
  <c r="W204" i="6"/>
  <c r="W147" i="6"/>
  <c r="W168" i="6"/>
  <c r="W189" i="6"/>
  <c r="W34" i="6"/>
  <c r="W112" i="6"/>
  <c r="W42" i="6"/>
  <c r="W152" i="6"/>
  <c r="W52" i="6"/>
  <c r="W66" i="6"/>
  <c r="W21" i="6"/>
  <c r="W67" i="6"/>
  <c r="W49" i="6"/>
  <c r="W71" i="6"/>
  <c r="W70" i="6"/>
  <c r="W45" i="6"/>
  <c r="W57" i="6"/>
  <c r="W24" i="6"/>
  <c r="W192" i="6"/>
  <c r="W78" i="6"/>
  <c r="W43" i="6"/>
  <c r="W198" i="6"/>
  <c r="W103" i="6"/>
  <c r="W119" i="6"/>
  <c r="W182" i="6"/>
  <c r="W127" i="6"/>
  <c r="W14" i="6"/>
  <c r="W144" i="6"/>
  <c r="W176" i="6"/>
  <c r="W140" i="6"/>
  <c r="W20" i="6"/>
  <c r="W181" i="6"/>
  <c r="W89" i="6"/>
  <c r="W122" i="6"/>
  <c r="W31" i="6"/>
  <c r="W91" i="6"/>
  <c r="W160" i="6"/>
  <c r="W85" i="6"/>
  <c r="W149" i="6"/>
  <c r="W183" i="6"/>
  <c r="W39" i="6"/>
  <c r="W185" i="6"/>
  <c r="W186" i="6"/>
  <c r="W96" i="6"/>
  <c r="W51" i="6"/>
  <c r="W26" i="6"/>
  <c r="W92" i="6"/>
  <c r="W97" i="6"/>
  <c r="W164" i="6"/>
  <c r="W129" i="6"/>
  <c r="W110" i="6"/>
  <c r="W207" i="6"/>
  <c r="W101" i="6"/>
  <c r="W53" i="6"/>
  <c r="W44" i="6"/>
  <c r="W75" i="6"/>
  <c r="W116" i="6"/>
  <c r="W108" i="6"/>
  <c r="W163" i="6"/>
  <c r="W131" i="6"/>
  <c r="W98" i="6"/>
  <c r="W205" i="6"/>
  <c r="W194" i="6"/>
  <c r="W60" i="6"/>
  <c r="W86" i="6"/>
  <c r="W10" i="6"/>
  <c r="W80" i="6"/>
  <c r="W156" i="6"/>
  <c r="W196" i="6"/>
  <c r="W215" i="6"/>
  <c r="W197" i="6"/>
  <c r="W151" i="6"/>
  <c r="W187" i="6"/>
  <c r="W174" i="6"/>
  <c r="W46" i="6"/>
  <c r="W128" i="6"/>
  <c r="W32" i="6"/>
  <c r="W64" i="6"/>
  <c r="W104" i="6"/>
  <c r="W209" i="6"/>
  <c r="W188" i="6"/>
  <c r="W212" i="6"/>
  <c r="W50" i="6"/>
  <c r="W157" i="6"/>
  <c r="W159" i="6"/>
  <c r="W211" i="6"/>
  <c r="W132" i="6"/>
  <c r="W22" i="6"/>
  <c r="W190" i="6"/>
  <c r="W25" i="6"/>
  <c r="W69" i="6"/>
  <c r="W175" i="6"/>
  <c r="W216" i="6"/>
  <c r="W61" i="6"/>
  <c r="W135" i="6"/>
  <c r="W17" i="6"/>
  <c r="W15" i="6"/>
  <c r="W59" i="6"/>
  <c r="W117" i="6"/>
  <c r="W47" i="6"/>
  <c r="W130" i="6"/>
  <c r="W141" i="6"/>
  <c r="W56" i="6"/>
  <c r="W23" i="6"/>
  <c r="W54" i="6"/>
  <c r="W161" i="6"/>
  <c r="W136" i="6"/>
  <c r="W87" i="6"/>
  <c r="W105" i="6"/>
  <c r="W29" i="6"/>
  <c r="W74" i="6"/>
  <c r="W201" i="6"/>
  <c r="W142" i="6"/>
  <c r="W208" i="6"/>
  <c r="W213" i="6"/>
  <c r="W19" i="6"/>
  <c r="W138" i="6"/>
  <c r="W77" i="6"/>
  <c r="W162" i="6"/>
  <c r="W210" i="6"/>
  <c r="W55" i="6"/>
  <c r="W203" i="6"/>
  <c r="W99" i="6"/>
  <c r="W120" i="6"/>
  <c r="W170" i="6"/>
  <c r="W16" i="6"/>
  <c r="W137" i="6"/>
  <c r="W82" i="6"/>
  <c r="W107" i="6"/>
  <c r="W113" i="6"/>
  <c r="W90" i="6"/>
  <c r="W62" i="6"/>
  <c r="W124" i="6"/>
  <c r="W158" i="6"/>
  <c r="W38" i="6"/>
  <c r="W118" i="6"/>
  <c r="W102" i="6"/>
  <c r="W179" i="6"/>
  <c r="W65" i="6"/>
  <c r="W191" i="6"/>
  <c r="W173" i="6"/>
  <c r="W193" i="6"/>
  <c r="W111" i="6"/>
  <c r="W133" i="6"/>
  <c r="W58" i="6"/>
  <c r="W148" i="6"/>
  <c r="W169" i="6"/>
  <c r="W200" i="6"/>
  <c r="W18" i="6"/>
  <c r="W199" i="6"/>
  <c r="W79" i="6"/>
  <c r="W93" i="6"/>
  <c r="W76" i="6"/>
  <c r="W114" i="6"/>
  <c r="W100" i="6"/>
  <c r="W9" i="6"/>
  <c r="W143" i="6"/>
  <c r="W73" i="6"/>
  <c r="W8" i="6"/>
  <c r="W30" i="6"/>
  <c r="W172" i="6"/>
  <c r="W41" i="6"/>
  <c r="W167" i="6"/>
  <c r="W214" i="6"/>
  <c r="W153" i="6"/>
  <c r="W106" i="6"/>
  <c r="W202" i="6"/>
  <c r="W150" i="6"/>
  <c r="W27" i="6"/>
  <c r="W134" i="6"/>
  <c r="W40" i="6"/>
  <c r="W178" i="6"/>
  <c r="W126" i="6"/>
  <c r="W48" i="6"/>
  <c r="W94" i="6"/>
  <c r="W177" i="6"/>
  <c r="X7" i="6"/>
  <c r="W115" i="6"/>
  <c r="V5" i="6"/>
  <c r="X195" i="6" l="1"/>
  <c r="X217" i="6"/>
  <c r="W5" i="6"/>
  <c r="X85" i="6"/>
  <c r="X31" i="6"/>
  <c r="X94" i="6"/>
  <c r="X166" i="6"/>
  <c r="X211" i="6"/>
  <c r="X68" i="6"/>
  <c r="X32" i="6"/>
  <c r="X107" i="6"/>
  <c r="X83" i="6"/>
  <c r="X74" i="6"/>
  <c r="X205" i="6"/>
  <c r="X10" i="6"/>
  <c r="X98" i="6"/>
  <c r="X124" i="6"/>
  <c r="X172" i="6"/>
  <c r="X41" i="6"/>
  <c r="X51" i="6"/>
  <c r="X9" i="6"/>
  <c r="X117" i="6"/>
  <c r="X73" i="6"/>
  <c r="X106" i="6"/>
  <c r="X95" i="6"/>
  <c r="X34" i="6"/>
  <c r="X49" i="6"/>
  <c r="X123" i="6"/>
  <c r="X153" i="6"/>
  <c r="X12" i="6"/>
  <c r="X127" i="6"/>
  <c r="X200" i="6"/>
  <c r="X186" i="6"/>
  <c r="X128" i="6"/>
  <c r="X129" i="6"/>
  <c r="X164" i="6"/>
  <c r="X133" i="6"/>
  <c r="X213" i="6"/>
  <c r="X16" i="6"/>
  <c r="X42" i="6"/>
  <c r="X64" i="6"/>
  <c r="X192" i="6"/>
  <c r="X181" i="6"/>
  <c r="X214" i="6"/>
  <c r="X99" i="6"/>
  <c r="X103" i="6"/>
  <c r="X8" i="6"/>
  <c r="X23" i="6"/>
  <c r="X75" i="6"/>
  <c r="X148" i="6"/>
  <c r="X141" i="6"/>
  <c r="X143" i="6"/>
  <c r="X13" i="6"/>
  <c r="X176" i="6"/>
  <c r="X185" i="6"/>
  <c r="X101" i="6"/>
  <c r="X159" i="6"/>
  <c r="X65" i="6"/>
  <c r="X189" i="6"/>
  <c r="X59" i="6"/>
  <c r="X147" i="6"/>
  <c r="X63" i="6"/>
  <c r="X145" i="6"/>
  <c r="X33" i="6"/>
  <c r="X30" i="6"/>
  <c r="X112" i="6"/>
  <c r="X55" i="6"/>
  <c r="X71" i="6"/>
  <c r="X150" i="6"/>
  <c r="X184" i="6"/>
  <c r="X119" i="6"/>
  <c r="X61" i="6"/>
  <c r="X113" i="6"/>
  <c r="X156" i="6"/>
  <c r="X45" i="6"/>
  <c r="X120" i="6"/>
  <c r="X108" i="6"/>
  <c r="X197" i="6"/>
  <c r="X196" i="6"/>
  <c r="X81" i="6"/>
  <c r="X62" i="6"/>
  <c r="X69" i="6"/>
  <c r="X199" i="6"/>
  <c r="X190" i="6"/>
  <c r="X66" i="6"/>
  <c r="X216" i="6"/>
  <c r="X52" i="6"/>
  <c r="X84" i="6"/>
  <c r="X134" i="6"/>
  <c r="X100" i="6"/>
  <c r="Y7" i="6"/>
  <c r="X161" i="6"/>
  <c r="X167" i="6"/>
  <c r="X169" i="6"/>
  <c r="X152" i="6"/>
  <c r="X179" i="6"/>
  <c r="X202" i="6"/>
  <c r="X91" i="6"/>
  <c r="X48" i="6"/>
  <c r="X25" i="6"/>
  <c r="X44" i="6"/>
  <c r="X157" i="6"/>
  <c r="X54" i="6"/>
  <c r="X28" i="6"/>
  <c r="X77" i="6"/>
  <c r="X204" i="6"/>
  <c r="X154" i="6"/>
  <c r="X14" i="6"/>
  <c r="X135" i="6"/>
  <c r="X93" i="6"/>
  <c r="X215" i="6"/>
  <c r="X104" i="6"/>
  <c r="X110" i="6"/>
  <c r="X82" i="6"/>
  <c r="X27" i="6"/>
  <c r="X125" i="6"/>
  <c r="X38" i="6"/>
  <c r="X140" i="6"/>
  <c r="X53" i="6"/>
  <c r="X177" i="6"/>
  <c r="X58" i="6"/>
  <c r="X146" i="6"/>
  <c r="X111" i="6"/>
  <c r="X89" i="6"/>
  <c r="X22" i="6"/>
  <c r="X191" i="6"/>
  <c r="X11" i="6"/>
  <c r="X208" i="6"/>
  <c r="X21" i="6"/>
  <c r="X118" i="6"/>
  <c r="X97" i="6"/>
  <c r="X209" i="6"/>
  <c r="X88" i="6"/>
  <c r="X203" i="6"/>
  <c r="X193" i="6"/>
  <c r="X180" i="6"/>
  <c r="X131" i="6"/>
  <c r="X50" i="6"/>
  <c r="X46" i="6"/>
  <c r="X78" i="6"/>
  <c r="X26" i="6"/>
  <c r="X72" i="6"/>
  <c r="X144" i="6"/>
  <c r="X115" i="6"/>
  <c r="X210" i="6"/>
  <c r="X116" i="6"/>
  <c r="X19" i="6"/>
  <c r="X76" i="6"/>
  <c r="X187" i="6"/>
  <c r="X96" i="6"/>
  <c r="X194" i="6"/>
  <c r="X136" i="6"/>
  <c r="X20" i="6"/>
  <c r="X29" i="6"/>
  <c r="X86" i="6"/>
  <c r="X182" i="6"/>
  <c r="X174" i="6"/>
  <c r="X142" i="6"/>
  <c r="X151" i="6"/>
  <c r="X206" i="6"/>
  <c r="X212" i="6"/>
  <c r="X24" i="6"/>
  <c r="X198" i="6"/>
  <c r="X109" i="6"/>
  <c r="X122" i="6"/>
  <c r="X57" i="6"/>
  <c r="X165" i="6"/>
  <c r="X40" i="6"/>
  <c r="X149" i="6"/>
  <c r="X67" i="6"/>
  <c r="X173" i="6"/>
  <c r="X170" i="6"/>
  <c r="X87" i="6"/>
  <c r="X15" i="6"/>
  <c r="X105" i="6"/>
  <c r="X80" i="6"/>
  <c r="X47" i="6"/>
  <c r="X56" i="6"/>
  <c r="X126" i="6"/>
  <c r="X79" i="6"/>
  <c r="X175" i="6"/>
  <c r="X138" i="6"/>
  <c r="X160" i="6"/>
  <c r="X188" i="6"/>
  <c r="X178" i="6"/>
  <c r="X39" i="6"/>
  <c r="X163" i="6"/>
  <c r="X121" i="6"/>
  <c r="X207" i="6"/>
  <c r="X137" i="6"/>
  <c r="X102" i="6"/>
  <c r="X43" i="6"/>
  <c r="X171" i="6"/>
  <c r="X155" i="6"/>
  <c r="X168" i="6"/>
  <c r="X139" i="6"/>
  <c r="X183" i="6"/>
  <c r="X158" i="6"/>
  <c r="X18" i="6"/>
  <c r="X70" i="6"/>
  <c r="X162" i="6"/>
  <c r="X132" i="6"/>
  <c r="X90" i="6"/>
  <c r="X60" i="6"/>
  <c r="X92" i="6"/>
  <c r="X17" i="6"/>
  <c r="X114" i="6"/>
  <c r="X130" i="6"/>
  <c r="X201" i="6"/>
  <c r="Y195" i="6" l="1"/>
  <c r="Y217" i="6"/>
  <c r="X5" i="6"/>
  <c r="Y85" i="6"/>
  <c r="Y200" i="6"/>
  <c r="Y25" i="6"/>
  <c r="Y131" i="6"/>
  <c r="Y125" i="6"/>
  <c r="Y143" i="6"/>
  <c r="Y93" i="6"/>
  <c r="Y137" i="6"/>
  <c r="Y119" i="6"/>
  <c r="Y121" i="6"/>
  <c r="Y182" i="6"/>
  <c r="Y77" i="6"/>
  <c r="Y92" i="6"/>
  <c r="Y159" i="6"/>
  <c r="Y209" i="6"/>
  <c r="Y69" i="6"/>
  <c r="Y86" i="6"/>
  <c r="Y110" i="6"/>
  <c r="Y157" i="6"/>
  <c r="Y160" i="6"/>
  <c r="Y212" i="6"/>
  <c r="Y87" i="6"/>
  <c r="Y101" i="6"/>
  <c r="Y169" i="6"/>
  <c r="Y154" i="6"/>
  <c r="Y11" i="6"/>
  <c r="Y74" i="6"/>
  <c r="Y64" i="6"/>
  <c r="Y72" i="6"/>
  <c r="Y164" i="6"/>
  <c r="Y18" i="6"/>
  <c r="Y167" i="6"/>
  <c r="Y185" i="6"/>
  <c r="Y54" i="6"/>
  <c r="Y132" i="6"/>
  <c r="Y21" i="6"/>
  <c r="Y120" i="6"/>
  <c r="Y186" i="6"/>
  <c r="Y178" i="6"/>
  <c r="Y215" i="6"/>
  <c r="Y177" i="6"/>
  <c r="Y213" i="6"/>
  <c r="Y71" i="6"/>
  <c r="Y202" i="6"/>
  <c r="Y128" i="6"/>
  <c r="Y105" i="6"/>
  <c r="Y174" i="6"/>
  <c r="Y83" i="6"/>
  <c r="Y55" i="6"/>
  <c r="Y216" i="6"/>
  <c r="Y27" i="6"/>
  <c r="Y68" i="6"/>
  <c r="Y12" i="6"/>
  <c r="Y171" i="6"/>
  <c r="Y144" i="6"/>
  <c r="Y94" i="6"/>
  <c r="Y19" i="6"/>
  <c r="Y146" i="6"/>
  <c r="Y168" i="6"/>
  <c r="Y142" i="6"/>
  <c r="Y67" i="6"/>
  <c r="Y52" i="6"/>
  <c r="Y150" i="6"/>
  <c r="Y134" i="6"/>
  <c r="Y53" i="6"/>
  <c r="Y28" i="6"/>
  <c r="Y166" i="6"/>
  <c r="Y84" i="6"/>
  <c r="Y175" i="6"/>
  <c r="Y29" i="6"/>
  <c r="Y139" i="6"/>
  <c r="Y91" i="6"/>
  <c r="Y97" i="6"/>
  <c r="Y117" i="6"/>
  <c r="Y16" i="6"/>
  <c r="Y23" i="6"/>
  <c r="Y147" i="6"/>
  <c r="Y62" i="6"/>
  <c r="Y148" i="6"/>
  <c r="Y124" i="6"/>
  <c r="Y108" i="6"/>
  <c r="Y46" i="6"/>
  <c r="Y73" i="6"/>
  <c r="Y78" i="6"/>
  <c r="Y138" i="6"/>
  <c r="Y163" i="6"/>
  <c r="Y49" i="6"/>
  <c r="Y188" i="6"/>
  <c r="Y13" i="6"/>
  <c r="Y82" i="6"/>
  <c r="Y123" i="6"/>
  <c r="Y127" i="6"/>
  <c r="Y45" i="6"/>
  <c r="Y79" i="6"/>
  <c r="Y122" i="6"/>
  <c r="Y59" i="6"/>
  <c r="Y66" i="6"/>
  <c r="Y51" i="6"/>
  <c r="Y161" i="6"/>
  <c r="Y156" i="6"/>
  <c r="Y80" i="6"/>
  <c r="Y197" i="6"/>
  <c r="Y135" i="6"/>
  <c r="Y214" i="6"/>
  <c r="Y180" i="6"/>
  <c r="Y81" i="6"/>
  <c r="Y145" i="6"/>
  <c r="Y89" i="6"/>
  <c r="Y96" i="6"/>
  <c r="Y95" i="6"/>
  <c r="Y140" i="6"/>
  <c r="Y141" i="6"/>
  <c r="Y30" i="6"/>
  <c r="Y40" i="6"/>
  <c r="Y130" i="6"/>
  <c r="Y210" i="6"/>
  <c r="Y118" i="6"/>
  <c r="Y31" i="6"/>
  <c r="Y173" i="6"/>
  <c r="Y33" i="6"/>
  <c r="Y155" i="6"/>
  <c r="Y194" i="6"/>
  <c r="Y211" i="6"/>
  <c r="Y26" i="6"/>
  <c r="Y129" i="6"/>
  <c r="Y183" i="6"/>
  <c r="Y203" i="6"/>
  <c r="Y99" i="6"/>
  <c r="Y24" i="6"/>
  <c r="Y189" i="6"/>
  <c r="Y165" i="6"/>
  <c r="Y10" i="6"/>
  <c r="Y39" i="6"/>
  <c r="Y199" i="6"/>
  <c r="Y181" i="6"/>
  <c r="Y32" i="6"/>
  <c r="Y196" i="6"/>
  <c r="Y98" i="6"/>
  <c r="Y190" i="6"/>
  <c r="Y151" i="6"/>
  <c r="Y100" i="6"/>
  <c r="Y38" i="6"/>
  <c r="Y56" i="6"/>
  <c r="Y75" i="6"/>
  <c r="Y149" i="6"/>
  <c r="Y104" i="6"/>
  <c r="Y109" i="6"/>
  <c r="Y8" i="6"/>
  <c r="Y187" i="6"/>
  <c r="Y60" i="6"/>
  <c r="Y207" i="6"/>
  <c r="Y201" i="6"/>
  <c r="Y193" i="6"/>
  <c r="Y76" i="6"/>
  <c r="Y198" i="6"/>
  <c r="Y208" i="6"/>
  <c r="Y15" i="6"/>
  <c r="Y152" i="6"/>
  <c r="Y63" i="6"/>
  <c r="Y22" i="6"/>
  <c r="Y192" i="6"/>
  <c r="Y184" i="6"/>
  <c r="Y191" i="6"/>
  <c r="Y41" i="6"/>
  <c r="Y65" i="6"/>
  <c r="Y58" i="6"/>
  <c r="Y106" i="6"/>
  <c r="Y153" i="6"/>
  <c r="Y205" i="6"/>
  <c r="Y44" i="6"/>
  <c r="Y107" i="6"/>
  <c r="Y111" i="6"/>
  <c r="Y17" i="6"/>
  <c r="Y14" i="6"/>
  <c r="Y70" i="6"/>
  <c r="Y88" i="6"/>
  <c r="Y61" i="6"/>
  <c r="Y57" i="6"/>
  <c r="Y9" i="6"/>
  <c r="Y170" i="6"/>
  <c r="Y136" i="6"/>
  <c r="Y102" i="6"/>
  <c r="Y176" i="6"/>
  <c r="Y114" i="6"/>
  <c r="Y206" i="6"/>
  <c r="Y20" i="6"/>
  <c r="Y47" i="6"/>
  <c r="Y103" i="6"/>
  <c r="Y115" i="6"/>
  <c r="Y48" i="6"/>
  <c r="Y126" i="6"/>
  <c r="Y34" i="6"/>
  <c r="Y43" i="6"/>
  <c r="Y112" i="6"/>
  <c r="Y90" i="6"/>
  <c r="Y116" i="6"/>
  <c r="Y50" i="6"/>
  <c r="Y113" i="6"/>
  <c r="Y162" i="6"/>
  <c r="Y133" i="6"/>
  <c r="Z7" i="6"/>
  <c r="Y179" i="6"/>
  <c r="Y204" i="6"/>
  <c r="Y158" i="6"/>
  <c r="Y172" i="6"/>
  <c r="Y42" i="6"/>
  <c r="Z195" i="6" l="1"/>
  <c r="Z217" i="6"/>
  <c r="Z85" i="6"/>
  <c r="Z12" i="6"/>
  <c r="Z174" i="6"/>
  <c r="Z22" i="6"/>
  <c r="Z41" i="6"/>
  <c r="Z127" i="6"/>
  <c r="Z120" i="6"/>
  <c r="Z163" i="6"/>
  <c r="Z162" i="6"/>
  <c r="Z212" i="6"/>
  <c r="Z118" i="6"/>
  <c r="Z8" i="6"/>
  <c r="Z29" i="6"/>
  <c r="Z154" i="6"/>
  <c r="Z150" i="6"/>
  <c r="Z197" i="6"/>
  <c r="Z19" i="6"/>
  <c r="Z141" i="6"/>
  <c r="Z50" i="6"/>
  <c r="Z182" i="6"/>
  <c r="Z185" i="6"/>
  <c r="Z47" i="6"/>
  <c r="Z153" i="6"/>
  <c r="Z88" i="6"/>
  <c r="Z106" i="6"/>
  <c r="Z14" i="6"/>
  <c r="Z76" i="6"/>
  <c r="Z51" i="6"/>
  <c r="Z86" i="6"/>
  <c r="Z40" i="6"/>
  <c r="Z97" i="6"/>
  <c r="Z61" i="6"/>
  <c r="Z68" i="6"/>
  <c r="Z78" i="6"/>
  <c r="Z190" i="6"/>
  <c r="Z173" i="6"/>
  <c r="Z90" i="6"/>
  <c r="Z117" i="6"/>
  <c r="Z69" i="6"/>
  <c r="Z103" i="6"/>
  <c r="Z146" i="6"/>
  <c r="Z176" i="6"/>
  <c r="Z45" i="6"/>
  <c r="Z15" i="6"/>
  <c r="Z66" i="6"/>
  <c r="Z54" i="6"/>
  <c r="Z140" i="6"/>
  <c r="Z202" i="6"/>
  <c r="Z119" i="6"/>
  <c r="Z82" i="6"/>
  <c r="Z204" i="6"/>
  <c r="Z135" i="6"/>
  <c r="Z167" i="6"/>
  <c r="Z193" i="6"/>
  <c r="Z169" i="6"/>
  <c r="Z30" i="6"/>
  <c r="Z139" i="6"/>
  <c r="Z75" i="6"/>
  <c r="Z80" i="6"/>
  <c r="Z160" i="6"/>
  <c r="Z77" i="6"/>
  <c r="Z108" i="6"/>
  <c r="Z170" i="6"/>
  <c r="Z107" i="6"/>
  <c r="Z87" i="6"/>
  <c r="Z13" i="6"/>
  <c r="Z124" i="6"/>
  <c r="Z95" i="6"/>
  <c r="Z168" i="6"/>
  <c r="Z112" i="6"/>
  <c r="Z188" i="6"/>
  <c r="Z65" i="6"/>
  <c r="Z21" i="6"/>
  <c r="Z161" i="6"/>
  <c r="Z186" i="6"/>
  <c r="Z131" i="6"/>
  <c r="Z64" i="6"/>
  <c r="Z181" i="6"/>
  <c r="Z211" i="6"/>
  <c r="Z134" i="6"/>
  <c r="Z98" i="6"/>
  <c r="Z72" i="6"/>
  <c r="Z44" i="6"/>
  <c r="Z214" i="6"/>
  <c r="Z84" i="6"/>
  <c r="Z38" i="6"/>
  <c r="Z26" i="6"/>
  <c r="Z49" i="6"/>
  <c r="Z180" i="6"/>
  <c r="Z57" i="6"/>
  <c r="Z99" i="6"/>
  <c r="Z33" i="6"/>
  <c r="Z27" i="6"/>
  <c r="Z101" i="6"/>
  <c r="Z164" i="6"/>
  <c r="Z58" i="6"/>
  <c r="Z55" i="6"/>
  <c r="Z189" i="6"/>
  <c r="Z18" i="6"/>
  <c r="Z132" i="6"/>
  <c r="Z52" i="6"/>
  <c r="Z194" i="6"/>
  <c r="Z92" i="6"/>
  <c r="Z113" i="6"/>
  <c r="Z175" i="6"/>
  <c r="Z71" i="6"/>
  <c r="Z151" i="6"/>
  <c r="Z43" i="6"/>
  <c r="Z143" i="6"/>
  <c r="Z34" i="6"/>
  <c r="Z125" i="6"/>
  <c r="Z42" i="6"/>
  <c r="Z17" i="6"/>
  <c r="Z102" i="6"/>
  <c r="Z137" i="6"/>
  <c r="Z16" i="6"/>
  <c r="Z206" i="6"/>
  <c r="Z31" i="6"/>
  <c r="Z48" i="6"/>
  <c r="Z166" i="6"/>
  <c r="Z94" i="6"/>
  <c r="Z138" i="6"/>
  <c r="Z81" i="6"/>
  <c r="Z39" i="6"/>
  <c r="Z196" i="6"/>
  <c r="Z63" i="6"/>
  <c r="Z23" i="6"/>
  <c r="Z171" i="6"/>
  <c r="Z109" i="6"/>
  <c r="Z205" i="6"/>
  <c r="Z56" i="6"/>
  <c r="Z70" i="6"/>
  <c r="Z74" i="6"/>
  <c r="Z179" i="6"/>
  <c r="Z157" i="6"/>
  <c r="Z100" i="6"/>
  <c r="Z147" i="6"/>
  <c r="Z67" i="6"/>
  <c r="Z152" i="6"/>
  <c r="Z136" i="6"/>
  <c r="Z10" i="6"/>
  <c r="Z32" i="6"/>
  <c r="Z199" i="6"/>
  <c r="Z25" i="6"/>
  <c r="Z83" i="6"/>
  <c r="Z53" i="6"/>
  <c r="Z177" i="6"/>
  <c r="Z91" i="6"/>
  <c r="Z59" i="6"/>
  <c r="Z207" i="6"/>
  <c r="Z183" i="6"/>
  <c r="Z114" i="6"/>
  <c r="Z110" i="6"/>
  <c r="Z159" i="6"/>
  <c r="Z149" i="6"/>
  <c r="Z121" i="6"/>
  <c r="Z187" i="6"/>
  <c r="Z148" i="6"/>
  <c r="Z62" i="6"/>
  <c r="Z24" i="6"/>
  <c r="Z93" i="6"/>
  <c r="Z145" i="6"/>
  <c r="AA7" i="6"/>
  <c r="Z89" i="6"/>
  <c r="Z198" i="6"/>
  <c r="Z73" i="6"/>
  <c r="Z126" i="6"/>
  <c r="Z200" i="6"/>
  <c r="Z191" i="6"/>
  <c r="Z28" i="6"/>
  <c r="Z129" i="6"/>
  <c r="Z144" i="6"/>
  <c r="Z203" i="6"/>
  <c r="Z155" i="6"/>
  <c r="Z104" i="6"/>
  <c r="Z216" i="6"/>
  <c r="Z184" i="6"/>
  <c r="Z172" i="6"/>
  <c r="Z213" i="6"/>
  <c r="Z142" i="6"/>
  <c r="Z128" i="6"/>
  <c r="Z209" i="6"/>
  <c r="Z158" i="6"/>
  <c r="Z79" i="6"/>
  <c r="Z96" i="6"/>
  <c r="Z156" i="6"/>
  <c r="Z208" i="6"/>
  <c r="Z116" i="6"/>
  <c r="Z210" i="6"/>
  <c r="Z123" i="6"/>
  <c r="Z46" i="6"/>
  <c r="Z115" i="6"/>
  <c r="Z165" i="6"/>
  <c r="Z60" i="6"/>
  <c r="Z20" i="6"/>
  <c r="Z111" i="6"/>
  <c r="Z215" i="6"/>
  <c r="Z122" i="6"/>
  <c r="Z11" i="6"/>
  <c r="Z192" i="6"/>
  <c r="Z201" i="6"/>
  <c r="Z133" i="6"/>
  <c r="Z105" i="6"/>
  <c r="Z9" i="6"/>
  <c r="Z130" i="6"/>
  <c r="Z178" i="6"/>
  <c r="Y5" i="6"/>
  <c r="AA195" i="6" l="1"/>
  <c r="AA217" i="6"/>
  <c r="Z5" i="6"/>
  <c r="AA85" i="6"/>
  <c r="AA54" i="6"/>
  <c r="AA29" i="6"/>
  <c r="AA23" i="6"/>
  <c r="AA49" i="6"/>
  <c r="AA106" i="6"/>
  <c r="AA161" i="6"/>
  <c r="AA194" i="6"/>
  <c r="AA203" i="6"/>
  <c r="AA197" i="6"/>
  <c r="AA165" i="6"/>
  <c r="AA48" i="6"/>
  <c r="AA61" i="6"/>
  <c r="AA65" i="6"/>
  <c r="AA162" i="6"/>
  <c r="AA24" i="6"/>
  <c r="AA77" i="6"/>
  <c r="AA81" i="6"/>
  <c r="AA177" i="6"/>
  <c r="AA119" i="6"/>
  <c r="AA131" i="6"/>
  <c r="AA122" i="6"/>
  <c r="AA105" i="6"/>
  <c r="AA71" i="6"/>
  <c r="AA62" i="6"/>
  <c r="AA96" i="6"/>
  <c r="AA158" i="6"/>
  <c r="AA42" i="6"/>
  <c r="AA91" i="6"/>
  <c r="AA79" i="6"/>
  <c r="AA21" i="6"/>
  <c r="AA134" i="6"/>
  <c r="AA32" i="6"/>
  <c r="AA75" i="6"/>
  <c r="AA216" i="6"/>
  <c r="AA173" i="6"/>
  <c r="AA39" i="6"/>
  <c r="AA97" i="6"/>
  <c r="AA27" i="6"/>
  <c r="AA149" i="6"/>
  <c r="AA148" i="6"/>
  <c r="AA133" i="6"/>
  <c r="AA200" i="6"/>
  <c r="AA199" i="6"/>
  <c r="AA16" i="6"/>
  <c r="AA157" i="6"/>
  <c r="AA129" i="6"/>
  <c r="AA209" i="6"/>
  <c r="AA107" i="6"/>
  <c r="AA198" i="6"/>
  <c r="AA56" i="6"/>
  <c r="AA117" i="6"/>
  <c r="AA45" i="6"/>
  <c r="AA102" i="6"/>
  <c r="AA193" i="6"/>
  <c r="AA215" i="6"/>
  <c r="AA172" i="6"/>
  <c r="AA51" i="6"/>
  <c r="AA80" i="6"/>
  <c r="AA156" i="6"/>
  <c r="AA34" i="6"/>
  <c r="AA111" i="6"/>
  <c r="AA22" i="6"/>
  <c r="AA87" i="6"/>
  <c r="AA52" i="6"/>
  <c r="AA101" i="6"/>
  <c r="AA8" i="6"/>
  <c r="AA186" i="6"/>
  <c r="AA124" i="6"/>
  <c r="AA64" i="6"/>
  <c r="AA125" i="6"/>
  <c r="AA153" i="6"/>
  <c r="AA19" i="6"/>
  <c r="AA113" i="6"/>
  <c r="AA208" i="6"/>
  <c r="AA126" i="6"/>
  <c r="AA103" i="6"/>
  <c r="AA17" i="6"/>
  <c r="AA12" i="6"/>
  <c r="AA206" i="6"/>
  <c r="AA112" i="6"/>
  <c r="AA144" i="6"/>
  <c r="AA90" i="6"/>
  <c r="AA88" i="6"/>
  <c r="AA201" i="6"/>
  <c r="AA170" i="6"/>
  <c r="AA214" i="6"/>
  <c r="AA20" i="6"/>
  <c r="AA63" i="6"/>
  <c r="AA205" i="6"/>
  <c r="AA202" i="6"/>
  <c r="AA212" i="6"/>
  <c r="AA26" i="6"/>
  <c r="AA175" i="6"/>
  <c r="AA86" i="6"/>
  <c r="AA47" i="6"/>
  <c r="AA95" i="6"/>
  <c r="AA207" i="6"/>
  <c r="AA210" i="6"/>
  <c r="AA18" i="6"/>
  <c r="AA41" i="6"/>
  <c r="AA190" i="6"/>
  <c r="AA70" i="6"/>
  <c r="AA98" i="6"/>
  <c r="AA57" i="6"/>
  <c r="AA176" i="6"/>
  <c r="AA50" i="6"/>
  <c r="AA108" i="6"/>
  <c r="AA38" i="6"/>
  <c r="AA109" i="6"/>
  <c r="AA138" i="6"/>
  <c r="AA211" i="6"/>
  <c r="AA78" i="6"/>
  <c r="AA130" i="6"/>
  <c r="AA147" i="6"/>
  <c r="AA104" i="6"/>
  <c r="AA174" i="6"/>
  <c r="AA40" i="6"/>
  <c r="AA60" i="6"/>
  <c r="AA181" i="6"/>
  <c r="AA120" i="6"/>
  <c r="AA187" i="6"/>
  <c r="AA189" i="6"/>
  <c r="AA183" i="6"/>
  <c r="AA163" i="6"/>
  <c r="AA69" i="6"/>
  <c r="AA82" i="6"/>
  <c r="AA146" i="6"/>
  <c r="AA185" i="6"/>
  <c r="AA137" i="6"/>
  <c r="AA182" i="6"/>
  <c r="AA159" i="6"/>
  <c r="AA76" i="6"/>
  <c r="AA11" i="6"/>
  <c r="AA155" i="6"/>
  <c r="AA89" i="6"/>
  <c r="AA192" i="6"/>
  <c r="AA30" i="6"/>
  <c r="AA116" i="6"/>
  <c r="AA10" i="6"/>
  <c r="AA143" i="6"/>
  <c r="AA67" i="6"/>
  <c r="AA46" i="6"/>
  <c r="AA136" i="6"/>
  <c r="AA83" i="6"/>
  <c r="AA15" i="6"/>
  <c r="AA141" i="6"/>
  <c r="AA121" i="6"/>
  <c r="AA151" i="6"/>
  <c r="AA84" i="6"/>
  <c r="AA154" i="6"/>
  <c r="AA123" i="6"/>
  <c r="AA13" i="6"/>
  <c r="AA191" i="6"/>
  <c r="AA53" i="6"/>
  <c r="AA74" i="6"/>
  <c r="AA92" i="6"/>
  <c r="AA164" i="6"/>
  <c r="AA213" i="6"/>
  <c r="AA72" i="6"/>
  <c r="AA167" i="6"/>
  <c r="AA166" i="6"/>
  <c r="AA196" i="6"/>
  <c r="AA115" i="6"/>
  <c r="AA43" i="6"/>
  <c r="AA58" i="6"/>
  <c r="AA9" i="6"/>
  <c r="AA118" i="6"/>
  <c r="AA178" i="6"/>
  <c r="AA44" i="6"/>
  <c r="AA99" i="6"/>
  <c r="AA14" i="6"/>
  <c r="AB7" i="6"/>
  <c r="AA132" i="6"/>
  <c r="AA204" i="6"/>
  <c r="AA73" i="6"/>
  <c r="AA179" i="6"/>
  <c r="AA139" i="6"/>
  <c r="AA184" i="6"/>
  <c r="AA152" i="6"/>
  <c r="AA180" i="6"/>
  <c r="AA140" i="6"/>
  <c r="AA169" i="6"/>
  <c r="AA31" i="6"/>
  <c r="AA100" i="6"/>
  <c r="AA150" i="6"/>
  <c r="AA135" i="6"/>
  <c r="AA160" i="6"/>
  <c r="AA68" i="6"/>
  <c r="AA128" i="6"/>
  <c r="AA28" i="6"/>
  <c r="AA66" i="6"/>
  <c r="AA188" i="6"/>
  <c r="AA94" i="6"/>
  <c r="AA168" i="6"/>
  <c r="AA110" i="6"/>
  <c r="AA55" i="6"/>
  <c r="AA59" i="6"/>
  <c r="AA25" i="6"/>
  <c r="AA145" i="6"/>
  <c r="AA33" i="6"/>
  <c r="AA171" i="6"/>
  <c r="AA114" i="6"/>
  <c r="AA142" i="6"/>
  <c r="AA127" i="6"/>
  <c r="AA93" i="6"/>
  <c r="AB195" i="6" l="1"/>
  <c r="AB217" i="6"/>
  <c r="AA5" i="6"/>
  <c r="AB85" i="6"/>
  <c r="AB42" i="6"/>
  <c r="AB198" i="6"/>
  <c r="AB30" i="6"/>
  <c r="AB199" i="6"/>
  <c r="AB110" i="6"/>
  <c r="AB113" i="6"/>
  <c r="AB59" i="6"/>
  <c r="AB168" i="6"/>
  <c r="AB207" i="6"/>
  <c r="AB216" i="6"/>
  <c r="AB213" i="6"/>
  <c r="AB89" i="6"/>
  <c r="AB52" i="6"/>
  <c r="AB152" i="6"/>
  <c r="AB48" i="6"/>
  <c r="AB71" i="6"/>
  <c r="AB145" i="6"/>
  <c r="AB147" i="6"/>
  <c r="AB61" i="6"/>
  <c r="AB92" i="6"/>
  <c r="AB182" i="6"/>
  <c r="AB102" i="6"/>
  <c r="AB194" i="6"/>
  <c r="AB155" i="6"/>
  <c r="AB108" i="6"/>
  <c r="AB55" i="6"/>
  <c r="AB16" i="6"/>
  <c r="AB158" i="6"/>
  <c r="AB17" i="6"/>
  <c r="AB39" i="6"/>
  <c r="AB12" i="6"/>
  <c r="AB109" i="6"/>
  <c r="AB45" i="6"/>
  <c r="AB40" i="6"/>
  <c r="AB149" i="6"/>
  <c r="AB200" i="6"/>
  <c r="AB122" i="6"/>
  <c r="AB146" i="6"/>
  <c r="AB210" i="6"/>
  <c r="AB64" i="6"/>
  <c r="AB181" i="6"/>
  <c r="AB95" i="6"/>
  <c r="AB201" i="6"/>
  <c r="AB57" i="6"/>
  <c r="AB161" i="6"/>
  <c r="AB191" i="6"/>
  <c r="AB115" i="6"/>
  <c r="AB47" i="6"/>
  <c r="AB94" i="6"/>
  <c r="AB77" i="6"/>
  <c r="AB187" i="6"/>
  <c r="AB33" i="6"/>
  <c r="AB202" i="6"/>
  <c r="AB176" i="6"/>
  <c r="AB140" i="6"/>
  <c r="AB78" i="6"/>
  <c r="AB204" i="6"/>
  <c r="AB162" i="6"/>
  <c r="AB118" i="6"/>
  <c r="AB127" i="6"/>
  <c r="AB88" i="6"/>
  <c r="AB185" i="6"/>
  <c r="AB18" i="6"/>
  <c r="AB179" i="6"/>
  <c r="AB28" i="6"/>
  <c r="AB188" i="6"/>
  <c r="AB156" i="6"/>
  <c r="AB170" i="6"/>
  <c r="AB148" i="6"/>
  <c r="AB159" i="6"/>
  <c r="AB91" i="6"/>
  <c r="AB84" i="6"/>
  <c r="AB196" i="6"/>
  <c r="AB87" i="6"/>
  <c r="AB68" i="6"/>
  <c r="AB65" i="6"/>
  <c r="AB106" i="6"/>
  <c r="AB29" i="6"/>
  <c r="AB117" i="6"/>
  <c r="AB23" i="6"/>
  <c r="AB60" i="6"/>
  <c r="AB214" i="6"/>
  <c r="AB128" i="6"/>
  <c r="AB208" i="6"/>
  <c r="AB111" i="6"/>
  <c r="AB63" i="6"/>
  <c r="AB137" i="6"/>
  <c r="AB32" i="6"/>
  <c r="AB101" i="6"/>
  <c r="AB114" i="6"/>
  <c r="AB184" i="6"/>
  <c r="AB174" i="6"/>
  <c r="AB160" i="6"/>
  <c r="AB163" i="6"/>
  <c r="AB83" i="6"/>
  <c r="AB49" i="6"/>
  <c r="AB206" i="6"/>
  <c r="AB100" i="6"/>
  <c r="AB129" i="6"/>
  <c r="AB19" i="6"/>
  <c r="AB24" i="6"/>
  <c r="AB25" i="6"/>
  <c r="AB79" i="6"/>
  <c r="AB175" i="6"/>
  <c r="AB212" i="6"/>
  <c r="AB144" i="6"/>
  <c r="AB134" i="6"/>
  <c r="AB98" i="6"/>
  <c r="AB130" i="6"/>
  <c r="AB67" i="6"/>
  <c r="AB135" i="6"/>
  <c r="AB211" i="6"/>
  <c r="AB186" i="6"/>
  <c r="AB139" i="6"/>
  <c r="AB167" i="6"/>
  <c r="AB123" i="6"/>
  <c r="AB82" i="6"/>
  <c r="AB126" i="6"/>
  <c r="AB136" i="6"/>
  <c r="AB180" i="6"/>
  <c r="AB112" i="6"/>
  <c r="AB70" i="6"/>
  <c r="AB97" i="6"/>
  <c r="AB138" i="6"/>
  <c r="AB105" i="6"/>
  <c r="AB183" i="6"/>
  <c r="AB15" i="6"/>
  <c r="AB13" i="6"/>
  <c r="AB96" i="6"/>
  <c r="AB73" i="6"/>
  <c r="AB21" i="6"/>
  <c r="AB121" i="6"/>
  <c r="AB150" i="6"/>
  <c r="AB172" i="6"/>
  <c r="AB41" i="6"/>
  <c r="AB153" i="6"/>
  <c r="AB197" i="6"/>
  <c r="AB104" i="6"/>
  <c r="AB22" i="6"/>
  <c r="AB74" i="6"/>
  <c r="AB53" i="6"/>
  <c r="AB107" i="6"/>
  <c r="AB203" i="6"/>
  <c r="AB141" i="6"/>
  <c r="AB103" i="6"/>
  <c r="AB120" i="6"/>
  <c r="AB157" i="6"/>
  <c r="AB209" i="6"/>
  <c r="AB62" i="6"/>
  <c r="AB14" i="6"/>
  <c r="AB76" i="6"/>
  <c r="AB31" i="6"/>
  <c r="AB166" i="6"/>
  <c r="AB58" i="6"/>
  <c r="AB205" i="6"/>
  <c r="AB90" i="6"/>
  <c r="AB154" i="6"/>
  <c r="AB173" i="6"/>
  <c r="AB99" i="6"/>
  <c r="AB9" i="6"/>
  <c r="AB43" i="6"/>
  <c r="AB131" i="6"/>
  <c r="AB151" i="6"/>
  <c r="AB66" i="6"/>
  <c r="AB75" i="6"/>
  <c r="AB177" i="6"/>
  <c r="AB164" i="6"/>
  <c r="AB72" i="6"/>
  <c r="AB193" i="6"/>
  <c r="AB38" i="6"/>
  <c r="AB178" i="6"/>
  <c r="AB171" i="6"/>
  <c r="AB8" i="6"/>
  <c r="AB190" i="6"/>
  <c r="AB51" i="6"/>
  <c r="AB69" i="6"/>
  <c r="AB44" i="6"/>
  <c r="AB80" i="6"/>
  <c r="AB27" i="6"/>
  <c r="AB11" i="6"/>
  <c r="AB132" i="6"/>
  <c r="AB165" i="6"/>
  <c r="AB125" i="6"/>
  <c r="AB116" i="6"/>
  <c r="AB124" i="6"/>
  <c r="AB189" i="6"/>
  <c r="AB192" i="6"/>
  <c r="AB56" i="6"/>
  <c r="AB133" i="6"/>
  <c r="AB119" i="6"/>
  <c r="AB143" i="6"/>
  <c r="AB50" i="6"/>
  <c r="AB20" i="6"/>
  <c r="AB34" i="6"/>
  <c r="AB93" i="6"/>
  <c r="AB26" i="6"/>
  <c r="AB81" i="6"/>
  <c r="AB169" i="6"/>
  <c r="AB46" i="6"/>
  <c r="AB142" i="6"/>
  <c r="AB215" i="6"/>
  <c r="AB86" i="6"/>
  <c r="AB10" i="6"/>
  <c r="AB54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<sst xmlns="http://schemas.openxmlformats.org/spreadsheetml/2006/main" count="2023" uniqueCount="917">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</sst>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9" activePane="bottomLeft" state="frozen"/>
      <selection pane="bottomLeft" activeCell="C34" sqref="C34"/>
    </sheetView>
  </sheetViews>
  <sheetFormatPr defaultColWidth="9.109375" defaultRowHeight="14.25" customHeight="1" x14ac:dyDescent="0.25"/>
  <cols>
    <col min="1" max="1" width="6.109375" style="2" customWidth="1"/>
    <col min="2" max="2" width="4.88671875" style="2" customWidth="1"/>
    <col min="3" max="3" width="6.109375" style="2" customWidth="1"/>
    <col min="4" max="4" width="31.109375" style="3" customWidth="1"/>
    <col min="5" max="5" width="12.44140625" style="2" customWidth="1"/>
    <col min="6" max="6" width="24.88671875" style="3" customWidth="1"/>
    <col min="7" max="7" width="23.109375" style="2" customWidth="1"/>
    <col min="8" max="8" width="11.6640625" style="2" customWidth="1"/>
    <col min="9" max="9" width="17.33203125" style="2" customWidth="1"/>
    <col min="10" max="10" width="8.109375" style="2" customWidth="1"/>
    <col min="11" max="11" width="12.109375" style="2" customWidth="1"/>
    <col min="12" max="12" width="6.88671875" style="15" customWidth="1"/>
    <col min="13" max="13" width="28.5546875" style="16" customWidth="1"/>
    <col min="14" max="14" width="22.109375" style="16" customWidth="1"/>
    <col min="15" max="15" width="7.109375" style="2" customWidth="1"/>
    <col min="16" max="16" width="7" style="2" customWidth="1"/>
    <col min="17" max="17" width="11.66406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46" width="9.109375" style="2"/>
    <col min="47" max="16384" width="9.109375" style="3"/>
  </cols>
  <sheetData>
    <row r="1" spans="1:46" ht="14.25" customHeight="1" x14ac:dyDescent="0.25">
      <c r="D1" s="2"/>
      <c r="F1" s="2"/>
    </row>
    <row r="2" spans="1:46" ht="14.25" customHeight="1" x14ac:dyDescent="0.25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5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5">
      <c r="D4" s="9" t="s">
        <v>3</v>
      </c>
      <c r="E4" s="10">
        <f>+AI6</f>
        <v>127</v>
      </c>
      <c r="F4" s="10">
        <f>+AE6</f>
        <v>54</v>
      </c>
      <c r="G4" s="10">
        <f>+AG6</f>
        <v>51</v>
      </c>
      <c r="H4" s="7">
        <f>+E4-G4</f>
        <v>76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5">
      <c r="D5" s="12" t="s">
        <v>12</v>
      </c>
      <c r="E5" s="12">
        <f>+E3+E4</f>
        <v>178</v>
      </c>
      <c r="F5" s="12">
        <f>+F3+F4</f>
        <v>119</v>
      </c>
      <c r="G5" s="12">
        <f>+G3+G4</f>
        <v>100</v>
      </c>
      <c r="H5" s="12">
        <f>+H3+H4</f>
        <v>78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5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54</v>
      </c>
      <c r="AF6" s="2">
        <f t="shared" si="1"/>
        <v>49</v>
      </c>
      <c r="AG6" s="2">
        <f t="shared" si="1"/>
        <v>51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3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3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2" si="3">+O8*P8*(1-A8)</f>
        <v>0</v>
      </c>
      <c r="AG8" s="2">
        <f t="shared" ref="AG8:AG72" si="4">O8*(1-P8)*(1-A8)</f>
        <v>1</v>
      </c>
      <c r="AH8" s="2">
        <f t="shared" ref="AH8:AH72" si="5">+P8*(1-A8)</f>
        <v>0</v>
      </c>
      <c r="AI8" s="2">
        <f t="shared" ref="AI8:AI7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3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3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3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3" si="7">IF(J11=$S$7,1,0)</f>
        <v>0</v>
      </c>
      <c r="T11" s="2">
        <f t="shared" ref="T11:T73" si="8">IF(J11=$T$7,1,0)</f>
        <v>0</v>
      </c>
      <c r="U11" s="2">
        <f t="shared" ref="U11:U73" si="9">IF(J11=$U$7,1,0)</f>
        <v>0</v>
      </c>
      <c r="V11" s="2">
        <f t="shared" ref="V11:V73" si="10">IF(J11=$V$7,1,0)</f>
        <v>0</v>
      </c>
      <c r="W11" s="2">
        <f t="shared" ref="W11:W73" si="11">IF(J11=$W$7,1,0)</f>
        <v>0</v>
      </c>
      <c r="X11" s="2">
        <f t="shared" ref="X11:X73" si="12">IF(J11=$X$7,1,0)</f>
        <v>0</v>
      </c>
      <c r="Y11" s="2">
        <f t="shared" ref="Y11:Y73" si="13">IF(J11=$Y$7,1,0)</f>
        <v>0</v>
      </c>
      <c r="Z11" s="2">
        <f t="shared" ref="Z11:Z73" si="14">IF(J11=$Z$7,1,0)</f>
        <v>0</v>
      </c>
      <c r="AA11" s="2">
        <f t="shared" ref="AA11:AA73" si="15">IF(J11=$AA$7,1,0)</f>
        <v>0</v>
      </c>
      <c r="AB11" s="2">
        <f t="shared" ref="AB11:AB73" si="16">IF(J11=$AB$7,1,0)</f>
        <v>0</v>
      </c>
      <c r="AC11" s="2"/>
      <c r="AD11" s="2">
        <f t="shared" ref="AD11:AD73" si="17">+O11*P11</f>
        <v>0</v>
      </c>
      <c r="AE11" s="2">
        <f t="shared" ref="AE11:AE73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3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3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3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3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3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3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3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3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3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3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3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3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3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3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1</v>
      </c>
      <c r="AF25" s="2">
        <f t="shared" si="3"/>
        <v>0</v>
      </c>
      <c r="AG25" s="2">
        <f t="shared" si="4"/>
        <v>1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3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3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1</v>
      </c>
      <c r="AE27" s="2">
        <f t="shared" si="18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3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3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3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3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3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3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3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3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ref="S35:S37" si="19">IF(J35=$S$7,1,0)</f>
        <v>0</v>
      </c>
      <c r="T35" s="2">
        <f t="shared" ref="T35:T37" si="20">IF(J35=$T$7,1,0)</f>
        <v>1</v>
      </c>
      <c r="U35" s="2">
        <f t="shared" ref="U35:U37" si="21">IF(J35=$U$7,1,0)</f>
        <v>0</v>
      </c>
      <c r="V35" s="2">
        <f t="shared" ref="V35:V37" si="22">IF(J35=$V$7,1,0)</f>
        <v>0</v>
      </c>
      <c r="W35" s="2">
        <f t="shared" ref="W35:W37" si="23">IF(J35=$W$7,1,0)</f>
        <v>0</v>
      </c>
      <c r="X35" s="2">
        <f t="shared" ref="X35:X37" si="24">IF(J35=$X$7,1,0)</f>
        <v>0</v>
      </c>
      <c r="Y35" s="2">
        <f t="shared" ref="Y35:Y37" si="25">IF(J35=$Y$7,1,0)</f>
        <v>0</v>
      </c>
      <c r="Z35" s="2">
        <f t="shared" ref="Z35:Z37" si="26">IF(J35=$Z$7,1,0)</f>
        <v>0</v>
      </c>
      <c r="AA35" s="2">
        <f t="shared" ref="AA35:AA37" si="27">IF(J35=$AA$7,1,0)</f>
        <v>0</v>
      </c>
      <c r="AB35" s="2">
        <f t="shared" ref="AB35:AB37" si="28">IF(J35=$AB$7,1,0)</f>
        <v>0</v>
      </c>
      <c r="AC35" s="2"/>
      <c r="AD35" s="2">
        <f t="shared" ref="AD35:AD37" si="29">+O35*P35</f>
        <v>0</v>
      </c>
      <c r="AE35" s="2">
        <f t="shared" ref="AE35:AE37" si="30">O35*(1-P35)</f>
        <v>0</v>
      </c>
      <c r="AF35" s="2">
        <f t="shared" ref="AF35:AF37" si="31">+O35*P35*(1-A35)</f>
        <v>0</v>
      </c>
      <c r="AG35" s="2">
        <f t="shared" ref="AG35:AG37" si="32">O35*(1-P35)*(1-A35)</f>
        <v>0</v>
      </c>
      <c r="AH35" s="2">
        <f t="shared" ref="AH35:AH37" si="33">+P35*(1-A35)</f>
        <v>0</v>
      </c>
      <c r="AI35" s="2">
        <f t="shared" ref="AI35:AI37" si="34">+(1-A35)*(1-P35)</f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3">
      <c r="A36" s="33">
        <v>0</v>
      </c>
      <c r="B36" s="33">
        <v>1</v>
      </c>
      <c r="C36" s="33">
        <v>3</v>
      </c>
      <c r="D36" s="34" t="s">
        <v>916</v>
      </c>
      <c r="E36" s="34" t="s">
        <v>234</v>
      </c>
      <c r="F36" s="34" t="s">
        <v>911</v>
      </c>
      <c r="G36" s="34" t="s">
        <v>915</v>
      </c>
      <c r="H36" s="34" t="s">
        <v>190</v>
      </c>
      <c r="I36" s="33" t="s">
        <v>912</v>
      </c>
      <c r="J36" s="33"/>
      <c r="K36" s="33" t="s">
        <v>385</v>
      </c>
      <c r="L36" s="33">
        <v>55</v>
      </c>
      <c r="M36" s="34" t="s">
        <v>913</v>
      </c>
      <c r="N36" s="34" t="s">
        <v>857</v>
      </c>
      <c r="O36" s="35">
        <v>1</v>
      </c>
      <c r="P36" s="33"/>
      <c r="Q36" s="34" t="s">
        <v>914</v>
      </c>
      <c r="R36" s="13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1</v>
      </c>
      <c r="AF36" s="2">
        <f t="shared" si="31"/>
        <v>0</v>
      </c>
      <c r="AG36" s="2">
        <f t="shared" si="32"/>
        <v>1</v>
      </c>
      <c r="AH36" s="2">
        <f t="shared" si="33"/>
        <v>0</v>
      </c>
      <c r="AI36" s="2">
        <f t="shared" si="34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3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850</v>
      </c>
      <c r="O37" s="38"/>
      <c r="P37" s="36"/>
      <c r="Q37" s="37"/>
      <c r="R37" s="13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1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1"/>
        <v>0</v>
      </c>
      <c r="AG37" s="2">
        <f t="shared" si="32"/>
        <v>0</v>
      </c>
      <c r="AH37" s="2">
        <f t="shared" si="33"/>
        <v>0</v>
      </c>
      <c r="AI37" s="2">
        <f t="shared" si="34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3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849</v>
      </c>
      <c r="O38" s="35">
        <v>1</v>
      </c>
      <c r="P38" s="33">
        <v>1</v>
      </c>
      <c r="Q38" s="34"/>
      <c r="R38" s="13"/>
      <c r="S38" s="2">
        <f t="shared" si="7"/>
        <v>0</v>
      </c>
      <c r="T38" s="2">
        <f t="shared" si="8"/>
        <v>1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3">
      <c r="A39" s="36">
        <v>0</v>
      </c>
      <c r="B39" s="36">
        <v>1</v>
      </c>
      <c r="C39" s="36">
        <v>3</v>
      </c>
      <c r="D39" s="37" t="s">
        <v>632</v>
      </c>
      <c r="E39" s="37" t="s">
        <v>234</v>
      </c>
      <c r="F39" s="37" t="s">
        <v>587</v>
      </c>
      <c r="G39" s="37" t="s">
        <v>103</v>
      </c>
      <c r="H39" s="37" t="s">
        <v>661</v>
      </c>
      <c r="I39" s="36" t="s">
        <v>588</v>
      </c>
      <c r="J39" s="36">
        <v>99</v>
      </c>
      <c r="K39" s="36" t="s">
        <v>290</v>
      </c>
      <c r="L39" s="36">
        <v>65</v>
      </c>
      <c r="M39" s="37" t="s">
        <v>795</v>
      </c>
      <c r="N39" s="37" t="s">
        <v>852</v>
      </c>
      <c r="O39" s="38"/>
      <c r="P39" s="36"/>
      <c r="Q39" s="37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3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664</v>
      </c>
      <c r="J40" s="20">
        <v>99</v>
      </c>
      <c r="K40" s="20" t="s">
        <v>385</v>
      </c>
      <c r="L40" s="20" t="s">
        <v>305</v>
      </c>
      <c r="M40" s="19" t="s">
        <v>672</v>
      </c>
      <c r="N40" s="19"/>
      <c r="O40" s="18"/>
      <c r="P40" s="20"/>
      <c r="Q40" s="19"/>
      <c r="R40" s="13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3">
      <c r="A41" s="36">
        <v>0</v>
      </c>
      <c r="B41" s="36">
        <v>1</v>
      </c>
      <c r="C41" s="36">
        <v>3</v>
      </c>
      <c r="D41" s="37" t="s">
        <v>753</v>
      </c>
      <c r="E41" s="37" t="s">
        <v>758</v>
      </c>
      <c r="F41" s="37" t="s">
        <v>746</v>
      </c>
      <c r="G41" s="37" t="s">
        <v>82</v>
      </c>
      <c r="H41" s="37" t="s">
        <v>190</v>
      </c>
      <c r="I41" s="36" t="s">
        <v>747</v>
      </c>
      <c r="J41" s="36">
        <v>1</v>
      </c>
      <c r="K41" s="36" t="s">
        <v>298</v>
      </c>
      <c r="L41" s="36">
        <v>50</v>
      </c>
      <c r="M41" s="37" t="s">
        <v>796</v>
      </c>
      <c r="N41" s="37" t="s">
        <v>852</v>
      </c>
      <c r="O41" s="38"/>
      <c r="P41" s="36"/>
      <c r="Q41" s="37"/>
      <c r="R41" s="13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3">
      <c r="A42" s="33">
        <v>0</v>
      </c>
      <c r="B42" s="33">
        <v>1</v>
      </c>
      <c r="C42" s="33">
        <v>3</v>
      </c>
      <c r="D42" s="34" t="s">
        <v>692</v>
      </c>
      <c r="E42" s="34" t="s">
        <v>234</v>
      </c>
      <c r="F42" s="34" t="s">
        <v>694</v>
      </c>
      <c r="G42" s="34" t="s">
        <v>102</v>
      </c>
      <c r="H42" s="34" t="s">
        <v>190</v>
      </c>
      <c r="I42" s="33" t="s">
        <v>693</v>
      </c>
      <c r="J42" s="33">
        <v>2</v>
      </c>
      <c r="K42" s="33" t="s">
        <v>292</v>
      </c>
      <c r="L42" s="33" t="s">
        <v>505</v>
      </c>
      <c r="M42" s="34" t="s">
        <v>695</v>
      </c>
      <c r="N42" s="34" t="s">
        <v>857</v>
      </c>
      <c r="O42" s="35">
        <v>1</v>
      </c>
      <c r="P42" s="33"/>
      <c r="Q42" s="34"/>
      <c r="R42" s="13"/>
      <c r="S42" s="2">
        <f t="shared" si="7"/>
        <v>0</v>
      </c>
      <c r="T42" s="2">
        <f t="shared" si="8"/>
        <v>1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3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592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1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3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3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589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1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3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590</v>
      </c>
      <c r="N46" s="19"/>
      <c r="O46" s="18"/>
      <c r="P46" s="20"/>
      <c r="Q46" s="19"/>
      <c r="R46" s="13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3">
      <c r="A47" s="20">
        <v>0</v>
      </c>
      <c r="B47" s="20">
        <v>1</v>
      </c>
      <c r="C47" s="20">
        <v>3</v>
      </c>
      <c r="D47" s="19" t="s">
        <v>612</v>
      </c>
      <c r="E47" s="19" t="s">
        <v>234</v>
      </c>
      <c r="F47" s="19" t="s">
        <v>611</v>
      </c>
      <c r="G47" s="19" t="s">
        <v>82</v>
      </c>
      <c r="H47" s="19" t="s">
        <v>190</v>
      </c>
      <c r="I47" s="20" t="s">
        <v>613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7"/>
        <v>1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3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859</v>
      </c>
      <c r="O48" s="35">
        <v>1</v>
      </c>
      <c r="P48" s="33"/>
      <c r="Q48" s="34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3"/>
        <v>0</v>
      </c>
      <c r="AG48" s="2">
        <f t="shared" si="4"/>
        <v>1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3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679</v>
      </c>
      <c r="N49" s="34" t="s">
        <v>859</v>
      </c>
      <c r="O49" s="35">
        <v>1</v>
      </c>
      <c r="P49" s="33"/>
      <c r="Q49" s="34"/>
      <c r="R49" s="13"/>
      <c r="S49" s="2">
        <f t="shared" si="7"/>
        <v>0</v>
      </c>
      <c r="T49" s="2">
        <f t="shared" si="8"/>
        <v>1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3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859</v>
      </c>
      <c r="O50" s="35">
        <v>1</v>
      </c>
      <c r="P50" s="33"/>
      <c r="Q50" s="34"/>
      <c r="R50" s="13"/>
      <c r="S50" s="2">
        <f t="shared" si="7"/>
        <v>1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3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880</v>
      </c>
      <c r="O51" s="35">
        <v>1</v>
      </c>
      <c r="P51" s="33"/>
      <c r="Q51" s="34"/>
      <c r="R51" s="1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1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C51" s="2"/>
      <c r="AD51" s="2">
        <f t="shared" si="17"/>
        <v>0</v>
      </c>
      <c r="AE51" s="2">
        <f t="shared" si="18"/>
        <v>1</v>
      </c>
      <c r="AF51" s="2">
        <f t="shared" si="3"/>
        <v>0</v>
      </c>
      <c r="AG51" s="2">
        <f t="shared" si="4"/>
        <v>1</v>
      </c>
      <c r="AH51" s="2">
        <f t="shared" si="5"/>
        <v>0</v>
      </c>
      <c r="AI51" s="2">
        <f t="shared" si="6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3">
      <c r="A52" s="33">
        <v>0</v>
      </c>
      <c r="B52" s="33">
        <v>1</v>
      </c>
      <c r="C52" s="33">
        <v>3</v>
      </c>
      <c r="D52" s="34" t="s">
        <v>602</v>
      </c>
      <c r="E52" s="34" t="s">
        <v>234</v>
      </c>
      <c r="F52" s="34" t="s">
        <v>603</v>
      </c>
      <c r="G52" s="34" t="s">
        <v>605</v>
      </c>
      <c r="H52" s="34" t="s">
        <v>190</v>
      </c>
      <c r="I52" s="33" t="s">
        <v>604</v>
      </c>
      <c r="J52" s="33">
        <v>99</v>
      </c>
      <c r="K52" s="33" t="s">
        <v>298</v>
      </c>
      <c r="L52" s="33" t="s">
        <v>674</v>
      </c>
      <c r="M52" s="34" t="s">
        <v>675</v>
      </c>
      <c r="N52" s="34" t="s">
        <v>880</v>
      </c>
      <c r="O52" s="35">
        <v>1</v>
      </c>
      <c r="P52" s="33"/>
      <c r="Q52" s="34"/>
      <c r="R52" s="13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1</v>
      </c>
      <c r="AF52" s="2">
        <f t="shared" si="3"/>
        <v>0</v>
      </c>
      <c r="AG52" s="2">
        <f t="shared" si="4"/>
        <v>1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3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7"/>
        <v>0</v>
      </c>
      <c r="T53" s="2">
        <f t="shared" si="8"/>
        <v>1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3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857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1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3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887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857</v>
      </c>
      <c r="O55" s="35">
        <v>1</v>
      </c>
      <c r="P55" s="33"/>
      <c r="Q55" s="34"/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1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1</v>
      </c>
      <c r="AF55" s="2">
        <f t="shared" si="3"/>
        <v>0</v>
      </c>
      <c r="AG55" s="2">
        <f t="shared" si="4"/>
        <v>1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3">
      <c r="A56" s="39">
        <v>0</v>
      </c>
      <c r="B56" s="39">
        <v>1</v>
      </c>
      <c r="C56" s="39">
        <v>3</v>
      </c>
      <c r="D56" s="40" t="s">
        <v>696</v>
      </c>
      <c r="E56" s="40" t="s">
        <v>235</v>
      </c>
      <c r="F56" s="40" t="s">
        <v>697</v>
      </c>
      <c r="G56" s="40" t="s">
        <v>103</v>
      </c>
      <c r="H56" s="40" t="s">
        <v>190</v>
      </c>
      <c r="I56" s="39" t="s">
        <v>698</v>
      </c>
      <c r="J56" s="39">
        <v>99</v>
      </c>
      <c r="K56" s="39" t="s">
        <v>292</v>
      </c>
      <c r="L56" s="39" t="s">
        <v>674</v>
      </c>
      <c r="M56" s="40" t="s">
        <v>699</v>
      </c>
      <c r="N56" s="40"/>
      <c r="O56" s="41"/>
      <c r="P56" s="39"/>
      <c r="Q56" s="40" t="s">
        <v>896</v>
      </c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3">
      <c r="A57" s="33">
        <v>0</v>
      </c>
      <c r="B57" s="33">
        <v>1</v>
      </c>
      <c r="C57" s="33">
        <v>3</v>
      </c>
      <c r="D57" s="34" t="s">
        <v>854</v>
      </c>
      <c r="E57" s="34" t="s">
        <v>234</v>
      </c>
      <c r="F57" s="34" t="s">
        <v>855</v>
      </c>
      <c r="G57" s="34" t="s">
        <v>109</v>
      </c>
      <c r="H57" s="34" t="s">
        <v>190</v>
      </c>
      <c r="I57" s="33" t="s">
        <v>856</v>
      </c>
      <c r="J57" s="33"/>
      <c r="K57" s="33" t="s">
        <v>385</v>
      </c>
      <c r="L57" s="33">
        <v>38</v>
      </c>
      <c r="M57" s="34" t="s">
        <v>195</v>
      </c>
      <c r="N57" s="34" t="s">
        <v>849</v>
      </c>
      <c r="O57" s="35">
        <v>1</v>
      </c>
      <c r="P57" s="33">
        <v>1</v>
      </c>
      <c r="Q57" s="34"/>
      <c r="R57" s="1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1</v>
      </c>
      <c r="AE57" s="2">
        <f t="shared" si="18"/>
        <v>0</v>
      </c>
      <c r="AF57" s="2">
        <f t="shared" si="3"/>
        <v>1</v>
      </c>
      <c r="AG57" s="2">
        <f t="shared" si="4"/>
        <v>0</v>
      </c>
      <c r="AH57" s="2">
        <f t="shared" si="5"/>
        <v>1</v>
      </c>
      <c r="AI57" s="2">
        <f t="shared" si="6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3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0</v>
      </c>
      <c r="AE58" s="2">
        <f t="shared" si="18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3">
      <c r="A59" s="33">
        <v>0</v>
      </c>
      <c r="B59" s="33">
        <v>1</v>
      </c>
      <c r="C59" s="33">
        <v>3</v>
      </c>
      <c r="D59" s="34" t="s">
        <v>799</v>
      </c>
      <c r="E59" s="34" t="s">
        <v>235</v>
      </c>
      <c r="F59" s="34" t="s">
        <v>800</v>
      </c>
      <c r="G59" s="34" t="s">
        <v>88</v>
      </c>
      <c r="H59" s="34" t="s">
        <v>190</v>
      </c>
      <c r="I59" s="33" t="s">
        <v>801</v>
      </c>
      <c r="J59" s="33">
        <v>2</v>
      </c>
      <c r="K59" s="33" t="s">
        <v>385</v>
      </c>
      <c r="L59" s="33"/>
      <c r="M59" s="34"/>
      <c r="N59" s="34" t="s">
        <v>849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1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3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849</v>
      </c>
      <c r="O60" s="35">
        <v>1</v>
      </c>
      <c r="P60" s="33">
        <v>1</v>
      </c>
      <c r="Q60" s="34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1</v>
      </c>
      <c r="AE60" s="2">
        <f t="shared" si="18"/>
        <v>0</v>
      </c>
      <c r="AF60" s="2">
        <f t="shared" si="3"/>
        <v>1</v>
      </c>
      <c r="AG60" s="2">
        <f t="shared" si="4"/>
        <v>0</v>
      </c>
      <c r="AH60" s="2">
        <f t="shared" si="5"/>
        <v>1</v>
      </c>
      <c r="AI60" s="2">
        <f t="shared" si="6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3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676</v>
      </c>
      <c r="N61" s="19"/>
      <c r="O61" s="18"/>
      <c r="P61" s="20"/>
      <c r="Q61" s="19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1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0</v>
      </c>
      <c r="AE61" s="2">
        <f t="shared" si="18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3">
      <c r="A62" s="33">
        <v>0</v>
      </c>
      <c r="B62" s="33">
        <v>1</v>
      </c>
      <c r="C62" s="33">
        <v>5</v>
      </c>
      <c r="D62" s="34" t="s">
        <v>802</v>
      </c>
      <c r="E62" s="34" t="s">
        <v>237</v>
      </c>
      <c r="F62" s="34" t="s">
        <v>803</v>
      </c>
      <c r="G62" s="34" t="s">
        <v>72</v>
      </c>
      <c r="H62" s="34" t="s">
        <v>190</v>
      </c>
      <c r="I62" s="33" t="s">
        <v>804</v>
      </c>
      <c r="J62" s="33">
        <v>4</v>
      </c>
      <c r="K62" s="33" t="s">
        <v>385</v>
      </c>
      <c r="L62" s="33"/>
      <c r="M62" s="34"/>
      <c r="N62" s="34" t="s">
        <v>849</v>
      </c>
      <c r="O62" s="35">
        <v>1</v>
      </c>
      <c r="P62" s="33">
        <v>1</v>
      </c>
      <c r="Q62" s="34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1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1</v>
      </c>
      <c r="AE62" s="2">
        <f t="shared" si="18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3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1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3">
      <c r="A64" s="20">
        <v>0</v>
      </c>
      <c r="B64" s="20">
        <v>1</v>
      </c>
      <c r="C64" s="20">
        <v>5</v>
      </c>
      <c r="D64" s="19" t="s">
        <v>731</v>
      </c>
      <c r="E64" s="19" t="s">
        <v>237</v>
      </c>
      <c r="F64" s="19" t="s">
        <v>732</v>
      </c>
      <c r="G64" s="19" t="s">
        <v>733</v>
      </c>
      <c r="H64" s="19" t="s">
        <v>190</v>
      </c>
      <c r="I64" s="20" t="s">
        <v>734</v>
      </c>
      <c r="J64" s="20">
        <v>99</v>
      </c>
      <c r="K64" s="20" t="s">
        <v>385</v>
      </c>
      <c r="L64" s="20">
        <v>30</v>
      </c>
      <c r="M64" s="19" t="s">
        <v>735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3">
      <c r="A65" s="20">
        <v>0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775</v>
      </c>
      <c r="G65" s="19" t="s">
        <v>145</v>
      </c>
      <c r="H65" s="19" t="s">
        <v>190</v>
      </c>
      <c r="I65" s="20" t="s">
        <v>785</v>
      </c>
      <c r="J65" s="20">
        <v>99</v>
      </c>
      <c r="K65" s="20" t="s">
        <v>298</v>
      </c>
      <c r="L65" s="20">
        <v>40</v>
      </c>
      <c r="M65" s="19" t="s">
        <v>798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3">
      <c r="A66" s="20">
        <v>1</v>
      </c>
      <c r="B66" s="20">
        <v>1</v>
      </c>
      <c r="C66" s="20">
        <v>5</v>
      </c>
      <c r="D66" s="19" t="s">
        <v>749</v>
      </c>
      <c r="E66" s="19" t="s">
        <v>758</v>
      </c>
      <c r="F66" s="19" t="s">
        <v>774</v>
      </c>
      <c r="G66" s="19" t="s">
        <v>103</v>
      </c>
      <c r="H66" s="19" t="s">
        <v>190</v>
      </c>
      <c r="I66" s="20" t="s">
        <v>750</v>
      </c>
      <c r="J66" s="20">
        <v>99</v>
      </c>
      <c r="K66" s="20" t="s">
        <v>298</v>
      </c>
      <c r="L66" s="20">
        <v>40</v>
      </c>
      <c r="M66" s="19" t="s">
        <v>797</v>
      </c>
      <c r="N66" s="19"/>
      <c r="O66" s="18"/>
      <c r="P66" s="20"/>
      <c r="Q66" s="19"/>
      <c r="R66" s="13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3">
      <c r="A67" s="33">
        <v>0</v>
      </c>
      <c r="B67" s="33">
        <v>1</v>
      </c>
      <c r="C67" s="33">
        <v>5</v>
      </c>
      <c r="D67" s="34" t="s">
        <v>640</v>
      </c>
      <c r="E67" s="34" t="s">
        <v>237</v>
      </c>
      <c r="F67" s="34" t="s">
        <v>654</v>
      </c>
      <c r="G67" s="34" t="s">
        <v>82</v>
      </c>
      <c r="H67" s="34" t="s">
        <v>190</v>
      </c>
      <c r="I67" s="33" t="s">
        <v>606</v>
      </c>
      <c r="J67" s="33">
        <v>1</v>
      </c>
      <c r="K67" s="33" t="s">
        <v>292</v>
      </c>
      <c r="L67" s="33" t="s">
        <v>507</v>
      </c>
      <c r="M67" s="34" t="s">
        <v>678</v>
      </c>
      <c r="N67" s="34" t="s">
        <v>886</v>
      </c>
      <c r="O67" s="35">
        <v>1</v>
      </c>
      <c r="P67" s="33"/>
      <c r="Q67" s="34"/>
      <c r="R67" s="13"/>
      <c r="S67" s="2">
        <f t="shared" si="7"/>
        <v>1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3">
      <c r="A68" s="36">
        <v>0</v>
      </c>
      <c r="B68" s="36">
        <v>1</v>
      </c>
      <c r="C68" s="36">
        <v>5</v>
      </c>
      <c r="D68" s="37" t="s">
        <v>124</v>
      </c>
      <c r="E68" s="37" t="s">
        <v>237</v>
      </c>
      <c r="F68" s="37" t="s">
        <v>134</v>
      </c>
      <c r="G68" s="37" t="s">
        <v>72</v>
      </c>
      <c r="H68" s="37" t="s">
        <v>190</v>
      </c>
      <c r="I68" s="36" t="s">
        <v>125</v>
      </c>
      <c r="J68" s="36">
        <v>4</v>
      </c>
      <c r="K68" s="36" t="s">
        <v>385</v>
      </c>
      <c r="L68" s="36">
        <v>31</v>
      </c>
      <c r="M68" s="37" t="s">
        <v>704</v>
      </c>
      <c r="N68" s="37" t="s">
        <v>852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1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3">
      <c r="A69" s="36">
        <v>0</v>
      </c>
      <c r="B69" s="36">
        <v>1</v>
      </c>
      <c r="C69" s="36">
        <v>5</v>
      </c>
      <c r="D69" s="37" t="s">
        <v>334</v>
      </c>
      <c r="E69" s="37" t="s">
        <v>237</v>
      </c>
      <c r="F69" s="37" t="s">
        <v>66</v>
      </c>
      <c r="G69" s="37" t="s">
        <v>111</v>
      </c>
      <c r="H69" s="37" t="s">
        <v>190</v>
      </c>
      <c r="I69" s="36" t="s">
        <v>561</v>
      </c>
      <c r="J69" s="36">
        <v>5</v>
      </c>
      <c r="K69" s="36" t="s">
        <v>298</v>
      </c>
      <c r="L69" s="36" t="s">
        <v>564</v>
      </c>
      <c r="M69" s="37" t="s">
        <v>195</v>
      </c>
      <c r="N69" s="37" t="s">
        <v>850</v>
      </c>
      <c r="O69" s="38"/>
      <c r="P69" s="36"/>
      <c r="Q69" s="37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1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3">
      <c r="A70" s="20">
        <v>0</v>
      </c>
      <c r="B70" s="20">
        <v>1</v>
      </c>
      <c r="C70" s="20">
        <v>5</v>
      </c>
      <c r="D70" s="19" t="s">
        <v>904</v>
      </c>
      <c r="E70" s="19" t="s">
        <v>841</v>
      </c>
      <c r="F70" s="19" t="s">
        <v>905</v>
      </c>
      <c r="G70" s="19" t="s">
        <v>72</v>
      </c>
      <c r="H70" s="19" t="s">
        <v>190</v>
      </c>
      <c r="I70" s="20" t="s">
        <v>906</v>
      </c>
      <c r="J70" s="20">
        <v>4</v>
      </c>
      <c r="K70" s="20" t="s">
        <v>385</v>
      </c>
      <c r="L70" s="20">
        <v>45</v>
      </c>
      <c r="M70" s="19" t="s">
        <v>907</v>
      </c>
      <c r="N70" s="19"/>
      <c r="O70" s="18"/>
      <c r="P70" s="20"/>
      <c r="Q70" s="19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1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3">
      <c r="A71" s="33">
        <v>0</v>
      </c>
      <c r="B71" s="33">
        <v>1</v>
      </c>
      <c r="C71" s="33">
        <v>5</v>
      </c>
      <c r="D71" s="34" t="s">
        <v>816</v>
      </c>
      <c r="E71" s="34" t="s">
        <v>817</v>
      </c>
      <c r="F71" s="34" t="s">
        <v>820</v>
      </c>
      <c r="G71" s="34" t="s">
        <v>72</v>
      </c>
      <c r="H71" s="34" t="s">
        <v>190</v>
      </c>
      <c r="I71" s="33" t="s">
        <v>819</v>
      </c>
      <c r="J71" s="33"/>
      <c r="K71" s="33" t="s">
        <v>385</v>
      </c>
      <c r="L71" s="33">
        <v>45</v>
      </c>
      <c r="M71" s="34" t="s">
        <v>818</v>
      </c>
      <c r="N71" s="34" t="s">
        <v>859</v>
      </c>
      <c r="O71" s="35">
        <v>1</v>
      </c>
      <c r="P71" s="33"/>
      <c r="Q71" s="34"/>
      <c r="R71" s="13"/>
      <c r="S71" s="2">
        <f t="shared" si="7"/>
        <v>0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3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674</v>
      </c>
      <c r="M72" s="37" t="s">
        <v>713</v>
      </c>
      <c r="N72" s="37" t="s">
        <v>851</v>
      </c>
      <c r="O72" s="38"/>
      <c r="P72" s="36"/>
      <c r="Q72" s="37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0</v>
      </c>
      <c r="AF72" s="2">
        <f t="shared" si="3"/>
        <v>0</v>
      </c>
      <c r="AG72" s="2">
        <f t="shared" si="4"/>
        <v>0</v>
      </c>
      <c r="AH72" s="2">
        <f t="shared" si="5"/>
        <v>0</v>
      </c>
      <c r="AI72" s="2">
        <f t="shared" si="6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3">
      <c r="A73" s="33">
        <v>0</v>
      </c>
      <c r="B73" s="33">
        <v>1</v>
      </c>
      <c r="C73" s="33">
        <v>5</v>
      </c>
      <c r="D73" s="34" t="s">
        <v>808</v>
      </c>
      <c r="E73" s="34" t="s">
        <v>237</v>
      </c>
      <c r="F73" s="34" t="s">
        <v>809</v>
      </c>
      <c r="G73" s="34" t="s">
        <v>810</v>
      </c>
      <c r="H73" s="34" t="s">
        <v>190</v>
      </c>
      <c r="I73" s="33" t="s">
        <v>811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C73" s="2"/>
      <c r="AD73" s="2">
        <f t="shared" si="17"/>
        <v>0</v>
      </c>
      <c r="AE73" s="2">
        <f t="shared" si="18"/>
        <v>1</v>
      </c>
      <c r="AF73" s="2">
        <f t="shared" ref="AF73:AF136" si="35">+O73*P73*(1-A73)</f>
        <v>0</v>
      </c>
      <c r="AG73" s="2">
        <f t="shared" ref="AG73:AG136" si="36">O73*(1-P73)*(1-A73)</f>
        <v>1</v>
      </c>
      <c r="AH73" s="2">
        <f t="shared" ref="AH73:AH136" si="37">+P73*(1-A73)</f>
        <v>0</v>
      </c>
      <c r="AI73" s="2">
        <f t="shared" ref="AI73:AI136" si="38">+(1-A73)*(1-P73)</f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3">
      <c r="A74" s="33">
        <v>0</v>
      </c>
      <c r="B74" s="33">
        <v>1</v>
      </c>
      <c r="C74" s="33">
        <v>5</v>
      </c>
      <c r="D74" s="34" t="s">
        <v>748</v>
      </c>
      <c r="E74" s="34" t="s">
        <v>758</v>
      </c>
      <c r="F74" s="34" t="s">
        <v>68</v>
      </c>
      <c r="G74" s="34" t="s">
        <v>88</v>
      </c>
      <c r="H74" s="34" t="s">
        <v>190</v>
      </c>
      <c r="I74" s="33" t="s">
        <v>784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857</v>
      </c>
      <c r="O74" s="35">
        <v>1</v>
      </c>
      <c r="P74" s="33"/>
      <c r="Q74" s="34"/>
      <c r="R74" s="13"/>
      <c r="S74" s="2">
        <f t="shared" ref="S74:S126" si="39">IF(J74=$S$7,1,0)</f>
        <v>0</v>
      </c>
      <c r="T74" s="2">
        <f t="shared" ref="T74:T126" si="40">IF(J74=$T$7,1,0)</f>
        <v>1</v>
      </c>
      <c r="U74" s="2">
        <f t="shared" ref="U74:U126" si="41">IF(J74=$U$7,1,0)</f>
        <v>0</v>
      </c>
      <c r="V74" s="2">
        <f t="shared" ref="V74:V126" si="42">IF(J74=$V$7,1,0)</f>
        <v>0</v>
      </c>
      <c r="W74" s="2">
        <f t="shared" ref="W74:W126" si="43">IF(J74=$W$7,1,0)</f>
        <v>0</v>
      </c>
      <c r="X74" s="2">
        <f t="shared" ref="X74:X126" si="44">IF(J74=$X$7,1,0)</f>
        <v>0</v>
      </c>
      <c r="Y74" s="2">
        <f t="shared" ref="Y74:Y126" si="45">IF(J74=$Y$7,1,0)</f>
        <v>0</v>
      </c>
      <c r="Z74" s="2">
        <f t="shared" ref="Z74:Z126" si="46">IF(J74=$Z$7,1,0)</f>
        <v>0</v>
      </c>
      <c r="AA74" s="2">
        <f t="shared" ref="AA74:AA126" si="47">IF(J74=$AA$7,1,0)</f>
        <v>0</v>
      </c>
      <c r="AB74" s="2">
        <f t="shared" ref="AB74:AB126" si="48">IF(J74=$AB$7,1,0)</f>
        <v>0</v>
      </c>
      <c r="AC74" s="2"/>
      <c r="AD74" s="2">
        <f t="shared" ref="AD74:AD126" si="49">+O74*P74</f>
        <v>0</v>
      </c>
      <c r="AE74" s="2">
        <f t="shared" ref="AE74:AE126" si="50">O74*(1-P74)</f>
        <v>1</v>
      </c>
      <c r="AF74" s="2">
        <f t="shared" si="35"/>
        <v>0</v>
      </c>
      <c r="AG74" s="2">
        <f t="shared" si="36"/>
        <v>1</v>
      </c>
      <c r="AH74" s="2">
        <f t="shared" si="37"/>
        <v>0</v>
      </c>
      <c r="AI74" s="2">
        <f t="shared" si="38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3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39"/>
        <v>0</v>
      </c>
      <c r="T75" s="2">
        <f t="shared" si="40"/>
        <v>0</v>
      </c>
      <c r="U75" s="2">
        <f t="shared" si="41"/>
        <v>0</v>
      </c>
      <c r="V75" s="2">
        <f t="shared" si="42"/>
        <v>0</v>
      </c>
      <c r="W75" s="2">
        <f t="shared" si="43"/>
        <v>0</v>
      </c>
      <c r="X75" s="2">
        <f t="shared" si="44"/>
        <v>0</v>
      </c>
      <c r="Y75" s="2">
        <f t="shared" si="45"/>
        <v>0</v>
      </c>
      <c r="Z75" s="2">
        <f t="shared" si="46"/>
        <v>0</v>
      </c>
      <c r="AA75" s="2">
        <f t="shared" si="47"/>
        <v>0</v>
      </c>
      <c r="AB75" s="2">
        <f t="shared" si="48"/>
        <v>0</v>
      </c>
      <c r="AC75" s="2"/>
      <c r="AD75" s="2">
        <f t="shared" si="49"/>
        <v>0</v>
      </c>
      <c r="AE75" s="2">
        <f t="shared" si="50"/>
        <v>0</v>
      </c>
      <c r="AF75" s="2">
        <f t="shared" si="35"/>
        <v>0</v>
      </c>
      <c r="AG75" s="2">
        <f t="shared" si="36"/>
        <v>0</v>
      </c>
      <c r="AH75" s="2">
        <f t="shared" si="37"/>
        <v>0</v>
      </c>
      <c r="AI75" s="2">
        <f t="shared" si="38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3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39"/>
        <v>0</v>
      </c>
      <c r="T76" s="2">
        <f t="shared" si="40"/>
        <v>0</v>
      </c>
      <c r="U76" s="2">
        <f t="shared" si="41"/>
        <v>0</v>
      </c>
      <c r="V76" s="2">
        <f t="shared" si="42"/>
        <v>1</v>
      </c>
      <c r="W76" s="2">
        <f t="shared" si="43"/>
        <v>0</v>
      </c>
      <c r="X76" s="2">
        <f t="shared" si="44"/>
        <v>0</v>
      </c>
      <c r="Y76" s="2">
        <f t="shared" si="45"/>
        <v>0</v>
      </c>
      <c r="Z76" s="2">
        <f t="shared" si="46"/>
        <v>0</v>
      </c>
      <c r="AA76" s="2">
        <f t="shared" si="47"/>
        <v>0</v>
      </c>
      <c r="AB76" s="2">
        <f t="shared" si="48"/>
        <v>0</v>
      </c>
      <c r="AC76" s="2"/>
      <c r="AD76" s="2">
        <f t="shared" si="49"/>
        <v>0</v>
      </c>
      <c r="AE76" s="2">
        <f t="shared" si="50"/>
        <v>0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3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910</v>
      </c>
      <c r="N77" s="34" t="s">
        <v>886</v>
      </c>
      <c r="O77" s="35">
        <v>1</v>
      </c>
      <c r="P77" s="33"/>
      <c r="Q77" s="34"/>
      <c r="R77" s="13"/>
      <c r="S77" s="2">
        <f t="shared" si="39"/>
        <v>1</v>
      </c>
      <c r="T77" s="2">
        <f t="shared" si="40"/>
        <v>0</v>
      </c>
      <c r="U77" s="2">
        <f t="shared" si="41"/>
        <v>0</v>
      </c>
      <c r="V77" s="2">
        <f t="shared" si="42"/>
        <v>0</v>
      </c>
      <c r="W77" s="2">
        <f t="shared" si="43"/>
        <v>0</v>
      </c>
      <c r="X77" s="2">
        <f t="shared" si="44"/>
        <v>0</v>
      </c>
      <c r="Y77" s="2">
        <f t="shared" si="45"/>
        <v>0</v>
      </c>
      <c r="Z77" s="2">
        <f t="shared" si="46"/>
        <v>0</v>
      </c>
      <c r="AA77" s="2">
        <f t="shared" si="47"/>
        <v>0</v>
      </c>
      <c r="AB77" s="2">
        <f t="shared" si="48"/>
        <v>0</v>
      </c>
      <c r="AC77" s="2"/>
      <c r="AD77" s="2">
        <f t="shared" si="49"/>
        <v>0</v>
      </c>
      <c r="AE77" s="2">
        <f t="shared" si="50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3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39"/>
        <v>0</v>
      </c>
      <c r="T78" s="2">
        <f t="shared" si="40"/>
        <v>0</v>
      </c>
      <c r="U78" s="2">
        <f t="shared" si="41"/>
        <v>1</v>
      </c>
      <c r="V78" s="2">
        <f t="shared" si="42"/>
        <v>0</v>
      </c>
      <c r="W78" s="2">
        <f t="shared" si="43"/>
        <v>0</v>
      </c>
      <c r="X78" s="2">
        <f t="shared" si="44"/>
        <v>0</v>
      </c>
      <c r="Y78" s="2">
        <f t="shared" si="45"/>
        <v>0</v>
      </c>
      <c r="Z78" s="2">
        <f t="shared" si="46"/>
        <v>0</v>
      </c>
      <c r="AA78" s="2">
        <f t="shared" si="47"/>
        <v>0</v>
      </c>
      <c r="AB78" s="2">
        <f t="shared" si="48"/>
        <v>0</v>
      </c>
      <c r="AC78" s="2"/>
      <c r="AD78" s="2">
        <f t="shared" si="49"/>
        <v>0</v>
      </c>
      <c r="AE78" s="2">
        <f t="shared" si="50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3">
      <c r="A79" s="20">
        <v>0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610</v>
      </c>
      <c r="G79" s="19" t="s">
        <v>88</v>
      </c>
      <c r="H79" s="19" t="s">
        <v>190</v>
      </c>
      <c r="I79" s="20" t="s">
        <v>777</v>
      </c>
      <c r="J79" s="20">
        <v>2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/>
      <c r="R79" s="13"/>
      <c r="S79" s="2">
        <f t="shared" si="39"/>
        <v>0</v>
      </c>
      <c r="T79" s="2">
        <f t="shared" si="40"/>
        <v>1</v>
      </c>
      <c r="U79" s="2">
        <f t="shared" si="41"/>
        <v>0</v>
      </c>
      <c r="V79" s="2">
        <f t="shared" si="42"/>
        <v>0</v>
      </c>
      <c r="W79" s="2">
        <f t="shared" si="43"/>
        <v>0</v>
      </c>
      <c r="X79" s="2">
        <f t="shared" si="44"/>
        <v>0</v>
      </c>
      <c r="Y79" s="2">
        <f t="shared" si="45"/>
        <v>0</v>
      </c>
      <c r="Z79" s="2">
        <f t="shared" si="46"/>
        <v>0</v>
      </c>
      <c r="AA79" s="2">
        <f t="shared" si="47"/>
        <v>0</v>
      </c>
      <c r="AB79" s="2">
        <f t="shared" si="48"/>
        <v>0</v>
      </c>
      <c r="AC79" s="2"/>
      <c r="AD79" s="2">
        <f t="shared" si="49"/>
        <v>0</v>
      </c>
      <c r="AE79" s="2">
        <f t="shared" si="50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3">
      <c r="A80" s="20">
        <v>1</v>
      </c>
      <c r="B80" s="20">
        <v>1</v>
      </c>
      <c r="C80" s="20">
        <v>6</v>
      </c>
      <c r="D80" s="19" t="s">
        <v>607</v>
      </c>
      <c r="E80" s="19" t="s">
        <v>241</v>
      </c>
      <c r="F80" s="19" t="s">
        <v>608</v>
      </c>
      <c r="G80" s="19" t="s">
        <v>82</v>
      </c>
      <c r="H80" s="19" t="s">
        <v>190</v>
      </c>
      <c r="I80" s="20" t="s">
        <v>778</v>
      </c>
      <c r="J80" s="20">
        <v>1</v>
      </c>
      <c r="K80" s="20" t="s">
        <v>297</v>
      </c>
      <c r="L80" s="20" t="s">
        <v>301</v>
      </c>
      <c r="M80" s="19" t="s">
        <v>609</v>
      </c>
      <c r="N80" s="19"/>
      <c r="O80" s="18"/>
      <c r="P80" s="20"/>
      <c r="Q80" s="19" t="s">
        <v>899</v>
      </c>
      <c r="R80" s="13"/>
      <c r="S80" s="2">
        <f t="shared" si="39"/>
        <v>1</v>
      </c>
      <c r="T80" s="2">
        <f t="shared" si="40"/>
        <v>0</v>
      </c>
      <c r="U80" s="2">
        <f t="shared" si="41"/>
        <v>0</v>
      </c>
      <c r="V80" s="2">
        <f t="shared" si="42"/>
        <v>0</v>
      </c>
      <c r="W80" s="2">
        <f t="shared" si="43"/>
        <v>0</v>
      </c>
      <c r="X80" s="2">
        <f t="shared" si="44"/>
        <v>0</v>
      </c>
      <c r="Y80" s="2">
        <f t="shared" si="45"/>
        <v>0</v>
      </c>
      <c r="Z80" s="2">
        <f t="shared" si="46"/>
        <v>0</v>
      </c>
      <c r="AA80" s="2">
        <f t="shared" si="47"/>
        <v>0</v>
      </c>
      <c r="AB80" s="2">
        <f t="shared" si="48"/>
        <v>0</v>
      </c>
      <c r="AC80" s="2"/>
      <c r="AD80" s="2">
        <f t="shared" si="49"/>
        <v>0</v>
      </c>
      <c r="AE80" s="2">
        <f t="shared" si="50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3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859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3">
      <c r="A82" s="33">
        <v>0</v>
      </c>
      <c r="B82" s="33">
        <v>1</v>
      </c>
      <c r="C82" s="33">
        <v>6</v>
      </c>
      <c r="D82" s="34" t="s">
        <v>570</v>
      </c>
      <c r="E82" s="34" t="s">
        <v>571</v>
      </c>
      <c r="F82" s="34" t="s">
        <v>572</v>
      </c>
      <c r="G82" s="34" t="s">
        <v>656</v>
      </c>
      <c r="H82" s="34" t="s">
        <v>190</v>
      </c>
      <c r="I82" s="33" t="s">
        <v>573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849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3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858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3">
      <c r="A84" s="33">
        <v>0</v>
      </c>
      <c r="B84" s="33">
        <v>1</v>
      </c>
      <c r="C84" s="33">
        <v>6</v>
      </c>
      <c r="D84" s="34" t="s">
        <v>631</v>
      </c>
      <c r="E84" s="34" t="s">
        <v>519</v>
      </c>
      <c r="F84" s="34" t="s">
        <v>614</v>
      </c>
      <c r="G84" s="34" t="s">
        <v>495</v>
      </c>
      <c r="H84" s="34" t="s">
        <v>190</v>
      </c>
      <c r="I84" s="33" t="s">
        <v>615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849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3">
      <c r="A85" s="33">
        <v>0</v>
      </c>
      <c r="B85" s="33">
        <v>1</v>
      </c>
      <c r="C85" s="33">
        <v>6</v>
      </c>
      <c r="D85" s="34" t="s">
        <v>710</v>
      </c>
      <c r="E85" s="34" t="s">
        <v>755</v>
      </c>
      <c r="F85" s="34" t="s">
        <v>767</v>
      </c>
      <c r="G85" s="34" t="s">
        <v>144</v>
      </c>
      <c r="H85" s="34" t="s">
        <v>190</v>
      </c>
      <c r="I85" s="33" t="s">
        <v>711</v>
      </c>
      <c r="J85" s="33">
        <v>99</v>
      </c>
      <c r="K85" s="33" t="s">
        <v>297</v>
      </c>
      <c r="L85" s="33" t="s">
        <v>507</v>
      </c>
      <c r="M85" s="34" t="s">
        <v>712</v>
      </c>
      <c r="N85" s="34" t="s">
        <v>858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3">
      <c r="A86" s="33">
        <v>0</v>
      </c>
      <c r="B86" s="33">
        <v>1</v>
      </c>
      <c r="C86" s="33">
        <v>6</v>
      </c>
      <c r="D86" s="34" t="s">
        <v>881</v>
      </c>
      <c r="E86" s="34" t="s">
        <v>882</v>
      </c>
      <c r="F86" s="34" t="s">
        <v>883</v>
      </c>
      <c r="G86" s="34" t="s">
        <v>88</v>
      </c>
      <c r="H86" s="34" t="s">
        <v>190</v>
      </c>
      <c r="I86" s="33" t="s">
        <v>884</v>
      </c>
      <c r="J86" s="33">
        <v>2</v>
      </c>
      <c r="K86" s="33" t="s">
        <v>385</v>
      </c>
      <c r="L86" s="33">
        <v>45</v>
      </c>
      <c r="M86" s="34" t="s">
        <v>885</v>
      </c>
      <c r="N86" s="34" t="s">
        <v>857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3">
      <c r="A87" s="36">
        <v>0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439</v>
      </c>
      <c r="G87" s="37" t="s">
        <v>72</v>
      </c>
      <c r="H87" s="37" t="s">
        <v>190</v>
      </c>
      <c r="I87" s="36" t="s">
        <v>440</v>
      </c>
      <c r="J87" s="36">
        <v>4</v>
      </c>
      <c r="K87" s="36" t="s">
        <v>298</v>
      </c>
      <c r="L87" s="36" t="s">
        <v>306</v>
      </c>
      <c r="M87" s="37" t="s">
        <v>516</v>
      </c>
      <c r="N87" s="37" t="s">
        <v>879</v>
      </c>
      <c r="O87" s="38"/>
      <c r="P87" s="36"/>
      <c r="Q87" s="37"/>
      <c r="S87" s="2">
        <f t="shared" si="39"/>
        <v>0</v>
      </c>
      <c r="T87" s="2">
        <f t="shared" si="40"/>
        <v>0</v>
      </c>
      <c r="U87" s="2">
        <f t="shared" si="41"/>
        <v>0</v>
      </c>
      <c r="V87" s="2">
        <f t="shared" si="42"/>
        <v>1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3">
      <c r="A88" s="36">
        <v>1</v>
      </c>
      <c r="B88" s="36">
        <v>1</v>
      </c>
      <c r="C88" s="36">
        <v>6</v>
      </c>
      <c r="D88" s="37" t="s">
        <v>641</v>
      </c>
      <c r="E88" s="37" t="s">
        <v>481</v>
      </c>
      <c r="F88" s="37" t="s">
        <v>618</v>
      </c>
      <c r="G88" s="37" t="s">
        <v>655</v>
      </c>
      <c r="H88" s="37" t="s">
        <v>190</v>
      </c>
      <c r="I88" s="36" t="s">
        <v>619</v>
      </c>
      <c r="J88" s="36">
        <v>1</v>
      </c>
      <c r="K88" s="36" t="s">
        <v>298</v>
      </c>
      <c r="L88" s="36" t="s">
        <v>306</v>
      </c>
      <c r="M88" s="37" t="s">
        <v>516</v>
      </c>
      <c r="N88" s="37" t="s">
        <v>879</v>
      </c>
      <c r="O88" s="38"/>
      <c r="P88" s="36"/>
      <c r="Q88" s="37"/>
      <c r="R88" s="13"/>
      <c r="S88" s="2">
        <f t="shared" si="39"/>
        <v>1</v>
      </c>
      <c r="T88" s="2">
        <f t="shared" si="40"/>
        <v>0</v>
      </c>
      <c r="U88" s="2">
        <f t="shared" si="41"/>
        <v>0</v>
      </c>
      <c r="V88" s="2">
        <f t="shared" si="42"/>
        <v>0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3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857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3">
      <c r="A90" s="33">
        <v>0</v>
      </c>
      <c r="B90" s="33">
        <v>1</v>
      </c>
      <c r="C90" s="33">
        <v>6</v>
      </c>
      <c r="D90" s="34" t="s">
        <v>863</v>
      </c>
      <c r="E90" s="34" t="s">
        <v>864</v>
      </c>
      <c r="F90" s="34" t="s">
        <v>865</v>
      </c>
      <c r="G90" s="34"/>
      <c r="H90" s="34" t="s">
        <v>190</v>
      </c>
      <c r="I90" s="33" t="s">
        <v>866</v>
      </c>
      <c r="J90" s="33"/>
      <c r="K90" s="33" t="s">
        <v>385</v>
      </c>
      <c r="L90" s="33"/>
      <c r="M90" s="34"/>
      <c r="N90" s="34" t="s">
        <v>849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3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666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858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3">
      <c r="A92" s="33">
        <v>0</v>
      </c>
      <c r="B92" s="33">
        <v>1</v>
      </c>
      <c r="C92" s="33">
        <v>6</v>
      </c>
      <c r="D92" s="34" t="s">
        <v>642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705</v>
      </c>
      <c r="N92" s="34" t="s">
        <v>859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3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3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624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628</v>
      </c>
      <c r="N94" s="40" t="s">
        <v>858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3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3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3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849</v>
      </c>
      <c r="O97" s="35">
        <v>1</v>
      </c>
      <c r="P97" s="33">
        <v>1</v>
      </c>
      <c r="Q97" s="34" t="s">
        <v>901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3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647</v>
      </c>
      <c r="G98" s="34" t="s">
        <v>137</v>
      </c>
      <c r="H98" s="34" t="s">
        <v>190</v>
      </c>
      <c r="I98" s="33" t="s">
        <v>617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3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880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3">
      <c r="A100" s="33">
        <v>0</v>
      </c>
      <c r="B100" s="33">
        <v>1</v>
      </c>
      <c r="C100" s="33">
        <v>7</v>
      </c>
      <c r="D100" s="34" t="s">
        <v>833</v>
      </c>
      <c r="E100" s="34" t="s">
        <v>40</v>
      </c>
      <c r="F100" s="34" t="s">
        <v>835</v>
      </c>
      <c r="G100" s="34" t="s">
        <v>72</v>
      </c>
      <c r="H100" s="34" t="s">
        <v>190</v>
      </c>
      <c r="I100" s="33" t="s">
        <v>836</v>
      </c>
      <c r="J100" s="33">
        <v>3</v>
      </c>
      <c r="K100" s="33" t="s">
        <v>385</v>
      </c>
      <c r="L100" s="33">
        <v>28</v>
      </c>
      <c r="M100" s="34" t="s">
        <v>834</v>
      </c>
      <c r="N100" s="34" t="s">
        <v>858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3">
      <c r="A101" s="33">
        <v>0</v>
      </c>
      <c r="B101" s="33">
        <v>1</v>
      </c>
      <c r="C101" s="33">
        <v>7</v>
      </c>
      <c r="D101" s="34" t="s">
        <v>335</v>
      </c>
      <c r="E101" s="34" t="s">
        <v>633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858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3">
      <c r="A102" s="20">
        <v>0</v>
      </c>
      <c r="B102" s="20">
        <v>1</v>
      </c>
      <c r="C102" s="20">
        <v>7</v>
      </c>
      <c r="D102" s="19" t="s">
        <v>594</v>
      </c>
      <c r="E102" s="19" t="s">
        <v>40</v>
      </c>
      <c r="F102" s="19" t="s">
        <v>595</v>
      </c>
      <c r="G102" s="19" t="s">
        <v>643</v>
      </c>
      <c r="H102" s="19" t="s">
        <v>190</v>
      </c>
      <c r="I102" s="20" t="s">
        <v>596</v>
      </c>
      <c r="J102" s="20">
        <v>99</v>
      </c>
      <c r="K102" s="20" t="s">
        <v>385</v>
      </c>
      <c r="L102" s="20" t="s">
        <v>306</v>
      </c>
      <c r="M102" s="19" t="s">
        <v>706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3">
      <c r="A103" s="33">
        <v>0</v>
      </c>
      <c r="B103" s="33">
        <v>1</v>
      </c>
      <c r="C103" s="33">
        <v>7</v>
      </c>
      <c r="D103" s="34" t="s">
        <v>737</v>
      </c>
      <c r="E103" s="34" t="s">
        <v>40</v>
      </c>
      <c r="F103" s="34" t="s">
        <v>738</v>
      </c>
      <c r="G103" s="34" t="s">
        <v>72</v>
      </c>
      <c r="H103" s="34" t="s">
        <v>190</v>
      </c>
      <c r="I103" s="33" t="s">
        <v>739</v>
      </c>
      <c r="J103" s="33">
        <v>3</v>
      </c>
      <c r="K103" s="33" t="s">
        <v>294</v>
      </c>
      <c r="L103" s="33">
        <v>30</v>
      </c>
      <c r="M103" s="34" t="s">
        <v>805</v>
      </c>
      <c r="N103" s="34" t="s">
        <v>857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3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859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3">
      <c r="A105" s="36">
        <v>0</v>
      </c>
      <c r="B105" s="36">
        <v>1</v>
      </c>
      <c r="C105" s="36">
        <v>7</v>
      </c>
      <c r="D105" s="37" t="s">
        <v>220</v>
      </c>
      <c r="E105" s="37" t="s">
        <v>40</v>
      </c>
      <c r="F105" s="37" t="s">
        <v>178</v>
      </c>
      <c r="G105" s="37" t="s">
        <v>82</v>
      </c>
      <c r="H105" s="37" t="s">
        <v>190</v>
      </c>
      <c r="I105" s="36" t="s">
        <v>202</v>
      </c>
      <c r="J105" s="36">
        <v>1</v>
      </c>
      <c r="K105" s="36" t="s">
        <v>294</v>
      </c>
      <c r="L105" s="36" t="s">
        <v>305</v>
      </c>
      <c r="M105" s="37" t="s">
        <v>249</v>
      </c>
      <c r="N105" s="37" t="s">
        <v>879</v>
      </c>
      <c r="O105" s="38"/>
      <c r="P105" s="36"/>
      <c r="Q105" s="37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3">
      <c r="A106" s="33">
        <v>0</v>
      </c>
      <c r="B106" s="33">
        <v>2</v>
      </c>
      <c r="C106" s="33">
        <v>1</v>
      </c>
      <c r="D106" s="34" t="s">
        <v>687</v>
      </c>
      <c r="E106" s="34" t="s">
        <v>688</v>
      </c>
      <c r="F106" s="34" t="s">
        <v>689</v>
      </c>
      <c r="G106" s="34" t="s">
        <v>88</v>
      </c>
      <c r="H106" s="34" t="s">
        <v>190</v>
      </c>
      <c r="I106" s="33" t="s">
        <v>776</v>
      </c>
      <c r="J106" s="33">
        <v>2</v>
      </c>
      <c r="K106" s="33" t="s">
        <v>294</v>
      </c>
      <c r="L106" s="33">
        <v>7</v>
      </c>
      <c r="M106" s="34" t="s">
        <v>691</v>
      </c>
      <c r="N106" s="34" t="s">
        <v>849</v>
      </c>
      <c r="O106" s="35">
        <v>1</v>
      </c>
      <c r="P106" s="33">
        <v>1</v>
      </c>
      <c r="Q106" s="34"/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3">
      <c r="A107" s="33">
        <v>0</v>
      </c>
      <c r="B107" s="33">
        <v>2</v>
      </c>
      <c r="C107" s="33">
        <v>1</v>
      </c>
      <c r="D107" s="34" t="s">
        <v>876</v>
      </c>
      <c r="E107" s="34" t="s">
        <v>69</v>
      </c>
      <c r="F107" s="34" t="s">
        <v>892</v>
      </c>
      <c r="G107" s="34" t="s">
        <v>88</v>
      </c>
      <c r="H107" s="34" t="s">
        <v>190</v>
      </c>
      <c r="I107" s="33" t="s">
        <v>878</v>
      </c>
      <c r="J107" s="33">
        <v>2</v>
      </c>
      <c r="K107" s="33" t="s">
        <v>385</v>
      </c>
      <c r="L107" s="33">
        <v>5</v>
      </c>
      <c r="M107" s="34" t="s">
        <v>877</v>
      </c>
      <c r="N107" s="34" t="s">
        <v>849</v>
      </c>
      <c r="O107" s="35">
        <v>1</v>
      </c>
      <c r="P107" s="33">
        <v>1</v>
      </c>
      <c r="Q107" s="34" t="s">
        <v>900</v>
      </c>
      <c r="R107" s="13"/>
      <c r="S107" s="2">
        <f>IF(J107=$S$7,1,0)</f>
        <v>0</v>
      </c>
      <c r="T107" s="2">
        <f>IF(J107=$T$7,1,0)</f>
        <v>1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3">
      <c r="A108" s="33">
        <v>0</v>
      </c>
      <c r="B108" s="33">
        <v>2</v>
      </c>
      <c r="C108" s="33">
        <v>1</v>
      </c>
      <c r="D108" s="34" t="s">
        <v>593</v>
      </c>
      <c r="E108" s="34" t="s">
        <v>634</v>
      </c>
      <c r="F108" s="34" t="s">
        <v>648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 t="s">
        <v>898</v>
      </c>
      <c r="R108" s="13"/>
      <c r="S108" s="2">
        <f>IF(J108=$S$7,1,0)</f>
        <v>1</v>
      </c>
      <c r="T108" s="2">
        <f>IF(J108=$T$7,1,0)</f>
        <v>0</v>
      </c>
      <c r="U108" s="2">
        <f>IF(J108=$U$7,1,0)</f>
        <v>0</v>
      </c>
      <c r="V108" s="2">
        <f>IF(J108=$V$7,1,0)</f>
        <v>0</v>
      </c>
      <c r="W108" s="2">
        <f>IF(J108=$W$7,1,0)</f>
        <v>0</v>
      </c>
      <c r="X108" s="2">
        <f>IF(J108=$X$7,1,0)</f>
        <v>0</v>
      </c>
      <c r="Y108" s="2">
        <f>IF(J108=$Y$7,1,0)</f>
        <v>0</v>
      </c>
      <c r="Z108" s="2">
        <f>IF(J108=$Z$7,1,0)</f>
        <v>0</v>
      </c>
      <c r="AA108" s="2">
        <f>IF(J108=$AA$7,1,0)</f>
        <v>0</v>
      </c>
      <c r="AB108" s="2">
        <f>IF(J108=$AB$7,1,0)</f>
        <v>0</v>
      </c>
      <c r="AC108" s="2"/>
      <c r="AD108" s="2">
        <f>+O108*P108</f>
        <v>1</v>
      </c>
      <c r="AE108" s="2">
        <f>O108*(1-P108)</f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3">
      <c r="A109" s="33">
        <v>0</v>
      </c>
      <c r="B109" s="33">
        <v>2</v>
      </c>
      <c r="C109" s="33">
        <v>1</v>
      </c>
      <c r="D109" s="34" t="s">
        <v>872</v>
      </c>
      <c r="E109" s="34" t="s">
        <v>757</v>
      </c>
      <c r="F109" s="34" t="s">
        <v>773</v>
      </c>
      <c r="G109" s="34" t="s">
        <v>144</v>
      </c>
      <c r="H109" s="34" t="s">
        <v>190</v>
      </c>
      <c r="I109" s="33" t="s">
        <v>736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3">
      <c r="A110" s="33">
        <v>0</v>
      </c>
      <c r="B110" s="33">
        <v>2</v>
      </c>
      <c r="C110" s="33">
        <v>1</v>
      </c>
      <c r="D110" s="34" t="s">
        <v>715</v>
      </c>
      <c r="E110" s="34" t="s">
        <v>688</v>
      </c>
      <c r="F110" s="34" t="s">
        <v>763</v>
      </c>
      <c r="G110" s="34" t="s">
        <v>103</v>
      </c>
      <c r="H110" s="34" t="s">
        <v>190</v>
      </c>
      <c r="I110" s="33" t="s">
        <v>690</v>
      </c>
      <c r="J110" s="33">
        <v>99</v>
      </c>
      <c r="K110" s="33" t="s">
        <v>294</v>
      </c>
      <c r="L110" s="33">
        <v>9</v>
      </c>
      <c r="M110" s="34" t="s">
        <v>806</v>
      </c>
      <c r="N110" s="34" t="s">
        <v>849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3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3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3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3">
      <c r="A114" s="33">
        <v>0</v>
      </c>
      <c r="B114" s="33">
        <v>2</v>
      </c>
      <c r="C114" s="33">
        <v>1</v>
      </c>
      <c r="D114" s="34" t="s">
        <v>166</v>
      </c>
      <c r="E114" s="34" t="s">
        <v>634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858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3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3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716</v>
      </c>
      <c r="G116" s="34" t="s">
        <v>770</v>
      </c>
      <c r="H116" s="34" t="s">
        <v>190</v>
      </c>
      <c r="I116" s="33" t="s">
        <v>690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849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3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3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3">
      <c r="A119" s="33">
        <v>0</v>
      </c>
      <c r="B119" s="33">
        <v>2</v>
      </c>
      <c r="C119" s="33">
        <v>1</v>
      </c>
      <c r="D119" s="34" t="s">
        <v>567</v>
      </c>
      <c r="E119" s="34" t="s">
        <v>688</v>
      </c>
      <c r="F119" s="34" t="s">
        <v>568</v>
      </c>
      <c r="G119" s="34" t="s">
        <v>88</v>
      </c>
      <c r="H119" s="34" t="s">
        <v>190</v>
      </c>
      <c r="I119" s="33" t="s">
        <v>569</v>
      </c>
      <c r="J119" s="33">
        <v>2</v>
      </c>
      <c r="K119" s="33" t="s">
        <v>289</v>
      </c>
      <c r="L119" s="33">
        <v>9</v>
      </c>
      <c r="M119" s="34" t="s">
        <v>806</v>
      </c>
      <c r="N119" s="34" t="s">
        <v>849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3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3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707</v>
      </c>
      <c r="N121" s="34" t="s">
        <v>859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3">
      <c r="A122" s="33">
        <v>0</v>
      </c>
      <c r="B122" s="33">
        <v>2</v>
      </c>
      <c r="C122" s="33">
        <v>2</v>
      </c>
      <c r="D122" s="34" t="s">
        <v>821</v>
      </c>
      <c r="E122" s="34" t="s">
        <v>754</v>
      </c>
      <c r="F122" s="34" t="s">
        <v>822</v>
      </c>
      <c r="G122" s="34" t="s">
        <v>823</v>
      </c>
      <c r="H122" s="34" t="s">
        <v>190</v>
      </c>
      <c r="I122" s="33" t="s">
        <v>824</v>
      </c>
      <c r="J122" s="33"/>
      <c r="K122" s="33" t="s">
        <v>385</v>
      </c>
      <c r="L122" s="33">
        <v>30</v>
      </c>
      <c r="M122" s="34" t="s">
        <v>871</v>
      </c>
      <c r="N122" s="34" t="s">
        <v>857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3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807</v>
      </c>
      <c r="N123" s="34" t="s">
        <v>849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3">
      <c r="A124" s="33">
        <v>0</v>
      </c>
      <c r="B124" s="33">
        <v>2</v>
      </c>
      <c r="C124" s="33">
        <v>2</v>
      </c>
      <c r="D124" s="34" t="s">
        <v>724</v>
      </c>
      <c r="E124" s="34" t="s">
        <v>241</v>
      </c>
      <c r="F124" s="34" t="s">
        <v>764</v>
      </c>
      <c r="G124" s="34" t="s">
        <v>160</v>
      </c>
      <c r="H124" s="34" t="s">
        <v>190</v>
      </c>
      <c r="I124" s="33" t="s">
        <v>725</v>
      </c>
      <c r="J124" s="33">
        <v>1</v>
      </c>
      <c r="K124" s="33" t="s">
        <v>293</v>
      </c>
      <c r="L124" s="33" t="s">
        <v>787</v>
      </c>
      <c r="M124" s="34" t="s">
        <v>727</v>
      </c>
      <c r="N124" s="34" t="s">
        <v>858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3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3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3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644</v>
      </c>
      <c r="G127" s="19" t="s">
        <v>645</v>
      </c>
      <c r="H127" s="19" t="s">
        <v>190</v>
      </c>
      <c r="I127" s="20" t="s">
        <v>662</v>
      </c>
      <c r="J127" s="20">
        <v>99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ref="S127:S178" si="51">IF(J127=$S$7,1,0)</f>
        <v>0</v>
      </c>
      <c r="T127" s="2">
        <f t="shared" ref="T127:T178" si="52">IF(J127=$T$7,1,0)</f>
        <v>0</v>
      </c>
      <c r="U127" s="2">
        <f t="shared" ref="U127:U178" si="53">IF(J127=$U$7,1,0)</f>
        <v>0</v>
      </c>
      <c r="V127" s="2">
        <f t="shared" ref="V127:V178" si="54">IF(J127=$V$7,1,0)</f>
        <v>0</v>
      </c>
      <c r="W127" s="2">
        <f t="shared" ref="W127:W178" si="55">IF(J127=$W$7,1,0)</f>
        <v>0</v>
      </c>
      <c r="X127" s="2">
        <f t="shared" ref="X127:X178" si="56">IF(J127=$X$7,1,0)</f>
        <v>0</v>
      </c>
      <c r="Y127" s="2">
        <f t="shared" ref="Y127:Y178" si="57">IF(J127=$Y$7,1,0)</f>
        <v>0</v>
      </c>
      <c r="Z127" s="2">
        <f t="shared" ref="Z127:Z178" si="58">IF(J127=$Z$7,1,0)</f>
        <v>0</v>
      </c>
      <c r="AA127" s="2">
        <f t="shared" ref="AA127:AA178" si="59">IF(J127=$AA$7,1,0)</f>
        <v>0</v>
      </c>
      <c r="AB127" s="2">
        <f t="shared" ref="AB127:AB178" si="60">IF(J127=$AB$7,1,0)</f>
        <v>0</v>
      </c>
      <c r="AC127" s="2"/>
      <c r="AD127" s="2">
        <f t="shared" ref="AD127:AD178" si="61">+O127*P127</f>
        <v>0</v>
      </c>
      <c r="AE127" s="2">
        <f t="shared" ref="AE127:AE178" si="62">O127*(1-P127)</f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3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893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667</v>
      </c>
      <c r="N128" s="19"/>
      <c r="O128" s="18"/>
      <c r="P128" s="20"/>
      <c r="Q128" s="19"/>
      <c r="R128" s="13"/>
      <c r="S128" s="2">
        <f t="shared" si="51"/>
        <v>1</v>
      </c>
      <c r="T128" s="2">
        <f t="shared" si="52"/>
        <v>0</v>
      </c>
      <c r="U128" s="2">
        <f t="shared" si="53"/>
        <v>0</v>
      </c>
      <c r="V128" s="2">
        <f t="shared" si="54"/>
        <v>0</v>
      </c>
      <c r="W128" s="2">
        <f t="shared" si="55"/>
        <v>0</v>
      </c>
      <c r="X128" s="2">
        <f t="shared" si="56"/>
        <v>0</v>
      </c>
      <c r="Y128" s="2">
        <f t="shared" si="57"/>
        <v>0</v>
      </c>
      <c r="Z128" s="2">
        <f t="shared" si="58"/>
        <v>0</v>
      </c>
      <c r="AA128" s="2">
        <f t="shared" si="59"/>
        <v>0</v>
      </c>
      <c r="AB128" s="2">
        <f t="shared" si="60"/>
        <v>0</v>
      </c>
      <c r="AC128" s="2"/>
      <c r="AD128" s="2">
        <f t="shared" si="61"/>
        <v>0</v>
      </c>
      <c r="AE128" s="2">
        <f t="shared" si="62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3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51"/>
        <v>0</v>
      </c>
      <c r="T129" s="2">
        <f t="shared" si="52"/>
        <v>0</v>
      </c>
      <c r="U129" s="2">
        <f t="shared" si="53"/>
        <v>0</v>
      </c>
      <c r="V129" s="2">
        <f t="shared" si="54"/>
        <v>1</v>
      </c>
      <c r="W129" s="2">
        <f t="shared" si="55"/>
        <v>0</v>
      </c>
      <c r="X129" s="2">
        <f t="shared" si="56"/>
        <v>0</v>
      </c>
      <c r="Y129" s="2">
        <f t="shared" si="57"/>
        <v>0</v>
      </c>
      <c r="Z129" s="2">
        <f t="shared" si="58"/>
        <v>0</v>
      </c>
      <c r="AA129" s="2">
        <f t="shared" si="59"/>
        <v>0</v>
      </c>
      <c r="AB129" s="2">
        <f t="shared" si="60"/>
        <v>0</v>
      </c>
      <c r="AC129" s="2"/>
      <c r="AD129" s="2">
        <f t="shared" si="61"/>
        <v>0</v>
      </c>
      <c r="AE129" s="2">
        <f t="shared" si="62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3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51"/>
        <v>0</v>
      </c>
      <c r="T130" s="2">
        <f t="shared" si="52"/>
        <v>0</v>
      </c>
      <c r="U130" s="2">
        <f t="shared" si="53"/>
        <v>0</v>
      </c>
      <c r="V130" s="2">
        <f t="shared" si="54"/>
        <v>1</v>
      </c>
      <c r="W130" s="2">
        <f t="shared" si="55"/>
        <v>0</v>
      </c>
      <c r="X130" s="2">
        <f t="shared" si="56"/>
        <v>0</v>
      </c>
      <c r="Y130" s="2">
        <f t="shared" si="57"/>
        <v>0</v>
      </c>
      <c r="Z130" s="2">
        <f t="shared" si="58"/>
        <v>0</v>
      </c>
      <c r="AA130" s="2">
        <f t="shared" si="59"/>
        <v>0</v>
      </c>
      <c r="AB130" s="2">
        <f t="shared" si="60"/>
        <v>0</v>
      </c>
      <c r="AC130" s="2"/>
      <c r="AD130" s="2">
        <f t="shared" si="61"/>
        <v>0</v>
      </c>
      <c r="AE130" s="2">
        <f t="shared" si="62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3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51"/>
        <v>0</v>
      </c>
      <c r="T131" s="2">
        <f t="shared" si="52"/>
        <v>1</v>
      </c>
      <c r="U131" s="2">
        <f t="shared" si="53"/>
        <v>0</v>
      </c>
      <c r="V131" s="2">
        <f t="shared" si="54"/>
        <v>0</v>
      </c>
      <c r="W131" s="2">
        <f t="shared" si="55"/>
        <v>0</v>
      </c>
      <c r="X131" s="2">
        <f t="shared" si="56"/>
        <v>0</v>
      </c>
      <c r="Y131" s="2">
        <f t="shared" si="57"/>
        <v>0</v>
      </c>
      <c r="Z131" s="2">
        <f t="shared" si="58"/>
        <v>0</v>
      </c>
      <c r="AA131" s="2">
        <f t="shared" si="59"/>
        <v>0</v>
      </c>
      <c r="AB131" s="2">
        <f t="shared" si="60"/>
        <v>0</v>
      </c>
      <c r="AC131" s="2"/>
      <c r="AD131" s="2">
        <f t="shared" si="61"/>
        <v>0</v>
      </c>
      <c r="AE131" s="2">
        <f t="shared" si="62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3">
      <c r="A132" s="33">
        <v>0</v>
      </c>
      <c r="B132" s="33">
        <v>2</v>
      </c>
      <c r="C132" s="33">
        <v>2</v>
      </c>
      <c r="D132" s="34" t="s">
        <v>867</v>
      </c>
      <c r="E132" s="34"/>
      <c r="F132" s="34" t="s">
        <v>868</v>
      </c>
      <c r="G132" s="34"/>
      <c r="H132" s="34" t="s">
        <v>190</v>
      </c>
      <c r="I132" s="33" t="s">
        <v>869</v>
      </c>
      <c r="J132" s="33"/>
      <c r="K132" s="33" t="s">
        <v>385</v>
      </c>
      <c r="L132" s="33">
        <v>22</v>
      </c>
      <c r="M132" s="34" t="s">
        <v>870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51"/>
        <v>0</v>
      </c>
      <c r="T132" s="2">
        <f t="shared" si="52"/>
        <v>0</v>
      </c>
      <c r="U132" s="2">
        <f t="shared" si="53"/>
        <v>0</v>
      </c>
      <c r="V132" s="2">
        <f t="shared" si="54"/>
        <v>0</v>
      </c>
      <c r="W132" s="2">
        <f t="shared" si="55"/>
        <v>0</v>
      </c>
      <c r="X132" s="2">
        <f t="shared" si="56"/>
        <v>0</v>
      </c>
      <c r="Y132" s="2">
        <f t="shared" si="57"/>
        <v>0</v>
      </c>
      <c r="Z132" s="2">
        <f t="shared" si="58"/>
        <v>0</v>
      </c>
      <c r="AA132" s="2">
        <f t="shared" si="59"/>
        <v>0</v>
      </c>
      <c r="AB132" s="2">
        <f t="shared" si="60"/>
        <v>0</v>
      </c>
      <c r="AC132" s="2"/>
      <c r="AD132" s="2">
        <f t="shared" si="61"/>
        <v>1</v>
      </c>
      <c r="AE132" s="2">
        <f t="shared" si="62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3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591</v>
      </c>
      <c r="N133" s="34" t="s">
        <v>849</v>
      </c>
      <c r="O133" s="35">
        <v>1</v>
      </c>
      <c r="P133" s="33">
        <v>1</v>
      </c>
      <c r="Q133" s="34"/>
      <c r="R133" s="13"/>
      <c r="S133" s="2">
        <f t="shared" si="51"/>
        <v>0</v>
      </c>
      <c r="T133" s="2">
        <f t="shared" si="52"/>
        <v>1</v>
      </c>
      <c r="U133" s="2">
        <f t="shared" si="53"/>
        <v>0</v>
      </c>
      <c r="V133" s="2">
        <f t="shared" si="54"/>
        <v>0</v>
      </c>
      <c r="W133" s="2">
        <f t="shared" si="55"/>
        <v>0</v>
      </c>
      <c r="X133" s="2">
        <f t="shared" si="56"/>
        <v>0</v>
      </c>
      <c r="Y133" s="2">
        <f t="shared" si="57"/>
        <v>0</v>
      </c>
      <c r="Z133" s="2">
        <f t="shared" si="58"/>
        <v>0</v>
      </c>
      <c r="AA133" s="2">
        <f t="shared" si="59"/>
        <v>0</v>
      </c>
      <c r="AB133" s="2">
        <f t="shared" si="60"/>
        <v>0</v>
      </c>
      <c r="AC133" s="2"/>
      <c r="AD133" s="2">
        <f t="shared" si="61"/>
        <v>1</v>
      </c>
      <c r="AE133" s="2">
        <f t="shared" si="62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3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663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859</v>
      </c>
      <c r="O134" s="35">
        <v>1</v>
      </c>
      <c r="P134" s="33"/>
      <c r="Q134" s="34"/>
      <c r="R134" s="13"/>
      <c r="S134" s="2">
        <f t="shared" si="51"/>
        <v>0</v>
      </c>
      <c r="T134" s="2">
        <f t="shared" si="52"/>
        <v>0</v>
      </c>
      <c r="U134" s="2">
        <f t="shared" si="53"/>
        <v>0</v>
      </c>
      <c r="V134" s="2">
        <f t="shared" si="54"/>
        <v>0</v>
      </c>
      <c r="W134" s="2">
        <f t="shared" si="55"/>
        <v>1</v>
      </c>
      <c r="X134" s="2">
        <f t="shared" si="56"/>
        <v>0</v>
      </c>
      <c r="Y134" s="2">
        <f t="shared" si="57"/>
        <v>0</v>
      </c>
      <c r="Z134" s="2">
        <f t="shared" si="58"/>
        <v>0</v>
      </c>
      <c r="AA134" s="2">
        <f t="shared" si="59"/>
        <v>0</v>
      </c>
      <c r="AB134" s="2">
        <f t="shared" si="60"/>
        <v>0</v>
      </c>
      <c r="AC134" s="2"/>
      <c r="AD134" s="2">
        <f t="shared" si="61"/>
        <v>0</v>
      </c>
      <c r="AE134" s="2">
        <f t="shared" si="62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3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51"/>
        <v>0</v>
      </c>
      <c r="T135" s="2">
        <f t="shared" si="52"/>
        <v>0</v>
      </c>
      <c r="U135" s="2">
        <f t="shared" si="53"/>
        <v>0</v>
      </c>
      <c r="V135" s="2">
        <f t="shared" si="54"/>
        <v>1</v>
      </c>
      <c r="W135" s="2">
        <f t="shared" si="55"/>
        <v>0</v>
      </c>
      <c r="X135" s="2">
        <f t="shared" si="56"/>
        <v>0</v>
      </c>
      <c r="Y135" s="2">
        <f t="shared" si="57"/>
        <v>0</v>
      </c>
      <c r="Z135" s="2">
        <f t="shared" si="58"/>
        <v>0</v>
      </c>
      <c r="AA135" s="2">
        <f t="shared" si="59"/>
        <v>0</v>
      </c>
      <c r="AB135" s="2">
        <f t="shared" si="60"/>
        <v>0</v>
      </c>
      <c r="AC135" s="2"/>
      <c r="AD135" s="2">
        <f t="shared" si="61"/>
        <v>0</v>
      </c>
      <c r="AE135" s="2">
        <f t="shared" si="62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3">
      <c r="A136" s="36">
        <v>0</v>
      </c>
      <c r="B136" s="36">
        <v>2</v>
      </c>
      <c r="C136" s="36">
        <v>2</v>
      </c>
      <c r="D136" s="37" t="s">
        <v>637</v>
      </c>
      <c r="E136" s="37" t="s">
        <v>279</v>
      </c>
      <c r="F136" s="37" t="s">
        <v>646</v>
      </c>
      <c r="G136" s="37" t="s">
        <v>145</v>
      </c>
      <c r="H136" s="37" t="s">
        <v>190</v>
      </c>
      <c r="I136" s="36" t="s">
        <v>783</v>
      </c>
      <c r="J136" s="36">
        <v>99</v>
      </c>
      <c r="K136" s="36" t="s">
        <v>289</v>
      </c>
      <c r="L136" s="36" t="s">
        <v>505</v>
      </c>
      <c r="M136" s="37" t="s">
        <v>668</v>
      </c>
      <c r="N136" s="37" t="s">
        <v>851</v>
      </c>
      <c r="O136" s="38"/>
      <c r="P136" s="36"/>
      <c r="Q136" s="37"/>
      <c r="R136" s="13"/>
      <c r="S136" s="2">
        <f t="shared" si="51"/>
        <v>0</v>
      </c>
      <c r="T136" s="2">
        <f t="shared" si="52"/>
        <v>0</v>
      </c>
      <c r="U136" s="2">
        <f t="shared" si="53"/>
        <v>0</v>
      </c>
      <c r="V136" s="2">
        <f t="shared" si="54"/>
        <v>0</v>
      </c>
      <c r="W136" s="2">
        <f t="shared" si="55"/>
        <v>0</v>
      </c>
      <c r="X136" s="2">
        <f t="shared" si="56"/>
        <v>0</v>
      </c>
      <c r="Y136" s="2">
        <f t="shared" si="57"/>
        <v>0</v>
      </c>
      <c r="Z136" s="2">
        <f t="shared" si="58"/>
        <v>0</v>
      </c>
      <c r="AA136" s="2">
        <f t="shared" si="59"/>
        <v>0</v>
      </c>
      <c r="AB136" s="2">
        <f t="shared" si="60"/>
        <v>0</v>
      </c>
      <c r="AC136" s="2"/>
      <c r="AD136" s="2">
        <f t="shared" si="61"/>
        <v>0</v>
      </c>
      <c r="AE136" s="2">
        <f t="shared" si="62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3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787</v>
      </c>
      <c r="M137" s="34" t="s">
        <v>790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51"/>
        <v>0</v>
      </c>
      <c r="T137" s="2">
        <f t="shared" si="52"/>
        <v>1</v>
      </c>
      <c r="U137" s="2">
        <f t="shared" si="53"/>
        <v>0</v>
      </c>
      <c r="V137" s="2">
        <f t="shared" si="54"/>
        <v>0</v>
      </c>
      <c r="W137" s="2">
        <f t="shared" si="55"/>
        <v>0</v>
      </c>
      <c r="X137" s="2">
        <f t="shared" si="56"/>
        <v>0</v>
      </c>
      <c r="Y137" s="2">
        <f t="shared" si="57"/>
        <v>0</v>
      </c>
      <c r="Z137" s="2">
        <f t="shared" si="58"/>
        <v>0</v>
      </c>
      <c r="AA137" s="2">
        <f t="shared" si="59"/>
        <v>0</v>
      </c>
      <c r="AB137" s="2">
        <f t="shared" si="60"/>
        <v>0</v>
      </c>
      <c r="AC137" s="2"/>
      <c r="AD137" s="2">
        <f t="shared" si="61"/>
        <v>1</v>
      </c>
      <c r="AE137" s="2">
        <f t="shared" si="62"/>
        <v>0</v>
      </c>
      <c r="AF137" s="2">
        <f t="shared" ref="AF137:AF198" si="63">+O137*P137*(1-A137)</f>
        <v>1</v>
      </c>
      <c r="AG137" s="2">
        <f t="shared" ref="AG137:AG198" si="64">O137*(1-P137)*(1-A137)</f>
        <v>0</v>
      </c>
      <c r="AH137" s="2">
        <f t="shared" ref="AH137:AH198" si="65">+P137*(1-A137)</f>
        <v>1</v>
      </c>
      <c r="AI137" s="2">
        <f t="shared" ref="AI137:AI198" si="66">+(1-A137)*(1-P137)</f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3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51"/>
        <v>1</v>
      </c>
      <c r="T138" s="2">
        <f t="shared" si="52"/>
        <v>0</v>
      </c>
      <c r="U138" s="2">
        <f t="shared" si="53"/>
        <v>0</v>
      </c>
      <c r="V138" s="2">
        <f t="shared" si="54"/>
        <v>0</v>
      </c>
      <c r="W138" s="2">
        <f t="shared" si="55"/>
        <v>0</v>
      </c>
      <c r="X138" s="2">
        <f t="shared" si="56"/>
        <v>0</v>
      </c>
      <c r="Y138" s="2">
        <f t="shared" si="57"/>
        <v>0</v>
      </c>
      <c r="Z138" s="2">
        <f t="shared" si="58"/>
        <v>0</v>
      </c>
      <c r="AA138" s="2">
        <f t="shared" si="59"/>
        <v>0</v>
      </c>
      <c r="AB138" s="2">
        <f t="shared" si="60"/>
        <v>0</v>
      </c>
      <c r="AC138" s="2"/>
      <c r="AD138" s="2">
        <f t="shared" si="61"/>
        <v>1</v>
      </c>
      <c r="AE138" s="2">
        <f t="shared" si="62"/>
        <v>0</v>
      </c>
      <c r="AF138" s="2">
        <f t="shared" si="63"/>
        <v>1</v>
      </c>
      <c r="AG138" s="2">
        <f t="shared" si="64"/>
        <v>0</v>
      </c>
      <c r="AH138" s="2">
        <f t="shared" si="65"/>
        <v>1</v>
      </c>
      <c r="AI138" s="2">
        <f t="shared" si="66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3">
      <c r="A139" s="33">
        <v>0</v>
      </c>
      <c r="B139" s="33">
        <v>2</v>
      </c>
      <c r="C139" s="33">
        <v>3</v>
      </c>
      <c r="D139" s="34" t="s">
        <v>638</v>
      </c>
      <c r="E139" s="34" t="s">
        <v>635</v>
      </c>
      <c r="F139" s="34" t="s">
        <v>649</v>
      </c>
      <c r="G139" s="34" t="s">
        <v>496</v>
      </c>
      <c r="H139" s="34" t="s">
        <v>190</v>
      </c>
      <c r="I139" s="33" t="s">
        <v>620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51"/>
        <v>1</v>
      </c>
      <c r="T139" s="2">
        <f t="shared" si="52"/>
        <v>0</v>
      </c>
      <c r="U139" s="2">
        <f t="shared" si="53"/>
        <v>0</v>
      </c>
      <c r="V139" s="2">
        <f t="shared" si="54"/>
        <v>0</v>
      </c>
      <c r="W139" s="2">
        <f t="shared" si="55"/>
        <v>0</v>
      </c>
      <c r="X139" s="2">
        <f t="shared" si="56"/>
        <v>0</v>
      </c>
      <c r="Y139" s="2">
        <f t="shared" si="57"/>
        <v>0</v>
      </c>
      <c r="Z139" s="2">
        <f t="shared" si="58"/>
        <v>0</v>
      </c>
      <c r="AA139" s="2">
        <f t="shared" si="59"/>
        <v>0</v>
      </c>
      <c r="AB139" s="2">
        <f t="shared" si="60"/>
        <v>0</v>
      </c>
      <c r="AC139" s="2"/>
      <c r="AD139" s="2">
        <f t="shared" si="61"/>
        <v>1</v>
      </c>
      <c r="AE139" s="2">
        <f t="shared" si="62"/>
        <v>0</v>
      </c>
      <c r="AF139" s="2">
        <f t="shared" si="63"/>
        <v>1</v>
      </c>
      <c r="AG139" s="2">
        <f t="shared" si="64"/>
        <v>0</v>
      </c>
      <c r="AH139" s="2">
        <f t="shared" si="65"/>
        <v>1</v>
      </c>
      <c r="AI139" s="2">
        <f t="shared" si="66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3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849</v>
      </c>
      <c r="O140" s="35">
        <v>1</v>
      </c>
      <c r="P140" s="33">
        <v>1</v>
      </c>
      <c r="Q140" s="34"/>
      <c r="R140" s="13"/>
      <c r="S140" s="2">
        <f t="shared" si="51"/>
        <v>0</v>
      </c>
      <c r="T140" s="2">
        <f t="shared" si="52"/>
        <v>1</v>
      </c>
      <c r="U140" s="2">
        <f t="shared" si="53"/>
        <v>0</v>
      </c>
      <c r="V140" s="2">
        <f t="shared" si="54"/>
        <v>0</v>
      </c>
      <c r="W140" s="2">
        <f t="shared" si="55"/>
        <v>0</v>
      </c>
      <c r="X140" s="2">
        <f t="shared" si="56"/>
        <v>0</v>
      </c>
      <c r="Y140" s="2">
        <f t="shared" si="57"/>
        <v>0</v>
      </c>
      <c r="Z140" s="2">
        <f t="shared" si="58"/>
        <v>0</v>
      </c>
      <c r="AA140" s="2">
        <f t="shared" si="59"/>
        <v>0</v>
      </c>
      <c r="AB140" s="2">
        <f t="shared" si="60"/>
        <v>0</v>
      </c>
      <c r="AC140" s="2"/>
      <c r="AD140" s="2">
        <f t="shared" si="61"/>
        <v>1</v>
      </c>
      <c r="AE140" s="2">
        <f t="shared" si="62"/>
        <v>0</v>
      </c>
      <c r="AF140" s="2">
        <f t="shared" si="63"/>
        <v>1</v>
      </c>
      <c r="AG140" s="2">
        <f t="shared" si="64"/>
        <v>0</v>
      </c>
      <c r="AH140" s="2">
        <f t="shared" si="65"/>
        <v>1</v>
      </c>
      <c r="AI140" s="2">
        <f t="shared" si="66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3">
      <c r="A141" s="33">
        <v>0</v>
      </c>
      <c r="B141" s="33">
        <v>2</v>
      </c>
      <c r="C141" s="33">
        <v>3</v>
      </c>
      <c r="D141" s="34" t="s">
        <v>874</v>
      </c>
      <c r="E141" s="34" t="s">
        <v>873</v>
      </c>
      <c r="F141" s="34" t="s">
        <v>875</v>
      </c>
      <c r="G141" s="34" t="s">
        <v>137</v>
      </c>
      <c r="H141" s="34" t="s">
        <v>190</v>
      </c>
      <c r="I141" s="33" t="s">
        <v>690</v>
      </c>
      <c r="J141" s="33">
        <v>1</v>
      </c>
      <c r="K141" s="33" t="s">
        <v>385</v>
      </c>
      <c r="L141" s="33"/>
      <c r="M141" s="34"/>
      <c r="N141" s="34" t="s">
        <v>849</v>
      </c>
      <c r="O141" s="35">
        <v>1</v>
      </c>
      <c r="P141" s="33">
        <v>1</v>
      </c>
      <c r="Q141" s="34"/>
      <c r="R141" s="13"/>
      <c r="S141" s="2">
        <f t="shared" si="51"/>
        <v>1</v>
      </c>
      <c r="T141" s="2">
        <f t="shared" si="52"/>
        <v>0</v>
      </c>
      <c r="U141" s="2">
        <f t="shared" si="53"/>
        <v>0</v>
      </c>
      <c r="V141" s="2">
        <f t="shared" si="54"/>
        <v>0</v>
      </c>
      <c r="W141" s="2">
        <f t="shared" si="55"/>
        <v>0</v>
      </c>
      <c r="X141" s="2">
        <f t="shared" si="56"/>
        <v>0</v>
      </c>
      <c r="Y141" s="2">
        <f t="shared" si="57"/>
        <v>0</v>
      </c>
      <c r="Z141" s="2">
        <f t="shared" si="58"/>
        <v>0</v>
      </c>
      <c r="AA141" s="2">
        <f t="shared" si="59"/>
        <v>0</v>
      </c>
      <c r="AB141" s="2">
        <f t="shared" si="60"/>
        <v>0</v>
      </c>
      <c r="AC141" s="2"/>
      <c r="AD141" s="2">
        <f t="shared" si="61"/>
        <v>1</v>
      </c>
      <c r="AE141" s="2">
        <f t="shared" si="62"/>
        <v>0</v>
      </c>
      <c r="AF141" s="2">
        <f t="shared" si="63"/>
        <v>1</v>
      </c>
      <c r="AG141" s="2">
        <f t="shared" si="64"/>
        <v>0</v>
      </c>
      <c r="AH141" s="2">
        <f t="shared" si="65"/>
        <v>1</v>
      </c>
      <c r="AI141" s="2">
        <f t="shared" si="66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3">
      <c r="A142" s="33">
        <v>0</v>
      </c>
      <c r="B142" s="33">
        <v>2</v>
      </c>
      <c r="C142" s="33">
        <v>3</v>
      </c>
      <c r="D142" s="34" t="s">
        <v>565</v>
      </c>
      <c r="E142" s="34" t="s">
        <v>636</v>
      </c>
      <c r="F142" s="34" t="s">
        <v>908</v>
      </c>
      <c r="G142" s="34" t="s">
        <v>83</v>
      </c>
      <c r="H142" s="34" t="s">
        <v>190</v>
      </c>
      <c r="I142" s="33" t="s">
        <v>566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849</v>
      </c>
      <c r="O142" s="35">
        <v>1</v>
      </c>
      <c r="P142" s="33">
        <v>1</v>
      </c>
      <c r="Q142" s="34" t="s">
        <v>909</v>
      </c>
      <c r="R142" s="13"/>
      <c r="S142" s="2">
        <f t="shared" si="51"/>
        <v>1</v>
      </c>
      <c r="T142" s="2">
        <f t="shared" si="52"/>
        <v>0</v>
      </c>
      <c r="U142" s="2">
        <f t="shared" si="53"/>
        <v>0</v>
      </c>
      <c r="V142" s="2">
        <f t="shared" si="54"/>
        <v>0</v>
      </c>
      <c r="W142" s="2">
        <f t="shared" si="55"/>
        <v>0</v>
      </c>
      <c r="X142" s="2">
        <f t="shared" si="56"/>
        <v>0</v>
      </c>
      <c r="Y142" s="2">
        <f t="shared" si="57"/>
        <v>0</v>
      </c>
      <c r="Z142" s="2">
        <f t="shared" si="58"/>
        <v>0</v>
      </c>
      <c r="AA142" s="2">
        <f t="shared" si="59"/>
        <v>0</v>
      </c>
      <c r="AB142" s="2">
        <f t="shared" si="60"/>
        <v>0</v>
      </c>
      <c r="AC142" s="2"/>
      <c r="AD142" s="2">
        <f t="shared" si="61"/>
        <v>1</v>
      </c>
      <c r="AE142" s="2">
        <f t="shared" si="62"/>
        <v>0</v>
      </c>
      <c r="AF142" s="2">
        <f t="shared" si="63"/>
        <v>1</v>
      </c>
      <c r="AG142" s="2">
        <f t="shared" si="64"/>
        <v>0</v>
      </c>
      <c r="AH142" s="2">
        <f t="shared" si="65"/>
        <v>1</v>
      </c>
      <c r="AI142" s="2">
        <f t="shared" si="66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3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849</v>
      </c>
      <c r="O143" s="35">
        <v>1</v>
      </c>
      <c r="P143" s="33">
        <v>1</v>
      </c>
      <c r="Q143" s="34"/>
      <c r="R143" s="13"/>
      <c r="S143" s="2">
        <f t="shared" si="51"/>
        <v>0</v>
      </c>
      <c r="T143" s="2">
        <f t="shared" si="52"/>
        <v>1</v>
      </c>
      <c r="U143" s="2">
        <f t="shared" si="53"/>
        <v>0</v>
      </c>
      <c r="V143" s="2">
        <f t="shared" si="54"/>
        <v>0</v>
      </c>
      <c r="W143" s="2">
        <f t="shared" si="55"/>
        <v>0</v>
      </c>
      <c r="X143" s="2">
        <f t="shared" si="56"/>
        <v>0</v>
      </c>
      <c r="Y143" s="2">
        <f t="shared" si="57"/>
        <v>0</v>
      </c>
      <c r="Z143" s="2">
        <f t="shared" si="58"/>
        <v>0</v>
      </c>
      <c r="AA143" s="2">
        <f t="shared" si="59"/>
        <v>0</v>
      </c>
      <c r="AB143" s="2">
        <f t="shared" si="60"/>
        <v>0</v>
      </c>
      <c r="AC143" s="2"/>
      <c r="AD143" s="2">
        <f t="shared" si="61"/>
        <v>1</v>
      </c>
      <c r="AE143" s="2">
        <f t="shared" si="62"/>
        <v>0</v>
      </c>
      <c r="AF143" s="2">
        <f t="shared" si="63"/>
        <v>1</v>
      </c>
      <c r="AG143" s="2">
        <f t="shared" si="64"/>
        <v>0</v>
      </c>
      <c r="AH143" s="2">
        <f t="shared" si="65"/>
        <v>1</v>
      </c>
      <c r="AI143" s="2">
        <f t="shared" si="66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3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si="51"/>
        <v>0</v>
      </c>
      <c r="T144" s="2">
        <f t="shared" si="52"/>
        <v>1</v>
      </c>
      <c r="U144" s="2">
        <f t="shared" si="53"/>
        <v>0</v>
      </c>
      <c r="V144" s="2">
        <f t="shared" si="54"/>
        <v>0</v>
      </c>
      <c r="W144" s="2">
        <f t="shared" si="55"/>
        <v>0</v>
      </c>
      <c r="X144" s="2">
        <f t="shared" si="56"/>
        <v>0</v>
      </c>
      <c r="Y144" s="2">
        <f t="shared" si="57"/>
        <v>0</v>
      </c>
      <c r="Z144" s="2">
        <f t="shared" si="58"/>
        <v>0</v>
      </c>
      <c r="AA144" s="2">
        <f t="shared" si="59"/>
        <v>0</v>
      </c>
      <c r="AB144" s="2">
        <f t="shared" si="60"/>
        <v>0</v>
      </c>
      <c r="AC144" s="2"/>
      <c r="AD144" s="2">
        <f t="shared" si="61"/>
        <v>0</v>
      </c>
      <c r="AE144" s="2">
        <f t="shared" si="62"/>
        <v>0</v>
      </c>
      <c r="AF144" s="2">
        <f t="shared" si="63"/>
        <v>0</v>
      </c>
      <c r="AG144" s="2">
        <f t="shared" si="64"/>
        <v>0</v>
      </c>
      <c r="AH144" s="2">
        <f t="shared" si="65"/>
        <v>1</v>
      </c>
      <c r="AI144" s="2">
        <f t="shared" si="66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3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1"/>
        <v>1</v>
      </c>
      <c r="T145" s="2">
        <f t="shared" si="52"/>
        <v>0</v>
      </c>
      <c r="U145" s="2">
        <f t="shared" si="53"/>
        <v>0</v>
      </c>
      <c r="V145" s="2">
        <f t="shared" si="54"/>
        <v>0</v>
      </c>
      <c r="W145" s="2">
        <f t="shared" si="55"/>
        <v>0</v>
      </c>
      <c r="X145" s="2">
        <f t="shared" si="56"/>
        <v>0</v>
      </c>
      <c r="Y145" s="2">
        <f t="shared" si="57"/>
        <v>0</v>
      </c>
      <c r="Z145" s="2">
        <f t="shared" si="58"/>
        <v>0</v>
      </c>
      <c r="AA145" s="2">
        <f t="shared" si="59"/>
        <v>0</v>
      </c>
      <c r="AB145" s="2">
        <f t="shared" si="60"/>
        <v>0</v>
      </c>
      <c r="AC145" s="2"/>
      <c r="AD145" s="2">
        <f t="shared" si="61"/>
        <v>0</v>
      </c>
      <c r="AE145" s="2">
        <f t="shared" si="62"/>
        <v>0</v>
      </c>
      <c r="AF145" s="2">
        <f t="shared" si="63"/>
        <v>0</v>
      </c>
      <c r="AG145" s="2">
        <f t="shared" si="64"/>
        <v>0</v>
      </c>
      <c r="AH145" s="2">
        <f t="shared" si="65"/>
        <v>0</v>
      </c>
      <c r="AI145" s="2">
        <f t="shared" si="66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3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650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669</v>
      </c>
      <c r="N146" s="37" t="s">
        <v>853</v>
      </c>
      <c r="O146" s="38"/>
      <c r="P146" s="36"/>
      <c r="Q146" s="37"/>
      <c r="R146" s="13"/>
      <c r="S146" s="2">
        <f t="shared" si="51"/>
        <v>0</v>
      </c>
      <c r="T146" s="2">
        <f t="shared" si="52"/>
        <v>0</v>
      </c>
      <c r="U146" s="2">
        <f t="shared" si="53"/>
        <v>1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C146" s="2"/>
      <c r="AD146" s="2">
        <f t="shared" si="61"/>
        <v>0</v>
      </c>
      <c r="AE146" s="2">
        <f t="shared" si="62"/>
        <v>0</v>
      </c>
      <c r="AF146" s="2">
        <f t="shared" si="63"/>
        <v>0</v>
      </c>
      <c r="AG146" s="2">
        <f t="shared" si="64"/>
        <v>0</v>
      </c>
      <c r="AH146" s="2">
        <f t="shared" si="65"/>
        <v>0</v>
      </c>
      <c r="AI146" s="2">
        <f t="shared" si="66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3">
      <c r="A147" s="20">
        <v>0</v>
      </c>
      <c r="B147" s="20">
        <v>2</v>
      </c>
      <c r="C147" s="20">
        <v>4</v>
      </c>
      <c r="D147" s="19" t="s">
        <v>629</v>
      </c>
      <c r="E147" s="19" t="s">
        <v>411</v>
      </c>
      <c r="F147" s="19" t="s">
        <v>762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708</v>
      </c>
      <c r="N147" s="19"/>
      <c r="O147" s="18"/>
      <c r="P147" s="20"/>
      <c r="Q147" s="19"/>
      <c r="R147" s="13"/>
      <c r="S147" s="2">
        <f t="shared" si="51"/>
        <v>0</v>
      </c>
      <c r="T147" s="2">
        <f t="shared" si="52"/>
        <v>1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0</v>
      </c>
      <c r="AC147" s="2"/>
      <c r="AD147" s="2">
        <f t="shared" si="61"/>
        <v>0</v>
      </c>
      <c r="AE147" s="2">
        <f t="shared" si="62"/>
        <v>0</v>
      </c>
      <c r="AF147" s="2">
        <f t="shared" si="63"/>
        <v>0</v>
      </c>
      <c r="AG147" s="2">
        <f t="shared" si="64"/>
        <v>0</v>
      </c>
      <c r="AH147" s="2">
        <f t="shared" si="65"/>
        <v>0</v>
      </c>
      <c r="AI147" s="2">
        <f t="shared" si="66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3">
      <c r="A148" s="33">
        <v>0</v>
      </c>
      <c r="B148" s="33">
        <v>2</v>
      </c>
      <c r="C148" s="33">
        <v>4</v>
      </c>
      <c r="D148" s="34" t="s">
        <v>639</v>
      </c>
      <c r="E148" s="34" t="s">
        <v>411</v>
      </c>
      <c r="F148" s="34" t="s">
        <v>651</v>
      </c>
      <c r="G148" s="34" t="s">
        <v>110</v>
      </c>
      <c r="H148" s="34" t="s">
        <v>190</v>
      </c>
      <c r="I148" s="33" t="s">
        <v>597</v>
      </c>
      <c r="J148" s="33">
        <v>3</v>
      </c>
      <c r="K148" s="33" t="s">
        <v>293</v>
      </c>
      <c r="L148" s="33" t="s">
        <v>305</v>
      </c>
      <c r="M148" s="34" t="s">
        <v>623</v>
      </c>
      <c r="N148" s="34" t="s">
        <v>859</v>
      </c>
      <c r="O148" s="35">
        <v>1</v>
      </c>
      <c r="P148" s="33"/>
      <c r="Q148" s="34"/>
      <c r="R148" s="13"/>
      <c r="S148" s="2">
        <f t="shared" si="51"/>
        <v>0</v>
      </c>
      <c r="T148" s="2">
        <f t="shared" si="52"/>
        <v>0</v>
      </c>
      <c r="U148" s="2">
        <f t="shared" si="53"/>
        <v>1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C148" s="2"/>
      <c r="AD148" s="2">
        <f t="shared" si="61"/>
        <v>0</v>
      </c>
      <c r="AE148" s="2">
        <f t="shared" si="62"/>
        <v>1</v>
      </c>
      <c r="AF148" s="2">
        <f t="shared" si="63"/>
        <v>0</v>
      </c>
      <c r="AG148" s="2">
        <f t="shared" si="64"/>
        <v>1</v>
      </c>
      <c r="AH148" s="2">
        <f t="shared" si="65"/>
        <v>0</v>
      </c>
      <c r="AI148" s="2">
        <f t="shared" si="66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3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859</v>
      </c>
      <c r="O149" s="35">
        <v>1</v>
      </c>
      <c r="P149" s="33"/>
      <c r="Q149" s="34"/>
      <c r="R149" s="13"/>
      <c r="S149" s="2">
        <f t="shared" si="51"/>
        <v>1</v>
      </c>
      <c r="T149" s="2">
        <f t="shared" si="52"/>
        <v>0</v>
      </c>
      <c r="U149" s="2">
        <f t="shared" si="53"/>
        <v>0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C149" s="2"/>
      <c r="AD149" s="2">
        <f t="shared" si="61"/>
        <v>0</v>
      </c>
      <c r="AE149" s="2">
        <f t="shared" si="62"/>
        <v>1</v>
      </c>
      <c r="AF149" s="2">
        <f t="shared" si="63"/>
        <v>0</v>
      </c>
      <c r="AG149" s="2">
        <f t="shared" si="64"/>
        <v>1</v>
      </c>
      <c r="AH149" s="2">
        <f t="shared" si="65"/>
        <v>0</v>
      </c>
      <c r="AI149" s="2">
        <f t="shared" si="66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3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717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51"/>
        <v>0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1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C150" s="2"/>
      <c r="AD150" s="2">
        <f t="shared" si="61"/>
        <v>1</v>
      </c>
      <c r="AE150" s="2">
        <f t="shared" si="62"/>
        <v>0</v>
      </c>
      <c r="AF150" s="2">
        <f t="shared" si="63"/>
        <v>1</v>
      </c>
      <c r="AG150" s="2">
        <f t="shared" si="64"/>
        <v>0</v>
      </c>
      <c r="AH150" s="2">
        <f t="shared" si="65"/>
        <v>1</v>
      </c>
      <c r="AI150" s="2">
        <f t="shared" si="66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3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671</v>
      </c>
      <c r="N151" s="34" t="s">
        <v>849</v>
      </c>
      <c r="O151" s="35">
        <v>1</v>
      </c>
      <c r="P151" s="33">
        <v>1</v>
      </c>
      <c r="Q151" s="34"/>
      <c r="R151" s="13"/>
      <c r="S151" s="2">
        <f t="shared" si="51"/>
        <v>0</v>
      </c>
      <c r="T151" s="2">
        <f t="shared" si="52"/>
        <v>0</v>
      </c>
      <c r="U151" s="2">
        <f t="shared" si="53"/>
        <v>0</v>
      </c>
      <c r="V151" s="2">
        <f t="shared" si="54"/>
        <v>1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C151" s="2"/>
      <c r="AD151" s="2">
        <f t="shared" si="61"/>
        <v>1</v>
      </c>
      <c r="AE151" s="2">
        <f t="shared" si="62"/>
        <v>0</v>
      </c>
      <c r="AF151" s="2">
        <f t="shared" si="63"/>
        <v>0</v>
      </c>
      <c r="AG151" s="2">
        <f t="shared" si="64"/>
        <v>0</v>
      </c>
      <c r="AH151" s="2">
        <f t="shared" si="65"/>
        <v>0</v>
      </c>
      <c r="AI151" s="2">
        <f t="shared" si="66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3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1"/>
        <v>1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0</v>
      </c>
      <c r="AF152" s="2">
        <f t="shared" si="63"/>
        <v>0</v>
      </c>
      <c r="AG152" s="2">
        <f t="shared" si="64"/>
        <v>0</v>
      </c>
      <c r="AH152" s="2">
        <f t="shared" si="65"/>
        <v>0</v>
      </c>
      <c r="AI152" s="2">
        <f t="shared" si="66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3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670</v>
      </c>
      <c r="N153" s="40" t="s">
        <v>879</v>
      </c>
      <c r="O153" s="41"/>
      <c r="P153" s="39"/>
      <c r="Q153" s="40"/>
      <c r="R153" s="13"/>
      <c r="S153" s="2">
        <f t="shared" si="51"/>
        <v>0</v>
      </c>
      <c r="T153" s="2">
        <f t="shared" si="52"/>
        <v>1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C153" s="2"/>
      <c r="AD153" s="2">
        <f t="shared" si="61"/>
        <v>0</v>
      </c>
      <c r="AE153" s="2">
        <f t="shared" si="62"/>
        <v>0</v>
      </c>
      <c r="AF153" s="2">
        <f t="shared" si="63"/>
        <v>0</v>
      </c>
      <c r="AG153" s="2">
        <f t="shared" si="64"/>
        <v>0</v>
      </c>
      <c r="AH153" s="2">
        <f t="shared" si="65"/>
        <v>0</v>
      </c>
      <c r="AI153" s="2">
        <f t="shared" si="66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3">
      <c r="A154" s="20">
        <v>0</v>
      </c>
      <c r="B154" s="20">
        <v>2</v>
      </c>
      <c r="C154" s="20">
        <v>4</v>
      </c>
      <c r="D154" s="19" t="s">
        <v>576</v>
      </c>
      <c r="E154" s="19" t="s">
        <v>410</v>
      </c>
      <c r="F154" s="19" t="s">
        <v>578</v>
      </c>
      <c r="G154" s="19"/>
      <c r="H154" s="19" t="s">
        <v>190</v>
      </c>
      <c r="I154" s="20" t="s">
        <v>579</v>
      </c>
      <c r="J154" s="20"/>
      <c r="K154" s="20" t="s">
        <v>385</v>
      </c>
      <c r="L154" s="20">
        <v>20</v>
      </c>
      <c r="M154" s="19" t="s">
        <v>577</v>
      </c>
      <c r="N154" s="19"/>
      <c r="O154" s="18"/>
      <c r="P154" s="20"/>
      <c r="Q154" s="19"/>
      <c r="R154" s="13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C154" s="2"/>
      <c r="AD154" s="2">
        <f t="shared" si="61"/>
        <v>0</v>
      </c>
      <c r="AE154" s="2">
        <f t="shared" si="62"/>
        <v>0</v>
      </c>
      <c r="AF154" s="2">
        <f t="shared" si="63"/>
        <v>0</v>
      </c>
      <c r="AG154" s="2">
        <f t="shared" si="64"/>
        <v>0</v>
      </c>
      <c r="AH154" s="2">
        <f t="shared" si="65"/>
        <v>0</v>
      </c>
      <c r="AI154" s="2">
        <f t="shared" si="66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3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709</v>
      </c>
      <c r="N155" s="19"/>
      <c r="O155" s="18"/>
      <c r="P155" s="20"/>
      <c r="Q155" s="19"/>
      <c r="R155" s="13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0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C155" s="2"/>
      <c r="AD155" s="2">
        <f t="shared" si="61"/>
        <v>0</v>
      </c>
      <c r="AE155" s="2">
        <f t="shared" si="62"/>
        <v>0</v>
      </c>
      <c r="AF155" s="2">
        <f t="shared" si="63"/>
        <v>0</v>
      </c>
      <c r="AG155" s="2">
        <f t="shared" si="64"/>
        <v>0</v>
      </c>
      <c r="AH155" s="2">
        <f t="shared" si="65"/>
        <v>0</v>
      </c>
      <c r="AI155" s="2">
        <f t="shared" si="66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3">
      <c r="A156" s="33">
        <v>0</v>
      </c>
      <c r="B156" s="33">
        <v>2</v>
      </c>
      <c r="C156" s="33">
        <v>5</v>
      </c>
      <c r="D156" s="34" t="s">
        <v>825</v>
      </c>
      <c r="E156" s="34" t="s">
        <v>532</v>
      </c>
      <c r="F156" s="34" t="s">
        <v>826</v>
      </c>
      <c r="G156" s="34" t="s">
        <v>82</v>
      </c>
      <c r="H156" s="34" t="s">
        <v>190</v>
      </c>
      <c r="I156" s="33" t="s">
        <v>827</v>
      </c>
      <c r="J156" s="33"/>
      <c r="K156" s="33" t="s">
        <v>385</v>
      </c>
      <c r="L156" s="33">
        <v>40</v>
      </c>
      <c r="M156" s="34" t="s">
        <v>818</v>
      </c>
      <c r="N156" s="34" t="s">
        <v>858</v>
      </c>
      <c r="O156" s="35">
        <v>1</v>
      </c>
      <c r="P156" s="33"/>
      <c r="Q156" s="34"/>
      <c r="R156" s="13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C156" s="2"/>
      <c r="AD156" s="2">
        <f t="shared" si="61"/>
        <v>0</v>
      </c>
      <c r="AE156" s="2">
        <f t="shared" si="62"/>
        <v>1</v>
      </c>
      <c r="AF156" s="2">
        <f t="shared" si="63"/>
        <v>0</v>
      </c>
      <c r="AG156" s="2">
        <f t="shared" si="64"/>
        <v>1</v>
      </c>
      <c r="AH156" s="2">
        <f t="shared" si="65"/>
        <v>0</v>
      </c>
      <c r="AI156" s="2">
        <f t="shared" si="66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3">
      <c r="A157" s="33">
        <v>0</v>
      </c>
      <c r="B157" s="33">
        <v>2</v>
      </c>
      <c r="C157" s="33">
        <v>5</v>
      </c>
      <c r="D157" s="34" t="s">
        <v>751</v>
      </c>
      <c r="E157" s="34" t="s">
        <v>477</v>
      </c>
      <c r="F157" s="34" t="s">
        <v>728</v>
      </c>
      <c r="G157" s="34" t="s">
        <v>761</v>
      </c>
      <c r="H157" s="34" t="s">
        <v>190</v>
      </c>
      <c r="I157" s="33" t="s">
        <v>729</v>
      </c>
      <c r="J157" s="33">
        <v>2</v>
      </c>
      <c r="K157" s="33" t="s">
        <v>293</v>
      </c>
      <c r="L157" s="33" t="s">
        <v>305</v>
      </c>
      <c r="M157" s="34" t="s">
        <v>730</v>
      </c>
      <c r="N157" s="34" t="s">
        <v>858</v>
      </c>
      <c r="O157" s="35">
        <v>1</v>
      </c>
      <c r="P157" s="33"/>
      <c r="Q157" s="34"/>
      <c r="R157" s="13"/>
      <c r="S157" s="2">
        <f t="shared" si="51"/>
        <v>0</v>
      </c>
      <c r="T157" s="2">
        <f t="shared" si="52"/>
        <v>1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0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C157" s="2"/>
      <c r="AD157" s="2">
        <f t="shared" si="61"/>
        <v>0</v>
      </c>
      <c r="AE157" s="2">
        <f t="shared" si="62"/>
        <v>1</v>
      </c>
      <c r="AF157" s="2">
        <f t="shared" si="63"/>
        <v>0</v>
      </c>
      <c r="AG157" s="2">
        <f t="shared" si="64"/>
        <v>1</v>
      </c>
      <c r="AH157" s="2">
        <f t="shared" si="65"/>
        <v>0</v>
      </c>
      <c r="AI157" s="2">
        <f t="shared" si="66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3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1"/>
        <v>1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C158" s="2"/>
      <c r="AD158" s="2">
        <f t="shared" si="61"/>
        <v>0</v>
      </c>
      <c r="AE158" s="2">
        <f t="shared" si="62"/>
        <v>0</v>
      </c>
      <c r="AF158" s="2">
        <f t="shared" si="63"/>
        <v>0</v>
      </c>
      <c r="AG158" s="2">
        <f t="shared" si="64"/>
        <v>0</v>
      </c>
      <c r="AH158" s="2">
        <f t="shared" si="65"/>
        <v>0</v>
      </c>
      <c r="AI158" s="2">
        <f t="shared" si="66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3">
      <c r="A159" s="36">
        <v>0</v>
      </c>
      <c r="B159" s="36">
        <v>2</v>
      </c>
      <c r="C159" s="36">
        <v>5</v>
      </c>
      <c r="D159" s="37" t="s">
        <v>840</v>
      </c>
      <c r="E159" s="37" t="s">
        <v>841</v>
      </c>
      <c r="F159" s="37" t="s">
        <v>842</v>
      </c>
      <c r="G159" s="37" t="s">
        <v>129</v>
      </c>
      <c r="H159" s="37" t="s">
        <v>190</v>
      </c>
      <c r="I159" s="36" t="s">
        <v>843</v>
      </c>
      <c r="J159" s="36">
        <v>99</v>
      </c>
      <c r="K159" s="36" t="s">
        <v>385</v>
      </c>
      <c r="L159" s="36">
        <v>40</v>
      </c>
      <c r="M159" s="37" t="s">
        <v>844</v>
      </c>
      <c r="N159" s="37" t="s">
        <v>853</v>
      </c>
      <c r="O159" s="38"/>
      <c r="P159" s="36"/>
      <c r="Q159" s="37"/>
      <c r="R159" s="13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C159" s="2"/>
      <c r="AD159" s="2">
        <f t="shared" si="61"/>
        <v>0</v>
      </c>
      <c r="AE159" s="2">
        <f t="shared" si="62"/>
        <v>0</v>
      </c>
      <c r="AF159" s="2">
        <f t="shared" si="63"/>
        <v>0</v>
      </c>
      <c r="AG159" s="2">
        <f t="shared" si="64"/>
        <v>0</v>
      </c>
      <c r="AH159" s="2">
        <f t="shared" si="65"/>
        <v>0</v>
      </c>
      <c r="AI159" s="2">
        <f t="shared" si="66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3">
      <c r="A160" s="33">
        <v>0</v>
      </c>
      <c r="B160" s="33">
        <v>2</v>
      </c>
      <c r="C160" s="33">
        <v>5</v>
      </c>
      <c r="D160" s="34" t="s">
        <v>828</v>
      </c>
      <c r="E160" s="34" t="s">
        <v>832</v>
      </c>
      <c r="F160" s="34" t="s">
        <v>830</v>
      </c>
      <c r="G160" s="34"/>
      <c r="H160" s="34" t="s">
        <v>190</v>
      </c>
      <c r="I160" s="33" t="s">
        <v>831</v>
      </c>
      <c r="J160" s="33"/>
      <c r="K160" s="33" t="s">
        <v>385</v>
      </c>
      <c r="L160" s="33">
        <v>35</v>
      </c>
      <c r="M160" s="34" t="s">
        <v>829</v>
      </c>
      <c r="N160" s="34" t="s">
        <v>859</v>
      </c>
      <c r="O160" s="35">
        <v>1</v>
      </c>
      <c r="P160" s="33"/>
      <c r="Q160" s="34"/>
      <c r="R160" s="13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C160" s="2"/>
      <c r="AD160" s="2">
        <f t="shared" si="61"/>
        <v>0</v>
      </c>
      <c r="AE160" s="2">
        <f t="shared" si="62"/>
        <v>1</v>
      </c>
      <c r="AF160" s="2">
        <f t="shared" si="63"/>
        <v>0</v>
      </c>
      <c r="AG160" s="2">
        <f t="shared" si="64"/>
        <v>1</v>
      </c>
      <c r="AH160" s="2">
        <f t="shared" si="65"/>
        <v>0</v>
      </c>
      <c r="AI160" s="2">
        <f t="shared" si="66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3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859</v>
      </c>
      <c r="O161" s="35">
        <v>1</v>
      </c>
      <c r="P161" s="33"/>
      <c r="Q161" s="34"/>
      <c r="S161" s="2">
        <f t="shared" si="51"/>
        <v>0</v>
      </c>
      <c r="T161" s="2">
        <f t="shared" si="52"/>
        <v>1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1</v>
      </c>
      <c r="AF161" s="2">
        <f t="shared" si="63"/>
        <v>0</v>
      </c>
      <c r="AG161" s="2">
        <f t="shared" si="64"/>
        <v>1</v>
      </c>
      <c r="AH161" s="2">
        <f t="shared" si="65"/>
        <v>0</v>
      </c>
      <c r="AI161" s="2">
        <f t="shared" si="66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3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1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C162" s="2"/>
      <c r="AD162" s="2">
        <f t="shared" si="61"/>
        <v>0</v>
      </c>
      <c r="AE162" s="2">
        <f t="shared" si="62"/>
        <v>0</v>
      </c>
      <c r="AF162" s="2">
        <f t="shared" si="63"/>
        <v>0</v>
      </c>
      <c r="AG162" s="2">
        <f t="shared" si="64"/>
        <v>0</v>
      </c>
      <c r="AH162" s="2">
        <f t="shared" si="65"/>
        <v>0</v>
      </c>
      <c r="AI162" s="2">
        <f t="shared" si="66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3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1"/>
        <v>1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0</v>
      </c>
      <c r="AA163" s="2">
        <f t="shared" si="59"/>
        <v>0</v>
      </c>
      <c r="AB163" s="2">
        <f t="shared" si="60"/>
        <v>0</v>
      </c>
      <c r="AC163" s="2"/>
      <c r="AD163" s="2">
        <f t="shared" si="61"/>
        <v>0</v>
      </c>
      <c r="AE163" s="2">
        <f t="shared" si="62"/>
        <v>0</v>
      </c>
      <c r="AF163" s="2">
        <f t="shared" si="63"/>
        <v>0</v>
      </c>
      <c r="AG163" s="2">
        <f t="shared" si="64"/>
        <v>0</v>
      </c>
      <c r="AH163" s="2">
        <f t="shared" si="65"/>
        <v>0</v>
      </c>
      <c r="AI163" s="2">
        <f t="shared" si="66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3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1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C164" s="2"/>
      <c r="AD164" s="2">
        <f t="shared" si="61"/>
        <v>0</v>
      </c>
      <c r="AE164" s="2">
        <f t="shared" si="62"/>
        <v>0</v>
      </c>
      <c r="AF164" s="2">
        <f t="shared" si="63"/>
        <v>0</v>
      </c>
      <c r="AG164" s="2">
        <f t="shared" si="64"/>
        <v>0</v>
      </c>
      <c r="AH164" s="2">
        <f t="shared" si="65"/>
        <v>0</v>
      </c>
      <c r="AI164" s="2">
        <f t="shared" si="66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3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51"/>
        <v>0</v>
      </c>
      <c r="T165" s="2">
        <f t="shared" si="52"/>
        <v>0</v>
      </c>
      <c r="U165" s="2">
        <f t="shared" si="53"/>
        <v>0</v>
      </c>
      <c r="V165" s="2">
        <f t="shared" si="54"/>
        <v>1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C165" s="2"/>
      <c r="AD165" s="2">
        <f t="shared" si="61"/>
        <v>0</v>
      </c>
      <c r="AE165" s="2">
        <f t="shared" si="62"/>
        <v>1</v>
      </c>
      <c r="AF165" s="2">
        <f t="shared" si="63"/>
        <v>0</v>
      </c>
      <c r="AG165" s="2">
        <f t="shared" si="64"/>
        <v>1</v>
      </c>
      <c r="AH165" s="2">
        <f t="shared" si="65"/>
        <v>0</v>
      </c>
      <c r="AI165" s="2">
        <f t="shared" si="66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3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1"/>
        <v>0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C166" s="2"/>
      <c r="AD166" s="2">
        <f t="shared" si="61"/>
        <v>0</v>
      </c>
      <c r="AE166" s="2">
        <f t="shared" si="62"/>
        <v>0</v>
      </c>
      <c r="AF166" s="2">
        <f t="shared" si="63"/>
        <v>0</v>
      </c>
      <c r="AG166" s="2">
        <f t="shared" si="64"/>
        <v>0</v>
      </c>
      <c r="AH166" s="2">
        <f t="shared" si="65"/>
        <v>0</v>
      </c>
      <c r="AI166" s="2">
        <f t="shared" si="66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3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51"/>
        <v>0</v>
      </c>
      <c r="T167" s="2">
        <f t="shared" si="52"/>
        <v>1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C167" s="2"/>
      <c r="AD167" s="2">
        <f t="shared" si="61"/>
        <v>1</v>
      </c>
      <c r="AE167" s="2">
        <f t="shared" si="62"/>
        <v>0</v>
      </c>
      <c r="AF167" s="2">
        <f t="shared" si="63"/>
        <v>1</v>
      </c>
      <c r="AG167" s="2">
        <f t="shared" si="64"/>
        <v>0</v>
      </c>
      <c r="AH167" s="2">
        <f t="shared" si="65"/>
        <v>1</v>
      </c>
      <c r="AI167" s="2">
        <f t="shared" si="66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3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888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1"/>
        <v>0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1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C168" s="2"/>
      <c r="AD168" s="2">
        <f t="shared" si="61"/>
        <v>0</v>
      </c>
      <c r="AE168" s="2">
        <f t="shared" si="62"/>
        <v>0</v>
      </c>
      <c r="AF168" s="2">
        <f t="shared" si="63"/>
        <v>0</v>
      </c>
      <c r="AG168" s="2">
        <f t="shared" si="64"/>
        <v>0</v>
      </c>
      <c r="AH168" s="2">
        <f t="shared" si="65"/>
        <v>0</v>
      </c>
      <c r="AI168" s="2">
        <f t="shared" si="66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3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C169" s="2"/>
      <c r="AD169" s="2">
        <f t="shared" si="61"/>
        <v>1</v>
      </c>
      <c r="AE169" s="2">
        <f t="shared" si="62"/>
        <v>0</v>
      </c>
      <c r="AF169" s="2">
        <f t="shared" si="63"/>
        <v>1</v>
      </c>
      <c r="AG169" s="2">
        <f t="shared" si="64"/>
        <v>0</v>
      </c>
      <c r="AH169" s="2">
        <f t="shared" si="65"/>
        <v>1</v>
      </c>
      <c r="AI169" s="2">
        <f t="shared" si="66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3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890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51"/>
        <v>1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C170" s="2"/>
      <c r="AD170" s="2">
        <f t="shared" si="61"/>
        <v>1</v>
      </c>
      <c r="AE170" s="2">
        <f t="shared" si="62"/>
        <v>0</v>
      </c>
      <c r="AF170" s="2">
        <f t="shared" si="63"/>
        <v>0</v>
      </c>
      <c r="AG170" s="2">
        <f t="shared" si="64"/>
        <v>0</v>
      </c>
      <c r="AH170" s="2">
        <f t="shared" si="65"/>
        <v>0</v>
      </c>
      <c r="AI170" s="2">
        <f t="shared" si="66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3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51"/>
        <v>1</v>
      </c>
      <c r="T171" s="2">
        <f t="shared" si="52"/>
        <v>0</v>
      </c>
      <c r="U171" s="2">
        <f t="shared" si="53"/>
        <v>0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C171" s="2"/>
      <c r="AD171" s="2">
        <f t="shared" si="61"/>
        <v>1</v>
      </c>
      <c r="AE171" s="2">
        <f t="shared" si="62"/>
        <v>0</v>
      </c>
      <c r="AF171" s="2">
        <f t="shared" si="63"/>
        <v>0</v>
      </c>
      <c r="AG171" s="2">
        <f t="shared" si="64"/>
        <v>0</v>
      </c>
      <c r="AH171" s="2">
        <f t="shared" si="65"/>
        <v>0</v>
      </c>
      <c r="AI171" s="2">
        <f t="shared" si="66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3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891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51"/>
        <v>1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C172" s="2"/>
      <c r="AD172" s="2">
        <f t="shared" si="61"/>
        <v>1</v>
      </c>
      <c r="AE172" s="2">
        <f t="shared" si="62"/>
        <v>0</v>
      </c>
      <c r="AF172" s="2">
        <f t="shared" si="63"/>
        <v>0</v>
      </c>
      <c r="AG172" s="2">
        <f t="shared" si="64"/>
        <v>0</v>
      </c>
      <c r="AH172" s="2">
        <f t="shared" si="65"/>
        <v>0</v>
      </c>
      <c r="AI172" s="2">
        <f t="shared" si="66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3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51"/>
        <v>0</v>
      </c>
      <c r="T173" s="2">
        <f t="shared" si="52"/>
        <v>1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C173" s="2"/>
      <c r="AD173" s="2">
        <f t="shared" si="61"/>
        <v>1</v>
      </c>
      <c r="AE173" s="2">
        <f t="shared" si="62"/>
        <v>0</v>
      </c>
      <c r="AF173" s="2">
        <f t="shared" si="63"/>
        <v>0</v>
      </c>
      <c r="AG173" s="2">
        <f t="shared" si="64"/>
        <v>0</v>
      </c>
      <c r="AH173" s="2">
        <f t="shared" si="65"/>
        <v>0</v>
      </c>
      <c r="AI173" s="2">
        <f t="shared" si="66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3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51"/>
        <v>0</v>
      </c>
      <c r="T174" s="2">
        <f t="shared" si="52"/>
        <v>0</v>
      </c>
      <c r="U174" s="2">
        <f t="shared" si="53"/>
        <v>1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C174" s="2"/>
      <c r="AD174" s="2">
        <f t="shared" si="61"/>
        <v>0</v>
      </c>
      <c r="AE174" s="2">
        <f t="shared" si="62"/>
        <v>0</v>
      </c>
      <c r="AF174" s="2">
        <f t="shared" si="63"/>
        <v>0</v>
      </c>
      <c r="AG174" s="2">
        <f t="shared" si="64"/>
        <v>0</v>
      </c>
      <c r="AH174" s="2">
        <f t="shared" si="65"/>
        <v>0</v>
      </c>
      <c r="AI174" s="2">
        <f t="shared" si="66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3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0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C175" s="2"/>
      <c r="AD175" s="2">
        <f t="shared" si="61"/>
        <v>0</v>
      </c>
      <c r="AE175" s="2">
        <f t="shared" si="62"/>
        <v>0</v>
      </c>
      <c r="AF175" s="2">
        <f t="shared" si="63"/>
        <v>0</v>
      </c>
      <c r="AG175" s="2">
        <f t="shared" si="64"/>
        <v>0</v>
      </c>
      <c r="AH175" s="2">
        <f t="shared" si="65"/>
        <v>0</v>
      </c>
      <c r="AI175" s="2">
        <f t="shared" si="66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3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C176" s="2"/>
      <c r="AD176" s="2">
        <f t="shared" si="61"/>
        <v>0</v>
      </c>
      <c r="AE176" s="2">
        <f t="shared" si="62"/>
        <v>0</v>
      </c>
      <c r="AF176" s="2">
        <f t="shared" si="63"/>
        <v>0</v>
      </c>
      <c r="AG176" s="2">
        <f t="shared" si="64"/>
        <v>0</v>
      </c>
      <c r="AH176" s="2">
        <f t="shared" si="65"/>
        <v>0</v>
      </c>
      <c r="AI176" s="2">
        <f t="shared" si="66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3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1"/>
        <v>0</v>
      </c>
      <c r="T177" s="2">
        <f t="shared" si="52"/>
        <v>0</v>
      </c>
      <c r="U177" s="2">
        <f t="shared" si="53"/>
        <v>1</v>
      </c>
      <c r="V177" s="2">
        <f t="shared" si="54"/>
        <v>0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C177" s="2"/>
      <c r="AD177" s="2">
        <f t="shared" si="61"/>
        <v>0</v>
      </c>
      <c r="AE177" s="2">
        <f t="shared" si="62"/>
        <v>0</v>
      </c>
      <c r="AF177" s="2">
        <f t="shared" si="63"/>
        <v>0</v>
      </c>
      <c r="AG177" s="2">
        <f t="shared" si="64"/>
        <v>0</v>
      </c>
      <c r="AH177" s="2">
        <f t="shared" si="65"/>
        <v>0</v>
      </c>
      <c r="AI177" s="2">
        <f t="shared" si="66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3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0</v>
      </c>
      <c r="AC178" s="2"/>
      <c r="AD178" s="2">
        <f t="shared" si="61"/>
        <v>0</v>
      </c>
      <c r="AE178" s="2">
        <f t="shared" si="62"/>
        <v>0</v>
      </c>
      <c r="AF178" s="2">
        <f t="shared" si="63"/>
        <v>0</v>
      </c>
      <c r="AG178" s="2">
        <f t="shared" si="64"/>
        <v>0</v>
      </c>
      <c r="AH178" s="2">
        <f t="shared" si="65"/>
        <v>0</v>
      </c>
      <c r="AI178" s="2">
        <f t="shared" si="66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3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67">IF(J179=$S$7,1,0)</f>
        <v>0</v>
      </c>
      <c r="T179" s="2">
        <f t="shared" ref="T179:T210" si="68">IF(J179=$T$7,1,0)</f>
        <v>0</v>
      </c>
      <c r="U179" s="2">
        <f t="shared" ref="U179:U210" si="69">IF(J179=$U$7,1,0)</f>
        <v>0</v>
      </c>
      <c r="V179" s="2">
        <f t="shared" ref="V179:V210" si="70">IF(J179=$V$7,1,0)</f>
        <v>0</v>
      </c>
      <c r="W179" s="2">
        <f t="shared" ref="W179:W210" si="71">IF(J179=$W$7,1,0)</f>
        <v>0</v>
      </c>
      <c r="X179" s="2">
        <f t="shared" ref="X179:X210" si="72">IF(J179=$X$7,1,0)</f>
        <v>0</v>
      </c>
      <c r="Y179" s="2">
        <f t="shared" ref="Y179:Y210" si="73">IF(J179=$Y$7,1,0)</f>
        <v>0</v>
      </c>
      <c r="Z179" s="2">
        <f t="shared" ref="Z179:Z210" si="74">IF(J179=$Z$7,1,0)</f>
        <v>0</v>
      </c>
      <c r="AA179" s="2">
        <f t="shared" ref="AA179:AA210" si="75">IF(J179=$AA$7,1,0)</f>
        <v>0</v>
      </c>
      <c r="AB179" s="2">
        <f t="shared" ref="AB179:AB210" si="76">IF(J179=$AB$7,1,0)</f>
        <v>0</v>
      </c>
      <c r="AC179" s="2"/>
      <c r="AD179" s="2">
        <f t="shared" ref="AD179:AD210" si="77">+O179*P179</f>
        <v>0</v>
      </c>
      <c r="AE179" s="2">
        <f t="shared" ref="AE179:AE210" si="78">O179*(1-P179)</f>
        <v>0</v>
      </c>
      <c r="AF179" s="2">
        <f t="shared" si="63"/>
        <v>0</v>
      </c>
      <c r="AG179" s="2">
        <f t="shared" si="64"/>
        <v>0</v>
      </c>
      <c r="AH179" s="2">
        <f t="shared" si="65"/>
        <v>0</v>
      </c>
      <c r="AI179" s="2">
        <f t="shared" si="66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3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67"/>
        <v>0</v>
      </c>
      <c r="T180" s="2">
        <f t="shared" si="68"/>
        <v>0</v>
      </c>
      <c r="U180" s="2">
        <f t="shared" si="69"/>
        <v>1</v>
      </c>
      <c r="V180" s="2">
        <f t="shared" si="70"/>
        <v>0</v>
      </c>
      <c r="W180" s="2">
        <f t="shared" si="71"/>
        <v>0</v>
      </c>
      <c r="X180" s="2">
        <f t="shared" si="72"/>
        <v>0</v>
      </c>
      <c r="Y180" s="2">
        <f t="shared" si="73"/>
        <v>0</v>
      </c>
      <c r="Z180" s="2">
        <f t="shared" si="74"/>
        <v>0</v>
      </c>
      <c r="AA180" s="2">
        <f t="shared" si="75"/>
        <v>0</v>
      </c>
      <c r="AB180" s="2">
        <f t="shared" si="76"/>
        <v>0</v>
      </c>
      <c r="AC180" s="2"/>
      <c r="AD180" s="2">
        <f t="shared" si="77"/>
        <v>1</v>
      </c>
      <c r="AE180" s="2">
        <f t="shared" si="78"/>
        <v>0</v>
      </c>
      <c r="AF180" s="2">
        <f t="shared" si="63"/>
        <v>1</v>
      </c>
      <c r="AG180" s="2">
        <f t="shared" si="64"/>
        <v>0</v>
      </c>
      <c r="AH180" s="2">
        <f t="shared" si="65"/>
        <v>1</v>
      </c>
      <c r="AI180" s="2">
        <f t="shared" si="66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3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67"/>
        <v>0</v>
      </c>
      <c r="T181" s="2">
        <f t="shared" si="68"/>
        <v>0</v>
      </c>
      <c r="U181" s="2">
        <f t="shared" si="69"/>
        <v>0</v>
      </c>
      <c r="V181" s="2">
        <f t="shared" si="70"/>
        <v>0</v>
      </c>
      <c r="W181" s="2">
        <f t="shared" si="71"/>
        <v>0</v>
      </c>
      <c r="X181" s="2">
        <f t="shared" si="72"/>
        <v>0</v>
      </c>
      <c r="Y181" s="2">
        <f t="shared" si="73"/>
        <v>1</v>
      </c>
      <c r="Z181" s="2">
        <f t="shared" si="74"/>
        <v>0</v>
      </c>
      <c r="AA181" s="2">
        <f t="shared" si="75"/>
        <v>0</v>
      </c>
      <c r="AB181" s="2">
        <f t="shared" si="76"/>
        <v>0</v>
      </c>
      <c r="AC181" s="2"/>
      <c r="AD181" s="2">
        <f t="shared" si="77"/>
        <v>1</v>
      </c>
      <c r="AE181" s="2">
        <f t="shared" si="78"/>
        <v>0</v>
      </c>
      <c r="AF181" s="2">
        <f t="shared" si="63"/>
        <v>0</v>
      </c>
      <c r="AG181" s="2">
        <f t="shared" si="64"/>
        <v>0</v>
      </c>
      <c r="AH181" s="2">
        <f t="shared" si="65"/>
        <v>0</v>
      </c>
      <c r="AI181" s="2">
        <f t="shared" si="66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3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67"/>
        <v>0</v>
      </c>
      <c r="T182" s="2">
        <f t="shared" si="68"/>
        <v>0</v>
      </c>
      <c r="U182" s="2">
        <f t="shared" si="69"/>
        <v>0</v>
      </c>
      <c r="V182" s="2">
        <f t="shared" si="70"/>
        <v>0</v>
      </c>
      <c r="W182" s="2">
        <f t="shared" si="71"/>
        <v>0</v>
      </c>
      <c r="X182" s="2">
        <f t="shared" si="72"/>
        <v>0</v>
      </c>
      <c r="Y182" s="2">
        <f t="shared" si="73"/>
        <v>0</v>
      </c>
      <c r="Z182" s="2">
        <f t="shared" si="74"/>
        <v>0</v>
      </c>
      <c r="AA182" s="2">
        <f t="shared" si="75"/>
        <v>0</v>
      </c>
      <c r="AB182" s="2">
        <f t="shared" si="76"/>
        <v>0</v>
      </c>
      <c r="AD182" s="2">
        <f t="shared" si="77"/>
        <v>1</v>
      </c>
      <c r="AE182" s="2">
        <f t="shared" si="78"/>
        <v>0</v>
      </c>
      <c r="AF182" s="2">
        <f t="shared" si="63"/>
        <v>1</v>
      </c>
      <c r="AG182" s="2">
        <f t="shared" si="64"/>
        <v>0</v>
      </c>
      <c r="AH182" s="2">
        <f t="shared" si="65"/>
        <v>1</v>
      </c>
      <c r="AI182" s="2">
        <f t="shared" si="66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3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879</v>
      </c>
      <c r="O183" s="38"/>
      <c r="P183" s="36"/>
      <c r="Q183" s="37"/>
      <c r="R183" s="13"/>
      <c r="S183" s="2">
        <f t="shared" si="67"/>
        <v>0</v>
      </c>
      <c r="T183" s="2">
        <f t="shared" si="68"/>
        <v>0</v>
      </c>
      <c r="U183" s="2">
        <f t="shared" si="69"/>
        <v>0</v>
      </c>
      <c r="V183" s="2">
        <f t="shared" si="70"/>
        <v>0</v>
      </c>
      <c r="W183" s="2">
        <f t="shared" si="71"/>
        <v>0</v>
      </c>
      <c r="X183" s="2">
        <f t="shared" si="72"/>
        <v>0</v>
      </c>
      <c r="Y183" s="2">
        <f t="shared" si="73"/>
        <v>0</v>
      </c>
      <c r="Z183" s="2">
        <f t="shared" si="74"/>
        <v>0</v>
      </c>
      <c r="AA183" s="2">
        <f t="shared" si="75"/>
        <v>0</v>
      </c>
      <c r="AB183" s="2">
        <f t="shared" si="76"/>
        <v>0</v>
      </c>
      <c r="AC183" s="2"/>
      <c r="AD183" s="2">
        <f t="shared" si="77"/>
        <v>0</v>
      </c>
      <c r="AE183" s="2">
        <f t="shared" si="78"/>
        <v>0</v>
      </c>
      <c r="AF183" s="2">
        <f t="shared" si="63"/>
        <v>0</v>
      </c>
      <c r="AG183" s="2">
        <f t="shared" si="64"/>
        <v>0</v>
      </c>
      <c r="AH183" s="2">
        <f t="shared" si="65"/>
        <v>0</v>
      </c>
      <c r="AI183" s="2">
        <f t="shared" si="66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3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67"/>
        <v>1</v>
      </c>
      <c r="T184" s="2">
        <f t="shared" si="68"/>
        <v>0</v>
      </c>
      <c r="U184" s="2">
        <f t="shared" si="69"/>
        <v>0</v>
      </c>
      <c r="V184" s="2">
        <f t="shared" si="70"/>
        <v>0</v>
      </c>
      <c r="W184" s="2">
        <f t="shared" si="71"/>
        <v>0</v>
      </c>
      <c r="X184" s="2">
        <f t="shared" si="72"/>
        <v>0</v>
      </c>
      <c r="Y184" s="2">
        <f t="shared" si="73"/>
        <v>0</v>
      </c>
      <c r="Z184" s="2">
        <f t="shared" si="74"/>
        <v>0</v>
      </c>
      <c r="AA184" s="2">
        <f t="shared" si="75"/>
        <v>0</v>
      </c>
      <c r="AB184" s="2">
        <f t="shared" si="76"/>
        <v>0</v>
      </c>
      <c r="AC184" s="2"/>
      <c r="AD184" s="2">
        <f t="shared" si="77"/>
        <v>0</v>
      </c>
      <c r="AE184" s="2">
        <f t="shared" si="78"/>
        <v>0</v>
      </c>
      <c r="AF184" s="2">
        <f t="shared" si="63"/>
        <v>0</v>
      </c>
      <c r="AG184" s="2">
        <f t="shared" si="64"/>
        <v>0</v>
      </c>
      <c r="AH184" s="2">
        <f t="shared" si="65"/>
        <v>0</v>
      </c>
      <c r="AI184" s="2">
        <f t="shared" si="66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3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67"/>
        <v>0</v>
      </c>
      <c r="T185" s="2">
        <f t="shared" si="68"/>
        <v>0</v>
      </c>
      <c r="U185" s="2">
        <f t="shared" si="69"/>
        <v>0</v>
      </c>
      <c r="V185" s="2">
        <f t="shared" si="70"/>
        <v>0</v>
      </c>
      <c r="W185" s="2">
        <f t="shared" si="71"/>
        <v>0</v>
      </c>
      <c r="X185" s="2">
        <f t="shared" si="72"/>
        <v>0</v>
      </c>
      <c r="Y185" s="2">
        <f t="shared" si="73"/>
        <v>0</v>
      </c>
      <c r="Z185" s="2">
        <f t="shared" si="74"/>
        <v>0</v>
      </c>
      <c r="AA185" s="2">
        <f t="shared" si="75"/>
        <v>0</v>
      </c>
      <c r="AB185" s="2">
        <f t="shared" si="76"/>
        <v>0</v>
      </c>
      <c r="AC185" s="2"/>
      <c r="AD185" s="2">
        <f t="shared" si="77"/>
        <v>0</v>
      </c>
      <c r="AE185" s="2">
        <f t="shared" si="78"/>
        <v>0</v>
      </c>
      <c r="AF185" s="2">
        <f t="shared" si="63"/>
        <v>0</v>
      </c>
      <c r="AG185" s="2">
        <f t="shared" si="64"/>
        <v>0</v>
      </c>
      <c r="AH185" s="2">
        <f t="shared" si="65"/>
        <v>0</v>
      </c>
      <c r="AI185" s="2">
        <f t="shared" si="66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3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67"/>
        <v>0</v>
      </c>
      <c r="T186" s="2">
        <f t="shared" si="68"/>
        <v>1</v>
      </c>
      <c r="U186" s="2">
        <f t="shared" si="69"/>
        <v>0</v>
      </c>
      <c r="V186" s="2">
        <f t="shared" si="70"/>
        <v>0</v>
      </c>
      <c r="W186" s="2">
        <f t="shared" si="71"/>
        <v>0</v>
      </c>
      <c r="X186" s="2">
        <f t="shared" si="72"/>
        <v>0</v>
      </c>
      <c r="Y186" s="2">
        <f t="shared" si="73"/>
        <v>0</v>
      </c>
      <c r="Z186" s="2">
        <f t="shared" si="74"/>
        <v>0</v>
      </c>
      <c r="AA186" s="2">
        <f t="shared" si="75"/>
        <v>0</v>
      </c>
      <c r="AB186" s="2">
        <f t="shared" si="76"/>
        <v>0</v>
      </c>
      <c r="AC186" s="2"/>
      <c r="AD186" s="2">
        <f t="shared" si="77"/>
        <v>1</v>
      </c>
      <c r="AE186" s="2">
        <f t="shared" si="78"/>
        <v>0</v>
      </c>
      <c r="AF186" s="2">
        <f t="shared" si="63"/>
        <v>1</v>
      </c>
      <c r="AG186" s="2">
        <f t="shared" si="64"/>
        <v>0</v>
      </c>
      <c r="AH186" s="2">
        <f t="shared" si="65"/>
        <v>1</v>
      </c>
      <c r="AI186" s="2">
        <f t="shared" si="66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3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67"/>
        <v>1</v>
      </c>
      <c r="T187" s="2">
        <f t="shared" si="68"/>
        <v>0</v>
      </c>
      <c r="U187" s="2">
        <f t="shared" si="69"/>
        <v>0</v>
      </c>
      <c r="V187" s="2">
        <f t="shared" si="70"/>
        <v>0</v>
      </c>
      <c r="W187" s="2">
        <f t="shared" si="71"/>
        <v>0</v>
      </c>
      <c r="X187" s="2">
        <f t="shared" si="72"/>
        <v>0</v>
      </c>
      <c r="Y187" s="2">
        <f t="shared" si="73"/>
        <v>0</v>
      </c>
      <c r="Z187" s="2">
        <f t="shared" si="74"/>
        <v>0</v>
      </c>
      <c r="AA187" s="2">
        <f t="shared" si="75"/>
        <v>0</v>
      </c>
      <c r="AB187" s="2">
        <f t="shared" si="76"/>
        <v>0</v>
      </c>
      <c r="AC187" s="2"/>
      <c r="AD187" s="2">
        <f t="shared" si="77"/>
        <v>0</v>
      </c>
      <c r="AE187" s="2">
        <f t="shared" si="78"/>
        <v>0</v>
      </c>
      <c r="AF187" s="2">
        <f t="shared" si="63"/>
        <v>0</v>
      </c>
      <c r="AG187" s="2">
        <f t="shared" si="64"/>
        <v>0</v>
      </c>
      <c r="AH187" s="2">
        <f t="shared" si="65"/>
        <v>0</v>
      </c>
      <c r="AI187" s="2">
        <f t="shared" si="66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3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67"/>
        <v>1</v>
      </c>
      <c r="T188" s="2">
        <f t="shared" si="68"/>
        <v>0</v>
      </c>
      <c r="U188" s="2">
        <f t="shared" si="69"/>
        <v>0</v>
      </c>
      <c r="V188" s="2">
        <f t="shared" si="70"/>
        <v>0</v>
      </c>
      <c r="W188" s="2">
        <f t="shared" si="71"/>
        <v>0</v>
      </c>
      <c r="X188" s="2">
        <f t="shared" si="72"/>
        <v>0</v>
      </c>
      <c r="Y188" s="2">
        <f t="shared" si="73"/>
        <v>0</v>
      </c>
      <c r="Z188" s="2">
        <f t="shared" si="74"/>
        <v>0</v>
      </c>
      <c r="AA188" s="2">
        <f t="shared" si="75"/>
        <v>0</v>
      </c>
      <c r="AB188" s="2">
        <f t="shared" si="76"/>
        <v>0</v>
      </c>
      <c r="AC188" s="2"/>
      <c r="AD188" s="2">
        <f t="shared" si="77"/>
        <v>1</v>
      </c>
      <c r="AE188" s="2">
        <f t="shared" si="78"/>
        <v>0</v>
      </c>
      <c r="AF188" s="2">
        <f t="shared" si="63"/>
        <v>1</v>
      </c>
      <c r="AG188" s="2">
        <f t="shared" si="64"/>
        <v>0</v>
      </c>
      <c r="AH188" s="2">
        <f t="shared" si="65"/>
        <v>1</v>
      </c>
      <c r="AI188" s="2">
        <f t="shared" si="66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3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67"/>
        <v>0</v>
      </c>
      <c r="T189" s="2">
        <f t="shared" si="68"/>
        <v>0</v>
      </c>
      <c r="U189" s="2">
        <f t="shared" si="69"/>
        <v>0</v>
      </c>
      <c r="V189" s="2">
        <f t="shared" si="70"/>
        <v>0</v>
      </c>
      <c r="W189" s="2">
        <f t="shared" si="71"/>
        <v>0</v>
      </c>
      <c r="X189" s="2">
        <f t="shared" si="72"/>
        <v>0</v>
      </c>
      <c r="Y189" s="2">
        <f t="shared" si="73"/>
        <v>0</v>
      </c>
      <c r="Z189" s="2">
        <f t="shared" si="74"/>
        <v>0</v>
      </c>
      <c r="AA189" s="2">
        <f t="shared" si="75"/>
        <v>0</v>
      </c>
      <c r="AB189" s="2">
        <f t="shared" si="76"/>
        <v>0</v>
      </c>
      <c r="AC189" s="2"/>
      <c r="AD189" s="2">
        <f t="shared" si="77"/>
        <v>0</v>
      </c>
      <c r="AE189" s="2">
        <f t="shared" si="78"/>
        <v>0</v>
      </c>
      <c r="AF189" s="2">
        <f t="shared" si="63"/>
        <v>0</v>
      </c>
      <c r="AG189" s="2">
        <f t="shared" si="64"/>
        <v>0</v>
      </c>
      <c r="AH189" s="2">
        <f t="shared" si="65"/>
        <v>0</v>
      </c>
      <c r="AI189" s="2">
        <f t="shared" si="66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3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67"/>
        <v>1</v>
      </c>
      <c r="T190" s="2">
        <f t="shared" si="68"/>
        <v>0</v>
      </c>
      <c r="U190" s="2">
        <f t="shared" si="69"/>
        <v>0</v>
      </c>
      <c r="V190" s="2">
        <f t="shared" si="70"/>
        <v>0</v>
      </c>
      <c r="W190" s="2">
        <f t="shared" si="71"/>
        <v>0</v>
      </c>
      <c r="X190" s="2">
        <f t="shared" si="72"/>
        <v>0</v>
      </c>
      <c r="Y190" s="2">
        <f t="shared" si="73"/>
        <v>0</v>
      </c>
      <c r="Z190" s="2">
        <f t="shared" si="74"/>
        <v>0</v>
      </c>
      <c r="AA190" s="2">
        <f t="shared" si="75"/>
        <v>0</v>
      </c>
      <c r="AB190" s="2">
        <f t="shared" si="76"/>
        <v>0</v>
      </c>
      <c r="AC190" s="2"/>
      <c r="AD190" s="2">
        <f t="shared" si="77"/>
        <v>0</v>
      </c>
      <c r="AE190" s="2">
        <f t="shared" si="78"/>
        <v>0</v>
      </c>
      <c r="AF190" s="2">
        <f t="shared" si="63"/>
        <v>0</v>
      </c>
      <c r="AG190" s="2">
        <f t="shared" si="64"/>
        <v>0</v>
      </c>
      <c r="AH190" s="2">
        <f t="shared" si="65"/>
        <v>0</v>
      </c>
      <c r="AI190" s="2">
        <f t="shared" si="66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3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67"/>
        <v>0</v>
      </c>
      <c r="T191" s="2">
        <f t="shared" si="68"/>
        <v>1</v>
      </c>
      <c r="U191" s="2">
        <f t="shared" si="69"/>
        <v>0</v>
      </c>
      <c r="V191" s="2">
        <f t="shared" si="70"/>
        <v>0</v>
      </c>
      <c r="W191" s="2">
        <f t="shared" si="71"/>
        <v>0</v>
      </c>
      <c r="X191" s="2">
        <f t="shared" si="72"/>
        <v>0</v>
      </c>
      <c r="Y191" s="2">
        <f t="shared" si="73"/>
        <v>0</v>
      </c>
      <c r="Z191" s="2">
        <f t="shared" si="74"/>
        <v>0</v>
      </c>
      <c r="AA191" s="2">
        <f t="shared" si="75"/>
        <v>0</v>
      </c>
      <c r="AB191" s="2">
        <f t="shared" si="76"/>
        <v>0</v>
      </c>
      <c r="AC191" s="2"/>
      <c r="AD191" s="2">
        <f t="shared" si="77"/>
        <v>0</v>
      </c>
      <c r="AE191" s="2">
        <f t="shared" si="78"/>
        <v>0</v>
      </c>
      <c r="AF191" s="2">
        <f t="shared" si="63"/>
        <v>0</v>
      </c>
      <c r="AG191" s="2">
        <f t="shared" si="64"/>
        <v>0</v>
      </c>
      <c r="AH191" s="2">
        <f t="shared" si="65"/>
        <v>0</v>
      </c>
      <c r="AI191" s="2">
        <f t="shared" si="66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3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67"/>
        <v>0</v>
      </c>
      <c r="T192" s="2">
        <f t="shared" si="68"/>
        <v>0</v>
      </c>
      <c r="U192" s="2">
        <f t="shared" si="69"/>
        <v>0</v>
      </c>
      <c r="V192" s="2">
        <f t="shared" si="70"/>
        <v>1</v>
      </c>
      <c r="W192" s="2">
        <f t="shared" si="71"/>
        <v>0</v>
      </c>
      <c r="X192" s="2">
        <f t="shared" si="72"/>
        <v>0</v>
      </c>
      <c r="Y192" s="2">
        <f t="shared" si="73"/>
        <v>0</v>
      </c>
      <c r="Z192" s="2">
        <f t="shared" si="74"/>
        <v>0</v>
      </c>
      <c r="AA192" s="2">
        <f t="shared" si="75"/>
        <v>0</v>
      </c>
      <c r="AB192" s="2">
        <f t="shared" si="76"/>
        <v>0</v>
      </c>
      <c r="AC192" s="2"/>
      <c r="AD192" s="2">
        <f t="shared" si="77"/>
        <v>1</v>
      </c>
      <c r="AE192" s="2">
        <f t="shared" si="78"/>
        <v>0</v>
      </c>
      <c r="AF192" s="2">
        <f t="shared" si="63"/>
        <v>1</v>
      </c>
      <c r="AG192" s="2">
        <f t="shared" si="64"/>
        <v>0</v>
      </c>
      <c r="AH192" s="2">
        <f t="shared" si="65"/>
        <v>1</v>
      </c>
      <c r="AI192" s="2">
        <f t="shared" si="66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3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67"/>
        <v>0</v>
      </c>
      <c r="T193" s="2">
        <f t="shared" si="68"/>
        <v>0</v>
      </c>
      <c r="U193" s="2">
        <f t="shared" si="69"/>
        <v>0</v>
      </c>
      <c r="V193" s="2">
        <f t="shared" si="70"/>
        <v>0</v>
      </c>
      <c r="W193" s="2">
        <f t="shared" si="71"/>
        <v>0</v>
      </c>
      <c r="X193" s="2">
        <f t="shared" si="72"/>
        <v>1</v>
      </c>
      <c r="Y193" s="2">
        <f t="shared" si="73"/>
        <v>0</v>
      </c>
      <c r="Z193" s="2">
        <f t="shared" si="74"/>
        <v>0</v>
      </c>
      <c r="AA193" s="2">
        <f t="shared" si="75"/>
        <v>0</v>
      </c>
      <c r="AB193" s="2">
        <f t="shared" si="76"/>
        <v>0</v>
      </c>
      <c r="AC193" s="2"/>
      <c r="AD193" s="2">
        <f t="shared" si="77"/>
        <v>1</v>
      </c>
      <c r="AE193" s="2">
        <f t="shared" si="78"/>
        <v>0</v>
      </c>
      <c r="AF193" s="2">
        <f t="shared" si="63"/>
        <v>0</v>
      </c>
      <c r="AG193" s="2">
        <f t="shared" si="64"/>
        <v>0</v>
      </c>
      <c r="AH193" s="2">
        <f t="shared" si="65"/>
        <v>0</v>
      </c>
      <c r="AI193" s="2">
        <f t="shared" si="66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3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67"/>
        <v>1</v>
      </c>
      <c r="T194" s="2">
        <f t="shared" si="68"/>
        <v>0</v>
      </c>
      <c r="U194" s="2">
        <f t="shared" si="69"/>
        <v>0</v>
      </c>
      <c r="V194" s="2">
        <f t="shared" si="70"/>
        <v>0</v>
      </c>
      <c r="W194" s="2">
        <f t="shared" si="71"/>
        <v>0</v>
      </c>
      <c r="X194" s="2">
        <f t="shared" si="72"/>
        <v>0</v>
      </c>
      <c r="Y194" s="2">
        <f t="shared" si="73"/>
        <v>0</v>
      </c>
      <c r="Z194" s="2">
        <f t="shared" si="74"/>
        <v>0</v>
      </c>
      <c r="AA194" s="2">
        <f t="shared" si="75"/>
        <v>0</v>
      </c>
      <c r="AB194" s="2">
        <f t="shared" si="76"/>
        <v>0</v>
      </c>
      <c r="AC194" s="2"/>
      <c r="AD194" s="2">
        <f t="shared" si="77"/>
        <v>1</v>
      </c>
      <c r="AE194" s="2">
        <f t="shared" si="78"/>
        <v>0</v>
      </c>
      <c r="AF194" s="2">
        <f t="shared" si="63"/>
        <v>0</v>
      </c>
      <c r="AG194" s="2">
        <f t="shared" si="64"/>
        <v>0</v>
      </c>
      <c r="AH194" s="2">
        <f t="shared" si="65"/>
        <v>0</v>
      </c>
      <c r="AI194" s="2">
        <f t="shared" si="66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3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79">IF(J195=$S$7,1,0)</f>
        <v>0</v>
      </c>
      <c r="T195" s="2">
        <f t="shared" ref="T195" si="80">IF(J195=$T$7,1,0)</f>
        <v>0</v>
      </c>
      <c r="U195" s="2">
        <f t="shared" ref="U195" si="81">IF(J195=$U$7,1,0)</f>
        <v>1</v>
      </c>
      <c r="V195" s="2">
        <f t="shared" ref="V195" si="82">IF(J195=$V$7,1,0)</f>
        <v>0</v>
      </c>
      <c r="W195" s="2">
        <f t="shared" ref="W195" si="83">IF(J195=$W$7,1,0)</f>
        <v>0</v>
      </c>
      <c r="X195" s="2">
        <f t="shared" ref="X195" si="84">IF(J195=$X$7,1,0)</f>
        <v>0</v>
      </c>
      <c r="Y195" s="2">
        <f t="shared" ref="Y195" si="85">IF(J195=$Y$7,1,0)</f>
        <v>0</v>
      </c>
      <c r="Z195" s="2">
        <f t="shared" ref="Z195" si="86">IF(J195=$Z$7,1,0)</f>
        <v>0</v>
      </c>
      <c r="AA195" s="2">
        <f t="shared" ref="AA195" si="87">IF(J195=$AA$7,1,0)</f>
        <v>0</v>
      </c>
      <c r="AB195" s="2">
        <f t="shared" ref="AB195" si="88">IF(J195=$AB$7,1,0)</f>
        <v>0</v>
      </c>
      <c r="AC195" s="2"/>
      <c r="AD195" s="2">
        <f t="shared" ref="AD195" si="89">+O195*P195</f>
        <v>1</v>
      </c>
      <c r="AE195" s="2">
        <f t="shared" ref="AE195" si="90">O195*(1-P195)</f>
        <v>0</v>
      </c>
      <c r="AF195" s="2">
        <f t="shared" ref="AF195" si="91">+O195*P195*(1-A195)</f>
        <v>1</v>
      </c>
      <c r="AG195" s="2">
        <f t="shared" ref="AG195" si="92">O195*(1-P195)*(1-A195)</f>
        <v>0</v>
      </c>
      <c r="AH195" s="2">
        <f t="shared" ref="AH195" si="93">+P195*(1-A195)</f>
        <v>1</v>
      </c>
      <c r="AI195" s="2">
        <f t="shared" ref="AI195" si="94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3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902</v>
      </c>
      <c r="G196" s="34" t="s">
        <v>72</v>
      </c>
      <c r="H196" s="34" t="s">
        <v>190</v>
      </c>
      <c r="I196" s="33" t="s">
        <v>903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67"/>
        <v>0</v>
      </c>
      <c r="T196" s="2">
        <f t="shared" si="68"/>
        <v>0</v>
      </c>
      <c r="U196" s="2">
        <f t="shared" si="69"/>
        <v>0</v>
      </c>
      <c r="V196" s="2">
        <f t="shared" si="70"/>
        <v>1</v>
      </c>
      <c r="W196" s="2">
        <f t="shared" si="71"/>
        <v>0</v>
      </c>
      <c r="X196" s="2">
        <f t="shared" si="72"/>
        <v>0</v>
      </c>
      <c r="Y196" s="2">
        <f t="shared" si="73"/>
        <v>0</v>
      </c>
      <c r="Z196" s="2">
        <f t="shared" si="74"/>
        <v>0</v>
      </c>
      <c r="AA196" s="2">
        <f t="shared" si="75"/>
        <v>0</v>
      </c>
      <c r="AB196" s="2">
        <f t="shared" si="76"/>
        <v>0</v>
      </c>
      <c r="AC196" s="2"/>
      <c r="AD196" s="2">
        <f t="shared" si="77"/>
        <v>1</v>
      </c>
      <c r="AE196" s="2">
        <f t="shared" si="78"/>
        <v>0</v>
      </c>
      <c r="AF196" s="2">
        <f t="shared" si="63"/>
        <v>0</v>
      </c>
      <c r="AG196" s="2">
        <f t="shared" si="64"/>
        <v>0</v>
      </c>
      <c r="AH196" s="2">
        <f t="shared" si="65"/>
        <v>0</v>
      </c>
      <c r="AI196" s="2">
        <f t="shared" si="66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3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67"/>
        <v>0</v>
      </c>
      <c r="T197" s="2">
        <f t="shared" si="68"/>
        <v>0</v>
      </c>
      <c r="U197" s="2">
        <f t="shared" si="69"/>
        <v>0</v>
      </c>
      <c r="V197" s="2">
        <f t="shared" si="70"/>
        <v>0</v>
      </c>
      <c r="W197" s="2">
        <f t="shared" si="71"/>
        <v>0</v>
      </c>
      <c r="X197" s="2">
        <f t="shared" si="72"/>
        <v>0</v>
      </c>
      <c r="Y197" s="2">
        <f t="shared" si="73"/>
        <v>0</v>
      </c>
      <c r="Z197" s="2">
        <f t="shared" si="74"/>
        <v>0</v>
      </c>
      <c r="AA197" s="2">
        <f t="shared" si="75"/>
        <v>0</v>
      </c>
      <c r="AB197" s="2">
        <f t="shared" si="76"/>
        <v>0</v>
      </c>
      <c r="AC197" s="2"/>
      <c r="AD197" s="2">
        <f t="shared" si="77"/>
        <v>0</v>
      </c>
      <c r="AE197" s="2">
        <f t="shared" si="78"/>
        <v>0</v>
      </c>
      <c r="AF197" s="2">
        <f t="shared" si="63"/>
        <v>0</v>
      </c>
      <c r="AG197" s="2">
        <f t="shared" si="64"/>
        <v>0</v>
      </c>
      <c r="AH197" s="2">
        <f t="shared" si="65"/>
        <v>0</v>
      </c>
      <c r="AI197" s="2">
        <f t="shared" si="66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3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67"/>
        <v>0</v>
      </c>
      <c r="T198" s="2">
        <f t="shared" si="68"/>
        <v>0</v>
      </c>
      <c r="U198" s="2">
        <f t="shared" si="69"/>
        <v>0</v>
      </c>
      <c r="V198" s="2">
        <f t="shared" si="70"/>
        <v>0</v>
      </c>
      <c r="W198" s="2">
        <f t="shared" si="71"/>
        <v>0</v>
      </c>
      <c r="X198" s="2">
        <f t="shared" si="72"/>
        <v>0</v>
      </c>
      <c r="Y198" s="2">
        <f t="shared" si="73"/>
        <v>1</v>
      </c>
      <c r="Z198" s="2">
        <f t="shared" si="74"/>
        <v>0</v>
      </c>
      <c r="AA198" s="2">
        <f t="shared" si="75"/>
        <v>0</v>
      </c>
      <c r="AB198" s="2">
        <f t="shared" si="76"/>
        <v>0</v>
      </c>
      <c r="AC198" s="2"/>
      <c r="AD198" s="2">
        <f t="shared" si="77"/>
        <v>0</v>
      </c>
      <c r="AE198" s="2">
        <f t="shared" si="78"/>
        <v>0</v>
      </c>
      <c r="AF198" s="2">
        <f t="shared" si="63"/>
        <v>0</v>
      </c>
      <c r="AG198" s="2">
        <f t="shared" si="64"/>
        <v>0</v>
      </c>
      <c r="AH198" s="2">
        <f t="shared" si="65"/>
        <v>0</v>
      </c>
      <c r="AI198" s="2">
        <f t="shared" si="66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3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67"/>
        <v>0</v>
      </c>
      <c r="T199" s="2">
        <f t="shared" si="68"/>
        <v>0</v>
      </c>
      <c r="U199" s="2">
        <f t="shared" si="69"/>
        <v>0</v>
      </c>
      <c r="V199" s="2">
        <f t="shared" si="70"/>
        <v>0</v>
      </c>
      <c r="W199" s="2">
        <f t="shared" si="71"/>
        <v>0</v>
      </c>
      <c r="X199" s="2">
        <f t="shared" si="72"/>
        <v>0</v>
      </c>
      <c r="Y199" s="2">
        <f t="shared" si="73"/>
        <v>0</v>
      </c>
      <c r="Z199" s="2">
        <f t="shared" si="74"/>
        <v>0</v>
      </c>
      <c r="AA199" s="2">
        <f t="shared" si="75"/>
        <v>0</v>
      </c>
      <c r="AB199" s="2">
        <f t="shared" si="76"/>
        <v>0</v>
      </c>
      <c r="AC199" s="2"/>
      <c r="AD199" s="2">
        <f t="shared" si="77"/>
        <v>0</v>
      </c>
      <c r="AE199" s="2">
        <f t="shared" si="78"/>
        <v>0</v>
      </c>
      <c r="AF199" s="2">
        <f t="shared" ref="AF199:AF216" si="95">+O199*P199*(1-A199)</f>
        <v>0</v>
      </c>
      <c r="AG199" s="2">
        <f t="shared" ref="AG199:AG216" si="96">O199*(1-P199)*(1-A199)</f>
        <v>0</v>
      </c>
      <c r="AH199" s="2">
        <f t="shared" ref="AH199:AH216" si="97">+P199*(1-A199)</f>
        <v>0</v>
      </c>
      <c r="AI199" s="2">
        <f t="shared" ref="AI199:AI216" si="98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3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67"/>
        <v>0</v>
      </c>
      <c r="T200" s="2">
        <f t="shared" si="68"/>
        <v>0</v>
      </c>
      <c r="U200" s="2">
        <f t="shared" si="69"/>
        <v>0</v>
      </c>
      <c r="V200" s="2">
        <f t="shared" si="70"/>
        <v>1</v>
      </c>
      <c r="W200" s="2">
        <f t="shared" si="71"/>
        <v>0</v>
      </c>
      <c r="X200" s="2">
        <f t="shared" si="72"/>
        <v>0</v>
      </c>
      <c r="Y200" s="2">
        <f t="shared" si="73"/>
        <v>0</v>
      </c>
      <c r="Z200" s="2">
        <f t="shared" si="74"/>
        <v>0</v>
      </c>
      <c r="AA200" s="2">
        <f t="shared" si="75"/>
        <v>0</v>
      </c>
      <c r="AB200" s="2">
        <f t="shared" si="76"/>
        <v>0</v>
      </c>
      <c r="AC200" s="2"/>
      <c r="AD200" s="2">
        <f t="shared" si="77"/>
        <v>1</v>
      </c>
      <c r="AE200" s="2">
        <f t="shared" si="78"/>
        <v>0</v>
      </c>
      <c r="AF200" s="2">
        <f t="shared" si="95"/>
        <v>1</v>
      </c>
      <c r="AG200" s="2">
        <f t="shared" si="96"/>
        <v>0</v>
      </c>
      <c r="AH200" s="2">
        <f t="shared" si="97"/>
        <v>1</v>
      </c>
      <c r="AI200" s="2">
        <f t="shared" si="98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3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67"/>
        <v>0</v>
      </c>
      <c r="T201" s="2">
        <f t="shared" si="68"/>
        <v>0</v>
      </c>
      <c r="U201" s="2">
        <f t="shared" si="69"/>
        <v>0</v>
      </c>
      <c r="V201" s="2">
        <f t="shared" si="70"/>
        <v>0</v>
      </c>
      <c r="W201" s="2">
        <f t="shared" si="71"/>
        <v>0</v>
      </c>
      <c r="X201" s="2">
        <f t="shared" si="72"/>
        <v>0</v>
      </c>
      <c r="Y201" s="2">
        <f t="shared" si="73"/>
        <v>0</v>
      </c>
      <c r="Z201" s="2">
        <f t="shared" si="74"/>
        <v>0</v>
      </c>
      <c r="AA201" s="2">
        <f t="shared" si="75"/>
        <v>0</v>
      </c>
      <c r="AB201" s="2">
        <f t="shared" si="76"/>
        <v>0</v>
      </c>
      <c r="AC201" s="2"/>
      <c r="AD201" s="2">
        <f t="shared" si="77"/>
        <v>1</v>
      </c>
      <c r="AE201" s="2">
        <f t="shared" si="78"/>
        <v>0</v>
      </c>
      <c r="AF201" s="2">
        <f t="shared" si="95"/>
        <v>0</v>
      </c>
      <c r="AG201" s="2">
        <f t="shared" si="96"/>
        <v>0</v>
      </c>
      <c r="AH201" s="2">
        <f t="shared" si="97"/>
        <v>0</v>
      </c>
      <c r="AI201" s="2">
        <f t="shared" si="98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3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67"/>
        <v>1</v>
      </c>
      <c r="T202" s="2">
        <f t="shared" si="68"/>
        <v>0</v>
      </c>
      <c r="U202" s="2">
        <f t="shared" si="69"/>
        <v>0</v>
      </c>
      <c r="V202" s="2">
        <f t="shared" si="70"/>
        <v>0</v>
      </c>
      <c r="W202" s="2">
        <f t="shared" si="71"/>
        <v>0</v>
      </c>
      <c r="X202" s="2">
        <f t="shared" si="72"/>
        <v>0</v>
      </c>
      <c r="Y202" s="2">
        <f t="shared" si="73"/>
        <v>0</v>
      </c>
      <c r="Z202" s="2">
        <f t="shared" si="74"/>
        <v>0</v>
      </c>
      <c r="AA202" s="2">
        <f t="shared" si="75"/>
        <v>0</v>
      </c>
      <c r="AB202" s="2">
        <f t="shared" si="76"/>
        <v>0</v>
      </c>
      <c r="AC202" s="2"/>
      <c r="AD202" s="2">
        <f t="shared" si="77"/>
        <v>0</v>
      </c>
      <c r="AE202" s="2">
        <f t="shared" si="78"/>
        <v>1</v>
      </c>
      <c r="AF202" s="2">
        <f t="shared" si="95"/>
        <v>0</v>
      </c>
      <c r="AG202" s="2">
        <f t="shared" si="96"/>
        <v>1</v>
      </c>
      <c r="AH202" s="2">
        <f t="shared" si="97"/>
        <v>0</v>
      </c>
      <c r="AI202" s="2">
        <f t="shared" si="98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3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67"/>
        <v>0</v>
      </c>
      <c r="T203" s="2">
        <f t="shared" si="68"/>
        <v>0</v>
      </c>
      <c r="U203" s="2">
        <f t="shared" si="69"/>
        <v>0</v>
      </c>
      <c r="V203" s="2">
        <f t="shared" si="70"/>
        <v>0</v>
      </c>
      <c r="W203" s="2">
        <f t="shared" si="71"/>
        <v>0</v>
      </c>
      <c r="X203" s="2">
        <f t="shared" si="72"/>
        <v>1</v>
      </c>
      <c r="Y203" s="2">
        <f t="shared" si="73"/>
        <v>0</v>
      </c>
      <c r="Z203" s="2">
        <f t="shared" si="74"/>
        <v>0</v>
      </c>
      <c r="AA203" s="2">
        <f t="shared" si="75"/>
        <v>0</v>
      </c>
      <c r="AB203" s="2">
        <f t="shared" si="76"/>
        <v>0</v>
      </c>
      <c r="AC203" s="2"/>
      <c r="AD203" s="2">
        <f t="shared" si="77"/>
        <v>0</v>
      </c>
      <c r="AE203" s="2">
        <f t="shared" si="78"/>
        <v>1</v>
      </c>
      <c r="AF203" s="2">
        <f t="shared" si="95"/>
        <v>0</v>
      </c>
      <c r="AG203" s="2">
        <f t="shared" si="96"/>
        <v>0</v>
      </c>
      <c r="AH203" s="2">
        <f t="shared" si="97"/>
        <v>0</v>
      </c>
      <c r="AI203" s="2">
        <f t="shared" si="98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3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67"/>
        <v>0</v>
      </c>
      <c r="T204" s="2">
        <f t="shared" si="68"/>
        <v>0</v>
      </c>
      <c r="U204" s="2">
        <f t="shared" si="69"/>
        <v>0</v>
      </c>
      <c r="V204" s="2">
        <f t="shared" si="70"/>
        <v>0</v>
      </c>
      <c r="W204" s="2">
        <f t="shared" si="71"/>
        <v>0</v>
      </c>
      <c r="X204" s="2">
        <f t="shared" si="72"/>
        <v>1</v>
      </c>
      <c r="Y204" s="2">
        <f t="shared" si="73"/>
        <v>0</v>
      </c>
      <c r="Z204" s="2">
        <f t="shared" si="74"/>
        <v>0</v>
      </c>
      <c r="AA204" s="2">
        <f t="shared" si="75"/>
        <v>0</v>
      </c>
      <c r="AB204" s="2">
        <f t="shared" si="76"/>
        <v>0</v>
      </c>
      <c r="AC204" s="2"/>
      <c r="AD204" s="2">
        <f t="shared" si="77"/>
        <v>1</v>
      </c>
      <c r="AE204" s="2">
        <f t="shared" si="78"/>
        <v>0</v>
      </c>
      <c r="AF204" s="2">
        <f t="shared" si="95"/>
        <v>1</v>
      </c>
      <c r="AG204" s="2">
        <f t="shared" si="96"/>
        <v>0</v>
      </c>
      <c r="AH204" s="2">
        <f t="shared" si="97"/>
        <v>1</v>
      </c>
      <c r="AI204" s="2">
        <f t="shared" si="98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3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67"/>
        <v>0</v>
      </c>
      <c r="T205" s="2">
        <f t="shared" si="68"/>
        <v>0</v>
      </c>
      <c r="U205" s="2">
        <f t="shared" si="69"/>
        <v>0</v>
      </c>
      <c r="V205" s="2">
        <f t="shared" si="70"/>
        <v>0</v>
      </c>
      <c r="W205" s="2">
        <f t="shared" si="71"/>
        <v>0</v>
      </c>
      <c r="X205" s="2">
        <f t="shared" si="72"/>
        <v>0</v>
      </c>
      <c r="Y205" s="2">
        <f t="shared" si="73"/>
        <v>0</v>
      </c>
      <c r="Z205" s="2">
        <f t="shared" si="74"/>
        <v>0</v>
      </c>
      <c r="AA205" s="2">
        <f t="shared" si="75"/>
        <v>0</v>
      </c>
      <c r="AB205" s="2">
        <f t="shared" si="76"/>
        <v>0</v>
      </c>
      <c r="AC205" s="2"/>
      <c r="AD205" s="2">
        <f t="shared" si="77"/>
        <v>1</v>
      </c>
      <c r="AE205" s="2">
        <f t="shared" si="78"/>
        <v>0</v>
      </c>
      <c r="AF205" s="2">
        <f t="shared" si="95"/>
        <v>0</v>
      </c>
      <c r="AG205" s="2">
        <f t="shared" si="96"/>
        <v>0</v>
      </c>
      <c r="AH205" s="2">
        <f t="shared" si="97"/>
        <v>0</v>
      </c>
      <c r="AI205" s="2">
        <f t="shared" si="98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3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67"/>
        <v>0</v>
      </c>
      <c r="T206" s="2">
        <f t="shared" si="68"/>
        <v>0</v>
      </c>
      <c r="U206" s="2">
        <f t="shared" si="69"/>
        <v>0</v>
      </c>
      <c r="V206" s="2">
        <f t="shared" si="70"/>
        <v>1</v>
      </c>
      <c r="W206" s="2">
        <f t="shared" si="71"/>
        <v>0</v>
      </c>
      <c r="X206" s="2">
        <f t="shared" si="72"/>
        <v>0</v>
      </c>
      <c r="Y206" s="2">
        <f t="shared" si="73"/>
        <v>0</v>
      </c>
      <c r="Z206" s="2">
        <f t="shared" si="74"/>
        <v>0</v>
      </c>
      <c r="AA206" s="2">
        <f t="shared" si="75"/>
        <v>0</v>
      </c>
      <c r="AB206" s="2">
        <f t="shared" si="76"/>
        <v>0</v>
      </c>
      <c r="AC206" s="2"/>
      <c r="AD206" s="2">
        <f t="shared" si="77"/>
        <v>0</v>
      </c>
      <c r="AE206" s="2">
        <f t="shared" si="78"/>
        <v>1</v>
      </c>
      <c r="AF206" s="2">
        <f t="shared" si="95"/>
        <v>0</v>
      </c>
      <c r="AG206" s="2">
        <f t="shared" si="96"/>
        <v>1</v>
      </c>
      <c r="AH206" s="2">
        <f t="shared" si="97"/>
        <v>0</v>
      </c>
      <c r="AI206" s="2">
        <f t="shared" si="98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3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67"/>
        <v>0</v>
      </c>
      <c r="T207" s="2">
        <f t="shared" si="68"/>
        <v>1</v>
      </c>
      <c r="U207" s="2">
        <f t="shared" si="69"/>
        <v>0</v>
      </c>
      <c r="V207" s="2">
        <f t="shared" si="70"/>
        <v>0</v>
      </c>
      <c r="W207" s="2">
        <f t="shared" si="71"/>
        <v>0</v>
      </c>
      <c r="X207" s="2">
        <f t="shared" si="72"/>
        <v>0</v>
      </c>
      <c r="Y207" s="2">
        <f t="shared" si="73"/>
        <v>0</v>
      </c>
      <c r="Z207" s="2">
        <f t="shared" si="74"/>
        <v>0</v>
      </c>
      <c r="AA207" s="2">
        <f t="shared" si="75"/>
        <v>0</v>
      </c>
      <c r="AB207" s="2">
        <f t="shared" si="76"/>
        <v>0</v>
      </c>
      <c r="AC207" s="2"/>
      <c r="AD207" s="2">
        <f t="shared" si="77"/>
        <v>0</v>
      </c>
      <c r="AE207" s="2">
        <f t="shared" si="78"/>
        <v>1</v>
      </c>
      <c r="AF207" s="2">
        <f t="shared" si="95"/>
        <v>0</v>
      </c>
      <c r="AG207" s="2">
        <f t="shared" si="96"/>
        <v>0</v>
      </c>
      <c r="AH207" s="2">
        <f t="shared" si="97"/>
        <v>0</v>
      </c>
      <c r="AI207" s="2">
        <f t="shared" si="98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3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67"/>
        <v>1</v>
      </c>
      <c r="T208" s="2">
        <f t="shared" si="68"/>
        <v>0</v>
      </c>
      <c r="U208" s="2">
        <f t="shared" si="69"/>
        <v>0</v>
      </c>
      <c r="V208" s="2">
        <f t="shared" si="70"/>
        <v>0</v>
      </c>
      <c r="W208" s="2">
        <f t="shared" si="71"/>
        <v>0</v>
      </c>
      <c r="X208" s="2">
        <f t="shared" si="72"/>
        <v>0</v>
      </c>
      <c r="Y208" s="2">
        <f t="shared" si="73"/>
        <v>0</v>
      </c>
      <c r="Z208" s="2">
        <f t="shared" si="74"/>
        <v>0</v>
      </c>
      <c r="AA208" s="2">
        <f t="shared" si="75"/>
        <v>0</v>
      </c>
      <c r="AB208" s="2">
        <f t="shared" si="76"/>
        <v>0</v>
      </c>
      <c r="AC208" s="2"/>
      <c r="AD208" s="2">
        <f t="shared" si="77"/>
        <v>1</v>
      </c>
      <c r="AE208" s="2">
        <f t="shared" si="78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3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67"/>
        <v>0</v>
      </c>
      <c r="T209" s="2">
        <f t="shared" si="68"/>
        <v>1</v>
      </c>
      <c r="U209" s="2">
        <f t="shared" si="69"/>
        <v>0</v>
      </c>
      <c r="V209" s="2">
        <f t="shared" si="70"/>
        <v>0</v>
      </c>
      <c r="W209" s="2">
        <f t="shared" si="71"/>
        <v>0</v>
      </c>
      <c r="X209" s="2">
        <f t="shared" si="72"/>
        <v>0</v>
      </c>
      <c r="Y209" s="2">
        <f t="shared" si="73"/>
        <v>0</v>
      </c>
      <c r="Z209" s="2">
        <f t="shared" si="74"/>
        <v>0</v>
      </c>
      <c r="AA209" s="2">
        <f t="shared" si="75"/>
        <v>0</v>
      </c>
      <c r="AB209" s="2">
        <f t="shared" si="76"/>
        <v>0</v>
      </c>
      <c r="AC209" s="2"/>
      <c r="AD209" s="2">
        <f t="shared" si="77"/>
        <v>1</v>
      </c>
      <c r="AE209" s="2">
        <f t="shared" si="78"/>
        <v>0</v>
      </c>
      <c r="AF209" s="2">
        <f t="shared" si="95"/>
        <v>1</v>
      </c>
      <c r="AG209" s="2">
        <f t="shared" si="96"/>
        <v>0</v>
      </c>
      <c r="AH209" s="2">
        <f t="shared" si="97"/>
        <v>1</v>
      </c>
      <c r="AI209" s="2">
        <f t="shared" si="98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3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67"/>
        <v>1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C210" s="2"/>
      <c r="AD210" s="2">
        <f t="shared" si="77"/>
        <v>0</v>
      </c>
      <c r="AE210" s="2">
        <f t="shared" si="78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3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99">IF(J211=$S$7,1,0)</f>
        <v>0</v>
      </c>
      <c r="T211" s="2">
        <f t="shared" ref="T211:T217" si="100">IF(J211=$T$7,1,0)</f>
        <v>0</v>
      </c>
      <c r="U211" s="2">
        <f t="shared" ref="U211:U217" si="101">IF(J211=$U$7,1,0)</f>
        <v>0</v>
      </c>
      <c r="V211" s="2">
        <f t="shared" ref="V211:V217" si="102">IF(J211=$V$7,1,0)</f>
        <v>0</v>
      </c>
      <c r="W211" s="2">
        <f t="shared" ref="W211:W217" si="103">IF(J211=$W$7,1,0)</f>
        <v>0</v>
      </c>
      <c r="X211" s="2">
        <f t="shared" ref="X211:X217" si="104">IF(J211=$X$7,1,0)</f>
        <v>0</v>
      </c>
      <c r="Y211" s="2">
        <f t="shared" ref="Y211:Y217" si="105">IF(J211=$Y$7,1,0)</f>
        <v>0</v>
      </c>
      <c r="Z211" s="2">
        <f t="shared" ref="Z211:Z217" si="106">IF(J211=$Z$7,1,0)</f>
        <v>0</v>
      </c>
      <c r="AA211" s="2">
        <f t="shared" ref="AA211:AA217" si="107">IF(J211=$AA$7,1,0)</f>
        <v>0</v>
      </c>
      <c r="AB211" s="2">
        <f t="shared" ref="AB211:AB217" si="108">IF(J211=$AB$7,1,0)</f>
        <v>0</v>
      </c>
      <c r="AC211" s="2"/>
      <c r="AD211" s="2">
        <f t="shared" ref="AD211:AD216" si="109">+O211*P211</f>
        <v>0</v>
      </c>
      <c r="AE211" s="2">
        <f t="shared" ref="AE211:AE216" si="110">O211*(1-P211)</f>
        <v>0</v>
      </c>
      <c r="AF211" s="2">
        <f t="shared" si="95"/>
        <v>0</v>
      </c>
      <c r="AG211" s="2">
        <f t="shared" si="96"/>
        <v>0</v>
      </c>
      <c r="AH211" s="2">
        <f t="shared" si="97"/>
        <v>0</v>
      </c>
      <c r="AI211" s="2">
        <f t="shared" si="98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3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99"/>
        <v>0</v>
      </c>
      <c r="T212" s="2">
        <f t="shared" si="100"/>
        <v>1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C212" s="2"/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3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99"/>
        <v>1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C213" s="2"/>
      <c r="AD213" s="2">
        <f t="shared" si="109"/>
        <v>1</v>
      </c>
      <c r="AE213" s="2">
        <f t="shared" si="110"/>
        <v>0</v>
      </c>
      <c r="AF213" s="2">
        <f t="shared" si="95"/>
        <v>0</v>
      </c>
      <c r="AG213" s="2">
        <f t="shared" si="96"/>
        <v>0</v>
      </c>
      <c r="AH213" s="2">
        <f t="shared" si="97"/>
        <v>0</v>
      </c>
      <c r="AI213" s="2">
        <f t="shared" si="98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3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99"/>
        <v>1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1</v>
      </c>
      <c r="AE214" s="2">
        <f t="shared" si="110"/>
        <v>0</v>
      </c>
      <c r="AF214" s="2">
        <f t="shared" si="95"/>
        <v>1</v>
      </c>
      <c r="AG214" s="2">
        <f t="shared" si="96"/>
        <v>0</v>
      </c>
      <c r="AH214" s="2">
        <f t="shared" si="97"/>
        <v>1</v>
      </c>
      <c r="AI214" s="2">
        <f t="shared" si="98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3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889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99"/>
        <v>0</v>
      </c>
      <c r="T215" s="2">
        <f t="shared" si="100"/>
        <v>0</v>
      </c>
      <c r="U215" s="2">
        <f t="shared" si="101"/>
        <v>0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1</v>
      </c>
      <c r="AE215" s="2">
        <f t="shared" si="110"/>
        <v>0</v>
      </c>
      <c r="AF215" s="2">
        <f t="shared" si="95"/>
        <v>0</v>
      </c>
      <c r="AG215" s="2">
        <f t="shared" si="96"/>
        <v>0</v>
      </c>
      <c r="AH215" s="2">
        <f t="shared" si="97"/>
        <v>0</v>
      </c>
      <c r="AI215" s="2">
        <f t="shared" si="98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3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879</v>
      </c>
      <c r="O216" s="38"/>
      <c r="P216" s="36"/>
      <c r="Q216" s="37"/>
      <c r="R216" s="13"/>
      <c r="S216" s="2">
        <f t="shared" si="99"/>
        <v>1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C216" s="2"/>
      <c r="AD216" s="2">
        <f t="shared" si="109"/>
        <v>0</v>
      </c>
      <c r="AE216" s="2">
        <f t="shared" si="110"/>
        <v>0</v>
      </c>
      <c r="AF216" s="2">
        <f t="shared" si="95"/>
        <v>0</v>
      </c>
      <c r="AG216" s="2">
        <f t="shared" si="96"/>
        <v>0</v>
      </c>
      <c r="AH216" s="2">
        <f t="shared" si="97"/>
        <v>0</v>
      </c>
      <c r="AI216" s="2">
        <f t="shared" si="98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3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99"/>
        <v>1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0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C217" s="2"/>
      <c r="AD217" s="2">
        <f t="shared" ref="AD217" si="111">+O217*P217</f>
        <v>1</v>
      </c>
      <c r="AE217" s="2">
        <f t="shared" ref="AE217" si="112">O217*(1-P217)</f>
        <v>0</v>
      </c>
      <c r="AF217" s="2">
        <f t="shared" ref="AF217" si="113">+O217*P217*(1-A217)</f>
        <v>1</v>
      </c>
      <c r="AG217" s="2">
        <f t="shared" ref="AG217" si="114">O217*(1-P217)*(1-A217)</f>
        <v>0</v>
      </c>
      <c r="AH217" s="2">
        <f t="shared" ref="AH217" si="115">+P217*(1-A217)</f>
        <v>1</v>
      </c>
      <c r="AI217" s="2">
        <f t="shared" ref="AI217" si="116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3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3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3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3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3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3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3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3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3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3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3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3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3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3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3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3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3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3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3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3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3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3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3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3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3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3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3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3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3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3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3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3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3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3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3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3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3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3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3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3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3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3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3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3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3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3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3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3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3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3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3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3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3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3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3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3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3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3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3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3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3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3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3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3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3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3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3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3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3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3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3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3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3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3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3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3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3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3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3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3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3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3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3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3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3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3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3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3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3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3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3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3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3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3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3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3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3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3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3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2026-08-07T12:45:30Z</dcterms:modified>
</cp:coreProperties>
</file>