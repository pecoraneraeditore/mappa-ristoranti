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69DB73B-3F62-4AC2-AB80-FA1EEF204093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5" i="6" l="1"/>
  <c r="AE185" i="6"/>
  <c r="AF185" i="6"/>
  <c r="AG185" i="6"/>
  <c r="S185" i="6"/>
  <c r="T185" i="6"/>
  <c r="U185" i="6"/>
  <c r="V185" i="6"/>
  <c r="W185" i="6"/>
  <c r="X185" i="6"/>
  <c r="Y185" i="6"/>
  <c r="Z185" i="6"/>
  <c r="AA185" i="6"/>
  <c r="AB185" i="6"/>
  <c r="AH185" i="6"/>
  <c r="AI185" i="6"/>
  <c r="AD151" i="6"/>
  <c r="AE151" i="6"/>
  <c r="AF151" i="6"/>
  <c r="AG151" i="6"/>
  <c r="S151" i="6"/>
  <c r="AH151" i="6"/>
  <c r="AI151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238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S192" i="6"/>
  <c r="AG192" i="6"/>
  <c r="AH192" i="6"/>
  <c r="AI192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6" i="6"/>
  <c r="AE196" i="6"/>
  <c r="AF196" i="6"/>
  <c r="AD197" i="6"/>
  <c r="AE197" i="6"/>
  <c r="AF197" i="6"/>
  <c r="S197" i="6"/>
  <c r="AG197" i="6"/>
  <c r="AH197" i="6"/>
  <c r="AI197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1" i="6"/>
  <c r="AG191" i="6"/>
  <c r="AH191" i="6"/>
  <c r="AI191" i="6"/>
  <c r="S193" i="6"/>
  <c r="AG193" i="6"/>
  <c r="AH193" i="6"/>
  <c r="AI193" i="6"/>
  <c r="S194" i="6"/>
  <c r="AG194" i="6"/>
  <c r="AH194" i="6"/>
  <c r="AI194" i="6"/>
  <c r="S195" i="6"/>
  <c r="AD195" i="6"/>
  <c r="AE195" i="6"/>
  <c r="AF195" i="6"/>
  <c r="AG195" i="6"/>
  <c r="AH195" i="6"/>
  <c r="AI195" i="6"/>
  <c r="S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9" i="6"/>
  <c r="S240" i="6"/>
  <c r="S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51" i="6" l="1"/>
  <c r="T238" i="6"/>
  <c r="T291" i="6"/>
  <c r="T85" i="6"/>
  <c r="T35" i="6"/>
  <c r="T34" i="6"/>
  <c r="T33" i="6"/>
  <c r="T32" i="6"/>
  <c r="T172" i="6"/>
  <c r="T171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2" i="6"/>
  <c r="T490" i="6"/>
  <c r="T495" i="6"/>
  <c r="T492" i="6"/>
  <c r="T494" i="6"/>
  <c r="T491" i="6"/>
  <c r="T493" i="6"/>
  <c r="T497" i="6"/>
  <c r="T496" i="6"/>
  <c r="T489" i="6"/>
  <c r="T488" i="6"/>
  <c r="T197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3" i="6"/>
  <c r="T191" i="6"/>
  <c r="T65" i="6"/>
  <c r="T386" i="6"/>
  <c r="T385" i="6"/>
  <c r="T384" i="6"/>
  <c r="T465" i="6"/>
  <c r="T277" i="6"/>
  <c r="T246" i="6"/>
  <c r="T278" i="6"/>
  <c r="T223" i="6"/>
  <c r="T222" i="6"/>
  <c r="T362" i="6"/>
  <c r="T348" i="6"/>
  <c r="T143" i="6"/>
  <c r="T168" i="6"/>
  <c r="T106" i="6"/>
  <c r="T144" i="6"/>
  <c r="T328" i="6"/>
  <c r="T105" i="6"/>
  <c r="T96" i="6"/>
  <c r="T95" i="6"/>
  <c r="T94" i="6"/>
  <c r="T303" i="6"/>
  <c r="T247" i="6"/>
  <c r="T379" i="6"/>
  <c r="T363" i="6"/>
  <c r="T327" i="6"/>
  <c r="T299" i="6"/>
  <c r="T275" i="6"/>
  <c r="T245" i="6"/>
  <c r="T221" i="6"/>
  <c r="T189" i="6"/>
  <c r="T71" i="6"/>
  <c r="T142" i="6"/>
  <c r="T102" i="6"/>
  <c r="T383" i="6"/>
  <c r="T350" i="6"/>
  <c r="T326" i="6"/>
  <c r="T298" i="6"/>
  <c r="T274" i="6"/>
  <c r="T244" i="6"/>
  <c r="T218" i="6"/>
  <c r="T188" i="6"/>
  <c r="T134" i="6"/>
  <c r="T66" i="6"/>
  <c r="T297" i="6"/>
  <c r="T187" i="6"/>
  <c r="T213" i="6"/>
  <c r="T401" i="6"/>
  <c r="T69" i="6"/>
  <c r="T211" i="6"/>
  <c r="T372" i="6"/>
  <c r="T409" i="6"/>
  <c r="T338" i="6"/>
  <c r="T315" i="6"/>
  <c r="T292" i="6"/>
  <c r="T81" i="6"/>
  <c r="T237" i="6"/>
  <c r="T210" i="6"/>
  <c r="T92" i="6"/>
  <c r="T126" i="6"/>
  <c r="T91" i="6"/>
  <c r="T129" i="6"/>
  <c r="T240" i="6"/>
  <c r="T354" i="6"/>
  <c r="T376" i="6"/>
  <c r="T420" i="6"/>
  <c r="T259" i="6"/>
  <c r="T314" i="6"/>
  <c r="T290" i="6"/>
  <c r="T253" i="6"/>
  <c r="T234" i="6"/>
  <c r="T209" i="6"/>
  <c r="T174" i="6"/>
  <c r="T125" i="6"/>
  <c r="T49" i="6"/>
  <c r="T336" i="6"/>
  <c r="T130" i="6"/>
  <c r="T268" i="6"/>
  <c r="T337" i="6"/>
  <c r="T264" i="6"/>
  <c r="T179" i="6"/>
  <c r="T405" i="6"/>
  <c r="T313" i="6"/>
  <c r="T254" i="6"/>
  <c r="T230" i="6"/>
  <c r="T207" i="6"/>
  <c r="T166" i="6"/>
  <c r="T156" i="6"/>
  <c r="T123" i="6"/>
  <c r="T48" i="6"/>
  <c r="T271" i="6"/>
  <c r="T61" i="6"/>
  <c r="T242" i="6"/>
  <c r="T295" i="6"/>
  <c r="T177" i="6"/>
  <c r="T380" i="6"/>
  <c r="T339" i="6"/>
  <c r="T289" i="6"/>
  <c r="T257" i="6"/>
  <c r="T312" i="6"/>
  <c r="T286" i="6"/>
  <c r="T255" i="6"/>
  <c r="T229" i="6"/>
  <c r="T206" i="6"/>
  <c r="T175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6" i="6"/>
  <c r="T228" i="6"/>
  <c r="T198" i="6"/>
  <c r="T70" i="6"/>
  <c r="T154" i="6"/>
  <c r="T118" i="6"/>
  <c r="T45" i="6"/>
  <c r="T243" i="6"/>
  <c r="T353" i="6"/>
  <c r="T183" i="6"/>
  <c r="T212" i="6"/>
  <c r="T368" i="6"/>
  <c r="T319" i="6"/>
  <c r="T239" i="6"/>
  <c r="T170" i="6"/>
  <c r="T59" i="6"/>
  <c r="T333" i="6"/>
  <c r="T310" i="6"/>
  <c r="T167" i="6"/>
  <c r="T196" i="6"/>
  <c r="T150" i="6"/>
  <c r="T402" i="6"/>
  <c r="T262" i="6"/>
  <c r="T308" i="6"/>
  <c r="T280" i="6"/>
  <c r="T178" i="6"/>
  <c r="T226" i="6"/>
  <c r="T195" i="6"/>
  <c r="T93" i="6"/>
  <c r="T146" i="6"/>
  <c r="T109" i="6"/>
  <c r="T41" i="6"/>
  <c r="T214" i="6"/>
  <c r="T323" i="6"/>
  <c r="T87" i="6"/>
  <c r="T294" i="6"/>
  <c r="T398" i="6"/>
  <c r="T261" i="6"/>
  <c r="T281" i="6"/>
  <c r="T227" i="6"/>
  <c r="T60" i="6"/>
  <c r="T114" i="6"/>
  <c r="T43" i="6"/>
  <c r="T406" i="6"/>
  <c r="T347" i="6"/>
  <c r="T263" i="6"/>
  <c r="T307" i="6"/>
  <c r="T279" i="6"/>
  <c r="T251" i="6"/>
  <c r="T225" i="6"/>
  <c r="T194" i="6"/>
  <c r="T75" i="6"/>
  <c r="T145" i="6"/>
  <c r="T107" i="6"/>
  <c r="T38" i="6"/>
  <c r="T62" i="6"/>
  <c r="T56" i="6"/>
  <c r="T141" i="6"/>
  <c r="T113" i="6"/>
  <c r="T80" i="6"/>
  <c r="T31" i="6"/>
  <c r="T205" i="6"/>
  <c r="T164" i="6"/>
  <c r="T139" i="6"/>
  <c r="T112" i="6"/>
  <c r="T64" i="6"/>
  <c r="T30" i="6"/>
  <c r="T202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4" i="6"/>
  <c r="T381" i="6"/>
  <c r="T480" i="6"/>
  <c r="T394" i="6"/>
  <c r="T397" i="6"/>
  <c r="T258" i="6"/>
  <c r="T355" i="6"/>
  <c r="T325" i="6"/>
  <c r="T309" i="6"/>
  <c r="T293" i="6"/>
  <c r="T276" i="6"/>
  <c r="T256" i="6"/>
  <c r="T241" i="6"/>
  <c r="T224" i="6"/>
  <c r="T208" i="6"/>
  <c r="T190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169" i="6"/>
  <c r="T236" i="6"/>
  <c r="T220" i="6"/>
  <c r="T204" i="6"/>
  <c r="T186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0" i="6"/>
  <c r="T320" i="6"/>
  <c r="T304" i="6"/>
  <c r="T287" i="6"/>
  <c r="T269" i="6"/>
  <c r="T252" i="6"/>
  <c r="T235" i="6"/>
  <c r="T219" i="6"/>
  <c r="T203" i="6"/>
  <c r="T184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0" i="6"/>
  <c r="T233" i="6"/>
  <c r="T217" i="6"/>
  <c r="T201" i="6"/>
  <c r="T182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49" i="6"/>
  <c r="T232" i="6"/>
  <c r="T216" i="6"/>
  <c r="T200" i="6"/>
  <c r="T181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8" i="6"/>
  <c r="T231" i="6"/>
  <c r="T215" i="6"/>
  <c r="T199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8" i="6" l="1"/>
  <c r="U151" i="6"/>
  <c r="U85" i="6"/>
  <c r="U291" i="6"/>
  <c r="U32" i="6"/>
  <c r="U33" i="6"/>
  <c r="U34" i="6"/>
  <c r="U35" i="6"/>
  <c r="U411" i="6"/>
  <c r="U171" i="6"/>
  <c r="U172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2" i="6"/>
  <c r="U52" i="6"/>
  <c r="U53" i="6"/>
  <c r="U54" i="6"/>
  <c r="U490" i="6"/>
  <c r="U496" i="6"/>
  <c r="U497" i="6"/>
  <c r="U493" i="6"/>
  <c r="U491" i="6"/>
  <c r="U494" i="6"/>
  <c r="U492" i="6"/>
  <c r="U495" i="6"/>
  <c r="U197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7" i="6"/>
  <c r="U463" i="6"/>
  <c r="U426" i="6"/>
  <c r="U467" i="6"/>
  <c r="U301" i="6"/>
  <c r="U226" i="6"/>
  <c r="U236" i="6"/>
  <c r="U319" i="6"/>
  <c r="U177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79" i="6"/>
  <c r="U212" i="6"/>
  <c r="U121" i="6"/>
  <c r="U334" i="6"/>
  <c r="U206" i="6"/>
  <c r="U303" i="6"/>
  <c r="U182" i="6"/>
  <c r="U45" i="6"/>
  <c r="U22" i="6"/>
  <c r="U194" i="6"/>
  <c r="U36" i="6"/>
  <c r="U24" i="6"/>
  <c r="U307" i="6"/>
  <c r="U124" i="6"/>
  <c r="U233" i="6"/>
  <c r="U209" i="6"/>
  <c r="U482" i="6"/>
  <c r="U487" i="6"/>
  <c r="U470" i="6"/>
  <c r="U20" i="6"/>
  <c r="U454" i="6"/>
  <c r="U331" i="6"/>
  <c r="U71" i="6"/>
  <c r="U469" i="6"/>
  <c r="U461" i="6"/>
  <c r="U242" i="6"/>
  <c r="U155" i="6"/>
  <c r="U323" i="6"/>
  <c r="U246" i="6"/>
  <c r="U235" i="6"/>
  <c r="U113" i="6"/>
  <c r="U205" i="6"/>
  <c r="U237" i="6"/>
  <c r="V7" i="6"/>
  <c r="U27" i="6"/>
  <c r="U472" i="6"/>
  <c r="U253" i="6"/>
  <c r="U452" i="6"/>
  <c r="U21" i="6"/>
  <c r="U112" i="6"/>
  <c r="U19" i="6"/>
  <c r="U69" i="6"/>
  <c r="U423" i="6"/>
  <c r="U140" i="6"/>
  <c r="U351" i="6"/>
  <c r="U221" i="6"/>
  <c r="U359" i="6"/>
  <c r="U79" i="6"/>
  <c r="U274" i="6"/>
  <c r="U211" i="6"/>
  <c r="U290" i="6"/>
  <c r="U460" i="6"/>
  <c r="U471" i="6"/>
  <c r="U57" i="6"/>
  <c r="U107" i="6"/>
  <c r="U73" i="6"/>
  <c r="U142" i="6"/>
  <c r="U133" i="6"/>
  <c r="U135" i="6"/>
  <c r="U342" i="6"/>
  <c r="U180" i="6"/>
  <c r="U278" i="6"/>
  <c r="U449" i="6"/>
  <c r="U9" i="6"/>
  <c r="U68" i="6"/>
  <c r="U176" i="6"/>
  <c r="U154" i="6"/>
  <c r="U109" i="6"/>
  <c r="U11" i="6"/>
  <c r="U297" i="6"/>
  <c r="U360" i="6"/>
  <c r="U196" i="6"/>
  <c r="U447" i="6"/>
  <c r="U199" i="6"/>
  <c r="U77" i="6"/>
  <c r="U299" i="6"/>
  <c r="U440" i="6"/>
  <c r="U281" i="6"/>
  <c r="U184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4" i="6"/>
  <c r="U163" i="6"/>
  <c r="U421" i="6"/>
  <c r="U86" i="6"/>
  <c r="U137" i="6"/>
  <c r="U431" i="6"/>
  <c r="U120" i="6"/>
  <c r="U152" i="6"/>
  <c r="U25" i="6"/>
  <c r="U313" i="6"/>
  <c r="U428" i="6"/>
  <c r="U213" i="6"/>
  <c r="U215" i="6"/>
  <c r="U318" i="6"/>
  <c r="U181" i="6"/>
  <c r="U321" i="6"/>
  <c r="U214" i="6"/>
  <c r="U59" i="6"/>
  <c r="U485" i="6"/>
  <c r="U126" i="6"/>
  <c r="U62" i="6"/>
  <c r="U8" i="6"/>
  <c r="U444" i="6"/>
  <c r="U361" i="6"/>
  <c r="U40" i="6"/>
  <c r="U227" i="6"/>
  <c r="U459" i="6"/>
  <c r="U89" i="6"/>
  <c r="U87" i="6"/>
  <c r="U430" i="6"/>
  <c r="U51" i="6"/>
  <c r="U91" i="6"/>
  <c r="U422" i="6"/>
  <c r="U104" i="6"/>
  <c r="U429" i="6"/>
  <c r="U260" i="6"/>
  <c r="U190" i="6"/>
  <c r="U173" i="6"/>
  <c r="U41" i="6"/>
  <c r="U168" i="6"/>
  <c r="U229" i="6"/>
  <c r="U464" i="6"/>
  <c r="U231" i="6"/>
  <c r="U262" i="6"/>
  <c r="U207" i="6"/>
  <c r="U376" i="6"/>
  <c r="U178" i="6"/>
  <c r="U419" i="6"/>
  <c r="U252" i="6"/>
  <c r="U82" i="6"/>
  <c r="U438" i="6"/>
  <c r="U458" i="6"/>
  <c r="U43" i="6"/>
  <c r="U38" i="6"/>
  <c r="U60" i="6"/>
  <c r="U55" i="6"/>
  <c r="U167" i="6"/>
  <c r="U486" i="6"/>
  <c r="U468" i="6"/>
  <c r="U129" i="6"/>
  <c r="U446" i="6"/>
  <c r="U224" i="6"/>
  <c r="U450" i="6"/>
  <c r="U193" i="6"/>
  <c r="U75" i="6"/>
  <c r="U484" i="6"/>
  <c r="U266" i="6"/>
  <c r="U407" i="6"/>
  <c r="U240" i="6"/>
  <c r="U283" i="6"/>
  <c r="U16" i="6"/>
  <c r="U216" i="6"/>
  <c r="U455" i="6"/>
  <c r="U29" i="6"/>
  <c r="U169" i="6"/>
  <c r="U442" i="6"/>
  <c r="U97" i="6"/>
  <c r="U451" i="6"/>
  <c r="U18" i="6"/>
  <c r="U448" i="6"/>
  <c r="U208" i="6"/>
  <c r="U136" i="6"/>
  <c r="U58" i="6"/>
  <c r="U445" i="6"/>
  <c r="U358" i="6"/>
  <c r="U256" i="6"/>
  <c r="U352" i="6"/>
  <c r="U234" i="6"/>
  <c r="U15" i="6"/>
  <c r="U437" i="6"/>
  <c r="U156" i="6"/>
  <c r="U439" i="6"/>
  <c r="U466" i="6"/>
  <c r="U130" i="6"/>
  <c r="U210" i="6"/>
  <c r="U92" i="6"/>
  <c r="U462" i="6"/>
  <c r="U284" i="6"/>
  <c r="U80" i="6"/>
  <c r="U279" i="6"/>
  <c r="U410" i="6"/>
  <c r="U186" i="6"/>
  <c r="U49" i="6"/>
  <c r="U90" i="6"/>
  <c r="U119" i="6"/>
  <c r="U304" i="6"/>
  <c r="U378" i="6"/>
  <c r="U122" i="6"/>
  <c r="U131" i="6"/>
  <c r="U302" i="6"/>
  <c r="U322" i="6"/>
  <c r="U396" i="6"/>
  <c r="U324" i="6"/>
  <c r="U195" i="6"/>
  <c r="U374" i="6"/>
  <c r="U320" i="6"/>
  <c r="U357" i="6"/>
  <c r="U425" i="6"/>
  <c r="U289" i="6"/>
  <c r="U373" i="6"/>
  <c r="U250" i="6"/>
  <c r="U392" i="6"/>
  <c r="U261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3" i="6"/>
  <c r="U48" i="6"/>
  <c r="U344" i="6"/>
  <c r="U382" i="6"/>
  <c r="U174" i="6"/>
  <c r="U46" i="6"/>
  <c r="U248" i="6"/>
  <c r="U81" i="6"/>
  <c r="U115" i="6"/>
  <c r="U400" i="6"/>
  <c r="U345" i="6"/>
  <c r="U123" i="6"/>
  <c r="U217" i="6"/>
  <c r="U255" i="6"/>
  <c r="U294" i="6"/>
  <c r="U239" i="6"/>
  <c r="U363" i="6"/>
  <c r="U258" i="6"/>
  <c r="U218" i="6"/>
  <c r="U247" i="6"/>
  <c r="U50" i="6"/>
  <c r="U165" i="6"/>
  <c r="U222" i="6"/>
  <c r="U265" i="6"/>
  <c r="U298" i="6"/>
  <c r="U251" i="6"/>
  <c r="U368" i="6"/>
  <c r="U399" i="6"/>
  <c r="U116" i="6"/>
  <c r="U402" i="6"/>
  <c r="U201" i="6"/>
  <c r="U98" i="6"/>
  <c r="U147" i="6"/>
  <c r="U480" i="6"/>
  <c r="U102" i="6"/>
  <c r="U170" i="6"/>
  <c r="U223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4" i="6"/>
  <c r="U347" i="6"/>
  <c r="U39" i="6"/>
  <c r="U296" i="6"/>
  <c r="U56" i="6"/>
  <c r="U225" i="6"/>
  <c r="U308" i="6"/>
  <c r="U371" i="6"/>
  <c r="U287" i="6"/>
  <c r="U293" i="6"/>
  <c r="U219" i="6"/>
  <c r="U61" i="6"/>
  <c r="U117" i="6"/>
  <c r="U153" i="6"/>
  <c r="U228" i="6"/>
  <c r="U270" i="6"/>
  <c r="U309" i="6"/>
  <c r="U356" i="6"/>
  <c r="U403" i="6"/>
  <c r="U148" i="6"/>
  <c r="U362" i="6"/>
  <c r="U398" i="6"/>
  <c r="U63" i="6"/>
  <c r="U118" i="6"/>
  <c r="U188" i="6"/>
  <c r="U230" i="6"/>
  <c r="U271" i="6"/>
  <c r="U311" i="6"/>
  <c r="U330" i="6"/>
  <c r="U372" i="6"/>
  <c r="U404" i="6"/>
  <c r="U232" i="6"/>
  <c r="U339" i="6"/>
  <c r="U379" i="6"/>
  <c r="U138" i="6"/>
  <c r="U259" i="6"/>
  <c r="U37" i="6"/>
  <c r="U64" i="6"/>
  <c r="U127" i="6"/>
  <c r="U189" i="6"/>
  <c r="U275" i="6"/>
  <c r="U312" i="6"/>
  <c r="U405" i="6"/>
  <c r="U276" i="6"/>
  <c r="U380" i="6"/>
  <c r="U139" i="6"/>
  <c r="U65" i="6"/>
  <c r="U143" i="6"/>
  <c r="U191" i="6"/>
  <c r="U314" i="6"/>
  <c r="U406" i="6"/>
  <c r="U141" i="6"/>
  <c r="U249" i="6"/>
  <c r="U367" i="6"/>
  <c r="U17" i="6"/>
  <c r="U66" i="6"/>
  <c r="U175" i="6"/>
  <c r="U198" i="6"/>
  <c r="U146" i="6"/>
  <c r="U277" i="6"/>
  <c r="U315" i="6"/>
  <c r="U338" i="6"/>
  <c r="U381" i="6"/>
  <c r="U286" i="6"/>
  <c r="U316" i="6"/>
  <c r="U383" i="6"/>
  <c r="U204" i="6"/>
  <c r="U397" i="6"/>
  <c r="U26" i="6"/>
  <c r="U67" i="6"/>
  <c r="U132" i="6"/>
  <c r="U200" i="6"/>
  <c r="U164" i="6"/>
  <c r="U354" i="6"/>
  <c r="U28" i="6"/>
  <c r="U337" i="6"/>
  <c r="U349" i="6"/>
  <c r="U295" i="6"/>
  <c r="U31" i="6"/>
  <c r="U84" i="6"/>
  <c r="U157" i="6"/>
  <c r="U202" i="6"/>
  <c r="U241" i="6"/>
  <c r="U288" i="6"/>
  <c r="U325" i="6"/>
  <c r="U353" i="6"/>
  <c r="U420" i="6"/>
  <c r="U243" i="6"/>
  <c r="U264" i="6"/>
  <c r="U88" i="6"/>
  <c r="U150" i="6"/>
  <c r="U203" i="6"/>
  <c r="U245" i="6"/>
  <c r="U292" i="6"/>
  <c r="U326" i="6"/>
  <c r="U336" i="6"/>
  <c r="U387" i="6"/>
  <c r="U348" i="6"/>
  <c r="U364" i="6"/>
  <c r="U220" i="6"/>
  <c r="U257" i="6"/>
  <c r="U268" i="6"/>
  <c r="F5" i="6"/>
  <c r="G5" i="6"/>
  <c r="E5" i="6"/>
  <c r="H4" i="6"/>
  <c r="H3" i="6"/>
  <c r="T5" i="6"/>
  <c r="V238" i="6" l="1"/>
  <c r="V151" i="6"/>
  <c r="V85" i="6"/>
  <c r="V291" i="6"/>
  <c r="V32" i="6"/>
  <c r="V33" i="6"/>
  <c r="V34" i="6"/>
  <c r="V35" i="6"/>
  <c r="V411" i="6"/>
  <c r="V171" i="6"/>
  <c r="V172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2" i="6"/>
  <c r="V480" i="6"/>
  <c r="V490" i="6"/>
  <c r="V496" i="6"/>
  <c r="V497" i="6"/>
  <c r="V493" i="6"/>
  <c r="V491" i="6"/>
  <c r="V494" i="6"/>
  <c r="V492" i="6"/>
  <c r="V495" i="6"/>
  <c r="V387" i="6"/>
  <c r="V194" i="6"/>
  <c r="V362" i="6"/>
  <c r="V244" i="6"/>
  <c r="V197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170" i="6"/>
  <c r="V290" i="6"/>
  <c r="V296" i="6"/>
  <c r="V232" i="6"/>
  <c r="V329" i="6"/>
  <c r="V28" i="6"/>
  <c r="V18" i="6"/>
  <c r="V239" i="6"/>
  <c r="V448" i="6"/>
  <c r="V187" i="6"/>
  <c r="V465" i="6"/>
  <c r="V384" i="6"/>
  <c r="V385" i="6"/>
  <c r="V386" i="6"/>
  <c r="V94" i="6"/>
  <c r="V95" i="6"/>
  <c r="V96" i="6"/>
  <c r="V156" i="6"/>
  <c r="V428" i="6"/>
  <c r="V209" i="6"/>
  <c r="V482" i="6"/>
  <c r="V257" i="6"/>
  <c r="V73" i="6"/>
  <c r="V365" i="6"/>
  <c r="V106" i="6"/>
  <c r="V398" i="6"/>
  <c r="V136" i="6"/>
  <c r="V258" i="6"/>
  <c r="V206" i="6"/>
  <c r="V260" i="6"/>
  <c r="V56" i="6"/>
  <c r="V287" i="6"/>
  <c r="V12" i="6"/>
  <c r="V235" i="6"/>
  <c r="V352" i="6"/>
  <c r="V51" i="6"/>
  <c r="V284" i="6"/>
  <c r="V460" i="6"/>
  <c r="V200" i="6"/>
  <c r="V299" i="6"/>
  <c r="V255" i="6"/>
  <c r="V401" i="6"/>
  <c r="V126" i="6"/>
  <c r="V450" i="6"/>
  <c r="V364" i="6"/>
  <c r="V65" i="6"/>
  <c r="V467" i="6"/>
  <c r="V355" i="6"/>
  <c r="V380" i="6"/>
  <c r="V120" i="6"/>
  <c r="V240" i="6"/>
  <c r="V449" i="6"/>
  <c r="V188" i="6"/>
  <c r="V149" i="6"/>
  <c r="V269" i="6"/>
  <c r="V483" i="6"/>
  <c r="V219" i="6"/>
  <c r="V333" i="6"/>
  <c r="V19" i="6"/>
  <c r="V266" i="6"/>
  <c r="V443" i="6"/>
  <c r="V181" i="6"/>
  <c r="V282" i="6"/>
  <c r="V403" i="6"/>
  <c r="V141" i="6"/>
  <c r="V245" i="6"/>
  <c r="V274" i="6"/>
  <c r="V462" i="6"/>
  <c r="V309" i="6"/>
  <c r="V487" i="6"/>
  <c r="V9" i="6"/>
  <c r="V253" i="6"/>
  <c r="V90" i="6"/>
  <c r="V438" i="6"/>
  <c r="V326" i="6"/>
  <c r="V66" i="6"/>
  <c r="V363" i="6"/>
  <c r="V104" i="6"/>
  <c r="V223" i="6"/>
  <c r="V175" i="6"/>
  <c r="V395" i="6"/>
  <c r="V133" i="6"/>
  <c r="V81" i="6"/>
  <c r="V463" i="6"/>
  <c r="V203" i="6"/>
  <c r="V318" i="6"/>
  <c r="V80" i="6"/>
  <c r="V250" i="6"/>
  <c r="W7" i="6"/>
  <c r="V93" i="6"/>
  <c r="V264" i="6"/>
  <c r="V125" i="6"/>
  <c r="V228" i="6"/>
  <c r="V486" i="6"/>
  <c r="V214" i="6"/>
  <c r="V454" i="6"/>
  <c r="V371" i="6"/>
  <c r="V471" i="6"/>
  <c r="V422" i="6"/>
  <c r="V310" i="6"/>
  <c r="V67" i="6"/>
  <c r="V356" i="6"/>
  <c r="V31" i="6"/>
  <c r="V207" i="6"/>
  <c r="V345" i="6"/>
  <c r="V82" i="6"/>
  <c r="V377" i="6"/>
  <c r="V117" i="6"/>
  <c r="V236" i="6"/>
  <c r="V446" i="6"/>
  <c r="V184" i="6"/>
  <c r="V302" i="6"/>
  <c r="V40" i="6"/>
  <c r="V233" i="6"/>
  <c r="V425" i="6"/>
  <c r="V248" i="6"/>
  <c r="V369" i="6"/>
  <c r="V109" i="6"/>
  <c r="V212" i="6"/>
  <c r="V458" i="6"/>
  <c r="V259" i="6"/>
  <c r="V176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89" i="6"/>
  <c r="V150" i="6"/>
  <c r="V350" i="6"/>
  <c r="V79" i="6"/>
  <c r="V220" i="6"/>
  <c r="V429" i="6"/>
  <c r="V92" i="6"/>
  <c r="V285" i="6"/>
  <c r="V481" i="6"/>
  <c r="V217" i="6"/>
  <c r="V406" i="6"/>
  <c r="V144" i="6"/>
  <c r="V231" i="6"/>
  <c r="V354" i="6"/>
  <c r="V41" i="6"/>
  <c r="V195" i="6"/>
  <c r="V77" i="6"/>
  <c r="V314" i="6"/>
  <c r="V456" i="6"/>
  <c r="V383" i="6"/>
  <c r="V191" i="6"/>
  <c r="V473" i="6"/>
  <c r="V424" i="6"/>
  <c r="V242" i="6"/>
  <c r="V277" i="6"/>
  <c r="V105" i="6"/>
  <c r="V308" i="6"/>
  <c r="V174" i="6"/>
  <c r="V396" i="6"/>
  <c r="V134" i="6"/>
  <c r="V341" i="6"/>
  <c r="V25" i="6"/>
  <c r="V204" i="6"/>
  <c r="V347" i="6"/>
  <c r="V165" i="6"/>
  <c r="V267" i="6"/>
  <c r="V461" i="6"/>
  <c r="V201" i="6"/>
  <c r="V128" i="6"/>
  <c r="V215" i="6"/>
  <c r="V263" i="6"/>
  <c r="V98" i="6"/>
  <c r="V60" i="6"/>
  <c r="V76" i="6"/>
  <c r="V227" i="6"/>
  <c r="V361" i="6"/>
  <c r="V293" i="6"/>
  <c r="V110" i="6"/>
  <c r="V442" i="6"/>
  <c r="V339" i="6"/>
  <c r="V169" i="6"/>
  <c r="V292" i="6"/>
  <c r="V20" i="6"/>
  <c r="V378" i="6"/>
  <c r="V118" i="6"/>
  <c r="V321" i="6"/>
  <c r="V59" i="6"/>
  <c r="V186" i="6"/>
  <c r="V409" i="6"/>
  <c r="V147" i="6"/>
  <c r="V251" i="6"/>
  <c r="V444" i="6"/>
  <c r="V182" i="6"/>
  <c r="V372" i="6"/>
  <c r="V112" i="6"/>
  <c r="V199" i="6"/>
  <c r="V313" i="6"/>
  <c r="V30" i="6"/>
  <c r="V71" i="6"/>
  <c r="V154" i="6"/>
  <c r="V399" i="6"/>
  <c r="V198" i="6"/>
  <c r="V247" i="6"/>
  <c r="V70" i="6"/>
  <c r="V243" i="6"/>
  <c r="V61" i="6"/>
  <c r="V275" i="6"/>
  <c r="V152" i="6"/>
  <c r="V334" i="6"/>
  <c r="V102" i="6"/>
  <c r="V305" i="6"/>
  <c r="V46" i="6"/>
  <c r="V167" i="6"/>
  <c r="V393" i="6"/>
  <c r="V131" i="6"/>
  <c r="V234" i="6"/>
  <c r="V343" i="6"/>
  <c r="V62" i="6"/>
  <c r="V261" i="6"/>
  <c r="V47" i="6"/>
  <c r="V180" i="6"/>
  <c r="V297" i="6"/>
  <c r="V421" i="6"/>
  <c r="V157" i="6"/>
  <c r="V26" i="6"/>
  <c r="V298" i="6"/>
  <c r="V123" i="6"/>
  <c r="V447" i="6"/>
  <c r="V337" i="6"/>
  <c r="V58" i="6"/>
  <c r="V427" i="6"/>
  <c r="V226" i="6"/>
  <c r="V55" i="6"/>
  <c r="V178" i="6"/>
  <c r="V397" i="6"/>
  <c r="V135" i="6"/>
  <c r="V357" i="6"/>
  <c r="V27" i="6"/>
  <c r="V288" i="6"/>
  <c r="V14" i="6"/>
  <c r="V166" i="6"/>
  <c r="V375" i="6"/>
  <c r="V115" i="6"/>
  <c r="V218" i="6"/>
  <c r="V348" i="6"/>
  <c r="V163" i="6"/>
  <c r="V330" i="6"/>
  <c r="V15" i="6"/>
  <c r="V75" i="6"/>
  <c r="V280" i="6"/>
  <c r="V402" i="6"/>
  <c r="V140" i="6"/>
  <c r="V459" i="6"/>
  <c r="V211" i="6"/>
  <c r="V484" i="6"/>
  <c r="V11" i="6"/>
  <c r="V256" i="6"/>
  <c r="V72" i="6"/>
  <c r="V470" i="6"/>
  <c r="V210" i="6"/>
  <c r="V22" i="6"/>
  <c r="V241" i="6"/>
  <c r="V379" i="6"/>
  <c r="V119" i="6"/>
  <c r="V322" i="6"/>
  <c r="V83" i="6"/>
  <c r="V270" i="6"/>
  <c r="V410" i="6"/>
  <c r="V148" i="6"/>
  <c r="V335" i="6"/>
  <c r="V202" i="6"/>
  <c r="V407" i="6"/>
  <c r="V145" i="6"/>
  <c r="V316" i="6"/>
  <c r="V64" i="6"/>
  <c r="V254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3" i="6"/>
  <c r="V426" i="6"/>
  <c r="V224" i="6"/>
  <c r="V349" i="6"/>
  <c r="V103" i="6"/>
  <c r="V306" i="6"/>
  <c r="V48" i="6"/>
  <c r="V168" i="6"/>
  <c r="V394" i="6"/>
  <c r="V132" i="6"/>
  <c r="V342" i="6"/>
  <c r="V21" i="6"/>
  <c r="V183" i="6"/>
  <c r="V129" i="6"/>
  <c r="V300" i="6"/>
  <c r="V36" i="6"/>
  <c r="V143" i="6"/>
  <c r="V246" i="6"/>
  <c r="V368" i="6"/>
  <c r="V108" i="6"/>
  <c r="V230" i="6"/>
  <c r="V445" i="6"/>
  <c r="V122" i="6"/>
  <c r="V431" i="6"/>
  <c r="V252" i="6"/>
  <c r="V89" i="6"/>
  <c r="V464" i="6"/>
  <c r="V404" i="6"/>
  <c r="V360" i="6"/>
  <c r="V8" i="6"/>
  <c r="V276" i="6"/>
  <c r="V37" i="6"/>
  <c r="V439" i="6"/>
  <c r="V437" i="6"/>
  <c r="V173" i="6"/>
  <c r="V468" i="6"/>
  <c r="V208" i="6"/>
  <c r="V340" i="6"/>
  <c r="V29" i="6"/>
  <c r="V289" i="6"/>
  <c r="V16" i="6"/>
  <c r="V237" i="6"/>
  <c r="V376" i="6"/>
  <c r="V116" i="6"/>
  <c r="V319" i="6"/>
  <c r="V91" i="6"/>
  <c r="V84" i="6"/>
  <c r="V373" i="6"/>
  <c r="V113" i="6"/>
  <c r="V283" i="6"/>
  <c r="V405" i="6"/>
  <c r="V127" i="6"/>
  <c r="V229" i="6"/>
  <c r="V338" i="6"/>
  <c r="V39" i="6"/>
  <c r="V311" i="6"/>
  <c r="V455" i="6"/>
  <c r="V381" i="6"/>
  <c r="V179" i="6"/>
  <c r="V472" i="6"/>
  <c r="V423" i="6"/>
  <c r="V344" i="6"/>
  <c r="V451" i="6"/>
  <c r="V190" i="6"/>
  <c r="V323" i="6"/>
  <c r="V69" i="6"/>
  <c r="V271" i="6"/>
  <c r="V485" i="6"/>
  <c r="V221" i="6"/>
  <c r="V351" i="6"/>
  <c r="V63" i="6"/>
  <c r="V303" i="6"/>
  <c r="V42" i="6"/>
  <c r="V164" i="6"/>
  <c r="V336" i="6"/>
  <c r="V49" i="6"/>
  <c r="V265" i="6"/>
  <c r="V111" i="6"/>
  <c r="V213" i="6"/>
  <c r="V328" i="6"/>
  <c r="V121" i="6"/>
  <c r="V382" i="6"/>
  <c r="V222" i="6"/>
  <c r="V44" i="6"/>
  <c r="V301" i="6"/>
  <c r="V216" i="6"/>
  <c r="V279" i="6"/>
  <c r="V420" i="6"/>
  <c r="V225" i="6"/>
  <c r="V346" i="6"/>
  <c r="V281" i="6"/>
  <c r="V107" i="6"/>
  <c r="V441" i="6"/>
  <c r="V262" i="6"/>
  <c r="V419" i="6"/>
  <c r="V155" i="6"/>
  <c r="V78" i="6"/>
  <c r="V307" i="6"/>
  <c r="V50" i="6"/>
  <c r="V177" i="6"/>
  <c r="V466" i="6"/>
  <c r="V205" i="6"/>
  <c r="V358" i="6"/>
  <c r="V23" i="6"/>
  <c r="V286" i="6"/>
  <c r="V408" i="6"/>
  <c r="V146" i="6"/>
  <c r="V331" i="6"/>
  <c r="V17" i="6"/>
  <c r="V249" i="6"/>
  <c r="V353" i="6"/>
  <c r="V45" i="6"/>
  <c r="V196" i="6"/>
  <c r="V312" i="6"/>
  <c r="V88" i="6"/>
  <c r="U5" i="6"/>
  <c r="H5" i="6"/>
  <c r="W238" i="6" l="1"/>
  <c r="W151" i="6"/>
  <c r="W85" i="6"/>
  <c r="W291" i="6"/>
  <c r="W32" i="6"/>
  <c r="W33" i="6"/>
  <c r="W34" i="6"/>
  <c r="W35" i="6"/>
  <c r="W411" i="6"/>
  <c r="W171" i="6"/>
  <c r="W172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2" i="6"/>
  <c r="W52" i="6"/>
  <c r="W53" i="6"/>
  <c r="W54" i="6"/>
  <c r="W495" i="6"/>
  <c r="W490" i="6"/>
  <c r="W496" i="6"/>
  <c r="W497" i="6"/>
  <c r="W493" i="6"/>
  <c r="W491" i="6"/>
  <c r="W494" i="6"/>
  <c r="W492" i="6"/>
  <c r="W197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6" i="6"/>
  <c r="W190" i="6"/>
  <c r="W285" i="6"/>
  <c r="W17" i="6"/>
  <c r="W421" i="6"/>
  <c r="W12" i="6"/>
  <c r="W37" i="6"/>
  <c r="W149" i="6"/>
  <c r="W326" i="6"/>
  <c r="W370" i="6"/>
  <c r="W362" i="6"/>
  <c r="W60" i="6"/>
  <c r="W442" i="6"/>
  <c r="W204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49" i="6"/>
  <c r="W183" i="6"/>
  <c r="W43" i="6"/>
  <c r="W267" i="6"/>
  <c r="W395" i="6"/>
  <c r="W111" i="6"/>
  <c r="W213" i="6"/>
  <c r="W36" i="6"/>
  <c r="W50" i="6"/>
  <c r="W294" i="6"/>
  <c r="W350" i="6"/>
  <c r="W408" i="6"/>
  <c r="W344" i="6"/>
  <c r="W429" i="6"/>
  <c r="W443" i="6"/>
  <c r="W260" i="6"/>
  <c r="W481" i="6"/>
  <c r="W461" i="6"/>
  <c r="W29" i="6"/>
  <c r="W57" i="6"/>
  <c r="W82" i="6"/>
  <c r="W118" i="6"/>
  <c r="W145" i="6"/>
  <c r="W167" i="6"/>
  <c r="W342" i="6"/>
  <c r="W27" i="6"/>
  <c r="W227" i="6"/>
  <c r="W453" i="6"/>
  <c r="W377" i="6"/>
  <c r="W89" i="6"/>
  <c r="W313" i="6"/>
  <c r="W20" i="6"/>
  <c r="W277" i="6"/>
  <c r="W77" i="6"/>
  <c r="W193" i="6"/>
  <c r="W234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3" i="6"/>
  <c r="W424" i="6"/>
  <c r="W144" i="6"/>
  <c r="W328" i="6"/>
  <c r="W71" i="6"/>
  <c r="W297" i="6"/>
  <c r="W311" i="6"/>
  <c r="W18" i="6"/>
  <c r="W232" i="6"/>
  <c r="W76" i="6"/>
  <c r="W358" i="6"/>
  <c r="W359" i="6"/>
  <c r="W210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0" i="6"/>
  <c r="W128" i="6"/>
  <c r="W355" i="6"/>
  <c r="W55" i="6"/>
  <c r="W280" i="6"/>
  <c r="W295" i="6"/>
  <c r="X7" i="6"/>
  <c r="W244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59" i="6"/>
  <c r="W396" i="6"/>
  <c r="W112" i="6"/>
  <c r="W229" i="6"/>
  <c r="W38" i="6"/>
  <c r="W247" i="6"/>
  <c r="W278" i="6"/>
  <c r="W431" i="6"/>
  <c r="W182" i="6"/>
  <c r="W480" i="6"/>
  <c r="W279" i="6"/>
  <c r="W276" i="6"/>
  <c r="W306" i="6"/>
  <c r="W221" i="6"/>
  <c r="W336" i="6"/>
  <c r="W329" i="6"/>
  <c r="W261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4" i="6"/>
  <c r="W239" i="6"/>
  <c r="W10" i="6"/>
  <c r="W178" i="6"/>
  <c r="W219" i="6"/>
  <c r="W194" i="6"/>
  <c r="W275" i="6"/>
  <c r="W305" i="6"/>
  <c r="W205" i="6"/>
  <c r="W196" i="6"/>
  <c r="W263" i="6"/>
  <c r="W353" i="6"/>
  <c r="W354" i="6"/>
  <c r="W371" i="6"/>
  <c r="W397" i="6"/>
  <c r="W360" i="6"/>
  <c r="W470" i="6"/>
  <c r="W458" i="6"/>
  <c r="W451" i="6"/>
  <c r="W19" i="6"/>
  <c r="W179" i="6"/>
  <c r="W146" i="6"/>
  <c r="W334" i="6"/>
  <c r="W72" i="6"/>
  <c r="W299" i="6"/>
  <c r="W485" i="6"/>
  <c r="W209" i="6"/>
  <c r="W248" i="6"/>
  <c r="W460" i="6"/>
  <c r="W176" i="6"/>
  <c r="W235" i="6"/>
  <c r="W93" i="6"/>
  <c r="W241" i="6"/>
  <c r="W228" i="6"/>
  <c r="W252" i="6"/>
  <c r="W274" i="6"/>
  <c r="W303" i="6"/>
  <c r="W301" i="6"/>
  <c r="W298" i="6"/>
  <c r="W181" i="6"/>
  <c r="W323" i="6"/>
  <c r="W339" i="6"/>
  <c r="W369" i="6"/>
  <c r="W394" i="6"/>
  <c r="W345" i="6"/>
  <c r="W9" i="6"/>
  <c r="W469" i="6"/>
  <c r="W198" i="6"/>
  <c r="W348" i="6"/>
  <c r="W130" i="6"/>
  <c r="W338" i="6"/>
  <c r="W56" i="6"/>
  <c r="W282" i="6"/>
  <c r="W455" i="6"/>
  <c r="W180" i="6"/>
  <c r="W191" i="6"/>
  <c r="W246" i="6"/>
  <c r="W155" i="6"/>
  <c r="W309" i="6"/>
  <c r="W245" i="6"/>
  <c r="W140" i="6"/>
  <c r="W177" i="6"/>
  <c r="W168" i="6"/>
  <c r="W212" i="6"/>
  <c r="W240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6" i="6"/>
  <c r="W398" i="6"/>
  <c r="W114" i="6"/>
  <c r="W237" i="6"/>
  <c r="W39" i="6"/>
  <c r="W264" i="6"/>
  <c r="W446" i="6"/>
  <c r="W174" i="6"/>
  <c r="W257" i="6"/>
  <c r="W226" i="6"/>
  <c r="W138" i="6"/>
  <c r="W281" i="6"/>
  <c r="W113" i="6"/>
  <c r="W137" i="6"/>
  <c r="W136" i="6"/>
  <c r="W186" i="6"/>
  <c r="W230" i="6"/>
  <c r="W222" i="6"/>
  <c r="W214" i="6"/>
  <c r="W266" i="6"/>
  <c r="W251" i="6"/>
  <c r="W292" i="6"/>
  <c r="W321" i="6"/>
  <c r="W340" i="6"/>
  <c r="W367" i="6"/>
  <c r="W250" i="6"/>
  <c r="W450" i="6"/>
  <c r="W199" i="6"/>
  <c r="W380" i="6"/>
  <c r="W92" i="6"/>
  <c r="W316" i="6"/>
  <c r="W23" i="6"/>
  <c r="W203" i="6"/>
  <c r="W242" i="6"/>
  <c r="W175" i="6"/>
  <c r="W406" i="6"/>
  <c r="W122" i="6"/>
  <c r="W78" i="6"/>
  <c r="W110" i="6"/>
  <c r="W108" i="6"/>
  <c r="W135" i="6"/>
  <c r="W165" i="6"/>
  <c r="W169" i="6"/>
  <c r="W258" i="6"/>
  <c r="W231" i="6"/>
  <c r="W206" i="6"/>
  <c r="W188" i="6"/>
  <c r="W243" i="6"/>
  <c r="W290" i="6"/>
  <c r="W319" i="6"/>
  <c r="W218" i="6"/>
  <c r="W364" i="6"/>
  <c r="W440" i="6"/>
  <c r="W363" i="6"/>
  <c r="W75" i="6"/>
  <c r="W300" i="6"/>
  <c r="W438" i="6"/>
  <c r="W225" i="6"/>
  <c r="W11" i="6"/>
  <c r="W141" i="6"/>
  <c r="W156" i="6"/>
  <c r="W106" i="6"/>
  <c r="W46" i="6"/>
  <c r="W45" i="6"/>
  <c r="W73" i="6"/>
  <c r="W105" i="6"/>
  <c r="W134" i="6"/>
  <c r="W163" i="6"/>
  <c r="W157" i="6"/>
  <c r="W223" i="6"/>
  <c r="W215" i="6"/>
  <c r="W254" i="6"/>
  <c r="W224" i="6"/>
  <c r="W289" i="6"/>
  <c r="W317" i="6"/>
  <c r="W357" i="6"/>
  <c r="W349" i="6"/>
  <c r="W331" i="6"/>
  <c r="W148" i="6"/>
  <c r="W337" i="6"/>
  <c r="W58" i="6"/>
  <c r="W283" i="6"/>
  <c r="W324" i="6"/>
  <c r="W195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7" i="6"/>
  <c r="W217" i="6"/>
  <c r="W216" i="6"/>
  <c r="W288" i="6"/>
  <c r="W314" i="6"/>
  <c r="W341" i="6"/>
  <c r="W202" i="6"/>
  <c r="W132" i="6"/>
  <c r="W343" i="6"/>
  <c r="W41" i="6"/>
  <c r="W265" i="6"/>
  <c r="W449" i="6"/>
  <c r="W173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89" i="6"/>
  <c r="W201" i="6"/>
  <c r="W208" i="6"/>
  <c r="W286" i="6"/>
  <c r="W312" i="6"/>
  <c r="W400" i="6"/>
  <c r="W116" i="6"/>
  <c r="W318" i="6"/>
  <c r="W25" i="6"/>
  <c r="W211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170" i="6"/>
  <c r="W255" i="6"/>
  <c r="W200" i="6"/>
  <c r="W284" i="6"/>
  <c r="W382" i="6"/>
  <c r="W97" i="6"/>
  <c r="W302" i="6"/>
  <c r="W233" i="6"/>
  <c r="W347" i="6"/>
  <c r="W143" i="6"/>
  <c r="W325" i="6"/>
  <c r="W69" i="6"/>
  <c r="W84" i="6"/>
  <c r="W187" i="6"/>
  <c r="X238" i="6" l="1"/>
  <c r="X151" i="6"/>
  <c r="X85" i="6"/>
  <c r="X291" i="6"/>
  <c r="X32" i="6"/>
  <c r="X33" i="6"/>
  <c r="X34" i="6"/>
  <c r="X35" i="6"/>
  <c r="X411" i="6"/>
  <c r="X171" i="6"/>
  <c r="X172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2" i="6"/>
  <c r="X52" i="6"/>
  <c r="X53" i="6"/>
  <c r="X54" i="6"/>
  <c r="X495" i="6"/>
  <c r="X490" i="6"/>
  <c r="X496" i="6"/>
  <c r="X497" i="6"/>
  <c r="X493" i="6"/>
  <c r="X491" i="6"/>
  <c r="X494" i="6"/>
  <c r="X492" i="6"/>
  <c r="X197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169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168" i="6"/>
  <c r="X26" i="6"/>
  <c r="X327" i="6"/>
  <c r="X255" i="6"/>
  <c r="X223" i="6"/>
  <c r="X458" i="6"/>
  <c r="X318" i="6"/>
  <c r="X82" i="6"/>
  <c r="X442" i="6"/>
  <c r="X428" i="6"/>
  <c r="X376" i="6"/>
  <c r="X230" i="6"/>
  <c r="X455" i="6"/>
  <c r="X256" i="6"/>
  <c r="X320" i="6"/>
  <c r="X334" i="6"/>
  <c r="X183" i="6"/>
  <c r="X88" i="6"/>
  <c r="X134" i="6"/>
  <c r="X403" i="6"/>
  <c r="X367" i="6"/>
  <c r="X152" i="6"/>
  <c r="X353" i="6"/>
  <c r="X298" i="6"/>
  <c r="X281" i="6"/>
  <c r="X198" i="6"/>
  <c r="X339" i="6"/>
  <c r="X361" i="6"/>
  <c r="X29" i="6"/>
  <c r="X94" i="6"/>
  <c r="X95" i="6"/>
  <c r="X96" i="6"/>
  <c r="X365" i="6"/>
  <c r="X173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1" i="6"/>
  <c r="X181" i="6"/>
  <c r="X43" i="6"/>
  <c r="X243" i="6"/>
  <c r="X239" i="6"/>
  <c r="X232" i="6"/>
  <c r="X446" i="6"/>
  <c r="X193" i="6"/>
  <c r="X215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4" i="6"/>
  <c r="X22" i="6"/>
  <c r="X248" i="6"/>
  <c r="X137" i="6"/>
  <c r="X25" i="6"/>
  <c r="X24" i="6"/>
  <c r="X76" i="6"/>
  <c r="X471" i="6"/>
  <c r="X399" i="6"/>
  <c r="X189" i="6"/>
  <c r="X358" i="6"/>
  <c r="X387" i="6"/>
  <c r="Y7" i="6"/>
  <c r="X190" i="6"/>
  <c r="X217" i="6"/>
  <c r="X297" i="6"/>
  <c r="X201" i="6"/>
  <c r="X191" i="6"/>
  <c r="X182" i="6"/>
  <c r="X427" i="6"/>
  <c r="X157" i="6"/>
  <c r="X174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6" i="6"/>
  <c r="X280" i="6"/>
  <c r="X481" i="6"/>
  <c r="X257" i="6"/>
  <c r="X258" i="6"/>
  <c r="X231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4" i="6"/>
  <c r="X247" i="6"/>
  <c r="X218" i="6"/>
  <c r="X210" i="6"/>
  <c r="X202" i="6"/>
  <c r="X392" i="6"/>
  <c r="X124" i="6"/>
  <c r="X139" i="6"/>
  <c r="X341" i="6"/>
  <c r="X58" i="6"/>
  <c r="X57" i="6"/>
  <c r="X196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1" i="6"/>
  <c r="X404" i="6"/>
  <c r="X438" i="6"/>
  <c r="X86" i="6"/>
  <c r="X184" i="6"/>
  <c r="X487" i="6"/>
  <c r="X178" i="6"/>
  <c r="X177" i="6"/>
  <c r="X176" i="6"/>
  <c r="X374" i="6"/>
  <c r="X108" i="6"/>
  <c r="X123" i="6"/>
  <c r="X323" i="6"/>
  <c r="X37" i="6"/>
  <c r="X359" i="6"/>
  <c r="X227" i="6"/>
  <c r="X219" i="6"/>
  <c r="X211" i="6"/>
  <c r="X203" i="6"/>
  <c r="X50" i="6"/>
  <c r="X443" i="6"/>
  <c r="X136" i="6"/>
  <c r="X313" i="6"/>
  <c r="X244" i="6"/>
  <c r="X397" i="6"/>
  <c r="X206" i="6"/>
  <c r="X369" i="6"/>
  <c r="X449" i="6"/>
  <c r="X170" i="6"/>
  <c r="X344" i="6"/>
  <c r="X379" i="6"/>
  <c r="X453" i="6"/>
  <c r="X163" i="6"/>
  <c r="X209" i="6"/>
  <c r="X347" i="6"/>
  <c r="X335" i="6"/>
  <c r="X83" i="6"/>
  <c r="X107" i="6"/>
  <c r="X307" i="6"/>
  <c r="X12" i="6"/>
  <c r="X98" i="6"/>
  <c r="X319" i="6"/>
  <c r="X30" i="6"/>
  <c r="X253" i="6"/>
  <c r="X254" i="6"/>
  <c r="X233" i="6"/>
  <c r="X225" i="6"/>
  <c r="X363" i="6"/>
  <c r="X122" i="6"/>
  <c r="X381" i="6"/>
  <c r="X104" i="6"/>
  <c r="X330" i="6"/>
  <c r="X393" i="6"/>
  <c r="X362" i="6"/>
  <c r="X462" i="6"/>
  <c r="X288" i="6"/>
  <c r="X261" i="6"/>
  <c r="X187" i="6"/>
  <c r="X145" i="6"/>
  <c r="X180" i="6"/>
  <c r="X143" i="6"/>
  <c r="X142" i="6"/>
  <c r="X141" i="6"/>
  <c r="X229" i="6"/>
  <c r="X60" i="6"/>
  <c r="X91" i="6"/>
  <c r="X290" i="6"/>
  <c r="X306" i="6"/>
  <c r="X56" i="6"/>
  <c r="X303" i="6"/>
  <c r="X448" i="6"/>
  <c r="X220" i="6"/>
  <c r="X212" i="6"/>
  <c r="X204" i="6"/>
  <c r="X195" i="6"/>
  <c r="X18" i="6"/>
  <c r="X426" i="6"/>
  <c r="X371" i="6"/>
  <c r="X441" i="6"/>
  <c r="X316" i="6"/>
  <c r="X364" i="6"/>
  <c r="X463" i="6"/>
  <c r="X153" i="6"/>
  <c r="X326" i="6"/>
  <c r="X400" i="6"/>
  <c r="X129" i="6"/>
  <c r="X226" i="6"/>
  <c r="X395" i="6"/>
  <c r="X127" i="6"/>
  <c r="X126" i="6"/>
  <c r="X125" i="6"/>
  <c r="X325" i="6"/>
  <c r="X39" i="6"/>
  <c r="X59" i="6"/>
  <c r="X274" i="6"/>
  <c r="X289" i="6"/>
  <c r="X286" i="6"/>
  <c r="X452" i="6"/>
  <c r="X250" i="6"/>
  <c r="X246" i="6"/>
  <c r="X242" i="6"/>
  <c r="X237" i="6"/>
  <c r="X64" i="6"/>
  <c r="X402" i="6"/>
  <c r="X336" i="6"/>
  <c r="X439" i="6"/>
  <c r="X236" i="6"/>
  <c r="X205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8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2" i="6"/>
  <c r="X200" i="6"/>
  <c r="X55" i="6"/>
  <c r="X235" i="6"/>
  <c r="X213" i="6"/>
  <c r="X167" i="6"/>
  <c r="X166" i="6"/>
  <c r="X165" i="6"/>
  <c r="X164" i="6"/>
  <c r="X31" i="6"/>
  <c r="X252" i="6"/>
  <c r="X331" i="6"/>
  <c r="X424" i="6"/>
  <c r="X464" i="6"/>
  <c r="X259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49" i="6"/>
  <c r="X214" i="6"/>
  <c r="X188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79" i="6"/>
  <c r="X23" i="6"/>
  <c r="X128" i="6"/>
  <c r="X328" i="6"/>
  <c r="X42" i="6"/>
  <c r="X41" i="6"/>
  <c r="X40" i="6"/>
  <c r="X224" i="6"/>
  <c r="X275" i="6"/>
  <c r="X472" i="6"/>
  <c r="X207" i="6"/>
  <c r="X245" i="6"/>
  <c r="X485" i="6"/>
  <c r="X228" i="6"/>
  <c r="X401" i="6"/>
  <c r="X133" i="6"/>
  <c r="X132" i="6"/>
  <c r="X131" i="6"/>
  <c r="X130" i="6"/>
  <c r="X45" i="6"/>
  <c r="X175" i="6"/>
  <c r="X241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0" i="6"/>
  <c r="X216" i="6"/>
  <c r="X460" i="6"/>
  <c r="X78" i="6"/>
  <c r="X199" i="6"/>
  <c r="X469" i="6"/>
  <c r="X260" i="6"/>
  <c r="X383" i="6"/>
  <c r="X117" i="6"/>
  <c r="X116" i="6"/>
  <c r="X115" i="6"/>
  <c r="X114" i="6"/>
  <c r="Y238" i="6" l="1"/>
  <c r="Y151" i="6"/>
  <c r="Y85" i="6"/>
  <c r="Y291" i="6"/>
  <c r="Y32" i="6"/>
  <c r="Y33" i="6"/>
  <c r="Y34" i="6"/>
  <c r="Y35" i="6"/>
  <c r="Y411" i="6"/>
  <c r="Y171" i="6"/>
  <c r="Y172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2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7" i="6"/>
  <c r="Y481" i="6"/>
  <c r="Y409" i="6"/>
  <c r="Y406" i="6"/>
  <c r="Y146" i="6"/>
  <c r="Y42" i="6"/>
  <c r="Y75" i="6"/>
  <c r="Y123" i="6"/>
  <c r="Y203" i="6"/>
  <c r="Y432" i="6"/>
  <c r="Y433" i="6"/>
  <c r="Y434" i="6"/>
  <c r="Y435" i="6"/>
  <c r="Y436" i="6"/>
  <c r="Y275" i="6"/>
  <c r="Y220" i="6"/>
  <c r="Y179" i="6"/>
  <c r="Y129" i="6"/>
  <c r="Y78" i="6"/>
  <c r="Y57" i="6"/>
  <c r="Y372" i="6"/>
  <c r="Y209" i="6"/>
  <c r="Y14" i="6"/>
  <c r="Y288" i="6"/>
  <c r="Y441" i="6"/>
  <c r="Y282" i="6"/>
  <c r="Y430" i="6"/>
  <c r="Y27" i="6"/>
  <c r="Y297" i="6"/>
  <c r="Y145" i="6"/>
  <c r="Y65" i="6"/>
  <c r="Y105" i="6"/>
  <c r="Y18" i="6"/>
  <c r="Y225" i="6"/>
  <c r="Y110" i="6"/>
  <c r="Y246" i="6"/>
  <c r="Y181" i="6"/>
  <c r="Y149" i="6"/>
  <c r="Y87" i="6"/>
  <c r="Y223" i="6"/>
  <c r="Y72" i="6"/>
  <c r="Y61" i="6"/>
  <c r="Y124" i="6"/>
  <c r="Y355" i="6"/>
  <c r="Y278" i="6"/>
  <c r="Y404" i="6"/>
  <c r="Y311" i="6"/>
  <c r="Y221" i="6"/>
  <c r="Y115" i="6"/>
  <c r="Y332" i="6"/>
  <c r="Y99" i="6"/>
  <c r="Y100" i="6"/>
  <c r="Y101" i="6"/>
  <c r="Y346" i="6"/>
  <c r="Y175" i="6"/>
  <c r="Y236" i="6"/>
  <c r="Y84" i="6"/>
  <c r="Y62" i="6"/>
  <c r="Y419" i="6"/>
  <c r="Y82" i="6"/>
  <c r="Y321" i="6"/>
  <c r="Y190" i="6"/>
  <c r="Y467" i="6"/>
  <c r="Y148" i="6"/>
  <c r="Y104" i="6"/>
  <c r="Y362" i="6"/>
  <c r="Y353" i="6"/>
  <c r="Y258" i="6"/>
  <c r="Y12" i="6"/>
  <c r="Y119" i="6"/>
  <c r="Y234" i="6"/>
  <c r="Y370" i="6"/>
  <c r="Y456" i="6"/>
  <c r="Y132" i="6"/>
  <c r="Y335" i="6"/>
  <c r="Y206" i="6"/>
  <c r="Y134" i="6"/>
  <c r="Y442" i="6"/>
  <c r="Y426" i="6"/>
  <c r="Y401" i="6"/>
  <c r="Y49" i="6"/>
  <c r="Y127" i="6"/>
  <c r="Y198" i="6"/>
  <c r="Y196" i="6"/>
  <c r="Y217" i="6"/>
  <c r="Y319" i="6"/>
  <c r="Y16" i="6"/>
  <c r="Y38" i="6"/>
  <c r="Y60" i="6"/>
  <c r="Y9" i="6"/>
  <c r="Y113" i="6"/>
  <c r="Y191" i="6"/>
  <c r="Y207" i="6"/>
  <c r="Y184" i="6"/>
  <c r="Y46" i="6"/>
  <c r="Y264" i="6"/>
  <c r="Y334" i="6"/>
  <c r="Y242" i="6"/>
  <c r="Y17" i="6"/>
  <c r="Y112" i="6"/>
  <c r="Y377" i="6"/>
  <c r="Y402" i="6"/>
  <c r="Y26" i="6"/>
  <c r="Y102" i="6"/>
  <c r="Y167" i="6"/>
  <c r="Y89" i="6"/>
  <c r="Y194" i="6"/>
  <c r="Y368" i="6"/>
  <c r="Y283" i="6"/>
  <c r="Y13" i="6"/>
  <c r="Y36" i="6"/>
  <c r="Y405" i="6"/>
  <c r="Y73" i="6"/>
  <c r="Y174" i="6"/>
  <c r="Y157" i="6"/>
  <c r="Y168" i="6"/>
  <c r="Y30" i="6"/>
  <c r="Y396" i="6"/>
  <c r="Y280" i="6"/>
  <c r="Y8" i="6"/>
  <c r="Y58" i="6"/>
  <c r="Y251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0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6" i="6"/>
  <c r="Y314" i="6"/>
  <c r="Y471" i="6"/>
  <c r="Y240" i="6"/>
  <c r="Y344" i="6"/>
  <c r="Y379" i="6"/>
  <c r="Y320" i="6"/>
  <c r="Y15" i="6"/>
  <c r="Y303" i="6"/>
  <c r="Y446" i="6"/>
  <c r="Y109" i="6"/>
  <c r="Y316" i="6"/>
  <c r="Y447" i="6"/>
  <c r="Y133" i="6"/>
  <c r="Y204" i="6"/>
  <c r="Y249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7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1" i="6"/>
  <c r="Y461" i="6"/>
  <c r="Y216" i="6"/>
  <c r="Y156" i="6"/>
  <c r="Y229" i="6"/>
  <c r="Y79" i="6"/>
  <c r="Y131" i="6"/>
  <c r="Y224" i="6"/>
  <c r="Y323" i="6"/>
  <c r="Y484" i="6"/>
  <c r="Y193" i="6"/>
  <c r="Y237" i="6"/>
  <c r="Y318" i="6"/>
  <c r="Y310" i="6"/>
  <c r="Y302" i="6"/>
  <c r="Y277" i="6"/>
  <c r="Y329" i="6"/>
  <c r="Y472" i="6"/>
  <c r="Y284" i="6"/>
  <c r="Y118" i="6"/>
  <c r="Y25" i="6"/>
  <c r="Y180" i="6"/>
  <c r="Y10" i="6"/>
  <c r="Y67" i="6"/>
  <c r="Y473" i="6"/>
  <c r="Y31" i="6"/>
  <c r="Y11" i="6"/>
  <c r="Y437" i="6"/>
  <c r="Y427" i="6"/>
  <c r="Y285" i="6"/>
  <c r="Y336" i="6"/>
  <c r="Y178" i="6"/>
  <c r="Y245" i="6"/>
  <c r="Y270" i="6"/>
  <c r="Y356" i="6"/>
  <c r="Y381" i="6"/>
  <c r="Y281" i="6"/>
  <c r="Y205" i="6"/>
  <c r="Y422" i="6"/>
  <c r="Y253" i="6"/>
  <c r="Y41" i="6"/>
  <c r="Y269" i="6"/>
  <c r="Y107" i="6"/>
  <c r="Y154" i="6"/>
  <c r="Y200" i="6"/>
  <c r="Y345" i="6"/>
  <c r="Y324" i="6"/>
  <c r="Y350" i="6"/>
  <c r="Y458" i="6"/>
  <c r="Y93" i="6"/>
  <c r="Y214" i="6"/>
  <c r="Y261" i="6"/>
  <c r="Y239" i="6"/>
  <c r="Y232" i="6"/>
  <c r="Y212" i="6"/>
  <c r="Y304" i="6"/>
  <c r="Y460" i="6"/>
  <c r="Y455" i="6"/>
  <c r="Y330" i="6"/>
  <c r="Y92" i="6"/>
  <c r="Y144" i="6"/>
  <c r="Y255" i="6"/>
  <c r="Y453" i="6"/>
  <c r="Y244" i="6"/>
  <c r="Y173" i="6"/>
  <c r="Y266" i="6"/>
  <c r="Y211" i="6"/>
  <c r="Y468" i="6"/>
  <c r="Y28" i="6"/>
  <c r="Y121" i="6"/>
  <c r="Y170" i="6"/>
  <c r="Y423" i="6"/>
  <c r="Y23" i="6"/>
  <c r="Y333" i="6"/>
  <c r="Y444" i="6"/>
  <c r="Y483" i="6"/>
  <c r="Y400" i="6"/>
  <c r="Y130" i="6"/>
  <c r="Y241" i="6"/>
  <c r="Y276" i="6"/>
  <c r="Y188" i="6"/>
  <c r="Y213" i="6"/>
  <c r="Y210" i="6"/>
  <c r="Y195" i="6"/>
  <c r="Y360" i="6"/>
  <c r="Y443" i="6"/>
  <c r="Y395" i="6"/>
  <c r="Y267" i="6"/>
  <c r="Y376" i="6"/>
  <c r="Y215" i="6"/>
  <c r="Y231" i="6"/>
  <c r="Y106" i="6"/>
  <c r="Y150" i="6"/>
  <c r="Y222" i="6"/>
  <c r="Y307" i="6"/>
  <c r="Y299" i="6"/>
  <c r="Y263" i="6"/>
  <c r="Y141" i="6"/>
  <c r="Y187" i="6"/>
  <c r="Y164" i="6"/>
  <c r="Y182" i="6"/>
  <c r="Y169" i="6"/>
  <c r="Y325" i="6"/>
  <c r="Y326" i="6"/>
  <c r="Y143" i="6"/>
  <c r="Y250" i="6"/>
  <c r="Y29" i="6"/>
  <c r="Y208" i="6"/>
  <c r="Y424" i="6"/>
  <c r="Y378" i="6"/>
  <c r="Y50" i="6"/>
  <c r="Y128" i="6"/>
  <c r="Y199" i="6"/>
  <c r="Y327" i="6"/>
  <c r="Y305" i="6"/>
  <c r="Y354" i="6"/>
  <c r="Y91" i="6"/>
  <c r="Y117" i="6"/>
  <c r="Y139" i="6"/>
  <c r="Y138" i="6"/>
  <c r="Y163" i="6"/>
  <c r="Y260" i="6"/>
  <c r="Y248" i="6"/>
  <c r="Y293" i="6"/>
  <c r="Y135" i="6"/>
  <c r="Y340" i="6"/>
  <c r="Y343" i="6"/>
  <c r="Y165" i="6"/>
  <c r="Y233" i="6"/>
  <c r="Y279" i="6"/>
  <c r="Y364" i="6"/>
  <c r="Y420" i="6"/>
  <c r="Y88" i="6"/>
  <c r="Y176" i="6"/>
  <c r="Y359" i="6"/>
  <c r="Y313" i="6"/>
  <c r="Y351" i="6"/>
  <c r="Y338" i="6"/>
  <c r="Y294" i="6"/>
  <c r="Y56" i="6"/>
  <c r="Y155" i="6"/>
  <c r="Y226" i="6"/>
  <c r="Y341" i="6"/>
  <c r="Y463" i="6"/>
  <c r="Y292" i="6"/>
  <c r="Y45" i="6"/>
  <c r="Y90" i="6"/>
  <c r="Y177" i="6"/>
  <c r="Y300" i="6"/>
  <c r="Y39" i="6"/>
  <c r="Y116" i="6"/>
  <c r="Y186" i="6"/>
  <c r="Y252" i="6"/>
  <c r="Y339" i="6"/>
  <c r="Y462" i="6"/>
  <c r="Y140" i="6"/>
  <c r="Y254" i="6"/>
  <c r="Y465" i="6"/>
  <c r="Y384" i="6"/>
  <c r="Y385" i="6"/>
  <c r="Y386" i="6"/>
  <c r="Y114" i="6"/>
  <c r="Y247" i="6"/>
  <c r="Y286" i="6"/>
  <c r="Y328" i="6"/>
  <c r="Y392" i="6"/>
  <c r="Y153" i="6"/>
  <c r="Y218" i="6"/>
  <c r="Y83" i="6"/>
  <c r="Y257" i="6"/>
  <c r="Y408" i="6"/>
  <c r="Y142" i="6"/>
  <c r="Y337" i="6"/>
  <c r="Y367" i="6"/>
  <c r="Y136" i="6"/>
  <c r="Y202" i="6"/>
  <c r="Y71" i="6"/>
  <c r="Y147" i="6"/>
  <c r="Y259" i="6"/>
  <c r="Y66" i="6"/>
  <c r="Y166" i="6"/>
  <c r="Y243" i="6"/>
  <c r="Y407" i="6"/>
  <c r="Z7" i="6"/>
  <c r="Y59" i="6"/>
  <c r="Y228" i="6"/>
  <c r="Y482" i="6"/>
  <c r="Y126" i="6"/>
  <c r="Y287" i="6"/>
  <c r="Y394" i="6"/>
  <c r="Y120" i="6"/>
  <c r="Y183" i="6"/>
  <c r="X5" i="6"/>
  <c r="Y63" i="6"/>
  <c r="Y94" i="6"/>
  <c r="Y95" i="6"/>
  <c r="Y96" i="6"/>
  <c r="Y431" i="6"/>
  <c r="Y98" i="6"/>
  <c r="Y290" i="6"/>
  <c r="Y21" i="6"/>
  <c r="Y189" i="6"/>
  <c r="Y439" i="6"/>
  <c r="Y64" i="6"/>
  <c r="Y152" i="6"/>
  <c r="Y274" i="6"/>
  <c r="Y19" i="6"/>
  <c r="Y235" i="6"/>
  <c r="Y80" i="6"/>
  <c r="Y331" i="6"/>
  <c r="Y219" i="6"/>
  <c r="Y322" i="6"/>
  <c r="Z238" i="6" l="1"/>
  <c r="Z151" i="6"/>
  <c r="Z85" i="6"/>
  <c r="Z291" i="6"/>
  <c r="Z32" i="6"/>
  <c r="Z33" i="6"/>
  <c r="Z34" i="6"/>
  <c r="Z35" i="6"/>
  <c r="Z411" i="6"/>
  <c r="Z171" i="6"/>
  <c r="Z172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2" i="6"/>
  <c r="Z52" i="6"/>
  <c r="Z53" i="6"/>
  <c r="Z54" i="6"/>
  <c r="Z492" i="6"/>
  <c r="Z495" i="6"/>
  <c r="Z490" i="6"/>
  <c r="Z496" i="6"/>
  <c r="Z497" i="6"/>
  <c r="Z493" i="6"/>
  <c r="Z491" i="6"/>
  <c r="Z494" i="6"/>
  <c r="Z197" i="6"/>
  <c r="Z488" i="6"/>
  <c r="Z489" i="6"/>
  <c r="Z204" i="6"/>
  <c r="Z186" i="6"/>
  <c r="Z373" i="6"/>
  <c r="Z432" i="6"/>
  <c r="Z433" i="6"/>
  <c r="Z434" i="6"/>
  <c r="Z435" i="6"/>
  <c r="Z436" i="6"/>
  <c r="Z135" i="6"/>
  <c r="Z332" i="6"/>
  <c r="Z99" i="6"/>
  <c r="Z100" i="6"/>
  <c r="Z101" i="6"/>
  <c r="Z169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2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5" i="6"/>
  <c r="Z357" i="6"/>
  <c r="Z89" i="6"/>
  <c r="Z247" i="6"/>
  <c r="Z237" i="6"/>
  <c r="Z287" i="6"/>
  <c r="Z262" i="6"/>
  <c r="Z314" i="6"/>
  <c r="Z420" i="6"/>
  <c r="Z266" i="6"/>
  <c r="Z214" i="6"/>
  <c r="Z401" i="6"/>
  <c r="Z358" i="6"/>
  <c r="Z261" i="6"/>
  <c r="Z279" i="6"/>
  <c r="Z350" i="6"/>
  <c r="Z242" i="6"/>
  <c r="Z422" i="6"/>
  <c r="Z134" i="6"/>
  <c r="Z382" i="6"/>
  <c r="Z118" i="6"/>
  <c r="Z281" i="6"/>
  <c r="Z86" i="6"/>
  <c r="Z334" i="6"/>
  <c r="Z337" i="6"/>
  <c r="Z343" i="6"/>
  <c r="Z254" i="6"/>
  <c r="Z258" i="6"/>
  <c r="Z484" i="6"/>
  <c r="Z440" i="6"/>
  <c r="Z121" i="6"/>
  <c r="Z37" i="6"/>
  <c r="Z143" i="6"/>
  <c r="Z462" i="6"/>
  <c r="Z241" i="6"/>
  <c r="Z374" i="6"/>
  <c r="Z341" i="6"/>
  <c r="Z248" i="6"/>
  <c r="Z365" i="6"/>
  <c r="Z319" i="6"/>
  <c r="Z114" i="6"/>
  <c r="Z62" i="6"/>
  <c r="Z301" i="6"/>
  <c r="Z405" i="6"/>
  <c r="Z487" i="6"/>
  <c r="Z43" i="6"/>
  <c r="Z348" i="6"/>
  <c r="Z383" i="6"/>
  <c r="Z206" i="6"/>
  <c r="Z347" i="6"/>
  <c r="Z467" i="6"/>
  <c r="Z25" i="6"/>
  <c r="Z265" i="6"/>
  <c r="Z51" i="6"/>
  <c r="Z367" i="6"/>
  <c r="Z453" i="6"/>
  <c r="Z292" i="6"/>
  <c r="Z216" i="6"/>
  <c r="Z443" i="6"/>
  <c r="Z56" i="6"/>
  <c r="Z356" i="6"/>
  <c r="Z372" i="6"/>
  <c r="Z180" i="6"/>
  <c r="Z407" i="6"/>
  <c r="Z317" i="6"/>
  <c r="Z31" i="6"/>
  <c r="Z230" i="6"/>
  <c r="Z112" i="6"/>
  <c r="Z111" i="6"/>
  <c r="Z294" i="6"/>
  <c r="Z285" i="6"/>
  <c r="Z328" i="6"/>
  <c r="Z225" i="6"/>
  <c r="Z224" i="6"/>
  <c r="Z221" i="6"/>
  <c r="Z152" i="6"/>
  <c r="Z295" i="6"/>
  <c r="Z73" i="6"/>
  <c r="Z321" i="6"/>
  <c r="Z109" i="6"/>
  <c r="Z447" i="6"/>
  <c r="Z70" i="6"/>
  <c r="Z320" i="6"/>
  <c r="Z406" i="6"/>
  <c r="Z199" i="6"/>
  <c r="Z428" i="6"/>
  <c r="Z29" i="6"/>
  <c r="Z282" i="6"/>
  <c r="Z342" i="6"/>
  <c r="Z375" i="6"/>
  <c r="Z198" i="6"/>
  <c r="Z325" i="6"/>
  <c r="Z93" i="6"/>
  <c r="Z81" i="6"/>
  <c r="Z330" i="6"/>
  <c r="Z329" i="6"/>
  <c r="Z421" i="6"/>
  <c r="Z191" i="6"/>
  <c r="Z190" i="6"/>
  <c r="Z187" i="6"/>
  <c r="Z441" i="6"/>
  <c r="Z119" i="6"/>
  <c r="Z296" i="6"/>
  <c r="Z251" i="6"/>
  <c r="Z84" i="6"/>
  <c r="Z95" i="6"/>
  <c r="Z97" i="6"/>
  <c r="Z209" i="6"/>
  <c r="Z205" i="6"/>
  <c r="Z289" i="6"/>
  <c r="Z398" i="6"/>
  <c r="Z179" i="6"/>
  <c r="Z45" i="6"/>
  <c r="Z44" i="6"/>
  <c r="Z244" i="6"/>
  <c r="Z243" i="6"/>
  <c r="Z376" i="6"/>
  <c r="Z175" i="6"/>
  <c r="Z174" i="6"/>
  <c r="Z170" i="6"/>
  <c r="Z403" i="6"/>
  <c r="Z102" i="6"/>
  <c r="Z264" i="6"/>
  <c r="Z15" i="6"/>
  <c r="Z234" i="6"/>
  <c r="Z49" i="6"/>
  <c r="Z94" i="6"/>
  <c r="Z72" i="6"/>
  <c r="Z253" i="6"/>
  <c r="Z239" i="6"/>
  <c r="Z284" i="6"/>
  <c r="Z426" i="6"/>
  <c r="Z165" i="6"/>
  <c r="Z354" i="6"/>
  <c r="Z423" i="6"/>
  <c r="Z207" i="6"/>
  <c r="Z437" i="6"/>
  <c r="Z47" i="6"/>
  <c r="Z307" i="6"/>
  <c r="Z363" i="6"/>
  <c r="Z259" i="6"/>
  <c r="Z275" i="6"/>
  <c r="Z163" i="6"/>
  <c r="Z326" i="6"/>
  <c r="Z27" i="6"/>
  <c r="Z26" i="6"/>
  <c r="Z227" i="6"/>
  <c r="Z226" i="6"/>
  <c r="Z483" i="6"/>
  <c r="Z157" i="6"/>
  <c r="Z156" i="6"/>
  <c r="Z153" i="6"/>
  <c r="Z303" i="6"/>
  <c r="Z92" i="6"/>
  <c r="Z327" i="6"/>
  <c r="Z400" i="6"/>
  <c r="Z218" i="6"/>
  <c r="AA7" i="6"/>
  <c r="Z90" i="6"/>
  <c r="Z344" i="6"/>
  <c r="Z481" i="6"/>
  <c r="Z138" i="6"/>
  <c r="Z268" i="6"/>
  <c r="Z189" i="6"/>
  <c r="Z249" i="6"/>
  <c r="Z460" i="6"/>
  <c r="Z104" i="6"/>
  <c r="Z250" i="6"/>
  <c r="Z468" i="6"/>
  <c r="Z145" i="6"/>
  <c r="Z310" i="6"/>
  <c r="Z302" i="6"/>
  <c r="Z283" i="6"/>
  <c r="Z211" i="6"/>
  <c r="Z210" i="6"/>
  <c r="Z463" i="6"/>
  <c r="Z140" i="6"/>
  <c r="Z139" i="6"/>
  <c r="Z136" i="6"/>
  <c r="Z336" i="6"/>
  <c r="Z257" i="6"/>
  <c r="Z393" i="6"/>
  <c r="Z202" i="6"/>
  <c r="Z17" i="6"/>
  <c r="Z130" i="6"/>
  <c r="Z379" i="6"/>
  <c r="Z231" i="6"/>
  <c r="Z444" i="6"/>
  <c r="Z269" i="6"/>
  <c r="Z181" i="6"/>
  <c r="Z19" i="6"/>
  <c r="Z233" i="6"/>
  <c r="Z451" i="6"/>
  <c r="Z129" i="6"/>
  <c r="Z280" i="6"/>
  <c r="Z270" i="6"/>
  <c r="Z371" i="6"/>
  <c r="Z194" i="6"/>
  <c r="Z193" i="6"/>
  <c r="Z446" i="6"/>
  <c r="Z124" i="6"/>
  <c r="Z123" i="6"/>
  <c r="Z120" i="6"/>
  <c r="Z304" i="6"/>
  <c r="Z75" i="6"/>
  <c r="Z424" i="6"/>
  <c r="Z183" i="6"/>
  <c r="Z14" i="6"/>
  <c r="Z409" i="6"/>
  <c r="Z486" i="6"/>
  <c r="Z222" i="6"/>
  <c r="Z58" i="6"/>
  <c r="Z122" i="6"/>
  <c r="Z164" i="6"/>
  <c r="Z154" i="6"/>
  <c r="Z349" i="6"/>
  <c r="Z260" i="6"/>
  <c r="Z38" i="6"/>
  <c r="Z115" i="6"/>
  <c r="Z271" i="6"/>
  <c r="Z396" i="6"/>
  <c r="Z217" i="6"/>
  <c r="Z113" i="6"/>
  <c r="Z333" i="6"/>
  <c r="Z331" i="6"/>
  <c r="Z300" i="6"/>
  <c r="Z177" i="6"/>
  <c r="Z176" i="6"/>
  <c r="Z429" i="6"/>
  <c r="Z107" i="6"/>
  <c r="Z106" i="6"/>
  <c r="Z103" i="6"/>
  <c r="Z274" i="6"/>
  <c r="Z16" i="6"/>
  <c r="Z235" i="6"/>
  <c r="Z425" i="6"/>
  <c r="Z167" i="6"/>
  <c r="Z465" i="6"/>
  <c r="Z384" i="6"/>
  <c r="Z385" i="6"/>
  <c r="Z386" i="6"/>
  <c r="Z232" i="6"/>
  <c r="Z464" i="6"/>
  <c r="Z200" i="6"/>
  <c r="Z290" i="6"/>
  <c r="Z67" i="6"/>
  <c r="Z246" i="6"/>
  <c r="Z245" i="6"/>
  <c r="Z485" i="6"/>
  <c r="Z419" i="6"/>
  <c r="Z66" i="6"/>
  <c r="Z345" i="6"/>
  <c r="Z219" i="6"/>
  <c r="Z472" i="6"/>
  <c r="Z149" i="6"/>
  <c r="Z68" i="6"/>
  <c r="Z79" i="6"/>
  <c r="Z430" i="6"/>
  <c r="Z91" i="6"/>
  <c r="Z449" i="6"/>
  <c r="Z10" i="6"/>
  <c r="Z306" i="6"/>
  <c r="Z240" i="6"/>
  <c r="Z410" i="6"/>
  <c r="Z182" i="6"/>
  <c r="Z335" i="6"/>
  <c r="Z46" i="6"/>
  <c r="Z229" i="6"/>
  <c r="Z228" i="6"/>
  <c r="Z466" i="6"/>
  <c r="Z142" i="6"/>
  <c r="Z141" i="6"/>
  <c r="Z298" i="6"/>
  <c r="Z60" i="6"/>
  <c r="Z59" i="6"/>
  <c r="Z55" i="6"/>
  <c r="Z256" i="6"/>
  <c r="Z397" i="6"/>
  <c r="Z203" i="6"/>
  <c r="Z455" i="6"/>
  <c r="Z133" i="6"/>
  <c r="Z57" i="6"/>
  <c r="Z96" i="6"/>
  <c r="Z380" i="6"/>
  <c r="Z470" i="6"/>
  <c r="Z80" i="6"/>
  <c r="Z30" i="6"/>
  <c r="Z201" i="6"/>
  <c r="Z98" i="6"/>
  <c r="Z48" i="6"/>
  <c r="Z166" i="6"/>
  <c r="Z28" i="6"/>
  <c r="Z212" i="6"/>
  <c r="Z448" i="6"/>
  <c r="Z126" i="6"/>
  <c r="Z125" i="6"/>
  <c r="Z338" i="6"/>
  <c r="Z41" i="6"/>
  <c r="Z39" i="6"/>
  <c r="Z36" i="6"/>
  <c r="Z9" i="6"/>
  <c r="Z184" i="6"/>
  <c r="Z439" i="6"/>
  <c r="Z117" i="6"/>
  <c r="Z40" i="6"/>
  <c r="Z346" i="6"/>
  <c r="Z208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6" i="6"/>
  <c r="Z195" i="6"/>
  <c r="Z431" i="6"/>
  <c r="Z110" i="6"/>
  <c r="Z108" i="6"/>
  <c r="Z315" i="6"/>
  <c r="Z22" i="6"/>
  <c r="Z21" i="6"/>
  <c r="Z18" i="6"/>
  <c r="Z236" i="6"/>
  <c r="Z263" i="6"/>
  <c r="Z168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5" i="6"/>
  <c r="Z442" i="6"/>
  <c r="Z323" i="6"/>
  <c r="Z368" i="6"/>
  <c r="Z173" i="6"/>
  <c r="Z293" i="6"/>
  <c r="Z213" i="6"/>
  <c r="Z452" i="6"/>
  <c r="Z322" i="6"/>
  <c r="Z223" i="6"/>
  <c r="Z445" i="6"/>
  <c r="Z312" i="6"/>
  <c r="Z402" i="6"/>
  <c r="Z188" i="6"/>
  <c r="Z427" i="6"/>
  <c r="Z20" i="6"/>
  <c r="Z454" i="6"/>
  <c r="Z132" i="6"/>
  <c r="Z318" i="6"/>
  <c r="Z394" i="6"/>
  <c r="Z178" i="6"/>
  <c r="Z78" i="6"/>
  <c r="Z364" i="6"/>
  <c r="Z87" i="6"/>
  <c r="Z69" i="6"/>
  <c r="Z277" i="6"/>
  <c r="Z267" i="6"/>
  <c r="Z361" i="6"/>
  <c r="Z408" i="6"/>
  <c r="Z220" i="6"/>
  <c r="Z473" i="6"/>
  <c r="Z150" i="6"/>
  <c r="Z286" i="6"/>
  <c r="Z64" i="6"/>
  <c r="Z77" i="6"/>
  <c r="AA238" i="6" l="1"/>
  <c r="AA151" i="6"/>
  <c r="AA85" i="6"/>
  <c r="AA291" i="6"/>
  <c r="AA32" i="6"/>
  <c r="AA33" i="6"/>
  <c r="AA34" i="6"/>
  <c r="AA35" i="6"/>
  <c r="AA411" i="6"/>
  <c r="AA171" i="6"/>
  <c r="AA172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2" i="6"/>
  <c r="AA52" i="6"/>
  <c r="AA53" i="6"/>
  <c r="AA54" i="6"/>
  <c r="AA492" i="6"/>
  <c r="AA495" i="6"/>
  <c r="AA490" i="6"/>
  <c r="AA496" i="6"/>
  <c r="AA497" i="6"/>
  <c r="AA493" i="6"/>
  <c r="AA491" i="6"/>
  <c r="AA494" i="6"/>
  <c r="AA197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1" i="6"/>
  <c r="AA327" i="6"/>
  <c r="AA141" i="6"/>
  <c r="AA166" i="6"/>
  <c r="AA92" i="6"/>
  <c r="AA283" i="6"/>
  <c r="AA294" i="6"/>
  <c r="AA256" i="6"/>
  <c r="AA315" i="6"/>
  <c r="AA353" i="6"/>
  <c r="AA66" i="6"/>
  <c r="AA319" i="6"/>
  <c r="AA188" i="6"/>
  <c r="AA203" i="6"/>
  <c r="AA155" i="6"/>
  <c r="AA241" i="6"/>
  <c r="AA276" i="6"/>
  <c r="AA295" i="6"/>
  <c r="AA180" i="6"/>
  <c r="AA81" i="6"/>
  <c r="AA108" i="6"/>
  <c r="AA287" i="6"/>
  <c r="AA49" i="6"/>
  <c r="AA89" i="6"/>
  <c r="AA341" i="6"/>
  <c r="AA29" i="6"/>
  <c r="AA469" i="6"/>
  <c r="AA133" i="6"/>
  <c r="AA208" i="6"/>
  <c r="AA105" i="6"/>
  <c r="AA13" i="6"/>
  <c r="AA368" i="6"/>
  <c r="AA131" i="6"/>
  <c r="AA198" i="6"/>
  <c r="AA399" i="6"/>
  <c r="AA379" i="6"/>
  <c r="AA392" i="6"/>
  <c r="AA257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0" i="6"/>
  <c r="AA94" i="6"/>
  <c r="AA184" i="6"/>
  <c r="AA75" i="6"/>
  <c r="AA206" i="6"/>
  <c r="AA277" i="6"/>
  <c r="AA444" i="6"/>
  <c r="AA364" i="6"/>
  <c r="AA186" i="6"/>
  <c r="AA321" i="6"/>
  <c r="AA211" i="6"/>
  <c r="Z5" i="6"/>
  <c r="AA465" i="6"/>
  <c r="AA384" i="6"/>
  <c r="AA385" i="6"/>
  <c r="AA386" i="6"/>
  <c r="AA244" i="6"/>
  <c r="AA336" i="6"/>
  <c r="AA342" i="6"/>
  <c r="AA395" i="6"/>
  <c r="AA314" i="6"/>
  <c r="AA397" i="6"/>
  <c r="AA65" i="6"/>
  <c r="AA64" i="6"/>
  <c r="AA182" i="6"/>
  <c r="AA285" i="6"/>
  <c r="AA354" i="6"/>
  <c r="AA453" i="6"/>
  <c r="AA298" i="6"/>
  <c r="AA163" i="6"/>
  <c r="AA17" i="6"/>
  <c r="AA401" i="6"/>
  <c r="AA223" i="6"/>
  <c r="AA284" i="6"/>
  <c r="AA58" i="6"/>
  <c r="AA220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8" i="6"/>
  <c r="AA30" i="6"/>
  <c r="AA325" i="6"/>
  <c r="AA210" i="6"/>
  <c r="AA239" i="6"/>
  <c r="AA41" i="6"/>
  <c r="AA228" i="6"/>
  <c r="AA246" i="6"/>
  <c r="AA122" i="6"/>
  <c r="AA218" i="6"/>
  <c r="AA259" i="6"/>
  <c r="AA296" i="6"/>
  <c r="AA59" i="6"/>
  <c r="AA190" i="6"/>
  <c r="AA255" i="6"/>
  <c r="AA187" i="6"/>
  <c r="AA375" i="6"/>
  <c r="AA8" i="6"/>
  <c r="AA114" i="6"/>
  <c r="AA154" i="6"/>
  <c r="AA170" i="6"/>
  <c r="AA269" i="6"/>
  <c r="AA442" i="6"/>
  <c r="AA10" i="6"/>
  <c r="AA393" i="6"/>
  <c r="AA378" i="6"/>
  <c r="AA123" i="6"/>
  <c r="AA253" i="6"/>
  <c r="AA360" i="6"/>
  <c r="AA333" i="6"/>
  <c r="AA311" i="6"/>
  <c r="AA80" i="6"/>
  <c r="AA14" i="6"/>
  <c r="AA286" i="6"/>
  <c r="AA173" i="6"/>
  <c r="AA251" i="6"/>
  <c r="AA25" i="6"/>
  <c r="AA250" i="6"/>
  <c r="AA381" i="6"/>
  <c r="AA84" i="6"/>
  <c r="AA225" i="6"/>
  <c r="AA482" i="6"/>
  <c r="AA470" i="6"/>
  <c r="AA142" i="6"/>
  <c r="AA78" i="6"/>
  <c r="AA199" i="6"/>
  <c r="AA280" i="6"/>
  <c r="AA356" i="6"/>
  <c r="AA441" i="6"/>
  <c r="AA487" i="6"/>
  <c r="AA382" i="6"/>
  <c r="AA93" i="6"/>
  <c r="AA234" i="6"/>
  <c r="AA240" i="6"/>
  <c r="AA299" i="6"/>
  <c r="AA430" i="6"/>
  <c r="AA306" i="6"/>
  <c r="AA21" i="6"/>
  <c r="AA226" i="6"/>
  <c r="AA462" i="6"/>
  <c r="AA140" i="6"/>
  <c r="AA347" i="6"/>
  <c r="AA426" i="6"/>
  <c r="AA111" i="6"/>
  <c r="AA129" i="6"/>
  <c r="AA355" i="6"/>
  <c r="AA50" i="6"/>
  <c r="AA362" i="6"/>
  <c r="AA252" i="6"/>
  <c r="AA377" i="6"/>
  <c r="AA463" i="6"/>
  <c r="AA63" i="6"/>
  <c r="AA236" i="6"/>
  <c r="AA361" i="6"/>
  <c r="AA322" i="6"/>
  <c r="AA473" i="6"/>
  <c r="AA204" i="6"/>
  <c r="AA113" i="6"/>
  <c r="AA445" i="6"/>
  <c r="AA179" i="6"/>
  <c r="AA125" i="6"/>
  <c r="AA471" i="6"/>
  <c r="AA137" i="6"/>
  <c r="AA152" i="6"/>
  <c r="AA330" i="6"/>
  <c r="AA278" i="6"/>
  <c r="AA458" i="6"/>
  <c r="AA317" i="6"/>
  <c r="AA232" i="6"/>
  <c r="AA339" i="6"/>
  <c r="AA428" i="6"/>
  <c r="AA60" i="6"/>
  <c r="AA214" i="6"/>
  <c r="AA454" i="6"/>
  <c r="AA130" i="6"/>
  <c r="AA318" i="6"/>
  <c r="AA18" i="6"/>
  <c r="AA12" i="6"/>
  <c r="AA229" i="6"/>
  <c r="AA346" i="6"/>
  <c r="AA451" i="6"/>
  <c r="AA109" i="6"/>
  <c r="AA352" i="6"/>
  <c r="AA67" i="6"/>
  <c r="AA231" i="6"/>
  <c r="AA47" i="6"/>
  <c r="AA343" i="6"/>
  <c r="AA422" i="6"/>
  <c r="AA421" i="6"/>
  <c r="AA176" i="6"/>
  <c r="AA440" i="6"/>
  <c r="AA177" i="6"/>
  <c r="AA450" i="6"/>
  <c r="AA423" i="6"/>
  <c r="AA407" i="6"/>
  <c r="AA408" i="6"/>
  <c r="AA189" i="6"/>
  <c r="AA373" i="6"/>
  <c r="AA396" i="6"/>
  <c r="AA126" i="6"/>
  <c r="AA290" i="6"/>
  <c r="AA429" i="6"/>
  <c r="AA144" i="6"/>
  <c r="AA157" i="6"/>
  <c r="AA9" i="6"/>
  <c r="AA249" i="6"/>
  <c r="AA438" i="6"/>
  <c r="AA138" i="6"/>
  <c r="AA86" i="6"/>
  <c r="AA305" i="6"/>
  <c r="AA77" i="6"/>
  <c r="AA448" i="6"/>
  <c r="AA329" i="6"/>
  <c r="AA196" i="6"/>
  <c r="AA344" i="6"/>
  <c r="AA268" i="6"/>
  <c r="AA202" i="6"/>
  <c r="AA57" i="6"/>
  <c r="AA313" i="6"/>
  <c r="AA16" i="6"/>
  <c r="AA217" i="6"/>
  <c r="AA398" i="6"/>
  <c r="AA183" i="6"/>
  <c r="AA237" i="6"/>
  <c r="AA323" i="6"/>
  <c r="AA447" i="6"/>
  <c r="AB7" i="6"/>
  <c r="AA472" i="6"/>
  <c r="AA146" i="6"/>
  <c r="AA235" i="6"/>
  <c r="AA340" i="6"/>
  <c r="AA486" i="6"/>
  <c r="AA91" i="6"/>
  <c r="AA254" i="6"/>
  <c r="AA43" i="6"/>
  <c r="AA484" i="6"/>
  <c r="AA245" i="6"/>
  <c r="AA358" i="6"/>
  <c r="AA297" i="6"/>
  <c r="AA328" i="6"/>
  <c r="AA449" i="6"/>
  <c r="AA72" i="6"/>
  <c r="AA165" i="6"/>
  <c r="AA209" i="6"/>
  <c r="AA310" i="6"/>
  <c r="AA309" i="6"/>
  <c r="AA461" i="6"/>
  <c r="AA383" i="6"/>
  <c r="AA61" i="6"/>
  <c r="AA119" i="6"/>
  <c r="AA258" i="6"/>
  <c r="AA345" i="6"/>
  <c r="AA303" i="6"/>
  <c r="AA174" i="6"/>
  <c r="AA181" i="6"/>
  <c r="AA301" i="6"/>
  <c r="AA27" i="6"/>
  <c r="AA207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5" i="6"/>
  <c r="AA46" i="6"/>
  <c r="AA200" i="6"/>
  <c r="AA427" i="6"/>
  <c r="AA349" i="6"/>
  <c r="AA42" i="6"/>
  <c r="AA167" i="6"/>
  <c r="AA115" i="6"/>
  <c r="AA326" i="6"/>
  <c r="AA439" i="6"/>
  <c r="AA31" i="6"/>
  <c r="AA88" i="6"/>
  <c r="AA106" i="6"/>
  <c r="AA224" i="6"/>
  <c r="AA320" i="6"/>
  <c r="AA107" i="6"/>
  <c r="AA97" i="6"/>
  <c r="AA279" i="6"/>
  <c r="AA424" i="6"/>
  <c r="AA193" i="6"/>
  <c r="AA334" i="6"/>
  <c r="AA69" i="6"/>
  <c r="AA51" i="6"/>
  <c r="AA194" i="6"/>
  <c r="AA464" i="6"/>
  <c r="AA394" i="6"/>
  <c r="AA483" i="6"/>
  <c r="AA350" i="6"/>
  <c r="AA227" i="6"/>
  <c r="AA302" i="6"/>
  <c r="AA369" i="6"/>
  <c r="AA348" i="6"/>
  <c r="AA56" i="6"/>
  <c r="AA116" i="6"/>
  <c r="AA222" i="6"/>
  <c r="AA282" i="6"/>
  <c r="AA135" i="6"/>
  <c r="AA79" i="6"/>
  <c r="AA274" i="6"/>
  <c r="AA213" i="6"/>
  <c r="AA156" i="6"/>
  <c r="AA338" i="6"/>
  <c r="AA233" i="6"/>
  <c r="AA480" i="6"/>
  <c r="AA292" i="6"/>
  <c r="AA118" i="6"/>
  <c r="AA168" i="6"/>
  <c r="AA293" i="6"/>
  <c r="AA62" i="6"/>
  <c r="AA212" i="6"/>
  <c r="AA169" i="6"/>
  <c r="AA112" i="6"/>
  <c r="AA260" i="6"/>
  <c r="AA247" i="6"/>
  <c r="AA248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1" i="6"/>
  <c r="AA219" i="6"/>
  <c r="AA459" i="6"/>
  <c r="AA372" i="6"/>
  <c r="AA24" i="6"/>
  <c r="AA103" i="6"/>
  <c r="AA195" i="6"/>
  <c r="AA331" i="6"/>
  <c r="AA117" i="6"/>
  <c r="AA205" i="6"/>
  <c r="AA175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261" i="6"/>
  <c r="AA191" i="6"/>
  <c r="AA243" i="6"/>
  <c r="AA437" i="6"/>
  <c r="AA481" i="6"/>
  <c r="AA400" i="6"/>
  <c r="AA82" i="6"/>
  <c r="AA263" i="6"/>
  <c r="AA216" i="6"/>
  <c r="AA83" i="6"/>
  <c r="AA45" i="6"/>
  <c r="AA324" i="6"/>
  <c r="AA460" i="6"/>
  <c r="AA124" i="6"/>
  <c r="AA359" i="6"/>
  <c r="AA20" i="6"/>
  <c r="AA289" i="6"/>
  <c r="AA242" i="6"/>
  <c r="AA95" i="6"/>
  <c r="AB238" i="6" l="1"/>
  <c r="AB151" i="6"/>
  <c r="AB85" i="6"/>
  <c r="AB291" i="6"/>
  <c r="AB32" i="6"/>
  <c r="AB33" i="6"/>
  <c r="AB34" i="6"/>
  <c r="AB35" i="6"/>
  <c r="AB411" i="6"/>
  <c r="AB171" i="6"/>
  <c r="AB172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2" i="6"/>
  <c r="AB52" i="6"/>
  <c r="AB53" i="6"/>
  <c r="AB54" i="6"/>
  <c r="AB492" i="6"/>
  <c r="AB495" i="6"/>
  <c r="AB490" i="6"/>
  <c r="AB496" i="6"/>
  <c r="AB497" i="6"/>
  <c r="AB493" i="6"/>
  <c r="AB491" i="6"/>
  <c r="AB494" i="6"/>
  <c r="AB197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167" i="6"/>
  <c r="AB370" i="6"/>
  <c r="AB371" i="6"/>
  <c r="AB225" i="6"/>
  <c r="AB170" i="6"/>
  <c r="AB311" i="6"/>
  <c r="AB312" i="6"/>
  <c r="AB322" i="6"/>
  <c r="AB245" i="6"/>
  <c r="AB64" i="6"/>
  <c r="AB431" i="6"/>
  <c r="AB56" i="6"/>
  <c r="AB47" i="6"/>
  <c r="AB72" i="6"/>
  <c r="AB375" i="6"/>
  <c r="AB39" i="6"/>
  <c r="AB31" i="6"/>
  <c r="AB112" i="6"/>
  <c r="AB241" i="6"/>
  <c r="AB134" i="6"/>
  <c r="AB188" i="6"/>
  <c r="AB292" i="6"/>
  <c r="AB275" i="6"/>
  <c r="AB17" i="6"/>
  <c r="AB354" i="6"/>
  <c r="AB224" i="6"/>
  <c r="AB443" i="6"/>
  <c r="AB486" i="6"/>
  <c r="AB360" i="6"/>
  <c r="AB115" i="6"/>
  <c r="AB424" i="6"/>
  <c r="AB130" i="6"/>
  <c r="AB257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3" i="6"/>
  <c r="AB314" i="6"/>
  <c r="AB173" i="6"/>
  <c r="AB351" i="6"/>
  <c r="AB79" i="6"/>
  <c r="AB110" i="6"/>
  <c r="AB335" i="6"/>
  <c r="AB189" i="6"/>
  <c r="AB62" i="6"/>
  <c r="AB410" i="6"/>
  <c r="AB274" i="6"/>
  <c r="AB253" i="6"/>
  <c r="AB313" i="6"/>
  <c r="AB427" i="6"/>
  <c r="AB157" i="6"/>
  <c r="AB116" i="6"/>
  <c r="AB320" i="6"/>
  <c r="AB397" i="6"/>
  <c r="AB23" i="6"/>
  <c r="AB208" i="6"/>
  <c r="AB138" i="6"/>
  <c r="AB174" i="6"/>
  <c r="AB45" i="6"/>
  <c r="AB246" i="6"/>
  <c r="AB144" i="6"/>
  <c r="AB179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6" i="6"/>
  <c r="AB251" i="6"/>
  <c r="AB152" i="6"/>
  <c r="AB219" i="6"/>
  <c r="AB252" i="6"/>
  <c r="AB228" i="6"/>
  <c r="AB44" i="6"/>
  <c r="AB227" i="6"/>
  <c r="AB156" i="6"/>
  <c r="AB319" i="6"/>
  <c r="AB440" i="6"/>
  <c r="AB207" i="6"/>
  <c r="AB11" i="6"/>
  <c r="AB254" i="6"/>
  <c r="AB469" i="6"/>
  <c r="AB341" i="6"/>
  <c r="AB76" i="6"/>
  <c r="AB406" i="6"/>
  <c r="AB78" i="6"/>
  <c r="AB60" i="6"/>
  <c r="AB425" i="6"/>
  <c r="AB361" i="6"/>
  <c r="AB204" i="6"/>
  <c r="AB59" i="6"/>
  <c r="AB49" i="6"/>
  <c r="AB323" i="6"/>
  <c r="AB395" i="6"/>
  <c r="AB28" i="6"/>
  <c r="AB211" i="6"/>
  <c r="AB210" i="6"/>
  <c r="AB303" i="6"/>
  <c r="AB369" i="6"/>
  <c r="AB88" i="6"/>
  <c r="AB461" i="6"/>
  <c r="AB237" i="6"/>
  <c r="AB407" i="6"/>
  <c r="AB80" i="6"/>
  <c r="AB455" i="6"/>
  <c r="AB484" i="6"/>
  <c r="AB235" i="6"/>
  <c r="AB9" i="6"/>
  <c r="AB109" i="6"/>
  <c r="AB55" i="6"/>
  <c r="AB194" i="6"/>
  <c r="AB464" i="6"/>
  <c r="AB481" i="6"/>
  <c r="AB262" i="6"/>
  <c r="AB378" i="6"/>
  <c r="AB306" i="6"/>
  <c r="AB108" i="6"/>
  <c r="AB298" i="6"/>
  <c r="AB67" i="6"/>
  <c r="AB42" i="6"/>
  <c r="AB448" i="6"/>
  <c r="AB193" i="6"/>
  <c r="AB221" i="6"/>
  <c r="AB63" i="6"/>
  <c r="AB129" i="6"/>
  <c r="AB104" i="6"/>
  <c r="AB169" i="6"/>
  <c r="AB164" i="6"/>
  <c r="AB268" i="6"/>
  <c r="AB153" i="6"/>
  <c r="AB21" i="6"/>
  <c r="AB205" i="6"/>
  <c r="AB452" i="6"/>
  <c r="AB46" i="6"/>
  <c r="AB260" i="6"/>
  <c r="AB269" i="6"/>
  <c r="AB12" i="6"/>
  <c r="AB487" i="6"/>
  <c r="AB220" i="6"/>
  <c r="AB380" i="6"/>
  <c r="AB213" i="6"/>
  <c r="AB43" i="6"/>
  <c r="AB429" i="6"/>
  <c r="AB355" i="6"/>
  <c r="AB372" i="6"/>
  <c r="AB92" i="6"/>
  <c r="AB91" i="6"/>
  <c r="AB147" i="6"/>
  <c r="AB349" i="6"/>
  <c r="AB10" i="6"/>
  <c r="AB255" i="6"/>
  <c r="AB122" i="6"/>
  <c r="AB419" i="6"/>
  <c r="AB30" i="6"/>
  <c r="AB350" i="6"/>
  <c r="AB244" i="6"/>
  <c r="AB83" i="6"/>
  <c r="AB286" i="6"/>
  <c r="AB148" i="6"/>
  <c r="AB422" i="6"/>
  <c r="AB18" i="6"/>
  <c r="AB203" i="6"/>
  <c r="AB420" i="6"/>
  <c r="AB27" i="6"/>
  <c r="AB339" i="6"/>
  <c r="AB450" i="6"/>
  <c r="AB368" i="6"/>
  <c r="AB73" i="6"/>
  <c r="AB166" i="6"/>
  <c r="AB267" i="6"/>
  <c r="AB437" i="6"/>
  <c r="AB239" i="6"/>
  <c r="AB86" i="6"/>
  <c r="AB358" i="6"/>
  <c r="AB14" i="6"/>
  <c r="AB297" i="6"/>
  <c r="AB195" i="6"/>
  <c r="AB446" i="6"/>
  <c r="AB377" i="6"/>
  <c r="AB105" i="6"/>
  <c r="AB438" i="6"/>
  <c r="AB342" i="6"/>
  <c r="AB66" i="6"/>
  <c r="AB453" i="6"/>
  <c r="AB324" i="6"/>
  <c r="AB381" i="6"/>
  <c r="AB57" i="6"/>
  <c r="AB139" i="6"/>
  <c r="AB222" i="6"/>
  <c r="AB367" i="6"/>
  <c r="AB396" i="6"/>
  <c r="AB290" i="6"/>
  <c r="AB423" i="6"/>
  <c r="AB392" i="6"/>
  <c r="AB456" i="6"/>
  <c r="AB308" i="6"/>
  <c r="AB468" i="6"/>
  <c r="AB467" i="6"/>
  <c r="AB40" i="6"/>
  <c r="AB258" i="6"/>
  <c r="AB163" i="6"/>
  <c r="AB348" i="6"/>
  <c r="AB206" i="6"/>
  <c r="AB454" i="6"/>
  <c r="AB327" i="6"/>
  <c r="AB401" i="6"/>
  <c r="AB326" i="6"/>
  <c r="AB340" i="6"/>
  <c r="AB36" i="6"/>
  <c r="AB19" i="6"/>
  <c r="AB234" i="6"/>
  <c r="AB250" i="6"/>
  <c r="AB310" i="6"/>
  <c r="AB325" i="6"/>
  <c r="AB480" i="6"/>
  <c r="AB301" i="6"/>
  <c r="AB347" i="6"/>
  <c r="AB20" i="6"/>
  <c r="AB408" i="6"/>
  <c r="AB218" i="6"/>
  <c r="AB233" i="6"/>
  <c r="AB294" i="6"/>
  <c r="AB309" i="6"/>
  <c r="AB38" i="6"/>
  <c r="AB330" i="6"/>
  <c r="AB202" i="6"/>
  <c r="AB277" i="6"/>
  <c r="AB293" i="6"/>
  <c r="AB471" i="6"/>
  <c r="AB186" i="6"/>
  <c r="AB118" i="6"/>
  <c r="AB136" i="6"/>
  <c r="AB93" i="6"/>
  <c r="AB263" i="6"/>
  <c r="AB120" i="6"/>
  <c r="AB75" i="6"/>
  <c r="AB175" i="6"/>
  <c r="AB444" i="6"/>
  <c r="AB209" i="6"/>
  <c r="AB333" i="6"/>
  <c r="AB22" i="6"/>
  <c r="AB131" i="6"/>
  <c r="AB316" i="6"/>
  <c r="AB402" i="6"/>
  <c r="AB183" i="6"/>
  <c r="AB201" i="6"/>
  <c r="AB133" i="6"/>
  <c r="AB276" i="6"/>
  <c r="AB217" i="6"/>
  <c r="AB289" i="6"/>
  <c r="AB459" i="6"/>
  <c r="AB236" i="6"/>
  <c r="AB26" i="6"/>
  <c r="AB352" i="6"/>
  <c r="AB58" i="6"/>
  <c r="AB259" i="6"/>
  <c r="AB373" i="6"/>
  <c r="AB191" i="6"/>
  <c r="AB318" i="6"/>
  <c r="AB362" i="6"/>
  <c r="AB154" i="6"/>
  <c r="AB300" i="6"/>
  <c r="AB299" i="6"/>
  <c r="AB472" i="6"/>
  <c r="AB182" i="6"/>
  <c r="AB200" i="6"/>
  <c r="AB125" i="6"/>
  <c r="AA5" i="6"/>
  <c r="AB353" i="6"/>
  <c r="AB344" i="6"/>
  <c r="AB50" i="6"/>
  <c r="AB307" i="6"/>
  <c r="AB247" i="6"/>
  <c r="AB140" i="6"/>
  <c r="AB280" i="6"/>
  <c r="AB271" i="6"/>
  <c r="AB387" i="6"/>
  <c r="AB117" i="6"/>
  <c r="AB126" i="6"/>
  <c r="AB383" i="6"/>
  <c r="AB230" i="6"/>
  <c r="AB336" i="6"/>
  <c r="AB25" i="6"/>
  <c r="AB243" i="6"/>
  <c r="AB466" i="6"/>
  <c r="AB155" i="6"/>
  <c r="AB302" i="6"/>
  <c r="AB284" i="6"/>
  <c r="AB256" i="6"/>
  <c r="AB283" i="6"/>
  <c r="AB282" i="6"/>
  <c r="AB82" i="6"/>
  <c r="AB181" i="6"/>
  <c r="AB142" i="6"/>
  <c r="AB266" i="6"/>
  <c r="AB382" i="6"/>
  <c r="AB212" i="6"/>
  <c r="AB143" i="6"/>
  <c r="AB261" i="6"/>
  <c r="AB482" i="6"/>
  <c r="AB229" i="6"/>
  <c r="AB460" i="6"/>
  <c r="AB214" i="6"/>
  <c r="AB305" i="6"/>
  <c r="AB374" i="6"/>
  <c r="AB226" i="6"/>
  <c r="AB441" i="6"/>
  <c r="AB90" i="6"/>
  <c r="AB285" i="6"/>
  <c r="AB177" i="6"/>
  <c r="AB240" i="6"/>
  <c r="AB265" i="6"/>
  <c r="AB264" i="6"/>
  <c r="AB483" i="6"/>
  <c r="AB398" i="6"/>
  <c r="AB81" i="6"/>
  <c r="AB98" i="6"/>
  <c r="AB465" i="6"/>
  <c r="AB384" i="6"/>
  <c r="AB385" i="6"/>
  <c r="AB386" i="6"/>
  <c r="AB187" i="6"/>
  <c r="AB343" i="6"/>
  <c r="AB65" i="6"/>
  <c r="AB295" i="6"/>
  <c r="AB15" i="6"/>
  <c r="AB150" i="6"/>
  <c r="AB248" i="6"/>
  <c r="AB96" i="6"/>
  <c r="AB48" i="6"/>
  <c r="AB278" i="6"/>
  <c r="AB400" i="6"/>
  <c r="AB176" i="6"/>
  <c r="AB463" i="6"/>
  <c r="AB231" i="6"/>
  <c r="AB95" i="6"/>
  <c r="AB141" i="6"/>
  <c r="AB405" i="6"/>
  <c r="AB119" i="6"/>
  <c r="AB399" i="6"/>
  <c r="AB215" i="6"/>
  <c r="AB94" i="6"/>
  <c r="AB70" i="6"/>
  <c r="AB123" i="6"/>
  <c r="AB346" i="6"/>
  <c r="AB68" i="6"/>
  <c r="AB296" i="6"/>
  <c r="AB16" i="6"/>
  <c r="AB394" i="6"/>
  <c r="AB249" i="6"/>
  <c r="AB199" i="6"/>
  <c r="AB37" i="6"/>
  <c r="AB329" i="6"/>
  <c r="AB51" i="6"/>
  <c r="AB279" i="6"/>
  <c r="AB404" i="6"/>
  <c r="AB232" i="6"/>
  <c r="AB449" i="6"/>
  <c r="AB180" i="6"/>
  <c r="AB190" i="6"/>
  <c r="AB364" i="6"/>
  <c r="AB145" i="6"/>
  <c r="AB114" i="6"/>
  <c r="AB84" i="6"/>
  <c r="AB281" i="6"/>
  <c r="AB470" i="6"/>
  <c r="AB337" i="6"/>
  <c r="AB184" i="6"/>
  <c r="AB430" i="6"/>
  <c r="AB178" i="6"/>
  <c r="AB473" i="6"/>
  <c r="AB198" i="6"/>
  <c r="AB321" i="6"/>
  <c r="AB41" i="6"/>
  <c r="AB124" i="6"/>
  <c r="AB363" i="6"/>
  <c r="AB242" i="6"/>
  <c r="AB439" i="6"/>
  <c r="AB146" i="6"/>
  <c r="AB462" i="6"/>
  <c r="AB421" i="6"/>
  <c r="AB168" i="6"/>
  <c r="AB315" i="6"/>
  <c r="AB149" i="6"/>
  <c r="AB8" i="6"/>
  <c r="AB127" i="6"/>
  <c r="AB403" i="6"/>
  <c r="AB216" i="6"/>
  <c r="AB97" i="6"/>
  <c r="AB5" i="6" l="1"/>
</calcChain>
</file>

<file path=xl/sharedStrings.xml><?xml version="1.0" encoding="utf-8"?>
<sst xmlns="http://schemas.openxmlformats.org/spreadsheetml/2006/main" count="4767" uniqueCount="2087">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</sst>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topLeftCell="E1" zoomScaleNormal="100" workbookViewId="0">
      <pane ySplit="7" topLeftCell="A144" activePane="bottomLeft" state="frozen"/>
      <selection pane="bottomLeft" activeCell="N149" sqref="N149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122</v>
      </c>
      <c r="F3" s="5">
        <f>+AD6</f>
        <v>110</v>
      </c>
      <c r="G3" s="5">
        <f>+AF6</f>
        <v>105</v>
      </c>
      <c r="H3" s="5">
        <f>+E3-G3</f>
        <v>17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328</v>
      </c>
      <c r="F4" s="7">
        <f>+AE6</f>
        <v>185</v>
      </c>
      <c r="G4" s="7">
        <f>+AG6</f>
        <v>167</v>
      </c>
      <c r="H4" s="5">
        <f>+E4-G4</f>
        <v>161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295</v>
      </c>
      <c r="G5" s="8">
        <f>+G3+G4</f>
        <v>272</v>
      </c>
      <c r="H5" s="8">
        <f>+H3+H4</f>
        <v>178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110</v>
      </c>
      <c r="AE6" s="1">
        <f t="shared" si="1"/>
        <v>185</v>
      </c>
      <c r="AF6" s="1">
        <f t="shared" si="1"/>
        <v>105</v>
      </c>
      <c r="AG6" s="1">
        <f t="shared" si="1"/>
        <v>167</v>
      </c>
      <c r="AH6" s="1">
        <f t="shared" si="1"/>
        <v>122</v>
      </c>
      <c r="AI6" s="1">
        <f t="shared" si="1"/>
        <v>328</v>
      </c>
    </row>
    <row r="7" spans="1:35" s="69" customFormat="1" ht="14.25" customHeight="1" x14ac:dyDescent="0.3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121</v>
      </c>
      <c r="E19" s="32" t="s">
        <v>171</v>
      </c>
      <c r="F19" s="32" t="s">
        <v>322</v>
      </c>
      <c r="G19" s="32" t="s">
        <v>323</v>
      </c>
      <c r="H19" s="32" t="s">
        <v>354</v>
      </c>
      <c r="I19" s="31" t="s">
        <v>468</v>
      </c>
      <c r="J19" s="31">
        <v>99</v>
      </c>
      <c r="K19" s="33" t="s">
        <v>965</v>
      </c>
      <c r="L19" s="33">
        <v>200</v>
      </c>
      <c r="M19" s="34" t="s">
        <v>39</v>
      </c>
      <c r="N19" s="34" t="s">
        <v>1849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172</v>
      </c>
      <c r="F92" s="32" t="s">
        <v>267</v>
      </c>
      <c r="G92" s="32" t="s">
        <v>263</v>
      </c>
      <c r="H92" s="32" t="s">
        <v>354</v>
      </c>
      <c r="I92" s="31" t="s">
        <v>424</v>
      </c>
      <c r="J92" s="31">
        <v>1</v>
      </c>
      <c r="K92" s="33" t="s">
        <v>956</v>
      </c>
      <c r="L92" s="33" t="s">
        <v>1699</v>
      </c>
      <c r="M92" s="34" t="s">
        <v>970</v>
      </c>
      <c r="N92" s="34" t="s">
        <v>1743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736</v>
      </c>
      <c r="E96" s="32" t="s">
        <v>1331</v>
      </c>
      <c r="F96" s="32" t="s">
        <v>1658</v>
      </c>
      <c r="G96" s="32" t="s">
        <v>39</v>
      </c>
      <c r="H96" s="32" t="s">
        <v>737</v>
      </c>
      <c r="I96" s="31" t="s">
        <v>738</v>
      </c>
      <c r="J96" s="31">
        <v>18</v>
      </c>
      <c r="K96" s="33" t="s">
        <v>702</v>
      </c>
      <c r="L96" s="33" t="s">
        <v>688</v>
      </c>
      <c r="M96" s="34" t="s">
        <v>970</v>
      </c>
      <c r="N96" s="34" t="s">
        <v>1849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9" si="113">+O140*P140*(1-A140)</f>
        <v>1</v>
      </c>
      <c r="AG140" s="1">
        <f t="shared" ref="AG140:AG209" si="114">O140*(1-P140)*(1-A140)</f>
        <v>0</v>
      </c>
      <c r="AH140" s="1">
        <f t="shared" ref="AH140:AH209" si="115">+P140*(1-A140)</f>
        <v>1</v>
      </c>
      <c r="AI140" s="1">
        <f t="shared" ref="AI140:AI209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867</v>
      </c>
      <c r="E144" s="32" t="s">
        <v>170</v>
      </c>
      <c r="F144" s="32" t="s">
        <v>868</v>
      </c>
      <c r="G144" s="32" t="s">
        <v>39</v>
      </c>
      <c r="H144" s="32" t="s">
        <v>869</v>
      </c>
      <c r="I144" s="31" t="s">
        <v>948</v>
      </c>
      <c r="J144" s="31">
        <v>11</v>
      </c>
      <c r="K144" s="33" t="s">
        <v>702</v>
      </c>
      <c r="L144" s="33" t="s">
        <v>689</v>
      </c>
      <c r="M144" s="34" t="s">
        <v>971</v>
      </c>
      <c r="N144" s="34" t="s">
        <v>1755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4" si="117">IF(J145=$S$7,1,0)</f>
        <v>0</v>
      </c>
      <c r="T145" s="1">
        <f t="shared" ref="T145:T214" si="118">IF(J145=$T$7,1,0)</f>
        <v>0</v>
      </c>
      <c r="U145" s="1">
        <f t="shared" ref="U145:U214" si="119">IF(J145=$U$7,1,0)</f>
        <v>0</v>
      </c>
      <c r="V145" s="1">
        <f t="shared" ref="V145:V214" si="120">IF(J145=$V$7,1,0)</f>
        <v>0</v>
      </c>
      <c r="W145" s="1">
        <f t="shared" ref="W145:W214" si="121">IF(J145=$W$7,1,0)</f>
        <v>0</v>
      </c>
      <c r="X145" s="1">
        <f t="shared" ref="X145:X214" si="122">IF(J145=$X$7,1,0)</f>
        <v>0</v>
      </c>
      <c r="Y145" s="1">
        <f t="shared" ref="Y145:Y214" si="123">IF(J145=$Y$7,1,0)</f>
        <v>0</v>
      </c>
      <c r="Z145" s="1">
        <f t="shared" ref="Z145:Z214" si="124">IF(J145=$Z$7,1,0)</f>
        <v>0</v>
      </c>
      <c r="AA145" s="1">
        <f t="shared" ref="AA145:AA214" si="125">IF(J145=$AA$7,1,0)</f>
        <v>0</v>
      </c>
      <c r="AB145" s="1">
        <f t="shared" ref="AB145:AB214" si="126">IF(J145=$AB$7,1,0)</f>
        <v>0</v>
      </c>
      <c r="AD145" s="1">
        <f t="shared" ref="AD145:AD214" si="127">+O145*P145</f>
        <v>0</v>
      </c>
      <c r="AE145" s="1">
        <f t="shared" ref="AE145:AE214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s="1" customFormat="1" ht="14.25" customHeight="1" x14ac:dyDescent="0.3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s="1" customFormat="1" ht="14.25" customHeight="1" x14ac:dyDescent="0.3">
      <c r="A148" s="31">
        <v>0</v>
      </c>
      <c r="B148" s="31">
        <v>1</v>
      </c>
      <c r="C148" s="31">
        <v>3</v>
      </c>
      <c r="D148" s="32" t="s">
        <v>975</v>
      </c>
      <c r="E148" s="32" t="s">
        <v>175</v>
      </c>
      <c r="F148" s="32" t="s">
        <v>805</v>
      </c>
      <c r="G148" s="32" t="s">
        <v>39</v>
      </c>
      <c r="H148" s="32" t="s">
        <v>806</v>
      </c>
      <c r="I148" s="31" t="s">
        <v>807</v>
      </c>
      <c r="J148" s="31">
        <v>16</v>
      </c>
      <c r="K148" s="33" t="s">
        <v>957</v>
      </c>
      <c r="L148" s="33" t="s">
        <v>1141</v>
      </c>
      <c r="M148" s="34" t="s">
        <v>970</v>
      </c>
      <c r="N148" s="34" t="s">
        <v>1748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1209</v>
      </c>
      <c r="E165" s="32" t="s">
        <v>172</v>
      </c>
      <c r="F165" s="32" t="s">
        <v>1211</v>
      </c>
      <c r="G165" s="32" t="s">
        <v>185</v>
      </c>
      <c r="H165" s="32" t="s">
        <v>354</v>
      </c>
      <c r="I165" s="31" t="s">
        <v>1210</v>
      </c>
      <c r="J165" s="31">
        <v>99</v>
      </c>
      <c r="K165" s="33" t="s">
        <v>958</v>
      </c>
      <c r="L165" s="33" t="s">
        <v>689</v>
      </c>
      <c r="M165" s="34" t="s">
        <v>971</v>
      </c>
      <c r="N165" s="34" t="s">
        <v>1749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3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747</v>
      </c>
      <c r="E170" s="32" t="s">
        <v>610</v>
      </c>
      <c r="F170" s="32" t="s">
        <v>748</v>
      </c>
      <c r="G170" s="32" t="s">
        <v>39</v>
      </c>
      <c r="H170" s="32" t="s">
        <v>749</v>
      </c>
      <c r="I170" s="31" t="s">
        <v>750</v>
      </c>
      <c r="J170" s="31">
        <v>18</v>
      </c>
      <c r="K170" s="33" t="s">
        <v>703</v>
      </c>
      <c r="L170" s="33" t="s">
        <v>697</v>
      </c>
      <c r="M170" s="34" t="s">
        <v>691</v>
      </c>
      <c r="N170" s="34" t="s">
        <v>1849</v>
      </c>
      <c r="O170" s="35">
        <v>1</v>
      </c>
      <c r="P170" s="35"/>
      <c r="Q170" s="3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1</v>
      </c>
      <c r="AF170" s="1">
        <f t="shared" si="113"/>
        <v>0</v>
      </c>
      <c r="AG170" s="1">
        <f t="shared" si="114"/>
        <v>1</v>
      </c>
      <c r="AH170" s="1">
        <f t="shared" si="115"/>
        <v>0</v>
      </c>
      <c r="AI170" s="1">
        <f t="shared" si="116"/>
        <v>1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3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6" t="s">
        <v>2083</v>
      </c>
      <c r="E185" s="32" t="s">
        <v>772</v>
      </c>
      <c r="F185" s="36" t="s">
        <v>2084</v>
      </c>
      <c r="G185" s="36" t="s">
        <v>213</v>
      </c>
      <c r="H185" s="36" t="s">
        <v>354</v>
      </c>
      <c r="I185" s="37" t="s">
        <v>2085</v>
      </c>
      <c r="J185" s="31">
        <v>1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 t="s">
        <v>2086</v>
      </c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1</v>
      </c>
      <c r="AE185" s="1">
        <f t="shared" si="128"/>
        <v>0</v>
      </c>
      <c r="AF185" s="1">
        <f t="shared" si="113"/>
        <v>1</v>
      </c>
      <c r="AG185" s="1">
        <f t="shared" si="114"/>
        <v>0</v>
      </c>
      <c r="AH185" s="1">
        <f t="shared" si="115"/>
        <v>1</v>
      </c>
      <c r="AI185" s="1">
        <f t="shared" si="116"/>
        <v>0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2" t="s">
        <v>134</v>
      </c>
      <c r="E186" s="32" t="s">
        <v>177</v>
      </c>
      <c r="F186" s="32" t="s">
        <v>336</v>
      </c>
      <c r="G186" s="32" t="s">
        <v>213</v>
      </c>
      <c r="H186" s="32" t="s">
        <v>354</v>
      </c>
      <c r="I186" s="31" t="s">
        <v>483</v>
      </c>
      <c r="J186" s="31">
        <v>1</v>
      </c>
      <c r="K186" s="33" t="s">
        <v>956</v>
      </c>
      <c r="L186" s="33" t="s">
        <v>689</v>
      </c>
      <c r="M186" s="34" t="s">
        <v>691</v>
      </c>
      <c r="N186" s="34" t="s">
        <v>1743</v>
      </c>
      <c r="O186" s="35">
        <v>1</v>
      </c>
      <c r="P186" s="35"/>
      <c r="Q186" s="32"/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3">
      <c r="A187" s="15">
        <v>0</v>
      </c>
      <c r="B187" s="15">
        <v>1</v>
      </c>
      <c r="C187" s="15">
        <v>4</v>
      </c>
      <c r="D187" s="16" t="s">
        <v>884</v>
      </c>
      <c r="E187" s="16" t="s">
        <v>772</v>
      </c>
      <c r="F187" s="16" t="s">
        <v>885</v>
      </c>
      <c r="G187" s="16" t="s">
        <v>39</v>
      </c>
      <c r="H187" s="16" t="s">
        <v>886</v>
      </c>
      <c r="I187" s="15" t="s">
        <v>950</v>
      </c>
      <c r="J187" s="15">
        <v>17</v>
      </c>
      <c r="K187" s="10" t="s">
        <v>703</v>
      </c>
      <c r="L187" s="10" t="s">
        <v>1141</v>
      </c>
      <c r="M187" s="19" t="s">
        <v>972</v>
      </c>
      <c r="N187" s="17"/>
      <c r="Q187" s="16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0</v>
      </c>
      <c r="AF187" s="1">
        <f t="shared" si="113"/>
        <v>0</v>
      </c>
      <c r="AG187" s="1">
        <f t="shared" si="114"/>
        <v>0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31">
        <v>0</v>
      </c>
      <c r="B188" s="31">
        <v>1</v>
      </c>
      <c r="C188" s="31">
        <v>5</v>
      </c>
      <c r="D188" s="32" t="s">
        <v>126</v>
      </c>
      <c r="E188" s="32" t="s">
        <v>526</v>
      </c>
      <c r="F188" s="32" t="s">
        <v>327</v>
      </c>
      <c r="G188" s="32" t="s">
        <v>300</v>
      </c>
      <c r="H188" s="32" t="s">
        <v>354</v>
      </c>
      <c r="I188" s="31" t="s">
        <v>475</v>
      </c>
      <c r="J188" s="31">
        <v>99</v>
      </c>
      <c r="K188" s="33" t="s">
        <v>702</v>
      </c>
      <c r="L188" s="33" t="s">
        <v>689</v>
      </c>
      <c r="M188" s="34" t="s">
        <v>970</v>
      </c>
      <c r="N188" s="34" t="s">
        <v>1743</v>
      </c>
      <c r="O188" s="35">
        <v>1</v>
      </c>
      <c r="P188" s="35"/>
      <c r="Q188" s="32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1</v>
      </c>
      <c r="AF188" s="1">
        <f t="shared" si="113"/>
        <v>0</v>
      </c>
      <c r="AG188" s="1">
        <f t="shared" si="114"/>
        <v>1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1729</v>
      </c>
      <c r="E189" s="32" t="s">
        <v>166</v>
      </c>
      <c r="F189" s="32" t="s">
        <v>1730</v>
      </c>
      <c r="G189" s="32" t="s">
        <v>1731</v>
      </c>
      <c r="H189" s="32" t="s">
        <v>354</v>
      </c>
      <c r="I189" s="31" t="s">
        <v>1732</v>
      </c>
      <c r="J189" s="31">
        <v>2</v>
      </c>
      <c r="K189" s="33" t="s">
        <v>703</v>
      </c>
      <c r="L189" s="33"/>
      <c r="M189" s="34"/>
      <c r="N189" s="34" t="s">
        <v>1733</v>
      </c>
      <c r="O189" s="35">
        <v>1</v>
      </c>
      <c r="P189" s="35">
        <v>1</v>
      </c>
      <c r="Q189" s="32"/>
      <c r="S189" s="1">
        <f t="shared" si="117"/>
        <v>0</v>
      </c>
      <c r="T189" s="1">
        <f t="shared" si="118"/>
        <v>1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1</v>
      </c>
      <c r="AE189" s="1">
        <f t="shared" si="128"/>
        <v>0</v>
      </c>
      <c r="AF189" s="1">
        <f t="shared" si="113"/>
        <v>1</v>
      </c>
      <c r="AG189" s="1">
        <f t="shared" si="114"/>
        <v>0</v>
      </c>
      <c r="AH189" s="1">
        <f t="shared" si="115"/>
        <v>1</v>
      </c>
      <c r="AI189" s="1">
        <f t="shared" si="116"/>
        <v>0</v>
      </c>
    </row>
    <row r="190" spans="1:35" ht="14.25" customHeight="1" x14ac:dyDescent="0.3">
      <c r="A190" s="44">
        <v>0</v>
      </c>
      <c r="B190" s="44">
        <v>1</v>
      </c>
      <c r="C190" s="44">
        <v>5</v>
      </c>
      <c r="D190" s="45" t="s">
        <v>87</v>
      </c>
      <c r="E190" s="45" t="s">
        <v>166</v>
      </c>
      <c r="F190" s="45" t="s">
        <v>577</v>
      </c>
      <c r="G190" s="45" t="s">
        <v>194</v>
      </c>
      <c r="H190" s="45" t="s">
        <v>354</v>
      </c>
      <c r="I190" s="44" t="s">
        <v>436</v>
      </c>
      <c r="J190" s="44">
        <v>9</v>
      </c>
      <c r="K190" s="46" t="s">
        <v>956</v>
      </c>
      <c r="L190" s="46" t="s">
        <v>696</v>
      </c>
      <c r="M190" s="47" t="s">
        <v>691</v>
      </c>
      <c r="N190" s="47" t="s">
        <v>1735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1</v>
      </c>
      <c r="AB190" s="1">
        <f t="shared" si="126"/>
        <v>0</v>
      </c>
      <c r="AD190" s="1">
        <f t="shared" ref="AD190:AD194" si="161">+O190*P190</f>
        <v>0</v>
      </c>
      <c r="AE190" s="1">
        <f t="shared" ref="AE190:AE194" si="162">O190*(1-P190)</f>
        <v>0</v>
      </c>
      <c r="AF190" s="1">
        <f t="shared" ref="AF190:AF194" si="163">+O190*P190*(1-A190)</f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3">
      <c r="A191" s="31">
        <v>0</v>
      </c>
      <c r="B191" s="31">
        <v>1</v>
      </c>
      <c r="C191" s="31">
        <v>5</v>
      </c>
      <c r="D191" s="32" t="s">
        <v>1996</v>
      </c>
      <c r="E191" s="32" t="s">
        <v>166</v>
      </c>
      <c r="F191" s="32" t="s">
        <v>1997</v>
      </c>
      <c r="G191" s="32" t="s">
        <v>2000</v>
      </c>
      <c r="H191" s="32" t="s">
        <v>354</v>
      </c>
      <c r="I191" s="31" t="s">
        <v>1998</v>
      </c>
      <c r="J191" s="31">
        <v>99</v>
      </c>
      <c r="K191" s="33" t="s">
        <v>703</v>
      </c>
      <c r="L191" s="33">
        <v>25</v>
      </c>
      <c r="M191" s="34" t="s">
        <v>691</v>
      </c>
      <c r="N191" s="34" t="s">
        <v>1743</v>
      </c>
      <c r="O191" s="35">
        <v>1</v>
      </c>
      <c r="P191" s="35"/>
      <c r="Q191" s="32" t="s">
        <v>1999</v>
      </c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1</v>
      </c>
      <c r="AF191" s="1">
        <f t="shared" si="163"/>
        <v>0</v>
      </c>
      <c r="AG191" s="1">
        <f t="shared" si="114"/>
        <v>1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44">
        <v>0</v>
      </c>
      <c r="B192" s="44">
        <v>1</v>
      </c>
      <c r="C192" s="44">
        <v>5</v>
      </c>
      <c r="D192" s="45" t="s">
        <v>127</v>
      </c>
      <c r="E192" s="45" t="s">
        <v>166</v>
      </c>
      <c r="F192" s="45" t="s">
        <v>328</v>
      </c>
      <c r="G192" s="45" t="s">
        <v>180</v>
      </c>
      <c r="H192" s="45" t="s">
        <v>354</v>
      </c>
      <c r="I192" s="44" t="s">
        <v>476</v>
      </c>
      <c r="J192" s="44">
        <v>10</v>
      </c>
      <c r="K192" s="46" t="s">
        <v>958</v>
      </c>
      <c r="L192" s="46" t="s">
        <v>694</v>
      </c>
      <c r="M192" s="47" t="s">
        <v>691</v>
      </c>
      <c r="N192" s="47" t="s">
        <v>1740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ht="14.25" customHeight="1" x14ac:dyDescent="0.3">
      <c r="A193" s="31">
        <v>0</v>
      </c>
      <c r="B193" s="31">
        <v>1</v>
      </c>
      <c r="C193" s="31">
        <v>5</v>
      </c>
      <c r="D193" s="32" t="s">
        <v>137</v>
      </c>
      <c r="E193" s="32" t="s">
        <v>166</v>
      </c>
      <c r="F193" s="32" t="s">
        <v>548</v>
      </c>
      <c r="G193" s="32" t="s">
        <v>220</v>
      </c>
      <c r="H193" s="32" t="s">
        <v>354</v>
      </c>
      <c r="I193" s="31" t="s">
        <v>540</v>
      </c>
      <c r="J193" s="31">
        <v>8</v>
      </c>
      <c r="K193" s="33" t="s">
        <v>956</v>
      </c>
      <c r="L193" s="33" t="s">
        <v>694</v>
      </c>
      <c r="M193" s="34" t="s">
        <v>691</v>
      </c>
      <c r="N193" s="34" t="s">
        <v>1743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1</v>
      </c>
      <c r="AA193" s="1">
        <f t="shared" si="125"/>
        <v>0</v>
      </c>
      <c r="AB193" s="1">
        <f t="shared" si="126"/>
        <v>0</v>
      </c>
      <c r="AD193" s="1">
        <f t="shared" si="161"/>
        <v>0</v>
      </c>
      <c r="AE193" s="1">
        <f t="shared" si="162"/>
        <v>1</v>
      </c>
      <c r="AF193" s="1">
        <f t="shared" si="163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1</v>
      </c>
      <c r="B194" s="31">
        <v>1</v>
      </c>
      <c r="C194" s="31">
        <v>5</v>
      </c>
      <c r="D194" s="32" t="s">
        <v>137</v>
      </c>
      <c r="E194" s="32" t="s">
        <v>166</v>
      </c>
      <c r="F194" s="32" t="s">
        <v>337</v>
      </c>
      <c r="G194" s="32" t="s">
        <v>338</v>
      </c>
      <c r="H194" s="32" t="s">
        <v>354</v>
      </c>
      <c r="I194" s="31" t="s">
        <v>485</v>
      </c>
      <c r="J194" s="31">
        <v>10</v>
      </c>
      <c r="K194" s="33" t="s">
        <v>956</v>
      </c>
      <c r="L194" s="33" t="s">
        <v>694</v>
      </c>
      <c r="M194" s="34" t="s">
        <v>691</v>
      </c>
      <c r="N194" s="34" t="s">
        <v>1743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1</v>
      </c>
      <c r="AD194" s="1">
        <f t="shared" si="161"/>
        <v>0</v>
      </c>
      <c r="AE194" s="1">
        <f t="shared" si="162"/>
        <v>1</v>
      </c>
      <c r="AF194" s="1">
        <f t="shared" si="163"/>
        <v>0</v>
      </c>
      <c r="AG194" s="1">
        <f t="shared" si="114"/>
        <v>0</v>
      </c>
      <c r="AH194" s="1">
        <f t="shared" si="115"/>
        <v>0</v>
      </c>
      <c r="AI194" s="1">
        <f t="shared" si="116"/>
        <v>0</v>
      </c>
    </row>
    <row r="195" spans="1:35" ht="14.25" customHeight="1" x14ac:dyDescent="0.3">
      <c r="A195" s="44">
        <v>0</v>
      </c>
      <c r="B195" s="44">
        <v>1</v>
      </c>
      <c r="C195" s="44">
        <v>5</v>
      </c>
      <c r="D195" s="45" t="s">
        <v>1637</v>
      </c>
      <c r="E195" s="45" t="s">
        <v>166</v>
      </c>
      <c r="F195" s="45" t="s">
        <v>865</v>
      </c>
      <c r="G195" s="45" t="s">
        <v>1664</v>
      </c>
      <c r="H195" s="45" t="s">
        <v>354</v>
      </c>
      <c r="I195" s="44" t="s">
        <v>866</v>
      </c>
      <c r="J195" s="44">
        <v>1</v>
      </c>
      <c r="K195" s="46" t="s">
        <v>722</v>
      </c>
      <c r="L195" s="46" t="s">
        <v>1707</v>
      </c>
      <c r="M195" s="47" t="s">
        <v>1400</v>
      </c>
      <c r="N195" s="47" t="s">
        <v>1735</v>
      </c>
      <c r="O195" s="48"/>
      <c r="P195" s="48"/>
      <c r="Q195" s="45"/>
      <c r="S195" s="1">
        <f t="shared" si="117"/>
        <v>1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27"/>
        <v>0</v>
      </c>
      <c r="AE195" s="1">
        <f t="shared" si="128"/>
        <v>0</v>
      </c>
      <c r="AF195" s="1">
        <f t="shared" si="113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ht="14.25" customHeight="1" x14ac:dyDescent="0.3">
      <c r="A196" s="15">
        <v>0</v>
      </c>
      <c r="B196" s="15">
        <v>1</v>
      </c>
      <c r="C196" s="15">
        <v>5</v>
      </c>
      <c r="D196" s="20" t="s">
        <v>1949</v>
      </c>
      <c r="E196" s="20" t="s">
        <v>893</v>
      </c>
      <c r="F196" s="20" t="s">
        <v>1967</v>
      </c>
      <c r="G196" s="20"/>
      <c r="H196" s="20" t="s">
        <v>1968</v>
      </c>
      <c r="I196" s="21" t="s">
        <v>1966</v>
      </c>
      <c r="J196" s="15">
        <v>15</v>
      </c>
      <c r="K196" s="10" t="s">
        <v>703</v>
      </c>
      <c r="L196" s="10" t="s">
        <v>697</v>
      </c>
      <c r="M196" s="19" t="s">
        <v>971</v>
      </c>
      <c r="N196" s="17"/>
      <c r="Q196" s="20" t="s">
        <v>1969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ref="AD196:AD197" si="164">+O196*P196</f>
        <v>0</v>
      </c>
      <c r="AE196" s="1">
        <f t="shared" ref="AE196:AE197" si="165">O196*(1-P196)</f>
        <v>0</v>
      </c>
      <c r="AF196" s="1">
        <f t="shared" ref="AF196:AF197" si="166">+O196*P196*(1-A196)</f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31">
        <v>0</v>
      </c>
      <c r="B197" s="31">
        <v>1</v>
      </c>
      <c r="C197" s="31">
        <v>5</v>
      </c>
      <c r="D197" s="32" t="s">
        <v>887</v>
      </c>
      <c r="E197" s="32" t="s">
        <v>888</v>
      </c>
      <c r="F197" s="32" t="s">
        <v>1092</v>
      </c>
      <c r="G197" s="32" t="s">
        <v>39</v>
      </c>
      <c r="H197" s="32" t="s">
        <v>889</v>
      </c>
      <c r="I197" s="31" t="s">
        <v>890</v>
      </c>
      <c r="J197" s="31">
        <v>16</v>
      </c>
      <c r="K197" s="33" t="s">
        <v>703</v>
      </c>
      <c r="L197" s="33" t="s">
        <v>692</v>
      </c>
      <c r="M197" s="34" t="s">
        <v>970</v>
      </c>
      <c r="N197" s="34" t="s">
        <v>1733</v>
      </c>
      <c r="O197" s="35">
        <v>1</v>
      </c>
      <c r="P197" s="35">
        <v>1</v>
      </c>
      <c r="Q197" s="36" t="s">
        <v>1894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64"/>
        <v>1</v>
      </c>
      <c r="AE197" s="1">
        <f t="shared" si="165"/>
        <v>0</v>
      </c>
      <c r="AF197" s="1">
        <f t="shared" si="166"/>
        <v>1</v>
      </c>
      <c r="AG197" s="1">
        <f t="shared" si="114"/>
        <v>0</v>
      </c>
      <c r="AH197" s="1">
        <f t="shared" si="115"/>
        <v>1</v>
      </c>
      <c r="AI197" s="1">
        <f t="shared" si="116"/>
        <v>0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106</v>
      </c>
      <c r="E198" s="32" t="s">
        <v>173</v>
      </c>
      <c r="F198" s="32" t="s">
        <v>304</v>
      </c>
      <c r="G198" s="32" t="s">
        <v>39</v>
      </c>
      <c r="H198" s="32" t="s">
        <v>359</v>
      </c>
      <c r="I198" s="31" t="s">
        <v>453</v>
      </c>
      <c r="J198" s="31">
        <v>14</v>
      </c>
      <c r="K198" s="33" t="s">
        <v>956</v>
      </c>
      <c r="L198" s="33" t="s">
        <v>693</v>
      </c>
      <c r="M198" s="34" t="s">
        <v>970</v>
      </c>
      <c r="N198" s="34" t="s">
        <v>1743</v>
      </c>
      <c r="O198" s="35">
        <v>1</v>
      </c>
      <c r="P198" s="35"/>
      <c r="Q198" s="32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1</v>
      </c>
      <c r="AF198" s="1">
        <f t="shared" si="113"/>
        <v>0</v>
      </c>
      <c r="AG198" s="1">
        <f t="shared" si="114"/>
        <v>1</v>
      </c>
      <c r="AH198" s="1">
        <f t="shared" si="115"/>
        <v>0</v>
      </c>
      <c r="AI198" s="1">
        <f t="shared" si="116"/>
        <v>1</v>
      </c>
    </row>
    <row r="199" spans="1:35" ht="14.25" customHeight="1" x14ac:dyDescent="0.3">
      <c r="A199" s="15">
        <v>0</v>
      </c>
      <c r="B199" s="15">
        <v>1</v>
      </c>
      <c r="C199" s="15">
        <v>5</v>
      </c>
      <c r="D199" s="20" t="s">
        <v>1951</v>
      </c>
      <c r="E199" s="20" t="s">
        <v>893</v>
      </c>
      <c r="F199" s="20" t="s">
        <v>1981</v>
      </c>
      <c r="G199" s="20"/>
      <c r="H199" s="20" t="s">
        <v>1980</v>
      </c>
      <c r="I199" s="21" t="s">
        <v>1979</v>
      </c>
      <c r="J199" s="15">
        <v>18</v>
      </c>
      <c r="K199" s="10" t="s">
        <v>703</v>
      </c>
      <c r="L199" s="10" t="s">
        <v>697</v>
      </c>
      <c r="M199" s="19" t="s">
        <v>971</v>
      </c>
      <c r="N199" s="17"/>
      <c r="Q199" s="20" t="s">
        <v>1982</v>
      </c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44">
        <v>0</v>
      </c>
      <c r="B200" s="44">
        <v>1</v>
      </c>
      <c r="C200" s="44">
        <v>5</v>
      </c>
      <c r="D200" s="45" t="s">
        <v>513</v>
      </c>
      <c r="E200" s="45" t="s">
        <v>172</v>
      </c>
      <c r="F200" s="45" t="s">
        <v>549</v>
      </c>
      <c r="G200" s="45" t="s">
        <v>39</v>
      </c>
      <c r="H200" s="45" t="s">
        <v>362</v>
      </c>
      <c r="I200" s="44" t="s">
        <v>1114</v>
      </c>
      <c r="J200" s="44">
        <v>12</v>
      </c>
      <c r="K200" s="46" t="s">
        <v>703</v>
      </c>
      <c r="L200" s="46">
        <v>35</v>
      </c>
      <c r="M200" s="47" t="s">
        <v>970</v>
      </c>
      <c r="N200" s="47" t="s">
        <v>1802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31">
        <v>0</v>
      </c>
      <c r="B201" s="31">
        <v>1</v>
      </c>
      <c r="C201" s="31">
        <v>5</v>
      </c>
      <c r="D201" s="32" t="s">
        <v>151</v>
      </c>
      <c r="E201" s="32" t="s">
        <v>166</v>
      </c>
      <c r="F201" s="36" t="s">
        <v>1870</v>
      </c>
      <c r="G201" s="32" t="s">
        <v>197</v>
      </c>
      <c r="H201" s="32" t="s">
        <v>354</v>
      </c>
      <c r="I201" s="31" t="s">
        <v>498</v>
      </c>
      <c r="J201" s="31">
        <v>99</v>
      </c>
      <c r="K201" s="33" t="s">
        <v>956</v>
      </c>
      <c r="L201" s="33" t="s">
        <v>693</v>
      </c>
      <c r="M201" s="34" t="s">
        <v>970</v>
      </c>
      <c r="N201" s="34" t="s">
        <v>1748</v>
      </c>
      <c r="O201" s="35">
        <v>1</v>
      </c>
      <c r="P201" s="35"/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1</v>
      </c>
      <c r="AF201" s="1">
        <f t="shared" si="113"/>
        <v>0</v>
      </c>
      <c r="AG201" s="1">
        <f t="shared" si="114"/>
        <v>1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44">
        <v>0</v>
      </c>
      <c r="B202" s="44">
        <v>1</v>
      </c>
      <c r="C202" s="44">
        <v>5</v>
      </c>
      <c r="D202" s="45" t="s">
        <v>649</v>
      </c>
      <c r="E202" s="45" t="s">
        <v>684</v>
      </c>
      <c r="F202" s="45" t="s">
        <v>645</v>
      </c>
      <c r="G202" s="45" t="s">
        <v>185</v>
      </c>
      <c r="H202" s="45" t="s">
        <v>354</v>
      </c>
      <c r="I202" s="44" t="s">
        <v>646</v>
      </c>
      <c r="J202" s="44">
        <v>99</v>
      </c>
      <c r="K202" s="46" t="s">
        <v>722</v>
      </c>
      <c r="L202" s="46" t="s">
        <v>693</v>
      </c>
      <c r="M202" s="47" t="s">
        <v>970</v>
      </c>
      <c r="N202" s="47" t="s">
        <v>1734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1310</v>
      </c>
      <c r="E203" s="32" t="s">
        <v>166</v>
      </c>
      <c r="F203" s="32" t="s">
        <v>1311</v>
      </c>
      <c r="G203" s="32" t="s">
        <v>283</v>
      </c>
      <c r="H203" s="32" t="s">
        <v>354</v>
      </c>
      <c r="I203" s="31" t="s">
        <v>1312</v>
      </c>
      <c r="J203" s="31">
        <v>99</v>
      </c>
      <c r="K203" s="33" t="s">
        <v>702</v>
      </c>
      <c r="L203" s="33" t="s">
        <v>39</v>
      </c>
      <c r="M203" s="34" t="s">
        <v>39</v>
      </c>
      <c r="N203" s="34" t="s">
        <v>1733</v>
      </c>
      <c r="O203" s="35">
        <v>1</v>
      </c>
      <c r="P203" s="35">
        <v>1</v>
      </c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1</v>
      </c>
      <c r="AE203" s="1">
        <f t="shared" si="128"/>
        <v>0</v>
      </c>
      <c r="AF203" s="1">
        <f t="shared" si="113"/>
        <v>1</v>
      </c>
      <c r="AG203" s="1">
        <f t="shared" si="114"/>
        <v>0</v>
      </c>
      <c r="AH203" s="1">
        <f t="shared" si="115"/>
        <v>1</v>
      </c>
      <c r="AI203" s="1">
        <f t="shared" si="116"/>
        <v>0</v>
      </c>
    </row>
    <row r="204" spans="1:35" ht="14.25" customHeight="1" x14ac:dyDescent="0.3">
      <c r="A204" s="44">
        <v>0</v>
      </c>
      <c r="B204" s="44">
        <v>1</v>
      </c>
      <c r="C204" s="44">
        <v>5</v>
      </c>
      <c r="D204" s="45" t="s">
        <v>892</v>
      </c>
      <c r="E204" s="45" t="s">
        <v>893</v>
      </c>
      <c r="F204" s="45" t="s">
        <v>934</v>
      </c>
      <c r="G204" s="45" t="s">
        <v>39</v>
      </c>
      <c r="H204" s="45" t="s">
        <v>894</v>
      </c>
      <c r="I204" s="44" t="s">
        <v>895</v>
      </c>
      <c r="J204" s="44">
        <v>17</v>
      </c>
      <c r="K204" s="46" t="s">
        <v>703</v>
      </c>
      <c r="L204" s="46" t="s">
        <v>697</v>
      </c>
      <c r="M204" s="47" t="s">
        <v>970</v>
      </c>
      <c r="N204" s="47" t="s">
        <v>1741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3">
      <c r="A205" s="15">
        <v>0</v>
      </c>
      <c r="B205" s="15">
        <v>1</v>
      </c>
      <c r="C205" s="15">
        <v>5</v>
      </c>
      <c r="D205" s="16" t="s">
        <v>1941</v>
      </c>
      <c r="E205" s="16" t="s">
        <v>893</v>
      </c>
      <c r="F205" s="16" t="s">
        <v>1943</v>
      </c>
      <c r="G205" s="16"/>
      <c r="H205" s="16" t="s">
        <v>1942</v>
      </c>
      <c r="I205" s="15" t="s">
        <v>1944</v>
      </c>
      <c r="J205" s="15">
        <v>16</v>
      </c>
      <c r="K205" s="10" t="s">
        <v>703</v>
      </c>
      <c r="L205" s="10" t="s">
        <v>697</v>
      </c>
      <c r="M205" s="19" t="s">
        <v>970</v>
      </c>
      <c r="N205" s="17"/>
      <c r="Q205" s="20" t="s">
        <v>1945</v>
      </c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44">
        <v>0</v>
      </c>
      <c r="B206" s="44">
        <v>1</v>
      </c>
      <c r="C206" s="44">
        <v>5</v>
      </c>
      <c r="D206" s="45" t="s">
        <v>131</v>
      </c>
      <c r="E206" s="45" t="s">
        <v>166</v>
      </c>
      <c r="F206" s="45" t="s">
        <v>332</v>
      </c>
      <c r="G206" s="45" t="s">
        <v>333</v>
      </c>
      <c r="H206" s="45" t="s">
        <v>354</v>
      </c>
      <c r="I206" s="44" t="s">
        <v>480</v>
      </c>
      <c r="J206" s="44">
        <v>99</v>
      </c>
      <c r="K206" s="46" t="s">
        <v>722</v>
      </c>
      <c r="L206" s="46" t="s">
        <v>694</v>
      </c>
      <c r="M206" s="47" t="s">
        <v>970</v>
      </c>
      <c r="N206" s="47" t="s">
        <v>1747</v>
      </c>
      <c r="O206" s="48"/>
      <c r="P206" s="48"/>
      <c r="Q206" s="45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31">
        <v>0</v>
      </c>
      <c r="B207" s="31">
        <v>1</v>
      </c>
      <c r="C207" s="31">
        <v>5</v>
      </c>
      <c r="D207" s="32" t="s">
        <v>109</v>
      </c>
      <c r="E207" s="32" t="s">
        <v>166</v>
      </c>
      <c r="F207" s="32" t="s">
        <v>307</v>
      </c>
      <c r="G207" s="32" t="s">
        <v>231</v>
      </c>
      <c r="H207" s="32" t="s">
        <v>354</v>
      </c>
      <c r="I207" s="31" t="s">
        <v>456</v>
      </c>
      <c r="J207" s="31">
        <v>99</v>
      </c>
      <c r="K207" s="33" t="s">
        <v>722</v>
      </c>
      <c r="L207" s="33" t="s">
        <v>696</v>
      </c>
      <c r="M207" s="34" t="s">
        <v>691</v>
      </c>
      <c r="N207" s="34" t="s">
        <v>1743</v>
      </c>
      <c r="O207" s="35">
        <v>1</v>
      </c>
      <c r="P207" s="35"/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1</v>
      </c>
      <c r="AF207" s="1">
        <f t="shared" si="113"/>
        <v>0</v>
      </c>
      <c r="AG207" s="1">
        <f t="shared" si="114"/>
        <v>1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111</v>
      </c>
      <c r="E208" s="32" t="s">
        <v>172</v>
      </c>
      <c r="F208" s="32" t="s">
        <v>310</v>
      </c>
      <c r="G208" s="32" t="s">
        <v>39</v>
      </c>
      <c r="H208" s="32" t="s">
        <v>364</v>
      </c>
      <c r="I208" s="31" t="s">
        <v>459</v>
      </c>
      <c r="J208" s="31">
        <v>17</v>
      </c>
      <c r="K208" s="33" t="s">
        <v>703</v>
      </c>
      <c r="L208" s="33" t="s">
        <v>697</v>
      </c>
      <c r="M208" s="34" t="s">
        <v>691</v>
      </c>
      <c r="N208" s="34" t="s">
        <v>1733</v>
      </c>
      <c r="O208" s="35">
        <v>1</v>
      </c>
      <c r="P208" s="35">
        <v>1</v>
      </c>
      <c r="Q208" s="32" t="s">
        <v>1915</v>
      </c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525</v>
      </c>
      <c r="E209" s="32" t="s">
        <v>526</v>
      </c>
      <c r="F209" s="32" t="s">
        <v>527</v>
      </c>
      <c r="G209" s="32" t="s">
        <v>202</v>
      </c>
      <c r="H209" s="32" t="s">
        <v>354</v>
      </c>
      <c r="I209" s="31" t="s">
        <v>528</v>
      </c>
      <c r="J209" s="31">
        <v>10</v>
      </c>
      <c r="K209" s="33" t="s">
        <v>702</v>
      </c>
      <c r="L209" s="33" t="s">
        <v>693</v>
      </c>
      <c r="M209" s="34" t="s">
        <v>970</v>
      </c>
      <c r="N209" s="34" t="s">
        <v>1733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1499</v>
      </c>
      <c r="E210" s="32" t="s">
        <v>166</v>
      </c>
      <c r="F210" s="32" t="s">
        <v>1500</v>
      </c>
      <c r="G210" s="32" t="s">
        <v>180</v>
      </c>
      <c r="H210" s="32" t="s">
        <v>354</v>
      </c>
      <c r="I210" s="31" t="s">
        <v>1501</v>
      </c>
      <c r="J210" s="31">
        <v>10</v>
      </c>
      <c r="K210" s="33" t="s">
        <v>956</v>
      </c>
      <c r="L210" s="33" t="s">
        <v>693</v>
      </c>
      <c r="M210" s="34" t="s">
        <v>970</v>
      </c>
      <c r="N210" s="34" t="s">
        <v>1727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ref="AF210:AF276" si="167">+O210*P210*(1-A210)</f>
        <v>1</v>
      </c>
      <c r="AG210" s="1">
        <f t="shared" ref="AG210:AG276" si="168">O210*(1-P210)*(1-A210)</f>
        <v>0</v>
      </c>
      <c r="AH210" s="1">
        <f t="shared" ref="AH210:AH276" si="169">+P210*(1-A210)</f>
        <v>1</v>
      </c>
      <c r="AI210" s="1">
        <f t="shared" ref="AI210:AI276" si="170">+(1-A210)*(1-P210)</f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1757</v>
      </c>
      <c r="E211" s="32" t="s">
        <v>166</v>
      </c>
      <c r="F211" s="32" t="s">
        <v>1758</v>
      </c>
      <c r="G211" s="32" t="s">
        <v>1759</v>
      </c>
      <c r="H211" s="32" t="s">
        <v>354</v>
      </c>
      <c r="I211" s="31" t="s">
        <v>1760</v>
      </c>
      <c r="J211" s="31">
        <v>1</v>
      </c>
      <c r="K211" s="33" t="s">
        <v>703</v>
      </c>
      <c r="L211" s="33"/>
      <c r="M211" s="34"/>
      <c r="N211" s="34" t="s">
        <v>1748</v>
      </c>
      <c r="O211" s="35">
        <v>1</v>
      </c>
      <c r="P211" s="35"/>
      <c r="Q211" s="32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1</v>
      </c>
      <c r="AF211" s="1">
        <f t="shared" si="167"/>
        <v>0</v>
      </c>
      <c r="AG211" s="1">
        <f t="shared" si="168"/>
        <v>1</v>
      </c>
      <c r="AH211" s="1">
        <f t="shared" si="169"/>
        <v>0</v>
      </c>
      <c r="AI211" s="1">
        <f t="shared" si="170"/>
        <v>1</v>
      </c>
    </row>
    <row r="212" spans="1:35" ht="14.25" customHeight="1" x14ac:dyDescent="0.3">
      <c r="A212" s="44">
        <v>0</v>
      </c>
      <c r="B212" s="44">
        <v>1</v>
      </c>
      <c r="C212" s="44">
        <v>5</v>
      </c>
      <c r="D212" s="45" t="s">
        <v>1026</v>
      </c>
      <c r="E212" s="45" t="s">
        <v>1087</v>
      </c>
      <c r="F212" s="45" t="s">
        <v>1027</v>
      </c>
      <c r="G212" s="45" t="s">
        <v>194</v>
      </c>
      <c r="H212" s="45" t="s">
        <v>354</v>
      </c>
      <c r="I212" s="44" t="s">
        <v>1028</v>
      </c>
      <c r="J212" s="44">
        <v>9</v>
      </c>
      <c r="K212" s="46" t="s">
        <v>722</v>
      </c>
      <c r="L212" s="46" t="s">
        <v>1704</v>
      </c>
      <c r="M212" s="47" t="s">
        <v>1604</v>
      </c>
      <c r="N212" s="47" t="s">
        <v>1735</v>
      </c>
      <c r="O212" s="48"/>
      <c r="P212" s="48"/>
      <c r="Q212" s="45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1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1614</v>
      </c>
      <c r="E213" s="45" t="s">
        <v>166</v>
      </c>
      <c r="F213" s="45" t="s">
        <v>1615</v>
      </c>
      <c r="G213" s="45" t="s">
        <v>213</v>
      </c>
      <c r="H213" s="45" t="s">
        <v>354</v>
      </c>
      <c r="I213" s="44" t="s">
        <v>1616</v>
      </c>
      <c r="J213" s="44">
        <v>1</v>
      </c>
      <c r="K213" s="46" t="s">
        <v>722</v>
      </c>
      <c r="L213" s="46" t="s">
        <v>694</v>
      </c>
      <c r="M213" s="47" t="s">
        <v>970</v>
      </c>
      <c r="N213" s="47" t="s">
        <v>1736</v>
      </c>
      <c r="O213" s="48"/>
      <c r="P213" s="48"/>
      <c r="Q213" s="45"/>
      <c r="S213" s="1">
        <f t="shared" si="117"/>
        <v>1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3">
      <c r="A214" s="31">
        <v>0</v>
      </c>
      <c r="B214" s="31">
        <v>1</v>
      </c>
      <c r="C214" s="31">
        <v>5</v>
      </c>
      <c r="D214" s="32" t="s">
        <v>147</v>
      </c>
      <c r="E214" s="32" t="s">
        <v>545</v>
      </c>
      <c r="F214" s="32" t="s">
        <v>1599</v>
      </c>
      <c r="G214" s="32" t="s">
        <v>1673</v>
      </c>
      <c r="H214" s="32" t="s">
        <v>354</v>
      </c>
      <c r="I214" s="31" t="s">
        <v>494</v>
      </c>
      <c r="J214" s="31">
        <v>99</v>
      </c>
      <c r="K214" s="33" t="s">
        <v>702</v>
      </c>
      <c r="L214" s="33" t="s">
        <v>689</v>
      </c>
      <c r="M214" s="34" t="s">
        <v>970</v>
      </c>
      <c r="N214" s="34" t="s">
        <v>1825</v>
      </c>
      <c r="O214" s="35">
        <v>1</v>
      </c>
      <c r="P214" s="35"/>
      <c r="Q214" s="32"/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3">
      <c r="A215" s="15">
        <v>0</v>
      </c>
      <c r="B215" s="15">
        <v>1</v>
      </c>
      <c r="C215" s="15">
        <v>5</v>
      </c>
      <c r="D215" s="16" t="s">
        <v>1212</v>
      </c>
      <c r="E215" s="16" t="s">
        <v>166</v>
      </c>
      <c r="F215" s="16" t="s">
        <v>1213</v>
      </c>
      <c r="G215" s="16" t="s">
        <v>1214</v>
      </c>
      <c r="H215" s="16" t="s">
        <v>354</v>
      </c>
      <c r="I215" s="15" t="s">
        <v>1215</v>
      </c>
      <c r="J215" s="15">
        <v>99</v>
      </c>
      <c r="K215" s="10" t="s">
        <v>703</v>
      </c>
      <c r="L215" s="10">
        <v>30</v>
      </c>
      <c r="M215" s="19" t="s">
        <v>970</v>
      </c>
      <c r="N215" s="19"/>
      <c r="Q215" s="16"/>
      <c r="S215" s="1">
        <f t="shared" ref="S215:S280" si="171">IF(J215=$S$7,1,0)</f>
        <v>0</v>
      </c>
      <c r="T215" s="1">
        <f t="shared" ref="T215:T280" si="172">IF(J215=$T$7,1,0)</f>
        <v>0</v>
      </c>
      <c r="U215" s="1">
        <f t="shared" ref="U215:U280" si="173">IF(J215=$U$7,1,0)</f>
        <v>0</v>
      </c>
      <c r="V215" s="1">
        <f t="shared" ref="V215:V280" si="174">IF(J215=$V$7,1,0)</f>
        <v>0</v>
      </c>
      <c r="W215" s="1">
        <f t="shared" ref="W215:W280" si="175">IF(J215=$W$7,1,0)</f>
        <v>0</v>
      </c>
      <c r="X215" s="1">
        <f t="shared" ref="X215:X280" si="176">IF(J215=$X$7,1,0)</f>
        <v>0</v>
      </c>
      <c r="Y215" s="1">
        <f t="shared" ref="Y215:Y280" si="177">IF(J215=$Y$7,1,0)</f>
        <v>0</v>
      </c>
      <c r="Z215" s="1">
        <f t="shared" ref="Z215:Z280" si="178">IF(J215=$Z$7,1,0)</f>
        <v>0</v>
      </c>
      <c r="AA215" s="1">
        <f t="shared" ref="AA215:AA280" si="179">IF(J215=$AA$7,1,0)</f>
        <v>0</v>
      </c>
      <c r="AB215" s="1">
        <f t="shared" ref="AB215:AB280" si="180">IF(J215=$AB$7,1,0)</f>
        <v>0</v>
      </c>
      <c r="AD215" s="1">
        <f t="shared" ref="AD215:AD280" si="181">+O215*P215</f>
        <v>0</v>
      </c>
      <c r="AE215" s="1">
        <f t="shared" ref="AE215:AE280" si="182">O215*(1-P215)</f>
        <v>0</v>
      </c>
      <c r="AF215" s="1">
        <f t="shared" si="167"/>
        <v>0</v>
      </c>
      <c r="AG215" s="1">
        <f t="shared" si="168"/>
        <v>0</v>
      </c>
      <c r="AH215" s="1">
        <f t="shared" si="169"/>
        <v>0</v>
      </c>
      <c r="AI215" s="1">
        <f t="shared" si="170"/>
        <v>1</v>
      </c>
    </row>
    <row r="216" spans="1:35" ht="14.25" customHeight="1" x14ac:dyDescent="0.3">
      <c r="A216" s="31">
        <v>0</v>
      </c>
      <c r="B216" s="31">
        <v>1</v>
      </c>
      <c r="C216" s="31">
        <v>5</v>
      </c>
      <c r="D216" s="32" t="s">
        <v>1600</v>
      </c>
      <c r="E216" s="32" t="s">
        <v>172</v>
      </c>
      <c r="F216" s="32" t="s">
        <v>808</v>
      </c>
      <c r="G216" s="32" t="s">
        <v>39</v>
      </c>
      <c r="H216" s="32" t="s">
        <v>809</v>
      </c>
      <c r="I216" s="31" t="s">
        <v>810</v>
      </c>
      <c r="J216" s="31">
        <v>16</v>
      </c>
      <c r="K216" s="33" t="s">
        <v>957</v>
      </c>
      <c r="L216" s="33" t="s">
        <v>1742</v>
      </c>
      <c r="M216" s="34" t="s">
        <v>970</v>
      </c>
      <c r="N216" s="34" t="s">
        <v>1748</v>
      </c>
      <c r="O216" s="35">
        <v>1</v>
      </c>
      <c r="P216" s="35"/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502</v>
      </c>
      <c r="E217" s="32" t="s">
        <v>166</v>
      </c>
      <c r="F217" s="32" t="s">
        <v>503</v>
      </c>
      <c r="G217" s="32" t="s">
        <v>504</v>
      </c>
      <c r="H217" s="32" t="s">
        <v>354</v>
      </c>
      <c r="I217" s="31" t="s">
        <v>505</v>
      </c>
      <c r="J217" s="31">
        <v>99</v>
      </c>
      <c r="K217" s="33" t="s">
        <v>957</v>
      </c>
      <c r="L217" s="33" t="s">
        <v>694</v>
      </c>
      <c r="M217" s="34" t="s">
        <v>691</v>
      </c>
      <c r="N217" s="34" t="s">
        <v>1727</v>
      </c>
      <c r="O217" s="35">
        <v>1</v>
      </c>
      <c r="P217" s="35">
        <v>1</v>
      </c>
      <c r="Q217" s="32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3">
      <c r="A218" s="31">
        <v>0</v>
      </c>
      <c r="B218" s="31">
        <v>1</v>
      </c>
      <c r="C218" s="31">
        <v>6</v>
      </c>
      <c r="D218" s="32" t="s">
        <v>1450</v>
      </c>
      <c r="E218" s="32" t="s">
        <v>167</v>
      </c>
      <c r="F218" s="32" t="s">
        <v>1451</v>
      </c>
      <c r="G218" s="32" t="s">
        <v>179</v>
      </c>
      <c r="H218" s="32" t="s">
        <v>354</v>
      </c>
      <c r="I218" s="31" t="s">
        <v>1452</v>
      </c>
      <c r="J218" s="31">
        <v>99</v>
      </c>
      <c r="K218" s="33" t="s">
        <v>956</v>
      </c>
      <c r="L218" s="33" t="s">
        <v>696</v>
      </c>
      <c r="M218" s="34" t="s">
        <v>1453</v>
      </c>
      <c r="N218" s="34" t="s">
        <v>1749</v>
      </c>
      <c r="O218" s="35">
        <v>1</v>
      </c>
      <c r="P218" s="35"/>
      <c r="Q218" s="36"/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0</v>
      </c>
      <c r="AE218" s="1">
        <f t="shared" si="182"/>
        <v>1</v>
      </c>
      <c r="AF218" s="1">
        <f t="shared" si="167"/>
        <v>0</v>
      </c>
      <c r="AG218" s="1">
        <f t="shared" si="168"/>
        <v>1</v>
      </c>
      <c r="AH218" s="1">
        <f t="shared" si="169"/>
        <v>0</v>
      </c>
      <c r="AI218" s="1">
        <f t="shared" si="170"/>
        <v>1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1186</v>
      </c>
      <c r="E219" s="32" t="s">
        <v>1189</v>
      </c>
      <c r="F219" s="32" t="s">
        <v>1187</v>
      </c>
      <c r="G219" s="32" t="s">
        <v>39</v>
      </c>
      <c r="H219" s="32" t="s">
        <v>354</v>
      </c>
      <c r="I219" s="31" t="s">
        <v>1188</v>
      </c>
      <c r="J219" s="31">
        <v>99</v>
      </c>
      <c r="K219" s="33" t="s">
        <v>962</v>
      </c>
      <c r="L219" s="33" t="s">
        <v>39</v>
      </c>
      <c r="M219" s="34" t="s">
        <v>39</v>
      </c>
      <c r="N219" s="34" t="s">
        <v>1733</v>
      </c>
      <c r="O219" s="35">
        <v>1</v>
      </c>
      <c r="P219" s="35">
        <v>1</v>
      </c>
      <c r="Q219" s="36" t="s">
        <v>1908</v>
      </c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1648</v>
      </c>
      <c r="E220" s="32" t="s">
        <v>1656</v>
      </c>
      <c r="F220" s="32" t="s">
        <v>1683</v>
      </c>
      <c r="G220" s="32" t="s">
        <v>1684</v>
      </c>
      <c r="H220" s="32" t="s">
        <v>354</v>
      </c>
      <c r="I220" s="31" t="s">
        <v>1696</v>
      </c>
      <c r="J220" s="31">
        <v>1</v>
      </c>
      <c r="K220" s="33" t="s">
        <v>958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90</v>
      </c>
      <c r="E221" s="32" t="s">
        <v>168</v>
      </c>
      <c r="F221" s="32" t="s">
        <v>284</v>
      </c>
      <c r="G221" s="32" t="s">
        <v>230</v>
      </c>
      <c r="H221" s="32" t="s">
        <v>354</v>
      </c>
      <c r="I221" s="31" t="s">
        <v>438</v>
      </c>
      <c r="J221" s="31">
        <v>7</v>
      </c>
      <c r="K221" s="33" t="s">
        <v>722</v>
      </c>
      <c r="L221" s="33">
        <v>40</v>
      </c>
      <c r="M221" s="34" t="s">
        <v>39</v>
      </c>
      <c r="N221" s="34" t="s">
        <v>1748</v>
      </c>
      <c r="O221" s="35">
        <v>1</v>
      </c>
      <c r="P221" s="35"/>
      <c r="Q221" s="32"/>
      <c r="S221" s="1">
        <f t="shared" si="171"/>
        <v>0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1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0</v>
      </c>
      <c r="AE221" s="1">
        <f t="shared" si="182"/>
        <v>1</v>
      </c>
      <c r="AF221" s="1">
        <f t="shared" si="167"/>
        <v>0</v>
      </c>
      <c r="AG221" s="1">
        <f t="shared" si="168"/>
        <v>1</v>
      </c>
      <c r="AH221" s="1">
        <f t="shared" si="169"/>
        <v>0</v>
      </c>
      <c r="AI221" s="1">
        <f t="shared" si="170"/>
        <v>1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91</v>
      </c>
      <c r="E222" s="32" t="s">
        <v>165</v>
      </c>
      <c r="F222" s="36" t="s">
        <v>1871</v>
      </c>
      <c r="G222" s="32" t="s">
        <v>240</v>
      </c>
      <c r="H222" s="32" t="s">
        <v>354</v>
      </c>
      <c r="I222" s="31" t="s">
        <v>439</v>
      </c>
      <c r="J222" s="31">
        <v>1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1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92</v>
      </c>
      <c r="E223" s="32" t="s">
        <v>167</v>
      </c>
      <c r="F223" s="32" t="s">
        <v>286</v>
      </c>
      <c r="G223" s="32" t="s">
        <v>200</v>
      </c>
      <c r="H223" s="32" t="s">
        <v>354</v>
      </c>
      <c r="I223" s="31" t="s">
        <v>440</v>
      </c>
      <c r="J223" s="31">
        <v>2</v>
      </c>
      <c r="K223" s="33" t="s">
        <v>962</v>
      </c>
      <c r="L223" s="33" t="s">
        <v>39</v>
      </c>
      <c r="M223" s="34" t="s">
        <v>39</v>
      </c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1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1276</v>
      </c>
      <c r="E224" s="32" t="s">
        <v>167</v>
      </c>
      <c r="F224" s="32" t="s">
        <v>1148</v>
      </c>
      <c r="G224" s="32" t="s">
        <v>1342</v>
      </c>
      <c r="H224" s="32" t="s">
        <v>354</v>
      </c>
      <c r="I224" s="31" t="s">
        <v>1149</v>
      </c>
      <c r="J224" s="31">
        <v>99</v>
      </c>
      <c r="K224" s="33" t="s">
        <v>702</v>
      </c>
      <c r="L224" s="33">
        <v>45</v>
      </c>
      <c r="M224" s="34" t="s">
        <v>39</v>
      </c>
      <c r="N224" s="34" t="s">
        <v>1743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16384" ht="14.25" customHeight="1" x14ac:dyDescent="0.3">
      <c r="A225" s="31">
        <v>0</v>
      </c>
      <c r="B225" s="31">
        <v>1</v>
      </c>
      <c r="C225" s="31">
        <v>6</v>
      </c>
      <c r="D225" s="32" t="s">
        <v>1791</v>
      </c>
      <c r="E225" s="32" t="s">
        <v>167</v>
      </c>
      <c r="F225" s="32" t="s">
        <v>1766</v>
      </c>
      <c r="G225" s="32"/>
      <c r="H225" s="32" t="s">
        <v>354</v>
      </c>
      <c r="I225" s="31" t="s">
        <v>1767</v>
      </c>
      <c r="J225" s="31"/>
      <c r="K225" s="33" t="s">
        <v>703</v>
      </c>
      <c r="L225" s="33"/>
      <c r="M225" s="34"/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16384" ht="14.25" customHeight="1" x14ac:dyDescent="0.3">
      <c r="A226" s="31">
        <v>0</v>
      </c>
      <c r="B226" s="31">
        <v>1</v>
      </c>
      <c r="C226" s="31">
        <v>6</v>
      </c>
      <c r="D226" s="32" t="s">
        <v>1790</v>
      </c>
      <c r="E226" s="32" t="s">
        <v>167</v>
      </c>
      <c r="F226" s="32" t="s">
        <v>1768</v>
      </c>
      <c r="G226" s="32"/>
      <c r="H226" s="32" t="s">
        <v>354</v>
      </c>
      <c r="I226" s="31" t="s">
        <v>1769</v>
      </c>
      <c r="J226" s="31"/>
      <c r="K226" s="33" t="s">
        <v>703</v>
      </c>
      <c r="L226" s="33">
        <v>30</v>
      </c>
      <c r="M226" s="34" t="s">
        <v>1770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16384" ht="14.25" customHeight="1" x14ac:dyDescent="0.3">
      <c r="A227" s="31">
        <v>0</v>
      </c>
      <c r="B227" s="31">
        <v>1</v>
      </c>
      <c r="C227" s="31">
        <v>6</v>
      </c>
      <c r="D227" s="32" t="s">
        <v>1014</v>
      </c>
      <c r="E227" s="32" t="s">
        <v>167</v>
      </c>
      <c r="F227" s="32" t="s">
        <v>1015</v>
      </c>
      <c r="G227" s="32" t="s">
        <v>1103</v>
      </c>
      <c r="H227" s="32" t="s">
        <v>354</v>
      </c>
      <c r="I227" s="31" t="s">
        <v>1016</v>
      </c>
      <c r="J227" s="31">
        <v>99</v>
      </c>
      <c r="K227" s="33" t="s">
        <v>964</v>
      </c>
      <c r="L227" s="33" t="s">
        <v>39</v>
      </c>
      <c r="M227" s="34" t="s">
        <v>39</v>
      </c>
      <c r="N227" s="34" t="s">
        <v>1727</v>
      </c>
      <c r="O227" s="35">
        <v>1</v>
      </c>
      <c r="P227" s="35">
        <v>1</v>
      </c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0</v>
      </c>
      <c r="AD227" s="1">
        <f t="shared" si="181"/>
        <v>1</v>
      </c>
      <c r="AE227" s="1">
        <f t="shared" si="182"/>
        <v>0</v>
      </c>
      <c r="AF227" s="1">
        <f t="shared" si="167"/>
        <v>1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16384" ht="14.25" customHeight="1" x14ac:dyDescent="0.3">
      <c r="A228" s="31">
        <v>0</v>
      </c>
      <c r="B228" s="31">
        <v>1</v>
      </c>
      <c r="C228" s="31">
        <v>6</v>
      </c>
      <c r="D228" s="32" t="s">
        <v>94</v>
      </c>
      <c r="E228" s="32" t="s">
        <v>169</v>
      </c>
      <c r="F228" s="32" t="s">
        <v>289</v>
      </c>
      <c r="G228" s="32" t="s">
        <v>194</v>
      </c>
      <c r="H228" s="32" t="s">
        <v>354</v>
      </c>
      <c r="I228" s="31" t="s">
        <v>442</v>
      </c>
      <c r="J228" s="31">
        <v>9</v>
      </c>
      <c r="K228" s="33" t="s">
        <v>702</v>
      </c>
      <c r="L228" s="33" t="s">
        <v>694</v>
      </c>
      <c r="M228" s="34" t="s">
        <v>706</v>
      </c>
      <c r="N228" s="34" t="s">
        <v>1748</v>
      </c>
      <c r="O228" s="35">
        <v>1</v>
      </c>
      <c r="P228" s="35"/>
      <c r="Q228" s="32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1</v>
      </c>
      <c r="AB228" s="1">
        <f t="shared" si="180"/>
        <v>0</v>
      </c>
      <c r="AD228" s="1">
        <f t="shared" si="181"/>
        <v>0</v>
      </c>
      <c r="AE228" s="1">
        <f t="shared" si="182"/>
        <v>1</v>
      </c>
      <c r="AF228" s="1">
        <f t="shared" si="167"/>
        <v>0</v>
      </c>
      <c r="AG228" s="1">
        <f t="shared" si="168"/>
        <v>1</v>
      </c>
      <c r="AH228" s="1">
        <f t="shared" si="169"/>
        <v>0</v>
      </c>
      <c r="AI228" s="1">
        <f t="shared" si="170"/>
        <v>1</v>
      </c>
    </row>
    <row r="229" spans="1:16384" ht="14.25" customHeight="1" x14ac:dyDescent="0.3">
      <c r="A229" s="38">
        <v>0</v>
      </c>
      <c r="B229" s="38">
        <v>1</v>
      </c>
      <c r="C229" s="38">
        <v>6</v>
      </c>
      <c r="D229" s="54" t="s">
        <v>1609</v>
      </c>
      <c r="E229" s="39" t="s">
        <v>1610</v>
      </c>
      <c r="F229" s="39" t="s">
        <v>1611</v>
      </c>
      <c r="G229" s="39" t="s">
        <v>192</v>
      </c>
      <c r="H229" s="39" t="s">
        <v>354</v>
      </c>
      <c r="I229" s="38" t="s">
        <v>1612</v>
      </c>
      <c r="J229" s="38">
        <v>10</v>
      </c>
      <c r="K229" s="40" t="s">
        <v>956</v>
      </c>
      <c r="L229" s="40" t="s">
        <v>687</v>
      </c>
      <c r="M229" s="41" t="s">
        <v>1613</v>
      </c>
      <c r="N229" s="42"/>
      <c r="O229" s="43"/>
      <c r="P229" s="43">
        <v>1</v>
      </c>
      <c r="Q229" s="39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1</v>
      </c>
      <c r="AI229" s="1">
        <f t="shared" si="170"/>
        <v>0</v>
      </c>
    </row>
    <row r="230" spans="1:16384" ht="14.25" customHeight="1" x14ac:dyDescent="0.3">
      <c r="A230" s="31">
        <v>0</v>
      </c>
      <c r="B230" s="31">
        <v>1</v>
      </c>
      <c r="C230" s="31">
        <v>6</v>
      </c>
      <c r="D230" s="32" t="s">
        <v>95</v>
      </c>
      <c r="E230" s="32" t="s">
        <v>165</v>
      </c>
      <c r="F230" s="32" t="s">
        <v>290</v>
      </c>
      <c r="G230" s="32" t="s">
        <v>291</v>
      </c>
      <c r="H230" s="32" t="s">
        <v>354</v>
      </c>
      <c r="I230" s="31" t="s">
        <v>443</v>
      </c>
      <c r="J230" s="31">
        <v>7</v>
      </c>
      <c r="K230" s="33" t="s">
        <v>702</v>
      </c>
      <c r="L230" s="33" t="s">
        <v>694</v>
      </c>
      <c r="M230" s="34" t="s">
        <v>698</v>
      </c>
      <c r="N230" s="34" t="s">
        <v>1749</v>
      </c>
      <c r="O230" s="35">
        <v>1</v>
      </c>
      <c r="P230" s="35"/>
      <c r="Q230" s="32"/>
      <c r="R230" s="31"/>
      <c r="S230" s="31">
        <f t="shared" si="171"/>
        <v>0</v>
      </c>
      <c r="T230" s="31">
        <f t="shared" si="172"/>
        <v>0</v>
      </c>
      <c r="U230" s="32">
        <f t="shared" si="173"/>
        <v>0</v>
      </c>
      <c r="V230" s="32">
        <f t="shared" si="174"/>
        <v>0</v>
      </c>
      <c r="W230" s="32">
        <f t="shared" si="175"/>
        <v>0</v>
      </c>
      <c r="X230" s="32">
        <f t="shared" si="176"/>
        <v>0</v>
      </c>
      <c r="Y230" s="32">
        <f t="shared" si="177"/>
        <v>1</v>
      </c>
      <c r="Z230" s="31">
        <f t="shared" si="178"/>
        <v>0</v>
      </c>
      <c r="AA230" s="31">
        <f t="shared" si="179"/>
        <v>0</v>
      </c>
      <c r="AB230" s="33">
        <f t="shared" si="180"/>
        <v>0</v>
      </c>
      <c r="AC230" s="33"/>
      <c r="AD230" s="34">
        <f t="shared" si="181"/>
        <v>0</v>
      </c>
      <c r="AE230" s="34">
        <f t="shared" si="182"/>
        <v>1</v>
      </c>
      <c r="AF230" s="35">
        <f t="shared" si="167"/>
        <v>0</v>
      </c>
      <c r="AG230" s="35">
        <f t="shared" si="168"/>
        <v>1</v>
      </c>
      <c r="AH230" s="32">
        <f t="shared" si="169"/>
        <v>0</v>
      </c>
      <c r="AI230" s="31">
        <f t="shared" si="170"/>
        <v>1</v>
      </c>
      <c r="AJ230" s="31"/>
      <c r="AK230" s="31"/>
      <c r="AL230" s="32"/>
      <c r="AM230" s="32"/>
      <c r="AN230" s="32"/>
      <c r="AO230" s="32"/>
      <c r="AP230" s="32"/>
      <c r="AQ230" s="31"/>
      <c r="AR230" s="31"/>
      <c r="AS230" s="33"/>
      <c r="AT230" s="33"/>
      <c r="AU230" s="34"/>
      <c r="AV230" s="34"/>
      <c r="AW230" s="35"/>
      <c r="AX230" s="35"/>
      <c r="AY230" s="32"/>
      <c r="AZ230" s="31"/>
      <c r="BA230" s="31"/>
      <c r="BB230" s="31"/>
      <c r="BC230" s="32"/>
      <c r="BD230" s="32"/>
      <c r="BE230" s="32"/>
      <c r="BF230" s="32"/>
      <c r="BG230" s="32"/>
      <c r="BH230" s="31"/>
      <c r="BI230" s="31"/>
      <c r="BJ230" s="33"/>
      <c r="BK230" s="33"/>
      <c r="BL230" s="34"/>
      <c r="BM230" s="34"/>
      <c r="BN230" s="35"/>
      <c r="BO230" s="35"/>
      <c r="BP230" s="32"/>
      <c r="BQ230" s="31"/>
      <c r="BR230" s="31"/>
      <c r="BS230" s="31"/>
      <c r="BT230" s="32"/>
      <c r="BU230" s="32"/>
      <c r="BV230" s="32"/>
      <c r="BW230" s="32"/>
      <c r="BX230" s="32"/>
      <c r="BY230" s="31"/>
      <c r="BZ230" s="31"/>
      <c r="CA230" s="33"/>
      <c r="CB230" s="33"/>
      <c r="CC230" s="34"/>
      <c r="CD230" s="34"/>
      <c r="CE230" s="35"/>
      <c r="CF230" s="35"/>
      <c r="CG230" s="32"/>
      <c r="CH230" s="31"/>
      <c r="CI230" s="31"/>
      <c r="CJ230" s="31"/>
      <c r="CK230" s="32"/>
      <c r="CL230" s="32"/>
      <c r="CM230" s="32"/>
      <c r="CN230" s="32"/>
      <c r="CO230" s="32"/>
      <c r="CP230" s="31"/>
      <c r="CQ230" s="31"/>
      <c r="CR230" s="33"/>
      <c r="CS230" s="33"/>
      <c r="CT230" s="34"/>
      <c r="CU230" s="34"/>
      <c r="CV230" s="35"/>
      <c r="CW230" s="35"/>
      <c r="CX230" s="32"/>
      <c r="CY230" s="31"/>
      <c r="CZ230" s="31"/>
      <c r="DA230" s="31"/>
      <c r="DB230" s="32"/>
      <c r="DC230" s="32"/>
      <c r="DD230" s="32"/>
      <c r="DE230" s="32"/>
      <c r="DF230" s="32"/>
      <c r="DG230" s="31"/>
      <c r="DH230" s="31"/>
      <c r="DI230" s="33"/>
      <c r="DJ230" s="33"/>
      <c r="DK230" s="34"/>
      <c r="DL230" s="34"/>
      <c r="DM230" s="35"/>
      <c r="DN230" s="35"/>
      <c r="DO230" s="32"/>
      <c r="DP230" s="31"/>
      <c r="DQ230" s="31"/>
      <c r="DR230" s="31"/>
      <c r="DS230" s="32"/>
      <c r="DT230" s="32"/>
      <c r="DU230" s="32"/>
      <c r="DV230" s="32"/>
      <c r="DW230" s="32"/>
      <c r="DX230" s="31"/>
      <c r="DY230" s="31"/>
      <c r="DZ230" s="33"/>
      <c r="EA230" s="33"/>
      <c r="EB230" s="34"/>
      <c r="EC230" s="34"/>
      <c r="ED230" s="35"/>
      <c r="EE230" s="35"/>
      <c r="EF230" s="32"/>
      <c r="EG230" s="31"/>
      <c r="EH230" s="31"/>
      <c r="EI230" s="31"/>
      <c r="EJ230" s="32"/>
      <c r="EK230" s="32"/>
      <c r="EL230" s="32"/>
      <c r="EM230" s="32"/>
      <c r="EN230" s="32"/>
      <c r="EO230" s="31"/>
      <c r="EP230" s="31"/>
      <c r="EQ230" s="33"/>
      <c r="ER230" s="33"/>
      <c r="ES230" s="34"/>
      <c r="ET230" s="34"/>
      <c r="EU230" s="35"/>
      <c r="EV230" s="35"/>
      <c r="EW230" s="32"/>
      <c r="EX230" s="31"/>
      <c r="EY230" s="31"/>
      <c r="EZ230" s="31"/>
      <c r="FA230" s="32"/>
      <c r="FB230" s="32"/>
      <c r="FC230" s="32"/>
      <c r="FD230" s="32"/>
      <c r="FE230" s="32"/>
      <c r="FF230" s="31"/>
      <c r="FG230" s="31"/>
      <c r="FH230" s="33"/>
      <c r="FI230" s="33"/>
      <c r="FJ230" s="34"/>
      <c r="FK230" s="34"/>
      <c r="FL230" s="35"/>
      <c r="FM230" s="35"/>
      <c r="FN230" s="32"/>
      <c r="FO230" s="31"/>
      <c r="FP230" s="31"/>
      <c r="FQ230" s="31"/>
      <c r="FR230" s="32"/>
      <c r="FS230" s="32"/>
      <c r="FT230" s="32"/>
      <c r="FU230" s="32"/>
      <c r="FV230" s="32"/>
      <c r="FW230" s="31"/>
      <c r="FX230" s="31"/>
      <c r="FY230" s="33"/>
      <c r="FZ230" s="33"/>
      <c r="GA230" s="34"/>
      <c r="GB230" s="34"/>
      <c r="GC230" s="35"/>
      <c r="GD230" s="35"/>
      <c r="GE230" s="32"/>
      <c r="GF230" s="31"/>
      <c r="GG230" s="31"/>
      <c r="GH230" s="31"/>
      <c r="GI230" s="32"/>
      <c r="GJ230" s="32"/>
      <c r="GK230" s="32"/>
      <c r="GL230" s="32"/>
      <c r="GM230" s="32"/>
      <c r="GN230" s="31"/>
      <c r="GO230" s="31"/>
      <c r="GP230" s="33"/>
      <c r="GQ230" s="33"/>
      <c r="GR230" s="34"/>
      <c r="GS230" s="34"/>
      <c r="GT230" s="35"/>
      <c r="GU230" s="35"/>
      <c r="GV230" s="32"/>
      <c r="GW230" s="31"/>
      <c r="GX230" s="31"/>
      <c r="GY230" s="31"/>
      <c r="GZ230" s="32"/>
      <c r="HA230" s="32"/>
      <c r="HB230" s="32"/>
      <c r="HC230" s="32"/>
      <c r="HD230" s="32"/>
      <c r="HE230" s="31"/>
      <c r="HF230" s="31"/>
      <c r="HG230" s="33"/>
      <c r="HH230" s="33"/>
      <c r="HI230" s="34"/>
      <c r="HJ230" s="34"/>
      <c r="HK230" s="35"/>
      <c r="HL230" s="35"/>
      <c r="HM230" s="32"/>
      <c r="HN230" s="31"/>
      <c r="HO230" s="31"/>
      <c r="HP230" s="31"/>
      <c r="HQ230" s="32"/>
      <c r="HR230" s="32"/>
      <c r="HS230" s="32"/>
      <c r="HT230" s="32"/>
      <c r="HU230" s="32"/>
      <c r="HV230" s="31"/>
      <c r="HW230" s="31"/>
      <c r="HX230" s="33"/>
      <c r="HY230" s="33"/>
      <c r="HZ230" s="34"/>
      <c r="IA230" s="34"/>
      <c r="IB230" s="35"/>
      <c r="IC230" s="35"/>
      <c r="ID230" s="32"/>
      <c r="IE230" s="31"/>
      <c r="IF230" s="31"/>
      <c r="IG230" s="31"/>
      <c r="IH230" s="32"/>
      <c r="II230" s="32"/>
      <c r="IJ230" s="32"/>
      <c r="IK230" s="32"/>
      <c r="IL230" s="32"/>
      <c r="IM230" s="31"/>
      <c r="IN230" s="31"/>
      <c r="IO230" s="33"/>
      <c r="IP230" s="33"/>
      <c r="IQ230" s="34"/>
      <c r="IR230" s="34"/>
      <c r="IS230" s="35"/>
      <c r="IT230" s="35"/>
      <c r="IU230" s="32"/>
      <c r="IV230" s="31"/>
      <c r="IW230" s="31"/>
      <c r="IX230" s="31"/>
      <c r="IY230" s="32"/>
      <c r="IZ230" s="32"/>
      <c r="JA230" s="32"/>
      <c r="JB230" s="32"/>
      <c r="JC230" s="32"/>
      <c r="JD230" s="31"/>
      <c r="JE230" s="31"/>
      <c r="JF230" s="33"/>
      <c r="JG230" s="33"/>
      <c r="JH230" s="34"/>
      <c r="JI230" s="34"/>
      <c r="JJ230" s="35"/>
      <c r="JK230" s="35"/>
      <c r="JL230" s="32"/>
      <c r="JM230" s="31"/>
      <c r="JN230" s="31"/>
      <c r="JO230" s="31"/>
      <c r="JP230" s="32"/>
      <c r="JQ230" s="32"/>
      <c r="JR230" s="32"/>
      <c r="JS230" s="32"/>
      <c r="JT230" s="32"/>
      <c r="JU230" s="31"/>
      <c r="JV230" s="31"/>
      <c r="JW230" s="33"/>
      <c r="JX230" s="33"/>
      <c r="JY230" s="34"/>
      <c r="JZ230" s="34"/>
      <c r="KA230" s="35"/>
      <c r="KB230" s="35"/>
      <c r="KC230" s="32"/>
      <c r="KD230" s="31"/>
      <c r="KE230" s="31"/>
      <c r="KF230" s="31"/>
      <c r="KG230" s="32"/>
      <c r="KH230" s="32"/>
      <c r="KI230" s="32"/>
      <c r="KJ230" s="32"/>
      <c r="KK230" s="32"/>
      <c r="KL230" s="31"/>
      <c r="KM230" s="31"/>
      <c r="KN230" s="33"/>
      <c r="KO230" s="33"/>
      <c r="KP230" s="34"/>
      <c r="KQ230" s="34"/>
      <c r="KR230" s="35"/>
      <c r="KS230" s="35"/>
      <c r="KT230" s="32"/>
      <c r="KU230" s="31"/>
      <c r="KV230" s="31"/>
      <c r="KW230" s="31"/>
      <c r="KX230" s="32"/>
      <c r="KY230" s="32"/>
      <c r="KZ230" s="32"/>
      <c r="LA230" s="32"/>
      <c r="LB230" s="32"/>
      <c r="LC230" s="31"/>
      <c r="LD230" s="31"/>
      <c r="LE230" s="33"/>
      <c r="LF230" s="33"/>
      <c r="LG230" s="34"/>
      <c r="LH230" s="34"/>
      <c r="LI230" s="35"/>
      <c r="LJ230" s="35"/>
      <c r="LK230" s="32"/>
      <c r="LL230" s="31"/>
      <c r="LM230" s="31"/>
      <c r="LN230" s="31"/>
      <c r="LO230" s="32"/>
      <c r="LP230" s="32"/>
      <c r="LQ230" s="32"/>
      <c r="LR230" s="32"/>
      <c r="LS230" s="32"/>
      <c r="LT230" s="31"/>
      <c r="LU230" s="31"/>
      <c r="LV230" s="33"/>
      <c r="LW230" s="33"/>
      <c r="LX230" s="34"/>
      <c r="LY230" s="34"/>
      <c r="LZ230" s="35"/>
      <c r="MA230" s="35"/>
      <c r="MB230" s="32"/>
      <c r="MC230" s="31"/>
      <c r="MD230" s="31"/>
      <c r="ME230" s="31"/>
      <c r="MF230" s="32"/>
      <c r="MG230" s="32"/>
      <c r="MH230" s="32"/>
      <c r="MI230" s="32"/>
      <c r="MJ230" s="32"/>
      <c r="MK230" s="31"/>
      <c r="ML230" s="31"/>
      <c r="MM230" s="33"/>
      <c r="MN230" s="33"/>
      <c r="MO230" s="34"/>
      <c r="MP230" s="34"/>
      <c r="MQ230" s="35"/>
      <c r="MR230" s="35"/>
      <c r="MS230" s="32"/>
      <c r="MT230" s="31"/>
      <c r="MU230" s="31"/>
      <c r="MV230" s="31"/>
      <c r="MW230" s="32"/>
      <c r="MX230" s="32"/>
      <c r="MY230" s="32"/>
      <c r="MZ230" s="32"/>
      <c r="NA230" s="32"/>
      <c r="NB230" s="31"/>
      <c r="NC230" s="31"/>
      <c r="ND230" s="33"/>
      <c r="NE230" s="33"/>
      <c r="NF230" s="34"/>
      <c r="NG230" s="34"/>
      <c r="NH230" s="35"/>
      <c r="NI230" s="35"/>
      <c r="NJ230" s="32"/>
      <c r="NK230" s="31"/>
      <c r="NL230" s="31"/>
      <c r="NM230" s="31"/>
      <c r="NN230" s="32"/>
      <c r="NO230" s="32"/>
      <c r="NP230" s="32"/>
      <c r="NQ230" s="32"/>
      <c r="NR230" s="32"/>
      <c r="NS230" s="31"/>
      <c r="NT230" s="31"/>
      <c r="NU230" s="33"/>
      <c r="NV230" s="33"/>
      <c r="NW230" s="34"/>
      <c r="NX230" s="34"/>
      <c r="NY230" s="35"/>
      <c r="NZ230" s="35"/>
      <c r="OA230" s="32"/>
      <c r="OB230" s="31"/>
      <c r="OC230" s="31"/>
      <c r="OD230" s="31"/>
      <c r="OE230" s="32"/>
      <c r="OF230" s="32"/>
      <c r="OG230" s="32"/>
      <c r="OH230" s="32"/>
      <c r="OI230" s="32"/>
      <c r="OJ230" s="31"/>
      <c r="OK230" s="31"/>
      <c r="OL230" s="33"/>
      <c r="OM230" s="33"/>
      <c r="ON230" s="34"/>
      <c r="OO230" s="34"/>
      <c r="OP230" s="35"/>
      <c r="OQ230" s="35"/>
      <c r="OR230" s="32"/>
      <c r="OS230" s="31"/>
      <c r="OT230" s="31"/>
      <c r="OU230" s="31"/>
      <c r="OV230" s="32"/>
      <c r="OW230" s="32"/>
      <c r="OX230" s="32"/>
      <c r="OY230" s="32"/>
      <c r="OZ230" s="32"/>
      <c r="PA230" s="31"/>
      <c r="PB230" s="31"/>
      <c r="PC230" s="33"/>
      <c r="PD230" s="33"/>
      <c r="PE230" s="34"/>
      <c r="PF230" s="34"/>
      <c r="PG230" s="35"/>
      <c r="PH230" s="35"/>
      <c r="PI230" s="32"/>
      <c r="PJ230" s="31"/>
      <c r="PK230" s="31"/>
      <c r="PL230" s="31"/>
      <c r="PM230" s="32"/>
      <c r="PN230" s="32"/>
      <c r="PO230" s="32"/>
      <c r="PP230" s="32"/>
      <c r="PQ230" s="32"/>
      <c r="PR230" s="31"/>
      <c r="PS230" s="31"/>
      <c r="PT230" s="33"/>
      <c r="PU230" s="33"/>
      <c r="PV230" s="34"/>
      <c r="PW230" s="34"/>
      <c r="PX230" s="35"/>
      <c r="PY230" s="35"/>
      <c r="PZ230" s="32"/>
      <c r="QA230" s="31"/>
      <c r="QB230" s="31"/>
      <c r="QC230" s="31"/>
      <c r="QD230" s="32"/>
      <c r="QE230" s="32"/>
      <c r="QF230" s="32"/>
      <c r="QG230" s="32"/>
      <c r="QH230" s="32"/>
      <c r="QI230" s="31"/>
      <c r="QJ230" s="31"/>
      <c r="QK230" s="33"/>
      <c r="QL230" s="33"/>
      <c r="QM230" s="34"/>
      <c r="QN230" s="34"/>
      <c r="QO230" s="35"/>
      <c r="QP230" s="35"/>
      <c r="QQ230" s="32"/>
      <c r="QR230" s="31"/>
      <c r="QS230" s="31"/>
      <c r="QT230" s="31"/>
      <c r="QU230" s="32"/>
      <c r="QV230" s="32"/>
      <c r="QW230" s="32"/>
      <c r="QX230" s="32"/>
      <c r="QY230" s="32"/>
      <c r="QZ230" s="31"/>
      <c r="RA230" s="31"/>
      <c r="RB230" s="33"/>
      <c r="RC230" s="33"/>
      <c r="RD230" s="34"/>
      <c r="RE230" s="34"/>
      <c r="RF230" s="35"/>
      <c r="RG230" s="35"/>
      <c r="RH230" s="32"/>
      <c r="RI230" s="31"/>
      <c r="RJ230" s="31"/>
      <c r="RK230" s="31"/>
      <c r="RL230" s="32"/>
      <c r="RM230" s="32"/>
      <c r="RN230" s="32"/>
      <c r="RO230" s="32"/>
      <c r="RP230" s="32"/>
      <c r="RQ230" s="31"/>
      <c r="RR230" s="31"/>
      <c r="RS230" s="33"/>
      <c r="RT230" s="33"/>
      <c r="RU230" s="34"/>
      <c r="RV230" s="34"/>
      <c r="RW230" s="35"/>
      <c r="RX230" s="35"/>
      <c r="RY230" s="32"/>
      <c r="RZ230" s="31"/>
      <c r="SA230" s="31"/>
      <c r="SB230" s="31"/>
      <c r="SC230" s="32"/>
      <c r="SD230" s="32"/>
      <c r="SE230" s="32"/>
      <c r="SF230" s="32"/>
      <c r="SG230" s="32"/>
      <c r="SH230" s="31"/>
      <c r="SI230" s="31"/>
      <c r="SJ230" s="33"/>
      <c r="SK230" s="33"/>
      <c r="SL230" s="34"/>
      <c r="SM230" s="34"/>
      <c r="SN230" s="35"/>
      <c r="SO230" s="35"/>
      <c r="SP230" s="32"/>
      <c r="SQ230" s="31"/>
      <c r="SR230" s="31"/>
      <c r="SS230" s="31"/>
      <c r="ST230" s="32"/>
      <c r="SU230" s="32"/>
      <c r="SV230" s="32"/>
      <c r="SW230" s="32"/>
      <c r="SX230" s="32"/>
      <c r="SY230" s="31"/>
      <c r="SZ230" s="31"/>
      <c r="TA230" s="33"/>
      <c r="TB230" s="33"/>
      <c r="TC230" s="34"/>
      <c r="TD230" s="34"/>
      <c r="TE230" s="35"/>
      <c r="TF230" s="35"/>
      <c r="TG230" s="32"/>
      <c r="TH230" s="31"/>
      <c r="TI230" s="31"/>
      <c r="TJ230" s="31"/>
      <c r="TK230" s="32"/>
      <c r="TL230" s="32"/>
      <c r="TM230" s="32"/>
      <c r="TN230" s="32"/>
      <c r="TO230" s="32"/>
      <c r="TP230" s="31"/>
      <c r="TQ230" s="31"/>
      <c r="TR230" s="33"/>
      <c r="TS230" s="33"/>
      <c r="TT230" s="34"/>
      <c r="TU230" s="34"/>
      <c r="TV230" s="35"/>
      <c r="TW230" s="35"/>
      <c r="TX230" s="32"/>
      <c r="TY230" s="31"/>
      <c r="TZ230" s="31"/>
      <c r="UA230" s="31"/>
      <c r="UB230" s="32"/>
      <c r="UC230" s="32"/>
      <c r="UD230" s="32"/>
      <c r="UE230" s="32"/>
      <c r="UF230" s="32"/>
      <c r="UG230" s="31"/>
      <c r="UH230" s="31"/>
      <c r="UI230" s="33"/>
      <c r="UJ230" s="33"/>
      <c r="UK230" s="34"/>
      <c r="UL230" s="34"/>
      <c r="UM230" s="35"/>
      <c r="UN230" s="35"/>
      <c r="UO230" s="32"/>
      <c r="UP230" s="31"/>
      <c r="UQ230" s="31"/>
      <c r="UR230" s="31"/>
      <c r="US230" s="32"/>
      <c r="UT230" s="32"/>
      <c r="UU230" s="32"/>
      <c r="UV230" s="32"/>
      <c r="UW230" s="32"/>
      <c r="UX230" s="31"/>
      <c r="UY230" s="31"/>
      <c r="UZ230" s="33"/>
      <c r="VA230" s="33"/>
      <c r="VB230" s="34"/>
      <c r="VC230" s="34"/>
      <c r="VD230" s="35"/>
      <c r="VE230" s="35"/>
      <c r="VF230" s="32"/>
      <c r="VG230" s="31"/>
      <c r="VH230" s="31"/>
      <c r="VI230" s="31"/>
      <c r="VJ230" s="32"/>
      <c r="VK230" s="32"/>
      <c r="VL230" s="32"/>
      <c r="VM230" s="32"/>
      <c r="VN230" s="32"/>
      <c r="VO230" s="31"/>
      <c r="VP230" s="31"/>
      <c r="VQ230" s="33"/>
      <c r="VR230" s="33"/>
      <c r="VS230" s="34"/>
      <c r="VT230" s="34"/>
      <c r="VU230" s="35"/>
      <c r="VV230" s="35"/>
      <c r="VW230" s="32"/>
      <c r="VX230" s="31"/>
      <c r="VY230" s="31"/>
      <c r="VZ230" s="31"/>
      <c r="WA230" s="32"/>
      <c r="WB230" s="32"/>
      <c r="WC230" s="32"/>
      <c r="WD230" s="32"/>
      <c r="WE230" s="32"/>
      <c r="WF230" s="31"/>
      <c r="WG230" s="31"/>
      <c r="WH230" s="33"/>
      <c r="WI230" s="33"/>
      <c r="WJ230" s="34"/>
      <c r="WK230" s="34"/>
      <c r="WL230" s="35"/>
      <c r="WM230" s="35"/>
      <c r="WN230" s="32"/>
      <c r="WO230" s="31"/>
      <c r="WP230" s="31"/>
      <c r="WQ230" s="31"/>
      <c r="WR230" s="32"/>
      <c r="WS230" s="32"/>
      <c r="WT230" s="32"/>
      <c r="WU230" s="32"/>
      <c r="WV230" s="32"/>
      <c r="WW230" s="31"/>
      <c r="WX230" s="31"/>
      <c r="WY230" s="33"/>
      <c r="WZ230" s="33"/>
      <c r="XA230" s="34"/>
      <c r="XB230" s="34"/>
      <c r="XC230" s="35"/>
      <c r="XD230" s="35"/>
      <c r="XE230" s="32"/>
      <c r="XF230" s="31"/>
      <c r="XG230" s="31"/>
      <c r="XH230" s="31"/>
      <c r="XI230" s="32"/>
      <c r="XJ230" s="32"/>
      <c r="XK230" s="32"/>
      <c r="XL230" s="32"/>
      <c r="XM230" s="32"/>
      <c r="XN230" s="31"/>
      <c r="XO230" s="31"/>
      <c r="XP230" s="33"/>
      <c r="XQ230" s="33"/>
      <c r="XR230" s="34"/>
      <c r="XS230" s="34"/>
      <c r="XT230" s="35"/>
      <c r="XU230" s="35"/>
      <c r="XV230" s="32"/>
      <c r="XW230" s="31"/>
      <c r="XX230" s="31"/>
      <c r="XY230" s="31"/>
      <c r="XZ230" s="32"/>
      <c r="YA230" s="32"/>
      <c r="YB230" s="32"/>
      <c r="YC230" s="32"/>
      <c r="YD230" s="32"/>
      <c r="YE230" s="31"/>
      <c r="YF230" s="31"/>
      <c r="YG230" s="33"/>
      <c r="YH230" s="33"/>
      <c r="YI230" s="34"/>
      <c r="YJ230" s="34"/>
      <c r="YK230" s="35"/>
      <c r="YL230" s="35"/>
      <c r="YM230" s="32"/>
      <c r="YN230" s="31"/>
      <c r="YO230" s="31"/>
      <c r="YP230" s="31"/>
      <c r="YQ230" s="32"/>
      <c r="YR230" s="32"/>
      <c r="YS230" s="32"/>
      <c r="YT230" s="32"/>
      <c r="YU230" s="32"/>
      <c r="YV230" s="31"/>
      <c r="YW230" s="31"/>
      <c r="YX230" s="33"/>
      <c r="YY230" s="33"/>
      <c r="YZ230" s="34"/>
      <c r="ZA230" s="34"/>
      <c r="ZB230" s="35"/>
      <c r="ZC230" s="35"/>
      <c r="ZD230" s="32"/>
      <c r="ZE230" s="31"/>
      <c r="ZF230" s="31"/>
      <c r="ZG230" s="31"/>
      <c r="ZH230" s="32"/>
      <c r="ZI230" s="32"/>
      <c r="ZJ230" s="32"/>
      <c r="ZK230" s="32"/>
      <c r="ZL230" s="32"/>
      <c r="ZM230" s="31"/>
      <c r="ZN230" s="31"/>
      <c r="ZO230" s="33"/>
      <c r="ZP230" s="33"/>
      <c r="ZQ230" s="34"/>
      <c r="ZR230" s="34"/>
      <c r="ZS230" s="35"/>
      <c r="ZT230" s="35"/>
      <c r="ZU230" s="32"/>
      <c r="ZV230" s="31"/>
      <c r="ZW230" s="31"/>
      <c r="ZX230" s="31"/>
      <c r="ZY230" s="32"/>
      <c r="ZZ230" s="32"/>
      <c r="AAA230" s="32"/>
      <c r="AAB230" s="32"/>
      <c r="AAC230" s="32"/>
      <c r="AAD230" s="31"/>
      <c r="AAE230" s="31"/>
      <c r="AAF230" s="33"/>
      <c r="AAG230" s="33"/>
      <c r="AAH230" s="34"/>
      <c r="AAI230" s="34"/>
      <c r="AAJ230" s="35"/>
      <c r="AAK230" s="35"/>
      <c r="AAL230" s="32"/>
      <c r="AAM230" s="31"/>
      <c r="AAN230" s="31"/>
      <c r="AAO230" s="31"/>
      <c r="AAP230" s="32"/>
      <c r="AAQ230" s="32"/>
      <c r="AAR230" s="32"/>
      <c r="AAS230" s="32"/>
      <c r="AAT230" s="32"/>
      <c r="AAU230" s="31"/>
      <c r="AAV230" s="31"/>
      <c r="AAW230" s="33"/>
      <c r="AAX230" s="33"/>
      <c r="AAY230" s="34"/>
      <c r="AAZ230" s="34"/>
      <c r="ABA230" s="35"/>
      <c r="ABB230" s="35"/>
      <c r="ABC230" s="32"/>
      <c r="ABD230" s="31"/>
      <c r="ABE230" s="31"/>
      <c r="ABF230" s="31"/>
      <c r="ABG230" s="32"/>
      <c r="ABH230" s="32"/>
      <c r="ABI230" s="32"/>
      <c r="ABJ230" s="32"/>
      <c r="ABK230" s="32"/>
      <c r="ABL230" s="31"/>
      <c r="ABM230" s="31"/>
      <c r="ABN230" s="33"/>
      <c r="ABO230" s="33"/>
      <c r="ABP230" s="34"/>
      <c r="ABQ230" s="34"/>
      <c r="ABR230" s="35"/>
      <c r="ABS230" s="35"/>
      <c r="ABT230" s="32"/>
      <c r="ABU230" s="31"/>
      <c r="ABV230" s="31"/>
      <c r="ABW230" s="31"/>
      <c r="ABX230" s="32"/>
      <c r="ABY230" s="32"/>
      <c r="ABZ230" s="32"/>
      <c r="ACA230" s="32"/>
      <c r="ACB230" s="32"/>
      <c r="ACC230" s="31"/>
      <c r="ACD230" s="31"/>
      <c r="ACE230" s="33"/>
      <c r="ACF230" s="33"/>
      <c r="ACG230" s="34"/>
      <c r="ACH230" s="34"/>
      <c r="ACI230" s="35"/>
      <c r="ACJ230" s="35"/>
      <c r="ACK230" s="32"/>
      <c r="ACL230" s="31"/>
      <c r="ACM230" s="31"/>
      <c r="ACN230" s="31"/>
      <c r="ACO230" s="32"/>
      <c r="ACP230" s="32"/>
      <c r="ACQ230" s="32"/>
      <c r="ACR230" s="32"/>
      <c r="ACS230" s="32"/>
      <c r="ACT230" s="31"/>
      <c r="ACU230" s="31"/>
      <c r="ACV230" s="33"/>
      <c r="ACW230" s="33"/>
      <c r="ACX230" s="34"/>
      <c r="ACY230" s="34"/>
      <c r="ACZ230" s="35"/>
      <c r="ADA230" s="35"/>
      <c r="ADB230" s="32"/>
      <c r="ADC230" s="31"/>
      <c r="ADD230" s="31"/>
      <c r="ADE230" s="31"/>
      <c r="ADF230" s="32"/>
      <c r="ADG230" s="32"/>
      <c r="ADH230" s="32"/>
      <c r="ADI230" s="32"/>
      <c r="ADJ230" s="32"/>
      <c r="ADK230" s="31"/>
      <c r="ADL230" s="31"/>
      <c r="ADM230" s="33"/>
      <c r="ADN230" s="33"/>
      <c r="ADO230" s="34"/>
      <c r="ADP230" s="34"/>
      <c r="ADQ230" s="35"/>
      <c r="ADR230" s="35"/>
      <c r="ADS230" s="32"/>
      <c r="ADT230" s="31"/>
      <c r="ADU230" s="31"/>
      <c r="ADV230" s="31"/>
      <c r="ADW230" s="32"/>
      <c r="ADX230" s="32"/>
      <c r="ADY230" s="32"/>
      <c r="ADZ230" s="32"/>
      <c r="AEA230" s="32"/>
      <c r="AEB230" s="31"/>
      <c r="AEC230" s="31"/>
      <c r="AED230" s="33"/>
      <c r="AEE230" s="33"/>
      <c r="AEF230" s="34"/>
      <c r="AEG230" s="34"/>
      <c r="AEH230" s="35"/>
      <c r="AEI230" s="35"/>
      <c r="AEJ230" s="32"/>
      <c r="AEK230" s="31"/>
      <c r="AEL230" s="31"/>
      <c r="AEM230" s="31"/>
      <c r="AEN230" s="32"/>
      <c r="AEO230" s="32"/>
      <c r="AEP230" s="32"/>
      <c r="AEQ230" s="32"/>
      <c r="AER230" s="32"/>
      <c r="AES230" s="31"/>
      <c r="AET230" s="31"/>
      <c r="AEU230" s="33"/>
      <c r="AEV230" s="33"/>
      <c r="AEW230" s="34"/>
      <c r="AEX230" s="34"/>
      <c r="AEY230" s="35"/>
      <c r="AEZ230" s="35"/>
      <c r="AFA230" s="32"/>
      <c r="AFB230" s="31"/>
      <c r="AFC230" s="31"/>
      <c r="AFD230" s="31"/>
      <c r="AFE230" s="32"/>
      <c r="AFF230" s="32"/>
      <c r="AFG230" s="32"/>
      <c r="AFH230" s="32"/>
      <c r="AFI230" s="32"/>
      <c r="AFJ230" s="31"/>
      <c r="AFK230" s="31"/>
      <c r="AFL230" s="33"/>
      <c r="AFM230" s="33"/>
      <c r="AFN230" s="34"/>
      <c r="AFO230" s="34"/>
      <c r="AFP230" s="35"/>
      <c r="AFQ230" s="35"/>
      <c r="AFR230" s="32"/>
      <c r="AFS230" s="31"/>
      <c r="AFT230" s="31"/>
      <c r="AFU230" s="31"/>
      <c r="AFV230" s="32"/>
      <c r="AFW230" s="32"/>
      <c r="AFX230" s="32"/>
      <c r="AFY230" s="32"/>
      <c r="AFZ230" s="32"/>
      <c r="AGA230" s="31"/>
      <c r="AGB230" s="31"/>
      <c r="AGC230" s="33"/>
      <c r="AGD230" s="33"/>
      <c r="AGE230" s="34"/>
      <c r="AGF230" s="34"/>
      <c r="AGG230" s="35"/>
      <c r="AGH230" s="35"/>
      <c r="AGI230" s="32"/>
      <c r="AGJ230" s="31"/>
      <c r="AGK230" s="31"/>
      <c r="AGL230" s="31"/>
      <c r="AGM230" s="32"/>
      <c r="AGN230" s="32"/>
      <c r="AGO230" s="32"/>
      <c r="AGP230" s="32"/>
      <c r="AGQ230" s="32"/>
      <c r="AGR230" s="31"/>
      <c r="AGS230" s="31"/>
      <c r="AGT230" s="33"/>
      <c r="AGU230" s="33"/>
      <c r="AGV230" s="34"/>
      <c r="AGW230" s="34"/>
      <c r="AGX230" s="35"/>
      <c r="AGY230" s="35"/>
      <c r="AGZ230" s="32"/>
      <c r="AHA230" s="31"/>
      <c r="AHB230" s="31"/>
      <c r="AHC230" s="31"/>
      <c r="AHD230" s="32"/>
      <c r="AHE230" s="32"/>
      <c r="AHF230" s="32"/>
      <c r="AHG230" s="32"/>
      <c r="AHH230" s="32"/>
      <c r="AHI230" s="31"/>
      <c r="AHJ230" s="31"/>
      <c r="AHK230" s="33"/>
      <c r="AHL230" s="33"/>
      <c r="AHM230" s="34"/>
      <c r="AHN230" s="34"/>
      <c r="AHO230" s="35"/>
      <c r="AHP230" s="35"/>
      <c r="AHQ230" s="32"/>
      <c r="AHR230" s="31"/>
      <c r="AHS230" s="31"/>
      <c r="AHT230" s="31"/>
      <c r="AHU230" s="32"/>
      <c r="AHV230" s="32"/>
      <c r="AHW230" s="32"/>
      <c r="AHX230" s="32"/>
      <c r="AHY230" s="32"/>
      <c r="AHZ230" s="31"/>
      <c r="AIA230" s="31"/>
      <c r="AIB230" s="33"/>
      <c r="AIC230" s="33"/>
      <c r="AID230" s="34"/>
      <c r="AIE230" s="34"/>
      <c r="AIF230" s="35"/>
      <c r="AIG230" s="35"/>
      <c r="AIH230" s="32"/>
      <c r="AII230" s="31"/>
      <c r="AIJ230" s="31"/>
      <c r="AIK230" s="31"/>
      <c r="AIL230" s="32"/>
      <c r="AIM230" s="32"/>
      <c r="AIN230" s="32"/>
      <c r="AIO230" s="32"/>
      <c r="AIP230" s="32"/>
      <c r="AIQ230" s="31"/>
      <c r="AIR230" s="31"/>
      <c r="AIS230" s="33"/>
      <c r="AIT230" s="33"/>
      <c r="AIU230" s="34"/>
      <c r="AIV230" s="34"/>
      <c r="AIW230" s="35"/>
      <c r="AIX230" s="35"/>
      <c r="AIY230" s="32"/>
      <c r="AIZ230" s="31"/>
      <c r="AJA230" s="31"/>
      <c r="AJB230" s="31"/>
      <c r="AJC230" s="32"/>
      <c r="AJD230" s="32"/>
      <c r="AJE230" s="32"/>
      <c r="AJF230" s="32"/>
      <c r="AJG230" s="32"/>
      <c r="AJH230" s="31"/>
      <c r="AJI230" s="31"/>
      <c r="AJJ230" s="33"/>
      <c r="AJK230" s="33"/>
      <c r="AJL230" s="34"/>
      <c r="AJM230" s="34"/>
      <c r="AJN230" s="35"/>
      <c r="AJO230" s="35"/>
      <c r="AJP230" s="32"/>
      <c r="AJQ230" s="31"/>
      <c r="AJR230" s="31"/>
      <c r="AJS230" s="31"/>
      <c r="AJT230" s="32"/>
      <c r="AJU230" s="32"/>
      <c r="AJV230" s="32"/>
      <c r="AJW230" s="32"/>
      <c r="AJX230" s="32"/>
      <c r="AJY230" s="31"/>
      <c r="AJZ230" s="31"/>
      <c r="AKA230" s="33"/>
      <c r="AKB230" s="33"/>
      <c r="AKC230" s="34"/>
      <c r="AKD230" s="34"/>
      <c r="AKE230" s="35"/>
      <c r="AKF230" s="35"/>
      <c r="AKG230" s="32"/>
      <c r="AKH230" s="31"/>
      <c r="AKI230" s="31"/>
      <c r="AKJ230" s="31"/>
      <c r="AKK230" s="32"/>
      <c r="AKL230" s="32"/>
      <c r="AKM230" s="32"/>
      <c r="AKN230" s="32"/>
      <c r="AKO230" s="32"/>
      <c r="AKP230" s="31"/>
      <c r="AKQ230" s="31"/>
      <c r="AKR230" s="33"/>
      <c r="AKS230" s="33"/>
      <c r="AKT230" s="34"/>
      <c r="AKU230" s="34"/>
      <c r="AKV230" s="35"/>
      <c r="AKW230" s="35"/>
      <c r="AKX230" s="32"/>
      <c r="AKY230" s="31"/>
      <c r="AKZ230" s="31"/>
      <c r="ALA230" s="31"/>
      <c r="ALB230" s="32"/>
      <c r="ALC230" s="32"/>
      <c r="ALD230" s="32"/>
      <c r="ALE230" s="32"/>
      <c r="ALF230" s="32"/>
      <c r="ALG230" s="31"/>
      <c r="ALH230" s="31"/>
      <c r="ALI230" s="33"/>
      <c r="ALJ230" s="33"/>
      <c r="ALK230" s="34"/>
      <c r="ALL230" s="34"/>
      <c r="ALM230" s="35"/>
      <c r="ALN230" s="35"/>
      <c r="ALO230" s="32"/>
      <c r="ALP230" s="31"/>
      <c r="ALQ230" s="31"/>
      <c r="ALR230" s="31"/>
      <c r="ALS230" s="32"/>
      <c r="ALT230" s="32"/>
      <c r="ALU230" s="32"/>
      <c r="ALV230" s="32"/>
      <c r="ALW230" s="32"/>
      <c r="ALX230" s="31"/>
      <c r="ALY230" s="31"/>
      <c r="ALZ230" s="33"/>
      <c r="AMA230" s="33"/>
      <c r="AMB230" s="34"/>
      <c r="AMC230" s="34"/>
      <c r="AMD230" s="35"/>
      <c r="AME230" s="35"/>
      <c r="AMF230" s="32"/>
      <c r="AMG230" s="31"/>
      <c r="AMH230" s="31"/>
      <c r="AMI230" s="31"/>
      <c r="AMJ230" s="32"/>
      <c r="AMK230" s="32"/>
      <c r="AML230" s="32"/>
      <c r="AMM230" s="32"/>
      <c r="AMN230" s="32"/>
      <c r="AMO230" s="31"/>
      <c r="AMP230" s="31"/>
      <c r="AMQ230" s="33"/>
      <c r="AMR230" s="33"/>
      <c r="AMS230" s="34"/>
      <c r="AMT230" s="34"/>
      <c r="AMU230" s="35"/>
      <c r="AMV230" s="35"/>
      <c r="AMW230" s="32"/>
      <c r="AMX230" s="31"/>
      <c r="AMY230" s="31"/>
      <c r="AMZ230" s="31"/>
      <c r="ANA230" s="32"/>
      <c r="ANB230" s="32"/>
      <c r="ANC230" s="32"/>
      <c r="AND230" s="32"/>
      <c r="ANE230" s="32"/>
      <c r="ANF230" s="31"/>
      <c r="ANG230" s="31"/>
      <c r="ANH230" s="33"/>
      <c r="ANI230" s="33"/>
      <c r="ANJ230" s="34"/>
      <c r="ANK230" s="34"/>
      <c r="ANL230" s="35"/>
      <c r="ANM230" s="35"/>
      <c r="ANN230" s="32"/>
      <c r="ANO230" s="31"/>
      <c r="ANP230" s="31"/>
      <c r="ANQ230" s="31"/>
      <c r="ANR230" s="32"/>
      <c r="ANS230" s="32"/>
      <c r="ANT230" s="32"/>
      <c r="ANU230" s="32"/>
      <c r="ANV230" s="32"/>
      <c r="ANW230" s="31"/>
      <c r="ANX230" s="31"/>
      <c r="ANY230" s="33"/>
      <c r="ANZ230" s="33"/>
      <c r="AOA230" s="34"/>
      <c r="AOB230" s="34"/>
      <c r="AOC230" s="35"/>
      <c r="AOD230" s="35"/>
      <c r="AOE230" s="32"/>
      <c r="AOF230" s="31"/>
      <c r="AOG230" s="31"/>
      <c r="AOH230" s="31"/>
      <c r="AOI230" s="32"/>
      <c r="AOJ230" s="32"/>
      <c r="AOK230" s="32"/>
      <c r="AOL230" s="32"/>
      <c r="AOM230" s="32"/>
      <c r="AON230" s="31"/>
      <c r="AOO230" s="31"/>
      <c r="AOP230" s="33"/>
      <c r="AOQ230" s="33"/>
      <c r="AOR230" s="34"/>
      <c r="AOS230" s="34"/>
      <c r="AOT230" s="35"/>
      <c r="AOU230" s="35"/>
      <c r="AOV230" s="32"/>
      <c r="AOW230" s="31"/>
      <c r="AOX230" s="31"/>
      <c r="AOY230" s="31"/>
      <c r="AOZ230" s="32"/>
      <c r="APA230" s="32"/>
      <c r="APB230" s="32"/>
      <c r="APC230" s="32"/>
      <c r="APD230" s="32"/>
      <c r="APE230" s="31"/>
      <c r="APF230" s="31"/>
      <c r="APG230" s="33"/>
      <c r="APH230" s="33"/>
      <c r="API230" s="34"/>
      <c r="APJ230" s="34"/>
      <c r="APK230" s="35"/>
      <c r="APL230" s="35"/>
      <c r="APM230" s="32"/>
      <c r="APN230" s="31"/>
      <c r="APO230" s="31"/>
      <c r="APP230" s="31"/>
      <c r="APQ230" s="32"/>
      <c r="APR230" s="32"/>
      <c r="APS230" s="32"/>
      <c r="APT230" s="32"/>
      <c r="APU230" s="32"/>
      <c r="APV230" s="31"/>
      <c r="APW230" s="31"/>
      <c r="APX230" s="33"/>
      <c r="APY230" s="33"/>
      <c r="APZ230" s="34"/>
      <c r="AQA230" s="34"/>
      <c r="AQB230" s="35"/>
      <c r="AQC230" s="35"/>
      <c r="AQD230" s="32"/>
      <c r="AQE230" s="31"/>
      <c r="AQF230" s="31"/>
      <c r="AQG230" s="31"/>
      <c r="AQH230" s="32"/>
      <c r="AQI230" s="32"/>
      <c r="AQJ230" s="32"/>
      <c r="AQK230" s="32"/>
      <c r="AQL230" s="32"/>
      <c r="AQM230" s="31"/>
      <c r="AQN230" s="31"/>
      <c r="AQO230" s="33"/>
      <c r="AQP230" s="33"/>
      <c r="AQQ230" s="34"/>
      <c r="AQR230" s="34"/>
      <c r="AQS230" s="35"/>
      <c r="AQT230" s="35"/>
      <c r="AQU230" s="32"/>
      <c r="AQV230" s="31"/>
      <c r="AQW230" s="31"/>
      <c r="AQX230" s="31"/>
      <c r="AQY230" s="32"/>
      <c r="AQZ230" s="32"/>
      <c r="ARA230" s="32"/>
      <c r="ARB230" s="32"/>
      <c r="ARC230" s="32"/>
      <c r="ARD230" s="31"/>
      <c r="ARE230" s="31"/>
      <c r="ARF230" s="33"/>
      <c r="ARG230" s="33"/>
      <c r="ARH230" s="34"/>
      <c r="ARI230" s="34"/>
      <c r="ARJ230" s="35"/>
      <c r="ARK230" s="35"/>
      <c r="ARL230" s="32"/>
      <c r="ARM230" s="31"/>
      <c r="ARN230" s="31"/>
      <c r="ARO230" s="31"/>
      <c r="ARP230" s="32"/>
      <c r="ARQ230" s="32"/>
      <c r="ARR230" s="32"/>
      <c r="ARS230" s="32"/>
      <c r="ART230" s="32"/>
      <c r="ARU230" s="31"/>
      <c r="ARV230" s="31"/>
      <c r="ARW230" s="33"/>
      <c r="ARX230" s="33"/>
      <c r="ARY230" s="34"/>
      <c r="ARZ230" s="34"/>
      <c r="ASA230" s="35"/>
      <c r="ASB230" s="35"/>
      <c r="ASC230" s="32"/>
      <c r="ASD230" s="31"/>
      <c r="ASE230" s="31"/>
      <c r="ASF230" s="31"/>
      <c r="ASG230" s="32"/>
      <c r="ASH230" s="32"/>
      <c r="ASI230" s="32"/>
      <c r="ASJ230" s="32"/>
      <c r="ASK230" s="32"/>
      <c r="ASL230" s="31"/>
      <c r="ASM230" s="31"/>
      <c r="ASN230" s="33"/>
      <c r="ASO230" s="33"/>
      <c r="ASP230" s="34"/>
      <c r="ASQ230" s="34"/>
      <c r="ASR230" s="35"/>
      <c r="ASS230" s="35"/>
      <c r="AST230" s="32"/>
      <c r="ASU230" s="31"/>
      <c r="ASV230" s="31"/>
      <c r="ASW230" s="31"/>
      <c r="ASX230" s="32"/>
      <c r="ASY230" s="32"/>
      <c r="ASZ230" s="32"/>
      <c r="ATA230" s="32"/>
      <c r="ATB230" s="32"/>
      <c r="ATC230" s="31"/>
      <c r="ATD230" s="31"/>
      <c r="ATE230" s="33"/>
      <c r="ATF230" s="33"/>
      <c r="ATG230" s="34"/>
      <c r="ATH230" s="34"/>
      <c r="ATI230" s="35"/>
      <c r="ATJ230" s="35"/>
      <c r="ATK230" s="32"/>
      <c r="ATL230" s="31"/>
      <c r="ATM230" s="31"/>
      <c r="ATN230" s="31"/>
      <c r="ATO230" s="32"/>
      <c r="ATP230" s="32"/>
      <c r="ATQ230" s="32"/>
      <c r="ATR230" s="32"/>
      <c r="ATS230" s="32"/>
      <c r="ATT230" s="31"/>
      <c r="ATU230" s="31"/>
      <c r="ATV230" s="33"/>
      <c r="ATW230" s="33"/>
      <c r="ATX230" s="34"/>
      <c r="ATY230" s="34"/>
      <c r="ATZ230" s="35"/>
      <c r="AUA230" s="35"/>
      <c r="AUB230" s="32"/>
      <c r="AUC230" s="31"/>
      <c r="AUD230" s="31"/>
      <c r="AUE230" s="31"/>
      <c r="AUF230" s="32"/>
      <c r="AUG230" s="32"/>
      <c r="AUH230" s="32"/>
      <c r="AUI230" s="32"/>
      <c r="AUJ230" s="32"/>
      <c r="AUK230" s="31"/>
      <c r="AUL230" s="31"/>
      <c r="AUM230" s="33"/>
      <c r="AUN230" s="33"/>
      <c r="AUO230" s="34"/>
      <c r="AUP230" s="34"/>
      <c r="AUQ230" s="35"/>
      <c r="AUR230" s="35"/>
      <c r="AUS230" s="32"/>
      <c r="AUT230" s="31"/>
      <c r="AUU230" s="31"/>
      <c r="AUV230" s="31"/>
      <c r="AUW230" s="32"/>
      <c r="AUX230" s="32"/>
      <c r="AUY230" s="32"/>
      <c r="AUZ230" s="32"/>
      <c r="AVA230" s="32"/>
      <c r="AVB230" s="31"/>
      <c r="AVC230" s="31"/>
      <c r="AVD230" s="33"/>
      <c r="AVE230" s="33"/>
      <c r="AVF230" s="34"/>
      <c r="AVG230" s="34"/>
      <c r="AVH230" s="35"/>
      <c r="AVI230" s="35"/>
      <c r="AVJ230" s="32"/>
      <c r="AVK230" s="31"/>
      <c r="AVL230" s="31"/>
      <c r="AVM230" s="31"/>
      <c r="AVN230" s="32"/>
      <c r="AVO230" s="32"/>
      <c r="AVP230" s="32"/>
      <c r="AVQ230" s="32"/>
      <c r="AVR230" s="32"/>
      <c r="AVS230" s="31"/>
      <c r="AVT230" s="31"/>
      <c r="AVU230" s="33"/>
      <c r="AVV230" s="33"/>
      <c r="AVW230" s="34"/>
      <c r="AVX230" s="34"/>
      <c r="AVY230" s="35"/>
      <c r="AVZ230" s="35"/>
      <c r="AWA230" s="32"/>
      <c r="AWB230" s="31"/>
      <c r="AWC230" s="31"/>
      <c r="AWD230" s="31"/>
      <c r="AWE230" s="32"/>
      <c r="AWF230" s="32"/>
      <c r="AWG230" s="32"/>
      <c r="AWH230" s="32"/>
      <c r="AWI230" s="32"/>
      <c r="AWJ230" s="31"/>
      <c r="AWK230" s="31"/>
      <c r="AWL230" s="33"/>
      <c r="AWM230" s="33"/>
      <c r="AWN230" s="34"/>
      <c r="AWO230" s="34"/>
      <c r="AWP230" s="35"/>
      <c r="AWQ230" s="35"/>
      <c r="AWR230" s="32"/>
      <c r="AWS230" s="31"/>
      <c r="AWT230" s="31"/>
      <c r="AWU230" s="31"/>
      <c r="AWV230" s="32"/>
      <c r="AWW230" s="32"/>
      <c r="AWX230" s="32"/>
      <c r="AWY230" s="32"/>
      <c r="AWZ230" s="32"/>
      <c r="AXA230" s="31"/>
      <c r="AXB230" s="31"/>
      <c r="AXC230" s="33"/>
      <c r="AXD230" s="33"/>
      <c r="AXE230" s="34"/>
      <c r="AXF230" s="34"/>
      <c r="AXG230" s="35"/>
      <c r="AXH230" s="35"/>
      <c r="AXI230" s="32"/>
      <c r="AXJ230" s="31"/>
      <c r="AXK230" s="31"/>
      <c r="AXL230" s="31"/>
      <c r="AXM230" s="32"/>
      <c r="AXN230" s="32"/>
      <c r="AXO230" s="32"/>
      <c r="AXP230" s="32"/>
      <c r="AXQ230" s="32"/>
      <c r="AXR230" s="31"/>
      <c r="AXS230" s="31"/>
      <c r="AXT230" s="33"/>
      <c r="AXU230" s="33"/>
      <c r="AXV230" s="34"/>
      <c r="AXW230" s="34"/>
      <c r="AXX230" s="35"/>
      <c r="AXY230" s="35"/>
      <c r="AXZ230" s="32"/>
      <c r="AYA230" s="31"/>
      <c r="AYB230" s="31"/>
      <c r="AYC230" s="31"/>
      <c r="AYD230" s="32"/>
      <c r="AYE230" s="32"/>
      <c r="AYF230" s="32"/>
      <c r="AYG230" s="32"/>
      <c r="AYH230" s="32"/>
      <c r="AYI230" s="31"/>
      <c r="AYJ230" s="31"/>
      <c r="AYK230" s="33"/>
      <c r="AYL230" s="33"/>
      <c r="AYM230" s="34"/>
      <c r="AYN230" s="34"/>
      <c r="AYO230" s="35"/>
      <c r="AYP230" s="35"/>
      <c r="AYQ230" s="32"/>
      <c r="AYR230" s="31"/>
      <c r="AYS230" s="31"/>
      <c r="AYT230" s="31"/>
      <c r="AYU230" s="32"/>
      <c r="AYV230" s="32"/>
      <c r="AYW230" s="32"/>
      <c r="AYX230" s="32"/>
      <c r="AYY230" s="32"/>
      <c r="AYZ230" s="31"/>
      <c r="AZA230" s="31"/>
      <c r="AZB230" s="33"/>
      <c r="AZC230" s="33"/>
      <c r="AZD230" s="34"/>
      <c r="AZE230" s="34"/>
      <c r="AZF230" s="35"/>
      <c r="AZG230" s="35"/>
      <c r="AZH230" s="32"/>
      <c r="AZI230" s="31"/>
      <c r="AZJ230" s="31"/>
      <c r="AZK230" s="31"/>
      <c r="AZL230" s="32"/>
      <c r="AZM230" s="32"/>
      <c r="AZN230" s="32"/>
      <c r="AZO230" s="32"/>
      <c r="AZP230" s="32"/>
      <c r="AZQ230" s="31"/>
      <c r="AZR230" s="31"/>
      <c r="AZS230" s="33"/>
      <c r="AZT230" s="33"/>
      <c r="AZU230" s="34"/>
      <c r="AZV230" s="34"/>
      <c r="AZW230" s="35"/>
      <c r="AZX230" s="35"/>
      <c r="AZY230" s="32"/>
      <c r="AZZ230" s="31"/>
      <c r="BAA230" s="31"/>
      <c r="BAB230" s="31"/>
      <c r="BAC230" s="32"/>
      <c r="BAD230" s="32"/>
      <c r="BAE230" s="32"/>
      <c r="BAF230" s="32"/>
      <c r="BAG230" s="32"/>
      <c r="BAH230" s="31"/>
      <c r="BAI230" s="31"/>
      <c r="BAJ230" s="33"/>
      <c r="BAK230" s="33"/>
      <c r="BAL230" s="34"/>
      <c r="BAM230" s="34"/>
      <c r="BAN230" s="35"/>
      <c r="BAO230" s="35"/>
      <c r="BAP230" s="32"/>
      <c r="BAQ230" s="31"/>
      <c r="BAR230" s="31"/>
      <c r="BAS230" s="31"/>
      <c r="BAT230" s="32"/>
      <c r="BAU230" s="32"/>
      <c r="BAV230" s="32"/>
      <c r="BAW230" s="32"/>
      <c r="BAX230" s="32"/>
      <c r="BAY230" s="31"/>
      <c r="BAZ230" s="31"/>
      <c r="BBA230" s="33"/>
      <c r="BBB230" s="33"/>
      <c r="BBC230" s="34"/>
      <c r="BBD230" s="34"/>
      <c r="BBE230" s="35"/>
      <c r="BBF230" s="35"/>
      <c r="BBG230" s="32"/>
      <c r="BBH230" s="31"/>
      <c r="BBI230" s="31"/>
      <c r="BBJ230" s="31"/>
      <c r="BBK230" s="32"/>
      <c r="BBL230" s="32"/>
      <c r="BBM230" s="32"/>
      <c r="BBN230" s="32"/>
      <c r="BBO230" s="32"/>
      <c r="BBP230" s="31"/>
      <c r="BBQ230" s="31"/>
      <c r="BBR230" s="33"/>
      <c r="BBS230" s="33"/>
      <c r="BBT230" s="34"/>
      <c r="BBU230" s="34"/>
      <c r="BBV230" s="35"/>
      <c r="BBW230" s="35"/>
      <c r="BBX230" s="32"/>
      <c r="BBY230" s="31"/>
      <c r="BBZ230" s="31"/>
      <c r="BCA230" s="31"/>
      <c r="BCB230" s="32"/>
      <c r="BCC230" s="32"/>
      <c r="BCD230" s="32"/>
      <c r="BCE230" s="32"/>
      <c r="BCF230" s="32"/>
      <c r="BCG230" s="31"/>
      <c r="BCH230" s="31"/>
      <c r="BCI230" s="33"/>
      <c r="BCJ230" s="33"/>
      <c r="BCK230" s="34"/>
      <c r="BCL230" s="34"/>
      <c r="BCM230" s="35"/>
      <c r="BCN230" s="35"/>
      <c r="BCO230" s="32"/>
      <c r="BCP230" s="31"/>
      <c r="BCQ230" s="31"/>
      <c r="BCR230" s="31"/>
      <c r="BCS230" s="32"/>
      <c r="BCT230" s="32"/>
      <c r="BCU230" s="32"/>
      <c r="BCV230" s="32"/>
      <c r="BCW230" s="32"/>
      <c r="BCX230" s="31"/>
      <c r="BCY230" s="31"/>
      <c r="BCZ230" s="33"/>
      <c r="BDA230" s="33"/>
      <c r="BDB230" s="34"/>
      <c r="BDC230" s="34"/>
      <c r="BDD230" s="35"/>
      <c r="BDE230" s="35"/>
      <c r="BDF230" s="32"/>
      <c r="BDG230" s="31"/>
      <c r="BDH230" s="31"/>
      <c r="BDI230" s="31"/>
      <c r="BDJ230" s="32"/>
      <c r="BDK230" s="32"/>
      <c r="BDL230" s="32"/>
      <c r="BDM230" s="32"/>
      <c r="BDN230" s="32"/>
      <c r="BDO230" s="31"/>
      <c r="BDP230" s="31"/>
      <c r="BDQ230" s="33"/>
      <c r="BDR230" s="33"/>
      <c r="BDS230" s="34"/>
      <c r="BDT230" s="34"/>
      <c r="BDU230" s="35"/>
      <c r="BDV230" s="35"/>
      <c r="BDW230" s="32"/>
      <c r="BDX230" s="31"/>
      <c r="BDY230" s="31"/>
      <c r="BDZ230" s="31"/>
      <c r="BEA230" s="32"/>
      <c r="BEB230" s="32"/>
      <c r="BEC230" s="32"/>
      <c r="BED230" s="32"/>
      <c r="BEE230" s="32"/>
      <c r="BEF230" s="31"/>
      <c r="BEG230" s="31"/>
      <c r="BEH230" s="33"/>
      <c r="BEI230" s="33"/>
      <c r="BEJ230" s="34"/>
      <c r="BEK230" s="34"/>
      <c r="BEL230" s="35"/>
      <c r="BEM230" s="35"/>
      <c r="BEN230" s="32"/>
      <c r="BEO230" s="31"/>
      <c r="BEP230" s="31"/>
      <c r="BEQ230" s="31"/>
      <c r="BER230" s="32"/>
      <c r="BES230" s="32"/>
      <c r="BET230" s="32"/>
      <c r="BEU230" s="32"/>
      <c r="BEV230" s="32"/>
      <c r="BEW230" s="31"/>
      <c r="BEX230" s="31"/>
      <c r="BEY230" s="33"/>
      <c r="BEZ230" s="33"/>
      <c r="BFA230" s="34"/>
      <c r="BFB230" s="34"/>
      <c r="BFC230" s="35"/>
      <c r="BFD230" s="35"/>
      <c r="BFE230" s="32"/>
      <c r="BFF230" s="31"/>
      <c r="BFG230" s="31"/>
      <c r="BFH230" s="31"/>
      <c r="BFI230" s="32"/>
      <c r="BFJ230" s="32"/>
      <c r="BFK230" s="32"/>
      <c r="BFL230" s="32"/>
      <c r="BFM230" s="32"/>
      <c r="BFN230" s="31"/>
      <c r="BFO230" s="31"/>
      <c r="BFP230" s="33"/>
      <c r="BFQ230" s="33"/>
      <c r="BFR230" s="34"/>
      <c r="BFS230" s="34"/>
      <c r="BFT230" s="35"/>
      <c r="BFU230" s="35"/>
      <c r="BFV230" s="32"/>
      <c r="BFW230" s="31"/>
      <c r="BFX230" s="31"/>
      <c r="BFY230" s="31"/>
      <c r="BFZ230" s="32"/>
      <c r="BGA230" s="32"/>
      <c r="BGB230" s="32"/>
      <c r="BGC230" s="32"/>
      <c r="BGD230" s="32"/>
      <c r="BGE230" s="31"/>
      <c r="BGF230" s="31"/>
      <c r="BGG230" s="33"/>
      <c r="BGH230" s="33"/>
      <c r="BGI230" s="34"/>
      <c r="BGJ230" s="34"/>
      <c r="BGK230" s="35"/>
      <c r="BGL230" s="35"/>
      <c r="BGM230" s="32"/>
      <c r="BGN230" s="31"/>
      <c r="BGO230" s="31"/>
      <c r="BGP230" s="31"/>
      <c r="BGQ230" s="32"/>
      <c r="BGR230" s="32"/>
      <c r="BGS230" s="32"/>
      <c r="BGT230" s="32"/>
      <c r="BGU230" s="32"/>
      <c r="BGV230" s="31"/>
      <c r="BGW230" s="31"/>
      <c r="BGX230" s="33"/>
      <c r="BGY230" s="33"/>
      <c r="BGZ230" s="34"/>
      <c r="BHA230" s="34"/>
      <c r="BHB230" s="35"/>
      <c r="BHC230" s="35"/>
      <c r="BHD230" s="32"/>
      <c r="BHE230" s="31"/>
      <c r="BHF230" s="31"/>
      <c r="BHG230" s="31"/>
      <c r="BHH230" s="32"/>
      <c r="BHI230" s="32"/>
      <c r="BHJ230" s="32"/>
      <c r="BHK230" s="32"/>
      <c r="BHL230" s="32"/>
      <c r="BHM230" s="31"/>
      <c r="BHN230" s="31"/>
      <c r="BHO230" s="33"/>
      <c r="BHP230" s="33"/>
      <c r="BHQ230" s="34"/>
      <c r="BHR230" s="34"/>
      <c r="BHS230" s="35"/>
      <c r="BHT230" s="35"/>
      <c r="BHU230" s="32"/>
      <c r="BHV230" s="31"/>
      <c r="BHW230" s="31"/>
      <c r="BHX230" s="31"/>
      <c r="BHY230" s="32"/>
      <c r="BHZ230" s="32"/>
      <c r="BIA230" s="32"/>
      <c r="BIB230" s="32"/>
      <c r="BIC230" s="32"/>
      <c r="BID230" s="31"/>
      <c r="BIE230" s="31"/>
      <c r="BIF230" s="33"/>
      <c r="BIG230" s="33"/>
      <c r="BIH230" s="34"/>
      <c r="BII230" s="34"/>
      <c r="BIJ230" s="35"/>
      <c r="BIK230" s="35"/>
      <c r="BIL230" s="32"/>
      <c r="BIM230" s="31"/>
      <c r="BIN230" s="31"/>
      <c r="BIO230" s="31"/>
      <c r="BIP230" s="32"/>
      <c r="BIQ230" s="32"/>
      <c r="BIR230" s="32"/>
      <c r="BIS230" s="32"/>
      <c r="BIT230" s="32"/>
      <c r="BIU230" s="31"/>
      <c r="BIV230" s="31"/>
      <c r="BIW230" s="33"/>
      <c r="BIX230" s="33"/>
      <c r="BIY230" s="34"/>
      <c r="BIZ230" s="34"/>
      <c r="BJA230" s="35"/>
      <c r="BJB230" s="35"/>
      <c r="BJC230" s="32"/>
      <c r="BJD230" s="31"/>
      <c r="BJE230" s="31"/>
      <c r="BJF230" s="31"/>
      <c r="BJG230" s="32"/>
      <c r="BJH230" s="32"/>
      <c r="BJI230" s="32"/>
      <c r="BJJ230" s="32"/>
      <c r="BJK230" s="32"/>
      <c r="BJL230" s="31"/>
      <c r="BJM230" s="31"/>
      <c r="BJN230" s="33"/>
      <c r="BJO230" s="33"/>
      <c r="BJP230" s="34"/>
      <c r="BJQ230" s="34"/>
      <c r="BJR230" s="35"/>
      <c r="BJS230" s="35"/>
      <c r="BJT230" s="32"/>
      <c r="BJU230" s="31"/>
      <c r="BJV230" s="31"/>
      <c r="BJW230" s="31"/>
      <c r="BJX230" s="32"/>
      <c r="BJY230" s="32"/>
      <c r="BJZ230" s="32"/>
      <c r="BKA230" s="32"/>
      <c r="BKB230" s="32"/>
      <c r="BKC230" s="31"/>
      <c r="BKD230" s="31"/>
      <c r="BKE230" s="33"/>
      <c r="BKF230" s="33"/>
      <c r="BKG230" s="34"/>
      <c r="BKH230" s="34"/>
      <c r="BKI230" s="35"/>
      <c r="BKJ230" s="35"/>
      <c r="BKK230" s="32"/>
      <c r="BKL230" s="31"/>
      <c r="BKM230" s="31"/>
      <c r="BKN230" s="31"/>
      <c r="BKO230" s="32"/>
      <c r="BKP230" s="32"/>
      <c r="BKQ230" s="32"/>
      <c r="BKR230" s="32"/>
      <c r="BKS230" s="32"/>
      <c r="BKT230" s="31"/>
      <c r="BKU230" s="31"/>
      <c r="BKV230" s="33"/>
      <c r="BKW230" s="33"/>
      <c r="BKX230" s="34"/>
      <c r="BKY230" s="34"/>
      <c r="BKZ230" s="35"/>
      <c r="BLA230" s="35"/>
      <c r="BLB230" s="32"/>
      <c r="BLC230" s="31"/>
      <c r="BLD230" s="31"/>
      <c r="BLE230" s="31"/>
      <c r="BLF230" s="32"/>
      <c r="BLG230" s="32"/>
      <c r="BLH230" s="32"/>
      <c r="BLI230" s="32"/>
      <c r="BLJ230" s="32"/>
      <c r="BLK230" s="31"/>
      <c r="BLL230" s="31"/>
      <c r="BLM230" s="33"/>
      <c r="BLN230" s="33"/>
      <c r="BLO230" s="34"/>
      <c r="BLP230" s="34"/>
      <c r="BLQ230" s="35"/>
      <c r="BLR230" s="35"/>
      <c r="BLS230" s="32"/>
      <c r="BLT230" s="31"/>
      <c r="BLU230" s="31"/>
      <c r="BLV230" s="31"/>
      <c r="BLW230" s="32"/>
      <c r="BLX230" s="32"/>
      <c r="BLY230" s="32"/>
      <c r="BLZ230" s="32"/>
      <c r="BMA230" s="32"/>
      <c r="BMB230" s="31"/>
      <c r="BMC230" s="31"/>
      <c r="BMD230" s="33"/>
      <c r="BME230" s="33"/>
      <c r="BMF230" s="34"/>
      <c r="BMG230" s="34"/>
      <c r="BMH230" s="35"/>
      <c r="BMI230" s="35"/>
      <c r="BMJ230" s="32"/>
      <c r="BMK230" s="31"/>
      <c r="BML230" s="31"/>
      <c r="BMM230" s="31"/>
      <c r="BMN230" s="32"/>
      <c r="BMO230" s="32"/>
      <c r="BMP230" s="32"/>
      <c r="BMQ230" s="32"/>
      <c r="BMR230" s="32"/>
      <c r="BMS230" s="31"/>
      <c r="BMT230" s="31"/>
      <c r="BMU230" s="33"/>
      <c r="BMV230" s="33"/>
      <c r="BMW230" s="34"/>
      <c r="BMX230" s="34"/>
      <c r="BMY230" s="35"/>
      <c r="BMZ230" s="35"/>
      <c r="BNA230" s="32"/>
      <c r="BNB230" s="31"/>
      <c r="BNC230" s="31"/>
      <c r="BND230" s="31"/>
      <c r="BNE230" s="32"/>
      <c r="BNF230" s="32"/>
      <c r="BNG230" s="32"/>
      <c r="BNH230" s="32"/>
      <c r="BNI230" s="32"/>
      <c r="BNJ230" s="31"/>
      <c r="BNK230" s="31"/>
      <c r="BNL230" s="33"/>
      <c r="BNM230" s="33"/>
      <c r="BNN230" s="34"/>
      <c r="BNO230" s="34"/>
      <c r="BNP230" s="35"/>
      <c r="BNQ230" s="35"/>
      <c r="BNR230" s="32"/>
      <c r="BNS230" s="31"/>
      <c r="BNT230" s="31"/>
      <c r="BNU230" s="31"/>
      <c r="BNV230" s="32"/>
      <c r="BNW230" s="32"/>
      <c r="BNX230" s="32"/>
      <c r="BNY230" s="32"/>
      <c r="BNZ230" s="32"/>
      <c r="BOA230" s="31"/>
      <c r="BOB230" s="31"/>
      <c r="BOC230" s="33"/>
      <c r="BOD230" s="33"/>
      <c r="BOE230" s="34"/>
      <c r="BOF230" s="34"/>
      <c r="BOG230" s="35"/>
      <c r="BOH230" s="35"/>
      <c r="BOI230" s="32"/>
      <c r="BOJ230" s="31"/>
      <c r="BOK230" s="31"/>
      <c r="BOL230" s="31"/>
      <c r="BOM230" s="32"/>
      <c r="BON230" s="32"/>
      <c r="BOO230" s="32"/>
      <c r="BOP230" s="32"/>
      <c r="BOQ230" s="32"/>
      <c r="BOR230" s="31"/>
      <c r="BOS230" s="31"/>
      <c r="BOT230" s="33"/>
      <c r="BOU230" s="33"/>
      <c r="BOV230" s="34"/>
      <c r="BOW230" s="34"/>
      <c r="BOX230" s="35"/>
      <c r="BOY230" s="35"/>
      <c r="BOZ230" s="32"/>
      <c r="BPA230" s="31"/>
      <c r="BPB230" s="31"/>
      <c r="BPC230" s="31"/>
      <c r="BPD230" s="32"/>
      <c r="BPE230" s="32"/>
      <c r="BPF230" s="32"/>
      <c r="BPG230" s="32"/>
      <c r="BPH230" s="32"/>
      <c r="BPI230" s="31"/>
      <c r="BPJ230" s="31"/>
      <c r="BPK230" s="33"/>
      <c r="BPL230" s="33"/>
      <c r="BPM230" s="34"/>
      <c r="BPN230" s="34"/>
      <c r="BPO230" s="35"/>
      <c r="BPP230" s="35"/>
      <c r="BPQ230" s="32"/>
      <c r="BPR230" s="31"/>
      <c r="BPS230" s="31"/>
      <c r="BPT230" s="31"/>
      <c r="BPU230" s="32"/>
      <c r="BPV230" s="32"/>
      <c r="BPW230" s="32"/>
      <c r="BPX230" s="32"/>
      <c r="BPY230" s="32"/>
      <c r="BPZ230" s="31"/>
      <c r="BQA230" s="31"/>
      <c r="BQB230" s="33"/>
      <c r="BQC230" s="33"/>
      <c r="BQD230" s="34"/>
      <c r="BQE230" s="34"/>
      <c r="BQF230" s="35"/>
      <c r="BQG230" s="35"/>
      <c r="BQH230" s="32"/>
      <c r="BQI230" s="31"/>
      <c r="BQJ230" s="31"/>
      <c r="BQK230" s="31"/>
      <c r="BQL230" s="32"/>
      <c r="BQM230" s="32"/>
      <c r="BQN230" s="32"/>
      <c r="BQO230" s="32"/>
      <c r="BQP230" s="32"/>
      <c r="BQQ230" s="31"/>
      <c r="BQR230" s="31"/>
      <c r="BQS230" s="33"/>
      <c r="BQT230" s="33"/>
      <c r="BQU230" s="34"/>
      <c r="BQV230" s="34"/>
      <c r="BQW230" s="35"/>
      <c r="BQX230" s="35"/>
      <c r="BQY230" s="32"/>
      <c r="BQZ230" s="31"/>
      <c r="BRA230" s="31"/>
      <c r="BRB230" s="31"/>
      <c r="BRC230" s="32"/>
      <c r="BRD230" s="32"/>
      <c r="BRE230" s="32"/>
      <c r="BRF230" s="32"/>
      <c r="BRG230" s="32"/>
      <c r="BRH230" s="31"/>
      <c r="BRI230" s="31"/>
      <c r="BRJ230" s="33"/>
      <c r="BRK230" s="33"/>
      <c r="BRL230" s="34"/>
      <c r="BRM230" s="34"/>
      <c r="BRN230" s="35"/>
      <c r="BRO230" s="35"/>
      <c r="BRP230" s="32"/>
      <c r="BRQ230" s="31"/>
      <c r="BRR230" s="31"/>
      <c r="BRS230" s="31"/>
      <c r="BRT230" s="32"/>
      <c r="BRU230" s="32"/>
      <c r="BRV230" s="32"/>
      <c r="BRW230" s="32"/>
      <c r="BRX230" s="32"/>
      <c r="BRY230" s="31"/>
      <c r="BRZ230" s="31"/>
      <c r="BSA230" s="33"/>
      <c r="BSB230" s="33"/>
      <c r="BSC230" s="34"/>
      <c r="BSD230" s="34"/>
      <c r="BSE230" s="35"/>
      <c r="BSF230" s="35"/>
      <c r="BSG230" s="32"/>
      <c r="BSH230" s="31"/>
      <c r="BSI230" s="31"/>
      <c r="BSJ230" s="31"/>
      <c r="BSK230" s="32"/>
      <c r="BSL230" s="32"/>
      <c r="BSM230" s="32"/>
      <c r="BSN230" s="32"/>
      <c r="BSO230" s="32"/>
      <c r="BSP230" s="31"/>
      <c r="BSQ230" s="31"/>
      <c r="BSR230" s="33"/>
      <c r="BSS230" s="33"/>
      <c r="BST230" s="34"/>
      <c r="BSU230" s="34"/>
      <c r="BSV230" s="35"/>
      <c r="BSW230" s="35"/>
      <c r="BSX230" s="32"/>
      <c r="BSY230" s="31"/>
      <c r="BSZ230" s="31"/>
      <c r="BTA230" s="31"/>
      <c r="BTB230" s="32"/>
      <c r="BTC230" s="32"/>
      <c r="BTD230" s="32"/>
      <c r="BTE230" s="32"/>
      <c r="BTF230" s="32"/>
      <c r="BTG230" s="31"/>
      <c r="BTH230" s="31"/>
      <c r="BTI230" s="33"/>
      <c r="BTJ230" s="33"/>
      <c r="BTK230" s="34"/>
      <c r="BTL230" s="34"/>
      <c r="BTM230" s="35"/>
      <c r="BTN230" s="35"/>
      <c r="BTO230" s="32"/>
      <c r="BTP230" s="31"/>
      <c r="BTQ230" s="31"/>
      <c r="BTR230" s="31"/>
      <c r="BTS230" s="32"/>
      <c r="BTT230" s="32"/>
      <c r="BTU230" s="32"/>
      <c r="BTV230" s="32"/>
      <c r="BTW230" s="32"/>
      <c r="BTX230" s="31"/>
      <c r="BTY230" s="31"/>
      <c r="BTZ230" s="33"/>
      <c r="BUA230" s="33"/>
      <c r="BUB230" s="34"/>
      <c r="BUC230" s="34"/>
      <c r="BUD230" s="35"/>
      <c r="BUE230" s="35"/>
      <c r="BUF230" s="32"/>
      <c r="BUG230" s="31"/>
      <c r="BUH230" s="31"/>
      <c r="BUI230" s="31"/>
      <c r="BUJ230" s="32"/>
      <c r="BUK230" s="32"/>
      <c r="BUL230" s="32"/>
      <c r="BUM230" s="32"/>
      <c r="BUN230" s="32"/>
      <c r="BUO230" s="31"/>
      <c r="BUP230" s="31"/>
      <c r="BUQ230" s="33"/>
      <c r="BUR230" s="33"/>
      <c r="BUS230" s="34"/>
      <c r="BUT230" s="34"/>
      <c r="BUU230" s="35"/>
      <c r="BUV230" s="35"/>
      <c r="BUW230" s="32"/>
      <c r="BUX230" s="31"/>
      <c r="BUY230" s="31"/>
      <c r="BUZ230" s="31"/>
      <c r="BVA230" s="32"/>
      <c r="BVB230" s="32"/>
      <c r="BVC230" s="32"/>
      <c r="BVD230" s="32"/>
      <c r="BVE230" s="32"/>
      <c r="BVF230" s="31"/>
      <c r="BVG230" s="31"/>
      <c r="BVH230" s="33"/>
      <c r="BVI230" s="33"/>
      <c r="BVJ230" s="34"/>
      <c r="BVK230" s="34"/>
      <c r="BVL230" s="35"/>
      <c r="BVM230" s="35"/>
      <c r="BVN230" s="32"/>
      <c r="BVO230" s="31"/>
      <c r="BVP230" s="31"/>
      <c r="BVQ230" s="31"/>
      <c r="BVR230" s="32"/>
      <c r="BVS230" s="32"/>
      <c r="BVT230" s="32"/>
      <c r="BVU230" s="32"/>
      <c r="BVV230" s="32"/>
      <c r="BVW230" s="31"/>
      <c r="BVX230" s="31"/>
      <c r="BVY230" s="33"/>
      <c r="BVZ230" s="33"/>
      <c r="BWA230" s="34"/>
      <c r="BWB230" s="34"/>
      <c r="BWC230" s="35"/>
      <c r="BWD230" s="35"/>
      <c r="BWE230" s="32"/>
      <c r="BWF230" s="31"/>
      <c r="BWG230" s="31"/>
      <c r="BWH230" s="31"/>
      <c r="BWI230" s="32"/>
      <c r="BWJ230" s="32"/>
      <c r="BWK230" s="32"/>
      <c r="BWL230" s="32"/>
      <c r="BWM230" s="32"/>
      <c r="BWN230" s="31"/>
      <c r="BWO230" s="31"/>
      <c r="BWP230" s="33"/>
      <c r="BWQ230" s="33"/>
      <c r="BWR230" s="34"/>
      <c r="BWS230" s="34"/>
      <c r="BWT230" s="35"/>
      <c r="BWU230" s="35"/>
      <c r="BWV230" s="32"/>
      <c r="BWW230" s="31"/>
      <c r="BWX230" s="31"/>
      <c r="BWY230" s="31"/>
      <c r="BWZ230" s="32"/>
      <c r="BXA230" s="32"/>
      <c r="BXB230" s="32"/>
      <c r="BXC230" s="32"/>
      <c r="BXD230" s="32"/>
      <c r="BXE230" s="31"/>
      <c r="BXF230" s="31"/>
      <c r="BXG230" s="33"/>
      <c r="BXH230" s="33"/>
      <c r="BXI230" s="34"/>
      <c r="BXJ230" s="34"/>
      <c r="BXK230" s="35"/>
      <c r="BXL230" s="35"/>
      <c r="BXM230" s="32"/>
      <c r="BXN230" s="31"/>
      <c r="BXO230" s="31"/>
      <c r="BXP230" s="31"/>
      <c r="BXQ230" s="32"/>
      <c r="BXR230" s="32"/>
      <c r="BXS230" s="32"/>
      <c r="BXT230" s="32"/>
      <c r="BXU230" s="32"/>
      <c r="BXV230" s="31"/>
      <c r="BXW230" s="31"/>
      <c r="BXX230" s="33"/>
      <c r="BXY230" s="33"/>
      <c r="BXZ230" s="34"/>
      <c r="BYA230" s="34"/>
      <c r="BYB230" s="35"/>
      <c r="BYC230" s="35"/>
      <c r="BYD230" s="32"/>
      <c r="BYE230" s="31"/>
      <c r="BYF230" s="31"/>
      <c r="BYG230" s="31"/>
      <c r="BYH230" s="32"/>
      <c r="BYI230" s="32"/>
      <c r="BYJ230" s="32"/>
      <c r="BYK230" s="32"/>
      <c r="BYL230" s="32"/>
      <c r="BYM230" s="31"/>
      <c r="BYN230" s="31"/>
      <c r="BYO230" s="33"/>
      <c r="BYP230" s="33"/>
      <c r="BYQ230" s="34"/>
      <c r="BYR230" s="34"/>
      <c r="BYS230" s="35"/>
      <c r="BYT230" s="35"/>
      <c r="BYU230" s="32"/>
      <c r="BYV230" s="31"/>
      <c r="BYW230" s="31"/>
      <c r="BYX230" s="31"/>
      <c r="BYY230" s="32"/>
      <c r="BYZ230" s="32"/>
      <c r="BZA230" s="32"/>
      <c r="BZB230" s="32"/>
      <c r="BZC230" s="32"/>
      <c r="BZD230" s="31"/>
      <c r="BZE230" s="31"/>
      <c r="BZF230" s="33"/>
      <c r="BZG230" s="33"/>
      <c r="BZH230" s="34"/>
      <c r="BZI230" s="34"/>
      <c r="BZJ230" s="35"/>
      <c r="BZK230" s="35"/>
      <c r="BZL230" s="32"/>
      <c r="BZM230" s="31"/>
      <c r="BZN230" s="31"/>
      <c r="BZO230" s="31"/>
      <c r="BZP230" s="32"/>
      <c r="BZQ230" s="32"/>
      <c r="BZR230" s="32"/>
      <c r="BZS230" s="32"/>
      <c r="BZT230" s="32"/>
      <c r="BZU230" s="31"/>
      <c r="BZV230" s="31"/>
      <c r="BZW230" s="33"/>
      <c r="BZX230" s="33"/>
      <c r="BZY230" s="34"/>
      <c r="BZZ230" s="34"/>
      <c r="CAA230" s="35"/>
      <c r="CAB230" s="35"/>
      <c r="CAC230" s="32"/>
      <c r="CAD230" s="31"/>
      <c r="CAE230" s="31"/>
      <c r="CAF230" s="31"/>
      <c r="CAG230" s="32"/>
      <c r="CAH230" s="32"/>
      <c r="CAI230" s="32"/>
      <c r="CAJ230" s="32"/>
      <c r="CAK230" s="32"/>
      <c r="CAL230" s="31"/>
      <c r="CAM230" s="31"/>
      <c r="CAN230" s="33"/>
      <c r="CAO230" s="33"/>
      <c r="CAP230" s="34"/>
      <c r="CAQ230" s="34"/>
      <c r="CAR230" s="35"/>
      <c r="CAS230" s="35"/>
      <c r="CAT230" s="32"/>
      <c r="CAU230" s="31"/>
      <c r="CAV230" s="31"/>
      <c r="CAW230" s="31"/>
      <c r="CAX230" s="32"/>
      <c r="CAY230" s="32"/>
      <c r="CAZ230" s="32"/>
      <c r="CBA230" s="32"/>
      <c r="CBB230" s="32"/>
      <c r="CBC230" s="31"/>
      <c r="CBD230" s="31"/>
      <c r="CBE230" s="33"/>
      <c r="CBF230" s="33"/>
      <c r="CBG230" s="34"/>
      <c r="CBH230" s="34"/>
      <c r="CBI230" s="35"/>
      <c r="CBJ230" s="35"/>
      <c r="CBK230" s="32"/>
      <c r="CBL230" s="31"/>
      <c r="CBM230" s="31"/>
      <c r="CBN230" s="31"/>
      <c r="CBO230" s="32"/>
      <c r="CBP230" s="32"/>
      <c r="CBQ230" s="32"/>
      <c r="CBR230" s="32"/>
      <c r="CBS230" s="32"/>
      <c r="CBT230" s="31"/>
      <c r="CBU230" s="31"/>
      <c r="CBV230" s="33"/>
      <c r="CBW230" s="33"/>
      <c r="CBX230" s="34"/>
      <c r="CBY230" s="34"/>
      <c r="CBZ230" s="35"/>
      <c r="CCA230" s="35"/>
      <c r="CCB230" s="32"/>
      <c r="CCC230" s="31"/>
      <c r="CCD230" s="31"/>
      <c r="CCE230" s="31"/>
      <c r="CCF230" s="32"/>
      <c r="CCG230" s="32"/>
      <c r="CCH230" s="32"/>
      <c r="CCI230" s="32"/>
      <c r="CCJ230" s="32"/>
      <c r="CCK230" s="31"/>
      <c r="CCL230" s="31"/>
      <c r="CCM230" s="33"/>
      <c r="CCN230" s="33"/>
      <c r="CCO230" s="34"/>
      <c r="CCP230" s="34"/>
      <c r="CCQ230" s="35"/>
      <c r="CCR230" s="35"/>
      <c r="CCS230" s="32"/>
      <c r="CCT230" s="31"/>
      <c r="CCU230" s="31"/>
      <c r="CCV230" s="31"/>
      <c r="CCW230" s="32"/>
      <c r="CCX230" s="32"/>
      <c r="CCY230" s="32"/>
      <c r="CCZ230" s="32"/>
      <c r="CDA230" s="32"/>
      <c r="CDB230" s="31"/>
      <c r="CDC230" s="31"/>
      <c r="CDD230" s="33"/>
      <c r="CDE230" s="33"/>
      <c r="CDF230" s="34"/>
      <c r="CDG230" s="34"/>
      <c r="CDH230" s="35"/>
      <c r="CDI230" s="35"/>
      <c r="CDJ230" s="32"/>
      <c r="CDK230" s="31"/>
      <c r="CDL230" s="31"/>
      <c r="CDM230" s="31"/>
      <c r="CDN230" s="32"/>
      <c r="CDO230" s="32"/>
      <c r="CDP230" s="32"/>
      <c r="CDQ230" s="32"/>
      <c r="CDR230" s="32"/>
      <c r="CDS230" s="31"/>
      <c r="CDT230" s="31"/>
      <c r="CDU230" s="33"/>
      <c r="CDV230" s="33"/>
      <c r="CDW230" s="34"/>
      <c r="CDX230" s="34"/>
      <c r="CDY230" s="35"/>
      <c r="CDZ230" s="35"/>
      <c r="CEA230" s="32"/>
      <c r="CEB230" s="31"/>
      <c r="CEC230" s="31"/>
      <c r="CED230" s="31"/>
      <c r="CEE230" s="32"/>
      <c r="CEF230" s="32"/>
      <c r="CEG230" s="32"/>
      <c r="CEH230" s="32"/>
      <c r="CEI230" s="32"/>
      <c r="CEJ230" s="31"/>
      <c r="CEK230" s="31"/>
      <c r="CEL230" s="33"/>
      <c r="CEM230" s="33"/>
      <c r="CEN230" s="34"/>
      <c r="CEO230" s="34"/>
      <c r="CEP230" s="35"/>
      <c r="CEQ230" s="35"/>
      <c r="CER230" s="32"/>
      <c r="CES230" s="31"/>
      <c r="CET230" s="31"/>
      <c r="CEU230" s="31"/>
      <c r="CEV230" s="32"/>
      <c r="CEW230" s="32"/>
      <c r="CEX230" s="32"/>
      <c r="CEY230" s="32"/>
      <c r="CEZ230" s="32"/>
      <c r="CFA230" s="31"/>
      <c r="CFB230" s="31"/>
      <c r="CFC230" s="33"/>
      <c r="CFD230" s="33"/>
      <c r="CFE230" s="34"/>
      <c r="CFF230" s="34"/>
      <c r="CFG230" s="35"/>
      <c r="CFH230" s="35"/>
      <c r="CFI230" s="32"/>
      <c r="CFJ230" s="31"/>
      <c r="CFK230" s="31"/>
      <c r="CFL230" s="31"/>
      <c r="CFM230" s="32"/>
      <c r="CFN230" s="32"/>
      <c r="CFO230" s="32"/>
      <c r="CFP230" s="32"/>
      <c r="CFQ230" s="32"/>
      <c r="CFR230" s="31"/>
      <c r="CFS230" s="31"/>
      <c r="CFT230" s="33"/>
      <c r="CFU230" s="33"/>
      <c r="CFV230" s="34"/>
      <c r="CFW230" s="34"/>
      <c r="CFX230" s="35"/>
      <c r="CFY230" s="35"/>
      <c r="CFZ230" s="32"/>
      <c r="CGA230" s="31"/>
      <c r="CGB230" s="31"/>
      <c r="CGC230" s="31"/>
      <c r="CGD230" s="32"/>
      <c r="CGE230" s="32"/>
      <c r="CGF230" s="32"/>
      <c r="CGG230" s="32"/>
      <c r="CGH230" s="32"/>
      <c r="CGI230" s="31"/>
      <c r="CGJ230" s="31"/>
      <c r="CGK230" s="33"/>
      <c r="CGL230" s="33"/>
      <c r="CGM230" s="34"/>
      <c r="CGN230" s="34"/>
      <c r="CGO230" s="35"/>
      <c r="CGP230" s="35"/>
      <c r="CGQ230" s="32"/>
      <c r="CGR230" s="31"/>
      <c r="CGS230" s="31"/>
      <c r="CGT230" s="31"/>
      <c r="CGU230" s="32"/>
      <c r="CGV230" s="32"/>
      <c r="CGW230" s="32"/>
      <c r="CGX230" s="32"/>
      <c r="CGY230" s="32"/>
      <c r="CGZ230" s="31"/>
      <c r="CHA230" s="31"/>
      <c r="CHB230" s="33"/>
      <c r="CHC230" s="33"/>
      <c r="CHD230" s="34"/>
      <c r="CHE230" s="34"/>
      <c r="CHF230" s="35"/>
      <c r="CHG230" s="35"/>
      <c r="CHH230" s="32"/>
      <c r="CHI230" s="31"/>
      <c r="CHJ230" s="31"/>
      <c r="CHK230" s="31"/>
      <c r="CHL230" s="32"/>
      <c r="CHM230" s="32"/>
      <c r="CHN230" s="32"/>
      <c r="CHO230" s="32"/>
      <c r="CHP230" s="32"/>
      <c r="CHQ230" s="31"/>
      <c r="CHR230" s="31"/>
      <c r="CHS230" s="33"/>
      <c r="CHT230" s="33"/>
      <c r="CHU230" s="34"/>
      <c r="CHV230" s="34"/>
      <c r="CHW230" s="35"/>
      <c r="CHX230" s="35"/>
      <c r="CHY230" s="32"/>
      <c r="CHZ230" s="31"/>
      <c r="CIA230" s="31"/>
      <c r="CIB230" s="31"/>
      <c r="CIC230" s="32"/>
      <c r="CID230" s="32"/>
      <c r="CIE230" s="32"/>
      <c r="CIF230" s="32"/>
      <c r="CIG230" s="32"/>
      <c r="CIH230" s="31"/>
      <c r="CII230" s="31"/>
      <c r="CIJ230" s="33"/>
      <c r="CIK230" s="33"/>
      <c r="CIL230" s="34"/>
      <c r="CIM230" s="34"/>
      <c r="CIN230" s="35"/>
      <c r="CIO230" s="35"/>
      <c r="CIP230" s="32"/>
      <c r="CIQ230" s="31"/>
      <c r="CIR230" s="31"/>
      <c r="CIS230" s="31"/>
      <c r="CIT230" s="32"/>
      <c r="CIU230" s="32"/>
      <c r="CIV230" s="32"/>
      <c r="CIW230" s="32"/>
      <c r="CIX230" s="32"/>
      <c r="CIY230" s="31"/>
      <c r="CIZ230" s="31"/>
      <c r="CJA230" s="33"/>
      <c r="CJB230" s="33"/>
      <c r="CJC230" s="34"/>
      <c r="CJD230" s="34"/>
      <c r="CJE230" s="35"/>
      <c r="CJF230" s="35"/>
      <c r="CJG230" s="32"/>
      <c r="CJH230" s="31"/>
      <c r="CJI230" s="31"/>
      <c r="CJJ230" s="31"/>
      <c r="CJK230" s="32"/>
      <c r="CJL230" s="32"/>
      <c r="CJM230" s="32"/>
      <c r="CJN230" s="32"/>
      <c r="CJO230" s="32"/>
      <c r="CJP230" s="31"/>
      <c r="CJQ230" s="31"/>
      <c r="CJR230" s="33"/>
      <c r="CJS230" s="33"/>
      <c r="CJT230" s="34"/>
      <c r="CJU230" s="34"/>
      <c r="CJV230" s="35"/>
      <c r="CJW230" s="35"/>
      <c r="CJX230" s="32"/>
      <c r="CJY230" s="31"/>
      <c r="CJZ230" s="31"/>
      <c r="CKA230" s="31"/>
      <c r="CKB230" s="32"/>
      <c r="CKC230" s="32"/>
      <c r="CKD230" s="32"/>
      <c r="CKE230" s="32"/>
      <c r="CKF230" s="32"/>
      <c r="CKG230" s="31"/>
      <c r="CKH230" s="31"/>
      <c r="CKI230" s="33"/>
      <c r="CKJ230" s="33"/>
      <c r="CKK230" s="34"/>
      <c r="CKL230" s="34"/>
      <c r="CKM230" s="35"/>
      <c r="CKN230" s="35"/>
      <c r="CKO230" s="32"/>
      <c r="CKP230" s="31"/>
      <c r="CKQ230" s="31"/>
      <c r="CKR230" s="31"/>
      <c r="CKS230" s="32"/>
      <c r="CKT230" s="32"/>
      <c r="CKU230" s="32"/>
      <c r="CKV230" s="32"/>
      <c r="CKW230" s="32"/>
      <c r="CKX230" s="31"/>
      <c r="CKY230" s="31"/>
      <c r="CKZ230" s="33"/>
      <c r="CLA230" s="33"/>
      <c r="CLB230" s="34"/>
      <c r="CLC230" s="34"/>
      <c r="CLD230" s="35"/>
      <c r="CLE230" s="35"/>
      <c r="CLF230" s="32"/>
      <c r="CLG230" s="31"/>
      <c r="CLH230" s="31"/>
      <c r="CLI230" s="31"/>
      <c r="CLJ230" s="32"/>
      <c r="CLK230" s="32"/>
      <c r="CLL230" s="32"/>
      <c r="CLM230" s="32"/>
      <c r="CLN230" s="32"/>
      <c r="CLO230" s="31"/>
      <c r="CLP230" s="31"/>
      <c r="CLQ230" s="33"/>
      <c r="CLR230" s="33"/>
      <c r="CLS230" s="34"/>
      <c r="CLT230" s="34"/>
      <c r="CLU230" s="35"/>
      <c r="CLV230" s="35"/>
      <c r="CLW230" s="32"/>
      <c r="CLX230" s="31"/>
      <c r="CLY230" s="31"/>
      <c r="CLZ230" s="31"/>
      <c r="CMA230" s="32"/>
      <c r="CMB230" s="32"/>
      <c r="CMC230" s="32"/>
      <c r="CMD230" s="32"/>
      <c r="CME230" s="32"/>
      <c r="CMF230" s="31"/>
      <c r="CMG230" s="31"/>
      <c r="CMH230" s="33"/>
      <c r="CMI230" s="33"/>
      <c r="CMJ230" s="34"/>
      <c r="CMK230" s="34"/>
      <c r="CML230" s="35"/>
      <c r="CMM230" s="35"/>
      <c r="CMN230" s="32"/>
      <c r="CMO230" s="31"/>
      <c r="CMP230" s="31"/>
      <c r="CMQ230" s="31"/>
      <c r="CMR230" s="32"/>
      <c r="CMS230" s="32"/>
      <c r="CMT230" s="32"/>
      <c r="CMU230" s="32"/>
      <c r="CMV230" s="32"/>
      <c r="CMW230" s="31"/>
      <c r="CMX230" s="31"/>
      <c r="CMY230" s="33"/>
      <c r="CMZ230" s="33"/>
      <c r="CNA230" s="34"/>
      <c r="CNB230" s="34"/>
      <c r="CNC230" s="35"/>
      <c r="CND230" s="35"/>
      <c r="CNE230" s="32"/>
      <c r="CNF230" s="31"/>
      <c r="CNG230" s="31"/>
      <c r="CNH230" s="31"/>
      <c r="CNI230" s="32"/>
      <c r="CNJ230" s="32"/>
      <c r="CNK230" s="32"/>
      <c r="CNL230" s="32"/>
      <c r="CNM230" s="32"/>
      <c r="CNN230" s="31"/>
      <c r="CNO230" s="31"/>
      <c r="CNP230" s="33"/>
      <c r="CNQ230" s="33"/>
      <c r="CNR230" s="34"/>
      <c r="CNS230" s="34"/>
      <c r="CNT230" s="35"/>
      <c r="CNU230" s="35"/>
      <c r="CNV230" s="32"/>
      <c r="CNW230" s="31"/>
      <c r="CNX230" s="31"/>
      <c r="CNY230" s="31"/>
      <c r="CNZ230" s="32"/>
      <c r="COA230" s="32"/>
      <c r="COB230" s="32"/>
      <c r="COC230" s="32"/>
      <c r="COD230" s="32"/>
      <c r="COE230" s="31"/>
      <c r="COF230" s="31"/>
      <c r="COG230" s="33"/>
      <c r="COH230" s="33"/>
      <c r="COI230" s="34"/>
      <c r="COJ230" s="34"/>
      <c r="COK230" s="35"/>
      <c r="COL230" s="35"/>
      <c r="COM230" s="32"/>
      <c r="CON230" s="31"/>
      <c r="COO230" s="31"/>
      <c r="COP230" s="31"/>
      <c r="COQ230" s="32"/>
      <c r="COR230" s="32"/>
      <c r="COS230" s="32"/>
      <c r="COT230" s="32"/>
      <c r="COU230" s="32"/>
      <c r="COV230" s="31"/>
      <c r="COW230" s="31"/>
      <c r="COX230" s="33"/>
      <c r="COY230" s="33"/>
      <c r="COZ230" s="34"/>
      <c r="CPA230" s="34"/>
      <c r="CPB230" s="35"/>
      <c r="CPC230" s="35"/>
      <c r="CPD230" s="32"/>
      <c r="CPE230" s="31"/>
      <c r="CPF230" s="31"/>
      <c r="CPG230" s="31"/>
      <c r="CPH230" s="32"/>
      <c r="CPI230" s="32"/>
      <c r="CPJ230" s="32"/>
      <c r="CPK230" s="32"/>
      <c r="CPL230" s="32"/>
      <c r="CPM230" s="31"/>
      <c r="CPN230" s="31"/>
      <c r="CPO230" s="33"/>
      <c r="CPP230" s="33"/>
      <c r="CPQ230" s="34"/>
      <c r="CPR230" s="34"/>
      <c r="CPS230" s="35"/>
      <c r="CPT230" s="35"/>
      <c r="CPU230" s="32"/>
      <c r="CPV230" s="31"/>
      <c r="CPW230" s="31"/>
      <c r="CPX230" s="31"/>
      <c r="CPY230" s="32"/>
      <c r="CPZ230" s="32"/>
      <c r="CQA230" s="32"/>
      <c r="CQB230" s="32"/>
      <c r="CQC230" s="32"/>
      <c r="CQD230" s="31"/>
      <c r="CQE230" s="31"/>
      <c r="CQF230" s="33"/>
      <c r="CQG230" s="33"/>
      <c r="CQH230" s="34"/>
      <c r="CQI230" s="34"/>
      <c r="CQJ230" s="35"/>
      <c r="CQK230" s="35"/>
      <c r="CQL230" s="32"/>
      <c r="CQM230" s="31"/>
      <c r="CQN230" s="31"/>
      <c r="CQO230" s="31"/>
      <c r="CQP230" s="32"/>
      <c r="CQQ230" s="32"/>
      <c r="CQR230" s="32"/>
      <c r="CQS230" s="32"/>
      <c r="CQT230" s="32"/>
      <c r="CQU230" s="31"/>
      <c r="CQV230" s="31"/>
      <c r="CQW230" s="33"/>
      <c r="CQX230" s="33"/>
      <c r="CQY230" s="34"/>
      <c r="CQZ230" s="34"/>
      <c r="CRA230" s="35"/>
      <c r="CRB230" s="35"/>
      <c r="CRC230" s="32"/>
      <c r="CRD230" s="31"/>
      <c r="CRE230" s="31"/>
      <c r="CRF230" s="31"/>
      <c r="CRG230" s="32"/>
      <c r="CRH230" s="32"/>
      <c r="CRI230" s="32"/>
      <c r="CRJ230" s="32"/>
      <c r="CRK230" s="32"/>
      <c r="CRL230" s="31"/>
      <c r="CRM230" s="31"/>
      <c r="CRN230" s="33"/>
      <c r="CRO230" s="33"/>
      <c r="CRP230" s="34"/>
      <c r="CRQ230" s="34"/>
      <c r="CRR230" s="35"/>
      <c r="CRS230" s="35"/>
      <c r="CRT230" s="32"/>
      <c r="CRU230" s="31"/>
      <c r="CRV230" s="31"/>
      <c r="CRW230" s="31"/>
      <c r="CRX230" s="32"/>
      <c r="CRY230" s="32"/>
      <c r="CRZ230" s="32"/>
      <c r="CSA230" s="32"/>
      <c r="CSB230" s="32"/>
      <c r="CSC230" s="31"/>
      <c r="CSD230" s="31"/>
      <c r="CSE230" s="33"/>
      <c r="CSF230" s="33"/>
      <c r="CSG230" s="34"/>
      <c r="CSH230" s="34"/>
      <c r="CSI230" s="35"/>
      <c r="CSJ230" s="35"/>
      <c r="CSK230" s="32"/>
      <c r="CSL230" s="31"/>
      <c r="CSM230" s="31"/>
      <c r="CSN230" s="31"/>
      <c r="CSO230" s="32"/>
      <c r="CSP230" s="32"/>
      <c r="CSQ230" s="32"/>
      <c r="CSR230" s="32"/>
      <c r="CSS230" s="32"/>
      <c r="CST230" s="31"/>
      <c r="CSU230" s="31"/>
      <c r="CSV230" s="33"/>
      <c r="CSW230" s="33"/>
      <c r="CSX230" s="34"/>
      <c r="CSY230" s="34"/>
      <c r="CSZ230" s="35"/>
      <c r="CTA230" s="35"/>
      <c r="CTB230" s="32"/>
      <c r="CTC230" s="31"/>
      <c r="CTD230" s="31"/>
      <c r="CTE230" s="31"/>
      <c r="CTF230" s="32"/>
      <c r="CTG230" s="32"/>
      <c r="CTH230" s="32"/>
      <c r="CTI230" s="32"/>
      <c r="CTJ230" s="32"/>
      <c r="CTK230" s="31"/>
      <c r="CTL230" s="31"/>
      <c r="CTM230" s="33"/>
      <c r="CTN230" s="33"/>
      <c r="CTO230" s="34"/>
      <c r="CTP230" s="34"/>
      <c r="CTQ230" s="35"/>
      <c r="CTR230" s="35"/>
      <c r="CTS230" s="32"/>
      <c r="CTT230" s="31"/>
      <c r="CTU230" s="31"/>
      <c r="CTV230" s="31"/>
      <c r="CTW230" s="32"/>
      <c r="CTX230" s="32"/>
      <c r="CTY230" s="32"/>
      <c r="CTZ230" s="32"/>
      <c r="CUA230" s="32"/>
      <c r="CUB230" s="31"/>
      <c r="CUC230" s="31"/>
      <c r="CUD230" s="33"/>
      <c r="CUE230" s="33"/>
      <c r="CUF230" s="34"/>
      <c r="CUG230" s="34"/>
      <c r="CUH230" s="35"/>
      <c r="CUI230" s="35"/>
      <c r="CUJ230" s="32"/>
      <c r="CUK230" s="31"/>
      <c r="CUL230" s="31"/>
      <c r="CUM230" s="31"/>
      <c r="CUN230" s="32"/>
      <c r="CUO230" s="32"/>
      <c r="CUP230" s="32"/>
      <c r="CUQ230" s="32"/>
      <c r="CUR230" s="32"/>
      <c r="CUS230" s="31"/>
      <c r="CUT230" s="31"/>
      <c r="CUU230" s="33"/>
      <c r="CUV230" s="33"/>
      <c r="CUW230" s="34"/>
      <c r="CUX230" s="34"/>
      <c r="CUY230" s="35"/>
      <c r="CUZ230" s="35"/>
      <c r="CVA230" s="32"/>
      <c r="CVB230" s="31"/>
      <c r="CVC230" s="31"/>
      <c r="CVD230" s="31"/>
      <c r="CVE230" s="32"/>
      <c r="CVF230" s="32"/>
      <c r="CVG230" s="32"/>
      <c r="CVH230" s="32"/>
      <c r="CVI230" s="32"/>
      <c r="CVJ230" s="31"/>
      <c r="CVK230" s="31"/>
      <c r="CVL230" s="33"/>
      <c r="CVM230" s="33"/>
      <c r="CVN230" s="34"/>
      <c r="CVO230" s="34"/>
      <c r="CVP230" s="35"/>
      <c r="CVQ230" s="35"/>
      <c r="CVR230" s="32"/>
      <c r="CVS230" s="31"/>
      <c r="CVT230" s="31"/>
      <c r="CVU230" s="31"/>
      <c r="CVV230" s="32"/>
      <c r="CVW230" s="32"/>
      <c r="CVX230" s="32"/>
      <c r="CVY230" s="32"/>
      <c r="CVZ230" s="32"/>
      <c r="CWA230" s="31"/>
      <c r="CWB230" s="31"/>
      <c r="CWC230" s="33"/>
      <c r="CWD230" s="33"/>
      <c r="CWE230" s="34"/>
      <c r="CWF230" s="34"/>
      <c r="CWG230" s="35"/>
      <c r="CWH230" s="35"/>
      <c r="CWI230" s="32"/>
      <c r="CWJ230" s="31"/>
      <c r="CWK230" s="31"/>
      <c r="CWL230" s="31"/>
      <c r="CWM230" s="32"/>
      <c r="CWN230" s="32"/>
      <c r="CWO230" s="32"/>
      <c r="CWP230" s="32"/>
      <c r="CWQ230" s="32"/>
      <c r="CWR230" s="31"/>
      <c r="CWS230" s="31"/>
      <c r="CWT230" s="33"/>
      <c r="CWU230" s="33"/>
      <c r="CWV230" s="34"/>
      <c r="CWW230" s="34"/>
      <c r="CWX230" s="35"/>
      <c r="CWY230" s="35"/>
      <c r="CWZ230" s="32"/>
      <c r="CXA230" s="31"/>
      <c r="CXB230" s="31"/>
      <c r="CXC230" s="31"/>
      <c r="CXD230" s="32"/>
      <c r="CXE230" s="32"/>
      <c r="CXF230" s="32"/>
      <c r="CXG230" s="32"/>
      <c r="CXH230" s="32"/>
      <c r="CXI230" s="31"/>
      <c r="CXJ230" s="31"/>
      <c r="CXK230" s="33"/>
      <c r="CXL230" s="33"/>
      <c r="CXM230" s="34"/>
      <c r="CXN230" s="34"/>
      <c r="CXO230" s="35"/>
      <c r="CXP230" s="35"/>
      <c r="CXQ230" s="32"/>
      <c r="CXR230" s="31"/>
      <c r="CXS230" s="31"/>
      <c r="CXT230" s="31"/>
      <c r="CXU230" s="32"/>
      <c r="CXV230" s="32"/>
      <c r="CXW230" s="32"/>
      <c r="CXX230" s="32"/>
      <c r="CXY230" s="32"/>
      <c r="CXZ230" s="31"/>
      <c r="CYA230" s="31"/>
      <c r="CYB230" s="33"/>
      <c r="CYC230" s="33"/>
      <c r="CYD230" s="34"/>
      <c r="CYE230" s="34"/>
      <c r="CYF230" s="35"/>
      <c r="CYG230" s="35"/>
      <c r="CYH230" s="32"/>
      <c r="CYI230" s="31"/>
      <c r="CYJ230" s="31"/>
      <c r="CYK230" s="31"/>
      <c r="CYL230" s="32"/>
      <c r="CYM230" s="32"/>
      <c r="CYN230" s="32"/>
      <c r="CYO230" s="32"/>
      <c r="CYP230" s="32"/>
      <c r="CYQ230" s="31"/>
      <c r="CYR230" s="31"/>
      <c r="CYS230" s="33"/>
      <c r="CYT230" s="33"/>
      <c r="CYU230" s="34"/>
      <c r="CYV230" s="34"/>
      <c r="CYW230" s="35"/>
      <c r="CYX230" s="35"/>
      <c r="CYY230" s="32"/>
      <c r="CYZ230" s="31"/>
      <c r="CZA230" s="31"/>
      <c r="CZB230" s="31"/>
      <c r="CZC230" s="32"/>
      <c r="CZD230" s="32"/>
      <c r="CZE230" s="32"/>
      <c r="CZF230" s="32"/>
      <c r="CZG230" s="32"/>
      <c r="CZH230" s="31"/>
      <c r="CZI230" s="31"/>
      <c r="CZJ230" s="33"/>
      <c r="CZK230" s="33"/>
      <c r="CZL230" s="34"/>
      <c r="CZM230" s="34"/>
      <c r="CZN230" s="35"/>
      <c r="CZO230" s="35"/>
      <c r="CZP230" s="32"/>
      <c r="CZQ230" s="31"/>
      <c r="CZR230" s="31"/>
      <c r="CZS230" s="31"/>
      <c r="CZT230" s="32"/>
      <c r="CZU230" s="32"/>
      <c r="CZV230" s="32"/>
      <c r="CZW230" s="32"/>
      <c r="CZX230" s="32"/>
      <c r="CZY230" s="31"/>
      <c r="CZZ230" s="31"/>
      <c r="DAA230" s="33"/>
      <c r="DAB230" s="33"/>
      <c r="DAC230" s="34"/>
      <c r="DAD230" s="34"/>
      <c r="DAE230" s="35"/>
      <c r="DAF230" s="35"/>
      <c r="DAG230" s="32"/>
      <c r="DAH230" s="31"/>
      <c r="DAI230" s="31"/>
      <c r="DAJ230" s="31"/>
      <c r="DAK230" s="32"/>
      <c r="DAL230" s="32"/>
      <c r="DAM230" s="32"/>
      <c r="DAN230" s="32"/>
      <c r="DAO230" s="32"/>
      <c r="DAP230" s="31"/>
      <c r="DAQ230" s="31"/>
      <c r="DAR230" s="33"/>
      <c r="DAS230" s="33"/>
      <c r="DAT230" s="34"/>
      <c r="DAU230" s="34"/>
      <c r="DAV230" s="35"/>
      <c r="DAW230" s="35"/>
      <c r="DAX230" s="32"/>
      <c r="DAY230" s="31"/>
      <c r="DAZ230" s="31"/>
      <c r="DBA230" s="31"/>
      <c r="DBB230" s="32"/>
      <c r="DBC230" s="32"/>
      <c r="DBD230" s="32"/>
      <c r="DBE230" s="32"/>
      <c r="DBF230" s="32"/>
      <c r="DBG230" s="31"/>
      <c r="DBH230" s="31"/>
      <c r="DBI230" s="33"/>
      <c r="DBJ230" s="33"/>
      <c r="DBK230" s="34"/>
      <c r="DBL230" s="34"/>
      <c r="DBM230" s="35"/>
      <c r="DBN230" s="35"/>
      <c r="DBO230" s="32"/>
      <c r="DBP230" s="31"/>
      <c r="DBQ230" s="31"/>
      <c r="DBR230" s="31"/>
      <c r="DBS230" s="32"/>
      <c r="DBT230" s="32"/>
      <c r="DBU230" s="32"/>
      <c r="DBV230" s="32"/>
      <c r="DBW230" s="32"/>
      <c r="DBX230" s="31"/>
      <c r="DBY230" s="31"/>
      <c r="DBZ230" s="33"/>
      <c r="DCA230" s="33"/>
      <c r="DCB230" s="34"/>
      <c r="DCC230" s="34"/>
      <c r="DCD230" s="35"/>
      <c r="DCE230" s="35"/>
      <c r="DCF230" s="32"/>
      <c r="DCG230" s="31"/>
      <c r="DCH230" s="31"/>
      <c r="DCI230" s="31"/>
      <c r="DCJ230" s="32"/>
      <c r="DCK230" s="32"/>
      <c r="DCL230" s="32"/>
      <c r="DCM230" s="32"/>
      <c r="DCN230" s="32"/>
      <c r="DCO230" s="31"/>
      <c r="DCP230" s="31"/>
      <c r="DCQ230" s="33"/>
      <c r="DCR230" s="33"/>
      <c r="DCS230" s="34"/>
      <c r="DCT230" s="34"/>
      <c r="DCU230" s="35"/>
      <c r="DCV230" s="35"/>
      <c r="DCW230" s="32"/>
      <c r="DCX230" s="31"/>
      <c r="DCY230" s="31"/>
      <c r="DCZ230" s="31"/>
      <c r="DDA230" s="32"/>
      <c r="DDB230" s="32"/>
      <c r="DDC230" s="32"/>
      <c r="DDD230" s="32"/>
      <c r="DDE230" s="32"/>
      <c r="DDF230" s="31"/>
      <c r="DDG230" s="31"/>
      <c r="DDH230" s="33"/>
      <c r="DDI230" s="33"/>
      <c r="DDJ230" s="34"/>
      <c r="DDK230" s="34"/>
      <c r="DDL230" s="35"/>
      <c r="DDM230" s="35"/>
      <c r="DDN230" s="32"/>
      <c r="DDO230" s="31"/>
      <c r="DDP230" s="31"/>
      <c r="DDQ230" s="31"/>
      <c r="DDR230" s="32"/>
      <c r="DDS230" s="32"/>
      <c r="DDT230" s="32"/>
      <c r="DDU230" s="32"/>
      <c r="DDV230" s="32"/>
      <c r="DDW230" s="31"/>
      <c r="DDX230" s="31"/>
      <c r="DDY230" s="33"/>
      <c r="DDZ230" s="33"/>
      <c r="DEA230" s="34"/>
      <c r="DEB230" s="34"/>
      <c r="DEC230" s="35"/>
      <c r="DED230" s="35"/>
      <c r="DEE230" s="32"/>
      <c r="DEF230" s="31"/>
      <c r="DEG230" s="31"/>
      <c r="DEH230" s="31"/>
      <c r="DEI230" s="32"/>
      <c r="DEJ230" s="32"/>
      <c r="DEK230" s="32"/>
      <c r="DEL230" s="32"/>
      <c r="DEM230" s="32"/>
      <c r="DEN230" s="31"/>
      <c r="DEO230" s="31"/>
      <c r="DEP230" s="33"/>
      <c r="DEQ230" s="33"/>
      <c r="DER230" s="34"/>
      <c r="DES230" s="34"/>
      <c r="DET230" s="35"/>
      <c r="DEU230" s="35"/>
      <c r="DEV230" s="32"/>
      <c r="DEW230" s="31"/>
      <c r="DEX230" s="31"/>
      <c r="DEY230" s="31"/>
      <c r="DEZ230" s="32"/>
      <c r="DFA230" s="32"/>
      <c r="DFB230" s="32"/>
      <c r="DFC230" s="32"/>
      <c r="DFD230" s="32"/>
      <c r="DFE230" s="31"/>
      <c r="DFF230" s="31"/>
      <c r="DFG230" s="33"/>
      <c r="DFH230" s="33"/>
      <c r="DFI230" s="34"/>
      <c r="DFJ230" s="34"/>
      <c r="DFK230" s="35"/>
      <c r="DFL230" s="35"/>
      <c r="DFM230" s="32"/>
      <c r="DFN230" s="31"/>
      <c r="DFO230" s="31"/>
      <c r="DFP230" s="31"/>
      <c r="DFQ230" s="32"/>
      <c r="DFR230" s="32"/>
      <c r="DFS230" s="32"/>
      <c r="DFT230" s="32"/>
      <c r="DFU230" s="32"/>
      <c r="DFV230" s="31"/>
      <c r="DFW230" s="31"/>
      <c r="DFX230" s="33"/>
      <c r="DFY230" s="33"/>
      <c r="DFZ230" s="34"/>
      <c r="DGA230" s="34"/>
      <c r="DGB230" s="35"/>
      <c r="DGC230" s="35"/>
      <c r="DGD230" s="32"/>
      <c r="DGE230" s="31"/>
      <c r="DGF230" s="31"/>
      <c r="DGG230" s="31"/>
      <c r="DGH230" s="32"/>
      <c r="DGI230" s="32"/>
      <c r="DGJ230" s="32"/>
      <c r="DGK230" s="32"/>
      <c r="DGL230" s="32"/>
      <c r="DGM230" s="31"/>
      <c r="DGN230" s="31"/>
      <c r="DGO230" s="33"/>
      <c r="DGP230" s="33"/>
      <c r="DGQ230" s="34"/>
      <c r="DGR230" s="34"/>
      <c r="DGS230" s="35"/>
      <c r="DGT230" s="35"/>
      <c r="DGU230" s="32"/>
      <c r="DGV230" s="31"/>
      <c r="DGW230" s="31"/>
      <c r="DGX230" s="31"/>
      <c r="DGY230" s="32"/>
      <c r="DGZ230" s="32"/>
      <c r="DHA230" s="32"/>
      <c r="DHB230" s="32"/>
      <c r="DHC230" s="32"/>
      <c r="DHD230" s="31"/>
      <c r="DHE230" s="31"/>
      <c r="DHF230" s="33"/>
      <c r="DHG230" s="33"/>
      <c r="DHH230" s="34"/>
      <c r="DHI230" s="34"/>
      <c r="DHJ230" s="35"/>
      <c r="DHK230" s="35"/>
      <c r="DHL230" s="32"/>
      <c r="DHM230" s="31"/>
      <c r="DHN230" s="31"/>
      <c r="DHO230" s="31"/>
      <c r="DHP230" s="32"/>
      <c r="DHQ230" s="32"/>
      <c r="DHR230" s="32"/>
      <c r="DHS230" s="32"/>
      <c r="DHT230" s="32"/>
      <c r="DHU230" s="31"/>
      <c r="DHV230" s="31"/>
      <c r="DHW230" s="33"/>
      <c r="DHX230" s="33"/>
      <c r="DHY230" s="34"/>
      <c r="DHZ230" s="34"/>
      <c r="DIA230" s="35"/>
      <c r="DIB230" s="35"/>
      <c r="DIC230" s="32"/>
      <c r="DID230" s="31"/>
      <c r="DIE230" s="31"/>
      <c r="DIF230" s="31"/>
      <c r="DIG230" s="32"/>
      <c r="DIH230" s="32"/>
      <c r="DII230" s="32"/>
      <c r="DIJ230" s="32"/>
      <c r="DIK230" s="32"/>
      <c r="DIL230" s="31"/>
      <c r="DIM230" s="31"/>
      <c r="DIN230" s="33"/>
      <c r="DIO230" s="33"/>
      <c r="DIP230" s="34"/>
      <c r="DIQ230" s="34"/>
      <c r="DIR230" s="35"/>
      <c r="DIS230" s="35"/>
      <c r="DIT230" s="32"/>
      <c r="DIU230" s="31"/>
      <c r="DIV230" s="31"/>
      <c r="DIW230" s="31"/>
      <c r="DIX230" s="32"/>
      <c r="DIY230" s="32"/>
      <c r="DIZ230" s="32"/>
      <c r="DJA230" s="32"/>
      <c r="DJB230" s="32"/>
      <c r="DJC230" s="31"/>
      <c r="DJD230" s="31"/>
      <c r="DJE230" s="33"/>
      <c r="DJF230" s="33"/>
      <c r="DJG230" s="34"/>
      <c r="DJH230" s="34"/>
      <c r="DJI230" s="35"/>
      <c r="DJJ230" s="35"/>
      <c r="DJK230" s="32"/>
      <c r="DJL230" s="31"/>
      <c r="DJM230" s="31"/>
      <c r="DJN230" s="31"/>
      <c r="DJO230" s="32"/>
      <c r="DJP230" s="32"/>
      <c r="DJQ230" s="32"/>
      <c r="DJR230" s="32"/>
      <c r="DJS230" s="32"/>
      <c r="DJT230" s="31"/>
      <c r="DJU230" s="31"/>
      <c r="DJV230" s="33"/>
      <c r="DJW230" s="33"/>
      <c r="DJX230" s="34"/>
      <c r="DJY230" s="34"/>
      <c r="DJZ230" s="35"/>
      <c r="DKA230" s="35"/>
      <c r="DKB230" s="32"/>
      <c r="DKC230" s="31"/>
      <c r="DKD230" s="31"/>
      <c r="DKE230" s="31"/>
      <c r="DKF230" s="32"/>
      <c r="DKG230" s="32"/>
      <c r="DKH230" s="32"/>
      <c r="DKI230" s="32"/>
      <c r="DKJ230" s="32"/>
      <c r="DKK230" s="31"/>
      <c r="DKL230" s="31"/>
      <c r="DKM230" s="33"/>
      <c r="DKN230" s="33"/>
      <c r="DKO230" s="34"/>
      <c r="DKP230" s="34"/>
      <c r="DKQ230" s="35"/>
      <c r="DKR230" s="35"/>
      <c r="DKS230" s="32"/>
      <c r="DKT230" s="31"/>
      <c r="DKU230" s="31"/>
      <c r="DKV230" s="31"/>
      <c r="DKW230" s="32"/>
      <c r="DKX230" s="32"/>
      <c r="DKY230" s="32"/>
      <c r="DKZ230" s="32"/>
      <c r="DLA230" s="32"/>
      <c r="DLB230" s="31"/>
      <c r="DLC230" s="31"/>
      <c r="DLD230" s="33"/>
      <c r="DLE230" s="33"/>
      <c r="DLF230" s="34"/>
      <c r="DLG230" s="34"/>
      <c r="DLH230" s="35"/>
      <c r="DLI230" s="35"/>
      <c r="DLJ230" s="32"/>
      <c r="DLK230" s="31"/>
      <c r="DLL230" s="31"/>
      <c r="DLM230" s="31"/>
      <c r="DLN230" s="32"/>
      <c r="DLO230" s="32"/>
      <c r="DLP230" s="32"/>
      <c r="DLQ230" s="32"/>
      <c r="DLR230" s="32"/>
      <c r="DLS230" s="31"/>
      <c r="DLT230" s="31"/>
      <c r="DLU230" s="33"/>
      <c r="DLV230" s="33"/>
      <c r="DLW230" s="34"/>
      <c r="DLX230" s="34"/>
      <c r="DLY230" s="35"/>
      <c r="DLZ230" s="35"/>
      <c r="DMA230" s="32"/>
      <c r="DMB230" s="31"/>
      <c r="DMC230" s="31"/>
      <c r="DMD230" s="31"/>
      <c r="DME230" s="32"/>
      <c r="DMF230" s="32"/>
      <c r="DMG230" s="32"/>
      <c r="DMH230" s="32"/>
      <c r="DMI230" s="32"/>
      <c r="DMJ230" s="31"/>
      <c r="DMK230" s="31"/>
      <c r="DML230" s="33"/>
      <c r="DMM230" s="33"/>
      <c r="DMN230" s="34"/>
      <c r="DMO230" s="34"/>
      <c r="DMP230" s="35"/>
      <c r="DMQ230" s="35"/>
      <c r="DMR230" s="32"/>
      <c r="DMS230" s="31"/>
      <c r="DMT230" s="31"/>
      <c r="DMU230" s="31"/>
      <c r="DMV230" s="32"/>
      <c r="DMW230" s="32"/>
      <c r="DMX230" s="32"/>
      <c r="DMY230" s="32"/>
      <c r="DMZ230" s="32"/>
      <c r="DNA230" s="31"/>
      <c r="DNB230" s="31"/>
      <c r="DNC230" s="33"/>
      <c r="DND230" s="33"/>
      <c r="DNE230" s="34"/>
      <c r="DNF230" s="34"/>
      <c r="DNG230" s="35"/>
      <c r="DNH230" s="35"/>
      <c r="DNI230" s="32"/>
      <c r="DNJ230" s="31"/>
      <c r="DNK230" s="31"/>
      <c r="DNL230" s="31"/>
      <c r="DNM230" s="32"/>
      <c r="DNN230" s="32"/>
      <c r="DNO230" s="32"/>
      <c r="DNP230" s="32"/>
      <c r="DNQ230" s="32"/>
      <c r="DNR230" s="31"/>
      <c r="DNS230" s="31"/>
      <c r="DNT230" s="33"/>
      <c r="DNU230" s="33"/>
      <c r="DNV230" s="34"/>
      <c r="DNW230" s="34"/>
      <c r="DNX230" s="35"/>
      <c r="DNY230" s="35"/>
      <c r="DNZ230" s="32"/>
      <c r="DOA230" s="31"/>
      <c r="DOB230" s="31"/>
      <c r="DOC230" s="31"/>
      <c r="DOD230" s="32"/>
      <c r="DOE230" s="32"/>
      <c r="DOF230" s="32"/>
      <c r="DOG230" s="32"/>
      <c r="DOH230" s="32"/>
      <c r="DOI230" s="31"/>
      <c r="DOJ230" s="31"/>
      <c r="DOK230" s="33"/>
      <c r="DOL230" s="33"/>
      <c r="DOM230" s="34"/>
      <c r="DON230" s="34"/>
      <c r="DOO230" s="35"/>
      <c r="DOP230" s="35"/>
      <c r="DOQ230" s="32"/>
      <c r="DOR230" s="31"/>
      <c r="DOS230" s="31"/>
      <c r="DOT230" s="31"/>
      <c r="DOU230" s="32"/>
      <c r="DOV230" s="32"/>
      <c r="DOW230" s="32"/>
      <c r="DOX230" s="32"/>
      <c r="DOY230" s="32"/>
      <c r="DOZ230" s="31"/>
      <c r="DPA230" s="31"/>
      <c r="DPB230" s="33"/>
      <c r="DPC230" s="33"/>
      <c r="DPD230" s="34"/>
      <c r="DPE230" s="34"/>
      <c r="DPF230" s="35"/>
      <c r="DPG230" s="35"/>
      <c r="DPH230" s="32"/>
      <c r="DPI230" s="31"/>
      <c r="DPJ230" s="31"/>
      <c r="DPK230" s="31"/>
      <c r="DPL230" s="32"/>
      <c r="DPM230" s="32"/>
      <c r="DPN230" s="32"/>
      <c r="DPO230" s="32"/>
      <c r="DPP230" s="32"/>
      <c r="DPQ230" s="31"/>
      <c r="DPR230" s="31"/>
      <c r="DPS230" s="33"/>
      <c r="DPT230" s="33"/>
      <c r="DPU230" s="34"/>
      <c r="DPV230" s="34"/>
      <c r="DPW230" s="35"/>
      <c r="DPX230" s="35"/>
      <c r="DPY230" s="32"/>
      <c r="DPZ230" s="31"/>
      <c r="DQA230" s="31"/>
      <c r="DQB230" s="31"/>
      <c r="DQC230" s="32"/>
      <c r="DQD230" s="32"/>
      <c r="DQE230" s="32"/>
      <c r="DQF230" s="32"/>
      <c r="DQG230" s="32"/>
      <c r="DQH230" s="31"/>
      <c r="DQI230" s="31"/>
      <c r="DQJ230" s="33"/>
      <c r="DQK230" s="33"/>
      <c r="DQL230" s="34"/>
      <c r="DQM230" s="34"/>
      <c r="DQN230" s="35"/>
      <c r="DQO230" s="35"/>
      <c r="DQP230" s="32"/>
      <c r="DQQ230" s="31"/>
      <c r="DQR230" s="31"/>
      <c r="DQS230" s="31"/>
      <c r="DQT230" s="32"/>
      <c r="DQU230" s="32"/>
      <c r="DQV230" s="32"/>
      <c r="DQW230" s="32"/>
      <c r="DQX230" s="32"/>
      <c r="DQY230" s="31"/>
      <c r="DQZ230" s="31"/>
      <c r="DRA230" s="33"/>
      <c r="DRB230" s="33"/>
      <c r="DRC230" s="34"/>
      <c r="DRD230" s="34"/>
      <c r="DRE230" s="35"/>
      <c r="DRF230" s="35"/>
      <c r="DRG230" s="32"/>
      <c r="DRH230" s="31"/>
      <c r="DRI230" s="31"/>
      <c r="DRJ230" s="31"/>
      <c r="DRK230" s="32"/>
      <c r="DRL230" s="32"/>
      <c r="DRM230" s="32"/>
      <c r="DRN230" s="32"/>
      <c r="DRO230" s="32"/>
      <c r="DRP230" s="31"/>
      <c r="DRQ230" s="31"/>
      <c r="DRR230" s="33"/>
      <c r="DRS230" s="33"/>
      <c r="DRT230" s="34"/>
      <c r="DRU230" s="34"/>
      <c r="DRV230" s="35"/>
      <c r="DRW230" s="35"/>
      <c r="DRX230" s="32"/>
      <c r="DRY230" s="31"/>
      <c r="DRZ230" s="31"/>
      <c r="DSA230" s="31"/>
      <c r="DSB230" s="32"/>
      <c r="DSC230" s="32"/>
      <c r="DSD230" s="32"/>
      <c r="DSE230" s="32"/>
      <c r="DSF230" s="32"/>
      <c r="DSG230" s="31"/>
      <c r="DSH230" s="31"/>
      <c r="DSI230" s="33"/>
      <c r="DSJ230" s="33"/>
      <c r="DSK230" s="34"/>
      <c r="DSL230" s="34"/>
      <c r="DSM230" s="35"/>
      <c r="DSN230" s="35"/>
      <c r="DSO230" s="32"/>
      <c r="DSP230" s="31"/>
      <c r="DSQ230" s="31"/>
      <c r="DSR230" s="31"/>
      <c r="DSS230" s="32"/>
      <c r="DST230" s="32"/>
      <c r="DSU230" s="32"/>
      <c r="DSV230" s="32"/>
      <c r="DSW230" s="32"/>
      <c r="DSX230" s="31"/>
      <c r="DSY230" s="31"/>
      <c r="DSZ230" s="33"/>
      <c r="DTA230" s="33"/>
      <c r="DTB230" s="34"/>
      <c r="DTC230" s="34"/>
      <c r="DTD230" s="35"/>
      <c r="DTE230" s="35"/>
      <c r="DTF230" s="32"/>
      <c r="DTG230" s="31"/>
      <c r="DTH230" s="31"/>
      <c r="DTI230" s="31"/>
      <c r="DTJ230" s="32"/>
      <c r="DTK230" s="32"/>
      <c r="DTL230" s="32"/>
      <c r="DTM230" s="32"/>
      <c r="DTN230" s="32"/>
      <c r="DTO230" s="31"/>
      <c r="DTP230" s="31"/>
      <c r="DTQ230" s="33"/>
      <c r="DTR230" s="33"/>
      <c r="DTS230" s="34"/>
      <c r="DTT230" s="34"/>
      <c r="DTU230" s="35"/>
      <c r="DTV230" s="35"/>
      <c r="DTW230" s="32"/>
      <c r="DTX230" s="31"/>
      <c r="DTY230" s="31"/>
      <c r="DTZ230" s="31"/>
      <c r="DUA230" s="32"/>
      <c r="DUB230" s="32"/>
      <c r="DUC230" s="32"/>
      <c r="DUD230" s="32"/>
      <c r="DUE230" s="32"/>
      <c r="DUF230" s="31"/>
      <c r="DUG230" s="31"/>
      <c r="DUH230" s="33"/>
      <c r="DUI230" s="33"/>
      <c r="DUJ230" s="34"/>
      <c r="DUK230" s="34"/>
      <c r="DUL230" s="35"/>
      <c r="DUM230" s="35"/>
      <c r="DUN230" s="32"/>
      <c r="DUO230" s="31"/>
      <c r="DUP230" s="31"/>
      <c r="DUQ230" s="31"/>
      <c r="DUR230" s="32"/>
      <c r="DUS230" s="32"/>
      <c r="DUT230" s="32"/>
      <c r="DUU230" s="32"/>
      <c r="DUV230" s="32"/>
      <c r="DUW230" s="31"/>
      <c r="DUX230" s="31"/>
      <c r="DUY230" s="33"/>
      <c r="DUZ230" s="33"/>
      <c r="DVA230" s="34"/>
      <c r="DVB230" s="34"/>
      <c r="DVC230" s="35"/>
      <c r="DVD230" s="35"/>
      <c r="DVE230" s="32"/>
      <c r="DVF230" s="31"/>
      <c r="DVG230" s="31"/>
      <c r="DVH230" s="31"/>
      <c r="DVI230" s="32"/>
      <c r="DVJ230" s="32"/>
      <c r="DVK230" s="32"/>
      <c r="DVL230" s="32"/>
      <c r="DVM230" s="32"/>
      <c r="DVN230" s="31"/>
      <c r="DVO230" s="31"/>
      <c r="DVP230" s="33"/>
      <c r="DVQ230" s="33"/>
      <c r="DVR230" s="34"/>
      <c r="DVS230" s="34"/>
      <c r="DVT230" s="35"/>
      <c r="DVU230" s="35"/>
      <c r="DVV230" s="32"/>
      <c r="DVW230" s="31"/>
      <c r="DVX230" s="31"/>
      <c r="DVY230" s="31"/>
      <c r="DVZ230" s="32"/>
      <c r="DWA230" s="32"/>
      <c r="DWB230" s="32"/>
      <c r="DWC230" s="32"/>
      <c r="DWD230" s="32"/>
      <c r="DWE230" s="31"/>
      <c r="DWF230" s="31"/>
      <c r="DWG230" s="33"/>
      <c r="DWH230" s="33"/>
      <c r="DWI230" s="34"/>
      <c r="DWJ230" s="34"/>
      <c r="DWK230" s="35"/>
      <c r="DWL230" s="35"/>
      <c r="DWM230" s="32"/>
      <c r="DWN230" s="31"/>
      <c r="DWO230" s="31"/>
      <c r="DWP230" s="31"/>
      <c r="DWQ230" s="32"/>
      <c r="DWR230" s="32"/>
      <c r="DWS230" s="32"/>
      <c r="DWT230" s="32"/>
      <c r="DWU230" s="32"/>
      <c r="DWV230" s="31"/>
      <c r="DWW230" s="31"/>
      <c r="DWX230" s="33"/>
      <c r="DWY230" s="33"/>
      <c r="DWZ230" s="34"/>
      <c r="DXA230" s="34"/>
      <c r="DXB230" s="35"/>
      <c r="DXC230" s="35"/>
      <c r="DXD230" s="32"/>
      <c r="DXE230" s="31"/>
      <c r="DXF230" s="31"/>
      <c r="DXG230" s="31"/>
      <c r="DXH230" s="32"/>
      <c r="DXI230" s="32"/>
      <c r="DXJ230" s="32"/>
      <c r="DXK230" s="32"/>
      <c r="DXL230" s="32"/>
      <c r="DXM230" s="31"/>
      <c r="DXN230" s="31"/>
      <c r="DXO230" s="33"/>
      <c r="DXP230" s="33"/>
      <c r="DXQ230" s="34"/>
      <c r="DXR230" s="34"/>
      <c r="DXS230" s="35"/>
      <c r="DXT230" s="35"/>
      <c r="DXU230" s="32"/>
      <c r="DXV230" s="31"/>
      <c r="DXW230" s="31"/>
      <c r="DXX230" s="31"/>
      <c r="DXY230" s="32"/>
      <c r="DXZ230" s="32"/>
      <c r="DYA230" s="32"/>
      <c r="DYB230" s="32"/>
      <c r="DYC230" s="32"/>
      <c r="DYD230" s="31"/>
      <c r="DYE230" s="31"/>
      <c r="DYF230" s="33"/>
      <c r="DYG230" s="33"/>
      <c r="DYH230" s="34"/>
      <c r="DYI230" s="34"/>
      <c r="DYJ230" s="35"/>
      <c r="DYK230" s="35"/>
      <c r="DYL230" s="32"/>
      <c r="DYM230" s="31"/>
      <c r="DYN230" s="31"/>
      <c r="DYO230" s="31"/>
      <c r="DYP230" s="32"/>
      <c r="DYQ230" s="32"/>
      <c r="DYR230" s="32"/>
      <c r="DYS230" s="32"/>
      <c r="DYT230" s="32"/>
      <c r="DYU230" s="31"/>
      <c r="DYV230" s="31"/>
      <c r="DYW230" s="33"/>
      <c r="DYX230" s="33"/>
      <c r="DYY230" s="34"/>
      <c r="DYZ230" s="34"/>
      <c r="DZA230" s="35"/>
      <c r="DZB230" s="35"/>
      <c r="DZC230" s="32"/>
      <c r="DZD230" s="31"/>
      <c r="DZE230" s="31"/>
      <c r="DZF230" s="31"/>
      <c r="DZG230" s="32"/>
      <c r="DZH230" s="32"/>
      <c r="DZI230" s="32"/>
      <c r="DZJ230" s="32"/>
      <c r="DZK230" s="32"/>
      <c r="DZL230" s="31"/>
      <c r="DZM230" s="31"/>
      <c r="DZN230" s="33"/>
      <c r="DZO230" s="33"/>
      <c r="DZP230" s="34"/>
      <c r="DZQ230" s="34"/>
      <c r="DZR230" s="35"/>
      <c r="DZS230" s="35"/>
      <c r="DZT230" s="32"/>
      <c r="DZU230" s="31"/>
      <c r="DZV230" s="31"/>
      <c r="DZW230" s="31"/>
      <c r="DZX230" s="32"/>
      <c r="DZY230" s="32"/>
      <c r="DZZ230" s="32"/>
      <c r="EAA230" s="32"/>
      <c r="EAB230" s="32"/>
      <c r="EAC230" s="31"/>
      <c r="EAD230" s="31"/>
      <c r="EAE230" s="33"/>
      <c r="EAF230" s="33"/>
      <c r="EAG230" s="34"/>
      <c r="EAH230" s="34"/>
      <c r="EAI230" s="35"/>
      <c r="EAJ230" s="35"/>
      <c r="EAK230" s="32"/>
      <c r="EAL230" s="31"/>
      <c r="EAM230" s="31"/>
      <c r="EAN230" s="31"/>
      <c r="EAO230" s="32"/>
      <c r="EAP230" s="32"/>
      <c r="EAQ230" s="32"/>
      <c r="EAR230" s="32"/>
      <c r="EAS230" s="32"/>
      <c r="EAT230" s="31"/>
      <c r="EAU230" s="31"/>
      <c r="EAV230" s="33"/>
      <c r="EAW230" s="33"/>
      <c r="EAX230" s="34"/>
      <c r="EAY230" s="34"/>
      <c r="EAZ230" s="35"/>
      <c r="EBA230" s="35"/>
      <c r="EBB230" s="32"/>
      <c r="EBC230" s="31"/>
      <c r="EBD230" s="31"/>
      <c r="EBE230" s="31"/>
      <c r="EBF230" s="32"/>
      <c r="EBG230" s="32"/>
      <c r="EBH230" s="32"/>
      <c r="EBI230" s="32"/>
      <c r="EBJ230" s="32"/>
      <c r="EBK230" s="31"/>
      <c r="EBL230" s="31"/>
      <c r="EBM230" s="33"/>
      <c r="EBN230" s="33"/>
      <c r="EBO230" s="34"/>
      <c r="EBP230" s="34"/>
      <c r="EBQ230" s="35"/>
      <c r="EBR230" s="35"/>
      <c r="EBS230" s="32"/>
      <c r="EBT230" s="31"/>
      <c r="EBU230" s="31"/>
      <c r="EBV230" s="31"/>
      <c r="EBW230" s="32"/>
      <c r="EBX230" s="32"/>
      <c r="EBY230" s="32"/>
      <c r="EBZ230" s="32"/>
      <c r="ECA230" s="32"/>
      <c r="ECB230" s="31"/>
      <c r="ECC230" s="31"/>
      <c r="ECD230" s="33"/>
      <c r="ECE230" s="33"/>
      <c r="ECF230" s="34"/>
      <c r="ECG230" s="34"/>
      <c r="ECH230" s="35"/>
      <c r="ECI230" s="35"/>
      <c r="ECJ230" s="32"/>
      <c r="ECK230" s="31"/>
      <c r="ECL230" s="31"/>
      <c r="ECM230" s="31"/>
      <c r="ECN230" s="32"/>
      <c r="ECO230" s="32"/>
      <c r="ECP230" s="32"/>
      <c r="ECQ230" s="32"/>
      <c r="ECR230" s="32"/>
      <c r="ECS230" s="31"/>
      <c r="ECT230" s="31"/>
      <c r="ECU230" s="33"/>
      <c r="ECV230" s="33"/>
      <c r="ECW230" s="34"/>
      <c r="ECX230" s="34"/>
      <c r="ECY230" s="35"/>
      <c r="ECZ230" s="35"/>
      <c r="EDA230" s="32"/>
      <c r="EDB230" s="31"/>
      <c r="EDC230" s="31"/>
      <c r="EDD230" s="31"/>
      <c r="EDE230" s="32"/>
      <c r="EDF230" s="32"/>
      <c r="EDG230" s="32"/>
      <c r="EDH230" s="32"/>
      <c r="EDI230" s="32"/>
      <c r="EDJ230" s="31"/>
      <c r="EDK230" s="31"/>
      <c r="EDL230" s="33"/>
      <c r="EDM230" s="33"/>
      <c r="EDN230" s="34"/>
      <c r="EDO230" s="34"/>
      <c r="EDP230" s="35"/>
      <c r="EDQ230" s="35"/>
      <c r="EDR230" s="32"/>
      <c r="EDS230" s="31"/>
      <c r="EDT230" s="31"/>
      <c r="EDU230" s="31"/>
      <c r="EDV230" s="32"/>
      <c r="EDW230" s="32"/>
      <c r="EDX230" s="32"/>
      <c r="EDY230" s="32"/>
      <c r="EDZ230" s="32"/>
      <c r="EEA230" s="31"/>
      <c r="EEB230" s="31"/>
      <c r="EEC230" s="33"/>
      <c r="EED230" s="33"/>
      <c r="EEE230" s="34"/>
      <c r="EEF230" s="34"/>
      <c r="EEG230" s="35"/>
      <c r="EEH230" s="35"/>
      <c r="EEI230" s="32"/>
      <c r="EEJ230" s="31"/>
      <c r="EEK230" s="31"/>
      <c r="EEL230" s="31"/>
      <c r="EEM230" s="32"/>
      <c r="EEN230" s="32"/>
      <c r="EEO230" s="32"/>
      <c r="EEP230" s="32"/>
      <c r="EEQ230" s="32"/>
      <c r="EER230" s="31"/>
      <c r="EES230" s="31"/>
      <c r="EET230" s="33"/>
      <c r="EEU230" s="33"/>
      <c r="EEV230" s="34"/>
      <c r="EEW230" s="34"/>
      <c r="EEX230" s="35"/>
      <c r="EEY230" s="35"/>
      <c r="EEZ230" s="32"/>
      <c r="EFA230" s="31"/>
      <c r="EFB230" s="31"/>
      <c r="EFC230" s="31"/>
      <c r="EFD230" s="32"/>
      <c r="EFE230" s="32"/>
      <c r="EFF230" s="32"/>
      <c r="EFG230" s="32"/>
      <c r="EFH230" s="32"/>
      <c r="EFI230" s="31"/>
      <c r="EFJ230" s="31"/>
      <c r="EFK230" s="33"/>
      <c r="EFL230" s="33"/>
      <c r="EFM230" s="34"/>
      <c r="EFN230" s="34"/>
      <c r="EFO230" s="35"/>
      <c r="EFP230" s="35"/>
      <c r="EFQ230" s="32"/>
      <c r="EFR230" s="31"/>
      <c r="EFS230" s="31"/>
      <c r="EFT230" s="31"/>
      <c r="EFU230" s="32"/>
      <c r="EFV230" s="32"/>
      <c r="EFW230" s="32"/>
      <c r="EFX230" s="32"/>
      <c r="EFY230" s="32"/>
      <c r="EFZ230" s="31"/>
      <c r="EGA230" s="31"/>
      <c r="EGB230" s="33"/>
      <c r="EGC230" s="33"/>
      <c r="EGD230" s="34"/>
      <c r="EGE230" s="34"/>
      <c r="EGF230" s="35"/>
      <c r="EGG230" s="35"/>
      <c r="EGH230" s="32"/>
      <c r="EGI230" s="31"/>
      <c r="EGJ230" s="31"/>
      <c r="EGK230" s="31"/>
      <c r="EGL230" s="32"/>
      <c r="EGM230" s="32"/>
      <c r="EGN230" s="32"/>
      <c r="EGO230" s="32"/>
      <c r="EGP230" s="32"/>
      <c r="EGQ230" s="31"/>
      <c r="EGR230" s="31"/>
      <c r="EGS230" s="33"/>
      <c r="EGT230" s="33"/>
      <c r="EGU230" s="34"/>
      <c r="EGV230" s="34"/>
      <c r="EGW230" s="35"/>
      <c r="EGX230" s="35"/>
      <c r="EGY230" s="32"/>
      <c r="EGZ230" s="31"/>
      <c r="EHA230" s="31"/>
      <c r="EHB230" s="31"/>
      <c r="EHC230" s="32"/>
      <c r="EHD230" s="32"/>
      <c r="EHE230" s="32"/>
      <c r="EHF230" s="32"/>
      <c r="EHG230" s="32"/>
      <c r="EHH230" s="31"/>
      <c r="EHI230" s="31"/>
      <c r="EHJ230" s="33"/>
      <c r="EHK230" s="33"/>
      <c r="EHL230" s="34"/>
      <c r="EHM230" s="34"/>
      <c r="EHN230" s="35"/>
      <c r="EHO230" s="35"/>
      <c r="EHP230" s="32"/>
      <c r="EHQ230" s="31"/>
      <c r="EHR230" s="31"/>
      <c r="EHS230" s="31"/>
      <c r="EHT230" s="32"/>
      <c r="EHU230" s="32"/>
      <c r="EHV230" s="32"/>
      <c r="EHW230" s="32"/>
      <c r="EHX230" s="32"/>
      <c r="EHY230" s="31"/>
      <c r="EHZ230" s="31"/>
      <c r="EIA230" s="33"/>
      <c r="EIB230" s="33"/>
      <c r="EIC230" s="34"/>
      <c r="EID230" s="34"/>
      <c r="EIE230" s="35"/>
      <c r="EIF230" s="35"/>
      <c r="EIG230" s="32"/>
      <c r="EIH230" s="31"/>
      <c r="EII230" s="31"/>
      <c r="EIJ230" s="31"/>
      <c r="EIK230" s="32"/>
      <c r="EIL230" s="32"/>
      <c r="EIM230" s="32"/>
      <c r="EIN230" s="32"/>
      <c r="EIO230" s="32"/>
      <c r="EIP230" s="31"/>
      <c r="EIQ230" s="31"/>
      <c r="EIR230" s="33"/>
      <c r="EIS230" s="33"/>
      <c r="EIT230" s="34"/>
      <c r="EIU230" s="34"/>
      <c r="EIV230" s="35"/>
      <c r="EIW230" s="35"/>
      <c r="EIX230" s="32"/>
      <c r="EIY230" s="31"/>
      <c r="EIZ230" s="31"/>
      <c r="EJA230" s="31"/>
      <c r="EJB230" s="32"/>
      <c r="EJC230" s="32"/>
      <c r="EJD230" s="32"/>
      <c r="EJE230" s="32"/>
      <c r="EJF230" s="32"/>
      <c r="EJG230" s="31"/>
      <c r="EJH230" s="31"/>
      <c r="EJI230" s="33"/>
      <c r="EJJ230" s="33"/>
      <c r="EJK230" s="34"/>
      <c r="EJL230" s="34"/>
      <c r="EJM230" s="35"/>
      <c r="EJN230" s="35"/>
      <c r="EJO230" s="32"/>
      <c r="EJP230" s="31"/>
      <c r="EJQ230" s="31"/>
      <c r="EJR230" s="31"/>
      <c r="EJS230" s="32"/>
      <c r="EJT230" s="32"/>
      <c r="EJU230" s="32"/>
      <c r="EJV230" s="32"/>
      <c r="EJW230" s="32"/>
      <c r="EJX230" s="31"/>
      <c r="EJY230" s="31"/>
      <c r="EJZ230" s="33"/>
      <c r="EKA230" s="33"/>
      <c r="EKB230" s="34"/>
      <c r="EKC230" s="34"/>
      <c r="EKD230" s="35"/>
      <c r="EKE230" s="35"/>
      <c r="EKF230" s="32"/>
      <c r="EKG230" s="31"/>
      <c r="EKH230" s="31"/>
      <c r="EKI230" s="31"/>
      <c r="EKJ230" s="32"/>
      <c r="EKK230" s="32"/>
      <c r="EKL230" s="32"/>
      <c r="EKM230" s="32"/>
      <c r="EKN230" s="32"/>
      <c r="EKO230" s="31"/>
      <c r="EKP230" s="31"/>
      <c r="EKQ230" s="33"/>
      <c r="EKR230" s="33"/>
      <c r="EKS230" s="34"/>
      <c r="EKT230" s="34"/>
      <c r="EKU230" s="35"/>
      <c r="EKV230" s="35"/>
      <c r="EKW230" s="32"/>
      <c r="EKX230" s="31"/>
      <c r="EKY230" s="31"/>
      <c r="EKZ230" s="31"/>
      <c r="ELA230" s="32"/>
      <c r="ELB230" s="32"/>
      <c r="ELC230" s="32"/>
      <c r="ELD230" s="32"/>
      <c r="ELE230" s="32"/>
      <c r="ELF230" s="31"/>
      <c r="ELG230" s="31"/>
      <c r="ELH230" s="33"/>
      <c r="ELI230" s="33"/>
      <c r="ELJ230" s="34"/>
      <c r="ELK230" s="34"/>
      <c r="ELL230" s="35"/>
      <c r="ELM230" s="35"/>
      <c r="ELN230" s="32"/>
      <c r="ELO230" s="31"/>
      <c r="ELP230" s="31"/>
      <c r="ELQ230" s="31"/>
      <c r="ELR230" s="32"/>
      <c r="ELS230" s="32"/>
      <c r="ELT230" s="32"/>
      <c r="ELU230" s="32"/>
      <c r="ELV230" s="32"/>
      <c r="ELW230" s="31"/>
      <c r="ELX230" s="31"/>
      <c r="ELY230" s="33"/>
      <c r="ELZ230" s="33"/>
      <c r="EMA230" s="34"/>
      <c r="EMB230" s="34"/>
      <c r="EMC230" s="35"/>
      <c r="EMD230" s="35"/>
      <c r="EME230" s="32"/>
      <c r="EMF230" s="31"/>
      <c r="EMG230" s="31"/>
      <c r="EMH230" s="31"/>
      <c r="EMI230" s="32"/>
      <c r="EMJ230" s="32"/>
      <c r="EMK230" s="32"/>
      <c r="EML230" s="32"/>
      <c r="EMM230" s="32"/>
      <c r="EMN230" s="31"/>
      <c r="EMO230" s="31"/>
      <c r="EMP230" s="33"/>
      <c r="EMQ230" s="33"/>
      <c r="EMR230" s="34"/>
      <c r="EMS230" s="34"/>
      <c r="EMT230" s="35"/>
      <c r="EMU230" s="35"/>
      <c r="EMV230" s="32"/>
      <c r="EMW230" s="31"/>
      <c r="EMX230" s="31"/>
      <c r="EMY230" s="31"/>
      <c r="EMZ230" s="32"/>
      <c r="ENA230" s="32"/>
      <c r="ENB230" s="32"/>
      <c r="ENC230" s="32"/>
      <c r="END230" s="32"/>
      <c r="ENE230" s="31"/>
      <c r="ENF230" s="31"/>
      <c r="ENG230" s="33"/>
      <c r="ENH230" s="33"/>
      <c r="ENI230" s="34"/>
      <c r="ENJ230" s="34"/>
      <c r="ENK230" s="35"/>
      <c r="ENL230" s="35"/>
      <c r="ENM230" s="32"/>
      <c r="ENN230" s="31"/>
      <c r="ENO230" s="31"/>
      <c r="ENP230" s="31"/>
      <c r="ENQ230" s="32"/>
      <c r="ENR230" s="32"/>
      <c r="ENS230" s="32"/>
      <c r="ENT230" s="32"/>
      <c r="ENU230" s="32"/>
      <c r="ENV230" s="31"/>
      <c r="ENW230" s="31"/>
      <c r="ENX230" s="33"/>
      <c r="ENY230" s="33"/>
      <c r="ENZ230" s="34"/>
      <c r="EOA230" s="34"/>
      <c r="EOB230" s="35"/>
      <c r="EOC230" s="35"/>
      <c r="EOD230" s="32"/>
      <c r="EOE230" s="31"/>
      <c r="EOF230" s="31"/>
      <c r="EOG230" s="31"/>
      <c r="EOH230" s="32"/>
      <c r="EOI230" s="32"/>
      <c r="EOJ230" s="32"/>
      <c r="EOK230" s="32"/>
      <c r="EOL230" s="32"/>
      <c r="EOM230" s="31"/>
      <c r="EON230" s="31"/>
      <c r="EOO230" s="33"/>
      <c r="EOP230" s="33"/>
      <c r="EOQ230" s="34"/>
      <c r="EOR230" s="34"/>
      <c r="EOS230" s="35"/>
      <c r="EOT230" s="35"/>
      <c r="EOU230" s="32"/>
      <c r="EOV230" s="31"/>
      <c r="EOW230" s="31"/>
      <c r="EOX230" s="31"/>
      <c r="EOY230" s="32"/>
      <c r="EOZ230" s="32"/>
      <c r="EPA230" s="32"/>
      <c r="EPB230" s="32"/>
      <c r="EPC230" s="32"/>
      <c r="EPD230" s="31"/>
      <c r="EPE230" s="31"/>
      <c r="EPF230" s="33"/>
      <c r="EPG230" s="33"/>
      <c r="EPH230" s="34"/>
      <c r="EPI230" s="34"/>
      <c r="EPJ230" s="35"/>
      <c r="EPK230" s="35"/>
      <c r="EPL230" s="32"/>
      <c r="EPM230" s="31"/>
      <c r="EPN230" s="31"/>
      <c r="EPO230" s="31"/>
      <c r="EPP230" s="32"/>
      <c r="EPQ230" s="32"/>
      <c r="EPR230" s="32"/>
      <c r="EPS230" s="32"/>
      <c r="EPT230" s="32"/>
      <c r="EPU230" s="31"/>
      <c r="EPV230" s="31"/>
      <c r="EPW230" s="33"/>
      <c r="EPX230" s="33"/>
      <c r="EPY230" s="34"/>
      <c r="EPZ230" s="34"/>
      <c r="EQA230" s="35"/>
      <c r="EQB230" s="35"/>
      <c r="EQC230" s="32"/>
      <c r="EQD230" s="31"/>
      <c r="EQE230" s="31"/>
      <c r="EQF230" s="31"/>
      <c r="EQG230" s="32"/>
      <c r="EQH230" s="32"/>
      <c r="EQI230" s="32"/>
      <c r="EQJ230" s="32"/>
      <c r="EQK230" s="32"/>
      <c r="EQL230" s="31"/>
      <c r="EQM230" s="31"/>
      <c r="EQN230" s="33"/>
      <c r="EQO230" s="33"/>
      <c r="EQP230" s="34"/>
      <c r="EQQ230" s="34"/>
      <c r="EQR230" s="35"/>
      <c r="EQS230" s="35"/>
      <c r="EQT230" s="32"/>
      <c r="EQU230" s="31"/>
      <c r="EQV230" s="31"/>
      <c r="EQW230" s="31"/>
      <c r="EQX230" s="32"/>
      <c r="EQY230" s="32"/>
      <c r="EQZ230" s="32"/>
      <c r="ERA230" s="32"/>
      <c r="ERB230" s="32"/>
      <c r="ERC230" s="31"/>
      <c r="ERD230" s="31"/>
      <c r="ERE230" s="33"/>
      <c r="ERF230" s="33"/>
      <c r="ERG230" s="34"/>
      <c r="ERH230" s="34"/>
      <c r="ERI230" s="35"/>
      <c r="ERJ230" s="35"/>
      <c r="ERK230" s="32"/>
      <c r="ERL230" s="31"/>
      <c r="ERM230" s="31"/>
      <c r="ERN230" s="31"/>
      <c r="ERO230" s="32"/>
      <c r="ERP230" s="32"/>
      <c r="ERQ230" s="32"/>
      <c r="ERR230" s="32"/>
      <c r="ERS230" s="32"/>
      <c r="ERT230" s="31"/>
      <c r="ERU230" s="31"/>
      <c r="ERV230" s="33"/>
      <c r="ERW230" s="33"/>
      <c r="ERX230" s="34"/>
      <c r="ERY230" s="34"/>
      <c r="ERZ230" s="35"/>
      <c r="ESA230" s="35"/>
      <c r="ESB230" s="32"/>
      <c r="ESC230" s="31"/>
      <c r="ESD230" s="31"/>
      <c r="ESE230" s="31"/>
      <c r="ESF230" s="32"/>
      <c r="ESG230" s="32"/>
      <c r="ESH230" s="32"/>
      <c r="ESI230" s="32"/>
      <c r="ESJ230" s="32"/>
      <c r="ESK230" s="31"/>
      <c r="ESL230" s="31"/>
      <c r="ESM230" s="33"/>
      <c r="ESN230" s="33"/>
      <c r="ESO230" s="34"/>
      <c r="ESP230" s="34"/>
      <c r="ESQ230" s="35"/>
      <c r="ESR230" s="35"/>
      <c r="ESS230" s="32"/>
      <c r="EST230" s="31"/>
      <c r="ESU230" s="31"/>
      <c r="ESV230" s="31"/>
      <c r="ESW230" s="32"/>
      <c r="ESX230" s="32"/>
      <c r="ESY230" s="32"/>
      <c r="ESZ230" s="32"/>
      <c r="ETA230" s="32"/>
      <c r="ETB230" s="31"/>
      <c r="ETC230" s="31"/>
      <c r="ETD230" s="33"/>
      <c r="ETE230" s="33"/>
      <c r="ETF230" s="34"/>
      <c r="ETG230" s="34"/>
      <c r="ETH230" s="35"/>
      <c r="ETI230" s="35"/>
      <c r="ETJ230" s="32"/>
      <c r="ETK230" s="31"/>
      <c r="ETL230" s="31"/>
      <c r="ETM230" s="31"/>
      <c r="ETN230" s="32"/>
      <c r="ETO230" s="32"/>
      <c r="ETP230" s="32"/>
      <c r="ETQ230" s="32"/>
      <c r="ETR230" s="32"/>
      <c r="ETS230" s="31"/>
      <c r="ETT230" s="31"/>
      <c r="ETU230" s="33"/>
      <c r="ETV230" s="33"/>
      <c r="ETW230" s="34"/>
      <c r="ETX230" s="34"/>
      <c r="ETY230" s="35"/>
      <c r="ETZ230" s="35"/>
      <c r="EUA230" s="32"/>
      <c r="EUB230" s="31"/>
      <c r="EUC230" s="31"/>
      <c r="EUD230" s="31"/>
      <c r="EUE230" s="32"/>
      <c r="EUF230" s="32"/>
      <c r="EUG230" s="32"/>
      <c r="EUH230" s="32"/>
      <c r="EUI230" s="32"/>
      <c r="EUJ230" s="31"/>
      <c r="EUK230" s="31"/>
      <c r="EUL230" s="33"/>
      <c r="EUM230" s="33"/>
      <c r="EUN230" s="34"/>
      <c r="EUO230" s="34"/>
      <c r="EUP230" s="35"/>
      <c r="EUQ230" s="35"/>
      <c r="EUR230" s="32"/>
      <c r="EUS230" s="31"/>
      <c r="EUT230" s="31"/>
      <c r="EUU230" s="31"/>
      <c r="EUV230" s="32"/>
      <c r="EUW230" s="32"/>
      <c r="EUX230" s="32"/>
      <c r="EUY230" s="32"/>
      <c r="EUZ230" s="32"/>
      <c r="EVA230" s="31"/>
      <c r="EVB230" s="31"/>
      <c r="EVC230" s="33"/>
      <c r="EVD230" s="33"/>
      <c r="EVE230" s="34"/>
      <c r="EVF230" s="34"/>
      <c r="EVG230" s="35"/>
      <c r="EVH230" s="35"/>
      <c r="EVI230" s="32"/>
      <c r="EVJ230" s="31"/>
      <c r="EVK230" s="31"/>
      <c r="EVL230" s="31"/>
      <c r="EVM230" s="32"/>
      <c r="EVN230" s="32"/>
      <c r="EVO230" s="32"/>
      <c r="EVP230" s="32"/>
      <c r="EVQ230" s="32"/>
      <c r="EVR230" s="31"/>
      <c r="EVS230" s="31"/>
      <c r="EVT230" s="33"/>
      <c r="EVU230" s="33"/>
      <c r="EVV230" s="34"/>
      <c r="EVW230" s="34"/>
      <c r="EVX230" s="35"/>
      <c r="EVY230" s="35"/>
      <c r="EVZ230" s="32"/>
      <c r="EWA230" s="31"/>
      <c r="EWB230" s="31"/>
      <c r="EWC230" s="31"/>
      <c r="EWD230" s="32"/>
      <c r="EWE230" s="32"/>
      <c r="EWF230" s="32"/>
      <c r="EWG230" s="32"/>
      <c r="EWH230" s="32"/>
      <c r="EWI230" s="31"/>
      <c r="EWJ230" s="31"/>
      <c r="EWK230" s="33"/>
      <c r="EWL230" s="33"/>
      <c r="EWM230" s="34"/>
      <c r="EWN230" s="34"/>
      <c r="EWO230" s="35"/>
      <c r="EWP230" s="35"/>
      <c r="EWQ230" s="32"/>
      <c r="EWR230" s="31"/>
      <c r="EWS230" s="31"/>
      <c r="EWT230" s="31"/>
      <c r="EWU230" s="32"/>
      <c r="EWV230" s="32"/>
      <c r="EWW230" s="32"/>
      <c r="EWX230" s="32"/>
      <c r="EWY230" s="32"/>
      <c r="EWZ230" s="31"/>
      <c r="EXA230" s="31"/>
      <c r="EXB230" s="33"/>
      <c r="EXC230" s="33"/>
      <c r="EXD230" s="34"/>
      <c r="EXE230" s="34"/>
      <c r="EXF230" s="35"/>
      <c r="EXG230" s="35"/>
      <c r="EXH230" s="32"/>
      <c r="EXI230" s="31"/>
      <c r="EXJ230" s="31"/>
      <c r="EXK230" s="31"/>
      <c r="EXL230" s="32"/>
      <c r="EXM230" s="32"/>
      <c r="EXN230" s="32"/>
      <c r="EXO230" s="32"/>
      <c r="EXP230" s="32"/>
      <c r="EXQ230" s="31"/>
      <c r="EXR230" s="31"/>
      <c r="EXS230" s="33"/>
      <c r="EXT230" s="33"/>
      <c r="EXU230" s="34"/>
      <c r="EXV230" s="34"/>
      <c r="EXW230" s="35"/>
      <c r="EXX230" s="35"/>
      <c r="EXY230" s="32"/>
      <c r="EXZ230" s="31"/>
      <c r="EYA230" s="31"/>
      <c r="EYB230" s="31"/>
      <c r="EYC230" s="32"/>
      <c r="EYD230" s="32"/>
      <c r="EYE230" s="32"/>
      <c r="EYF230" s="32"/>
      <c r="EYG230" s="32"/>
      <c r="EYH230" s="31"/>
      <c r="EYI230" s="31"/>
      <c r="EYJ230" s="33"/>
      <c r="EYK230" s="33"/>
      <c r="EYL230" s="34"/>
      <c r="EYM230" s="34"/>
      <c r="EYN230" s="35"/>
      <c r="EYO230" s="35"/>
      <c r="EYP230" s="32"/>
      <c r="EYQ230" s="31"/>
      <c r="EYR230" s="31"/>
      <c r="EYS230" s="31"/>
      <c r="EYT230" s="32"/>
      <c r="EYU230" s="32"/>
      <c r="EYV230" s="32"/>
      <c r="EYW230" s="32"/>
      <c r="EYX230" s="32"/>
      <c r="EYY230" s="31"/>
      <c r="EYZ230" s="31"/>
      <c r="EZA230" s="33"/>
      <c r="EZB230" s="33"/>
      <c r="EZC230" s="34"/>
      <c r="EZD230" s="34"/>
      <c r="EZE230" s="35"/>
      <c r="EZF230" s="35"/>
      <c r="EZG230" s="32"/>
      <c r="EZH230" s="31"/>
      <c r="EZI230" s="31"/>
      <c r="EZJ230" s="31"/>
      <c r="EZK230" s="32"/>
      <c r="EZL230" s="32"/>
      <c r="EZM230" s="32"/>
      <c r="EZN230" s="32"/>
      <c r="EZO230" s="32"/>
      <c r="EZP230" s="31"/>
      <c r="EZQ230" s="31"/>
      <c r="EZR230" s="33"/>
      <c r="EZS230" s="33"/>
      <c r="EZT230" s="34"/>
      <c r="EZU230" s="34"/>
      <c r="EZV230" s="35"/>
      <c r="EZW230" s="35"/>
      <c r="EZX230" s="32"/>
      <c r="EZY230" s="31"/>
      <c r="EZZ230" s="31"/>
      <c r="FAA230" s="31"/>
      <c r="FAB230" s="32"/>
      <c r="FAC230" s="32"/>
      <c r="FAD230" s="32"/>
      <c r="FAE230" s="32"/>
      <c r="FAF230" s="32"/>
      <c r="FAG230" s="31"/>
      <c r="FAH230" s="31"/>
      <c r="FAI230" s="33"/>
      <c r="FAJ230" s="33"/>
      <c r="FAK230" s="34"/>
      <c r="FAL230" s="34"/>
      <c r="FAM230" s="35"/>
      <c r="FAN230" s="35"/>
      <c r="FAO230" s="32"/>
      <c r="FAP230" s="31"/>
      <c r="FAQ230" s="31"/>
      <c r="FAR230" s="31"/>
      <c r="FAS230" s="32"/>
      <c r="FAT230" s="32"/>
      <c r="FAU230" s="32"/>
      <c r="FAV230" s="32"/>
      <c r="FAW230" s="32"/>
      <c r="FAX230" s="31"/>
      <c r="FAY230" s="31"/>
      <c r="FAZ230" s="33"/>
      <c r="FBA230" s="33"/>
      <c r="FBB230" s="34"/>
      <c r="FBC230" s="34"/>
      <c r="FBD230" s="35"/>
      <c r="FBE230" s="35"/>
      <c r="FBF230" s="32"/>
      <c r="FBG230" s="31"/>
      <c r="FBH230" s="31"/>
      <c r="FBI230" s="31"/>
      <c r="FBJ230" s="32"/>
      <c r="FBK230" s="32"/>
      <c r="FBL230" s="32"/>
      <c r="FBM230" s="32"/>
      <c r="FBN230" s="32"/>
      <c r="FBO230" s="31"/>
      <c r="FBP230" s="31"/>
      <c r="FBQ230" s="33"/>
      <c r="FBR230" s="33"/>
      <c r="FBS230" s="34"/>
      <c r="FBT230" s="34"/>
      <c r="FBU230" s="35"/>
      <c r="FBV230" s="35"/>
      <c r="FBW230" s="32"/>
      <c r="FBX230" s="31"/>
      <c r="FBY230" s="31"/>
      <c r="FBZ230" s="31"/>
      <c r="FCA230" s="32"/>
      <c r="FCB230" s="32"/>
      <c r="FCC230" s="32"/>
      <c r="FCD230" s="32"/>
      <c r="FCE230" s="32"/>
      <c r="FCF230" s="31"/>
      <c r="FCG230" s="31"/>
      <c r="FCH230" s="33"/>
      <c r="FCI230" s="33"/>
      <c r="FCJ230" s="34"/>
      <c r="FCK230" s="34"/>
      <c r="FCL230" s="35"/>
      <c r="FCM230" s="35"/>
      <c r="FCN230" s="32"/>
      <c r="FCO230" s="31"/>
      <c r="FCP230" s="31"/>
      <c r="FCQ230" s="31"/>
      <c r="FCR230" s="32"/>
      <c r="FCS230" s="32"/>
      <c r="FCT230" s="32"/>
      <c r="FCU230" s="32"/>
      <c r="FCV230" s="32"/>
      <c r="FCW230" s="31"/>
      <c r="FCX230" s="31"/>
      <c r="FCY230" s="33"/>
      <c r="FCZ230" s="33"/>
      <c r="FDA230" s="34"/>
      <c r="FDB230" s="34"/>
      <c r="FDC230" s="35"/>
      <c r="FDD230" s="35"/>
      <c r="FDE230" s="32"/>
      <c r="FDF230" s="31"/>
      <c r="FDG230" s="31"/>
      <c r="FDH230" s="31"/>
      <c r="FDI230" s="32"/>
      <c r="FDJ230" s="32"/>
      <c r="FDK230" s="32"/>
      <c r="FDL230" s="32"/>
      <c r="FDM230" s="32"/>
      <c r="FDN230" s="31"/>
      <c r="FDO230" s="31"/>
      <c r="FDP230" s="33"/>
      <c r="FDQ230" s="33"/>
      <c r="FDR230" s="34"/>
      <c r="FDS230" s="34"/>
      <c r="FDT230" s="35"/>
      <c r="FDU230" s="35"/>
      <c r="FDV230" s="32"/>
      <c r="FDW230" s="31"/>
      <c r="FDX230" s="31"/>
      <c r="FDY230" s="31"/>
      <c r="FDZ230" s="32"/>
      <c r="FEA230" s="32"/>
      <c r="FEB230" s="32"/>
      <c r="FEC230" s="32"/>
      <c r="FED230" s="32"/>
      <c r="FEE230" s="31"/>
      <c r="FEF230" s="31"/>
      <c r="FEG230" s="33"/>
      <c r="FEH230" s="33"/>
      <c r="FEI230" s="34"/>
      <c r="FEJ230" s="34"/>
      <c r="FEK230" s="35"/>
      <c r="FEL230" s="35"/>
      <c r="FEM230" s="32"/>
      <c r="FEN230" s="31"/>
      <c r="FEO230" s="31"/>
      <c r="FEP230" s="31"/>
      <c r="FEQ230" s="32"/>
      <c r="FER230" s="32"/>
      <c r="FES230" s="32"/>
      <c r="FET230" s="32"/>
      <c r="FEU230" s="32"/>
      <c r="FEV230" s="31"/>
      <c r="FEW230" s="31"/>
      <c r="FEX230" s="33"/>
      <c r="FEY230" s="33"/>
      <c r="FEZ230" s="34"/>
      <c r="FFA230" s="34"/>
      <c r="FFB230" s="35"/>
      <c r="FFC230" s="35"/>
      <c r="FFD230" s="32"/>
      <c r="FFE230" s="31"/>
      <c r="FFF230" s="31"/>
      <c r="FFG230" s="31"/>
      <c r="FFH230" s="32"/>
      <c r="FFI230" s="32"/>
      <c r="FFJ230" s="32"/>
      <c r="FFK230" s="32"/>
      <c r="FFL230" s="32"/>
      <c r="FFM230" s="31"/>
      <c r="FFN230" s="31"/>
      <c r="FFO230" s="33"/>
      <c r="FFP230" s="33"/>
      <c r="FFQ230" s="34"/>
      <c r="FFR230" s="34"/>
      <c r="FFS230" s="35"/>
      <c r="FFT230" s="35"/>
      <c r="FFU230" s="32"/>
      <c r="FFV230" s="31"/>
      <c r="FFW230" s="31"/>
      <c r="FFX230" s="31"/>
      <c r="FFY230" s="32"/>
      <c r="FFZ230" s="32"/>
      <c r="FGA230" s="32"/>
      <c r="FGB230" s="32"/>
      <c r="FGC230" s="32"/>
      <c r="FGD230" s="31"/>
      <c r="FGE230" s="31"/>
      <c r="FGF230" s="33"/>
      <c r="FGG230" s="33"/>
      <c r="FGH230" s="34"/>
      <c r="FGI230" s="34"/>
      <c r="FGJ230" s="35"/>
      <c r="FGK230" s="35"/>
      <c r="FGL230" s="32"/>
      <c r="FGM230" s="31"/>
      <c r="FGN230" s="31"/>
      <c r="FGO230" s="31"/>
      <c r="FGP230" s="32"/>
      <c r="FGQ230" s="32"/>
      <c r="FGR230" s="32"/>
      <c r="FGS230" s="32"/>
      <c r="FGT230" s="32"/>
      <c r="FGU230" s="31"/>
      <c r="FGV230" s="31"/>
      <c r="FGW230" s="33"/>
      <c r="FGX230" s="33"/>
      <c r="FGY230" s="34"/>
      <c r="FGZ230" s="34"/>
      <c r="FHA230" s="35"/>
      <c r="FHB230" s="35"/>
      <c r="FHC230" s="32"/>
      <c r="FHD230" s="31"/>
      <c r="FHE230" s="31"/>
      <c r="FHF230" s="31"/>
      <c r="FHG230" s="32"/>
      <c r="FHH230" s="32"/>
      <c r="FHI230" s="32"/>
      <c r="FHJ230" s="32"/>
      <c r="FHK230" s="32"/>
      <c r="FHL230" s="31"/>
      <c r="FHM230" s="31"/>
      <c r="FHN230" s="33"/>
      <c r="FHO230" s="33"/>
      <c r="FHP230" s="34"/>
      <c r="FHQ230" s="34"/>
      <c r="FHR230" s="35"/>
      <c r="FHS230" s="35"/>
      <c r="FHT230" s="32"/>
      <c r="FHU230" s="31"/>
      <c r="FHV230" s="31"/>
      <c r="FHW230" s="31"/>
      <c r="FHX230" s="32"/>
      <c r="FHY230" s="32"/>
      <c r="FHZ230" s="32"/>
      <c r="FIA230" s="32"/>
      <c r="FIB230" s="32"/>
      <c r="FIC230" s="31"/>
      <c r="FID230" s="31"/>
      <c r="FIE230" s="33"/>
      <c r="FIF230" s="33"/>
      <c r="FIG230" s="34"/>
      <c r="FIH230" s="34"/>
      <c r="FII230" s="35"/>
      <c r="FIJ230" s="35"/>
      <c r="FIK230" s="32"/>
      <c r="FIL230" s="31"/>
      <c r="FIM230" s="31"/>
      <c r="FIN230" s="31"/>
      <c r="FIO230" s="32"/>
      <c r="FIP230" s="32"/>
      <c r="FIQ230" s="32"/>
      <c r="FIR230" s="32"/>
      <c r="FIS230" s="32"/>
      <c r="FIT230" s="31"/>
      <c r="FIU230" s="31"/>
      <c r="FIV230" s="33"/>
      <c r="FIW230" s="33"/>
      <c r="FIX230" s="34"/>
      <c r="FIY230" s="34"/>
      <c r="FIZ230" s="35"/>
      <c r="FJA230" s="35"/>
      <c r="FJB230" s="32"/>
      <c r="FJC230" s="31"/>
      <c r="FJD230" s="31"/>
      <c r="FJE230" s="31"/>
      <c r="FJF230" s="32"/>
      <c r="FJG230" s="32"/>
      <c r="FJH230" s="32"/>
      <c r="FJI230" s="32"/>
      <c r="FJJ230" s="32"/>
      <c r="FJK230" s="31"/>
      <c r="FJL230" s="31"/>
      <c r="FJM230" s="33"/>
      <c r="FJN230" s="33"/>
      <c r="FJO230" s="34"/>
      <c r="FJP230" s="34"/>
      <c r="FJQ230" s="35"/>
      <c r="FJR230" s="35"/>
      <c r="FJS230" s="32"/>
      <c r="FJT230" s="31"/>
      <c r="FJU230" s="31"/>
      <c r="FJV230" s="31"/>
      <c r="FJW230" s="32"/>
      <c r="FJX230" s="32"/>
      <c r="FJY230" s="32"/>
      <c r="FJZ230" s="32"/>
      <c r="FKA230" s="32"/>
      <c r="FKB230" s="31"/>
      <c r="FKC230" s="31"/>
      <c r="FKD230" s="33"/>
      <c r="FKE230" s="33"/>
      <c r="FKF230" s="34"/>
      <c r="FKG230" s="34"/>
      <c r="FKH230" s="35"/>
      <c r="FKI230" s="35"/>
      <c r="FKJ230" s="32"/>
      <c r="FKK230" s="31"/>
      <c r="FKL230" s="31"/>
      <c r="FKM230" s="31"/>
      <c r="FKN230" s="32"/>
      <c r="FKO230" s="32"/>
      <c r="FKP230" s="32"/>
      <c r="FKQ230" s="32"/>
      <c r="FKR230" s="32"/>
      <c r="FKS230" s="31"/>
      <c r="FKT230" s="31"/>
      <c r="FKU230" s="33"/>
      <c r="FKV230" s="33"/>
      <c r="FKW230" s="34"/>
      <c r="FKX230" s="34"/>
      <c r="FKY230" s="35"/>
      <c r="FKZ230" s="35"/>
      <c r="FLA230" s="32"/>
      <c r="FLB230" s="31"/>
      <c r="FLC230" s="31"/>
      <c r="FLD230" s="31"/>
      <c r="FLE230" s="32"/>
      <c r="FLF230" s="32"/>
      <c r="FLG230" s="32"/>
      <c r="FLH230" s="32"/>
      <c r="FLI230" s="32"/>
      <c r="FLJ230" s="31"/>
      <c r="FLK230" s="31"/>
      <c r="FLL230" s="33"/>
      <c r="FLM230" s="33"/>
      <c r="FLN230" s="34"/>
      <c r="FLO230" s="34"/>
      <c r="FLP230" s="35"/>
      <c r="FLQ230" s="35"/>
      <c r="FLR230" s="32"/>
      <c r="FLS230" s="31"/>
      <c r="FLT230" s="31"/>
      <c r="FLU230" s="31"/>
      <c r="FLV230" s="32"/>
      <c r="FLW230" s="32"/>
      <c r="FLX230" s="32"/>
      <c r="FLY230" s="32"/>
      <c r="FLZ230" s="32"/>
      <c r="FMA230" s="31"/>
      <c r="FMB230" s="31"/>
      <c r="FMC230" s="33"/>
      <c r="FMD230" s="33"/>
      <c r="FME230" s="34"/>
      <c r="FMF230" s="34"/>
      <c r="FMG230" s="35"/>
      <c r="FMH230" s="35"/>
      <c r="FMI230" s="32"/>
      <c r="FMJ230" s="31"/>
      <c r="FMK230" s="31"/>
      <c r="FML230" s="31"/>
      <c r="FMM230" s="32"/>
      <c r="FMN230" s="32"/>
      <c r="FMO230" s="32"/>
      <c r="FMP230" s="32"/>
      <c r="FMQ230" s="32"/>
      <c r="FMR230" s="31"/>
      <c r="FMS230" s="31"/>
      <c r="FMT230" s="33"/>
      <c r="FMU230" s="33"/>
      <c r="FMV230" s="34"/>
      <c r="FMW230" s="34"/>
      <c r="FMX230" s="35"/>
      <c r="FMY230" s="35"/>
      <c r="FMZ230" s="32"/>
      <c r="FNA230" s="31"/>
      <c r="FNB230" s="31"/>
      <c r="FNC230" s="31"/>
      <c r="FND230" s="32"/>
      <c r="FNE230" s="32"/>
      <c r="FNF230" s="32"/>
      <c r="FNG230" s="32"/>
      <c r="FNH230" s="32"/>
      <c r="FNI230" s="31"/>
      <c r="FNJ230" s="31"/>
      <c r="FNK230" s="33"/>
      <c r="FNL230" s="33"/>
      <c r="FNM230" s="34"/>
      <c r="FNN230" s="34"/>
      <c r="FNO230" s="35"/>
      <c r="FNP230" s="35"/>
      <c r="FNQ230" s="32"/>
      <c r="FNR230" s="31"/>
      <c r="FNS230" s="31"/>
      <c r="FNT230" s="31"/>
      <c r="FNU230" s="32"/>
      <c r="FNV230" s="32"/>
      <c r="FNW230" s="32"/>
      <c r="FNX230" s="32"/>
      <c r="FNY230" s="32"/>
      <c r="FNZ230" s="31"/>
      <c r="FOA230" s="31"/>
      <c r="FOB230" s="33"/>
      <c r="FOC230" s="33"/>
      <c r="FOD230" s="34"/>
      <c r="FOE230" s="34"/>
      <c r="FOF230" s="35"/>
      <c r="FOG230" s="35"/>
      <c r="FOH230" s="32"/>
      <c r="FOI230" s="31"/>
      <c r="FOJ230" s="31"/>
      <c r="FOK230" s="31"/>
      <c r="FOL230" s="32"/>
      <c r="FOM230" s="32"/>
      <c r="FON230" s="32"/>
      <c r="FOO230" s="32"/>
      <c r="FOP230" s="32"/>
      <c r="FOQ230" s="31"/>
      <c r="FOR230" s="31"/>
      <c r="FOS230" s="33"/>
      <c r="FOT230" s="33"/>
      <c r="FOU230" s="34"/>
      <c r="FOV230" s="34"/>
      <c r="FOW230" s="35"/>
      <c r="FOX230" s="35"/>
      <c r="FOY230" s="32"/>
      <c r="FOZ230" s="31"/>
      <c r="FPA230" s="31"/>
      <c r="FPB230" s="31"/>
      <c r="FPC230" s="32"/>
      <c r="FPD230" s="32"/>
      <c r="FPE230" s="32"/>
      <c r="FPF230" s="32"/>
      <c r="FPG230" s="32"/>
      <c r="FPH230" s="31"/>
      <c r="FPI230" s="31"/>
      <c r="FPJ230" s="33"/>
      <c r="FPK230" s="33"/>
      <c r="FPL230" s="34"/>
      <c r="FPM230" s="34"/>
      <c r="FPN230" s="35"/>
      <c r="FPO230" s="35"/>
      <c r="FPP230" s="32"/>
      <c r="FPQ230" s="31"/>
      <c r="FPR230" s="31"/>
      <c r="FPS230" s="31"/>
      <c r="FPT230" s="32"/>
      <c r="FPU230" s="32"/>
      <c r="FPV230" s="32"/>
      <c r="FPW230" s="32"/>
      <c r="FPX230" s="32"/>
      <c r="FPY230" s="31"/>
      <c r="FPZ230" s="31"/>
      <c r="FQA230" s="33"/>
      <c r="FQB230" s="33"/>
      <c r="FQC230" s="34"/>
      <c r="FQD230" s="34"/>
      <c r="FQE230" s="35"/>
      <c r="FQF230" s="35"/>
      <c r="FQG230" s="32"/>
      <c r="FQH230" s="31"/>
      <c r="FQI230" s="31"/>
      <c r="FQJ230" s="31"/>
      <c r="FQK230" s="32"/>
      <c r="FQL230" s="32"/>
      <c r="FQM230" s="32"/>
      <c r="FQN230" s="32"/>
      <c r="FQO230" s="32"/>
      <c r="FQP230" s="31"/>
      <c r="FQQ230" s="31"/>
      <c r="FQR230" s="33"/>
      <c r="FQS230" s="33"/>
      <c r="FQT230" s="34"/>
      <c r="FQU230" s="34"/>
      <c r="FQV230" s="35"/>
      <c r="FQW230" s="35"/>
      <c r="FQX230" s="32"/>
      <c r="FQY230" s="31"/>
      <c r="FQZ230" s="31"/>
      <c r="FRA230" s="31"/>
      <c r="FRB230" s="32"/>
      <c r="FRC230" s="32"/>
      <c r="FRD230" s="32"/>
      <c r="FRE230" s="32"/>
      <c r="FRF230" s="32"/>
      <c r="FRG230" s="31"/>
      <c r="FRH230" s="31"/>
      <c r="FRI230" s="33"/>
      <c r="FRJ230" s="33"/>
      <c r="FRK230" s="34"/>
      <c r="FRL230" s="34"/>
      <c r="FRM230" s="35"/>
      <c r="FRN230" s="35"/>
      <c r="FRO230" s="32"/>
      <c r="FRP230" s="31"/>
      <c r="FRQ230" s="31"/>
      <c r="FRR230" s="31"/>
      <c r="FRS230" s="32"/>
      <c r="FRT230" s="32"/>
      <c r="FRU230" s="32"/>
      <c r="FRV230" s="32"/>
      <c r="FRW230" s="32"/>
      <c r="FRX230" s="31"/>
      <c r="FRY230" s="31"/>
      <c r="FRZ230" s="33"/>
      <c r="FSA230" s="33"/>
      <c r="FSB230" s="34"/>
      <c r="FSC230" s="34"/>
      <c r="FSD230" s="35"/>
      <c r="FSE230" s="35"/>
      <c r="FSF230" s="32"/>
      <c r="FSG230" s="31"/>
      <c r="FSH230" s="31"/>
      <c r="FSI230" s="31"/>
      <c r="FSJ230" s="32"/>
      <c r="FSK230" s="32"/>
      <c r="FSL230" s="32"/>
      <c r="FSM230" s="32"/>
      <c r="FSN230" s="32"/>
      <c r="FSO230" s="31"/>
      <c r="FSP230" s="31"/>
      <c r="FSQ230" s="33"/>
      <c r="FSR230" s="33"/>
      <c r="FSS230" s="34"/>
      <c r="FST230" s="34"/>
      <c r="FSU230" s="35"/>
      <c r="FSV230" s="35"/>
      <c r="FSW230" s="32"/>
      <c r="FSX230" s="31"/>
      <c r="FSY230" s="31"/>
      <c r="FSZ230" s="31"/>
      <c r="FTA230" s="32"/>
      <c r="FTB230" s="32"/>
      <c r="FTC230" s="32"/>
      <c r="FTD230" s="32"/>
      <c r="FTE230" s="32"/>
      <c r="FTF230" s="31"/>
      <c r="FTG230" s="31"/>
      <c r="FTH230" s="33"/>
      <c r="FTI230" s="33"/>
      <c r="FTJ230" s="34"/>
      <c r="FTK230" s="34"/>
      <c r="FTL230" s="35"/>
      <c r="FTM230" s="35"/>
      <c r="FTN230" s="32"/>
      <c r="FTO230" s="31"/>
      <c r="FTP230" s="31"/>
      <c r="FTQ230" s="31"/>
      <c r="FTR230" s="32"/>
      <c r="FTS230" s="32"/>
      <c r="FTT230" s="32"/>
      <c r="FTU230" s="32"/>
      <c r="FTV230" s="32"/>
      <c r="FTW230" s="31"/>
      <c r="FTX230" s="31"/>
      <c r="FTY230" s="33"/>
      <c r="FTZ230" s="33"/>
      <c r="FUA230" s="34"/>
      <c r="FUB230" s="34"/>
      <c r="FUC230" s="35"/>
      <c r="FUD230" s="35"/>
      <c r="FUE230" s="32"/>
      <c r="FUF230" s="31"/>
      <c r="FUG230" s="31"/>
      <c r="FUH230" s="31"/>
      <c r="FUI230" s="32"/>
      <c r="FUJ230" s="32"/>
      <c r="FUK230" s="32"/>
      <c r="FUL230" s="32"/>
      <c r="FUM230" s="32"/>
      <c r="FUN230" s="31"/>
      <c r="FUO230" s="31"/>
      <c r="FUP230" s="33"/>
      <c r="FUQ230" s="33"/>
      <c r="FUR230" s="34"/>
      <c r="FUS230" s="34"/>
      <c r="FUT230" s="35"/>
      <c r="FUU230" s="35"/>
      <c r="FUV230" s="32"/>
      <c r="FUW230" s="31"/>
      <c r="FUX230" s="31"/>
      <c r="FUY230" s="31"/>
      <c r="FUZ230" s="32"/>
      <c r="FVA230" s="32"/>
      <c r="FVB230" s="32"/>
      <c r="FVC230" s="32"/>
      <c r="FVD230" s="32"/>
      <c r="FVE230" s="31"/>
      <c r="FVF230" s="31"/>
      <c r="FVG230" s="33"/>
      <c r="FVH230" s="33"/>
      <c r="FVI230" s="34"/>
      <c r="FVJ230" s="34"/>
      <c r="FVK230" s="35"/>
      <c r="FVL230" s="35"/>
      <c r="FVM230" s="32"/>
      <c r="FVN230" s="31"/>
      <c r="FVO230" s="31"/>
      <c r="FVP230" s="31"/>
      <c r="FVQ230" s="32"/>
      <c r="FVR230" s="32"/>
      <c r="FVS230" s="32"/>
      <c r="FVT230" s="32"/>
      <c r="FVU230" s="32"/>
      <c r="FVV230" s="31"/>
      <c r="FVW230" s="31"/>
      <c r="FVX230" s="33"/>
      <c r="FVY230" s="33"/>
      <c r="FVZ230" s="34"/>
      <c r="FWA230" s="34"/>
      <c r="FWB230" s="35"/>
      <c r="FWC230" s="35"/>
      <c r="FWD230" s="32"/>
      <c r="FWE230" s="31"/>
      <c r="FWF230" s="31"/>
      <c r="FWG230" s="31"/>
      <c r="FWH230" s="32"/>
      <c r="FWI230" s="32"/>
      <c r="FWJ230" s="32"/>
      <c r="FWK230" s="32"/>
      <c r="FWL230" s="32"/>
      <c r="FWM230" s="31"/>
      <c r="FWN230" s="31"/>
      <c r="FWO230" s="33"/>
      <c r="FWP230" s="33"/>
      <c r="FWQ230" s="34"/>
      <c r="FWR230" s="34"/>
      <c r="FWS230" s="35"/>
      <c r="FWT230" s="35"/>
      <c r="FWU230" s="32"/>
      <c r="FWV230" s="31"/>
      <c r="FWW230" s="31"/>
      <c r="FWX230" s="31"/>
      <c r="FWY230" s="32"/>
      <c r="FWZ230" s="32"/>
      <c r="FXA230" s="32"/>
      <c r="FXB230" s="32"/>
      <c r="FXC230" s="32"/>
      <c r="FXD230" s="31"/>
      <c r="FXE230" s="31"/>
      <c r="FXF230" s="33"/>
      <c r="FXG230" s="33"/>
      <c r="FXH230" s="34"/>
      <c r="FXI230" s="34"/>
      <c r="FXJ230" s="35"/>
      <c r="FXK230" s="35"/>
      <c r="FXL230" s="32"/>
      <c r="FXM230" s="31"/>
      <c r="FXN230" s="31"/>
      <c r="FXO230" s="31"/>
      <c r="FXP230" s="32"/>
      <c r="FXQ230" s="32"/>
      <c r="FXR230" s="32"/>
      <c r="FXS230" s="32"/>
      <c r="FXT230" s="32"/>
      <c r="FXU230" s="31"/>
      <c r="FXV230" s="31"/>
      <c r="FXW230" s="33"/>
      <c r="FXX230" s="33"/>
      <c r="FXY230" s="34"/>
      <c r="FXZ230" s="34"/>
      <c r="FYA230" s="35"/>
      <c r="FYB230" s="35"/>
      <c r="FYC230" s="32"/>
      <c r="FYD230" s="31"/>
      <c r="FYE230" s="31"/>
      <c r="FYF230" s="31"/>
      <c r="FYG230" s="32"/>
      <c r="FYH230" s="32"/>
      <c r="FYI230" s="32"/>
      <c r="FYJ230" s="32"/>
      <c r="FYK230" s="32"/>
      <c r="FYL230" s="31"/>
      <c r="FYM230" s="31"/>
      <c r="FYN230" s="33"/>
      <c r="FYO230" s="33"/>
      <c r="FYP230" s="34"/>
      <c r="FYQ230" s="34"/>
      <c r="FYR230" s="35"/>
      <c r="FYS230" s="35"/>
      <c r="FYT230" s="32"/>
      <c r="FYU230" s="31"/>
      <c r="FYV230" s="31"/>
      <c r="FYW230" s="31"/>
      <c r="FYX230" s="32"/>
      <c r="FYY230" s="32"/>
      <c r="FYZ230" s="32"/>
      <c r="FZA230" s="32"/>
      <c r="FZB230" s="32"/>
      <c r="FZC230" s="31"/>
      <c r="FZD230" s="31"/>
      <c r="FZE230" s="33"/>
      <c r="FZF230" s="33"/>
      <c r="FZG230" s="34"/>
      <c r="FZH230" s="34"/>
      <c r="FZI230" s="35"/>
      <c r="FZJ230" s="35"/>
      <c r="FZK230" s="32"/>
      <c r="FZL230" s="31"/>
      <c r="FZM230" s="31"/>
      <c r="FZN230" s="31"/>
      <c r="FZO230" s="32"/>
      <c r="FZP230" s="32"/>
      <c r="FZQ230" s="32"/>
      <c r="FZR230" s="32"/>
      <c r="FZS230" s="32"/>
      <c r="FZT230" s="31"/>
      <c r="FZU230" s="31"/>
      <c r="FZV230" s="33"/>
      <c r="FZW230" s="33"/>
      <c r="FZX230" s="34"/>
      <c r="FZY230" s="34"/>
      <c r="FZZ230" s="35"/>
      <c r="GAA230" s="35"/>
      <c r="GAB230" s="32"/>
      <c r="GAC230" s="31"/>
      <c r="GAD230" s="31"/>
      <c r="GAE230" s="31"/>
      <c r="GAF230" s="32"/>
      <c r="GAG230" s="32"/>
      <c r="GAH230" s="32"/>
      <c r="GAI230" s="32"/>
      <c r="GAJ230" s="32"/>
      <c r="GAK230" s="31"/>
      <c r="GAL230" s="31"/>
      <c r="GAM230" s="33"/>
      <c r="GAN230" s="33"/>
      <c r="GAO230" s="34"/>
      <c r="GAP230" s="34"/>
      <c r="GAQ230" s="35"/>
      <c r="GAR230" s="35"/>
      <c r="GAS230" s="32"/>
      <c r="GAT230" s="31"/>
      <c r="GAU230" s="31"/>
      <c r="GAV230" s="31"/>
      <c r="GAW230" s="32"/>
      <c r="GAX230" s="32"/>
      <c r="GAY230" s="32"/>
      <c r="GAZ230" s="32"/>
      <c r="GBA230" s="32"/>
      <c r="GBB230" s="31"/>
      <c r="GBC230" s="31"/>
      <c r="GBD230" s="33"/>
      <c r="GBE230" s="33"/>
      <c r="GBF230" s="34"/>
      <c r="GBG230" s="34"/>
      <c r="GBH230" s="35"/>
      <c r="GBI230" s="35"/>
      <c r="GBJ230" s="32"/>
      <c r="GBK230" s="31"/>
      <c r="GBL230" s="31"/>
      <c r="GBM230" s="31"/>
      <c r="GBN230" s="32"/>
      <c r="GBO230" s="32"/>
      <c r="GBP230" s="32"/>
      <c r="GBQ230" s="32"/>
      <c r="GBR230" s="32"/>
      <c r="GBS230" s="31"/>
      <c r="GBT230" s="31"/>
      <c r="GBU230" s="33"/>
      <c r="GBV230" s="33"/>
      <c r="GBW230" s="34"/>
      <c r="GBX230" s="34"/>
      <c r="GBY230" s="35"/>
      <c r="GBZ230" s="35"/>
      <c r="GCA230" s="32"/>
      <c r="GCB230" s="31"/>
      <c r="GCC230" s="31"/>
      <c r="GCD230" s="31"/>
      <c r="GCE230" s="32"/>
      <c r="GCF230" s="32"/>
      <c r="GCG230" s="32"/>
      <c r="GCH230" s="32"/>
      <c r="GCI230" s="32"/>
      <c r="GCJ230" s="31"/>
      <c r="GCK230" s="31"/>
      <c r="GCL230" s="33"/>
      <c r="GCM230" s="33"/>
      <c r="GCN230" s="34"/>
      <c r="GCO230" s="34"/>
      <c r="GCP230" s="35"/>
      <c r="GCQ230" s="35"/>
      <c r="GCR230" s="32"/>
      <c r="GCS230" s="31"/>
      <c r="GCT230" s="31"/>
      <c r="GCU230" s="31"/>
      <c r="GCV230" s="32"/>
      <c r="GCW230" s="32"/>
      <c r="GCX230" s="32"/>
      <c r="GCY230" s="32"/>
      <c r="GCZ230" s="32"/>
      <c r="GDA230" s="31"/>
      <c r="GDB230" s="31"/>
      <c r="GDC230" s="33"/>
      <c r="GDD230" s="33"/>
      <c r="GDE230" s="34"/>
      <c r="GDF230" s="34"/>
      <c r="GDG230" s="35"/>
      <c r="GDH230" s="35"/>
      <c r="GDI230" s="32"/>
      <c r="GDJ230" s="31"/>
      <c r="GDK230" s="31"/>
      <c r="GDL230" s="31"/>
      <c r="GDM230" s="32"/>
      <c r="GDN230" s="32"/>
      <c r="GDO230" s="32"/>
      <c r="GDP230" s="32"/>
      <c r="GDQ230" s="32"/>
      <c r="GDR230" s="31"/>
      <c r="GDS230" s="31"/>
      <c r="GDT230" s="33"/>
      <c r="GDU230" s="33"/>
      <c r="GDV230" s="34"/>
      <c r="GDW230" s="34"/>
      <c r="GDX230" s="35"/>
      <c r="GDY230" s="35"/>
      <c r="GDZ230" s="32"/>
      <c r="GEA230" s="31"/>
      <c r="GEB230" s="31"/>
      <c r="GEC230" s="31"/>
      <c r="GED230" s="32"/>
      <c r="GEE230" s="32"/>
      <c r="GEF230" s="32"/>
      <c r="GEG230" s="32"/>
      <c r="GEH230" s="32"/>
      <c r="GEI230" s="31"/>
      <c r="GEJ230" s="31"/>
      <c r="GEK230" s="33"/>
      <c r="GEL230" s="33"/>
      <c r="GEM230" s="34"/>
      <c r="GEN230" s="34"/>
      <c r="GEO230" s="35"/>
      <c r="GEP230" s="35"/>
      <c r="GEQ230" s="32"/>
      <c r="GER230" s="31"/>
      <c r="GES230" s="31"/>
      <c r="GET230" s="31"/>
      <c r="GEU230" s="32"/>
      <c r="GEV230" s="32"/>
      <c r="GEW230" s="32"/>
      <c r="GEX230" s="32"/>
      <c r="GEY230" s="32"/>
      <c r="GEZ230" s="31"/>
      <c r="GFA230" s="31"/>
      <c r="GFB230" s="33"/>
      <c r="GFC230" s="33"/>
      <c r="GFD230" s="34"/>
      <c r="GFE230" s="34"/>
      <c r="GFF230" s="35"/>
      <c r="GFG230" s="35"/>
      <c r="GFH230" s="32"/>
      <c r="GFI230" s="31"/>
      <c r="GFJ230" s="31"/>
      <c r="GFK230" s="31"/>
      <c r="GFL230" s="32"/>
      <c r="GFM230" s="32"/>
      <c r="GFN230" s="32"/>
      <c r="GFO230" s="32"/>
      <c r="GFP230" s="32"/>
      <c r="GFQ230" s="31"/>
      <c r="GFR230" s="31"/>
      <c r="GFS230" s="33"/>
      <c r="GFT230" s="33"/>
      <c r="GFU230" s="34"/>
      <c r="GFV230" s="34"/>
      <c r="GFW230" s="35"/>
      <c r="GFX230" s="35"/>
      <c r="GFY230" s="32"/>
      <c r="GFZ230" s="31"/>
      <c r="GGA230" s="31"/>
      <c r="GGB230" s="31"/>
      <c r="GGC230" s="32"/>
      <c r="GGD230" s="32"/>
      <c r="GGE230" s="32"/>
      <c r="GGF230" s="32"/>
      <c r="GGG230" s="32"/>
      <c r="GGH230" s="31"/>
      <c r="GGI230" s="31"/>
      <c r="GGJ230" s="33"/>
      <c r="GGK230" s="33"/>
      <c r="GGL230" s="34"/>
      <c r="GGM230" s="34"/>
      <c r="GGN230" s="35"/>
      <c r="GGO230" s="35"/>
      <c r="GGP230" s="32"/>
      <c r="GGQ230" s="31"/>
      <c r="GGR230" s="31"/>
      <c r="GGS230" s="31"/>
      <c r="GGT230" s="32"/>
      <c r="GGU230" s="32"/>
      <c r="GGV230" s="32"/>
      <c r="GGW230" s="32"/>
      <c r="GGX230" s="32"/>
      <c r="GGY230" s="31"/>
      <c r="GGZ230" s="31"/>
      <c r="GHA230" s="33"/>
      <c r="GHB230" s="33"/>
      <c r="GHC230" s="34"/>
      <c r="GHD230" s="34"/>
      <c r="GHE230" s="35"/>
      <c r="GHF230" s="35"/>
      <c r="GHG230" s="32"/>
      <c r="GHH230" s="31"/>
      <c r="GHI230" s="31"/>
      <c r="GHJ230" s="31"/>
      <c r="GHK230" s="32"/>
      <c r="GHL230" s="32"/>
      <c r="GHM230" s="32"/>
      <c r="GHN230" s="32"/>
      <c r="GHO230" s="32"/>
      <c r="GHP230" s="31"/>
      <c r="GHQ230" s="31"/>
      <c r="GHR230" s="33"/>
      <c r="GHS230" s="33"/>
      <c r="GHT230" s="34"/>
      <c r="GHU230" s="34"/>
      <c r="GHV230" s="35"/>
      <c r="GHW230" s="35"/>
      <c r="GHX230" s="32"/>
      <c r="GHY230" s="31"/>
      <c r="GHZ230" s="31"/>
      <c r="GIA230" s="31"/>
      <c r="GIB230" s="32"/>
      <c r="GIC230" s="32"/>
      <c r="GID230" s="32"/>
      <c r="GIE230" s="32"/>
      <c r="GIF230" s="32"/>
      <c r="GIG230" s="31"/>
      <c r="GIH230" s="31"/>
      <c r="GII230" s="33"/>
      <c r="GIJ230" s="33"/>
      <c r="GIK230" s="34"/>
      <c r="GIL230" s="34"/>
      <c r="GIM230" s="35"/>
      <c r="GIN230" s="35"/>
      <c r="GIO230" s="32"/>
      <c r="GIP230" s="31"/>
      <c r="GIQ230" s="31"/>
      <c r="GIR230" s="31"/>
      <c r="GIS230" s="32"/>
      <c r="GIT230" s="32"/>
      <c r="GIU230" s="32"/>
      <c r="GIV230" s="32"/>
      <c r="GIW230" s="32"/>
      <c r="GIX230" s="31"/>
      <c r="GIY230" s="31"/>
      <c r="GIZ230" s="33"/>
      <c r="GJA230" s="33"/>
      <c r="GJB230" s="34"/>
      <c r="GJC230" s="34"/>
      <c r="GJD230" s="35"/>
      <c r="GJE230" s="35"/>
      <c r="GJF230" s="32"/>
      <c r="GJG230" s="31"/>
      <c r="GJH230" s="31"/>
      <c r="GJI230" s="31"/>
      <c r="GJJ230" s="32"/>
      <c r="GJK230" s="32"/>
      <c r="GJL230" s="32"/>
      <c r="GJM230" s="32"/>
      <c r="GJN230" s="32"/>
      <c r="GJO230" s="31"/>
      <c r="GJP230" s="31"/>
      <c r="GJQ230" s="33"/>
      <c r="GJR230" s="33"/>
      <c r="GJS230" s="34"/>
      <c r="GJT230" s="34"/>
      <c r="GJU230" s="35"/>
      <c r="GJV230" s="35"/>
      <c r="GJW230" s="32"/>
      <c r="GJX230" s="31"/>
      <c r="GJY230" s="31"/>
      <c r="GJZ230" s="31"/>
      <c r="GKA230" s="32"/>
      <c r="GKB230" s="32"/>
      <c r="GKC230" s="32"/>
      <c r="GKD230" s="32"/>
      <c r="GKE230" s="32"/>
      <c r="GKF230" s="31"/>
      <c r="GKG230" s="31"/>
      <c r="GKH230" s="33"/>
      <c r="GKI230" s="33"/>
      <c r="GKJ230" s="34"/>
      <c r="GKK230" s="34"/>
      <c r="GKL230" s="35"/>
      <c r="GKM230" s="35"/>
      <c r="GKN230" s="32"/>
      <c r="GKO230" s="31"/>
      <c r="GKP230" s="31"/>
      <c r="GKQ230" s="31"/>
      <c r="GKR230" s="32"/>
      <c r="GKS230" s="32"/>
      <c r="GKT230" s="32"/>
      <c r="GKU230" s="32"/>
      <c r="GKV230" s="32"/>
      <c r="GKW230" s="31"/>
      <c r="GKX230" s="31"/>
      <c r="GKY230" s="33"/>
      <c r="GKZ230" s="33"/>
      <c r="GLA230" s="34"/>
      <c r="GLB230" s="34"/>
      <c r="GLC230" s="35"/>
      <c r="GLD230" s="35"/>
      <c r="GLE230" s="32"/>
      <c r="GLF230" s="31"/>
      <c r="GLG230" s="31"/>
      <c r="GLH230" s="31"/>
      <c r="GLI230" s="32"/>
      <c r="GLJ230" s="32"/>
      <c r="GLK230" s="32"/>
      <c r="GLL230" s="32"/>
      <c r="GLM230" s="32"/>
      <c r="GLN230" s="31"/>
      <c r="GLO230" s="31"/>
      <c r="GLP230" s="33"/>
      <c r="GLQ230" s="33"/>
      <c r="GLR230" s="34"/>
      <c r="GLS230" s="34"/>
      <c r="GLT230" s="35"/>
      <c r="GLU230" s="35"/>
      <c r="GLV230" s="32"/>
      <c r="GLW230" s="31"/>
      <c r="GLX230" s="31"/>
      <c r="GLY230" s="31"/>
      <c r="GLZ230" s="32"/>
      <c r="GMA230" s="32"/>
      <c r="GMB230" s="32"/>
      <c r="GMC230" s="32"/>
      <c r="GMD230" s="32"/>
      <c r="GME230" s="31"/>
      <c r="GMF230" s="31"/>
      <c r="GMG230" s="33"/>
      <c r="GMH230" s="33"/>
      <c r="GMI230" s="34"/>
      <c r="GMJ230" s="34"/>
      <c r="GMK230" s="35"/>
      <c r="GML230" s="35"/>
      <c r="GMM230" s="32"/>
      <c r="GMN230" s="31"/>
      <c r="GMO230" s="31"/>
      <c r="GMP230" s="31"/>
      <c r="GMQ230" s="32"/>
      <c r="GMR230" s="32"/>
      <c r="GMS230" s="32"/>
      <c r="GMT230" s="32"/>
      <c r="GMU230" s="32"/>
      <c r="GMV230" s="31"/>
      <c r="GMW230" s="31"/>
      <c r="GMX230" s="33"/>
      <c r="GMY230" s="33"/>
      <c r="GMZ230" s="34"/>
      <c r="GNA230" s="34"/>
      <c r="GNB230" s="35"/>
      <c r="GNC230" s="35"/>
      <c r="GND230" s="32"/>
      <c r="GNE230" s="31"/>
      <c r="GNF230" s="31"/>
      <c r="GNG230" s="31"/>
      <c r="GNH230" s="32"/>
      <c r="GNI230" s="32"/>
      <c r="GNJ230" s="32"/>
      <c r="GNK230" s="32"/>
      <c r="GNL230" s="32"/>
      <c r="GNM230" s="31"/>
      <c r="GNN230" s="31"/>
      <c r="GNO230" s="33"/>
      <c r="GNP230" s="33"/>
      <c r="GNQ230" s="34"/>
      <c r="GNR230" s="34"/>
      <c r="GNS230" s="35"/>
      <c r="GNT230" s="35"/>
      <c r="GNU230" s="32"/>
      <c r="GNV230" s="31"/>
      <c r="GNW230" s="31"/>
      <c r="GNX230" s="31"/>
      <c r="GNY230" s="32"/>
      <c r="GNZ230" s="32"/>
      <c r="GOA230" s="32"/>
      <c r="GOB230" s="32"/>
      <c r="GOC230" s="32"/>
      <c r="GOD230" s="31"/>
      <c r="GOE230" s="31"/>
      <c r="GOF230" s="33"/>
      <c r="GOG230" s="33"/>
      <c r="GOH230" s="34"/>
      <c r="GOI230" s="34"/>
      <c r="GOJ230" s="35"/>
      <c r="GOK230" s="35"/>
      <c r="GOL230" s="32"/>
      <c r="GOM230" s="31"/>
      <c r="GON230" s="31"/>
      <c r="GOO230" s="31"/>
      <c r="GOP230" s="32"/>
      <c r="GOQ230" s="32"/>
      <c r="GOR230" s="32"/>
      <c r="GOS230" s="32"/>
      <c r="GOT230" s="32"/>
      <c r="GOU230" s="31"/>
      <c r="GOV230" s="31"/>
      <c r="GOW230" s="33"/>
      <c r="GOX230" s="33"/>
      <c r="GOY230" s="34"/>
      <c r="GOZ230" s="34"/>
      <c r="GPA230" s="35"/>
      <c r="GPB230" s="35"/>
      <c r="GPC230" s="32"/>
      <c r="GPD230" s="31"/>
      <c r="GPE230" s="31"/>
      <c r="GPF230" s="31"/>
      <c r="GPG230" s="32"/>
      <c r="GPH230" s="32"/>
      <c r="GPI230" s="32"/>
      <c r="GPJ230" s="32"/>
      <c r="GPK230" s="32"/>
      <c r="GPL230" s="31"/>
      <c r="GPM230" s="31"/>
      <c r="GPN230" s="33"/>
      <c r="GPO230" s="33"/>
      <c r="GPP230" s="34"/>
      <c r="GPQ230" s="34"/>
      <c r="GPR230" s="35"/>
      <c r="GPS230" s="35"/>
      <c r="GPT230" s="32"/>
      <c r="GPU230" s="31"/>
      <c r="GPV230" s="31"/>
      <c r="GPW230" s="31"/>
      <c r="GPX230" s="32"/>
      <c r="GPY230" s="32"/>
      <c r="GPZ230" s="32"/>
      <c r="GQA230" s="32"/>
      <c r="GQB230" s="32"/>
      <c r="GQC230" s="31"/>
      <c r="GQD230" s="31"/>
      <c r="GQE230" s="33"/>
      <c r="GQF230" s="33"/>
      <c r="GQG230" s="34"/>
      <c r="GQH230" s="34"/>
      <c r="GQI230" s="35"/>
      <c r="GQJ230" s="35"/>
      <c r="GQK230" s="32"/>
      <c r="GQL230" s="31"/>
      <c r="GQM230" s="31"/>
      <c r="GQN230" s="31"/>
      <c r="GQO230" s="32"/>
      <c r="GQP230" s="32"/>
      <c r="GQQ230" s="32"/>
      <c r="GQR230" s="32"/>
      <c r="GQS230" s="32"/>
      <c r="GQT230" s="31"/>
      <c r="GQU230" s="31"/>
      <c r="GQV230" s="33"/>
      <c r="GQW230" s="33"/>
      <c r="GQX230" s="34"/>
      <c r="GQY230" s="34"/>
      <c r="GQZ230" s="35"/>
      <c r="GRA230" s="35"/>
      <c r="GRB230" s="32"/>
      <c r="GRC230" s="31"/>
      <c r="GRD230" s="31"/>
      <c r="GRE230" s="31"/>
      <c r="GRF230" s="32"/>
      <c r="GRG230" s="32"/>
      <c r="GRH230" s="32"/>
      <c r="GRI230" s="32"/>
      <c r="GRJ230" s="32"/>
      <c r="GRK230" s="31"/>
      <c r="GRL230" s="31"/>
      <c r="GRM230" s="33"/>
      <c r="GRN230" s="33"/>
      <c r="GRO230" s="34"/>
      <c r="GRP230" s="34"/>
      <c r="GRQ230" s="35"/>
      <c r="GRR230" s="35"/>
      <c r="GRS230" s="32"/>
      <c r="GRT230" s="31"/>
      <c r="GRU230" s="31"/>
      <c r="GRV230" s="31"/>
      <c r="GRW230" s="32"/>
      <c r="GRX230" s="32"/>
      <c r="GRY230" s="32"/>
      <c r="GRZ230" s="32"/>
      <c r="GSA230" s="32"/>
      <c r="GSB230" s="31"/>
      <c r="GSC230" s="31"/>
      <c r="GSD230" s="33"/>
      <c r="GSE230" s="33"/>
      <c r="GSF230" s="34"/>
      <c r="GSG230" s="34"/>
      <c r="GSH230" s="35"/>
      <c r="GSI230" s="35"/>
      <c r="GSJ230" s="32"/>
      <c r="GSK230" s="31"/>
      <c r="GSL230" s="31"/>
      <c r="GSM230" s="31"/>
      <c r="GSN230" s="32"/>
      <c r="GSO230" s="32"/>
      <c r="GSP230" s="32"/>
      <c r="GSQ230" s="32"/>
      <c r="GSR230" s="32"/>
      <c r="GSS230" s="31"/>
      <c r="GST230" s="31"/>
      <c r="GSU230" s="33"/>
      <c r="GSV230" s="33"/>
      <c r="GSW230" s="34"/>
      <c r="GSX230" s="34"/>
      <c r="GSY230" s="35"/>
      <c r="GSZ230" s="35"/>
      <c r="GTA230" s="32"/>
      <c r="GTB230" s="31"/>
      <c r="GTC230" s="31"/>
      <c r="GTD230" s="31"/>
      <c r="GTE230" s="32"/>
      <c r="GTF230" s="32"/>
      <c r="GTG230" s="32"/>
      <c r="GTH230" s="32"/>
      <c r="GTI230" s="32"/>
      <c r="GTJ230" s="31"/>
      <c r="GTK230" s="31"/>
      <c r="GTL230" s="33"/>
      <c r="GTM230" s="33"/>
      <c r="GTN230" s="34"/>
      <c r="GTO230" s="34"/>
      <c r="GTP230" s="35"/>
      <c r="GTQ230" s="35"/>
      <c r="GTR230" s="32"/>
      <c r="GTS230" s="31"/>
      <c r="GTT230" s="31"/>
      <c r="GTU230" s="31"/>
      <c r="GTV230" s="32"/>
      <c r="GTW230" s="32"/>
      <c r="GTX230" s="32"/>
      <c r="GTY230" s="32"/>
      <c r="GTZ230" s="32"/>
      <c r="GUA230" s="31"/>
      <c r="GUB230" s="31"/>
      <c r="GUC230" s="33"/>
      <c r="GUD230" s="33"/>
      <c r="GUE230" s="34"/>
      <c r="GUF230" s="34"/>
      <c r="GUG230" s="35"/>
      <c r="GUH230" s="35"/>
      <c r="GUI230" s="32"/>
      <c r="GUJ230" s="31"/>
      <c r="GUK230" s="31"/>
      <c r="GUL230" s="31"/>
      <c r="GUM230" s="32"/>
      <c r="GUN230" s="32"/>
      <c r="GUO230" s="32"/>
      <c r="GUP230" s="32"/>
      <c r="GUQ230" s="32"/>
      <c r="GUR230" s="31"/>
      <c r="GUS230" s="31"/>
      <c r="GUT230" s="33"/>
      <c r="GUU230" s="33"/>
      <c r="GUV230" s="34"/>
      <c r="GUW230" s="34"/>
      <c r="GUX230" s="35"/>
      <c r="GUY230" s="35"/>
      <c r="GUZ230" s="32"/>
      <c r="GVA230" s="31"/>
      <c r="GVB230" s="31"/>
      <c r="GVC230" s="31"/>
      <c r="GVD230" s="32"/>
      <c r="GVE230" s="32"/>
      <c r="GVF230" s="32"/>
      <c r="GVG230" s="32"/>
      <c r="GVH230" s="32"/>
      <c r="GVI230" s="31"/>
      <c r="GVJ230" s="31"/>
      <c r="GVK230" s="33"/>
      <c r="GVL230" s="33"/>
      <c r="GVM230" s="34"/>
      <c r="GVN230" s="34"/>
      <c r="GVO230" s="35"/>
      <c r="GVP230" s="35"/>
      <c r="GVQ230" s="32"/>
      <c r="GVR230" s="31"/>
      <c r="GVS230" s="31"/>
      <c r="GVT230" s="31"/>
      <c r="GVU230" s="32"/>
      <c r="GVV230" s="32"/>
      <c r="GVW230" s="32"/>
      <c r="GVX230" s="32"/>
      <c r="GVY230" s="32"/>
      <c r="GVZ230" s="31"/>
      <c r="GWA230" s="31"/>
      <c r="GWB230" s="33"/>
      <c r="GWC230" s="33"/>
      <c r="GWD230" s="34"/>
      <c r="GWE230" s="34"/>
      <c r="GWF230" s="35"/>
      <c r="GWG230" s="35"/>
      <c r="GWH230" s="32"/>
      <c r="GWI230" s="31"/>
      <c r="GWJ230" s="31"/>
      <c r="GWK230" s="31"/>
      <c r="GWL230" s="32"/>
      <c r="GWM230" s="32"/>
      <c r="GWN230" s="32"/>
      <c r="GWO230" s="32"/>
      <c r="GWP230" s="32"/>
      <c r="GWQ230" s="31"/>
      <c r="GWR230" s="31"/>
      <c r="GWS230" s="33"/>
      <c r="GWT230" s="33"/>
      <c r="GWU230" s="34"/>
      <c r="GWV230" s="34"/>
      <c r="GWW230" s="35"/>
      <c r="GWX230" s="35"/>
      <c r="GWY230" s="32"/>
      <c r="GWZ230" s="31"/>
      <c r="GXA230" s="31"/>
      <c r="GXB230" s="31"/>
      <c r="GXC230" s="32"/>
      <c r="GXD230" s="32"/>
      <c r="GXE230" s="32"/>
      <c r="GXF230" s="32"/>
      <c r="GXG230" s="32"/>
      <c r="GXH230" s="31"/>
      <c r="GXI230" s="31"/>
      <c r="GXJ230" s="33"/>
      <c r="GXK230" s="33"/>
      <c r="GXL230" s="34"/>
      <c r="GXM230" s="34"/>
      <c r="GXN230" s="35"/>
      <c r="GXO230" s="35"/>
      <c r="GXP230" s="32"/>
      <c r="GXQ230" s="31"/>
      <c r="GXR230" s="31"/>
      <c r="GXS230" s="31"/>
      <c r="GXT230" s="32"/>
      <c r="GXU230" s="32"/>
      <c r="GXV230" s="32"/>
      <c r="GXW230" s="32"/>
      <c r="GXX230" s="32"/>
      <c r="GXY230" s="31"/>
      <c r="GXZ230" s="31"/>
      <c r="GYA230" s="33"/>
      <c r="GYB230" s="33"/>
      <c r="GYC230" s="34"/>
      <c r="GYD230" s="34"/>
      <c r="GYE230" s="35"/>
      <c r="GYF230" s="35"/>
      <c r="GYG230" s="32"/>
      <c r="GYH230" s="31"/>
      <c r="GYI230" s="31"/>
      <c r="GYJ230" s="31"/>
      <c r="GYK230" s="32"/>
      <c r="GYL230" s="32"/>
      <c r="GYM230" s="32"/>
      <c r="GYN230" s="32"/>
      <c r="GYO230" s="32"/>
      <c r="GYP230" s="31"/>
      <c r="GYQ230" s="31"/>
      <c r="GYR230" s="33"/>
      <c r="GYS230" s="33"/>
      <c r="GYT230" s="34"/>
      <c r="GYU230" s="34"/>
      <c r="GYV230" s="35"/>
      <c r="GYW230" s="35"/>
      <c r="GYX230" s="32"/>
      <c r="GYY230" s="31"/>
      <c r="GYZ230" s="31"/>
      <c r="GZA230" s="31"/>
      <c r="GZB230" s="32"/>
      <c r="GZC230" s="32"/>
      <c r="GZD230" s="32"/>
      <c r="GZE230" s="32"/>
      <c r="GZF230" s="32"/>
      <c r="GZG230" s="31"/>
      <c r="GZH230" s="31"/>
      <c r="GZI230" s="33"/>
      <c r="GZJ230" s="33"/>
      <c r="GZK230" s="34"/>
      <c r="GZL230" s="34"/>
      <c r="GZM230" s="35"/>
      <c r="GZN230" s="35"/>
      <c r="GZO230" s="32"/>
      <c r="GZP230" s="31"/>
      <c r="GZQ230" s="31"/>
      <c r="GZR230" s="31"/>
      <c r="GZS230" s="32"/>
      <c r="GZT230" s="32"/>
      <c r="GZU230" s="32"/>
      <c r="GZV230" s="32"/>
      <c r="GZW230" s="32"/>
      <c r="GZX230" s="31"/>
      <c r="GZY230" s="31"/>
      <c r="GZZ230" s="33"/>
      <c r="HAA230" s="33"/>
      <c r="HAB230" s="34"/>
      <c r="HAC230" s="34"/>
      <c r="HAD230" s="35"/>
      <c r="HAE230" s="35"/>
      <c r="HAF230" s="32"/>
      <c r="HAG230" s="31"/>
      <c r="HAH230" s="31"/>
      <c r="HAI230" s="31"/>
      <c r="HAJ230" s="32"/>
      <c r="HAK230" s="32"/>
      <c r="HAL230" s="32"/>
      <c r="HAM230" s="32"/>
      <c r="HAN230" s="32"/>
      <c r="HAO230" s="31"/>
      <c r="HAP230" s="31"/>
      <c r="HAQ230" s="33"/>
      <c r="HAR230" s="33"/>
      <c r="HAS230" s="34"/>
      <c r="HAT230" s="34"/>
      <c r="HAU230" s="35"/>
      <c r="HAV230" s="35"/>
      <c r="HAW230" s="32"/>
      <c r="HAX230" s="31"/>
      <c r="HAY230" s="31"/>
      <c r="HAZ230" s="31"/>
      <c r="HBA230" s="32"/>
      <c r="HBB230" s="32"/>
      <c r="HBC230" s="32"/>
      <c r="HBD230" s="32"/>
      <c r="HBE230" s="32"/>
      <c r="HBF230" s="31"/>
      <c r="HBG230" s="31"/>
      <c r="HBH230" s="33"/>
      <c r="HBI230" s="33"/>
      <c r="HBJ230" s="34"/>
      <c r="HBK230" s="34"/>
      <c r="HBL230" s="35"/>
      <c r="HBM230" s="35"/>
      <c r="HBN230" s="32"/>
      <c r="HBO230" s="31"/>
      <c r="HBP230" s="31"/>
      <c r="HBQ230" s="31"/>
      <c r="HBR230" s="32"/>
      <c r="HBS230" s="32"/>
      <c r="HBT230" s="32"/>
      <c r="HBU230" s="32"/>
      <c r="HBV230" s="32"/>
      <c r="HBW230" s="31"/>
      <c r="HBX230" s="31"/>
      <c r="HBY230" s="33"/>
      <c r="HBZ230" s="33"/>
      <c r="HCA230" s="34"/>
      <c r="HCB230" s="34"/>
      <c r="HCC230" s="35"/>
      <c r="HCD230" s="35"/>
      <c r="HCE230" s="32"/>
      <c r="HCF230" s="31"/>
      <c r="HCG230" s="31"/>
      <c r="HCH230" s="31"/>
      <c r="HCI230" s="32"/>
      <c r="HCJ230" s="32"/>
      <c r="HCK230" s="32"/>
      <c r="HCL230" s="32"/>
      <c r="HCM230" s="32"/>
      <c r="HCN230" s="31"/>
      <c r="HCO230" s="31"/>
      <c r="HCP230" s="33"/>
      <c r="HCQ230" s="33"/>
      <c r="HCR230" s="34"/>
      <c r="HCS230" s="34"/>
      <c r="HCT230" s="35"/>
      <c r="HCU230" s="35"/>
      <c r="HCV230" s="32"/>
      <c r="HCW230" s="31"/>
      <c r="HCX230" s="31"/>
      <c r="HCY230" s="31"/>
      <c r="HCZ230" s="32"/>
      <c r="HDA230" s="32"/>
      <c r="HDB230" s="32"/>
      <c r="HDC230" s="32"/>
      <c r="HDD230" s="32"/>
      <c r="HDE230" s="31"/>
      <c r="HDF230" s="31"/>
      <c r="HDG230" s="33"/>
      <c r="HDH230" s="33"/>
      <c r="HDI230" s="34"/>
      <c r="HDJ230" s="34"/>
      <c r="HDK230" s="35"/>
      <c r="HDL230" s="35"/>
      <c r="HDM230" s="32"/>
      <c r="HDN230" s="31"/>
      <c r="HDO230" s="31"/>
      <c r="HDP230" s="31"/>
      <c r="HDQ230" s="32"/>
      <c r="HDR230" s="32"/>
      <c r="HDS230" s="32"/>
      <c r="HDT230" s="32"/>
      <c r="HDU230" s="32"/>
      <c r="HDV230" s="31"/>
      <c r="HDW230" s="31"/>
      <c r="HDX230" s="33"/>
      <c r="HDY230" s="33"/>
      <c r="HDZ230" s="34"/>
      <c r="HEA230" s="34"/>
      <c r="HEB230" s="35"/>
      <c r="HEC230" s="35"/>
      <c r="HED230" s="32"/>
      <c r="HEE230" s="31"/>
      <c r="HEF230" s="31"/>
      <c r="HEG230" s="31"/>
      <c r="HEH230" s="32"/>
      <c r="HEI230" s="32"/>
      <c r="HEJ230" s="32"/>
      <c r="HEK230" s="32"/>
      <c r="HEL230" s="32"/>
      <c r="HEM230" s="31"/>
      <c r="HEN230" s="31"/>
      <c r="HEO230" s="33"/>
      <c r="HEP230" s="33"/>
      <c r="HEQ230" s="34"/>
      <c r="HER230" s="34"/>
      <c r="HES230" s="35"/>
      <c r="HET230" s="35"/>
      <c r="HEU230" s="32"/>
      <c r="HEV230" s="31"/>
      <c r="HEW230" s="31"/>
      <c r="HEX230" s="31"/>
      <c r="HEY230" s="32"/>
      <c r="HEZ230" s="32"/>
      <c r="HFA230" s="32"/>
      <c r="HFB230" s="32"/>
      <c r="HFC230" s="32"/>
      <c r="HFD230" s="31"/>
      <c r="HFE230" s="31"/>
      <c r="HFF230" s="33"/>
      <c r="HFG230" s="33"/>
      <c r="HFH230" s="34"/>
      <c r="HFI230" s="34"/>
      <c r="HFJ230" s="35"/>
      <c r="HFK230" s="35"/>
      <c r="HFL230" s="32"/>
      <c r="HFM230" s="31"/>
      <c r="HFN230" s="31"/>
      <c r="HFO230" s="31"/>
      <c r="HFP230" s="32"/>
      <c r="HFQ230" s="32"/>
      <c r="HFR230" s="32"/>
      <c r="HFS230" s="32"/>
      <c r="HFT230" s="32"/>
      <c r="HFU230" s="31"/>
      <c r="HFV230" s="31"/>
      <c r="HFW230" s="33"/>
      <c r="HFX230" s="33"/>
      <c r="HFY230" s="34"/>
      <c r="HFZ230" s="34"/>
      <c r="HGA230" s="35"/>
      <c r="HGB230" s="35"/>
      <c r="HGC230" s="32"/>
      <c r="HGD230" s="31"/>
      <c r="HGE230" s="31"/>
      <c r="HGF230" s="31"/>
      <c r="HGG230" s="32"/>
      <c r="HGH230" s="32"/>
      <c r="HGI230" s="32"/>
      <c r="HGJ230" s="32"/>
      <c r="HGK230" s="32"/>
      <c r="HGL230" s="31"/>
      <c r="HGM230" s="31"/>
      <c r="HGN230" s="33"/>
      <c r="HGO230" s="33"/>
      <c r="HGP230" s="34"/>
      <c r="HGQ230" s="34"/>
      <c r="HGR230" s="35"/>
      <c r="HGS230" s="35"/>
      <c r="HGT230" s="32"/>
      <c r="HGU230" s="31"/>
      <c r="HGV230" s="31"/>
      <c r="HGW230" s="31"/>
      <c r="HGX230" s="32"/>
      <c r="HGY230" s="32"/>
      <c r="HGZ230" s="32"/>
      <c r="HHA230" s="32"/>
      <c r="HHB230" s="32"/>
      <c r="HHC230" s="31"/>
      <c r="HHD230" s="31"/>
      <c r="HHE230" s="33"/>
      <c r="HHF230" s="33"/>
      <c r="HHG230" s="34"/>
      <c r="HHH230" s="34"/>
      <c r="HHI230" s="35"/>
      <c r="HHJ230" s="35"/>
      <c r="HHK230" s="32"/>
      <c r="HHL230" s="31"/>
      <c r="HHM230" s="31"/>
      <c r="HHN230" s="31"/>
      <c r="HHO230" s="32"/>
      <c r="HHP230" s="32"/>
      <c r="HHQ230" s="32"/>
      <c r="HHR230" s="32"/>
      <c r="HHS230" s="32"/>
      <c r="HHT230" s="31"/>
      <c r="HHU230" s="31"/>
      <c r="HHV230" s="33"/>
      <c r="HHW230" s="33"/>
      <c r="HHX230" s="34"/>
      <c r="HHY230" s="34"/>
      <c r="HHZ230" s="35"/>
      <c r="HIA230" s="35"/>
      <c r="HIB230" s="32"/>
      <c r="HIC230" s="31"/>
      <c r="HID230" s="31"/>
      <c r="HIE230" s="31"/>
      <c r="HIF230" s="32"/>
      <c r="HIG230" s="32"/>
      <c r="HIH230" s="32"/>
      <c r="HII230" s="32"/>
      <c r="HIJ230" s="32"/>
      <c r="HIK230" s="31"/>
      <c r="HIL230" s="31"/>
      <c r="HIM230" s="33"/>
      <c r="HIN230" s="33"/>
      <c r="HIO230" s="34"/>
      <c r="HIP230" s="34"/>
      <c r="HIQ230" s="35"/>
      <c r="HIR230" s="35"/>
      <c r="HIS230" s="32"/>
      <c r="HIT230" s="31"/>
      <c r="HIU230" s="31"/>
      <c r="HIV230" s="31"/>
      <c r="HIW230" s="32"/>
      <c r="HIX230" s="32"/>
      <c r="HIY230" s="32"/>
      <c r="HIZ230" s="32"/>
      <c r="HJA230" s="32"/>
      <c r="HJB230" s="31"/>
      <c r="HJC230" s="31"/>
      <c r="HJD230" s="33"/>
      <c r="HJE230" s="33"/>
      <c r="HJF230" s="34"/>
      <c r="HJG230" s="34"/>
      <c r="HJH230" s="35"/>
      <c r="HJI230" s="35"/>
      <c r="HJJ230" s="32"/>
      <c r="HJK230" s="31"/>
      <c r="HJL230" s="31"/>
      <c r="HJM230" s="31"/>
      <c r="HJN230" s="32"/>
      <c r="HJO230" s="32"/>
      <c r="HJP230" s="32"/>
      <c r="HJQ230" s="32"/>
      <c r="HJR230" s="32"/>
      <c r="HJS230" s="31"/>
      <c r="HJT230" s="31"/>
      <c r="HJU230" s="33"/>
      <c r="HJV230" s="33"/>
      <c r="HJW230" s="34"/>
      <c r="HJX230" s="34"/>
      <c r="HJY230" s="35"/>
      <c r="HJZ230" s="35"/>
      <c r="HKA230" s="32"/>
      <c r="HKB230" s="31"/>
      <c r="HKC230" s="31"/>
      <c r="HKD230" s="31"/>
      <c r="HKE230" s="32"/>
      <c r="HKF230" s="32"/>
      <c r="HKG230" s="32"/>
      <c r="HKH230" s="32"/>
      <c r="HKI230" s="32"/>
      <c r="HKJ230" s="31"/>
      <c r="HKK230" s="31"/>
      <c r="HKL230" s="33"/>
      <c r="HKM230" s="33"/>
      <c r="HKN230" s="34"/>
      <c r="HKO230" s="34"/>
      <c r="HKP230" s="35"/>
      <c r="HKQ230" s="35"/>
      <c r="HKR230" s="32"/>
      <c r="HKS230" s="31"/>
      <c r="HKT230" s="31"/>
      <c r="HKU230" s="31"/>
      <c r="HKV230" s="32"/>
      <c r="HKW230" s="32"/>
      <c r="HKX230" s="32"/>
      <c r="HKY230" s="32"/>
      <c r="HKZ230" s="32"/>
      <c r="HLA230" s="31"/>
      <c r="HLB230" s="31"/>
      <c r="HLC230" s="33"/>
      <c r="HLD230" s="33"/>
      <c r="HLE230" s="34"/>
      <c r="HLF230" s="34"/>
      <c r="HLG230" s="35"/>
      <c r="HLH230" s="35"/>
      <c r="HLI230" s="32"/>
      <c r="HLJ230" s="31"/>
      <c r="HLK230" s="31"/>
      <c r="HLL230" s="31"/>
      <c r="HLM230" s="32"/>
      <c r="HLN230" s="32"/>
      <c r="HLO230" s="32"/>
      <c r="HLP230" s="32"/>
      <c r="HLQ230" s="32"/>
      <c r="HLR230" s="31"/>
      <c r="HLS230" s="31"/>
      <c r="HLT230" s="33"/>
      <c r="HLU230" s="33"/>
      <c r="HLV230" s="34"/>
      <c r="HLW230" s="34"/>
      <c r="HLX230" s="35"/>
      <c r="HLY230" s="35"/>
      <c r="HLZ230" s="32"/>
      <c r="HMA230" s="31"/>
      <c r="HMB230" s="31"/>
      <c r="HMC230" s="31"/>
      <c r="HMD230" s="32"/>
      <c r="HME230" s="32"/>
      <c r="HMF230" s="32"/>
      <c r="HMG230" s="32"/>
      <c r="HMH230" s="32"/>
      <c r="HMI230" s="31"/>
      <c r="HMJ230" s="31"/>
      <c r="HMK230" s="33"/>
      <c r="HML230" s="33"/>
      <c r="HMM230" s="34"/>
      <c r="HMN230" s="34"/>
      <c r="HMO230" s="35"/>
      <c r="HMP230" s="35"/>
      <c r="HMQ230" s="32"/>
      <c r="HMR230" s="31"/>
      <c r="HMS230" s="31"/>
      <c r="HMT230" s="31"/>
      <c r="HMU230" s="32"/>
      <c r="HMV230" s="32"/>
      <c r="HMW230" s="32"/>
      <c r="HMX230" s="32"/>
      <c r="HMY230" s="32"/>
      <c r="HMZ230" s="31"/>
      <c r="HNA230" s="31"/>
      <c r="HNB230" s="33"/>
      <c r="HNC230" s="33"/>
      <c r="HND230" s="34"/>
      <c r="HNE230" s="34"/>
      <c r="HNF230" s="35"/>
      <c r="HNG230" s="35"/>
      <c r="HNH230" s="32"/>
      <c r="HNI230" s="31"/>
      <c r="HNJ230" s="31"/>
      <c r="HNK230" s="31"/>
      <c r="HNL230" s="32"/>
      <c r="HNM230" s="32"/>
      <c r="HNN230" s="32"/>
      <c r="HNO230" s="32"/>
      <c r="HNP230" s="32"/>
      <c r="HNQ230" s="31"/>
      <c r="HNR230" s="31"/>
      <c r="HNS230" s="33"/>
      <c r="HNT230" s="33"/>
      <c r="HNU230" s="34"/>
      <c r="HNV230" s="34"/>
      <c r="HNW230" s="35"/>
      <c r="HNX230" s="35"/>
      <c r="HNY230" s="32"/>
      <c r="HNZ230" s="31"/>
      <c r="HOA230" s="31"/>
      <c r="HOB230" s="31"/>
      <c r="HOC230" s="32"/>
      <c r="HOD230" s="32"/>
      <c r="HOE230" s="32"/>
      <c r="HOF230" s="32"/>
      <c r="HOG230" s="32"/>
      <c r="HOH230" s="31"/>
      <c r="HOI230" s="31"/>
      <c r="HOJ230" s="33"/>
      <c r="HOK230" s="33"/>
      <c r="HOL230" s="34"/>
      <c r="HOM230" s="34"/>
      <c r="HON230" s="35"/>
      <c r="HOO230" s="35"/>
      <c r="HOP230" s="32"/>
      <c r="HOQ230" s="31"/>
      <c r="HOR230" s="31"/>
      <c r="HOS230" s="31"/>
      <c r="HOT230" s="32"/>
      <c r="HOU230" s="32"/>
      <c r="HOV230" s="32"/>
      <c r="HOW230" s="32"/>
      <c r="HOX230" s="32"/>
      <c r="HOY230" s="31"/>
      <c r="HOZ230" s="31"/>
      <c r="HPA230" s="33"/>
      <c r="HPB230" s="33"/>
      <c r="HPC230" s="34"/>
      <c r="HPD230" s="34"/>
      <c r="HPE230" s="35"/>
      <c r="HPF230" s="35"/>
      <c r="HPG230" s="32"/>
      <c r="HPH230" s="31"/>
      <c r="HPI230" s="31"/>
      <c r="HPJ230" s="31"/>
      <c r="HPK230" s="32"/>
      <c r="HPL230" s="32"/>
      <c r="HPM230" s="32"/>
      <c r="HPN230" s="32"/>
      <c r="HPO230" s="32"/>
      <c r="HPP230" s="31"/>
      <c r="HPQ230" s="31"/>
      <c r="HPR230" s="33"/>
      <c r="HPS230" s="33"/>
      <c r="HPT230" s="34"/>
      <c r="HPU230" s="34"/>
      <c r="HPV230" s="35"/>
      <c r="HPW230" s="35"/>
      <c r="HPX230" s="32"/>
      <c r="HPY230" s="31"/>
      <c r="HPZ230" s="31"/>
      <c r="HQA230" s="31"/>
      <c r="HQB230" s="32"/>
      <c r="HQC230" s="32"/>
      <c r="HQD230" s="32"/>
      <c r="HQE230" s="32"/>
      <c r="HQF230" s="32"/>
      <c r="HQG230" s="31"/>
      <c r="HQH230" s="31"/>
      <c r="HQI230" s="33"/>
      <c r="HQJ230" s="33"/>
      <c r="HQK230" s="34"/>
      <c r="HQL230" s="34"/>
      <c r="HQM230" s="35"/>
      <c r="HQN230" s="35"/>
      <c r="HQO230" s="32"/>
      <c r="HQP230" s="31"/>
      <c r="HQQ230" s="31"/>
      <c r="HQR230" s="31"/>
      <c r="HQS230" s="32"/>
      <c r="HQT230" s="32"/>
      <c r="HQU230" s="32"/>
      <c r="HQV230" s="32"/>
      <c r="HQW230" s="32"/>
      <c r="HQX230" s="31"/>
      <c r="HQY230" s="31"/>
      <c r="HQZ230" s="33"/>
      <c r="HRA230" s="33"/>
      <c r="HRB230" s="34"/>
      <c r="HRC230" s="34"/>
      <c r="HRD230" s="35"/>
      <c r="HRE230" s="35"/>
      <c r="HRF230" s="32"/>
      <c r="HRG230" s="31"/>
      <c r="HRH230" s="31"/>
      <c r="HRI230" s="31"/>
      <c r="HRJ230" s="32"/>
      <c r="HRK230" s="32"/>
      <c r="HRL230" s="32"/>
      <c r="HRM230" s="32"/>
      <c r="HRN230" s="32"/>
      <c r="HRO230" s="31"/>
      <c r="HRP230" s="31"/>
      <c r="HRQ230" s="33"/>
      <c r="HRR230" s="33"/>
      <c r="HRS230" s="34"/>
      <c r="HRT230" s="34"/>
      <c r="HRU230" s="35"/>
      <c r="HRV230" s="35"/>
      <c r="HRW230" s="32"/>
      <c r="HRX230" s="31"/>
      <c r="HRY230" s="31"/>
      <c r="HRZ230" s="31"/>
      <c r="HSA230" s="32"/>
      <c r="HSB230" s="32"/>
      <c r="HSC230" s="32"/>
      <c r="HSD230" s="32"/>
      <c r="HSE230" s="32"/>
      <c r="HSF230" s="31"/>
      <c r="HSG230" s="31"/>
      <c r="HSH230" s="33"/>
      <c r="HSI230" s="33"/>
      <c r="HSJ230" s="34"/>
      <c r="HSK230" s="34"/>
      <c r="HSL230" s="35"/>
      <c r="HSM230" s="35"/>
      <c r="HSN230" s="32"/>
      <c r="HSO230" s="31"/>
      <c r="HSP230" s="31"/>
      <c r="HSQ230" s="31"/>
      <c r="HSR230" s="32"/>
      <c r="HSS230" s="32"/>
      <c r="HST230" s="32"/>
      <c r="HSU230" s="32"/>
      <c r="HSV230" s="32"/>
      <c r="HSW230" s="31"/>
      <c r="HSX230" s="31"/>
      <c r="HSY230" s="33"/>
      <c r="HSZ230" s="33"/>
      <c r="HTA230" s="34"/>
      <c r="HTB230" s="34"/>
      <c r="HTC230" s="35"/>
      <c r="HTD230" s="35"/>
      <c r="HTE230" s="32"/>
      <c r="HTF230" s="31"/>
      <c r="HTG230" s="31"/>
      <c r="HTH230" s="31"/>
      <c r="HTI230" s="32"/>
      <c r="HTJ230" s="32"/>
      <c r="HTK230" s="32"/>
      <c r="HTL230" s="32"/>
      <c r="HTM230" s="32"/>
      <c r="HTN230" s="31"/>
      <c r="HTO230" s="31"/>
      <c r="HTP230" s="33"/>
      <c r="HTQ230" s="33"/>
      <c r="HTR230" s="34"/>
      <c r="HTS230" s="34"/>
      <c r="HTT230" s="35"/>
      <c r="HTU230" s="35"/>
      <c r="HTV230" s="32"/>
      <c r="HTW230" s="31"/>
      <c r="HTX230" s="31"/>
      <c r="HTY230" s="31"/>
      <c r="HTZ230" s="32"/>
      <c r="HUA230" s="32"/>
      <c r="HUB230" s="32"/>
      <c r="HUC230" s="32"/>
      <c r="HUD230" s="32"/>
      <c r="HUE230" s="31"/>
      <c r="HUF230" s="31"/>
      <c r="HUG230" s="33"/>
      <c r="HUH230" s="33"/>
      <c r="HUI230" s="34"/>
      <c r="HUJ230" s="34"/>
      <c r="HUK230" s="35"/>
      <c r="HUL230" s="35"/>
      <c r="HUM230" s="32"/>
      <c r="HUN230" s="31"/>
      <c r="HUO230" s="31"/>
      <c r="HUP230" s="31"/>
      <c r="HUQ230" s="32"/>
      <c r="HUR230" s="32"/>
      <c r="HUS230" s="32"/>
      <c r="HUT230" s="32"/>
      <c r="HUU230" s="32"/>
      <c r="HUV230" s="31"/>
      <c r="HUW230" s="31"/>
      <c r="HUX230" s="33"/>
      <c r="HUY230" s="33"/>
      <c r="HUZ230" s="34"/>
      <c r="HVA230" s="34"/>
      <c r="HVB230" s="35"/>
      <c r="HVC230" s="35"/>
      <c r="HVD230" s="32"/>
      <c r="HVE230" s="31"/>
      <c r="HVF230" s="31"/>
      <c r="HVG230" s="31"/>
      <c r="HVH230" s="32"/>
      <c r="HVI230" s="32"/>
      <c r="HVJ230" s="32"/>
      <c r="HVK230" s="32"/>
      <c r="HVL230" s="32"/>
      <c r="HVM230" s="31"/>
      <c r="HVN230" s="31"/>
      <c r="HVO230" s="33"/>
      <c r="HVP230" s="33"/>
      <c r="HVQ230" s="34"/>
      <c r="HVR230" s="34"/>
      <c r="HVS230" s="35"/>
      <c r="HVT230" s="35"/>
      <c r="HVU230" s="32"/>
      <c r="HVV230" s="31"/>
      <c r="HVW230" s="31"/>
      <c r="HVX230" s="31"/>
      <c r="HVY230" s="32"/>
      <c r="HVZ230" s="32"/>
      <c r="HWA230" s="32"/>
      <c r="HWB230" s="32"/>
      <c r="HWC230" s="32"/>
      <c r="HWD230" s="31"/>
      <c r="HWE230" s="31"/>
      <c r="HWF230" s="33"/>
      <c r="HWG230" s="33"/>
      <c r="HWH230" s="34"/>
      <c r="HWI230" s="34"/>
      <c r="HWJ230" s="35"/>
      <c r="HWK230" s="35"/>
      <c r="HWL230" s="32"/>
      <c r="HWM230" s="31"/>
      <c r="HWN230" s="31"/>
      <c r="HWO230" s="31"/>
      <c r="HWP230" s="32"/>
      <c r="HWQ230" s="32"/>
      <c r="HWR230" s="32"/>
      <c r="HWS230" s="32"/>
      <c r="HWT230" s="32"/>
      <c r="HWU230" s="31"/>
      <c r="HWV230" s="31"/>
      <c r="HWW230" s="33"/>
      <c r="HWX230" s="33"/>
      <c r="HWY230" s="34"/>
      <c r="HWZ230" s="34"/>
      <c r="HXA230" s="35"/>
      <c r="HXB230" s="35"/>
      <c r="HXC230" s="32"/>
      <c r="HXD230" s="31"/>
      <c r="HXE230" s="31"/>
      <c r="HXF230" s="31"/>
      <c r="HXG230" s="32"/>
      <c r="HXH230" s="32"/>
      <c r="HXI230" s="32"/>
      <c r="HXJ230" s="32"/>
      <c r="HXK230" s="32"/>
      <c r="HXL230" s="31"/>
      <c r="HXM230" s="31"/>
      <c r="HXN230" s="33"/>
      <c r="HXO230" s="33"/>
      <c r="HXP230" s="34"/>
      <c r="HXQ230" s="34"/>
      <c r="HXR230" s="35"/>
      <c r="HXS230" s="35"/>
      <c r="HXT230" s="32"/>
      <c r="HXU230" s="31"/>
      <c r="HXV230" s="31"/>
      <c r="HXW230" s="31"/>
      <c r="HXX230" s="32"/>
      <c r="HXY230" s="32"/>
      <c r="HXZ230" s="32"/>
      <c r="HYA230" s="32"/>
      <c r="HYB230" s="32"/>
      <c r="HYC230" s="31"/>
      <c r="HYD230" s="31"/>
      <c r="HYE230" s="33"/>
      <c r="HYF230" s="33"/>
      <c r="HYG230" s="34"/>
      <c r="HYH230" s="34"/>
      <c r="HYI230" s="35"/>
      <c r="HYJ230" s="35"/>
      <c r="HYK230" s="32"/>
      <c r="HYL230" s="31"/>
      <c r="HYM230" s="31"/>
      <c r="HYN230" s="31"/>
      <c r="HYO230" s="32"/>
      <c r="HYP230" s="32"/>
      <c r="HYQ230" s="32"/>
      <c r="HYR230" s="32"/>
      <c r="HYS230" s="32"/>
      <c r="HYT230" s="31"/>
      <c r="HYU230" s="31"/>
      <c r="HYV230" s="33"/>
      <c r="HYW230" s="33"/>
      <c r="HYX230" s="34"/>
      <c r="HYY230" s="34"/>
      <c r="HYZ230" s="35"/>
      <c r="HZA230" s="35"/>
      <c r="HZB230" s="32"/>
      <c r="HZC230" s="31"/>
      <c r="HZD230" s="31"/>
      <c r="HZE230" s="31"/>
      <c r="HZF230" s="32"/>
      <c r="HZG230" s="32"/>
      <c r="HZH230" s="32"/>
      <c r="HZI230" s="32"/>
      <c r="HZJ230" s="32"/>
      <c r="HZK230" s="31"/>
      <c r="HZL230" s="31"/>
      <c r="HZM230" s="33"/>
      <c r="HZN230" s="33"/>
      <c r="HZO230" s="34"/>
      <c r="HZP230" s="34"/>
      <c r="HZQ230" s="35"/>
      <c r="HZR230" s="35"/>
      <c r="HZS230" s="32"/>
      <c r="HZT230" s="31"/>
      <c r="HZU230" s="31"/>
      <c r="HZV230" s="31"/>
      <c r="HZW230" s="32"/>
      <c r="HZX230" s="32"/>
      <c r="HZY230" s="32"/>
      <c r="HZZ230" s="32"/>
      <c r="IAA230" s="32"/>
      <c r="IAB230" s="31"/>
      <c r="IAC230" s="31"/>
      <c r="IAD230" s="33"/>
      <c r="IAE230" s="33"/>
      <c r="IAF230" s="34"/>
      <c r="IAG230" s="34"/>
      <c r="IAH230" s="35"/>
      <c r="IAI230" s="35"/>
      <c r="IAJ230" s="32"/>
      <c r="IAK230" s="31"/>
      <c r="IAL230" s="31"/>
      <c r="IAM230" s="31"/>
      <c r="IAN230" s="32"/>
      <c r="IAO230" s="32"/>
      <c r="IAP230" s="32"/>
      <c r="IAQ230" s="32"/>
      <c r="IAR230" s="32"/>
      <c r="IAS230" s="31"/>
      <c r="IAT230" s="31"/>
      <c r="IAU230" s="33"/>
      <c r="IAV230" s="33"/>
      <c r="IAW230" s="34"/>
      <c r="IAX230" s="34"/>
      <c r="IAY230" s="35"/>
      <c r="IAZ230" s="35"/>
      <c r="IBA230" s="32"/>
      <c r="IBB230" s="31"/>
      <c r="IBC230" s="31"/>
      <c r="IBD230" s="31"/>
      <c r="IBE230" s="32"/>
      <c r="IBF230" s="32"/>
      <c r="IBG230" s="32"/>
      <c r="IBH230" s="32"/>
      <c r="IBI230" s="32"/>
      <c r="IBJ230" s="31"/>
      <c r="IBK230" s="31"/>
      <c r="IBL230" s="33"/>
      <c r="IBM230" s="33"/>
      <c r="IBN230" s="34"/>
      <c r="IBO230" s="34"/>
      <c r="IBP230" s="35"/>
      <c r="IBQ230" s="35"/>
      <c r="IBR230" s="32"/>
      <c r="IBS230" s="31"/>
      <c r="IBT230" s="31"/>
      <c r="IBU230" s="31"/>
      <c r="IBV230" s="32"/>
      <c r="IBW230" s="32"/>
      <c r="IBX230" s="32"/>
      <c r="IBY230" s="32"/>
      <c r="IBZ230" s="32"/>
      <c r="ICA230" s="31"/>
      <c r="ICB230" s="31"/>
      <c r="ICC230" s="33"/>
      <c r="ICD230" s="33"/>
      <c r="ICE230" s="34"/>
      <c r="ICF230" s="34"/>
      <c r="ICG230" s="35"/>
      <c r="ICH230" s="35"/>
      <c r="ICI230" s="32"/>
      <c r="ICJ230" s="31"/>
      <c r="ICK230" s="31"/>
      <c r="ICL230" s="31"/>
      <c r="ICM230" s="32"/>
      <c r="ICN230" s="32"/>
      <c r="ICO230" s="32"/>
      <c r="ICP230" s="32"/>
      <c r="ICQ230" s="32"/>
      <c r="ICR230" s="31"/>
      <c r="ICS230" s="31"/>
      <c r="ICT230" s="33"/>
      <c r="ICU230" s="33"/>
      <c r="ICV230" s="34"/>
      <c r="ICW230" s="34"/>
      <c r="ICX230" s="35"/>
      <c r="ICY230" s="35"/>
      <c r="ICZ230" s="32"/>
      <c r="IDA230" s="31"/>
      <c r="IDB230" s="31"/>
      <c r="IDC230" s="31"/>
      <c r="IDD230" s="32"/>
      <c r="IDE230" s="32"/>
      <c r="IDF230" s="32"/>
      <c r="IDG230" s="32"/>
      <c r="IDH230" s="32"/>
      <c r="IDI230" s="31"/>
      <c r="IDJ230" s="31"/>
      <c r="IDK230" s="33"/>
      <c r="IDL230" s="33"/>
      <c r="IDM230" s="34"/>
      <c r="IDN230" s="34"/>
      <c r="IDO230" s="35"/>
      <c r="IDP230" s="35"/>
      <c r="IDQ230" s="32"/>
      <c r="IDR230" s="31"/>
      <c r="IDS230" s="31"/>
      <c r="IDT230" s="31"/>
      <c r="IDU230" s="32"/>
      <c r="IDV230" s="32"/>
      <c r="IDW230" s="32"/>
      <c r="IDX230" s="32"/>
      <c r="IDY230" s="32"/>
      <c r="IDZ230" s="31"/>
      <c r="IEA230" s="31"/>
      <c r="IEB230" s="33"/>
      <c r="IEC230" s="33"/>
      <c r="IED230" s="34"/>
      <c r="IEE230" s="34"/>
      <c r="IEF230" s="35"/>
      <c r="IEG230" s="35"/>
      <c r="IEH230" s="32"/>
      <c r="IEI230" s="31"/>
      <c r="IEJ230" s="31"/>
      <c r="IEK230" s="31"/>
      <c r="IEL230" s="32"/>
      <c r="IEM230" s="32"/>
      <c r="IEN230" s="32"/>
      <c r="IEO230" s="32"/>
      <c r="IEP230" s="32"/>
      <c r="IEQ230" s="31"/>
      <c r="IER230" s="31"/>
      <c r="IES230" s="33"/>
      <c r="IET230" s="33"/>
      <c r="IEU230" s="34"/>
      <c r="IEV230" s="34"/>
      <c r="IEW230" s="35"/>
      <c r="IEX230" s="35"/>
      <c r="IEY230" s="32"/>
      <c r="IEZ230" s="31"/>
      <c r="IFA230" s="31"/>
      <c r="IFB230" s="31"/>
      <c r="IFC230" s="32"/>
      <c r="IFD230" s="32"/>
      <c r="IFE230" s="32"/>
      <c r="IFF230" s="32"/>
      <c r="IFG230" s="32"/>
      <c r="IFH230" s="31"/>
      <c r="IFI230" s="31"/>
      <c r="IFJ230" s="33"/>
      <c r="IFK230" s="33"/>
      <c r="IFL230" s="34"/>
      <c r="IFM230" s="34"/>
      <c r="IFN230" s="35"/>
      <c r="IFO230" s="35"/>
      <c r="IFP230" s="32"/>
      <c r="IFQ230" s="31"/>
      <c r="IFR230" s="31"/>
      <c r="IFS230" s="31"/>
      <c r="IFT230" s="32"/>
      <c r="IFU230" s="32"/>
      <c r="IFV230" s="32"/>
      <c r="IFW230" s="32"/>
      <c r="IFX230" s="32"/>
      <c r="IFY230" s="31"/>
      <c r="IFZ230" s="31"/>
      <c r="IGA230" s="33"/>
      <c r="IGB230" s="33"/>
      <c r="IGC230" s="34"/>
      <c r="IGD230" s="34"/>
      <c r="IGE230" s="35"/>
      <c r="IGF230" s="35"/>
      <c r="IGG230" s="32"/>
      <c r="IGH230" s="31"/>
      <c r="IGI230" s="31"/>
      <c r="IGJ230" s="31"/>
      <c r="IGK230" s="32"/>
      <c r="IGL230" s="32"/>
      <c r="IGM230" s="32"/>
      <c r="IGN230" s="32"/>
      <c r="IGO230" s="32"/>
      <c r="IGP230" s="31"/>
      <c r="IGQ230" s="31"/>
      <c r="IGR230" s="33"/>
      <c r="IGS230" s="33"/>
      <c r="IGT230" s="34"/>
      <c r="IGU230" s="34"/>
      <c r="IGV230" s="35"/>
      <c r="IGW230" s="35"/>
      <c r="IGX230" s="32"/>
      <c r="IGY230" s="31"/>
      <c r="IGZ230" s="31"/>
      <c r="IHA230" s="31"/>
      <c r="IHB230" s="32"/>
      <c r="IHC230" s="32"/>
      <c r="IHD230" s="32"/>
      <c r="IHE230" s="32"/>
      <c r="IHF230" s="32"/>
      <c r="IHG230" s="31"/>
      <c r="IHH230" s="31"/>
      <c r="IHI230" s="33"/>
      <c r="IHJ230" s="33"/>
      <c r="IHK230" s="34"/>
      <c r="IHL230" s="34"/>
      <c r="IHM230" s="35"/>
      <c r="IHN230" s="35"/>
      <c r="IHO230" s="32"/>
      <c r="IHP230" s="31"/>
      <c r="IHQ230" s="31"/>
      <c r="IHR230" s="31"/>
      <c r="IHS230" s="32"/>
      <c r="IHT230" s="32"/>
      <c r="IHU230" s="32"/>
      <c r="IHV230" s="32"/>
      <c r="IHW230" s="32"/>
      <c r="IHX230" s="31"/>
      <c r="IHY230" s="31"/>
      <c r="IHZ230" s="33"/>
      <c r="IIA230" s="33"/>
      <c r="IIB230" s="34"/>
      <c r="IIC230" s="34"/>
      <c r="IID230" s="35"/>
      <c r="IIE230" s="35"/>
      <c r="IIF230" s="32"/>
      <c r="IIG230" s="31"/>
      <c r="IIH230" s="31"/>
      <c r="III230" s="31"/>
      <c r="IIJ230" s="32"/>
      <c r="IIK230" s="32"/>
      <c r="IIL230" s="32"/>
      <c r="IIM230" s="32"/>
      <c r="IIN230" s="32"/>
      <c r="IIO230" s="31"/>
      <c r="IIP230" s="31"/>
      <c r="IIQ230" s="33"/>
      <c r="IIR230" s="33"/>
      <c r="IIS230" s="34"/>
      <c r="IIT230" s="34"/>
      <c r="IIU230" s="35"/>
      <c r="IIV230" s="35"/>
      <c r="IIW230" s="32"/>
      <c r="IIX230" s="31"/>
      <c r="IIY230" s="31"/>
      <c r="IIZ230" s="31"/>
      <c r="IJA230" s="32"/>
      <c r="IJB230" s="32"/>
      <c r="IJC230" s="32"/>
      <c r="IJD230" s="32"/>
      <c r="IJE230" s="32"/>
      <c r="IJF230" s="31"/>
      <c r="IJG230" s="31"/>
      <c r="IJH230" s="33"/>
      <c r="IJI230" s="33"/>
      <c r="IJJ230" s="34"/>
      <c r="IJK230" s="34"/>
      <c r="IJL230" s="35"/>
      <c r="IJM230" s="35"/>
      <c r="IJN230" s="32"/>
      <c r="IJO230" s="31"/>
      <c r="IJP230" s="31"/>
      <c r="IJQ230" s="31"/>
      <c r="IJR230" s="32"/>
      <c r="IJS230" s="32"/>
      <c r="IJT230" s="32"/>
      <c r="IJU230" s="32"/>
      <c r="IJV230" s="32"/>
      <c r="IJW230" s="31"/>
      <c r="IJX230" s="31"/>
      <c r="IJY230" s="33"/>
      <c r="IJZ230" s="33"/>
      <c r="IKA230" s="34"/>
      <c r="IKB230" s="34"/>
      <c r="IKC230" s="35"/>
      <c r="IKD230" s="35"/>
      <c r="IKE230" s="32"/>
      <c r="IKF230" s="31"/>
      <c r="IKG230" s="31"/>
      <c r="IKH230" s="31"/>
      <c r="IKI230" s="32"/>
      <c r="IKJ230" s="32"/>
      <c r="IKK230" s="32"/>
      <c r="IKL230" s="32"/>
      <c r="IKM230" s="32"/>
      <c r="IKN230" s="31"/>
      <c r="IKO230" s="31"/>
      <c r="IKP230" s="33"/>
      <c r="IKQ230" s="33"/>
      <c r="IKR230" s="34"/>
      <c r="IKS230" s="34"/>
      <c r="IKT230" s="35"/>
      <c r="IKU230" s="35"/>
      <c r="IKV230" s="32"/>
      <c r="IKW230" s="31"/>
      <c r="IKX230" s="31"/>
      <c r="IKY230" s="31"/>
      <c r="IKZ230" s="32"/>
      <c r="ILA230" s="32"/>
      <c r="ILB230" s="32"/>
      <c r="ILC230" s="32"/>
      <c r="ILD230" s="32"/>
      <c r="ILE230" s="31"/>
      <c r="ILF230" s="31"/>
      <c r="ILG230" s="33"/>
      <c r="ILH230" s="33"/>
      <c r="ILI230" s="34"/>
      <c r="ILJ230" s="34"/>
      <c r="ILK230" s="35"/>
      <c r="ILL230" s="35"/>
      <c r="ILM230" s="32"/>
      <c r="ILN230" s="31"/>
      <c r="ILO230" s="31"/>
      <c r="ILP230" s="31"/>
      <c r="ILQ230" s="32"/>
      <c r="ILR230" s="32"/>
      <c r="ILS230" s="32"/>
      <c r="ILT230" s="32"/>
      <c r="ILU230" s="32"/>
      <c r="ILV230" s="31"/>
      <c r="ILW230" s="31"/>
      <c r="ILX230" s="33"/>
      <c r="ILY230" s="33"/>
      <c r="ILZ230" s="34"/>
      <c r="IMA230" s="34"/>
      <c r="IMB230" s="35"/>
      <c r="IMC230" s="35"/>
      <c r="IMD230" s="32"/>
      <c r="IME230" s="31"/>
      <c r="IMF230" s="31"/>
      <c r="IMG230" s="31"/>
      <c r="IMH230" s="32"/>
      <c r="IMI230" s="32"/>
      <c r="IMJ230" s="32"/>
      <c r="IMK230" s="32"/>
      <c r="IML230" s="32"/>
      <c r="IMM230" s="31"/>
      <c r="IMN230" s="31"/>
      <c r="IMO230" s="33"/>
      <c r="IMP230" s="33"/>
      <c r="IMQ230" s="34"/>
      <c r="IMR230" s="34"/>
      <c r="IMS230" s="35"/>
      <c r="IMT230" s="35"/>
      <c r="IMU230" s="32"/>
      <c r="IMV230" s="31"/>
      <c r="IMW230" s="31"/>
      <c r="IMX230" s="31"/>
      <c r="IMY230" s="32"/>
      <c r="IMZ230" s="32"/>
      <c r="INA230" s="32"/>
      <c r="INB230" s="32"/>
      <c r="INC230" s="32"/>
      <c r="IND230" s="31"/>
      <c r="INE230" s="31"/>
      <c r="INF230" s="33"/>
      <c r="ING230" s="33"/>
      <c r="INH230" s="34"/>
      <c r="INI230" s="34"/>
      <c r="INJ230" s="35"/>
      <c r="INK230" s="35"/>
      <c r="INL230" s="32"/>
      <c r="INM230" s="31"/>
      <c r="INN230" s="31"/>
      <c r="INO230" s="31"/>
      <c r="INP230" s="32"/>
      <c r="INQ230" s="32"/>
      <c r="INR230" s="32"/>
      <c r="INS230" s="32"/>
      <c r="INT230" s="32"/>
      <c r="INU230" s="31"/>
      <c r="INV230" s="31"/>
      <c r="INW230" s="33"/>
      <c r="INX230" s="33"/>
      <c r="INY230" s="34"/>
      <c r="INZ230" s="34"/>
      <c r="IOA230" s="35"/>
      <c r="IOB230" s="35"/>
      <c r="IOC230" s="32"/>
      <c r="IOD230" s="31"/>
      <c r="IOE230" s="31"/>
      <c r="IOF230" s="31"/>
      <c r="IOG230" s="32"/>
      <c r="IOH230" s="32"/>
      <c r="IOI230" s="32"/>
      <c r="IOJ230" s="32"/>
      <c r="IOK230" s="32"/>
      <c r="IOL230" s="31"/>
      <c r="IOM230" s="31"/>
      <c r="ION230" s="33"/>
      <c r="IOO230" s="33"/>
      <c r="IOP230" s="34"/>
      <c r="IOQ230" s="34"/>
      <c r="IOR230" s="35"/>
      <c r="IOS230" s="35"/>
      <c r="IOT230" s="32"/>
      <c r="IOU230" s="31"/>
      <c r="IOV230" s="31"/>
      <c r="IOW230" s="31"/>
      <c r="IOX230" s="32"/>
      <c r="IOY230" s="32"/>
      <c r="IOZ230" s="32"/>
      <c r="IPA230" s="32"/>
      <c r="IPB230" s="32"/>
      <c r="IPC230" s="31"/>
      <c r="IPD230" s="31"/>
      <c r="IPE230" s="33"/>
      <c r="IPF230" s="33"/>
      <c r="IPG230" s="34"/>
      <c r="IPH230" s="34"/>
      <c r="IPI230" s="35"/>
      <c r="IPJ230" s="35"/>
      <c r="IPK230" s="32"/>
      <c r="IPL230" s="31"/>
      <c r="IPM230" s="31"/>
      <c r="IPN230" s="31"/>
      <c r="IPO230" s="32"/>
      <c r="IPP230" s="32"/>
      <c r="IPQ230" s="32"/>
      <c r="IPR230" s="32"/>
      <c r="IPS230" s="32"/>
      <c r="IPT230" s="31"/>
      <c r="IPU230" s="31"/>
      <c r="IPV230" s="33"/>
      <c r="IPW230" s="33"/>
      <c r="IPX230" s="34"/>
      <c r="IPY230" s="34"/>
      <c r="IPZ230" s="35"/>
      <c r="IQA230" s="35"/>
      <c r="IQB230" s="32"/>
      <c r="IQC230" s="31"/>
      <c r="IQD230" s="31"/>
      <c r="IQE230" s="31"/>
      <c r="IQF230" s="32"/>
      <c r="IQG230" s="32"/>
      <c r="IQH230" s="32"/>
      <c r="IQI230" s="32"/>
      <c r="IQJ230" s="32"/>
      <c r="IQK230" s="31"/>
      <c r="IQL230" s="31"/>
      <c r="IQM230" s="33"/>
      <c r="IQN230" s="33"/>
      <c r="IQO230" s="34"/>
      <c r="IQP230" s="34"/>
      <c r="IQQ230" s="35"/>
      <c r="IQR230" s="35"/>
      <c r="IQS230" s="32"/>
      <c r="IQT230" s="31"/>
      <c r="IQU230" s="31"/>
      <c r="IQV230" s="31"/>
      <c r="IQW230" s="32"/>
      <c r="IQX230" s="32"/>
      <c r="IQY230" s="32"/>
      <c r="IQZ230" s="32"/>
      <c r="IRA230" s="32"/>
      <c r="IRB230" s="31"/>
      <c r="IRC230" s="31"/>
      <c r="IRD230" s="33"/>
      <c r="IRE230" s="33"/>
      <c r="IRF230" s="34"/>
      <c r="IRG230" s="34"/>
      <c r="IRH230" s="35"/>
      <c r="IRI230" s="35"/>
      <c r="IRJ230" s="32"/>
      <c r="IRK230" s="31"/>
      <c r="IRL230" s="31"/>
      <c r="IRM230" s="31"/>
      <c r="IRN230" s="32"/>
      <c r="IRO230" s="32"/>
      <c r="IRP230" s="32"/>
      <c r="IRQ230" s="32"/>
      <c r="IRR230" s="32"/>
      <c r="IRS230" s="31"/>
      <c r="IRT230" s="31"/>
      <c r="IRU230" s="33"/>
      <c r="IRV230" s="33"/>
      <c r="IRW230" s="34"/>
      <c r="IRX230" s="34"/>
      <c r="IRY230" s="35"/>
      <c r="IRZ230" s="35"/>
      <c r="ISA230" s="32"/>
      <c r="ISB230" s="31"/>
      <c r="ISC230" s="31"/>
      <c r="ISD230" s="31"/>
      <c r="ISE230" s="32"/>
      <c r="ISF230" s="32"/>
      <c r="ISG230" s="32"/>
      <c r="ISH230" s="32"/>
      <c r="ISI230" s="32"/>
      <c r="ISJ230" s="31"/>
      <c r="ISK230" s="31"/>
      <c r="ISL230" s="33"/>
      <c r="ISM230" s="33"/>
      <c r="ISN230" s="34"/>
      <c r="ISO230" s="34"/>
      <c r="ISP230" s="35"/>
      <c r="ISQ230" s="35"/>
      <c r="ISR230" s="32"/>
      <c r="ISS230" s="31"/>
      <c r="IST230" s="31"/>
      <c r="ISU230" s="31"/>
      <c r="ISV230" s="32"/>
      <c r="ISW230" s="32"/>
      <c r="ISX230" s="32"/>
      <c r="ISY230" s="32"/>
      <c r="ISZ230" s="32"/>
      <c r="ITA230" s="31"/>
      <c r="ITB230" s="31"/>
      <c r="ITC230" s="33"/>
      <c r="ITD230" s="33"/>
      <c r="ITE230" s="34"/>
      <c r="ITF230" s="34"/>
      <c r="ITG230" s="35"/>
      <c r="ITH230" s="35"/>
      <c r="ITI230" s="32"/>
      <c r="ITJ230" s="31"/>
      <c r="ITK230" s="31"/>
      <c r="ITL230" s="31"/>
      <c r="ITM230" s="32"/>
      <c r="ITN230" s="32"/>
      <c r="ITO230" s="32"/>
      <c r="ITP230" s="32"/>
      <c r="ITQ230" s="32"/>
      <c r="ITR230" s="31"/>
      <c r="ITS230" s="31"/>
      <c r="ITT230" s="33"/>
      <c r="ITU230" s="33"/>
      <c r="ITV230" s="34"/>
      <c r="ITW230" s="34"/>
      <c r="ITX230" s="35"/>
      <c r="ITY230" s="35"/>
      <c r="ITZ230" s="32"/>
      <c r="IUA230" s="31"/>
      <c r="IUB230" s="31"/>
      <c r="IUC230" s="31"/>
      <c r="IUD230" s="32"/>
      <c r="IUE230" s="32"/>
      <c r="IUF230" s="32"/>
      <c r="IUG230" s="32"/>
      <c r="IUH230" s="32"/>
      <c r="IUI230" s="31"/>
      <c r="IUJ230" s="31"/>
      <c r="IUK230" s="33"/>
      <c r="IUL230" s="33"/>
      <c r="IUM230" s="34"/>
      <c r="IUN230" s="34"/>
      <c r="IUO230" s="35"/>
      <c r="IUP230" s="35"/>
      <c r="IUQ230" s="32"/>
      <c r="IUR230" s="31"/>
      <c r="IUS230" s="31"/>
      <c r="IUT230" s="31"/>
      <c r="IUU230" s="32"/>
      <c r="IUV230" s="32"/>
      <c r="IUW230" s="32"/>
      <c r="IUX230" s="32"/>
      <c r="IUY230" s="32"/>
      <c r="IUZ230" s="31"/>
      <c r="IVA230" s="31"/>
      <c r="IVB230" s="33"/>
      <c r="IVC230" s="33"/>
      <c r="IVD230" s="34"/>
      <c r="IVE230" s="34"/>
      <c r="IVF230" s="35"/>
      <c r="IVG230" s="35"/>
      <c r="IVH230" s="32"/>
      <c r="IVI230" s="31"/>
      <c r="IVJ230" s="31"/>
      <c r="IVK230" s="31"/>
      <c r="IVL230" s="32"/>
      <c r="IVM230" s="32"/>
      <c r="IVN230" s="32"/>
      <c r="IVO230" s="32"/>
      <c r="IVP230" s="32"/>
      <c r="IVQ230" s="31"/>
      <c r="IVR230" s="31"/>
      <c r="IVS230" s="33"/>
      <c r="IVT230" s="33"/>
      <c r="IVU230" s="34"/>
      <c r="IVV230" s="34"/>
      <c r="IVW230" s="35"/>
      <c r="IVX230" s="35"/>
      <c r="IVY230" s="32"/>
      <c r="IVZ230" s="31"/>
      <c r="IWA230" s="31"/>
      <c r="IWB230" s="31"/>
      <c r="IWC230" s="32"/>
      <c r="IWD230" s="32"/>
      <c r="IWE230" s="32"/>
      <c r="IWF230" s="32"/>
      <c r="IWG230" s="32"/>
      <c r="IWH230" s="31"/>
      <c r="IWI230" s="31"/>
      <c r="IWJ230" s="33"/>
      <c r="IWK230" s="33"/>
      <c r="IWL230" s="34"/>
      <c r="IWM230" s="34"/>
      <c r="IWN230" s="35"/>
      <c r="IWO230" s="35"/>
      <c r="IWP230" s="32"/>
      <c r="IWQ230" s="31"/>
      <c r="IWR230" s="31"/>
      <c r="IWS230" s="31"/>
      <c r="IWT230" s="32"/>
      <c r="IWU230" s="32"/>
      <c r="IWV230" s="32"/>
      <c r="IWW230" s="32"/>
      <c r="IWX230" s="32"/>
      <c r="IWY230" s="31"/>
      <c r="IWZ230" s="31"/>
      <c r="IXA230" s="33"/>
      <c r="IXB230" s="33"/>
      <c r="IXC230" s="34"/>
      <c r="IXD230" s="34"/>
      <c r="IXE230" s="35"/>
      <c r="IXF230" s="35"/>
      <c r="IXG230" s="32"/>
      <c r="IXH230" s="31"/>
      <c r="IXI230" s="31"/>
      <c r="IXJ230" s="31"/>
      <c r="IXK230" s="32"/>
      <c r="IXL230" s="32"/>
      <c r="IXM230" s="32"/>
      <c r="IXN230" s="32"/>
      <c r="IXO230" s="32"/>
      <c r="IXP230" s="31"/>
      <c r="IXQ230" s="31"/>
      <c r="IXR230" s="33"/>
      <c r="IXS230" s="33"/>
      <c r="IXT230" s="34"/>
      <c r="IXU230" s="34"/>
      <c r="IXV230" s="35"/>
      <c r="IXW230" s="35"/>
      <c r="IXX230" s="32"/>
      <c r="IXY230" s="31"/>
      <c r="IXZ230" s="31"/>
      <c r="IYA230" s="31"/>
      <c r="IYB230" s="32"/>
      <c r="IYC230" s="32"/>
      <c r="IYD230" s="32"/>
      <c r="IYE230" s="32"/>
      <c r="IYF230" s="32"/>
      <c r="IYG230" s="31"/>
      <c r="IYH230" s="31"/>
      <c r="IYI230" s="33"/>
      <c r="IYJ230" s="33"/>
      <c r="IYK230" s="34"/>
      <c r="IYL230" s="34"/>
      <c r="IYM230" s="35"/>
      <c r="IYN230" s="35"/>
      <c r="IYO230" s="32"/>
      <c r="IYP230" s="31"/>
      <c r="IYQ230" s="31"/>
      <c r="IYR230" s="31"/>
      <c r="IYS230" s="32"/>
      <c r="IYT230" s="32"/>
      <c r="IYU230" s="32"/>
      <c r="IYV230" s="32"/>
      <c r="IYW230" s="32"/>
      <c r="IYX230" s="31"/>
      <c r="IYY230" s="31"/>
      <c r="IYZ230" s="33"/>
      <c r="IZA230" s="33"/>
      <c r="IZB230" s="34"/>
      <c r="IZC230" s="34"/>
      <c r="IZD230" s="35"/>
      <c r="IZE230" s="35"/>
      <c r="IZF230" s="32"/>
      <c r="IZG230" s="31"/>
      <c r="IZH230" s="31"/>
      <c r="IZI230" s="31"/>
      <c r="IZJ230" s="32"/>
      <c r="IZK230" s="32"/>
      <c r="IZL230" s="32"/>
      <c r="IZM230" s="32"/>
      <c r="IZN230" s="32"/>
      <c r="IZO230" s="31"/>
      <c r="IZP230" s="31"/>
      <c r="IZQ230" s="33"/>
      <c r="IZR230" s="33"/>
      <c r="IZS230" s="34"/>
      <c r="IZT230" s="34"/>
      <c r="IZU230" s="35"/>
      <c r="IZV230" s="35"/>
      <c r="IZW230" s="32"/>
      <c r="IZX230" s="31"/>
      <c r="IZY230" s="31"/>
      <c r="IZZ230" s="31"/>
      <c r="JAA230" s="32"/>
      <c r="JAB230" s="32"/>
      <c r="JAC230" s="32"/>
      <c r="JAD230" s="32"/>
      <c r="JAE230" s="32"/>
      <c r="JAF230" s="31"/>
      <c r="JAG230" s="31"/>
      <c r="JAH230" s="33"/>
      <c r="JAI230" s="33"/>
      <c r="JAJ230" s="34"/>
      <c r="JAK230" s="34"/>
      <c r="JAL230" s="35"/>
      <c r="JAM230" s="35"/>
      <c r="JAN230" s="32"/>
      <c r="JAO230" s="31"/>
      <c r="JAP230" s="31"/>
      <c r="JAQ230" s="31"/>
      <c r="JAR230" s="32"/>
      <c r="JAS230" s="32"/>
      <c r="JAT230" s="32"/>
      <c r="JAU230" s="32"/>
      <c r="JAV230" s="32"/>
      <c r="JAW230" s="31"/>
      <c r="JAX230" s="31"/>
      <c r="JAY230" s="33"/>
      <c r="JAZ230" s="33"/>
      <c r="JBA230" s="34"/>
      <c r="JBB230" s="34"/>
      <c r="JBC230" s="35"/>
      <c r="JBD230" s="35"/>
      <c r="JBE230" s="32"/>
      <c r="JBF230" s="31"/>
      <c r="JBG230" s="31"/>
      <c r="JBH230" s="31"/>
      <c r="JBI230" s="32"/>
      <c r="JBJ230" s="32"/>
      <c r="JBK230" s="32"/>
      <c r="JBL230" s="32"/>
      <c r="JBM230" s="32"/>
      <c r="JBN230" s="31"/>
      <c r="JBO230" s="31"/>
      <c r="JBP230" s="33"/>
      <c r="JBQ230" s="33"/>
      <c r="JBR230" s="34"/>
      <c r="JBS230" s="34"/>
      <c r="JBT230" s="35"/>
      <c r="JBU230" s="35"/>
      <c r="JBV230" s="32"/>
      <c r="JBW230" s="31"/>
      <c r="JBX230" s="31"/>
      <c r="JBY230" s="31"/>
      <c r="JBZ230" s="32"/>
      <c r="JCA230" s="32"/>
      <c r="JCB230" s="32"/>
      <c r="JCC230" s="32"/>
      <c r="JCD230" s="32"/>
      <c r="JCE230" s="31"/>
      <c r="JCF230" s="31"/>
      <c r="JCG230" s="33"/>
      <c r="JCH230" s="33"/>
      <c r="JCI230" s="34"/>
      <c r="JCJ230" s="34"/>
      <c r="JCK230" s="35"/>
      <c r="JCL230" s="35"/>
      <c r="JCM230" s="32"/>
      <c r="JCN230" s="31"/>
      <c r="JCO230" s="31"/>
      <c r="JCP230" s="31"/>
      <c r="JCQ230" s="32"/>
      <c r="JCR230" s="32"/>
      <c r="JCS230" s="32"/>
      <c r="JCT230" s="32"/>
      <c r="JCU230" s="32"/>
      <c r="JCV230" s="31"/>
      <c r="JCW230" s="31"/>
      <c r="JCX230" s="33"/>
      <c r="JCY230" s="33"/>
      <c r="JCZ230" s="34"/>
      <c r="JDA230" s="34"/>
      <c r="JDB230" s="35"/>
      <c r="JDC230" s="35"/>
      <c r="JDD230" s="32"/>
      <c r="JDE230" s="31"/>
      <c r="JDF230" s="31"/>
      <c r="JDG230" s="31"/>
      <c r="JDH230" s="32"/>
      <c r="JDI230" s="32"/>
      <c r="JDJ230" s="32"/>
      <c r="JDK230" s="32"/>
      <c r="JDL230" s="32"/>
      <c r="JDM230" s="31"/>
      <c r="JDN230" s="31"/>
      <c r="JDO230" s="33"/>
      <c r="JDP230" s="33"/>
      <c r="JDQ230" s="34"/>
      <c r="JDR230" s="34"/>
      <c r="JDS230" s="35"/>
      <c r="JDT230" s="35"/>
      <c r="JDU230" s="32"/>
      <c r="JDV230" s="31"/>
      <c r="JDW230" s="31"/>
      <c r="JDX230" s="31"/>
      <c r="JDY230" s="32"/>
      <c r="JDZ230" s="32"/>
      <c r="JEA230" s="32"/>
      <c r="JEB230" s="32"/>
      <c r="JEC230" s="32"/>
      <c r="JED230" s="31"/>
      <c r="JEE230" s="31"/>
      <c r="JEF230" s="33"/>
      <c r="JEG230" s="33"/>
      <c r="JEH230" s="34"/>
      <c r="JEI230" s="34"/>
      <c r="JEJ230" s="35"/>
      <c r="JEK230" s="35"/>
      <c r="JEL230" s="32"/>
      <c r="JEM230" s="31"/>
      <c r="JEN230" s="31"/>
      <c r="JEO230" s="31"/>
      <c r="JEP230" s="32"/>
      <c r="JEQ230" s="32"/>
      <c r="JER230" s="32"/>
      <c r="JES230" s="32"/>
      <c r="JET230" s="32"/>
      <c r="JEU230" s="31"/>
      <c r="JEV230" s="31"/>
      <c r="JEW230" s="33"/>
      <c r="JEX230" s="33"/>
      <c r="JEY230" s="34"/>
      <c r="JEZ230" s="34"/>
      <c r="JFA230" s="35"/>
      <c r="JFB230" s="35"/>
      <c r="JFC230" s="32"/>
      <c r="JFD230" s="31"/>
      <c r="JFE230" s="31"/>
      <c r="JFF230" s="31"/>
      <c r="JFG230" s="32"/>
      <c r="JFH230" s="32"/>
      <c r="JFI230" s="32"/>
      <c r="JFJ230" s="32"/>
      <c r="JFK230" s="32"/>
      <c r="JFL230" s="31"/>
      <c r="JFM230" s="31"/>
      <c r="JFN230" s="33"/>
      <c r="JFO230" s="33"/>
      <c r="JFP230" s="34"/>
      <c r="JFQ230" s="34"/>
      <c r="JFR230" s="35"/>
      <c r="JFS230" s="35"/>
      <c r="JFT230" s="32"/>
      <c r="JFU230" s="31"/>
      <c r="JFV230" s="31"/>
      <c r="JFW230" s="31"/>
      <c r="JFX230" s="32"/>
      <c r="JFY230" s="32"/>
      <c r="JFZ230" s="32"/>
      <c r="JGA230" s="32"/>
      <c r="JGB230" s="32"/>
      <c r="JGC230" s="31"/>
      <c r="JGD230" s="31"/>
      <c r="JGE230" s="33"/>
      <c r="JGF230" s="33"/>
      <c r="JGG230" s="34"/>
      <c r="JGH230" s="34"/>
      <c r="JGI230" s="35"/>
      <c r="JGJ230" s="35"/>
      <c r="JGK230" s="32"/>
      <c r="JGL230" s="31"/>
      <c r="JGM230" s="31"/>
      <c r="JGN230" s="31"/>
      <c r="JGO230" s="32"/>
      <c r="JGP230" s="32"/>
      <c r="JGQ230" s="32"/>
      <c r="JGR230" s="32"/>
      <c r="JGS230" s="32"/>
      <c r="JGT230" s="31"/>
      <c r="JGU230" s="31"/>
      <c r="JGV230" s="33"/>
      <c r="JGW230" s="33"/>
      <c r="JGX230" s="34"/>
      <c r="JGY230" s="34"/>
      <c r="JGZ230" s="35"/>
      <c r="JHA230" s="35"/>
      <c r="JHB230" s="32"/>
      <c r="JHC230" s="31"/>
      <c r="JHD230" s="31"/>
      <c r="JHE230" s="31"/>
      <c r="JHF230" s="32"/>
      <c r="JHG230" s="32"/>
      <c r="JHH230" s="32"/>
      <c r="JHI230" s="32"/>
      <c r="JHJ230" s="32"/>
      <c r="JHK230" s="31"/>
      <c r="JHL230" s="31"/>
      <c r="JHM230" s="33"/>
      <c r="JHN230" s="33"/>
      <c r="JHO230" s="34"/>
      <c r="JHP230" s="34"/>
      <c r="JHQ230" s="35"/>
      <c r="JHR230" s="35"/>
      <c r="JHS230" s="32"/>
      <c r="JHT230" s="31"/>
      <c r="JHU230" s="31"/>
      <c r="JHV230" s="31"/>
      <c r="JHW230" s="32"/>
      <c r="JHX230" s="32"/>
      <c r="JHY230" s="32"/>
      <c r="JHZ230" s="32"/>
      <c r="JIA230" s="32"/>
      <c r="JIB230" s="31"/>
      <c r="JIC230" s="31"/>
      <c r="JID230" s="33"/>
      <c r="JIE230" s="33"/>
      <c r="JIF230" s="34"/>
      <c r="JIG230" s="34"/>
      <c r="JIH230" s="35"/>
      <c r="JII230" s="35"/>
      <c r="JIJ230" s="32"/>
      <c r="JIK230" s="31"/>
      <c r="JIL230" s="31"/>
      <c r="JIM230" s="31"/>
      <c r="JIN230" s="32"/>
      <c r="JIO230" s="32"/>
      <c r="JIP230" s="32"/>
      <c r="JIQ230" s="32"/>
      <c r="JIR230" s="32"/>
      <c r="JIS230" s="31"/>
      <c r="JIT230" s="31"/>
      <c r="JIU230" s="33"/>
      <c r="JIV230" s="33"/>
      <c r="JIW230" s="34"/>
      <c r="JIX230" s="34"/>
      <c r="JIY230" s="35"/>
      <c r="JIZ230" s="35"/>
      <c r="JJA230" s="32"/>
      <c r="JJB230" s="31"/>
      <c r="JJC230" s="31"/>
      <c r="JJD230" s="31"/>
      <c r="JJE230" s="32"/>
      <c r="JJF230" s="32"/>
      <c r="JJG230" s="32"/>
      <c r="JJH230" s="32"/>
      <c r="JJI230" s="32"/>
      <c r="JJJ230" s="31"/>
      <c r="JJK230" s="31"/>
      <c r="JJL230" s="33"/>
      <c r="JJM230" s="33"/>
      <c r="JJN230" s="34"/>
      <c r="JJO230" s="34"/>
      <c r="JJP230" s="35"/>
      <c r="JJQ230" s="35"/>
      <c r="JJR230" s="32"/>
      <c r="JJS230" s="31"/>
      <c r="JJT230" s="31"/>
      <c r="JJU230" s="31"/>
      <c r="JJV230" s="32"/>
      <c r="JJW230" s="32"/>
      <c r="JJX230" s="32"/>
      <c r="JJY230" s="32"/>
      <c r="JJZ230" s="32"/>
      <c r="JKA230" s="31"/>
      <c r="JKB230" s="31"/>
      <c r="JKC230" s="33"/>
      <c r="JKD230" s="33"/>
      <c r="JKE230" s="34"/>
      <c r="JKF230" s="34"/>
      <c r="JKG230" s="35"/>
      <c r="JKH230" s="35"/>
      <c r="JKI230" s="32"/>
      <c r="JKJ230" s="31"/>
      <c r="JKK230" s="31"/>
      <c r="JKL230" s="31"/>
      <c r="JKM230" s="32"/>
      <c r="JKN230" s="32"/>
      <c r="JKO230" s="32"/>
      <c r="JKP230" s="32"/>
      <c r="JKQ230" s="32"/>
      <c r="JKR230" s="31"/>
      <c r="JKS230" s="31"/>
      <c r="JKT230" s="33"/>
      <c r="JKU230" s="33"/>
      <c r="JKV230" s="34"/>
      <c r="JKW230" s="34"/>
      <c r="JKX230" s="35"/>
      <c r="JKY230" s="35"/>
      <c r="JKZ230" s="32"/>
      <c r="JLA230" s="31"/>
      <c r="JLB230" s="31"/>
      <c r="JLC230" s="31"/>
      <c r="JLD230" s="32"/>
      <c r="JLE230" s="32"/>
      <c r="JLF230" s="32"/>
      <c r="JLG230" s="32"/>
      <c r="JLH230" s="32"/>
      <c r="JLI230" s="31"/>
      <c r="JLJ230" s="31"/>
      <c r="JLK230" s="33"/>
      <c r="JLL230" s="33"/>
      <c r="JLM230" s="34"/>
      <c r="JLN230" s="34"/>
      <c r="JLO230" s="35"/>
      <c r="JLP230" s="35"/>
      <c r="JLQ230" s="32"/>
      <c r="JLR230" s="31"/>
      <c r="JLS230" s="31"/>
      <c r="JLT230" s="31"/>
      <c r="JLU230" s="32"/>
      <c r="JLV230" s="32"/>
      <c r="JLW230" s="32"/>
      <c r="JLX230" s="32"/>
      <c r="JLY230" s="32"/>
      <c r="JLZ230" s="31"/>
      <c r="JMA230" s="31"/>
      <c r="JMB230" s="33"/>
      <c r="JMC230" s="33"/>
      <c r="JMD230" s="34"/>
      <c r="JME230" s="34"/>
      <c r="JMF230" s="35"/>
      <c r="JMG230" s="35"/>
      <c r="JMH230" s="32"/>
      <c r="JMI230" s="31"/>
      <c r="JMJ230" s="31"/>
      <c r="JMK230" s="31"/>
      <c r="JML230" s="32"/>
      <c r="JMM230" s="32"/>
      <c r="JMN230" s="32"/>
      <c r="JMO230" s="32"/>
      <c r="JMP230" s="32"/>
      <c r="JMQ230" s="31"/>
      <c r="JMR230" s="31"/>
      <c r="JMS230" s="33"/>
      <c r="JMT230" s="33"/>
      <c r="JMU230" s="34"/>
      <c r="JMV230" s="34"/>
      <c r="JMW230" s="35"/>
      <c r="JMX230" s="35"/>
      <c r="JMY230" s="32"/>
      <c r="JMZ230" s="31"/>
      <c r="JNA230" s="31"/>
      <c r="JNB230" s="31"/>
      <c r="JNC230" s="32"/>
      <c r="JND230" s="32"/>
      <c r="JNE230" s="32"/>
      <c r="JNF230" s="32"/>
      <c r="JNG230" s="32"/>
      <c r="JNH230" s="31"/>
      <c r="JNI230" s="31"/>
      <c r="JNJ230" s="33"/>
      <c r="JNK230" s="33"/>
      <c r="JNL230" s="34"/>
      <c r="JNM230" s="34"/>
      <c r="JNN230" s="35"/>
      <c r="JNO230" s="35"/>
      <c r="JNP230" s="32"/>
      <c r="JNQ230" s="31"/>
      <c r="JNR230" s="31"/>
      <c r="JNS230" s="31"/>
      <c r="JNT230" s="32"/>
      <c r="JNU230" s="32"/>
      <c r="JNV230" s="32"/>
      <c r="JNW230" s="32"/>
      <c r="JNX230" s="32"/>
      <c r="JNY230" s="31"/>
      <c r="JNZ230" s="31"/>
      <c r="JOA230" s="33"/>
      <c r="JOB230" s="33"/>
      <c r="JOC230" s="34"/>
      <c r="JOD230" s="34"/>
      <c r="JOE230" s="35"/>
      <c r="JOF230" s="35"/>
      <c r="JOG230" s="32"/>
      <c r="JOH230" s="31"/>
      <c r="JOI230" s="31"/>
      <c r="JOJ230" s="31"/>
      <c r="JOK230" s="32"/>
      <c r="JOL230" s="32"/>
      <c r="JOM230" s="32"/>
      <c r="JON230" s="32"/>
      <c r="JOO230" s="32"/>
      <c r="JOP230" s="31"/>
      <c r="JOQ230" s="31"/>
      <c r="JOR230" s="33"/>
      <c r="JOS230" s="33"/>
      <c r="JOT230" s="34"/>
      <c r="JOU230" s="34"/>
      <c r="JOV230" s="35"/>
      <c r="JOW230" s="35"/>
      <c r="JOX230" s="32"/>
      <c r="JOY230" s="31"/>
      <c r="JOZ230" s="31"/>
      <c r="JPA230" s="31"/>
      <c r="JPB230" s="32"/>
      <c r="JPC230" s="32"/>
      <c r="JPD230" s="32"/>
      <c r="JPE230" s="32"/>
      <c r="JPF230" s="32"/>
      <c r="JPG230" s="31"/>
      <c r="JPH230" s="31"/>
      <c r="JPI230" s="33"/>
      <c r="JPJ230" s="33"/>
      <c r="JPK230" s="34"/>
      <c r="JPL230" s="34"/>
      <c r="JPM230" s="35"/>
      <c r="JPN230" s="35"/>
      <c r="JPO230" s="32"/>
      <c r="JPP230" s="31"/>
      <c r="JPQ230" s="31"/>
      <c r="JPR230" s="31"/>
      <c r="JPS230" s="32"/>
      <c r="JPT230" s="32"/>
      <c r="JPU230" s="32"/>
      <c r="JPV230" s="32"/>
      <c r="JPW230" s="32"/>
      <c r="JPX230" s="31"/>
      <c r="JPY230" s="31"/>
      <c r="JPZ230" s="33"/>
      <c r="JQA230" s="33"/>
      <c r="JQB230" s="34"/>
      <c r="JQC230" s="34"/>
      <c r="JQD230" s="35"/>
      <c r="JQE230" s="35"/>
      <c r="JQF230" s="32"/>
      <c r="JQG230" s="31"/>
      <c r="JQH230" s="31"/>
      <c r="JQI230" s="31"/>
      <c r="JQJ230" s="32"/>
      <c r="JQK230" s="32"/>
      <c r="JQL230" s="32"/>
      <c r="JQM230" s="32"/>
      <c r="JQN230" s="32"/>
      <c r="JQO230" s="31"/>
      <c r="JQP230" s="31"/>
      <c r="JQQ230" s="33"/>
      <c r="JQR230" s="33"/>
      <c r="JQS230" s="34"/>
      <c r="JQT230" s="34"/>
      <c r="JQU230" s="35"/>
      <c r="JQV230" s="35"/>
      <c r="JQW230" s="32"/>
      <c r="JQX230" s="31"/>
      <c r="JQY230" s="31"/>
      <c r="JQZ230" s="31"/>
      <c r="JRA230" s="32"/>
      <c r="JRB230" s="32"/>
      <c r="JRC230" s="32"/>
      <c r="JRD230" s="32"/>
      <c r="JRE230" s="32"/>
      <c r="JRF230" s="31"/>
      <c r="JRG230" s="31"/>
      <c r="JRH230" s="33"/>
      <c r="JRI230" s="33"/>
      <c r="JRJ230" s="34"/>
      <c r="JRK230" s="34"/>
      <c r="JRL230" s="35"/>
      <c r="JRM230" s="35"/>
      <c r="JRN230" s="32"/>
      <c r="JRO230" s="31"/>
      <c r="JRP230" s="31"/>
      <c r="JRQ230" s="31"/>
      <c r="JRR230" s="32"/>
      <c r="JRS230" s="32"/>
      <c r="JRT230" s="32"/>
      <c r="JRU230" s="32"/>
      <c r="JRV230" s="32"/>
      <c r="JRW230" s="31"/>
      <c r="JRX230" s="31"/>
      <c r="JRY230" s="33"/>
      <c r="JRZ230" s="33"/>
      <c r="JSA230" s="34"/>
      <c r="JSB230" s="34"/>
      <c r="JSC230" s="35"/>
      <c r="JSD230" s="35"/>
      <c r="JSE230" s="32"/>
      <c r="JSF230" s="31"/>
      <c r="JSG230" s="31"/>
      <c r="JSH230" s="31"/>
      <c r="JSI230" s="32"/>
      <c r="JSJ230" s="32"/>
      <c r="JSK230" s="32"/>
      <c r="JSL230" s="32"/>
      <c r="JSM230" s="32"/>
      <c r="JSN230" s="31"/>
      <c r="JSO230" s="31"/>
      <c r="JSP230" s="33"/>
      <c r="JSQ230" s="33"/>
      <c r="JSR230" s="34"/>
      <c r="JSS230" s="34"/>
      <c r="JST230" s="35"/>
      <c r="JSU230" s="35"/>
      <c r="JSV230" s="32"/>
      <c r="JSW230" s="31"/>
      <c r="JSX230" s="31"/>
      <c r="JSY230" s="31"/>
      <c r="JSZ230" s="32"/>
      <c r="JTA230" s="32"/>
      <c r="JTB230" s="32"/>
      <c r="JTC230" s="32"/>
      <c r="JTD230" s="32"/>
      <c r="JTE230" s="31"/>
      <c r="JTF230" s="31"/>
      <c r="JTG230" s="33"/>
      <c r="JTH230" s="33"/>
      <c r="JTI230" s="34"/>
      <c r="JTJ230" s="34"/>
      <c r="JTK230" s="35"/>
      <c r="JTL230" s="35"/>
      <c r="JTM230" s="32"/>
      <c r="JTN230" s="31"/>
      <c r="JTO230" s="31"/>
      <c r="JTP230" s="31"/>
      <c r="JTQ230" s="32"/>
      <c r="JTR230" s="32"/>
      <c r="JTS230" s="32"/>
      <c r="JTT230" s="32"/>
      <c r="JTU230" s="32"/>
      <c r="JTV230" s="31"/>
      <c r="JTW230" s="31"/>
      <c r="JTX230" s="33"/>
      <c r="JTY230" s="33"/>
      <c r="JTZ230" s="34"/>
      <c r="JUA230" s="34"/>
      <c r="JUB230" s="35"/>
      <c r="JUC230" s="35"/>
      <c r="JUD230" s="32"/>
      <c r="JUE230" s="31"/>
      <c r="JUF230" s="31"/>
      <c r="JUG230" s="31"/>
      <c r="JUH230" s="32"/>
      <c r="JUI230" s="32"/>
      <c r="JUJ230" s="32"/>
      <c r="JUK230" s="32"/>
      <c r="JUL230" s="32"/>
      <c r="JUM230" s="31"/>
      <c r="JUN230" s="31"/>
      <c r="JUO230" s="33"/>
      <c r="JUP230" s="33"/>
      <c r="JUQ230" s="34"/>
      <c r="JUR230" s="34"/>
      <c r="JUS230" s="35"/>
      <c r="JUT230" s="35"/>
      <c r="JUU230" s="32"/>
      <c r="JUV230" s="31"/>
      <c r="JUW230" s="31"/>
      <c r="JUX230" s="31"/>
      <c r="JUY230" s="32"/>
      <c r="JUZ230" s="32"/>
      <c r="JVA230" s="32"/>
      <c r="JVB230" s="32"/>
      <c r="JVC230" s="32"/>
      <c r="JVD230" s="31"/>
      <c r="JVE230" s="31"/>
      <c r="JVF230" s="33"/>
      <c r="JVG230" s="33"/>
      <c r="JVH230" s="34"/>
      <c r="JVI230" s="34"/>
      <c r="JVJ230" s="35"/>
      <c r="JVK230" s="35"/>
      <c r="JVL230" s="32"/>
      <c r="JVM230" s="31"/>
      <c r="JVN230" s="31"/>
      <c r="JVO230" s="31"/>
      <c r="JVP230" s="32"/>
      <c r="JVQ230" s="32"/>
      <c r="JVR230" s="32"/>
      <c r="JVS230" s="32"/>
      <c r="JVT230" s="32"/>
      <c r="JVU230" s="31"/>
      <c r="JVV230" s="31"/>
      <c r="JVW230" s="33"/>
      <c r="JVX230" s="33"/>
      <c r="JVY230" s="34"/>
      <c r="JVZ230" s="34"/>
      <c r="JWA230" s="35"/>
      <c r="JWB230" s="35"/>
      <c r="JWC230" s="32"/>
      <c r="JWD230" s="31"/>
      <c r="JWE230" s="31"/>
      <c r="JWF230" s="31"/>
      <c r="JWG230" s="32"/>
      <c r="JWH230" s="32"/>
      <c r="JWI230" s="32"/>
      <c r="JWJ230" s="32"/>
      <c r="JWK230" s="32"/>
      <c r="JWL230" s="31"/>
      <c r="JWM230" s="31"/>
      <c r="JWN230" s="33"/>
      <c r="JWO230" s="33"/>
      <c r="JWP230" s="34"/>
      <c r="JWQ230" s="34"/>
      <c r="JWR230" s="35"/>
      <c r="JWS230" s="35"/>
      <c r="JWT230" s="32"/>
      <c r="JWU230" s="31"/>
      <c r="JWV230" s="31"/>
      <c r="JWW230" s="31"/>
      <c r="JWX230" s="32"/>
      <c r="JWY230" s="32"/>
      <c r="JWZ230" s="32"/>
      <c r="JXA230" s="32"/>
      <c r="JXB230" s="32"/>
      <c r="JXC230" s="31"/>
      <c r="JXD230" s="31"/>
      <c r="JXE230" s="33"/>
      <c r="JXF230" s="33"/>
      <c r="JXG230" s="34"/>
      <c r="JXH230" s="34"/>
      <c r="JXI230" s="35"/>
      <c r="JXJ230" s="35"/>
      <c r="JXK230" s="32"/>
      <c r="JXL230" s="31"/>
      <c r="JXM230" s="31"/>
      <c r="JXN230" s="31"/>
      <c r="JXO230" s="32"/>
      <c r="JXP230" s="32"/>
      <c r="JXQ230" s="32"/>
      <c r="JXR230" s="32"/>
      <c r="JXS230" s="32"/>
      <c r="JXT230" s="31"/>
      <c r="JXU230" s="31"/>
      <c r="JXV230" s="33"/>
      <c r="JXW230" s="33"/>
      <c r="JXX230" s="34"/>
      <c r="JXY230" s="34"/>
      <c r="JXZ230" s="35"/>
      <c r="JYA230" s="35"/>
      <c r="JYB230" s="32"/>
      <c r="JYC230" s="31"/>
      <c r="JYD230" s="31"/>
      <c r="JYE230" s="31"/>
      <c r="JYF230" s="32"/>
      <c r="JYG230" s="32"/>
      <c r="JYH230" s="32"/>
      <c r="JYI230" s="32"/>
      <c r="JYJ230" s="32"/>
      <c r="JYK230" s="31"/>
      <c r="JYL230" s="31"/>
      <c r="JYM230" s="33"/>
      <c r="JYN230" s="33"/>
      <c r="JYO230" s="34"/>
      <c r="JYP230" s="34"/>
      <c r="JYQ230" s="35"/>
      <c r="JYR230" s="35"/>
      <c r="JYS230" s="32"/>
      <c r="JYT230" s="31"/>
      <c r="JYU230" s="31"/>
      <c r="JYV230" s="31"/>
      <c r="JYW230" s="32"/>
      <c r="JYX230" s="32"/>
      <c r="JYY230" s="32"/>
      <c r="JYZ230" s="32"/>
      <c r="JZA230" s="32"/>
      <c r="JZB230" s="31"/>
      <c r="JZC230" s="31"/>
      <c r="JZD230" s="33"/>
      <c r="JZE230" s="33"/>
      <c r="JZF230" s="34"/>
      <c r="JZG230" s="34"/>
      <c r="JZH230" s="35"/>
      <c r="JZI230" s="35"/>
      <c r="JZJ230" s="32"/>
      <c r="JZK230" s="31"/>
      <c r="JZL230" s="31"/>
      <c r="JZM230" s="31"/>
      <c r="JZN230" s="32"/>
      <c r="JZO230" s="32"/>
      <c r="JZP230" s="32"/>
      <c r="JZQ230" s="32"/>
      <c r="JZR230" s="32"/>
      <c r="JZS230" s="31"/>
      <c r="JZT230" s="31"/>
      <c r="JZU230" s="33"/>
      <c r="JZV230" s="33"/>
      <c r="JZW230" s="34"/>
      <c r="JZX230" s="34"/>
      <c r="JZY230" s="35"/>
      <c r="JZZ230" s="35"/>
      <c r="KAA230" s="32"/>
      <c r="KAB230" s="31"/>
      <c r="KAC230" s="31"/>
      <c r="KAD230" s="31"/>
      <c r="KAE230" s="32"/>
      <c r="KAF230" s="32"/>
      <c r="KAG230" s="32"/>
      <c r="KAH230" s="32"/>
      <c r="KAI230" s="32"/>
      <c r="KAJ230" s="31"/>
      <c r="KAK230" s="31"/>
      <c r="KAL230" s="33"/>
      <c r="KAM230" s="33"/>
      <c r="KAN230" s="34"/>
      <c r="KAO230" s="34"/>
      <c r="KAP230" s="35"/>
      <c r="KAQ230" s="35"/>
      <c r="KAR230" s="32"/>
      <c r="KAS230" s="31"/>
      <c r="KAT230" s="31"/>
      <c r="KAU230" s="31"/>
      <c r="KAV230" s="32"/>
      <c r="KAW230" s="32"/>
      <c r="KAX230" s="32"/>
      <c r="KAY230" s="32"/>
      <c r="KAZ230" s="32"/>
      <c r="KBA230" s="31"/>
      <c r="KBB230" s="31"/>
      <c r="KBC230" s="33"/>
      <c r="KBD230" s="33"/>
      <c r="KBE230" s="34"/>
      <c r="KBF230" s="34"/>
      <c r="KBG230" s="35"/>
      <c r="KBH230" s="35"/>
      <c r="KBI230" s="32"/>
      <c r="KBJ230" s="31"/>
      <c r="KBK230" s="31"/>
      <c r="KBL230" s="31"/>
      <c r="KBM230" s="32"/>
      <c r="KBN230" s="32"/>
      <c r="KBO230" s="32"/>
      <c r="KBP230" s="32"/>
      <c r="KBQ230" s="32"/>
      <c r="KBR230" s="31"/>
      <c r="KBS230" s="31"/>
      <c r="KBT230" s="33"/>
      <c r="KBU230" s="33"/>
      <c r="KBV230" s="34"/>
      <c r="KBW230" s="34"/>
      <c r="KBX230" s="35"/>
      <c r="KBY230" s="35"/>
      <c r="KBZ230" s="32"/>
      <c r="KCA230" s="31"/>
      <c r="KCB230" s="31"/>
      <c r="KCC230" s="31"/>
      <c r="KCD230" s="32"/>
      <c r="KCE230" s="32"/>
      <c r="KCF230" s="32"/>
      <c r="KCG230" s="32"/>
      <c r="KCH230" s="32"/>
      <c r="KCI230" s="31"/>
      <c r="KCJ230" s="31"/>
      <c r="KCK230" s="33"/>
      <c r="KCL230" s="33"/>
      <c r="KCM230" s="34"/>
      <c r="KCN230" s="34"/>
      <c r="KCO230" s="35"/>
      <c r="KCP230" s="35"/>
      <c r="KCQ230" s="32"/>
      <c r="KCR230" s="31"/>
      <c r="KCS230" s="31"/>
      <c r="KCT230" s="31"/>
      <c r="KCU230" s="32"/>
      <c r="KCV230" s="32"/>
      <c r="KCW230" s="32"/>
      <c r="KCX230" s="32"/>
      <c r="KCY230" s="32"/>
      <c r="KCZ230" s="31"/>
      <c r="KDA230" s="31"/>
      <c r="KDB230" s="33"/>
      <c r="KDC230" s="33"/>
      <c r="KDD230" s="34"/>
      <c r="KDE230" s="34"/>
      <c r="KDF230" s="35"/>
      <c r="KDG230" s="35"/>
      <c r="KDH230" s="32"/>
      <c r="KDI230" s="31"/>
      <c r="KDJ230" s="31"/>
      <c r="KDK230" s="31"/>
      <c r="KDL230" s="32"/>
      <c r="KDM230" s="32"/>
      <c r="KDN230" s="32"/>
      <c r="KDO230" s="32"/>
      <c r="KDP230" s="32"/>
      <c r="KDQ230" s="31"/>
      <c r="KDR230" s="31"/>
      <c r="KDS230" s="33"/>
      <c r="KDT230" s="33"/>
      <c r="KDU230" s="34"/>
      <c r="KDV230" s="34"/>
      <c r="KDW230" s="35"/>
      <c r="KDX230" s="35"/>
      <c r="KDY230" s="32"/>
      <c r="KDZ230" s="31"/>
      <c r="KEA230" s="31"/>
      <c r="KEB230" s="31"/>
      <c r="KEC230" s="32"/>
      <c r="KED230" s="32"/>
      <c r="KEE230" s="32"/>
      <c r="KEF230" s="32"/>
      <c r="KEG230" s="32"/>
      <c r="KEH230" s="31"/>
      <c r="KEI230" s="31"/>
      <c r="KEJ230" s="33"/>
      <c r="KEK230" s="33"/>
      <c r="KEL230" s="34"/>
      <c r="KEM230" s="34"/>
      <c r="KEN230" s="35"/>
      <c r="KEO230" s="35"/>
      <c r="KEP230" s="32"/>
      <c r="KEQ230" s="31"/>
      <c r="KER230" s="31"/>
      <c r="KES230" s="31"/>
      <c r="KET230" s="32"/>
      <c r="KEU230" s="32"/>
      <c r="KEV230" s="32"/>
      <c r="KEW230" s="32"/>
      <c r="KEX230" s="32"/>
      <c r="KEY230" s="31"/>
      <c r="KEZ230" s="31"/>
      <c r="KFA230" s="33"/>
      <c r="KFB230" s="33"/>
      <c r="KFC230" s="34"/>
      <c r="KFD230" s="34"/>
      <c r="KFE230" s="35"/>
      <c r="KFF230" s="35"/>
      <c r="KFG230" s="32"/>
      <c r="KFH230" s="31"/>
      <c r="KFI230" s="31"/>
      <c r="KFJ230" s="31"/>
      <c r="KFK230" s="32"/>
      <c r="KFL230" s="32"/>
      <c r="KFM230" s="32"/>
      <c r="KFN230" s="32"/>
      <c r="KFO230" s="32"/>
      <c r="KFP230" s="31"/>
      <c r="KFQ230" s="31"/>
      <c r="KFR230" s="33"/>
      <c r="KFS230" s="33"/>
      <c r="KFT230" s="34"/>
      <c r="KFU230" s="34"/>
      <c r="KFV230" s="35"/>
      <c r="KFW230" s="35"/>
      <c r="KFX230" s="32"/>
      <c r="KFY230" s="31"/>
      <c r="KFZ230" s="31"/>
      <c r="KGA230" s="31"/>
      <c r="KGB230" s="32"/>
      <c r="KGC230" s="32"/>
      <c r="KGD230" s="32"/>
      <c r="KGE230" s="32"/>
      <c r="KGF230" s="32"/>
      <c r="KGG230" s="31"/>
      <c r="KGH230" s="31"/>
      <c r="KGI230" s="33"/>
      <c r="KGJ230" s="33"/>
      <c r="KGK230" s="34"/>
      <c r="KGL230" s="34"/>
      <c r="KGM230" s="35"/>
      <c r="KGN230" s="35"/>
      <c r="KGO230" s="32"/>
      <c r="KGP230" s="31"/>
      <c r="KGQ230" s="31"/>
      <c r="KGR230" s="31"/>
      <c r="KGS230" s="32"/>
      <c r="KGT230" s="32"/>
      <c r="KGU230" s="32"/>
      <c r="KGV230" s="32"/>
      <c r="KGW230" s="32"/>
      <c r="KGX230" s="31"/>
      <c r="KGY230" s="31"/>
      <c r="KGZ230" s="33"/>
      <c r="KHA230" s="33"/>
      <c r="KHB230" s="34"/>
      <c r="KHC230" s="34"/>
      <c r="KHD230" s="35"/>
      <c r="KHE230" s="35"/>
      <c r="KHF230" s="32"/>
      <c r="KHG230" s="31"/>
      <c r="KHH230" s="31"/>
      <c r="KHI230" s="31"/>
      <c r="KHJ230" s="32"/>
      <c r="KHK230" s="32"/>
      <c r="KHL230" s="32"/>
      <c r="KHM230" s="32"/>
      <c r="KHN230" s="32"/>
      <c r="KHO230" s="31"/>
      <c r="KHP230" s="31"/>
      <c r="KHQ230" s="33"/>
      <c r="KHR230" s="33"/>
      <c r="KHS230" s="34"/>
      <c r="KHT230" s="34"/>
      <c r="KHU230" s="35"/>
      <c r="KHV230" s="35"/>
      <c r="KHW230" s="32"/>
      <c r="KHX230" s="31"/>
      <c r="KHY230" s="31"/>
      <c r="KHZ230" s="31"/>
      <c r="KIA230" s="32"/>
      <c r="KIB230" s="32"/>
      <c r="KIC230" s="32"/>
      <c r="KID230" s="32"/>
      <c r="KIE230" s="32"/>
      <c r="KIF230" s="31"/>
      <c r="KIG230" s="31"/>
      <c r="KIH230" s="33"/>
      <c r="KII230" s="33"/>
      <c r="KIJ230" s="34"/>
      <c r="KIK230" s="34"/>
      <c r="KIL230" s="35"/>
      <c r="KIM230" s="35"/>
      <c r="KIN230" s="32"/>
      <c r="KIO230" s="31"/>
      <c r="KIP230" s="31"/>
      <c r="KIQ230" s="31"/>
      <c r="KIR230" s="32"/>
      <c r="KIS230" s="32"/>
      <c r="KIT230" s="32"/>
      <c r="KIU230" s="32"/>
      <c r="KIV230" s="32"/>
      <c r="KIW230" s="31"/>
      <c r="KIX230" s="31"/>
      <c r="KIY230" s="33"/>
      <c r="KIZ230" s="33"/>
      <c r="KJA230" s="34"/>
      <c r="KJB230" s="34"/>
      <c r="KJC230" s="35"/>
      <c r="KJD230" s="35"/>
      <c r="KJE230" s="32"/>
      <c r="KJF230" s="31"/>
      <c r="KJG230" s="31"/>
      <c r="KJH230" s="31"/>
      <c r="KJI230" s="32"/>
      <c r="KJJ230" s="32"/>
      <c r="KJK230" s="32"/>
      <c r="KJL230" s="32"/>
      <c r="KJM230" s="32"/>
      <c r="KJN230" s="31"/>
      <c r="KJO230" s="31"/>
      <c r="KJP230" s="33"/>
      <c r="KJQ230" s="33"/>
      <c r="KJR230" s="34"/>
      <c r="KJS230" s="34"/>
      <c r="KJT230" s="35"/>
      <c r="KJU230" s="35"/>
      <c r="KJV230" s="32"/>
      <c r="KJW230" s="31"/>
      <c r="KJX230" s="31"/>
      <c r="KJY230" s="31"/>
      <c r="KJZ230" s="32"/>
      <c r="KKA230" s="32"/>
      <c r="KKB230" s="32"/>
      <c r="KKC230" s="32"/>
      <c r="KKD230" s="32"/>
      <c r="KKE230" s="31"/>
      <c r="KKF230" s="31"/>
      <c r="KKG230" s="33"/>
      <c r="KKH230" s="33"/>
      <c r="KKI230" s="34"/>
      <c r="KKJ230" s="34"/>
      <c r="KKK230" s="35"/>
      <c r="KKL230" s="35"/>
      <c r="KKM230" s="32"/>
      <c r="KKN230" s="31"/>
      <c r="KKO230" s="31"/>
      <c r="KKP230" s="31"/>
      <c r="KKQ230" s="32"/>
      <c r="KKR230" s="32"/>
      <c r="KKS230" s="32"/>
      <c r="KKT230" s="32"/>
      <c r="KKU230" s="32"/>
      <c r="KKV230" s="31"/>
      <c r="KKW230" s="31"/>
      <c r="KKX230" s="33"/>
      <c r="KKY230" s="33"/>
      <c r="KKZ230" s="34"/>
      <c r="KLA230" s="34"/>
      <c r="KLB230" s="35"/>
      <c r="KLC230" s="35"/>
      <c r="KLD230" s="32"/>
      <c r="KLE230" s="31"/>
      <c r="KLF230" s="31"/>
      <c r="KLG230" s="31"/>
      <c r="KLH230" s="32"/>
      <c r="KLI230" s="32"/>
      <c r="KLJ230" s="32"/>
      <c r="KLK230" s="32"/>
      <c r="KLL230" s="32"/>
      <c r="KLM230" s="31"/>
      <c r="KLN230" s="31"/>
      <c r="KLO230" s="33"/>
      <c r="KLP230" s="33"/>
      <c r="KLQ230" s="34"/>
      <c r="KLR230" s="34"/>
      <c r="KLS230" s="35"/>
      <c r="KLT230" s="35"/>
      <c r="KLU230" s="32"/>
      <c r="KLV230" s="31"/>
      <c r="KLW230" s="31"/>
      <c r="KLX230" s="31"/>
      <c r="KLY230" s="32"/>
      <c r="KLZ230" s="32"/>
      <c r="KMA230" s="32"/>
      <c r="KMB230" s="32"/>
      <c r="KMC230" s="32"/>
      <c r="KMD230" s="31"/>
      <c r="KME230" s="31"/>
      <c r="KMF230" s="33"/>
      <c r="KMG230" s="33"/>
      <c r="KMH230" s="34"/>
      <c r="KMI230" s="34"/>
      <c r="KMJ230" s="35"/>
      <c r="KMK230" s="35"/>
      <c r="KML230" s="32"/>
      <c r="KMM230" s="31"/>
      <c r="KMN230" s="31"/>
      <c r="KMO230" s="31"/>
      <c r="KMP230" s="32"/>
      <c r="KMQ230" s="32"/>
      <c r="KMR230" s="32"/>
      <c r="KMS230" s="32"/>
      <c r="KMT230" s="32"/>
      <c r="KMU230" s="31"/>
      <c r="KMV230" s="31"/>
      <c r="KMW230" s="33"/>
      <c r="KMX230" s="33"/>
      <c r="KMY230" s="34"/>
      <c r="KMZ230" s="34"/>
      <c r="KNA230" s="35"/>
      <c r="KNB230" s="35"/>
      <c r="KNC230" s="32"/>
      <c r="KND230" s="31"/>
      <c r="KNE230" s="31"/>
      <c r="KNF230" s="31"/>
      <c r="KNG230" s="32"/>
      <c r="KNH230" s="32"/>
      <c r="KNI230" s="32"/>
      <c r="KNJ230" s="32"/>
      <c r="KNK230" s="32"/>
      <c r="KNL230" s="31"/>
      <c r="KNM230" s="31"/>
      <c r="KNN230" s="33"/>
      <c r="KNO230" s="33"/>
      <c r="KNP230" s="34"/>
      <c r="KNQ230" s="34"/>
      <c r="KNR230" s="35"/>
      <c r="KNS230" s="35"/>
      <c r="KNT230" s="32"/>
      <c r="KNU230" s="31"/>
      <c r="KNV230" s="31"/>
      <c r="KNW230" s="31"/>
      <c r="KNX230" s="32"/>
      <c r="KNY230" s="32"/>
      <c r="KNZ230" s="32"/>
      <c r="KOA230" s="32"/>
      <c r="KOB230" s="32"/>
      <c r="KOC230" s="31"/>
      <c r="KOD230" s="31"/>
      <c r="KOE230" s="33"/>
      <c r="KOF230" s="33"/>
      <c r="KOG230" s="34"/>
      <c r="KOH230" s="34"/>
      <c r="KOI230" s="35"/>
      <c r="KOJ230" s="35"/>
      <c r="KOK230" s="32"/>
      <c r="KOL230" s="31"/>
      <c r="KOM230" s="31"/>
      <c r="KON230" s="31"/>
      <c r="KOO230" s="32"/>
      <c r="KOP230" s="32"/>
      <c r="KOQ230" s="32"/>
      <c r="KOR230" s="32"/>
      <c r="KOS230" s="32"/>
      <c r="KOT230" s="31"/>
      <c r="KOU230" s="31"/>
      <c r="KOV230" s="33"/>
      <c r="KOW230" s="33"/>
      <c r="KOX230" s="34"/>
      <c r="KOY230" s="34"/>
      <c r="KOZ230" s="35"/>
      <c r="KPA230" s="35"/>
      <c r="KPB230" s="32"/>
      <c r="KPC230" s="31"/>
      <c r="KPD230" s="31"/>
      <c r="KPE230" s="31"/>
      <c r="KPF230" s="32"/>
      <c r="KPG230" s="32"/>
      <c r="KPH230" s="32"/>
      <c r="KPI230" s="32"/>
      <c r="KPJ230" s="32"/>
      <c r="KPK230" s="31"/>
      <c r="KPL230" s="31"/>
      <c r="KPM230" s="33"/>
      <c r="KPN230" s="33"/>
      <c r="KPO230" s="34"/>
      <c r="KPP230" s="34"/>
      <c r="KPQ230" s="35"/>
      <c r="KPR230" s="35"/>
      <c r="KPS230" s="32"/>
      <c r="KPT230" s="31"/>
      <c r="KPU230" s="31"/>
      <c r="KPV230" s="31"/>
      <c r="KPW230" s="32"/>
      <c r="KPX230" s="32"/>
      <c r="KPY230" s="32"/>
      <c r="KPZ230" s="32"/>
      <c r="KQA230" s="32"/>
      <c r="KQB230" s="31"/>
      <c r="KQC230" s="31"/>
      <c r="KQD230" s="33"/>
      <c r="KQE230" s="33"/>
      <c r="KQF230" s="34"/>
      <c r="KQG230" s="34"/>
      <c r="KQH230" s="35"/>
      <c r="KQI230" s="35"/>
      <c r="KQJ230" s="32"/>
      <c r="KQK230" s="31"/>
      <c r="KQL230" s="31"/>
      <c r="KQM230" s="31"/>
      <c r="KQN230" s="32"/>
      <c r="KQO230" s="32"/>
      <c r="KQP230" s="32"/>
      <c r="KQQ230" s="32"/>
      <c r="KQR230" s="32"/>
      <c r="KQS230" s="31"/>
      <c r="KQT230" s="31"/>
      <c r="KQU230" s="33"/>
      <c r="KQV230" s="33"/>
      <c r="KQW230" s="34"/>
      <c r="KQX230" s="34"/>
      <c r="KQY230" s="35"/>
      <c r="KQZ230" s="35"/>
      <c r="KRA230" s="32"/>
      <c r="KRB230" s="31"/>
      <c r="KRC230" s="31"/>
      <c r="KRD230" s="31"/>
      <c r="KRE230" s="32"/>
      <c r="KRF230" s="32"/>
      <c r="KRG230" s="32"/>
      <c r="KRH230" s="32"/>
      <c r="KRI230" s="32"/>
      <c r="KRJ230" s="31"/>
      <c r="KRK230" s="31"/>
      <c r="KRL230" s="33"/>
      <c r="KRM230" s="33"/>
      <c r="KRN230" s="34"/>
      <c r="KRO230" s="34"/>
      <c r="KRP230" s="35"/>
      <c r="KRQ230" s="35"/>
      <c r="KRR230" s="32"/>
      <c r="KRS230" s="31"/>
      <c r="KRT230" s="31"/>
      <c r="KRU230" s="31"/>
      <c r="KRV230" s="32"/>
      <c r="KRW230" s="32"/>
      <c r="KRX230" s="32"/>
      <c r="KRY230" s="32"/>
      <c r="KRZ230" s="32"/>
      <c r="KSA230" s="31"/>
      <c r="KSB230" s="31"/>
      <c r="KSC230" s="33"/>
      <c r="KSD230" s="33"/>
      <c r="KSE230" s="34"/>
      <c r="KSF230" s="34"/>
      <c r="KSG230" s="35"/>
      <c r="KSH230" s="35"/>
      <c r="KSI230" s="32"/>
      <c r="KSJ230" s="31"/>
      <c r="KSK230" s="31"/>
      <c r="KSL230" s="31"/>
      <c r="KSM230" s="32"/>
      <c r="KSN230" s="32"/>
      <c r="KSO230" s="32"/>
      <c r="KSP230" s="32"/>
      <c r="KSQ230" s="32"/>
      <c r="KSR230" s="31"/>
      <c r="KSS230" s="31"/>
      <c r="KST230" s="33"/>
      <c r="KSU230" s="33"/>
      <c r="KSV230" s="34"/>
      <c r="KSW230" s="34"/>
      <c r="KSX230" s="35"/>
      <c r="KSY230" s="35"/>
      <c r="KSZ230" s="32"/>
      <c r="KTA230" s="31"/>
      <c r="KTB230" s="31"/>
      <c r="KTC230" s="31"/>
      <c r="KTD230" s="32"/>
      <c r="KTE230" s="32"/>
      <c r="KTF230" s="32"/>
      <c r="KTG230" s="32"/>
      <c r="KTH230" s="32"/>
      <c r="KTI230" s="31"/>
      <c r="KTJ230" s="31"/>
      <c r="KTK230" s="33"/>
      <c r="KTL230" s="33"/>
      <c r="KTM230" s="34"/>
      <c r="KTN230" s="34"/>
      <c r="KTO230" s="35"/>
      <c r="KTP230" s="35"/>
      <c r="KTQ230" s="32"/>
      <c r="KTR230" s="31"/>
      <c r="KTS230" s="31"/>
      <c r="KTT230" s="31"/>
      <c r="KTU230" s="32"/>
      <c r="KTV230" s="32"/>
      <c r="KTW230" s="32"/>
      <c r="KTX230" s="32"/>
      <c r="KTY230" s="32"/>
      <c r="KTZ230" s="31"/>
      <c r="KUA230" s="31"/>
      <c r="KUB230" s="33"/>
      <c r="KUC230" s="33"/>
      <c r="KUD230" s="34"/>
      <c r="KUE230" s="34"/>
      <c r="KUF230" s="35"/>
      <c r="KUG230" s="35"/>
      <c r="KUH230" s="32"/>
      <c r="KUI230" s="31"/>
      <c r="KUJ230" s="31"/>
      <c r="KUK230" s="31"/>
      <c r="KUL230" s="32"/>
      <c r="KUM230" s="32"/>
      <c r="KUN230" s="32"/>
      <c r="KUO230" s="32"/>
      <c r="KUP230" s="32"/>
      <c r="KUQ230" s="31"/>
      <c r="KUR230" s="31"/>
      <c r="KUS230" s="33"/>
      <c r="KUT230" s="33"/>
      <c r="KUU230" s="34"/>
      <c r="KUV230" s="34"/>
      <c r="KUW230" s="35"/>
      <c r="KUX230" s="35"/>
      <c r="KUY230" s="32"/>
      <c r="KUZ230" s="31"/>
      <c r="KVA230" s="31"/>
      <c r="KVB230" s="31"/>
      <c r="KVC230" s="32"/>
      <c r="KVD230" s="32"/>
      <c r="KVE230" s="32"/>
      <c r="KVF230" s="32"/>
      <c r="KVG230" s="32"/>
      <c r="KVH230" s="31"/>
      <c r="KVI230" s="31"/>
      <c r="KVJ230" s="33"/>
      <c r="KVK230" s="33"/>
      <c r="KVL230" s="34"/>
      <c r="KVM230" s="34"/>
      <c r="KVN230" s="35"/>
      <c r="KVO230" s="35"/>
      <c r="KVP230" s="32"/>
      <c r="KVQ230" s="31"/>
      <c r="KVR230" s="31"/>
      <c r="KVS230" s="31"/>
      <c r="KVT230" s="32"/>
      <c r="KVU230" s="32"/>
      <c r="KVV230" s="32"/>
      <c r="KVW230" s="32"/>
      <c r="KVX230" s="32"/>
      <c r="KVY230" s="31"/>
      <c r="KVZ230" s="31"/>
      <c r="KWA230" s="33"/>
      <c r="KWB230" s="33"/>
      <c r="KWC230" s="34"/>
      <c r="KWD230" s="34"/>
      <c r="KWE230" s="35"/>
      <c r="KWF230" s="35"/>
      <c r="KWG230" s="32"/>
      <c r="KWH230" s="31"/>
      <c r="KWI230" s="31"/>
      <c r="KWJ230" s="31"/>
      <c r="KWK230" s="32"/>
      <c r="KWL230" s="32"/>
      <c r="KWM230" s="32"/>
      <c r="KWN230" s="32"/>
      <c r="KWO230" s="32"/>
      <c r="KWP230" s="31"/>
      <c r="KWQ230" s="31"/>
      <c r="KWR230" s="33"/>
      <c r="KWS230" s="33"/>
      <c r="KWT230" s="34"/>
      <c r="KWU230" s="34"/>
      <c r="KWV230" s="35"/>
      <c r="KWW230" s="35"/>
      <c r="KWX230" s="32"/>
      <c r="KWY230" s="31"/>
      <c r="KWZ230" s="31"/>
      <c r="KXA230" s="31"/>
      <c r="KXB230" s="32"/>
      <c r="KXC230" s="32"/>
      <c r="KXD230" s="32"/>
      <c r="KXE230" s="32"/>
      <c r="KXF230" s="32"/>
      <c r="KXG230" s="31"/>
      <c r="KXH230" s="31"/>
      <c r="KXI230" s="33"/>
      <c r="KXJ230" s="33"/>
      <c r="KXK230" s="34"/>
      <c r="KXL230" s="34"/>
      <c r="KXM230" s="35"/>
      <c r="KXN230" s="35"/>
      <c r="KXO230" s="32"/>
      <c r="KXP230" s="31"/>
      <c r="KXQ230" s="31"/>
      <c r="KXR230" s="31"/>
      <c r="KXS230" s="32"/>
      <c r="KXT230" s="32"/>
      <c r="KXU230" s="32"/>
      <c r="KXV230" s="32"/>
      <c r="KXW230" s="32"/>
      <c r="KXX230" s="31"/>
      <c r="KXY230" s="31"/>
      <c r="KXZ230" s="33"/>
      <c r="KYA230" s="33"/>
      <c r="KYB230" s="34"/>
      <c r="KYC230" s="34"/>
      <c r="KYD230" s="35"/>
      <c r="KYE230" s="35"/>
      <c r="KYF230" s="32"/>
      <c r="KYG230" s="31"/>
      <c r="KYH230" s="31"/>
      <c r="KYI230" s="31"/>
      <c r="KYJ230" s="32"/>
      <c r="KYK230" s="32"/>
      <c r="KYL230" s="32"/>
      <c r="KYM230" s="32"/>
      <c r="KYN230" s="32"/>
      <c r="KYO230" s="31"/>
      <c r="KYP230" s="31"/>
      <c r="KYQ230" s="33"/>
      <c r="KYR230" s="33"/>
      <c r="KYS230" s="34"/>
      <c r="KYT230" s="34"/>
      <c r="KYU230" s="35"/>
      <c r="KYV230" s="35"/>
      <c r="KYW230" s="32"/>
      <c r="KYX230" s="31"/>
      <c r="KYY230" s="31"/>
      <c r="KYZ230" s="31"/>
      <c r="KZA230" s="32"/>
      <c r="KZB230" s="32"/>
      <c r="KZC230" s="32"/>
      <c r="KZD230" s="32"/>
      <c r="KZE230" s="32"/>
      <c r="KZF230" s="31"/>
      <c r="KZG230" s="31"/>
      <c r="KZH230" s="33"/>
      <c r="KZI230" s="33"/>
      <c r="KZJ230" s="34"/>
      <c r="KZK230" s="34"/>
      <c r="KZL230" s="35"/>
      <c r="KZM230" s="35"/>
      <c r="KZN230" s="32"/>
      <c r="KZO230" s="31"/>
      <c r="KZP230" s="31"/>
      <c r="KZQ230" s="31"/>
      <c r="KZR230" s="32"/>
      <c r="KZS230" s="32"/>
      <c r="KZT230" s="32"/>
      <c r="KZU230" s="32"/>
      <c r="KZV230" s="32"/>
      <c r="KZW230" s="31"/>
      <c r="KZX230" s="31"/>
      <c r="KZY230" s="33"/>
      <c r="KZZ230" s="33"/>
      <c r="LAA230" s="34"/>
      <c r="LAB230" s="34"/>
      <c r="LAC230" s="35"/>
      <c r="LAD230" s="35"/>
      <c r="LAE230" s="32"/>
      <c r="LAF230" s="31"/>
      <c r="LAG230" s="31"/>
      <c r="LAH230" s="31"/>
      <c r="LAI230" s="32"/>
      <c r="LAJ230" s="32"/>
      <c r="LAK230" s="32"/>
      <c r="LAL230" s="32"/>
      <c r="LAM230" s="32"/>
      <c r="LAN230" s="31"/>
      <c r="LAO230" s="31"/>
      <c r="LAP230" s="33"/>
      <c r="LAQ230" s="33"/>
      <c r="LAR230" s="34"/>
      <c r="LAS230" s="34"/>
      <c r="LAT230" s="35"/>
      <c r="LAU230" s="35"/>
      <c r="LAV230" s="32"/>
      <c r="LAW230" s="31"/>
      <c r="LAX230" s="31"/>
      <c r="LAY230" s="31"/>
      <c r="LAZ230" s="32"/>
      <c r="LBA230" s="32"/>
      <c r="LBB230" s="32"/>
      <c r="LBC230" s="32"/>
      <c r="LBD230" s="32"/>
      <c r="LBE230" s="31"/>
      <c r="LBF230" s="31"/>
      <c r="LBG230" s="33"/>
      <c r="LBH230" s="33"/>
      <c r="LBI230" s="34"/>
      <c r="LBJ230" s="34"/>
      <c r="LBK230" s="35"/>
      <c r="LBL230" s="35"/>
      <c r="LBM230" s="32"/>
      <c r="LBN230" s="31"/>
      <c r="LBO230" s="31"/>
      <c r="LBP230" s="31"/>
      <c r="LBQ230" s="32"/>
      <c r="LBR230" s="32"/>
      <c r="LBS230" s="32"/>
      <c r="LBT230" s="32"/>
      <c r="LBU230" s="32"/>
      <c r="LBV230" s="31"/>
      <c r="LBW230" s="31"/>
      <c r="LBX230" s="33"/>
      <c r="LBY230" s="33"/>
      <c r="LBZ230" s="34"/>
      <c r="LCA230" s="34"/>
      <c r="LCB230" s="35"/>
      <c r="LCC230" s="35"/>
      <c r="LCD230" s="32"/>
      <c r="LCE230" s="31"/>
      <c r="LCF230" s="31"/>
      <c r="LCG230" s="31"/>
      <c r="LCH230" s="32"/>
      <c r="LCI230" s="32"/>
      <c r="LCJ230" s="32"/>
      <c r="LCK230" s="32"/>
      <c r="LCL230" s="32"/>
      <c r="LCM230" s="31"/>
      <c r="LCN230" s="31"/>
      <c r="LCO230" s="33"/>
      <c r="LCP230" s="33"/>
      <c r="LCQ230" s="34"/>
      <c r="LCR230" s="34"/>
      <c r="LCS230" s="35"/>
      <c r="LCT230" s="35"/>
      <c r="LCU230" s="32"/>
      <c r="LCV230" s="31"/>
      <c r="LCW230" s="31"/>
      <c r="LCX230" s="31"/>
      <c r="LCY230" s="32"/>
      <c r="LCZ230" s="32"/>
      <c r="LDA230" s="32"/>
      <c r="LDB230" s="32"/>
      <c r="LDC230" s="32"/>
      <c r="LDD230" s="31"/>
      <c r="LDE230" s="31"/>
      <c r="LDF230" s="33"/>
      <c r="LDG230" s="33"/>
      <c r="LDH230" s="34"/>
      <c r="LDI230" s="34"/>
      <c r="LDJ230" s="35"/>
      <c r="LDK230" s="35"/>
      <c r="LDL230" s="32"/>
      <c r="LDM230" s="31"/>
      <c r="LDN230" s="31"/>
      <c r="LDO230" s="31"/>
      <c r="LDP230" s="32"/>
      <c r="LDQ230" s="32"/>
      <c r="LDR230" s="32"/>
      <c r="LDS230" s="32"/>
      <c r="LDT230" s="32"/>
      <c r="LDU230" s="31"/>
      <c r="LDV230" s="31"/>
      <c r="LDW230" s="33"/>
      <c r="LDX230" s="33"/>
      <c r="LDY230" s="34"/>
      <c r="LDZ230" s="34"/>
      <c r="LEA230" s="35"/>
      <c r="LEB230" s="35"/>
      <c r="LEC230" s="32"/>
      <c r="LED230" s="31"/>
      <c r="LEE230" s="31"/>
      <c r="LEF230" s="31"/>
      <c r="LEG230" s="32"/>
      <c r="LEH230" s="32"/>
      <c r="LEI230" s="32"/>
      <c r="LEJ230" s="32"/>
      <c r="LEK230" s="32"/>
      <c r="LEL230" s="31"/>
      <c r="LEM230" s="31"/>
      <c r="LEN230" s="33"/>
      <c r="LEO230" s="33"/>
      <c r="LEP230" s="34"/>
      <c r="LEQ230" s="34"/>
      <c r="LER230" s="35"/>
      <c r="LES230" s="35"/>
      <c r="LET230" s="32"/>
      <c r="LEU230" s="31"/>
      <c r="LEV230" s="31"/>
      <c r="LEW230" s="31"/>
      <c r="LEX230" s="32"/>
      <c r="LEY230" s="32"/>
      <c r="LEZ230" s="32"/>
      <c r="LFA230" s="32"/>
      <c r="LFB230" s="32"/>
      <c r="LFC230" s="31"/>
      <c r="LFD230" s="31"/>
      <c r="LFE230" s="33"/>
      <c r="LFF230" s="33"/>
      <c r="LFG230" s="34"/>
      <c r="LFH230" s="34"/>
      <c r="LFI230" s="35"/>
      <c r="LFJ230" s="35"/>
      <c r="LFK230" s="32"/>
      <c r="LFL230" s="31"/>
      <c r="LFM230" s="31"/>
      <c r="LFN230" s="31"/>
      <c r="LFO230" s="32"/>
      <c r="LFP230" s="32"/>
      <c r="LFQ230" s="32"/>
      <c r="LFR230" s="32"/>
      <c r="LFS230" s="32"/>
      <c r="LFT230" s="31"/>
      <c r="LFU230" s="31"/>
      <c r="LFV230" s="33"/>
      <c r="LFW230" s="33"/>
      <c r="LFX230" s="34"/>
      <c r="LFY230" s="34"/>
      <c r="LFZ230" s="35"/>
      <c r="LGA230" s="35"/>
      <c r="LGB230" s="32"/>
      <c r="LGC230" s="31"/>
      <c r="LGD230" s="31"/>
      <c r="LGE230" s="31"/>
      <c r="LGF230" s="32"/>
      <c r="LGG230" s="32"/>
      <c r="LGH230" s="32"/>
      <c r="LGI230" s="32"/>
      <c r="LGJ230" s="32"/>
      <c r="LGK230" s="31"/>
      <c r="LGL230" s="31"/>
      <c r="LGM230" s="33"/>
      <c r="LGN230" s="33"/>
      <c r="LGO230" s="34"/>
      <c r="LGP230" s="34"/>
      <c r="LGQ230" s="35"/>
      <c r="LGR230" s="35"/>
      <c r="LGS230" s="32"/>
      <c r="LGT230" s="31"/>
      <c r="LGU230" s="31"/>
      <c r="LGV230" s="31"/>
      <c r="LGW230" s="32"/>
      <c r="LGX230" s="32"/>
      <c r="LGY230" s="32"/>
      <c r="LGZ230" s="32"/>
      <c r="LHA230" s="32"/>
      <c r="LHB230" s="31"/>
      <c r="LHC230" s="31"/>
      <c r="LHD230" s="33"/>
      <c r="LHE230" s="33"/>
      <c r="LHF230" s="34"/>
      <c r="LHG230" s="34"/>
      <c r="LHH230" s="35"/>
      <c r="LHI230" s="35"/>
      <c r="LHJ230" s="32"/>
      <c r="LHK230" s="31"/>
      <c r="LHL230" s="31"/>
      <c r="LHM230" s="31"/>
      <c r="LHN230" s="32"/>
      <c r="LHO230" s="32"/>
      <c r="LHP230" s="32"/>
      <c r="LHQ230" s="32"/>
      <c r="LHR230" s="32"/>
      <c r="LHS230" s="31"/>
      <c r="LHT230" s="31"/>
      <c r="LHU230" s="33"/>
      <c r="LHV230" s="33"/>
      <c r="LHW230" s="34"/>
      <c r="LHX230" s="34"/>
      <c r="LHY230" s="35"/>
      <c r="LHZ230" s="35"/>
      <c r="LIA230" s="32"/>
      <c r="LIB230" s="31"/>
      <c r="LIC230" s="31"/>
      <c r="LID230" s="31"/>
      <c r="LIE230" s="32"/>
      <c r="LIF230" s="32"/>
      <c r="LIG230" s="32"/>
      <c r="LIH230" s="32"/>
      <c r="LII230" s="32"/>
      <c r="LIJ230" s="31"/>
      <c r="LIK230" s="31"/>
      <c r="LIL230" s="33"/>
      <c r="LIM230" s="33"/>
      <c r="LIN230" s="34"/>
      <c r="LIO230" s="34"/>
      <c r="LIP230" s="35"/>
      <c r="LIQ230" s="35"/>
      <c r="LIR230" s="32"/>
      <c r="LIS230" s="31"/>
      <c r="LIT230" s="31"/>
      <c r="LIU230" s="31"/>
      <c r="LIV230" s="32"/>
      <c r="LIW230" s="32"/>
      <c r="LIX230" s="32"/>
      <c r="LIY230" s="32"/>
      <c r="LIZ230" s="32"/>
      <c r="LJA230" s="31"/>
      <c r="LJB230" s="31"/>
      <c r="LJC230" s="33"/>
      <c r="LJD230" s="33"/>
      <c r="LJE230" s="34"/>
      <c r="LJF230" s="34"/>
      <c r="LJG230" s="35"/>
      <c r="LJH230" s="35"/>
      <c r="LJI230" s="32"/>
      <c r="LJJ230" s="31"/>
      <c r="LJK230" s="31"/>
      <c r="LJL230" s="31"/>
      <c r="LJM230" s="32"/>
      <c r="LJN230" s="32"/>
      <c r="LJO230" s="32"/>
      <c r="LJP230" s="32"/>
      <c r="LJQ230" s="32"/>
      <c r="LJR230" s="31"/>
      <c r="LJS230" s="31"/>
      <c r="LJT230" s="33"/>
      <c r="LJU230" s="33"/>
      <c r="LJV230" s="34"/>
      <c r="LJW230" s="34"/>
      <c r="LJX230" s="35"/>
      <c r="LJY230" s="35"/>
      <c r="LJZ230" s="32"/>
      <c r="LKA230" s="31"/>
      <c r="LKB230" s="31"/>
      <c r="LKC230" s="31"/>
      <c r="LKD230" s="32"/>
      <c r="LKE230" s="32"/>
      <c r="LKF230" s="32"/>
      <c r="LKG230" s="32"/>
      <c r="LKH230" s="32"/>
      <c r="LKI230" s="31"/>
      <c r="LKJ230" s="31"/>
      <c r="LKK230" s="33"/>
      <c r="LKL230" s="33"/>
      <c r="LKM230" s="34"/>
      <c r="LKN230" s="34"/>
      <c r="LKO230" s="35"/>
      <c r="LKP230" s="35"/>
      <c r="LKQ230" s="32"/>
      <c r="LKR230" s="31"/>
      <c r="LKS230" s="31"/>
      <c r="LKT230" s="31"/>
      <c r="LKU230" s="32"/>
      <c r="LKV230" s="32"/>
      <c r="LKW230" s="32"/>
      <c r="LKX230" s="32"/>
      <c r="LKY230" s="32"/>
      <c r="LKZ230" s="31"/>
      <c r="LLA230" s="31"/>
      <c r="LLB230" s="33"/>
      <c r="LLC230" s="33"/>
      <c r="LLD230" s="34"/>
      <c r="LLE230" s="34"/>
      <c r="LLF230" s="35"/>
      <c r="LLG230" s="35"/>
      <c r="LLH230" s="32"/>
      <c r="LLI230" s="31"/>
      <c r="LLJ230" s="31"/>
      <c r="LLK230" s="31"/>
      <c r="LLL230" s="32"/>
      <c r="LLM230" s="32"/>
      <c r="LLN230" s="32"/>
      <c r="LLO230" s="32"/>
      <c r="LLP230" s="32"/>
      <c r="LLQ230" s="31"/>
      <c r="LLR230" s="31"/>
      <c r="LLS230" s="33"/>
      <c r="LLT230" s="33"/>
      <c r="LLU230" s="34"/>
      <c r="LLV230" s="34"/>
      <c r="LLW230" s="35"/>
      <c r="LLX230" s="35"/>
      <c r="LLY230" s="32"/>
      <c r="LLZ230" s="31"/>
      <c r="LMA230" s="31"/>
      <c r="LMB230" s="31"/>
      <c r="LMC230" s="32"/>
      <c r="LMD230" s="32"/>
      <c r="LME230" s="32"/>
      <c r="LMF230" s="32"/>
      <c r="LMG230" s="32"/>
      <c r="LMH230" s="31"/>
      <c r="LMI230" s="31"/>
      <c r="LMJ230" s="33"/>
      <c r="LMK230" s="33"/>
      <c r="LML230" s="34"/>
      <c r="LMM230" s="34"/>
      <c r="LMN230" s="35"/>
      <c r="LMO230" s="35"/>
      <c r="LMP230" s="32"/>
      <c r="LMQ230" s="31"/>
      <c r="LMR230" s="31"/>
      <c r="LMS230" s="31"/>
      <c r="LMT230" s="32"/>
      <c r="LMU230" s="32"/>
      <c r="LMV230" s="32"/>
      <c r="LMW230" s="32"/>
      <c r="LMX230" s="32"/>
      <c r="LMY230" s="31"/>
      <c r="LMZ230" s="31"/>
      <c r="LNA230" s="33"/>
      <c r="LNB230" s="33"/>
      <c r="LNC230" s="34"/>
      <c r="LND230" s="34"/>
      <c r="LNE230" s="35"/>
      <c r="LNF230" s="35"/>
      <c r="LNG230" s="32"/>
      <c r="LNH230" s="31"/>
      <c r="LNI230" s="31"/>
      <c r="LNJ230" s="31"/>
      <c r="LNK230" s="32"/>
      <c r="LNL230" s="32"/>
      <c r="LNM230" s="32"/>
      <c r="LNN230" s="32"/>
      <c r="LNO230" s="32"/>
      <c r="LNP230" s="31"/>
      <c r="LNQ230" s="31"/>
      <c r="LNR230" s="33"/>
      <c r="LNS230" s="33"/>
      <c r="LNT230" s="34"/>
      <c r="LNU230" s="34"/>
      <c r="LNV230" s="35"/>
      <c r="LNW230" s="35"/>
      <c r="LNX230" s="32"/>
      <c r="LNY230" s="31"/>
      <c r="LNZ230" s="31"/>
      <c r="LOA230" s="31"/>
      <c r="LOB230" s="32"/>
      <c r="LOC230" s="32"/>
      <c r="LOD230" s="32"/>
      <c r="LOE230" s="32"/>
      <c r="LOF230" s="32"/>
      <c r="LOG230" s="31"/>
      <c r="LOH230" s="31"/>
      <c r="LOI230" s="33"/>
      <c r="LOJ230" s="33"/>
      <c r="LOK230" s="34"/>
      <c r="LOL230" s="34"/>
      <c r="LOM230" s="35"/>
      <c r="LON230" s="35"/>
      <c r="LOO230" s="32"/>
      <c r="LOP230" s="31"/>
      <c r="LOQ230" s="31"/>
      <c r="LOR230" s="31"/>
      <c r="LOS230" s="32"/>
      <c r="LOT230" s="32"/>
      <c r="LOU230" s="32"/>
      <c r="LOV230" s="32"/>
      <c r="LOW230" s="32"/>
      <c r="LOX230" s="31"/>
      <c r="LOY230" s="31"/>
      <c r="LOZ230" s="33"/>
      <c r="LPA230" s="33"/>
      <c r="LPB230" s="34"/>
      <c r="LPC230" s="34"/>
      <c r="LPD230" s="35"/>
      <c r="LPE230" s="35"/>
      <c r="LPF230" s="32"/>
      <c r="LPG230" s="31"/>
      <c r="LPH230" s="31"/>
      <c r="LPI230" s="31"/>
      <c r="LPJ230" s="32"/>
      <c r="LPK230" s="32"/>
      <c r="LPL230" s="32"/>
      <c r="LPM230" s="32"/>
      <c r="LPN230" s="32"/>
      <c r="LPO230" s="31"/>
      <c r="LPP230" s="31"/>
      <c r="LPQ230" s="33"/>
      <c r="LPR230" s="33"/>
      <c r="LPS230" s="34"/>
      <c r="LPT230" s="34"/>
      <c r="LPU230" s="35"/>
      <c r="LPV230" s="35"/>
      <c r="LPW230" s="32"/>
      <c r="LPX230" s="31"/>
      <c r="LPY230" s="31"/>
      <c r="LPZ230" s="31"/>
      <c r="LQA230" s="32"/>
      <c r="LQB230" s="32"/>
      <c r="LQC230" s="32"/>
      <c r="LQD230" s="32"/>
      <c r="LQE230" s="32"/>
      <c r="LQF230" s="31"/>
      <c r="LQG230" s="31"/>
      <c r="LQH230" s="33"/>
      <c r="LQI230" s="33"/>
      <c r="LQJ230" s="34"/>
      <c r="LQK230" s="34"/>
      <c r="LQL230" s="35"/>
      <c r="LQM230" s="35"/>
      <c r="LQN230" s="32"/>
      <c r="LQO230" s="31"/>
      <c r="LQP230" s="31"/>
      <c r="LQQ230" s="31"/>
      <c r="LQR230" s="32"/>
      <c r="LQS230" s="32"/>
      <c r="LQT230" s="32"/>
      <c r="LQU230" s="32"/>
      <c r="LQV230" s="32"/>
      <c r="LQW230" s="31"/>
      <c r="LQX230" s="31"/>
      <c r="LQY230" s="33"/>
      <c r="LQZ230" s="33"/>
      <c r="LRA230" s="34"/>
      <c r="LRB230" s="34"/>
      <c r="LRC230" s="35"/>
      <c r="LRD230" s="35"/>
      <c r="LRE230" s="32"/>
      <c r="LRF230" s="31"/>
      <c r="LRG230" s="31"/>
      <c r="LRH230" s="31"/>
      <c r="LRI230" s="32"/>
      <c r="LRJ230" s="32"/>
      <c r="LRK230" s="32"/>
      <c r="LRL230" s="32"/>
      <c r="LRM230" s="32"/>
      <c r="LRN230" s="31"/>
      <c r="LRO230" s="31"/>
      <c r="LRP230" s="33"/>
      <c r="LRQ230" s="33"/>
      <c r="LRR230" s="34"/>
      <c r="LRS230" s="34"/>
      <c r="LRT230" s="35"/>
      <c r="LRU230" s="35"/>
      <c r="LRV230" s="32"/>
      <c r="LRW230" s="31"/>
      <c r="LRX230" s="31"/>
      <c r="LRY230" s="31"/>
      <c r="LRZ230" s="32"/>
      <c r="LSA230" s="32"/>
      <c r="LSB230" s="32"/>
      <c r="LSC230" s="32"/>
      <c r="LSD230" s="32"/>
      <c r="LSE230" s="31"/>
      <c r="LSF230" s="31"/>
      <c r="LSG230" s="33"/>
      <c r="LSH230" s="33"/>
      <c r="LSI230" s="34"/>
      <c r="LSJ230" s="34"/>
      <c r="LSK230" s="35"/>
      <c r="LSL230" s="35"/>
      <c r="LSM230" s="32"/>
      <c r="LSN230" s="31"/>
      <c r="LSO230" s="31"/>
      <c r="LSP230" s="31"/>
      <c r="LSQ230" s="32"/>
      <c r="LSR230" s="32"/>
      <c r="LSS230" s="32"/>
      <c r="LST230" s="32"/>
      <c r="LSU230" s="32"/>
      <c r="LSV230" s="31"/>
      <c r="LSW230" s="31"/>
      <c r="LSX230" s="33"/>
      <c r="LSY230" s="33"/>
      <c r="LSZ230" s="34"/>
      <c r="LTA230" s="34"/>
      <c r="LTB230" s="35"/>
      <c r="LTC230" s="35"/>
      <c r="LTD230" s="32"/>
      <c r="LTE230" s="31"/>
      <c r="LTF230" s="31"/>
      <c r="LTG230" s="31"/>
      <c r="LTH230" s="32"/>
      <c r="LTI230" s="32"/>
      <c r="LTJ230" s="32"/>
      <c r="LTK230" s="32"/>
      <c r="LTL230" s="32"/>
      <c r="LTM230" s="31"/>
      <c r="LTN230" s="31"/>
      <c r="LTO230" s="33"/>
      <c r="LTP230" s="33"/>
      <c r="LTQ230" s="34"/>
      <c r="LTR230" s="34"/>
      <c r="LTS230" s="35"/>
      <c r="LTT230" s="35"/>
      <c r="LTU230" s="32"/>
      <c r="LTV230" s="31"/>
      <c r="LTW230" s="31"/>
      <c r="LTX230" s="31"/>
      <c r="LTY230" s="32"/>
      <c r="LTZ230" s="32"/>
      <c r="LUA230" s="32"/>
      <c r="LUB230" s="32"/>
      <c r="LUC230" s="32"/>
      <c r="LUD230" s="31"/>
      <c r="LUE230" s="31"/>
      <c r="LUF230" s="33"/>
      <c r="LUG230" s="33"/>
      <c r="LUH230" s="34"/>
      <c r="LUI230" s="34"/>
      <c r="LUJ230" s="35"/>
      <c r="LUK230" s="35"/>
      <c r="LUL230" s="32"/>
      <c r="LUM230" s="31"/>
      <c r="LUN230" s="31"/>
      <c r="LUO230" s="31"/>
      <c r="LUP230" s="32"/>
      <c r="LUQ230" s="32"/>
      <c r="LUR230" s="32"/>
      <c r="LUS230" s="32"/>
      <c r="LUT230" s="32"/>
      <c r="LUU230" s="31"/>
      <c r="LUV230" s="31"/>
      <c r="LUW230" s="33"/>
      <c r="LUX230" s="33"/>
      <c r="LUY230" s="34"/>
      <c r="LUZ230" s="34"/>
      <c r="LVA230" s="35"/>
      <c r="LVB230" s="35"/>
      <c r="LVC230" s="32"/>
      <c r="LVD230" s="31"/>
      <c r="LVE230" s="31"/>
      <c r="LVF230" s="31"/>
      <c r="LVG230" s="32"/>
      <c r="LVH230" s="32"/>
      <c r="LVI230" s="32"/>
      <c r="LVJ230" s="32"/>
      <c r="LVK230" s="32"/>
      <c r="LVL230" s="31"/>
      <c r="LVM230" s="31"/>
      <c r="LVN230" s="33"/>
      <c r="LVO230" s="33"/>
      <c r="LVP230" s="34"/>
      <c r="LVQ230" s="34"/>
      <c r="LVR230" s="35"/>
      <c r="LVS230" s="35"/>
      <c r="LVT230" s="32"/>
      <c r="LVU230" s="31"/>
      <c r="LVV230" s="31"/>
      <c r="LVW230" s="31"/>
      <c r="LVX230" s="32"/>
      <c r="LVY230" s="32"/>
      <c r="LVZ230" s="32"/>
      <c r="LWA230" s="32"/>
      <c r="LWB230" s="32"/>
      <c r="LWC230" s="31"/>
      <c r="LWD230" s="31"/>
      <c r="LWE230" s="33"/>
      <c r="LWF230" s="33"/>
      <c r="LWG230" s="34"/>
      <c r="LWH230" s="34"/>
      <c r="LWI230" s="35"/>
      <c r="LWJ230" s="35"/>
      <c r="LWK230" s="32"/>
      <c r="LWL230" s="31"/>
      <c r="LWM230" s="31"/>
      <c r="LWN230" s="31"/>
      <c r="LWO230" s="32"/>
      <c r="LWP230" s="32"/>
      <c r="LWQ230" s="32"/>
      <c r="LWR230" s="32"/>
      <c r="LWS230" s="32"/>
      <c r="LWT230" s="31"/>
      <c r="LWU230" s="31"/>
      <c r="LWV230" s="33"/>
      <c r="LWW230" s="33"/>
      <c r="LWX230" s="34"/>
      <c r="LWY230" s="34"/>
      <c r="LWZ230" s="35"/>
      <c r="LXA230" s="35"/>
      <c r="LXB230" s="32"/>
      <c r="LXC230" s="31"/>
      <c r="LXD230" s="31"/>
      <c r="LXE230" s="31"/>
      <c r="LXF230" s="32"/>
      <c r="LXG230" s="32"/>
      <c r="LXH230" s="32"/>
      <c r="LXI230" s="32"/>
      <c r="LXJ230" s="32"/>
      <c r="LXK230" s="31"/>
      <c r="LXL230" s="31"/>
      <c r="LXM230" s="33"/>
      <c r="LXN230" s="33"/>
      <c r="LXO230" s="34"/>
      <c r="LXP230" s="34"/>
      <c r="LXQ230" s="35"/>
      <c r="LXR230" s="35"/>
      <c r="LXS230" s="32"/>
      <c r="LXT230" s="31"/>
      <c r="LXU230" s="31"/>
      <c r="LXV230" s="31"/>
      <c r="LXW230" s="32"/>
      <c r="LXX230" s="32"/>
      <c r="LXY230" s="32"/>
      <c r="LXZ230" s="32"/>
      <c r="LYA230" s="32"/>
      <c r="LYB230" s="31"/>
      <c r="LYC230" s="31"/>
      <c r="LYD230" s="33"/>
      <c r="LYE230" s="33"/>
      <c r="LYF230" s="34"/>
      <c r="LYG230" s="34"/>
      <c r="LYH230" s="35"/>
      <c r="LYI230" s="35"/>
      <c r="LYJ230" s="32"/>
      <c r="LYK230" s="31"/>
      <c r="LYL230" s="31"/>
      <c r="LYM230" s="31"/>
      <c r="LYN230" s="32"/>
      <c r="LYO230" s="32"/>
      <c r="LYP230" s="32"/>
      <c r="LYQ230" s="32"/>
      <c r="LYR230" s="32"/>
      <c r="LYS230" s="31"/>
      <c r="LYT230" s="31"/>
      <c r="LYU230" s="33"/>
      <c r="LYV230" s="33"/>
      <c r="LYW230" s="34"/>
      <c r="LYX230" s="34"/>
      <c r="LYY230" s="35"/>
      <c r="LYZ230" s="35"/>
      <c r="LZA230" s="32"/>
      <c r="LZB230" s="31"/>
      <c r="LZC230" s="31"/>
      <c r="LZD230" s="31"/>
      <c r="LZE230" s="32"/>
      <c r="LZF230" s="32"/>
      <c r="LZG230" s="32"/>
      <c r="LZH230" s="32"/>
      <c r="LZI230" s="32"/>
      <c r="LZJ230" s="31"/>
      <c r="LZK230" s="31"/>
      <c r="LZL230" s="33"/>
      <c r="LZM230" s="33"/>
      <c r="LZN230" s="34"/>
      <c r="LZO230" s="34"/>
      <c r="LZP230" s="35"/>
      <c r="LZQ230" s="35"/>
      <c r="LZR230" s="32"/>
      <c r="LZS230" s="31"/>
      <c r="LZT230" s="31"/>
      <c r="LZU230" s="31"/>
      <c r="LZV230" s="32"/>
      <c r="LZW230" s="32"/>
      <c r="LZX230" s="32"/>
      <c r="LZY230" s="32"/>
      <c r="LZZ230" s="32"/>
      <c r="MAA230" s="31"/>
      <c r="MAB230" s="31"/>
      <c r="MAC230" s="33"/>
      <c r="MAD230" s="33"/>
      <c r="MAE230" s="34"/>
      <c r="MAF230" s="34"/>
      <c r="MAG230" s="35"/>
      <c r="MAH230" s="35"/>
      <c r="MAI230" s="32"/>
      <c r="MAJ230" s="31"/>
      <c r="MAK230" s="31"/>
      <c r="MAL230" s="31"/>
      <c r="MAM230" s="32"/>
      <c r="MAN230" s="32"/>
      <c r="MAO230" s="32"/>
      <c r="MAP230" s="32"/>
      <c r="MAQ230" s="32"/>
      <c r="MAR230" s="31"/>
      <c r="MAS230" s="31"/>
      <c r="MAT230" s="33"/>
      <c r="MAU230" s="33"/>
      <c r="MAV230" s="34"/>
      <c r="MAW230" s="34"/>
      <c r="MAX230" s="35"/>
      <c r="MAY230" s="35"/>
      <c r="MAZ230" s="32"/>
      <c r="MBA230" s="31"/>
      <c r="MBB230" s="31"/>
      <c r="MBC230" s="31"/>
      <c r="MBD230" s="32"/>
      <c r="MBE230" s="32"/>
      <c r="MBF230" s="32"/>
      <c r="MBG230" s="32"/>
      <c r="MBH230" s="32"/>
      <c r="MBI230" s="31"/>
      <c r="MBJ230" s="31"/>
      <c r="MBK230" s="33"/>
      <c r="MBL230" s="33"/>
      <c r="MBM230" s="34"/>
      <c r="MBN230" s="34"/>
      <c r="MBO230" s="35"/>
      <c r="MBP230" s="35"/>
      <c r="MBQ230" s="32"/>
      <c r="MBR230" s="31"/>
      <c r="MBS230" s="31"/>
      <c r="MBT230" s="31"/>
      <c r="MBU230" s="32"/>
      <c r="MBV230" s="32"/>
      <c r="MBW230" s="32"/>
      <c r="MBX230" s="32"/>
      <c r="MBY230" s="32"/>
      <c r="MBZ230" s="31"/>
      <c r="MCA230" s="31"/>
      <c r="MCB230" s="33"/>
      <c r="MCC230" s="33"/>
      <c r="MCD230" s="34"/>
      <c r="MCE230" s="34"/>
      <c r="MCF230" s="35"/>
      <c r="MCG230" s="35"/>
      <c r="MCH230" s="32"/>
      <c r="MCI230" s="31"/>
      <c r="MCJ230" s="31"/>
      <c r="MCK230" s="31"/>
      <c r="MCL230" s="32"/>
      <c r="MCM230" s="32"/>
      <c r="MCN230" s="32"/>
      <c r="MCO230" s="32"/>
      <c r="MCP230" s="32"/>
      <c r="MCQ230" s="31"/>
      <c r="MCR230" s="31"/>
      <c r="MCS230" s="33"/>
      <c r="MCT230" s="33"/>
      <c r="MCU230" s="34"/>
      <c r="MCV230" s="34"/>
      <c r="MCW230" s="35"/>
      <c r="MCX230" s="35"/>
      <c r="MCY230" s="32"/>
      <c r="MCZ230" s="31"/>
      <c r="MDA230" s="31"/>
      <c r="MDB230" s="31"/>
      <c r="MDC230" s="32"/>
      <c r="MDD230" s="32"/>
      <c r="MDE230" s="32"/>
      <c r="MDF230" s="32"/>
      <c r="MDG230" s="32"/>
      <c r="MDH230" s="31"/>
      <c r="MDI230" s="31"/>
      <c r="MDJ230" s="33"/>
      <c r="MDK230" s="33"/>
      <c r="MDL230" s="34"/>
      <c r="MDM230" s="34"/>
      <c r="MDN230" s="35"/>
      <c r="MDO230" s="35"/>
      <c r="MDP230" s="32"/>
      <c r="MDQ230" s="31"/>
      <c r="MDR230" s="31"/>
      <c r="MDS230" s="31"/>
      <c r="MDT230" s="32"/>
      <c r="MDU230" s="32"/>
      <c r="MDV230" s="32"/>
      <c r="MDW230" s="32"/>
      <c r="MDX230" s="32"/>
      <c r="MDY230" s="31"/>
      <c r="MDZ230" s="31"/>
      <c r="MEA230" s="33"/>
      <c r="MEB230" s="33"/>
      <c r="MEC230" s="34"/>
      <c r="MED230" s="34"/>
      <c r="MEE230" s="35"/>
      <c r="MEF230" s="35"/>
      <c r="MEG230" s="32"/>
      <c r="MEH230" s="31"/>
      <c r="MEI230" s="31"/>
      <c r="MEJ230" s="31"/>
      <c r="MEK230" s="32"/>
      <c r="MEL230" s="32"/>
      <c r="MEM230" s="32"/>
      <c r="MEN230" s="32"/>
      <c r="MEO230" s="32"/>
      <c r="MEP230" s="31"/>
      <c r="MEQ230" s="31"/>
      <c r="MER230" s="33"/>
      <c r="MES230" s="33"/>
      <c r="MET230" s="34"/>
      <c r="MEU230" s="34"/>
      <c r="MEV230" s="35"/>
      <c r="MEW230" s="35"/>
      <c r="MEX230" s="32"/>
      <c r="MEY230" s="31"/>
      <c r="MEZ230" s="31"/>
      <c r="MFA230" s="31"/>
      <c r="MFB230" s="32"/>
      <c r="MFC230" s="32"/>
      <c r="MFD230" s="32"/>
      <c r="MFE230" s="32"/>
      <c r="MFF230" s="32"/>
      <c r="MFG230" s="31"/>
      <c r="MFH230" s="31"/>
      <c r="MFI230" s="33"/>
      <c r="MFJ230" s="33"/>
      <c r="MFK230" s="34"/>
      <c r="MFL230" s="34"/>
      <c r="MFM230" s="35"/>
      <c r="MFN230" s="35"/>
      <c r="MFO230" s="32"/>
      <c r="MFP230" s="31"/>
      <c r="MFQ230" s="31"/>
      <c r="MFR230" s="31"/>
      <c r="MFS230" s="32"/>
      <c r="MFT230" s="32"/>
      <c r="MFU230" s="32"/>
      <c r="MFV230" s="32"/>
      <c r="MFW230" s="32"/>
      <c r="MFX230" s="31"/>
      <c r="MFY230" s="31"/>
      <c r="MFZ230" s="33"/>
      <c r="MGA230" s="33"/>
      <c r="MGB230" s="34"/>
      <c r="MGC230" s="34"/>
      <c r="MGD230" s="35"/>
      <c r="MGE230" s="35"/>
      <c r="MGF230" s="32"/>
      <c r="MGG230" s="31"/>
      <c r="MGH230" s="31"/>
      <c r="MGI230" s="31"/>
      <c r="MGJ230" s="32"/>
      <c r="MGK230" s="32"/>
      <c r="MGL230" s="32"/>
      <c r="MGM230" s="32"/>
      <c r="MGN230" s="32"/>
      <c r="MGO230" s="31"/>
      <c r="MGP230" s="31"/>
      <c r="MGQ230" s="33"/>
      <c r="MGR230" s="33"/>
      <c r="MGS230" s="34"/>
      <c r="MGT230" s="34"/>
      <c r="MGU230" s="35"/>
      <c r="MGV230" s="35"/>
      <c r="MGW230" s="32"/>
      <c r="MGX230" s="31"/>
      <c r="MGY230" s="31"/>
      <c r="MGZ230" s="31"/>
      <c r="MHA230" s="32"/>
      <c r="MHB230" s="32"/>
      <c r="MHC230" s="32"/>
      <c r="MHD230" s="32"/>
      <c r="MHE230" s="32"/>
      <c r="MHF230" s="31"/>
      <c r="MHG230" s="31"/>
      <c r="MHH230" s="33"/>
      <c r="MHI230" s="33"/>
      <c r="MHJ230" s="34"/>
      <c r="MHK230" s="34"/>
      <c r="MHL230" s="35"/>
      <c r="MHM230" s="35"/>
      <c r="MHN230" s="32"/>
      <c r="MHO230" s="31"/>
      <c r="MHP230" s="31"/>
      <c r="MHQ230" s="31"/>
      <c r="MHR230" s="32"/>
      <c r="MHS230" s="32"/>
      <c r="MHT230" s="32"/>
      <c r="MHU230" s="32"/>
      <c r="MHV230" s="32"/>
      <c r="MHW230" s="31"/>
      <c r="MHX230" s="31"/>
      <c r="MHY230" s="33"/>
      <c r="MHZ230" s="33"/>
      <c r="MIA230" s="34"/>
      <c r="MIB230" s="34"/>
      <c r="MIC230" s="35"/>
      <c r="MID230" s="35"/>
      <c r="MIE230" s="32"/>
      <c r="MIF230" s="31"/>
      <c r="MIG230" s="31"/>
      <c r="MIH230" s="31"/>
      <c r="MII230" s="32"/>
      <c r="MIJ230" s="32"/>
      <c r="MIK230" s="32"/>
      <c r="MIL230" s="32"/>
      <c r="MIM230" s="32"/>
      <c r="MIN230" s="31"/>
      <c r="MIO230" s="31"/>
      <c r="MIP230" s="33"/>
      <c r="MIQ230" s="33"/>
      <c r="MIR230" s="34"/>
      <c r="MIS230" s="34"/>
      <c r="MIT230" s="35"/>
      <c r="MIU230" s="35"/>
      <c r="MIV230" s="32"/>
      <c r="MIW230" s="31"/>
      <c r="MIX230" s="31"/>
      <c r="MIY230" s="31"/>
      <c r="MIZ230" s="32"/>
      <c r="MJA230" s="32"/>
      <c r="MJB230" s="32"/>
      <c r="MJC230" s="32"/>
      <c r="MJD230" s="32"/>
      <c r="MJE230" s="31"/>
      <c r="MJF230" s="31"/>
      <c r="MJG230" s="33"/>
      <c r="MJH230" s="33"/>
      <c r="MJI230" s="34"/>
      <c r="MJJ230" s="34"/>
      <c r="MJK230" s="35"/>
      <c r="MJL230" s="35"/>
      <c r="MJM230" s="32"/>
      <c r="MJN230" s="31"/>
      <c r="MJO230" s="31"/>
      <c r="MJP230" s="31"/>
      <c r="MJQ230" s="32"/>
      <c r="MJR230" s="32"/>
      <c r="MJS230" s="32"/>
      <c r="MJT230" s="32"/>
      <c r="MJU230" s="32"/>
      <c r="MJV230" s="31"/>
      <c r="MJW230" s="31"/>
      <c r="MJX230" s="33"/>
      <c r="MJY230" s="33"/>
      <c r="MJZ230" s="34"/>
      <c r="MKA230" s="34"/>
      <c r="MKB230" s="35"/>
      <c r="MKC230" s="35"/>
      <c r="MKD230" s="32"/>
      <c r="MKE230" s="31"/>
      <c r="MKF230" s="31"/>
      <c r="MKG230" s="31"/>
      <c r="MKH230" s="32"/>
      <c r="MKI230" s="32"/>
      <c r="MKJ230" s="32"/>
      <c r="MKK230" s="32"/>
      <c r="MKL230" s="32"/>
      <c r="MKM230" s="31"/>
      <c r="MKN230" s="31"/>
      <c r="MKO230" s="33"/>
      <c r="MKP230" s="33"/>
      <c r="MKQ230" s="34"/>
      <c r="MKR230" s="34"/>
      <c r="MKS230" s="35"/>
      <c r="MKT230" s="35"/>
      <c r="MKU230" s="32"/>
      <c r="MKV230" s="31"/>
      <c r="MKW230" s="31"/>
      <c r="MKX230" s="31"/>
      <c r="MKY230" s="32"/>
      <c r="MKZ230" s="32"/>
      <c r="MLA230" s="32"/>
      <c r="MLB230" s="32"/>
      <c r="MLC230" s="32"/>
      <c r="MLD230" s="31"/>
      <c r="MLE230" s="31"/>
      <c r="MLF230" s="33"/>
      <c r="MLG230" s="33"/>
      <c r="MLH230" s="34"/>
      <c r="MLI230" s="34"/>
      <c r="MLJ230" s="35"/>
      <c r="MLK230" s="35"/>
      <c r="MLL230" s="32"/>
      <c r="MLM230" s="31"/>
      <c r="MLN230" s="31"/>
      <c r="MLO230" s="31"/>
      <c r="MLP230" s="32"/>
      <c r="MLQ230" s="32"/>
      <c r="MLR230" s="32"/>
      <c r="MLS230" s="32"/>
      <c r="MLT230" s="32"/>
      <c r="MLU230" s="31"/>
      <c r="MLV230" s="31"/>
      <c r="MLW230" s="33"/>
      <c r="MLX230" s="33"/>
      <c r="MLY230" s="34"/>
      <c r="MLZ230" s="34"/>
      <c r="MMA230" s="35"/>
      <c r="MMB230" s="35"/>
      <c r="MMC230" s="32"/>
      <c r="MMD230" s="31"/>
      <c r="MME230" s="31"/>
      <c r="MMF230" s="31"/>
      <c r="MMG230" s="32"/>
      <c r="MMH230" s="32"/>
      <c r="MMI230" s="32"/>
      <c r="MMJ230" s="32"/>
      <c r="MMK230" s="32"/>
      <c r="MML230" s="31"/>
      <c r="MMM230" s="31"/>
      <c r="MMN230" s="33"/>
      <c r="MMO230" s="33"/>
      <c r="MMP230" s="34"/>
      <c r="MMQ230" s="34"/>
      <c r="MMR230" s="35"/>
      <c r="MMS230" s="35"/>
      <c r="MMT230" s="32"/>
      <c r="MMU230" s="31"/>
      <c r="MMV230" s="31"/>
      <c r="MMW230" s="31"/>
      <c r="MMX230" s="32"/>
      <c r="MMY230" s="32"/>
      <c r="MMZ230" s="32"/>
      <c r="MNA230" s="32"/>
      <c r="MNB230" s="32"/>
      <c r="MNC230" s="31"/>
      <c r="MND230" s="31"/>
      <c r="MNE230" s="33"/>
      <c r="MNF230" s="33"/>
      <c r="MNG230" s="34"/>
      <c r="MNH230" s="34"/>
      <c r="MNI230" s="35"/>
      <c r="MNJ230" s="35"/>
      <c r="MNK230" s="32"/>
      <c r="MNL230" s="31"/>
      <c r="MNM230" s="31"/>
      <c r="MNN230" s="31"/>
      <c r="MNO230" s="32"/>
      <c r="MNP230" s="32"/>
      <c r="MNQ230" s="32"/>
      <c r="MNR230" s="32"/>
      <c r="MNS230" s="32"/>
      <c r="MNT230" s="31"/>
      <c r="MNU230" s="31"/>
      <c r="MNV230" s="33"/>
      <c r="MNW230" s="33"/>
      <c r="MNX230" s="34"/>
      <c r="MNY230" s="34"/>
      <c r="MNZ230" s="35"/>
      <c r="MOA230" s="35"/>
      <c r="MOB230" s="32"/>
      <c r="MOC230" s="31"/>
      <c r="MOD230" s="31"/>
      <c r="MOE230" s="31"/>
      <c r="MOF230" s="32"/>
      <c r="MOG230" s="32"/>
      <c r="MOH230" s="32"/>
      <c r="MOI230" s="32"/>
      <c r="MOJ230" s="32"/>
      <c r="MOK230" s="31"/>
      <c r="MOL230" s="31"/>
      <c r="MOM230" s="33"/>
      <c r="MON230" s="33"/>
      <c r="MOO230" s="34"/>
      <c r="MOP230" s="34"/>
      <c r="MOQ230" s="35"/>
      <c r="MOR230" s="35"/>
      <c r="MOS230" s="32"/>
      <c r="MOT230" s="31"/>
      <c r="MOU230" s="31"/>
      <c r="MOV230" s="31"/>
      <c r="MOW230" s="32"/>
      <c r="MOX230" s="32"/>
      <c r="MOY230" s="32"/>
      <c r="MOZ230" s="32"/>
      <c r="MPA230" s="32"/>
      <c r="MPB230" s="31"/>
      <c r="MPC230" s="31"/>
      <c r="MPD230" s="33"/>
      <c r="MPE230" s="33"/>
      <c r="MPF230" s="34"/>
      <c r="MPG230" s="34"/>
      <c r="MPH230" s="35"/>
      <c r="MPI230" s="35"/>
      <c r="MPJ230" s="32"/>
      <c r="MPK230" s="31"/>
      <c r="MPL230" s="31"/>
      <c r="MPM230" s="31"/>
      <c r="MPN230" s="32"/>
      <c r="MPO230" s="32"/>
      <c r="MPP230" s="32"/>
      <c r="MPQ230" s="32"/>
      <c r="MPR230" s="32"/>
      <c r="MPS230" s="31"/>
      <c r="MPT230" s="31"/>
      <c r="MPU230" s="33"/>
      <c r="MPV230" s="33"/>
      <c r="MPW230" s="34"/>
      <c r="MPX230" s="34"/>
      <c r="MPY230" s="35"/>
      <c r="MPZ230" s="35"/>
      <c r="MQA230" s="32"/>
      <c r="MQB230" s="31"/>
      <c r="MQC230" s="31"/>
      <c r="MQD230" s="31"/>
      <c r="MQE230" s="32"/>
      <c r="MQF230" s="32"/>
      <c r="MQG230" s="32"/>
      <c r="MQH230" s="32"/>
      <c r="MQI230" s="32"/>
      <c r="MQJ230" s="31"/>
      <c r="MQK230" s="31"/>
      <c r="MQL230" s="33"/>
      <c r="MQM230" s="33"/>
      <c r="MQN230" s="34"/>
      <c r="MQO230" s="34"/>
      <c r="MQP230" s="35"/>
      <c r="MQQ230" s="35"/>
      <c r="MQR230" s="32"/>
      <c r="MQS230" s="31"/>
      <c r="MQT230" s="31"/>
      <c r="MQU230" s="31"/>
      <c r="MQV230" s="32"/>
      <c r="MQW230" s="32"/>
      <c r="MQX230" s="32"/>
      <c r="MQY230" s="32"/>
      <c r="MQZ230" s="32"/>
      <c r="MRA230" s="31"/>
      <c r="MRB230" s="31"/>
      <c r="MRC230" s="33"/>
      <c r="MRD230" s="33"/>
      <c r="MRE230" s="34"/>
      <c r="MRF230" s="34"/>
      <c r="MRG230" s="35"/>
      <c r="MRH230" s="35"/>
      <c r="MRI230" s="32"/>
      <c r="MRJ230" s="31"/>
      <c r="MRK230" s="31"/>
      <c r="MRL230" s="31"/>
      <c r="MRM230" s="32"/>
      <c r="MRN230" s="32"/>
      <c r="MRO230" s="32"/>
      <c r="MRP230" s="32"/>
      <c r="MRQ230" s="32"/>
      <c r="MRR230" s="31"/>
      <c r="MRS230" s="31"/>
      <c r="MRT230" s="33"/>
      <c r="MRU230" s="33"/>
      <c r="MRV230" s="34"/>
      <c r="MRW230" s="34"/>
      <c r="MRX230" s="35"/>
      <c r="MRY230" s="35"/>
      <c r="MRZ230" s="32"/>
      <c r="MSA230" s="31"/>
      <c r="MSB230" s="31"/>
      <c r="MSC230" s="31"/>
      <c r="MSD230" s="32"/>
      <c r="MSE230" s="32"/>
      <c r="MSF230" s="32"/>
      <c r="MSG230" s="32"/>
      <c r="MSH230" s="32"/>
      <c r="MSI230" s="31"/>
      <c r="MSJ230" s="31"/>
      <c r="MSK230" s="33"/>
      <c r="MSL230" s="33"/>
      <c r="MSM230" s="34"/>
      <c r="MSN230" s="34"/>
      <c r="MSO230" s="35"/>
      <c r="MSP230" s="35"/>
      <c r="MSQ230" s="32"/>
      <c r="MSR230" s="31"/>
      <c r="MSS230" s="31"/>
      <c r="MST230" s="31"/>
      <c r="MSU230" s="32"/>
      <c r="MSV230" s="32"/>
      <c r="MSW230" s="32"/>
      <c r="MSX230" s="32"/>
      <c r="MSY230" s="32"/>
      <c r="MSZ230" s="31"/>
      <c r="MTA230" s="31"/>
      <c r="MTB230" s="33"/>
      <c r="MTC230" s="33"/>
      <c r="MTD230" s="34"/>
      <c r="MTE230" s="34"/>
      <c r="MTF230" s="35"/>
      <c r="MTG230" s="35"/>
      <c r="MTH230" s="32"/>
      <c r="MTI230" s="31"/>
      <c r="MTJ230" s="31"/>
      <c r="MTK230" s="31"/>
      <c r="MTL230" s="32"/>
      <c r="MTM230" s="32"/>
      <c r="MTN230" s="32"/>
      <c r="MTO230" s="32"/>
      <c r="MTP230" s="32"/>
      <c r="MTQ230" s="31"/>
      <c r="MTR230" s="31"/>
      <c r="MTS230" s="33"/>
      <c r="MTT230" s="33"/>
      <c r="MTU230" s="34"/>
      <c r="MTV230" s="34"/>
      <c r="MTW230" s="35"/>
      <c r="MTX230" s="35"/>
      <c r="MTY230" s="32"/>
      <c r="MTZ230" s="31"/>
      <c r="MUA230" s="31"/>
      <c r="MUB230" s="31"/>
      <c r="MUC230" s="32"/>
      <c r="MUD230" s="32"/>
      <c r="MUE230" s="32"/>
      <c r="MUF230" s="32"/>
      <c r="MUG230" s="32"/>
      <c r="MUH230" s="31"/>
      <c r="MUI230" s="31"/>
      <c r="MUJ230" s="33"/>
      <c r="MUK230" s="33"/>
      <c r="MUL230" s="34"/>
      <c r="MUM230" s="34"/>
      <c r="MUN230" s="35"/>
      <c r="MUO230" s="35"/>
      <c r="MUP230" s="32"/>
      <c r="MUQ230" s="31"/>
      <c r="MUR230" s="31"/>
      <c r="MUS230" s="31"/>
      <c r="MUT230" s="32"/>
      <c r="MUU230" s="32"/>
      <c r="MUV230" s="32"/>
      <c r="MUW230" s="32"/>
      <c r="MUX230" s="32"/>
      <c r="MUY230" s="31"/>
      <c r="MUZ230" s="31"/>
      <c r="MVA230" s="33"/>
      <c r="MVB230" s="33"/>
      <c r="MVC230" s="34"/>
      <c r="MVD230" s="34"/>
      <c r="MVE230" s="35"/>
      <c r="MVF230" s="35"/>
      <c r="MVG230" s="32"/>
      <c r="MVH230" s="31"/>
      <c r="MVI230" s="31"/>
      <c r="MVJ230" s="31"/>
      <c r="MVK230" s="32"/>
      <c r="MVL230" s="32"/>
      <c r="MVM230" s="32"/>
      <c r="MVN230" s="32"/>
      <c r="MVO230" s="32"/>
      <c r="MVP230" s="31"/>
      <c r="MVQ230" s="31"/>
      <c r="MVR230" s="33"/>
      <c r="MVS230" s="33"/>
      <c r="MVT230" s="34"/>
      <c r="MVU230" s="34"/>
      <c r="MVV230" s="35"/>
      <c r="MVW230" s="35"/>
      <c r="MVX230" s="32"/>
      <c r="MVY230" s="31"/>
      <c r="MVZ230" s="31"/>
      <c r="MWA230" s="31"/>
      <c r="MWB230" s="32"/>
      <c r="MWC230" s="32"/>
      <c r="MWD230" s="32"/>
      <c r="MWE230" s="32"/>
      <c r="MWF230" s="32"/>
      <c r="MWG230" s="31"/>
      <c r="MWH230" s="31"/>
      <c r="MWI230" s="33"/>
      <c r="MWJ230" s="33"/>
      <c r="MWK230" s="34"/>
      <c r="MWL230" s="34"/>
      <c r="MWM230" s="35"/>
      <c r="MWN230" s="35"/>
      <c r="MWO230" s="32"/>
      <c r="MWP230" s="31"/>
      <c r="MWQ230" s="31"/>
      <c r="MWR230" s="31"/>
      <c r="MWS230" s="32"/>
      <c r="MWT230" s="32"/>
      <c r="MWU230" s="32"/>
      <c r="MWV230" s="32"/>
      <c r="MWW230" s="32"/>
      <c r="MWX230" s="31"/>
      <c r="MWY230" s="31"/>
      <c r="MWZ230" s="33"/>
      <c r="MXA230" s="33"/>
      <c r="MXB230" s="34"/>
      <c r="MXC230" s="34"/>
      <c r="MXD230" s="35"/>
      <c r="MXE230" s="35"/>
      <c r="MXF230" s="32"/>
      <c r="MXG230" s="31"/>
      <c r="MXH230" s="31"/>
      <c r="MXI230" s="31"/>
      <c r="MXJ230" s="32"/>
      <c r="MXK230" s="32"/>
      <c r="MXL230" s="32"/>
      <c r="MXM230" s="32"/>
      <c r="MXN230" s="32"/>
      <c r="MXO230" s="31"/>
      <c r="MXP230" s="31"/>
      <c r="MXQ230" s="33"/>
      <c r="MXR230" s="33"/>
      <c r="MXS230" s="34"/>
      <c r="MXT230" s="34"/>
      <c r="MXU230" s="35"/>
      <c r="MXV230" s="35"/>
      <c r="MXW230" s="32"/>
      <c r="MXX230" s="31"/>
      <c r="MXY230" s="31"/>
      <c r="MXZ230" s="31"/>
      <c r="MYA230" s="32"/>
      <c r="MYB230" s="32"/>
      <c r="MYC230" s="32"/>
      <c r="MYD230" s="32"/>
      <c r="MYE230" s="32"/>
      <c r="MYF230" s="31"/>
      <c r="MYG230" s="31"/>
      <c r="MYH230" s="33"/>
      <c r="MYI230" s="33"/>
      <c r="MYJ230" s="34"/>
      <c r="MYK230" s="34"/>
      <c r="MYL230" s="35"/>
      <c r="MYM230" s="35"/>
      <c r="MYN230" s="32"/>
      <c r="MYO230" s="31"/>
      <c r="MYP230" s="31"/>
      <c r="MYQ230" s="31"/>
      <c r="MYR230" s="32"/>
      <c r="MYS230" s="32"/>
      <c r="MYT230" s="32"/>
      <c r="MYU230" s="32"/>
      <c r="MYV230" s="32"/>
      <c r="MYW230" s="31"/>
      <c r="MYX230" s="31"/>
      <c r="MYY230" s="33"/>
      <c r="MYZ230" s="33"/>
      <c r="MZA230" s="34"/>
      <c r="MZB230" s="34"/>
      <c r="MZC230" s="35"/>
      <c r="MZD230" s="35"/>
      <c r="MZE230" s="32"/>
      <c r="MZF230" s="31"/>
      <c r="MZG230" s="31"/>
      <c r="MZH230" s="31"/>
      <c r="MZI230" s="32"/>
      <c r="MZJ230" s="32"/>
      <c r="MZK230" s="32"/>
      <c r="MZL230" s="32"/>
      <c r="MZM230" s="32"/>
      <c r="MZN230" s="31"/>
      <c r="MZO230" s="31"/>
      <c r="MZP230" s="33"/>
      <c r="MZQ230" s="33"/>
      <c r="MZR230" s="34"/>
      <c r="MZS230" s="34"/>
      <c r="MZT230" s="35"/>
      <c r="MZU230" s="35"/>
      <c r="MZV230" s="32"/>
      <c r="MZW230" s="31"/>
      <c r="MZX230" s="31"/>
      <c r="MZY230" s="31"/>
      <c r="MZZ230" s="32"/>
      <c r="NAA230" s="32"/>
      <c r="NAB230" s="32"/>
      <c r="NAC230" s="32"/>
      <c r="NAD230" s="32"/>
      <c r="NAE230" s="31"/>
      <c r="NAF230" s="31"/>
      <c r="NAG230" s="33"/>
      <c r="NAH230" s="33"/>
      <c r="NAI230" s="34"/>
      <c r="NAJ230" s="34"/>
      <c r="NAK230" s="35"/>
      <c r="NAL230" s="35"/>
      <c r="NAM230" s="32"/>
      <c r="NAN230" s="31"/>
      <c r="NAO230" s="31"/>
      <c r="NAP230" s="31"/>
      <c r="NAQ230" s="32"/>
      <c r="NAR230" s="32"/>
      <c r="NAS230" s="32"/>
      <c r="NAT230" s="32"/>
      <c r="NAU230" s="32"/>
      <c r="NAV230" s="31"/>
      <c r="NAW230" s="31"/>
      <c r="NAX230" s="33"/>
      <c r="NAY230" s="33"/>
      <c r="NAZ230" s="34"/>
      <c r="NBA230" s="34"/>
      <c r="NBB230" s="35"/>
      <c r="NBC230" s="35"/>
      <c r="NBD230" s="32"/>
      <c r="NBE230" s="31"/>
      <c r="NBF230" s="31"/>
      <c r="NBG230" s="31"/>
      <c r="NBH230" s="32"/>
      <c r="NBI230" s="32"/>
      <c r="NBJ230" s="32"/>
      <c r="NBK230" s="32"/>
      <c r="NBL230" s="32"/>
      <c r="NBM230" s="31"/>
      <c r="NBN230" s="31"/>
      <c r="NBO230" s="33"/>
      <c r="NBP230" s="33"/>
      <c r="NBQ230" s="34"/>
      <c r="NBR230" s="34"/>
      <c r="NBS230" s="35"/>
      <c r="NBT230" s="35"/>
      <c r="NBU230" s="32"/>
      <c r="NBV230" s="31"/>
      <c r="NBW230" s="31"/>
      <c r="NBX230" s="31"/>
      <c r="NBY230" s="32"/>
      <c r="NBZ230" s="32"/>
      <c r="NCA230" s="32"/>
      <c r="NCB230" s="32"/>
      <c r="NCC230" s="32"/>
      <c r="NCD230" s="31"/>
      <c r="NCE230" s="31"/>
      <c r="NCF230" s="33"/>
      <c r="NCG230" s="33"/>
      <c r="NCH230" s="34"/>
      <c r="NCI230" s="34"/>
      <c r="NCJ230" s="35"/>
      <c r="NCK230" s="35"/>
      <c r="NCL230" s="32"/>
      <c r="NCM230" s="31"/>
      <c r="NCN230" s="31"/>
      <c r="NCO230" s="31"/>
      <c r="NCP230" s="32"/>
      <c r="NCQ230" s="32"/>
      <c r="NCR230" s="32"/>
      <c r="NCS230" s="32"/>
      <c r="NCT230" s="32"/>
      <c r="NCU230" s="31"/>
      <c r="NCV230" s="31"/>
      <c r="NCW230" s="33"/>
      <c r="NCX230" s="33"/>
      <c r="NCY230" s="34"/>
      <c r="NCZ230" s="34"/>
      <c r="NDA230" s="35"/>
      <c r="NDB230" s="35"/>
      <c r="NDC230" s="32"/>
      <c r="NDD230" s="31"/>
      <c r="NDE230" s="31"/>
      <c r="NDF230" s="31"/>
      <c r="NDG230" s="32"/>
      <c r="NDH230" s="32"/>
      <c r="NDI230" s="32"/>
      <c r="NDJ230" s="32"/>
      <c r="NDK230" s="32"/>
      <c r="NDL230" s="31"/>
      <c r="NDM230" s="31"/>
      <c r="NDN230" s="33"/>
      <c r="NDO230" s="33"/>
      <c r="NDP230" s="34"/>
      <c r="NDQ230" s="34"/>
      <c r="NDR230" s="35"/>
      <c r="NDS230" s="35"/>
      <c r="NDT230" s="32"/>
      <c r="NDU230" s="31"/>
      <c r="NDV230" s="31"/>
      <c r="NDW230" s="31"/>
      <c r="NDX230" s="32"/>
      <c r="NDY230" s="32"/>
      <c r="NDZ230" s="32"/>
      <c r="NEA230" s="32"/>
      <c r="NEB230" s="32"/>
      <c r="NEC230" s="31"/>
      <c r="NED230" s="31"/>
      <c r="NEE230" s="33"/>
      <c r="NEF230" s="33"/>
      <c r="NEG230" s="34"/>
      <c r="NEH230" s="34"/>
      <c r="NEI230" s="35"/>
      <c r="NEJ230" s="35"/>
      <c r="NEK230" s="32"/>
      <c r="NEL230" s="31"/>
      <c r="NEM230" s="31"/>
      <c r="NEN230" s="31"/>
      <c r="NEO230" s="32"/>
      <c r="NEP230" s="32"/>
      <c r="NEQ230" s="32"/>
      <c r="NER230" s="32"/>
      <c r="NES230" s="32"/>
      <c r="NET230" s="31"/>
      <c r="NEU230" s="31"/>
      <c r="NEV230" s="33"/>
      <c r="NEW230" s="33"/>
      <c r="NEX230" s="34"/>
      <c r="NEY230" s="34"/>
      <c r="NEZ230" s="35"/>
      <c r="NFA230" s="35"/>
      <c r="NFB230" s="32"/>
      <c r="NFC230" s="31"/>
      <c r="NFD230" s="31"/>
      <c r="NFE230" s="31"/>
      <c r="NFF230" s="32"/>
      <c r="NFG230" s="32"/>
      <c r="NFH230" s="32"/>
      <c r="NFI230" s="32"/>
      <c r="NFJ230" s="32"/>
      <c r="NFK230" s="31"/>
      <c r="NFL230" s="31"/>
      <c r="NFM230" s="33"/>
      <c r="NFN230" s="33"/>
      <c r="NFO230" s="34"/>
      <c r="NFP230" s="34"/>
      <c r="NFQ230" s="35"/>
      <c r="NFR230" s="35"/>
      <c r="NFS230" s="32"/>
      <c r="NFT230" s="31"/>
      <c r="NFU230" s="31"/>
      <c r="NFV230" s="31"/>
      <c r="NFW230" s="32"/>
      <c r="NFX230" s="32"/>
      <c r="NFY230" s="32"/>
      <c r="NFZ230" s="32"/>
      <c r="NGA230" s="32"/>
      <c r="NGB230" s="31"/>
      <c r="NGC230" s="31"/>
      <c r="NGD230" s="33"/>
      <c r="NGE230" s="33"/>
      <c r="NGF230" s="34"/>
      <c r="NGG230" s="34"/>
      <c r="NGH230" s="35"/>
      <c r="NGI230" s="35"/>
      <c r="NGJ230" s="32"/>
      <c r="NGK230" s="31"/>
      <c r="NGL230" s="31"/>
      <c r="NGM230" s="31"/>
      <c r="NGN230" s="32"/>
      <c r="NGO230" s="32"/>
      <c r="NGP230" s="32"/>
      <c r="NGQ230" s="32"/>
      <c r="NGR230" s="32"/>
      <c r="NGS230" s="31"/>
      <c r="NGT230" s="31"/>
      <c r="NGU230" s="33"/>
      <c r="NGV230" s="33"/>
      <c r="NGW230" s="34"/>
      <c r="NGX230" s="34"/>
      <c r="NGY230" s="35"/>
      <c r="NGZ230" s="35"/>
      <c r="NHA230" s="32"/>
      <c r="NHB230" s="31"/>
      <c r="NHC230" s="31"/>
      <c r="NHD230" s="31"/>
      <c r="NHE230" s="32"/>
      <c r="NHF230" s="32"/>
      <c r="NHG230" s="32"/>
      <c r="NHH230" s="32"/>
      <c r="NHI230" s="32"/>
      <c r="NHJ230" s="31"/>
      <c r="NHK230" s="31"/>
      <c r="NHL230" s="33"/>
      <c r="NHM230" s="33"/>
      <c r="NHN230" s="34"/>
      <c r="NHO230" s="34"/>
      <c r="NHP230" s="35"/>
      <c r="NHQ230" s="35"/>
      <c r="NHR230" s="32"/>
      <c r="NHS230" s="31"/>
      <c r="NHT230" s="31"/>
      <c r="NHU230" s="31"/>
      <c r="NHV230" s="32"/>
      <c r="NHW230" s="32"/>
      <c r="NHX230" s="32"/>
      <c r="NHY230" s="32"/>
      <c r="NHZ230" s="32"/>
      <c r="NIA230" s="31"/>
      <c r="NIB230" s="31"/>
      <c r="NIC230" s="33"/>
      <c r="NID230" s="33"/>
      <c r="NIE230" s="34"/>
      <c r="NIF230" s="34"/>
      <c r="NIG230" s="35"/>
      <c r="NIH230" s="35"/>
      <c r="NII230" s="32"/>
      <c r="NIJ230" s="31"/>
      <c r="NIK230" s="31"/>
      <c r="NIL230" s="31"/>
      <c r="NIM230" s="32"/>
      <c r="NIN230" s="32"/>
      <c r="NIO230" s="32"/>
      <c r="NIP230" s="32"/>
      <c r="NIQ230" s="32"/>
      <c r="NIR230" s="31"/>
      <c r="NIS230" s="31"/>
      <c r="NIT230" s="33"/>
      <c r="NIU230" s="33"/>
      <c r="NIV230" s="34"/>
      <c r="NIW230" s="34"/>
      <c r="NIX230" s="35"/>
      <c r="NIY230" s="35"/>
      <c r="NIZ230" s="32"/>
      <c r="NJA230" s="31"/>
      <c r="NJB230" s="31"/>
      <c r="NJC230" s="31"/>
      <c r="NJD230" s="32"/>
      <c r="NJE230" s="32"/>
      <c r="NJF230" s="32"/>
      <c r="NJG230" s="32"/>
      <c r="NJH230" s="32"/>
      <c r="NJI230" s="31"/>
      <c r="NJJ230" s="31"/>
      <c r="NJK230" s="33"/>
      <c r="NJL230" s="33"/>
      <c r="NJM230" s="34"/>
      <c r="NJN230" s="34"/>
      <c r="NJO230" s="35"/>
      <c r="NJP230" s="35"/>
      <c r="NJQ230" s="32"/>
      <c r="NJR230" s="31"/>
      <c r="NJS230" s="31"/>
      <c r="NJT230" s="31"/>
      <c r="NJU230" s="32"/>
      <c r="NJV230" s="32"/>
      <c r="NJW230" s="32"/>
      <c r="NJX230" s="32"/>
      <c r="NJY230" s="32"/>
      <c r="NJZ230" s="31"/>
      <c r="NKA230" s="31"/>
      <c r="NKB230" s="33"/>
      <c r="NKC230" s="33"/>
      <c r="NKD230" s="34"/>
      <c r="NKE230" s="34"/>
      <c r="NKF230" s="35"/>
      <c r="NKG230" s="35"/>
      <c r="NKH230" s="32"/>
      <c r="NKI230" s="31"/>
      <c r="NKJ230" s="31"/>
      <c r="NKK230" s="31"/>
      <c r="NKL230" s="32"/>
      <c r="NKM230" s="32"/>
      <c r="NKN230" s="32"/>
      <c r="NKO230" s="32"/>
      <c r="NKP230" s="32"/>
      <c r="NKQ230" s="31"/>
      <c r="NKR230" s="31"/>
      <c r="NKS230" s="33"/>
      <c r="NKT230" s="33"/>
      <c r="NKU230" s="34"/>
      <c r="NKV230" s="34"/>
      <c r="NKW230" s="35"/>
      <c r="NKX230" s="35"/>
      <c r="NKY230" s="32"/>
      <c r="NKZ230" s="31"/>
      <c r="NLA230" s="31"/>
      <c r="NLB230" s="31"/>
      <c r="NLC230" s="32"/>
      <c r="NLD230" s="32"/>
      <c r="NLE230" s="32"/>
      <c r="NLF230" s="32"/>
      <c r="NLG230" s="32"/>
      <c r="NLH230" s="31"/>
      <c r="NLI230" s="31"/>
      <c r="NLJ230" s="33"/>
      <c r="NLK230" s="33"/>
      <c r="NLL230" s="34"/>
      <c r="NLM230" s="34"/>
      <c r="NLN230" s="35"/>
      <c r="NLO230" s="35"/>
      <c r="NLP230" s="32"/>
      <c r="NLQ230" s="31"/>
      <c r="NLR230" s="31"/>
      <c r="NLS230" s="31"/>
      <c r="NLT230" s="32"/>
      <c r="NLU230" s="32"/>
      <c r="NLV230" s="32"/>
      <c r="NLW230" s="32"/>
      <c r="NLX230" s="32"/>
      <c r="NLY230" s="31"/>
      <c r="NLZ230" s="31"/>
      <c r="NMA230" s="33"/>
      <c r="NMB230" s="33"/>
      <c r="NMC230" s="34"/>
      <c r="NMD230" s="34"/>
      <c r="NME230" s="35"/>
      <c r="NMF230" s="35"/>
      <c r="NMG230" s="32"/>
      <c r="NMH230" s="31"/>
      <c r="NMI230" s="31"/>
      <c r="NMJ230" s="31"/>
      <c r="NMK230" s="32"/>
      <c r="NML230" s="32"/>
      <c r="NMM230" s="32"/>
      <c r="NMN230" s="32"/>
      <c r="NMO230" s="32"/>
      <c r="NMP230" s="31"/>
      <c r="NMQ230" s="31"/>
      <c r="NMR230" s="33"/>
      <c r="NMS230" s="33"/>
      <c r="NMT230" s="34"/>
      <c r="NMU230" s="34"/>
      <c r="NMV230" s="35"/>
      <c r="NMW230" s="35"/>
      <c r="NMX230" s="32"/>
      <c r="NMY230" s="31"/>
      <c r="NMZ230" s="31"/>
      <c r="NNA230" s="31"/>
      <c r="NNB230" s="32"/>
      <c r="NNC230" s="32"/>
      <c r="NND230" s="32"/>
      <c r="NNE230" s="32"/>
      <c r="NNF230" s="32"/>
      <c r="NNG230" s="31"/>
      <c r="NNH230" s="31"/>
      <c r="NNI230" s="33"/>
      <c r="NNJ230" s="33"/>
      <c r="NNK230" s="34"/>
      <c r="NNL230" s="34"/>
      <c r="NNM230" s="35"/>
      <c r="NNN230" s="35"/>
      <c r="NNO230" s="32"/>
      <c r="NNP230" s="31"/>
      <c r="NNQ230" s="31"/>
      <c r="NNR230" s="31"/>
      <c r="NNS230" s="32"/>
      <c r="NNT230" s="32"/>
      <c r="NNU230" s="32"/>
      <c r="NNV230" s="32"/>
      <c r="NNW230" s="32"/>
      <c r="NNX230" s="31"/>
      <c r="NNY230" s="31"/>
      <c r="NNZ230" s="33"/>
      <c r="NOA230" s="33"/>
      <c r="NOB230" s="34"/>
      <c r="NOC230" s="34"/>
      <c r="NOD230" s="35"/>
      <c r="NOE230" s="35"/>
      <c r="NOF230" s="32"/>
      <c r="NOG230" s="31"/>
      <c r="NOH230" s="31"/>
      <c r="NOI230" s="31"/>
      <c r="NOJ230" s="32"/>
      <c r="NOK230" s="32"/>
      <c r="NOL230" s="32"/>
      <c r="NOM230" s="32"/>
      <c r="NON230" s="32"/>
      <c r="NOO230" s="31"/>
      <c r="NOP230" s="31"/>
      <c r="NOQ230" s="33"/>
      <c r="NOR230" s="33"/>
      <c r="NOS230" s="34"/>
      <c r="NOT230" s="34"/>
      <c r="NOU230" s="35"/>
      <c r="NOV230" s="35"/>
      <c r="NOW230" s="32"/>
      <c r="NOX230" s="31"/>
      <c r="NOY230" s="31"/>
      <c r="NOZ230" s="31"/>
      <c r="NPA230" s="32"/>
      <c r="NPB230" s="32"/>
      <c r="NPC230" s="32"/>
      <c r="NPD230" s="32"/>
      <c r="NPE230" s="32"/>
      <c r="NPF230" s="31"/>
      <c r="NPG230" s="31"/>
      <c r="NPH230" s="33"/>
      <c r="NPI230" s="33"/>
      <c r="NPJ230" s="34"/>
      <c r="NPK230" s="34"/>
      <c r="NPL230" s="35"/>
      <c r="NPM230" s="35"/>
      <c r="NPN230" s="32"/>
      <c r="NPO230" s="31"/>
      <c r="NPP230" s="31"/>
      <c r="NPQ230" s="31"/>
      <c r="NPR230" s="32"/>
      <c r="NPS230" s="32"/>
      <c r="NPT230" s="32"/>
      <c r="NPU230" s="32"/>
      <c r="NPV230" s="32"/>
      <c r="NPW230" s="31"/>
      <c r="NPX230" s="31"/>
      <c r="NPY230" s="33"/>
      <c r="NPZ230" s="33"/>
      <c r="NQA230" s="34"/>
      <c r="NQB230" s="34"/>
      <c r="NQC230" s="35"/>
      <c r="NQD230" s="35"/>
      <c r="NQE230" s="32"/>
      <c r="NQF230" s="31"/>
      <c r="NQG230" s="31"/>
      <c r="NQH230" s="31"/>
      <c r="NQI230" s="32"/>
      <c r="NQJ230" s="32"/>
      <c r="NQK230" s="32"/>
      <c r="NQL230" s="32"/>
      <c r="NQM230" s="32"/>
      <c r="NQN230" s="31"/>
      <c r="NQO230" s="31"/>
      <c r="NQP230" s="33"/>
      <c r="NQQ230" s="33"/>
      <c r="NQR230" s="34"/>
      <c r="NQS230" s="34"/>
      <c r="NQT230" s="35"/>
      <c r="NQU230" s="35"/>
      <c r="NQV230" s="32"/>
      <c r="NQW230" s="31"/>
      <c r="NQX230" s="31"/>
      <c r="NQY230" s="31"/>
      <c r="NQZ230" s="32"/>
      <c r="NRA230" s="32"/>
      <c r="NRB230" s="32"/>
      <c r="NRC230" s="32"/>
      <c r="NRD230" s="32"/>
      <c r="NRE230" s="31"/>
      <c r="NRF230" s="31"/>
      <c r="NRG230" s="33"/>
      <c r="NRH230" s="33"/>
      <c r="NRI230" s="34"/>
      <c r="NRJ230" s="34"/>
      <c r="NRK230" s="35"/>
      <c r="NRL230" s="35"/>
      <c r="NRM230" s="32"/>
      <c r="NRN230" s="31"/>
      <c r="NRO230" s="31"/>
      <c r="NRP230" s="31"/>
      <c r="NRQ230" s="32"/>
      <c r="NRR230" s="32"/>
      <c r="NRS230" s="32"/>
      <c r="NRT230" s="32"/>
      <c r="NRU230" s="32"/>
      <c r="NRV230" s="31"/>
      <c r="NRW230" s="31"/>
      <c r="NRX230" s="33"/>
      <c r="NRY230" s="33"/>
      <c r="NRZ230" s="34"/>
      <c r="NSA230" s="34"/>
      <c r="NSB230" s="35"/>
      <c r="NSC230" s="35"/>
      <c r="NSD230" s="32"/>
      <c r="NSE230" s="31"/>
      <c r="NSF230" s="31"/>
      <c r="NSG230" s="31"/>
      <c r="NSH230" s="32"/>
      <c r="NSI230" s="32"/>
      <c r="NSJ230" s="32"/>
      <c r="NSK230" s="32"/>
      <c r="NSL230" s="32"/>
      <c r="NSM230" s="31"/>
      <c r="NSN230" s="31"/>
      <c r="NSO230" s="33"/>
      <c r="NSP230" s="33"/>
      <c r="NSQ230" s="34"/>
      <c r="NSR230" s="34"/>
      <c r="NSS230" s="35"/>
      <c r="NST230" s="35"/>
      <c r="NSU230" s="32"/>
      <c r="NSV230" s="31"/>
      <c r="NSW230" s="31"/>
      <c r="NSX230" s="31"/>
      <c r="NSY230" s="32"/>
      <c r="NSZ230" s="32"/>
      <c r="NTA230" s="32"/>
      <c r="NTB230" s="32"/>
      <c r="NTC230" s="32"/>
      <c r="NTD230" s="31"/>
      <c r="NTE230" s="31"/>
      <c r="NTF230" s="33"/>
      <c r="NTG230" s="33"/>
      <c r="NTH230" s="34"/>
      <c r="NTI230" s="34"/>
      <c r="NTJ230" s="35"/>
      <c r="NTK230" s="35"/>
      <c r="NTL230" s="32"/>
      <c r="NTM230" s="31"/>
      <c r="NTN230" s="31"/>
      <c r="NTO230" s="31"/>
      <c r="NTP230" s="32"/>
      <c r="NTQ230" s="32"/>
      <c r="NTR230" s="32"/>
      <c r="NTS230" s="32"/>
      <c r="NTT230" s="32"/>
      <c r="NTU230" s="31"/>
      <c r="NTV230" s="31"/>
      <c r="NTW230" s="33"/>
      <c r="NTX230" s="33"/>
      <c r="NTY230" s="34"/>
      <c r="NTZ230" s="34"/>
      <c r="NUA230" s="35"/>
      <c r="NUB230" s="35"/>
      <c r="NUC230" s="32"/>
      <c r="NUD230" s="31"/>
      <c r="NUE230" s="31"/>
      <c r="NUF230" s="31"/>
      <c r="NUG230" s="32"/>
      <c r="NUH230" s="32"/>
      <c r="NUI230" s="32"/>
      <c r="NUJ230" s="32"/>
      <c r="NUK230" s="32"/>
      <c r="NUL230" s="31"/>
      <c r="NUM230" s="31"/>
      <c r="NUN230" s="33"/>
      <c r="NUO230" s="33"/>
      <c r="NUP230" s="34"/>
      <c r="NUQ230" s="34"/>
      <c r="NUR230" s="35"/>
      <c r="NUS230" s="35"/>
      <c r="NUT230" s="32"/>
      <c r="NUU230" s="31"/>
      <c r="NUV230" s="31"/>
      <c r="NUW230" s="31"/>
      <c r="NUX230" s="32"/>
      <c r="NUY230" s="32"/>
      <c r="NUZ230" s="32"/>
      <c r="NVA230" s="32"/>
      <c r="NVB230" s="32"/>
      <c r="NVC230" s="31"/>
      <c r="NVD230" s="31"/>
      <c r="NVE230" s="33"/>
      <c r="NVF230" s="33"/>
      <c r="NVG230" s="34"/>
      <c r="NVH230" s="34"/>
      <c r="NVI230" s="35"/>
      <c r="NVJ230" s="35"/>
      <c r="NVK230" s="32"/>
      <c r="NVL230" s="31"/>
      <c r="NVM230" s="31"/>
      <c r="NVN230" s="31"/>
      <c r="NVO230" s="32"/>
      <c r="NVP230" s="32"/>
      <c r="NVQ230" s="32"/>
      <c r="NVR230" s="32"/>
      <c r="NVS230" s="32"/>
      <c r="NVT230" s="31"/>
      <c r="NVU230" s="31"/>
      <c r="NVV230" s="33"/>
      <c r="NVW230" s="33"/>
      <c r="NVX230" s="34"/>
      <c r="NVY230" s="34"/>
      <c r="NVZ230" s="35"/>
      <c r="NWA230" s="35"/>
      <c r="NWB230" s="32"/>
      <c r="NWC230" s="31"/>
      <c r="NWD230" s="31"/>
      <c r="NWE230" s="31"/>
      <c r="NWF230" s="32"/>
      <c r="NWG230" s="32"/>
      <c r="NWH230" s="32"/>
      <c r="NWI230" s="32"/>
      <c r="NWJ230" s="32"/>
      <c r="NWK230" s="31"/>
      <c r="NWL230" s="31"/>
      <c r="NWM230" s="33"/>
      <c r="NWN230" s="33"/>
      <c r="NWO230" s="34"/>
      <c r="NWP230" s="34"/>
      <c r="NWQ230" s="35"/>
      <c r="NWR230" s="35"/>
      <c r="NWS230" s="32"/>
      <c r="NWT230" s="31"/>
      <c r="NWU230" s="31"/>
      <c r="NWV230" s="31"/>
      <c r="NWW230" s="32"/>
      <c r="NWX230" s="32"/>
      <c r="NWY230" s="32"/>
      <c r="NWZ230" s="32"/>
      <c r="NXA230" s="32"/>
      <c r="NXB230" s="31"/>
      <c r="NXC230" s="31"/>
      <c r="NXD230" s="33"/>
      <c r="NXE230" s="33"/>
      <c r="NXF230" s="34"/>
      <c r="NXG230" s="34"/>
      <c r="NXH230" s="35"/>
      <c r="NXI230" s="35"/>
      <c r="NXJ230" s="32"/>
      <c r="NXK230" s="31"/>
      <c r="NXL230" s="31"/>
      <c r="NXM230" s="31"/>
      <c r="NXN230" s="32"/>
      <c r="NXO230" s="32"/>
      <c r="NXP230" s="32"/>
      <c r="NXQ230" s="32"/>
      <c r="NXR230" s="32"/>
      <c r="NXS230" s="31"/>
      <c r="NXT230" s="31"/>
      <c r="NXU230" s="33"/>
      <c r="NXV230" s="33"/>
      <c r="NXW230" s="34"/>
      <c r="NXX230" s="34"/>
      <c r="NXY230" s="35"/>
      <c r="NXZ230" s="35"/>
      <c r="NYA230" s="32"/>
      <c r="NYB230" s="31"/>
      <c r="NYC230" s="31"/>
      <c r="NYD230" s="31"/>
      <c r="NYE230" s="32"/>
      <c r="NYF230" s="32"/>
      <c r="NYG230" s="32"/>
      <c r="NYH230" s="32"/>
      <c r="NYI230" s="32"/>
      <c r="NYJ230" s="31"/>
      <c r="NYK230" s="31"/>
      <c r="NYL230" s="33"/>
      <c r="NYM230" s="33"/>
      <c r="NYN230" s="34"/>
      <c r="NYO230" s="34"/>
      <c r="NYP230" s="35"/>
      <c r="NYQ230" s="35"/>
      <c r="NYR230" s="32"/>
      <c r="NYS230" s="31"/>
      <c r="NYT230" s="31"/>
      <c r="NYU230" s="31"/>
      <c r="NYV230" s="32"/>
      <c r="NYW230" s="32"/>
      <c r="NYX230" s="32"/>
      <c r="NYY230" s="32"/>
      <c r="NYZ230" s="32"/>
      <c r="NZA230" s="31"/>
      <c r="NZB230" s="31"/>
      <c r="NZC230" s="33"/>
      <c r="NZD230" s="33"/>
      <c r="NZE230" s="34"/>
      <c r="NZF230" s="34"/>
      <c r="NZG230" s="35"/>
      <c r="NZH230" s="35"/>
      <c r="NZI230" s="32"/>
      <c r="NZJ230" s="31"/>
      <c r="NZK230" s="31"/>
      <c r="NZL230" s="31"/>
      <c r="NZM230" s="32"/>
      <c r="NZN230" s="32"/>
      <c r="NZO230" s="32"/>
      <c r="NZP230" s="32"/>
      <c r="NZQ230" s="32"/>
      <c r="NZR230" s="31"/>
      <c r="NZS230" s="31"/>
      <c r="NZT230" s="33"/>
      <c r="NZU230" s="33"/>
      <c r="NZV230" s="34"/>
      <c r="NZW230" s="34"/>
      <c r="NZX230" s="35"/>
      <c r="NZY230" s="35"/>
      <c r="NZZ230" s="32"/>
      <c r="OAA230" s="31"/>
      <c r="OAB230" s="31"/>
      <c r="OAC230" s="31"/>
      <c r="OAD230" s="32"/>
      <c r="OAE230" s="32"/>
      <c r="OAF230" s="32"/>
      <c r="OAG230" s="32"/>
      <c r="OAH230" s="32"/>
      <c r="OAI230" s="31"/>
      <c r="OAJ230" s="31"/>
      <c r="OAK230" s="33"/>
      <c r="OAL230" s="33"/>
      <c r="OAM230" s="34"/>
      <c r="OAN230" s="34"/>
      <c r="OAO230" s="35"/>
      <c r="OAP230" s="35"/>
      <c r="OAQ230" s="32"/>
      <c r="OAR230" s="31"/>
      <c r="OAS230" s="31"/>
      <c r="OAT230" s="31"/>
      <c r="OAU230" s="32"/>
      <c r="OAV230" s="32"/>
      <c r="OAW230" s="32"/>
      <c r="OAX230" s="32"/>
      <c r="OAY230" s="32"/>
      <c r="OAZ230" s="31"/>
      <c r="OBA230" s="31"/>
      <c r="OBB230" s="33"/>
      <c r="OBC230" s="33"/>
      <c r="OBD230" s="34"/>
      <c r="OBE230" s="34"/>
      <c r="OBF230" s="35"/>
      <c r="OBG230" s="35"/>
      <c r="OBH230" s="32"/>
      <c r="OBI230" s="31"/>
      <c r="OBJ230" s="31"/>
      <c r="OBK230" s="31"/>
      <c r="OBL230" s="32"/>
      <c r="OBM230" s="32"/>
      <c r="OBN230" s="32"/>
      <c r="OBO230" s="32"/>
      <c r="OBP230" s="32"/>
      <c r="OBQ230" s="31"/>
      <c r="OBR230" s="31"/>
      <c r="OBS230" s="33"/>
      <c r="OBT230" s="33"/>
      <c r="OBU230" s="34"/>
      <c r="OBV230" s="34"/>
      <c r="OBW230" s="35"/>
      <c r="OBX230" s="35"/>
      <c r="OBY230" s="32"/>
      <c r="OBZ230" s="31"/>
      <c r="OCA230" s="31"/>
      <c r="OCB230" s="31"/>
      <c r="OCC230" s="32"/>
      <c r="OCD230" s="32"/>
      <c r="OCE230" s="32"/>
      <c r="OCF230" s="32"/>
      <c r="OCG230" s="32"/>
      <c r="OCH230" s="31"/>
      <c r="OCI230" s="31"/>
      <c r="OCJ230" s="33"/>
      <c r="OCK230" s="33"/>
      <c r="OCL230" s="34"/>
      <c r="OCM230" s="34"/>
      <c r="OCN230" s="35"/>
      <c r="OCO230" s="35"/>
      <c r="OCP230" s="32"/>
      <c r="OCQ230" s="31"/>
      <c r="OCR230" s="31"/>
      <c r="OCS230" s="31"/>
      <c r="OCT230" s="32"/>
      <c r="OCU230" s="32"/>
      <c r="OCV230" s="32"/>
      <c r="OCW230" s="32"/>
      <c r="OCX230" s="32"/>
      <c r="OCY230" s="31"/>
      <c r="OCZ230" s="31"/>
      <c r="ODA230" s="33"/>
      <c r="ODB230" s="33"/>
      <c r="ODC230" s="34"/>
      <c r="ODD230" s="34"/>
      <c r="ODE230" s="35"/>
      <c r="ODF230" s="35"/>
      <c r="ODG230" s="32"/>
      <c r="ODH230" s="31"/>
      <c r="ODI230" s="31"/>
      <c r="ODJ230" s="31"/>
      <c r="ODK230" s="32"/>
      <c r="ODL230" s="32"/>
      <c r="ODM230" s="32"/>
      <c r="ODN230" s="32"/>
      <c r="ODO230" s="32"/>
      <c r="ODP230" s="31"/>
      <c r="ODQ230" s="31"/>
      <c r="ODR230" s="33"/>
      <c r="ODS230" s="33"/>
      <c r="ODT230" s="34"/>
      <c r="ODU230" s="34"/>
      <c r="ODV230" s="35"/>
      <c r="ODW230" s="35"/>
      <c r="ODX230" s="32"/>
      <c r="ODY230" s="31"/>
      <c r="ODZ230" s="31"/>
      <c r="OEA230" s="31"/>
      <c r="OEB230" s="32"/>
      <c r="OEC230" s="32"/>
      <c r="OED230" s="32"/>
      <c r="OEE230" s="32"/>
      <c r="OEF230" s="32"/>
      <c r="OEG230" s="31"/>
      <c r="OEH230" s="31"/>
      <c r="OEI230" s="33"/>
      <c r="OEJ230" s="33"/>
      <c r="OEK230" s="34"/>
      <c r="OEL230" s="34"/>
      <c r="OEM230" s="35"/>
      <c r="OEN230" s="35"/>
      <c r="OEO230" s="32"/>
      <c r="OEP230" s="31"/>
      <c r="OEQ230" s="31"/>
      <c r="OER230" s="31"/>
      <c r="OES230" s="32"/>
      <c r="OET230" s="32"/>
      <c r="OEU230" s="32"/>
      <c r="OEV230" s="32"/>
      <c r="OEW230" s="32"/>
      <c r="OEX230" s="31"/>
      <c r="OEY230" s="31"/>
      <c r="OEZ230" s="33"/>
      <c r="OFA230" s="33"/>
      <c r="OFB230" s="34"/>
      <c r="OFC230" s="34"/>
      <c r="OFD230" s="35"/>
      <c r="OFE230" s="35"/>
      <c r="OFF230" s="32"/>
      <c r="OFG230" s="31"/>
      <c r="OFH230" s="31"/>
      <c r="OFI230" s="31"/>
      <c r="OFJ230" s="32"/>
      <c r="OFK230" s="32"/>
      <c r="OFL230" s="32"/>
      <c r="OFM230" s="32"/>
      <c r="OFN230" s="32"/>
      <c r="OFO230" s="31"/>
      <c r="OFP230" s="31"/>
      <c r="OFQ230" s="33"/>
      <c r="OFR230" s="33"/>
      <c r="OFS230" s="34"/>
      <c r="OFT230" s="34"/>
      <c r="OFU230" s="35"/>
      <c r="OFV230" s="35"/>
      <c r="OFW230" s="32"/>
      <c r="OFX230" s="31"/>
      <c r="OFY230" s="31"/>
      <c r="OFZ230" s="31"/>
      <c r="OGA230" s="32"/>
      <c r="OGB230" s="32"/>
      <c r="OGC230" s="32"/>
      <c r="OGD230" s="32"/>
      <c r="OGE230" s="32"/>
      <c r="OGF230" s="31"/>
      <c r="OGG230" s="31"/>
      <c r="OGH230" s="33"/>
      <c r="OGI230" s="33"/>
      <c r="OGJ230" s="34"/>
      <c r="OGK230" s="34"/>
      <c r="OGL230" s="35"/>
      <c r="OGM230" s="35"/>
      <c r="OGN230" s="32"/>
      <c r="OGO230" s="31"/>
      <c r="OGP230" s="31"/>
      <c r="OGQ230" s="31"/>
      <c r="OGR230" s="32"/>
      <c r="OGS230" s="32"/>
      <c r="OGT230" s="32"/>
      <c r="OGU230" s="32"/>
      <c r="OGV230" s="32"/>
      <c r="OGW230" s="31"/>
      <c r="OGX230" s="31"/>
      <c r="OGY230" s="33"/>
      <c r="OGZ230" s="33"/>
      <c r="OHA230" s="34"/>
      <c r="OHB230" s="34"/>
      <c r="OHC230" s="35"/>
      <c r="OHD230" s="35"/>
      <c r="OHE230" s="32"/>
      <c r="OHF230" s="31"/>
      <c r="OHG230" s="31"/>
      <c r="OHH230" s="31"/>
      <c r="OHI230" s="32"/>
      <c r="OHJ230" s="32"/>
      <c r="OHK230" s="32"/>
      <c r="OHL230" s="32"/>
      <c r="OHM230" s="32"/>
      <c r="OHN230" s="31"/>
      <c r="OHO230" s="31"/>
      <c r="OHP230" s="33"/>
      <c r="OHQ230" s="33"/>
      <c r="OHR230" s="34"/>
      <c r="OHS230" s="34"/>
      <c r="OHT230" s="35"/>
      <c r="OHU230" s="35"/>
      <c r="OHV230" s="32"/>
      <c r="OHW230" s="31"/>
      <c r="OHX230" s="31"/>
      <c r="OHY230" s="31"/>
      <c r="OHZ230" s="32"/>
      <c r="OIA230" s="32"/>
      <c r="OIB230" s="32"/>
      <c r="OIC230" s="32"/>
      <c r="OID230" s="32"/>
      <c r="OIE230" s="31"/>
      <c r="OIF230" s="31"/>
      <c r="OIG230" s="33"/>
      <c r="OIH230" s="33"/>
      <c r="OII230" s="34"/>
      <c r="OIJ230" s="34"/>
      <c r="OIK230" s="35"/>
      <c r="OIL230" s="35"/>
      <c r="OIM230" s="32"/>
      <c r="OIN230" s="31"/>
      <c r="OIO230" s="31"/>
      <c r="OIP230" s="31"/>
      <c r="OIQ230" s="32"/>
      <c r="OIR230" s="32"/>
      <c r="OIS230" s="32"/>
      <c r="OIT230" s="32"/>
      <c r="OIU230" s="32"/>
      <c r="OIV230" s="31"/>
      <c r="OIW230" s="31"/>
      <c r="OIX230" s="33"/>
      <c r="OIY230" s="33"/>
      <c r="OIZ230" s="34"/>
      <c r="OJA230" s="34"/>
      <c r="OJB230" s="35"/>
      <c r="OJC230" s="35"/>
      <c r="OJD230" s="32"/>
      <c r="OJE230" s="31"/>
      <c r="OJF230" s="31"/>
      <c r="OJG230" s="31"/>
      <c r="OJH230" s="32"/>
      <c r="OJI230" s="32"/>
      <c r="OJJ230" s="32"/>
      <c r="OJK230" s="32"/>
      <c r="OJL230" s="32"/>
      <c r="OJM230" s="31"/>
      <c r="OJN230" s="31"/>
      <c r="OJO230" s="33"/>
      <c r="OJP230" s="33"/>
      <c r="OJQ230" s="34"/>
      <c r="OJR230" s="34"/>
      <c r="OJS230" s="35"/>
      <c r="OJT230" s="35"/>
      <c r="OJU230" s="32"/>
      <c r="OJV230" s="31"/>
      <c r="OJW230" s="31"/>
      <c r="OJX230" s="31"/>
      <c r="OJY230" s="32"/>
      <c r="OJZ230" s="32"/>
      <c r="OKA230" s="32"/>
      <c r="OKB230" s="32"/>
      <c r="OKC230" s="32"/>
      <c r="OKD230" s="31"/>
      <c r="OKE230" s="31"/>
      <c r="OKF230" s="33"/>
      <c r="OKG230" s="33"/>
      <c r="OKH230" s="34"/>
      <c r="OKI230" s="34"/>
      <c r="OKJ230" s="35"/>
      <c r="OKK230" s="35"/>
      <c r="OKL230" s="32"/>
      <c r="OKM230" s="31"/>
      <c r="OKN230" s="31"/>
      <c r="OKO230" s="31"/>
      <c r="OKP230" s="32"/>
      <c r="OKQ230" s="32"/>
      <c r="OKR230" s="32"/>
      <c r="OKS230" s="32"/>
      <c r="OKT230" s="32"/>
      <c r="OKU230" s="31"/>
      <c r="OKV230" s="31"/>
      <c r="OKW230" s="33"/>
      <c r="OKX230" s="33"/>
      <c r="OKY230" s="34"/>
      <c r="OKZ230" s="34"/>
      <c r="OLA230" s="35"/>
      <c r="OLB230" s="35"/>
      <c r="OLC230" s="32"/>
      <c r="OLD230" s="31"/>
      <c r="OLE230" s="31"/>
      <c r="OLF230" s="31"/>
      <c r="OLG230" s="32"/>
      <c r="OLH230" s="32"/>
      <c r="OLI230" s="32"/>
      <c r="OLJ230" s="32"/>
      <c r="OLK230" s="32"/>
      <c r="OLL230" s="31"/>
      <c r="OLM230" s="31"/>
      <c r="OLN230" s="33"/>
      <c r="OLO230" s="33"/>
      <c r="OLP230" s="34"/>
      <c r="OLQ230" s="34"/>
      <c r="OLR230" s="35"/>
      <c r="OLS230" s="35"/>
      <c r="OLT230" s="32"/>
      <c r="OLU230" s="31"/>
      <c r="OLV230" s="31"/>
      <c r="OLW230" s="31"/>
      <c r="OLX230" s="32"/>
      <c r="OLY230" s="32"/>
      <c r="OLZ230" s="32"/>
      <c r="OMA230" s="32"/>
      <c r="OMB230" s="32"/>
      <c r="OMC230" s="31"/>
      <c r="OMD230" s="31"/>
      <c r="OME230" s="33"/>
      <c r="OMF230" s="33"/>
      <c r="OMG230" s="34"/>
      <c r="OMH230" s="34"/>
      <c r="OMI230" s="35"/>
      <c r="OMJ230" s="35"/>
      <c r="OMK230" s="32"/>
      <c r="OML230" s="31"/>
      <c r="OMM230" s="31"/>
      <c r="OMN230" s="31"/>
      <c r="OMO230" s="32"/>
      <c r="OMP230" s="32"/>
      <c r="OMQ230" s="32"/>
      <c r="OMR230" s="32"/>
      <c r="OMS230" s="32"/>
      <c r="OMT230" s="31"/>
      <c r="OMU230" s="31"/>
      <c r="OMV230" s="33"/>
      <c r="OMW230" s="33"/>
      <c r="OMX230" s="34"/>
      <c r="OMY230" s="34"/>
      <c r="OMZ230" s="35"/>
      <c r="ONA230" s="35"/>
      <c r="ONB230" s="32"/>
      <c r="ONC230" s="31"/>
      <c r="OND230" s="31"/>
      <c r="ONE230" s="31"/>
      <c r="ONF230" s="32"/>
      <c r="ONG230" s="32"/>
      <c r="ONH230" s="32"/>
      <c r="ONI230" s="32"/>
      <c r="ONJ230" s="32"/>
      <c r="ONK230" s="31"/>
      <c r="ONL230" s="31"/>
      <c r="ONM230" s="33"/>
      <c r="ONN230" s="33"/>
      <c r="ONO230" s="34"/>
      <c r="ONP230" s="34"/>
      <c r="ONQ230" s="35"/>
      <c r="ONR230" s="35"/>
      <c r="ONS230" s="32"/>
      <c r="ONT230" s="31"/>
      <c r="ONU230" s="31"/>
      <c r="ONV230" s="31"/>
      <c r="ONW230" s="32"/>
      <c r="ONX230" s="32"/>
      <c r="ONY230" s="32"/>
      <c r="ONZ230" s="32"/>
      <c r="OOA230" s="32"/>
      <c r="OOB230" s="31"/>
      <c r="OOC230" s="31"/>
      <c r="OOD230" s="33"/>
      <c r="OOE230" s="33"/>
      <c r="OOF230" s="34"/>
      <c r="OOG230" s="34"/>
      <c r="OOH230" s="35"/>
      <c r="OOI230" s="35"/>
      <c r="OOJ230" s="32"/>
      <c r="OOK230" s="31"/>
      <c r="OOL230" s="31"/>
      <c r="OOM230" s="31"/>
      <c r="OON230" s="32"/>
      <c r="OOO230" s="32"/>
      <c r="OOP230" s="32"/>
      <c r="OOQ230" s="32"/>
      <c r="OOR230" s="32"/>
      <c r="OOS230" s="31"/>
      <c r="OOT230" s="31"/>
      <c r="OOU230" s="33"/>
      <c r="OOV230" s="33"/>
      <c r="OOW230" s="34"/>
      <c r="OOX230" s="34"/>
      <c r="OOY230" s="35"/>
      <c r="OOZ230" s="35"/>
      <c r="OPA230" s="32"/>
      <c r="OPB230" s="31"/>
      <c r="OPC230" s="31"/>
      <c r="OPD230" s="31"/>
      <c r="OPE230" s="32"/>
      <c r="OPF230" s="32"/>
      <c r="OPG230" s="32"/>
      <c r="OPH230" s="32"/>
      <c r="OPI230" s="32"/>
      <c r="OPJ230" s="31"/>
      <c r="OPK230" s="31"/>
      <c r="OPL230" s="33"/>
      <c r="OPM230" s="33"/>
      <c r="OPN230" s="34"/>
      <c r="OPO230" s="34"/>
      <c r="OPP230" s="35"/>
      <c r="OPQ230" s="35"/>
      <c r="OPR230" s="32"/>
      <c r="OPS230" s="31"/>
      <c r="OPT230" s="31"/>
      <c r="OPU230" s="31"/>
      <c r="OPV230" s="32"/>
      <c r="OPW230" s="32"/>
      <c r="OPX230" s="32"/>
      <c r="OPY230" s="32"/>
      <c r="OPZ230" s="32"/>
      <c r="OQA230" s="31"/>
      <c r="OQB230" s="31"/>
      <c r="OQC230" s="33"/>
      <c r="OQD230" s="33"/>
      <c r="OQE230" s="34"/>
      <c r="OQF230" s="34"/>
      <c r="OQG230" s="35"/>
      <c r="OQH230" s="35"/>
      <c r="OQI230" s="32"/>
      <c r="OQJ230" s="31"/>
      <c r="OQK230" s="31"/>
      <c r="OQL230" s="31"/>
      <c r="OQM230" s="32"/>
      <c r="OQN230" s="32"/>
      <c r="OQO230" s="32"/>
      <c r="OQP230" s="32"/>
      <c r="OQQ230" s="32"/>
      <c r="OQR230" s="31"/>
      <c r="OQS230" s="31"/>
      <c r="OQT230" s="33"/>
      <c r="OQU230" s="33"/>
      <c r="OQV230" s="34"/>
      <c r="OQW230" s="34"/>
      <c r="OQX230" s="35"/>
      <c r="OQY230" s="35"/>
      <c r="OQZ230" s="32"/>
      <c r="ORA230" s="31"/>
      <c r="ORB230" s="31"/>
      <c r="ORC230" s="31"/>
      <c r="ORD230" s="32"/>
      <c r="ORE230" s="32"/>
      <c r="ORF230" s="32"/>
      <c r="ORG230" s="32"/>
      <c r="ORH230" s="32"/>
      <c r="ORI230" s="31"/>
      <c r="ORJ230" s="31"/>
      <c r="ORK230" s="33"/>
      <c r="ORL230" s="33"/>
      <c r="ORM230" s="34"/>
      <c r="ORN230" s="34"/>
      <c r="ORO230" s="35"/>
      <c r="ORP230" s="35"/>
      <c r="ORQ230" s="32"/>
      <c r="ORR230" s="31"/>
      <c r="ORS230" s="31"/>
      <c r="ORT230" s="31"/>
      <c r="ORU230" s="32"/>
      <c r="ORV230" s="32"/>
      <c r="ORW230" s="32"/>
      <c r="ORX230" s="32"/>
      <c r="ORY230" s="32"/>
      <c r="ORZ230" s="31"/>
      <c r="OSA230" s="31"/>
      <c r="OSB230" s="33"/>
      <c r="OSC230" s="33"/>
      <c r="OSD230" s="34"/>
      <c r="OSE230" s="34"/>
      <c r="OSF230" s="35"/>
      <c r="OSG230" s="35"/>
      <c r="OSH230" s="32"/>
      <c r="OSI230" s="31"/>
      <c r="OSJ230" s="31"/>
      <c r="OSK230" s="31"/>
      <c r="OSL230" s="32"/>
      <c r="OSM230" s="32"/>
      <c r="OSN230" s="32"/>
      <c r="OSO230" s="32"/>
      <c r="OSP230" s="32"/>
      <c r="OSQ230" s="31"/>
      <c r="OSR230" s="31"/>
      <c r="OSS230" s="33"/>
      <c r="OST230" s="33"/>
      <c r="OSU230" s="34"/>
      <c r="OSV230" s="34"/>
      <c r="OSW230" s="35"/>
      <c r="OSX230" s="35"/>
      <c r="OSY230" s="32"/>
      <c r="OSZ230" s="31"/>
      <c r="OTA230" s="31"/>
      <c r="OTB230" s="31"/>
      <c r="OTC230" s="32"/>
      <c r="OTD230" s="32"/>
      <c r="OTE230" s="32"/>
      <c r="OTF230" s="32"/>
      <c r="OTG230" s="32"/>
      <c r="OTH230" s="31"/>
      <c r="OTI230" s="31"/>
      <c r="OTJ230" s="33"/>
      <c r="OTK230" s="33"/>
      <c r="OTL230" s="34"/>
      <c r="OTM230" s="34"/>
      <c r="OTN230" s="35"/>
      <c r="OTO230" s="35"/>
      <c r="OTP230" s="32"/>
      <c r="OTQ230" s="31"/>
      <c r="OTR230" s="31"/>
      <c r="OTS230" s="31"/>
      <c r="OTT230" s="32"/>
      <c r="OTU230" s="32"/>
      <c r="OTV230" s="32"/>
      <c r="OTW230" s="32"/>
      <c r="OTX230" s="32"/>
      <c r="OTY230" s="31"/>
      <c r="OTZ230" s="31"/>
      <c r="OUA230" s="33"/>
      <c r="OUB230" s="33"/>
      <c r="OUC230" s="34"/>
      <c r="OUD230" s="34"/>
      <c r="OUE230" s="35"/>
      <c r="OUF230" s="35"/>
      <c r="OUG230" s="32"/>
      <c r="OUH230" s="31"/>
      <c r="OUI230" s="31"/>
      <c r="OUJ230" s="31"/>
      <c r="OUK230" s="32"/>
      <c r="OUL230" s="32"/>
      <c r="OUM230" s="32"/>
      <c r="OUN230" s="32"/>
      <c r="OUO230" s="32"/>
      <c r="OUP230" s="31"/>
      <c r="OUQ230" s="31"/>
      <c r="OUR230" s="33"/>
      <c r="OUS230" s="33"/>
      <c r="OUT230" s="34"/>
      <c r="OUU230" s="34"/>
      <c r="OUV230" s="35"/>
      <c r="OUW230" s="35"/>
      <c r="OUX230" s="32"/>
      <c r="OUY230" s="31"/>
      <c r="OUZ230" s="31"/>
      <c r="OVA230" s="31"/>
      <c r="OVB230" s="32"/>
      <c r="OVC230" s="32"/>
      <c r="OVD230" s="32"/>
      <c r="OVE230" s="32"/>
      <c r="OVF230" s="32"/>
      <c r="OVG230" s="31"/>
      <c r="OVH230" s="31"/>
      <c r="OVI230" s="33"/>
      <c r="OVJ230" s="33"/>
      <c r="OVK230" s="34"/>
      <c r="OVL230" s="34"/>
      <c r="OVM230" s="35"/>
      <c r="OVN230" s="35"/>
      <c r="OVO230" s="32"/>
      <c r="OVP230" s="31"/>
      <c r="OVQ230" s="31"/>
      <c r="OVR230" s="31"/>
      <c r="OVS230" s="32"/>
      <c r="OVT230" s="32"/>
      <c r="OVU230" s="32"/>
      <c r="OVV230" s="32"/>
      <c r="OVW230" s="32"/>
      <c r="OVX230" s="31"/>
      <c r="OVY230" s="31"/>
      <c r="OVZ230" s="33"/>
      <c r="OWA230" s="33"/>
      <c r="OWB230" s="34"/>
      <c r="OWC230" s="34"/>
      <c r="OWD230" s="35"/>
      <c r="OWE230" s="35"/>
      <c r="OWF230" s="32"/>
      <c r="OWG230" s="31"/>
      <c r="OWH230" s="31"/>
      <c r="OWI230" s="31"/>
      <c r="OWJ230" s="32"/>
      <c r="OWK230" s="32"/>
      <c r="OWL230" s="32"/>
      <c r="OWM230" s="32"/>
      <c r="OWN230" s="32"/>
      <c r="OWO230" s="31"/>
      <c r="OWP230" s="31"/>
      <c r="OWQ230" s="33"/>
      <c r="OWR230" s="33"/>
      <c r="OWS230" s="34"/>
      <c r="OWT230" s="34"/>
      <c r="OWU230" s="35"/>
      <c r="OWV230" s="35"/>
      <c r="OWW230" s="32"/>
      <c r="OWX230" s="31"/>
      <c r="OWY230" s="31"/>
      <c r="OWZ230" s="31"/>
      <c r="OXA230" s="32"/>
      <c r="OXB230" s="32"/>
      <c r="OXC230" s="32"/>
      <c r="OXD230" s="32"/>
      <c r="OXE230" s="32"/>
      <c r="OXF230" s="31"/>
      <c r="OXG230" s="31"/>
      <c r="OXH230" s="33"/>
      <c r="OXI230" s="33"/>
      <c r="OXJ230" s="34"/>
      <c r="OXK230" s="34"/>
      <c r="OXL230" s="35"/>
      <c r="OXM230" s="35"/>
      <c r="OXN230" s="32"/>
      <c r="OXO230" s="31"/>
      <c r="OXP230" s="31"/>
      <c r="OXQ230" s="31"/>
      <c r="OXR230" s="32"/>
      <c r="OXS230" s="32"/>
      <c r="OXT230" s="32"/>
      <c r="OXU230" s="32"/>
      <c r="OXV230" s="32"/>
      <c r="OXW230" s="31"/>
      <c r="OXX230" s="31"/>
      <c r="OXY230" s="33"/>
      <c r="OXZ230" s="33"/>
      <c r="OYA230" s="34"/>
      <c r="OYB230" s="34"/>
      <c r="OYC230" s="35"/>
      <c r="OYD230" s="35"/>
      <c r="OYE230" s="32"/>
      <c r="OYF230" s="31"/>
      <c r="OYG230" s="31"/>
      <c r="OYH230" s="31"/>
      <c r="OYI230" s="32"/>
      <c r="OYJ230" s="32"/>
      <c r="OYK230" s="32"/>
      <c r="OYL230" s="32"/>
      <c r="OYM230" s="32"/>
      <c r="OYN230" s="31"/>
      <c r="OYO230" s="31"/>
      <c r="OYP230" s="33"/>
      <c r="OYQ230" s="33"/>
      <c r="OYR230" s="34"/>
      <c r="OYS230" s="34"/>
      <c r="OYT230" s="35"/>
      <c r="OYU230" s="35"/>
      <c r="OYV230" s="32"/>
      <c r="OYW230" s="31"/>
      <c r="OYX230" s="31"/>
      <c r="OYY230" s="31"/>
      <c r="OYZ230" s="32"/>
      <c r="OZA230" s="32"/>
      <c r="OZB230" s="32"/>
      <c r="OZC230" s="32"/>
      <c r="OZD230" s="32"/>
      <c r="OZE230" s="31"/>
      <c r="OZF230" s="31"/>
      <c r="OZG230" s="33"/>
      <c r="OZH230" s="33"/>
      <c r="OZI230" s="34"/>
      <c r="OZJ230" s="34"/>
      <c r="OZK230" s="35"/>
      <c r="OZL230" s="35"/>
      <c r="OZM230" s="32"/>
      <c r="OZN230" s="31"/>
      <c r="OZO230" s="31"/>
      <c r="OZP230" s="31"/>
      <c r="OZQ230" s="32"/>
      <c r="OZR230" s="32"/>
      <c r="OZS230" s="32"/>
      <c r="OZT230" s="32"/>
      <c r="OZU230" s="32"/>
      <c r="OZV230" s="31"/>
      <c r="OZW230" s="31"/>
      <c r="OZX230" s="33"/>
      <c r="OZY230" s="33"/>
      <c r="OZZ230" s="34"/>
      <c r="PAA230" s="34"/>
      <c r="PAB230" s="35"/>
      <c r="PAC230" s="35"/>
      <c r="PAD230" s="32"/>
      <c r="PAE230" s="31"/>
      <c r="PAF230" s="31"/>
      <c r="PAG230" s="31"/>
      <c r="PAH230" s="32"/>
      <c r="PAI230" s="32"/>
      <c r="PAJ230" s="32"/>
      <c r="PAK230" s="32"/>
      <c r="PAL230" s="32"/>
      <c r="PAM230" s="31"/>
      <c r="PAN230" s="31"/>
      <c r="PAO230" s="33"/>
      <c r="PAP230" s="33"/>
      <c r="PAQ230" s="34"/>
      <c r="PAR230" s="34"/>
      <c r="PAS230" s="35"/>
      <c r="PAT230" s="35"/>
      <c r="PAU230" s="32"/>
      <c r="PAV230" s="31"/>
      <c r="PAW230" s="31"/>
      <c r="PAX230" s="31"/>
      <c r="PAY230" s="32"/>
      <c r="PAZ230" s="32"/>
      <c r="PBA230" s="32"/>
      <c r="PBB230" s="32"/>
      <c r="PBC230" s="32"/>
      <c r="PBD230" s="31"/>
      <c r="PBE230" s="31"/>
      <c r="PBF230" s="33"/>
      <c r="PBG230" s="33"/>
      <c r="PBH230" s="34"/>
      <c r="PBI230" s="34"/>
      <c r="PBJ230" s="35"/>
      <c r="PBK230" s="35"/>
      <c r="PBL230" s="32"/>
      <c r="PBM230" s="31"/>
      <c r="PBN230" s="31"/>
      <c r="PBO230" s="31"/>
      <c r="PBP230" s="32"/>
      <c r="PBQ230" s="32"/>
      <c r="PBR230" s="32"/>
      <c r="PBS230" s="32"/>
      <c r="PBT230" s="32"/>
      <c r="PBU230" s="31"/>
      <c r="PBV230" s="31"/>
      <c r="PBW230" s="33"/>
      <c r="PBX230" s="33"/>
      <c r="PBY230" s="34"/>
      <c r="PBZ230" s="34"/>
      <c r="PCA230" s="35"/>
      <c r="PCB230" s="35"/>
      <c r="PCC230" s="32"/>
      <c r="PCD230" s="31"/>
      <c r="PCE230" s="31"/>
      <c r="PCF230" s="31"/>
      <c r="PCG230" s="32"/>
      <c r="PCH230" s="32"/>
      <c r="PCI230" s="32"/>
      <c r="PCJ230" s="32"/>
      <c r="PCK230" s="32"/>
      <c r="PCL230" s="31"/>
      <c r="PCM230" s="31"/>
      <c r="PCN230" s="33"/>
      <c r="PCO230" s="33"/>
      <c r="PCP230" s="34"/>
      <c r="PCQ230" s="34"/>
      <c r="PCR230" s="35"/>
      <c r="PCS230" s="35"/>
      <c r="PCT230" s="32"/>
      <c r="PCU230" s="31"/>
      <c r="PCV230" s="31"/>
      <c r="PCW230" s="31"/>
      <c r="PCX230" s="32"/>
      <c r="PCY230" s="32"/>
      <c r="PCZ230" s="32"/>
      <c r="PDA230" s="32"/>
      <c r="PDB230" s="32"/>
      <c r="PDC230" s="31"/>
      <c r="PDD230" s="31"/>
      <c r="PDE230" s="33"/>
      <c r="PDF230" s="33"/>
      <c r="PDG230" s="34"/>
      <c r="PDH230" s="34"/>
      <c r="PDI230" s="35"/>
      <c r="PDJ230" s="35"/>
      <c r="PDK230" s="32"/>
      <c r="PDL230" s="31"/>
      <c r="PDM230" s="31"/>
      <c r="PDN230" s="31"/>
      <c r="PDO230" s="32"/>
      <c r="PDP230" s="32"/>
      <c r="PDQ230" s="32"/>
      <c r="PDR230" s="32"/>
      <c r="PDS230" s="32"/>
      <c r="PDT230" s="31"/>
      <c r="PDU230" s="31"/>
      <c r="PDV230" s="33"/>
      <c r="PDW230" s="33"/>
      <c r="PDX230" s="34"/>
      <c r="PDY230" s="34"/>
      <c r="PDZ230" s="35"/>
      <c r="PEA230" s="35"/>
      <c r="PEB230" s="32"/>
      <c r="PEC230" s="31"/>
      <c r="PED230" s="31"/>
      <c r="PEE230" s="31"/>
      <c r="PEF230" s="32"/>
      <c r="PEG230" s="32"/>
      <c r="PEH230" s="32"/>
      <c r="PEI230" s="32"/>
      <c r="PEJ230" s="32"/>
      <c r="PEK230" s="31"/>
      <c r="PEL230" s="31"/>
      <c r="PEM230" s="33"/>
      <c r="PEN230" s="33"/>
      <c r="PEO230" s="34"/>
      <c r="PEP230" s="34"/>
      <c r="PEQ230" s="35"/>
      <c r="PER230" s="35"/>
      <c r="PES230" s="32"/>
      <c r="PET230" s="31"/>
      <c r="PEU230" s="31"/>
      <c r="PEV230" s="31"/>
      <c r="PEW230" s="32"/>
      <c r="PEX230" s="32"/>
      <c r="PEY230" s="32"/>
      <c r="PEZ230" s="32"/>
      <c r="PFA230" s="32"/>
      <c r="PFB230" s="31"/>
      <c r="PFC230" s="31"/>
      <c r="PFD230" s="33"/>
      <c r="PFE230" s="33"/>
      <c r="PFF230" s="34"/>
      <c r="PFG230" s="34"/>
      <c r="PFH230" s="35"/>
      <c r="PFI230" s="35"/>
      <c r="PFJ230" s="32"/>
      <c r="PFK230" s="31"/>
      <c r="PFL230" s="31"/>
      <c r="PFM230" s="31"/>
      <c r="PFN230" s="32"/>
      <c r="PFO230" s="32"/>
      <c r="PFP230" s="32"/>
      <c r="PFQ230" s="32"/>
      <c r="PFR230" s="32"/>
      <c r="PFS230" s="31"/>
      <c r="PFT230" s="31"/>
      <c r="PFU230" s="33"/>
      <c r="PFV230" s="33"/>
      <c r="PFW230" s="34"/>
      <c r="PFX230" s="34"/>
      <c r="PFY230" s="35"/>
      <c r="PFZ230" s="35"/>
      <c r="PGA230" s="32"/>
      <c r="PGB230" s="31"/>
      <c r="PGC230" s="31"/>
      <c r="PGD230" s="31"/>
      <c r="PGE230" s="32"/>
      <c r="PGF230" s="32"/>
      <c r="PGG230" s="32"/>
      <c r="PGH230" s="32"/>
      <c r="PGI230" s="32"/>
      <c r="PGJ230" s="31"/>
      <c r="PGK230" s="31"/>
      <c r="PGL230" s="33"/>
      <c r="PGM230" s="33"/>
      <c r="PGN230" s="34"/>
      <c r="PGO230" s="34"/>
      <c r="PGP230" s="35"/>
      <c r="PGQ230" s="35"/>
      <c r="PGR230" s="32"/>
      <c r="PGS230" s="31"/>
      <c r="PGT230" s="31"/>
      <c r="PGU230" s="31"/>
      <c r="PGV230" s="32"/>
      <c r="PGW230" s="32"/>
      <c r="PGX230" s="32"/>
      <c r="PGY230" s="32"/>
      <c r="PGZ230" s="32"/>
      <c r="PHA230" s="31"/>
      <c r="PHB230" s="31"/>
      <c r="PHC230" s="33"/>
      <c r="PHD230" s="33"/>
      <c r="PHE230" s="34"/>
      <c r="PHF230" s="34"/>
      <c r="PHG230" s="35"/>
      <c r="PHH230" s="35"/>
      <c r="PHI230" s="32"/>
      <c r="PHJ230" s="31"/>
      <c r="PHK230" s="31"/>
      <c r="PHL230" s="31"/>
      <c r="PHM230" s="32"/>
      <c r="PHN230" s="32"/>
      <c r="PHO230" s="32"/>
      <c r="PHP230" s="32"/>
      <c r="PHQ230" s="32"/>
      <c r="PHR230" s="31"/>
      <c r="PHS230" s="31"/>
      <c r="PHT230" s="33"/>
      <c r="PHU230" s="33"/>
      <c r="PHV230" s="34"/>
      <c r="PHW230" s="34"/>
      <c r="PHX230" s="35"/>
      <c r="PHY230" s="35"/>
      <c r="PHZ230" s="32"/>
      <c r="PIA230" s="31"/>
      <c r="PIB230" s="31"/>
      <c r="PIC230" s="31"/>
      <c r="PID230" s="32"/>
      <c r="PIE230" s="32"/>
      <c r="PIF230" s="32"/>
      <c r="PIG230" s="32"/>
      <c r="PIH230" s="32"/>
      <c r="PII230" s="31"/>
      <c r="PIJ230" s="31"/>
      <c r="PIK230" s="33"/>
      <c r="PIL230" s="33"/>
      <c r="PIM230" s="34"/>
      <c r="PIN230" s="34"/>
      <c r="PIO230" s="35"/>
      <c r="PIP230" s="35"/>
      <c r="PIQ230" s="32"/>
      <c r="PIR230" s="31"/>
      <c r="PIS230" s="31"/>
      <c r="PIT230" s="31"/>
      <c r="PIU230" s="32"/>
      <c r="PIV230" s="32"/>
      <c r="PIW230" s="32"/>
      <c r="PIX230" s="32"/>
      <c r="PIY230" s="32"/>
      <c r="PIZ230" s="31"/>
      <c r="PJA230" s="31"/>
      <c r="PJB230" s="33"/>
      <c r="PJC230" s="33"/>
      <c r="PJD230" s="34"/>
      <c r="PJE230" s="34"/>
      <c r="PJF230" s="35"/>
      <c r="PJG230" s="35"/>
      <c r="PJH230" s="32"/>
      <c r="PJI230" s="31"/>
      <c r="PJJ230" s="31"/>
      <c r="PJK230" s="31"/>
      <c r="PJL230" s="32"/>
      <c r="PJM230" s="32"/>
      <c r="PJN230" s="32"/>
      <c r="PJO230" s="32"/>
      <c r="PJP230" s="32"/>
      <c r="PJQ230" s="31"/>
      <c r="PJR230" s="31"/>
      <c r="PJS230" s="33"/>
      <c r="PJT230" s="33"/>
      <c r="PJU230" s="34"/>
      <c r="PJV230" s="34"/>
      <c r="PJW230" s="35"/>
      <c r="PJX230" s="35"/>
      <c r="PJY230" s="32"/>
      <c r="PJZ230" s="31"/>
      <c r="PKA230" s="31"/>
      <c r="PKB230" s="31"/>
      <c r="PKC230" s="32"/>
      <c r="PKD230" s="32"/>
      <c r="PKE230" s="32"/>
      <c r="PKF230" s="32"/>
      <c r="PKG230" s="32"/>
      <c r="PKH230" s="31"/>
      <c r="PKI230" s="31"/>
      <c r="PKJ230" s="33"/>
      <c r="PKK230" s="33"/>
      <c r="PKL230" s="34"/>
      <c r="PKM230" s="34"/>
      <c r="PKN230" s="35"/>
      <c r="PKO230" s="35"/>
      <c r="PKP230" s="32"/>
      <c r="PKQ230" s="31"/>
      <c r="PKR230" s="31"/>
      <c r="PKS230" s="31"/>
      <c r="PKT230" s="32"/>
      <c r="PKU230" s="32"/>
      <c r="PKV230" s="32"/>
      <c r="PKW230" s="32"/>
      <c r="PKX230" s="32"/>
      <c r="PKY230" s="31"/>
      <c r="PKZ230" s="31"/>
      <c r="PLA230" s="33"/>
      <c r="PLB230" s="33"/>
      <c r="PLC230" s="34"/>
      <c r="PLD230" s="34"/>
      <c r="PLE230" s="35"/>
      <c r="PLF230" s="35"/>
      <c r="PLG230" s="32"/>
      <c r="PLH230" s="31"/>
      <c r="PLI230" s="31"/>
      <c r="PLJ230" s="31"/>
      <c r="PLK230" s="32"/>
      <c r="PLL230" s="32"/>
      <c r="PLM230" s="32"/>
      <c r="PLN230" s="32"/>
      <c r="PLO230" s="32"/>
      <c r="PLP230" s="31"/>
      <c r="PLQ230" s="31"/>
      <c r="PLR230" s="33"/>
      <c r="PLS230" s="33"/>
      <c r="PLT230" s="34"/>
      <c r="PLU230" s="34"/>
      <c r="PLV230" s="35"/>
      <c r="PLW230" s="35"/>
      <c r="PLX230" s="32"/>
      <c r="PLY230" s="31"/>
      <c r="PLZ230" s="31"/>
      <c r="PMA230" s="31"/>
      <c r="PMB230" s="32"/>
      <c r="PMC230" s="32"/>
      <c r="PMD230" s="32"/>
      <c r="PME230" s="32"/>
      <c r="PMF230" s="32"/>
      <c r="PMG230" s="31"/>
      <c r="PMH230" s="31"/>
      <c r="PMI230" s="33"/>
      <c r="PMJ230" s="33"/>
      <c r="PMK230" s="34"/>
      <c r="PML230" s="34"/>
      <c r="PMM230" s="35"/>
      <c r="PMN230" s="35"/>
      <c r="PMO230" s="32"/>
      <c r="PMP230" s="31"/>
      <c r="PMQ230" s="31"/>
      <c r="PMR230" s="31"/>
      <c r="PMS230" s="32"/>
      <c r="PMT230" s="32"/>
      <c r="PMU230" s="32"/>
      <c r="PMV230" s="32"/>
      <c r="PMW230" s="32"/>
      <c r="PMX230" s="31"/>
      <c r="PMY230" s="31"/>
      <c r="PMZ230" s="33"/>
      <c r="PNA230" s="33"/>
      <c r="PNB230" s="34"/>
      <c r="PNC230" s="34"/>
      <c r="PND230" s="35"/>
      <c r="PNE230" s="35"/>
      <c r="PNF230" s="32"/>
      <c r="PNG230" s="31"/>
      <c r="PNH230" s="31"/>
      <c r="PNI230" s="31"/>
      <c r="PNJ230" s="32"/>
      <c r="PNK230" s="32"/>
      <c r="PNL230" s="32"/>
      <c r="PNM230" s="32"/>
      <c r="PNN230" s="32"/>
      <c r="PNO230" s="31"/>
      <c r="PNP230" s="31"/>
      <c r="PNQ230" s="33"/>
      <c r="PNR230" s="33"/>
      <c r="PNS230" s="34"/>
      <c r="PNT230" s="34"/>
      <c r="PNU230" s="35"/>
      <c r="PNV230" s="35"/>
      <c r="PNW230" s="32"/>
      <c r="PNX230" s="31"/>
      <c r="PNY230" s="31"/>
      <c r="PNZ230" s="31"/>
      <c r="POA230" s="32"/>
      <c r="POB230" s="32"/>
      <c r="POC230" s="32"/>
      <c r="POD230" s="32"/>
      <c r="POE230" s="32"/>
      <c r="POF230" s="31"/>
      <c r="POG230" s="31"/>
      <c r="POH230" s="33"/>
      <c r="POI230" s="33"/>
      <c r="POJ230" s="34"/>
      <c r="POK230" s="34"/>
      <c r="POL230" s="35"/>
      <c r="POM230" s="35"/>
      <c r="PON230" s="32"/>
      <c r="POO230" s="31"/>
      <c r="POP230" s="31"/>
      <c r="POQ230" s="31"/>
      <c r="POR230" s="32"/>
      <c r="POS230" s="32"/>
      <c r="POT230" s="32"/>
      <c r="POU230" s="32"/>
      <c r="POV230" s="32"/>
      <c r="POW230" s="31"/>
      <c r="POX230" s="31"/>
      <c r="POY230" s="33"/>
      <c r="POZ230" s="33"/>
      <c r="PPA230" s="34"/>
      <c r="PPB230" s="34"/>
      <c r="PPC230" s="35"/>
      <c r="PPD230" s="35"/>
      <c r="PPE230" s="32"/>
      <c r="PPF230" s="31"/>
      <c r="PPG230" s="31"/>
      <c r="PPH230" s="31"/>
      <c r="PPI230" s="32"/>
      <c r="PPJ230" s="32"/>
      <c r="PPK230" s="32"/>
      <c r="PPL230" s="32"/>
      <c r="PPM230" s="32"/>
      <c r="PPN230" s="31"/>
      <c r="PPO230" s="31"/>
      <c r="PPP230" s="33"/>
      <c r="PPQ230" s="33"/>
      <c r="PPR230" s="34"/>
      <c r="PPS230" s="34"/>
      <c r="PPT230" s="35"/>
      <c r="PPU230" s="35"/>
      <c r="PPV230" s="32"/>
      <c r="PPW230" s="31"/>
      <c r="PPX230" s="31"/>
      <c r="PPY230" s="31"/>
      <c r="PPZ230" s="32"/>
      <c r="PQA230" s="32"/>
      <c r="PQB230" s="32"/>
      <c r="PQC230" s="32"/>
      <c r="PQD230" s="32"/>
      <c r="PQE230" s="31"/>
      <c r="PQF230" s="31"/>
      <c r="PQG230" s="33"/>
      <c r="PQH230" s="33"/>
      <c r="PQI230" s="34"/>
      <c r="PQJ230" s="34"/>
      <c r="PQK230" s="35"/>
      <c r="PQL230" s="35"/>
      <c r="PQM230" s="32"/>
      <c r="PQN230" s="31"/>
      <c r="PQO230" s="31"/>
      <c r="PQP230" s="31"/>
      <c r="PQQ230" s="32"/>
      <c r="PQR230" s="32"/>
      <c r="PQS230" s="32"/>
      <c r="PQT230" s="32"/>
      <c r="PQU230" s="32"/>
      <c r="PQV230" s="31"/>
      <c r="PQW230" s="31"/>
      <c r="PQX230" s="33"/>
      <c r="PQY230" s="33"/>
      <c r="PQZ230" s="34"/>
      <c r="PRA230" s="34"/>
      <c r="PRB230" s="35"/>
      <c r="PRC230" s="35"/>
      <c r="PRD230" s="32"/>
      <c r="PRE230" s="31"/>
      <c r="PRF230" s="31"/>
      <c r="PRG230" s="31"/>
      <c r="PRH230" s="32"/>
      <c r="PRI230" s="32"/>
      <c r="PRJ230" s="32"/>
      <c r="PRK230" s="32"/>
      <c r="PRL230" s="32"/>
      <c r="PRM230" s="31"/>
      <c r="PRN230" s="31"/>
      <c r="PRO230" s="33"/>
      <c r="PRP230" s="33"/>
      <c r="PRQ230" s="34"/>
      <c r="PRR230" s="34"/>
      <c r="PRS230" s="35"/>
      <c r="PRT230" s="35"/>
      <c r="PRU230" s="32"/>
      <c r="PRV230" s="31"/>
      <c r="PRW230" s="31"/>
      <c r="PRX230" s="31"/>
      <c r="PRY230" s="32"/>
      <c r="PRZ230" s="32"/>
      <c r="PSA230" s="32"/>
      <c r="PSB230" s="32"/>
      <c r="PSC230" s="32"/>
      <c r="PSD230" s="31"/>
      <c r="PSE230" s="31"/>
      <c r="PSF230" s="33"/>
      <c r="PSG230" s="33"/>
      <c r="PSH230" s="34"/>
      <c r="PSI230" s="34"/>
      <c r="PSJ230" s="35"/>
      <c r="PSK230" s="35"/>
      <c r="PSL230" s="32"/>
      <c r="PSM230" s="31"/>
      <c r="PSN230" s="31"/>
      <c r="PSO230" s="31"/>
      <c r="PSP230" s="32"/>
      <c r="PSQ230" s="32"/>
      <c r="PSR230" s="32"/>
      <c r="PSS230" s="32"/>
      <c r="PST230" s="32"/>
      <c r="PSU230" s="31"/>
      <c r="PSV230" s="31"/>
      <c r="PSW230" s="33"/>
      <c r="PSX230" s="33"/>
      <c r="PSY230" s="34"/>
      <c r="PSZ230" s="34"/>
      <c r="PTA230" s="35"/>
      <c r="PTB230" s="35"/>
      <c r="PTC230" s="32"/>
      <c r="PTD230" s="31"/>
      <c r="PTE230" s="31"/>
      <c r="PTF230" s="31"/>
      <c r="PTG230" s="32"/>
      <c r="PTH230" s="32"/>
      <c r="PTI230" s="32"/>
      <c r="PTJ230" s="32"/>
      <c r="PTK230" s="32"/>
      <c r="PTL230" s="31"/>
      <c r="PTM230" s="31"/>
      <c r="PTN230" s="33"/>
      <c r="PTO230" s="33"/>
      <c r="PTP230" s="34"/>
      <c r="PTQ230" s="34"/>
      <c r="PTR230" s="35"/>
      <c r="PTS230" s="35"/>
      <c r="PTT230" s="32"/>
      <c r="PTU230" s="31"/>
      <c r="PTV230" s="31"/>
      <c r="PTW230" s="31"/>
      <c r="PTX230" s="32"/>
      <c r="PTY230" s="32"/>
      <c r="PTZ230" s="32"/>
      <c r="PUA230" s="32"/>
      <c r="PUB230" s="32"/>
      <c r="PUC230" s="31"/>
      <c r="PUD230" s="31"/>
      <c r="PUE230" s="33"/>
      <c r="PUF230" s="33"/>
      <c r="PUG230" s="34"/>
      <c r="PUH230" s="34"/>
      <c r="PUI230" s="35"/>
      <c r="PUJ230" s="35"/>
      <c r="PUK230" s="32"/>
      <c r="PUL230" s="31"/>
      <c r="PUM230" s="31"/>
      <c r="PUN230" s="31"/>
      <c r="PUO230" s="32"/>
      <c r="PUP230" s="32"/>
      <c r="PUQ230" s="32"/>
      <c r="PUR230" s="32"/>
      <c r="PUS230" s="32"/>
      <c r="PUT230" s="31"/>
      <c r="PUU230" s="31"/>
      <c r="PUV230" s="33"/>
      <c r="PUW230" s="33"/>
      <c r="PUX230" s="34"/>
      <c r="PUY230" s="34"/>
      <c r="PUZ230" s="35"/>
      <c r="PVA230" s="35"/>
      <c r="PVB230" s="32"/>
      <c r="PVC230" s="31"/>
      <c r="PVD230" s="31"/>
      <c r="PVE230" s="31"/>
      <c r="PVF230" s="32"/>
      <c r="PVG230" s="32"/>
      <c r="PVH230" s="32"/>
      <c r="PVI230" s="32"/>
      <c r="PVJ230" s="32"/>
      <c r="PVK230" s="31"/>
      <c r="PVL230" s="31"/>
      <c r="PVM230" s="33"/>
      <c r="PVN230" s="33"/>
      <c r="PVO230" s="34"/>
      <c r="PVP230" s="34"/>
      <c r="PVQ230" s="35"/>
      <c r="PVR230" s="35"/>
      <c r="PVS230" s="32"/>
      <c r="PVT230" s="31"/>
      <c r="PVU230" s="31"/>
      <c r="PVV230" s="31"/>
      <c r="PVW230" s="32"/>
      <c r="PVX230" s="32"/>
      <c r="PVY230" s="32"/>
      <c r="PVZ230" s="32"/>
      <c r="PWA230" s="32"/>
      <c r="PWB230" s="31"/>
      <c r="PWC230" s="31"/>
      <c r="PWD230" s="33"/>
      <c r="PWE230" s="33"/>
      <c r="PWF230" s="34"/>
      <c r="PWG230" s="34"/>
      <c r="PWH230" s="35"/>
      <c r="PWI230" s="35"/>
      <c r="PWJ230" s="32"/>
      <c r="PWK230" s="31"/>
      <c r="PWL230" s="31"/>
      <c r="PWM230" s="31"/>
      <c r="PWN230" s="32"/>
      <c r="PWO230" s="32"/>
      <c r="PWP230" s="32"/>
      <c r="PWQ230" s="32"/>
      <c r="PWR230" s="32"/>
      <c r="PWS230" s="31"/>
      <c r="PWT230" s="31"/>
      <c r="PWU230" s="33"/>
      <c r="PWV230" s="33"/>
      <c r="PWW230" s="34"/>
      <c r="PWX230" s="34"/>
      <c r="PWY230" s="35"/>
      <c r="PWZ230" s="35"/>
      <c r="PXA230" s="32"/>
      <c r="PXB230" s="31"/>
      <c r="PXC230" s="31"/>
      <c r="PXD230" s="31"/>
      <c r="PXE230" s="32"/>
      <c r="PXF230" s="32"/>
      <c r="PXG230" s="32"/>
      <c r="PXH230" s="32"/>
      <c r="PXI230" s="32"/>
      <c r="PXJ230" s="31"/>
      <c r="PXK230" s="31"/>
      <c r="PXL230" s="33"/>
      <c r="PXM230" s="33"/>
      <c r="PXN230" s="34"/>
      <c r="PXO230" s="34"/>
      <c r="PXP230" s="35"/>
      <c r="PXQ230" s="35"/>
      <c r="PXR230" s="32"/>
      <c r="PXS230" s="31"/>
      <c r="PXT230" s="31"/>
      <c r="PXU230" s="31"/>
      <c r="PXV230" s="32"/>
      <c r="PXW230" s="32"/>
      <c r="PXX230" s="32"/>
      <c r="PXY230" s="32"/>
      <c r="PXZ230" s="32"/>
      <c r="PYA230" s="31"/>
      <c r="PYB230" s="31"/>
      <c r="PYC230" s="33"/>
      <c r="PYD230" s="33"/>
      <c r="PYE230" s="34"/>
      <c r="PYF230" s="34"/>
      <c r="PYG230" s="35"/>
      <c r="PYH230" s="35"/>
      <c r="PYI230" s="32"/>
      <c r="PYJ230" s="31"/>
      <c r="PYK230" s="31"/>
      <c r="PYL230" s="31"/>
      <c r="PYM230" s="32"/>
      <c r="PYN230" s="32"/>
      <c r="PYO230" s="32"/>
      <c r="PYP230" s="32"/>
      <c r="PYQ230" s="32"/>
      <c r="PYR230" s="31"/>
      <c r="PYS230" s="31"/>
      <c r="PYT230" s="33"/>
      <c r="PYU230" s="33"/>
      <c r="PYV230" s="34"/>
      <c r="PYW230" s="34"/>
      <c r="PYX230" s="35"/>
      <c r="PYY230" s="35"/>
      <c r="PYZ230" s="32"/>
      <c r="PZA230" s="31"/>
      <c r="PZB230" s="31"/>
      <c r="PZC230" s="31"/>
      <c r="PZD230" s="32"/>
      <c r="PZE230" s="32"/>
      <c r="PZF230" s="32"/>
      <c r="PZG230" s="32"/>
      <c r="PZH230" s="32"/>
      <c r="PZI230" s="31"/>
      <c r="PZJ230" s="31"/>
      <c r="PZK230" s="33"/>
      <c r="PZL230" s="33"/>
      <c r="PZM230" s="34"/>
      <c r="PZN230" s="34"/>
      <c r="PZO230" s="35"/>
      <c r="PZP230" s="35"/>
      <c r="PZQ230" s="32"/>
      <c r="PZR230" s="31"/>
      <c r="PZS230" s="31"/>
      <c r="PZT230" s="31"/>
      <c r="PZU230" s="32"/>
      <c r="PZV230" s="32"/>
      <c r="PZW230" s="32"/>
      <c r="PZX230" s="32"/>
      <c r="PZY230" s="32"/>
      <c r="PZZ230" s="31"/>
      <c r="QAA230" s="31"/>
      <c r="QAB230" s="33"/>
      <c r="QAC230" s="33"/>
      <c r="QAD230" s="34"/>
      <c r="QAE230" s="34"/>
      <c r="QAF230" s="35"/>
      <c r="QAG230" s="35"/>
      <c r="QAH230" s="32"/>
      <c r="QAI230" s="31"/>
      <c r="QAJ230" s="31"/>
      <c r="QAK230" s="31"/>
      <c r="QAL230" s="32"/>
      <c r="QAM230" s="32"/>
      <c r="QAN230" s="32"/>
      <c r="QAO230" s="32"/>
      <c r="QAP230" s="32"/>
      <c r="QAQ230" s="31"/>
      <c r="QAR230" s="31"/>
      <c r="QAS230" s="33"/>
      <c r="QAT230" s="33"/>
      <c r="QAU230" s="34"/>
      <c r="QAV230" s="34"/>
      <c r="QAW230" s="35"/>
      <c r="QAX230" s="35"/>
      <c r="QAY230" s="32"/>
      <c r="QAZ230" s="31"/>
      <c r="QBA230" s="31"/>
      <c r="QBB230" s="31"/>
      <c r="QBC230" s="32"/>
      <c r="QBD230" s="32"/>
      <c r="QBE230" s="32"/>
      <c r="QBF230" s="32"/>
      <c r="QBG230" s="32"/>
      <c r="QBH230" s="31"/>
      <c r="QBI230" s="31"/>
      <c r="QBJ230" s="33"/>
      <c r="QBK230" s="33"/>
      <c r="QBL230" s="34"/>
      <c r="QBM230" s="34"/>
      <c r="QBN230" s="35"/>
      <c r="QBO230" s="35"/>
      <c r="QBP230" s="32"/>
      <c r="QBQ230" s="31"/>
      <c r="QBR230" s="31"/>
      <c r="QBS230" s="31"/>
      <c r="QBT230" s="32"/>
      <c r="QBU230" s="32"/>
      <c r="QBV230" s="32"/>
      <c r="QBW230" s="32"/>
      <c r="QBX230" s="32"/>
      <c r="QBY230" s="31"/>
      <c r="QBZ230" s="31"/>
      <c r="QCA230" s="33"/>
      <c r="QCB230" s="33"/>
      <c r="QCC230" s="34"/>
      <c r="QCD230" s="34"/>
      <c r="QCE230" s="35"/>
      <c r="QCF230" s="35"/>
      <c r="QCG230" s="32"/>
      <c r="QCH230" s="31"/>
      <c r="QCI230" s="31"/>
      <c r="QCJ230" s="31"/>
      <c r="QCK230" s="32"/>
      <c r="QCL230" s="32"/>
      <c r="QCM230" s="32"/>
      <c r="QCN230" s="32"/>
      <c r="QCO230" s="32"/>
      <c r="QCP230" s="31"/>
      <c r="QCQ230" s="31"/>
      <c r="QCR230" s="33"/>
      <c r="QCS230" s="33"/>
      <c r="QCT230" s="34"/>
      <c r="QCU230" s="34"/>
      <c r="QCV230" s="35"/>
      <c r="QCW230" s="35"/>
      <c r="QCX230" s="32"/>
      <c r="QCY230" s="31"/>
      <c r="QCZ230" s="31"/>
      <c r="QDA230" s="31"/>
      <c r="QDB230" s="32"/>
      <c r="QDC230" s="32"/>
      <c r="QDD230" s="32"/>
      <c r="QDE230" s="32"/>
      <c r="QDF230" s="32"/>
      <c r="QDG230" s="31"/>
      <c r="QDH230" s="31"/>
      <c r="QDI230" s="33"/>
      <c r="QDJ230" s="33"/>
      <c r="QDK230" s="34"/>
      <c r="QDL230" s="34"/>
      <c r="QDM230" s="35"/>
      <c r="QDN230" s="35"/>
      <c r="QDO230" s="32"/>
      <c r="QDP230" s="31"/>
      <c r="QDQ230" s="31"/>
      <c r="QDR230" s="31"/>
      <c r="QDS230" s="32"/>
      <c r="QDT230" s="32"/>
      <c r="QDU230" s="32"/>
      <c r="QDV230" s="32"/>
      <c r="QDW230" s="32"/>
      <c r="QDX230" s="31"/>
      <c r="QDY230" s="31"/>
      <c r="QDZ230" s="33"/>
      <c r="QEA230" s="33"/>
      <c r="QEB230" s="34"/>
      <c r="QEC230" s="34"/>
      <c r="QED230" s="35"/>
      <c r="QEE230" s="35"/>
      <c r="QEF230" s="32"/>
      <c r="QEG230" s="31"/>
      <c r="QEH230" s="31"/>
      <c r="QEI230" s="31"/>
      <c r="QEJ230" s="32"/>
      <c r="QEK230" s="32"/>
      <c r="QEL230" s="32"/>
      <c r="QEM230" s="32"/>
      <c r="QEN230" s="32"/>
      <c r="QEO230" s="31"/>
      <c r="QEP230" s="31"/>
      <c r="QEQ230" s="33"/>
      <c r="QER230" s="33"/>
      <c r="QES230" s="34"/>
      <c r="QET230" s="34"/>
      <c r="QEU230" s="35"/>
      <c r="QEV230" s="35"/>
      <c r="QEW230" s="32"/>
      <c r="QEX230" s="31"/>
      <c r="QEY230" s="31"/>
      <c r="QEZ230" s="31"/>
      <c r="QFA230" s="32"/>
      <c r="QFB230" s="32"/>
      <c r="QFC230" s="32"/>
      <c r="QFD230" s="32"/>
      <c r="QFE230" s="32"/>
      <c r="QFF230" s="31"/>
      <c r="QFG230" s="31"/>
      <c r="QFH230" s="33"/>
      <c r="QFI230" s="33"/>
      <c r="QFJ230" s="34"/>
      <c r="QFK230" s="34"/>
      <c r="QFL230" s="35"/>
      <c r="QFM230" s="35"/>
      <c r="QFN230" s="32"/>
      <c r="QFO230" s="31"/>
      <c r="QFP230" s="31"/>
      <c r="QFQ230" s="31"/>
      <c r="QFR230" s="32"/>
      <c r="QFS230" s="32"/>
      <c r="QFT230" s="32"/>
      <c r="QFU230" s="32"/>
      <c r="QFV230" s="32"/>
      <c r="QFW230" s="31"/>
      <c r="QFX230" s="31"/>
      <c r="QFY230" s="33"/>
      <c r="QFZ230" s="33"/>
      <c r="QGA230" s="34"/>
      <c r="QGB230" s="34"/>
      <c r="QGC230" s="35"/>
      <c r="QGD230" s="35"/>
      <c r="QGE230" s="32"/>
      <c r="QGF230" s="31"/>
      <c r="QGG230" s="31"/>
      <c r="QGH230" s="31"/>
      <c r="QGI230" s="32"/>
      <c r="QGJ230" s="32"/>
      <c r="QGK230" s="32"/>
      <c r="QGL230" s="32"/>
      <c r="QGM230" s="32"/>
      <c r="QGN230" s="31"/>
      <c r="QGO230" s="31"/>
      <c r="QGP230" s="33"/>
      <c r="QGQ230" s="33"/>
      <c r="QGR230" s="34"/>
      <c r="QGS230" s="34"/>
      <c r="QGT230" s="35"/>
      <c r="QGU230" s="35"/>
      <c r="QGV230" s="32"/>
      <c r="QGW230" s="31"/>
      <c r="QGX230" s="31"/>
      <c r="QGY230" s="31"/>
      <c r="QGZ230" s="32"/>
      <c r="QHA230" s="32"/>
      <c r="QHB230" s="32"/>
      <c r="QHC230" s="32"/>
      <c r="QHD230" s="32"/>
      <c r="QHE230" s="31"/>
      <c r="QHF230" s="31"/>
      <c r="QHG230" s="33"/>
      <c r="QHH230" s="33"/>
      <c r="QHI230" s="34"/>
      <c r="QHJ230" s="34"/>
      <c r="QHK230" s="35"/>
      <c r="QHL230" s="35"/>
      <c r="QHM230" s="32"/>
      <c r="QHN230" s="31"/>
      <c r="QHO230" s="31"/>
      <c r="QHP230" s="31"/>
      <c r="QHQ230" s="32"/>
      <c r="QHR230" s="32"/>
      <c r="QHS230" s="32"/>
      <c r="QHT230" s="32"/>
      <c r="QHU230" s="32"/>
      <c r="QHV230" s="31"/>
      <c r="QHW230" s="31"/>
      <c r="QHX230" s="33"/>
      <c r="QHY230" s="33"/>
      <c r="QHZ230" s="34"/>
      <c r="QIA230" s="34"/>
      <c r="QIB230" s="35"/>
      <c r="QIC230" s="35"/>
      <c r="QID230" s="32"/>
      <c r="QIE230" s="31"/>
      <c r="QIF230" s="31"/>
      <c r="QIG230" s="31"/>
      <c r="QIH230" s="32"/>
      <c r="QII230" s="32"/>
      <c r="QIJ230" s="32"/>
      <c r="QIK230" s="32"/>
      <c r="QIL230" s="32"/>
      <c r="QIM230" s="31"/>
      <c r="QIN230" s="31"/>
      <c r="QIO230" s="33"/>
      <c r="QIP230" s="33"/>
      <c r="QIQ230" s="34"/>
      <c r="QIR230" s="34"/>
      <c r="QIS230" s="35"/>
      <c r="QIT230" s="35"/>
      <c r="QIU230" s="32"/>
      <c r="QIV230" s="31"/>
      <c r="QIW230" s="31"/>
      <c r="QIX230" s="31"/>
      <c r="QIY230" s="32"/>
      <c r="QIZ230" s="32"/>
      <c r="QJA230" s="32"/>
      <c r="QJB230" s="32"/>
      <c r="QJC230" s="32"/>
      <c r="QJD230" s="31"/>
      <c r="QJE230" s="31"/>
      <c r="QJF230" s="33"/>
      <c r="QJG230" s="33"/>
      <c r="QJH230" s="34"/>
      <c r="QJI230" s="34"/>
      <c r="QJJ230" s="35"/>
      <c r="QJK230" s="35"/>
      <c r="QJL230" s="32"/>
      <c r="QJM230" s="31"/>
      <c r="QJN230" s="31"/>
      <c r="QJO230" s="31"/>
      <c r="QJP230" s="32"/>
      <c r="QJQ230" s="32"/>
      <c r="QJR230" s="32"/>
      <c r="QJS230" s="32"/>
      <c r="QJT230" s="32"/>
      <c r="QJU230" s="31"/>
      <c r="QJV230" s="31"/>
      <c r="QJW230" s="33"/>
      <c r="QJX230" s="33"/>
      <c r="QJY230" s="34"/>
      <c r="QJZ230" s="34"/>
      <c r="QKA230" s="35"/>
      <c r="QKB230" s="35"/>
      <c r="QKC230" s="32"/>
      <c r="QKD230" s="31"/>
      <c r="QKE230" s="31"/>
      <c r="QKF230" s="31"/>
      <c r="QKG230" s="32"/>
      <c r="QKH230" s="32"/>
      <c r="QKI230" s="32"/>
      <c r="QKJ230" s="32"/>
      <c r="QKK230" s="32"/>
      <c r="QKL230" s="31"/>
      <c r="QKM230" s="31"/>
      <c r="QKN230" s="33"/>
      <c r="QKO230" s="33"/>
      <c r="QKP230" s="34"/>
      <c r="QKQ230" s="34"/>
      <c r="QKR230" s="35"/>
      <c r="QKS230" s="35"/>
      <c r="QKT230" s="32"/>
      <c r="QKU230" s="31"/>
      <c r="QKV230" s="31"/>
      <c r="QKW230" s="31"/>
      <c r="QKX230" s="32"/>
      <c r="QKY230" s="32"/>
      <c r="QKZ230" s="32"/>
      <c r="QLA230" s="32"/>
      <c r="QLB230" s="32"/>
      <c r="QLC230" s="31"/>
      <c r="QLD230" s="31"/>
      <c r="QLE230" s="33"/>
      <c r="QLF230" s="33"/>
      <c r="QLG230" s="34"/>
      <c r="QLH230" s="34"/>
      <c r="QLI230" s="35"/>
      <c r="QLJ230" s="35"/>
      <c r="QLK230" s="32"/>
      <c r="QLL230" s="31"/>
      <c r="QLM230" s="31"/>
      <c r="QLN230" s="31"/>
      <c r="QLO230" s="32"/>
      <c r="QLP230" s="32"/>
      <c r="QLQ230" s="32"/>
      <c r="QLR230" s="32"/>
      <c r="QLS230" s="32"/>
      <c r="QLT230" s="31"/>
      <c r="QLU230" s="31"/>
      <c r="QLV230" s="33"/>
      <c r="QLW230" s="33"/>
      <c r="QLX230" s="34"/>
      <c r="QLY230" s="34"/>
      <c r="QLZ230" s="35"/>
      <c r="QMA230" s="35"/>
      <c r="QMB230" s="32"/>
      <c r="QMC230" s="31"/>
      <c r="QMD230" s="31"/>
      <c r="QME230" s="31"/>
      <c r="QMF230" s="32"/>
      <c r="QMG230" s="32"/>
      <c r="QMH230" s="32"/>
      <c r="QMI230" s="32"/>
      <c r="QMJ230" s="32"/>
      <c r="QMK230" s="31"/>
      <c r="QML230" s="31"/>
      <c r="QMM230" s="33"/>
      <c r="QMN230" s="33"/>
      <c r="QMO230" s="34"/>
      <c r="QMP230" s="34"/>
      <c r="QMQ230" s="35"/>
      <c r="QMR230" s="35"/>
      <c r="QMS230" s="32"/>
      <c r="QMT230" s="31"/>
      <c r="QMU230" s="31"/>
      <c r="QMV230" s="31"/>
      <c r="QMW230" s="32"/>
      <c r="QMX230" s="32"/>
      <c r="QMY230" s="32"/>
      <c r="QMZ230" s="32"/>
      <c r="QNA230" s="32"/>
      <c r="QNB230" s="31"/>
      <c r="QNC230" s="31"/>
      <c r="QND230" s="33"/>
      <c r="QNE230" s="33"/>
      <c r="QNF230" s="34"/>
      <c r="QNG230" s="34"/>
      <c r="QNH230" s="35"/>
      <c r="QNI230" s="35"/>
      <c r="QNJ230" s="32"/>
      <c r="QNK230" s="31"/>
      <c r="QNL230" s="31"/>
      <c r="QNM230" s="31"/>
      <c r="QNN230" s="32"/>
      <c r="QNO230" s="32"/>
      <c r="QNP230" s="32"/>
      <c r="QNQ230" s="32"/>
      <c r="QNR230" s="32"/>
      <c r="QNS230" s="31"/>
      <c r="QNT230" s="31"/>
      <c r="QNU230" s="33"/>
      <c r="QNV230" s="33"/>
      <c r="QNW230" s="34"/>
      <c r="QNX230" s="34"/>
      <c r="QNY230" s="35"/>
      <c r="QNZ230" s="35"/>
      <c r="QOA230" s="32"/>
      <c r="QOB230" s="31"/>
      <c r="QOC230" s="31"/>
      <c r="QOD230" s="31"/>
      <c r="QOE230" s="32"/>
      <c r="QOF230" s="32"/>
      <c r="QOG230" s="32"/>
      <c r="QOH230" s="32"/>
      <c r="QOI230" s="32"/>
      <c r="QOJ230" s="31"/>
      <c r="QOK230" s="31"/>
      <c r="QOL230" s="33"/>
      <c r="QOM230" s="33"/>
      <c r="QON230" s="34"/>
      <c r="QOO230" s="34"/>
      <c r="QOP230" s="35"/>
      <c r="QOQ230" s="35"/>
      <c r="QOR230" s="32"/>
      <c r="QOS230" s="31"/>
      <c r="QOT230" s="31"/>
      <c r="QOU230" s="31"/>
      <c r="QOV230" s="32"/>
      <c r="QOW230" s="32"/>
      <c r="QOX230" s="32"/>
      <c r="QOY230" s="32"/>
      <c r="QOZ230" s="32"/>
      <c r="QPA230" s="31"/>
      <c r="QPB230" s="31"/>
      <c r="QPC230" s="33"/>
      <c r="QPD230" s="33"/>
      <c r="QPE230" s="34"/>
      <c r="QPF230" s="34"/>
      <c r="QPG230" s="35"/>
      <c r="QPH230" s="35"/>
      <c r="QPI230" s="32"/>
      <c r="QPJ230" s="31"/>
      <c r="QPK230" s="31"/>
      <c r="QPL230" s="31"/>
      <c r="QPM230" s="32"/>
      <c r="QPN230" s="32"/>
      <c r="QPO230" s="32"/>
      <c r="QPP230" s="32"/>
      <c r="QPQ230" s="32"/>
      <c r="QPR230" s="31"/>
      <c r="QPS230" s="31"/>
      <c r="QPT230" s="33"/>
      <c r="QPU230" s="33"/>
      <c r="QPV230" s="34"/>
      <c r="QPW230" s="34"/>
      <c r="QPX230" s="35"/>
      <c r="QPY230" s="35"/>
      <c r="QPZ230" s="32"/>
      <c r="QQA230" s="31"/>
      <c r="QQB230" s="31"/>
      <c r="QQC230" s="31"/>
      <c r="QQD230" s="32"/>
      <c r="QQE230" s="32"/>
      <c r="QQF230" s="32"/>
      <c r="QQG230" s="32"/>
      <c r="QQH230" s="32"/>
      <c r="QQI230" s="31"/>
      <c r="QQJ230" s="31"/>
      <c r="QQK230" s="33"/>
      <c r="QQL230" s="33"/>
      <c r="QQM230" s="34"/>
      <c r="QQN230" s="34"/>
      <c r="QQO230" s="35"/>
      <c r="QQP230" s="35"/>
      <c r="QQQ230" s="32"/>
      <c r="QQR230" s="31"/>
      <c r="QQS230" s="31"/>
      <c r="QQT230" s="31"/>
      <c r="QQU230" s="32"/>
      <c r="QQV230" s="32"/>
      <c r="QQW230" s="32"/>
      <c r="QQX230" s="32"/>
      <c r="QQY230" s="32"/>
      <c r="QQZ230" s="31"/>
      <c r="QRA230" s="31"/>
      <c r="QRB230" s="33"/>
      <c r="QRC230" s="33"/>
      <c r="QRD230" s="34"/>
      <c r="QRE230" s="34"/>
      <c r="QRF230" s="35"/>
      <c r="QRG230" s="35"/>
      <c r="QRH230" s="32"/>
      <c r="QRI230" s="31"/>
      <c r="QRJ230" s="31"/>
      <c r="QRK230" s="31"/>
      <c r="QRL230" s="32"/>
      <c r="QRM230" s="32"/>
      <c r="QRN230" s="32"/>
      <c r="QRO230" s="32"/>
      <c r="QRP230" s="32"/>
      <c r="QRQ230" s="31"/>
      <c r="QRR230" s="31"/>
      <c r="QRS230" s="33"/>
      <c r="QRT230" s="33"/>
      <c r="QRU230" s="34"/>
      <c r="QRV230" s="34"/>
      <c r="QRW230" s="35"/>
      <c r="QRX230" s="35"/>
      <c r="QRY230" s="32"/>
      <c r="QRZ230" s="31"/>
      <c r="QSA230" s="31"/>
      <c r="QSB230" s="31"/>
      <c r="QSC230" s="32"/>
      <c r="QSD230" s="32"/>
      <c r="QSE230" s="32"/>
      <c r="QSF230" s="32"/>
      <c r="QSG230" s="32"/>
      <c r="QSH230" s="31"/>
      <c r="QSI230" s="31"/>
      <c r="QSJ230" s="33"/>
      <c r="QSK230" s="33"/>
      <c r="QSL230" s="34"/>
      <c r="QSM230" s="34"/>
      <c r="QSN230" s="35"/>
      <c r="QSO230" s="35"/>
      <c r="QSP230" s="32"/>
      <c r="QSQ230" s="31"/>
      <c r="QSR230" s="31"/>
      <c r="QSS230" s="31"/>
      <c r="QST230" s="32"/>
      <c r="QSU230" s="32"/>
      <c r="QSV230" s="32"/>
      <c r="QSW230" s="32"/>
      <c r="QSX230" s="32"/>
      <c r="QSY230" s="31"/>
      <c r="QSZ230" s="31"/>
      <c r="QTA230" s="33"/>
      <c r="QTB230" s="33"/>
      <c r="QTC230" s="34"/>
      <c r="QTD230" s="34"/>
      <c r="QTE230" s="35"/>
      <c r="QTF230" s="35"/>
      <c r="QTG230" s="32"/>
      <c r="QTH230" s="31"/>
      <c r="QTI230" s="31"/>
      <c r="QTJ230" s="31"/>
      <c r="QTK230" s="32"/>
      <c r="QTL230" s="32"/>
      <c r="QTM230" s="32"/>
      <c r="QTN230" s="32"/>
      <c r="QTO230" s="32"/>
      <c r="QTP230" s="31"/>
      <c r="QTQ230" s="31"/>
      <c r="QTR230" s="33"/>
      <c r="QTS230" s="33"/>
      <c r="QTT230" s="34"/>
      <c r="QTU230" s="34"/>
      <c r="QTV230" s="35"/>
      <c r="QTW230" s="35"/>
      <c r="QTX230" s="32"/>
      <c r="QTY230" s="31"/>
      <c r="QTZ230" s="31"/>
      <c r="QUA230" s="31"/>
      <c r="QUB230" s="32"/>
      <c r="QUC230" s="32"/>
      <c r="QUD230" s="32"/>
      <c r="QUE230" s="32"/>
      <c r="QUF230" s="32"/>
      <c r="QUG230" s="31"/>
      <c r="QUH230" s="31"/>
      <c r="QUI230" s="33"/>
      <c r="QUJ230" s="33"/>
      <c r="QUK230" s="34"/>
      <c r="QUL230" s="34"/>
      <c r="QUM230" s="35"/>
      <c r="QUN230" s="35"/>
      <c r="QUO230" s="32"/>
      <c r="QUP230" s="31"/>
      <c r="QUQ230" s="31"/>
      <c r="QUR230" s="31"/>
      <c r="QUS230" s="32"/>
      <c r="QUT230" s="32"/>
      <c r="QUU230" s="32"/>
      <c r="QUV230" s="32"/>
      <c r="QUW230" s="32"/>
      <c r="QUX230" s="31"/>
      <c r="QUY230" s="31"/>
      <c r="QUZ230" s="33"/>
      <c r="QVA230" s="33"/>
      <c r="QVB230" s="34"/>
      <c r="QVC230" s="34"/>
      <c r="QVD230" s="35"/>
      <c r="QVE230" s="35"/>
      <c r="QVF230" s="32"/>
      <c r="QVG230" s="31"/>
      <c r="QVH230" s="31"/>
      <c r="QVI230" s="31"/>
      <c r="QVJ230" s="32"/>
      <c r="QVK230" s="32"/>
      <c r="QVL230" s="32"/>
      <c r="QVM230" s="32"/>
      <c r="QVN230" s="32"/>
      <c r="QVO230" s="31"/>
      <c r="QVP230" s="31"/>
      <c r="QVQ230" s="33"/>
      <c r="QVR230" s="33"/>
      <c r="QVS230" s="34"/>
      <c r="QVT230" s="34"/>
      <c r="QVU230" s="35"/>
      <c r="QVV230" s="35"/>
      <c r="QVW230" s="32"/>
      <c r="QVX230" s="31"/>
      <c r="QVY230" s="31"/>
      <c r="QVZ230" s="31"/>
      <c r="QWA230" s="32"/>
      <c r="QWB230" s="32"/>
      <c r="QWC230" s="32"/>
      <c r="QWD230" s="32"/>
      <c r="QWE230" s="32"/>
      <c r="QWF230" s="31"/>
      <c r="QWG230" s="31"/>
      <c r="QWH230" s="33"/>
      <c r="QWI230" s="33"/>
      <c r="QWJ230" s="34"/>
      <c r="QWK230" s="34"/>
      <c r="QWL230" s="35"/>
      <c r="QWM230" s="35"/>
      <c r="QWN230" s="32"/>
      <c r="QWO230" s="31"/>
      <c r="QWP230" s="31"/>
      <c r="QWQ230" s="31"/>
      <c r="QWR230" s="32"/>
      <c r="QWS230" s="32"/>
      <c r="QWT230" s="32"/>
      <c r="QWU230" s="32"/>
      <c r="QWV230" s="32"/>
      <c r="QWW230" s="31"/>
      <c r="QWX230" s="31"/>
      <c r="QWY230" s="33"/>
      <c r="QWZ230" s="33"/>
      <c r="QXA230" s="34"/>
      <c r="QXB230" s="34"/>
      <c r="QXC230" s="35"/>
      <c r="QXD230" s="35"/>
      <c r="QXE230" s="32"/>
      <c r="QXF230" s="31"/>
      <c r="QXG230" s="31"/>
      <c r="QXH230" s="31"/>
      <c r="QXI230" s="32"/>
      <c r="QXJ230" s="32"/>
      <c r="QXK230" s="32"/>
      <c r="QXL230" s="32"/>
      <c r="QXM230" s="32"/>
      <c r="QXN230" s="31"/>
      <c r="QXO230" s="31"/>
      <c r="QXP230" s="33"/>
      <c r="QXQ230" s="33"/>
      <c r="QXR230" s="34"/>
      <c r="QXS230" s="34"/>
      <c r="QXT230" s="35"/>
      <c r="QXU230" s="35"/>
      <c r="QXV230" s="32"/>
      <c r="QXW230" s="31"/>
      <c r="QXX230" s="31"/>
      <c r="QXY230" s="31"/>
      <c r="QXZ230" s="32"/>
      <c r="QYA230" s="32"/>
      <c r="QYB230" s="32"/>
      <c r="QYC230" s="32"/>
      <c r="QYD230" s="32"/>
      <c r="QYE230" s="31"/>
      <c r="QYF230" s="31"/>
      <c r="QYG230" s="33"/>
      <c r="QYH230" s="33"/>
      <c r="QYI230" s="34"/>
      <c r="QYJ230" s="34"/>
      <c r="QYK230" s="35"/>
      <c r="QYL230" s="35"/>
      <c r="QYM230" s="32"/>
      <c r="QYN230" s="31"/>
      <c r="QYO230" s="31"/>
      <c r="QYP230" s="31"/>
      <c r="QYQ230" s="32"/>
      <c r="QYR230" s="32"/>
      <c r="QYS230" s="32"/>
      <c r="QYT230" s="32"/>
      <c r="QYU230" s="32"/>
      <c r="QYV230" s="31"/>
      <c r="QYW230" s="31"/>
      <c r="QYX230" s="33"/>
      <c r="QYY230" s="33"/>
      <c r="QYZ230" s="34"/>
      <c r="QZA230" s="34"/>
      <c r="QZB230" s="35"/>
      <c r="QZC230" s="35"/>
      <c r="QZD230" s="32"/>
      <c r="QZE230" s="31"/>
      <c r="QZF230" s="31"/>
      <c r="QZG230" s="31"/>
      <c r="QZH230" s="32"/>
      <c r="QZI230" s="32"/>
      <c r="QZJ230" s="32"/>
      <c r="QZK230" s="32"/>
      <c r="QZL230" s="32"/>
      <c r="QZM230" s="31"/>
      <c r="QZN230" s="31"/>
      <c r="QZO230" s="33"/>
      <c r="QZP230" s="33"/>
      <c r="QZQ230" s="34"/>
      <c r="QZR230" s="34"/>
      <c r="QZS230" s="35"/>
      <c r="QZT230" s="35"/>
      <c r="QZU230" s="32"/>
      <c r="QZV230" s="31"/>
      <c r="QZW230" s="31"/>
      <c r="QZX230" s="31"/>
      <c r="QZY230" s="32"/>
      <c r="QZZ230" s="32"/>
      <c r="RAA230" s="32"/>
      <c r="RAB230" s="32"/>
      <c r="RAC230" s="32"/>
      <c r="RAD230" s="31"/>
      <c r="RAE230" s="31"/>
      <c r="RAF230" s="33"/>
      <c r="RAG230" s="33"/>
      <c r="RAH230" s="34"/>
      <c r="RAI230" s="34"/>
      <c r="RAJ230" s="35"/>
      <c r="RAK230" s="35"/>
      <c r="RAL230" s="32"/>
      <c r="RAM230" s="31"/>
      <c r="RAN230" s="31"/>
      <c r="RAO230" s="31"/>
      <c r="RAP230" s="32"/>
      <c r="RAQ230" s="32"/>
      <c r="RAR230" s="32"/>
      <c r="RAS230" s="32"/>
      <c r="RAT230" s="32"/>
      <c r="RAU230" s="31"/>
      <c r="RAV230" s="31"/>
      <c r="RAW230" s="33"/>
      <c r="RAX230" s="33"/>
      <c r="RAY230" s="34"/>
      <c r="RAZ230" s="34"/>
      <c r="RBA230" s="35"/>
      <c r="RBB230" s="35"/>
      <c r="RBC230" s="32"/>
      <c r="RBD230" s="31"/>
      <c r="RBE230" s="31"/>
      <c r="RBF230" s="31"/>
      <c r="RBG230" s="32"/>
      <c r="RBH230" s="32"/>
      <c r="RBI230" s="32"/>
      <c r="RBJ230" s="32"/>
      <c r="RBK230" s="32"/>
      <c r="RBL230" s="31"/>
      <c r="RBM230" s="31"/>
      <c r="RBN230" s="33"/>
      <c r="RBO230" s="33"/>
      <c r="RBP230" s="34"/>
      <c r="RBQ230" s="34"/>
      <c r="RBR230" s="35"/>
      <c r="RBS230" s="35"/>
      <c r="RBT230" s="32"/>
      <c r="RBU230" s="31"/>
      <c r="RBV230" s="31"/>
      <c r="RBW230" s="31"/>
      <c r="RBX230" s="32"/>
      <c r="RBY230" s="32"/>
      <c r="RBZ230" s="32"/>
      <c r="RCA230" s="32"/>
      <c r="RCB230" s="32"/>
      <c r="RCC230" s="31"/>
      <c r="RCD230" s="31"/>
      <c r="RCE230" s="33"/>
      <c r="RCF230" s="33"/>
      <c r="RCG230" s="34"/>
      <c r="RCH230" s="34"/>
      <c r="RCI230" s="35"/>
      <c r="RCJ230" s="35"/>
      <c r="RCK230" s="32"/>
      <c r="RCL230" s="31"/>
      <c r="RCM230" s="31"/>
      <c r="RCN230" s="31"/>
      <c r="RCO230" s="32"/>
      <c r="RCP230" s="32"/>
      <c r="RCQ230" s="32"/>
      <c r="RCR230" s="32"/>
      <c r="RCS230" s="32"/>
      <c r="RCT230" s="31"/>
      <c r="RCU230" s="31"/>
      <c r="RCV230" s="33"/>
      <c r="RCW230" s="33"/>
      <c r="RCX230" s="34"/>
      <c r="RCY230" s="34"/>
      <c r="RCZ230" s="35"/>
      <c r="RDA230" s="35"/>
      <c r="RDB230" s="32"/>
      <c r="RDC230" s="31"/>
      <c r="RDD230" s="31"/>
      <c r="RDE230" s="31"/>
      <c r="RDF230" s="32"/>
      <c r="RDG230" s="32"/>
      <c r="RDH230" s="32"/>
      <c r="RDI230" s="32"/>
      <c r="RDJ230" s="32"/>
      <c r="RDK230" s="31"/>
      <c r="RDL230" s="31"/>
      <c r="RDM230" s="33"/>
      <c r="RDN230" s="33"/>
      <c r="RDO230" s="34"/>
      <c r="RDP230" s="34"/>
      <c r="RDQ230" s="35"/>
      <c r="RDR230" s="35"/>
      <c r="RDS230" s="32"/>
      <c r="RDT230" s="31"/>
      <c r="RDU230" s="31"/>
      <c r="RDV230" s="31"/>
      <c r="RDW230" s="32"/>
      <c r="RDX230" s="32"/>
      <c r="RDY230" s="32"/>
      <c r="RDZ230" s="32"/>
      <c r="REA230" s="32"/>
      <c r="REB230" s="31"/>
      <c r="REC230" s="31"/>
      <c r="RED230" s="33"/>
      <c r="REE230" s="33"/>
      <c r="REF230" s="34"/>
      <c r="REG230" s="34"/>
      <c r="REH230" s="35"/>
      <c r="REI230" s="35"/>
      <c r="REJ230" s="32"/>
      <c r="REK230" s="31"/>
      <c r="REL230" s="31"/>
      <c r="REM230" s="31"/>
      <c r="REN230" s="32"/>
      <c r="REO230" s="32"/>
      <c r="REP230" s="32"/>
      <c r="REQ230" s="32"/>
      <c r="RER230" s="32"/>
      <c r="RES230" s="31"/>
      <c r="RET230" s="31"/>
      <c r="REU230" s="33"/>
      <c r="REV230" s="33"/>
      <c r="REW230" s="34"/>
      <c r="REX230" s="34"/>
      <c r="REY230" s="35"/>
      <c r="REZ230" s="35"/>
      <c r="RFA230" s="32"/>
      <c r="RFB230" s="31"/>
      <c r="RFC230" s="31"/>
      <c r="RFD230" s="31"/>
      <c r="RFE230" s="32"/>
      <c r="RFF230" s="32"/>
      <c r="RFG230" s="32"/>
      <c r="RFH230" s="32"/>
      <c r="RFI230" s="32"/>
      <c r="RFJ230" s="31"/>
      <c r="RFK230" s="31"/>
      <c r="RFL230" s="33"/>
      <c r="RFM230" s="33"/>
      <c r="RFN230" s="34"/>
      <c r="RFO230" s="34"/>
      <c r="RFP230" s="35"/>
      <c r="RFQ230" s="35"/>
      <c r="RFR230" s="32"/>
      <c r="RFS230" s="31"/>
      <c r="RFT230" s="31"/>
      <c r="RFU230" s="31"/>
      <c r="RFV230" s="32"/>
      <c r="RFW230" s="32"/>
      <c r="RFX230" s="32"/>
      <c r="RFY230" s="32"/>
      <c r="RFZ230" s="32"/>
      <c r="RGA230" s="31"/>
      <c r="RGB230" s="31"/>
      <c r="RGC230" s="33"/>
      <c r="RGD230" s="33"/>
      <c r="RGE230" s="34"/>
      <c r="RGF230" s="34"/>
      <c r="RGG230" s="35"/>
      <c r="RGH230" s="35"/>
      <c r="RGI230" s="32"/>
      <c r="RGJ230" s="31"/>
      <c r="RGK230" s="31"/>
      <c r="RGL230" s="31"/>
      <c r="RGM230" s="32"/>
      <c r="RGN230" s="32"/>
      <c r="RGO230" s="32"/>
      <c r="RGP230" s="32"/>
      <c r="RGQ230" s="32"/>
      <c r="RGR230" s="31"/>
      <c r="RGS230" s="31"/>
      <c r="RGT230" s="33"/>
      <c r="RGU230" s="33"/>
      <c r="RGV230" s="34"/>
      <c r="RGW230" s="34"/>
      <c r="RGX230" s="35"/>
      <c r="RGY230" s="35"/>
      <c r="RGZ230" s="32"/>
      <c r="RHA230" s="31"/>
      <c r="RHB230" s="31"/>
      <c r="RHC230" s="31"/>
      <c r="RHD230" s="32"/>
      <c r="RHE230" s="32"/>
      <c r="RHF230" s="32"/>
      <c r="RHG230" s="32"/>
      <c r="RHH230" s="32"/>
      <c r="RHI230" s="31"/>
      <c r="RHJ230" s="31"/>
      <c r="RHK230" s="33"/>
      <c r="RHL230" s="33"/>
      <c r="RHM230" s="34"/>
      <c r="RHN230" s="34"/>
      <c r="RHO230" s="35"/>
      <c r="RHP230" s="35"/>
      <c r="RHQ230" s="32"/>
      <c r="RHR230" s="31"/>
      <c r="RHS230" s="31"/>
      <c r="RHT230" s="31"/>
      <c r="RHU230" s="32"/>
      <c r="RHV230" s="32"/>
      <c r="RHW230" s="32"/>
      <c r="RHX230" s="32"/>
      <c r="RHY230" s="32"/>
      <c r="RHZ230" s="31"/>
      <c r="RIA230" s="31"/>
      <c r="RIB230" s="33"/>
      <c r="RIC230" s="33"/>
      <c r="RID230" s="34"/>
      <c r="RIE230" s="34"/>
      <c r="RIF230" s="35"/>
      <c r="RIG230" s="35"/>
      <c r="RIH230" s="32"/>
      <c r="RII230" s="31"/>
      <c r="RIJ230" s="31"/>
      <c r="RIK230" s="31"/>
      <c r="RIL230" s="32"/>
      <c r="RIM230" s="32"/>
      <c r="RIN230" s="32"/>
      <c r="RIO230" s="32"/>
      <c r="RIP230" s="32"/>
      <c r="RIQ230" s="31"/>
      <c r="RIR230" s="31"/>
      <c r="RIS230" s="33"/>
      <c r="RIT230" s="33"/>
      <c r="RIU230" s="34"/>
      <c r="RIV230" s="34"/>
      <c r="RIW230" s="35"/>
      <c r="RIX230" s="35"/>
      <c r="RIY230" s="32"/>
      <c r="RIZ230" s="31"/>
      <c r="RJA230" s="31"/>
      <c r="RJB230" s="31"/>
      <c r="RJC230" s="32"/>
      <c r="RJD230" s="32"/>
      <c r="RJE230" s="32"/>
      <c r="RJF230" s="32"/>
      <c r="RJG230" s="32"/>
      <c r="RJH230" s="31"/>
      <c r="RJI230" s="31"/>
      <c r="RJJ230" s="33"/>
      <c r="RJK230" s="33"/>
      <c r="RJL230" s="34"/>
      <c r="RJM230" s="34"/>
      <c r="RJN230" s="35"/>
      <c r="RJO230" s="35"/>
      <c r="RJP230" s="32"/>
      <c r="RJQ230" s="31"/>
      <c r="RJR230" s="31"/>
      <c r="RJS230" s="31"/>
      <c r="RJT230" s="32"/>
      <c r="RJU230" s="32"/>
      <c r="RJV230" s="32"/>
      <c r="RJW230" s="32"/>
      <c r="RJX230" s="32"/>
      <c r="RJY230" s="31"/>
      <c r="RJZ230" s="31"/>
      <c r="RKA230" s="33"/>
      <c r="RKB230" s="33"/>
      <c r="RKC230" s="34"/>
      <c r="RKD230" s="34"/>
      <c r="RKE230" s="35"/>
      <c r="RKF230" s="35"/>
      <c r="RKG230" s="32"/>
      <c r="RKH230" s="31"/>
      <c r="RKI230" s="31"/>
      <c r="RKJ230" s="31"/>
      <c r="RKK230" s="32"/>
      <c r="RKL230" s="32"/>
      <c r="RKM230" s="32"/>
      <c r="RKN230" s="32"/>
      <c r="RKO230" s="32"/>
      <c r="RKP230" s="31"/>
      <c r="RKQ230" s="31"/>
      <c r="RKR230" s="33"/>
      <c r="RKS230" s="33"/>
      <c r="RKT230" s="34"/>
      <c r="RKU230" s="34"/>
      <c r="RKV230" s="35"/>
      <c r="RKW230" s="35"/>
      <c r="RKX230" s="32"/>
      <c r="RKY230" s="31"/>
      <c r="RKZ230" s="31"/>
      <c r="RLA230" s="31"/>
      <c r="RLB230" s="32"/>
      <c r="RLC230" s="32"/>
      <c r="RLD230" s="32"/>
      <c r="RLE230" s="32"/>
      <c r="RLF230" s="32"/>
      <c r="RLG230" s="31"/>
      <c r="RLH230" s="31"/>
      <c r="RLI230" s="33"/>
      <c r="RLJ230" s="33"/>
      <c r="RLK230" s="34"/>
      <c r="RLL230" s="34"/>
      <c r="RLM230" s="35"/>
      <c r="RLN230" s="35"/>
      <c r="RLO230" s="32"/>
      <c r="RLP230" s="31"/>
      <c r="RLQ230" s="31"/>
      <c r="RLR230" s="31"/>
      <c r="RLS230" s="32"/>
      <c r="RLT230" s="32"/>
      <c r="RLU230" s="32"/>
      <c r="RLV230" s="32"/>
      <c r="RLW230" s="32"/>
      <c r="RLX230" s="31"/>
      <c r="RLY230" s="31"/>
      <c r="RLZ230" s="33"/>
      <c r="RMA230" s="33"/>
      <c r="RMB230" s="34"/>
      <c r="RMC230" s="34"/>
      <c r="RMD230" s="35"/>
      <c r="RME230" s="35"/>
      <c r="RMF230" s="32"/>
      <c r="RMG230" s="31"/>
      <c r="RMH230" s="31"/>
      <c r="RMI230" s="31"/>
      <c r="RMJ230" s="32"/>
      <c r="RMK230" s="32"/>
      <c r="RML230" s="32"/>
      <c r="RMM230" s="32"/>
      <c r="RMN230" s="32"/>
      <c r="RMO230" s="31"/>
      <c r="RMP230" s="31"/>
      <c r="RMQ230" s="33"/>
      <c r="RMR230" s="33"/>
      <c r="RMS230" s="34"/>
      <c r="RMT230" s="34"/>
      <c r="RMU230" s="35"/>
      <c r="RMV230" s="35"/>
      <c r="RMW230" s="32"/>
      <c r="RMX230" s="31"/>
      <c r="RMY230" s="31"/>
      <c r="RMZ230" s="31"/>
      <c r="RNA230" s="32"/>
      <c r="RNB230" s="32"/>
      <c r="RNC230" s="32"/>
      <c r="RND230" s="32"/>
      <c r="RNE230" s="32"/>
      <c r="RNF230" s="31"/>
      <c r="RNG230" s="31"/>
      <c r="RNH230" s="33"/>
      <c r="RNI230" s="33"/>
      <c r="RNJ230" s="34"/>
      <c r="RNK230" s="34"/>
      <c r="RNL230" s="35"/>
      <c r="RNM230" s="35"/>
      <c r="RNN230" s="32"/>
      <c r="RNO230" s="31"/>
      <c r="RNP230" s="31"/>
      <c r="RNQ230" s="31"/>
      <c r="RNR230" s="32"/>
      <c r="RNS230" s="32"/>
      <c r="RNT230" s="32"/>
      <c r="RNU230" s="32"/>
      <c r="RNV230" s="32"/>
      <c r="RNW230" s="31"/>
      <c r="RNX230" s="31"/>
      <c r="RNY230" s="33"/>
      <c r="RNZ230" s="33"/>
      <c r="ROA230" s="34"/>
      <c r="ROB230" s="34"/>
      <c r="ROC230" s="35"/>
      <c r="ROD230" s="35"/>
      <c r="ROE230" s="32"/>
      <c r="ROF230" s="31"/>
      <c r="ROG230" s="31"/>
      <c r="ROH230" s="31"/>
      <c r="ROI230" s="32"/>
      <c r="ROJ230" s="32"/>
      <c r="ROK230" s="32"/>
      <c r="ROL230" s="32"/>
      <c r="ROM230" s="32"/>
      <c r="RON230" s="31"/>
      <c r="ROO230" s="31"/>
      <c r="ROP230" s="33"/>
      <c r="ROQ230" s="33"/>
      <c r="ROR230" s="34"/>
      <c r="ROS230" s="34"/>
      <c r="ROT230" s="35"/>
      <c r="ROU230" s="35"/>
      <c r="ROV230" s="32"/>
      <c r="ROW230" s="31"/>
      <c r="ROX230" s="31"/>
      <c r="ROY230" s="31"/>
      <c r="ROZ230" s="32"/>
      <c r="RPA230" s="32"/>
      <c r="RPB230" s="32"/>
      <c r="RPC230" s="32"/>
      <c r="RPD230" s="32"/>
      <c r="RPE230" s="31"/>
      <c r="RPF230" s="31"/>
      <c r="RPG230" s="33"/>
      <c r="RPH230" s="33"/>
      <c r="RPI230" s="34"/>
      <c r="RPJ230" s="34"/>
      <c r="RPK230" s="35"/>
      <c r="RPL230" s="35"/>
      <c r="RPM230" s="32"/>
      <c r="RPN230" s="31"/>
      <c r="RPO230" s="31"/>
      <c r="RPP230" s="31"/>
      <c r="RPQ230" s="32"/>
      <c r="RPR230" s="32"/>
      <c r="RPS230" s="32"/>
      <c r="RPT230" s="32"/>
      <c r="RPU230" s="32"/>
      <c r="RPV230" s="31"/>
      <c r="RPW230" s="31"/>
      <c r="RPX230" s="33"/>
      <c r="RPY230" s="33"/>
      <c r="RPZ230" s="34"/>
      <c r="RQA230" s="34"/>
      <c r="RQB230" s="35"/>
      <c r="RQC230" s="35"/>
      <c r="RQD230" s="32"/>
      <c r="RQE230" s="31"/>
      <c r="RQF230" s="31"/>
      <c r="RQG230" s="31"/>
      <c r="RQH230" s="32"/>
      <c r="RQI230" s="32"/>
      <c r="RQJ230" s="32"/>
      <c r="RQK230" s="32"/>
      <c r="RQL230" s="32"/>
      <c r="RQM230" s="31"/>
      <c r="RQN230" s="31"/>
      <c r="RQO230" s="33"/>
      <c r="RQP230" s="33"/>
      <c r="RQQ230" s="34"/>
      <c r="RQR230" s="34"/>
      <c r="RQS230" s="35"/>
      <c r="RQT230" s="35"/>
      <c r="RQU230" s="32"/>
      <c r="RQV230" s="31"/>
      <c r="RQW230" s="31"/>
      <c r="RQX230" s="31"/>
      <c r="RQY230" s="32"/>
      <c r="RQZ230" s="32"/>
      <c r="RRA230" s="32"/>
      <c r="RRB230" s="32"/>
      <c r="RRC230" s="32"/>
      <c r="RRD230" s="31"/>
      <c r="RRE230" s="31"/>
      <c r="RRF230" s="33"/>
      <c r="RRG230" s="33"/>
      <c r="RRH230" s="34"/>
      <c r="RRI230" s="34"/>
      <c r="RRJ230" s="35"/>
      <c r="RRK230" s="35"/>
      <c r="RRL230" s="32"/>
      <c r="RRM230" s="31"/>
      <c r="RRN230" s="31"/>
      <c r="RRO230" s="31"/>
      <c r="RRP230" s="32"/>
      <c r="RRQ230" s="32"/>
      <c r="RRR230" s="32"/>
      <c r="RRS230" s="32"/>
      <c r="RRT230" s="32"/>
      <c r="RRU230" s="31"/>
      <c r="RRV230" s="31"/>
      <c r="RRW230" s="33"/>
      <c r="RRX230" s="33"/>
      <c r="RRY230" s="34"/>
      <c r="RRZ230" s="34"/>
      <c r="RSA230" s="35"/>
      <c r="RSB230" s="35"/>
      <c r="RSC230" s="32"/>
      <c r="RSD230" s="31"/>
      <c r="RSE230" s="31"/>
      <c r="RSF230" s="31"/>
      <c r="RSG230" s="32"/>
      <c r="RSH230" s="32"/>
      <c r="RSI230" s="32"/>
      <c r="RSJ230" s="32"/>
      <c r="RSK230" s="32"/>
      <c r="RSL230" s="31"/>
      <c r="RSM230" s="31"/>
      <c r="RSN230" s="33"/>
      <c r="RSO230" s="33"/>
      <c r="RSP230" s="34"/>
      <c r="RSQ230" s="34"/>
      <c r="RSR230" s="35"/>
      <c r="RSS230" s="35"/>
      <c r="RST230" s="32"/>
      <c r="RSU230" s="31"/>
      <c r="RSV230" s="31"/>
      <c r="RSW230" s="31"/>
      <c r="RSX230" s="32"/>
      <c r="RSY230" s="32"/>
      <c r="RSZ230" s="32"/>
      <c r="RTA230" s="32"/>
      <c r="RTB230" s="32"/>
      <c r="RTC230" s="31"/>
      <c r="RTD230" s="31"/>
      <c r="RTE230" s="33"/>
      <c r="RTF230" s="33"/>
      <c r="RTG230" s="34"/>
      <c r="RTH230" s="34"/>
      <c r="RTI230" s="35"/>
      <c r="RTJ230" s="35"/>
      <c r="RTK230" s="32"/>
      <c r="RTL230" s="31"/>
      <c r="RTM230" s="31"/>
      <c r="RTN230" s="31"/>
      <c r="RTO230" s="32"/>
      <c r="RTP230" s="32"/>
      <c r="RTQ230" s="32"/>
      <c r="RTR230" s="32"/>
      <c r="RTS230" s="32"/>
      <c r="RTT230" s="31"/>
      <c r="RTU230" s="31"/>
      <c r="RTV230" s="33"/>
      <c r="RTW230" s="33"/>
      <c r="RTX230" s="34"/>
      <c r="RTY230" s="34"/>
      <c r="RTZ230" s="35"/>
      <c r="RUA230" s="35"/>
      <c r="RUB230" s="32"/>
      <c r="RUC230" s="31"/>
      <c r="RUD230" s="31"/>
      <c r="RUE230" s="31"/>
      <c r="RUF230" s="32"/>
      <c r="RUG230" s="32"/>
      <c r="RUH230" s="32"/>
      <c r="RUI230" s="32"/>
      <c r="RUJ230" s="32"/>
      <c r="RUK230" s="31"/>
      <c r="RUL230" s="31"/>
      <c r="RUM230" s="33"/>
      <c r="RUN230" s="33"/>
      <c r="RUO230" s="34"/>
      <c r="RUP230" s="34"/>
      <c r="RUQ230" s="35"/>
      <c r="RUR230" s="35"/>
      <c r="RUS230" s="32"/>
      <c r="RUT230" s="31"/>
      <c r="RUU230" s="31"/>
      <c r="RUV230" s="31"/>
      <c r="RUW230" s="32"/>
      <c r="RUX230" s="32"/>
      <c r="RUY230" s="32"/>
      <c r="RUZ230" s="32"/>
      <c r="RVA230" s="32"/>
      <c r="RVB230" s="31"/>
      <c r="RVC230" s="31"/>
      <c r="RVD230" s="33"/>
      <c r="RVE230" s="33"/>
      <c r="RVF230" s="34"/>
      <c r="RVG230" s="34"/>
      <c r="RVH230" s="35"/>
      <c r="RVI230" s="35"/>
      <c r="RVJ230" s="32"/>
      <c r="RVK230" s="31"/>
      <c r="RVL230" s="31"/>
      <c r="RVM230" s="31"/>
      <c r="RVN230" s="32"/>
      <c r="RVO230" s="32"/>
      <c r="RVP230" s="32"/>
      <c r="RVQ230" s="32"/>
      <c r="RVR230" s="32"/>
      <c r="RVS230" s="31"/>
      <c r="RVT230" s="31"/>
      <c r="RVU230" s="33"/>
      <c r="RVV230" s="33"/>
      <c r="RVW230" s="34"/>
      <c r="RVX230" s="34"/>
      <c r="RVY230" s="35"/>
      <c r="RVZ230" s="35"/>
      <c r="RWA230" s="32"/>
      <c r="RWB230" s="31"/>
      <c r="RWC230" s="31"/>
      <c r="RWD230" s="31"/>
      <c r="RWE230" s="32"/>
      <c r="RWF230" s="32"/>
      <c r="RWG230" s="32"/>
      <c r="RWH230" s="32"/>
      <c r="RWI230" s="32"/>
      <c r="RWJ230" s="31"/>
      <c r="RWK230" s="31"/>
      <c r="RWL230" s="33"/>
      <c r="RWM230" s="33"/>
      <c r="RWN230" s="34"/>
      <c r="RWO230" s="34"/>
      <c r="RWP230" s="35"/>
      <c r="RWQ230" s="35"/>
      <c r="RWR230" s="32"/>
      <c r="RWS230" s="31"/>
      <c r="RWT230" s="31"/>
      <c r="RWU230" s="31"/>
      <c r="RWV230" s="32"/>
      <c r="RWW230" s="32"/>
      <c r="RWX230" s="32"/>
      <c r="RWY230" s="32"/>
      <c r="RWZ230" s="32"/>
      <c r="RXA230" s="31"/>
      <c r="RXB230" s="31"/>
      <c r="RXC230" s="33"/>
      <c r="RXD230" s="33"/>
      <c r="RXE230" s="34"/>
      <c r="RXF230" s="34"/>
      <c r="RXG230" s="35"/>
      <c r="RXH230" s="35"/>
      <c r="RXI230" s="32"/>
      <c r="RXJ230" s="31"/>
      <c r="RXK230" s="31"/>
      <c r="RXL230" s="31"/>
      <c r="RXM230" s="32"/>
      <c r="RXN230" s="32"/>
      <c r="RXO230" s="32"/>
      <c r="RXP230" s="32"/>
      <c r="RXQ230" s="32"/>
      <c r="RXR230" s="31"/>
      <c r="RXS230" s="31"/>
      <c r="RXT230" s="33"/>
      <c r="RXU230" s="33"/>
      <c r="RXV230" s="34"/>
      <c r="RXW230" s="34"/>
      <c r="RXX230" s="35"/>
      <c r="RXY230" s="35"/>
      <c r="RXZ230" s="32"/>
      <c r="RYA230" s="31"/>
      <c r="RYB230" s="31"/>
      <c r="RYC230" s="31"/>
      <c r="RYD230" s="32"/>
      <c r="RYE230" s="32"/>
      <c r="RYF230" s="32"/>
      <c r="RYG230" s="32"/>
      <c r="RYH230" s="32"/>
      <c r="RYI230" s="31"/>
      <c r="RYJ230" s="31"/>
      <c r="RYK230" s="33"/>
      <c r="RYL230" s="33"/>
      <c r="RYM230" s="34"/>
      <c r="RYN230" s="34"/>
      <c r="RYO230" s="35"/>
      <c r="RYP230" s="35"/>
      <c r="RYQ230" s="32"/>
      <c r="RYR230" s="31"/>
      <c r="RYS230" s="31"/>
      <c r="RYT230" s="31"/>
      <c r="RYU230" s="32"/>
      <c r="RYV230" s="32"/>
      <c r="RYW230" s="32"/>
      <c r="RYX230" s="32"/>
      <c r="RYY230" s="32"/>
      <c r="RYZ230" s="31"/>
      <c r="RZA230" s="31"/>
      <c r="RZB230" s="33"/>
      <c r="RZC230" s="33"/>
      <c r="RZD230" s="34"/>
      <c r="RZE230" s="34"/>
      <c r="RZF230" s="35"/>
      <c r="RZG230" s="35"/>
      <c r="RZH230" s="32"/>
      <c r="RZI230" s="31"/>
      <c r="RZJ230" s="31"/>
      <c r="RZK230" s="31"/>
      <c r="RZL230" s="32"/>
      <c r="RZM230" s="32"/>
      <c r="RZN230" s="32"/>
      <c r="RZO230" s="32"/>
      <c r="RZP230" s="32"/>
      <c r="RZQ230" s="31"/>
      <c r="RZR230" s="31"/>
      <c r="RZS230" s="33"/>
      <c r="RZT230" s="33"/>
      <c r="RZU230" s="34"/>
      <c r="RZV230" s="34"/>
      <c r="RZW230" s="35"/>
      <c r="RZX230" s="35"/>
      <c r="RZY230" s="32"/>
      <c r="RZZ230" s="31"/>
      <c r="SAA230" s="31"/>
      <c r="SAB230" s="31"/>
      <c r="SAC230" s="32"/>
      <c r="SAD230" s="32"/>
      <c r="SAE230" s="32"/>
      <c r="SAF230" s="32"/>
      <c r="SAG230" s="32"/>
      <c r="SAH230" s="31"/>
      <c r="SAI230" s="31"/>
      <c r="SAJ230" s="33"/>
      <c r="SAK230" s="33"/>
      <c r="SAL230" s="34"/>
      <c r="SAM230" s="34"/>
      <c r="SAN230" s="35"/>
      <c r="SAO230" s="35"/>
      <c r="SAP230" s="32"/>
      <c r="SAQ230" s="31"/>
      <c r="SAR230" s="31"/>
      <c r="SAS230" s="31"/>
      <c r="SAT230" s="32"/>
      <c r="SAU230" s="32"/>
      <c r="SAV230" s="32"/>
      <c r="SAW230" s="32"/>
      <c r="SAX230" s="32"/>
      <c r="SAY230" s="31"/>
      <c r="SAZ230" s="31"/>
      <c r="SBA230" s="33"/>
      <c r="SBB230" s="33"/>
      <c r="SBC230" s="34"/>
      <c r="SBD230" s="34"/>
      <c r="SBE230" s="35"/>
      <c r="SBF230" s="35"/>
      <c r="SBG230" s="32"/>
      <c r="SBH230" s="31"/>
      <c r="SBI230" s="31"/>
      <c r="SBJ230" s="31"/>
      <c r="SBK230" s="32"/>
      <c r="SBL230" s="32"/>
      <c r="SBM230" s="32"/>
      <c r="SBN230" s="32"/>
      <c r="SBO230" s="32"/>
      <c r="SBP230" s="31"/>
      <c r="SBQ230" s="31"/>
      <c r="SBR230" s="33"/>
      <c r="SBS230" s="33"/>
      <c r="SBT230" s="34"/>
      <c r="SBU230" s="34"/>
      <c r="SBV230" s="35"/>
      <c r="SBW230" s="35"/>
      <c r="SBX230" s="32"/>
      <c r="SBY230" s="31"/>
      <c r="SBZ230" s="31"/>
      <c r="SCA230" s="31"/>
      <c r="SCB230" s="32"/>
      <c r="SCC230" s="32"/>
      <c r="SCD230" s="32"/>
      <c r="SCE230" s="32"/>
      <c r="SCF230" s="32"/>
      <c r="SCG230" s="31"/>
      <c r="SCH230" s="31"/>
      <c r="SCI230" s="33"/>
      <c r="SCJ230" s="33"/>
      <c r="SCK230" s="34"/>
      <c r="SCL230" s="34"/>
      <c r="SCM230" s="35"/>
      <c r="SCN230" s="35"/>
      <c r="SCO230" s="32"/>
      <c r="SCP230" s="31"/>
      <c r="SCQ230" s="31"/>
      <c r="SCR230" s="31"/>
      <c r="SCS230" s="32"/>
      <c r="SCT230" s="32"/>
      <c r="SCU230" s="32"/>
      <c r="SCV230" s="32"/>
      <c r="SCW230" s="32"/>
      <c r="SCX230" s="31"/>
      <c r="SCY230" s="31"/>
      <c r="SCZ230" s="33"/>
      <c r="SDA230" s="33"/>
      <c r="SDB230" s="34"/>
      <c r="SDC230" s="34"/>
      <c r="SDD230" s="35"/>
      <c r="SDE230" s="35"/>
      <c r="SDF230" s="32"/>
      <c r="SDG230" s="31"/>
      <c r="SDH230" s="31"/>
      <c r="SDI230" s="31"/>
      <c r="SDJ230" s="32"/>
      <c r="SDK230" s="32"/>
      <c r="SDL230" s="32"/>
      <c r="SDM230" s="32"/>
      <c r="SDN230" s="32"/>
      <c r="SDO230" s="31"/>
      <c r="SDP230" s="31"/>
      <c r="SDQ230" s="33"/>
      <c r="SDR230" s="33"/>
      <c r="SDS230" s="34"/>
      <c r="SDT230" s="34"/>
      <c r="SDU230" s="35"/>
      <c r="SDV230" s="35"/>
      <c r="SDW230" s="32"/>
      <c r="SDX230" s="31"/>
      <c r="SDY230" s="31"/>
      <c r="SDZ230" s="31"/>
      <c r="SEA230" s="32"/>
      <c r="SEB230" s="32"/>
      <c r="SEC230" s="32"/>
      <c r="SED230" s="32"/>
      <c r="SEE230" s="32"/>
      <c r="SEF230" s="31"/>
      <c r="SEG230" s="31"/>
      <c r="SEH230" s="33"/>
      <c r="SEI230" s="33"/>
      <c r="SEJ230" s="34"/>
      <c r="SEK230" s="34"/>
      <c r="SEL230" s="35"/>
      <c r="SEM230" s="35"/>
      <c r="SEN230" s="32"/>
      <c r="SEO230" s="31"/>
      <c r="SEP230" s="31"/>
      <c r="SEQ230" s="31"/>
      <c r="SER230" s="32"/>
      <c r="SES230" s="32"/>
      <c r="SET230" s="32"/>
      <c r="SEU230" s="32"/>
      <c r="SEV230" s="32"/>
      <c r="SEW230" s="31"/>
      <c r="SEX230" s="31"/>
      <c r="SEY230" s="33"/>
      <c r="SEZ230" s="33"/>
      <c r="SFA230" s="34"/>
      <c r="SFB230" s="34"/>
      <c r="SFC230" s="35"/>
      <c r="SFD230" s="35"/>
      <c r="SFE230" s="32"/>
      <c r="SFF230" s="31"/>
      <c r="SFG230" s="31"/>
      <c r="SFH230" s="31"/>
      <c r="SFI230" s="32"/>
      <c r="SFJ230" s="32"/>
      <c r="SFK230" s="32"/>
      <c r="SFL230" s="32"/>
      <c r="SFM230" s="32"/>
      <c r="SFN230" s="31"/>
      <c r="SFO230" s="31"/>
      <c r="SFP230" s="33"/>
      <c r="SFQ230" s="33"/>
      <c r="SFR230" s="34"/>
      <c r="SFS230" s="34"/>
      <c r="SFT230" s="35"/>
      <c r="SFU230" s="35"/>
      <c r="SFV230" s="32"/>
      <c r="SFW230" s="31"/>
      <c r="SFX230" s="31"/>
      <c r="SFY230" s="31"/>
      <c r="SFZ230" s="32"/>
      <c r="SGA230" s="32"/>
      <c r="SGB230" s="32"/>
      <c r="SGC230" s="32"/>
      <c r="SGD230" s="32"/>
      <c r="SGE230" s="31"/>
      <c r="SGF230" s="31"/>
      <c r="SGG230" s="33"/>
      <c r="SGH230" s="33"/>
      <c r="SGI230" s="34"/>
      <c r="SGJ230" s="34"/>
      <c r="SGK230" s="35"/>
      <c r="SGL230" s="35"/>
      <c r="SGM230" s="32"/>
      <c r="SGN230" s="31"/>
      <c r="SGO230" s="31"/>
      <c r="SGP230" s="31"/>
      <c r="SGQ230" s="32"/>
      <c r="SGR230" s="32"/>
      <c r="SGS230" s="32"/>
      <c r="SGT230" s="32"/>
      <c r="SGU230" s="32"/>
      <c r="SGV230" s="31"/>
      <c r="SGW230" s="31"/>
      <c r="SGX230" s="33"/>
      <c r="SGY230" s="33"/>
      <c r="SGZ230" s="34"/>
      <c r="SHA230" s="34"/>
      <c r="SHB230" s="35"/>
      <c r="SHC230" s="35"/>
      <c r="SHD230" s="32"/>
      <c r="SHE230" s="31"/>
      <c r="SHF230" s="31"/>
      <c r="SHG230" s="31"/>
      <c r="SHH230" s="32"/>
      <c r="SHI230" s="32"/>
      <c r="SHJ230" s="32"/>
      <c r="SHK230" s="32"/>
      <c r="SHL230" s="32"/>
      <c r="SHM230" s="31"/>
      <c r="SHN230" s="31"/>
      <c r="SHO230" s="33"/>
      <c r="SHP230" s="33"/>
      <c r="SHQ230" s="34"/>
      <c r="SHR230" s="34"/>
      <c r="SHS230" s="35"/>
      <c r="SHT230" s="35"/>
      <c r="SHU230" s="32"/>
      <c r="SHV230" s="31"/>
      <c r="SHW230" s="31"/>
      <c r="SHX230" s="31"/>
      <c r="SHY230" s="32"/>
      <c r="SHZ230" s="32"/>
      <c r="SIA230" s="32"/>
      <c r="SIB230" s="32"/>
      <c r="SIC230" s="32"/>
      <c r="SID230" s="31"/>
      <c r="SIE230" s="31"/>
      <c r="SIF230" s="33"/>
      <c r="SIG230" s="33"/>
      <c r="SIH230" s="34"/>
      <c r="SII230" s="34"/>
      <c r="SIJ230" s="35"/>
      <c r="SIK230" s="35"/>
      <c r="SIL230" s="32"/>
      <c r="SIM230" s="31"/>
      <c r="SIN230" s="31"/>
      <c r="SIO230" s="31"/>
      <c r="SIP230" s="32"/>
      <c r="SIQ230" s="32"/>
      <c r="SIR230" s="32"/>
      <c r="SIS230" s="32"/>
      <c r="SIT230" s="32"/>
      <c r="SIU230" s="31"/>
      <c r="SIV230" s="31"/>
      <c r="SIW230" s="33"/>
      <c r="SIX230" s="33"/>
      <c r="SIY230" s="34"/>
      <c r="SIZ230" s="34"/>
      <c r="SJA230" s="35"/>
      <c r="SJB230" s="35"/>
      <c r="SJC230" s="32"/>
      <c r="SJD230" s="31"/>
      <c r="SJE230" s="31"/>
      <c r="SJF230" s="31"/>
      <c r="SJG230" s="32"/>
      <c r="SJH230" s="32"/>
      <c r="SJI230" s="32"/>
      <c r="SJJ230" s="32"/>
      <c r="SJK230" s="32"/>
      <c r="SJL230" s="31"/>
      <c r="SJM230" s="31"/>
      <c r="SJN230" s="33"/>
      <c r="SJO230" s="33"/>
      <c r="SJP230" s="34"/>
      <c r="SJQ230" s="34"/>
      <c r="SJR230" s="35"/>
      <c r="SJS230" s="35"/>
      <c r="SJT230" s="32"/>
      <c r="SJU230" s="31"/>
      <c r="SJV230" s="31"/>
      <c r="SJW230" s="31"/>
      <c r="SJX230" s="32"/>
      <c r="SJY230" s="32"/>
      <c r="SJZ230" s="32"/>
      <c r="SKA230" s="32"/>
      <c r="SKB230" s="32"/>
      <c r="SKC230" s="31"/>
      <c r="SKD230" s="31"/>
      <c r="SKE230" s="33"/>
      <c r="SKF230" s="33"/>
      <c r="SKG230" s="34"/>
      <c r="SKH230" s="34"/>
      <c r="SKI230" s="35"/>
      <c r="SKJ230" s="35"/>
      <c r="SKK230" s="32"/>
      <c r="SKL230" s="31"/>
      <c r="SKM230" s="31"/>
      <c r="SKN230" s="31"/>
      <c r="SKO230" s="32"/>
      <c r="SKP230" s="32"/>
      <c r="SKQ230" s="32"/>
      <c r="SKR230" s="32"/>
      <c r="SKS230" s="32"/>
      <c r="SKT230" s="31"/>
      <c r="SKU230" s="31"/>
      <c r="SKV230" s="33"/>
      <c r="SKW230" s="33"/>
      <c r="SKX230" s="34"/>
      <c r="SKY230" s="34"/>
      <c r="SKZ230" s="35"/>
      <c r="SLA230" s="35"/>
      <c r="SLB230" s="32"/>
      <c r="SLC230" s="31"/>
      <c r="SLD230" s="31"/>
      <c r="SLE230" s="31"/>
      <c r="SLF230" s="32"/>
      <c r="SLG230" s="32"/>
      <c r="SLH230" s="32"/>
      <c r="SLI230" s="32"/>
      <c r="SLJ230" s="32"/>
      <c r="SLK230" s="31"/>
      <c r="SLL230" s="31"/>
      <c r="SLM230" s="33"/>
      <c r="SLN230" s="33"/>
      <c r="SLO230" s="34"/>
      <c r="SLP230" s="34"/>
      <c r="SLQ230" s="35"/>
      <c r="SLR230" s="35"/>
      <c r="SLS230" s="32"/>
      <c r="SLT230" s="31"/>
      <c r="SLU230" s="31"/>
      <c r="SLV230" s="31"/>
      <c r="SLW230" s="32"/>
      <c r="SLX230" s="32"/>
      <c r="SLY230" s="32"/>
      <c r="SLZ230" s="32"/>
      <c r="SMA230" s="32"/>
      <c r="SMB230" s="31"/>
      <c r="SMC230" s="31"/>
      <c r="SMD230" s="33"/>
      <c r="SME230" s="33"/>
      <c r="SMF230" s="34"/>
      <c r="SMG230" s="34"/>
      <c r="SMH230" s="35"/>
      <c r="SMI230" s="35"/>
      <c r="SMJ230" s="32"/>
      <c r="SMK230" s="31"/>
      <c r="SML230" s="31"/>
      <c r="SMM230" s="31"/>
      <c r="SMN230" s="32"/>
      <c r="SMO230" s="32"/>
      <c r="SMP230" s="32"/>
      <c r="SMQ230" s="32"/>
      <c r="SMR230" s="32"/>
      <c r="SMS230" s="31"/>
      <c r="SMT230" s="31"/>
      <c r="SMU230" s="33"/>
      <c r="SMV230" s="33"/>
      <c r="SMW230" s="34"/>
      <c r="SMX230" s="34"/>
      <c r="SMY230" s="35"/>
      <c r="SMZ230" s="35"/>
      <c r="SNA230" s="32"/>
      <c r="SNB230" s="31"/>
      <c r="SNC230" s="31"/>
      <c r="SND230" s="31"/>
      <c r="SNE230" s="32"/>
      <c r="SNF230" s="32"/>
      <c r="SNG230" s="32"/>
      <c r="SNH230" s="32"/>
      <c r="SNI230" s="32"/>
      <c r="SNJ230" s="31"/>
      <c r="SNK230" s="31"/>
      <c r="SNL230" s="33"/>
      <c r="SNM230" s="33"/>
      <c r="SNN230" s="34"/>
      <c r="SNO230" s="34"/>
      <c r="SNP230" s="35"/>
      <c r="SNQ230" s="35"/>
      <c r="SNR230" s="32"/>
      <c r="SNS230" s="31"/>
      <c r="SNT230" s="31"/>
      <c r="SNU230" s="31"/>
      <c r="SNV230" s="32"/>
      <c r="SNW230" s="32"/>
      <c r="SNX230" s="32"/>
      <c r="SNY230" s="32"/>
      <c r="SNZ230" s="32"/>
      <c r="SOA230" s="31"/>
      <c r="SOB230" s="31"/>
      <c r="SOC230" s="33"/>
      <c r="SOD230" s="33"/>
      <c r="SOE230" s="34"/>
      <c r="SOF230" s="34"/>
      <c r="SOG230" s="35"/>
      <c r="SOH230" s="35"/>
      <c r="SOI230" s="32"/>
      <c r="SOJ230" s="31"/>
      <c r="SOK230" s="31"/>
      <c r="SOL230" s="31"/>
      <c r="SOM230" s="32"/>
      <c r="SON230" s="32"/>
      <c r="SOO230" s="32"/>
      <c r="SOP230" s="32"/>
      <c r="SOQ230" s="32"/>
      <c r="SOR230" s="31"/>
      <c r="SOS230" s="31"/>
      <c r="SOT230" s="33"/>
      <c r="SOU230" s="33"/>
      <c r="SOV230" s="34"/>
      <c r="SOW230" s="34"/>
      <c r="SOX230" s="35"/>
      <c r="SOY230" s="35"/>
      <c r="SOZ230" s="32"/>
      <c r="SPA230" s="31"/>
      <c r="SPB230" s="31"/>
      <c r="SPC230" s="31"/>
      <c r="SPD230" s="32"/>
      <c r="SPE230" s="32"/>
      <c r="SPF230" s="32"/>
      <c r="SPG230" s="32"/>
      <c r="SPH230" s="32"/>
      <c r="SPI230" s="31"/>
      <c r="SPJ230" s="31"/>
      <c r="SPK230" s="33"/>
      <c r="SPL230" s="33"/>
      <c r="SPM230" s="34"/>
      <c r="SPN230" s="34"/>
      <c r="SPO230" s="35"/>
      <c r="SPP230" s="35"/>
      <c r="SPQ230" s="32"/>
      <c r="SPR230" s="31"/>
      <c r="SPS230" s="31"/>
      <c r="SPT230" s="31"/>
      <c r="SPU230" s="32"/>
      <c r="SPV230" s="32"/>
      <c r="SPW230" s="32"/>
      <c r="SPX230" s="32"/>
      <c r="SPY230" s="32"/>
      <c r="SPZ230" s="31"/>
      <c r="SQA230" s="31"/>
      <c r="SQB230" s="33"/>
      <c r="SQC230" s="33"/>
      <c r="SQD230" s="34"/>
      <c r="SQE230" s="34"/>
      <c r="SQF230" s="35"/>
      <c r="SQG230" s="35"/>
      <c r="SQH230" s="32"/>
      <c r="SQI230" s="31"/>
      <c r="SQJ230" s="31"/>
      <c r="SQK230" s="31"/>
      <c r="SQL230" s="32"/>
      <c r="SQM230" s="32"/>
      <c r="SQN230" s="32"/>
      <c r="SQO230" s="32"/>
      <c r="SQP230" s="32"/>
      <c r="SQQ230" s="31"/>
      <c r="SQR230" s="31"/>
      <c r="SQS230" s="33"/>
      <c r="SQT230" s="33"/>
      <c r="SQU230" s="34"/>
      <c r="SQV230" s="34"/>
      <c r="SQW230" s="35"/>
      <c r="SQX230" s="35"/>
      <c r="SQY230" s="32"/>
      <c r="SQZ230" s="31"/>
      <c r="SRA230" s="31"/>
      <c r="SRB230" s="31"/>
      <c r="SRC230" s="32"/>
      <c r="SRD230" s="32"/>
      <c r="SRE230" s="32"/>
      <c r="SRF230" s="32"/>
      <c r="SRG230" s="32"/>
      <c r="SRH230" s="31"/>
      <c r="SRI230" s="31"/>
      <c r="SRJ230" s="33"/>
      <c r="SRK230" s="33"/>
      <c r="SRL230" s="34"/>
      <c r="SRM230" s="34"/>
      <c r="SRN230" s="35"/>
      <c r="SRO230" s="35"/>
      <c r="SRP230" s="32"/>
      <c r="SRQ230" s="31"/>
      <c r="SRR230" s="31"/>
      <c r="SRS230" s="31"/>
      <c r="SRT230" s="32"/>
      <c r="SRU230" s="32"/>
      <c r="SRV230" s="32"/>
      <c r="SRW230" s="32"/>
      <c r="SRX230" s="32"/>
      <c r="SRY230" s="31"/>
      <c r="SRZ230" s="31"/>
      <c r="SSA230" s="33"/>
      <c r="SSB230" s="33"/>
      <c r="SSC230" s="34"/>
      <c r="SSD230" s="34"/>
      <c r="SSE230" s="35"/>
      <c r="SSF230" s="35"/>
      <c r="SSG230" s="32"/>
      <c r="SSH230" s="31"/>
      <c r="SSI230" s="31"/>
      <c r="SSJ230" s="31"/>
      <c r="SSK230" s="32"/>
      <c r="SSL230" s="32"/>
      <c r="SSM230" s="32"/>
      <c r="SSN230" s="32"/>
      <c r="SSO230" s="32"/>
      <c r="SSP230" s="31"/>
      <c r="SSQ230" s="31"/>
      <c r="SSR230" s="33"/>
      <c r="SSS230" s="33"/>
      <c r="SST230" s="34"/>
      <c r="SSU230" s="34"/>
      <c r="SSV230" s="35"/>
      <c r="SSW230" s="35"/>
      <c r="SSX230" s="32"/>
      <c r="SSY230" s="31"/>
      <c r="SSZ230" s="31"/>
      <c r="STA230" s="31"/>
      <c r="STB230" s="32"/>
      <c r="STC230" s="32"/>
      <c r="STD230" s="32"/>
      <c r="STE230" s="32"/>
      <c r="STF230" s="32"/>
      <c r="STG230" s="31"/>
      <c r="STH230" s="31"/>
      <c r="STI230" s="33"/>
      <c r="STJ230" s="33"/>
      <c r="STK230" s="34"/>
      <c r="STL230" s="34"/>
      <c r="STM230" s="35"/>
      <c r="STN230" s="35"/>
      <c r="STO230" s="32"/>
      <c r="STP230" s="31"/>
      <c r="STQ230" s="31"/>
      <c r="STR230" s="31"/>
      <c r="STS230" s="32"/>
      <c r="STT230" s="32"/>
      <c r="STU230" s="32"/>
      <c r="STV230" s="32"/>
      <c r="STW230" s="32"/>
      <c r="STX230" s="31"/>
      <c r="STY230" s="31"/>
      <c r="STZ230" s="33"/>
      <c r="SUA230" s="33"/>
      <c r="SUB230" s="34"/>
      <c r="SUC230" s="34"/>
      <c r="SUD230" s="35"/>
      <c r="SUE230" s="35"/>
      <c r="SUF230" s="32"/>
      <c r="SUG230" s="31"/>
      <c r="SUH230" s="31"/>
      <c r="SUI230" s="31"/>
      <c r="SUJ230" s="32"/>
      <c r="SUK230" s="32"/>
      <c r="SUL230" s="32"/>
      <c r="SUM230" s="32"/>
      <c r="SUN230" s="32"/>
      <c r="SUO230" s="31"/>
      <c r="SUP230" s="31"/>
      <c r="SUQ230" s="33"/>
      <c r="SUR230" s="33"/>
      <c r="SUS230" s="34"/>
      <c r="SUT230" s="34"/>
      <c r="SUU230" s="35"/>
      <c r="SUV230" s="35"/>
      <c r="SUW230" s="32"/>
      <c r="SUX230" s="31"/>
      <c r="SUY230" s="31"/>
      <c r="SUZ230" s="31"/>
      <c r="SVA230" s="32"/>
      <c r="SVB230" s="32"/>
      <c r="SVC230" s="32"/>
      <c r="SVD230" s="32"/>
      <c r="SVE230" s="32"/>
      <c r="SVF230" s="31"/>
      <c r="SVG230" s="31"/>
      <c r="SVH230" s="33"/>
      <c r="SVI230" s="33"/>
      <c r="SVJ230" s="34"/>
      <c r="SVK230" s="34"/>
      <c r="SVL230" s="35"/>
      <c r="SVM230" s="35"/>
      <c r="SVN230" s="32"/>
      <c r="SVO230" s="31"/>
      <c r="SVP230" s="31"/>
      <c r="SVQ230" s="31"/>
      <c r="SVR230" s="32"/>
      <c r="SVS230" s="32"/>
      <c r="SVT230" s="32"/>
      <c r="SVU230" s="32"/>
      <c r="SVV230" s="32"/>
      <c r="SVW230" s="31"/>
      <c r="SVX230" s="31"/>
      <c r="SVY230" s="33"/>
      <c r="SVZ230" s="33"/>
      <c r="SWA230" s="34"/>
      <c r="SWB230" s="34"/>
      <c r="SWC230" s="35"/>
      <c r="SWD230" s="35"/>
      <c r="SWE230" s="32"/>
      <c r="SWF230" s="31"/>
      <c r="SWG230" s="31"/>
      <c r="SWH230" s="31"/>
      <c r="SWI230" s="32"/>
      <c r="SWJ230" s="32"/>
      <c r="SWK230" s="32"/>
      <c r="SWL230" s="32"/>
      <c r="SWM230" s="32"/>
      <c r="SWN230" s="31"/>
      <c r="SWO230" s="31"/>
      <c r="SWP230" s="33"/>
      <c r="SWQ230" s="33"/>
      <c r="SWR230" s="34"/>
      <c r="SWS230" s="34"/>
      <c r="SWT230" s="35"/>
      <c r="SWU230" s="35"/>
      <c r="SWV230" s="32"/>
      <c r="SWW230" s="31"/>
      <c r="SWX230" s="31"/>
      <c r="SWY230" s="31"/>
      <c r="SWZ230" s="32"/>
      <c r="SXA230" s="32"/>
      <c r="SXB230" s="32"/>
      <c r="SXC230" s="32"/>
      <c r="SXD230" s="32"/>
      <c r="SXE230" s="31"/>
      <c r="SXF230" s="31"/>
      <c r="SXG230" s="33"/>
      <c r="SXH230" s="33"/>
      <c r="SXI230" s="34"/>
      <c r="SXJ230" s="34"/>
      <c r="SXK230" s="35"/>
      <c r="SXL230" s="35"/>
      <c r="SXM230" s="32"/>
      <c r="SXN230" s="31"/>
      <c r="SXO230" s="31"/>
      <c r="SXP230" s="31"/>
      <c r="SXQ230" s="32"/>
      <c r="SXR230" s="32"/>
      <c r="SXS230" s="32"/>
      <c r="SXT230" s="32"/>
      <c r="SXU230" s="32"/>
      <c r="SXV230" s="31"/>
      <c r="SXW230" s="31"/>
      <c r="SXX230" s="33"/>
      <c r="SXY230" s="33"/>
      <c r="SXZ230" s="34"/>
      <c r="SYA230" s="34"/>
      <c r="SYB230" s="35"/>
      <c r="SYC230" s="35"/>
      <c r="SYD230" s="32"/>
      <c r="SYE230" s="31"/>
      <c r="SYF230" s="31"/>
      <c r="SYG230" s="31"/>
      <c r="SYH230" s="32"/>
      <c r="SYI230" s="32"/>
      <c r="SYJ230" s="32"/>
      <c r="SYK230" s="32"/>
      <c r="SYL230" s="32"/>
      <c r="SYM230" s="31"/>
      <c r="SYN230" s="31"/>
      <c r="SYO230" s="33"/>
      <c r="SYP230" s="33"/>
      <c r="SYQ230" s="34"/>
      <c r="SYR230" s="34"/>
      <c r="SYS230" s="35"/>
      <c r="SYT230" s="35"/>
      <c r="SYU230" s="32"/>
      <c r="SYV230" s="31"/>
      <c r="SYW230" s="31"/>
      <c r="SYX230" s="31"/>
      <c r="SYY230" s="32"/>
      <c r="SYZ230" s="32"/>
      <c r="SZA230" s="32"/>
      <c r="SZB230" s="32"/>
      <c r="SZC230" s="32"/>
      <c r="SZD230" s="31"/>
      <c r="SZE230" s="31"/>
      <c r="SZF230" s="33"/>
      <c r="SZG230" s="33"/>
      <c r="SZH230" s="34"/>
      <c r="SZI230" s="34"/>
      <c r="SZJ230" s="35"/>
      <c r="SZK230" s="35"/>
      <c r="SZL230" s="32"/>
      <c r="SZM230" s="31"/>
      <c r="SZN230" s="31"/>
      <c r="SZO230" s="31"/>
      <c r="SZP230" s="32"/>
      <c r="SZQ230" s="32"/>
      <c r="SZR230" s="32"/>
      <c r="SZS230" s="32"/>
      <c r="SZT230" s="32"/>
      <c r="SZU230" s="31"/>
      <c r="SZV230" s="31"/>
      <c r="SZW230" s="33"/>
      <c r="SZX230" s="33"/>
      <c r="SZY230" s="34"/>
      <c r="SZZ230" s="34"/>
      <c r="TAA230" s="35"/>
      <c r="TAB230" s="35"/>
      <c r="TAC230" s="32"/>
      <c r="TAD230" s="31"/>
      <c r="TAE230" s="31"/>
      <c r="TAF230" s="31"/>
      <c r="TAG230" s="32"/>
      <c r="TAH230" s="32"/>
      <c r="TAI230" s="32"/>
      <c r="TAJ230" s="32"/>
      <c r="TAK230" s="32"/>
      <c r="TAL230" s="31"/>
      <c r="TAM230" s="31"/>
      <c r="TAN230" s="33"/>
      <c r="TAO230" s="33"/>
      <c r="TAP230" s="34"/>
      <c r="TAQ230" s="34"/>
      <c r="TAR230" s="35"/>
      <c r="TAS230" s="35"/>
      <c r="TAT230" s="32"/>
      <c r="TAU230" s="31"/>
      <c r="TAV230" s="31"/>
      <c r="TAW230" s="31"/>
      <c r="TAX230" s="32"/>
      <c r="TAY230" s="32"/>
      <c r="TAZ230" s="32"/>
      <c r="TBA230" s="32"/>
      <c r="TBB230" s="32"/>
      <c r="TBC230" s="31"/>
      <c r="TBD230" s="31"/>
      <c r="TBE230" s="33"/>
      <c r="TBF230" s="33"/>
      <c r="TBG230" s="34"/>
      <c r="TBH230" s="34"/>
      <c r="TBI230" s="35"/>
      <c r="TBJ230" s="35"/>
      <c r="TBK230" s="32"/>
      <c r="TBL230" s="31"/>
      <c r="TBM230" s="31"/>
      <c r="TBN230" s="31"/>
      <c r="TBO230" s="32"/>
      <c r="TBP230" s="32"/>
      <c r="TBQ230" s="32"/>
      <c r="TBR230" s="32"/>
      <c r="TBS230" s="32"/>
      <c r="TBT230" s="31"/>
      <c r="TBU230" s="31"/>
      <c r="TBV230" s="33"/>
      <c r="TBW230" s="33"/>
      <c r="TBX230" s="34"/>
      <c r="TBY230" s="34"/>
      <c r="TBZ230" s="35"/>
      <c r="TCA230" s="35"/>
      <c r="TCB230" s="32"/>
      <c r="TCC230" s="31"/>
      <c r="TCD230" s="31"/>
      <c r="TCE230" s="31"/>
      <c r="TCF230" s="32"/>
      <c r="TCG230" s="32"/>
      <c r="TCH230" s="32"/>
      <c r="TCI230" s="32"/>
      <c r="TCJ230" s="32"/>
      <c r="TCK230" s="31"/>
      <c r="TCL230" s="31"/>
      <c r="TCM230" s="33"/>
      <c r="TCN230" s="33"/>
      <c r="TCO230" s="34"/>
      <c r="TCP230" s="34"/>
      <c r="TCQ230" s="35"/>
      <c r="TCR230" s="35"/>
      <c r="TCS230" s="32"/>
      <c r="TCT230" s="31"/>
      <c r="TCU230" s="31"/>
      <c r="TCV230" s="31"/>
      <c r="TCW230" s="32"/>
      <c r="TCX230" s="32"/>
      <c r="TCY230" s="32"/>
      <c r="TCZ230" s="32"/>
      <c r="TDA230" s="32"/>
      <c r="TDB230" s="31"/>
      <c r="TDC230" s="31"/>
      <c r="TDD230" s="33"/>
      <c r="TDE230" s="33"/>
      <c r="TDF230" s="34"/>
      <c r="TDG230" s="34"/>
      <c r="TDH230" s="35"/>
      <c r="TDI230" s="35"/>
      <c r="TDJ230" s="32"/>
      <c r="TDK230" s="31"/>
      <c r="TDL230" s="31"/>
      <c r="TDM230" s="31"/>
      <c r="TDN230" s="32"/>
      <c r="TDO230" s="32"/>
      <c r="TDP230" s="32"/>
      <c r="TDQ230" s="32"/>
      <c r="TDR230" s="32"/>
      <c r="TDS230" s="31"/>
      <c r="TDT230" s="31"/>
      <c r="TDU230" s="33"/>
      <c r="TDV230" s="33"/>
      <c r="TDW230" s="34"/>
      <c r="TDX230" s="34"/>
      <c r="TDY230" s="35"/>
      <c r="TDZ230" s="35"/>
      <c r="TEA230" s="32"/>
      <c r="TEB230" s="31"/>
      <c r="TEC230" s="31"/>
      <c r="TED230" s="31"/>
      <c r="TEE230" s="32"/>
      <c r="TEF230" s="32"/>
      <c r="TEG230" s="32"/>
      <c r="TEH230" s="32"/>
      <c r="TEI230" s="32"/>
      <c r="TEJ230" s="31"/>
      <c r="TEK230" s="31"/>
      <c r="TEL230" s="33"/>
      <c r="TEM230" s="33"/>
      <c r="TEN230" s="34"/>
      <c r="TEO230" s="34"/>
      <c r="TEP230" s="35"/>
      <c r="TEQ230" s="35"/>
      <c r="TER230" s="32"/>
      <c r="TES230" s="31"/>
      <c r="TET230" s="31"/>
      <c r="TEU230" s="31"/>
      <c r="TEV230" s="32"/>
      <c r="TEW230" s="32"/>
      <c r="TEX230" s="32"/>
      <c r="TEY230" s="32"/>
      <c r="TEZ230" s="32"/>
      <c r="TFA230" s="31"/>
      <c r="TFB230" s="31"/>
      <c r="TFC230" s="33"/>
      <c r="TFD230" s="33"/>
      <c r="TFE230" s="34"/>
      <c r="TFF230" s="34"/>
      <c r="TFG230" s="35"/>
      <c r="TFH230" s="35"/>
      <c r="TFI230" s="32"/>
      <c r="TFJ230" s="31"/>
      <c r="TFK230" s="31"/>
      <c r="TFL230" s="31"/>
      <c r="TFM230" s="32"/>
      <c r="TFN230" s="32"/>
      <c r="TFO230" s="32"/>
      <c r="TFP230" s="32"/>
      <c r="TFQ230" s="32"/>
      <c r="TFR230" s="31"/>
      <c r="TFS230" s="31"/>
      <c r="TFT230" s="33"/>
      <c r="TFU230" s="33"/>
      <c r="TFV230" s="34"/>
      <c r="TFW230" s="34"/>
      <c r="TFX230" s="35"/>
      <c r="TFY230" s="35"/>
      <c r="TFZ230" s="32"/>
      <c r="TGA230" s="31"/>
      <c r="TGB230" s="31"/>
      <c r="TGC230" s="31"/>
      <c r="TGD230" s="32"/>
      <c r="TGE230" s="32"/>
      <c r="TGF230" s="32"/>
      <c r="TGG230" s="32"/>
      <c r="TGH230" s="32"/>
      <c r="TGI230" s="31"/>
      <c r="TGJ230" s="31"/>
      <c r="TGK230" s="33"/>
      <c r="TGL230" s="33"/>
      <c r="TGM230" s="34"/>
      <c r="TGN230" s="34"/>
      <c r="TGO230" s="35"/>
      <c r="TGP230" s="35"/>
      <c r="TGQ230" s="32"/>
      <c r="TGR230" s="31"/>
      <c r="TGS230" s="31"/>
      <c r="TGT230" s="31"/>
      <c r="TGU230" s="32"/>
      <c r="TGV230" s="32"/>
      <c r="TGW230" s="32"/>
      <c r="TGX230" s="32"/>
      <c r="TGY230" s="32"/>
      <c r="TGZ230" s="31"/>
      <c r="THA230" s="31"/>
      <c r="THB230" s="33"/>
      <c r="THC230" s="33"/>
      <c r="THD230" s="34"/>
      <c r="THE230" s="34"/>
      <c r="THF230" s="35"/>
      <c r="THG230" s="35"/>
      <c r="THH230" s="32"/>
      <c r="THI230" s="31"/>
      <c r="THJ230" s="31"/>
      <c r="THK230" s="31"/>
      <c r="THL230" s="32"/>
      <c r="THM230" s="32"/>
      <c r="THN230" s="32"/>
      <c r="THO230" s="32"/>
      <c r="THP230" s="32"/>
      <c r="THQ230" s="31"/>
      <c r="THR230" s="31"/>
      <c r="THS230" s="33"/>
      <c r="THT230" s="33"/>
      <c r="THU230" s="34"/>
      <c r="THV230" s="34"/>
      <c r="THW230" s="35"/>
      <c r="THX230" s="35"/>
      <c r="THY230" s="32"/>
      <c r="THZ230" s="31"/>
      <c r="TIA230" s="31"/>
      <c r="TIB230" s="31"/>
      <c r="TIC230" s="32"/>
      <c r="TID230" s="32"/>
      <c r="TIE230" s="32"/>
      <c r="TIF230" s="32"/>
      <c r="TIG230" s="32"/>
      <c r="TIH230" s="31"/>
      <c r="TII230" s="31"/>
      <c r="TIJ230" s="33"/>
      <c r="TIK230" s="33"/>
      <c r="TIL230" s="34"/>
      <c r="TIM230" s="34"/>
      <c r="TIN230" s="35"/>
      <c r="TIO230" s="35"/>
      <c r="TIP230" s="32"/>
      <c r="TIQ230" s="31"/>
      <c r="TIR230" s="31"/>
      <c r="TIS230" s="31"/>
      <c r="TIT230" s="32"/>
      <c r="TIU230" s="32"/>
      <c r="TIV230" s="32"/>
      <c r="TIW230" s="32"/>
      <c r="TIX230" s="32"/>
      <c r="TIY230" s="31"/>
      <c r="TIZ230" s="31"/>
      <c r="TJA230" s="33"/>
      <c r="TJB230" s="33"/>
      <c r="TJC230" s="34"/>
      <c r="TJD230" s="34"/>
      <c r="TJE230" s="35"/>
      <c r="TJF230" s="35"/>
      <c r="TJG230" s="32"/>
      <c r="TJH230" s="31"/>
      <c r="TJI230" s="31"/>
      <c r="TJJ230" s="31"/>
      <c r="TJK230" s="32"/>
      <c r="TJL230" s="32"/>
      <c r="TJM230" s="32"/>
      <c r="TJN230" s="32"/>
      <c r="TJO230" s="32"/>
      <c r="TJP230" s="31"/>
      <c r="TJQ230" s="31"/>
      <c r="TJR230" s="33"/>
      <c r="TJS230" s="33"/>
      <c r="TJT230" s="34"/>
      <c r="TJU230" s="34"/>
      <c r="TJV230" s="35"/>
      <c r="TJW230" s="35"/>
      <c r="TJX230" s="32"/>
      <c r="TJY230" s="31"/>
      <c r="TJZ230" s="31"/>
      <c r="TKA230" s="31"/>
      <c r="TKB230" s="32"/>
      <c r="TKC230" s="32"/>
      <c r="TKD230" s="32"/>
      <c r="TKE230" s="32"/>
      <c r="TKF230" s="32"/>
      <c r="TKG230" s="31"/>
      <c r="TKH230" s="31"/>
      <c r="TKI230" s="33"/>
      <c r="TKJ230" s="33"/>
      <c r="TKK230" s="34"/>
      <c r="TKL230" s="34"/>
      <c r="TKM230" s="35"/>
      <c r="TKN230" s="35"/>
      <c r="TKO230" s="32"/>
      <c r="TKP230" s="31"/>
      <c r="TKQ230" s="31"/>
      <c r="TKR230" s="31"/>
      <c r="TKS230" s="32"/>
      <c r="TKT230" s="32"/>
      <c r="TKU230" s="32"/>
      <c r="TKV230" s="32"/>
      <c r="TKW230" s="32"/>
      <c r="TKX230" s="31"/>
      <c r="TKY230" s="31"/>
      <c r="TKZ230" s="33"/>
      <c r="TLA230" s="33"/>
      <c r="TLB230" s="34"/>
      <c r="TLC230" s="34"/>
      <c r="TLD230" s="35"/>
      <c r="TLE230" s="35"/>
      <c r="TLF230" s="32"/>
      <c r="TLG230" s="31"/>
      <c r="TLH230" s="31"/>
      <c r="TLI230" s="31"/>
      <c r="TLJ230" s="32"/>
      <c r="TLK230" s="32"/>
      <c r="TLL230" s="32"/>
      <c r="TLM230" s="32"/>
      <c r="TLN230" s="32"/>
      <c r="TLO230" s="31"/>
      <c r="TLP230" s="31"/>
      <c r="TLQ230" s="33"/>
      <c r="TLR230" s="33"/>
      <c r="TLS230" s="34"/>
      <c r="TLT230" s="34"/>
      <c r="TLU230" s="35"/>
      <c r="TLV230" s="35"/>
      <c r="TLW230" s="32"/>
      <c r="TLX230" s="31"/>
      <c r="TLY230" s="31"/>
      <c r="TLZ230" s="31"/>
      <c r="TMA230" s="32"/>
      <c r="TMB230" s="32"/>
      <c r="TMC230" s="32"/>
      <c r="TMD230" s="32"/>
      <c r="TME230" s="32"/>
      <c r="TMF230" s="31"/>
      <c r="TMG230" s="31"/>
      <c r="TMH230" s="33"/>
      <c r="TMI230" s="33"/>
      <c r="TMJ230" s="34"/>
      <c r="TMK230" s="34"/>
      <c r="TML230" s="35"/>
      <c r="TMM230" s="35"/>
      <c r="TMN230" s="32"/>
      <c r="TMO230" s="31"/>
      <c r="TMP230" s="31"/>
      <c r="TMQ230" s="31"/>
      <c r="TMR230" s="32"/>
      <c r="TMS230" s="32"/>
      <c r="TMT230" s="32"/>
      <c r="TMU230" s="32"/>
      <c r="TMV230" s="32"/>
      <c r="TMW230" s="31"/>
      <c r="TMX230" s="31"/>
      <c r="TMY230" s="33"/>
      <c r="TMZ230" s="33"/>
      <c r="TNA230" s="34"/>
      <c r="TNB230" s="34"/>
      <c r="TNC230" s="35"/>
      <c r="TND230" s="35"/>
      <c r="TNE230" s="32"/>
      <c r="TNF230" s="31"/>
      <c r="TNG230" s="31"/>
      <c r="TNH230" s="31"/>
      <c r="TNI230" s="32"/>
      <c r="TNJ230" s="32"/>
      <c r="TNK230" s="32"/>
      <c r="TNL230" s="32"/>
      <c r="TNM230" s="32"/>
      <c r="TNN230" s="31"/>
      <c r="TNO230" s="31"/>
      <c r="TNP230" s="33"/>
      <c r="TNQ230" s="33"/>
      <c r="TNR230" s="34"/>
      <c r="TNS230" s="34"/>
      <c r="TNT230" s="35"/>
      <c r="TNU230" s="35"/>
      <c r="TNV230" s="32"/>
      <c r="TNW230" s="31"/>
      <c r="TNX230" s="31"/>
      <c r="TNY230" s="31"/>
      <c r="TNZ230" s="32"/>
      <c r="TOA230" s="32"/>
      <c r="TOB230" s="32"/>
      <c r="TOC230" s="32"/>
      <c r="TOD230" s="32"/>
      <c r="TOE230" s="31"/>
      <c r="TOF230" s="31"/>
      <c r="TOG230" s="33"/>
      <c r="TOH230" s="33"/>
      <c r="TOI230" s="34"/>
      <c r="TOJ230" s="34"/>
      <c r="TOK230" s="35"/>
      <c r="TOL230" s="35"/>
      <c r="TOM230" s="32"/>
      <c r="TON230" s="31"/>
      <c r="TOO230" s="31"/>
      <c r="TOP230" s="31"/>
      <c r="TOQ230" s="32"/>
      <c r="TOR230" s="32"/>
      <c r="TOS230" s="32"/>
      <c r="TOT230" s="32"/>
      <c r="TOU230" s="32"/>
      <c r="TOV230" s="31"/>
      <c r="TOW230" s="31"/>
      <c r="TOX230" s="33"/>
      <c r="TOY230" s="33"/>
      <c r="TOZ230" s="34"/>
      <c r="TPA230" s="34"/>
      <c r="TPB230" s="35"/>
      <c r="TPC230" s="35"/>
      <c r="TPD230" s="32"/>
      <c r="TPE230" s="31"/>
      <c r="TPF230" s="31"/>
      <c r="TPG230" s="31"/>
      <c r="TPH230" s="32"/>
      <c r="TPI230" s="32"/>
      <c r="TPJ230" s="32"/>
      <c r="TPK230" s="32"/>
      <c r="TPL230" s="32"/>
      <c r="TPM230" s="31"/>
      <c r="TPN230" s="31"/>
      <c r="TPO230" s="33"/>
      <c r="TPP230" s="33"/>
      <c r="TPQ230" s="34"/>
      <c r="TPR230" s="34"/>
      <c r="TPS230" s="35"/>
      <c r="TPT230" s="35"/>
      <c r="TPU230" s="32"/>
      <c r="TPV230" s="31"/>
      <c r="TPW230" s="31"/>
      <c r="TPX230" s="31"/>
      <c r="TPY230" s="32"/>
      <c r="TPZ230" s="32"/>
      <c r="TQA230" s="32"/>
      <c r="TQB230" s="32"/>
      <c r="TQC230" s="32"/>
      <c r="TQD230" s="31"/>
      <c r="TQE230" s="31"/>
      <c r="TQF230" s="33"/>
      <c r="TQG230" s="33"/>
      <c r="TQH230" s="34"/>
      <c r="TQI230" s="34"/>
      <c r="TQJ230" s="35"/>
      <c r="TQK230" s="35"/>
      <c r="TQL230" s="32"/>
      <c r="TQM230" s="31"/>
      <c r="TQN230" s="31"/>
      <c r="TQO230" s="31"/>
      <c r="TQP230" s="32"/>
      <c r="TQQ230" s="32"/>
      <c r="TQR230" s="32"/>
      <c r="TQS230" s="32"/>
      <c r="TQT230" s="32"/>
      <c r="TQU230" s="31"/>
      <c r="TQV230" s="31"/>
      <c r="TQW230" s="33"/>
      <c r="TQX230" s="33"/>
      <c r="TQY230" s="34"/>
      <c r="TQZ230" s="34"/>
      <c r="TRA230" s="35"/>
      <c r="TRB230" s="35"/>
      <c r="TRC230" s="32"/>
      <c r="TRD230" s="31"/>
      <c r="TRE230" s="31"/>
      <c r="TRF230" s="31"/>
      <c r="TRG230" s="32"/>
      <c r="TRH230" s="32"/>
      <c r="TRI230" s="32"/>
      <c r="TRJ230" s="32"/>
      <c r="TRK230" s="32"/>
      <c r="TRL230" s="31"/>
      <c r="TRM230" s="31"/>
      <c r="TRN230" s="33"/>
      <c r="TRO230" s="33"/>
      <c r="TRP230" s="34"/>
      <c r="TRQ230" s="34"/>
      <c r="TRR230" s="35"/>
      <c r="TRS230" s="35"/>
      <c r="TRT230" s="32"/>
      <c r="TRU230" s="31"/>
      <c r="TRV230" s="31"/>
      <c r="TRW230" s="31"/>
      <c r="TRX230" s="32"/>
      <c r="TRY230" s="32"/>
      <c r="TRZ230" s="32"/>
      <c r="TSA230" s="32"/>
      <c r="TSB230" s="32"/>
      <c r="TSC230" s="31"/>
      <c r="TSD230" s="31"/>
      <c r="TSE230" s="33"/>
      <c r="TSF230" s="33"/>
      <c r="TSG230" s="34"/>
      <c r="TSH230" s="34"/>
      <c r="TSI230" s="35"/>
      <c r="TSJ230" s="35"/>
      <c r="TSK230" s="32"/>
      <c r="TSL230" s="31"/>
      <c r="TSM230" s="31"/>
      <c r="TSN230" s="31"/>
      <c r="TSO230" s="32"/>
      <c r="TSP230" s="32"/>
      <c r="TSQ230" s="32"/>
      <c r="TSR230" s="32"/>
      <c r="TSS230" s="32"/>
      <c r="TST230" s="31"/>
      <c r="TSU230" s="31"/>
      <c r="TSV230" s="33"/>
      <c r="TSW230" s="33"/>
      <c r="TSX230" s="34"/>
      <c r="TSY230" s="34"/>
      <c r="TSZ230" s="35"/>
      <c r="TTA230" s="35"/>
      <c r="TTB230" s="32"/>
      <c r="TTC230" s="31"/>
      <c r="TTD230" s="31"/>
      <c r="TTE230" s="31"/>
      <c r="TTF230" s="32"/>
      <c r="TTG230" s="32"/>
      <c r="TTH230" s="32"/>
      <c r="TTI230" s="32"/>
      <c r="TTJ230" s="32"/>
      <c r="TTK230" s="31"/>
      <c r="TTL230" s="31"/>
      <c r="TTM230" s="33"/>
      <c r="TTN230" s="33"/>
      <c r="TTO230" s="34"/>
      <c r="TTP230" s="34"/>
      <c r="TTQ230" s="35"/>
      <c r="TTR230" s="35"/>
      <c r="TTS230" s="32"/>
      <c r="TTT230" s="31"/>
      <c r="TTU230" s="31"/>
      <c r="TTV230" s="31"/>
      <c r="TTW230" s="32"/>
      <c r="TTX230" s="32"/>
      <c r="TTY230" s="32"/>
      <c r="TTZ230" s="32"/>
      <c r="TUA230" s="32"/>
      <c r="TUB230" s="31"/>
      <c r="TUC230" s="31"/>
      <c r="TUD230" s="33"/>
      <c r="TUE230" s="33"/>
      <c r="TUF230" s="34"/>
      <c r="TUG230" s="34"/>
      <c r="TUH230" s="35"/>
      <c r="TUI230" s="35"/>
      <c r="TUJ230" s="32"/>
      <c r="TUK230" s="31"/>
      <c r="TUL230" s="31"/>
      <c r="TUM230" s="31"/>
      <c r="TUN230" s="32"/>
      <c r="TUO230" s="32"/>
      <c r="TUP230" s="32"/>
      <c r="TUQ230" s="32"/>
      <c r="TUR230" s="32"/>
      <c r="TUS230" s="31"/>
      <c r="TUT230" s="31"/>
      <c r="TUU230" s="33"/>
      <c r="TUV230" s="33"/>
      <c r="TUW230" s="34"/>
      <c r="TUX230" s="34"/>
      <c r="TUY230" s="35"/>
      <c r="TUZ230" s="35"/>
      <c r="TVA230" s="32"/>
      <c r="TVB230" s="31"/>
      <c r="TVC230" s="31"/>
      <c r="TVD230" s="31"/>
      <c r="TVE230" s="32"/>
      <c r="TVF230" s="32"/>
      <c r="TVG230" s="32"/>
      <c r="TVH230" s="32"/>
      <c r="TVI230" s="32"/>
      <c r="TVJ230" s="31"/>
      <c r="TVK230" s="31"/>
      <c r="TVL230" s="33"/>
      <c r="TVM230" s="33"/>
      <c r="TVN230" s="34"/>
      <c r="TVO230" s="34"/>
      <c r="TVP230" s="35"/>
      <c r="TVQ230" s="35"/>
      <c r="TVR230" s="32"/>
      <c r="TVS230" s="31"/>
      <c r="TVT230" s="31"/>
      <c r="TVU230" s="31"/>
      <c r="TVV230" s="32"/>
      <c r="TVW230" s="32"/>
      <c r="TVX230" s="32"/>
      <c r="TVY230" s="32"/>
      <c r="TVZ230" s="32"/>
      <c r="TWA230" s="31"/>
      <c r="TWB230" s="31"/>
      <c r="TWC230" s="33"/>
      <c r="TWD230" s="33"/>
      <c r="TWE230" s="34"/>
      <c r="TWF230" s="34"/>
      <c r="TWG230" s="35"/>
      <c r="TWH230" s="35"/>
      <c r="TWI230" s="32"/>
      <c r="TWJ230" s="31"/>
      <c r="TWK230" s="31"/>
      <c r="TWL230" s="31"/>
      <c r="TWM230" s="32"/>
      <c r="TWN230" s="32"/>
      <c r="TWO230" s="32"/>
      <c r="TWP230" s="32"/>
      <c r="TWQ230" s="32"/>
      <c r="TWR230" s="31"/>
      <c r="TWS230" s="31"/>
      <c r="TWT230" s="33"/>
      <c r="TWU230" s="33"/>
      <c r="TWV230" s="34"/>
      <c r="TWW230" s="34"/>
      <c r="TWX230" s="35"/>
      <c r="TWY230" s="35"/>
      <c r="TWZ230" s="32"/>
      <c r="TXA230" s="31"/>
      <c r="TXB230" s="31"/>
      <c r="TXC230" s="31"/>
      <c r="TXD230" s="32"/>
      <c r="TXE230" s="32"/>
      <c r="TXF230" s="32"/>
      <c r="TXG230" s="32"/>
      <c r="TXH230" s="32"/>
      <c r="TXI230" s="31"/>
      <c r="TXJ230" s="31"/>
      <c r="TXK230" s="33"/>
      <c r="TXL230" s="33"/>
      <c r="TXM230" s="34"/>
      <c r="TXN230" s="34"/>
      <c r="TXO230" s="35"/>
      <c r="TXP230" s="35"/>
      <c r="TXQ230" s="32"/>
      <c r="TXR230" s="31"/>
      <c r="TXS230" s="31"/>
      <c r="TXT230" s="31"/>
      <c r="TXU230" s="32"/>
      <c r="TXV230" s="32"/>
      <c r="TXW230" s="32"/>
      <c r="TXX230" s="32"/>
      <c r="TXY230" s="32"/>
      <c r="TXZ230" s="31"/>
      <c r="TYA230" s="31"/>
      <c r="TYB230" s="33"/>
      <c r="TYC230" s="33"/>
      <c r="TYD230" s="34"/>
      <c r="TYE230" s="34"/>
      <c r="TYF230" s="35"/>
      <c r="TYG230" s="35"/>
      <c r="TYH230" s="32"/>
      <c r="TYI230" s="31"/>
      <c r="TYJ230" s="31"/>
      <c r="TYK230" s="31"/>
      <c r="TYL230" s="32"/>
      <c r="TYM230" s="32"/>
      <c r="TYN230" s="32"/>
      <c r="TYO230" s="32"/>
      <c r="TYP230" s="32"/>
      <c r="TYQ230" s="31"/>
      <c r="TYR230" s="31"/>
      <c r="TYS230" s="33"/>
      <c r="TYT230" s="33"/>
      <c r="TYU230" s="34"/>
      <c r="TYV230" s="34"/>
      <c r="TYW230" s="35"/>
      <c r="TYX230" s="35"/>
      <c r="TYY230" s="32"/>
      <c r="TYZ230" s="31"/>
      <c r="TZA230" s="31"/>
      <c r="TZB230" s="31"/>
      <c r="TZC230" s="32"/>
      <c r="TZD230" s="32"/>
      <c r="TZE230" s="32"/>
      <c r="TZF230" s="32"/>
      <c r="TZG230" s="32"/>
      <c r="TZH230" s="31"/>
      <c r="TZI230" s="31"/>
      <c r="TZJ230" s="33"/>
      <c r="TZK230" s="33"/>
      <c r="TZL230" s="34"/>
      <c r="TZM230" s="34"/>
      <c r="TZN230" s="35"/>
      <c r="TZO230" s="35"/>
      <c r="TZP230" s="32"/>
      <c r="TZQ230" s="31"/>
      <c r="TZR230" s="31"/>
      <c r="TZS230" s="31"/>
      <c r="TZT230" s="32"/>
      <c r="TZU230" s="32"/>
      <c r="TZV230" s="32"/>
      <c r="TZW230" s="32"/>
      <c r="TZX230" s="32"/>
      <c r="TZY230" s="31"/>
      <c r="TZZ230" s="31"/>
      <c r="UAA230" s="33"/>
      <c r="UAB230" s="33"/>
      <c r="UAC230" s="34"/>
      <c r="UAD230" s="34"/>
      <c r="UAE230" s="35"/>
      <c r="UAF230" s="35"/>
      <c r="UAG230" s="32"/>
      <c r="UAH230" s="31"/>
      <c r="UAI230" s="31"/>
      <c r="UAJ230" s="31"/>
      <c r="UAK230" s="32"/>
      <c r="UAL230" s="32"/>
      <c r="UAM230" s="32"/>
      <c r="UAN230" s="32"/>
      <c r="UAO230" s="32"/>
      <c r="UAP230" s="31"/>
      <c r="UAQ230" s="31"/>
      <c r="UAR230" s="33"/>
      <c r="UAS230" s="33"/>
      <c r="UAT230" s="34"/>
      <c r="UAU230" s="34"/>
      <c r="UAV230" s="35"/>
      <c r="UAW230" s="35"/>
      <c r="UAX230" s="32"/>
      <c r="UAY230" s="31"/>
      <c r="UAZ230" s="31"/>
      <c r="UBA230" s="31"/>
      <c r="UBB230" s="32"/>
      <c r="UBC230" s="32"/>
      <c r="UBD230" s="32"/>
      <c r="UBE230" s="32"/>
      <c r="UBF230" s="32"/>
      <c r="UBG230" s="31"/>
      <c r="UBH230" s="31"/>
      <c r="UBI230" s="33"/>
      <c r="UBJ230" s="33"/>
      <c r="UBK230" s="34"/>
      <c r="UBL230" s="34"/>
      <c r="UBM230" s="35"/>
      <c r="UBN230" s="35"/>
      <c r="UBO230" s="32"/>
      <c r="UBP230" s="31"/>
      <c r="UBQ230" s="31"/>
      <c r="UBR230" s="31"/>
      <c r="UBS230" s="32"/>
      <c r="UBT230" s="32"/>
      <c r="UBU230" s="32"/>
      <c r="UBV230" s="32"/>
      <c r="UBW230" s="32"/>
      <c r="UBX230" s="31"/>
      <c r="UBY230" s="31"/>
      <c r="UBZ230" s="33"/>
      <c r="UCA230" s="33"/>
      <c r="UCB230" s="34"/>
      <c r="UCC230" s="34"/>
      <c r="UCD230" s="35"/>
      <c r="UCE230" s="35"/>
      <c r="UCF230" s="32"/>
      <c r="UCG230" s="31"/>
      <c r="UCH230" s="31"/>
      <c r="UCI230" s="31"/>
      <c r="UCJ230" s="32"/>
      <c r="UCK230" s="32"/>
      <c r="UCL230" s="32"/>
      <c r="UCM230" s="32"/>
      <c r="UCN230" s="32"/>
      <c r="UCO230" s="31"/>
      <c r="UCP230" s="31"/>
      <c r="UCQ230" s="33"/>
      <c r="UCR230" s="33"/>
      <c r="UCS230" s="34"/>
      <c r="UCT230" s="34"/>
      <c r="UCU230" s="35"/>
      <c r="UCV230" s="35"/>
      <c r="UCW230" s="32"/>
      <c r="UCX230" s="31"/>
      <c r="UCY230" s="31"/>
      <c r="UCZ230" s="31"/>
      <c r="UDA230" s="32"/>
      <c r="UDB230" s="32"/>
      <c r="UDC230" s="32"/>
      <c r="UDD230" s="32"/>
      <c r="UDE230" s="32"/>
      <c r="UDF230" s="31"/>
      <c r="UDG230" s="31"/>
      <c r="UDH230" s="33"/>
      <c r="UDI230" s="33"/>
      <c r="UDJ230" s="34"/>
      <c r="UDK230" s="34"/>
      <c r="UDL230" s="35"/>
      <c r="UDM230" s="35"/>
      <c r="UDN230" s="32"/>
      <c r="UDO230" s="31"/>
      <c r="UDP230" s="31"/>
      <c r="UDQ230" s="31"/>
      <c r="UDR230" s="32"/>
      <c r="UDS230" s="32"/>
      <c r="UDT230" s="32"/>
      <c r="UDU230" s="32"/>
      <c r="UDV230" s="32"/>
      <c r="UDW230" s="31"/>
      <c r="UDX230" s="31"/>
      <c r="UDY230" s="33"/>
      <c r="UDZ230" s="33"/>
      <c r="UEA230" s="34"/>
      <c r="UEB230" s="34"/>
      <c r="UEC230" s="35"/>
      <c r="UED230" s="35"/>
      <c r="UEE230" s="32"/>
      <c r="UEF230" s="31"/>
      <c r="UEG230" s="31"/>
      <c r="UEH230" s="31"/>
      <c r="UEI230" s="32"/>
      <c r="UEJ230" s="32"/>
      <c r="UEK230" s="32"/>
      <c r="UEL230" s="32"/>
      <c r="UEM230" s="32"/>
      <c r="UEN230" s="31"/>
      <c r="UEO230" s="31"/>
      <c r="UEP230" s="33"/>
      <c r="UEQ230" s="33"/>
      <c r="UER230" s="34"/>
      <c r="UES230" s="34"/>
      <c r="UET230" s="35"/>
      <c r="UEU230" s="35"/>
      <c r="UEV230" s="32"/>
      <c r="UEW230" s="31"/>
      <c r="UEX230" s="31"/>
      <c r="UEY230" s="31"/>
      <c r="UEZ230" s="32"/>
      <c r="UFA230" s="32"/>
      <c r="UFB230" s="32"/>
      <c r="UFC230" s="32"/>
      <c r="UFD230" s="32"/>
      <c r="UFE230" s="31"/>
      <c r="UFF230" s="31"/>
      <c r="UFG230" s="33"/>
      <c r="UFH230" s="33"/>
      <c r="UFI230" s="34"/>
      <c r="UFJ230" s="34"/>
      <c r="UFK230" s="35"/>
      <c r="UFL230" s="35"/>
      <c r="UFM230" s="32"/>
      <c r="UFN230" s="31"/>
      <c r="UFO230" s="31"/>
      <c r="UFP230" s="31"/>
      <c r="UFQ230" s="32"/>
      <c r="UFR230" s="32"/>
      <c r="UFS230" s="32"/>
      <c r="UFT230" s="32"/>
      <c r="UFU230" s="32"/>
      <c r="UFV230" s="31"/>
      <c r="UFW230" s="31"/>
      <c r="UFX230" s="33"/>
      <c r="UFY230" s="33"/>
      <c r="UFZ230" s="34"/>
      <c r="UGA230" s="34"/>
      <c r="UGB230" s="35"/>
      <c r="UGC230" s="35"/>
      <c r="UGD230" s="32"/>
      <c r="UGE230" s="31"/>
      <c r="UGF230" s="31"/>
      <c r="UGG230" s="31"/>
      <c r="UGH230" s="32"/>
      <c r="UGI230" s="32"/>
      <c r="UGJ230" s="32"/>
      <c r="UGK230" s="32"/>
      <c r="UGL230" s="32"/>
      <c r="UGM230" s="31"/>
      <c r="UGN230" s="31"/>
      <c r="UGO230" s="33"/>
      <c r="UGP230" s="33"/>
      <c r="UGQ230" s="34"/>
      <c r="UGR230" s="34"/>
      <c r="UGS230" s="35"/>
      <c r="UGT230" s="35"/>
      <c r="UGU230" s="32"/>
      <c r="UGV230" s="31"/>
      <c r="UGW230" s="31"/>
      <c r="UGX230" s="31"/>
      <c r="UGY230" s="32"/>
      <c r="UGZ230" s="32"/>
      <c r="UHA230" s="32"/>
      <c r="UHB230" s="32"/>
      <c r="UHC230" s="32"/>
      <c r="UHD230" s="31"/>
      <c r="UHE230" s="31"/>
      <c r="UHF230" s="33"/>
      <c r="UHG230" s="33"/>
      <c r="UHH230" s="34"/>
      <c r="UHI230" s="34"/>
      <c r="UHJ230" s="35"/>
      <c r="UHK230" s="35"/>
      <c r="UHL230" s="32"/>
      <c r="UHM230" s="31"/>
      <c r="UHN230" s="31"/>
      <c r="UHO230" s="31"/>
      <c r="UHP230" s="32"/>
      <c r="UHQ230" s="32"/>
      <c r="UHR230" s="32"/>
      <c r="UHS230" s="32"/>
      <c r="UHT230" s="32"/>
      <c r="UHU230" s="31"/>
      <c r="UHV230" s="31"/>
      <c r="UHW230" s="33"/>
      <c r="UHX230" s="33"/>
      <c r="UHY230" s="34"/>
      <c r="UHZ230" s="34"/>
      <c r="UIA230" s="35"/>
      <c r="UIB230" s="35"/>
      <c r="UIC230" s="32"/>
      <c r="UID230" s="31"/>
      <c r="UIE230" s="31"/>
      <c r="UIF230" s="31"/>
      <c r="UIG230" s="32"/>
      <c r="UIH230" s="32"/>
      <c r="UII230" s="32"/>
      <c r="UIJ230" s="32"/>
      <c r="UIK230" s="32"/>
      <c r="UIL230" s="31"/>
      <c r="UIM230" s="31"/>
      <c r="UIN230" s="33"/>
      <c r="UIO230" s="33"/>
      <c r="UIP230" s="34"/>
      <c r="UIQ230" s="34"/>
      <c r="UIR230" s="35"/>
      <c r="UIS230" s="35"/>
      <c r="UIT230" s="32"/>
      <c r="UIU230" s="31"/>
      <c r="UIV230" s="31"/>
      <c r="UIW230" s="31"/>
      <c r="UIX230" s="32"/>
      <c r="UIY230" s="32"/>
      <c r="UIZ230" s="32"/>
      <c r="UJA230" s="32"/>
      <c r="UJB230" s="32"/>
      <c r="UJC230" s="31"/>
      <c r="UJD230" s="31"/>
      <c r="UJE230" s="33"/>
      <c r="UJF230" s="33"/>
      <c r="UJG230" s="34"/>
      <c r="UJH230" s="34"/>
      <c r="UJI230" s="35"/>
      <c r="UJJ230" s="35"/>
      <c r="UJK230" s="32"/>
      <c r="UJL230" s="31"/>
      <c r="UJM230" s="31"/>
      <c r="UJN230" s="31"/>
      <c r="UJO230" s="32"/>
      <c r="UJP230" s="32"/>
      <c r="UJQ230" s="32"/>
      <c r="UJR230" s="32"/>
      <c r="UJS230" s="32"/>
      <c r="UJT230" s="31"/>
      <c r="UJU230" s="31"/>
      <c r="UJV230" s="33"/>
      <c r="UJW230" s="33"/>
      <c r="UJX230" s="34"/>
      <c r="UJY230" s="34"/>
      <c r="UJZ230" s="35"/>
      <c r="UKA230" s="35"/>
      <c r="UKB230" s="32"/>
      <c r="UKC230" s="31"/>
      <c r="UKD230" s="31"/>
      <c r="UKE230" s="31"/>
      <c r="UKF230" s="32"/>
      <c r="UKG230" s="32"/>
      <c r="UKH230" s="32"/>
      <c r="UKI230" s="32"/>
      <c r="UKJ230" s="32"/>
      <c r="UKK230" s="31"/>
      <c r="UKL230" s="31"/>
      <c r="UKM230" s="33"/>
      <c r="UKN230" s="33"/>
      <c r="UKO230" s="34"/>
      <c r="UKP230" s="34"/>
      <c r="UKQ230" s="35"/>
      <c r="UKR230" s="35"/>
      <c r="UKS230" s="32"/>
      <c r="UKT230" s="31"/>
      <c r="UKU230" s="31"/>
      <c r="UKV230" s="31"/>
      <c r="UKW230" s="32"/>
      <c r="UKX230" s="32"/>
      <c r="UKY230" s="32"/>
      <c r="UKZ230" s="32"/>
      <c r="ULA230" s="32"/>
      <c r="ULB230" s="31"/>
      <c r="ULC230" s="31"/>
      <c r="ULD230" s="33"/>
      <c r="ULE230" s="33"/>
      <c r="ULF230" s="34"/>
      <c r="ULG230" s="34"/>
      <c r="ULH230" s="35"/>
      <c r="ULI230" s="35"/>
      <c r="ULJ230" s="32"/>
      <c r="ULK230" s="31"/>
      <c r="ULL230" s="31"/>
      <c r="ULM230" s="31"/>
      <c r="ULN230" s="32"/>
      <c r="ULO230" s="32"/>
      <c r="ULP230" s="32"/>
      <c r="ULQ230" s="32"/>
      <c r="ULR230" s="32"/>
      <c r="ULS230" s="31"/>
      <c r="ULT230" s="31"/>
      <c r="ULU230" s="33"/>
      <c r="ULV230" s="33"/>
      <c r="ULW230" s="34"/>
      <c r="ULX230" s="34"/>
      <c r="ULY230" s="35"/>
      <c r="ULZ230" s="35"/>
      <c r="UMA230" s="32"/>
      <c r="UMB230" s="31"/>
      <c r="UMC230" s="31"/>
      <c r="UMD230" s="31"/>
      <c r="UME230" s="32"/>
      <c r="UMF230" s="32"/>
      <c r="UMG230" s="32"/>
      <c r="UMH230" s="32"/>
      <c r="UMI230" s="32"/>
      <c r="UMJ230" s="31"/>
      <c r="UMK230" s="31"/>
      <c r="UML230" s="33"/>
      <c r="UMM230" s="33"/>
      <c r="UMN230" s="34"/>
      <c r="UMO230" s="34"/>
      <c r="UMP230" s="35"/>
      <c r="UMQ230" s="35"/>
      <c r="UMR230" s="32"/>
      <c r="UMS230" s="31"/>
      <c r="UMT230" s="31"/>
      <c r="UMU230" s="31"/>
      <c r="UMV230" s="32"/>
      <c r="UMW230" s="32"/>
      <c r="UMX230" s="32"/>
      <c r="UMY230" s="32"/>
      <c r="UMZ230" s="32"/>
      <c r="UNA230" s="31"/>
      <c r="UNB230" s="31"/>
      <c r="UNC230" s="33"/>
      <c r="UND230" s="33"/>
      <c r="UNE230" s="34"/>
      <c r="UNF230" s="34"/>
      <c r="UNG230" s="35"/>
      <c r="UNH230" s="35"/>
      <c r="UNI230" s="32"/>
      <c r="UNJ230" s="31"/>
      <c r="UNK230" s="31"/>
      <c r="UNL230" s="31"/>
      <c r="UNM230" s="32"/>
      <c r="UNN230" s="32"/>
      <c r="UNO230" s="32"/>
      <c r="UNP230" s="32"/>
      <c r="UNQ230" s="32"/>
      <c r="UNR230" s="31"/>
      <c r="UNS230" s="31"/>
      <c r="UNT230" s="33"/>
      <c r="UNU230" s="33"/>
      <c r="UNV230" s="34"/>
      <c r="UNW230" s="34"/>
      <c r="UNX230" s="35"/>
      <c r="UNY230" s="35"/>
      <c r="UNZ230" s="32"/>
      <c r="UOA230" s="31"/>
      <c r="UOB230" s="31"/>
      <c r="UOC230" s="31"/>
      <c r="UOD230" s="32"/>
      <c r="UOE230" s="32"/>
      <c r="UOF230" s="32"/>
      <c r="UOG230" s="32"/>
      <c r="UOH230" s="32"/>
      <c r="UOI230" s="31"/>
      <c r="UOJ230" s="31"/>
      <c r="UOK230" s="33"/>
      <c r="UOL230" s="33"/>
      <c r="UOM230" s="34"/>
      <c r="UON230" s="34"/>
      <c r="UOO230" s="35"/>
      <c r="UOP230" s="35"/>
      <c r="UOQ230" s="32"/>
      <c r="UOR230" s="31"/>
      <c r="UOS230" s="31"/>
      <c r="UOT230" s="31"/>
      <c r="UOU230" s="32"/>
      <c r="UOV230" s="32"/>
      <c r="UOW230" s="32"/>
      <c r="UOX230" s="32"/>
      <c r="UOY230" s="32"/>
      <c r="UOZ230" s="31"/>
      <c r="UPA230" s="31"/>
      <c r="UPB230" s="33"/>
      <c r="UPC230" s="33"/>
      <c r="UPD230" s="34"/>
      <c r="UPE230" s="34"/>
      <c r="UPF230" s="35"/>
      <c r="UPG230" s="35"/>
      <c r="UPH230" s="32"/>
      <c r="UPI230" s="31"/>
      <c r="UPJ230" s="31"/>
      <c r="UPK230" s="31"/>
      <c r="UPL230" s="32"/>
      <c r="UPM230" s="32"/>
      <c r="UPN230" s="32"/>
      <c r="UPO230" s="32"/>
      <c r="UPP230" s="32"/>
      <c r="UPQ230" s="31"/>
      <c r="UPR230" s="31"/>
      <c r="UPS230" s="33"/>
      <c r="UPT230" s="33"/>
      <c r="UPU230" s="34"/>
      <c r="UPV230" s="34"/>
      <c r="UPW230" s="35"/>
      <c r="UPX230" s="35"/>
      <c r="UPY230" s="32"/>
      <c r="UPZ230" s="31"/>
      <c r="UQA230" s="31"/>
      <c r="UQB230" s="31"/>
      <c r="UQC230" s="32"/>
      <c r="UQD230" s="32"/>
      <c r="UQE230" s="32"/>
      <c r="UQF230" s="32"/>
      <c r="UQG230" s="32"/>
      <c r="UQH230" s="31"/>
      <c r="UQI230" s="31"/>
      <c r="UQJ230" s="33"/>
      <c r="UQK230" s="33"/>
      <c r="UQL230" s="34"/>
      <c r="UQM230" s="34"/>
      <c r="UQN230" s="35"/>
      <c r="UQO230" s="35"/>
      <c r="UQP230" s="32"/>
      <c r="UQQ230" s="31"/>
      <c r="UQR230" s="31"/>
      <c r="UQS230" s="31"/>
      <c r="UQT230" s="32"/>
      <c r="UQU230" s="32"/>
      <c r="UQV230" s="32"/>
      <c r="UQW230" s="32"/>
      <c r="UQX230" s="32"/>
      <c r="UQY230" s="31"/>
      <c r="UQZ230" s="31"/>
      <c r="URA230" s="33"/>
      <c r="URB230" s="33"/>
      <c r="URC230" s="34"/>
      <c r="URD230" s="34"/>
      <c r="URE230" s="35"/>
      <c r="URF230" s="35"/>
      <c r="URG230" s="32"/>
      <c r="URH230" s="31"/>
      <c r="URI230" s="31"/>
      <c r="URJ230" s="31"/>
      <c r="URK230" s="32"/>
      <c r="URL230" s="32"/>
      <c r="URM230" s="32"/>
      <c r="URN230" s="32"/>
      <c r="URO230" s="32"/>
      <c r="URP230" s="31"/>
      <c r="URQ230" s="31"/>
      <c r="URR230" s="33"/>
      <c r="URS230" s="33"/>
      <c r="URT230" s="34"/>
      <c r="URU230" s="34"/>
      <c r="URV230" s="35"/>
      <c r="URW230" s="35"/>
      <c r="URX230" s="32"/>
      <c r="URY230" s="31"/>
      <c r="URZ230" s="31"/>
      <c r="USA230" s="31"/>
      <c r="USB230" s="32"/>
      <c r="USC230" s="32"/>
      <c r="USD230" s="32"/>
      <c r="USE230" s="32"/>
      <c r="USF230" s="32"/>
      <c r="USG230" s="31"/>
      <c r="USH230" s="31"/>
      <c r="USI230" s="33"/>
      <c r="USJ230" s="33"/>
      <c r="USK230" s="34"/>
      <c r="USL230" s="34"/>
      <c r="USM230" s="35"/>
      <c r="USN230" s="35"/>
      <c r="USO230" s="32"/>
      <c r="USP230" s="31"/>
      <c r="USQ230" s="31"/>
      <c r="USR230" s="31"/>
      <c r="USS230" s="32"/>
      <c r="UST230" s="32"/>
      <c r="USU230" s="32"/>
      <c r="USV230" s="32"/>
      <c r="USW230" s="32"/>
      <c r="USX230" s="31"/>
      <c r="USY230" s="31"/>
      <c r="USZ230" s="33"/>
      <c r="UTA230" s="33"/>
      <c r="UTB230" s="34"/>
      <c r="UTC230" s="34"/>
      <c r="UTD230" s="35"/>
      <c r="UTE230" s="35"/>
      <c r="UTF230" s="32"/>
      <c r="UTG230" s="31"/>
      <c r="UTH230" s="31"/>
      <c r="UTI230" s="31"/>
      <c r="UTJ230" s="32"/>
      <c r="UTK230" s="32"/>
      <c r="UTL230" s="32"/>
      <c r="UTM230" s="32"/>
      <c r="UTN230" s="32"/>
      <c r="UTO230" s="31"/>
      <c r="UTP230" s="31"/>
      <c r="UTQ230" s="33"/>
      <c r="UTR230" s="33"/>
      <c r="UTS230" s="34"/>
      <c r="UTT230" s="34"/>
      <c r="UTU230" s="35"/>
      <c r="UTV230" s="35"/>
      <c r="UTW230" s="32"/>
      <c r="UTX230" s="31"/>
      <c r="UTY230" s="31"/>
      <c r="UTZ230" s="31"/>
      <c r="UUA230" s="32"/>
      <c r="UUB230" s="32"/>
      <c r="UUC230" s="32"/>
      <c r="UUD230" s="32"/>
      <c r="UUE230" s="32"/>
      <c r="UUF230" s="31"/>
      <c r="UUG230" s="31"/>
      <c r="UUH230" s="33"/>
      <c r="UUI230" s="33"/>
      <c r="UUJ230" s="34"/>
      <c r="UUK230" s="34"/>
      <c r="UUL230" s="35"/>
      <c r="UUM230" s="35"/>
      <c r="UUN230" s="32"/>
      <c r="UUO230" s="31"/>
      <c r="UUP230" s="31"/>
      <c r="UUQ230" s="31"/>
      <c r="UUR230" s="32"/>
      <c r="UUS230" s="32"/>
      <c r="UUT230" s="32"/>
      <c r="UUU230" s="32"/>
      <c r="UUV230" s="32"/>
      <c r="UUW230" s="31"/>
      <c r="UUX230" s="31"/>
      <c r="UUY230" s="33"/>
      <c r="UUZ230" s="33"/>
      <c r="UVA230" s="34"/>
      <c r="UVB230" s="34"/>
      <c r="UVC230" s="35"/>
      <c r="UVD230" s="35"/>
      <c r="UVE230" s="32"/>
      <c r="UVF230" s="31"/>
      <c r="UVG230" s="31"/>
      <c r="UVH230" s="31"/>
      <c r="UVI230" s="32"/>
      <c r="UVJ230" s="32"/>
      <c r="UVK230" s="32"/>
      <c r="UVL230" s="32"/>
      <c r="UVM230" s="32"/>
      <c r="UVN230" s="31"/>
      <c r="UVO230" s="31"/>
      <c r="UVP230" s="33"/>
      <c r="UVQ230" s="33"/>
      <c r="UVR230" s="34"/>
      <c r="UVS230" s="34"/>
      <c r="UVT230" s="35"/>
      <c r="UVU230" s="35"/>
      <c r="UVV230" s="32"/>
      <c r="UVW230" s="31"/>
      <c r="UVX230" s="31"/>
      <c r="UVY230" s="31"/>
      <c r="UVZ230" s="32"/>
      <c r="UWA230" s="32"/>
      <c r="UWB230" s="32"/>
      <c r="UWC230" s="32"/>
      <c r="UWD230" s="32"/>
      <c r="UWE230" s="31"/>
      <c r="UWF230" s="31"/>
      <c r="UWG230" s="33"/>
      <c r="UWH230" s="33"/>
      <c r="UWI230" s="34"/>
      <c r="UWJ230" s="34"/>
      <c r="UWK230" s="35"/>
      <c r="UWL230" s="35"/>
      <c r="UWM230" s="32"/>
      <c r="UWN230" s="31"/>
      <c r="UWO230" s="31"/>
      <c r="UWP230" s="31"/>
      <c r="UWQ230" s="32"/>
      <c r="UWR230" s="32"/>
      <c r="UWS230" s="32"/>
      <c r="UWT230" s="32"/>
      <c r="UWU230" s="32"/>
      <c r="UWV230" s="31"/>
      <c r="UWW230" s="31"/>
      <c r="UWX230" s="33"/>
      <c r="UWY230" s="33"/>
      <c r="UWZ230" s="34"/>
      <c r="UXA230" s="34"/>
      <c r="UXB230" s="35"/>
      <c r="UXC230" s="35"/>
      <c r="UXD230" s="32"/>
      <c r="UXE230" s="31"/>
      <c r="UXF230" s="31"/>
      <c r="UXG230" s="31"/>
      <c r="UXH230" s="32"/>
      <c r="UXI230" s="32"/>
      <c r="UXJ230" s="32"/>
      <c r="UXK230" s="32"/>
      <c r="UXL230" s="32"/>
      <c r="UXM230" s="31"/>
      <c r="UXN230" s="31"/>
      <c r="UXO230" s="33"/>
      <c r="UXP230" s="33"/>
      <c r="UXQ230" s="34"/>
      <c r="UXR230" s="34"/>
      <c r="UXS230" s="35"/>
      <c r="UXT230" s="35"/>
      <c r="UXU230" s="32"/>
      <c r="UXV230" s="31"/>
      <c r="UXW230" s="31"/>
      <c r="UXX230" s="31"/>
      <c r="UXY230" s="32"/>
      <c r="UXZ230" s="32"/>
      <c r="UYA230" s="32"/>
      <c r="UYB230" s="32"/>
      <c r="UYC230" s="32"/>
      <c r="UYD230" s="31"/>
      <c r="UYE230" s="31"/>
      <c r="UYF230" s="33"/>
      <c r="UYG230" s="33"/>
      <c r="UYH230" s="34"/>
      <c r="UYI230" s="34"/>
      <c r="UYJ230" s="35"/>
      <c r="UYK230" s="35"/>
      <c r="UYL230" s="32"/>
      <c r="UYM230" s="31"/>
      <c r="UYN230" s="31"/>
      <c r="UYO230" s="31"/>
      <c r="UYP230" s="32"/>
      <c r="UYQ230" s="32"/>
      <c r="UYR230" s="32"/>
      <c r="UYS230" s="32"/>
      <c r="UYT230" s="32"/>
      <c r="UYU230" s="31"/>
      <c r="UYV230" s="31"/>
      <c r="UYW230" s="33"/>
      <c r="UYX230" s="33"/>
      <c r="UYY230" s="34"/>
      <c r="UYZ230" s="34"/>
      <c r="UZA230" s="35"/>
      <c r="UZB230" s="35"/>
      <c r="UZC230" s="32"/>
      <c r="UZD230" s="31"/>
      <c r="UZE230" s="31"/>
      <c r="UZF230" s="31"/>
      <c r="UZG230" s="32"/>
      <c r="UZH230" s="32"/>
      <c r="UZI230" s="32"/>
      <c r="UZJ230" s="32"/>
      <c r="UZK230" s="32"/>
      <c r="UZL230" s="31"/>
      <c r="UZM230" s="31"/>
      <c r="UZN230" s="33"/>
      <c r="UZO230" s="33"/>
      <c r="UZP230" s="34"/>
      <c r="UZQ230" s="34"/>
      <c r="UZR230" s="35"/>
      <c r="UZS230" s="35"/>
      <c r="UZT230" s="32"/>
      <c r="UZU230" s="31"/>
      <c r="UZV230" s="31"/>
      <c r="UZW230" s="31"/>
      <c r="UZX230" s="32"/>
      <c r="UZY230" s="32"/>
      <c r="UZZ230" s="32"/>
      <c r="VAA230" s="32"/>
      <c r="VAB230" s="32"/>
      <c r="VAC230" s="31"/>
      <c r="VAD230" s="31"/>
      <c r="VAE230" s="33"/>
      <c r="VAF230" s="33"/>
      <c r="VAG230" s="34"/>
      <c r="VAH230" s="34"/>
      <c r="VAI230" s="35"/>
      <c r="VAJ230" s="35"/>
      <c r="VAK230" s="32"/>
      <c r="VAL230" s="31"/>
      <c r="VAM230" s="31"/>
      <c r="VAN230" s="31"/>
      <c r="VAO230" s="32"/>
      <c r="VAP230" s="32"/>
      <c r="VAQ230" s="32"/>
      <c r="VAR230" s="32"/>
      <c r="VAS230" s="32"/>
      <c r="VAT230" s="31"/>
      <c r="VAU230" s="31"/>
      <c r="VAV230" s="33"/>
      <c r="VAW230" s="33"/>
      <c r="VAX230" s="34"/>
      <c r="VAY230" s="34"/>
      <c r="VAZ230" s="35"/>
      <c r="VBA230" s="35"/>
      <c r="VBB230" s="32"/>
      <c r="VBC230" s="31"/>
      <c r="VBD230" s="31"/>
      <c r="VBE230" s="31"/>
      <c r="VBF230" s="32"/>
      <c r="VBG230" s="32"/>
      <c r="VBH230" s="32"/>
      <c r="VBI230" s="32"/>
      <c r="VBJ230" s="32"/>
      <c r="VBK230" s="31"/>
      <c r="VBL230" s="31"/>
      <c r="VBM230" s="33"/>
      <c r="VBN230" s="33"/>
      <c r="VBO230" s="34"/>
      <c r="VBP230" s="34"/>
      <c r="VBQ230" s="35"/>
      <c r="VBR230" s="35"/>
      <c r="VBS230" s="32"/>
      <c r="VBT230" s="31"/>
      <c r="VBU230" s="31"/>
      <c r="VBV230" s="31"/>
      <c r="VBW230" s="32"/>
      <c r="VBX230" s="32"/>
      <c r="VBY230" s="32"/>
      <c r="VBZ230" s="32"/>
      <c r="VCA230" s="32"/>
      <c r="VCB230" s="31"/>
      <c r="VCC230" s="31"/>
      <c r="VCD230" s="33"/>
      <c r="VCE230" s="33"/>
      <c r="VCF230" s="34"/>
      <c r="VCG230" s="34"/>
      <c r="VCH230" s="35"/>
      <c r="VCI230" s="35"/>
      <c r="VCJ230" s="32"/>
      <c r="VCK230" s="31"/>
      <c r="VCL230" s="31"/>
      <c r="VCM230" s="31"/>
      <c r="VCN230" s="32"/>
      <c r="VCO230" s="32"/>
      <c r="VCP230" s="32"/>
      <c r="VCQ230" s="32"/>
      <c r="VCR230" s="32"/>
      <c r="VCS230" s="31"/>
      <c r="VCT230" s="31"/>
      <c r="VCU230" s="33"/>
      <c r="VCV230" s="33"/>
      <c r="VCW230" s="34"/>
      <c r="VCX230" s="34"/>
      <c r="VCY230" s="35"/>
      <c r="VCZ230" s="35"/>
      <c r="VDA230" s="32"/>
      <c r="VDB230" s="31"/>
      <c r="VDC230" s="31"/>
      <c r="VDD230" s="31"/>
      <c r="VDE230" s="32"/>
      <c r="VDF230" s="32"/>
      <c r="VDG230" s="32"/>
      <c r="VDH230" s="32"/>
      <c r="VDI230" s="32"/>
      <c r="VDJ230" s="31"/>
      <c r="VDK230" s="31"/>
      <c r="VDL230" s="33"/>
      <c r="VDM230" s="33"/>
      <c r="VDN230" s="34"/>
      <c r="VDO230" s="34"/>
      <c r="VDP230" s="35"/>
      <c r="VDQ230" s="35"/>
      <c r="VDR230" s="32"/>
      <c r="VDS230" s="31"/>
      <c r="VDT230" s="31"/>
      <c r="VDU230" s="31"/>
      <c r="VDV230" s="32"/>
      <c r="VDW230" s="32"/>
      <c r="VDX230" s="32"/>
      <c r="VDY230" s="32"/>
      <c r="VDZ230" s="32"/>
      <c r="VEA230" s="31"/>
      <c r="VEB230" s="31"/>
      <c r="VEC230" s="33"/>
      <c r="VED230" s="33"/>
      <c r="VEE230" s="34"/>
      <c r="VEF230" s="34"/>
      <c r="VEG230" s="35"/>
      <c r="VEH230" s="35"/>
      <c r="VEI230" s="32"/>
      <c r="VEJ230" s="31"/>
      <c r="VEK230" s="31"/>
      <c r="VEL230" s="31"/>
      <c r="VEM230" s="32"/>
      <c r="VEN230" s="32"/>
      <c r="VEO230" s="32"/>
      <c r="VEP230" s="32"/>
      <c r="VEQ230" s="32"/>
      <c r="VER230" s="31"/>
      <c r="VES230" s="31"/>
      <c r="VET230" s="33"/>
      <c r="VEU230" s="33"/>
      <c r="VEV230" s="34"/>
      <c r="VEW230" s="34"/>
      <c r="VEX230" s="35"/>
      <c r="VEY230" s="35"/>
      <c r="VEZ230" s="32"/>
      <c r="VFA230" s="31"/>
      <c r="VFB230" s="31"/>
      <c r="VFC230" s="31"/>
      <c r="VFD230" s="32"/>
      <c r="VFE230" s="32"/>
      <c r="VFF230" s="32"/>
      <c r="VFG230" s="32"/>
      <c r="VFH230" s="32"/>
      <c r="VFI230" s="31"/>
      <c r="VFJ230" s="31"/>
      <c r="VFK230" s="33"/>
      <c r="VFL230" s="33"/>
      <c r="VFM230" s="34"/>
      <c r="VFN230" s="34"/>
      <c r="VFO230" s="35"/>
      <c r="VFP230" s="35"/>
      <c r="VFQ230" s="32"/>
      <c r="VFR230" s="31"/>
      <c r="VFS230" s="31"/>
      <c r="VFT230" s="31"/>
      <c r="VFU230" s="32"/>
      <c r="VFV230" s="32"/>
      <c r="VFW230" s="32"/>
      <c r="VFX230" s="32"/>
      <c r="VFY230" s="32"/>
      <c r="VFZ230" s="31"/>
      <c r="VGA230" s="31"/>
      <c r="VGB230" s="33"/>
      <c r="VGC230" s="33"/>
      <c r="VGD230" s="34"/>
      <c r="VGE230" s="34"/>
      <c r="VGF230" s="35"/>
      <c r="VGG230" s="35"/>
      <c r="VGH230" s="32"/>
      <c r="VGI230" s="31"/>
      <c r="VGJ230" s="31"/>
      <c r="VGK230" s="31"/>
      <c r="VGL230" s="32"/>
      <c r="VGM230" s="32"/>
      <c r="VGN230" s="32"/>
      <c r="VGO230" s="32"/>
      <c r="VGP230" s="32"/>
      <c r="VGQ230" s="31"/>
      <c r="VGR230" s="31"/>
      <c r="VGS230" s="33"/>
      <c r="VGT230" s="33"/>
      <c r="VGU230" s="34"/>
      <c r="VGV230" s="34"/>
      <c r="VGW230" s="35"/>
      <c r="VGX230" s="35"/>
      <c r="VGY230" s="32"/>
      <c r="VGZ230" s="31"/>
      <c r="VHA230" s="31"/>
      <c r="VHB230" s="31"/>
      <c r="VHC230" s="32"/>
      <c r="VHD230" s="32"/>
      <c r="VHE230" s="32"/>
      <c r="VHF230" s="32"/>
      <c r="VHG230" s="32"/>
      <c r="VHH230" s="31"/>
      <c r="VHI230" s="31"/>
      <c r="VHJ230" s="33"/>
      <c r="VHK230" s="33"/>
      <c r="VHL230" s="34"/>
      <c r="VHM230" s="34"/>
      <c r="VHN230" s="35"/>
      <c r="VHO230" s="35"/>
      <c r="VHP230" s="32"/>
      <c r="VHQ230" s="31"/>
      <c r="VHR230" s="31"/>
      <c r="VHS230" s="31"/>
      <c r="VHT230" s="32"/>
      <c r="VHU230" s="32"/>
      <c r="VHV230" s="32"/>
      <c r="VHW230" s="32"/>
      <c r="VHX230" s="32"/>
      <c r="VHY230" s="31"/>
      <c r="VHZ230" s="31"/>
      <c r="VIA230" s="33"/>
      <c r="VIB230" s="33"/>
      <c r="VIC230" s="34"/>
      <c r="VID230" s="34"/>
      <c r="VIE230" s="35"/>
      <c r="VIF230" s="35"/>
      <c r="VIG230" s="32"/>
      <c r="VIH230" s="31"/>
      <c r="VII230" s="31"/>
      <c r="VIJ230" s="31"/>
      <c r="VIK230" s="32"/>
      <c r="VIL230" s="32"/>
      <c r="VIM230" s="32"/>
      <c r="VIN230" s="32"/>
      <c r="VIO230" s="32"/>
      <c r="VIP230" s="31"/>
      <c r="VIQ230" s="31"/>
      <c r="VIR230" s="33"/>
      <c r="VIS230" s="33"/>
      <c r="VIT230" s="34"/>
      <c r="VIU230" s="34"/>
      <c r="VIV230" s="35"/>
      <c r="VIW230" s="35"/>
      <c r="VIX230" s="32"/>
      <c r="VIY230" s="31"/>
      <c r="VIZ230" s="31"/>
      <c r="VJA230" s="31"/>
      <c r="VJB230" s="32"/>
      <c r="VJC230" s="32"/>
      <c r="VJD230" s="32"/>
      <c r="VJE230" s="32"/>
      <c r="VJF230" s="32"/>
      <c r="VJG230" s="31"/>
      <c r="VJH230" s="31"/>
      <c r="VJI230" s="33"/>
      <c r="VJJ230" s="33"/>
      <c r="VJK230" s="34"/>
      <c r="VJL230" s="34"/>
      <c r="VJM230" s="35"/>
      <c r="VJN230" s="35"/>
      <c r="VJO230" s="32"/>
      <c r="VJP230" s="31"/>
      <c r="VJQ230" s="31"/>
      <c r="VJR230" s="31"/>
      <c r="VJS230" s="32"/>
      <c r="VJT230" s="32"/>
      <c r="VJU230" s="32"/>
      <c r="VJV230" s="32"/>
      <c r="VJW230" s="32"/>
      <c r="VJX230" s="31"/>
      <c r="VJY230" s="31"/>
      <c r="VJZ230" s="33"/>
      <c r="VKA230" s="33"/>
      <c r="VKB230" s="34"/>
      <c r="VKC230" s="34"/>
      <c r="VKD230" s="35"/>
      <c r="VKE230" s="35"/>
      <c r="VKF230" s="32"/>
      <c r="VKG230" s="31"/>
      <c r="VKH230" s="31"/>
      <c r="VKI230" s="31"/>
      <c r="VKJ230" s="32"/>
      <c r="VKK230" s="32"/>
      <c r="VKL230" s="32"/>
      <c r="VKM230" s="32"/>
      <c r="VKN230" s="32"/>
      <c r="VKO230" s="31"/>
      <c r="VKP230" s="31"/>
      <c r="VKQ230" s="33"/>
      <c r="VKR230" s="33"/>
      <c r="VKS230" s="34"/>
      <c r="VKT230" s="34"/>
      <c r="VKU230" s="35"/>
      <c r="VKV230" s="35"/>
      <c r="VKW230" s="32"/>
      <c r="VKX230" s="31"/>
      <c r="VKY230" s="31"/>
      <c r="VKZ230" s="31"/>
      <c r="VLA230" s="32"/>
      <c r="VLB230" s="32"/>
      <c r="VLC230" s="32"/>
      <c r="VLD230" s="32"/>
      <c r="VLE230" s="32"/>
      <c r="VLF230" s="31"/>
      <c r="VLG230" s="31"/>
      <c r="VLH230" s="33"/>
      <c r="VLI230" s="33"/>
      <c r="VLJ230" s="34"/>
      <c r="VLK230" s="34"/>
      <c r="VLL230" s="35"/>
      <c r="VLM230" s="35"/>
      <c r="VLN230" s="32"/>
      <c r="VLO230" s="31"/>
      <c r="VLP230" s="31"/>
      <c r="VLQ230" s="31"/>
      <c r="VLR230" s="32"/>
      <c r="VLS230" s="32"/>
      <c r="VLT230" s="32"/>
      <c r="VLU230" s="32"/>
      <c r="VLV230" s="32"/>
      <c r="VLW230" s="31"/>
      <c r="VLX230" s="31"/>
      <c r="VLY230" s="33"/>
      <c r="VLZ230" s="33"/>
      <c r="VMA230" s="34"/>
      <c r="VMB230" s="34"/>
      <c r="VMC230" s="35"/>
      <c r="VMD230" s="35"/>
      <c r="VME230" s="32"/>
      <c r="VMF230" s="31"/>
      <c r="VMG230" s="31"/>
      <c r="VMH230" s="31"/>
      <c r="VMI230" s="32"/>
      <c r="VMJ230" s="32"/>
      <c r="VMK230" s="32"/>
      <c r="VML230" s="32"/>
      <c r="VMM230" s="32"/>
      <c r="VMN230" s="31"/>
      <c r="VMO230" s="31"/>
      <c r="VMP230" s="33"/>
      <c r="VMQ230" s="33"/>
      <c r="VMR230" s="34"/>
      <c r="VMS230" s="34"/>
      <c r="VMT230" s="35"/>
      <c r="VMU230" s="35"/>
      <c r="VMV230" s="32"/>
      <c r="VMW230" s="31"/>
      <c r="VMX230" s="31"/>
      <c r="VMY230" s="31"/>
      <c r="VMZ230" s="32"/>
      <c r="VNA230" s="32"/>
      <c r="VNB230" s="32"/>
      <c r="VNC230" s="32"/>
      <c r="VND230" s="32"/>
      <c r="VNE230" s="31"/>
      <c r="VNF230" s="31"/>
      <c r="VNG230" s="33"/>
      <c r="VNH230" s="33"/>
      <c r="VNI230" s="34"/>
      <c r="VNJ230" s="34"/>
      <c r="VNK230" s="35"/>
      <c r="VNL230" s="35"/>
      <c r="VNM230" s="32"/>
      <c r="VNN230" s="31"/>
      <c r="VNO230" s="31"/>
      <c r="VNP230" s="31"/>
      <c r="VNQ230" s="32"/>
      <c r="VNR230" s="32"/>
      <c r="VNS230" s="32"/>
      <c r="VNT230" s="32"/>
      <c r="VNU230" s="32"/>
      <c r="VNV230" s="31"/>
      <c r="VNW230" s="31"/>
      <c r="VNX230" s="33"/>
      <c r="VNY230" s="33"/>
      <c r="VNZ230" s="34"/>
      <c r="VOA230" s="34"/>
      <c r="VOB230" s="35"/>
      <c r="VOC230" s="35"/>
      <c r="VOD230" s="32"/>
      <c r="VOE230" s="31"/>
      <c r="VOF230" s="31"/>
      <c r="VOG230" s="31"/>
      <c r="VOH230" s="32"/>
      <c r="VOI230" s="32"/>
      <c r="VOJ230" s="32"/>
      <c r="VOK230" s="32"/>
      <c r="VOL230" s="32"/>
      <c r="VOM230" s="31"/>
      <c r="VON230" s="31"/>
      <c r="VOO230" s="33"/>
      <c r="VOP230" s="33"/>
      <c r="VOQ230" s="34"/>
      <c r="VOR230" s="34"/>
      <c r="VOS230" s="35"/>
      <c r="VOT230" s="35"/>
      <c r="VOU230" s="32"/>
      <c r="VOV230" s="31"/>
      <c r="VOW230" s="31"/>
      <c r="VOX230" s="31"/>
      <c r="VOY230" s="32"/>
      <c r="VOZ230" s="32"/>
      <c r="VPA230" s="32"/>
      <c r="VPB230" s="32"/>
      <c r="VPC230" s="32"/>
      <c r="VPD230" s="31"/>
      <c r="VPE230" s="31"/>
      <c r="VPF230" s="33"/>
      <c r="VPG230" s="33"/>
      <c r="VPH230" s="34"/>
      <c r="VPI230" s="34"/>
      <c r="VPJ230" s="35"/>
      <c r="VPK230" s="35"/>
      <c r="VPL230" s="32"/>
      <c r="VPM230" s="31"/>
      <c r="VPN230" s="31"/>
      <c r="VPO230" s="31"/>
      <c r="VPP230" s="32"/>
      <c r="VPQ230" s="32"/>
      <c r="VPR230" s="32"/>
      <c r="VPS230" s="32"/>
      <c r="VPT230" s="32"/>
      <c r="VPU230" s="31"/>
      <c r="VPV230" s="31"/>
      <c r="VPW230" s="33"/>
      <c r="VPX230" s="33"/>
      <c r="VPY230" s="34"/>
      <c r="VPZ230" s="34"/>
      <c r="VQA230" s="35"/>
      <c r="VQB230" s="35"/>
      <c r="VQC230" s="32"/>
      <c r="VQD230" s="31"/>
      <c r="VQE230" s="31"/>
      <c r="VQF230" s="31"/>
      <c r="VQG230" s="32"/>
      <c r="VQH230" s="32"/>
      <c r="VQI230" s="32"/>
      <c r="VQJ230" s="32"/>
      <c r="VQK230" s="32"/>
      <c r="VQL230" s="31"/>
      <c r="VQM230" s="31"/>
      <c r="VQN230" s="33"/>
      <c r="VQO230" s="33"/>
      <c r="VQP230" s="34"/>
      <c r="VQQ230" s="34"/>
      <c r="VQR230" s="35"/>
      <c r="VQS230" s="35"/>
      <c r="VQT230" s="32"/>
      <c r="VQU230" s="31"/>
      <c r="VQV230" s="31"/>
      <c r="VQW230" s="31"/>
      <c r="VQX230" s="32"/>
      <c r="VQY230" s="32"/>
      <c r="VQZ230" s="32"/>
      <c r="VRA230" s="32"/>
      <c r="VRB230" s="32"/>
      <c r="VRC230" s="31"/>
      <c r="VRD230" s="31"/>
      <c r="VRE230" s="33"/>
      <c r="VRF230" s="33"/>
      <c r="VRG230" s="34"/>
      <c r="VRH230" s="34"/>
      <c r="VRI230" s="35"/>
      <c r="VRJ230" s="35"/>
      <c r="VRK230" s="32"/>
      <c r="VRL230" s="31"/>
      <c r="VRM230" s="31"/>
      <c r="VRN230" s="31"/>
      <c r="VRO230" s="32"/>
      <c r="VRP230" s="32"/>
      <c r="VRQ230" s="32"/>
      <c r="VRR230" s="32"/>
      <c r="VRS230" s="32"/>
      <c r="VRT230" s="31"/>
      <c r="VRU230" s="31"/>
      <c r="VRV230" s="33"/>
      <c r="VRW230" s="33"/>
      <c r="VRX230" s="34"/>
      <c r="VRY230" s="34"/>
      <c r="VRZ230" s="35"/>
      <c r="VSA230" s="35"/>
      <c r="VSB230" s="32"/>
      <c r="VSC230" s="31"/>
      <c r="VSD230" s="31"/>
      <c r="VSE230" s="31"/>
      <c r="VSF230" s="32"/>
      <c r="VSG230" s="32"/>
      <c r="VSH230" s="32"/>
      <c r="VSI230" s="32"/>
      <c r="VSJ230" s="32"/>
      <c r="VSK230" s="31"/>
      <c r="VSL230" s="31"/>
      <c r="VSM230" s="33"/>
      <c r="VSN230" s="33"/>
      <c r="VSO230" s="34"/>
      <c r="VSP230" s="34"/>
      <c r="VSQ230" s="35"/>
      <c r="VSR230" s="35"/>
      <c r="VSS230" s="32"/>
      <c r="VST230" s="31"/>
      <c r="VSU230" s="31"/>
      <c r="VSV230" s="31"/>
      <c r="VSW230" s="32"/>
      <c r="VSX230" s="32"/>
      <c r="VSY230" s="32"/>
      <c r="VSZ230" s="32"/>
      <c r="VTA230" s="32"/>
      <c r="VTB230" s="31"/>
      <c r="VTC230" s="31"/>
      <c r="VTD230" s="33"/>
      <c r="VTE230" s="33"/>
      <c r="VTF230" s="34"/>
      <c r="VTG230" s="34"/>
      <c r="VTH230" s="35"/>
      <c r="VTI230" s="35"/>
      <c r="VTJ230" s="32"/>
      <c r="VTK230" s="31"/>
      <c r="VTL230" s="31"/>
      <c r="VTM230" s="31"/>
      <c r="VTN230" s="32"/>
      <c r="VTO230" s="32"/>
      <c r="VTP230" s="32"/>
      <c r="VTQ230" s="32"/>
      <c r="VTR230" s="32"/>
      <c r="VTS230" s="31"/>
      <c r="VTT230" s="31"/>
      <c r="VTU230" s="33"/>
      <c r="VTV230" s="33"/>
      <c r="VTW230" s="34"/>
      <c r="VTX230" s="34"/>
      <c r="VTY230" s="35"/>
      <c r="VTZ230" s="35"/>
      <c r="VUA230" s="32"/>
      <c r="VUB230" s="31"/>
      <c r="VUC230" s="31"/>
      <c r="VUD230" s="31"/>
      <c r="VUE230" s="32"/>
      <c r="VUF230" s="32"/>
      <c r="VUG230" s="32"/>
      <c r="VUH230" s="32"/>
      <c r="VUI230" s="32"/>
      <c r="VUJ230" s="31"/>
      <c r="VUK230" s="31"/>
      <c r="VUL230" s="33"/>
      <c r="VUM230" s="33"/>
      <c r="VUN230" s="34"/>
      <c r="VUO230" s="34"/>
      <c r="VUP230" s="35"/>
      <c r="VUQ230" s="35"/>
      <c r="VUR230" s="32"/>
      <c r="VUS230" s="31"/>
      <c r="VUT230" s="31"/>
      <c r="VUU230" s="31"/>
      <c r="VUV230" s="32"/>
      <c r="VUW230" s="32"/>
      <c r="VUX230" s="32"/>
      <c r="VUY230" s="32"/>
      <c r="VUZ230" s="32"/>
      <c r="VVA230" s="31"/>
      <c r="VVB230" s="31"/>
      <c r="VVC230" s="33"/>
      <c r="VVD230" s="33"/>
      <c r="VVE230" s="34"/>
      <c r="VVF230" s="34"/>
      <c r="VVG230" s="35"/>
      <c r="VVH230" s="35"/>
      <c r="VVI230" s="32"/>
      <c r="VVJ230" s="31"/>
      <c r="VVK230" s="31"/>
      <c r="VVL230" s="31"/>
      <c r="VVM230" s="32"/>
      <c r="VVN230" s="32"/>
      <c r="VVO230" s="32"/>
      <c r="VVP230" s="32"/>
      <c r="VVQ230" s="32"/>
      <c r="VVR230" s="31"/>
      <c r="VVS230" s="31"/>
      <c r="VVT230" s="33"/>
      <c r="VVU230" s="33"/>
      <c r="VVV230" s="34"/>
      <c r="VVW230" s="34"/>
      <c r="VVX230" s="35"/>
      <c r="VVY230" s="35"/>
      <c r="VVZ230" s="32"/>
      <c r="VWA230" s="31"/>
      <c r="VWB230" s="31"/>
      <c r="VWC230" s="31"/>
      <c r="VWD230" s="32"/>
      <c r="VWE230" s="32"/>
      <c r="VWF230" s="32"/>
      <c r="VWG230" s="32"/>
      <c r="VWH230" s="32"/>
      <c r="VWI230" s="31"/>
      <c r="VWJ230" s="31"/>
      <c r="VWK230" s="33"/>
      <c r="VWL230" s="33"/>
      <c r="VWM230" s="34"/>
      <c r="VWN230" s="34"/>
      <c r="VWO230" s="35"/>
      <c r="VWP230" s="35"/>
      <c r="VWQ230" s="32"/>
      <c r="VWR230" s="31"/>
      <c r="VWS230" s="31"/>
      <c r="VWT230" s="31"/>
      <c r="VWU230" s="32"/>
      <c r="VWV230" s="32"/>
      <c r="VWW230" s="32"/>
      <c r="VWX230" s="32"/>
      <c r="VWY230" s="32"/>
      <c r="VWZ230" s="31"/>
      <c r="VXA230" s="31"/>
      <c r="VXB230" s="33"/>
      <c r="VXC230" s="33"/>
      <c r="VXD230" s="34"/>
      <c r="VXE230" s="34"/>
      <c r="VXF230" s="35"/>
      <c r="VXG230" s="35"/>
      <c r="VXH230" s="32"/>
      <c r="VXI230" s="31"/>
      <c r="VXJ230" s="31"/>
      <c r="VXK230" s="31"/>
      <c r="VXL230" s="32"/>
      <c r="VXM230" s="32"/>
      <c r="VXN230" s="32"/>
      <c r="VXO230" s="32"/>
      <c r="VXP230" s="32"/>
      <c r="VXQ230" s="31"/>
      <c r="VXR230" s="31"/>
      <c r="VXS230" s="33"/>
      <c r="VXT230" s="33"/>
      <c r="VXU230" s="34"/>
      <c r="VXV230" s="34"/>
      <c r="VXW230" s="35"/>
      <c r="VXX230" s="35"/>
      <c r="VXY230" s="32"/>
      <c r="VXZ230" s="31"/>
      <c r="VYA230" s="31"/>
      <c r="VYB230" s="31"/>
      <c r="VYC230" s="32"/>
      <c r="VYD230" s="32"/>
      <c r="VYE230" s="32"/>
      <c r="VYF230" s="32"/>
      <c r="VYG230" s="32"/>
      <c r="VYH230" s="31"/>
      <c r="VYI230" s="31"/>
      <c r="VYJ230" s="33"/>
      <c r="VYK230" s="33"/>
      <c r="VYL230" s="34"/>
      <c r="VYM230" s="34"/>
      <c r="VYN230" s="35"/>
      <c r="VYO230" s="35"/>
      <c r="VYP230" s="32"/>
      <c r="VYQ230" s="31"/>
      <c r="VYR230" s="31"/>
      <c r="VYS230" s="31"/>
      <c r="VYT230" s="32"/>
      <c r="VYU230" s="32"/>
      <c r="VYV230" s="32"/>
      <c r="VYW230" s="32"/>
      <c r="VYX230" s="32"/>
      <c r="VYY230" s="31"/>
      <c r="VYZ230" s="31"/>
      <c r="VZA230" s="33"/>
      <c r="VZB230" s="33"/>
      <c r="VZC230" s="34"/>
      <c r="VZD230" s="34"/>
      <c r="VZE230" s="35"/>
      <c r="VZF230" s="35"/>
      <c r="VZG230" s="32"/>
      <c r="VZH230" s="31"/>
      <c r="VZI230" s="31"/>
      <c r="VZJ230" s="31"/>
      <c r="VZK230" s="32"/>
      <c r="VZL230" s="32"/>
      <c r="VZM230" s="32"/>
      <c r="VZN230" s="32"/>
      <c r="VZO230" s="32"/>
      <c r="VZP230" s="31"/>
      <c r="VZQ230" s="31"/>
      <c r="VZR230" s="33"/>
      <c r="VZS230" s="33"/>
      <c r="VZT230" s="34"/>
      <c r="VZU230" s="34"/>
      <c r="VZV230" s="35"/>
      <c r="VZW230" s="35"/>
      <c r="VZX230" s="32"/>
      <c r="VZY230" s="31"/>
      <c r="VZZ230" s="31"/>
      <c r="WAA230" s="31"/>
      <c r="WAB230" s="32"/>
      <c r="WAC230" s="32"/>
      <c r="WAD230" s="32"/>
      <c r="WAE230" s="32"/>
      <c r="WAF230" s="32"/>
      <c r="WAG230" s="31"/>
      <c r="WAH230" s="31"/>
      <c r="WAI230" s="33"/>
      <c r="WAJ230" s="33"/>
      <c r="WAK230" s="34"/>
      <c r="WAL230" s="34"/>
      <c r="WAM230" s="35"/>
      <c r="WAN230" s="35"/>
      <c r="WAO230" s="32"/>
      <c r="WAP230" s="31"/>
      <c r="WAQ230" s="31"/>
      <c r="WAR230" s="31"/>
      <c r="WAS230" s="32"/>
      <c r="WAT230" s="32"/>
      <c r="WAU230" s="32"/>
      <c r="WAV230" s="32"/>
      <c r="WAW230" s="32"/>
      <c r="WAX230" s="31"/>
      <c r="WAY230" s="31"/>
      <c r="WAZ230" s="33"/>
      <c r="WBA230" s="33"/>
      <c r="WBB230" s="34"/>
      <c r="WBC230" s="34"/>
      <c r="WBD230" s="35"/>
      <c r="WBE230" s="35"/>
      <c r="WBF230" s="32"/>
      <c r="WBG230" s="31"/>
      <c r="WBH230" s="31"/>
      <c r="WBI230" s="31"/>
      <c r="WBJ230" s="32"/>
      <c r="WBK230" s="32"/>
      <c r="WBL230" s="32"/>
      <c r="WBM230" s="32"/>
      <c r="WBN230" s="32"/>
      <c r="WBO230" s="31"/>
      <c r="WBP230" s="31"/>
      <c r="WBQ230" s="33"/>
      <c r="WBR230" s="33"/>
      <c r="WBS230" s="34"/>
      <c r="WBT230" s="34"/>
      <c r="WBU230" s="35"/>
      <c r="WBV230" s="35"/>
      <c r="WBW230" s="32"/>
      <c r="WBX230" s="31"/>
      <c r="WBY230" s="31"/>
      <c r="WBZ230" s="31"/>
      <c r="WCA230" s="32"/>
      <c r="WCB230" s="32"/>
      <c r="WCC230" s="32"/>
      <c r="WCD230" s="32"/>
      <c r="WCE230" s="32"/>
      <c r="WCF230" s="31"/>
      <c r="WCG230" s="31"/>
      <c r="WCH230" s="33"/>
      <c r="WCI230" s="33"/>
      <c r="WCJ230" s="34"/>
      <c r="WCK230" s="34"/>
      <c r="WCL230" s="35"/>
      <c r="WCM230" s="35"/>
      <c r="WCN230" s="32"/>
      <c r="WCO230" s="31"/>
      <c r="WCP230" s="31"/>
      <c r="WCQ230" s="31"/>
      <c r="WCR230" s="32"/>
      <c r="WCS230" s="32"/>
      <c r="WCT230" s="32"/>
      <c r="WCU230" s="32"/>
      <c r="WCV230" s="32"/>
      <c r="WCW230" s="31"/>
      <c r="WCX230" s="31"/>
      <c r="WCY230" s="33"/>
      <c r="WCZ230" s="33"/>
      <c r="WDA230" s="34"/>
      <c r="WDB230" s="34"/>
      <c r="WDC230" s="35"/>
      <c r="WDD230" s="35"/>
      <c r="WDE230" s="32"/>
      <c r="WDF230" s="31"/>
      <c r="WDG230" s="31"/>
      <c r="WDH230" s="31"/>
      <c r="WDI230" s="32"/>
      <c r="WDJ230" s="32"/>
      <c r="WDK230" s="32"/>
      <c r="WDL230" s="32"/>
      <c r="WDM230" s="32"/>
      <c r="WDN230" s="31"/>
      <c r="WDO230" s="31"/>
      <c r="WDP230" s="33"/>
      <c r="WDQ230" s="33"/>
      <c r="WDR230" s="34"/>
      <c r="WDS230" s="34"/>
      <c r="WDT230" s="35"/>
      <c r="WDU230" s="35"/>
      <c r="WDV230" s="32"/>
      <c r="WDW230" s="31"/>
      <c r="WDX230" s="31"/>
      <c r="WDY230" s="31"/>
      <c r="WDZ230" s="32"/>
      <c r="WEA230" s="32"/>
      <c r="WEB230" s="32"/>
      <c r="WEC230" s="32"/>
      <c r="WED230" s="32"/>
      <c r="WEE230" s="31"/>
      <c r="WEF230" s="31"/>
      <c r="WEG230" s="33"/>
      <c r="WEH230" s="33"/>
      <c r="WEI230" s="34"/>
      <c r="WEJ230" s="34"/>
      <c r="WEK230" s="35"/>
      <c r="WEL230" s="35"/>
      <c r="WEM230" s="32"/>
      <c r="WEN230" s="31"/>
      <c r="WEO230" s="31"/>
      <c r="WEP230" s="31"/>
      <c r="WEQ230" s="32"/>
      <c r="WER230" s="32"/>
      <c r="WES230" s="32"/>
      <c r="WET230" s="32"/>
      <c r="WEU230" s="32"/>
      <c r="WEV230" s="31"/>
      <c r="WEW230" s="31"/>
      <c r="WEX230" s="33"/>
      <c r="WEY230" s="33"/>
      <c r="WEZ230" s="34"/>
      <c r="WFA230" s="34"/>
      <c r="WFB230" s="35"/>
      <c r="WFC230" s="35"/>
      <c r="WFD230" s="32"/>
      <c r="WFE230" s="31"/>
      <c r="WFF230" s="31"/>
      <c r="WFG230" s="31"/>
      <c r="WFH230" s="32"/>
      <c r="WFI230" s="32"/>
      <c r="WFJ230" s="32"/>
      <c r="WFK230" s="32"/>
      <c r="WFL230" s="32"/>
      <c r="WFM230" s="31"/>
      <c r="WFN230" s="31"/>
      <c r="WFO230" s="33"/>
      <c r="WFP230" s="33"/>
      <c r="WFQ230" s="34"/>
      <c r="WFR230" s="34"/>
      <c r="WFS230" s="35"/>
      <c r="WFT230" s="35"/>
      <c r="WFU230" s="32"/>
      <c r="WFV230" s="31"/>
      <c r="WFW230" s="31"/>
      <c r="WFX230" s="31"/>
      <c r="WFY230" s="32"/>
      <c r="WFZ230" s="32"/>
      <c r="WGA230" s="32"/>
      <c r="WGB230" s="32"/>
      <c r="WGC230" s="32"/>
      <c r="WGD230" s="31"/>
      <c r="WGE230" s="31"/>
      <c r="WGF230" s="33"/>
      <c r="WGG230" s="33"/>
      <c r="WGH230" s="34"/>
      <c r="WGI230" s="34"/>
      <c r="WGJ230" s="35"/>
      <c r="WGK230" s="35"/>
      <c r="WGL230" s="32"/>
      <c r="WGM230" s="31"/>
      <c r="WGN230" s="31"/>
      <c r="WGO230" s="31"/>
      <c r="WGP230" s="32"/>
      <c r="WGQ230" s="32"/>
      <c r="WGR230" s="32"/>
      <c r="WGS230" s="32"/>
      <c r="WGT230" s="32"/>
      <c r="WGU230" s="31"/>
      <c r="WGV230" s="31"/>
      <c r="WGW230" s="33"/>
      <c r="WGX230" s="33"/>
      <c r="WGY230" s="34"/>
      <c r="WGZ230" s="34"/>
      <c r="WHA230" s="35"/>
      <c r="WHB230" s="35"/>
      <c r="WHC230" s="32"/>
      <c r="WHD230" s="31"/>
      <c r="WHE230" s="31"/>
      <c r="WHF230" s="31"/>
      <c r="WHG230" s="32"/>
      <c r="WHH230" s="32"/>
      <c r="WHI230" s="32"/>
      <c r="WHJ230" s="32"/>
      <c r="WHK230" s="32"/>
      <c r="WHL230" s="31"/>
      <c r="WHM230" s="31"/>
      <c r="WHN230" s="33"/>
      <c r="WHO230" s="33"/>
      <c r="WHP230" s="34"/>
      <c r="WHQ230" s="34"/>
      <c r="WHR230" s="35"/>
      <c r="WHS230" s="35"/>
      <c r="WHT230" s="32"/>
      <c r="WHU230" s="31"/>
      <c r="WHV230" s="31"/>
      <c r="WHW230" s="31"/>
      <c r="WHX230" s="32"/>
      <c r="WHY230" s="32"/>
      <c r="WHZ230" s="32"/>
      <c r="WIA230" s="32"/>
      <c r="WIB230" s="32"/>
      <c r="WIC230" s="31"/>
      <c r="WID230" s="31"/>
      <c r="WIE230" s="33"/>
      <c r="WIF230" s="33"/>
      <c r="WIG230" s="34"/>
      <c r="WIH230" s="34"/>
      <c r="WII230" s="35"/>
      <c r="WIJ230" s="35"/>
      <c r="WIK230" s="32"/>
      <c r="WIL230" s="31"/>
      <c r="WIM230" s="31"/>
      <c r="WIN230" s="31"/>
      <c r="WIO230" s="32"/>
      <c r="WIP230" s="32"/>
      <c r="WIQ230" s="32"/>
      <c r="WIR230" s="32"/>
      <c r="WIS230" s="32"/>
      <c r="WIT230" s="31"/>
      <c r="WIU230" s="31"/>
      <c r="WIV230" s="33"/>
      <c r="WIW230" s="33"/>
      <c r="WIX230" s="34"/>
      <c r="WIY230" s="34"/>
      <c r="WIZ230" s="35"/>
      <c r="WJA230" s="35"/>
      <c r="WJB230" s="32"/>
      <c r="WJC230" s="31"/>
      <c r="WJD230" s="31"/>
      <c r="WJE230" s="31"/>
      <c r="WJF230" s="32"/>
      <c r="WJG230" s="32"/>
      <c r="WJH230" s="32"/>
      <c r="WJI230" s="32"/>
      <c r="WJJ230" s="32"/>
      <c r="WJK230" s="31"/>
      <c r="WJL230" s="31"/>
      <c r="WJM230" s="33"/>
      <c r="WJN230" s="33"/>
      <c r="WJO230" s="34"/>
      <c r="WJP230" s="34"/>
      <c r="WJQ230" s="35"/>
      <c r="WJR230" s="35"/>
      <c r="WJS230" s="32"/>
      <c r="WJT230" s="31"/>
      <c r="WJU230" s="31"/>
      <c r="WJV230" s="31"/>
      <c r="WJW230" s="32"/>
      <c r="WJX230" s="32"/>
      <c r="WJY230" s="32"/>
      <c r="WJZ230" s="32"/>
      <c r="WKA230" s="32"/>
      <c r="WKB230" s="31"/>
      <c r="WKC230" s="31"/>
      <c r="WKD230" s="33"/>
      <c r="WKE230" s="33"/>
      <c r="WKF230" s="34"/>
      <c r="WKG230" s="34"/>
      <c r="WKH230" s="35"/>
      <c r="WKI230" s="35"/>
      <c r="WKJ230" s="32"/>
      <c r="WKK230" s="31"/>
      <c r="WKL230" s="31"/>
      <c r="WKM230" s="31"/>
      <c r="WKN230" s="32"/>
      <c r="WKO230" s="32"/>
      <c r="WKP230" s="32"/>
      <c r="WKQ230" s="32"/>
      <c r="WKR230" s="32"/>
      <c r="WKS230" s="31"/>
      <c r="WKT230" s="31"/>
      <c r="WKU230" s="33"/>
      <c r="WKV230" s="33"/>
      <c r="WKW230" s="34"/>
      <c r="WKX230" s="34"/>
      <c r="WKY230" s="35"/>
      <c r="WKZ230" s="35"/>
      <c r="WLA230" s="32"/>
      <c r="WLB230" s="31"/>
      <c r="WLC230" s="31"/>
      <c r="WLD230" s="31"/>
      <c r="WLE230" s="32"/>
      <c r="WLF230" s="32"/>
      <c r="WLG230" s="32"/>
      <c r="WLH230" s="32"/>
      <c r="WLI230" s="32"/>
      <c r="WLJ230" s="31"/>
      <c r="WLK230" s="31"/>
      <c r="WLL230" s="33"/>
      <c r="WLM230" s="33"/>
      <c r="WLN230" s="34"/>
      <c r="WLO230" s="34"/>
      <c r="WLP230" s="35"/>
      <c r="WLQ230" s="35"/>
      <c r="WLR230" s="32"/>
      <c r="WLS230" s="31"/>
      <c r="WLT230" s="31"/>
      <c r="WLU230" s="31"/>
      <c r="WLV230" s="32"/>
      <c r="WLW230" s="32"/>
      <c r="WLX230" s="32"/>
      <c r="WLY230" s="32"/>
      <c r="WLZ230" s="32"/>
      <c r="WMA230" s="31"/>
      <c r="WMB230" s="31"/>
      <c r="WMC230" s="33"/>
      <c r="WMD230" s="33"/>
      <c r="WME230" s="34"/>
      <c r="WMF230" s="34"/>
      <c r="WMG230" s="35"/>
      <c r="WMH230" s="35"/>
      <c r="WMI230" s="32"/>
      <c r="WMJ230" s="31"/>
      <c r="WMK230" s="31"/>
      <c r="WML230" s="31"/>
      <c r="WMM230" s="32"/>
      <c r="WMN230" s="32"/>
      <c r="WMO230" s="32"/>
      <c r="WMP230" s="32"/>
      <c r="WMQ230" s="32"/>
      <c r="WMR230" s="31"/>
      <c r="WMS230" s="31"/>
      <c r="WMT230" s="33"/>
      <c r="WMU230" s="33"/>
      <c r="WMV230" s="34"/>
      <c r="WMW230" s="34"/>
      <c r="WMX230" s="35"/>
      <c r="WMY230" s="35"/>
      <c r="WMZ230" s="32"/>
      <c r="WNA230" s="31"/>
      <c r="WNB230" s="31"/>
      <c r="WNC230" s="31"/>
      <c r="WND230" s="32"/>
      <c r="WNE230" s="32"/>
      <c r="WNF230" s="32"/>
      <c r="WNG230" s="32"/>
      <c r="WNH230" s="32"/>
      <c r="WNI230" s="31"/>
      <c r="WNJ230" s="31"/>
      <c r="WNK230" s="33"/>
      <c r="WNL230" s="33"/>
      <c r="WNM230" s="34"/>
      <c r="WNN230" s="34"/>
      <c r="WNO230" s="35"/>
      <c r="WNP230" s="35"/>
      <c r="WNQ230" s="32"/>
      <c r="WNR230" s="31"/>
      <c r="WNS230" s="31"/>
      <c r="WNT230" s="31"/>
      <c r="WNU230" s="32"/>
      <c r="WNV230" s="32"/>
      <c r="WNW230" s="32"/>
      <c r="WNX230" s="32"/>
      <c r="WNY230" s="32"/>
      <c r="WNZ230" s="31"/>
      <c r="WOA230" s="31"/>
      <c r="WOB230" s="33"/>
      <c r="WOC230" s="33"/>
      <c r="WOD230" s="34"/>
      <c r="WOE230" s="34"/>
      <c r="WOF230" s="35"/>
      <c r="WOG230" s="35"/>
      <c r="WOH230" s="32"/>
      <c r="WOI230" s="31"/>
      <c r="WOJ230" s="31"/>
      <c r="WOK230" s="31"/>
      <c r="WOL230" s="32"/>
      <c r="WOM230" s="32"/>
      <c r="WON230" s="32"/>
      <c r="WOO230" s="32"/>
      <c r="WOP230" s="32"/>
      <c r="WOQ230" s="31"/>
      <c r="WOR230" s="31"/>
      <c r="WOS230" s="33"/>
      <c r="WOT230" s="33"/>
      <c r="WOU230" s="34"/>
      <c r="WOV230" s="34"/>
      <c r="WOW230" s="35"/>
      <c r="WOX230" s="35"/>
      <c r="WOY230" s="32"/>
      <c r="WOZ230" s="31"/>
      <c r="WPA230" s="31"/>
      <c r="WPB230" s="31"/>
      <c r="WPC230" s="32"/>
      <c r="WPD230" s="32"/>
      <c r="WPE230" s="32"/>
      <c r="WPF230" s="32"/>
      <c r="WPG230" s="32"/>
      <c r="WPH230" s="31"/>
      <c r="WPI230" s="31"/>
      <c r="WPJ230" s="33"/>
      <c r="WPK230" s="33"/>
      <c r="WPL230" s="34"/>
      <c r="WPM230" s="34"/>
      <c r="WPN230" s="35"/>
      <c r="WPO230" s="35"/>
      <c r="WPP230" s="32"/>
      <c r="WPQ230" s="31"/>
      <c r="WPR230" s="31"/>
      <c r="WPS230" s="31"/>
      <c r="WPT230" s="32"/>
      <c r="WPU230" s="32"/>
      <c r="WPV230" s="32"/>
      <c r="WPW230" s="32"/>
      <c r="WPX230" s="32"/>
      <c r="WPY230" s="31"/>
      <c r="WPZ230" s="31"/>
      <c r="WQA230" s="33"/>
      <c r="WQB230" s="33"/>
      <c r="WQC230" s="34"/>
      <c r="WQD230" s="34"/>
      <c r="WQE230" s="35"/>
      <c r="WQF230" s="35"/>
      <c r="WQG230" s="32"/>
      <c r="WQH230" s="31"/>
      <c r="WQI230" s="31"/>
      <c r="WQJ230" s="31"/>
      <c r="WQK230" s="32"/>
      <c r="WQL230" s="32"/>
      <c r="WQM230" s="32"/>
      <c r="WQN230" s="32"/>
      <c r="WQO230" s="32"/>
      <c r="WQP230" s="31"/>
      <c r="WQQ230" s="31"/>
      <c r="WQR230" s="33"/>
      <c r="WQS230" s="33"/>
      <c r="WQT230" s="34"/>
      <c r="WQU230" s="34"/>
      <c r="WQV230" s="35"/>
      <c r="WQW230" s="35"/>
      <c r="WQX230" s="32"/>
      <c r="WQY230" s="31"/>
      <c r="WQZ230" s="31"/>
      <c r="WRA230" s="31"/>
      <c r="WRB230" s="32"/>
      <c r="WRC230" s="32"/>
      <c r="WRD230" s="32"/>
      <c r="WRE230" s="32"/>
      <c r="WRF230" s="32"/>
      <c r="WRG230" s="31"/>
      <c r="WRH230" s="31"/>
      <c r="WRI230" s="33"/>
      <c r="WRJ230" s="33"/>
      <c r="WRK230" s="34"/>
      <c r="WRL230" s="34"/>
      <c r="WRM230" s="35"/>
      <c r="WRN230" s="35"/>
      <c r="WRO230" s="32"/>
      <c r="WRP230" s="31"/>
      <c r="WRQ230" s="31"/>
      <c r="WRR230" s="31"/>
      <c r="WRS230" s="32"/>
      <c r="WRT230" s="32"/>
      <c r="WRU230" s="32"/>
      <c r="WRV230" s="32"/>
      <c r="WRW230" s="32"/>
      <c r="WRX230" s="31"/>
      <c r="WRY230" s="31"/>
      <c r="WRZ230" s="33"/>
      <c r="WSA230" s="33"/>
      <c r="WSB230" s="34"/>
      <c r="WSC230" s="34"/>
      <c r="WSD230" s="35"/>
      <c r="WSE230" s="35"/>
      <c r="WSF230" s="32"/>
      <c r="WSG230" s="31"/>
      <c r="WSH230" s="31"/>
      <c r="WSI230" s="31"/>
      <c r="WSJ230" s="32"/>
      <c r="WSK230" s="32"/>
      <c r="WSL230" s="32"/>
      <c r="WSM230" s="32"/>
      <c r="WSN230" s="32"/>
      <c r="WSO230" s="31"/>
      <c r="WSP230" s="31"/>
      <c r="WSQ230" s="33"/>
      <c r="WSR230" s="33"/>
      <c r="WSS230" s="34"/>
      <c r="WST230" s="34"/>
      <c r="WSU230" s="35"/>
      <c r="WSV230" s="35"/>
      <c r="WSW230" s="32"/>
      <c r="WSX230" s="31"/>
      <c r="WSY230" s="31"/>
      <c r="WSZ230" s="31"/>
      <c r="WTA230" s="32"/>
      <c r="WTB230" s="32"/>
      <c r="WTC230" s="32"/>
      <c r="WTD230" s="32"/>
      <c r="WTE230" s="32"/>
      <c r="WTF230" s="31"/>
      <c r="WTG230" s="31"/>
      <c r="WTH230" s="33"/>
      <c r="WTI230" s="33"/>
      <c r="WTJ230" s="34"/>
      <c r="WTK230" s="34"/>
      <c r="WTL230" s="35"/>
      <c r="WTM230" s="35"/>
      <c r="WTN230" s="32"/>
      <c r="WTO230" s="31"/>
      <c r="WTP230" s="31"/>
      <c r="WTQ230" s="31"/>
      <c r="WTR230" s="32"/>
      <c r="WTS230" s="32"/>
      <c r="WTT230" s="32"/>
      <c r="WTU230" s="32"/>
      <c r="WTV230" s="32"/>
      <c r="WTW230" s="31"/>
      <c r="WTX230" s="31"/>
      <c r="WTY230" s="33"/>
      <c r="WTZ230" s="33"/>
      <c r="WUA230" s="34"/>
      <c r="WUB230" s="34"/>
      <c r="WUC230" s="35"/>
      <c r="WUD230" s="35"/>
      <c r="WUE230" s="32"/>
      <c r="WUF230" s="31"/>
      <c r="WUG230" s="31"/>
      <c r="WUH230" s="31"/>
      <c r="WUI230" s="32"/>
      <c r="WUJ230" s="32"/>
      <c r="WUK230" s="32"/>
      <c r="WUL230" s="32"/>
      <c r="WUM230" s="32"/>
      <c r="WUN230" s="31"/>
      <c r="WUO230" s="31"/>
      <c r="WUP230" s="33"/>
      <c r="WUQ230" s="33"/>
      <c r="WUR230" s="34"/>
      <c r="WUS230" s="34"/>
      <c r="WUT230" s="35"/>
      <c r="WUU230" s="35"/>
      <c r="WUV230" s="32"/>
      <c r="WUW230" s="31"/>
      <c r="WUX230" s="31"/>
      <c r="WUY230" s="31"/>
      <c r="WUZ230" s="32"/>
      <c r="WVA230" s="32"/>
      <c r="WVB230" s="32"/>
      <c r="WVC230" s="32"/>
      <c r="WVD230" s="32"/>
      <c r="WVE230" s="31"/>
      <c r="WVF230" s="31"/>
      <c r="WVG230" s="33"/>
      <c r="WVH230" s="33"/>
      <c r="WVI230" s="34"/>
      <c r="WVJ230" s="34"/>
      <c r="WVK230" s="35"/>
      <c r="WVL230" s="35"/>
      <c r="WVM230" s="32"/>
      <c r="WVN230" s="31"/>
      <c r="WVO230" s="31"/>
      <c r="WVP230" s="31"/>
      <c r="WVQ230" s="32"/>
      <c r="WVR230" s="32"/>
      <c r="WVS230" s="32"/>
      <c r="WVT230" s="32"/>
      <c r="WVU230" s="32"/>
      <c r="WVV230" s="31"/>
      <c r="WVW230" s="31"/>
      <c r="WVX230" s="33"/>
      <c r="WVY230" s="33"/>
      <c r="WVZ230" s="34"/>
      <c r="WWA230" s="34"/>
      <c r="WWB230" s="35"/>
      <c r="WWC230" s="35"/>
      <c r="WWD230" s="32"/>
      <c r="WWE230" s="31"/>
      <c r="WWF230" s="31"/>
      <c r="WWG230" s="31"/>
      <c r="WWH230" s="32"/>
      <c r="WWI230" s="32"/>
      <c r="WWJ230" s="32"/>
      <c r="WWK230" s="32"/>
      <c r="WWL230" s="32"/>
      <c r="WWM230" s="31"/>
      <c r="WWN230" s="31"/>
      <c r="WWO230" s="33"/>
      <c r="WWP230" s="33"/>
      <c r="WWQ230" s="34"/>
      <c r="WWR230" s="34"/>
      <c r="WWS230" s="35"/>
      <c r="WWT230" s="35"/>
      <c r="WWU230" s="32"/>
      <c r="WWV230" s="31"/>
      <c r="WWW230" s="31"/>
      <c r="WWX230" s="31"/>
      <c r="WWY230" s="32"/>
      <c r="WWZ230" s="32"/>
      <c r="WXA230" s="32"/>
      <c r="WXB230" s="32"/>
      <c r="WXC230" s="32"/>
      <c r="WXD230" s="31"/>
      <c r="WXE230" s="31"/>
      <c r="WXF230" s="33"/>
      <c r="WXG230" s="33"/>
      <c r="WXH230" s="34"/>
      <c r="WXI230" s="34"/>
      <c r="WXJ230" s="35"/>
      <c r="WXK230" s="35"/>
      <c r="WXL230" s="32"/>
      <c r="WXM230" s="31"/>
      <c r="WXN230" s="31"/>
      <c r="WXO230" s="31"/>
      <c r="WXP230" s="32"/>
      <c r="WXQ230" s="32"/>
      <c r="WXR230" s="32"/>
      <c r="WXS230" s="32"/>
      <c r="WXT230" s="32"/>
      <c r="WXU230" s="31"/>
      <c r="WXV230" s="31"/>
      <c r="WXW230" s="33"/>
      <c r="WXX230" s="33"/>
      <c r="WXY230" s="34"/>
      <c r="WXZ230" s="34"/>
      <c r="WYA230" s="35"/>
      <c r="WYB230" s="35"/>
      <c r="WYC230" s="32"/>
      <c r="WYD230" s="31"/>
      <c r="WYE230" s="31"/>
      <c r="WYF230" s="31"/>
      <c r="WYG230" s="32"/>
      <c r="WYH230" s="32"/>
      <c r="WYI230" s="32"/>
      <c r="WYJ230" s="32"/>
      <c r="WYK230" s="32"/>
      <c r="WYL230" s="31"/>
      <c r="WYM230" s="31"/>
      <c r="WYN230" s="33"/>
      <c r="WYO230" s="33"/>
      <c r="WYP230" s="34"/>
      <c r="WYQ230" s="34"/>
      <c r="WYR230" s="35"/>
      <c r="WYS230" s="35"/>
      <c r="WYT230" s="32"/>
      <c r="WYU230" s="31"/>
      <c r="WYV230" s="31"/>
      <c r="WYW230" s="31"/>
      <c r="WYX230" s="32"/>
      <c r="WYY230" s="32"/>
      <c r="WYZ230" s="32"/>
      <c r="WZA230" s="32"/>
      <c r="WZB230" s="32"/>
      <c r="WZC230" s="31"/>
      <c r="WZD230" s="31"/>
      <c r="WZE230" s="33"/>
      <c r="WZF230" s="33"/>
      <c r="WZG230" s="34"/>
      <c r="WZH230" s="34"/>
      <c r="WZI230" s="35"/>
      <c r="WZJ230" s="35"/>
      <c r="WZK230" s="32"/>
      <c r="WZL230" s="31"/>
      <c r="WZM230" s="31"/>
      <c r="WZN230" s="31"/>
      <c r="WZO230" s="32"/>
      <c r="WZP230" s="32"/>
      <c r="WZQ230" s="32"/>
      <c r="WZR230" s="32"/>
      <c r="WZS230" s="32"/>
      <c r="WZT230" s="31"/>
      <c r="WZU230" s="31"/>
      <c r="WZV230" s="33"/>
      <c r="WZW230" s="33"/>
      <c r="WZX230" s="34"/>
      <c r="WZY230" s="34"/>
      <c r="WZZ230" s="35"/>
      <c r="XAA230" s="35"/>
      <c r="XAB230" s="32"/>
      <c r="XAC230" s="31"/>
      <c r="XAD230" s="31"/>
      <c r="XAE230" s="31"/>
      <c r="XAF230" s="32"/>
      <c r="XAG230" s="32"/>
      <c r="XAH230" s="32"/>
      <c r="XAI230" s="32"/>
      <c r="XAJ230" s="32"/>
      <c r="XAK230" s="31"/>
      <c r="XAL230" s="31"/>
      <c r="XAM230" s="33"/>
      <c r="XAN230" s="33"/>
      <c r="XAO230" s="34"/>
      <c r="XAP230" s="34"/>
      <c r="XAQ230" s="35"/>
      <c r="XAR230" s="35"/>
      <c r="XAS230" s="32"/>
      <c r="XAT230" s="31"/>
      <c r="XAU230" s="31"/>
      <c r="XAV230" s="31"/>
      <c r="XAW230" s="32"/>
      <c r="XAX230" s="32"/>
      <c r="XAY230" s="32"/>
      <c r="XAZ230" s="32"/>
      <c r="XBA230" s="32"/>
      <c r="XBB230" s="31"/>
      <c r="XBC230" s="31"/>
      <c r="XBD230" s="33"/>
      <c r="XBE230" s="33"/>
      <c r="XBF230" s="34"/>
      <c r="XBG230" s="34"/>
      <c r="XBH230" s="35"/>
      <c r="XBI230" s="35"/>
      <c r="XBJ230" s="32"/>
      <c r="XBK230" s="31"/>
      <c r="XBL230" s="31"/>
      <c r="XBM230" s="31"/>
      <c r="XBN230" s="32"/>
      <c r="XBO230" s="32"/>
      <c r="XBP230" s="32"/>
      <c r="XBQ230" s="32"/>
      <c r="XBR230" s="32"/>
      <c r="XBS230" s="31"/>
      <c r="XBT230" s="31"/>
      <c r="XBU230" s="33"/>
      <c r="XBV230" s="33"/>
      <c r="XBW230" s="34"/>
      <c r="XBX230" s="34"/>
      <c r="XBY230" s="35"/>
      <c r="XBZ230" s="35"/>
      <c r="XCA230" s="32"/>
      <c r="XCB230" s="31"/>
      <c r="XCC230" s="31"/>
      <c r="XCD230" s="31"/>
      <c r="XCE230" s="32"/>
      <c r="XCF230" s="32"/>
      <c r="XCG230" s="32"/>
      <c r="XCH230" s="32"/>
      <c r="XCI230" s="32"/>
      <c r="XCJ230" s="31"/>
      <c r="XCK230" s="31"/>
      <c r="XCL230" s="33"/>
      <c r="XCM230" s="33"/>
      <c r="XCN230" s="34"/>
      <c r="XCO230" s="34"/>
      <c r="XCP230" s="35"/>
      <c r="XCQ230" s="35"/>
      <c r="XCR230" s="32"/>
      <c r="XCS230" s="31"/>
      <c r="XCT230" s="31"/>
      <c r="XCU230" s="31"/>
      <c r="XCV230" s="32"/>
      <c r="XCW230" s="32"/>
      <c r="XCX230" s="32"/>
      <c r="XCY230" s="32"/>
      <c r="XCZ230" s="32"/>
      <c r="XDA230" s="31"/>
      <c r="XDB230" s="31"/>
      <c r="XDC230" s="33"/>
      <c r="XDD230" s="33"/>
      <c r="XDE230" s="34"/>
      <c r="XDF230" s="34"/>
      <c r="XDG230" s="35"/>
      <c r="XDH230" s="35"/>
      <c r="XDI230" s="32"/>
      <c r="XDJ230" s="31"/>
      <c r="XDK230" s="31"/>
      <c r="XDL230" s="31"/>
      <c r="XDM230" s="32"/>
      <c r="XDN230" s="32"/>
      <c r="XDO230" s="32"/>
      <c r="XDP230" s="32"/>
      <c r="XDQ230" s="32"/>
      <c r="XDR230" s="31"/>
      <c r="XDS230" s="31"/>
      <c r="XDT230" s="33"/>
      <c r="XDU230" s="33"/>
      <c r="XDV230" s="34"/>
      <c r="XDW230" s="34"/>
      <c r="XDX230" s="35"/>
      <c r="XDY230" s="35"/>
      <c r="XDZ230" s="32"/>
      <c r="XEA230" s="31"/>
      <c r="XEB230" s="31"/>
      <c r="XEC230" s="31"/>
      <c r="XED230" s="32"/>
      <c r="XEE230" s="32"/>
      <c r="XEF230" s="32"/>
      <c r="XEG230" s="32"/>
      <c r="XEH230" s="32"/>
      <c r="XEI230" s="31"/>
      <c r="XEJ230" s="31"/>
      <c r="XEK230" s="33"/>
      <c r="XEL230" s="33"/>
      <c r="XEM230" s="34"/>
      <c r="XEN230" s="34"/>
      <c r="XEO230" s="35"/>
      <c r="XEP230" s="35"/>
      <c r="XEQ230" s="32"/>
      <c r="XER230" s="31"/>
      <c r="XES230" s="31"/>
      <c r="XET230" s="31"/>
      <c r="XEU230" s="32"/>
      <c r="XEV230" s="32"/>
      <c r="XEW230" s="32"/>
      <c r="XEX230" s="32"/>
      <c r="XEY230" s="32"/>
      <c r="XEZ230" s="31"/>
      <c r="XFA230" s="31"/>
      <c r="XFB230" s="33"/>
      <c r="XFC230" s="33"/>
      <c r="XFD230" s="34"/>
    </row>
    <row r="231" spans="1:16384" ht="14.25" customHeight="1" x14ac:dyDescent="0.3">
      <c r="A231" s="31">
        <v>0</v>
      </c>
      <c r="B231" s="31">
        <v>1</v>
      </c>
      <c r="C231" s="31">
        <v>6</v>
      </c>
      <c r="D231" s="32" t="s">
        <v>1085</v>
      </c>
      <c r="E231" s="32" t="s">
        <v>167</v>
      </c>
      <c r="F231" s="32" t="s">
        <v>660</v>
      </c>
      <c r="G231" s="32" t="s">
        <v>179</v>
      </c>
      <c r="H231" s="32" t="s">
        <v>354</v>
      </c>
      <c r="I231" s="31" t="s">
        <v>381</v>
      </c>
      <c r="J231" s="31">
        <v>10</v>
      </c>
      <c r="K231" s="33" t="s">
        <v>722</v>
      </c>
      <c r="L231" s="33" t="s">
        <v>704</v>
      </c>
      <c r="M231" s="34" t="s">
        <v>707</v>
      </c>
      <c r="N231" s="34" t="s">
        <v>1750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1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16384" ht="14.25" customHeight="1" x14ac:dyDescent="0.3">
      <c r="A232" s="31">
        <v>0</v>
      </c>
      <c r="B232" s="31">
        <v>1</v>
      </c>
      <c r="C232" s="31">
        <v>6</v>
      </c>
      <c r="D232" s="32" t="s">
        <v>1229</v>
      </c>
      <c r="E232" s="32" t="s">
        <v>165</v>
      </c>
      <c r="F232" s="32" t="s">
        <v>1230</v>
      </c>
      <c r="G232" s="32" t="s">
        <v>1232</v>
      </c>
      <c r="H232" s="32" t="s">
        <v>354</v>
      </c>
      <c r="I232" s="31" t="s">
        <v>1231</v>
      </c>
      <c r="J232" s="31">
        <v>99</v>
      </c>
      <c r="K232" s="33" t="s">
        <v>722</v>
      </c>
      <c r="L232" s="33" t="s">
        <v>693</v>
      </c>
      <c r="M232" s="34" t="s">
        <v>1401</v>
      </c>
      <c r="N232" s="34" t="s">
        <v>1743</v>
      </c>
      <c r="O232" s="35">
        <v>1</v>
      </c>
      <c r="P232" s="35"/>
      <c r="Q232" s="32"/>
      <c r="R232" s="15"/>
      <c r="S232" s="15">
        <f t="shared" si="171"/>
        <v>0</v>
      </c>
      <c r="T232" s="15">
        <f t="shared" si="172"/>
        <v>0</v>
      </c>
      <c r="U232" s="15">
        <f t="shared" si="173"/>
        <v>0</v>
      </c>
      <c r="V232" s="15">
        <f t="shared" si="174"/>
        <v>0</v>
      </c>
      <c r="W232" s="15">
        <f t="shared" si="175"/>
        <v>0</v>
      </c>
      <c r="X232" s="15">
        <f t="shared" si="176"/>
        <v>0</v>
      </c>
      <c r="Y232" s="15">
        <f t="shared" si="177"/>
        <v>0</v>
      </c>
      <c r="Z232" s="15">
        <f t="shared" si="178"/>
        <v>0</v>
      </c>
      <c r="AA232" s="15">
        <f t="shared" si="179"/>
        <v>0</v>
      </c>
      <c r="AB232" s="10">
        <f t="shared" si="180"/>
        <v>0</v>
      </c>
      <c r="AC232" s="10"/>
      <c r="AD232" s="21">
        <f t="shared" si="181"/>
        <v>0</v>
      </c>
      <c r="AE232" s="21">
        <f t="shared" si="182"/>
        <v>1</v>
      </c>
      <c r="AF232" s="1">
        <f t="shared" si="167"/>
        <v>0</v>
      </c>
      <c r="AG232" s="1">
        <f t="shared" si="168"/>
        <v>1</v>
      </c>
      <c r="AH232" s="21">
        <f t="shared" si="169"/>
        <v>0</v>
      </c>
      <c r="AI232" s="15">
        <f t="shared" si="1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16384" ht="14.25" customHeight="1" x14ac:dyDescent="0.3">
      <c r="A233" s="31">
        <v>0</v>
      </c>
      <c r="B233" s="31">
        <v>1</v>
      </c>
      <c r="C233" s="31">
        <v>6</v>
      </c>
      <c r="D233" s="32" t="s">
        <v>978</v>
      </c>
      <c r="E233" s="32" t="s">
        <v>165</v>
      </c>
      <c r="F233" s="32" t="s">
        <v>976</v>
      </c>
      <c r="G233" s="32" t="s">
        <v>1105</v>
      </c>
      <c r="H233" s="32" t="s">
        <v>354</v>
      </c>
      <c r="I233" s="31" t="s">
        <v>977</v>
      </c>
      <c r="J233" s="31">
        <v>1</v>
      </c>
      <c r="K233" s="33" t="s">
        <v>956</v>
      </c>
      <c r="L233" s="33" t="s">
        <v>689</v>
      </c>
      <c r="M233" s="34" t="s">
        <v>1402</v>
      </c>
      <c r="N233" s="34" t="s">
        <v>1748</v>
      </c>
      <c r="O233" s="35">
        <v>1</v>
      </c>
      <c r="P233" s="35"/>
      <c r="Q233" s="32"/>
      <c r="S233" s="1">
        <f t="shared" si="171"/>
        <v>1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16384" ht="14.25" customHeight="1" x14ac:dyDescent="0.3">
      <c r="A234" s="31">
        <v>0</v>
      </c>
      <c r="B234" s="31">
        <v>1</v>
      </c>
      <c r="C234" s="31">
        <v>6</v>
      </c>
      <c r="D234" s="32" t="s">
        <v>521</v>
      </c>
      <c r="E234" s="32" t="s">
        <v>167</v>
      </c>
      <c r="F234" s="32" t="s">
        <v>522</v>
      </c>
      <c r="G234" s="32" t="s">
        <v>523</v>
      </c>
      <c r="H234" s="32" t="s">
        <v>354</v>
      </c>
      <c r="I234" s="31" t="s">
        <v>524</v>
      </c>
      <c r="J234" s="31">
        <v>99</v>
      </c>
      <c r="K234" s="33" t="s">
        <v>702</v>
      </c>
      <c r="L234" s="33">
        <v>40</v>
      </c>
      <c r="M234" s="34" t="s">
        <v>972</v>
      </c>
      <c r="N234" s="34" t="s">
        <v>1849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16384" ht="14.25" customHeight="1" x14ac:dyDescent="0.3">
      <c r="A235" s="38">
        <v>0</v>
      </c>
      <c r="B235" s="38">
        <v>1</v>
      </c>
      <c r="C235" s="38">
        <v>6</v>
      </c>
      <c r="D235" s="39" t="s">
        <v>1837</v>
      </c>
      <c r="E235" s="39" t="s">
        <v>1838</v>
      </c>
      <c r="F235" s="39" t="s">
        <v>1839</v>
      </c>
      <c r="G235" s="39"/>
      <c r="H235" s="39" t="s">
        <v>354</v>
      </c>
      <c r="I235" s="38" t="s">
        <v>1840</v>
      </c>
      <c r="J235" s="38"/>
      <c r="K235" s="40" t="s">
        <v>703</v>
      </c>
      <c r="L235" s="40"/>
      <c r="M235" s="41"/>
      <c r="N235" s="42"/>
      <c r="O235" s="43"/>
      <c r="P235" s="43">
        <v>1</v>
      </c>
      <c r="Q235" s="39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1</v>
      </c>
      <c r="AI235" s="1">
        <f t="shared" si="170"/>
        <v>0</v>
      </c>
    </row>
    <row r="236" spans="1:16384" ht="14.25" customHeight="1" x14ac:dyDescent="0.3">
      <c r="A236" s="31">
        <v>0</v>
      </c>
      <c r="B236" s="31">
        <v>1</v>
      </c>
      <c r="C236" s="31">
        <v>6</v>
      </c>
      <c r="D236" s="32" t="s">
        <v>1480</v>
      </c>
      <c r="E236" s="32" t="s">
        <v>167</v>
      </c>
      <c r="F236" s="32" t="s">
        <v>1482</v>
      </c>
      <c r="G236" s="32" t="s">
        <v>1483</v>
      </c>
      <c r="H236" s="32" t="s">
        <v>354</v>
      </c>
      <c r="I236" s="31" t="s">
        <v>1481</v>
      </c>
      <c r="J236" s="31">
        <v>99</v>
      </c>
      <c r="K236" s="33" t="s">
        <v>703</v>
      </c>
      <c r="L236" s="33">
        <v>62</v>
      </c>
      <c r="M236" s="34"/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16384" ht="14.25" customHeight="1" x14ac:dyDescent="0.3">
      <c r="A237" s="31">
        <v>0</v>
      </c>
      <c r="B237" s="31">
        <v>1</v>
      </c>
      <c r="C237" s="31">
        <v>6</v>
      </c>
      <c r="D237" s="32" t="s">
        <v>1196</v>
      </c>
      <c r="E237" s="32" t="s">
        <v>165</v>
      </c>
      <c r="F237" s="32" t="s">
        <v>1670</v>
      </c>
      <c r="G237" s="32" t="s">
        <v>213</v>
      </c>
      <c r="H237" s="32" t="s">
        <v>354</v>
      </c>
      <c r="I237" s="31" t="s">
        <v>1197</v>
      </c>
      <c r="J237" s="31">
        <v>1</v>
      </c>
      <c r="K237" s="33" t="s">
        <v>962</v>
      </c>
      <c r="L237" s="33" t="s">
        <v>687</v>
      </c>
      <c r="M237" s="34" t="s">
        <v>1572</v>
      </c>
      <c r="N237" s="34" t="s">
        <v>1755</v>
      </c>
      <c r="O237" s="35">
        <v>1</v>
      </c>
      <c r="P237" s="35"/>
      <c r="Q237" s="32"/>
      <c r="S237" s="1">
        <f t="shared" si="171"/>
        <v>1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16384" ht="14.25" customHeight="1" x14ac:dyDescent="0.3">
      <c r="A238" s="44">
        <v>0</v>
      </c>
      <c r="B238" s="44">
        <v>1</v>
      </c>
      <c r="C238" s="44">
        <v>6</v>
      </c>
      <c r="D238" s="45" t="s">
        <v>2073</v>
      </c>
      <c r="E238" s="45" t="s">
        <v>2074</v>
      </c>
      <c r="F238" s="45" t="s">
        <v>2075</v>
      </c>
      <c r="G238" s="45" t="s">
        <v>208</v>
      </c>
      <c r="H238" s="45" t="s">
        <v>354</v>
      </c>
      <c r="I238" s="44" t="s">
        <v>2076</v>
      </c>
      <c r="J238" s="44">
        <v>3</v>
      </c>
      <c r="K238" s="46" t="s">
        <v>703</v>
      </c>
      <c r="L238" s="46">
        <v>30</v>
      </c>
      <c r="M238" s="47" t="s">
        <v>2077</v>
      </c>
      <c r="N238" s="47" t="s">
        <v>1809</v>
      </c>
      <c r="O238" s="48"/>
      <c r="P238" s="48"/>
      <c r="Q238" s="45"/>
      <c r="S238" s="1">
        <f t="shared" si="171"/>
        <v>0</v>
      </c>
      <c r="T238" s="1">
        <f t="shared" si="172"/>
        <v>0</v>
      </c>
      <c r="U238" s="1">
        <f t="shared" si="173"/>
        <v>1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ref="AD238:AD241" si="183">+O238*P238</f>
        <v>0</v>
      </c>
      <c r="AE238" s="1">
        <f t="shared" ref="AE238:AE241" si="184">O238*(1-P238)</f>
        <v>0</v>
      </c>
      <c r="AF238" s="1">
        <f t="shared" ref="AF238:AF241" si="185">+O238*P238*(1-A238)</f>
        <v>0</v>
      </c>
      <c r="AG238" s="1">
        <f t="shared" ref="AG238:AG241" si="186">O238*(1-P238)*(1-A238)</f>
        <v>0</v>
      </c>
      <c r="AH238" s="1">
        <f t="shared" ref="AH238:AH241" si="187">+P238*(1-A238)</f>
        <v>0</v>
      </c>
      <c r="AI238" s="1">
        <f t="shared" ref="AI238:AI241" si="188">+(1-A238)*(1-P238)</f>
        <v>1</v>
      </c>
    </row>
    <row r="239" spans="1:16384" ht="14.25" customHeight="1" x14ac:dyDescent="0.3">
      <c r="A239" s="31">
        <v>0</v>
      </c>
      <c r="B239" s="31">
        <v>1</v>
      </c>
      <c r="C239" s="31">
        <v>6</v>
      </c>
      <c r="D239" s="32" t="s">
        <v>98</v>
      </c>
      <c r="E239" s="32" t="s">
        <v>167</v>
      </c>
      <c r="F239" s="32" t="s">
        <v>296</v>
      </c>
      <c r="G239" s="32" t="s">
        <v>285</v>
      </c>
      <c r="H239" s="32" t="s">
        <v>354</v>
      </c>
      <c r="I239" s="31" t="s">
        <v>1118</v>
      </c>
      <c r="J239" s="31">
        <v>10</v>
      </c>
      <c r="K239" s="33" t="s">
        <v>956</v>
      </c>
      <c r="L239" s="33" t="s">
        <v>694</v>
      </c>
      <c r="M239" s="34" t="s">
        <v>705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16384" ht="14.25" customHeight="1" x14ac:dyDescent="0.3">
      <c r="A240" s="31">
        <v>0</v>
      </c>
      <c r="B240" s="31">
        <v>1</v>
      </c>
      <c r="C240" s="31">
        <v>6</v>
      </c>
      <c r="D240" s="32" t="s">
        <v>603</v>
      </c>
      <c r="E240" s="32" t="s">
        <v>165</v>
      </c>
      <c r="F240" s="32" t="s">
        <v>605</v>
      </c>
      <c r="G240" s="32" t="s">
        <v>39</v>
      </c>
      <c r="H240" s="32" t="s">
        <v>354</v>
      </c>
      <c r="I240" s="31" t="s">
        <v>604</v>
      </c>
      <c r="J240" s="31">
        <v>99</v>
      </c>
      <c r="K240" s="33" t="s">
        <v>956</v>
      </c>
      <c r="L240" s="33" t="s">
        <v>693</v>
      </c>
      <c r="M240" s="34" t="s">
        <v>970</v>
      </c>
      <c r="N240" s="34" t="s">
        <v>1749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1162</v>
      </c>
      <c r="E241" s="32" t="s">
        <v>165</v>
      </c>
      <c r="F241" s="32" t="s">
        <v>1164</v>
      </c>
      <c r="G241" s="32" t="s">
        <v>220</v>
      </c>
      <c r="H241" s="32" t="s">
        <v>354</v>
      </c>
      <c r="I241" s="31" t="s">
        <v>1163</v>
      </c>
      <c r="J241" s="31">
        <v>8</v>
      </c>
      <c r="K241" s="33" t="s">
        <v>702</v>
      </c>
      <c r="L241" s="33" t="s">
        <v>1713</v>
      </c>
      <c r="M241" s="34" t="s">
        <v>1403</v>
      </c>
      <c r="N241" s="34" t="s">
        <v>1748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1</v>
      </c>
      <c r="AA241" s="1">
        <f t="shared" si="179"/>
        <v>0</v>
      </c>
      <c r="AB241" s="1">
        <f t="shared" si="180"/>
        <v>0</v>
      </c>
      <c r="AD241" s="1">
        <f t="shared" si="183"/>
        <v>0</v>
      </c>
      <c r="AE241" s="1">
        <f t="shared" si="184"/>
        <v>1</v>
      </c>
      <c r="AF241" s="1">
        <f t="shared" si="185"/>
        <v>0</v>
      </c>
      <c r="AG241" s="1">
        <f t="shared" si="186"/>
        <v>1</v>
      </c>
      <c r="AH241" s="1">
        <f t="shared" si="187"/>
        <v>0</v>
      </c>
      <c r="AI241" s="1">
        <f t="shared" si="188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564</v>
      </c>
      <c r="E242" s="32" t="s">
        <v>167</v>
      </c>
      <c r="F242" s="32" t="s">
        <v>661</v>
      </c>
      <c r="G242" s="32" t="s">
        <v>202</v>
      </c>
      <c r="H242" s="32" t="s">
        <v>354</v>
      </c>
      <c r="I242" s="31" t="s">
        <v>583</v>
      </c>
      <c r="J242" s="31">
        <v>10</v>
      </c>
      <c r="K242" s="33" t="s">
        <v>962</v>
      </c>
      <c r="L242" s="33" t="s">
        <v>693</v>
      </c>
      <c r="M242" s="34" t="s">
        <v>705</v>
      </c>
      <c r="N242" s="34" t="s">
        <v>1748</v>
      </c>
      <c r="O242" s="35">
        <v>1</v>
      </c>
      <c r="P242" s="35"/>
      <c r="Q242" s="36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1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3">
      <c r="A243" s="44">
        <v>0</v>
      </c>
      <c r="B243" s="44">
        <v>1</v>
      </c>
      <c r="C243" s="44">
        <v>6</v>
      </c>
      <c r="D243" s="45" t="s">
        <v>897</v>
      </c>
      <c r="E243" s="45" t="s">
        <v>167</v>
      </c>
      <c r="F243" s="45" t="s">
        <v>938</v>
      </c>
      <c r="G243" s="45" t="s">
        <v>939</v>
      </c>
      <c r="H243" s="45" t="s">
        <v>354</v>
      </c>
      <c r="I243" s="44" t="s">
        <v>953</v>
      </c>
      <c r="J243" s="44">
        <v>99</v>
      </c>
      <c r="K243" s="46" t="s">
        <v>702</v>
      </c>
      <c r="L243" s="46" t="s">
        <v>689</v>
      </c>
      <c r="M243" s="47" t="s">
        <v>1404</v>
      </c>
      <c r="N243" s="47" t="s">
        <v>1738</v>
      </c>
      <c r="O243" s="48"/>
      <c r="P243" s="48"/>
      <c r="Q243" s="45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0</v>
      </c>
      <c r="AI243" s="1">
        <f t="shared" si="170"/>
        <v>1</v>
      </c>
    </row>
    <row r="244" spans="1:35" ht="14.25" customHeight="1" x14ac:dyDescent="0.3">
      <c r="A244" s="31">
        <v>0</v>
      </c>
      <c r="B244" s="31">
        <v>1</v>
      </c>
      <c r="C244" s="31">
        <v>6</v>
      </c>
      <c r="D244" s="32" t="s">
        <v>100</v>
      </c>
      <c r="E244" s="32" t="s">
        <v>167</v>
      </c>
      <c r="F244" s="32" t="s">
        <v>662</v>
      </c>
      <c r="G244" s="32" t="s">
        <v>664</v>
      </c>
      <c r="H244" s="32" t="s">
        <v>354</v>
      </c>
      <c r="I244" s="31" t="s">
        <v>447</v>
      </c>
      <c r="J244" s="31">
        <v>99</v>
      </c>
      <c r="K244" s="33" t="s">
        <v>722</v>
      </c>
      <c r="L244" s="33" t="s">
        <v>696</v>
      </c>
      <c r="M244" s="34" t="s">
        <v>707</v>
      </c>
      <c r="N244" s="34" t="s">
        <v>1749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3">
      <c r="A245" s="38">
        <v>0</v>
      </c>
      <c r="B245" s="38">
        <v>1</v>
      </c>
      <c r="C245" s="38">
        <v>7</v>
      </c>
      <c r="D245" s="39" t="s">
        <v>86</v>
      </c>
      <c r="E245" s="39" t="s">
        <v>29</v>
      </c>
      <c r="F245" s="39" t="s">
        <v>663</v>
      </c>
      <c r="G245" s="39" t="s">
        <v>664</v>
      </c>
      <c r="H245" s="39" t="s">
        <v>354</v>
      </c>
      <c r="I245" s="38" t="s">
        <v>631</v>
      </c>
      <c r="J245" s="38">
        <v>99</v>
      </c>
      <c r="K245" s="40" t="s">
        <v>954</v>
      </c>
      <c r="L245" s="40" t="s">
        <v>693</v>
      </c>
      <c r="M245" s="41" t="s">
        <v>1405</v>
      </c>
      <c r="N245" s="42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3">
      <c r="A246" s="31">
        <v>0</v>
      </c>
      <c r="B246" s="31">
        <v>1</v>
      </c>
      <c r="C246" s="31">
        <v>7</v>
      </c>
      <c r="D246" s="32" t="s">
        <v>650</v>
      </c>
      <c r="E246" s="32" t="s">
        <v>29</v>
      </c>
      <c r="F246" s="32" t="s">
        <v>626</v>
      </c>
      <c r="G246" s="32" t="s">
        <v>232</v>
      </c>
      <c r="H246" s="32" t="s">
        <v>354</v>
      </c>
      <c r="I246" s="31" t="s">
        <v>627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1849</v>
      </c>
      <c r="O246" s="35">
        <v>1</v>
      </c>
      <c r="P246" s="35"/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1</v>
      </c>
      <c r="AF246" s="1">
        <f t="shared" si="167"/>
        <v>0</v>
      </c>
      <c r="AG246" s="1">
        <f t="shared" si="168"/>
        <v>1</v>
      </c>
      <c r="AH246" s="1">
        <f t="shared" si="169"/>
        <v>0</v>
      </c>
      <c r="AI246" s="1">
        <f t="shared" si="170"/>
        <v>1</v>
      </c>
    </row>
    <row r="247" spans="1:35" ht="14.25" customHeight="1" x14ac:dyDescent="0.3">
      <c r="A247" s="15">
        <v>0</v>
      </c>
      <c r="B247" s="15">
        <v>1</v>
      </c>
      <c r="C247" s="15">
        <v>7</v>
      </c>
      <c r="D247" s="16" t="s">
        <v>983</v>
      </c>
      <c r="E247" s="16" t="s">
        <v>29</v>
      </c>
      <c r="F247" s="16" t="s">
        <v>984</v>
      </c>
      <c r="G247" s="16" t="s">
        <v>985</v>
      </c>
      <c r="H247" s="16" t="s">
        <v>354</v>
      </c>
      <c r="I247" s="15" t="s">
        <v>982</v>
      </c>
      <c r="J247" s="15">
        <v>99</v>
      </c>
      <c r="K247" s="10" t="s">
        <v>703</v>
      </c>
      <c r="L247" s="10">
        <v>20</v>
      </c>
      <c r="M247" s="19" t="s">
        <v>973</v>
      </c>
      <c r="N247" s="19"/>
      <c r="Q247" s="16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0</v>
      </c>
      <c r="AI247" s="1">
        <f t="shared" si="170"/>
        <v>1</v>
      </c>
    </row>
    <row r="248" spans="1:35" ht="14.25" customHeight="1" x14ac:dyDescent="0.3">
      <c r="A248" s="38">
        <v>0</v>
      </c>
      <c r="B248" s="38">
        <v>1</v>
      </c>
      <c r="C248" s="38">
        <v>7</v>
      </c>
      <c r="D248" s="39" t="s">
        <v>591</v>
      </c>
      <c r="E248" s="39" t="s">
        <v>29</v>
      </c>
      <c r="F248" s="39" t="s">
        <v>592</v>
      </c>
      <c r="G248" s="39" t="s">
        <v>1073</v>
      </c>
      <c r="H248" s="39" t="s">
        <v>354</v>
      </c>
      <c r="I248" s="38" t="s">
        <v>593</v>
      </c>
      <c r="J248" s="38">
        <v>99</v>
      </c>
      <c r="K248" s="40" t="s">
        <v>703</v>
      </c>
      <c r="L248" s="40">
        <v>35</v>
      </c>
      <c r="M248" s="41" t="s">
        <v>1405</v>
      </c>
      <c r="N248" s="41"/>
      <c r="O248" s="43"/>
      <c r="P248" s="43">
        <v>1</v>
      </c>
      <c r="Q248" s="39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0</v>
      </c>
      <c r="AE248" s="1">
        <f t="shared" si="182"/>
        <v>0</v>
      </c>
      <c r="AF248" s="1">
        <f t="shared" si="167"/>
        <v>0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3">
      <c r="A249" s="31">
        <v>0</v>
      </c>
      <c r="B249" s="31">
        <v>1</v>
      </c>
      <c r="C249" s="31">
        <v>7</v>
      </c>
      <c r="D249" s="32" t="s">
        <v>1627</v>
      </c>
      <c r="E249" s="32" t="s">
        <v>29</v>
      </c>
      <c r="F249" s="32" t="s">
        <v>1682</v>
      </c>
      <c r="G249" s="32" t="s">
        <v>312</v>
      </c>
      <c r="H249" s="32" t="s">
        <v>354</v>
      </c>
      <c r="I249" s="31" t="s">
        <v>1628</v>
      </c>
      <c r="J249" s="31"/>
      <c r="K249" s="33" t="s">
        <v>713</v>
      </c>
      <c r="L249" s="33">
        <v>45</v>
      </c>
      <c r="M249" s="34" t="s">
        <v>1800</v>
      </c>
      <c r="N249" s="34" t="s">
        <v>1733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859</v>
      </c>
      <c r="E250" s="32" t="s">
        <v>29</v>
      </c>
      <c r="F250" s="32" t="s">
        <v>860</v>
      </c>
      <c r="G250" s="32" t="s">
        <v>202</v>
      </c>
      <c r="H250" s="32" t="s">
        <v>354</v>
      </c>
      <c r="I250" s="31" t="s">
        <v>861</v>
      </c>
      <c r="J250" s="31">
        <v>10</v>
      </c>
      <c r="K250" s="33" t="s">
        <v>713</v>
      </c>
      <c r="L250" s="33" t="s">
        <v>693</v>
      </c>
      <c r="M250" s="34" t="s">
        <v>1405</v>
      </c>
      <c r="N250" s="34" t="s">
        <v>1755</v>
      </c>
      <c r="O250" s="35">
        <v>1</v>
      </c>
      <c r="P250" s="35"/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280</v>
      </c>
      <c r="G251" s="32" t="s">
        <v>230</v>
      </c>
      <c r="H251" s="32" t="s">
        <v>354</v>
      </c>
      <c r="I251" s="31" t="s">
        <v>435</v>
      </c>
      <c r="J251" s="31">
        <v>7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1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1</v>
      </c>
      <c r="AG251" s="1">
        <f t="shared" si="168"/>
        <v>0</v>
      </c>
      <c r="AH251" s="1">
        <f t="shared" si="169"/>
        <v>1</v>
      </c>
      <c r="AI251" s="1">
        <f t="shared" si="170"/>
        <v>0</v>
      </c>
    </row>
    <row r="252" spans="1:35" ht="14.25" customHeight="1" x14ac:dyDescent="0.3">
      <c r="A252" s="31">
        <v>1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1601</v>
      </c>
      <c r="G252" s="32" t="s">
        <v>39</v>
      </c>
      <c r="H252" s="32" t="s">
        <v>354</v>
      </c>
      <c r="I252" s="31" t="s">
        <v>1602</v>
      </c>
      <c r="J252" s="31">
        <v>99</v>
      </c>
      <c r="K252" s="33" t="s">
        <v>713</v>
      </c>
      <c r="L252" s="33" t="s">
        <v>696</v>
      </c>
      <c r="M252" s="34" t="s">
        <v>973</v>
      </c>
      <c r="N252" s="34" t="s">
        <v>1727</v>
      </c>
      <c r="O252" s="35">
        <v>1</v>
      </c>
      <c r="P252" s="35">
        <v>1</v>
      </c>
      <c r="Q252" s="32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1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0</v>
      </c>
    </row>
    <row r="253" spans="1:35" ht="14.25" customHeight="1" x14ac:dyDescent="0.3">
      <c r="A253" s="49">
        <v>0</v>
      </c>
      <c r="B253" s="49">
        <v>1</v>
      </c>
      <c r="C253" s="49">
        <v>7</v>
      </c>
      <c r="D253" s="55" t="s">
        <v>1484</v>
      </c>
      <c r="E253" s="50" t="s">
        <v>29</v>
      </c>
      <c r="F253" s="55" t="s">
        <v>1004</v>
      </c>
      <c r="G253" s="55" t="s">
        <v>1102</v>
      </c>
      <c r="H253" s="55" t="s">
        <v>354</v>
      </c>
      <c r="I253" s="63" t="s">
        <v>1110</v>
      </c>
      <c r="J253" s="49">
        <v>10</v>
      </c>
      <c r="K253" s="51" t="s">
        <v>713</v>
      </c>
      <c r="L253" s="51" t="s">
        <v>694</v>
      </c>
      <c r="M253" s="52" t="s">
        <v>973</v>
      </c>
      <c r="N253" s="52" t="s">
        <v>1743</v>
      </c>
      <c r="O253" s="53">
        <v>1</v>
      </c>
      <c r="P253" s="53"/>
      <c r="Q253" s="55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1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ht="14.25" customHeight="1" x14ac:dyDescent="0.3">
      <c r="A254" s="31">
        <v>0</v>
      </c>
      <c r="B254" s="31">
        <v>1</v>
      </c>
      <c r="C254" s="31">
        <v>7</v>
      </c>
      <c r="D254" s="36" t="s">
        <v>1485</v>
      </c>
      <c r="E254" s="32" t="s">
        <v>29</v>
      </c>
      <c r="F254" s="36" t="s">
        <v>1002</v>
      </c>
      <c r="G254" s="36" t="s">
        <v>240</v>
      </c>
      <c r="H254" s="36" t="s">
        <v>354</v>
      </c>
      <c r="I254" s="37" t="s">
        <v>1003</v>
      </c>
      <c r="J254" s="31">
        <v>1</v>
      </c>
      <c r="K254" s="33" t="s">
        <v>961</v>
      </c>
      <c r="L254" s="33" t="s">
        <v>694</v>
      </c>
      <c r="M254" s="34" t="s">
        <v>973</v>
      </c>
      <c r="N254" s="34" t="s">
        <v>1801</v>
      </c>
      <c r="O254" s="35">
        <v>1</v>
      </c>
      <c r="P254" s="35"/>
      <c r="Q254" s="36"/>
      <c r="S254" s="1">
        <f t="shared" si="171"/>
        <v>1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1</v>
      </c>
      <c r="AF254" s="1">
        <f t="shared" si="167"/>
        <v>0</v>
      </c>
      <c r="AG254" s="1">
        <f t="shared" si="168"/>
        <v>1</v>
      </c>
      <c r="AH254" s="1">
        <f t="shared" si="169"/>
        <v>0</v>
      </c>
      <c r="AI254" s="1">
        <f t="shared" si="170"/>
        <v>1</v>
      </c>
    </row>
    <row r="255" spans="1:35" ht="14.25" customHeight="1" x14ac:dyDescent="0.3">
      <c r="A255" s="44">
        <v>0</v>
      </c>
      <c r="B255" s="44">
        <v>1</v>
      </c>
      <c r="C255" s="44">
        <v>7</v>
      </c>
      <c r="D255" s="45" t="s">
        <v>898</v>
      </c>
      <c r="E255" s="45" t="s">
        <v>29</v>
      </c>
      <c r="F255" s="45" t="s">
        <v>899</v>
      </c>
      <c r="G255" s="45" t="s">
        <v>39</v>
      </c>
      <c r="H255" s="45" t="s">
        <v>355</v>
      </c>
      <c r="I255" s="44" t="s">
        <v>900</v>
      </c>
      <c r="J255" s="44">
        <v>11</v>
      </c>
      <c r="K255" s="46" t="s">
        <v>703</v>
      </c>
      <c r="L255" s="46">
        <v>35</v>
      </c>
      <c r="M255" s="47" t="s">
        <v>1405</v>
      </c>
      <c r="N255" s="47" t="s">
        <v>1747</v>
      </c>
      <c r="O255" s="48"/>
      <c r="P255" s="48"/>
      <c r="Q255" s="65" t="s">
        <v>1903</v>
      </c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3">
      <c r="A256" s="31">
        <v>0</v>
      </c>
      <c r="B256" s="31">
        <v>1</v>
      </c>
      <c r="C256" s="31">
        <v>7</v>
      </c>
      <c r="D256" s="36" t="s">
        <v>1084</v>
      </c>
      <c r="E256" s="32" t="s">
        <v>29</v>
      </c>
      <c r="F256" s="36" t="s">
        <v>986</v>
      </c>
      <c r="G256" s="36" t="s">
        <v>203</v>
      </c>
      <c r="H256" s="36" t="s">
        <v>354</v>
      </c>
      <c r="I256" s="37" t="s">
        <v>987</v>
      </c>
      <c r="J256" s="31">
        <v>99</v>
      </c>
      <c r="K256" s="33" t="s">
        <v>713</v>
      </c>
      <c r="L256" s="33" t="s">
        <v>694</v>
      </c>
      <c r="M256" s="34" t="s">
        <v>1442</v>
      </c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3">
      <c r="A257" s="15">
        <v>0</v>
      </c>
      <c r="B257" s="15">
        <v>1</v>
      </c>
      <c r="C257" s="15">
        <v>7</v>
      </c>
      <c r="D257" s="16" t="s">
        <v>751</v>
      </c>
      <c r="E257" s="16" t="s">
        <v>29</v>
      </c>
      <c r="F257" s="16" t="s">
        <v>752</v>
      </c>
      <c r="G257" s="16" t="s">
        <v>753</v>
      </c>
      <c r="H257" s="16" t="s">
        <v>354</v>
      </c>
      <c r="I257" s="15" t="s">
        <v>754</v>
      </c>
      <c r="J257" s="15">
        <v>99</v>
      </c>
      <c r="K257" s="10" t="s">
        <v>703</v>
      </c>
      <c r="L257" s="10">
        <v>20</v>
      </c>
      <c r="M257" s="19" t="s">
        <v>1120</v>
      </c>
      <c r="N257" s="17"/>
      <c r="Q257" s="1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0</v>
      </c>
      <c r="AF257" s="1">
        <f t="shared" si="167"/>
        <v>0</v>
      </c>
      <c r="AG257" s="1">
        <f t="shared" si="168"/>
        <v>0</v>
      </c>
      <c r="AH257" s="1">
        <f t="shared" si="169"/>
        <v>0</v>
      </c>
      <c r="AI257" s="1">
        <f t="shared" si="170"/>
        <v>1</v>
      </c>
    </row>
    <row r="258" spans="1:35" ht="14.25" customHeight="1" x14ac:dyDescent="0.3">
      <c r="A258" s="31">
        <v>0</v>
      </c>
      <c r="B258" s="31">
        <v>1</v>
      </c>
      <c r="C258" s="31">
        <v>7</v>
      </c>
      <c r="D258" s="36" t="s">
        <v>828</v>
      </c>
      <c r="E258" s="32" t="s">
        <v>29</v>
      </c>
      <c r="F258" s="36" t="s">
        <v>829</v>
      </c>
      <c r="G258" s="36" t="s">
        <v>928</v>
      </c>
      <c r="H258" s="36" t="s">
        <v>354</v>
      </c>
      <c r="I258" s="37" t="s">
        <v>830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1825</v>
      </c>
      <c r="O258" s="35">
        <v>1</v>
      </c>
      <c r="P258" s="35"/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1720</v>
      </c>
      <c r="E259" s="32" t="s">
        <v>29</v>
      </c>
      <c r="F259" s="36" t="s">
        <v>1721</v>
      </c>
      <c r="G259" s="36" t="s">
        <v>249</v>
      </c>
      <c r="H259" s="36" t="s">
        <v>354</v>
      </c>
      <c r="I259" s="37" t="s">
        <v>1722</v>
      </c>
      <c r="J259" s="31"/>
      <c r="K259" s="33" t="s">
        <v>703</v>
      </c>
      <c r="L259" s="33"/>
      <c r="M259" s="34"/>
      <c r="N259" s="34" t="s">
        <v>1727</v>
      </c>
      <c r="O259" s="35">
        <v>1</v>
      </c>
      <c r="P259" s="35">
        <v>1</v>
      </c>
      <c r="Q259" s="36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2" t="s">
        <v>901</v>
      </c>
      <c r="E260" s="32" t="s">
        <v>29</v>
      </c>
      <c r="F260" s="32" t="s">
        <v>902</v>
      </c>
      <c r="G260" s="32" t="s">
        <v>228</v>
      </c>
      <c r="H260" s="32" t="s">
        <v>354</v>
      </c>
      <c r="I260" s="31" t="s">
        <v>903</v>
      </c>
      <c r="J260" s="31">
        <v>99</v>
      </c>
      <c r="K260" s="33" t="s">
        <v>713</v>
      </c>
      <c r="L260" s="33" t="s">
        <v>694</v>
      </c>
      <c r="M260" s="34" t="s">
        <v>1406</v>
      </c>
      <c r="N260" s="34" t="s">
        <v>1748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88</v>
      </c>
      <c r="E261" s="32" t="s">
        <v>29</v>
      </c>
      <c r="F261" s="32" t="s">
        <v>281</v>
      </c>
      <c r="G261" s="32" t="s">
        <v>238</v>
      </c>
      <c r="H261" s="32" t="s">
        <v>354</v>
      </c>
      <c r="I261" s="31" t="s">
        <v>437</v>
      </c>
      <c r="J261" s="31">
        <v>4</v>
      </c>
      <c r="K261" s="33" t="s">
        <v>954</v>
      </c>
      <c r="L261" s="33" t="s">
        <v>39</v>
      </c>
      <c r="M261" s="34" t="s">
        <v>39</v>
      </c>
      <c r="N261" s="34" t="s">
        <v>1727</v>
      </c>
      <c r="O261" s="35">
        <v>1</v>
      </c>
      <c r="P261" s="35">
        <v>1</v>
      </c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1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89</v>
      </c>
      <c r="E262" s="32" t="s">
        <v>29</v>
      </c>
      <c r="F262" s="32" t="s">
        <v>282</v>
      </c>
      <c r="G262" s="32" t="s">
        <v>283</v>
      </c>
      <c r="H262" s="32" t="s">
        <v>354</v>
      </c>
      <c r="I262" s="31" t="s">
        <v>943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2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1636</v>
      </c>
      <c r="E263" s="32" t="s">
        <v>29</v>
      </c>
      <c r="F263" s="36" t="s">
        <v>1535</v>
      </c>
      <c r="G263" s="36" t="s">
        <v>39</v>
      </c>
      <c r="H263" s="36" t="s">
        <v>886</v>
      </c>
      <c r="I263" s="37" t="s">
        <v>1536</v>
      </c>
      <c r="J263" s="31">
        <v>17</v>
      </c>
      <c r="K263" s="33" t="s">
        <v>713</v>
      </c>
      <c r="L263" s="33" t="s">
        <v>697</v>
      </c>
      <c r="M263" s="34" t="s">
        <v>1457</v>
      </c>
      <c r="N263" s="34" t="s">
        <v>1727</v>
      </c>
      <c r="O263" s="35">
        <v>1</v>
      </c>
      <c r="P263" s="35">
        <v>1</v>
      </c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1</v>
      </c>
      <c r="AE263" s="1">
        <f t="shared" si="182"/>
        <v>0</v>
      </c>
      <c r="AF263" s="1">
        <f t="shared" si="167"/>
        <v>1</v>
      </c>
      <c r="AG263" s="1">
        <f t="shared" si="168"/>
        <v>0</v>
      </c>
      <c r="AH263" s="1">
        <f t="shared" si="169"/>
        <v>1</v>
      </c>
      <c r="AI263" s="1">
        <f t="shared" si="170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1454</v>
      </c>
      <c r="E264" s="45" t="s">
        <v>29</v>
      </c>
      <c r="F264" s="45" t="s">
        <v>1455</v>
      </c>
      <c r="G264" s="45" t="s">
        <v>321</v>
      </c>
      <c r="H264" s="45" t="s">
        <v>354</v>
      </c>
      <c r="I264" s="44" t="s">
        <v>1456</v>
      </c>
      <c r="J264" s="44">
        <v>99</v>
      </c>
      <c r="K264" s="46" t="s">
        <v>703</v>
      </c>
      <c r="L264" s="46">
        <v>30</v>
      </c>
      <c r="M264" s="47" t="s">
        <v>1457</v>
      </c>
      <c r="N264" s="47" t="s">
        <v>1802</v>
      </c>
      <c r="O264" s="48"/>
      <c r="P264" s="48"/>
      <c r="Q264" s="45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0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847</v>
      </c>
      <c r="G265" s="36" t="s">
        <v>222</v>
      </c>
      <c r="H265" s="36" t="s">
        <v>354</v>
      </c>
      <c r="I265" s="37" t="s">
        <v>848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1</v>
      </c>
      <c r="AH265" s="1">
        <f t="shared" si="169"/>
        <v>0</v>
      </c>
      <c r="AI265" s="1">
        <f t="shared" si="170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846</v>
      </c>
      <c r="E266" s="32" t="s">
        <v>29</v>
      </c>
      <c r="F266" s="36" t="s">
        <v>930</v>
      </c>
      <c r="G266" s="36" t="s">
        <v>279</v>
      </c>
      <c r="H266" s="36" t="s">
        <v>354</v>
      </c>
      <c r="I266" s="37" t="s">
        <v>849</v>
      </c>
      <c r="J266" s="31">
        <v>99</v>
      </c>
      <c r="K266" s="33" t="s">
        <v>955</v>
      </c>
      <c r="L266" s="33" t="s">
        <v>694</v>
      </c>
      <c r="M266" s="34" t="s">
        <v>973</v>
      </c>
      <c r="N266" s="34" t="s">
        <v>1849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0</v>
      </c>
      <c r="AH266" s="1">
        <f t="shared" si="169"/>
        <v>0</v>
      </c>
      <c r="AI266" s="1">
        <f t="shared" si="170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1216</v>
      </c>
      <c r="E267" s="32" t="s">
        <v>29</v>
      </c>
      <c r="F267" s="32" t="s">
        <v>1217</v>
      </c>
      <c r="G267" s="32" t="s">
        <v>238</v>
      </c>
      <c r="H267" s="32" t="s">
        <v>354</v>
      </c>
      <c r="I267" s="31" t="s">
        <v>1361</v>
      </c>
      <c r="J267" s="31">
        <v>99</v>
      </c>
      <c r="K267" s="33" t="s">
        <v>713</v>
      </c>
      <c r="L267" s="33" t="s">
        <v>694</v>
      </c>
      <c r="M267" s="34" t="s">
        <v>1407</v>
      </c>
      <c r="N267" s="34" t="s">
        <v>1755</v>
      </c>
      <c r="O267" s="35">
        <v>1</v>
      </c>
      <c r="P267" s="35"/>
      <c r="Q267" s="32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ref="AD267:AD268" si="189">+O267*P267</f>
        <v>0</v>
      </c>
      <c r="AE267" s="1">
        <f t="shared" ref="AE267:AE268" si="190">O267*(1-P267)</f>
        <v>1</v>
      </c>
      <c r="AF267" s="1">
        <f t="shared" ref="AF267:AF268" si="191">+O267*P267*(1-A267)</f>
        <v>0</v>
      </c>
      <c r="AG267" s="1">
        <f t="shared" ref="AG267:AG268" si="192">O267*(1-P267)*(1-A267)</f>
        <v>1</v>
      </c>
      <c r="AH267" s="1">
        <f t="shared" ref="AH267:AH268" si="193">+P267*(1-A267)</f>
        <v>0</v>
      </c>
      <c r="AI267" s="1">
        <f t="shared" ref="AI267:AI268" si="194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1233</v>
      </c>
      <c r="E268" s="32" t="s">
        <v>29</v>
      </c>
      <c r="F268" s="36" t="s">
        <v>1234</v>
      </c>
      <c r="G268" s="36" t="s">
        <v>238</v>
      </c>
      <c r="H268" s="36" t="s">
        <v>354</v>
      </c>
      <c r="I268" s="37" t="s">
        <v>1235</v>
      </c>
      <c r="J268" s="31">
        <v>99</v>
      </c>
      <c r="K268" s="33" t="s">
        <v>713</v>
      </c>
      <c r="L268" s="33" t="s">
        <v>693</v>
      </c>
      <c r="M268" s="34" t="s">
        <v>1407</v>
      </c>
      <c r="N268" s="34" t="s">
        <v>1825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9"/>
        <v>0</v>
      </c>
      <c r="AE268" s="1">
        <f t="shared" si="190"/>
        <v>1</v>
      </c>
      <c r="AF268" s="1">
        <f t="shared" si="191"/>
        <v>0</v>
      </c>
      <c r="AG268" s="1">
        <f t="shared" si="192"/>
        <v>1</v>
      </c>
      <c r="AH268" s="1">
        <f t="shared" si="193"/>
        <v>0</v>
      </c>
      <c r="AI268" s="1">
        <f t="shared" si="194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93</v>
      </c>
      <c r="E269" s="32" t="s">
        <v>29</v>
      </c>
      <c r="F269" s="36" t="s">
        <v>288</v>
      </c>
      <c r="G269" s="36" t="s">
        <v>190</v>
      </c>
      <c r="H269" s="36" t="s">
        <v>354</v>
      </c>
      <c r="I269" s="37" t="s">
        <v>441</v>
      </c>
      <c r="J269" s="31">
        <v>99</v>
      </c>
      <c r="K269" s="33" t="s">
        <v>713</v>
      </c>
      <c r="L269" s="33" t="s">
        <v>694</v>
      </c>
      <c r="M269" s="34" t="s">
        <v>1408</v>
      </c>
      <c r="N269" s="34" t="s">
        <v>1750</v>
      </c>
      <c r="O269" s="35">
        <v>1</v>
      </c>
      <c r="P269" s="35"/>
      <c r="Q269" s="36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1</v>
      </c>
      <c r="AF269" s="1">
        <f t="shared" si="167"/>
        <v>0</v>
      </c>
      <c r="AG269" s="1">
        <f t="shared" si="168"/>
        <v>1</v>
      </c>
      <c r="AH269" s="1">
        <f t="shared" si="169"/>
        <v>0</v>
      </c>
      <c r="AI269" s="1">
        <f t="shared" si="170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871</v>
      </c>
      <c r="G270" s="45" t="s">
        <v>194</v>
      </c>
      <c r="H270" s="45" t="s">
        <v>354</v>
      </c>
      <c r="I270" s="4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1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45" t="s">
        <v>1068</v>
      </c>
      <c r="G271" s="45" t="s">
        <v>321</v>
      </c>
      <c r="H271" s="45" t="s">
        <v>354</v>
      </c>
      <c r="I271" s="44" t="s">
        <v>1069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2025</v>
      </c>
      <c r="G272" s="65" t="s">
        <v>194</v>
      </c>
      <c r="H272" s="45" t="s">
        <v>354</v>
      </c>
      <c r="I272" s="64" t="s">
        <v>872</v>
      </c>
      <c r="J272" s="44">
        <v>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ref="S272:S273" si="195">IF(J272=$S$7,1,0)</f>
        <v>0</v>
      </c>
      <c r="T272" s="1">
        <f t="shared" ref="T272:T273" si="196">IF(J272=$T$7,1,0)</f>
        <v>0</v>
      </c>
      <c r="U272" s="1">
        <f t="shared" ref="U272:U273" si="197">IF(J272=$U$7,1,0)</f>
        <v>0</v>
      </c>
      <c r="V272" s="1">
        <f t="shared" ref="V272:V273" si="198">IF(J272=$V$7,1,0)</f>
        <v>0</v>
      </c>
      <c r="W272" s="1">
        <f t="shared" ref="W272:W273" si="199">IF(J272=$W$7,1,0)</f>
        <v>0</v>
      </c>
      <c r="X272" s="1">
        <f t="shared" ref="X272:X273" si="200">IF(J272=$X$7,1,0)</f>
        <v>0</v>
      </c>
      <c r="Y272" s="1">
        <f t="shared" ref="Y272:Y273" si="201">IF(J272=$Y$7,1,0)</f>
        <v>0</v>
      </c>
      <c r="Z272" s="1">
        <f t="shared" ref="Z272:Z273" si="202">IF(J272=$Z$7,1,0)</f>
        <v>0</v>
      </c>
      <c r="AA272" s="1">
        <f t="shared" ref="AA272:AA273" si="203">IF(J272=$AA$7,1,0)</f>
        <v>1</v>
      </c>
      <c r="AB272" s="1">
        <f t="shared" ref="AB272:AB273" si="204">IF(J272=$AB$7,1,0)</f>
        <v>0</v>
      </c>
      <c r="AD272" s="1">
        <f t="shared" ref="AD272:AD273" si="205">+O272*P272</f>
        <v>0</v>
      </c>
      <c r="AE272" s="1">
        <f t="shared" ref="AE272:AE273" si="206">O272*(1-P272)</f>
        <v>0</v>
      </c>
      <c r="AF272" s="1">
        <f t="shared" ref="AF272:AF273" si="207">+O272*P272*(1-A272)</f>
        <v>0</v>
      </c>
      <c r="AG272" s="1">
        <f t="shared" ref="AG272:AG273" si="208">O272*(1-P272)*(1-A272)</f>
        <v>0</v>
      </c>
      <c r="AH272" s="1">
        <f t="shared" ref="AH272:AH273" si="209">+P272*(1-A272)</f>
        <v>0</v>
      </c>
      <c r="AI272" s="1">
        <f t="shared" ref="AI272:AI273" si="210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870</v>
      </c>
      <c r="E273" s="45" t="s">
        <v>29</v>
      </c>
      <c r="F273" s="65" t="s">
        <v>2027</v>
      </c>
      <c r="G273" s="65" t="s">
        <v>209</v>
      </c>
      <c r="H273" s="45" t="s">
        <v>354</v>
      </c>
      <c r="I273" s="64" t="s">
        <v>2026</v>
      </c>
      <c r="J273" s="44">
        <v>99</v>
      </c>
      <c r="K273" s="46" t="s">
        <v>713</v>
      </c>
      <c r="L273" s="46" t="s">
        <v>696</v>
      </c>
      <c r="M273" s="47" t="s">
        <v>708</v>
      </c>
      <c r="N273" s="47" t="s">
        <v>1735</v>
      </c>
      <c r="O273" s="48"/>
      <c r="P273" s="48"/>
      <c r="Q273" s="45"/>
      <c r="S273" s="1">
        <f t="shared" si="195"/>
        <v>0</v>
      </c>
      <c r="T273" s="1">
        <f t="shared" si="196"/>
        <v>0</v>
      </c>
      <c r="U273" s="1">
        <f t="shared" si="197"/>
        <v>0</v>
      </c>
      <c r="V273" s="1">
        <f t="shared" si="198"/>
        <v>0</v>
      </c>
      <c r="W273" s="1">
        <f t="shared" si="199"/>
        <v>0</v>
      </c>
      <c r="X273" s="1">
        <f t="shared" si="200"/>
        <v>0</v>
      </c>
      <c r="Y273" s="1">
        <f t="shared" si="201"/>
        <v>0</v>
      </c>
      <c r="Z273" s="1">
        <f t="shared" si="202"/>
        <v>0</v>
      </c>
      <c r="AA273" s="1">
        <f t="shared" si="203"/>
        <v>0</v>
      </c>
      <c r="AB273" s="1">
        <f t="shared" si="204"/>
        <v>0</v>
      </c>
      <c r="AD273" s="1">
        <f t="shared" si="205"/>
        <v>0</v>
      </c>
      <c r="AE273" s="1">
        <f t="shared" si="206"/>
        <v>0</v>
      </c>
      <c r="AF273" s="1">
        <f t="shared" si="207"/>
        <v>0</v>
      </c>
      <c r="AG273" s="1">
        <f t="shared" si="208"/>
        <v>0</v>
      </c>
      <c r="AH273" s="1">
        <f t="shared" si="209"/>
        <v>0</v>
      </c>
      <c r="AI273" s="1">
        <f t="shared" si="210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96</v>
      </c>
      <c r="E274" s="32" t="s">
        <v>29</v>
      </c>
      <c r="F274" s="36" t="s">
        <v>292</v>
      </c>
      <c r="G274" s="36" t="s">
        <v>293</v>
      </c>
      <c r="H274" s="36" t="s">
        <v>354</v>
      </c>
      <c r="I274" s="37" t="s">
        <v>1117</v>
      </c>
      <c r="J274" s="31">
        <v>99</v>
      </c>
      <c r="K274" s="33" t="s">
        <v>713</v>
      </c>
      <c r="L274" s="33" t="s">
        <v>696</v>
      </c>
      <c r="M274" s="34" t="s">
        <v>708</v>
      </c>
      <c r="N274" s="34" t="s">
        <v>1748</v>
      </c>
      <c r="O274" s="35">
        <v>1</v>
      </c>
      <c r="P274" s="35"/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1</v>
      </c>
      <c r="AF274" s="1">
        <f t="shared" si="167"/>
        <v>0</v>
      </c>
      <c r="AG274" s="1">
        <f t="shared" si="168"/>
        <v>1</v>
      </c>
      <c r="AH274" s="1">
        <f t="shared" si="169"/>
        <v>0</v>
      </c>
      <c r="AI274" s="1">
        <f t="shared" si="170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532</v>
      </c>
      <c r="E275" s="45" t="s">
        <v>29</v>
      </c>
      <c r="F275" s="45" t="s">
        <v>665</v>
      </c>
      <c r="G275" s="45" t="s">
        <v>39</v>
      </c>
      <c r="H275" s="45" t="s">
        <v>533</v>
      </c>
      <c r="I275" s="44" t="s">
        <v>1690</v>
      </c>
      <c r="J275" s="44">
        <v>14</v>
      </c>
      <c r="K275" s="46" t="s">
        <v>954</v>
      </c>
      <c r="L275" s="46">
        <v>40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167"/>
        <v>0</v>
      </c>
      <c r="AG275" s="1">
        <f t="shared" si="168"/>
        <v>0</v>
      </c>
      <c r="AH275" s="1">
        <f t="shared" si="169"/>
        <v>0</v>
      </c>
      <c r="AI275" s="1">
        <f t="shared" si="170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1321</v>
      </c>
      <c r="E276" s="32" t="s">
        <v>29</v>
      </c>
      <c r="F276" s="36" t="s">
        <v>1345</v>
      </c>
      <c r="G276" s="36" t="s">
        <v>39</v>
      </c>
      <c r="H276" s="36" t="s">
        <v>354</v>
      </c>
      <c r="I276" s="37" t="s">
        <v>1150</v>
      </c>
      <c r="J276" s="31">
        <v>99</v>
      </c>
      <c r="K276" s="33" t="s">
        <v>713</v>
      </c>
      <c r="L276" s="33" t="s">
        <v>693</v>
      </c>
      <c r="M276" s="34" t="s">
        <v>1409</v>
      </c>
      <c r="N276" s="34" t="s">
        <v>1733</v>
      </c>
      <c r="O276" s="35">
        <v>1</v>
      </c>
      <c r="P276" s="35">
        <v>1</v>
      </c>
      <c r="Q276" s="3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1</v>
      </c>
      <c r="AE276" s="1">
        <f t="shared" si="182"/>
        <v>0</v>
      </c>
      <c r="AF276" s="1">
        <f t="shared" si="167"/>
        <v>1</v>
      </c>
      <c r="AG276" s="1">
        <f t="shared" si="168"/>
        <v>0</v>
      </c>
      <c r="AH276" s="1">
        <f t="shared" si="169"/>
        <v>1</v>
      </c>
      <c r="AI276" s="1">
        <f t="shared" si="170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97</v>
      </c>
      <c r="E277" s="45" t="s">
        <v>29</v>
      </c>
      <c r="F277" s="45" t="s">
        <v>295</v>
      </c>
      <c r="G277" s="45" t="s">
        <v>263</v>
      </c>
      <c r="H277" s="45" t="s">
        <v>354</v>
      </c>
      <c r="I277" s="44" t="s">
        <v>445</v>
      </c>
      <c r="J277" s="44">
        <v>1</v>
      </c>
      <c r="K277" s="46" t="s">
        <v>713</v>
      </c>
      <c r="L277" s="46" t="s">
        <v>694</v>
      </c>
      <c r="M277" s="47" t="s">
        <v>708</v>
      </c>
      <c r="N277" s="47" t="s">
        <v>1735</v>
      </c>
      <c r="O277" s="48"/>
      <c r="P277" s="48"/>
      <c r="Q277" s="45"/>
      <c r="S277" s="1">
        <f t="shared" si="171"/>
        <v>1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ref="AF277:AF342" si="211">+O277*P277*(1-A277)</f>
        <v>0</v>
      </c>
      <c r="AG277" s="1">
        <f t="shared" ref="AG277:AG342" si="212">O277*(1-P277)*(1-A277)</f>
        <v>0</v>
      </c>
      <c r="AH277" s="1">
        <f t="shared" ref="AH277:AH342" si="213">+P277*(1-A277)</f>
        <v>0</v>
      </c>
      <c r="AI277" s="1">
        <f t="shared" ref="AI277:AI342" si="214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756</v>
      </c>
      <c r="G278" s="16" t="s">
        <v>39</v>
      </c>
      <c r="H278" s="16" t="s">
        <v>757</v>
      </c>
      <c r="I278" s="15" t="s">
        <v>758</v>
      </c>
      <c r="J278" s="15">
        <v>18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755</v>
      </c>
      <c r="E279" s="16" t="s">
        <v>29</v>
      </c>
      <c r="F279" s="16" t="s">
        <v>759</v>
      </c>
      <c r="G279" s="16" t="s">
        <v>39</v>
      </c>
      <c r="H279" s="16" t="s">
        <v>745</v>
      </c>
      <c r="I279" s="15" t="s">
        <v>760</v>
      </c>
      <c r="J279" s="15">
        <v>17</v>
      </c>
      <c r="K279" s="10" t="s">
        <v>703</v>
      </c>
      <c r="L279" s="10" t="s">
        <v>697</v>
      </c>
      <c r="M279" s="19" t="s">
        <v>708</v>
      </c>
      <c r="N279" s="17"/>
      <c r="Q279" s="1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0</v>
      </c>
      <c r="AE279" s="1">
        <f t="shared" si="182"/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1518</v>
      </c>
      <c r="E280" s="32" t="s">
        <v>29</v>
      </c>
      <c r="F280" s="36" t="s">
        <v>1671</v>
      </c>
      <c r="G280" s="36" t="s">
        <v>1672</v>
      </c>
      <c r="H280" s="36" t="s">
        <v>354</v>
      </c>
      <c r="I280" s="37" t="s">
        <v>1519</v>
      </c>
      <c r="J280" s="31">
        <v>99</v>
      </c>
      <c r="K280" s="33" t="s">
        <v>713</v>
      </c>
      <c r="L280" s="33" t="s">
        <v>39</v>
      </c>
      <c r="M280" s="34" t="s">
        <v>39</v>
      </c>
      <c r="N280" s="34" t="s">
        <v>1727</v>
      </c>
      <c r="O280" s="35">
        <v>1</v>
      </c>
      <c r="P280" s="35">
        <v>1</v>
      </c>
      <c r="Q280" s="36"/>
      <c r="S280" s="1">
        <f t="shared" si="171"/>
        <v>0</v>
      </c>
      <c r="T280" s="1">
        <f t="shared" si="172"/>
        <v>0</v>
      </c>
      <c r="U280" s="1">
        <f t="shared" si="173"/>
        <v>0</v>
      </c>
      <c r="V280" s="1">
        <f t="shared" si="174"/>
        <v>0</v>
      </c>
      <c r="W280" s="1">
        <f t="shared" si="175"/>
        <v>0</v>
      </c>
      <c r="X280" s="1">
        <f t="shared" si="176"/>
        <v>0</v>
      </c>
      <c r="Y280" s="1">
        <f t="shared" si="177"/>
        <v>0</v>
      </c>
      <c r="Z280" s="1">
        <f t="shared" si="178"/>
        <v>0</v>
      </c>
      <c r="AA280" s="1">
        <f t="shared" si="179"/>
        <v>0</v>
      </c>
      <c r="AB280" s="1">
        <f t="shared" si="180"/>
        <v>0</v>
      </c>
      <c r="AD280" s="1">
        <f t="shared" si="181"/>
        <v>1</v>
      </c>
      <c r="AE280" s="1">
        <f t="shared" si="182"/>
        <v>0</v>
      </c>
      <c r="AF280" s="1">
        <f t="shared" si="211"/>
        <v>1</v>
      </c>
      <c r="AG280" s="1">
        <f t="shared" si="212"/>
        <v>0</v>
      </c>
      <c r="AH280" s="1">
        <f t="shared" si="213"/>
        <v>1</v>
      </c>
      <c r="AI280" s="1">
        <f t="shared" si="214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1144</v>
      </c>
      <c r="E281" s="45" t="s">
        <v>29</v>
      </c>
      <c r="F281" s="45" t="s">
        <v>1145</v>
      </c>
      <c r="G281" s="45" t="s">
        <v>1147</v>
      </c>
      <c r="H281" s="45" t="s">
        <v>354</v>
      </c>
      <c r="I281" s="44" t="s">
        <v>1146</v>
      </c>
      <c r="J281" s="44">
        <v>99</v>
      </c>
      <c r="K281" s="46" t="s">
        <v>703</v>
      </c>
      <c r="L281" s="46">
        <v>30</v>
      </c>
      <c r="M281" s="47" t="s">
        <v>1410</v>
      </c>
      <c r="N281" s="47" t="s">
        <v>1809</v>
      </c>
      <c r="O281" s="48"/>
      <c r="P281" s="48"/>
      <c r="Q281" s="45"/>
      <c r="S281" s="1">
        <f t="shared" ref="S281:S346" si="215">IF(J281=$S$7,1,0)</f>
        <v>0</v>
      </c>
      <c r="T281" s="1">
        <f t="shared" ref="T281:T346" si="216">IF(J281=$T$7,1,0)</f>
        <v>0</v>
      </c>
      <c r="U281" s="1">
        <f t="shared" ref="U281:U346" si="217">IF(J281=$U$7,1,0)</f>
        <v>0</v>
      </c>
      <c r="V281" s="1">
        <f t="shared" ref="V281:V346" si="218">IF(J281=$V$7,1,0)</f>
        <v>0</v>
      </c>
      <c r="W281" s="1">
        <f t="shared" ref="W281:W346" si="219">IF(J281=$W$7,1,0)</f>
        <v>0</v>
      </c>
      <c r="X281" s="1">
        <f t="shared" ref="X281:X346" si="220">IF(J281=$X$7,1,0)</f>
        <v>0</v>
      </c>
      <c r="Y281" s="1">
        <f t="shared" ref="Y281:Y346" si="221">IF(J281=$Y$7,1,0)</f>
        <v>0</v>
      </c>
      <c r="Z281" s="1">
        <f t="shared" ref="Z281:Z346" si="222">IF(J281=$Z$7,1,0)</f>
        <v>0</v>
      </c>
      <c r="AA281" s="1">
        <f t="shared" ref="AA281:AA346" si="223">IF(J281=$AA$7,1,0)</f>
        <v>0</v>
      </c>
      <c r="AB281" s="1">
        <f t="shared" ref="AB281:AB346" si="224">IF(J281=$AB$7,1,0)</f>
        <v>0</v>
      </c>
      <c r="AD281" s="1">
        <f t="shared" ref="AD281:AD346" si="225">+O281*P281</f>
        <v>0</v>
      </c>
      <c r="AE281" s="1">
        <f t="shared" ref="AE281:AE346" si="226">O281*(1-P281)</f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99</v>
      </c>
      <c r="E282" s="32" t="s">
        <v>29</v>
      </c>
      <c r="F282" s="32" t="s">
        <v>297</v>
      </c>
      <c r="G282" s="32" t="s">
        <v>197</v>
      </c>
      <c r="H282" s="32" t="s">
        <v>354</v>
      </c>
      <c r="I282" s="31" t="s">
        <v>446</v>
      </c>
      <c r="J282" s="31">
        <v>9</v>
      </c>
      <c r="K282" s="33" t="s">
        <v>703</v>
      </c>
      <c r="L282" s="33">
        <v>30</v>
      </c>
      <c r="M282" s="34" t="s">
        <v>708</v>
      </c>
      <c r="N282" s="34" t="s">
        <v>1743</v>
      </c>
      <c r="O282" s="35">
        <v>1</v>
      </c>
      <c r="P282" s="35"/>
      <c r="Q282" s="32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1</v>
      </c>
      <c r="AB282" s="1">
        <f t="shared" si="224"/>
        <v>0</v>
      </c>
      <c r="AD282" s="1">
        <f t="shared" si="225"/>
        <v>0</v>
      </c>
      <c r="AE282" s="1">
        <f t="shared" si="226"/>
        <v>1</v>
      </c>
      <c r="AF282" s="1">
        <f t="shared" si="211"/>
        <v>0</v>
      </c>
      <c r="AG282" s="1">
        <f t="shared" si="212"/>
        <v>1</v>
      </c>
      <c r="AH282" s="1">
        <f t="shared" si="213"/>
        <v>0</v>
      </c>
      <c r="AI282" s="1">
        <f t="shared" si="214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803</v>
      </c>
      <c r="E283" s="45" t="s">
        <v>29</v>
      </c>
      <c r="F283" s="45" t="s">
        <v>782</v>
      </c>
      <c r="G283" s="45" t="s">
        <v>804</v>
      </c>
      <c r="H283" s="45" t="s">
        <v>354</v>
      </c>
      <c r="I283" s="44" t="s">
        <v>952</v>
      </c>
      <c r="J283" s="44">
        <v>99</v>
      </c>
      <c r="K283" s="46" t="s">
        <v>713</v>
      </c>
      <c r="L283" s="46" t="s">
        <v>694</v>
      </c>
      <c r="M283" s="47" t="s">
        <v>708</v>
      </c>
      <c r="N283" s="47" t="s">
        <v>1802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1324</v>
      </c>
      <c r="E284" s="45" t="s">
        <v>29</v>
      </c>
      <c r="F284" s="45" t="s">
        <v>1347</v>
      </c>
      <c r="G284" s="45" t="s">
        <v>1181</v>
      </c>
      <c r="H284" s="45" t="s">
        <v>354</v>
      </c>
      <c r="I284" s="44" t="s">
        <v>1692</v>
      </c>
      <c r="J284" s="44">
        <v>99</v>
      </c>
      <c r="K284" s="46" t="s">
        <v>713</v>
      </c>
      <c r="L284" s="46" t="s">
        <v>694</v>
      </c>
      <c r="M284" s="47" t="s">
        <v>1411</v>
      </c>
      <c r="N284" s="47" t="s">
        <v>1738</v>
      </c>
      <c r="O284" s="48"/>
      <c r="P284" s="48"/>
      <c r="Q284" s="45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1279</v>
      </c>
      <c r="E285" s="16" t="s">
        <v>29</v>
      </c>
      <c r="F285" s="16" t="s">
        <v>1280</v>
      </c>
      <c r="G285" s="16" t="s">
        <v>1281</v>
      </c>
      <c r="H285" s="16" t="s">
        <v>354</v>
      </c>
      <c r="I285" s="15" t="s">
        <v>1282</v>
      </c>
      <c r="J285" s="15">
        <v>99</v>
      </c>
      <c r="K285" s="10" t="s">
        <v>713</v>
      </c>
      <c r="L285" s="10" t="s">
        <v>694</v>
      </c>
      <c r="M285" s="19" t="s">
        <v>708</v>
      </c>
      <c r="N285" s="17"/>
      <c r="Q285" s="16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0</v>
      </c>
      <c r="AF285" s="1">
        <f t="shared" si="211"/>
        <v>0</v>
      </c>
      <c r="AG285" s="1">
        <f t="shared" si="212"/>
        <v>0</v>
      </c>
      <c r="AH285" s="1">
        <f t="shared" si="213"/>
        <v>0</v>
      </c>
      <c r="AI285" s="1">
        <f t="shared" si="214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709</v>
      </c>
      <c r="E286" s="32" t="s">
        <v>29</v>
      </c>
      <c r="F286" s="32" t="s">
        <v>710</v>
      </c>
      <c r="G286" s="32" t="s">
        <v>184</v>
      </c>
      <c r="H286" s="32" t="s">
        <v>354</v>
      </c>
      <c r="I286" s="31" t="s">
        <v>711</v>
      </c>
      <c r="J286" s="31">
        <v>99</v>
      </c>
      <c r="K286" s="33" t="s">
        <v>955</v>
      </c>
      <c r="L286" s="33" t="s">
        <v>39</v>
      </c>
      <c r="M286" s="34" t="s">
        <v>39</v>
      </c>
      <c r="N286" s="34" t="s">
        <v>1733</v>
      </c>
      <c r="O286" s="35">
        <v>1</v>
      </c>
      <c r="P286" s="35">
        <v>1</v>
      </c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1</v>
      </c>
      <c r="AE286" s="1">
        <f t="shared" si="226"/>
        <v>0</v>
      </c>
      <c r="AF286" s="1">
        <f t="shared" si="211"/>
        <v>1</v>
      </c>
      <c r="AG286" s="1">
        <f t="shared" si="212"/>
        <v>0</v>
      </c>
      <c r="AH286" s="1">
        <f t="shared" si="213"/>
        <v>1</v>
      </c>
      <c r="AI286" s="1">
        <f t="shared" si="214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536</v>
      </c>
      <c r="E287" s="32" t="s">
        <v>34</v>
      </c>
      <c r="F287" s="32" t="s">
        <v>537</v>
      </c>
      <c r="G287" s="32" t="s">
        <v>220</v>
      </c>
      <c r="H287" s="32" t="s">
        <v>354</v>
      </c>
      <c r="I287" s="31" t="s">
        <v>538</v>
      </c>
      <c r="J287" s="31">
        <v>8</v>
      </c>
      <c r="K287" s="33" t="s">
        <v>713</v>
      </c>
      <c r="L287" s="33" t="s">
        <v>713</v>
      </c>
      <c r="M287" s="34" t="s">
        <v>714</v>
      </c>
      <c r="N287" s="34" t="s">
        <v>1748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1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1290</v>
      </c>
      <c r="E288" s="32" t="s">
        <v>561</v>
      </c>
      <c r="F288" s="32" t="s">
        <v>1291</v>
      </c>
      <c r="G288" s="32" t="s">
        <v>230</v>
      </c>
      <c r="H288" s="32" t="s">
        <v>354</v>
      </c>
      <c r="I288" s="31" t="s">
        <v>1292</v>
      </c>
      <c r="J288" s="31">
        <v>7</v>
      </c>
      <c r="K288" s="33" t="s">
        <v>713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1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1326</v>
      </c>
      <c r="E289" s="32" t="s">
        <v>561</v>
      </c>
      <c r="F289" s="32" t="s">
        <v>1988</v>
      </c>
      <c r="G289" s="32" t="s">
        <v>213</v>
      </c>
      <c r="H289" s="32" t="s">
        <v>354</v>
      </c>
      <c r="I289" s="31" t="s">
        <v>1156</v>
      </c>
      <c r="J289" s="31">
        <v>1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1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1327</v>
      </c>
      <c r="E290" s="32" t="s">
        <v>561</v>
      </c>
      <c r="F290" s="32" t="s">
        <v>1151</v>
      </c>
      <c r="G290" s="32" t="s">
        <v>285</v>
      </c>
      <c r="H290" s="32" t="s">
        <v>354</v>
      </c>
      <c r="I290" s="31" t="s">
        <v>1152</v>
      </c>
      <c r="J290" s="31">
        <v>10</v>
      </c>
      <c r="K290" s="33" t="s">
        <v>954</v>
      </c>
      <c r="L290" s="33" t="s">
        <v>713</v>
      </c>
      <c r="M290" s="34" t="s">
        <v>714</v>
      </c>
      <c r="N290" s="34" t="s">
        <v>1761</v>
      </c>
      <c r="O290" s="35">
        <v>1</v>
      </c>
      <c r="P290" s="35"/>
      <c r="Q290" s="32"/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1</v>
      </c>
      <c r="AD290" s="1">
        <f t="shared" si="225"/>
        <v>0</v>
      </c>
      <c r="AE290" s="1">
        <f t="shared" si="226"/>
        <v>1</v>
      </c>
      <c r="AF290" s="1">
        <f t="shared" si="211"/>
        <v>0</v>
      </c>
      <c r="AG290" s="1">
        <f t="shared" si="212"/>
        <v>1</v>
      </c>
      <c r="AH290" s="1">
        <f t="shared" si="213"/>
        <v>0</v>
      </c>
      <c r="AI290" s="1">
        <f t="shared" si="214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2068</v>
      </c>
      <c r="E291" s="20" t="s">
        <v>36</v>
      </c>
      <c r="F291" s="20" t="s">
        <v>2069</v>
      </c>
      <c r="G291" s="20" t="s">
        <v>1483</v>
      </c>
      <c r="H291" s="20" t="s">
        <v>354</v>
      </c>
      <c r="I291" s="21" t="s">
        <v>2071</v>
      </c>
      <c r="J291" s="15">
        <v>99</v>
      </c>
      <c r="K291" s="10" t="s">
        <v>703</v>
      </c>
      <c r="L291" s="10">
        <v>7</v>
      </c>
      <c r="M291" s="19" t="s">
        <v>2070</v>
      </c>
      <c r="N291" s="19"/>
      <c r="Q291" s="20" t="s">
        <v>2072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ref="AD291:AD295" si="227">+O291*P291</f>
        <v>0</v>
      </c>
      <c r="AE291" s="1">
        <f t="shared" ref="AE291:AE295" si="228">O291*(1-P291)</f>
        <v>0</v>
      </c>
      <c r="AF291" s="1">
        <f t="shared" ref="AF291:AF295" si="229">+O291*P291*(1-A291)</f>
        <v>0</v>
      </c>
      <c r="AG291" s="1">
        <f t="shared" ref="AG291:AG295" si="230">O291*(1-P291)*(1-A291)</f>
        <v>0</v>
      </c>
      <c r="AH291" s="1">
        <f t="shared" ref="AH291:AH295" si="231">+P291*(1-A291)</f>
        <v>0</v>
      </c>
      <c r="AI291" s="1">
        <f t="shared" ref="AI291:AI295" si="232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512</v>
      </c>
      <c r="E292" s="16" t="s">
        <v>34</v>
      </c>
      <c r="F292" s="16" t="s">
        <v>511</v>
      </c>
      <c r="G292" s="16" t="s">
        <v>546</v>
      </c>
      <c r="H292" s="16" t="s">
        <v>354</v>
      </c>
      <c r="I292" s="15" t="s">
        <v>1364</v>
      </c>
      <c r="J292" s="15">
        <v>99</v>
      </c>
      <c r="K292" s="10" t="s">
        <v>955</v>
      </c>
      <c r="L292" s="10" t="s">
        <v>713</v>
      </c>
      <c r="M292" s="19" t="s">
        <v>714</v>
      </c>
      <c r="N292" s="19"/>
      <c r="Q292" s="20" t="s">
        <v>2012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1</v>
      </c>
    </row>
    <row r="293" spans="1:35" ht="14.25" customHeight="1" x14ac:dyDescent="0.3">
      <c r="A293" s="38">
        <v>0</v>
      </c>
      <c r="B293" s="38">
        <v>2</v>
      </c>
      <c r="C293" s="38">
        <v>1</v>
      </c>
      <c r="D293" s="39" t="s">
        <v>1042</v>
      </c>
      <c r="E293" s="39" t="s">
        <v>36</v>
      </c>
      <c r="F293" s="39" t="s">
        <v>1659</v>
      </c>
      <c r="G293" s="39" t="s">
        <v>628</v>
      </c>
      <c r="H293" s="39" t="s">
        <v>354</v>
      </c>
      <c r="I293" s="38" t="s">
        <v>1043</v>
      </c>
      <c r="J293" s="38">
        <v>99</v>
      </c>
      <c r="K293" s="40" t="s">
        <v>959</v>
      </c>
      <c r="L293" s="40" t="s">
        <v>713</v>
      </c>
      <c r="M293" s="41" t="s">
        <v>714</v>
      </c>
      <c r="N293" s="42"/>
      <c r="O293" s="43"/>
      <c r="P293" s="43">
        <v>1</v>
      </c>
      <c r="Q293" s="54" t="s">
        <v>1899</v>
      </c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0</v>
      </c>
      <c r="AF293" s="1">
        <f t="shared" si="229"/>
        <v>0</v>
      </c>
      <c r="AG293" s="1">
        <f t="shared" si="230"/>
        <v>0</v>
      </c>
      <c r="AH293" s="1">
        <f t="shared" si="231"/>
        <v>1</v>
      </c>
      <c r="AI293" s="1">
        <f t="shared" si="232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1314</v>
      </c>
      <c r="F294" s="32" t="s">
        <v>191</v>
      </c>
      <c r="G294" s="32" t="s">
        <v>192</v>
      </c>
      <c r="H294" s="32" t="s">
        <v>354</v>
      </c>
      <c r="I294" s="31" t="s">
        <v>386</v>
      </c>
      <c r="J294" s="31">
        <v>99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0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0</v>
      </c>
      <c r="AH294" s="1">
        <f t="shared" si="231"/>
        <v>0</v>
      </c>
      <c r="AI294" s="1">
        <f t="shared" si="232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1074</v>
      </c>
      <c r="E295" s="32" t="s">
        <v>1314</v>
      </c>
      <c r="F295" s="32" t="s">
        <v>1089</v>
      </c>
      <c r="G295" s="32" t="s">
        <v>202</v>
      </c>
      <c r="H295" s="32" t="s">
        <v>354</v>
      </c>
      <c r="I295" s="31" t="s">
        <v>386</v>
      </c>
      <c r="J295" s="31">
        <v>10</v>
      </c>
      <c r="K295" s="33" t="s">
        <v>712</v>
      </c>
      <c r="L295" s="33" t="s">
        <v>713</v>
      </c>
      <c r="M295" s="34" t="s">
        <v>714</v>
      </c>
      <c r="N295" s="34" t="s">
        <v>1756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1</v>
      </c>
      <c r="AD295" s="1">
        <f t="shared" si="227"/>
        <v>0</v>
      </c>
      <c r="AE295" s="1">
        <f t="shared" si="228"/>
        <v>1</v>
      </c>
      <c r="AF295" s="1">
        <f t="shared" si="229"/>
        <v>0</v>
      </c>
      <c r="AG295" s="1">
        <f t="shared" si="230"/>
        <v>1</v>
      </c>
      <c r="AH295" s="1">
        <f t="shared" si="231"/>
        <v>0</v>
      </c>
      <c r="AI295" s="1">
        <f t="shared" si="232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1273</v>
      </c>
      <c r="E296" s="32" t="s">
        <v>561</v>
      </c>
      <c r="F296" s="32" t="s">
        <v>1274</v>
      </c>
      <c r="G296" s="32" t="s">
        <v>258</v>
      </c>
      <c r="H296" s="32" t="s">
        <v>354</v>
      </c>
      <c r="I296" s="31" t="s">
        <v>1275</v>
      </c>
      <c r="J296" s="31">
        <v>8</v>
      </c>
      <c r="K296" s="33" t="s">
        <v>954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1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578</v>
      </c>
      <c r="F297" s="45" t="s">
        <v>189</v>
      </c>
      <c r="G297" s="45" t="s">
        <v>300</v>
      </c>
      <c r="H297" s="45" t="s">
        <v>354</v>
      </c>
      <c r="I297" s="44" t="s">
        <v>385</v>
      </c>
      <c r="J297" s="44">
        <v>99</v>
      </c>
      <c r="K297" s="46" t="s">
        <v>713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0</v>
      </c>
      <c r="AF297" s="1">
        <f t="shared" si="211"/>
        <v>0</v>
      </c>
      <c r="AG297" s="1">
        <f t="shared" si="212"/>
        <v>0</v>
      </c>
      <c r="AH297" s="1">
        <f t="shared" si="213"/>
        <v>0</v>
      </c>
      <c r="AI297" s="1">
        <f t="shared" si="214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162</v>
      </c>
      <c r="F298" s="32" t="s">
        <v>666</v>
      </c>
      <c r="G298" s="32" t="s">
        <v>221</v>
      </c>
      <c r="H298" s="32" t="s">
        <v>354</v>
      </c>
      <c r="I298" s="31" t="s">
        <v>396</v>
      </c>
      <c r="J298" s="31">
        <v>99</v>
      </c>
      <c r="K298" s="33" t="s">
        <v>961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515</v>
      </c>
      <c r="E299" s="32" t="s">
        <v>561</v>
      </c>
      <c r="F299" s="32" t="s">
        <v>229</v>
      </c>
      <c r="G299" s="32" t="s">
        <v>230</v>
      </c>
      <c r="H299" s="32" t="s">
        <v>354</v>
      </c>
      <c r="I299" s="31" t="s">
        <v>400</v>
      </c>
      <c r="J299" s="31">
        <v>7</v>
      </c>
      <c r="K299" s="33" t="s">
        <v>954</v>
      </c>
      <c r="L299" s="33" t="s">
        <v>713</v>
      </c>
      <c r="M299" s="34" t="s">
        <v>714</v>
      </c>
      <c r="N299" s="34" t="s">
        <v>1749</v>
      </c>
      <c r="O299" s="35">
        <v>1</v>
      </c>
      <c r="P299" s="35"/>
      <c r="Q299" s="32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1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560</v>
      </c>
      <c r="E300" s="45" t="s">
        <v>561</v>
      </c>
      <c r="F300" s="45" t="s">
        <v>562</v>
      </c>
      <c r="G300" s="45" t="s">
        <v>208</v>
      </c>
      <c r="H300" s="45" t="s">
        <v>354</v>
      </c>
      <c r="I300" s="44" t="s">
        <v>563</v>
      </c>
      <c r="J300" s="44">
        <v>3</v>
      </c>
      <c r="K300" s="46" t="s">
        <v>712</v>
      </c>
      <c r="L300" s="46" t="s">
        <v>713</v>
      </c>
      <c r="M300" s="47" t="s">
        <v>714</v>
      </c>
      <c r="N300" s="47" t="s">
        <v>1747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1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1053</v>
      </c>
      <c r="E301" s="36" t="s">
        <v>32</v>
      </c>
      <c r="F301" s="36" t="s">
        <v>1277</v>
      </c>
      <c r="G301" s="36" t="s">
        <v>535</v>
      </c>
      <c r="H301" s="36" t="s">
        <v>354</v>
      </c>
      <c r="I301" s="37" t="s">
        <v>1278</v>
      </c>
      <c r="J301" s="37">
        <v>6</v>
      </c>
      <c r="K301" s="56" t="s">
        <v>713</v>
      </c>
      <c r="L301" s="33" t="s">
        <v>713</v>
      </c>
      <c r="M301" s="34" t="s">
        <v>714</v>
      </c>
      <c r="N301" s="34" t="s">
        <v>1748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1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917</v>
      </c>
      <c r="E302" s="45" t="s">
        <v>1333</v>
      </c>
      <c r="F302" s="45" t="s">
        <v>789</v>
      </c>
      <c r="G302" s="45" t="s">
        <v>257</v>
      </c>
      <c r="H302" s="45" t="s">
        <v>354</v>
      </c>
      <c r="I302" s="44" t="s">
        <v>944</v>
      </c>
      <c r="J302" s="44">
        <v>99</v>
      </c>
      <c r="K302" s="46" t="s">
        <v>712</v>
      </c>
      <c r="L302" s="46" t="s">
        <v>713</v>
      </c>
      <c r="M302" s="47" t="s">
        <v>714</v>
      </c>
      <c r="N302" s="47" t="s">
        <v>1734</v>
      </c>
      <c r="O302" s="48"/>
      <c r="P302" s="48"/>
      <c r="Q302" s="45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0</v>
      </c>
      <c r="AF302" s="1">
        <f t="shared" si="211"/>
        <v>0</v>
      </c>
      <c r="AG302" s="1">
        <f t="shared" si="212"/>
        <v>0</v>
      </c>
      <c r="AH302" s="1">
        <f t="shared" si="213"/>
        <v>0</v>
      </c>
      <c r="AI302" s="1">
        <f t="shared" si="214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1771</v>
      </c>
      <c r="E303" s="36" t="s">
        <v>1772</v>
      </c>
      <c r="F303" s="36" t="s">
        <v>1773</v>
      </c>
      <c r="G303" s="36" t="s">
        <v>180</v>
      </c>
      <c r="H303" s="36" t="s">
        <v>354</v>
      </c>
      <c r="I303" s="37" t="s">
        <v>1774</v>
      </c>
      <c r="J303" s="37"/>
      <c r="K303" s="56" t="s">
        <v>703</v>
      </c>
      <c r="L303" s="33">
        <v>4</v>
      </c>
      <c r="M303" s="34" t="s">
        <v>714</v>
      </c>
      <c r="N303" s="34" t="s">
        <v>1743</v>
      </c>
      <c r="O303" s="35">
        <v>1</v>
      </c>
      <c r="P303" s="35"/>
      <c r="Q303" s="36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619</v>
      </c>
      <c r="E304" s="32" t="s">
        <v>620</v>
      </c>
      <c r="F304" s="32" t="s">
        <v>621</v>
      </c>
      <c r="G304" s="32" t="s">
        <v>622</v>
      </c>
      <c r="H304" s="32" t="s">
        <v>354</v>
      </c>
      <c r="I304" s="31" t="s">
        <v>623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1080</v>
      </c>
      <c r="E305" s="32" t="s">
        <v>1334</v>
      </c>
      <c r="F305" s="32" t="s">
        <v>1663</v>
      </c>
      <c r="G305" s="32" t="s">
        <v>190</v>
      </c>
      <c r="H305" s="32" t="s">
        <v>354</v>
      </c>
      <c r="I305" s="31" t="s">
        <v>1861</v>
      </c>
      <c r="J305" s="31">
        <v>99</v>
      </c>
      <c r="K305" s="33" t="s">
        <v>712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1</v>
      </c>
      <c r="AF305" s="1">
        <f t="shared" si="211"/>
        <v>0</v>
      </c>
      <c r="AG305" s="1">
        <f t="shared" si="212"/>
        <v>1</v>
      </c>
      <c r="AH305" s="1">
        <f t="shared" si="213"/>
        <v>0</v>
      </c>
      <c r="AI305" s="1">
        <f t="shared" si="214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651</v>
      </c>
      <c r="E306" s="16" t="s">
        <v>36</v>
      </c>
      <c r="F306" s="16" t="s">
        <v>667</v>
      </c>
      <c r="G306" s="16" t="s">
        <v>201</v>
      </c>
      <c r="H306" s="16" t="s">
        <v>354</v>
      </c>
      <c r="I306" s="15" t="s">
        <v>1005</v>
      </c>
      <c r="J306" s="15">
        <v>99</v>
      </c>
      <c r="K306" s="10" t="s">
        <v>703</v>
      </c>
      <c r="L306" s="10">
        <v>4</v>
      </c>
      <c r="M306" s="19" t="s">
        <v>714</v>
      </c>
      <c r="N306" s="17"/>
      <c r="Q306" s="16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1264</v>
      </c>
      <c r="E307" s="45" t="s">
        <v>1265</v>
      </c>
      <c r="F307" s="45" t="s">
        <v>1266</v>
      </c>
      <c r="G307" s="45" t="s">
        <v>1165</v>
      </c>
      <c r="H307" s="45" t="s">
        <v>354</v>
      </c>
      <c r="I307" s="44" t="s">
        <v>1267</v>
      </c>
      <c r="J307" s="44">
        <v>11</v>
      </c>
      <c r="K307" s="46" t="s">
        <v>703</v>
      </c>
      <c r="L307" s="46">
        <v>6</v>
      </c>
      <c r="M307" s="47" t="s">
        <v>1728</v>
      </c>
      <c r="N307" s="47" t="s">
        <v>1809</v>
      </c>
      <c r="O307" s="48"/>
      <c r="P307" s="48"/>
      <c r="Q307" s="45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0</v>
      </c>
      <c r="AF307" s="1">
        <f t="shared" si="211"/>
        <v>0</v>
      </c>
      <c r="AG307" s="1">
        <f t="shared" si="212"/>
        <v>0</v>
      </c>
      <c r="AH307" s="1">
        <f t="shared" si="213"/>
        <v>0</v>
      </c>
      <c r="AI307" s="1">
        <f t="shared" si="214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1123</v>
      </c>
      <c r="E308" s="32" t="s">
        <v>1314</v>
      </c>
      <c r="F308" s="32" t="s">
        <v>1121</v>
      </c>
      <c r="G308" s="32" t="s">
        <v>230</v>
      </c>
      <c r="H308" s="32" t="s">
        <v>354</v>
      </c>
      <c r="I308" s="31" t="s">
        <v>1122</v>
      </c>
      <c r="J308" s="31">
        <v>7</v>
      </c>
      <c r="K308" s="33" t="s">
        <v>713</v>
      </c>
      <c r="L308" s="33" t="s">
        <v>1709</v>
      </c>
      <c r="M308" s="34" t="s">
        <v>714</v>
      </c>
      <c r="N308" s="34" t="s">
        <v>1756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1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1008</v>
      </c>
      <c r="E309" s="32" t="s">
        <v>1336</v>
      </c>
      <c r="F309" s="32" t="s">
        <v>1009</v>
      </c>
      <c r="G309" s="32" t="s">
        <v>1100</v>
      </c>
      <c r="H309" s="32" t="s">
        <v>354</v>
      </c>
      <c r="I309" s="31" t="s">
        <v>408</v>
      </c>
      <c r="J309" s="31">
        <v>99</v>
      </c>
      <c r="K309" s="33" t="s">
        <v>713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1130</v>
      </c>
      <c r="E310" s="32" t="s">
        <v>561</v>
      </c>
      <c r="F310" s="32" t="s">
        <v>1354</v>
      </c>
      <c r="G310" s="32" t="s">
        <v>265</v>
      </c>
      <c r="H310" s="32" t="s">
        <v>354</v>
      </c>
      <c r="I310" s="31" t="s">
        <v>1131</v>
      </c>
      <c r="J310" s="31">
        <v>8</v>
      </c>
      <c r="K310" s="33" t="s">
        <v>712</v>
      </c>
      <c r="L310" s="33" t="s">
        <v>1709</v>
      </c>
      <c r="M310" s="34" t="s">
        <v>714</v>
      </c>
      <c r="N310" s="34" t="s">
        <v>1748</v>
      </c>
      <c r="O310" s="35">
        <v>1</v>
      </c>
      <c r="P310" s="35"/>
      <c r="Q310" s="32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1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1286</v>
      </c>
      <c r="E311" s="32" t="s">
        <v>1334</v>
      </c>
      <c r="F311" s="32" t="s">
        <v>1283</v>
      </c>
      <c r="G311" s="32" t="s">
        <v>1284</v>
      </c>
      <c r="H311" s="32" t="s">
        <v>354</v>
      </c>
      <c r="I311" s="31" t="s">
        <v>1285</v>
      </c>
      <c r="J311" s="31">
        <v>1</v>
      </c>
      <c r="K311" s="33" t="s">
        <v>712</v>
      </c>
      <c r="L311" s="33" t="s">
        <v>713</v>
      </c>
      <c r="M311" s="34" t="s">
        <v>714</v>
      </c>
      <c r="N311" s="34" t="s">
        <v>1761</v>
      </c>
      <c r="O311" s="35">
        <v>1</v>
      </c>
      <c r="P311" s="35"/>
      <c r="Q311" s="32" t="s">
        <v>1902</v>
      </c>
      <c r="S311" s="1">
        <f t="shared" si="215"/>
        <v>1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3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206</v>
      </c>
      <c r="G312" s="45" t="s">
        <v>207</v>
      </c>
      <c r="H312" s="45" t="s">
        <v>354</v>
      </c>
      <c r="I312" s="44" t="s">
        <v>391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1747</v>
      </c>
      <c r="O312" s="48"/>
      <c r="P312" s="48"/>
      <c r="Q312" s="45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0</v>
      </c>
      <c r="AF312" s="1">
        <f t="shared" si="211"/>
        <v>0</v>
      </c>
      <c r="AG312" s="1">
        <f t="shared" si="212"/>
        <v>0</v>
      </c>
      <c r="AH312" s="1">
        <f t="shared" si="213"/>
        <v>0</v>
      </c>
      <c r="AI312" s="1">
        <f t="shared" si="214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561</v>
      </c>
      <c r="F313" s="32" t="s">
        <v>1050</v>
      </c>
      <c r="G313" s="32" t="s">
        <v>190</v>
      </c>
      <c r="H313" s="32" t="s">
        <v>354</v>
      </c>
      <c r="I313" s="31" t="s">
        <v>421</v>
      </c>
      <c r="J313" s="31">
        <v>99</v>
      </c>
      <c r="K313" s="33" t="s">
        <v>954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187</v>
      </c>
      <c r="G314" s="32" t="s">
        <v>180</v>
      </c>
      <c r="H314" s="32" t="s">
        <v>354</v>
      </c>
      <c r="I314" s="31" t="s">
        <v>383</v>
      </c>
      <c r="J314" s="31">
        <v>10</v>
      </c>
      <c r="K314" s="33" t="s">
        <v>955</v>
      </c>
      <c r="L314" s="33" t="s">
        <v>713</v>
      </c>
      <c r="M314" s="34" t="s">
        <v>714</v>
      </c>
      <c r="N314" s="34" t="s">
        <v>1743</v>
      </c>
      <c r="O314" s="35">
        <v>1</v>
      </c>
      <c r="P314" s="35"/>
      <c r="Q314" s="32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1</v>
      </c>
      <c r="AD314" s="1">
        <f t="shared" si="225"/>
        <v>0</v>
      </c>
      <c r="AE314" s="1">
        <f t="shared" si="226"/>
        <v>1</v>
      </c>
      <c r="AF314" s="1">
        <f t="shared" si="211"/>
        <v>0</v>
      </c>
      <c r="AG314" s="1">
        <f t="shared" si="212"/>
        <v>1</v>
      </c>
      <c r="AH314" s="1">
        <f t="shared" si="213"/>
        <v>0</v>
      </c>
      <c r="AI314" s="1">
        <f t="shared" si="214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652</v>
      </c>
      <c r="E315" s="45" t="s">
        <v>160</v>
      </c>
      <c r="F315" s="45" t="s">
        <v>188</v>
      </c>
      <c r="G315" s="45" t="s">
        <v>668</v>
      </c>
      <c r="H315" s="45" t="s">
        <v>354</v>
      </c>
      <c r="I315" s="44" t="s">
        <v>384</v>
      </c>
      <c r="J315" s="44">
        <v>99</v>
      </c>
      <c r="K315" s="46" t="s">
        <v>712</v>
      </c>
      <c r="L315" s="46" t="s">
        <v>713</v>
      </c>
      <c r="M315" s="47" t="s">
        <v>714</v>
      </c>
      <c r="N315" s="47" t="s">
        <v>1737</v>
      </c>
      <c r="O315" s="48"/>
      <c r="P315" s="48"/>
      <c r="Q315" s="45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0</v>
      </c>
      <c r="AI315" s="1">
        <f t="shared" si="214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1304</v>
      </c>
      <c r="E316" s="39" t="s">
        <v>36</v>
      </c>
      <c r="F316" s="39" t="s">
        <v>1305</v>
      </c>
      <c r="G316" s="39" t="s">
        <v>258</v>
      </c>
      <c r="H316" s="39" t="s">
        <v>354</v>
      </c>
      <c r="I316" s="38" t="s">
        <v>1306</v>
      </c>
      <c r="J316" s="38">
        <v>8</v>
      </c>
      <c r="K316" s="40" t="s">
        <v>959</v>
      </c>
      <c r="L316" s="40" t="s">
        <v>713</v>
      </c>
      <c r="M316" s="41" t="s">
        <v>714</v>
      </c>
      <c r="N316" s="42"/>
      <c r="O316" s="43"/>
      <c r="P316" s="43">
        <v>1</v>
      </c>
      <c r="Q316" s="39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1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1</v>
      </c>
      <c r="AI316" s="1">
        <f t="shared" si="214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561</v>
      </c>
      <c r="F317" s="32" t="s">
        <v>212</v>
      </c>
      <c r="G317" s="32" t="s">
        <v>213</v>
      </c>
      <c r="H317" s="32" t="s">
        <v>354</v>
      </c>
      <c r="I317" s="31" t="s">
        <v>393</v>
      </c>
      <c r="J317" s="31">
        <v>1</v>
      </c>
      <c r="K317" s="33" t="s">
        <v>955</v>
      </c>
      <c r="L317" s="33" t="s">
        <v>713</v>
      </c>
      <c r="M317" s="34" t="s">
        <v>39</v>
      </c>
      <c r="N317" s="34" t="s">
        <v>1743</v>
      </c>
      <c r="O317" s="35">
        <v>1</v>
      </c>
      <c r="P317" s="35"/>
      <c r="Q317" s="32"/>
      <c r="S317" s="1">
        <f t="shared" si="215"/>
        <v>1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543</v>
      </c>
      <c r="F318" s="45" t="s">
        <v>233</v>
      </c>
      <c r="G318" s="45" t="s">
        <v>204</v>
      </c>
      <c r="H318" s="45" t="s">
        <v>354</v>
      </c>
      <c r="I318" s="44" t="s">
        <v>401</v>
      </c>
      <c r="J318" s="44">
        <v>7</v>
      </c>
      <c r="K318" s="46" t="s">
        <v>712</v>
      </c>
      <c r="L318" s="46" t="s">
        <v>713</v>
      </c>
      <c r="M318" s="47" t="s">
        <v>714</v>
      </c>
      <c r="N318" s="47" t="s">
        <v>1738</v>
      </c>
      <c r="O318" s="48"/>
      <c r="P318" s="48"/>
      <c r="Q318" s="45"/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1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0</v>
      </c>
      <c r="AF318" s="1">
        <f t="shared" si="211"/>
        <v>0</v>
      </c>
      <c r="AG318" s="1">
        <f t="shared" si="212"/>
        <v>0</v>
      </c>
      <c r="AH318" s="1">
        <f t="shared" si="213"/>
        <v>0</v>
      </c>
      <c r="AI318" s="1">
        <f t="shared" si="214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1647</v>
      </c>
      <c r="E319" s="32" t="s">
        <v>561</v>
      </c>
      <c r="F319" s="32" t="s">
        <v>1358</v>
      </c>
      <c r="G319" s="32" t="s">
        <v>1284</v>
      </c>
      <c r="H319" s="32" t="s">
        <v>354</v>
      </c>
      <c r="I319" s="31" t="s">
        <v>1167</v>
      </c>
      <c r="J319" s="31">
        <v>99</v>
      </c>
      <c r="K319" s="33" t="s">
        <v>712</v>
      </c>
      <c r="L319" s="33" t="s">
        <v>713</v>
      </c>
      <c r="M319" s="34" t="s">
        <v>714</v>
      </c>
      <c r="N319" s="34" t="s">
        <v>1748</v>
      </c>
      <c r="O319" s="35">
        <v>1</v>
      </c>
      <c r="P319" s="35"/>
      <c r="Q319" s="32" t="s">
        <v>1901</v>
      </c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1782</v>
      </c>
      <c r="E320" s="50" t="s">
        <v>1783</v>
      </c>
      <c r="F320" s="50" t="s">
        <v>1784</v>
      </c>
      <c r="G320" s="50" t="s">
        <v>1785</v>
      </c>
      <c r="H320" s="50" t="s">
        <v>354</v>
      </c>
      <c r="I320" s="49"/>
      <c r="J320" s="49">
        <v>1</v>
      </c>
      <c r="K320" s="51" t="s">
        <v>703</v>
      </c>
      <c r="L320" s="51"/>
      <c r="M320" s="52"/>
      <c r="N320" s="52" t="s">
        <v>1743</v>
      </c>
      <c r="O320" s="53">
        <v>1</v>
      </c>
      <c r="P320" s="53"/>
      <c r="Q320" s="55" t="s">
        <v>1909</v>
      </c>
      <c r="S320" s="1">
        <f t="shared" si="215"/>
        <v>1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1318</v>
      </c>
      <c r="E321" s="32" t="s">
        <v>1338</v>
      </c>
      <c r="F321" s="32" t="s">
        <v>1301</v>
      </c>
      <c r="G321" s="32" t="s">
        <v>1302</v>
      </c>
      <c r="H321" s="32" t="s">
        <v>354</v>
      </c>
      <c r="I321" s="31" t="s">
        <v>1303</v>
      </c>
      <c r="J321" s="31">
        <v>99</v>
      </c>
      <c r="K321" s="33" t="s">
        <v>955</v>
      </c>
      <c r="L321" s="33" t="s">
        <v>713</v>
      </c>
      <c r="M321" s="34" t="s">
        <v>714</v>
      </c>
      <c r="N321" s="34" t="s">
        <v>1919</v>
      </c>
      <c r="O321" s="35">
        <v>1</v>
      </c>
      <c r="P321" s="35"/>
      <c r="Q321" s="32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1</v>
      </c>
      <c r="AF321" s="1">
        <f t="shared" si="211"/>
        <v>0</v>
      </c>
      <c r="AG321" s="1">
        <f t="shared" si="212"/>
        <v>1</v>
      </c>
      <c r="AH321" s="1">
        <f t="shared" si="213"/>
        <v>0</v>
      </c>
      <c r="AI321" s="1">
        <f t="shared" si="214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1313</v>
      </c>
      <c r="E322" s="45" t="s">
        <v>160</v>
      </c>
      <c r="F322" s="45" t="s">
        <v>1315</v>
      </c>
      <c r="G322" s="45" t="s">
        <v>1316</v>
      </c>
      <c r="H322" s="45" t="s">
        <v>354</v>
      </c>
      <c r="I322" s="44" t="s">
        <v>1317</v>
      </c>
      <c r="J322" s="44">
        <v>8</v>
      </c>
      <c r="K322" s="46" t="s">
        <v>713</v>
      </c>
      <c r="L322" s="46" t="s">
        <v>713</v>
      </c>
      <c r="M322" s="47" t="s">
        <v>714</v>
      </c>
      <c r="N322" s="47" t="s">
        <v>1747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1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1646</v>
      </c>
      <c r="E323" s="45" t="s">
        <v>1168</v>
      </c>
      <c r="F323" s="45" t="s">
        <v>1680</v>
      </c>
      <c r="G323" s="45" t="s">
        <v>190</v>
      </c>
      <c r="H323" s="45" t="s">
        <v>354</v>
      </c>
      <c r="I323" s="44" t="s">
        <v>1607</v>
      </c>
      <c r="J323" s="44">
        <v>99</v>
      </c>
      <c r="K323" s="46" t="s">
        <v>713</v>
      </c>
      <c r="L323" s="46" t="s">
        <v>696</v>
      </c>
      <c r="M323" s="47" t="s">
        <v>1608</v>
      </c>
      <c r="N323" s="47" t="s">
        <v>1738</v>
      </c>
      <c r="O323" s="48"/>
      <c r="P323" s="48"/>
      <c r="Q323" s="45"/>
      <c r="S323" s="1">
        <f t="shared" si="215"/>
        <v>0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164</v>
      </c>
      <c r="F324" s="50" t="s">
        <v>243</v>
      </c>
      <c r="G324" s="50" t="s">
        <v>200</v>
      </c>
      <c r="H324" s="50" t="s">
        <v>354</v>
      </c>
      <c r="I324" s="49" t="s">
        <v>407</v>
      </c>
      <c r="J324" s="49">
        <v>2</v>
      </c>
      <c r="K324" s="51" t="s">
        <v>955</v>
      </c>
      <c r="L324" s="51" t="s">
        <v>696</v>
      </c>
      <c r="M324" s="52" t="s">
        <v>715</v>
      </c>
      <c r="N324" s="52" t="s">
        <v>1743</v>
      </c>
      <c r="O324" s="53">
        <v>1</v>
      </c>
      <c r="P324" s="53"/>
      <c r="Q324" s="50"/>
      <c r="S324" s="1">
        <f t="shared" si="215"/>
        <v>0</v>
      </c>
      <c r="T324" s="1">
        <f t="shared" si="216"/>
        <v>1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1182</v>
      </c>
      <c r="E325" s="45" t="s">
        <v>1183</v>
      </c>
      <c r="F325" s="45" t="s">
        <v>1348</v>
      </c>
      <c r="G325" s="45" t="s">
        <v>1056</v>
      </c>
      <c r="H325" s="45" t="s">
        <v>354</v>
      </c>
      <c r="I325" s="44" t="s">
        <v>1184</v>
      </c>
      <c r="J325" s="44">
        <v>1</v>
      </c>
      <c r="K325" s="46" t="s">
        <v>712</v>
      </c>
      <c r="L325" s="46" t="s">
        <v>704</v>
      </c>
      <c r="M325" s="47" t="s">
        <v>1412</v>
      </c>
      <c r="N325" s="47" t="s">
        <v>1735</v>
      </c>
      <c r="O325" s="48"/>
      <c r="P325" s="48"/>
      <c r="Q325" s="45"/>
      <c r="S325" s="1">
        <f t="shared" si="215"/>
        <v>1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1828</v>
      </c>
      <c r="E326" s="32" t="s">
        <v>1829</v>
      </c>
      <c r="F326" s="32" t="s">
        <v>1830</v>
      </c>
      <c r="G326" s="32" t="s">
        <v>196</v>
      </c>
      <c r="H326" s="32" t="s">
        <v>354</v>
      </c>
      <c r="I326" s="31" t="s">
        <v>1831</v>
      </c>
      <c r="J326" s="31"/>
      <c r="K326" s="33" t="s">
        <v>703</v>
      </c>
      <c r="L326" s="33">
        <v>20</v>
      </c>
      <c r="M326" s="34" t="s">
        <v>1832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1576</v>
      </c>
      <c r="E327" s="32" t="s">
        <v>1577</v>
      </c>
      <c r="F327" s="32" t="s">
        <v>1579</v>
      </c>
      <c r="G327" s="32" t="s">
        <v>1580</v>
      </c>
      <c r="H327" s="32" t="s">
        <v>354</v>
      </c>
      <c r="I327" s="31" t="s">
        <v>1578</v>
      </c>
      <c r="J327" s="31">
        <v>99</v>
      </c>
      <c r="K327" s="33" t="s">
        <v>703</v>
      </c>
      <c r="L327" s="33">
        <v>18</v>
      </c>
      <c r="M327" s="34" t="s">
        <v>1581</v>
      </c>
      <c r="N327" s="34" t="s">
        <v>1748</v>
      </c>
      <c r="O327" s="35">
        <v>1</v>
      </c>
      <c r="P327" s="35"/>
      <c r="Q327" s="32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241</v>
      </c>
      <c r="G328" s="50" t="s">
        <v>242</v>
      </c>
      <c r="H328" s="50" t="s">
        <v>354</v>
      </c>
      <c r="I328" s="49" t="s">
        <v>406</v>
      </c>
      <c r="J328" s="49">
        <v>1</v>
      </c>
      <c r="K328" s="51" t="s">
        <v>961</v>
      </c>
      <c r="L328" s="51" t="s">
        <v>716</v>
      </c>
      <c r="M328" s="52" t="s">
        <v>717</v>
      </c>
      <c r="N328" s="52" t="s">
        <v>1743</v>
      </c>
      <c r="O328" s="53">
        <v>1</v>
      </c>
      <c r="P328" s="53"/>
      <c r="Q328" s="50"/>
      <c r="S328" s="1">
        <f t="shared" si="215"/>
        <v>1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1086</v>
      </c>
      <c r="F329" s="50" t="s">
        <v>234</v>
      </c>
      <c r="G329" s="50" t="s">
        <v>235</v>
      </c>
      <c r="H329" s="50" t="s">
        <v>354</v>
      </c>
      <c r="I329" s="49" t="s">
        <v>1365</v>
      </c>
      <c r="J329" s="49">
        <v>99</v>
      </c>
      <c r="K329" s="51" t="s">
        <v>955</v>
      </c>
      <c r="L329" s="51" t="s">
        <v>716</v>
      </c>
      <c r="M329" s="52" t="s">
        <v>718</v>
      </c>
      <c r="N329" s="52" t="s">
        <v>1743</v>
      </c>
      <c r="O329" s="53">
        <v>1</v>
      </c>
      <c r="P329" s="53"/>
      <c r="Q329" s="50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1</v>
      </c>
      <c r="AF329" s="1">
        <f t="shared" si="211"/>
        <v>0</v>
      </c>
      <c r="AG329" s="1">
        <f t="shared" si="212"/>
        <v>1</v>
      </c>
      <c r="AH329" s="1">
        <f t="shared" si="213"/>
        <v>0</v>
      </c>
      <c r="AI329" s="1">
        <f t="shared" si="214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1716</v>
      </c>
      <c r="E330" s="32" t="s">
        <v>1718</v>
      </c>
      <c r="F330" s="32" t="s">
        <v>1717</v>
      </c>
      <c r="G330" s="32"/>
      <c r="H330" s="32" t="s">
        <v>354</v>
      </c>
      <c r="I330" s="31" t="s">
        <v>1719</v>
      </c>
      <c r="J330" s="31"/>
      <c r="K330" s="33" t="s">
        <v>703</v>
      </c>
      <c r="L330" s="33"/>
      <c r="M330" s="34"/>
      <c r="N330" s="34" t="s">
        <v>1727</v>
      </c>
      <c r="O330" s="35">
        <v>1</v>
      </c>
      <c r="P330" s="35">
        <v>1</v>
      </c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1</v>
      </c>
      <c r="AE330" s="1">
        <f t="shared" si="226"/>
        <v>0</v>
      </c>
      <c r="AF330" s="1">
        <f t="shared" si="211"/>
        <v>1</v>
      </c>
      <c r="AG330" s="1">
        <f t="shared" si="212"/>
        <v>0</v>
      </c>
      <c r="AH330" s="1">
        <f t="shared" si="213"/>
        <v>1</v>
      </c>
      <c r="AI330" s="1">
        <f t="shared" si="214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787</v>
      </c>
      <c r="E331" s="45" t="s">
        <v>909</v>
      </c>
      <c r="F331" s="45" t="s">
        <v>1571</v>
      </c>
      <c r="G331" s="45" t="s">
        <v>230</v>
      </c>
      <c r="H331" s="45" t="s">
        <v>354</v>
      </c>
      <c r="I331" s="44" t="s">
        <v>1694</v>
      </c>
      <c r="J331" s="44">
        <v>7</v>
      </c>
      <c r="K331" s="46" t="s">
        <v>713</v>
      </c>
      <c r="L331" s="46">
        <v>20</v>
      </c>
      <c r="M331" s="47" t="s">
        <v>39</v>
      </c>
      <c r="N331" s="47" t="s">
        <v>1734</v>
      </c>
      <c r="O331" s="48"/>
      <c r="P331" s="48"/>
      <c r="Q331" s="45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1</v>
      </c>
      <c r="Z331" s="1">
        <f t="shared" si="222"/>
        <v>0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0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854</v>
      </c>
      <c r="G332" s="32" t="s">
        <v>220</v>
      </c>
      <c r="H332" s="32" t="s">
        <v>354</v>
      </c>
      <c r="I332" s="31" t="s">
        <v>855</v>
      </c>
      <c r="J332" s="31">
        <v>8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1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1</v>
      </c>
      <c r="AH332" s="1">
        <f t="shared" si="213"/>
        <v>0</v>
      </c>
      <c r="AI332" s="1">
        <f t="shared" si="214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852</v>
      </c>
      <c r="E333" s="32" t="s">
        <v>541</v>
      </c>
      <c r="F333" s="32" t="s">
        <v>1353</v>
      </c>
      <c r="G333" s="32" t="s">
        <v>194</v>
      </c>
      <c r="H333" s="32" t="s">
        <v>354</v>
      </c>
      <c r="I333" s="31" t="s">
        <v>853</v>
      </c>
      <c r="J333" s="31">
        <v>9</v>
      </c>
      <c r="K333" s="33" t="s">
        <v>713</v>
      </c>
      <c r="L333" s="33" t="s">
        <v>716</v>
      </c>
      <c r="M333" s="34" t="s">
        <v>1413</v>
      </c>
      <c r="N333" s="34" t="s">
        <v>1743</v>
      </c>
      <c r="O333" s="35">
        <v>1</v>
      </c>
      <c r="P333" s="35"/>
      <c r="Q333" s="32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1</v>
      </c>
      <c r="AB333" s="1">
        <f t="shared" si="224"/>
        <v>0</v>
      </c>
      <c r="AD333" s="1">
        <f t="shared" si="225"/>
        <v>0</v>
      </c>
      <c r="AE333" s="1">
        <f t="shared" si="226"/>
        <v>1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918</v>
      </c>
      <c r="E334" s="45" t="s">
        <v>785</v>
      </c>
      <c r="F334" s="45" t="s">
        <v>786</v>
      </c>
      <c r="G334" s="45" t="s">
        <v>230</v>
      </c>
      <c r="H334" s="45" t="s">
        <v>354</v>
      </c>
      <c r="I334" s="44" t="s">
        <v>788</v>
      </c>
      <c r="J334" s="44">
        <v>7</v>
      </c>
      <c r="K334" s="46" t="s">
        <v>712</v>
      </c>
      <c r="L334" s="46">
        <v>15</v>
      </c>
      <c r="M334" s="47" t="s">
        <v>39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1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157</v>
      </c>
      <c r="F335" s="65" t="s">
        <v>1872</v>
      </c>
      <c r="G335" s="45" t="s">
        <v>209</v>
      </c>
      <c r="H335" s="45" t="s">
        <v>354</v>
      </c>
      <c r="I335" s="44" t="s">
        <v>432</v>
      </c>
      <c r="J335" s="44">
        <v>99</v>
      </c>
      <c r="K335" s="46" t="s">
        <v>954</v>
      </c>
      <c r="L335" s="46" t="s">
        <v>704</v>
      </c>
      <c r="M335" s="47" t="s">
        <v>719</v>
      </c>
      <c r="N335" s="47" t="s">
        <v>1735</v>
      </c>
      <c r="O335" s="48"/>
      <c r="P335" s="48"/>
      <c r="Q335" s="45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0</v>
      </c>
      <c r="AE335" s="1">
        <f t="shared" si="226"/>
        <v>0</v>
      </c>
      <c r="AF335" s="1">
        <f t="shared" si="211"/>
        <v>0</v>
      </c>
      <c r="AG335" s="1">
        <f t="shared" si="212"/>
        <v>0</v>
      </c>
      <c r="AH335" s="1">
        <f t="shared" si="213"/>
        <v>0</v>
      </c>
      <c r="AI335" s="1">
        <f t="shared" si="214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1564</v>
      </c>
      <c r="E336" s="32" t="s">
        <v>1334</v>
      </c>
      <c r="F336" s="32" t="s">
        <v>1565</v>
      </c>
      <c r="G336" s="32" t="s">
        <v>1166</v>
      </c>
      <c r="H336" s="32" t="s">
        <v>354</v>
      </c>
      <c r="I336" s="31" t="s">
        <v>1566</v>
      </c>
      <c r="J336" s="31">
        <v>1</v>
      </c>
      <c r="K336" s="33" t="s">
        <v>713</v>
      </c>
      <c r="L336" s="33" t="s">
        <v>39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1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1744</v>
      </c>
      <c r="E337" s="32" t="s">
        <v>27</v>
      </c>
      <c r="F337" s="32" t="s">
        <v>1044</v>
      </c>
      <c r="G337" s="32" t="s">
        <v>220</v>
      </c>
      <c r="H337" s="32" t="s">
        <v>354</v>
      </c>
      <c r="I337" s="31" t="s">
        <v>1045</v>
      </c>
      <c r="J337" s="31">
        <v>8</v>
      </c>
      <c r="K337" s="33" t="s">
        <v>713</v>
      </c>
      <c r="L337" s="33">
        <v>25</v>
      </c>
      <c r="M337" s="34" t="s">
        <v>1745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1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669</v>
      </c>
      <c r="G338" s="32" t="s">
        <v>180</v>
      </c>
      <c r="H338" s="32" t="s">
        <v>354</v>
      </c>
      <c r="I338" s="31" t="s">
        <v>949</v>
      </c>
      <c r="J338" s="31">
        <v>10</v>
      </c>
      <c r="K338" s="33" t="s">
        <v>713</v>
      </c>
      <c r="L338" s="33" t="s">
        <v>720</v>
      </c>
      <c r="M338" s="34" t="s">
        <v>721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1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1448</v>
      </c>
      <c r="E339" s="32" t="s">
        <v>1653</v>
      </c>
      <c r="F339" s="32" t="s">
        <v>1668</v>
      </c>
      <c r="G339" s="32" t="s">
        <v>230</v>
      </c>
      <c r="H339" s="32" t="s">
        <v>354</v>
      </c>
      <c r="I339" s="31" t="s">
        <v>1449</v>
      </c>
      <c r="J339" s="31">
        <v>99</v>
      </c>
      <c r="K339" s="33" t="s">
        <v>955</v>
      </c>
      <c r="L339" s="33">
        <v>20</v>
      </c>
      <c r="M339" s="34" t="s">
        <v>39</v>
      </c>
      <c r="N339" s="34" t="s">
        <v>1727</v>
      </c>
      <c r="O339" s="35">
        <v>1</v>
      </c>
      <c r="P339" s="35">
        <v>1</v>
      </c>
      <c r="Q339" s="32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1</v>
      </c>
      <c r="AE339" s="1">
        <f t="shared" si="226"/>
        <v>0</v>
      </c>
      <c r="AF339" s="1">
        <f t="shared" si="211"/>
        <v>1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1993</v>
      </c>
      <c r="E340" s="54" t="s">
        <v>2078</v>
      </c>
      <c r="F340" s="54" t="s">
        <v>1994</v>
      </c>
      <c r="G340" s="54" t="s">
        <v>179</v>
      </c>
      <c r="H340" s="54" t="s">
        <v>354</v>
      </c>
      <c r="I340" s="67" t="s">
        <v>1995</v>
      </c>
      <c r="J340" s="67"/>
      <c r="K340" s="67" t="s">
        <v>703</v>
      </c>
      <c r="L340" s="67"/>
      <c r="M340" s="54"/>
      <c r="N340" s="54"/>
      <c r="O340" s="68"/>
      <c r="P340" s="68">
        <v>1</v>
      </c>
      <c r="Q340" s="54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0</v>
      </c>
      <c r="AF340" s="1">
        <f t="shared" si="211"/>
        <v>0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606</v>
      </c>
      <c r="E341" s="50" t="s">
        <v>607</v>
      </c>
      <c r="F341" s="50" t="s">
        <v>608</v>
      </c>
      <c r="G341" s="50" t="s">
        <v>257</v>
      </c>
      <c r="H341" s="50" t="s">
        <v>354</v>
      </c>
      <c r="I341" s="49" t="s">
        <v>609</v>
      </c>
      <c r="J341" s="49">
        <v>99</v>
      </c>
      <c r="K341" s="51" t="s">
        <v>955</v>
      </c>
      <c r="L341" s="51" t="s">
        <v>704</v>
      </c>
      <c r="M341" s="52" t="s">
        <v>1414</v>
      </c>
      <c r="N341" s="52" t="s">
        <v>1743</v>
      </c>
      <c r="O341" s="53">
        <v>1</v>
      </c>
      <c r="P341" s="53"/>
      <c r="Q341" s="50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0</v>
      </c>
      <c r="AE341" s="1">
        <f t="shared" si="226"/>
        <v>1</v>
      </c>
      <c r="AF341" s="1">
        <f t="shared" si="211"/>
        <v>0</v>
      </c>
      <c r="AG341" s="1">
        <f t="shared" si="212"/>
        <v>1</v>
      </c>
      <c r="AH341" s="1">
        <f t="shared" si="213"/>
        <v>0</v>
      </c>
      <c r="AI341" s="1">
        <f t="shared" si="214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1925</v>
      </c>
      <c r="E342" s="32" t="s">
        <v>1926</v>
      </c>
      <c r="F342" s="32" t="s">
        <v>1927</v>
      </c>
      <c r="G342" s="32" t="s">
        <v>184</v>
      </c>
      <c r="H342" s="32" t="s">
        <v>354</v>
      </c>
      <c r="I342" s="31" t="s">
        <v>1929</v>
      </c>
      <c r="J342" s="31">
        <v>99</v>
      </c>
      <c r="K342" s="33" t="s">
        <v>703</v>
      </c>
      <c r="L342" s="33"/>
      <c r="M342" s="34"/>
      <c r="N342" s="34" t="s">
        <v>1727</v>
      </c>
      <c r="O342" s="35">
        <v>1</v>
      </c>
      <c r="P342" s="35">
        <v>1</v>
      </c>
      <c r="Q342" s="32" t="s">
        <v>1928</v>
      </c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1</v>
      </c>
      <c r="AE342" s="1">
        <f t="shared" si="226"/>
        <v>0</v>
      </c>
      <c r="AF342" s="1">
        <f t="shared" si="211"/>
        <v>1</v>
      </c>
      <c r="AG342" s="1">
        <f t="shared" si="212"/>
        <v>0</v>
      </c>
      <c r="AH342" s="1">
        <f t="shared" si="213"/>
        <v>1</v>
      </c>
      <c r="AI342" s="1">
        <f t="shared" si="214"/>
        <v>0</v>
      </c>
    </row>
    <row r="343" spans="1:35" ht="14.25" customHeight="1" x14ac:dyDescent="0.3">
      <c r="A343" s="44">
        <v>0</v>
      </c>
      <c r="B343" s="44">
        <v>2</v>
      </c>
      <c r="C343" s="44">
        <v>2</v>
      </c>
      <c r="D343" s="45" t="s">
        <v>1643</v>
      </c>
      <c r="E343" s="45" t="s">
        <v>1168</v>
      </c>
      <c r="F343" s="45" t="s">
        <v>1674</v>
      </c>
      <c r="G343" s="45" t="s">
        <v>180</v>
      </c>
      <c r="H343" s="45" t="s">
        <v>354</v>
      </c>
      <c r="I343" s="44" t="s">
        <v>1494</v>
      </c>
      <c r="J343" s="44">
        <v>10</v>
      </c>
      <c r="K343" s="46" t="s">
        <v>712</v>
      </c>
      <c r="L343" s="46">
        <v>15</v>
      </c>
      <c r="M343" s="47" t="s">
        <v>39</v>
      </c>
      <c r="N343" s="47" t="s">
        <v>1740</v>
      </c>
      <c r="O343" s="48"/>
      <c r="P343" s="48"/>
      <c r="Q343" s="45"/>
      <c r="S343" s="1">
        <f t="shared" si="215"/>
        <v>0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1</v>
      </c>
      <c r="AD343" s="1">
        <f t="shared" si="225"/>
        <v>0</v>
      </c>
      <c r="AE343" s="1">
        <f t="shared" si="226"/>
        <v>0</v>
      </c>
      <c r="AF343" s="1">
        <f t="shared" ref="AF343:AF407" si="233">+O343*P343*(1-A343)</f>
        <v>0</v>
      </c>
      <c r="AG343" s="1">
        <f t="shared" ref="AG343:AG407" si="234">O343*(1-P343)*(1-A343)</f>
        <v>0</v>
      </c>
      <c r="AH343" s="1">
        <f t="shared" ref="AH343:AH407" si="235">+P343*(1-A343)</f>
        <v>0</v>
      </c>
      <c r="AI343" s="1">
        <f t="shared" ref="AI343:AI407" si="236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862</v>
      </c>
      <c r="E344" s="45" t="s">
        <v>544</v>
      </c>
      <c r="F344" s="45" t="s">
        <v>863</v>
      </c>
      <c r="G344" s="45" t="s">
        <v>314</v>
      </c>
      <c r="H344" s="45" t="s">
        <v>354</v>
      </c>
      <c r="I344" s="44" t="s">
        <v>864</v>
      </c>
      <c r="J344" s="44">
        <v>1</v>
      </c>
      <c r="K344" s="46" t="s">
        <v>712</v>
      </c>
      <c r="L344" s="46">
        <v>25</v>
      </c>
      <c r="M344" s="47" t="s">
        <v>39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568</v>
      </c>
      <c r="E345" s="32" t="s">
        <v>38</v>
      </c>
      <c r="F345" s="32" t="s">
        <v>237</v>
      </c>
      <c r="G345" s="32" t="s">
        <v>539</v>
      </c>
      <c r="H345" s="32" t="s">
        <v>354</v>
      </c>
      <c r="I345" s="31" t="s">
        <v>403</v>
      </c>
      <c r="J345" s="31">
        <v>1</v>
      </c>
      <c r="K345" s="33" t="s">
        <v>712</v>
      </c>
      <c r="L345" s="33" t="s">
        <v>724</v>
      </c>
      <c r="M345" s="34" t="s">
        <v>725</v>
      </c>
      <c r="N345" s="34" t="s">
        <v>1727</v>
      </c>
      <c r="O345" s="35">
        <v>1</v>
      </c>
      <c r="P345" s="35">
        <v>1</v>
      </c>
      <c r="Q345" s="32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1</v>
      </c>
      <c r="AE345" s="1">
        <f t="shared" si="226"/>
        <v>0</v>
      </c>
      <c r="AF345" s="1">
        <f t="shared" si="233"/>
        <v>1</v>
      </c>
      <c r="AG345" s="1">
        <f t="shared" si="234"/>
        <v>0</v>
      </c>
      <c r="AH345" s="1">
        <f t="shared" si="235"/>
        <v>1</v>
      </c>
      <c r="AI345" s="1">
        <f t="shared" si="236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850</v>
      </c>
      <c r="E346" s="45" t="s">
        <v>34</v>
      </c>
      <c r="F346" s="45" t="s">
        <v>926</v>
      </c>
      <c r="G346" s="45" t="s">
        <v>638</v>
      </c>
      <c r="H346" s="45" t="s">
        <v>354</v>
      </c>
      <c r="I346" s="44" t="s">
        <v>851</v>
      </c>
      <c r="J346" s="44">
        <v>1</v>
      </c>
      <c r="K346" s="46" t="s">
        <v>954</v>
      </c>
      <c r="L346" s="46" t="s">
        <v>729</v>
      </c>
      <c r="M346" s="47" t="s">
        <v>723</v>
      </c>
      <c r="N346" s="47" t="s">
        <v>1735</v>
      </c>
      <c r="O346" s="48"/>
      <c r="P346" s="48"/>
      <c r="Q346" s="45"/>
      <c r="S346" s="1">
        <f t="shared" si="215"/>
        <v>1</v>
      </c>
      <c r="T346" s="1">
        <f t="shared" si="216"/>
        <v>0</v>
      </c>
      <c r="U346" s="1">
        <f t="shared" si="217"/>
        <v>0</v>
      </c>
      <c r="V346" s="1">
        <f t="shared" si="218"/>
        <v>0</v>
      </c>
      <c r="W346" s="1">
        <f t="shared" si="219"/>
        <v>0</v>
      </c>
      <c r="X346" s="1">
        <f t="shared" si="220"/>
        <v>0</v>
      </c>
      <c r="Y346" s="1">
        <f t="shared" si="221"/>
        <v>0</v>
      </c>
      <c r="Z346" s="1">
        <f t="shared" si="222"/>
        <v>0</v>
      </c>
      <c r="AA346" s="1">
        <f t="shared" si="223"/>
        <v>0</v>
      </c>
      <c r="AB346" s="1">
        <f t="shared" si="224"/>
        <v>0</v>
      </c>
      <c r="AD346" s="1">
        <f t="shared" si="225"/>
        <v>0</v>
      </c>
      <c r="AE346" s="1">
        <f t="shared" si="226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793</v>
      </c>
      <c r="E347" s="45" t="s">
        <v>32</v>
      </c>
      <c r="F347" s="45" t="s">
        <v>794</v>
      </c>
      <c r="G347" s="45" t="s">
        <v>251</v>
      </c>
      <c r="H347" s="45" t="s">
        <v>354</v>
      </c>
      <c r="I347" s="44" t="s">
        <v>795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1809</v>
      </c>
      <c r="O347" s="48"/>
      <c r="P347" s="48"/>
      <c r="Q347" s="45"/>
      <c r="S347" s="1">
        <f t="shared" ref="S347:S411" si="237">IF(J347=$S$7,1,0)</f>
        <v>0</v>
      </c>
      <c r="T347" s="1">
        <f t="shared" ref="T347:T411" si="238">IF(J347=$T$7,1,0)</f>
        <v>0</v>
      </c>
      <c r="U347" s="1">
        <f t="shared" ref="U347:U411" si="239">IF(J347=$U$7,1,0)</f>
        <v>0</v>
      </c>
      <c r="V347" s="1">
        <f t="shared" ref="V347:V411" si="240">IF(J347=$V$7,1,0)</f>
        <v>0</v>
      </c>
      <c r="W347" s="1">
        <f t="shared" ref="W347:W411" si="241">IF(J347=$W$7,1,0)</f>
        <v>0</v>
      </c>
      <c r="X347" s="1">
        <f t="shared" ref="X347:X411" si="242">IF(J347=$X$7,1,0)</f>
        <v>0</v>
      </c>
      <c r="Y347" s="1">
        <f t="shared" ref="Y347:Y411" si="243">IF(J347=$Y$7,1,0)</f>
        <v>0</v>
      </c>
      <c r="Z347" s="1">
        <f t="shared" ref="Z347:Z411" si="244">IF(J347=$Z$7,1,0)</f>
        <v>0</v>
      </c>
      <c r="AA347" s="1">
        <f t="shared" ref="AA347:AA411" si="245">IF(J347=$AA$7,1,0)</f>
        <v>0</v>
      </c>
      <c r="AB347" s="1">
        <f t="shared" ref="AB347:AB411" si="246">IF(J347=$AB$7,1,0)</f>
        <v>0</v>
      </c>
      <c r="AD347" s="1">
        <f t="shared" ref="AD347:AD411" si="247">+O347*P347</f>
        <v>0</v>
      </c>
      <c r="AE347" s="1">
        <f t="shared" ref="AE347:AE411" si="248">O347*(1-P347)</f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161</v>
      </c>
      <c r="F348" s="45" t="s">
        <v>219</v>
      </c>
      <c r="G348" s="45" t="s">
        <v>196</v>
      </c>
      <c r="H348" s="45" t="s">
        <v>354</v>
      </c>
      <c r="I348" s="44" t="s">
        <v>551</v>
      </c>
      <c r="J348" s="44">
        <v>99</v>
      </c>
      <c r="K348" s="46" t="s">
        <v>713</v>
      </c>
      <c r="L348" s="46" t="s">
        <v>722</v>
      </c>
      <c r="M348" s="47" t="s">
        <v>723</v>
      </c>
      <c r="N348" s="47" t="s">
        <v>1802</v>
      </c>
      <c r="O348" s="48"/>
      <c r="P348" s="48"/>
      <c r="Q348" s="45"/>
      <c r="S348" s="1">
        <f t="shared" si="237"/>
        <v>0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1175</v>
      </c>
      <c r="E349" s="32" t="s">
        <v>1335</v>
      </c>
      <c r="F349" s="32" t="s">
        <v>1176</v>
      </c>
      <c r="G349" s="32" t="s">
        <v>302</v>
      </c>
      <c r="H349" s="32" t="s">
        <v>354</v>
      </c>
      <c r="I349" s="31" t="s">
        <v>1177</v>
      </c>
      <c r="J349" s="31">
        <v>1</v>
      </c>
      <c r="K349" s="33" t="s">
        <v>955</v>
      </c>
      <c r="L349" s="33" t="s">
        <v>693</v>
      </c>
      <c r="M349" s="34" t="s">
        <v>1415</v>
      </c>
      <c r="N349" s="34" t="s">
        <v>1743</v>
      </c>
      <c r="O349" s="35">
        <v>1</v>
      </c>
      <c r="P349" s="35"/>
      <c r="Q349" s="32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1</v>
      </c>
      <c r="AF349" s="1">
        <f t="shared" si="233"/>
        <v>0</v>
      </c>
      <c r="AG349" s="1">
        <f t="shared" si="234"/>
        <v>1</v>
      </c>
      <c r="AH349" s="1">
        <f t="shared" si="235"/>
        <v>0</v>
      </c>
      <c r="AI349" s="1">
        <f t="shared" si="236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1172</v>
      </c>
      <c r="E350" s="32" t="s">
        <v>1335</v>
      </c>
      <c r="F350" s="32" t="s">
        <v>1173</v>
      </c>
      <c r="G350" s="32" t="s">
        <v>1056</v>
      </c>
      <c r="H350" s="32" t="s">
        <v>354</v>
      </c>
      <c r="I350" s="31" t="s">
        <v>1174</v>
      </c>
      <c r="J350" s="31">
        <v>1</v>
      </c>
      <c r="K350" s="33" t="s">
        <v>713</v>
      </c>
      <c r="L350" s="33" t="s">
        <v>693</v>
      </c>
      <c r="M350" s="34" t="s">
        <v>1415</v>
      </c>
      <c r="N350" s="34" t="s">
        <v>1743</v>
      </c>
      <c r="O350" s="35">
        <v>1</v>
      </c>
      <c r="P350" s="35"/>
      <c r="Q350" s="32"/>
      <c r="S350" s="1">
        <f t="shared" si="237"/>
        <v>1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1294</v>
      </c>
      <c r="E351" s="32" t="s">
        <v>32</v>
      </c>
      <c r="F351" s="32" t="s">
        <v>1295</v>
      </c>
      <c r="G351" s="32" t="s">
        <v>222</v>
      </c>
      <c r="H351" s="32" t="s">
        <v>354</v>
      </c>
      <c r="I351" s="31" t="s">
        <v>1689</v>
      </c>
      <c r="J351" s="31">
        <v>99</v>
      </c>
      <c r="K351" s="33" t="s">
        <v>713</v>
      </c>
      <c r="L351" s="33" t="s">
        <v>716</v>
      </c>
      <c r="M351" s="34" t="s">
        <v>1296</v>
      </c>
      <c r="N351" s="34" t="s">
        <v>1727</v>
      </c>
      <c r="O351" s="35">
        <v>1</v>
      </c>
      <c r="P351" s="35">
        <v>1</v>
      </c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1</v>
      </c>
      <c r="AE351" s="1">
        <f t="shared" si="248"/>
        <v>0</v>
      </c>
      <c r="AF351" s="1">
        <f t="shared" si="233"/>
        <v>1</v>
      </c>
      <c r="AG351" s="1">
        <f t="shared" si="234"/>
        <v>0</v>
      </c>
      <c r="AH351" s="1">
        <f t="shared" si="235"/>
        <v>1</v>
      </c>
      <c r="AI351" s="1">
        <f t="shared" si="236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761</v>
      </c>
      <c r="E352" s="32" t="s">
        <v>913</v>
      </c>
      <c r="F352" s="32" t="s">
        <v>762</v>
      </c>
      <c r="G352" s="32" t="s">
        <v>220</v>
      </c>
      <c r="H352" s="32" t="s">
        <v>354</v>
      </c>
      <c r="I352" s="31" t="s">
        <v>763</v>
      </c>
      <c r="J352" s="31">
        <v>8</v>
      </c>
      <c r="K352" s="33" t="s">
        <v>955</v>
      </c>
      <c r="L352" s="33" t="s">
        <v>729</v>
      </c>
      <c r="M352" s="34" t="s">
        <v>723</v>
      </c>
      <c r="N352" s="34" t="s">
        <v>1748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1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1495</v>
      </c>
      <c r="E353" s="45" t="s">
        <v>1496</v>
      </c>
      <c r="F353" s="45" t="s">
        <v>1497</v>
      </c>
      <c r="G353" s="45" t="s">
        <v>238</v>
      </c>
      <c r="H353" s="45" t="s">
        <v>354</v>
      </c>
      <c r="I353" s="44" t="s">
        <v>1498</v>
      </c>
      <c r="J353" s="44">
        <v>4</v>
      </c>
      <c r="K353" s="46" t="s">
        <v>712</v>
      </c>
      <c r="L353" s="46">
        <v>15</v>
      </c>
      <c r="M353" s="47" t="s">
        <v>39</v>
      </c>
      <c r="N353" s="47" t="s">
        <v>1802</v>
      </c>
      <c r="O353" s="48"/>
      <c r="P353" s="48"/>
      <c r="Q353" s="45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1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1553</v>
      </c>
      <c r="E354" s="32" t="s">
        <v>1554</v>
      </c>
      <c r="F354" s="32" t="s">
        <v>1555</v>
      </c>
      <c r="G354" s="32" t="s">
        <v>1556</v>
      </c>
      <c r="H354" s="32" t="s">
        <v>354</v>
      </c>
      <c r="I354" s="31" t="s">
        <v>1557</v>
      </c>
      <c r="J354" s="31">
        <v>7</v>
      </c>
      <c r="K354" s="33" t="s">
        <v>955</v>
      </c>
      <c r="L354" s="33">
        <v>10</v>
      </c>
      <c r="M354" s="34" t="s">
        <v>39</v>
      </c>
      <c r="N354" s="34" t="s">
        <v>1743</v>
      </c>
      <c r="O354" s="35">
        <v>1</v>
      </c>
      <c r="P354" s="35"/>
      <c r="Q354" s="32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1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1</v>
      </c>
      <c r="AF354" s="1">
        <f t="shared" si="233"/>
        <v>0</v>
      </c>
      <c r="AG354" s="1">
        <f t="shared" si="234"/>
        <v>1</v>
      </c>
      <c r="AH354" s="1">
        <f t="shared" si="235"/>
        <v>0</v>
      </c>
      <c r="AI354" s="1">
        <f t="shared" si="236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841</v>
      </c>
      <c r="E355" s="45" t="s">
        <v>32</v>
      </c>
      <c r="F355" s="45" t="s">
        <v>843</v>
      </c>
      <c r="G355" s="45" t="s">
        <v>39</v>
      </c>
      <c r="H355" s="45" t="s">
        <v>354</v>
      </c>
      <c r="I355" s="44" t="s">
        <v>842</v>
      </c>
      <c r="J355" s="44">
        <v>1</v>
      </c>
      <c r="K355" s="46" t="s">
        <v>713</v>
      </c>
      <c r="L355" s="46" t="s">
        <v>694</v>
      </c>
      <c r="M355" s="47" t="s">
        <v>1415</v>
      </c>
      <c r="N355" s="47" t="s">
        <v>1735</v>
      </c>
      <c r="O355" s="48"/>
      <c r="P355" s="48"/>
      <c r="Q355" s="45"/>
      <c r="S355" s="1">
        <f t="shared" si="237"/>
        <v>1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764</v>
      </c>
      <c r="E356" s="16" t="s">
        <v>765</v>
      </c>
      <c r="F356" s="16" t="s">
        <v>766</v>
      </c>
      <c r="G356" s="16" t="s">
        <v>767</v>
      </c>
      <c r="H356" s="16" t="s">
        <v>354</v>
      </c>
      <c r="I356" s="15" t="s">
        <v>768</v>
      </c>
      <c r="J356" s="15">
        <v>99</v>
      </c>
      <c r="K356" s="10" t="s">
        <v>703</v>
      </c>
      <c r="L356" s="10">
        <v>15</v>
      </c>
      <c r="M356" s="19" t="s">
        <v>769</v>
      </c>
      <c r="N356" s="19"/>
      <c r="Q356" s="16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798</v>
      </c>
      <c r="E357" s="32" t="s">
        <v>908</v>
      </c>
      <c r="F357" s="32" t="s">
        <v>925</v>
      </c>
      <c r="G357" s="32" t="s">
        <v>208</v>
      </c>
      <c r="H357" s="32" t="s">
        <v>354</v>
      </c>
      <c r="I357" s="31" t="s">
        <v>1363</v>
      </c>
      <c r="J357" s="31">
        <v>3</v>
      </c>
      <c r="K357" s="33" t="s">
        <v>703</v>
      </c>
      <c r="L357" s="33">
        <v>20</v>
      </c>
      <c r="M357" s="34" t="s">
        <v>1417</v>
      </c>
      <c r="N357" s="34" t="s">
        <v>1825</v>
      </c>
      <c r="O357" s="35">
        <v>1</v>
      </c>
      <c r="P357" s="35"/>
      <c r="Q357" s="32"/>
      <c r="S357" s="1">
        <f t="shared" si="237"/>
        <v>0</v>
      </c>
      <c r="T357" s="1">
        <f t="shared" si="238"/>
        <v>0</v>
      </c>
      <c r="U357" s="1">
        <f t="shared" si="239"/>
        <v>1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1</v>
      </c>
      <c r="AF357" s="1">
        <f t="shared" si="233"/>
        <v>0</v>
      </c>
      <c r="AG357" s="1">
        <f t="shared" si="234"/>
        <v>1</v>
      </c>
      <c r="AH357" s="1">
        <f t="shared" si="235"/>
        <v>0</v>
      </c>
      <c r="AI357" s="1">
        <f t="shared" si="236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567</v>
      </c>
      <c r="E358" s="58" t="s">
        <v>37</v>
      </c>
      <c r="F358" s="58" t="s">
        <v>205</v>
      </c>
      <c r="G358" s="58" t="s">
        <v>39</v>
      </c>
      <c r="H358" s="58" t="s">
        <v>354</v>
      </c>
      <c r="I358" s="57" t="s">
        <v>389</v>
      </c>
      <c r="J358" s="57">
        <v>6</v>
      </c>
      <c r="K358" s="59" t="s">
        <v>703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1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653</v>
      </c>
      <c r="E359" s="45" t="s">
        <v>910</v>
      </c>
      <c r="F359" s="45" t="s">
        <v>624</v>
      </c>
      <c r="G359" s="45" t="s">
        <v>341</v>
      </c>
      <c r="H359" s="45" t="s">
        <v>354</v>
      </c>
      <c r="I359" s="44" t="s">
        <v>625</v>
      </c>
      <c r="J359" s="44">
        <v>10</v>
      </c>
      <c r="K359" s="46" t="s">
        <v>954</v>
      </c>
      <c r="L359" s="46" t="s">
        <v>704</v>
      </c>
      <c r="M359" s="47" t="s">
        <v>1418</v>
      </c>
      <c r="N359" s="47" t="s">
        <v>1734</v>
      </c>
      <c r="O359" s="48"/>
      <c r="P359" s="48"/>
      <c r="Q359" s="45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1</v>
      </c>
      <c r="AD359" s="1">
        <f t="shared" si="247"/>
        <v>0</v>
      </c>
      <c r="AE359" s="1">
        <f t="shared" si="248"/>
        <v>0</v>
      </c>
      <c r="AF359" s="1">
        <f t="shared" si="233"/>
        <v>0</v>
      </c>
      <c r="AG359" s="1">
        <f t="shared" si="234"/>
        <v>0</v>
      </c>
      <c r="AH359" s="1">
        <f t="shared" si="235"/>
        <v>0</v>
      </c>
      <c r="AI359" s="1">
        <f t="shared" si="236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266</v>
      </c>
      <c r="G360" s="32" t="s">
        <v>213</v>
      </c>
      <c r="H360" s="32" t="s">
        <v>354</v>
      </c>
      <c r="I360" s="31" t="s">
        <v>945</v>
      </c>
      <c r="J360" s="31">
        <v>1</v>
      </c>
      <c r="K360" s="33" t="s">
        <v>713</v>
      </c>
      <c r="L360" s="33" t="s">
        <v>704</v>
      </c>
      <c r="M360" s="34" t="s">
        <v>1419</v>
      </c>
      <c r="N360" s="34" t="s">
        <v>1743</v>
      </c>
      <c r="O360" s="35">
        <v>1</v>
      </c>
      <c r="P360" s="35"/>
      <c r="Q360" s="32"/>
      <c r="S360" s="1">
        <f t="shared" si="237"/>
        <v>1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919</v>
      </c>
      <c r="E361" s="32" t="s">
        <v>912</v>
      </c>
      <c r="F361" s="32" t="s">
        <v>782</v>
      </c>
      <c r="G361" s="32" t="s">
        <v>285</v>
      </c>
      <c r="H361" s="32" t="s">
        <v>354</v>
      </c>
      <c r="I361" s="31" t="s">
        <v>946</v>
      </c>
      <c r="J361" s="31">
        <v>4</v>
      </c>
      <c r="K361" s="33" t="s">
        <v>713</v>
      </c>
      <c r="L361" s="33" t="s">
        <v>696</v>
      </c>
      <c r="M361" s="34" t="s">
        <v>1420</v>
      </c>
      <c r="N361" s="34" t="s">
        <v>1749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1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629</v>
      </c>
      <c r="E362" s="16" t="s">
        <v>685</v>
      </c>
      <c r="F362" s="16" t="s">
        <v>670</v>
      </c>
      <c r="G362" s="16" t="s">
        <v>628</v>
      </c>
      <c r="H362" s="16" t="s">
        <v>354</v>
      </c>
      <c r="I362" s="15" t="s">
        <v>630</v>
      </c>
      <c r="J362" s="15">
        <v>99</v>
      </c>
      <c r="K362" s="10" t="s">
        <v>955</v>
      </c>
      <c r="L362" s="10" t="s">
        <v>39</v>
      </c>
      <c r="M362" s="19" t="s">
        <v>39</v>
      </c>
      <c r="N362" s="17"/>
      <c r="Q362" s="20" t="s">
        <v>1897</v>
      </c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277</v>
      </c>
      <c r="G363" s="32" t="s">
        <v>224</v>
      </c>
      <c r="H363" s="32" t="s">
        <v>354</v>
      </c>
      <c r="I363" s="31" t="s">
        <v>433</v>
      </c>
      <c r="J363" s="31">
        <v>99</v>
      </c>
      <c r="K363" s="33" t="s">
        <v>954</v>
      </c>
      <c r="L363" s="33" t="s">
        <v>704</v>
      </c>
      <c r="M363" s="34" t="s">
        <v>726</v>
      </c>
      <c r="N363" s="34" t="s">
        <v>1761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1</v>
      </c>
      <c r="AF363" s="1">
        <f t="shared" si="233"/>
        <v>0</v>
      </c>
      <c r="AG363" s="1">
        <f t="shared" si="234"/>
        <v>1</v>
      </c>
      <c r="AH363" s="1">
        <f t="shared" si="235"/>
        <v>0</v>
      </c>
      <c r="AI363" s="1">
        <f t="shared" si="236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879</v>
      </c>
      <c r="E364" s="16" t="s">
        <v>772</v>
      </c>
      <c r="F364" s="16" t="s">
        <v>877</v>
      </c>
      <c r="G364" s="16" t="s">
        <v>279</v>
      </c>
      <c r="H364" s="16" t="s">
        <v>354</v>
      </c>
      <c r="I364" s="15" t="s">
        <v>878</v>
      </c>
      <c r="J364" s="15">
        <v>99</v>
      </c>
      <c r="K364" s="10" t="s">
        <v>703</v>
      </c>
      <c r="L364" s="10">
        <v>25</v>
      </c>
      <c r="M364" s="19" t="s">
        <v>1421</v>
      </c>
      <c r="N364" s="19"/>
      <c r="Q364" s="16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7"/>
        <v>0</v>
      </c>
      <c r="AE364" s="1">
        <f t="shared" si="248"/>
        <v>0</v>
      </c>
      <c r="AF364" s="1">
        <f t="shared" si="233"/>
        <v>0</v>
      </c>
      <c r="AG364" s="1">
        <f t="shared" si="234"/>
        <v>0</v>
      </c>
      <c r="AH364" s="1">
        <f t="shared" si="235"/>
        <v>0</v>
      </c>
      <c r="AI364" s="1">
        <f t="shared" si="236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922</v>
      </c>
      <c r="E365" s="32" t="s">
        <v>772</v>
      </c>
      <c r="F365" s="32" t="s">
        <v>844</v>
      </c>
      <c r="G365" s="32" t="s">
        <v>209</v>
      </c>
      <c r="H365" s="32" t="s">
        <v>354</v>
      </c>
      <c r="I365" s="31" t="s">
        <v>845</v>
      </c>
      <c r="J365" s="31">
        <v>99</v>
      </c>
      <c r="K365" s="33" t="s">
        <v>712</v>
      </c>
      <c r="L365" s="33" t="s">
        <v>704</v>
      </c>
      <c r="M365" s="34" t="s">
        <v>726</v>
      </c>
      <c r="N365" s="34" t="s">
        <v>1756</v>
      </c>
      <c r="O365" s="35">
        <v>1</v>
      </c>
      <c r="P365" s="35"/>
      <c r="Q365" s="32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ref="AD365:AD367" si="249">+O365*P365</f>
        <v>0</v>
      </c>
      <c r="AE365" s="1">
        <f t="shared" ref="AE365:AE367" si="250">O365*(1-P365)</f>
        <v>1</v>
      </c>
      <c r="AF365" s="1">
        <f t="shared" ref="AF365:AF367" si="251">+O365*P365*(1-A365)</f>
        <v>0</v>
      </c>
      <c r="AG365" s="1">
        <f t="shared" ref="AG365:AG367" si="252">O365*(1-P365)*(1-A365)</f>
        <v>1</v>
      </c>
      <c r="AH365" s="1">
        <f t="shared" ref="AH365:AH367" si="253">+P365*(1-A365)</f>
        <v>0</v>
      </c>
      <c r="AI365" s="1">
        <f t="shared" ref="AI365:AI367" si="254">+(1-A365)*(1-P365)</f>
        <v>1</v>
      </c>
    </row>
    <row r="366" spans="1:35" ht="14.25" customHeight="1" x14ac:dyDescent="0.3">
      <c r="A366" s="44">
        <v>0</v>
      </c>
      <c r="B366" s="44">
        <v>2</v>
      </c>
      <c r="C366" s="44">
        <v>4</v>
      </c>
      <c r="D366" s="45" t="s">
        <v>2028</v>
      </c>
      <c r="E366" s="45" t="s">
        <v>35</v>
      </c>
      <c r="F366" s="45" t="s">
        <v>2029</v>
      </c>
      <c r="G366" s="45" t="s">
        <v>209</v>
      </c>
      <c r="H366" s="45" t="s">
        <v>354</v>
      </c>
      <c r="I366" s="44" t="s">
        <v>2030</v>
      </c>
      <c r="J366" s="44">
        <v>99</v>
      </c>
      <c r="K366" s="46" t="s">
        <v>703</v>
      </c>
      <c r="L366" s="46">
        <v>25</v>
      </c>
      <c r="M366" s="47" t="s">
        <v>2032</v>
      </c>
      <c r="N366" s="47" t="s">
        <v>1809</v>
      </c>
      <c r="O366" s="48"/>
      <c r="P366" s="48"/>
      <c r="Q366" s="45" t="s">
        <v>2031</v>
      </c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0</v>
      </c>
      <c r="AF366" s="1">
        <f t="shared" si="251"/>
        <v>0</v>
      </c>
      <c r="AG366" s="1">
        <f t="shared" si="252"/>
        <v>0</v>
      </c>
      <c r="AH366" s="1">
        <f t="shared" si="253"/>
        <v>0</v>
      </c>
      <c r="AI366" s="1">
        <f t="shared" si="254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1223</v>
      </c>
      <c r="E367" s="45" t="s">
        <v>1222</v>
      </c>
      <c r="F367" s="45" t="s">
        <v>1224</v>
      </c>
      <c r="G367" s="45" t="s">
        <v>535</v>
      </c>
      <c r="H367" s="45" t="s">
        <v>354</v>
      </c>
      <c r="I367" s="44" t="s">
        <v>1225</v>
      </c>
      <c r="J367" s="44">
        <v>99</v>
      </c>
      <c r="K367" s="46" t="s">
        <v>713</v>
      </c>
      <c r="L367" s="46" t="s">
        <v>694</v>
      </c>
      <c r="M367" s="47" t="s">
        <v>1422</v>
      </c>
      <c r="N367" s="47" t="s">
        <v>1747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9"/>
        <v>0</v>
      </c>
      <c r="AE367" s="1">
        <f t="shared" si="250"/>
        <v>0</v>
      </c>
      <c r="AF367" s="1">
        <f t="shared" si="251"/>
        <v>0</v>
      </c>
      <c r="AG367" s="1">
        <f t="shared" si="252"/>
        <v>0</v>
      </c>
      <c r="AH367" s="1">
        <f t="shared" si="253"/>
        <v>0</v>
      </c>
      <c r="AI367" s="1">
        <f t="shared" si="254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823</v>
      </c>
      <c r="E368" s="32" t="s">
        <v>590</v>
      </c>
      <c r="F368" s="32" t="s">
        <v>824</v>
      </c>
      <c r="G368" s="32" t="s">
        <v>937</v>
      </c>
      <c r="H368" s="32" t="s">
        <v>354</v>
      </c>
      <c r="I368" s="31" t="s">
        <v>951</v>
      </c>
      <c r="J368" s="31">
        <v>7</v>
      </c>
      <c r="K368" s="33" t="s">
        <v>712</v>
      </c>
      <c r="L368" s="33" t="s">
        <v>39</v>
      </c>
      <c r="M368" s="34" t="s">
        <v>39</v>
      </c>
      <c r="N368" s="34" t="s">
        <v>1727</v>
      </c>
      <c r="O368" s="35">
        <v>1</v>
      </c>
      <c r="P368" s="35">
        <v>1</v>
      </c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1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si="247"/>
        <v>1</v>
      </c>
      <c r="AE368" s="1">
        <f t="shared" si="248"/>
        <v>0</v>
      </c>
      <c r="AF368" s="1">
        <f t="shared" si="233"/>
        <v>1</v>
      </c>
      <c r="AG368" s="1">
        <f t="shared" si="234"/>
        <v>0</v>
      </c>
      <c r="AH368" s="1">
        <f t="shared" si="235"/>
        <v>1</v>
      </c>
      <c r="AI368" s="1">
        <f t="shared" si="236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1605</v>
      </c>
      <c r="E369" s="45" t="s">
        <v>1655</v>
      </c>
      <c r="F369" s="45" t="s">
        <v>1606</v>
      </c>
      <c r="G369" s="45" t="s">
        <v>333</v>
      </c>
      <c r="H369" s="45" t="s">
        <v>354</v>
      </c>
      <c r="I369" s="44" t="s">
        <v>30</v>
      </c>
      <c r="J369" s="44">
        <v>99</v>
      </c>
      <c r="K369" s="46" t="s">
        <v>713</v>
      </c>
      <c r="L369" s="46">
        <v>20</v>
      </c>
      <c r="M369" s="47" t="s">
        <v>39</v>
      </c>
      <c r="N369" s="47" t="s">
        <v>1741</v>
      </c>
      <c r="O369" s="48"/>
      <c r="P369" s="48"/>
      <c r="Q369" s="45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ref="AD369:AD372" si="255">+O369*P369</f>
        <v>0</v>
      </c>
      <c r="AE369" s="1">
        <f t="shared" ref="AE369:AE372" si="256">O369*(1-P369)</f>
        <v>0</v>
      </c>
      <c r="AF369" s="1">
        <f t="shared" ref="AF369:AF372" si="257">+O369*P369*(1-A369)</f>
        <v>0</v>
      </c>
      <c r="AG369" s="1">
        <f t="shared" ref="AG369:AG372" si="258">O369*(1-P369)*(1-A369)</f>
        <v>0</v>
      </c>
      <c r="AH369" s="1">
        <f t="shared" ref="AH369:AH372" si="259">+P369*(1-A369)</f>
        <v>0</v>
      </c>
      <c r="AI369" s="1">
        <f t="shared" ref="AI369:AI372" si="260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671</v>
      </c>
      <c r="G370" s="32" t="s">
        <v>223</v>
      </c>
      <c r="H370" s="32" t="s">
        <v>354</v>
      </c>
      <c r="I370" s="31" t="s">
        <v>397</v>
      </c>
      <c r="J370" s="31">
        <v>8</v>
      </c>
      <c r="K370" s="33" t="s">
        <v>713</v>
      </c>
      <c r="L370" s="33" t="s">
        <v>716</v>
      </c>
      <c r="M370" s="34" t="s">
        <v>1423</v>
      </c>
      <c r="N370" s="34" t="s">
        <v>1748</v>
      </c>
      <c r="O370" s="35">
        <v>1</v>
      </c>
      <c r="P370" s="35"/>
      <c r="Q370" s="32"/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1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1</v>
      </c>
      <c r="AF370" s="1">
        <f t="shared" si="257"/>
        <v>0</v>
      </c>
      <c r="AG370" s="1">
        <f t="shared" si="258"/>
        <v>1</v>
      </c>
      <c r="AH370" s="1">
        <f t="shared" si="259"/>
        <v>0</v>
      </c>
      <c r="AI370" s="1">
        <f t="shared" si="260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832</v>
      </c>
      <c r="E371" s="45" t="s">
        <v>831</v>
      </c>
      <c r="F371" s="45" t="s">
        <v>924</v>
      </c>
      <c r="G371" s="45" t="s">
        <v>213</v>
      </c>
      <c r="H371" s="45" t="s">
        <v>354</v>
      </c>
      <c r="I371" s="44" t="s">
        <v>833</v>
      </c>
      <c r="J371" s="44">
        <v>1</v>
      </c>
      <c r="K371" s="46" t="s">
        <v>712</v>
      </c>
      <c r="L371" s="46" t="s">
        <v>693</v>
      </c>
      <c r="M371" s="47" t="s">
        <v>1424</v>
      </c>
      <c r="N371" s="47" t="s">
        <v>1735</v>
      </c>
      <c r="O371" s="48"/>
      <c r="P371" s="48"/>
      <c r="Q371" s="45"/>
      <c r="S371" s="1">
        <f t="shared" si="237"/>
        <v>1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0</v>
      </c>
      <c r="AE371" s="1">
        <f t="shared" si="256"/>
        <v>0</v>
      </c>
      <c r="AF371" s="1">
        <f t="shared" si="257"/>
        <v>0</v>
      </c>
      <c r="AG371" s="1">
        <f t="shared" si="258"/>
        <v>0</v>
      </c>
      <c r="AH371" s="1">
        <f t="shared" si="259"/>
        <v>0</v>
      </c>
      <c r="AI371" s="1">
        <f t="shared" si="260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2061</v>
      </c>
      <c r="E372" s="36" t="s">
        <v>170</v>
      </c>
      <c r="F372" s="36" t="s">
        <v>2062</v>
      </c>
      <c r="G372" s="36" t="s">
        <v>1534</v>
      </c>
      <c r="H372" s="36" t="s">
        <v>354</v>
      </c>
      <c r="I372" s="37" t="s">
        <v>2063</v>
      </c>
      <c r="J372" s="31">
        <v>5</v>
      </c>
      <c r="K372" s="33" t="s">
        <v>703</v>
      </c>
      <c r="L372" s="33"/>
      <c r="M372" s="34"/>
      <c r="N372" s="34" t="s">
        <v>1727</v>
      </c>
      <c r="O372" s="35">
        <v>1</v>
      </c>
      <c r="P372" s="35">
        <v>1</v>
      </c>
      <c r="Q372" s="36" t="s">
        <v>2064</v>
      </c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1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55"/>
        <v>1</v>
      </c>
      <c r="AE372" s="1">
        <f t="shared" si="256"/>
        <v>0</v>
      </c>
      <c r="AF372" s="1">
        <f t="shared" si="257"/>
        <v>1</v>
      </c>
      <c r="AG372" s="1">
        <f t="shared" si="258"/>
        <v>0</v>
      </c>
      <c r="AH372" s="1">
        <f t="shared" si="259"/>
        <v>1</v>
      </c>
      <c r="AI372" s="1">
        <f t="shared" si="260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164</v>
      </c>
      <c r="F373" s="32" t="s">
        <v>547</v>
      </c>
      <c r="G373" s="32" t="s">
        <v>194</v>
      </c>
      <c r="H373" s="32" t="s">
        <v>354</v>
      </c>
      <c r="I373" s="31" t="s">
        <v>552</v>
      </c>
      <c r="J373" s="31">
        <v>9</v>
      </c>
      <c r="K373" s="33" t="s">
        <v>713</v>
      </c>
      <c r="L373" s="33" t="s">
        <v>687</v>
      </c>
      <c r="M373" s="34" t="s">
        <v>1443</v>
      </c>
      <c r="N373" s="34" t="s">
        <v>1761</v>
      </c>
      <c r="O373" s="35">
        <v>1</v>
      </c>
      <c r="P373" s="35"/>
      <c r="Q373" s="32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1</v>
      </c>
      <c r="AB373" s="1">
        <f t="shared" si="246"/>
        <v>0</v>
      </c>
      <c r="AD373" s="1">
        <f t="shared" si="247"/>
        <v>0</v>
      </c>
      <c r="AE373" s="1">
        <f t="shared" si="248"/>
        <v>1</v>
      </c>
      <c r="AF373" s="1">
        <f t="shared" si="233"/>
        <v>0</v>
      </c>
      <c r="AG373" s="1">
        <f t="shared" si="234"/>
        <v>1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1486</v>
      </c>
      <c r="E374" s="45" t="s">
        <v>35</v>
      </c>
      <c r="F374" s="65" t="s">
        <v>1873</v>
      </c>
      <c r="G374" s="45" t="s">
        <v>222</v>
      </c>
      <c r="H374" s="45" t="s">
        <v>354</v>
      </c>
      <c r="I374" s="44" t="s">
        <v>1686</v>
      </c>
      <c r="J374" s="44">
        <v>99</v>
      </c>
      <c r="K374" s="46" t="s">
        <v>713</v>
      </c>
      <c r="L374" s="46">
        <v>25</v>
      </c>
      <c r="M374" s="47" t="s">
        <v>39</v>
      </c>
      <c r="N374" s="47" t="s">
        <v>1737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1819</v>
      </c>
      <c r="E375" s="32" t="s">
        <v>772</v>
      </c>
      <c r="F375" s="32" t="s">
        <v>1820</v>
      </c>
      <c r="G375" s="32" t="s">
        <v>224</v>
      </c>
      <c r="H375" s="32" t="s">
        <v>354</v>
      </c>
      <c r="I375" s="31" t="s">
        <v>1821</v>
      </c>
      <c r="J375" s="31">
        <v>99</v>
      </c>
      <c r="K375" s="33" t="s">
        <v>1822</v>
      </c>
      <c r="L375" s="33">
        <v>40</v>
      </c>
      <c r="M375" s="34" t="s">
        <v>1823</v>
      </c>
      <c r="N375" s="34" t="s">
        <v>1849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616</v>
      </c>
      <c r="E376" s="32" t="s">
        <v>686</v>
      </c>
      <c r="F376" s="32" t="s">
        <v>617</v>
      </c>
      <c r="G376" s="32" t="s">
        <v>287</v>
      </c>
      <c r="H376" s="32" t="s">
        <v>354</v>
      </c>
      <c r="I376" s="31" t="s">
        <v>618</v>
      </c>
      <c r="J376" s="31">
        <v>99</v>
      </c>
      <c r="K376" s="33" t="s">
        <v>712</v>
      </c>
      <c r="L376" s="33" t="s">
        <v>704</v>
      </c>
      <c r="M376" s="34" t="s">
        <v>1425</v>
      </c>
      <c r="N376" s="34" t="s">
        <v>1743</v>
      </c>
      <c r="O376" s="35">
        <v>1</v>
      </c>
      <c r="P376" s="35"/>
      <c r="Q376" s="32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1</v>
      </c>
      <c r="AF376" s="1">
        <f t="shared" si="233"/>
        <v>0</v>
      </c>
      <c r="AG376" s="1">
        <f t="shared" si="234"/>
        <v>1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1488</v>
      </c>
      <c r="E377" s="45" t="s">
        <v>772</v>
      </c>
      <c r="F377" s="45" t="s">
        <v>1489</v>
      </c>
      <c r="G377" s="45" t="s">
        <v>196</v>
      </c>
      <c r="H377" s="45" t="s">
        <v>354</v>
      </c>
      <c r="I377" s="44" t="s">
        <v>1490</v>
      </c>
      <c r="J377" s="44">
        <v>99</v>
      </c>
      <c r="K377" s="46" t="s">
        <v>954</v>
      </c>
      <c r="L377" s="46" t="s">
        <v>693</v>
      </c>
      <c r="M377" s="47" t="s">
        <v>1416</v>
      </c>
      <c r="N377" s="47" t="s">
        <v>1735</v>
      </c>
      <c r="O377" s="48"/>
      <c r="P377" s="48"/>
      <c r="Q377" s="45"/>
      <c r="R377" s="15"/>
      <c r="S377" s="15">
        <f t="shared" si="237"/>
        <v>0</v>
      </c>
      <c r="T377" s="15">
        <f t="shared" si="238"/>
        <v>0</v>
      </c>
      <c r="U377" s="15">
        <f t="shared" si="239"/>
        <v>0</v>
      </c>
      <c r="V377" s="15">
        <f t="shared" si="240"/>
        <v>0</v>
      </c>
      <c r="W377" s="15">
        <f t="shared" si="241"/>
        <v>0</v>
      </c>
      <c r="X377" s="15">
        <f t="shared" si="242"/>
        <v>0</v>
      </c>
      <c r="Y377" s="15">
        <f t="shared" si="243"/>
        <v>0</v>
      </c>
      <c r="Z377" s="15">
        <f t="shared" si="244"/>
        <v>0</v>
      </c>
      <c r="AA377" s="15">
        <f t="shared" si="245"/>
        <v>0</v>
      </c>
      <c r="AB377" s="10">
        <f t="shared" si="246"/>
        <v>0</v>
      </c>
      <c r="AC377" s="10"/>
      <c r="AD377" s="21">
        <f t="shared" si="247"/>
        <v>0</v>
      </c>
      <c r="AE377" s="21">
        <f t="shared" si="248"/>
        <v>0</v>
      </c>
      <c r="AF377" s="1">
        <f t="shared" si="233"/>
        <v>0</v>
      </c>
      <c r="AG377" s="1">
        <f t="shared" si="234"/>
        <v>0</v>
      </c>
      <c r="AH377" s="21">
        <f t="shared" si="235"/>
        <v>0</v>
      </c>
      <c r="AI377" s="15">
        <f t="shared" si="236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777</v>
      </c>
      <c r="G378" s="45" t="s">
        <v>207</v>
      </c>
      <c r="H378" s="45" t="s">
        <v>354</v>
      </c>
      <c r="I378" s="44" t="s">
        <v>776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775</v>
      </c>
      <c r="E379" s="45" t="s">
        <v>772</v>
      </c>
      <c r="F379" s="45" t="s">
        <v>1006</v>
      </c>
      <c r="G379" s="45" t="s">
        <v>190</v>
      </c>
      <c r="H379" s="45" t="s">
        <v>354</v>
      </c>
      <c r="I379" s="44" t="s">
        <v>1007</v>
      </c>
      <c r="J379" s="44">
        <v>99</v>
      </c>
      <c r="K379" s="46" t="s">
        <v>712</v>
      </c>
      <c r="L379" s="46" t="s">
        <v>694</v>
      </c>
      <c r="M379" s="47" t="s">
        <v>1426</v>
      </c>
      <c r="N379" s="47" t="s">
        <v>1735</v>
      </c>
      <c r="O379" s="48"/>
      <c r="P379" s="48"/>
      <c r="Q379" s="45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916</v>
      </c>
      <c r="E380" s="16" t="s">
        <v>911</v>
      </c>
      <c r="F380" s="16" t="s">
        <v>929</v>
      </c>
      <c r="G380" s="16" t="s">
        <v>1350</v>
      </c>
      <c r="H380" s="16" t="s">
        <v>354</v>
      </c>
      <c r="I380" s="15" t="s">
        <v>770</v>
      </c>
      <c r="J380" s="15">
        <v>99</v>
      </c>
      <c r="K380" s="10" t="s">
        <v>703</v>
      </c>
      <c r="L380" s="10">
        <v>20</v>
      </c>
      <c r="M380" s="19" t="s">
        <v>1427</v>
      </c>
      <c r="N380" s="19"/>
      <c r="Q380" s="16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0</v>
      </c>
      <c r="AE380" s="1">
        <f t="shared" si="248"/>
        <v>0</v>
      </c>
      <c r="AF380" s="1">
        <f t="shared" si="233"/>
        <v>0</v>
      </c>
      <c r="AG380" s="1">
        <f t="shared" si="234"/>
        <v>0</v>
      </c>
      <c r="AH380" s="1">
        <f t="shared" si="235"/>
        <v>0</v>
      </c>
      <c r="AI380" s="1">
        <f t="shared" si="236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1921</v>
      </c>
      <c r="E381" s="32"/>
      <c r="F381" s="32" t="s">
        <v>1922</v>
      </c>
      <c r="G381" s="32" t="s">
        <v>208</v>
      </c>
      <c r="H381" s="32" t="s">
        <v>354</v>
      </c>
      <c r="I381" s="31" t="s">
        <v>1923</v>
      </c>
      <c r="J381" s="31">
        <v>3</v>
      </c>
      <c r="K381" s="33" t="s">
        <v>703</v>
      </c>
      <c r="L381" s="33"/>
      <c r="M381" s="34"/>
      <c r="N381" s="34" t="s">
        <v>1727</v>
      </c>
      <c r="O381" s="35">
        <v>1</v>
      </c>
      <c r="P381" s="35">
        <v>1</v>
      </c>
      <c r="Q381" s="32" t="s">
        <v>1924</v>
      </c>
      <c r="S381" s="1">
        <f t="shared" si="237"/>
        <v>0</v>
      </c>
      <c r="T381" s="1">
        <f t="shared" si="238"/>
        <v>0</v>
      </c>
      <c r="U381" s="1">
        <f t="shared" si="239"/>
        <v>1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1270</v>
      </c>
      <c r="E382" s="32" t="s">
        <v>1271</v>
      </c>
      <c r="F382" s="32" t="s">
        <v>1272</v>
      </c>
      <c r="G382" s="32" t="s">
        <v>220</v>
      </c>
      <c r="H382" s="32" t="s">
        <v>354</v>
      </c>
      <c r="I382" s="31" t="s">
        <v>1723</v>
      </c>
      <c r="J382" s="31">
        <v>8</v>
      </c>
      <c r="K382" s="33" t="s">
        <v>713</v>
      </c>
      <c r="L382" s="33" t="s">
        <v>39</v>
      </c>
      <c r="M382" s="34" t="s">
        <v>39</v>
      </c>
      <c r="N382" s="34" t="s">
        <v>1727</v>
      </c>
      <c r="O382" s="35">
        <v>1</v>
      </c>
      <c r="P382" s="35">
        <v>1</v>
      </c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1</v>
      </c>
      <c r="AA382" s="1">
        <f t="shared" si="245"/>
        <v>0</v>
      </c>
      <c r="AB382" s="1">
        <f t="shared" si="246"/>
        <v>0</v>
      </c>
      <c r="AD382" s="1">
        <f t="shared" si="247"/>
        <v>1</v>
      </c>
      <c r="AE382" s="1">
        <f t="shared" si="248"/>
        <v>0</v>
      </c>
      <c r="AF382" s="1">
        <f t="shared" si="233"/>
        <v>1</v>
      </c>
      <c r="AG382" s="1">
        <f t="shared" si="234"/>
        <v>0</v>
      </c>
      <c r="AH382" s="1">
        <f t="shared" si="235"/>
        <v>1</v>
      </c>
      <c r="AI382" s="1">
        <f t="shared" si="236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1082</v>
      </c>
      <c r="E383" s="32" t="s">
        <v>155</v>
      </c>
      <c r="F383" s="32" t="s">
        <v>1066</v>
      </c>
      <c r="G383" s="32" t="s">
        <v>321</v>
      </c>
      <c r="H383" s="32" t="s">
        <v>354</v>
      </c>
      <c r="I383" s="31" t="s">
        <v>1067</v>
      </c>
      <c r="J383" s="31">
        <v>99</v>
      </c>
      <c r="K383" s="33" t="s">
        <v>713</v>
      </c>
      <c r="L383" s="33" t="s">
        <v>694</v>
      </c>
      <c r="M383" s="34" t="s">
        <v>1428</v>
      </c>
      <c r="N383" s="34" t="s">
        <v>1756</v>
      </c>
      <c r="O383" s="35">
        <v>1</v>
      </c>
      <c r="P383" s="35"/>
      <c r="Q383" s="32"/>
      <c r="S383" s="1">
        <f t="shared" si="237"/>
        <v>0</v>
      </c>
      <c r="T383" s="1">
        <f t="shared" si="238"/>
        <v>0</v>
      </c>
      <c r="U383" s="1">
        <f t="shared" si="239"/>
        <v>0</v>
      </c>
      <c r="V383" s="1">
        <f t="shared" si="240"/>
        <v>0</v>
      </c>
      <c r="W383" s="1">
        <f t="shared" si="241"/>
        <v>0</v>
      </c>
      <c r="X383" s="1">
        <f t="shared" si="242"/>
        <v>0</v>
      </c>
      <c r="Y383" s="1">
        <f t="shared" si="243"/>
        <v>0</v>
      </c>
      <c r="Z383" s="1">
        <f t="shared" si="244"/>
        <v>0</v>
      </c>
      <c r="AA383" s="1">
        <f t="shared" si="245"/>
        <v>0</v>
      </c>
      <c r="AB383" s="1">
        <f t="shared" si="246"/>
        <v>0</v>
      </c>
      <c r="AD383" s="1">
        <f t="shared" si="247"/>
        <v>0</v>
      </c>
      <c r="AE383" s="1">
        <f t="shared" si="248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796</v>
      </c>
      <c r="E384" s="32" t="s">
        <v>772</v>
      </c>
      <c r="F384" s="32" t="s">
        <v>932</v>
      </c>
      <c r="G384" s="32" t="s">
        <v>220</v>
      </c>
      <c r="H384" s="32" t="s">
        <v>354</v>
      </c>
      <c r="I384" s="31" t="s">
        <v>797</v>
      </c>
      <c r="J384" s="31">
        <v>8</v>
      </c>
      <c r="K384" s="33" t="s">
        <v>703</v>
      </c>
      <c r="L384" s="33">
        <v>20</v>
      </c>
      <c r="M384" s="34" t="s">
        <v>1419</v>
      </c>
      <c r="N384" s="34" t="s">
        <v>1825</v>
      </c>
      <c r="O384" s="35">
        <v>1</v>
      </c>
      <c r="P384" s="35"/>
      <c r="Q384" s="32"/>
      <c r="S384" s="1">
        <f t="shared" ref="S384:S386" si="261">IF(J384=$S$7,1,0)</f>
        <v>0</v>
      </c>
      <c r="T384" s="1">
        <f t="shared" ref="T384:T386" si="262">IF(J384=$T$7,1,0)</f>
        <v>0</v>
      </c>
      <c r="U384" s="1">
        <f t="shared" ref="U384:U386" si="263">IF(J384=$U$7,1,0)</f>
        <v>0</v>
      </c>
      <c r="V384" s="1">
        <f t="shared" ref="V384:V386" si="264">IF(J384=$V$7,1,0)</f>
        <v>0</v>
      </c>
      <c r="W384" s="1">
        <f t="shared" ref="W384:W386" si="265">IF(J384=$W$7,1,0)</f>
        <v>0</v>
      </c>
      <c r="X384" s="1">
        <f t="shared" ref="X384:X386" si="266">IF(J384=$X$7,1,0)</f>
        <v>0</v>
      </c>
      <c r="Y384" s="1">
        <f t="shared" ref="Y384:Y386" si="267">IF(J384=$Y$7,1,0)</f>
        <v>0</v>
      </c>
      <c r="Z384" s="1">
        <f t="shared" ref="Z384:Z386" si="268">IF(J384=$Z$7,1,0)</f>
        <v>1</v>
      </c>
      <c r="AA384" s="1">
        <f t="shared" ref="AA384:AA386" si="269">IF(J384=$AA$7,1,0)</f>
        <v>0</v>
      </c>
      <c r="AB384" s="1">
        <f t="shared" ref="AB384:AB386" si="270">IF(J384=$AB$7,1,0)</f>
        <v>0</v>
      </c>
      <c r="AD384" s="1">
        <f t="shared" ref="AD384:AD386" si="271">+O384*P384</f>
        <v>0</v>
      </c>
      <c r="AE384" s="1">
        <f t="shared" ref="AE384:AE386" si="272">O384*(1-P384)</f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159</v>
      </c>
      <c r="F385" s="50" t="s">
        <v>268</v>
      </c>
      <c r="G385" s="50" t="s">
        <v>213</v>
      </c>
      <c r="H385" s="50" t="s">
        <v>354</v>
      </c>
      <c r="I385" s="49" t="s">
        <v>425</v>
      </c>
      <c r="J385" s="49">
        <v>1</v>
      </c>
      <c r="K385" s="51" t="s">
        <v>955</v>
      </c>
      <c r="L385" s="51" t="s">
        <v>704</v>
      </c>
      <c r="M385" s="52" t="s">
        <v>727</v>
      </c>
      <c r="N385" s="52" t="s">
        <v>1743</v>
      </c>
      <c r="O385" s="53">
        <v>1</v>
      </c>
      <c r="P385" s="53"/>
      <c r="Q385" s="50"/>
      <c r="S385" s="1">
        <f t="shared" si="261"/>
        <v>1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1642</v>
      </c>
      <c r="E386" s="32" t="s">
        <v>1654</v>
      </c>
      <c r="F386" s="32" t="s">
        <v>1551</v>
      </c>
      <c r="G386" s="32" t="s">
        <v>262</v>
      </c>
      <c r="H386" s="32" t="s">
        <v>354</v>
      </c>
      <c r="I386" s="31" t="s">
        <v>1552</v>
      </c>
      <c r="J386" s="31">
        <v>99</v>
      </c>
      <c r="K386" s="33" t="s">
        <v>955</v>
      </c>
      <c r="L386" s="33">
        <v>40</v>
      </c>
      <c r="M386" s="34" t="s">
        <v>39</v>
      </c>
      <c r="N386" s="34" t="s">
        <v>1825</v>
      </c>
      <c r="O386" s="35">
        <v>1</v>
      </c>
      <c r="P386" s="35"/>
      <c r="Q386" s="32"/>
      <c r="S386" s="1">
        <f t="shared" si="261"/>
        <v>0</v>
      </c>
      <c r="T386" s="1">
        <f t="shared" si="262"/>
        <v>0</v>
      </c>
      <c r="U386" s="1">
        <f t="shared" si="263"/>
        <v>0</v>
      </c>
      <c r="V386" s="1">
        <f t="shared" si="264"/>
        <v>0</v>
      </c>
      <c r="W386" s="1">
        <f t="shared" si="265"/>
        <v>0</v>
      </c>
      <c r="X386" s="1">
        <f t="shared" si="266"/>
        <v>0</v>
      </c>
      <c r="Y386" s="1">
        <f t="shared" si="267"/>
        <v>0</v>
      </c>
      <c r="Z386" s="1">
        <f t="shared" si="268"/>
        <v>0</v>
      </c>
      <c r="AA386" s="1">
        <f t="shared" si="269"/>
        <v>0</v>
      </c>
      <c r="AB386" s="1">
        <f t="shared" si="270"/>
        <v>0</v>
      </c>
      <c r="AD386" s="1">
        <f t="shared" si="271"/>
        <v>0</v>
      </c>
      <c r="AE386" s="1">
        <f t="shared" si="272"/>
        <v>1</v>
      </c>
      <c r="AF386" s="1">
        <f t="shared" si="233"/>
        <v>0</v>
      </c>
      <c r="AG386" s="1">
        <f t="shared" si="234"/>
        <v>1</v>
      </c>
      <c r="AH386" s="1">
        <f t="shared" si="235"/>
        <v>0</v>
      </c>
      <c r="AI386" s="1">
        <f t="shared" si="236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1297</v>
      </c>
      <c r="E387" s="32" t="s">
        <v>27</v>
      </c>
      <c r="F387" s="32" t="s">
        <v>1298</v>
      </c>
      <c r="G387" s="32" t="s">
        <v>1299</v>
      </c>
      <c r="H387" s="32" t="s">
        <v>354</v>
      </c>
      <c r="I387" s="31" t="s">
        <v>1300</v>
      </c>
      <c r="J387" s="31">
        <v>99</v>
      </c>
      <c r="K387" s="33" t="s">
        <v>955</v>
      </c>
      <c r="L387" s="33" t="s">
        <v>39</v>
      </c>
      <c r="M387" s="34" t="s">
        <v>39</v>
      </c>
      <c r="N387" s="34" t="s">
        <v>1727</v>
      </c>
      <c r="O387" s="35">
        <v>1</v>
      </c>
      <c r="P387" s="35">
        <v>1</v>
      </c>
      <c r="Q387" s="36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33"/>
        <v>1</v>
      </c>
      <c r="AG387" s="1">
        <f t="shared" si="234"/>
        <v>0</v>
      </c>
      <c r="AH387" s="1">
        <f t="shared" si="235"/>
        <v>1</v>
      </c>
      <c r="AI387" s="1">
        <f t="shared" si="236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1603</v>
      </c>
      <c r="E388" s="45" t="s">
        <v>159</v>
      </c>
      <c r="F388" s="45" t="s">
        <v>1675</v>
      </c>
      <c r="G388" s="45" t="s">
        <v>1468</v>
      </c>
      <c r="H388" s="45" t="s">
        <v>354</v>
      </c>
      <c r="I388" s="44" t="s">
        <v>1469</v>
      </c>
      <c r="J388" s="44">
        <v>99</v>
      </c>
      <c r="K388" s="46" t="s">
        <v>713</v>
      </c>
      <c r="L388" s="46" t="s">
        <v>696</v>
      </c>
      <c r="M388" s="47" t="s">
        <v>1470</v>
      </c>
      <c r="N388" s="47" t="s">
        <v>1747</v>
      </c>
      <c r="O388" s="48"/>
      <c r="P388" s="48"/>
      <c r="Q388" s="45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0</v>
      </c>
      <c r="AF388" s="1">
        <f t="shared" ref="AF388:AF391" si="273">+O388*P388*(1-A388)</f>
        <v>0</v>
      </c>
      <c r="AG388" s="1">
        <f t="shared" ref="AG388:AG391" si="274">O388*(1-P388)*(1-A388)</f>
        <v>0</v>
      </c>
      <c r="AH388" s="1">
        <f t="shared" ref="AH388:AH391" si="275">+P388*(1-A388)</f>
        <v>0</v>
      </c>
      <c r="AI388" s="1">
        <f t="shared" ref="AI388:AI391" si="276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2045</v>
      </c>
      <c r="E389" s="32" t="s">
        <v>2046</v>
      </c>
      <c r="F389" s="32" t="s">
        <v>2047</v>
      </c>
      <c r="G389" s="32" t="s">
        <v>2050</v>
      </c>
      <c r="H389" s="32" t="s">
        <v>354</v>
      </c>
      <c r="I389" s="31" t="s">
        <v>2048</v>
      </c>
      <c r="J389" s="31"/>
      <c r="K389" s="33" t="s">
        <v>1822</v>
      </c>
      <c r="L389" s="33"/>
      <c r="M389" s="34"/>
      <c r="N389" s="34" t="s">
        <v>1727</v>
      </c>
      <c r="O389" s="35">
        <v>1</v>
      </c>
      <c r="P389" s="35">
        <v>1</v>
      </c>
      <c r="Q389" s="32" t="s">
        <v>2049</v>
      </c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1</v>
      </c>
      <c r="AE389" s="1">
        <f t="shared" si="248"/>
        <v>0</v>
      </c>
      <c r="AF389" s="1">
        <f t="shared" si="273"/>
        <v>1</v>
      </c>
      <c r="AG389" s="1">
        <f t="shared" si="274"/>
        <v>0</v>
      </c>
      <c r="AH389" s="1">
        <f t="shared" si="275"/>
        <v>1</v>
      </c>
      <c r="AI389" s="1">
        <f t="shared" si="276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1778</v>
      </c>
      <c r="E390" s="32" t="s">
        <v>155</v>
      </c>
      <c r="F390" s="32" t="s">
        <v>1779</v>
      </c>
      <c r="G390" s="32" t="s">
        <v>656</v>
      </c>
      <c r="H390" s="32" t="s">
        <v>354</v>
      </c>
      <c r="I390" s="31" t="s">
        <v>1780</v>
      </c>
      <c r="J390" s="31"/>
      <c r="K390" s="33" t="s">
        <v>703</v>
      </c>
      <c r="L390" s="33">
        <v>40</v>
      </c>
      <c r="M390" s="34" t="s">
        <v>1781</v>
      </c>
      <c r="N390" s="34" t="s">
        <v>1743</v>
      </c>
      <c r="O390" s="35">
        <v>1</v>
      </c>
      <c r="P390" s="35"/>
      <c r="Q390" s="32"/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0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1</v>
      </c>
      <c r="AF390" s="1">
        <f t="shared" si="273"/>
        <v>0</v>
      </c>
      <c r="AG390" s="1">
        <f t="shared" si="274"/>
        <v>1</v>
      </c>
      <c r="AH390" s="1">
        <f t="shared" si="275"/>
        <v>0</v>
      </c>
      <c r="AI390" s="1">
        <f t="shared" si="276"/>
        <v>1</v>
      </c>
    </row>
    <row r="391" spans="1:35" ht="14.25" customHeight="1" x14ac:dyDescent="0.3">
      <c r="A391" s="44">
        <v>0</v>
      </c>
      <c r="B391" s="44">
        <v>2</v>
      </c>
      <c r="C391" s="44">
        <v>5</v>
      </c>
      <c r="D391" s="45" t="s">
        <v>837</v>
      </c>
      <c r="E391" s="45" t="s">
        <v>831</v>
      </c>
      <c r="F391" s="45" t="s">
        <v>941</v>
      </c>
      <c r="G391" s="45" t="s">
        <v>180</v>
      </c>
      <c r="H391" s="45" t="s">
        <v>354</v>
      </c>
      <c r="I391" s="44" t="s">
        <v>1109</v>
      </c>
      <c r="J391" s="44">
        <v>10</v>
      </c>
      <c r="K391" s="46" t="s">
        <v>712</v>
      </c>
      <c r="L391" s="46" t="s">
        <v>693</v>
      </c>
      <c r="M391" s="47" t="s">
        <v>1429</v>
      </c>
      <c r="N391" s="47" t="s">
        <v>1741</v>
      </c>
      <c r="O391" s="48"/>
      <c r="P391" s="48"/>
      <c r="Q391" s="45"/>
      <c r="S391" s="1">
        <f t="shared" ref="S391" si="277">IF(J391=$S$7,1,0)</f>
        <v>0</v>
      </c>
      <c r="T391" s="1">
        <f t="shared" ref="T391" si="278">IF(J391=$T$7,1,0)</f>
        <v>0</v>
      </c>
      <c r="U391" s="1">
        <f t="shared" ref="U391" si="279">IF(J391=$U$7,1,0)</f>
        <v>0</v>
      </c>
      <c r="V391" s="1">
        <f t="shared" ref="V391" si="280">IF(J391=$V$7,1,0)</f>
        <v>0</v>
      </c>
      <c r="W391" s="1">
        <f t="shared" ref="W391" si="281">IF(J391=$W$7,1,0)</f>
        <v>0</v>
      </c>
      <c r="X391" s="1">
        <f t="shared" ref="X391" si="282">IF(J391=$X$7,1,0)</f>
        <v>0</v>
      </c>
      <c r="Y391" s="1">
        <f t="shared" ref="Y391" si="283">IF(J391=$Y$7,1,0)</f>
        <v>0</v>
      </c>
      <c r="Z391" s="1">
        <f t="shared" ref="Z391" si="284">IF(J391=$Z$7,1,0)</f>
        <v>0</v>
      </c>
      <c r="AA391" s="1">
        <f t="shared" ref="AA391" si="285">IF(J391=$AA$7,1,0)</f>
        <v>0</v>
      </c>
      <c r="AB391" s="1">
        <f t="shared" ref="AB391" si="286">IF(J391=$AB$7,1,0)</f>
        <v>1</v>
      </c>
      <c r="AD391" s="1">
        <f t="shared" ref="AD391" si="287">+O391*P391</f>
        <v>0</v>
      </c>
      <c r="AE391" s="1">
        <f t="shared" ref="AE391" si="288">O391*(1-P391)</f>
        <v>0</v>
      </c>
      <c r="AF391" s="1">
        <f t="shared" si="273"/>
        <v>0</v>
      </c>
      <c r="AG391" s="1">
        <f t="shared" si="274"/>
        <v>0</v>
      </c>
      <c r="AH391" s="1">
        <f t="shared" si="275"/>
        <v>0</v>
      </c>
      <c r="AI391" s="1">
        <f t="shared" si="276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1543</v>
      </c>
      <c r="E392" s="58" t="s">
        <v>27</v>
      </c>
      <c r="F392" s="58" t="s">
        <v>1545</v>
      </c>
      <c r="G392" s="58" t="s">
        <v>1534</v>
      </c>
      <c r="H392" s="58" t="s">
        <v>354</v>
      </c>
      <c r="I392" s="57" t="s">
        <v>1544</v>
      </c>
      <c r="J392" s="57">
        <v>5</v>
      </c>
      <c r="K392" s="59" t="s">
        <v>955</v>
      </c>
      <c r="L392" s="59" t="s">
        <v>39</v>
      </c>
      <c r="M392" s="60" t="s">
        <v>39</v>
      </c>
      <c r="N392" s="61"/>
      <c r="O392" s="62"/>
      <c r="P392" s="62"/>
      <c r="Q392" s="66" t="s">
        <v>1900</v>
      </c>
      <c r="S392" s="1">
        <f t="shared" si="237"/>
        <v>0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1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519</v>
      </c>
      <c r="E393" s="45" t="s">
        <v>31</v>
      </c>
      <c r="F393" s="45" t="s">
        <v>672</v>
      </c>
      <c r="G393" s="45" t="s">
        <v>200</v>
      </c>
      <c r="H393" s="45" t="s">
        <v>354</v>
      </c>
      <c r="I393" s="44" t="s">
        <v>520</v>
      </c>
      <c r="J393" s="44">
        <v>2</v>
      </c>
      <c r="K393" s="46" t="s">
        <v>954</v>
      </c>
      <c r="L393" s="46" t="s">
        <v>694</v>
      </c>
      <c r="M393" s="47" t="s">
        <v>1430</v>
      </c>
      <c r="N393" s="47" t="s">
        <v>1735</v>
      </c>
      <c r="O393" s="48"/>
      <c r="P393" s="48"/>
      <c r="Q393" s="45"/>
      <c r="S393" s="1">
        <f t="shared" si="237"/>
        <v>0</v>
      </c>
      <c r="T393" s="1">
        <f t="shared" si="238"/>
        <v>1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0</v>
      </c>
      <c r="AF393" s="1">
        <f t="shared" si="233"/>
        <v>0</v>
      </c>
      <c r="AG393" s="1">
        <f t="shared" si="234"/>
        <v>0</v>
      </c>
      <c r="AH393" s="1">
        <f t="shared" si="235"/>
        <v>0</v>
      </c>
      <c r="AI393" s="1">
        <f t="shared" si="236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210</v>
      </c>
      <c r="G394" s="32" t="s">
        <v>211</v>
      </c>
      <c r="H394" s="32" t="s">
        <v>354</v>
      </c>
      <c r="I394" s="31" t="s">
        <v>392</v>
      </c>
      <c r="J394" s="31">
        <v>1</v>
      </c>
      <c r="K394" s="33" t="s">
        <v>712</v>
      </c>
      <c r="L394" s="33" t="s">
        <v>704</v>
      </c>
      <c r="M394" s="34" t="s">
        <v>728</v>
      </c>
      <c r="N394" s="34" t="s">
        <v>1743</v>
      </c>
      <c r="O394" s="35">
        <v>1</v>
      </c>
      <c r="P394" s="35"/>
      <c r="Q394" s="32"/>
      <c r="S394" s="1">
        <f t="shared" si="237"/>
        <v>1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1862</v>
      </c>
      <c r="E395" s="32" t="s">
        <v>1863</v>
      </c>
      <c r="F395" s="32" t="s">
        <v>1864</v>
      </c>
      <c r="G395" s="32"/>
      <c r="H395" s="32" t="s">
        <v>354</v>
      </c>
      <c r="I395" s="31" t="s">
        <v>1865</v>
      </c>
      <c r="J395" s="31">
        <v>99</v>
      </c>
      <c r="K395" s="33" t="s">
        <v>703</v>
      </c>
      <c r="L395" s="33">
        <v>25</v>
      </c>
      <c r="M395" s="34" t="s">
        <v>1866</v>
      </c>
      <c r="N395" s="34" t="s">
        <v>1743</v>
      </c>
      <c r="O395" s="35">
        <v>1</v>
      </c>
      <c r="P395" s="35"/>
      <c r="Q395" s="32" t="s">
        <v>2051</v>
      </c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1</v>
      </c>
      <c r="AF395" s="1">
        <f t="shared" si="233"/>
        <v>0</v>
      </c>
      <c r="AG395" s="1">
        <f t="shared" si="234"/>
        <v>1</v>
      </c>
      <c r="AH395" s="1">
        <f t="shared" si="235"/>
        <v>0</v>
      </c>
      <c r="AI395" s="1">
        <f t="shared" si="236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270</v>
      </c>
      <c r="G396" s="45" t="s">
        <v>224</v>
      </c>
      <c r="H396" s="45" t="s">
        <v>354</v>
      </c>
      <c r="I396" s="44" t="s">
        <v>678</v>
      </c>
      <c r="J396" s="44">
        <v>99</v>
      </c>
      <c r="K396" s="46" t="s">
        <v>955</v>
      </c>
      <c r="L396" s="46" t="s">
        <v>694</v>
      </c>
      <c r="M396" s="47" t="s">
        <v>1431</v>
      </c>
      <c r="N396" s="47" t="s">
        <v>1809</v>
      </c>
      <c r="O396" s="48"/>
      <c r="P396" s="48"/>
      <c r="Q396" s="45"/>
      <c r="S396" s="1">
        <f t="shared" si="237"/>
        <v>0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639</v>
      </c>
      <c r="E397" s="45" t="s">
        <v>31</v>
      </c>
      <c r="F397" s="45" t="s">
        <v>640</v>
      </c>
      <c r="G397" s="45" t="s">
        <v>240</v>
      </c>
      <c r="H397" s="45" t="s">
        <v>354</v>
      </c>
      <c r="I397" s="44" t="s">
        <v>641</v>
      </c>
      <c r="J397" s="44">
        <v>1</v>
      </c>
      <c r="K397" s="46" t="s">
        <v>713</v>
      </c>
      <c r="L397" s="46" t="s">
        <v>694</v>
      </c>
      <c r="M397" s="47" t="s">
        <v>1432</v>
      </c>
      <c r="N397" s="47" t="s">
        <v>1735</v>
      </c>
      <c r="O397" s="48"/>
      <c r="P397" s="48"/>
      <c r="Q397" s="45"/>
      <c r="S397" s="1">
        <f t="shared" si="237"/>
        <v>1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1135</v>
      </c>
      <c r="E398" s="45" t="s">
        <v>31</v>
      </c>
      <c r="F398" s="45" t="s">
        <v>672</v>
      </c>
      <c r="G398" s="45" t="s">
        <v>200</v>
      </c>
      <c r="H398" s="45" t="s">
        <v>354</v>
      </c>
      <c r="I398" s="44" t="s">
        <v>520</v>
      </c>
      <c r="J398" s="44">
        <v>2</v>
      </c>
      <c r="K398" s="46" t="s">
        <v>712</v>
      </c>
      <c r="L398" s="46" t="s">
        <v>694</v>
      </c>
      <c r="M398" s="47" t="s">
        <v>728</v>
      </c>
      <c r="N398" s="47" t="s">
        <v>1735</v>
      </c>
      <c r="O398" s="48"/>
      <c r="P398" s="48"/>
      <c r="Q398" s="45"/>
      <c r="S398" s="1">
        <f t="shared" si="237"/>
        <v>0</v>
      </c>
      <c r="T398" s="1">
        <f t="shared" si="238"/>
        <v>1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1083</v>
      </c>
      <c r="E399" s="45" t="s">
        <v>159</v>
      </c>
      <c r="F399" s="45" t="s">
        <v>198</v>
      </c>
      <c r="G399" s="45" t="s">
        <v>199</v>
      </c>
      <c r="H399" s="45" t="s">
        <v>354</v>
      </c>
      <c r="I399" s="44" t="s">
        <v>388</v>
      </c>
      <c r="J399" s="44">
        <v>99</v>
      </c>
      <c r="K399" s="46" t="s">
        <v>712</v>
      </c>
      <c r="L399" s="46" t="s">
        <v>716</v>
      </c>
      <c r="M399" s="47" t="s">
        <v>730</v>
      </c>
      <c r="N399" s="47" t="s">
        <v>1734</v>
      </c>
      <c r="O399" s="48"/>
      <c r="P399" s="48"/>
      <c r="Q399" s="45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0</v>
      </c>
      <c r="AF399" s="1">
        <f t="shared" si="233"/>
        <v>0</v>
      </c>
      <c r="AG399" s="1">
        <f t="shared" si="234"/>
        <v>0</v>
      </c>
      <c r="AH399" s="1">
        <f t="shared" si="235"/>
        <v>0</v>
      </c>
      <c r="AI399" s="1">
        <f t="shared" si="236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509</v>
      </c>
      <c r="E400" s="32" t="s">
        <v>156</v>
      </c>
      <c r="F400" s="32" t="s">
        <v>510</v>
      </c>
      <c r="G400" s="32" t="s">
        <v>39</v>
      </c>
      <c r="H400" s="32" t="s">
        <v>354</v>
      </c>
      <c r="I400" s="31" t="s">
        <v>942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673</v>
      </c>
      <c r="G401" s="32" t="s">
        <v>258</v>
      </c>
      <c r="H401" s="32" t="s">
        <v>354</v>
      </c>
      <c r="I401" s="31" t="s">
        <v>417</v>
      </c>
      <c r="J401" s="31">
        <v>8</v>
      </c>
      <c r="K401" s="33" t="s">
        <v>713</v>
      </c>
      <c r="L401" s="33" t="s">
        <v>713</v>
      </c>
      <c r="M401" s="34" t="s">
        <v>731</v>
      </c>
      <c r="N401" s="34" t="s">
        <v>1743</v>
      </c>
      <c r="O401" s="35">
        <v>1</v>
      </c>
      <c r="P401" s="35"/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1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1</v>
      </c>
      <c r="AF401" s="1">
        <f t="shared" si="233"/>
        <v>0</v>
      </c>
      <c r="AG401" s="1">
        <f t="shared" si="234"/>
        <v>1</v>
      </c>
      <c r="AH401" s="1">
        <f t="shared" si="235"/>
        <v>0</v>
      </c>
      <c r="AI401" s="1">
        <f t="shared" si="236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654</v>
      </c>
      <c r="E402" s="32" t="s">
        <v>156</v>
      </c>
      <c r="F402" s="32" t="s">
        <v>585</v>
      </c>
      <c r="G402" s="32" t="s">
        <v>249</v>
      </c>
      <c r="H402" s="32" t="s">
        <v>354</v>
      </c>
      <c r="I402" s="31" t="s">
        <v>679</v>
      </c>
      <c r="J402" s="31">
        <v>7</v>
      </c>
      <c r="K402" s="33" t="s">
        <v>955</v>
      </c>
      <c r="L402" s="33" t="s">
        <v>39</v>
      </c>
      <c r="M402" s="34" t="s">
        <v>39</v>
      </c>
      <c r="N402" s="34" t="s">
        <v>1727</v>
      </c>
      <c r="O402" s="35">
        <v>1</v>
      </c>
      <c r="P402" s="35">
        <v>1</v>
      </c>
      <c r="Q402" s="32"/>
      <c r="S402" s="1">
        <f t="shared" si="237"/>
        <v>0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1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1</v>
      </c>
      <c r="AE402" s="1">
        <f t="shared" si="248"/>
        <v>0</v>
      </c>
      <c r="AF402" s="1">
        <f t="shared" si="233"/>
        <v>1</v>
      </c>
      <c r="AG402" s="1">
        <f t="shared" si="234"/>
        <v>0</v>
      </c>
      <c r="AH402" s="1">
        <f t="shared" si="235"/>
        <v>1</v>
      </c>
      <c r="AI402" s="1">
        <f t="shared" si="236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1634</v>
      </c>
      <c r="E403" s="45" t="s">
        <v>156</v>
      </c>
      <c r="F403" s="45" t="s">
        <v>1657</v>
      </c>
      <c r="G403" s="45" t="s">
        <v>213</v>
      </c>
      <c r="H403" s="45" t="s">
        <v>354</v>
      </c>
      <c r="I403" s="44" t="s">
        <v>594</v>
      </c>
      <c r="J403" s="44">
        <v>1</v>
      </c>
      <c r="K403" s="46" t="s">
        <v>712</v>
      </c>
      <c r="L403" s="46" t="s">
        <v>722</v>
      </c>
      <c r="M403" s="47" t="s">
        <v>1433</v>
      </c>
      <c r="N403" s="47" t="s">
        <v>1735</v>
      </c>
      <c r="O403" s="48"/>
      <c r="P403" s="48"/>
      <c r="Q403" s="45"/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1070</v>
      </c>
      <c r="E404" s="45" t="s">
        <v>1046</v>
      </c>
      <c r="F404" s="45" t="s">
        <v>1071</v>
      </c>
      <c r="G404" s="45" t="s">
        <v>213</v>
      </c>
      <c r="H404" s="45" t="s">
        <v>354</v>
      </c>
      <c r="I404" s="44" t="s">
        <v>1072</v>
      </c>
      <c r="J404" s="44">
        <v>1</v>
      </c>
      <c r="K404" s="46" t="s">
        <v>955</v>
      </c>
      <c r="L404" s="46" t="s">
        <v>722</v>
      </c>
      <c r="M404" s="47" t="s">
        <v>1434</v>
      </c>
      <c r="N404" s="47" t="s">
        <v>1735</v>
      </c>
      <c r="O404" s="48"/>
      <c r="P404" s="48"/>
      <c r="Q404" s="45" t="s">
        <v>1918</v>
      </c>
      <c r="S404" s="1">
        <f t="shared" si="237"/>
        <v>1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0</v>
      </c>
      <c r="AF404" s="1">
        <f t="shared" si="233"/>
        <v>0</v>
      </c>
      <c r="AG404" s="1">
        <f t="shared" si="234"/>
        <v>0</v>
      </c>
      <c r="AH404" s="1">
        <f t="shared" si="235"/>
        <v>0</v>
      </c>
      <c r="AI404" s="1">
        <f t="shared" si="236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1017</v>
      </c>
      <c r="E405" s="32" t="s">
        <v>156</v>
      </c>
      <c r="F405" s="32" t="s">
        <v>1088</v>
      </c>
      <c r="G405" s="32" t="s">
        <v>1098</v>
      </c>
      <c r="H405" s="32" t="s">
        <v>354</v>
      </c>
      <c r="I405" s="31" t="s">
        <v>1018</v>
      </c>
      <c r="J405" s="31">
        <v>99</v>
      </c>
      <c r="K405" s="33" t="s">
        <v>713</v>
      </c>
      <c r="L405" s="33" t="s">
        <v>722</v>
      </c>
      <c r="M405" s="34" t="s">
        <v>1434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1205</v>
      </c>
      <c r="E406" s="32" t="s">
        <v>1332</v>
      </c>
      <c r="F406" s="32" t="s">
        <v>1206</v>
      </c>
      <c r="G406" s="32" t="s">
        <v>39</v>
      </c>
      <c r="H406" s="32" t="s">
        <v>354</v>
      </c>
      <c r="I406" s="31" t="s">
        <v>1685</v>
      </c>
      <c r="J406" s="31">
        <v>99</v>
      </c>
      <c r="K406" s="33" t="s">
        <v>955</v>
      </c>
      <c r="L406" s="33" t="s">
        <v>729</v>
      </c>
      <c r="M406" s="34" t="s">
        <v>1435</v>
      </c>
      <c r="N406" s="34" t="s">
        <v>1748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644</v>
      </c>
      <c r="G407" s="32" t="s">
        <v>535</v>
      </c>
      <c r="H407" s="32" t="s">
        <v>354</v>
      </c>
      <c r="I407" s="31" t="s">
        <v>394</v>
      </c>
      <c r="J407" s="31">
        <v>6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1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33"/>
        <v>0</v>
      </c>
      <c r="AG407" s="1">
        <f t="shared" si="234"/>
        <v>1</v>
      </c>
      <c r="AH407" s="1">
        <f t="shared" si="235"/>
        <v>0</v>
      </c>
      <c r="AI407" s="1">
        <f t="shared" si="236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216</v>
      </c>
      <c r="G408" s="32" t="s">
        <v>39</v>
      </c>
      <c r="H408" s="32" t="s">
        <v>354</v>
      </c>
      <c r="I408" s="31" t="s">
        <v>30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ref="AF408:AF473" si="289">+O408*P408*(1-A408)</f>
        <v>0</v>
      </c>
      <c r="AG408" s="1">
        <f t="shared" ref="AG408:AG473" si="290">O408*(1-P408)*(1-A408)</f>
        <v>0</v>
      </c>
      <c r="AH408" s="1">
        <f t="shared" ref="AH408:AH473" si="291">+P408*(1-A408)</f>
        <v>0</v>
      </c>
      <c r="AI408" s="1">
        <f t="shared" ref="AI408:AI473" si="292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354</v>
      </c>
      <c r="I409" s="31" t="s">
        <v>394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217</v>
      </c>
      <c r="G410" s="32" t="s">
        <v>218</v>
      </c>
      <c r="H410" s="32" t="s">
        <v>354</v>
      </c>
      <c r="I410" s="31" t="s">
        <v>395</v>
      </c>
      <c r="J410" s="31">
        <v>99</v>
      </c>
      <c r="K410" s="33" t="s">
        <v>712</v>
      </c>
      <c r="L410" s="33" t="s">
        <v>713</v>
      </c>
      <c r="M410" s="34" t="s">
        <v>731</v>
      </c>
      <c r="N410" s="34" t="s">
        <v>1761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0</v>
      </c>
      <c r="AH410" s="1">
        <f t="shared" si="291"/>
        <v>0</v>
      </c>
      <c r="AI410" s="1">
        <f t="shared" si="292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2053</v>
      </c>
      <c r="E411" s="36" t="s">
        <v>156</v>
      </c>
      <c r="F411" s="36" t="s">
        <v>2054</v>
      </c>
      <c r="G411" s="36" t="s">
        <v>220</v>
      </c>
      <c r="H411" s="36" t="s">
        <v>354</v>
      </c>
      <c r="I411" s="37" t="s">
        <v>2055</v>
      </c>
      <c r="J411" s="31">
        <v>99</v>
      </c>
      <c r="K411" s="33" t="s">
        <v>703</v>
      </c>
      <c r="L411" s="33">
        <v>10</v>
      </c>
      <c r="M411" s="34" t="s">
        <v>2056</v>
      </c>
      <c r="N411" s="34" t="s">
        <v>1748</v>
      </c>
      <c r="O411" s="35">
        <v>1</v>
      </c>
      <c r="P411" s="35"/>
      <c r="Q411" s="32"/>
      <c r="S411" s="1">
        <f t="shared" si="237"/>
        <v>0</v>
      </c>
      <c r="T411" s="1">
        <f t="shared" si="238"/>
        <v>0</v>
      </c>
      <c r="U411" s="1">
        <f t="shared" si="239"/>
        <v>0</v>
      </c>
      <c r="V411" s="1">
        <f t="shared" si="240"/>
        <v>0</v>
      </c>
      <c r="W411" s="1">
        <f t="shared" si="241"/>
        <v>0</v>
      </c>
      <c r="X411" s="1">
        <f t="shared" si="242"/>
        <v>0</v>
      </c>
      <c r="Y411" s="1">
        <f t="shared" si="243"/>
        <v>0</v>
      </c>
      <c r="Z411" s="1">
        <f t="shared" si="244"/>
        <v>0</v>
      </c>
      <c r="AA411" s="1">
        <f t="shared" si="245"/>
        <v>0</v>
      </c>
      <c r="AB411" s="1">
        <f t="shared" si="246"/>
        <v>0</v>
      </c>
      <c r="AD411" s="1">
        <f t="shared" si="247"/>
        <v>0</v>
      </c>
      <c r="AE411" s="1">
        <f t="shared" si="248"/>
        <v>1</v>
      </c>
      <c r="AF411" s="1">
        <f t="shared" si="289"/>
        <v>0</v>
      </c>
      <c r="AG411" s="1">
        <f t="shared" si="290"/>
        <v>1</v>
      </c>
      <c r="AH411" s="1">
        <f t="shared" si="291"/>
        <v>0</v>
      </c>
      <c r="AI411" s="1">
        <f t="shared" si="292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253</v>
      </c>
      <c r="G412" s="45" t="s">
        <v>254</v>
      </c>
      <c r="H412" s="45" t="s">
        <v>354</v>
      </c>
      <c r="I412" s="44" t="s">
        <v>414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18" si="293">IF(J412=$S$7,1,0)</f>
        <v>0</v>
      </c>
      <c r="T412" s="1">
        <f t="shared" ref="T412:T418" si="294">IF(J412=$T$7,1,0)</f>
        <v>0</v>
      </c>
      <c r="U412" s="1">
        <f t="shared" ref="U412:U418" si="295">IF(J412=$U$7,1,0)</f>
        <v>0</v>
      </c>
      <c r="V412" s="1">
        <f t="shared" ref="V412:V418" si="296">IF(J412=$V$7,1,0)</f>
        <v>0</v>
      </c>
      <c r="W412" s="1">
        <f t="shared" ref="W412:W418" si="297">IF(J412=$W$7,1,0)</f>
        <v>0</v>
      </c>
      <c r="X412" s="1">
        <f t="shared" ref="X412:X418" si="298">IF(J412=$X$7,1,0)</f>
        <v>0</v>
      </c>
      <c r="Y412" s="1">
        <f t="shared" ref="Y412:Y418" si="299">IF(J412=$Y$7,1,0)</f>
        <v>0</v>
      </c>
      <c r="Z412" s="1">
        <f t="shared" ref="Z412:Z418" si="300">IF(J412=$Z$7,1,0)</f>
        <v>0</v>
      </c>
      <c r="AA412" s="1">
        <f t="shared" ref="AA412:AA418" si="301">IF(J412=$AA$7,1,0)</f>
        <v>0</v>
      </c>
      <c r="AB412" s="1">
        <f t="shared" ref="AB412:AB418" si="302">IF(J412=$AB$7,1,0)</f>
        <v>0</v>
      </c>
      <c r="AD412" s="1">
        <f t="shared" ref="AD412:AD418" si="303">+O412*P412</f>
        <v>0</v>
      </c>
      <c r="AE412" s="1">
        <f t="shared" ref="AE412:AE418" si="304">O412*(1-P412)</f>
        <v>0</v>
      </c>
      <c r="AF412" s="1">
        <f t="shared" ref="AF412:AF418" si="305">+O412*P412*(1-A412)</f>
        <v>0</v>
      </c>
      <c r="AG412" s="1">
        <f t="shared" ref="AG412:AG418" si="306">O412*(1-P412)*(1-A412)</f>
        <v>0</v>
      </c>
      <c r="AH412" s="1">
        <f t="shared" ref="AH412:AH418" si="307">+P412*(1-A412)</f>
        <v>0</v>
      </c>
      <c r="AI412" s="1">
        <f t="shared" ref="AI412:AI418" si="308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2019</v>
      </c>
      <c r="G413" s="32" t="s">
        <v>1104</v>
      </c>
      <c r="H413" s="32" t="s">
        <v>354</v>
      </c>
      <c r="I413" s="31" t="s">
        <v>2020</v>
      </c>
      <c r="J413" s="31">
        <v>1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2022</v>
      </c>
      <c r="S413" s="1">
        <f t="shared" si="293"/>
        <v>1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2017</v>
      </c>
      <c r="E414" s="32" t="s">
        <v>28</v>
      </c>
      <c r="F414" s="32" t="s">
        <v>2018</v>
      </c>
      <c r="G414" s="36" t="s">
        <v>2024</v>
      </c>
      <c r="H414" s="32" t="s">
        <v>354</v>
      </c>
      <c r="I414" s="31" t="s">
        <v>2021</v>
      </c>
      <c r="J414" s="31">
        <v>8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 t="s">
        <v>2023</v>
      </c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1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255</v>
      </c>
      <c r="G415" s="36" t="s">
        <v>207</v>
      </c>
      <c r="H415" s="32" t="s">
        <v>354</v>
      </c>
      <c r="I415" s="31" t="s">
        <v>415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1</v>
      </c>
      <c r="AG415" s="1">
        <f t="shared" si="306"/>
        <v>0</v>
      </c>
      <c r="AH415" s="1">
        <f t="shared" si="307"/>
        <v>1</v>
      </c>
      <c r="AI415" s="1">
        <f t="shared" si="308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1874</v>
      </c>
      <c r="G416" s="36" t="s">
        <v>256</v>
      </c>
      <c r="H416" s="32" t="s">
        <v>354</v>
      </c>
      <c r="I416" s="31" t="s">
        <v>416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570</v>
      </c>
      <c r="G417" s="36" t="s">
        <v>571</v>
      </c>
      <c r="H417" s="32" t="s">
        <v>354</v>
      </c>
      <c r="I417" s="31" t="s">
        <v>580</v>
      </c>
      <c r="J417" s="31">
        <v>99</v>
      </c>
      <c r="K417" s="33" t="s">
        <v>955</v>
      </c>
      <c r="L417" s="33" t="s">
        <v>713</v>
      </c>
      <c r="M417" s="34" t="s">
        <v>731</v>
      </c>
      <c r="N417" s="34" t="s">
        <v>1733</v>
      </c>
      <c r="O417" s="35">
        <v>1</v>
      </c>
      <c r="P417" s="35">
        <v>1</v>
      </c>
      <c r="Q417" s="32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1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1349</v>
      </c>
      <c r="G418" s="45" t="s">
        <v>259</v>
      </c>
      <c r="H418" s="45" t="s">
        <v>354</v>
      </c>
      <c r="I418" s="44" t="s">
        <v>418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si="293"/>
        <v>0</v>
      </c>
      <c r="T418" s="1">
        <f t="shared" si="294"/>
        <v>0</v>
      </c>
      <c r="U418" s="1">
        <f t="shared" si="295"/>
        <v>0</v>
      </c>
      <c r="V418" s="1">
        <f t="shared" si="296"/>
        <v>0</v>
      </c>
      <c r="W418" s="1">
        <f t="shared" si="297"/>
        <v>0</v>
      </c>
      <c r="X418" s="1">
        <f t="shared" si="298"/>
        <v>0</v>
      </c>
      <c r="Y418" s="1">
        <f t="shared" si="299"/>
        <v>0</v>
      </c>
      <c r="Z418" s="1">
        <f t="shared" si="300"/>
        <v>0</v>
      </c>
      <c r="AA418" s="1">
        <f t="shared" si="301"/>
        <v>0</v>
      </c>
      <c r="AB418" s="1">
        <f t="shared" si="302"/>
        <v>0</v>
      </c>
      <c r="AD418" s="1">
        <f t="shared" si="303"/>
        <v>0</v>
      </c>
      <c r="AE418" s="1">
        <f t="shared" si="304"/>
        <v>0</v>
      </c>
      <c r="AF418" s="1">
        <f t="shared" si="305"/>
        <v>0</v>
      </c>
      <c r="AG418" s="1">
        <f t="shared" si="306"/>
        <v>0</v>
      </c>
      <c r="AH418" s="1">
        <f t="shared" si="307"/>
        <v>0</v>
      </c>
      <c r="AI418" s="1">
        <f t="shared" si="308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1062</v>
      </c>
      <c r="E419" s="45" t="s">
        <v>28</v>
      </c>
      <c r="F419" s="45" t="s">
        <v>1063</v>
      </c>
      <c r="G419" s="45" t="s">
        <v>1064</v>
      </c>
      <c r="H419" s="45" t="s">
        <v>354</v>
      </c>
      <c r="I419" s="44" t="s">
        <v>1065</v>
      </c>
      <c r="J419" s="44">
        <v>99</v>
      </c>
      <c r="K419" s="46" t="s">
        <v>713</v>
      </c>
      <c r="L419" s="46" t="s">
        <v>713</v>
      </c>
      <c r="M419" s="47" t="s">
        <v>731</v>
      </c>
      <c r="N419" s="47" t="s">
        <v>1802</v>
      </c>
      <c r="O419" s="48"/>
      <c r="P419" s="48"/>
      <c r="Q419" s="45"/>
      <c r="S419" s="1">
        <f t="shared" ref="S419:S484" si="309">IF(J419=$S$7,1,0)</f>
        <v>0</v>
      </c>
      <c r="T419" s="1">
        <f t="shared" ref="T419:T484" si="310">IF(J419=$T$7,1,0)</f>
        <v>0</v>
      </c>
      <c r="U419" s="1">
        <f t="shared" ref="U419:U484" si="311">IF(J419=$U$7,1,0)</f>
        <v>0</v>
      </c>
      <c r="V419" s="1">
        <f t="shared" ref="V419:V484" si="312">IF(J419=$V$7,1,0)</f>
        <v>0</v>
      </c>
      <c r="W419" s="1">
        <f t="shared" ref="W419:W484" si="313">IF(J419=$W$7,1,0)</f>
        <v>0</v>
      </c>
      <c r="X419" s="1">
        <f t="shared" ref="X419:X484" si="314">IF(J419=$X$7,1,0)</f>
        <v>0</v>
      </c>
      <c r="Y419" s="1">
        <f t="shared" ref="Y419:Y484" si="315">IF(J419=$Y$7,1,0)</f>
        <v>0</v>
      </c>
      <c r="Z419" s="1">
        <f t="shared" ref="Z419:Z484" si="316">IF(J419=$Z$7,1,0)</f>
        <v>0</v>
      </c>
      <c r="AA419" s="1">
        <f t="shared" ref="AA419:AA484" si="317">IF(J419=$AA$7,1,0)</f>
        <v>0</v>
      </c>
      <c r="AB419" s="1">
        <f t="shared" ref="AB419:AB484" si="318">IF(J419=$AB$7,1,0)</f>
        <v>0</v>
      </c>
      <c r="AD419" s="1">
        <f t="shared" ref="AD419:AD484" si="319">+O419*P419</f>
        <v>0</v>
      </c>
      <c r="AE419" s="1">
        <f t="shared" ref="AE419:AE484" si="320">O419*(1-P419)</f>
        <v>0</v>
      </c>
      <c r="AF419" s="1">
        <f t="shared" si="289"/>
        <v>0</v>
      </c>
      <c r="AG419" s="1">
        <f t="shared" si="290"/>
        <v>0</v>
      </c>
      <c r="AH419" s="1">
        <f t="shared" si="291"/>
        <v>0</v>
      </c>
      <c r="AI419" s="1">
        <f t="shared" si="292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1806</v>
      </c>
      <c r="E420" s="32" t="s">
        <v>156</v>
      </c>
      <c r="F420" s="32" t="s">
        <v>1807</v>
      </c>
      <c r="G420" s="32"/>
      <c r="H420" s="32" t="s">
        <v>354</v>
      </c>
      <c r="I420" s="31" t="s">
        <v>1808</v>
      </c>
      <c r="J420" s="31">
        <v>99</v>
      </c>
      <c r="K420" s="33" t="s">
        <v>703</v>
      </c>
      <c r="L420" s="33"/>
      <c r="M420" s="34"/>
      <c r="N420" s="34" t="s">
        <v>1727</v>
      </c>
      <c r="O420" s="35">
        <v>1</v>
      </c>
      <c r="P420" s="35">
        <v>1</v>
      </c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1</v>
      </c>
      <c r="AE420" s="1">
        <f t="shared" si="320"/>
        <v>0</v>
      </c>
      <c r="AF420" s="1">
        <f t="shared" si="289"/>
        <v>1</v>
      </c>
      <c r="AG420" s="1">
        <f t="shared" si="290"/>
        <v>0</v>
      </c>
      <c r="AH420" s="1">
        <f t="shared" si="291"/>
        <v>1</v>
      </c>
      <c r="AI420" s="1">
        <f t="shared" si="292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1178</v>
      </c>
      <c r="E421" s="32" t="s">
        <v>156</v>
      </c>
      <c r="F421" s="32" t="s">
        <v>1179</v>
      </c>
      <c r="G421" s="32" t="s">
        <v>293</v>
      </c>
      <c r="H421" s="32" t="s">
        <v>354</v>
      </c>
      <c r="I421" s="31" t="s">
        <v>1180</v>
      </c>
      <c r="J421" s="31">
        <v>99</v>
      </c>
      <c r="K421" s="33" t="s">
        <v>713</v>
      </c>
      <c r="L421" s="33" t="s">
        <v>722</v>
      </c>
      <c r="M421" s="34" t="s">
        <v>1434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1153</v>
      </c>
      <c r="E422" s="32" t="s">
        <v>1154</v>
      </c>
      <c r="F422" s="36" t="s">
        <v>1878</v>
      </c>
      <c r="G422" s="32" t="s">
        <v>628</v>
      </c>
      <c r="H422" s="32" t="s">
        <v>354</v>
      </c>
      <c r="I422" s="31" t="s">
        <v>1155</v>
      </c>
      <c r="J422" s="31">
        <v>99</v>
      </c>
      <c r="K422" s="33" t="s">
        <v>713</v>
      </c>
      <c r="L422" s="33" t="s">
        <v>713</v>
      </c>
      <c r="M422" s="34" t="s">
        <v>731</v>
      </c>
      <c r="N422" s="34" t="s">
        <v>1743</v>
      </c>
      <c r="O422" s="35">
        <v>1</v>
      </c>
      <c r="P422" s="35"/>
      <c r="Q422" s="36" t="s">
        <v>1898</v>
      </c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542</v>
      </c>
      <c r="E423" s="32" t="s">
        <v>158</v>
      </c>
      <c r="F423" s="32" t="s">
        <v>195</v>
      </c>
      <c r="G423" s="32" t="s">
        <v>196</v>
      </c>
      <c r="H423" s="32" t="s">
        <v>354</v>
      </c>
      <c r="I423" s="31" t="s">
        <v>550</v>
      </c>
      <c r="J423" s="31">
        <v>99</v>
      </c>
      <c r="K423" s="33" t="s">
        <v>955</v>
      </c>
      <c r="L423" s="33" t="s">
        <v>696</v>
      </c>
      <c r="M423" s="34" t="s">
        <v>1436</v>
      </c>
      <c r="N423" s="34" t="s">
        <v>1748</v>
      </c>
      <c r="O423" s="35">
        <v>1</v>
      </c>
      <c r="P423" s="35"/>
      <c r="Q423" s="32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1</v>
      </c>
      <c r="AF423" s="1">
        <f t="shared" si="289"/>
        <v>0</v>
      </c>
      <c r="AG423" s="1">
        <f t="shared" si="290"/>
        <v>1</v>
      </c>
      <c r="AH423" s="1">
        <f t="shared" si="291"/>
        <v>0</v>
      </c>
      <c r="AI423" s="1">
        <f t="shared" si="292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156</v>
      </c>
      <c r="F424" s="45" t="s">
        <v>183</v>
      </c>
      <c r="G424" s="45" t="s">
        <v>179</v>
      </c>
      <c r="H424" s="45" t="s">
        <v>354</v>
      </c>
      <c r="I424" s="44" t="s">
        <v>382</v>
      </c>
      <c r="J424" s="44">
        <v>10</v>
      </c>
      <c r="K424" s="46" t="s">
        <v>955</v>
      </c>
      <c r="L424" s="46" t="s">
        <v>722</v>
      </c>
      <c r="M424" s="47" t="s">
        <v>1434</v>
      </c>
      <c r="N424" s="47" t="s">
        <v>1809</v>
      </c>
      <c r="O424" s="48"/>
      <c r="P424" s="48"/>
      <c r="Q424" s="45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1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248</v>
      </c>
      <c r="G425" s="45" t="s">
        <v>249</v>
      </c>
      <c r="H425" s="45" t="s">
        <v>354</v>
      </c>
      <c r="I425" s="44" t="s">
        <v>411</v>
      </c>
      <c r="J425" s="44">
        <v>7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1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1039</v>
      </c>
      <c r="G426" s="45" t="s">
        <v>539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250</v>
      </c>
      <c r="G427" s="45" t="s">
        <v>200</v>
      </c>
      <c r="H427" s="45" t="s">
        <v>354</v>
      </c>
      <c r="I427" s="44" t="s">
        <v>412</v>
      </c>
      <c r="J427" s="44">
        <v>2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1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1351</v>
      </c>
      <c r="H428" s="45" t="s">
        <v>354</v>
      </c>
      <c r="I428" s="44" t="s">
        <v>30</v>
      </c>
      <c r="J428" s="44">
        <v>1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 t="s">
        <v>1917</v>
      </c>
      <c r="S428" s="1">
        <f t="shared" si="309"/>
        <v>1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0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252</v>
      </c>
      <c r="G429" s="45" t="s">
        <v>194</v>
      </c>
      <c r="H429" s="45" t="s">
        <v>354</v>
      </c>
      <c r="I429" s="44" t="s">
        <v>413</v>
      </c>
      <c r="J429" s="44">
        <v>9</v>
      </c>
      <c r="K429" s="46" t="s">
        <v>713</v>
      </c>
      <c r="L429" s="46" t="s">
        <v>713</v>
      </c>
      <c r="M429" s="47" t="s">
        <v>731</v>
      </c>
      <c r="N429" s="47" t="s">
        <v>1734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1023</v>
      </c>
      <c r="E430" s="45" t="s">
        <v>28</v>
      </c>
      <c r="F430" s="45" t="s">
        <v>1024</v>
      </c>
      <c r="G430" s="45" t="s">
        <v>194</v>
      </c>
      <c r="H430" s="45" t="s">
        <v>354</v>
      </c>
      <c r="I430" s="44" t="s">
        <v>1025</v>
      </c>
      <c r="J430" s="44">
        <v>9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1</v>
      </c>
      <c r="AB430" s="1">
        <f t="shared" si="318"/>
        <v>0</v>
      </c>
      <c r="AD430" s="1">
        <f t="shared" si="319"/>
        <v>0</v>
      </c>
      <c r="AE430" s="1">
        <f t="shared" si="320"/>
        <v>0</v>
      </c>
      <c r="AF430" s="1">
        <f t="shared" si="289"/>
        <v>0</v>
      </c>
      <c r="AG430" s="1">
        <f t="shared" si="290"/>
        <v>0</v>
      </c>
      <c r="AH430" s="1">
        <f t="shared" si="291"/>
        <v>0</v>
      </c>
      <c r="AI430" s="1">
        <f t="shared" si="292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1833</v>
      </c>
      <c r="E431" s="32" t="s">
        <v>1834</v>
      </c>
      <c r="F431" s="32" t="s">
        <v>1835</v>
      </c>
      <c r="G431" s="32" t="s">
        <v>207</v>
      </c>
      <c r="H431" s="32" t="s">
        <v>354</v>
      </c>
      <c r="I431" s="31" t="s">
        <v>30</v>
      </c>
      <c r="J431" s="31"/>
      <c r="K431" s="33" t="s">
        <v>703</v>
      </c>
      <c r="L431" s="33">
        <v>20</v>
      </c>
      <c r="M431" s="34" t="s">
        <v>1836</v>
      </c>
      <c r="N431" s="34" t="s">
        <v>1743</v>
      </c>
      <c r="O431" s="35">
        <v>1</v>
      </c>
      <c r="P431" s="35"/>
      <c r="Q431" s="32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0</v>
      </c>
      <c r="AE431" s="1">
        <f t="shared" si="320"/>
        <v>1</v>
      </c>
      <c r="AF431" s="1">
        <f t="shared" si="289"/>
        <v>0</v>
      </c>
      <c r="AG431" s="1">
        <f t="shared" si="290"/>
        <v>1</v>
      </c>
      <c r="AH431" s="1">
        <f t="shared" si="291"/>
        <v>0</v>
      </c>
      <c r="AI431" s="1">
        <f t="shared" si="292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1079</v>
      </c>
      <c r="E432" s="50" t="s">
        <v>544</v>
      </c>
      <c r="F432" s="50" t="s">
        <v>1060</v>
      </c>
      <c r="G432" s="50" t="s">
        <v>238</v>
      </c>
      <c r="H432" s="50" t="s">
        <v>354</v>
      </c>
      <c r="I432" s="49" t="s">
        <v>1061</v>
      </c>
      <c r="J432" s="49">
        <v>99</v>
      </c>
      <c r="K432" s="51" t="s">
        <v>955</v>
      </c>
      <c r="L432" s="51" t="s">
        <v>722</v>
      </c>
      <c r="M432" s="52" t="s">
        <v>1437</v>
      </c>
      <c r="N432" s="52" t="s">
        <v>1743</v>
      </c>
      <c r="O432" s="53">
        <v>1</v>
      </c>
      <c r="P432" s="53"/>
      <c r="Q432" s="50"/>
      <c r="S432" s="1">
        <f t="shared" ref="S432:S436" si="321">IF(J432=$S$7,1,0)</f>
        <v>0</v>
      </c>
      <c r="T432" s="1">
        <f t="shared" ref="T432:T436" si="322">IF(J432=$T$7,1,0)</f>
        <v>0</v>
      </c>
      <c r="U432" s="1">
        <f t="shared" ref="U432:U436" si="323">IF(J432=$U$7,1,0)</f>
        <v>0</v>
      </c>
      <c r="V432" s="1">
        <f t="shared" ref="V432:V436" si="324">IF(J432=$V$7,1,0)</f>
        <v>0</v>
      </c>
      <c r="W432" s="1">
        <f t="shared" ref="W432:W436" si="325">IF(J432=$W$7,1,0)</f>
        <v>0</v>
      </c>
      <c r="X432" s="1">
        <f t="shared" ref="X432:X436" si="326">IF(J432=$X$7,1,0)</f>
        <v>0</v>
      </c>
      <c r="Y432" s="1">
        <f t="shared" ref="Y432:Y436" si="327">IF(J432=$Y$7,1,0)</f>
        <v>0</v>
      </c>
      <c r="Z432" s="1">
        <f t="shared" ref="Z432:Z436" si="328">IF(J432=$Z$7,1,0)</f>
        <v>0</v>
      </c>
      <c r="AA432" s="1">
        <f t="shared" ref="AA432:AA436" si="329">IF(J432=$AA$7,1,0)</f>
        <v>0</v>
      </c>
      <c r="AB432" s="1">
        <f t="shared" ref="AB432:AB436" si="330">IF(J432=$AB$7,1,0)</f>
        <v>0</v>
      </c>
      <c r="AD432" s="1">
        <f t="shared" ref="AD432:AD436" si="331">+O432*P432</f>
        <v>0</v>
      </c>
      <c r="AE432" s="1">
        <f t="shared" ref="AE432:AE436" si="332">O432*(1-P432)</f>
        <v>1</v>
      </c>
      <c r="AF432" s="1">
        <f t="shared" ref="AF432:AF436" si="333">+O432*P432*(1-A432)</f>
        <v>0</v>
      </c>
      <c r="AG432" s="1">
        <f t="shared" ref="AG432:AG436" si="334">O432*(1-P432)*(1-A432)</f>
        <v>1</v>
      </c>
      <c r="AH432" s="1">
        <f t="shared" ref="AH432:AH436" si="335">+P432*(1-A432)</f>
        <v>0</v>
      </c>
      <c r="AI432" s="1">
        <f t="shared" ref="AI432:AI436" si="336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1226</v>
      </c>
      <c r="E433" s="32" t="s">
        <v>156</v>
      </c>
      <c r="F433" s="32" t="s">
        <v>1227</v>
      </c>
      <c r="G433" s="32" t="s">
        <v>251</v>
      </c>
      <c r="H433" s="32" t="s">
        <v>354</v>
      </c>
      <c r="I433" s="31" t="s">
        <v>1228</v>
      </c>
      <c r="J433" s="31">
        <v>99</v>
      </c>
      <c r="K433" s="33" t="s">
        <v>713</v>
      </c>
      <c r="L433" s="33">
        <v>10</v>
      </c>
      <c r="M433" s="34" t="s">
        <v>1746</v>
      </c>
      <c r="N433" s="34" t="s">
        <v>1727</v>
      </c>
      <c r="O433" s="35">
        <v>1</v>
      </c>
      <c r="P433" s="35">
        <v>1</v>
      </c>
      <c r="Q433" s="32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1803</v>
      </c>
      <c r="E434" s="36" t="s">
        <v>28</v>
      </c>
      <c r="F434" s="36" t="s">
        <v>1804</v>
      </c>
      <c r="G434" s="36" t="s">
        <v>180</v>
      </c>
      <c r="H434" s="36" t="s">
        <v>354</v>
      </c>
      <c r="I434" s="37" t="s">
        <v>1805</v>
      </c>
      <c r="J434" s="31">
        <v>10</v>
      </c>
      <c r="K434" s="33" t="s">
        <v>703</v>
      </c>
      <c r="L434" s="33">
        <v>10</v>
      </c>
      <c r="M434" s="34"/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1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1585</v>
      </c>
      <c r="E435" s="36" t="s">
        <v>1651</v>
      </c>
      <c r="F435" s="36" t="s">
        <v>1586</v>
      </c>
      <c r="G435" s="36" t="s">
        <v>656</v>
      </c>
      <c r="H435" s="36" t="s">
        <v>354</v>
      </c>
      <c r="I435" s="37" t="s">
        <v>1587</v>
      </c>
      <c r="J435" s="37">
        <v>99</v>
      </c>
      <c r="K435" s="33" t="s">
        <v>713</v>
      </c>
      <c r="L435" s="33" t="s">
        <v>39</v>
      </c>
      <c r="M435" s="34" t="s">
        <v>39</v>
      </c>
      <c r="N435" s="34" t="s">
        <v>1727</v>
      </c>
      <c r="O435" s="35">
        <v>1</v>
      </c>
      <c r="P435" s="35">
        <v>1</v>
      </c>
      <c r="Q435" s="36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1</v>
      </c>
      <c r="AE435" s="1">
        <f t="shared" si="332"/>
        <v>0</v>
      </c>
      <c r="AF435" s="1">
        <f t="shared" si="333"/>
        <v>1</v>
      </c>
      <c r="AG435" s="1">
        <f t="shared" si="334"/>
        <v>0</v>
      </c>
      <c r="AH435" s="1">
        <f t="shared" si="335"/>
        <v>1</v>
      </c>
      <c r="AI435" s="1">
        <f t="shared" si="336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1537</v>
      </c>
      <c r="E436" s="45" t="s">
        <v>28</v>
      </c>
      <c r="F436" s="45" t="s">
        <v>1662</v>
      </c>
      <c r="G436" s="45" t="s">
        <v>287</v>
      </c>
      <c r="H436" s="45" t="s">
        <v>354</v>
      </c>
      <c r="I436" s="44" t="s">
        <v>1688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21"/>
        <v>0</v>
      </c>
      <c r="T436" s="1">
        <f t="shared" si="322"/>
        <v>0</v>
      </c>
      <c r="U436" s="1">
        <f t="shared" si="323"/>
        <v>0</v>
      </c>
      <c r="V436" s="1">
        <f t="shared" si="324"/>
        <v>0</v>
      </c>
      <c r="W436" s="1">
        <f t="shared" si="325"/>
        <v>0</v>
      </c>
      <c r="X436" s="1">
        <f t="shared" si="326"/>
        <v>0</v>
      </c>
      <c r="Y436" s="1">
        <f t="shared" si="327"/>
        <v>0</v>
      </c>
      <c r="Z436" s="1">
        <f t="shared" si="328"/>
        <v>0</v>
      </c>
      <c r="AA436" s="1">
        <f t="shared" si="329"/>
        <v>0</v>
      </c>
      <c r="AB436" s="1">
        <f t="shared" si="330"/>
        <v>0</v>
      </c>
      <c r="AD436" s="1">
        <f t="shared" si="331"/>
        <v>0</v>
      </c>
      <c r="AE436" s="1">
        <f t="shared" si="332"/>
        <v>0</v>
      </c>
      <c r="AF436" s="1">
        <f t="shared" si="333"/>
        <v>0</v>
      </c>
      <c r="AG436" s="1">
        <f t="shared" si="334"/>
        <v>0</v>
      </c>
      <c r="AH436" s="1">
        <f t="shared" si="335"/>
        <v>0</v>
      </c>
      <c r="AI436" s="1">
        <f t="shared" si="336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1328</v>
      </c>
      <c r="E437" s="45" t="s">
        <v>28</v>
      </c>
      <c r="F437" s="45" t="s">
        <v>572</v>
      </c>
      <c r="G437" s="45" t="s">
        <v>181</v>
      </c>
      <c r="H437" s="45" t="s">
        <v>354</v>
      </c>
      <c r="I437" s="44" t="s">
        <v>430</v>
      </c>
      <c r="J437" s="44">
        <v>7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1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1875</v>
      </c>
      <c r="G438" s="45" t="s">
        <v>235</v>
      </c>
      <c r="H438" s="45" t="s">
        <v>354</v>
      </c>
      <c r="I438" s="44" t="s">
        <v>680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261</v>
      </c>
      <c r="G439" s="45" t="s">
        <v>220</v>
      </c>
      <c r="H439" s="45" t="s">
        <v>354</v>
      </c>
      <c r="I439" s="44" t="s">
        <v>420</v>
      </c>
      <c r="J439" s="44">
        <v>8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1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178</v>
      </c>
      <c r="H440" s="45" t="s">
        <v>354</v>
      </c>
      <c r="I440" s="44" t="s">
        <v>419</v>
      </c>
      <c r="J440" s="44">
        <v>1</v>
      </c>
      <c r="K440" s="46" t="s">
        <v>713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309"/>
        <v>1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778</v>
      </c>
      <c r="E441" s="16" t="s">
        <v>28</v>
      </c>
      <c r="F441" s="16" t="s">
        <v>779</v>
      </c>
      <c r="G441" s="16" t="s">
        <v>279</v>
      </c>
      <c r="H441" s="16" t="s">
        <v>354</v>
      </c>
      <c r="I441" s="15" t="s">
        <v>780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278</v>
      </c>
      <c r="G442" s="16" t="s">
        <v>279</v>
      </c>
      <c r="H442" s="16" t="s">
        <v>354</v>
      </c>
      <c r="I442" s="15" t="s">
        <v>434</v>
      </c>
      <c r="J442" s="15">
        <v>99</v>
      </c>
      <c r="K442" s="10" t="s">
        <v>713</v>
      </c>
      <c r="L442" s="10" t="s">
        <v>713</v>
      </c>
      <c r="M442" s="19" t="s">
        <v>731</v>
      </c>
      <c r="N442" s="17"/>
      <c r="Q442" s="16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1937</v>
      </c>
      <c r="E443" s="36" t="s">
        <v>28</v>
      </c>
      <c r="F443" s="36" t="s">
        <v>1938</v>
      </c>
      <c r="G443" s="36" t="s">
        <v>185</v>
      </c>
      <c r="H443" s="36" t="s">
        <v>354</v>
      </c>
      <c r="I443" s="37" t="s">
        <v>1939</v>
      </c>
      <c r="J443" s="37">
        <v>99</v>
      </c>
      <c r="K443" s="33" t="s">
        <v>703</v>
      </c>
      <c r="L443" s="33">
        <v>4</v>
      </c>
      <c r="M443" s="34" t="s">
        <v>731</v>
      </c>
      <c r="N443" s="34" t="s">
        <v>1743</v>
      </c>
      <c r="O443" s="35">
        <v>1</v>
      </c>
      <c r="P443" s="35"/>
      <c r="Q443" s="36" t="s">
        <v>1940</v>
      </c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1</v>
      </c>
      <c r="AF443" s="1">
        <f t="shared" si="289"/>
        <v>0</v>
      </c>
      <c r="AG443" s="1">
        <f t="shared" si="290"/>
        <v>1</v>
      </c>
      <c r="AH443" s="1">
        <f t="shared" si="291"/>
        <v>0</v>
      </c>
      <c r="AI443" s="1">
        <f t="shared" si="292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1876</v>
      </c>
      <c r="G444" s="45" t="s">
        <v>556</v>
      </c>
      <c r="H444" s="45" t="s">
        <v>354</v>
      </c>
      <c r="I444" s="44" t="s">
        <v>557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553</v>
      </c>
      <c r="E445" s="45" t="s">
        <v>28</v>
      </c>
      <c r="F445" s="65" t="s">
        <v>1877</v>
      </c>
      <c r="G445" s="45" t="s">
        <v>554</v>
      </c>
      <c r="H445" s="45" t="s">
        <v>354</v>
      </c>
      <c r="I445" s="44" t="s">
        <v>555</v>
      </c>
      <c r="J445" s="44">
        <v>99</v>
      </c>
      <c r="K445" s="46" t="s">
        <v>713</v>
      </c>
      <c r="L445" s="46" t="s">
        <v>713</v>
      </c>
      <c r="M445" s="47" t="s">
        <v>731</v>
      </c>
      <c r="N445" s="47" t="s">
        <v>1802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1678</v>
      </c>
      <c r="G446" s="45" t="s">
        <v>235</v>
      </c>
      <c r="H446" s="45" t="s">
        <v>354</v>
      </c>
      <c r="I446" s="44" t="s">
        <v>1366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1185</v>
      </c>
      <c r="E447" s="45" t="s">
        <v>28</v>
      </c>
      <c r="F447" s="45" t="s">
        <v>1679</v>
      </c>
      <c r="G447" s="45" t="s">
        <v>1352</v>
      </c>
      <c r="H447" s="45" t="s">
        <v>354</v>
      </c>
      <c r="I447" s="44" t="s">
        <v>1367</v>
      </c>
      <c r="J447" s="44">
        <v>99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0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1252</v>
      </c>
      <c r="G448" s="32" t="s">
        <v>1237</v>
      </c>
      <c r="H448" s="32" t="s">
        <v>354</v>
      </c>
      <c r="I448" s="31" t="s">
        <v>1254</v>
      </c>
      <c r="J448" s="31">
        <v>99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1</v>
      </c>
      <c r="AH448" s="1">
        <f t="shared" si="291"/>
        <v>0</v>
      </c>
      <c r="AI448" s="1">
        <f t="shared" si="292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2" t="s">
        <v>1251</v>
      </c>
      <c r="G449" s="32" t="s">
        <v>39</v>
      </c>
      <c r="H449" s="32" t="s">
        <v>354</v>
      </c>
      <c r="I449" s="31" t="s">
        <v>1255</v>
      </c>
      <c r="J449" s="31">
        <v>9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1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1253</v>
      </c>
      <c r="E450" s="32" t="s">
        <v>28</v>
      </c>
      <c r="F450" s="36" t="s">
        <v>1824</v>
      </c>
      <c r="G450" s="36" t="s">
        <v>258</v>
      </c>
      <c r="H450" s="32" t="s">
        <v>354</v>
      </c>
      <c r="I450" s="37" t="s">
        <v>30</v>
      </c>
      <c r="J450" s="31">
        <v>8</v>
      </c>
      <c r="K450" s="33" t="s">
        <v>703</v>
      </c>
      <c r="L450" s="33" t="s">
        <v>713</v>
      </c>
      <c r="M450" s="34" t="s">
        <v>731</v>
      </c>
      <c r="N450" s="34" t="s">
        <v>1743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1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674</v>
      </c>
      <c r="G451" s="32" t="s">
        <v>185</v>
      </c>
      <c r="H451" s="32" t="s">
        <v>354</v>
      </c>
      <c r="I451" s="31" t="s">
        <v>390</v>
      </c>
      <c r="J451" s="31">
        <v>99</v>
      </c>
      <c r="K451" s="33" t="s">
        <v>712</v>
      </c>
      <c r="L451" s="33" t="s">
        <v>713</v>
      </c>
      <c r="M451" s="34" t="s">
        <v>731</v>
      </c>
      <c r="N451" s="34" t="s">
        <v>1749</v>
      </c>
      <c r="O451" s="35">
        <v>1</v>
      </c>
      <c r="P451" s="35"/>
      <c r="Q451" s="32"/>
      <c r="S451" s="1">
        <f t="shared" si="309"/>
        <v>0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1</v>
      </c>
      <c r="AF451" s="1">
        <f t="shared" si="289"/>
        <v>0</v>
      </c>
      <c r="AG451" s="1">
        <f t="shared" si="290"/>
        <v>1</v>
      </c>
      <c r="AH451" s="1">
        <f t="shared" si="291"/>
        <v>0</v>
      </c>
      <c r="AI451" s="1">
        <f t="shared" si="292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998</v>
      </c>
      <c r="G452" s="45" t="s">
        <v>240</v>
      </c>
      <c r="H452" s="45" t="s">
        <v>354</v>
      </c>
      <c r="I452" s="44" t="s">
        <v>1106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1081</v>
      </c>
      <c r="E453" s="45" t="s">
        <v>28</v>
      </c>
      <c r="F453" s="45" t="s">
        <v>999</v>
      </c>
      <c r="G453" s="45" t="s">
        <v>1099</v>
      </c>
      <c r="H453" s="45" t="s">
        <v>354</v>
      </c>
      <c r="I453" s="44" t="s">
        <v>1107</v>
      </c>
      <c r="J453" s="44">
        <v>1</v>
      </c>
      <c r="K453" s="46" t="s">
        <v>712</v>
      </c>
      <c r="L453" s="46" t="s">
        <v>713</v>
      </c>
      <c r="M453" s="47" t="s">
        <v>731</v>
      </c>
      <c r="N453" s="47" t="s">
        <v>1735</v>
      </c>
      <c r="O453" s="48"/>
      <c r="P453" s="48"/>
      <c r="Q453" s="45"/>
      <c r="S453" s="1">
        <f t="shared" si="309"/>
        <v>1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1638</v>
      </c>
      <c r="E454" s="32" t="s">
        <v>156</v>
      </c>
      <c r="F454" s="32" t="s">
        <v>1491</v>
      </c>
      <c r="G454" s="32" t="s">
        <v>1492</v>
      </c>
      <c r="H454" s="32" t="s">
        <v>354</v>
      </c>
      <c r="I454" s="31" t="s">
        <v>1493</v>
      </c>
      <c r="J454" s="31">
        <v>99</v>
      </c>
      <c r="K454" s="33" t="s">
        <v>955</v>
      </c>
      <c r="L454" s="33" t="s">
        <v>722</v>
      </c>
      <c r="M454" s="34" t="s">
        <v>732</v>
      </c>
      <c r="N454" s="34" t="s">
        <v>1748</v>
      </c>
      <c r="O454" s="35">
        <v>1</v>
      </c>
      <c r="P454" s="35"/>
      <c r="Q454" s="32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1</v>
      </c>
      <c r="AF454" s="1">
        <f t="shared" si="289"/>
        <v>0</v>
      </c>
      <c r="AG454" s="1">
        <f t="shared" si="290"/>
        <v>1</v>
      </c>
      <c r="AH454" s="1">
        <f t="shared" si="291"/>
        <v>0</v>
      </c>
      <c r="AI454" s="1">
        <f t="shared" si="292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274</v>
      </c>
      <c r="G455" s="45" t="s">
        <v>275</v>
      </c>
      <c r="H455" s="45" t="s">
        <v>354</v>
      </c>
      <c r="I455" s="44" t="s">
        <v>429</v>
      </c>
      <c r="J455" s="44">
        <v>7</v>
      </c>
      <c r="K455" s="46" t="s">
        <v>955</v>
      </c>
      <c r="L455" s="46" t="s">
        <v>954</v>
      </c>
      <c r="M455" s="47" t="s">
        <v>968</v>
      </c>
      <c r="N455" s="47" t="s">
        <v>1809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1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1681</v>
      </c>
      <c r="G456" s="45" t="s">
        <v>190</v>
      </c>
      <c r="H456" s="45" t="s">
        <v>354</v>
      </c>
      <c r="I456" s="44" t="s">
        <v>423</v>
      </c>
      <c r="J456" s="44">
        <v>99</v>
      </c>
      <c r="K456" s="46" t="s">
        <v>954</v>
      </c>
      <c r="L456" s="46" t="s">
        <v>713</v>
      </c>
      <c r="M456" s="47" t="s">
        <v>731</v>
      </c>
      <c r="N456" s="47" t="s">
        <v>1735</v>
      </c>
      <c r="O456" s="48"/>
      <c r="P456" s="48"/>
      <c r="Q456" s="45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19"/>
        <v>0</v>
      </c>
      <c r="AE456" s="1">
        <f t="shared" si="320"/>
        <v>0</v>
      </c>
      <c r="AF456" s="1">
        <f t="shared" si="289"/>
        <v>0</v>
      </c>
      <c r="AG456" s="1">
        <f t="shared" si="290"/>
        <v>0</v>
      </c>
      <c r="AH456" s="1">
        <f t="shared" si="291"/>
        <v>0</v>
      </c>
      <c r="AI456" s="1">
        <f t="shared" si="292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2033</v>
      </c>
      <c r="E457" s="32" t="s">
        <v>2037</v>
      </c>
      <c r="F457" s="36" t="s">
        <v>2034</v>
      </c>
      <c r="G457" s="36" t="s">
        <v>2035</v>
      </c>
      <c r="H457" s="36" t="s">
        <v>354</v>
      </c>
      <c r="I457" s="37" t="s">
        <v>2036</v>
      </c>
      <c r="J457" s="31">
        <v>99</v>
      </c>
      <c r="K457" s="33" t="s">
        <v>703</v>
      </c>
      <c r="L457" s="33">
        <v>20</v>
      </c>
      <c r="M457" s="34" t="s">
        <v>2039</v>
      </c>
      <c r="N457" s="34" t="s">
        <v>1748</v>
      </c>
      <c r="O457" s="35">
        <v>1</v>
      </c>
      <c r="P457" s="35"/>
      <c r="Q457" s="36" t="s">
        <v>2038</v>
      </c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ref="AD457:AD460" si="337">+O457*P457</f>
        <v>0</v>
      </c>
      <c r="AE457" s="1">
        <f t="shared" ref="AE457:AE460" si="338">O457*(1-P457)</f>
        <v>1</v>
      </c>
      <c r="AF457" s="1">
        <f t="shared" ref="AF457:AF460" si="339">+O457*P457*(1-A457)</f>
        <v>0</v>
      </c>
      <c r="AG457" s="1">
        <f t="shared" ref="AG457:AG460" si="340">O457*(1-P457)*(1-A457)</f>
        <v>1</v>
      </c>
      <c r="AH457" s="1">
        <f t="shared" ref="AH457:AH460" si="341">+P457*(1-A457)</f>
        <v>0</v>
      </c>
      <c r="AI457" s="1">
        <f t="shared" ref="AI457:AI460" si="342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1640</v>
      </c>
      <c r="E458" s="32" t="s">
        <v>163</v>
      </c>
      <c r="F458" s="32" t="s">
        <v>244</v>
      </c>
      <c r="G458" s="32" t="s">
        <v>218</v>
      </c>
      <c r="H458" s="32" t="s">
        <v>354</v>
      </c>
      <c r="I458" s="31" t="s">
        <v>408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1727</v>
      </c>
      <c r="O458" s="35">
        <v>1</v>
      </c>
      <c r="P458" s="35">
        <v>1</v>
      </c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1</v>
      </c>
      <c r="AE458" s="1">
        <f t="shared" si="338"/>
        <v>0</v>
      </c>
      <c r="AF458" s="1">
        <f t="shared" si="339"/>
        <v>1</v>
      </c>
      <c r="AG458" s="1">
        <f t="shared" si="340"/>
        <v>0</v>
      </c>
      <c r="AH458" s="1">
        <f t="shared" si="341"/>
        <v>1</v>
      </c>
      <c r="AI458" s="1">
        <f t="shared" si="342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1538</v>
      </c>
      <c r="E459" s="32" t="s">
        <v>156</v>
      </c>
      <c r="F459" s="32" t="s">
        <v>1539</v>
      </c>
      <c r="G459" s="32" t="s">
        <v>39</v>
      </c>
      <c r="H459" s="32" t="s">
        <v>354</v>
      </c>
      <c r="I459" s="31" t="s">
        <v>1540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1748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1</v>
      </c>
      <c r="AF459" s="1">
        <f t="shared" si="339"/>
        <v>0</v>
      </c>
      <c r="AG459" s="1">
        <f t="shared" si="340"/>
        <v>1</v>
      </c>
      <c r="AH459" s="1">
        <f t="shared" si="341"/>
        <v>0</v>
      </c>
      <c r="AI459" s="1">
        <f t="shared" si="342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1262</v>
      </c>
      <c r="E460" s="45" t="s">
        <v>1524</v>
      </c>
      <c r="F460" s="45" t="s">
        <v>1355</v>
      </c>
      <c r="G460" s="45" t="s">
        <v>186</v>
      </c>
      <c r="H460" s="45" t="s">
        <v>354</v>
      </c>
      <c r="I460" s="44" t="s">
        <v>1368</v>
      </c>
      <c r="J460" s="44">
        <v>1</v>
      </c>
      <c r="K460" s="46" t="s">
        <v>713</v>
      </c>
      <c r="L460" s="46" t="s">
        <v>716</v>
      </c>
      <c r="M460" s="47" t="s">
        <v>1438</v>
      </c>
      <c r="N460" s="47" t="s">
        <v>1735</v>
      </c>
      <c r="O460" s="48"/>
      <c r="P460" s="48"/>
      <c r="Q460" s="45"/>
      <c r="S460" s="1">
        <f t="shared" si="309"/>
        <v>1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37"/>
        <v>0</v>
      </c>
      <c r="AE460" s="1">
        <f t="shared" si="338"/>
        <v>0</v>
      </c>
      <c r="AF460" s="1">
        <f t="shared" si="339"/>
        <v>0</v>
      </c>
      <c r="AG460" s="1">
        <f t="shared" si="340"/>
        <v>0</v>
      </c>
      <c r="AH460" s="1">
        <f t="shared" si="341"/>
        <v>0</v>
      </c>
      <c r="AI460" s="1">
        <f t="shared" si="342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974</v>
      </c>
      <c r="G461" s="32" t="s">
        <v>1101</v>
      </c>
      <c r="H461" s="32" t="s">
        <v>354</v>
      </c>
      <c r="I461" s="31" t="s">
        <v>1108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1</v>
      </c>
      <c r="AH461" s="1">
        <f t="shared" si="291"/>
        <v>0</v>
      </c>
      <c r="AI461" s="1">
        <f t="shared" si="292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224</v>
      </c>
      <c r="H462" s="32" t="s">
        <v>354</v>
      </c>
      <c r="I462" s="31" t="s">
        <v>409</v>
      </c>
      <c r="J462" s="31">
        <v>99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246</v>
      </c>
      <c r="G463" s="32" t="s">
        <v>220</v>
      </c>
      <c r="H463" s="32" t="s">
        <v>354</v>
      </c>
      <c r="I463" s="31" t="s">
        <v>410</v>
      </c>
      <c r="J463" s="31">
        <v>8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 t="s">
        <v>2016</v>
      </c>
      <c r="S463" s="1">
        <f t="shared" si="309"/>
        <v>0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1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1034</v>
      </c>
      <c r="G464" s="32" t="s">
        <v>39</v>
      </c>
      <c r="H464" s="32" t="s">
        <v>354</v>
      </c>
      <c r="I464" s="31" t="s">
        <v>1035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19"/>
        <v>0</v>
      </c>
      <c r="AE464" s="1">
        <f t="shared" si="320"/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1036</v>
      </c>
      <c r="G465" s="32" t="s">
        <v>302</v>
      </c>
      <c r="H465" s="32" t="s">
        <v>354</v>
      </c>
      <c r="I465" s="31" t="s">
        <v>1037</v>
      </c>
      <c r="J465" s="31">
        <v>1</v>
      </c>
      <c r="K465" s="33" t="s">
        <v>713</v>
      </c>
      <c r="L465" s="33" t="s">
        <v>713</v>
      </c>
      <c r="M465" s="34" t="s">
        <v>731</v>
      </c>
      <c r="N465" s="34" t="s">
        <v>1743</v>
      </c>
      <c r="O465" s="35">
        <v>1</v>
      </c>
      <c r="P465" s="35"/>
      <c r="Q465" s="32"/>
      <c r="S465" s="1">
        <f t="shared" si="309"/>
        <v>1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ref="AD465:AD466" si="343">+O465*P465</f>
        <v>0</v>
      </c>
      <c r="AE465" s="1">
        <f t="shared" ref="AE465:AE466" si="344">O465*(1-P465)</f>
        <v>1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1573</v>
      </c>
      <c r="E466" s="32" t="s">
        <v>156</v>
      </c>
      <c r="F466" s="32" t="s">
        <v>1574</v>
      </c>
      <c r="G466" s="32" t="s">
        <v>207</v>
      </c>
      <c r="H466" s="32" t="s">
        <v>354</v>
      </c>
      <c r="I466" s="31" t="s">
        <v>1575</v>
      </c>
      <c r="J466" s="31">
        <v>99</v>
      </c>
      <c r="K466" s="33" t="s">
        <v>712</v>
      </c>
      <c r="L466" s="33" t="s">
        <v>722</v>
      </c>
      <c r="M466" s="34" t="s">
        <v>732</v>
      </c>
      <c r="N466" s="34" t="s">
        <v>1946</v>
      </c>
      <c r="O466" s="35">
        <v>1</v>
      </c>
      <c r="P466" s="35"/>
      <c r="Q466" s="32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0</v>
      </c>
      <c r="AB466" s="1">
        <f t="shared" si="318"/>
        <v>0</v>
      </c>
      <c r="AD466" s="1">
        <f t="shared" si="343"/>
        <v>0</v>
      </c>
      <c r="AE466" s="1">
        <f t="shared" si="344"/>
        <v>1</v>
      </c>
      <c r="AF466" s="1">
        <f t="shared" si="289"/>
        <v>0</v>
      </c>
      <c r="AG466" s="1">
        <f t="shared" si="290"/>
        <v>1</v>
      </c>
      <c r="AH466" s="1">
        <f t="shared" si="291"/>
        <v>0</v>
      </c>
      <c r="AI466" s="1">
        <f t="shared" si="292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1132</v>
      </c>
      <c r="E467" s="45" t="s">
        <v>28</v>
      </c>
      <c r="F467" s="45" t="s">
        <v>1133</v>
      </c>
      <c r="G467" s="45" t="s">
        <v>220</v>
      </c>
      <c r="H467" s="45" t="s">
        <v>354</v>
      </c>
      <c r="I467" s="44" t="s">
        <v>1134</v>
      </c>
      <c r="J467" s="44">
        <v>8</v>
      </c>
      <c r="K467" s="46" t="s">
        <v>955</v>
      </c>
      <c r="L467" s="46" t="s">
        <v>713</v>
      </c>
      <c r="M467" s="47" t="s">
        <v>731</v>
      </c>
      <c r="N467" s="47" t="s">
        <v>1802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1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264</v>
      </c>
      <c r="G468" s="45" t="s">
        <v>194</v>
      </c>
      <c r="H468" s="45" t="s">
        <v>354</v>
      </c>
      <c r="I468" s="44" t="s">
        <v>421</v>
      </c>
      <c r="J468" s="44">
        <v>9</v>
      </c>
      <c r="K468" s="46" t="s">
        <v>712</v>
      </c>
      <c r="L468" s="46" t="s">
        <v>713</v>
      </c>
      <c r="M468" s="47" t="s">
        <v>731</v>
      </c>
      <c r="N468" s="47" t="s">
        <v>1735</v>
      </c>
      <c r="O468" s="48"/>
      <c r="P468" s="48"/>
      <c r="Q468" s="45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1</v>
      </c>
      <c r="AB468" s="1">
        <f t="shared" si="318"/>
        <v>0</v>
      </c>
      <c r="AD468" s="1">
        <f t="shared" si="319"/>
        <v>0</v>
      </c>
      <c r="AE468" s="1">
        <f t="shared" si="320"/>
        <v>0</v>
      </c>
      <c r="AF468" s="1">
        <f t="shared" si="289"/>
        <v>0</v>
      </c>
      <c r="AG468" s="1">
        <f t="shared" si="290"/>
        <v>0</v>
      </c>
      <c r="AH468" s="1">
        <f t="shared" si="291"/>
        <v>0</v>
      </c>
      <c r="AI468" s="1">
        <f t="shared" si="292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163</v>
      </c>
      <c r="F469" s="32" t="s">
        <v>225</v>
      </c>
      <c r="G469" s="32" t="s">
        <v>226</v>
      </c>
      <c r="H469" s="32" t="s">
        <v>354</v>
      </c>
      <c r="I469" s="31" t="s">
        <v>398</v>
      </c>
      <c r="J469" s="31">
        <v>99</v>
      </c>
      <c r="K469" s="33" t="s">
        <v>713</v>
      </c>
      <c r="L469" s="33" t="s">
        <v>722</v>
      </c>
      <c r="M469" s="34" t="s">
        <v>732</v>
      </c>
      <c r="N469" s="34" t="s">
        <v>1750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1075</v>
      </c>
      <c r="E470" s="32" t="s">
        <v>156</v>
      </c>
      <c r="F470" s="32" t="s">
        <v>1076</v>
      </c>
      <c r="G470" s="32" t="s">
        <v>220</v>
      </c>
      <c r="H470" s="32" t="s">
        <v>354</v>
      </c>
      <c r="I470" s="31" t="s">
        <v>1077</v>
      </c>
      <c r="J470" s="31">
        <v>8</v>
      </c>
      <c r="K470" s="33" t="s">
        <v>712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1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156</v>
      </c>
      <c r="F471" s="32" t="s">
        <v>273</v>
      </c>
      <c r="G471" s="32" t="s">
        <v>254</v>
      </c>
      <c r="H471" s="32" t="s">
        <v>354</v>
      </c>
      <c r="I471" s="31" t="s">
        <v>428</v>
      </c>
      <c r="J471" s="31">
        <v>99</v>
      </c>
      <c r="K471" s="33" t="s">
        <v>713</v>
      </c>
      <c r="L471" s="33" t="s">
        <v>733</v>
      </c>
      <c r="M471" s="34" t="s">
        <v>734</v>
      </c>
      <c r="N471" s="34" t="s">
        <v>1756</v>
      </c>
      <c r="O471" s="35">
        <v>1</v>
      </c>
      <c r="P471" s="35"/>
      <c r="Q471" s="32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1</v>
      </c>
      <c r="AF471" s="1">
        <f t="shared" si="289"/>
        <v>0</v>
      </c>
      <c r="AG471" s="1">
        <f t="shared" si="290"/>
        <v>1</v>
      </c>
      <c r="AH471" s="1">
        <f t="shared" si="291"/>
        <v>0</v>
      </c>
      <c r="AI471" s="1">
        <f t="shared" si="292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1775</v>
      </c>
      <c r="E472" s="36" t="s">
        <v>1776</v>
      </c>
      <c r="F472" s="36" t="s">
        <v>1777</v>
      </c>
      <c r="G472" s="36" t="s">
        <v>190</v>
      </c>
      <c r="H472" s="36" t="s">
        <v>354</v>
      </c>
      <c r="I472" s="37"/>
      <c r="J472" s="37"/>
      <c r="K472" s="33" t="s">
        <v>703</v>
      </c>
      <c r="L472" s="33"/>
      <c r="M472" s="34"/>
      <c r="N472" s="34" t="s">
        <v>1727</v>
      </c>
      <c r="O472" s="35">
        <v>1</v>
      </c>
      <c r="P472" s="35">
        <v>1</v>
      </c>
      <c r="Q472" s="36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1</v>
      </c>
      <c r="AE472" s="1">
        <f t="shared" si="320"/>
        <v>0</v>
      </c>
      <c r="AF472" s="1">
        <f t="shared" si="289"/>
        <v>1</v>
      </c>
      <c r="AG472" s="1">
        <f t="shared" si="290"/>
        <v>0</v>
      </c>
      <c r="AH472" s="1">
        <f t="shared" si="291"/>
        <v>1</v>
      </c>
      <c r="AI472" s="1">
        <f t="shared" si="292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514</v>
      </c>
      <c r="E473" s="45" t="s">
        <v>156</v>
      </c>
      <c r="F473" s="45" t="s">
        <v>574</v>
      </c>
      <c r="G473" s="45" t="s">
        <v>321</v>
      </c>
      <c r="H473" s="45" t="s">
        <v>354</v>
      </c>
      <c r="I473" s="44" t="s">
        <v>581</v>
      </c>
      <c r="J473" s="44">
        <v>99</v>
      </c>
      <c r="K473" s="46" t="s">
        <v>954</v>
      </c>
      <c r="L473" s="46" t="s">
        <v>722</v>
      </c>
      <c r="M473" s="47" t="s">
        <v>732</v>
      </c>
      <c r="N473" s="47" t="s">
        <v>1738</v>
      </c>
      <c r="O473" s="48"/>
      <c r="P473" s="48"/>
      <c r="Q473" s="45"/>
      <c r="S473" s="1">
        <f t="shared" si="309"/>
        <v>0</v>
      </c>
      <c r="T473" s="1">
        <f t="shared" si="310"/>
        <v>0</v>
      </c>
      <c r="U473" s="1">
        <f t="shared" si="311"/>
        <v>0</v>
      </c>
      <c r="V473" s="1">
        <f t="shared" si="312"/>
        <v>0</v>
      </c>
      <c r="W473" s="1">
        <f t="shared" si="313"/>
        <v>0</v>
      </c>
      <c r="X473" s="1">
        <f t="shared" si="314"/>
        <v>0</v>
      </c>
      <c r="Y473" s="1">
        <f t="shared" si="315"/>
        <v>0</v>
      </c>
      <c r="Z473" s="1">
        <f t="shared" si="316"/>
        <v>0</v>
      </c>
      <c r="AA473" s="1">
        <f t="shared" si="317"/>
        <v>0</v>
      </c>
      <c r="AB473" s="1">
        <f t="shared" si="318"/>
        <v>0</v>
      </c>
      <c r="AD473" s="1">
        <f t="shared" si="319"/>
        <v>0</v>
      </c>
      <c r="AE473" s="1">
        <f t="shared" si="320"/>
        <v>0</v>
      </c>
      <c r="AF473" s="1">
        <f t="shared" si="289"/>
        <v>0</v>
      </c>
      <c r="AG473" s="1">
        <f t="shared" si="290"/>
        <v>0</v>
      </c>
      <c r="AH473" s="1">
        <f t="shared" si="291"/>
        <v>0</v>
      </c>
      <c r="AI473" s="1">
        <f t="shared" si="292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156</v>
      </c>
      <c r="F474" s="45" t="s">
        <v>675</v>
      </c>
      <c r="G474" s="45" t="s">
        <v>265</v>
      </c>
      <c r="H474" s="45" t="s">
        <v>354</v>
      </c>
      <c r="I474" s="44" t="s">
        <v>422</v>
      </c>
      <c r="J474" s="44">
        <v>99</v>
      </c>
      <c r="K474" s="46" t="s">
        <v>712</v>
      </c>
      <c r="L474" s="46" t="s">
        <v>729</v>
      </c>
      <c r="M474" s="47" t="s">
        <v>732</v>
      </c>
      <c r="N474" s="47" t="s">
        <v>1735</v>
      </c>
      <c r="O474" s="48"/>
      <c r="P474" s="48"/>
      <c r="Q474" s="45"/>
      <c r="S474" s="1">
        <f t="shared" ref="S474:S479" si="345">IF(J474=$S$7,1,0)</f>
        <v>0</v>
      </c>
      <c r="T474" s="1">
        <f t="shared" ref="T474:T479" si="346">IF(J474=$T$7,1,0)</f>
        <v>0</v>
      </c>
      <c r="U474" s="1">
        <f t="shared" ref="U474:U479" si="347">IF(J474=$U$7,1,0)</f>
        <v>0</v>
      </c>
      <c r="V474" s="1">
        <f t="shared" ref="V474:V479" si="348">IF(J474=$V$7,1,0)</f>
        <v>0</v>
      </c>
      <c r="W474" s="1">
        <f t="shared" ref="W474:W479" si="349">IF(J474=$W$7,1,0)</f>
        <v>0</v>
      </c>
      <c r="X474" s="1">
        <f t="shared" ref="X474:X479" si="350">IF(J474=$X$7,1,0)</f>
        <v>0</v>
      </c>
      <c r="Y474" s="1">
        <f t="shared" ref="Y474:Y479" si="351">IF(J474=$Y$7,1,0)</f>
        <v>0</v>
      </c>
      <c r="Z474" s="1">
        <f t="shared" ref="Z474:Z479" si="352">IF(J474=$Z$7,1,0)</f>
        <v>0</v>
      </c>
      <c r="AA474" s="1">
        <f t="shared" ref="AA474:AA479" si="353">IF(J474=$AA$7,1,0)</f>
        <v>0</v>
      </c>
      <c r="AB474" s="1">
        <f t="shared" ref="AB474:AB479" si="354">IF(J474=$AB$7,1,0)</f>
        <v>0</v>
      </c>
      <c r="AD474" s="1">
        <f t="shared" ref="AD474:AD479" si="355">+O474*P474</f>
        <v>0</v>
      </c>
      <c r="AE474" s="1">
        <f t="shared" ref="AE474:AE479" si="356">O474*(1-P474)</f>
        <v>0</v>
      </c>
      <c r="AF474" s="1">
        <f t="shared" ref="AF474:AF479" si="357">+O474*P474*(1-A474)</f>
        <v>0</v>
      </c>
      <c r="AG474" s="1">
        <f t="shared" ref="AG474:AG479" si="358">O474*(1-P474)*(1-A474)</f>
        <v>0</v>
      </c>
      <c r="AH474" s="1">
        <f t="shared" ref="AH474:AH479" si="359">+P474*(1-A474)</f>
        <v>0</v>
      </c>
      <c r="AI474" s="1">
        <f t="shared" ref="AI474:AI479" si="360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2007</v>
      </c>
      <c r="G475" s="32" t="s">
        <v>283</v>
      </c>
      <c r="H475" s="32" t="s">
        <v>354</v>
      </c>
      <c r="I475" s="31" t="s">
        <v>2008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1</v>
      </c>
      <c r="AG475" s="1">
        <f t="shared" si="358"/>
        <v>0</v>
      </c>
      <c r="AH475" s="1">
        <f t="shared" si="359"/>
        <v>1</v>
      </c>
      <c r="AI475" s="1">
        <f t="shared" si="360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2006</v>
      </c>
      <c r="E476" s="32" t="s">
        <v>156</v>
      </c>
      <c r="F476" s="32" t="s">
        <v>2009</v>
      </c>
      <c r="G476" s="32" t="s">
        <v>2010</v>
      </c>
      <c r="H476" s="32" t="s">
        <v>354</v>
      </c>
      <c r="I476" s="31" t="s">
        <v>2011</v>
      </c>
      <c r="J476" s="31">
        <v>99</v>
      </c>
      <c r="K476" s="33" t="s">
        <v>703</v>
      </c>
      <c r="L476" s="33" t="s">
        <v>722</v>
      </c>
      <c r="M476" s="34" t="s">
        <v>732</v>
      </c>
      <c r="N476" s="34" t="s">
        <v>1727</v>
      </c>
      <c r="O476" s="35">
        <v>1</v>
      </c>
      <c r="P476" s="35">
        <v>1</v>
      </c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1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1858</v>
      </c>
      <c r="E477" s="16" t="s">
        <v>156</v>
      </c>
      <c r="F477" s="20" t="s">
        <v>1859</v>
      </c>
      <c r="G477" s="20" t="s">
        <v>283</v>
      </c>
      <c r="H477" s="20" t="s">
        <v>354</v>
      </c>
      <c r="I477" s="21" t="s">
        <v>1860</v>
      </c>
      <c r="J477" s="15">
        <v>99</v>
      </c>
      <c r="K477" s="10" t="s">
        <v>703</v>
      </c>
      <c r="L477" s="10" t="s">
        <v>722</v>
      </c>
      <c r="M477" s="19" t="s">
        <v>732</v>
      </c>
      <c r="N477" s="19"/>
      <c r="Q477" s="20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0</v>
      </c>
      <c r="AF477" s="1">
        <f t="shared" si="357"/>
        <v>0</v>
      </c>
      <c r="AG477" s="1">
        <f t="shared" si="358"/>
        <v>0</v>
      </c>
      <c r="AH477" s="1">
        <f t="shared" si="359"/>
        <v>0</v>
      </c>
      <c r="AI477" s="1">
        <f t="shared" si="360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163</v>
      </c>
      <c r="F478" s="32" t="s">
        <v>227</v>
      </c>
      <c r="G478" s="32" t="s">
        <v>190</v>
      </c>
      <c r="H478" s="32" t="s">
        <v>354</v>
      </c>
      <c r="I478" s="31" t="s">
        <v>399</v>
      </c>
      <c r="J478" s="31">
        <v>99</v>
      </c>
      <c r="K478" s="33" t="s">
        <v>713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0</v>
      </c>
      <c r="AE478" s="1">
        <f t="shared" si="356"/>
        <v>1</v>
      </c>
      <c r="AF478" s="1">
        <f t="shared" si="357"/>
        <v>0</v>
      </c>
      <c r="AG478" s="1">
        <f t="shared" si="358"/>
        <v>1</v>
      </c>
      <c r="AH478" s="1">
        <f t="shared" si="359"/>
        <v>0</v>
      </c>
      <c r="AI478" s="1">
        <f t="shared" si="360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1329</v>
      </c>
      <c r="E479" s="32" t="s">
        <v>156</v>
      </c>
      <c r="F479" s="32" t="s">
        <v>1143</v>
      </c>
      <c r="G479" s="32" t="s">
        <v>192</v>
      </c>
      <c r="H479" s="32" t="s">
        <v>354</v>
      </c>
      <c r="I479" s="31" t="s">
        <v>1369</v>
      </c>
      <c r="J479" s="31">
        <v>99</v>
      </c>
      <c r="K479" s="33" t="s">
        <v>712</v>
      </c>
      <c r="L479" s="33" t="s">
        <v>39</v>
      </c>
      <c r="M479" s="34" t="s">
        <v>39</v>
      </c>
      <c r="N479" s="34" t="s">
        <v>1727</v>
      </c>
      <c r="O479" s="35">
        <v>1</v>
      </c>
      <c r="P479" s="35">
        <v>1</v>
      </c>
      <c r="Q479" s="32"/>
      <c r="S479" s="1">
        <f t="shared" si="345"/>
        <v>0</v>
      </c>
      <c r="T479" s="1">
        <f t="shared" si="346"/>
        <v>0</v>
      </c>
      <c r="U479" s="1">
        <f t="shared" si="347"/>
        <v>0</v>
      </c>
      <c r="V479" s="1">
        <f t="shared" si="348"/>
        <v>0</v>
      </c>
      <c r="W479" s="1">
        <f t="shared" si="349"/>
        <v>0</v>
      </c>
      <c r="X479" s="1">
        <f t="shared" si="350"/>
        <v>0</v>
      </c>
      <c r="Y479" s="1">
        <f t="shared" si="351"/>
        <v>0</v>
      </c>
      <c r="Z479" s="1">
        <f t="shared" si="352"/>
        <v>0</v>
      </c>
      <c r="AA479" s="1">
        <f t="shared" si="353"/>
        <v>0</v>
      </c>
      <c r="AB479" s="1">
        <f t="shared" si="354"/>
        <v>0</v>
      </c>
      <c r="AD479" s="1">
        <f t="shared" si="355"/>
        <v>1</v>
      </c>
      <c r="AE479" s="1">
        <f t="shared" si="356"/>
        <v>0</v>
      </c>
      <c r="AF479" s="1">
        <f t="shared" si="357"/>
        <v>1</v>
      </c>
      <c r="AG479" s="1">
        <f t="shared" si="358"/>
        <v>0</v>
      </c>
      <c r="AH479" s="1">
        <f t="shared" si="359"/>
        <v>1</v>
      </c>
      <c r="AI479" s="1">
        <f t="shared" si="360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676</v>
      </c>
      <c r="G480" s="32" t="s">
        <v>240</v>
      </c>
      <c r="H480" s="32" t="s">
        <v>354</v>
      </c>
      <c r="I480" s="31" t="s">
        <v>405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2"/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ref="AD480" si="361">+O480*P480</f>
        <v>0</v>
      </c>
      <c r="AE480" s="1">
        <f t="shared" ref="AE480" si="362">O480*(1-P480)</f>
        <v>1</v>
      </c>
      <c r="AF480" s="1">
        <f t="shared" ref="AF480:AF495" si="363">+O480*P480*(1-A480)</f>
        <v>0</v>
      </c>
      <c r="AG480" s="1">
        <f t="shared" ref="AG480:AG495" si="364">O480*(1-P480)*(1-A480)</f>
        <v>1</v>
      </c>
      <c r="AH480" s="1">
        <f t="shared" ref="AH480:AH495" si="365">+P480*(1-A480)</f>
        <v>0</v>
      </c>
      <c r="AI480" s="1">
        <f t="shared" ref="AI480:AI495" si="366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589</v>
      </c>
      <c r="E481" s="32" t="s">
        <v>1337</v>
      </c>
      <c r="F481" s="32" t="s">
        <v>239</v>
      </c>
      <c r="G481" s="32" t="s">
        <v>178</v>
      </c>
      <c r="H481" s="32" t="s">
        <v>354</v>
      </c>
      <c r="I481" s="31" t="s">
        <v>404</v>
      </c>
      <c r="J481" s="31">
        <v>1</v>
      </c>
      <c r="K481" s="33" t="s">
        <v>713</v>
      </c>
      <c r="L481" s="33" t="s">
        <v>1711</v>
      </c>
      <c r="M481" s="34" t="s">
        <v>1439</v>
      </c>
      <c r="N481" s="34" t="s">
        <v>1748</v>
      </c>
      <c r="O481" s="35">
        <v>1</v>
      </c>
      <c r="P481" s="35"/>
      <c r="Q481" s="36" t="s">
        <v>1911</v>
      </c>
      <c r="S481" s="1">
        <f t="shared" si="309"/>
        <v>1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1356</v>
      </c>
      <c r="G482" s="32" t="s">
        <v>258</v>
      </c>
      <c r="H482" s="32" t="s">
        <v>354</v>
      </c>
      <c r="I482" s="31" t="s">
        <v>1239</v>
      </c>
      <c r="J482" s="31">
        <v>8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1</v>
      </c>
      <c r="AH482" s="1">
        <f t="shared" si="365"/>
        <v>0</v>
      </c>
      <c r="AI482" s="1">
        <f t="shared" si="366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1330</v>
      </c>
      <c r="E483" s="32" t="s">
        <v>156</v>
      </c>
      <c r="F483" s="32" t="s">
        <v>1218</v>
      </c>
      <c r="G483" s="32" t="s">
        <v>218</v>
      </c>
      <c r="H483" s="32" t="s">
        <v>354</v>
      </c>
      <c r="I483" s="31" t="s">
        <v>1239</v>
      </c>
      <c r="J483" s="31">
        <v>99</v>
      </c>
      <c r="K483" s="33" t="s">
        <v>955</v>
      </c>
      <c r="L483" s="33" t="s">
        <v>722</v>
      </c>
      <c r="M483" s="34" t="s">
        <v>732</v>
      </c>
      <c r="N483" s="34" t="s">
        <v>1748</v>
      </c>
      <c r="O483" s="35">
        <v>1</v>
      </c>
      <c r="P483" s="35"/>
      <c r="Q483" s="32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0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1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1250</v>
      </c>
      <c r="G484" s="45" t="s">
        <v>220</v>
      </c>
      <c r="H484" s="45" t="s">
        <v>354</v>
      </c>
      <c r="I484" s="44" t="s">
        <v>1370</v>
      </c>
      <c r="J484" s="44">
        <v>8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09"/>
        <v>0</v>
      </c>
      <c r="T484" s="1">
        <f t="shared" si="310"/>
        <v>0</v>
      </c>
      <c r="U484" s="1">
        <f t="shared" si="311"/>
        <v>0</v>
      </c>
      <c r="V484" s="1">
        <f t="shared" si="312"/>
        <v>0</v>
      </c>
      <c r="W484" s="1">
        <f t="shared" si="313"/>
        <v>0</v>
      </c>
      <c r="X484" s="1">
        <f t="shared" si="314"/>
        <v>0</v>
      </c>
      <c r="Y484" s="1">
        <f t="shared" si="315"/>
        <v>0</v>
      </c>
      <c r="Z484" s="1">
        <f t="shared" si="316"/>
        <v>1</v>
      </c>
      <c r="AA484" s="1">
        <f t="shared" si="317"/>
        <v>0</v>
      </c>
      <c r="AB484" s="1">
        <f t="shared" si="318"/>
        <v>0</v>
      </c>
      <c r="AD484" s="1">
        <f t="shared" si="319"/>
        <v>0</v>
      </c>
      <c r="AE484" s="1">
        <f t="shared" si="320"/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1357</v>
      </c>
      <c r="G485" s="45" t="s">
        <v>39</v>
      </c>
      <c r="H485" s="45" t="s">
        <v>355</v>
      </c>
      <c r="I485" s="44" t="s">
        <v>1249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65" t="s">
        <v>1904</v>
      </c>
      <c r="S485" s="1">
        <f t="shared" ref="S485:S495" si="367">IF(J485=$S$7,1,0)</f>
        <v>0</v>
      </c>
      <c r="T485" s="1">
        <f t="shared" ref="T485:T495" si="368">IF(J485=$T$7,1,0)</f>
        <v>0</v>
      </c>
      <c r="U485" s="1">
        <f t="shared" ref="U485:U495" si="369">IF(J485=$U$7,1,0)</f>
        <v>0</v>
      </c>
      <c r="V485" s="1">
        <f t="shared" ref="V485:V495" si="370">IF(J485=$V$7,1,0)</f>
        <v>0</v>
      </c>
      <c r="W485" s="1">
        <f t="shared" ref="W485:W495" si="371">IF(J485=$W$7,1,0)</f>
        <v>0</v>
      </c>
      <c r="X485" s="1">
        <f t="shared" ref="X485:X495" si="372">IF(J485=$X$7,1,0)</f>
        <v>0</v>
      </c>
      <c r="Y485" s="1">
        <f t="shared" ref="Y485:Y495" si="373">IF(J485=$Y$7,1,0)</f>
        <v>0</v>
      </c>
      <c r="Z485" s="1">
        <f t="shared" ref="Z485:Z495" si="374">IF(J485=$Z$7,1,0)</f>
        <v>0</v>
      </c>
      <c r="AA485" s="1">
        <f t="shared" ref="AA485:AA495" si="375">IF(J485=$AA$7,1,0)</f>
        <v>0</v>
      </c>
      <c r="AB485" s="1">
        <f t="shared" ref="AB485:AB495" si="376">IF(J485=$AB$7,1,0)</f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1248</v>
      </c>
      <c r="E486" s="45" t="s">
        <v>156</v>
      </c>
      <c r="F486" s="45" t="s">
        <v>1523</v>
      </c>
      <c r="G486" s="45" t="s">
        <v>235</v>
      </c>
      <c r="H486" s="45" t="s">
        <v>354</v>
      </c>
      <c r="I486" s="44" t="s">
        <v>1691</v>
      </c>
      <c r="J486" s="44">
        <v>99</v>
      </c>
      <c r="K486" s="46" t="s">
        <v>954</v>
      </c>
      <c r="L486" s="46" t="s">
        <v>722</v>
      </c>
      <c r="M486" s="47" t="s">
        <v>732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0</v>
      </c>
      <c r="AE486" s="1">
        <f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1850</v>
      </c>
      <c r="E487" s="32" t="s">
        <v>1851</v>
      </c>
      <c r="F487" s="32" t="s">
        <v>1852</v>
      </c>
      <c r="G487" s="32" t="s">
        <v>265</v>
      </c>
      <c r="H487" s="32" t="s">
        <v>354</v>
      </c>
      <c r="I487" s="31" t="s">
        <v>1853</v>
      </c>
      <c r="J487" s="31">
        <v>99</v>
      </c>
      <c r="K487" s="33" t="s">
        <v>703</v>
      </c>
      <c r="L487" s="33"/>
      <c r="M487" s="34"/>
      <c r="N487" s="34" t="s">
        <v>1727</v>
      </c>
      <c r="O487" s="35">
        <v>1</v>
      </c>
      <c r="P487" s="35">
        <v>1</v>
      </c>
      <c r="Q487" s="32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>+O487*P487</f>
        <v>1</v>
      </c>
      <c r="AE487" s="1">
        <f>O487*(1-P487)</f>
        <v>0</v>
      </c>
      <c r="AF487" s="1">
        <f t="shared" si="363"/>
        <v>1</v>
      </c>
      <c r="AG487" s="1">
        <f t="shared" si="364"/>
        <v>0</v>
      </c>
      <c r="AH487" s="1">
        <f t="shared" si="365"/>
        <v>1</v>
      </c>
      <c r="AI487" s="1">
        <f t="shared" si="366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1243</v>
      </c>
      <c r="E488" s="45" t="s">
        <v>28</v>
      </c>
      <c r="F488" s="45" t="s">
        <v>1236</v>
      </c>
      <c r="G488" s="45" t="s">
        <v>1237</v>
      </c>
      <c r="H488" s="45" t="s">
        <v>354</v>
      </c>
      <c r="I488" s="44" t="s">
        <v>1238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ref="AD488:AD495" si="377">+O488*P488</f>
        <v>0</v>
      </c>
      <c r="AE488" s="1">
        <f t="shared" ref="AE488:AE495" si="378">O488*(1-P488)</f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1240</v>
      </c>
      <c r="E489" s="45" t="s">
        <v>28</v>
      </c>
      <c r="F489" s="45" t="s">
        <v>1241</v>
      </c>
      <c r="G489" s="45" t="s">
        <v>523</v>
      </c>
      <c r="H489" s="45" t="s">
        <v>354</v>
      </c>
      <c r="I489" s="44" t="s">
        <v>1242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1846</v>
      </c>
      <c r="E490" s="32" t="s">
        <v>1168</v>
      </c>
      <c r="F490" s="32" t="s">
        <v>1847</v>
      </c>
      <c r="G490" s="32"/>
      <c r="H490" s="32" t="s">
        <v>354</v>
      </c>
      <c r="I490" s="31" t="s">
        <v>1848</v>
      </c>
      <c r="J490" s="31">
        <v>6</v>
      </c>
      <c r="K490" s="33" t="s">
        <v>703</v>
      </c>
      <c r="L490" s="33"/>
      <c r="M490" s="34"/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1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1458</v>
      </c>
      <c r="E491" s="45" t="s">
        <v>28</v>
      </c>
      <c r="F491" s="45" t="s">
        <v>1459</v>
      </c>
      <c r="G491" s="45" t="s">
        <v>1460</v>
      </c>
      <c r="H491" s="45" t="s">
        <v>354</v>
      </c>
      <c r="I491" s="44" t="s">
        <v>1461</v>
      </c>
      <c r="J491" s="44">
        <v>99</v>
      </c>
      <c r="K491" s="46" t="s">
        <v>712</v>
      </c>
      <c r="L491" s="46" t="s">
        <v>713</v>
      </c>
      <c r="M491" s="47" t="s">
        <v>731</v>
      </c>
      <c r="N491" s="47" t="s">
        <v>1735</v>
      </c>
      <c r="O491" s="48"/>
      <c r="P491" s="48"/>
      <c r="Q491" s="45" t="s">
        <v>1931</v>
      </c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575</v>
      </c>
      <c r="G492" s="32" t="s">
        <v>235</v>
      </c>
      <c r="H492" s="32" t="s">
        <v>354</v>
      </c>
      <c r="I492" s="31" t="s">
        <v>582</v>
      </c>
      <c r="J492" s="31">
        <v>99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1</v>
      </c>
      <c r="AH492" s="1">
        <f t="shared" si="365"/>
        <v>0</v>
      </c>
      <c r="AI492" s="1">
        <f t="shared" si="366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271</v>
      </c>
      <c r="G493" s="32" t="s">
        <v>180</v>
      </c>
      <c r="H493" s="32" t="s">
        <v>354</v>
      </c>
      <c r="I493" s="31" t="s">
        <v>426</v>
      </c>
      <c r="J493" s="31">
        <v>10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1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272</v>
      </c>
      <c r="G494" s="32" t="s">
        <v>39</v>
      </c>
      <c r="H494" s="32" t="s">
        <v>354</v>
      </c>
      <c r="I494" s="31" t="s">
        <v>427</v>
      </c>
      <c r="J494" s="31">
        <v>5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1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0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541</v>
      </c>
      <c r="F495" s="32" t="s">
        <v>276</v>
      </c>
      <c r="G495" s="32" t="s">
        <v>194</v>
      </c>
      <c r="H495" s="32" t="s">
        <v>354</v>
      </c>
      <c r="I495" s="31" t="s">
        <v>431</v>
      </c>
      <c r="J495" s="31">
        <v>9</v>
      </c>
      <c r="K495" s="33" t="s">
        <v>712</v>
      </c>
      <c r="L495" s="33" t="s">
        <v>729</v>
      </c>
      <c r="M495" s="34" t="s">
        <v>1440</v>
      </c>
      <c r="N495" s="34" t="s">
        <v>1748</v>
      </c>
      <c r="O495" s="35">
        <v>1</v>
      </c>
      <c r="P495" s="35"/>
      <c r="Q495" s="32"/>
      <c r="S495" s="1">
        <f t="shared" si="367"/>
        <v>0</v>
      </c>
      <c r="T495" s="1">
        <f t="shared" si="368"/>
        <v>0</v>
      </c>
      <c r="U495" s="1">
        <f t="shared" si="369"/>
        <v>0</v>
      </c>
      <c r="V495" s="1">
        <f t="shared" si="370"/>
        <v>0</v>
      </c>
      <c r="W495" s="1">
        <f t="shared" si="371"/>
        <v>0</v>
      </c>
      <c r="X495" s="1">
        <f t="shared" si="372"/>
        <v>0</v>
      </c>
      <c r="Y495" s="1">
        <f t="shared" si="373"/>
        <v>0</v>
      </c>
      <c r="Z495" s="1">
        <f t="shared" si="374"/>
        <v>0</v>
      </c>
      <c r="AA495" s="1">
        <f t="shared" si="375"/>
        <v>1</v>
      </c>
      <c r="AB495" s="1">
        <f t="shared" si="376"/>
        <v>0</v>
      </c>
      <c r="AD495" s="1">
        <f t="shared" si="377"/>
        <v>0</v>
      </c>
      <c r="AE495" s="1">
        <f t="shared" si="378"/>
        <v>1</v>
      </c>
      <c r="AF495" s="1">
        <f t="shared" si="363"/>
        <v>0</v>
      </c>
      <c r="AG495" s="1">
        <f t="shared" si="364"/>
        <v>0</v>
      </c>
      <c r="AH495" s="1">
        <f t="shared" si="365"/>
        <v>0</v>
      </c>
      <c r="AI495" s="1">
        <f t="shared" si="366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1561</v>
      </c>
      <c r="E496" s="45" t="s">
        <v>28</v>
      </c>
      <c r="F496" s="45" t="s">
        <v>1562</v>
      </c>
      <c r="G496" s="45" t="s">
        <v>238</v>
      </c>
      <c r="H496" s="45" t="s">
        <v>354</v>
      </c>
      <c r="I496" s="44" t="s">
        <v>1695</v>
      </c>
      <c r="J496" s="44">
        <v>4</v>
      </c>
      <c r="K496" s="46" t="s">
        <v>713</v>
      </c>
      <c r="L496" s="46" t="s">
        <v>713</v>
      </c>
      <c r="M496" s="47" t="s">
        <v>731</v>
      </c>
      <c r="N496" s="47" t="s">
        <v>1735</v>
      </c>
      <c r="O496" s="48"/>
      <c r="P496" s="48"/>
      <c r="Q496" s="45"/>
      <c r="S496" s="1">
        <f t="shared" ref="S496:S497" si="379">IF(J496=$S$7,1,0)</f>
        <v>0</v>
      </c>
      <c r="T496" s="1">
        <f t="shared" ref="T496:T497" si="380">IF(J496=$T$7,1,0)</f>
        <v>0</v>
      </c>
      <c r="U496" s="1">
        <f t="shared" ref="U496:U497" si="381">IF(J496=$U$7,1,0)</f>
        <v>0</v>
      </c>
      <c r="V496" s="1">
        <f t="shared" ref="V496:V497" si="382">IF(J496=$V$7,1,0)</f>
        <v>1</v>
      </c>
      <c r="W496" s="1">
        <f t="shared" ref="W496:W497" si="383">IF(J496=$W$7,1,0)</f>
        <v>0</v>
      </c>
      <c r="X496" s="1">
        <f t="shared" ref="X496:X497" si="384">IF(J496=$X$7,1,0)</f>
        <v>0</v>
      </c>
      <c r="Y496" s="1">
        <f t="shared" ref="Y496:Y497" si="385">IF(J496=$Y$7,1,0)</f>
        <v>0</v>
      </c>
      <c r="Z496" s="1">
        <f t="shared" ref="Z496:Z497" si="386">IF(J496=$Z$7,1,0)</f>
        <v>0</v>
      </c>
      <c r="AA496" s="1">
        <f t="shared" ref="AA496:AA497" si="387">IF(J496=$AA$7,1,0)</f>
        <v>0</v>
      </c>
      <c r="AB496" s="1">
        <f t="shared" ref="AB496:AB497" si="388">IF(J496=$AB$7,1,0)</f>
        <v>0</v>
      </c>
      <c r="AD496" s="1">
        <f t="shared" ref="AD496:AD497" si="389">+O496*P496</f>
        <v>0</v>
      </c>
      <c r="AE496" s="1">
        <f t="shared" ref="AE496:AE497" si="390">O496*(1-P496)</f>
        <v>0</v>
      </c>
      <c r="AF496" s="1">
        <f t="shared" ref="AF496:AF497" si="391">+O496*P496*(1-A496)</f>
        <v>0</v>
      </c>
      <c r="AG496" s="1">
        <f t="shared" ref="AG496:AG497" si="392">O496*(1-P496)*(1-A496)</f>
        <v>0</v>
      </c>
      <c r="AH496" s="1">
        <f t="shared" ref="AH496:AH497" si="393">+P496*(1-A496)</f>
        <v>0</v>
      </c>
      <c r="AI496" s="1">
        <f t="shared" ref="AI496:AI497" si="394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236</v>
      </c>
      <c r="G497" s="45" t="s">
        <v>200</v>
      </c>
      <c r="H497" s="45" t="s">
        <v>354</v>
      </c>
      <c r="I497" s="44" t="s">
        <v>402</v>
      </c>
      <c r="J497" s="44">
        <v>2</v>
      </c>
      <c r="K497" s="46" t="s">
        <v>713</v>
      </c>
      <c r="L497" s="46" t="s">
        <v>722</v>
      </c>
      <c r="M497" s="47" t="s">
        <v>735</v>
      </c>
      <c r="N497" s="47" t="s">
        <v>1735</v>
      </c>
      <c r="O497" s="48"/>
      <c r="P497" s="48"/>
      <c r="Q497" s="45"/>
      <c r="S497" s="1">
        <f t="shared" si="379"/>
        <v>0</v>
      </c>
      <c r="T497" s="1">
        <f t="shared" si="380"/>
        <v>1</v>
      </c>
      <c r="U497" s="1">
        <f t="shared" si="381"/>
        <v>0</v>
      </c>
      <c r="V497" s="1">
        <f t="shared" si="382"/>
        <v>0</v>
      </c>
      <c r="W497" s="1">
        <f t="shared" si="383"/>
        <v>0</v>
      </c>
      <c r="X497" s="1">
        <f t="shared" si="384"/>
        <v>0</v>
      </c>
      <c r="Y497" s="1">
        <f t="shared" si="385"/>
        <v>0</v>
      </c>
      <c r="Z497" s="1">
        <f t="shared" si="386"/>
        <v>0</v>
      </c>
      <c r="AA497" s="1">
        <f t="shared" si="387"/>
        <v>0</v>
      </c>
      <c r="AB497" s="1">
        <f t="shared" si="388"/>
        <v>0</v>
      </c>
      <c r="AD497" s="1">
        <f t="shared" si="389"/>
        <v>0</v>
      </c>
      <c r="AE497" s="1">
        <f t="shared" si="390"/>
        <v>0</v>
      </c>
      <c r="AF497" s="1">
        <f t="shared" si="391"/>
        <v>0</v>
      </c>
      <c r="AG497" s="1">
        <f t="shared" si="392"/>
        <v>0</v>
      </c>
      <c r="AH497" s="1">
        <f t="shared" si="393"/>
        <v>0</v>
      </c>
      <c r="AI497" s="1">
        <f t="shared" si="394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2026-07-26T14:15:24Z</dcterms:modified>
</cp:coreProperties>
</file>