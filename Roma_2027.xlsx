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8F5C3DF-232C-4998-8E2D-5E661C420C1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golose'!$A$7:$Q$512</definedName>
    <definedName name="_xlnm.Print_Area" localSheetId="0">'Tavole e pause golose'!$D$7:$I$190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82" i="6" l="1"/>
  <c r="AE382" i="6"/>
  <c r="AF382" i="6"/>
  <c r="AG382" i="6"/>
  <c r="AH382" i="6"/>
  <c r="AI382" i="6"/>
  <c r="AD383" i="6"/>
  <c r="AE383" i="6"/>
  <c r="AF383" i="6"/>
  <c r="AG383" i="6"/>
  <c r="AH383" i="6"/>
  <c r="AI383" i="6"/>
  <c r="AD384" i="6"/>
  <c r="AE384" i="6"/>
  <c r="AF384" i="6"/>
  <c r="AG384" i="6"/>
  <c r="AH384" i="6"/>
  <c r="AI384" i="6"/>
  <c r="AD385" i="6"/>
  <c r="AE385" i="6"/>
  <c r="AF385" i="6"/>
  <c r="AG385" i="6"/>
  <c r="AH385" i="6"/>
  <c r="AI385" i="6"/>
  <c r="S382" i="6"/>
  <c r="T382" i="6"/>
  <c r="U382" i="6"/>
  <c r="V382" i="6"/>
  <c r="W382" i="6"/>
  <c r="X382" i="6"/>
  <c r="Y382" i="6"/>
  <c r="Z382" i="6"/>
  <c r="AA382" i="6"/>
  <c r="AB38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S453" i="6"/>
  <c r="S230" i="6"/>
  <c r="S231" i="6"/>
  <c r="S232" i="6"/>
  <c r="AD231" i="6"/>
  <c r="AE231" i="6"/>
  <c r="AF231" i="6"/>
  <c r="AG231" i="6"/>
  <c r="AH231" i="6"/>
  <c r="AI231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AD230" i="6"/>
  <c r="AE230" i="6"/>
  <c r="AF230" i="6"/>
  <c r="AG230" i="6"/>
  <c r="AH230" i="6"/>
  <c r="AI230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3" i="6"/>
  <c r="S384" i="6"/>
  <c r="S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501" i="6"/>
  <c r="AD501" i="6"/>
  <c r="AE501" i="6"/>
  <c r="AF501" i="6"/>
  <c r="AG501" i="6"/>
  <c r="AH501" i="6"/>
  <c r="AI501" i="6"/>
  <c r="S502" i="6"/>
  <c r="AD502" i="6"/>
  <c r="AE502" i="6"/>
  <c r="AF502" i="6"/>
  <c r="AG502" i="6"/>
  <c r="AH502" i="6"/>
  <c r="AI502" i="6"/>
  <c r="S503" i="6"/>
  <c r="AD503" i="6"/>
  <c r="AE503" i="6"/>
  <c r="AF503" i="6"/>
  <c r="AG503" i="6"/>
  <c r="AH503" i="6"/>
  <c r="AI503" i="6"/>
  <c r="S504" i="6"/>
  <c r="AD504" i="6"/>
  <c r="AE504" i="6"/>
  <c r="AF504" i="6"/>
  <c r="AG504" i="6"/>
  <c r="AH504" i="6"/>
  <c r="AI504" i="6"/>
  <c r="S505" i="6"/>
  <c r="AD505" i="6"/>
  <c r="AE505" i="6"/>
  <c r="AF505" i="6"/>
  <c r="AG505" i="6"/>
  <c r="AH505" i="6"/>
  <c r="AI505" i="6"/>
  <c r="S506" i="6"/>
  <c r="AD506" i="6"/>
  <c r="AE506" i="6"/>
  <c r="AF506" i="6"/>
  <c r="AG506" i="6"/>
  <c r="AH506" i="6"/>
  <c r="AI506" i="6"/>
  <c r="S507" i="6"/>
  <c r="AD507" i="6"/>
  <c r="AE507" i="6"/>
  <c r="AF507" i="6"/>
  <c r="AG507" i="6"/>
  <c r="AH507" i="6"/>
  <c r="AI507" i="6"/>
  <c r="S508" i="6"/>
  <c r="AD508" i="6"/>
  <c r="AE508" i="6"/>
  <c r="AF508" i="6"/>
  <c r="AG508" i="6"/>
  <c r="AH508" i="6"/>
  <c r="AI508" i="6"/>
  <c r="S509" i="6"/>
  <c r="AD509" i="6"/>
  <c r="AE509" i="6"/>
  <c r="AF509" i="6"/>
  <c r="AG509" i="6"/>
  <c r="AH509" i="6"/>
  <c r="AI509" i="6"/>
  <c r="S510" i="6"/>
  <c r="AD510" i="6"/>
  <c r="AE510" i="6"/>
  <c r="AF510" i="6"/>
  <c r="AG510" i="6"/>
  <c r="AH510" i="6"/>
  <c r="AI510" i="6"/>
  <c r="S511" i="6"/>
  <c r="AD511" i="6"/>
  <c r="AE511" i="6"/>
  <c r="AF511" i="6"/>
  <c r="AG511" i="6"/>
  <c r="AH511" i="6"/>
  <c r="AI511" i="6"/>
  <c r="S512" i="6"/>
  <c r="AD512" i="6"/>
  <c r="AE512" i="6"/>
  <c r="AF512" i="6"/>
  <c r="AG512" i="6"/>
  <c r="AH512" i="6"/>
  <c r="AI512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53" i="6" s="1"/>
  <c r="T230" i="6" l="1"/>
  <c r="T232" i="6"/>
  <c r="T231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4" i="6"/>
  <c r="T132" i="6"/>
  <c r="T142" i="6"/>
  <c r="T135" i="6"/>
  <c r="T121" i="6"/>
  <c r="T129" i="6"/>
  <c r="T141" i="6"/>
  <c r="T126" i="6"/>
  <c r="T140" i="6"/>
  <c r="T134" i="6"/>
  <c r="T123" i="6"/>
  <c r="T131" i="6"/>
  <c r="T139" i="6"/>
  <c r="T120" i="6"/>
  <c r="T128" i="6"/>
  <c r="T138" i="6"/>
  <c r="T125" i="6"/>
  <c r="T133" i="6"/>
  <c r="T137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127" i="6"/>
  <c r="T136" i="6"/>
  <c r="T143" i="6"/>
  <c r="T223" i="6"/>
  <c r="T240" i="6"/>
  <c r="T222" i="6"/>
  <c r="T239" i="6"/>
  <c r="T122" i="6"/>
  <c r="T218" i="6"/>
  <c r="T221" i="6"/>
  <c r="T229" i="6"/>
  <c r="T238" i="6"/>
  <c r="T228" i="6"/>
  <c r="T237" i="6"/>
  <c r="T220" i="6"/>
  <c r="T227" i="6"/>
  <c r="T236" i="6"/>
  <c r="T144" i="6"/>
  <c r="T226" i="6"/>
  <c r="T235" i="6"/>
  <c r="T225" i="6"/>
  <c r="T234" i="6"/>
  <c r="T219" i="6"/>
  <c r="T224" i="6"/>
  <c r="T243" i="6"/>
  <c r="T259" i="6"/>
  <c r="T275" i="6"/>
  <c r="T291" i="6"/>
  <c r="T252" i="6"/>
  <c r="T268" i="6"/>
  <c r="T284" i="6"/>
  <c r="T300" i="6"/>
  <c r="T245" i="6"/>
  <c r="T261" i="6"/>
  <c r="T277" i="6"/>
  <c r="T293" i="6"/>
  <c r="T254" i="6"/>
  <c r="T270" i="6"/>
  <c r="T286" i="6"/>
  <c r="T302" i="6"/>
  <c r="T307" i="6"/>
  <c r="T311" i="6"/>
  <c r="T315" i="6"/>
  <c r="T319" i="6"/>
  <c r="T323" i="6"/>
  <c r="T247" i="6"/>
  <c r="T263" i="6"/>
  <c r="T279" i="6"/>
  <c r="T295" i="6"/>
  <c r="T256" i="6"/>
  <c r="T272" i="6"/>
  <c r="T288" i="6"/>
  <c r="T304" i="6"/>
  <c r="T249" i="6"/>
  <c r="T265" i="6"/>
  <c r="T281" i="6"/>
  <c r="T297" i="6"/>
  <c r="T242" i="6"/>
  <c r="T258" i="6"/>
  <c r="T274" i="6"/>
  <c r="T290" i="6"/>
  <c r="T306" i="6"/>
  <c r="T310" i="6"/>
  <c r="T314" i="6"/>
  <c r="T318" i="6"/>
  <c r="T322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3" i="6"/>
  <c r="T384" i="6"/>
  <c r="T385" i="6"/>
  <c r="T386" i="6"/>
  <c r="T130" i="6"/>
  <c r="T251" i="6"/>
  <c r="T267" i="6"/>
  <c r="T283" i="6"/>
  <c r="T299" i="6"/>
  <c r="T244" i="6"/>
  <c r="T260" i="6"/>
  <c r="T276" i="6"/>
  <c r="T292" i="6"/>
  <c r="T253" i="6"/>
  <c r="T269" i="6"/>
  <c r="T285" i="6"/>
  <c r="T301" i="6"/>
  <c r="T246" i="6"/>
  <c r="T262" i="6"/>
  <c r="T278" i="6"/>
  <c r="T294" i="6"/>
  <c r="T309" i="6"/>
  <c r="T313" i="6"/>
  <c r="T317" i="6"/>
  <c r="T321" i="6"/>
  <c r="T325" i="6"/>
  <c r="T255" i="6"/>
  <c r="T271" i="6"/>
  <c r="T287" i="6"/>
  <c r="T303" i="6"/>
  <c r="T248" i="6"/>
  <c r="T264" i="6"/>
  <c r="T280" i="6"/>
  <c r="T296" i="6"/>
  <c r="T316" i="6"/>
  <c r="T392" i="6"/>
  <c r="T266" i="6"/>
  <c r="T312" i="6"/>
  <c r="T233" i="6"/>
  <c r="T308" i="6"/>
  <c r="T391" i="6"/>
  <c r="T273" i="6"/>
  <c r="T390" i="6"/>
  <c r="T282" i="6"/>
  <c r="T389" i="6"/>
  <c r="T289" i="6"/>
  <c r="T388" i="6"/>
  <c r="T298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395" i="6"/>
  <c r="T241" i="6"/>
  <c r="T305" i="6"/>
  <c r="T387" i="6"/>
  <c r="T394" i="6"/>
  <c r="T250" i="6"/>
  <c r="T324" i="6"/>
  <c r="T456" i="6"/>
  <c r="T393" i="6"/>
  <c r="T461" i="6"/>
  <c r="T449" i="6"/>
  <c r="T466" i="6"/>
  <c r="T320" i="6"/>
  <c r="T455" i="6"/>
  <c r="T460" i="6"/>
  <c r="T471" i="6"/>
  <c r="T476" i="6"/>
  <c r="T478" i="6"/>
  <c r="T482" i="6"/>
  <c r="T485" i="6"/>
  <c r="T488" i="6"/>
  <c r="T492" i="6"/>
  <c r="T494" i="6"/>
  <c r="T497" i="6"/>
  <c r="T501" i="6"/>
  <c r="T505" i="6"/>
  <c r="T507" i="6"/>
  <c r="T510" i="6"/>
  <c r="T448" i="6"/>
  <c r="T465" i="6"/>
  <c r="T473" i="6"/>
  <c r="T479" i="6"/>
  <c r="T484" i="6"/>
  <c r="T487" i="6"/>
  <c r="T491" i="6"/>
  <c r="T496" i="6"/>
  <c r="T499" i="6"/>
  <c r="T503" i="6"/>
  <c r="T506" i="6"/>
  <c r="T509" i="6"/>
  <c r="T511" i="6"/>
  <c r="T454" i="6"/>
  <c r="T472" i="6"/>
  <c r="T475" i="6"/>
  <c r="T477" i="6"/>
  <c r="T480" i="6"/>
  <c r="T483" i="6"/>
  <c r="T486" i="6"/>
  <c r="T489" i="6"/>
  <c r="T493" i="6"/>
  <c r="T495" i="6"/>
  <c r="T498" i="6"/>
  <c r="T502" i="6"/>
  <c r="T504" i="6"/>
  <c r="T508" i="6"/>
  <c r="T512" i="6"/>
  <c r="T459" i="6"/>
  <c r="T470" i="6"/>
  <c r="T474" i="6"/>
  <c r="T481" i="6"/>
  <c r="T490" i="6"/>
  <c r="T500" i="6"/>
  <c r="T467" i="6"/>
  <c r="T447" i="6"/>
  <c r="T464" i="6"/>
  <c r="T469" i="6"/>
  <c r="T257" i="6"/>
  <c r="T452" i="6"/>
  <c r="T458" i="6"/>
  <c r="T450" i="6"/>
  <c r="T446" i="6"/>
  <c r="T463" i="6"/>
  <c r="T451" i="6"/>
  <c r="T468" i="6"/>
  <c r="T457" i="6"/>
  <c r="T462" i="6"/>
  <c r="T13" i="6"/>
  <c r="T14" i="6"/>
  <c r="T9" i="6"/>
  <c r="T11" i="6"/>
  <c r="U7" i="6"/>
  <c r="U453" i="6" s="1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230" i="6" l="1"/>
  <c r="U232" i="6"/>
  <c r="U231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3" i="6"/>
  <c r="U119" i="6"/>
  <c r="U127" i="6"/>
  <c r="U136" i="6"/>
  <c r="U143" i="6"/>
  <c r="U112" i="6"/>
  <c r="U105" i="6"/>
  <c r="U124" i="6"/>
  <c r="U132" i="6"/>
  <c r="U142" i="6"/>
  <c r="U114" i="6"/>
  <c r="U135" i="6"/>
  <c r="U107" i="6"/>
  <c r="U121" i="6"/>
  <c r="U129" i="6"/>
  <c r="U141" i="6"/>
  <c r="U100" i="6"/>
  <c r="U116" i="6"/>
  <c r="U109" i="6"/>
  <c r="U126" i="6"/>
  <c r="U140" i="6"/>
  <c r="U102" i="6"/>
  <c r="U118" i="6"/>
  <c r="U134" i="6"/>
  <c r="U111" i="6"/>
  <c r="U123" i="6"/>
  <c r="U131" i="6"/>
  <c r="U139" i="6"/>
  <c r="U104" i="6"/>
  <c r="U113" i="6"/>
  <c r="U120" i="6"/>
  <c r="U128" i="6"/>
  <c r="U138" i="6"/>
  <c r="U106" i="6"/>
  <c r="U115" i="6"/>
  <c r="U125" i="6"/>
  <c r="U133" i="6"/>
  <c r="U110" i="6"/>
  <c r="U159" i="6"/>
  <c r="U175" i="6"/>
  <c r="U191" i="6"/>
  <c r="U207" i="6"/>
  <c r="U152" i="6"/>
  <c r="U168" i="6"/>
  <c r="U184" i="6"/>
  <c r="U200" i="6"/>
  <c r="U216" i="6"/>
  <c r="U223" i="6"/>
  <c r="U240" i="6"/>
  <c r="U145" i="6"/>
  <c r="U161" i="6"/>
  <c r="U177" i="6"/>
  <c r="U193" i="6"/>
  <c r="U209" i="6"/>
  <c r="U137" i="6"/>
  <c r="U154" i="6"/>
  <c r="U170" i="6"/>
  <c r="U186" i="6"/>
  <c r="U202" i="6"/>
  <c r="U222" i="6"/>
  <c r="U239" i="6"/>
  <c r="U122" i="6"/>
  <c r="U147" i="6"/>
  <c r="U163" i="6"/>
  <c r="U179" i="6"/>
  <c r="U195" i="6"/>
  <c r="U211" i="6"/>
  <c r="U218" i="6"/>
  <c r="U156" i="6"/>
  <c r="U172" i="6"/>
  <c r="U188" i="6"/>
  <c r="U204" i="6"/>
  <c r="U221" i="6"/>
  <c r="U229" i="6"/>
  <c r="U238" i="6"/>
  <c r="U149" i="6"/>
  <c r="U165" i="6"/>
  <c r="U181" i="6"/>
  <c r="U197" i="6"/>
  <c r="U213" i="6"/>
  <c r="U158" i="6"/>
  <c r="U174" i="6"/>
  <c r="U190" i="6"/>
  <c r="U206" i="6"/>
  <c r="U228" i="6"/>
  <c r="U237" i="6"/>
  <c r="U151" i="6"/>
  <c r="U167" i="6"/>
  <c r="U183" i="6"/>
  <c r="U199" i="6"/>
  <c r="U215" i="6"/>
  <c r="U160" i="6"/>
  <c r="U176" i="6"/>
  <c r="U192" i="6"/>
  <c r="U208" i="6"/>
  <c r="U220" i="6"/>
  <c r="U227" i="6"/>
  <c r="U236" i="6"/>
  <c r="U144" i="6"/>
  <c r="U153" i="6"/>
  <c r="U169" i="6"/>
  <c r="U185" i="6"/>
  <c r="U201" i="6"/>
  <c r="U217" i="6"/>
  <c r="U101" i="6"/>
  <c r="U146" i="6"/>
  <c r="U162" i="6"/>
  <c r="U178" i="6"/>
  <c r="U194" i="6"/>
  <c r="U210" i="6"/>
  <c r="U226" i="6"/>
  <c r="U235" i="6"/>
  <c r="U155" i="6"/>
  <c r="U171" i="6"/>
  <c r="U187" i="6"/>
  <c r="U203" i="6"/>
  <c r="U108" i="6"/>
  <c r="U148" i="6"/>
  <c r="U164" i="6"/>
  <c r="U180" i="6"/>
  <c r="U196" i="6"/>
  <c r="U212" i="6"/>
  <c r="U225" i="6"/>
  <c r="U234" i="6"/>
  <c r="U233" i="6"/>
  <c r="U250" i="6"/>
  <c r="U266" i="6"/>
  <c r="U282" i="6"/>
  <c r="U298" i="6"/>
  <c r="U308" i="6"/>
  <c r="U312" i="6"/>
  <c r="U316" i="6"/>
  <c r="U320" i="6"/>
  <c r="U324" i="6"/>
  <c r="U189" i="6"/>
  <c r="U224" i="6"/>
  <c r="U243" i="6"/>
  <c r="U259" i="6"/>
  <c r="U275" i="6"/>
  <c r="U291" i="6"/>
  <c r="U252" i="6"/>
  <c r="U268" i="6"/>
  <c r="U284" i="6"/>
  <c r="U300" i="6"/>
  <c r="U198" i="6"/>
  <c r="U245" i="6"/>
  <c r="U261" i="6"/>
  <c r="U277" i="6"/>
  <c r="U293" i="6"/>
  <c r="U254" i="6"/>
  <c r="U270" i="6"/>
  <c r="U286" i="6"/>
  <c r="U302" i="6"/>
  <c r="U307" i="6"/>
  <c r="U311" i="6"/>
  <c r="U315" i="6"/>
  <c r="U319" i="6"/>
  <c r="U323" i="6"/>
  <c r="U205" i="6"/>
  <c r="U247" i="6"/>
  <c r="U263" i="6"/>
  <c r="U279" i="6"/>
  <c r="U295" i="6"/>
  <c r="U256" i="6"/>
  <c r="U272" i="6"/>
  <c r="U288" i="6"/>
  <c r="U304" i="6"/>
  <c r="U150" i="6"/>
  <c r="U214" i="6"/>
  <c r="U249" i="6"/>
  <c r="U265" i="6"/>
  <c r="U281" i="6"/>
  <c r="U297" i="6"/>
  <c r="U242" i="6"/>
  <c r="U258" i="6"/>
  <c r="U274" i="6"/>
  <c r="U290" i="6"/>
  <c r="U306" i="6"/>
  <c r="U310" i="6"/>
  <c r="U314" i="6"/>
  <c r="U318" i="6"/>
  <c r="U322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352" i="6"/>
  <c r="U353" i="6"/>
  <c r="U354" i="6"/>
  <c r="U355" i="6"/>
  <c r="U356" i="6"/>
  <c r="U357" i="6"/>
  <c r="U358" i="6"/>
  <c r="U359" i="6"/>
  <c r="U360" i="6"/>
  <c r="U361" i="6"/>
  <c r="U362" i="6"/>
  <c r="U363" i="6"/>
  <c r="U364" i="6"/>
  <c r="U365" i="6"/>
  <c r="U366" i="6"/>
  <c r="U367" i="6"/>
  <c r="U368" i="6"/>
  <c r="U369" i="6"/>
  <c r="U370" i="6"/>
  <c r="U371" i="6"/>
  <c r="U372" i="6"/>
  <c r="U373" i="6"/>
  <c r="U374" i="6"/>
  <c r="U375" i="6"/>
  <c r="U376" i="6"/>
  <c r="U377" i="6"/>
  <c r="U378" i="6"/>
  <c r="U379" i="6"/>
  <c r="U380" i="6"/>
  <c r="U381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130" i="6"/>
  <c r="U157" i="6"/>
  <c r="U251" i="6"/>
  <c r="U267" i="6"/>
  <c r="U283" i="6"/>
  <c r="U299" i="6"/>
  <c r="U244" i="6"/>
  <c r="U260" i="6"/>
  <c r="U276" i="6"/>
  <c r="U292" i="6"/>
  <c r="U166" i="6"/>
  <c r="U219" i="6"/>
  <c r="U253" i="6"/>
  <c r="U269" i="6"/>
  <c r="U285" i="6"/>
  <c r="U301" i="6"/>
  <c r="U117" i="6"/>
  <c r="U246" i="6"/>
  <c r="U262" i="6"/>
  <c r="U278" i="6"/>
  <c r="U294" i="6"/>
  <c r="U309" i="6"/>
  <c r="U313" i="6"/>
  <c r="U317" i="6"/>
  <c r="U321" i="6"/>
  <c r="U325" i="6"/>
  <c r="U173" i="6"/>
  <c r="U255" i="6"/>
  <c r="U271" i="6"/>
  <c r="U287" i="6"/>
  <c r="U303" i="6"/>
  <c r="U257" i="6"/>
  <c r="U264" i="6"/>
  <c r="U182" i="6"/>
  <c r="U273" i="6"/>
  <c r="U280" i="6"/>
  <c r="U289" i="6"/>
  <c r="U296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395" i="6"/>
  <c r="U241" i="6"/>
  <c r="U305" i="6"/>
  <c r="U445" i="6"/>
  <c r="U450" i="6"/>
  <c r="U467" i="6"/>
  <c r="U456" i="6"/>
  <c r="U461" i="6"/>
  <c r="U449" i="6"/>
  <c r="U466" i="6"/>
  <c r="U462" i="6"/>
  <c r="U441" i="6"/>
  <c r="U455" i="6"/>
  <c r="U444" i="6"/>
  <c r="U460" i="6"/>
  <c r="U448" i="6"/>
  <c r="U465" i="6"/>
  <c r="U454" i="6"/>
  <c r="U45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5" i="6"/>
  <c r="U486" i="6"/>
  <c r="U487" i="6"/>
  <c r="U488" i="6"/>
  <c r="U489" i="6"/>
  <c r="U490" i="6"/>
  <c r="U491" i="6"/>
  <c r="U492" i="6"/>
  <c r="U493" i="6"/>
  <c r="U494" i="6"/>
  <c r="U495" i="6"/>
  <c r="U496" i="6"/>
  <c r="U497" i="6"/>
  <c r="U498" i="6"/>
  <c r="U499" i="6"/>
  <c r="U500" i="6"/>
  <c r="U501" i="6"/>
  <c r="U502" i="6"/>
  <c r="U503" i="6"/>
  <c r="U504" i="6"/>
  <c r="U505" i="6"/>
  <c r="U506" i="6"/>
  <c r="U507" i="6"/>
  <c r="U508" i="6"/>
  <c r="U509" i="6"/>
  <c r="U510" i="6"/>
  <c r="U511" i="6"/>
  <c r="U512" i="6"/>
  <c r="U248" i="6"/>
  <c r="U447" i="6"/>
  <c r="U464" i="6"/>
  <c r="U443" i="6"/>
  <c r="U452" i="6"/>
  <c r="U469" i="6"/>
  <c r="U442" i="6"/>
  <c r="U458" i="6"/>
  <c r="U446" i="6"/>
  <c r="U463" i="6"/>
  <c r="U451" i="6"/>
  <c r="U468" i="6"/>
  <c r="U457" i="6"/>
  <c r="U13" i="6"/>
  <c r="U14" i="6"/>
  <c r="V7" i="6"/>
  <c r="V453" i="6" s="1"/>
  <c r="U9" i="6"/>
  <c r="U11" i="6"/>
  <c r="U10" i="6"/>
  <c r="U8" i="6"/>
  <c r="U12" i="6"/>
  <c r="F5" i="6"/>
  <c r="G5" i="6"/>
  <c r="E5" i="6"/>
  <c r="H4" i="6"/>
  <c r="H3" i="6"/>
  <c r="T5" i="6"/>
  <c r="V230" i="6" l="1"/>
  <c r="V232" i="6"/>
  <c r="V231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10" i="6"/>
  <c r="V103" i="6"/>
  <c r="V119" i="6"/>
  <c r="V127" i="6"/>
  <c r="V136" i="6"/>
  <c r="V143" i="6"/>
  <c r="V112" i="6"/>
  <c r="V105" i="6"/>
  <c r="V124" i="6"/>
  <c r="V132" i="6"/>
  <c r="V142" i="6"/>
  <c r="V114" i="6"/>
  <c r="V135" i="6"/>
  <c r="V107" i="6"/>
  <c r="V121" i="6"/>
  <c r="V129" i="6"/>
  <c r="V141" i="6"/>
  <c r="V100" i="6"/>
  <c r="V116" i="6"/>
  <c r="V109" i="6"/>
  <c r="V126" i="6"/>
  <c r="V140" i="6"/>
  <c r="V102" i="6"/>
  <c r="V118" i="6"/>
  <c r="V134" i="6"/>
  <c r="V111" i="6"/>
  <c r="V123" i="6"/>
  <c r="V131" i="6"/>
  <c r="V139" i="6"/>
  <c r="V104" i="6"/>
  <c r="V113" i="6"/>
  <c r="V120" i="6"/>
  <c r="V128" i="6"/>
  <c r="V138" i="6"/>
  <c r="V106" i="6"/>
  <c r="V101" i="6"/>
  <c r="V117" i="6"/>
  <c r="V122" i="6"/>
  <c r="V130" i="6"/>
  <c r="V144" i="6"/>
  <c r="V115" i="6"/>
  <c r="V150" i="6"/>
  <c r="V166" i="6"/>
  <c r="V182" i="6"/>
  <c r="V198" i="6"/>
  <c r="V214" i="6"/>
  <c r="V224" i="6"/>
  <c r="V233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88" i="6"/>
  <c r="V289" i="6"/>
  <c r="V290" i="6"/>
  <c r="V291" i="6"/>
  <c r="V292" i="6"/>
  <c r="V293" i="6"/>
  <c r="V294" i="6"/>
  <c r="V295" i="6"/>
  <c r="V296" i="6"/>
  <c r="V297" i="6"/>
  <c r="V298" i="6"/>
  <c r="V299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159" i="6"/>
  <c r="V175" i="6"/>
  <c r="V191" i="6"/>
  <c r="V207" i="6"/>
  <c r="V152" i="6"/>
  <c r="V168" i="6"/>
  <c r="V184" i="6"/>
  <c r="V200" i="6"/>
  <c r="V216" i="6"/>
  <c r="V223" i="6"/>
  <c r="V240" i="6"/>
  <c r="V145" i="6"/>
  <c r="V161" i="6"/>
  <c r="V177" i="6"/>
  <c r="V193" i="6"/>
  <c r="V209" i="6"/>
  <c r="V137" i="6"/>
  <c r="V154" i="6"/>
  <c r="V170" i="6"/>
  <c r="V186" i="6"/>
  <c r="V202" i="6"/>
  <c r="V222" i="6"/>
  <c r="V239" i="6"/>
  <c r="V133" i="6"/>
  <c r="V147" i="6"/>
  <c r="V163" i="6"/>
  <c r="V179" i="6"/>
  <c r="V195" i="6"/>
  <c r="V211" i="6"/>
  <c r="V218" i="6"/>
  <c r="V156" i="6"/>
  <c r="V172" i="6"/>
  <c r="V188" i="6"/>
  <c r="V204" i="6"/>
  <c r="V221" i="6"/>
  <c r="V229" i="6"/>
  <c r="V238" i="6"/>
  <c r="V149" i="6"/>
  <c r="V165" i="6"/>
  <c r="V181" i="6"/>
  <c r="V197" i="6"/>
  <c r="V213" i="6"/>
  <c r="V158" i="6"/>
  <c r="V174" i="6"/>
  <c r="V190" i="6"/>
  <c r="V206" i="6"/>
  <c r="V228" i="6"/>
  <c r="V237" i="6"/>
  <c r="V151" i="6"/>
  <c r="V167" i="6"/>
  <c r="V183" i="6"/>
  <c r="V199" i="6"/>
  <c r="V215" i="6"/>
  <c r="V125" i="6"/>
  <c r="V160" i="6"/>
  <c r="V176" i="6"/>
  <c r="V192" i="6"/>
  <c r="V208" i="6"/>
  <c r="V220" i="6"/>
  <c r="V227" i="6"/>
  <c r="V236" i="6"/>
  <c r="V153" i="6"/>
  <c r="V169" i="6"/>
  <c r="V185" i="6"/>
  <c r="V201" i="6"/>
  <c r="V217" i="6"/>
  <c r="V146" i="6"/>
  <c r="V162" i="6"/>
  <c r="V178" i="6"/>
  <c r="V194" i="6"/>
  <c r="V210" i="6"/>
  <c r="V226" i="6"/>
  <c r="V235" i="6"/>
  <c r="V155" i="6"/>
  <c r="V171" i="6"/>
  <c r="V187" i="6"/>
  <c r="V203" i="6"/>
  <c r="V180" i="6"/>
  <c r="V189" i="6"/>
  <c r="V196" i="6"/>
  <c r="V205" i="6"/>
  <c r="V148" i="6"/>
  <c r="V212" i="6"/>
  <c r="V234" i="6"/>
  <c r="V2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376" i="6"/>
  <c r="V377" i="6"/>
  <c r="V378" i="6"/>
  <c r="V379" i="6"/>
  <c r="V380" i="6"/>
  <c r="V157" i="6"/>
  <c r="V108" i="6"/>
  <c r="V164" i="6"/>
  <c r="V219" i="6"/>
  <c r="V392" i="6"/>
  <c r="V173" i="6"/>
  <c r="V385" i="6"/>
  <c r="V391" i="6"/>
  <c r="V390" i="6"/>
  <c r="V384" i="6"/>
  <c r="V389" i="6"/>
  <c r="V388" i="6"/>
  <c r="V383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387" i="6"/>
  <c r="V395" i="6"/>
  <c r="V394" i="6"/>
  <c r="V439" i="6"/>
  <c r="V442" i="6"/>
  <c r="V462" i="6"/>
  <c r="V456" i="6"/>
  <c r="V445" i="6"/>
  <c r="V450" i="6"/>
  <c r="V467" i="6"/>
  <c r="V393" i="6"/>
  <c r="V461" i="6"/>
  <c r="V449" i="6"/>
  <c r="V466" i="6"/>
  <c r="V490" i="6"/>
  <c r="V496" i="6"/>
  <c r="V504" i="6"/>
  <c r="V510" i="6"/>
  <c r="V441" i="6"/>
  <c r="V455" i="6"/>
  <c r="V489" i="6"/>
  <c r="V500" i="6"/>
  <c r="V508" i="6"/>
  <c r="V457" i="6"/>
  <c r="V438" i="6"/>
  <c r="V444" i="6"/>
  <c r="V460" i="6"/>
  <c r="V491" i="6"/>
  <c r="V497" i="6"/>
  <c r="V503" i="6"/>
  <c r="V507" i="6"/>
  <c r="V448" i="6"/>
  <c r="V465" i="6"/>
  <c r="V499" i="6"/>
  <c r="V505" i="6"/>
  <c r="V511" i="6"/>
  <c r="V454" i="6"/>
  <c r="V471" i="6"/>
  <c r="V473" i="6"/>
  <c r="V474" i="6"/>
  <c r="V476" i="6"/>
  <c r="V478" i="6"/>
  <c r="V480" i="6"/>
  <c r="V481" i="6"/>
  <c r="V483" i="6"/>
  <c r="V485" i="6"/>
  <c r="V486" i="6"/>
  <c r="V488" i="6"/>
  <c r="V493" i="6"/>
  <c r="V494" i="6"/>
  <c r="V498" i="6"/>
  <c r="V501" i="6"/>
  <c r="V506" i="6"/>
  <c r="V509" i="6"/>
  <c r="V459" i="6"/>
  <c r="V470" i="6"/>
  <c r="V472" i="6"/>
  <c r="V475" i="6"/>
  <c r="V477" i="6"/>
  <c r="V479" i="6"/>
  <c r="V482" i="6"/>
  <c r="V484" i="6"/>
  <c r="V487" i="6"/>
  <c r="V492" i="6"/>
  <c r="V495" i="6"/>
  <c r="V502" i="6"/>
  <c r="V512" i="6"/>
  <c r="V440" i="6"/>
  <c r="V447" i="6"/>
  <c r="V464" i="6"/>
  <c r="V443" i="6"/>
  <c r="V452" i="6"/>
  <c r="V469" i="6"/>
  <c r="V386" i="6"/>
  <c r="V458" i="6"/>
  <c r="V381" i="6"/>
  <c r="V446" i="6"/>
  <c r="V463" i="6"/>
  <c r="V468" i="6"/>
  <c r="V451" i="6"/>
  <c r="V13" i="6"/>
  <c r="V14" i="6"/>
  <c r="V12" i="6"/>
  <c r="V9" i="6"/>
  <c r="W7" i="6"/>
  <c r="W453" i="6" s="1"/>
  <c r="V10" i="6"/>
  <c r="V11" i="6"/>
  <c r="V8" i="6"/>
  <c r="U5" i="6"/>
  <c r="H5" i="6"/>
  <c r="W230" i="6" l="1"/>
  <c r="W232" i="6"/>
  <c r="W231" i="6"/>
  <c r="W15" i="6"/>
  <c r="W17" i="6"/>
  <c r="W19" i="6"/>
  <c r="W21" i="6"/>
  <c r="W23" i="6"/>
  <c r="W25" i="6"/>
  <c r="W27" i="6"/>
  <c r="W29" i="6"/>
  <c r="W31" i="6"/>
  <c r="W33" i="6"/>
  <c r="W35" i="6"/>
  <c r="W37" i="6"/>
  <c r="W39" i="6"/>
  <c r="W41" i="6"/>
  <c r="W43" i="6"/>
  <c r="W45" i="6"/>
  <c r="W47" i="6"/>
  <c r="W49" i="6"/>
  <c r="W51" i="6"/>
  <c r="W53" i="6"/>
  <c r="W55" i="6"/>
  <c r="W57" i="6"/>
  <c r="W59" i="6"/>
  <c r="W61" i="6"/>
  <c r="W63" i="6"/>
  <c r="W65" i="6"/>
  <c r="W67" i="6"/>
  <c r="W69" i="6"/>
  <c r="W71" i="6"/>
  <c r="W73" i="6"/>
  <c r="W75" i="6"/>
  <c r="W77" i="6"/>
  <c r="W79" i="6"/>
  <c r="W81" i="6"/>
  <c r="W83" i="6"/>
  <c r="W85" i="6"/>
  <c r="W87" i="6"/>
  <c r="W89" i="6"/>
  <c r="W91" i="6"/>
  <c r="W93" i="6"/>
  <c r="W95" i="6"/>
  <c r="W97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99" i="6"/>
  <c r="W16" i="6"/>
  <c r="W18" i="6"/>
  <c r="W20" i="6"/>
  <c r="W22" i="6"/>
  <c r="W24" i="6"/>
  <c r="W26" i="6"/>
  <c r="W28" i="6"/>
  <c r="W30" i="6"/>
  <c r="W32" i="6"/>
  <c r="W34" i="6"/>
  <c r="W36" i="6"/>
  <c r="W38" i="6"/>
  <c r="W40" i="6"/>
  <c r="W42" i="6"/>
  <c r="W44" i="6"/>
  <c r="W46" i="6"/>
  <c r="W48" i="6"/>
  <c r="W50" i="6"/>
  <c r="W52" i="6"/>
  <c r="W54" i="6"/>
  <c r="W56" i="6"/>
  <c r="W58" i="6"/>
  <c r="W60" i="6"/>
  <c r="W62" i="6"/>
  <c r="W64" i="6"/>
  <c r="W66" i="6"/>
  <c r="W68" i="6"/>
  <c r="W70" i="6"/>
  <c r="W72" i="6"/>
  <c r="W74" i="6"/>
  <c r="W76" i="6"/>
  <c r="W78" i="6"/>
  <c r="W80" i="6"/>
  <c r="W82" i="6"/>
  <c r="W84" i="6"/>
  <c r="W86" i="6"/>
  <c r="W88" i="6"/>
  <c r="W90" i="6"/>
  <c r="W92" i="6"/>
  <c r="W94" i="6"/>
  <c r="W96" i="6"/>
  <c r="W98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4" i="6"/>
  <c r="W233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1" i="6"/>
  <c r="W292" i="6"/>
  <c r="W293" i="6"/>
  <c r="W294" i="6"/>
  <c r="W295" i="6"/>
  <c r="W296" i="6"/>
  <c r="W297" i="6"/>
  <c r="W298" i="6"/>
  <c r="W299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223" i="6"/>
  <c r="W240" i="6"/>
  <c r="W222" i="6"/>
  <c r="W239" i="6"/>
  <c r="W221" i="6"/>
  <c r="W229" i="6"/>
  <c r="W238" i="6"/>
  <c r="W228" i="6"/>
  <c r="W237" i="6"/>
  <c r="W220" i="6"/>
  <c r="W227" i="6"/>
  <c r="W236" i="6"/>
  <c r="W226" i="6"/>
  <c r="W235" i="6"/>
  <c r="W234" i="6"/>
  <c r="W2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352" i="6"/>
  <c r="W353" i="6"/>
  <c r="W354" i="6"/>
  <c r="W355" i="6"/>
  <c r="W356" i="6"/>
  <c r="W357" i="6"/>
  <c r="W358" i="6"/>
  <c r="W359" i="6"/>
  <c r="W360" i="6"/>
  <c r="W361" i="6"/>
  <c r="W362" i="6"/>
  <c r="W363" i="6"/>
  <c r="W364" i="6"/>
  <c r="W365" i="6"/>
  <c r="W366" i="6"/>
  <c r="W367" i="6"/>
  <c r="W368" i="6"/>
  <c r="W369" i="6"/>
  <c r="W370" i="6"/>
  <c r="W371" i="6"/>
  <c r="W372" i="6"/>
  <c r="W373" i="6"/>
  <c r="W374" i="6"/>
  <c r="W375" i="6"/>
  <c r="W376" i="6"/>
  <c r="W377" i="6"/>
  <c r="W378" i="6"/>
  <c r="W379" i="6"/>
  <c r="W380" i="6"/>
  <c r="W381" i="6"/>
  <c r="W386" i="6"/>
  <c r="W393" i="6"/>
  <c r="W392" i="6"/>
  <c r="W385" i="6"/>
  <c r="W391" i="6"/>
  <c r="W390" i="6"/>
  <c r="W384" i="6"/>
  <c r="W389" i="6"/>
  <c r="W388" i="6"/>
  <c r="W383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387" i="6"/>
  <c r="W395" i="6"/>
  <c r="W457" i="6"/>
  <c r="W462" i="6"/>
  <c r="W450" i="6"/>
  <c r="W467" i="6"/>
  <c r="W456" i="6"/>
  <c r="W461" i="6"/>
  <c r="W489" i="6"/>
  <c r="W499" i="6"/>
  <c r="W507" i="6"/>
  <c r="W449" i="6"/>
  <c r="W466" i="6"/>
  <c r="W490" i="6"/>
  <c r="W494" i="6"/>
  <c r="W500" i="6"/>
  <c r="W506" i="6"/>
  <c r="W511" i="6"/>
  <c r="W455" i="6"/>
  <c r="W487" i="6"/>
  <c r="W501" i="6"/>
  <c r="W508" i="6"/>
  <c r="W460" i="6"/>
  <c r="W492" i="6"/>
  <c r="W502" i="6"/>
  <c r="W510" i="6"/>
  <c r="W448" i="6"/>
  <c r="W465" i="6"/>
  <c r="W488" i="6"/>
  <c r="W496" i="6"/>
  <c r="W505" i="6"/>
  <c r="W512" i="6"/>
  <c r="W454" i="6"/>
  <c r="W493" i="6"/>
  <c r="W497" i="6"/>
  <c r="W503" i="6"/>
  <c r="W509" i="6"/>
  <c r="W394" i="6"/>
  <c r="W45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5" i="6"/>
  <c r="W486" i="6"/>
  <c r="W491" i="6"/>
  <c r="W495" i="6"/>
  <c r="W498" i="6"/>
  <c r="W504" i="6"/>
  <c r="W447" i="6"/>
  <c r="W464" i="6"/>
  <c r="W452" i="6"/>
  <c r="W469" i="6"/>
  <c r="W458" i="6"/>
  <c r="W446" i="6"/>
  <c r="W463" i="6"/>
  <c r="W451" i="6"/>
  <c r="W468" i="6"/>
  <c r="W13" i="6"/>
  <c r="W14" i="6"/>
  <c r="W12" i="6"/>
  <c r="W8" i="6"/>
  <c r="V5" i="6"/>
  <c r="X7" i="6"/>
  <c r="X453" i="6" s="1"/>
  <c r="W10" i="6"/>
  <c r="W9" i="6"/>
  <c r="W11" i="6"/>
  <c r="X230" i="6" l="1"/>
  <c r="X232" i="6"/>
  <c r="X231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3" i="6"/>
  <c r="X234" i="6"/>
  <c r="X235" i="6"/>
  <c r="X236" i="6"/>
  <c r="X237" i="6"/>
  <c r="X238" i="6"/>
  <c r="X239" i="6"/>
  <c r="X240" i="6"/>
  <c r="X241" i="6"/>
  <c r="X242" i="6"/>
  <c r="X243" i="6"/>
  <c r="X244" i="6"/>
  <c r="X245" i="6"/>
  <c r="X246" i="6"/>
  <c r="X247" i="6"/>
  <c r="X248" i="6"/>
  <c r="X249" i="6"/>
  <c r="X250" i="6"/>
  <c r="X251" i="6"/>
  <c r="X252" i="6"/>
  <c r="X253" i="6"/>
  <c r="X254" i="6"/>
  <c r="X255" i="6"/>
  <c r="X256" i="6"/>
  <c r="X257" i="6"/>
  <c r="X258" i="6"/>
  <c r="X259" i="6"/>
  <c r="X260" i="6"/>
  <c r="X261" i="6"/>
  <c r="X262" i="6"/>
  <c r="X263" i="6"/>
  <c r="X264" i="6"/>
  <c r="X265" i="6"/>
  <c r="X266" i="6"/>
  <c r="X267" i="6"/>
  <c r="X268" i="6"/>
  <c r="X269" i="6"/>
  <c r="X270" i="6"/>
  <c r="X271" i="6"/>
  <c r="X272" i="6"/>
  <c r="X273" i="6"/>
  <c r="X274" i="6"/>
  <c r="X275" i="6"/>
  <c r="X276" i="6"/>
  <c r="X277" i="6"/>
  <c r="X278" i="6"/>
  <c r="X279" i="6"/>
  <c r="X280" i="6"/>
  <c r="X281" i="6"/>
  <c r="X282" i="6"/>
  <c r="X283" i="6"/>
  <c r="X284" i="6"/>
  <c r="X285" i="6"/>
  <c r="X286" i="6"/>
  <c r="X287" i="6"/>
  <c r="X288" i="6"/>
  <c r="X289" i="6"/>
  <c r="X290" i="6"/>
  <c r="X291" i="6"/>
  <c r="X292" i="6"/>
  <c r="X293" i="6"/>
  <c r="X294" i="6"/>
  <c r="X295" i="6"/>
  <c r="X296" i="6"/>
  <c r="X297" i="6"/>
  <c r="X298" i="6"/>
  <c r="X299" i="6"/>
  <c r="X300" i="6"/>
  <c r="X301" i="6"/>
  <c r="X302" i="6"/>
  <c r="X303" i="6"/>
  <c r="X304" i="6"/>
  <c r="X305" i="6"/>
  <c r="X308" i="6"/>
  <c r="X312" i="6"/>
  <c r="X316" i="6"/>
  <c r="X320" i="6"/>
  <c r="X324" i="6"/>
  <c r="X307" i="6"/>
  <c r="X311" i="6"/>
  <c r="X315" i="6"/>
  <c r="X319" i="6"/>
  <c r="X323" i="6"/>
  <c r="X306" i="6"/>
  <c r="X310" i="6"/>
  <c r="X314" i="6"/>
  <c r="X318" i="6"/>
  <c r="X322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357" i="6"/>
  <c r="X358" i="6"/>
  <c r="X359" i="6"/>
  <c r="X360" i="6"/>
  <c r="X361" i="6"/>
  <c r="X362" i="6"/>
  <c r="X363" i="6"/>
  <c r="X364" i="6"/>
  <c r="X365" i="6"/>
  <c r="X366" i="6"/>
  <c r="X367" i="6"/>
  <c r="X368" i="6"/>
  <c r="X369" i="6"/>
  <c r="X370" i="6"/>
  <c r="X371" i="6"/>
  <c r="X372" i="6"/>
  <c r="X373" i="6"/>
  <c r="X374" i="6"/>
  <c r="X375" i="6"/>
  <c r="X376" i="6"/>
  <c r="X377" i="6"/>
  <c r="X378" i="6"/>
  <c r="X379" i="6"/>
  <c r="X380" i="6"/>
  <c r="X381" i="6"/>
  <c r="X383" i="6"/>
  <c r="X384" i="6"/>
  <c r="X385" i="6"/>
  <c r="X386" i="6"/>
  <c r="X387" i="6"/>
  <c r="X309" i="6"/>
  <c r="X313" i="6"/>
  <c r="X317" i="6"/>
  <c r="X321" i="6"/>
  <c r="X325" i="6"/>
  <c r="X393" i="6"/>
  <c r="X392" i="6"/>
  <c r="X391" i="6"/>
  <c r="X390" i="6"/>
  <c r="X389" i="6"/>
  <c r="X388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395" i="6"/>
  <c r="X499" i="6"/>
  <c r="X506" i="6"/>
  <c r="X498" i="6"/>
  <c r="X508" i="6"/>
  <c r="X497" i="6"/>
  <c r="X505" i="6"/>
  <c r="X504" i="6"/>
  <c r="X511" i="6"/>
  <c r="X500" i="6"/>
  <c r="X507" i="6"/>
  <c r="X501" i="6"/>
  <c r="X512" i="6"/>
  <c r="X502" i="6"/>
  <c r="X510" i="6"/>
  <c r="X394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503" i="6"/>
  <c r="X509" i="6"/>
  <c r="X469" i="6"/>
  <c r="X13" i="6"/>
  <c r="X14" i="6"/>
  <c r="W5" i="6"/>
  <c r="X10" i="6"/>
  <c r="Y7" i="6"/>
  <c r="Y453" i="6" s="1"/>
  <c r="X9" i="6"/>
  <c r="X11" i="6"/>
  <c r="X12" i="6"/>
  <c r="X8" i="6"/>
  <c r="Y231" i="6" l="1"/>
  <c r="Y230" i="6"/>
  <c r="Y232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3" i="6"/>
  <c r="Y234" i="6"/>
  <c r="Y235" i="6"/>
  <c r="Y236" i="6"/>
  <c r="Y237" i="6"/>
  <c r="Y238" i="6"/>
  <c r="Y239" i="6"/>
  <c r="Y240" i="6"/>
  <c r="Y136" i="6"/>
  <c r="Y143" i="6"/>
  <c r="Y142" i="6"/>
  <c r="Y135" i="6"/>
  <c r="Y141" i="6"/>
  <c r="Y140" i="6"/>
  <c r="Y134" i="6"/>
  <c r="Y139" i="6"/>
  <c r="Y138" i="6"/>
  <c r="Y137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1" i="6"/>
  <c r="Y292" i="6"/>
  <c r="Y293" i="6"/>
  <c r="Y294" i="6"/>
  <c r="Y295" i="6"/>
  <c r="Y296" i="6"/>
  <c r="Y297" i="6"/>
  <c r="Y298" i="6"/>
  <c r="Y299" i="6"/>
  <c r="Y300" i="6"/>
  <c r="Y301" i="6"/>
  <c r="Y302" i="6"/>
  <c r="Y303" i="6"/>
  <c r="Y304" i="6"/>
  <c r="Y305" i="6"/>
  <c r="Y133" i="6"/>
  <c r="Y308" i="6"/>
  <c r="Y312" i="6"/>
  <c r="Y316" i="6"/>
  <c r="Y320" i="6"/>
  <c r="Y324" i="6"/>
  <c r="Y307" i="6"/>
  <c r="Y311" i="6"/>
  <c r="Y315" i="6"/>
  <c r="Y319" i="6"/>
  <c r="Y323" i="6"/>
  <c r="Y306" i="6"/>
  <c r="Y310" i="6"/>
  <c r="Y314" i="6"/>
  <c r="Y318" i="6"/>
  <c r="Y322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357" i="6"/>
  <c r="Y358" i="6"/>
  <c r="Y359" i="6"/>
  <c r="Y360" i="6"/>
  <c r="Y361" i="6"/>
  <c r="Y362" i="6"/>
  <c r="Y363" i="6"/>
  <c r="Y364" i="6"/>
  <c r="Y365" i="6"/>
  <c r="Y366" i="6"/>
  <c r="Y367" i="6"/>
  <c r="Y368" i="6"/>
  <c r="Y369" i="6"/>
  <c r="Y370" i="6"/>
  <c r="Y371" i="6"/>
  <c r="Y372" i="6"/>
  <c r="Y373" i="6"/>
  <c r="Y374" i="6"/>
  <c r="Y375" i="6"/>
  <c r="Y376" i="6"/>
  <c r="Y377" i="6"/>
  <c r="Y378" i="6"/>
  <c r="Y379" i="6"/>
  <c r="Y394" i="6"/>
  <c r="Y381" i="6"/>
  <c r="Y386" i="6"/>
  <c r="Y393" i="6"/>
  <c r="Y392" i="6"/>
  <c r="Y380" i="6"/>
  <c r="Y385" i="6"/>
  <c r="Y325" i="6"/>
  <c r="Y391" i="6"/>
  <c r="Y321" i="6"/>
  <c r="Y317" i="6"/>
  <c r="Y390" i="6"/>
  <c r="Y313" i="6"/>
  <c r="Y384" i="6"/>
  <c r="Y309" i="6"/>
  <c r="Y389" i="6"/>
  <c r="Y388" i="6"/>
  <c r="Y383" i="6"/>
  <c r="Y400" i="6"/>
  <c r="Y416" i="6"/>
  <c r="Y432" i="6"/>
  <c r="Y451" i="6"/>
  <c r="Y468" i="6"/>
  <c r="Y409" i="6"/>
  <c r="Y425" i="6"/>
  <c r="Y439" i="6"/>
  <c r="Y442" i="6"/>
  <c r="Y457" i="6"/>
  <c r="Y402" i="6"/>
  <c r="Y418" i="6"/>
  <c r="Y434" i="6"/>
  <c r="Y445" i="6"/>
  <c r="Y462" i="6"/>
  <c r="Y411" i="6"/>
  <c r="Y427" i="6"/>
  <c r="Y450" i="6"/>
  <c r="Y467" i="6"/>
  <c r="Y387" i="6"/>
  <c r="Y395" i="6"/>
  <c r="Y404" i="6"/>
  <c r="Y420" i="6"/>
  <c r="Y436" i="6"/>
  <c r="Y456" i="6"/>
  <c r="Y499" i="6"/>
  <c r="Y502" i="6"/>
  <c r="Y511" i="6"/>
  <c r="Y397" i="6"/>
  <c r="Y413" i="6"/>
  <c r="Y429" i="6"/>
  <c r="Y461" i="6"/>
  <c r="Y497" i="6"/>
  <c r="Y505" i="6"/>
  <c r="Y406" i="6"/>
  <c r="Y422" i="6"/>
  <c r="Y441" i="6"/>
  <c r="Y449" i="6"/>
  <c r="Y466" i="6"/>
  <c r="Y498" i="6"/>
  <c r="Y503" i="6"/>
  <c r="Y399" i="6"/>
  <c r="Y415" i="6"/>
  <c r="Y431" i="6"/>
  <c r="Y438" i="6"/>
  <c r="Y444" i="6"/>
  <c r="Y455" i="6"/>
  <c r="Y492" i="6"/>
  <c r="Y508" i="6"/>
  <c r="Y408" i="6"/>
  <c r="Y424" i="6"/>
  <c r="Y460" i="6"/>
  <c r="Y496" i="6"/>
  <c r="Y504" i="6"/>
  <c r="Y401" i="6"/>
  <c r="Y417" i="6"/>
  <c r="Y433" i="6"/>
  <c r="Y448" i="6"/>
  <c r="Y465" i="6"/>
  <c r="Y495" i="6"/>
  <c r="Y507" i="6"/>
  <c r="Y410" i="6"/>
  <c r="Y426" i="6"/>
  <c r="Y454" i="6"/>
  <c r="Y494" i="6"/>
  <c r="Y506" i="6"/>
  <c r="Y403" i="6"/>
  <c r="Y419" i="6"/>
  <c r="Y435" i="6"/>
  <c r="Y440" i="6"/>
  <c r="Y459" i="6"/>
  <c r="Y500" i="6"/>
  <c r="Y509" i="6"/>
  <c r="Y512" i="6"/>
  <c r="Y396" i="6"/>
  <c r="Y412" i="6"/>
  <c r="Y428" i="6"/>
  <c r="Y443" i="6"/>
  <c r="Y447" i="6"/>
  <c r="Y464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3" i="6"/>
  <c r="Y501" i="6"/>
  <c r="Y510" i="6"/>
  <c r="Y423" i="6"/>
  <c r="Y405" i="6"/>
  <c r="Y421" i="6"/>
  <c r="Y437" i="6"/>
  <c r="Y452" i="6"/>
  <c r="Y446" i="6"/>
  <c r="Y398" i="6"/>
  <c r="Y414" i="6"/>
  <c r="Y430" i="6"/>
  <c r="Y458" i="6"/>
  <c r="Y469" i="6"/>
  <c r="Y407" i="6"/>
  <c r="Y463" i="6"/>
  <c r="Y13" i="6"/>
  <c r="Y14" i="6"/>
  <c r="Y12" i="6"/>
  <c r="Y9" i="6"/>
  <c r="Y8" i="6"/>
  <c r="Y10" i="6"/>
  <c r="Y11" i="6"/>
  <c r="Z7" i="6"/>
  <c r="Z453" i="6" s="1"/>
  <c r="X5" i="6"/>
  <c r="Z231" i="6" l="1"/>
  <c r="Z230" i="6"/>
  <c r="Z232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99" i="6"/>
  <c r="Z137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136" i="6"/>
  <c r="Z143" i="6"/>
  <c r="Z142" i="6"/>
  <c r="Z135" i="6"/>
  <c r="Z141" i="6"/>
  <c r="Z140" i="6"/>
  <c r="Z134" i="6"/>
  <c r="Z139" i="6"/>
  <c r="Z225" i="6"/>
  <c r="Z234" i="6"/>
  <c r="Z224" i="6"/>
  <c r="Z233" i="6"/>
  <c r="Z223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86" i="6"/>
  <c r="Z287" i="6"/>
  <c r="Z288" i="6"/>
  <c r="Z289" i="6"/>
  <c r="Z290" i="6"/>
  <c r="Z291" i="6"/>
  <c r="Z292" i="6"/>
  <c r="Z293" i="6"/>
  <c r="Z294" i="6"/>
  <c r="Z295" i="6"/>
  <c r="Z296" i="6"/>
  <c r="Z297" i="6"/>
  <c r="Z298" i="6"/>
  <c r="Z299" i="6"/>
  <c r="Z300" i="6"/>
  <c r="Z301" i="6"/>
  <c r="Z302" i="6"/>
  <c r="Z303" i="6"/>
  <c r="Z304" i="6"/>
  <c r="Z305" i="6"/>
  <c r="Z222" i="6"/>
  <c r="Z239" i="6"/>
  <c r="Z221" i="6"/>
  <c r="Z229" i="6"/>
  <c r="Z238" i="6"/>
  <c r="Z228" i="6"/>
  <c r="Z237" i="6"/>
  <c r="Z138" i="6"/>
  <c r="Z227" i="6"/>
  <c r="Z236" i="6"/>
  <c r="Z235" i="6"/>
  <c r="Z226" i="6"/>
  <c r="Z308" i="6"/>
  <c r="Z312" i="6"/>
  <c r="Z316" i="6"/>
  <c r="Z320" i="6"/>
  <c r="Z324" i="6"/>
  <c r="Z307" i="6"/>
  <c r="Z311" i="6"/>
  <c r="Z315" i="6"/>
  <c r="Z319" i="6"/>
  <c r="Z323" i="6"/>
  <c r="Z306" i="6"/>
  <c r="Z310" i="6"/>
  <c r="Z314" i="6"/>
  <c r="Z318" i="6"/>
  <c r="Z322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352" i="6"/>
  <c r="Z353" i="6"/>
  <c r="Z354" i="6"/>
  <c r="Z355" i="6"/>
  <c r="Z356" i="6"/>
  <c r="Z357" i="6"/>
  <c r="Z358" i="6"/>
  <c r="Z359" i="6"/>
  <c r="Z360" i="6"/>
  <c r="Z361" i="6"/>
  <c r="Z362" i="6"/>
  <c r="Z363" i="6"/>
  <c r="Z364" i="6"/>
  <c r="Z365" i="6"/>
  <c r="Z366" i="6"/>
  <c r="Z367" i="6"/>
  <c r="Z368" i="6"/>
  <c r="Z369" i="6"/>
  <c r="Z370" i="6"/>
  <c r="Z371" i="6"/>
  <c r="Z372" i="6"/>
  <c r="Z373" i="6"/>
  <c r="Z374" i="6"/>
  <c r="Z375" i="6"/>
  <c r="Z376" i="6"/>
  <c r="Z377" i="6"/>
  <c r="Z378" i="6"/>
  <c r="Z379" i="6"/>
  <c r="Z380" i="6"/>
  <c r="Z381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25" i="6"/>
  <c r="Z321" i="6"/>
  <c r="Z317" i="6"/>
  <c r="Z313" i="6"/>
  <c r="Z309" i="6"/>
  <c r="Z407" i="6"/>
  <c r="Z423" i="6"/>
  <c r="Z446" i="6"/>
  <c r="Z463" i="6"/>
  <c r="Z400" i="6"/>
  <c r="Z416" i="6"/>
  <c r="Z432" i="6"/>
  <c r="Z451" i="6"/>
  <c r="Z468" i="6"/>
  <c r="Z457" i="6"/>
  <c r="Z409" i="6"/>
  <c r="Z425" i="6"/>
  <c r="Z439" i="6"/>
  <c r="Z442" i="6"/>
  <c r="Z402" i="6"/>
  <c r="Z418" i="6"/>
  <c r="Z434" i="6"/>
  <c r="Z445" i="6"/>
  <c r="Z462" i="6"/>
  <c r="Z411" i="6"/>
  <c r="Z427" i="6"/>
  <c r="Z450" i="6"/>
  <c r="Z467" i="6"/>
  <c r="Z404" i="6"/>
  <c r="Z420" i="6"/>
  <c r="Z436" i="6"/>
  <c r="Z456" i="6"/>
  <c r="Z397" i="6"/>
  <c r="Z413" i="6"/>
  <c r="Z429" i="6"/>
  <c r="Z461" i="6"/>
  <c r="Z466" i="6"/>
  <c r="Z458" i="6"/>
  <c r="Z406" i="6"/>
  <c r="Z422" i="6"/>
  <c r="Z441" i="6"/>
  <c r="Z449" i="6"/>
  <c r="Z399" i="6"/>
  <c r="Z415" i="6"/>
  <c r="Z431" i="6"/>
  <c r="Z438" i="6"/>
  <c r="Z444" i="6"/>
  <c r="Z455" i="6"/>
  <c r="Z408" i="6"/>
  <c r="Z424" i="6"/>
  <c r="Z460" i="6"/>
  <c r="Z401" i="6"/>
  <c r="Z417" i="6"/>
  <c r="Z433" i="6"/>
  <c r="Z448" i="6"/>
  <c r="Z465" i="6"/>
  <c r="Z414" i="6"/>
  <c r="Z410" i="6"/>
  <c r="Z426" i="6"/>
  <c r="Z454" i="6"/>
  <c r="Z398" i="6"/>
  <c r="Z469" i="6"/>
  <c r="Z403" i="6"/>
  <c r="Z419" i="6"/>
  <c r="Z435" i="6"/>
  <c r="Z440" i="6"/>
  <c r="Z459" i="6"/>
  <c r="Z396" i="6"/>
  <c r="Z412" i="6"/>
  <c r="Z428" i="6"/>
  <c r="Z443" i="6"/>
  <c r="Z447" i="6"/>
  <c r="Z464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501" i="6"/>
  <c r="Z502" i="6"/>
  <c r="Z503" i="6"/>
  <c r="Z504" i="6"/>
  <c r="Z505" i="6"/>
  <c r="Z506" i="6"/>
  <c r="Z507" i="6"/>
  <c r="Z508" i="6"/>
  <c r="Z509" i="6"/>
  <c r="Z510" i="6"/>
  <c r="Z511" i="6"/>
  <c r="Z512" i="6"/>
  <c r="Z405" i="6"/>
  <c r="Z421" i="6"/>
  <c r="Z437" i="6"/>
  <c r="Z452" i="6"/>
  <c r="Z430" i="6"/>
  <c r="Z13" i="6"/>
  <c r="Z14" i="6"/>
  <c r="Z12" i="6"/>
  <c r="Z8" i="6"/>
  <c r="Y5" i="6"/>
  <c r="AA7" i="6"/>
  <c r="AA453" i="6" s="1"/>
  <c r="Z10" i="6"/>
  <c r="Z9" i="6"/>
  <c r="Z11" i="6"/>
  <c r="AA231" i="6" l="1"/>
  <c r="AA230" i="6"/>
  <c r="AA232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99" i="6"/>
  <c r="AA137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136" i="6"/>
  <c r="AA143" i="6"/>
  <c r="AA98" i="6"/>
  <c r="AA142" i="6"/>
  <c r="AA135" i="6"/>
  <c r="AA141" i="6"/>
  <c r="AA140" i="6"/>
  <c r="AA139" i="6"/>
  <c r="AA225" i="6"/>
  <c r="AA234" i="6"/>
  <c r="AA224" i="6"/>
  <c r="AA233" i="6"/>
  <c r="AA223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222" i="6"/>
  <c r="AA239" i="6"/>
  <c r="AA221" i="6"/>
  <c r="AA229" i="6"/>
  <c r="AA238" i="6"/>
  <c r="AA228" i="6"/>
  <c r="AA237" i="6"/>
  <c r="AA138" i="6"/>
  <c r="AA227" i="6"/>
  <c r="AA236" i="6"/>
  <c r="AA235" i="6"/>
  <c r="AA226" i="6"/>
  <c r="AA335" i="6"/>
  <c r="AA351" i="6"/>
  <c r="AA367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328" i="6"/>
  <c r="AA344" i="6"/>
  <c r="AA360" i="6"/>
  <c r="AA376" i="6"/>
  <c r="AA394" i="6"/>
  <c r="AA337" i="6"/>
  <c r="AA353" i="6"/>
  <c r="AA369" i="6"/>
  <c r="AA381" i="6"/>
  <c r="AA386" i="6"/>
  <c r="AA330" i="6"/>
  <c r="AA346" i="6"/>
  <c r="AA362" i="6"/>
  <c r="AA378" i="6"/>
  <c r="AA393" i="6"/>
  <c r="AA339" i="6"/>
  <c r="AA355" i="6"/>
  <c r="AA371" i="6"/>
  <c r="AA332" i="6"/>
  <c r="AA348" i="6"/>
  <c r="AA364" i="6"/>
  <c r="AA392" i="6"/>
  <c r="AA341" i="6"/>
  <c r="AA357" i="6"/>
  <c r="AA373" i="6"/>
  <c r="AA380" i="6"/>
  <c r="AA385" i="6"/>
  <c r="AA334" i="6"/>
  <c r="AA350" i="6"/>
  <c r="AA366" i="6"/>
  <c r="AA391" i="6"/>
  <c r="AA327" i="6"/>
  <c r="AA343" i="6"/>
  <c r="AA359" i="6"/>
  <c r="AA375" i="6"/>
  <c r="AA336" i="6"/>
  <c r="AA352" i="6"/>
  <c r="AA368" i="6"/>
  <c r="AA390" i="6"/>
  <c r="AA329" i="6"/>
  <c r="AA345" i="6"/>
  <c r="AA361" i="6"/>
  <c r="AA377" i="6"/>
  <c r="AA384" i="6"/>
  <c r="AA338" i="6"/>
  <c r="AA354" i="6"/>
  <c r="AA370" i="6"/>
  <c r="AA389" i="6"/>
  <c r="AA331" i="6"/>
  <c r="AA347" i="6"/>
  <c r="AA363" i="6"/>
  <c r="AA379" i="6"/>
  <c r="AA340" i="6"/>
  <c r="AA356" i="6"/>
  <c r="AA372" i="6"/>
  <c r="AA388" i="6"/>
  <c r="AA333" i="6"/>
  <c r="AA342" i="6"/>
  <c r="AA349" i="6"/>
  <c r="AA383" i="6"/>
  <c r="AA387" i="6"/>
  <c r="AA358" i="6"/>
  <c r="AA326" i="6"/>
  <c r="AA365" i="6"/>
  <c r="AA374" i="6"/>
  <c r="AA470" i="6"/>
  <c r="AA472" i="6"/>
  <c r="AA473" i="6"/>
  <c r="AA475" i="6"/>
  <c r="AA477" i="6"/>
  <c r="AA479" i="6"/>
  <c r="AA481" i="6"/>
  <c r="AA483" i="6"/>
  <c r="AA485" i="6"/>
  <c r="AA487" i="6"/>
  <c r="AA489" i="6"/>
  <c r="AA491" i="6"/>
  <c r="AA493" i="6"/>
  <c r="AA495" i="6"/>
  <c r="AA497" i="6"/>
  <c r="AA498" i="6"/>
  <c r="AA501" i="6"/>
  <c r="AA503" i="6"/>
  <c r="AA506" i="6"/>
  <c r="AA508" i="6"/>
  <c r="AA510" i="6"/>
  <c r="AA512" i="6"/>
  <c r="AA471" i="6"/>
  <c r="AA474" i="6"/>
  <c r="AA476" i="6"/>
  <c r="AA478" i="6"/>
  <c r="AA480" i="6"/>
  <c r="AA482" i="6"/>
  <c r="AA484" i="6"/>
  <c r="AA486" i="6"/>
  <c r="AA488" i="6"/>
  <c r="AA490" i="6"/>
  <c r="AA492" i="6"/>
  <c r="AA494" i="6"/>
  <c r="AA496" i="6"/>
  <c r="AA499" i="6"/>
  <c r="AA500" i="6"/>
  <c r="AA502" i="6"/>
  <c r="AA504" i="6"/>
  <c r="AA505" i="6"/>
  <c r="AA507" i="6"/>
  <c r="AA509" i="6"/>
  <c r="AA511" i="6"/>
  <c r="AA13" i="6"/>
  <c r="AA14" i="6"/>
  <c r="AA11" i="6"/>
  <c r="Z5" i="6"/>
  <c r="AA8" i="6"/>
  <c r="AA10" i="6"/>
  <c r="AA12" i="6"/>
  <c r="AA9" i="6"/>
  <c r="AB7" i="6"/>
  <c r="AB453" i="6" s="1"/>
  <c r="AB231" i="6" l="1"/>
  <c r="AB230" i="6"/>
  <c r="AB232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143" i="6"/>
  <c r="AB142" i="6"/>
  <c r="AB141" i="6"/>
  <c r="AB140" i="6"/>
  <c r="AB138" i="6"/>
  <c r="AB226" i="6"/>
  <c r="AB235" i="6"/>
  <c r="AB225" i="6"/>
  <c r="AB234" i="6"/>
  <c r="AB224" i="6"/>
  <c r="AB233" i="6"/>
  <c r="AB139" i="6"/>
  <c r="AB223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1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222" i="6"/>
  <c r="AB239" i="6"/>
  <c r="AB221" i="6"/>
  <c r="AB229" i="6"/>
  <c r="AB238" i="6"/>
  <c r="AB220" i="6"/>
  <c r="AB228" i="6"/>
  <c r="AB237" i="6"/>
  <c r="AB236" i="6"/>
  <c r="AB227" i="6"/>
  <c r="AB326" i="6"/>
  <c r="AB342" i="6"/>
  <c r="AB358" i="6"/>
  <c r="AB374" i="6"/>
  <c r="AB387" i="6"/>
  <c r="AB335" i="6"/>
  <c r="AB351" i="6"/>
  <c r="AB367" i="6"/>
  <c r="AB395" i="6"/>
  <c r="AB396" i="6"/>
  <c r="AB397" i="6"/>
  <c r="AB398" i="6"/>
  <c r="AB399" i="6"/>
  <c r="AB400" i="6"/>
  <c r="AB401" i="6"/>
  <c r="AB402" i="6"/>
  <c r="AB403" i="6"/>
  <c r="AB404" i="6"/>
  <c r="AB405" i="6"/>
  <c r="AB406" i="6"/>
  <c r="AB407" i="6"/>
  <c r="AB408" i="6"/>
  <c r="AB409" i="6"/>
  <c r="AB410" i="6"/>
  <c r="AB411" i="6"/>
  <c r="AB412" i="6"/>
  <c r="AB413" i="6"/>
  <c r="AB414" i="6"/>
  <c r="AB415" i="6"/>
  <c r="AB416" i="6"/>
  <c r="AB417" i="6"/>
  <c r="AB418" i="6"/>
  <c r="AB419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328" i="6"/>
  <c r="AB344" i="6"/>
  <c r="AB360" i="6"/>
  <c r="AB376" i="6"/>
  <c r="AB394" i="6"/>
  <c r="AB337" i="6"/>
  <c r="AB353" i="6"/>
  <c r="AB369" i="6"/>
  <c r="AB381" i="6"/>
  <c r="AB386" i="6"/>
  <c r="AB330" i="6"/>
  <c r="AB346" i="6"/>
  <c r="AB362" i="6"/>
  <c r="AB378" i="6"/>
  <c r="AB393" i="6"/>
  <c r="AB339" i="6"/>
  <c r="AB355" i="6"/>
  <c r="AB371" i="6"/>
  <c r="AB332" i="6"/>
  <c r="AB348" i="6"/>
  <c r="AB364" i="6"/>
  <c r="AB392" i="6"/>
  <c r="AB341" i="6"/>
  <c r="AB357" i="6"/>
  <c r="AB373" i="6"/>
  <c r="AB380" i="6"/>
  <c r="AB385" i="6"/>
  <c r="AB334" i="6"/>
  <c r="AB350" i="6"/>
  <c r="AB366" i="6"/>
  <c r="AB391" i="6"/>
  <c r="AB327" i="6"/>
  <c r="AB343" i="6"/>
  <c r="AB359" i="6"/>
  <c r="AB375" i="6"/>
  <c r="AB336" i="6"/>
  <c r="AB352" i="6"/>
  <c r="AB368" i="6"/>
  <c r="AB390" i="6"/>
  <c r="AB329" i="6"/>
  <c r="AB345" i="6"/>
  <c r="AB361" i="6"/>
  <c r="AB377" i="6"/>
  <c r="AB384" i="6"/>
  <c r="AB338" i="6"/>
  <c r="AB354" i="6"/>
  <c r="AB370" i="6"/>
  <c r="AB389" i="6"/>
  <c r="AB331" i="6"/>
  <c r="AB347" i="6"/>
  <c r="AB363" i="6"/>
  <c r="AB379" i="6"/>
  <c r="AB476" i="6"/>
  <c r="AB500" i="6"/>
  <c r="AB473" i="6"/>
  <c r="AB501" i="6"/>
  <c r="AB333" i="6"/>
  <c r="AB484" i="6"/>
  <c r="AB499" i="6"/>
  <c r="AB488" i="6"/>
  <c r="AB510" i="6"/>
  <c r="AB340" i="6"/>
  <c r="AB475" i="6"/>
  <c r="AB505" i="6"/>
  <c r="AB509" i="6"/>
  <c r="AB349" i="6"/>
  <c r="AB383" i="6"/>
  <c r="AB504" i="6"/>
  <c r="AB479" i="6"/>
  <c r="AB487" i="6"/>
  <c r="AB495" i="6"/>
  <c r="AB507" i="6"/>
  <c r="AB356" i="6"/>
  <c r="AB494" i="6"/>
  <c r="AB474" i="6"/>
  <c r="AB485" i="6"/>
  <c r="AB496" i="6"/>
  <c r="AB511" i="6"/>
  <c r="AB365" i="6"/>
  <c r="AB471" i="6"/>
  <c r="AB480" i="6"/>
  <c r="AB486" i="6"/>
  <c r="AB493" i="6"/>
  <c r="AB498" i="6"/>
  <c r="AB508" i="6"/>
  <c r="AB482" i="6"/>
  <c r="AB492" i="6"/>
  <c r="AB502" i="6"/>
  <c r="AB512" i="6"/>
  <c r="AB372" i="6"/>
  <c r="AB470" i="6"/>
  <c r="AB478" i="6"/>
  <c r="AB483" i="6"/>
  <c r="AB490" i="6"/>
  <c r="AB497" i="6"/>
  <c r="AB506" i="6"/>
  <c r="AB388" i="6"/>
  <c r="AB489" i="6"/>
  <c r="AB472" i="6"/>
  <c r="AB477" i="6"/>
  <c r="AB481" i="6"/>
  <c r="AB491" i="6"/>
  <c r="AB503" i="6"/>
  <c r="AB13" i="6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<sst xmlns="http://schemas.openxmlformats.org/spreadsheetml/2006/main" count="4910" uniqueCount="2151">
  <si>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</si>
  <si>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</si>
  <si>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</si>
  <si>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</si>
  <si>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</si>
  <si>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</si>
  <si>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</si>
  <si>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</si>
  <si>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</si>
  <si>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</si>
  <si>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</si>
  <si>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</si>
  <si>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</si>
  <si>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</si>
  <si>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</si>
  <si>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</si>
  <si>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</si>
  <si>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</si>
  <si>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</si>
  <si>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</si>
  <si>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</si>
  <si>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</si>
  <si>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</si>
  <si>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</si>
  <si>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</si>
  <si>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</si>
  <si>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</si>
  <si>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</si>
  <si>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</si>
  <si>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</si>
  <si>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</si>
  <si>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</si>
  <si>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</si>
  <si>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</si>
  <si>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</si>
  <si>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</si>
  <si>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</si>
  <si>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</si>
  <si>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</si>
  <si>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</si>
  <si>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</si>
  <si>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</si>
  <si>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</si>
  <si>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</si>
  <si>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</si>
  <si>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</si>
  <si>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</si>
  <si>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</si>
  <si>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</si>
  <si>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</si>
  <si>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</si>
  <si>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</si>
  <si>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</si>
  <si>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</si>
  <si>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</si>
  <si>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</si>
  <si>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</si>
  <si>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</si>
  <si>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</si>
  <si>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</si>
  <si>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</si>
  <si>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</si>
  <si>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</si>
  <si>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</si>
  <si>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</si>
  <si>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</si>
  <si>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</si>
  <si>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</si>
  <si>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</si>
  <si>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</si>
  <si>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</si>
  <si>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</si>
  <si>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</si>
  <si>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</si>
  <si>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</si>
  <si>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</si>
  <si>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</si>
  <si>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</si>
  <si>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</si>
  <si>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</si>
  <si>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</si>
  <si>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</si>
  <si>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</si>
  <si>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</si>
  <si>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</si>
  <si>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</si>
  <si>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</si>
  <si>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</si>
  <si>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</si>
  <si>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</si>
  <si>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</si>
  <si>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</si>
  <si>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</si>
  <si>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</si>
  <si>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</si>
  <si>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</si>
  <si>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</si>
  <si>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</si>
  <si>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</si>
  <si>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</si>
  <si>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</si>
  <si>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</si>
  <si>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</si>
  <si>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</si>
  <si>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</si>
  <si>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</si>
  <si>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</si>
  <si>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</si>
  <si>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</si>
  <si>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</si>
  <si>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</si>
  <si>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</si>
  <si>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</si>
  <si>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</si>
  <si>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</si>
  <si>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</si>
  <si>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</si>
  <si>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</si>
  <si>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</si>
  <si>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</si>
  <si>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</si>
  <si>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</si>
  <si>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</si>
  <si>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</si>
  <si>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</si>
  <si>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</si>
  <si>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</si>
  <si>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</si>
  <si>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</si>
  <si>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</si>
  <si>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</si>
  <si>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</si>
  <si>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</si>
  <si>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</si>
  <si>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</si>
  <si>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</si>
  <si>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</si>
  <si>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</si>
  <si>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</si>
  <si>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</si>
  <si>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</si>
  <si>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</si>
  <si>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</si>
  <si>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</si>
  <si>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</si>
  <si>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</si>
  <si>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</si>
  <si>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</si>
  <si>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</si>
  <si>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</si>
  <si>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</si>
  <si>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</si>
  <si>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</si>
  <si>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</si>
  <si>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</si>
  <si>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</si>
  <si>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</si>
  <si>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</si>
  <si>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</si>
  <si>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</si>
  <si>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</si>
  <si>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</si>
  <si>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</si>
  <si>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</si>
  <si>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</si>
  <si>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</si>
  <si>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</si>
  <si>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</si>
  <si>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</si>
  <si>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</si>
  <si>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</si>
  <si>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</si>
  <si>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</si>
  <si>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</si>
  <si>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</si>
  <si>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</si>
  <si>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</si>
  <si>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</si>
  <si>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</si>
  <si>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</si>
  <si>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</si>
  <si>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</si>
  <si>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</si>
  <si>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</si>
  <si>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</si>
  <si>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</si>
  <si>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</si>
  <si>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</si>
  <si>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</si>
  <si>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</si>
  <si>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</si>
  <si>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</si>
  <si>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</si>
  <si>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</si>
  <si>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</si>
  <si>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</si>
  <si>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</si>
  <si>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</si>
  <si>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</si>
  <si>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</si>
  <si>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</si>
  <si>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</si>
  <si>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</si>
  <si>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</si>
  <si>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</si>
  <si>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</si>
  <si>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</si>
  <si>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</si>
  <si>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</si>
  <si>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</si>
  <si>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</si>
  <si>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</si>
  <si>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</si>
  <si>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</si>
  <si>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</si>
  <si>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</si>
  <si>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</si>
  <si>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</si>
  <si>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</si>
  <si>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</si>
  <si>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</si>
  <si>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</si>
  <si>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</si>
  <si>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</si>
  <si>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</si>
  <si>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</si>
  <si>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</si>
  <si>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</si>
  <si>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</si>
  <si>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</si>
  <si>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</si>
  <si>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</si>
  <si>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</si>
  <si>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</si>
  <si>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</si>
  <si>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</si>
  <si>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</si>
  <si>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</si>
  <si>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</si>
  <si>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</si>
  <si>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</si>
  <si>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</si>
  <si>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</si>
  <si>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</si>
  <si>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</si>
  <si>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</si>
  <si>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</si>
  <si>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</si>
  <si>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</si>
  <si>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</si>
  <si>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</si>
  <si>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</si>
  <si>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</si>
  <si>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</si>
  <si>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</si>
  <si>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</si>
  <si>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</si>
  <si>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</si>
  <si>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</si>
  <si>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</si>
  <si>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</si>
  <si>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</si>
  <si>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</si>
  <si>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</si>
  <si>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</si>
  <si>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</si>
  <si>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</si>
  <si>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</si>
  <si>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</si>
  <si>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</si>
  <si>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</si>
  <si>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</si>
  <si>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</si>
  <si>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</si>
  <si>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</si>
  <si>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</si>
  <si>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</si>
  <si>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</si>
  <si>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</si>
  <si>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</si>
  <si>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</si>
  <si>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</si>
  <si>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</si>
  <si>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</si>
  <si>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</si>
  <si>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</si>
  <si>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</si>
  <si>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</si>
  <si>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</si>
  <si>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</si>
  <si>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</si>
  <si>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</si>
  <si>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</si>
  <si>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</si>
  <si>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</si>
  <si>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</si>
  <si>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</si>
  <si>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</si>
  <si>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</si>
  <si>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</si>
  <si>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</si>
  <si>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</si>
  <si>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</si>
  <si>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</si>
  <si>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</si>
  <si>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</si>
  <si>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</si>
  <si>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</si>
  <si>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</si>
  <si>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</si>
  <si>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</si>
  <si>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</si>
  <si>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</si>
  <si>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</si>
  <si>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</si>
  <si>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</si>
  <si>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</si>
  <si>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</si>
  <si>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</si>
  <si>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</si>
  <si>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</si>
  <si>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</si>
  <si>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</si>
  <si>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</si>
  <si>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</si>
  <si>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</si>
  <si>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</si>
  <si>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</si>
  <si>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</si>
  <si>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</si>
  <si>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</si>
  <si>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</si>
  <si>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</si>
  <si>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</si>
  <si>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</si>
  <si>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</si>
  <si>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</si>
  <si>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</si>
  <si>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</si>
  <si>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</si>
  <si>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</si>
  <si>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</si>
  <si>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</si>
  <si>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</si>
  <si>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</si>
  <si>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</si>
  <si>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</si>
  <si>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</si>
  <si>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</si>
  <si>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</si>
  <si>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</si>
  <si>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</si>
  <si>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</si>
  <si>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</si>
  <si>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</si>
  <si>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</si>
  <si>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</si>
  <si>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</si>
  <si>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</si>
  <si>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</si>
  <si>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</si>
  <si>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</si>
  <si>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</si>
  <si>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</si>
  <si>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</si>
  <si>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</si>
  <si>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</si>
  <si>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</si>
  <si>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</si>
  <si>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</si>
  <si>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</si>
  <si>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</si>
  <si>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</si>
  <si>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</si>
  <si>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</si>
  <si>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</si>
  <si>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</si>
  <si>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</si>
  <si>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</si>
  <si>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</si>
  <si>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</si>
  <si>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</si>
  <si>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</si>
  <si>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</si>
  <si>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</si>
  <si>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</si>
  <si>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</si>
  <si>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</si>
  <si>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</si>
  <si>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</si>
  <si>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</si>
  <si>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</si>
  <si>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</si>
  <si>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</si>
  <si>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</si>
  <si>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</si>
  <si>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</si>
  <si>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</si>
  <si>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</si>
  <si>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</si>
  <si>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</si>
  <si>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</si>
  <si>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</si>
  <si>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</si>
  <si>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</si>
  <si>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</si>
  <si>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</si>
  <si>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</si>
  <si>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</si>
  <si>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</si>
  <si>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</si>
  <si>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</si>
  <si>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</si>
  <si>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</si>
  <si>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</si>
  <si>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</si>
  <si>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</si>
  <si>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</si>
  <si>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</si>
  <si>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</si>
  <si>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</si>
  <si>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</si>
  <si>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</si>
  <si>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</si>
  <si>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</si>
  <si>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</si>
  <si>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</si>
  <si>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</si>
  <si>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</si>
  <si>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</si>
  <si>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</si>
  <si>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</si>
  <si>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</si>
  <si>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</si>
  <si>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</si>
  <si>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</si>
  <si>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</si>
  <si>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</si>
  <si>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</si>
  <si>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</si>
  <si>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</si>
  <si>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</si>
  <si>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</si>
  <si>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</si>
  <si>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</si>
  <si>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</si>
  <si>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</si>
  <si>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</si>
  <si>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</si>
  <si>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</si>
  <si>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</si>
  <si>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</si>
  <si>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</si>
  <si>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</si>
  <si>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</si>
  <si>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</si>
  <si>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</si>
  <si>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</si>
  <si>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</si>
  <si>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</si>
  <si>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</si>
  <si>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</si>
  <si>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</si>
  <si>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</si>
  <si>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</si>
  <si>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</si>
  <si>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</si>
  <si>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</si>
  <si>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</si>
  <si>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</si>
  <si>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</si>
  <si>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</si>
  <si>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</si>
  <si>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</si>
  <si>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</si>
  <si>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</si>
  <si>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</si>
  <si>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</si>
  <si>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</si>
  <si>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</si>
  <si>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</si>
  <si>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</si>
  <si>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</si>
  <si>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</si>
  <si>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</si>
  <si>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</si>
  <si>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</si>
  <si>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</si>
  <si>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</si>
  <si>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</si>
  <si>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</si>
  <si>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</si>
  <si>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</si>
  <si>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</si>
  <si>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</si>
  <si>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</si>
  <si>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</si>
  <si>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</si>
  <si>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</si>
  <si>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</si>
  <si>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</si>
  <si>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</si>
  <si>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</si>
  <si>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</si>
  <si>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</si>
  <si>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</si>
  <si>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</si>
  <si>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</si>
  <si>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</si>
  <si>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</si>
  <si>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</si>
  <si>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</si>
  <si>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</si>
  <si>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</si>
  <si>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</si>
  <si>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</si>
  <si>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</si>
  <si>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</si>
  <si>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</si>
  <si>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</si>
  <si>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</si>
  <si>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</si>
  <si>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</si>
  <si>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</si>
  <si>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</si>
  <si>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</si>
  <si>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</si>
  <si>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</si>
  <si>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</si>
  <si>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</si>
  <si>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</si>
  <si>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</si>
  <si>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</si>
  <si>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</si>
  <si>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</si>
  <si>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</si>
  <si>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</si>
  <si>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</si>
  <si>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</si>
  <si>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</si>
  <si>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</si>
  <si>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</si>
  <si>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</si>
  <si>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</si>
  <si>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</si>
  <si>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</si>
  <si>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</si>
  <si>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</si>
  <si>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</si>
  <si>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</si>
  <si>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</si>
  <si>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</si>
  <si>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</si>
  <si>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</si>
  <si>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</si>
  <si>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</si>
  <si>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</si>
  <si>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</si>
  <si>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</si>
  <si>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</si>
  <si>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</si>
  <si>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</si>
  <si>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</si>
  <si>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</si>
  <si>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</si>
  <si>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</si>
  <si>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</si>
  <si>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</si>
  <si>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</si>
  <si>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</si>
  <si>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</si>
  <si>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</si>
  <si>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</si>
  <si>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</si>
  <si>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</si>
  <si>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</si>
  <si>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</si>
  <si>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</si>
  <si>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</si>
  <si>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</si>
  <si>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</si>
  <si>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</si>
  <si>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</si>
  <si>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</si>
  <si>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</si>
  <si>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</si>
  <si>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</si>
  <si>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</si>
  <si>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</si>
  <si>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</si>
  <si>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</si>
  <si>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</si>
  <si>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</si>
  <si>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</si>
  <si>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</si>
  <si>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</si>
  <si>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</si>
  <si>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</si>
  <si>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</si>
  <si>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</si>
  <si>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</si>
  <si>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</si>
  <si>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</si>
  <si>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</si>
  <si>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</si>
  <si>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</si>
  <si>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</si>
  <si>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</si>
  <si>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</si>
  <si>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</si>
  <si>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</si>
  <si>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</si>
  <si>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</si>
  <si>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</si>
  <si>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</si>
  <si>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</si>
  <si>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</si>
  <si>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</si>
  <si>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</si>
  <si>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</si>
  <si>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</si>
  <si>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</si>
  <si>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</si>
  <si>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</si>
  <si>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</si>
  <si>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</si>
  <si>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</si>
  <si>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</si>
  <si>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</si>
  <si>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</si>
  <si>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</si>
  <si>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</si>
  <si>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</si>
  <si>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</si>
  <si>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</si>
  <si>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</si>
  <si>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</si>
  <si>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</si>
  <si>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</si>
  <si>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</si>
  <si>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</si>
  <si>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</si>
  <si>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</si>
  <si>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</si>
  <si>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</si>
  <si>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</si>
  <si>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</si>
  <si>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</si>
  <si>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</si>
  <si>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</si>
  <si>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</si>
  <si>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</si>
  <si>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</si>
  <si>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</si>
  <si>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</si>
  <si>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</si>
  <si>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</si>
  <si>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</si>
  <si>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</si>
  <si>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</si>
  <si>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</si>
  <si>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</si>
  <si>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</si>
  <si>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</si>
  <si>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</si>
  <si>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</si>
  <si>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</si>
  <si>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</si>
  <si>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</si>
  <si>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</si>
  <si>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</si>
  <si>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</si>
  <si>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</si>
  <si>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</si>
  <si>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</si>
  <si>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</si>
  <si>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</si>
  <si>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</si>
  <si>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</si>
  <si>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</si>
  <si>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</si>
  <si>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</si>
  <si>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</si>
  <si>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</si>
  <si>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</si>
  <si>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</si>
  <si>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</si>
  <si>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</si>
  <si>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</si>
  <si>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</si>
  <si>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</si>
  <si>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</si>
  <si>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</si>
  <si>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</si>
  <si>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</si>
  <si>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</si>
  <si>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</si>
  <si>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</si>
  <si>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</si>
  <si>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</si>
  <si>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</si>
  <si>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</si>
  <si>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</si>
  <si>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</si>
  <si>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</si>
  <si>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</si>
  <si>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</si>
  <si>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</si>
  <si>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</si>
  <si>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</si>
  <si>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</si>
  <si>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</si>
  <si>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</si>
  <si>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</si>
  <si>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</si>
  <si>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</si>
  <si>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</si>
  <si>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</si>
  <si>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</si>
  <si>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</si>
  <si>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</si>
  <si>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</si>
  <si>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</si>
  <si>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</si>
  <si>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</si>
  <si>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</si>
  <si>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</si>
  <si>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</si>
  <si>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</si>
  <si>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</si>
  <si>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</si>
  <si>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</si>
  <si>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</si>
  <si>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</si>
  <si>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</si>
  <si>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</si>
  <si>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</si>
  <si>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</si>
  <si>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</si>
  <si>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</si>
  <si>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</si>
  <si>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</si>
  <si>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</si>
  <si>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</si>
  <si>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</si>
  <si>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</si>
  <si>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</si>
  <si>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</si>
  <si>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</si>
  <si>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</si>
  <si>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</si>
  <si>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</si>
  <si>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</si>
  <si>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</si>
  <si>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</si>
  <si>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</si>
  <si>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</si>
  <si>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</si>
  <si>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</si>
  <si>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</si>
  <si>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</si>
  <si>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</si>
  <si>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</si>
  <si>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</si>
  <si>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</si>
  <si>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</si>
  <si>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</si>
  <si>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</si>
  <si>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</si>
  <si>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</si>
  <si>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</si>
  <si>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</si>
  <si>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</si>
  <si>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</si>
  <si>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</si>
  <si>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</si>
  <si>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</si>
  <si>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</si>
  <si>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</si>
  <si>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</si>
  <si>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</si>
  <si>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</si>
  <si>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</si>
  <si>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</si>
  <si>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</si>
  <si>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</si>
  <si>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</si>
  <si>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</si>
  <si>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</si>
  <si>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</si>
  <si>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</si>
  <si>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</si>
  <si>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</si>
  <si>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</si>
  <si>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</si>
  <si>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</si>
  <si>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</si>
  <si>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</si>
  <si>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</si>
  <si>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</si>
  <si>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</si>
  <si>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</si>
  <si>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</si>
  <si>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</si>
  <si>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</si>
  <si>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</si>
  <si>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</si>
  <si>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</si>
  <si>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</si>
  <si>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</si>
  <si>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</si>
  <si>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</si>
  <si>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</si>
  <si>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</si>
  <si>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</si>
  <si>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</si>
  <si>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</si>
  <si>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</si>
  <si>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</si>
  <si>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</si>
  <si>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</si>
  <si>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</si>
  <si>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</si>
  <si>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</si>
  <si>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</si>
  <si>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</si>
  <si>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</si>
  <si>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</si>
  <si>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</si>
  <si>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</si>
  <si>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</si>
  <si>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</si>
  <si>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</si>
  <si>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</si>
  <si>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</si>
  <si>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</si>
  <si>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</si>
  <si>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</si>
  <si>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</si>
  <si>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</si>
  <si>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</si>
  <si>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</si>
  <si>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</si>
  <si>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</si>
  <si>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</si>
  <si>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</si>
  <si>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</si>
  <si>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</si>
  <si>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</si>
  <si>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</si>
  <si>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</si>
  <si>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</si>
  <si>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</si>
  <si>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</si>
  <si>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</si>
  <si>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</si>
  <si>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</si>
  <si>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</si>
  <si>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</si>
  <si>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</si>
  <si>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</si>
  <si>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</si>
  <si>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</si>
  <si>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</si>
  <si>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</si>
  <si>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</si>
  <si>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</si>
  <si>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</si>
  <si>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</si>
  <si>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</si>
  <si>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</si>
  <si>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</si>
  <si>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</si>
  <si>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</si>
  <si>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</si>
  <si>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</si>
  <si>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</si>
  <si>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</si>
  <si>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</si>
  <si>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</si>
  <si>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</si>
  <si>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</si>
  <si>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</si>
  <si>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</si>
  <si>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</si>
  <si>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</si>
  <si>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</si>
  <si>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</si>
  <si>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</si>
  <si>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</si>
  <si>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</si>
  <si>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</si>
  <si>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</si>
  <si>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</si>
  <si>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</si>
  <si>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</si>
  <si>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</si>
  <si>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</si>
  <si>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</si>
  <si>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</si>
  <si>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</si>
  <si>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</si>
  <si>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</si>
  <si>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</si>
  <si>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</si>
  <si>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</si>
  <si>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</si>
  <si>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</si>
  <si>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</si>
  <si>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</si>
  <si>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</si>
  <si>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</si>
  <si>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</si>
  <si>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</si>
  <si>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</si>
  <si>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</si>
  <si>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</si>
  <si>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</si>
  <si>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</si>
  <si>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</si>
  <si>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</si>
  <si>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</si>
  <si>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</si>
  <si>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</si>
  <si>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</si>
  <si>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</si>
  <si>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</si>
  <si>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</si>
  <si>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</si>
  <si>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</si>
  <si>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</si>
  <si>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</si>
  <si>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</si>
  <si>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</si>
  <si>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</si>
  <si>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</si>
  <si>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</si>
  <si>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</si>
  <si>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</si>
  <si>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</si>
  <si>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</si>
  <si>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</si>
  <si>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</si>
  <si>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</si>
  <si>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</si>
  <si>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</si>
  <si>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</si>
  <si>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</si>
  <si>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</si>
  <si>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</si>
  <si>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</si>
  <si>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</si>
  <si>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</si>
  <si>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</si>
  <si>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</si>
  <si>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</si>
  <si>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</si>
  <si>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</si>
  <si>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</si>
  <si>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</si>
  <si>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</si>
  <si>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</si>
  <si>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</si>
  <si>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</si>
  <si>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</si>
  <si>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</si>
  <si>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</si>
  <si>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</si>
  <si>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</si>
  <si>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</si>
  <si>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</si>
  <si>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</si>
  <si>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</si>
  <si>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</si>
  <si>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</si>
  <si>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</si>
  <si>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</si>
  <si>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</si>
  <si>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</si>
  <si>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</si>
  <si>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</si>
  <si>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</si>
  <si>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</si>
  <si>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</si>
  <si>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</si>
  <si>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</si>
  <si>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</si>
  <si>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</si>
  <si>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</si>
  <si>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</si>
  <si>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</si>
  <si>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</si>
  <si>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</si>
  <si>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</si>
  <si>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</si>
  <si>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</si>
  <si>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</si>
  <si>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</si>
  <si>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</si>
  <si>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</si>
  <si>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</si>
  <si>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</si>
  <si>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</si>
  <si>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</si>
  <si>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</si>
  <si>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</si>
  <si>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</si>
  <si>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</si>
  <si>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</si>
  <si>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</si>
  <si>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</si>
  <si>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</si>
  <si>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</si>
  <si>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</si>
  <si>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</si>
  <si>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</si>
  <si>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</si>
  <si>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</si>
  <si>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</si>
  <si>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</si>
  <si>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</si>
  <si>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</si>
  <si>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</si>
  <si>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</si>
  <si>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</si>
  <si>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</si>
  <si>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</si>
  <si>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</si>
  <si>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</si>
  <si>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</si>
  <si>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</si>
  <si>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</si>
  <si>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</si>
  <si>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</si>
  <si>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</si>
  <si>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</si>
  <si>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</si>
  <si>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</si>
  <si>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</si>
  <si>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</si>
  <si>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</si>
  <si>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</si>
  <si>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</si>
  <si>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</si>
  <si>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</si>
  <si>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</si>
  <si>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</si>
  <si>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</si>
  <si>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</si>
  <si>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</si>
  <si>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</si>
  <si>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</si>
  <si>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</si>
  <si>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</si>
  <si>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</si>
  <si>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</si>
  <si>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</si>
  <si>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</si>
  <si>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</si>
  <si>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</si>
  <si>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</si>
  <si>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</si>
  <si>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</si>
  <si>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</si>
  <si>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</si>
  <si>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</si>
  <si>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</si>
  <si>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</si>
  <si>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</si>
  <si>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</si>
  <si>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</si>
  <si>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</si>
  <si>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</si>
  <si>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</si>
  <si>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</si>
  <si>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</si>
  <si>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</si>
  <si>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</si>
  <si>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</si>
  <si>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</si>
  <si>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</si>
  <si>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</si>
  <si>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</si>
  <si>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</si>
  <si>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</si>
  <si>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</si>
  <si>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</si>
  <si>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</si>
  <si>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</si>
  <si>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</si>
  <si>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</si>
  <si>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</si>
  <si>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</si>
  <si>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</si>
  <si>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</si>
  <si>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</si>
  <si>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</si>
  <si>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</si>
  <si>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</si>
  <si>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</si>
  <si>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</si>
  <si>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</si>
  <si>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</si>
  <si>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</si>
  <si>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</si>
  <si>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</si>
  <si>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</si>
  <si>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</si>
  <si>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</si>
  <si>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</si>
  <si>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</si>
  <si>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</si>
  <si>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</si>
  <si>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</si>
  <si>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</si>
  <si>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</si>
  <si>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</si>
  <si>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</si>
  <si>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</si>
  <si>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</si>
  <si>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</si>
  <si>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</si>
  <si>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</si>
  <si>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</si>
  <si>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</si>
  <si>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</si>
  <si>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</si>
  <si>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</si>
  <si>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</si>
  <si>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</si>
  <si>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</si>
  <si>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</si>
  <si>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</si>
  <si>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</si>
  <si>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</si>
  <si>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</si>
  <si>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</si>
  <si>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</si>
  <si>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</si>
  <si>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</si>
  <si>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</si>
  <si>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</si>
  <si>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</si>
  <si>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</si>
  <si>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</si>
  <si>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</si>
  <si>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</si>
  <si>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</si>
  <si>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</si>
  <si>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</si>
  <si>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</si>
  <si>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</si>
  <si>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</si>
  <si>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</si>
  <si>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</si>
  <si>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</si>
  <si>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</si>
  <si>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</si>
  <si>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</si>
  <si>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</si>
  <si>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</si>
  <si>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</si>
  <si>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</si>
  <si>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</si>
  <si>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</si>
  <si>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</si>
  <si>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</si>
  <si>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</si>
  <si>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</si>
  <si>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</si>
  <si>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</si>
  <si>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</si>
  <si>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</si>
  <si>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</si>
  <si>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</si>
  <si>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</si>
  <si>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</si>
  <si>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</si>
  <si>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</si>
  <si>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</si>
  <si>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</si>
  <si>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</si>
  <si>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</si>
  <si>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</si>
  <si>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</si>
  <si>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</si>
  <si>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</si>
  <si>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</si>
  <si>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</si>
  <si>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</si>
  <si>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</si>
  <si>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</si>
  <si>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</si>
  <si>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</si>
  <si>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</si>
  <si>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</si>
  <si>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</si>
  <si>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</si>
  <si>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</si>
  <si>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</si>
  <si>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</si>
  <si>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</si>
  <si>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</si>
  <si>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</si>
  <si>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</si>
  <si>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</si>
  <si>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</si>
  <si>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</si>
  <si>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</si>
  <si>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</si>
  <si>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</si>
  <si>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</si>
  <si>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</si>
  <si>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</si>
  <si>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</si>
  <si>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</si>
  <si>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</si>
  <si>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</si>
  <si>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</si>
  <si>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</si>
  <si>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</si>
  <si>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</si>
  <si>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</si>
  <si>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</si>
  <si>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</si>
  <si>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</si>
  <si>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</si>
  <si>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</si>
  <si>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</si>
  <si>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</si>
  <si>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</si>
  <si>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</si>
  <si>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</si>
  <si>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</si>
  <si>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</si>
  <si>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</si>
  <si>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</si>
  <si>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</si>
  <si>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</si>
  <si>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</si>
  <si>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</si>
  <si>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</si>
  <si>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</si>
  <si>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</si>
  <si>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</si>
  <si>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</si>
  <si>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</si>
  <si>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</si>
  <si>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</si>
  <si>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</si>
  <si>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</si>
  <si>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</si>
  <si>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</si>
  <si>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</si>
  <si>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</si>
  <si>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</si>
  <si>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</si>
  <si>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</si>
  <si>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</si>
  <si>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</si>
  <si>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</si>
  <si>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</si>
  <si>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</si>
  <si>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</si>
  <si>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</si>
  <si>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</si>
  <si>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</si>
  <si>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</si>
  <si>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</si>
  <si>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</si>
  <si>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</si>
  <si>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</si>
  <si>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</si>
  <si>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</si>
  <si>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</si>
  <si>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</si>
  <si>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</si>
  <si>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</si>
  <si>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</si>
  <si>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</si>
  <si>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</si>
  <si>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</si>
  <si>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</si>
  <si>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</si>
  <si>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</si>
  <si>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</si>
  <si>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</si>
  <si>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</si>
  <si>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</si>
  <si>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</si>
  <si>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</si>
  <si>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</si>
  <si>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</si>
  <si>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</si>
  <si>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</si>
  <si>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</si>
  <si>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</si>
  <si>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</si>
  <si>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</si>
  <si>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</si>
  <si>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</si>
  <si>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</si>
  <si>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</si>
  <si>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</si>
  <si>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</si>
  <si>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</si>
  <si>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</si>
  <si>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</si>
  <si>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</si>
  <si>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</si>
  <si>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</si>
  <si>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</si>
  <si>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</si>
  <si>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</si>
  <si>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</si>
  <si>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</si>
  <si>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</si>
  <si>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</si>
  <si>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</si>
  <si>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</si>
  <si>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</si>
  <si>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</si>
  <si>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</si>
  <si>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</si>
  <si>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</si>
  <si>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</si>
  <si>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</si>
  <si>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</si>
  <si>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</si>
  <si>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</si>
  <si>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</si>
  <si>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</si>
  <si>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</si>
  <si>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</si>
  <si>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</si>
  <si>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</si>
  <si>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</si>
  <si>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</si>
  <si>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</si>
  <si>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</si>
  <si>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</si>
  <si>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</si>
  <si>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</si>
  <si>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</si>
  <si>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</si>
  <si>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</si>
  <si>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</si>
  <si>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</si>
  <si>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</si>
  <si>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</si>
  <si>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</si>
  <si>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</si>
  <si>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</si>
  <si>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</si>
  <si>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</si>
  <si>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</si>
  <si>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</si>
  <si>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</si>
  <si>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</si>
  <si>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</si>
  <si>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</si>
  <si>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</si>
  <si>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</si>
  <si>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</si>
  <si>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</si>
  <si>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</si>
  <si>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</si>
  <si>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</si>
  <si>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</si>
  <si>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</si>
  <si>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</si>
  <si>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</si>
  <si>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</si>
  <si>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</si>
  <si>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</si>
  <si>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</si>
  <si>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</si>
  <si>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</si>
  <si>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</si>
  <si>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</si>
  <si>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</si>
  <si>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</si>
  <si>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</si>
  <si>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</si>
  <si>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</si>
  <si>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</si>
  <si>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</si>
  <si>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</si>
  <si>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</si>
  <si>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</si>
  <si>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</si>
  <si>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</si>
  <si>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</si>
  <si>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</si>
  <si>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</si>
  <si>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</si>
  <si>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</si>
  <si>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</si>
  <si>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</si>
  <si>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</si>
  <si>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</si>
  <si>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</si>
  <si>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</si>
  <si>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</si>
  <si>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</si>
  <si>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</si>
  <si>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</si>
  <si>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</si>
  <si>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</si>
  <si>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</si>
  <si>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</si>
  <si>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</si>
  <si>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</si>
  <si>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</si>
  <si>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</si>
  <si>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</si>
  <si>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</si>
  <si>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</si>
  <si>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</si>
  <si>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</si>
  <si>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</si>
  <si>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</si>
  <si>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</si>
  <si>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</si>
  <si>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</si>
  <si>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</si>
  <si>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</si>
  <si>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</si>
  <si>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</si>
  <si>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</si>
  <si>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</si>
  <si>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</si>
  <si>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</si>
  <si>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</si>
  <si>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</si>
  <si>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</si>
  <si>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</si>
  <si>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</si>
  <si>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</si>
  <si>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</si>
  <si>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</si>
  <si>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</si>
  <si>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</si>
  <si>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</si>
  <si>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</si>
  <si>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</si>
  <si>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</si>
  <si>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</si>
  <si>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</si>
  <si>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</si>
  <si>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</si>
  <si>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</si>
  <si>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</si>
  <si>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</si>
  <si>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</si>
  <si>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</si>
  <si>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</si>
  <si>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</si>
  <si>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</si>
  <si>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</si>
  <si>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</si>
  <si>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</si>
  <si>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</si>
  <si>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</si>
  <si>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</si>
  <si>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</si>
  <si>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</si>
  <si>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</si>
  <si>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</si>
  <si>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</si>
  <si>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</si>
  <si>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</si>
  <si>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</si>
  <si>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</si>
  <si>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</si>
  <si>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</si>
  <si>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</si>
  <si>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</si>
  <si>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</si>
  <si>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</si>
  <si>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</si>
  <si>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</si>
  <si>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</si>
  <si>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</si>
  <si>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</si>
  <si>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</si>
  <si>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</si>
  <si>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</si>
  <si>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</si>
  <si>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</si>
  <si>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</si>
  <si>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</si>
  <si>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</si>
  <si>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</si>
  <si>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</si>
  <si>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</si>
  <si>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</si>
  <si>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</si>
  <si>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</si>
  <si>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</si>
  <si>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</si>
  <si>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</si>
  <si>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</si>
  <si>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</si>
  <si>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</si>
  <si>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</si>
  <si>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</si>
  <si>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</si>
  <si>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</si>
  <si>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</si>
  <si>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</si>
  <si>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</si>
  <si>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</si>
  <si>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</si>
  <si>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</si>
  <si>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</si>
  <si>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</si>
  <si>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</si>
  <si>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</si>
  <si>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</si>
  <si>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</si>
  <si>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</si>
  <si>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</si>
  <si>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</si>
  <si>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</si>
  <si>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</si>
  <si>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</si>
  <si>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</si>
  <si>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</si>
  <si>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</si>
  <si>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</si>
  <si>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</si>
  <si>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</si>
  <si>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</si>
  <si>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</si>
  <si>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</si>
  <si>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</si>
  <si>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</si>
  <si>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</si>
  <si>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</si>
  <si>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</si>
  <si>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</si>
  <si>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</si>
  <si>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</si>
  <si>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</si>
  <si>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</si>
  <si>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</si>
  <si>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</si>
  <si>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</si>
  <si>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</si>
  <si>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</si>
  <si>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</si>
  <si>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</si>
  <si>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</si>
  <si>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</si>
  <si>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</si>
  <si>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</si>
  <si>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</si>
  <si>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</si>
  <si>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</si>
  <si>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</si>
  <si>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</si>
  <si>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</si>
  <si>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</si>
  <si>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</si>
  <si>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</si>
  <si>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</si>
  <si>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</si>
  <si>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</si>
  <si>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</si>
  <si>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</si>
  <si>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</si>
  <si>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</si>
  <si>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</si>
  <si>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</si>
  <si>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</si>
  <si>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</si>
  <si>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</si>
  <si>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</si>
  <si>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</si>
  <si>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</si>
  <si>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</si>
  <si>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</si>
  <si>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</si>
  <si>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</si>
  <si>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</si>
  <si>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</si>
  <si>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</si>
  <si>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</si>
  <si>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</si>
  <si>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</si>
  <si>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</si>
  <si>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</si>
  <si>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</si>
  <si>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</si>
  <si>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</si>
  <si>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</si>
  <si>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</si>
  <si>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</si>
  <si>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</si>
  <si>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</si>
  <si>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</si>
  <si>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</si>
  <si>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</si>
  <si>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</si>
  <si>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</si>
  <si>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</si>
  <si>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</si>
  <si>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</si>
  <si>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</si>
  <si>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</si>
  <si>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</si>
  <si>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</si>
  <si>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</si>
  <si>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</si>
  <si>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</si>
  <si>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</si>
  <si>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</si>
  <si>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</si>
  <si>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</si>
  <si>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</si>
  <si>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</si>
  <si>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</si>
  <si>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</si>
  <si>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</si>
  <si>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</si>
  <si>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</si>
  <si>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</si>
  <si>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</si>
  <si>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</si>
  <si>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</si>
  <si>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</si>
  <si>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</si>
  <si>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</si>
  <si>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</si>
  <si>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</si>
  <si>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</si>
  <si>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</si>
  <si>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</si>
  <si>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</si>
  <si>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</si>
  <si>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</si>
  <si>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</si>
  <si>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</si>
  <si>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</si>
  <si>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</si>
  <si>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</si>
  <si>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</si>
  <si>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</si>
  <si>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</si>
  <si>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</si>
  <si>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</si>
  <si>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</si>
  <si>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</si>
  <si>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</si>
  <si>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</si>
  <si>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</si>
  <si>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</si>
  <si>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</si>
  <si>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</si>
  <si>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</si>
  <si>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</si>
  <si>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</si>
  <si>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</si>
  <si>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</si>
  <si>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</si>
  <si>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</si>
  <si>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</si>
  <si>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</si>
  <si>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</si>
  <si>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</si>
  <si>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</si>
  <si>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</si>
  <si>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</si>
  <si>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</si>
  <si>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</si>
  <si>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</si>
  <si>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</si>
  <si>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</si>
  <si>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</si>
  <si>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</si>
  <si>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</si>
  <si>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</si>
  <si>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</si>
  <si>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</si>
  <si>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</si>
  <si>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</si>
  <si>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</si>
  <si>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</si>
  <si>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</si>
  <si>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</si>
  <si>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</si>
  <si>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</si>
  <si>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</si>
  <si>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</si>
  <si>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</si>
  <si>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</si>
  <si>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</si>
  <si>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</si>
  <si>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</si>
  <si>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</si>
  <si>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</si>
  <si>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Giorgio Sorbino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</si>
  <si>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</si>
  <si>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</si>
  <si>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</si>
  <si>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</si>
  <si>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</si>
  <si>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</si>
  <si>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</si>
  <si>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</si>
  <si>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</si>
  <si>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</si>
  <si>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</si>
  <si>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</si>
  <si>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</si>
  <si>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</si>
  <si>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</si>
  <si>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</si>
  <si>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</si>
  <si>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</si>
  <si>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</si>
  <si>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</si>
  <si>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</si>
  <si>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</si>
  <si>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</si>
  <si>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</si>
  <si>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</si>
  <si>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</si>
  <si>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</si>
  <si>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</si>
  <si>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</si>
  <si>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</si>
  <si>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</si>
  <si>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</si>
  <si>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</si>
  <si>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</si>
  <si>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</si>
  <si>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</si>
  <si>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</si>
  <si>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</si>
  <si>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</si>
  <si>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</si>
  <si>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</si>
  <si>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</si>
  <si>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</si>
  <si>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</si>
  <si>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</si>
  <si>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</si>
  <si>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</si>
  <si>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</si>
  <si>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</si>
  <si>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</si>
  <si>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</si>
  <si>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</si>
  <si>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</si>
  <si>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</si>
  <si>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</si>
  <si>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</si>
  <si>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</si>
  <si>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</si>
  <si>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</si>
  <si>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</si>
  <si>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</si>
  <si>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</si>
  <si>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</si>
  <si>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</si>
  <si>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</si>
  <si>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</si>
  <si>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</si>
  <si>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</si>
  <si>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</si>
  <si>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</si>
  <si>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</si>
  <si>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</si>
  <si>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</si>
  <si>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</si>
  <si>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</si>
  <si>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</si>
  <si>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</si>
  <si>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</si>
  <si>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</si>
  <si>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</si>
  <si>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</si>
  <si>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</si>
  <si>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</si>
  <si>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</si>
  <si>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</si>
  <si>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</si>
  <si>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</si>
  <si>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</si>
  <si>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</si>
  <si>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</si>
  <si>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</si>
  <si>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</si>
  <si>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</si>
  <si>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</si>
  <si>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</si>
  <si>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</si>
  <si>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</si>
  <si>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</si>
  <si>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</si>
  <si>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</si>
  <si>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</si>
  <si>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</si>
  <si>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</si>
  <si>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</si>
  <si>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</si>
  <si>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</si>
  <si>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</si>
  <si>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</si>
  <si>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</si>
  <si>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</si>
  <si>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</si>
  <si>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</si>
  <si>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</si>
  <si>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</si>
  <si>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</si>
  <si>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</si>
  <si>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</si>
  <si>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</si>
  <si>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</si>
  <si>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</si>
  <si>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</si>
  <si>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</si>
  <si>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</si>
  <si>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</si>
  <si>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</si>
  <si>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</si>
  <si>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</si>
  <si>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</si>
  <si>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</si>
  <si>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</si>
  <si>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</si>
  <si>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</si>
  <si>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</si>
  <si>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</si>
  <si>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</si>
  <si>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</si>
  <si>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</si>
  <si>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</si>
  <si>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</si>
  <si>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</si>
  <si>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</si>
  <si>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</si>
  <si>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</si>
  <si>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</si>
  <si>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</si>
  <si>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</si>
  <si>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</si>
  <si>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</si>
  <si>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</si>
  <si>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</si>
  <si>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</si>
  <si>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</si>
  <si>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</si>
  <si>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</si>
  <si>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</si>
  <si>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</si>
  <si>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</si>
  <si>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</si>
  <si>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</si>
  <si>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</si>
  <si>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</si>
  <si>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</si>
  <si>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</si>
  <si>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</si>
  <si>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</si>
  <si>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</si>
  <si>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</si>
  <si>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</si>
  <si>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</si>
  <si>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</si>
  <si>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</si>
  <si>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</si>
  <si>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</si>
  <si>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</si>
  <si>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</si>
  <si>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</si>
  <si>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</si>
  <si>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</si>
  <si>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</si>
  <si>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</si>
  <si>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</si>
  <si>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</si>
  <si>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</si>
  <si>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</si>
  <si>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</si>
  <si>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</si>
  <si>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</si>
  <si>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</si>
  <si>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</si>
  <si>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</si>
  <si>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</si>
  <si>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</si>
  <si>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</si>
  <si>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</si>
  <si>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</si>
  <si>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</si>
  <si>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</si>
  <si>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</si>
  <si>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</si>
  <si>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</si>
  <si>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</si>
  <si>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</si>
  <si>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</si>
  <si>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</si>
  <si>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</si>
  <si>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</si>
  <si>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</si>
  <si>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</si>
  <si>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</si>
  <si>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</si>
  <si>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</si>
  <si>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</si>
  <si>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</si>
  <si>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</si>
  <si>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</si>
  <si>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</si>
  <si>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</si>
  <si>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</si>
  <si>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</si>
  <si>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</si>
  <si>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</si>
  <si>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</si>
  <si>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</si>
  <si>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</si>
  <si>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</si>
  <si>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</si>
  <si>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</si>
  <si>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</si>
  <si>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</si>
  <si>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</si>
  <si>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</si>
  <si>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</si>
  <si>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</si>
  <si>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</si>
  <si>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</si>
  <si>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</si>
  <si>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</si>
  <si>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</si>
  <si>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</si>
  <si>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</si>
  <si>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</si>
  <si>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</si>
  <si>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</si>
  <si>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</si>
  <si>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</si>
  <si>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</si>
  <si>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</si>
  <si>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</si>
  <si>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</si>
  <si>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</si>
  <si>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</si>
  <si>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</si>
  <si>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</si>
  <si>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</si>
  <si>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</si>
  <si>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</si>
  <si>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</si>
  <si>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</si>
  <si>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</si>
  <si>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</si>
  <si>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</si>
  <si>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</si>
  <si>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</si>
  <si>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</si>
  <si>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</si>
  <si>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</si>
  <si>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</si>
  <si>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</si>
  <si>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</si>
  <si>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</si>
  <si>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</si>
  <si>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</si>
  <si>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</si>
  <si>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</si>
  <si>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</si>
  <si>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</si>
  <si>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</si>
  <si>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</si>
  <si>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</si>
  <si>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</si>
  <si>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</si>
  <si>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</si>
  <si>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</si>
  <si>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</si>
  <si>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</si>
  <si>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</si>
  <si>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</si>
  <si>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</si>
  <si>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</si>
  <si>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</si>
  <si>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</si>
  <si>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</si>
  <si>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</si>
  <si>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</si>
  <si>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</si>
  <si>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</si>
  <si>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</si>
  <si>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</si>
  <si>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</si>
  <si>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</si>
  <si>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</si>
  <si>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</si>
  <si>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</si>
  <si>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</si>
  <si>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</si>
  <si>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</si>
  <si>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</si>
  <si>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</si>
  <si>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</si>
  <si>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</si>
  <si>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</si>
  <si>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</si>
  <si>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</si>
  <si>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</si>
  <si>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</si>
  <si>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</si>
  <si>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</si>
  <si>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</si>
  <si>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</si>
  <si>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</si>
  <si>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</si>
  <si>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</si>
  <si>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</si>
  <si>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</si>
  <si>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</si>
  <si>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</si>
  <si>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</si>
  <si>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</si>
  <si>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</si>
  <si>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</si>
  <si>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</si>
  <si>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</si>
  <si>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</si>
  <si>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</si>
  <si>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</si>
  <si>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</si>
  <si>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</si>
  <si>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</si>
  <si>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</si>
  <si>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</si>
  <si>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</si>
  <si>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</si>
  <si>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</si>
  <si>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</si>
  <si>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</si>
  <si>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</si>
  <si>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</si>
  <si>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</si>
  <si>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</si>
  <si>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</si>
  <si>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</si>
  <si>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</si>
  <si>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</si>
  <si>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</si>
  <si>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</si>
  <si>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</si>
  <si>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</si>
  <si>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</si>
  <si>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</si>
  <si>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</si>
  <si>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</si>
  <si>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</si>
  <si>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</si>
  <si>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</si>
  <si>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</si>
  <si>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</si>
  <si>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</si>
  <si>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</si>
  <si>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</si>
  <si>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</si>
  <si>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</si>
  <si>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</si>
  <si>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</si>
  <si>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</si>
  <si>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</si>
  <si>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</si>
  <si>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</si>
  <si>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</si>
  <si>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</si>
  <si>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</si>
  <si>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</si>
  <si>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</si>
  <si>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</si>
  <si>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</si>
  <si>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</si>
  <si>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</si>
  <si>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</si>
  <si>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</si>
  <si>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</si>
  <si>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</si>
  <si>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</si>
  <si>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</si>
  <si>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</si>
  <si>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</si>
  <si>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</si>
  <si>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</si>
  <si>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</si>
  <si>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</si>
  <si>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</si>
  <si>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</si>
  <si>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</si>
  <si>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</si>
  <si>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</si>
  <si>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</si>
  <si>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</si>
  <si>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</si>
  <si>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</si>
  <si>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</si>
  <si>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</si>
  <si>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</si>
  <si>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</si>
  <si>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</si>
  <si>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</si>
  <si>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</si>
  <si>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</si>
  <si>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</si>
  <si>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</si>
  <si>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</si>
  <si>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</si>
  <si>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</si>
  <si>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</si>
  <si>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</si>
  <si>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</si>
  <si>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</si>
  <si>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</si>
  <si>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</si>
  <si>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</si>
  <si>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</si>
  <si>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</si>
  <si>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</si>
  <si>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</si>
  <si>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</si>
  <si>
    <t>Gandhi</t>
  </si>
  <si>
    <t>indiana</t>
  </si>
  <si>
    <t>Via Pellegrino Matteucci, 124</t>
  </si>
  <si>
    <t>06/64420047</t>
  </si>
  <si>
    <t>Gelabakery</t>
  </si>
  <si>
    <t>gelateria / pasticceria</t>
  </si>
  <si>
    <t>351/9236312</t>
  </si>
  <si>
    <t>Via dei Colombi, 59 B/C</t>
  </si>
  <si>
    <t>Torre Maura</t>
  </si>
  <si>
    <t>41.86962392680513, 12.593240551998313</t>
  </si>
  <si>
    <t>Tibibbo</t>
  </si>
  <si>
    <t>wine bar</t>
  </si>
  <si>
    <t>Via Poggio Ameno, 52</t>
  </si>
  <si>
    <t>370/3741308</t>
  </si>
  <si>
    <t>tre piatti diversi e un calice</t>
  </si>
  <si>
    <t>41.847407047892766, 12.489860861650634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</si>
</sst>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11"/>
  <sheetViews>
    <sheetView tabSelected="1" topLeftCell="B1" zoomScaleNormal="100" workbookViewId="0">
      <pane ySplit="7" topLeftCell="A427" activePane="bottomLeft" state="frozen"/>
      <selection pane="bottomLeft" activeCell="B433" sqref="A433:XFD433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130</v>
      </c>
      <c r="F3" s="5">
        <f>+AD6</f>
        <v>132</v>
      </c>
      <c r="G3" s="5">
        <f>+AF6</f>
        <v>127</v>
      </c>
      <c r="H3" s="5">
        <f>+E3-G3</f>
        <v>3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334</v>
      </c>
      <c r="F4" s="7">
        <f>+AE6</f>
        <v>304</v>
      </c>
      <c r="G4" s="7">
        <f>+AG6</f>
        <v>268</v>
      </c>
      <c r="H4" s="5">
        <f>+E4-G4</f>
        <v>66</v>
      </c>
      <c r="I4" s="22" t="s">
        <v>10</v>
      </c>
      <c r="J4" s="23" t="s">
        <v>560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464</v>
      </c>
      <c r="F5" s="8">
        <f>+F3+F4</f>
        <v>436</v>
      </c>
      <c r="G5" s="8">
        <f>+G3+G4</f>
        <v>395</v>
      </c>
      <c r="H5" s="8">
        <f>+H3+H4</f>
        <v>69</v>
      </c>
      <c r="I5" s="30" t="s">
        <v>16</v>
      </c>
      <c r="J5" s="25" t="s">
        <v>559</v>
      </c>
      <c r="K5" s="26" t="s">
        <v>41</v>
      </c>
      <c r="M5" s="17"/>
      <c r="N5" s="17"/>
      <c r="Q5" s="9"/>
      <c r="S5" s="9">
        <f t="shared" ref="S5:AB5" si="0">SUM(S8:S2454)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23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SUM(AD8:AD1723)</f>
        <v>132</v>
      </c>
      <c r="AE6" s="1">
        <f t="shared" si="1"/>
        <v>304</v>
      </c>
      <c r="AF6" s="1">
        <f t="shared" si="1"/>
        <v>127</v>
      </c>
      <c r="AG6" s="1">
        <f t="shared" si="1"/>
        <v>268</v>
      </c>
      <c r="AH6" s="1">
        <f t="shared" si="1"/>
        <v>130</v>
      </c>
      <c r="AI6" s="1">
        <f t="shared" si="1"/>
        <v>334</v>
      </c>
    </row>
    <row r="7" spans="1:35" s="61" customFormat="1" ht="14.25" customHeight="1" x14ac:dyDescent="0.25">
      <c r="A7" s="27" t="s">
        <v>1342</v>
      </c>
      <c r="B7" s="27" t="s">
        <v>1343</v>
      </c>
      <c r="C7" s="27" t="s">
        <v>1344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1345</v>
      </c>
      <c r="K7" s="27" t="s">
        <v>1600</v>
      </c>
      <c r="L7" s="27" t="s">
        <v>17</v>
      </c>
      <c r="M7" s="29" t="s">
        <v>1346</v>
      </c>
      <c r="N7" s="28" t="s">
        <v>0</v>
      </c>
      <c r="O7" s="18" t="s">
        <v>1</v>
      </c>
      <c r="P7" s="18" t="s">
        <v>2</v>
      </c>
      <c r="Q7" s="29" t="s">
        <v>1839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890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724</v>
      </c>
      <c r="L8" s="33">
        <v>200</v>
      </c>
      <c r="M8" s="34" t="s">
        <v>39</v>
      </c>
      <c r="N8" s="34" t="s">
        <v>1704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1558</v>
      </c>
      <c r="E9" s="32" t="s">
        <v>170</v>
      </c>
      <c r="F9" s="32" t="s">
        <v>1508</v>
      </c>
      <c r="G9" s="32" t="s">
        <v>39</v>
      </c>
      <c r="H9" s="32" t="s">
        <v>361</v>
      </c>
      <c r="I9" s="31" t="s">
        <v>1509</v>
      </c>
      <c r="J9" s="31">
        <v>99</v>
      </c>
      <c r="K9" s="33" t="s">
        <v>945</v>
      </c>
      <c r="L9" s="33" t="s">
        <v>1667</v>
      </c>
      <c r="M9" s="34" t="s">
        <v>1350</v>
      </c>
      <c r="N9" s="34" t="s">
        <v>1693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31">
        <v>0</v>
      </c>
      <c r="B10" s="31">
        <v>1</v>
      </c>
      <c r="C10" s="31">
        <v>1</v>
      </c>
      <c r="D10" s="32" t="s">
        <v>149</v>
      </c>
      <c r="E10" s="32" t="s">
        <v>170</v>
      </c>
      <c r="F10" s="32" t="s">
        <v>349</v>
      </c>
      <c r="G10" s="32" t="s">
        <v>177</v>
      </c>
      <c r="H10" s="32" t="s">
        <v>352</v>
      </c>
      <c r="I10" s="31" t="s">
        <v>494</v>
      </c>
      <c r="J10" s="31">
        <v>1</v>
      </c>
      <c r="K10" s="33" t="s">
        <v>945</v>
      </c>
      <c r="L10" s="33" t="s">
        <v>1668</v>
      </c>
      <c r="M10" s="34" t="s">
        <v>1347</v>
      </c>
      <c r="N10" s="34" t="s">
        <v>1808</v>
      </c>
      <c r="O10" s="35">
        <v>1</v>
      </c>
      <c r="P10" s="35"/>
      <c r="Q10" s="32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1</v>
      </c>
      <c r="AF10" s="1">
        <f t="shared" si="3"/>
        <v>0</v>
      </c>
      <c r="AG10" s="1">
        <f t="shared" si="4"/>
        <v>1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1013</v>
      </c>
      <c r="E11" s="32" t="s">
        <v>173</v>
      </c>
      <c r="F11" s="32" t="s">
        <v>1071</v>
      </c>
      <c r="G11" s="32" t="s">
        <v>39</v>
      </c>
      <c r="H11" s="32" t="s">
        <v>1014</v>
      </c>
      <c r="I11" s="31" t="s">
        <v>1093</v>
      </c>
      <c r="J11" s="31">
        <v>16</v>
      </c>
      <c r="K11" s="33" t="s">
        <v>943</v>
      </c>
      <c r="L11" s="33">
        <v>45</v>
      </c>
      <c r="M11" s="34" t="s">
        <v>1348</v>
      </c>
      <c r="N11" s="34" t="s">
        <v>1784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947</v>
      </c>
      <c r="L12" s="33" t="s">
        <v>1671</v>
      </c>
      <c r="M12" s="34" t="s">
        <v>1100</v>
      </c>
      <c r="N12" s="34" t="s">
        <v>1760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31">
        <v>0</v>
      </c>
      <c r="B13" s="31">
        <v>1</v>
      </c>
      <c r="C13" s="31">
        <v>1</v>
      </c>
      <c r="D13" s="32" t="s">
        <v>139</v>
      </c>
      <c r="E13" s="32" t="s">
        <v>170</v>
      </c>
      <c r="F13" s="32" t="s">
        <v>338</v>
      </c>
      <c r="G13" s="32" t="s">
        <v>339</v>
      </c>
      <c r="H13" s="32" t="s">
        <v>352</v>
      </c>
      <c r="I13" s="31" t="s">
        <v>485</v>
      </c>
      <c r="J13" s="31">
        <v>10</v>
      </c>
      <c r="K13" s="33" t="s">
        <v>945</v>
      </c>
      <c r="L13" s="33" t="s">
        <v>1672</v>
      </c>
      <c r="M13" s="34" t="s">
        <v>1100</v>
      </c>
      <c r="N13" s="34" t="s">
        <v>1760</v>
      </c>
      <c r="O13" s="35">
        <v>1</v>
      </c>
      <c r="P13" s="35"/>
      <c r="Q13" s="32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1</v>
      </c>
      <c r="AF13" s="1">
        <f t="shared" ref="AF13:AF19" si="19">+O13*P13*(1-A13)</f>
        <v>0</v>
      </c>
      <c r="AG13" s="1">
        <f t="shared" ref="AG13:AG19" si="20">O13*(1-P13)*(1-A13)</f>
        <v>1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1267</v>
      </c>
      <c r="G14" s="32" t="s">
        <v>239</v>
      </c>
      <c r="H14" s="32" t="s">
        <v>352</v>
      </c>
      <c r="I14" s="31" t="s">
        <v>1332</v>
      </c>
      <c r="J14" s="31">
        <v>1</v>
      </c>
      <c r="K14" s="33" t="s">
        <v>941</v>
      </c>
      <c r="L14" s="33" t="s">
        <v>1674</v>
      </c>
      <c r="M14" s="34" t="s">
        <v>1349</v>
      </c>
      <c r="N14" s="34" t="s">
        <v>1708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31">
        <v>0</v>
      </c>
      <c r="B15" s="31">
        <v>1</v>
      </c>
      <c r="C15" s="31">
        <v>1</v>
      </c>
      <c r="D15" s="32" t="s">
        <v>115</v>
      </c>
      <c r="E15" s="32" t="s">
        <v>170</v>
      </c>
      <c r="F15" s="32" t="s">
        <v>313</v>
      </c>
      <c r="G15" s="32" t="s">
        <v>185</v>
      </c>
      <c r="H15" s="32" t="s">
        <v>352</v>
      </c>
      <c r="I15" s="31" t="s">
        <v>460</v>
      </c>
      <c r="J15" s="31">
        <v>1</v>
      </c>
      <c r="K15" s="33" t="s">
        <v>945</v>
      </c>
      <c r="L15" s="33">
        <v>135</v>
      </c>
      <c r="M15" s="34" t="s">
        <v>2114</v>
      </c>
      <c r="N15" s="34" t="s">
        <v>1808</v>
      </c>
      <c r="O15" s="35">
        <v>1</v>
      </c>
      <c r="P15" s="35"/>
      <c r="Q15" s="32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1</v>
      </c>
      <c r="AF15" s="1">
        <f t="shared" si="19"/>
        <v>0</v>
      </c>
      <c r="AG15" s="1">
        <f t="shared" si="20"/>
        <v>1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1">
        <v>0</v>
      </c>
      <c r="B16" s="31">
        <v>1</v>
      </c>
      <c r="C16" s="31">
        <v>1</v>
      </c>
      <c r="D16" s="32" t="s">
        <v>109</v>
      </c>
      <c r="E16" s="32" t="s">
        <v>170</v>
      </c>
      <c r="F16" s="32" t="s">
        <v>307</v>
      </c>
      <c r="G16" s="32" t="s">
        <v>212</v>
      </c>
      <c r="H16" s="32" t="s">
        <v>352</v>
      </c>
      <c r="I16" s="31" t="s">
        <v>455</v>
      </c>
      <c r="J16" s="31">
        <v>1</v>
      </c>
      <c r="K16" s="33" t="s">
        <v>1664</v>
      </c>
      <c r="L16" s="33" t="s">
        <v>39</v>
      </c>
      <c r="M16" s="34" t="s">
        <v>39</v>
      </c>
      <c r="N16" s="34" t="s">
        <v>1699</v>
      </c>
      <c r="O16" s="35">
        <v>1</v>
      </c>
      <c r="P16" s="35">
        <v>1</v>
      </c>
      <c r="Q16" s="3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1</v>
      </c>
      <c r="AE16" s="1">
        <f t="shared" si="18"/>
        <v>0</v>
      </c>
      <c r="AF16" s="1">
        <f t="shared" si="19"/>
        <v>1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672</v>
      </c>
      <c r="F17" s="32" t="s">
        <v>1072</v>
      </c>
      <c r="G17" s="32" t="s">
        <v>39</v>
      </c>
      <c r="H17" s="32" t="s">
        <v>353</v>
      </c>
      <c r="I17" s="31" t="s">
        <v>1094</v>
      </c>
      <c r="J17" s="31">
        <v>11</v>
      </c>
      <c r="K17" s="33" t="s">
        <v>947</v>
      </c>
      <c r="L17" s="33" t="s">
        <v>1680</v>
      </c>
      <c r="M17" s="34" t="s">
        <v>1350</v>
      </c>
      <c r="N17" s="34" t="s">
        <v>1715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941</v>
      </c>
      <c r="L18" s="46">
        <v>75</v>
      </c>
      <c r="M18" s="47" t="s">
        <v>1350</v>
      </c>
      <c r="N18" s="47" t="s">
        <v>1761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946</v>
      </c>
      <c r="L19" s="33">
        <v>200</v>
      </c>
      <c r="M19" s="34" t="s">
        <v>39</v>
      </c>
      <c r="N19" s="34" t="s">
        <v>1808</v>
      </c>
      <c r="O19" s="35">
        <v>1</v>
      </c>
      <c r="P19" s="35"/>
      <c r="Q19" s="32"/>
      <c r="S19" s="1">
        <f t="shared" ref="S19:S81" si="23">IF(J19=$S$7,1,0)</f>
        <v>0</v>
      </c>
      <c r="T19" s="1">
        <f t="shared" ref="T19:T81" si="24">IF(J19=$T$7,1,0)</f>
        <v>0</v>
      </c>
      <c r="U19" s="1">
        <f t="shared" ref="U19:U81" si="25">IF(J19=$U$7,1,0)</f>
        <v>0</v>
      </c>
      <c r="V19" s="1">
        <f t="shared" ref="V19:V81" si="26">IF(J19=$V$7,1,0)</f>
        <v>0</v>
      </c>
      <c r="W19" s="1">
        <f t="shared" ref="W19:W81" si="27">IF(J19=$W$7,1,0)</f>
        <v>0</v>
      </c>
      <c r="X19" s="1">
        <f t="shared" ref="X19:X81" si="28">IF(J19=$X$7,1,0)</f>
        <v>0</v>
      </c>
      <c r="Y19" s="1">
        <f t="shared" ref="Y19:Y81" si="29">IF(J19=$Y$7,1,0)</f>
        <v>0</v>
      </c>
      <c r="Z19" s="1">
        <f t="shared" ref="Z19:Z81" si="30">IF(J19=$Z$7,1,0)</f>
        <v>0</v>
      </c>
      <c r="AA19" s="1">
        <f t="shared" ref="AA19:AA81" si="31">IF(J19=$AA$7,1,0)</f>
        <v>0</v>
      </c>
      <c r="AB19" s="1">
        <f t="shared" ref="AB19:AB81" si="32">IF(J19=$AB$7,1,0)</f>
        <v>0</v>
      </c>
      <c r="AD19" s="1">
        <f t="shared" ref="AD19:AD81" si="33">+O19*P19</f>
        <v>0</v>
      </c>
      <c r="AE19" s="1">
        <f t="shared" ref="AE19:AE81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948</v>
      </c>
      <c r="L20" s="33" t="s">
        <v>39</v>
      </c>
      <c r="M20" s="34" t="s">
        <v>39</v>
      </c>
      <c r="N20" s="34" t="s">
        <v>1699</v>
      </c>
      <c r="O20" s="35">
        <v>1</v>
      </c>
      <c r="P20" s="35">
        <v>1</v>
      </c>
      <c r="Q20" s="32" t="s">
        <v>1851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2" si="35">+O20*P20*(1-A20)</f>
        <v>1</v>
      </c>
      <c r="AG20" s="1">
        <f t="shared" ref="AG20:AG82" si="36">O20*(1-P20)*(1-A20)</f>
        <v>0</v>
      </c>
      <c r="AH20" s="1">
        <f t="shared" ref="AH20:AH82" si="37">+P20*(1-A20)</f>
        <v>1</v>
      </c>
      <c r="AI20" s="1">
        <f t="shared" ref="AI20:AI82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879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941</v>
      </c>
      <c r="L21" s="33" t="s">
        <v>39</v>
      </c>
      <c r="M21" s="34" t="s">
        <v>39</v>
      </c>
      <c r="N21" s="34" t="s">
        <v>1693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948</v>
      </c>
      <c r="L22" s="33" t="s">
        <v>39</v>
      </c>
      <c r="M22" s="34" t="s">
        <v>39</v>
      </c>
      <c r="N22" s="34" t="s">
        <v>1699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673</v>
      </c>
      <c r="F23" s="32" t="s">
        <v>337</v>
      </c>
      <c r="G23" s="32" t="s">
        <v>1144</v>
      </c>
      <c r="H23" s="32" t="s">
        <v>352</v>
      </c>
      <c r="I23" s="31" t="s">
        <v>483</v>
      </c>
      <c r="J23" s="31">
        <v>1</v>
      </c>
      <c r="K23" s="33" t="s">
        <v>941</v>
      </c>
      <c r="L23" s="33" t="s">
        <v>1672</v>
      </c>
      <c r="M23" s="34" t="s">
        <v>1100</v>
      </c>
      <c r="N23" s="34" t="s">
        <v>1704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1555</v>
      </c>
      <c r="E24" s="32" t="s">
        <v>170</v>
      </c>
      <c r="F24" s="32" t="s">
        <v>1556</v>
      </c>
      <c r="G24" s="32" t="s">
        <v>212</v>
      </c>
      <c r="H24" s="32" t="s">
        <v>352</v>
      </c>
      <c r="I24" s="31" t="s">
        <v>1557</v>
      </c>
      <c r="J24" s="31">
        <v>1</v>
      </c>
      <c r="K24" s="33" t="s">
        <v>947</v>
      </c>
      <c r="L24" s="33" t="s">
        <v>39</v>
      </c>
      <c r="M24" s="34" t="s">
        <v>39</v>
      </c>
      <c r="N24" s="34" t="s">
        <v>1693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1032</v>
      </c>
      <c r="E25" s="32" t="s">
        <v>170</v>
      </c>
      <c r="F25" s="32" t="s">
        <v>1076</v>
      </c>
      <c r="G25" s="32" t="s">
        <v>1019</v>
      </c>
      <c r="H25" s="32" t="s">
        <v>352</v>
      </c>
      <c r="I25" s="31" t="s">
        <v>1033</v>
      </c>
      <c r="J25" s="31">
        <v>99</v>
      </c>
      <c r="K25" s="33" t="s">
        <v>724</v>
      </c>
      <c r="L25" s="33">
        <v>150</v>
      </c>
      <c r="M25" s="34" t="s">
        <v>39</v>
      </c>
      <c r="N25" s="34" t="s">
        <v>1709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724</v>
      </c>
      <c r="L26" s="33" t="s">
        <v>39</v>
      </c>
      <c r="M26" s="34" t="s">
        <v>39</v>
      </c>
      <c r="N26" s="34" t="s">
        <v>1699</v>
      </c>
      <c r="O26" s="35">
        <v>1</v>
      </c>
      <c r="P26" s="35">
        <v>1</v>
      </c>
      <c r="Q26" s="32" t="s">
        <v>2109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945</v>
      </c>
      <c r="L27" s="33" t="s">
        <v>1681</v>
      </c>
      <c r="M27" s="34" t="s">
        <v>1351</v>
      </c>
      <c r="N27" s="34" t="s">
        <v>1760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948</v>
      </c>
      <c r="L28" s="33" t="s">
        <v>39</v>
      </c>
      <c r="M28" s="34" t="s">
        <v>39</v>
      </c>
      <c r="N28" s="34" t="s">
        <v>1699</v>
      </c>
      <c r="O28" s="35">
        <v>1</v>
      </c>
      <c r="P28" s="35">
        <v>1</v>
      </c>
      <c r="Q28" s="32" t="s">
        <v>1870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841</v>
      </c>
      <c r="E29" s="32" t="s">
        <v>170</v>
      </c>
      <c r="F29" s="32" t="s">
        <v>842</v>
      </c>
      <c r="G29" s="32" t="s">
        <v>219</v>
      </c>
      <c r="H29" s="32" t="s">
        <v>352</v>
      </c>
      <c r="I29" s="31" t="s">
        <v>843</v>
      </c>
      <c r="J29" s="31">
        <v>8</v>
      </c>
      <c r="K29" s="33" t="s">
        <v>945</v>
      </c>
      <c r="L29" s="33" t="s">
        <v>1676</v>
      </c>
      <c r="M29" s="34" t="s">
        <v>1527</v>
      </c>
      <c r="N29" s="34" t="s">
        <v>1716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941</v>
      </c>
      <c r="L30" s="33" t="s">
        <v>39</v>
      </c>
      <c r="M30" s="34" t="s">
        <v>39</v>
      </c>
      <c r="N30" s="34" t="s">
        <v>1699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945</v>
      </c>
      <c r="L31" s="46">
        <v>70</v>
      </c>
      <c r="M31" s="47" t="s">
        <v>1352</v>
      </c>
      <c r="N31" s="47" t="s">
        <v>1700</v>
      </c>
      <c r="O31" s="48"/>
      <c r="P31" s="48"/>
      <c r="Q31" s="57" t="s">
        <v>1864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941</v>
      </c>
      <c r="L32" s="33" t="s">
        <v>1672</v>
      </c>
      <c r="M32" s="34" t="s">
        <v>1353</v>
      </c>
      <c r="N32" s="34" t="s">
        <v>1716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1516</v>
      </c>
      <c r="E33" s="36" t="s">
        <v>1221</v>
      </c>
      <c r="F33" s="36" t="s">
        <v>1517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693</v>
      </c>
      <c r="L33" s="33" t="s">
        <v>680</v>
      </c>
      <c r="M33" s="34" t="s">
        <v>681</v>
      </c>
      <c r="N33" s="34" t="s">
        <v>1749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1431</v>
      </c>
      <c r="E34" s="36" t="s">
        <v>1433</v>
      </c>
      <c r="F34" s="36" t="s">
        <v>1432</v>
      </c>
      <c r="G34" s="36"/>
      <c r="H34" s="36" t="s">
        <v>1116</v>
      </c>
      <c r="I34" s="37" t="s">
        <v>1434</v>
      </c>
      <c r="J34" s="31">
        <v>99</v>
      </c>
      <c r="K34" s="33" t="s">
        <v>694</v>
      </c>
      <c r="L34" s="33"/>
      <c r="M34" s="34"/>
      <c r="N34" s="34" t="s">
        <v>1693</v>
      </c>
      <c r="O34" s="35">
        <v>1</v>
      </c>
      <c r="P34" s="35">
        <v>1</v>
      </c>
      <c r="Q34" s="36" t="s">
        <v>1878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588</v>
      </c>
      <c r="E35" s="45" t="s">
        <v>174</v>
      </c>
      <c r="F35" s="45" t="s">
        <v>589</v>
      </c>
      <c r="G35" s="45" t="s">
        <v>250</v>
      </c>
      <c r="H35" s="45" t="s">
        <v>352</v>
      </c>
      <c r="I35" s="44" t="s">
        <v>590</v>
      </c>
      <c r="J35" s="44">
        <v>99</v>
      </c>
      <c r="K35" s="46" t="s">
        <v>937</v>
      </c>
      <c r="L35" s="46" t="s">
        <v>680</v>
      </c>
      <c r="M35" s="47" t="s">
        <v>1354</v>
      </c>
      <c r="N35" s="47" t="s">
        <v>1702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1827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693</v>
      </c>
      <c r="L36" s="33" t="s">
        <v>680</v>
      </c>
      <c r="M36" s="34" t="s">
        <v>682</v>
      </c>
      <c r="N36" s="34" t="s">
        <v>1784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1722</v>
      </c>
      <c r="E37" s="36" t="s">
        <v>154</v>
      </c>
      <c r="F37" s="36" t="s">
        <v>1723</v>
      </c>
      <c r="G37" s="36"/>
      <c r="H37" s="36" t="s">
        <v>1724</v>
      </c>
      <c r="I37" s="37" t="s">
        <v>1725</v>
      </c>
      <c r="J37" s="31">
        <v>18</v>
      </c>
      <c r="K37" s="33" t="s">
        <v>694</v>
      </c>
      <c r="L37" s="33">
        <v>55</v>
      </c>
      <c r="M37" s="34" t="s">
        <v>1446</v>
      </c>
      <c r="N37" s="34" t="s">
        <v>1699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591</v>
      </c>
      <c r="E38" s="36" t="s">
        <v>174</v>
      </c>
      <c r="F38" s="36" t="s">
        <v>592</v>
      </c>
      <c r="G38" s="36" t="s">
        <v>566</v>
      </c>
      <c r="H38" s="36" t="s">
        <v>352</v>
      </c>
      <c r="I38" s="37" t="s">
        <v>593</v>
      </c>
      <c r="J38" s="31">
        <v>1</v>
      </c>
      <c r="K38" s="33" t="s">
        <v>937</v>
      </c>
      <c r="L38" s="33" t="s">
        <v>1669</v>
      </c>
      <c r="M38" s="34" t="s">
        <v>1353</v>
      </c>
      <c r="N38" s="34" t="s">
        <v>1708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1711</v>
      </c>
      <c r="E39" s="36" t="s">
        <v>1712</v>
      </c>
      <c r="F39" s="36" t="s">
        <v>1713</v>
      </c>
      <c r="G39" s="36" t="s">
        <v>319</v>
      </c>
      <c r="H39" s="36" t="s">
        <v>352</v>
      </c>
      <c r="I39" s="37" t="s">
        <v>1714</v>
      </c>
      <c r="J39" s="31">
        <v>99</v>
      </c>
      <c r="K39" s="33" t="s">
        <v>694</v>
      </c>
      <c r="L39" s="33"/>
      <c r="M39" s="34"/>
      <c r="N39" s="34" t="s">
        <v>1699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634</v>
      </c>
      <c r="E40" s="45" t="s">
        <v>174</v>
      </c>
      <c r="F40" s="57" t="s">
        <v>635</v>
      </c>
      <c r="G40" s="45" t="s">
        <v>219</v>
      </c>
      <c r="H40" s="45" t="s">
        <v>352</v>
      </c>
      <c r="I40" s="44" t="s">
        <v>1092</v>
      </c>
      <c r="J40" s="44">
        <v>8</v>
      </c>
      <c r="K40" s="46" t="s">
        <v>937</v>
      </c>
      <c r="L40" s="46" t="s">
        <v>1666</v>
      </c>
      <c r="M40" s="47" t="s">
        <v>1348</v>
      </c>
      <c r="N40" s="47" t="s">
        <v>1768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1480</v>
      </c>
      <c r="E41" s="36" t="s">
        <v>174</v>
      </c>
      <c r="F41" s="36" t="s">
        <v>1627</v>
      </c>
      <c r="G41" s="36" t="s">
        <v>1482</v>
      </c>
      <c r="H41" s="36" t="s">
        <v>352</v>
      </c>
      <c r="I41" s="37" t="s">
        <v>1481</v>
      </c>
      <c r="J41" s="31">
        <v>99</v>
      </c>
      <c r="K41" s="33" t="s">
        <v>938</v>
      </c>
      <c r="L41" s="33" t="s">
        <v>39</v>
      </c>
      <c r="M41" s="34" t="s">
        <v>39</v>
      </c>
      <c r="N41" s="34" t="s">
        <v>1693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865</v>
      </c>
      <c r="E42" s="32" t="s">
        <v>173</v>
      </c>
      <c r="F42" s="32" t="s">
        <v>866</v>
      </c>
      <c r="G42" s="32" t="s">
        <v>39</v>
      </c>
      <c r="H42" s="32" t="s">
        <v>373</v>
      </c>
      <c r="I42" s="31" t="s">
        <v>867</v>
      </c>
      <c r="J42" s="31">
        <v>12</v>
      </c>
      <c r="K42" s="33" t="s">
        <v>693</v>
      </c>
      <c r="L42" s="33" t="s">
        <v>1670</v>
      </c>
      <c r="M42" s="34" t="s">
        <v>1355</v>
      </c>
      <c r="N42" s="34" t="s">
        <v>1784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1774</v>
      </c>
      <c r="E43" s="32" t="s">
        <v>174</v>
      </c>
      <c r="F43" s="32" t="s">
        <v>1775</v>
      </c>
      <c r="G43" s="32" t="s">
        <v>193</v>
      </c>
      <c r="H43" s="32" t="s">
        <v>352</v>
      </c>
      <c r="I43" s="31" t="s">
        <v>1776</v>
      </c>
      <c r="J43" s="31">
        <v>9</v>
      </c>
      <c r="K43" s="33" t="s">
        <v>694</v>
      </c>
      <c r="L43" s="33">
        <v>60</v>
      </c>
      <c r="M43" s="34" t="s">
        <v>1777</v>
      </c>
      <c r="N43" s="34" t="s">
        <v>1808</v>
      </c>
      <c r="O43" s="35">
        <v>1</v>
      </c>
      <c r="P43" s="35"/>
      <c r="Q43" s="32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1</v>
      </c>
      <c r="AF43" s="1">
        <f t="shared" si="35"/>
        <v>0</v>
      </c>
      <c r="AG43" s="1">
        <f t="shared" si="36"/>
        <v>1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1837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937</v>
      </c>
      <c r="L44" s="33" t="s">
        <v>684</v>
      </c>
      <c r="M44" s="34" t="s">
        <v>682</v>
      </c>
      <c r="N44" s="34" t="s">
        <v>1721</v>
      </c>
      <c r="O44" s="35">
        <v>1</v>
      </c>
      <c r="P44" s="35"/>
      <c r="Q44" s="32" t="s">
        <v>1865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823</v>
      </c>
      <c r="E45" s="32" t="s">
        <v>174</v>
      </c>
      <c r="F45" s="32" t="s">
        <v>825</v>
      </c>
      <c r="G45" s="32" t="s">
        <v>39</v>
      </c>
      <c r="H45" s="32" t="s">
        <v>352</v>
      </c>
      <c r="I45" s="31" t="s">
        <v>824</v>
      </c>
      <c r="J45" s="31">
        <v>99</v>
      </c>
      <c r="K45" s="33" t="s">
        <v>943</v>
      </c>
      <c r="L45" s="33" t="s">
        <v>39</v>
      </c>
      <c r="M45" s="34" t="s">
        <v>39</v>
      </c>
      <c r="N45" s="34" t="s">
        <v>1699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2122</v>
      </c>
      <c r="E46" s="32" t="s">
        <v>174</v>
      </c>
      <c r="F46" s="32" t="s">
        <v>2123</v>
      </c>
      <c r="G46" s="32" t="s">
        <v>177</v>
      </c>
      <c r="H46" s="32" t="s">
        <v>352</v>
      </c>
      <c r="I46" s="31" t="s">
        <v>2124</v>
      </c>
      <c r="J46" s="31">
        <v>1</v>
      </c>
      <c r="K46" s="33" t="s">
        <v>694</v>
      </c>
      <c r="L46" s="33"/>
      <c r="M46" s="34"/>
      <c r="N46" s="34" t="s">
        <v>1699</v>
      </c>
      <c r="O46" s="35">
        <v>1</v>
      </c>
      <c r="P46" s="35">
        <v>1</v>
      </c>
      <c r="Q46" s="32" t="s">
        <v>2125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898</v>
      </c>
      <c r="E47" s="32" t="s">
        <v>174</v>
      </c>
      <c r="F47" s="32" t="s">
        <v>768</v>
      </c>
      <c r="G47" s="32" t="s">
        <v>39</v>
      </c>
      <c r="H47" s="32" t="s">
        <v>373</v>
      </c>
      <c r="I47" s="31" t="s">
        <v>769</v>
      </c>
      <c r="J47" s="31">
        <v>12</v>
      </c>
      <c r="K47" s="33" t="s">
        <v>713</v>
      </c>
      <c r="L47" s="33" t="s">
        <v>1665</v>
      </c>
      <c r="M47" s="34" t="s">
        <v>1100</v>
      </c>
      <c r="N47" s="34" t="s">
        <v>1784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1602</v>
      </c>
      <c r="E48" s="32" t="s">
        <v>173</v>
      </c>
      <c r="F48" s="32" t="s">
        <v>1628</v>
      </c>
      <c r="G48" s="32" t="s">
        <v>250</v>
      </c>
      <c r="H48" s="32" t="s">
        <v>352</v>
      </c>
      <c r="I48" s="31" t="s">
        <v>1530</v>
      </c>
      <c r="J48" s="31">
        <v>99</v>
      </c>
      <c r="K48" s="33" t="s">
        <v>938</v>
      </c>
      <c r="L48" s="33" t="s">
        <v>39</v>
      </c>
      <c r="M48" s="34" t="s">
        <v>39</v>
      </c>
      <c r="N48" s="34" t="s">
        <v>1693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1498</v>
      </c>
      <c r="E49" s="32" t="s">
        <v>1616</v>
      </c>
      <c r="F49" s="32" t="s">
        <v>1499</v>
      </c>
      <c r="G49" s="32" t="s">
        <v>199</v>
      </c>
      <c r="H49" s="32" t="s">
        <v>352</v>
      </c>
      <c r="I49" s="31" t="s">
        <v>1500</v>
      </c>
      <c r="J49" s="31">
        <v>2</v>
      </c>
      <c r="K49" s="33" t="s">
        <v>937</v>
      </c>
      <c r="L49" s="33">
        <v>70</v>
      </c>
      <c r="M49" s="34" t="s">
        <v>39</v>
      </c>
      <c r="N49" s="34" t="s">
        <v>1749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1436</v>
      </c>
      <c r="E50" s="45" t="s">
        <v>1617</v>
      </c>
      <c r="F50" s="45" t="s">
        <v>1435</v>
      </c>
      <c r="G50" s="45" t="s">
        <v>219</v>
      </c>
      <c r="H50" s="45" t="s">
        <v>352</v>
      </c>
      <c r="I50" s="44" t="s">
        <v>1653</v>
      </c>
      <c r="J50" s="44">
        <v>8</v>
      </c>
      <c r="K50" s="46" t="s">
        <v>693</v>
      </c>
      <c r="L50" s="46">
        <v>70</v>
      </c>
      <c r="M50" s="47" t="s">
        <v>39</v>
      </c>
      <c r="N50" s="47" t="s">
        <v>1702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796</v>
      </c>
      <c r="E51" s="16" t="s">
        <v>174</v>
      </c>
      <c r="F51" s="16" t="s">
        <v>797</v>
      </c>
      <c r="G51" s="16" t="s">
        <v>39</v>
      </c>
      <c r="H51" s="16" t="s">
        <v>798</v>
      </c>
      <c r="I51" s="15" t="s">
        <v>799</v>
      </c>
      <c r="J51" s="15">
        <v>11</v>
      </c>
      <c r="K51" s="10" t="s">
        <v>694</v>
      </c>
      <c r="L51" s="10">
        <v>50</v>
      </c>
      <c r="M51" s="19" t="s">
        <v>1100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1440</v>
      </c>
      <c r="E52" s="32"/>
      <c r="F52" s="32" t="s">
        <v>1441</v>
      </c>
      <c r="G52" s="32" t="s">
        <v>1442</v>
      </c>
      <c r="H52" s="32" t="s">
        <v>352</v>
      </c>
      <c r="I52" s="31" t="s">
        <v>1443</v>
      </c>
      <c r="J52" s="31">
        <v>99</v>
      </c>
      <c r="K52" s="33" t="s">
        <v>694</v>
      </c>
      <c r="L52" s="33">
        <v>35</v>
      </c>
      <c r="M52" s="34" t="s">
        <v>1448</v>
      </c>
      <c r="N52" s="34" t="s">
        <v>1708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1954</v>
      </c>
      <c r="E53" s="32" t="s">
        <v>174</v>
      </c>
      <c r="F53" s="32" t="s">
        <v>1955</v>
      </c>
      <c r="G53" s="32" t="s">
        <v>1956</v>
      </c>
      <c r="H53" s="32" t="s">
        <v>352</v>
      </c>
      <c r="I53" s="31" t="s">
        <v>1957</v>
      </c>
      <c r="J53" s="31">
        <v>99</v>
      </c>
      <c r="K53" s="33" t="s">
        <v>694</v>
      </c>
      <c r="L53" s="33"/>
      <c r="M53" s="34"/>
      <c r="N53" s="34" t="s">
        <v>1699</v>
      </c>
      <c r="O53" s="35">
        <v>1</v>
      </c>
      <c r="P53" s="35">
        <v>1</v>
      </c>
      <c r="Q53" s="32" t="s">
        <v>1958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647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694</v>
      </c>
      <c r="L54" s="46">
        <v>40</v>
      </c>
      <c r="M54" s="47" t="s">
        <v>682</v>
      </c>
      <c r="N54" s="47" t="s">
        <v>1761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1035</v>
      </c>
      <c r="E55" s="32" t="s">
        <v>174</v>
      </c>
      <c r="F55" s="32" t="s">
        <v>1036</v>
      </c>
      <c r="G55" s="32" t="s">
        <v>1037</v>
      </c>
      <c r="H55" s="32" t="s">
        <v>352</v>
      </c>
      <c r="I55" s="31" t="s">
        <v>1038</v>
      </c>
      <c r="J55" s="31">
        <v>1</v>
      </c>
      <c r="K55" s="33" t="s">
        <v>713</v>
      </c>
      <c r="L55" s="33" t="s">
        <v>678</v>
      </c>
      <c r="M55" s="34" t="s">
        <v>1100</v>
      </c>
      <c r="N55" s="34" t="s">
        <v>1749</v>
      </c>
      <c r="O55" s="35">
        <v>1</v>
      </c>
      <c r="P55" s="35"/>
      <c r="Q55" s="32" t="s">
        <v>1868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2080</v>
      </c>
      <c r="E56" s="16" t="s">
        <v>171</v>
      </c>
      <c r="F56" s="16" t="s">
        <v>2081</v>
      </c>
      <c r="G56" s="16"/>
      <c r="H56" s="16" t="s">
        <v>2082</v>
      </c>
      <c r="I56" s="15" t="s">
        <v>2083</v>
      </c>
      <c r="J56" s="15">
        <v>15</v>
      </c>
      <c r="K56" s="10" t="s">
        <v>694</v>
      </c>
      <c r="L56" s="10" t="s">
        <v>1703</v>
      </c>
      <c r="M56" s="19" t="s">
        <v>1100</v>
      </c>
      <c r="N56" s="17"/>
      <c r="Q56" s="16" t="s">
        <v>2084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1606</v>
      </c>
      <c r="E57" s="32" t="s">
        <v>174</v>
      </c>
      <c r="F57" s="32" t="s">
        <v>1632</v>
      </c>
      <c r="G57" s="32" t="s">
        <v>1633</v>
      </c>
      <c r="H57" s="32" t="s">
        <v>352</v>
      </c>
      <c r="I57" s="31" t="s">
        <v>1447</v>
      </c>
      <c r="J57" s="31">
        <v>99</v>
      </c>
      <c r="K57" s="33" t="s">
        <v>693</v>
      </c>
      <c r="L57" s="33">
        <v>45</v>
      </c>
      <c r="M57" s="34" t="s">
        <v>39</v>
      </c>
      <c r="N57" s="34" t="s">
        <v>1715</v>
      </c>
      <c r="O57" s="35">
        <v>1</v>
      </c>
      <c r="P57" s="35"/>
      <c r="Q57" s="32" t="s">
        <v>2004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639</v>
      </c>
      <c r="E58" s="32" t="s">
        <v>174</v>
      </c>
      <c r="F58" s="32" t="s">
        <v>594</v>
      </c>
      <c r="G58" s="32" t="s">
        <v>587</v>
      </c>
      <c r="H58" s="32" t="s">
        <v>352</v>
      </c>
      <c r="I58" s="31" t="s">
        <v>669</v>
      </c>
      <c r="J58" s="31">
        <v>1</v>
      </c>
      <c r="K58" s="33" t="s">
        <v>693</v>
      </c>
      <c r="L58" s="33" t="s">
        <v>1666</v>
      </c>
      <c r="M58" s="34" t="s">
        <v>1356</v>
      </c>
      <c r="N58" s="34" t="s">
        <v>1704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1165</v>
      </c>
      <c r="E59" s="16" t="s">
        <v>173</v>
      </c>
      <c r="F59" s="16" t="s">
        <v>1166</v>
      </c>
      <c r="G59" s="16" t="s">
        <v>39</v>
      </c>
      <c r="H59" s="16" t="s">
        <v>1168</v>
      </c>
      <c r="I59" s="15" t="s">
        <v>1167</v>
      </c>
      <c r="J59" s="15">
        <v>17</v>
      </c>
      <c r="K59" s="10" t="s">
        <v>694</v>
      </c>
      <c r="L59" s="10" t="s">
        <v>1357</v>
      </c>
      <c r="M59" s="19" t="s">
        <v>1358</v>
      </c>
      <c r="N59" s="17"/>
      <c r="Q59" s="16" t="s">
        <v>1844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1176</v>
      </c>
      <c r="E60" s="20" t="s">
        <v>173</v>
      </c>
      <c r="F60" s="20" t="s">
        <v>1177</v>
      </c>
      <c r="G60" s="16" t="s">
        <v>39</v>
      </c>
      <c r="H60" s="20" t="s">
        <v>1178</v>
      </c>
      <c r="I60" s="21" t="s">
        <v>1179</v>
      </c>
      <c r="J60" s="15">
        <v>18</v>
      </c>
      <c r="K60" s="10" t="s">
        <v>938</v>
      </c>
      <c r="L60" s="10" t="s">
        <v>686</v>
      </c>
      <c r="M60" s="19" t="s">
        <v>951</v>
      </c>
      <c r="N60" s="17"/>
      <c r="Q60" s="16" t="s">
        <v>1843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1010</v>
      </c>
      <c r="E61" s="20" t="s">
        <v>174</v>
      </c>
      <c r="F61" s="20" t="s">
        <v>1012</v>
      </c>
      <c r="G61" s="16" t="s">
        <v>39</v>
      </c>
      <c r="H61" s="20" t="s">
        <v>363</v>
      </c>
      <c r="I61" s="21" t="s">
        <v>1011</v>
      </c>
      <c r="J61" s="15">
        <v>18</v>
      </c>
      <c r="K61" s="10" t="s">
        <v>693</v>
      </c>
      <c r="L61" s="10" t="s">
        <v>1119</v>
      </c>
      <c r="M61" s="19" t="s">
        <v>682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1559</v>
      </c>
      <c r="E62" s="32" t="s">
        <v>174</v>
      </c>
      <c r="F62" s="32" t="s">
        <v>1560</v>
      </c>
      <c r="G62" s="32" t="s">
        <v>1561</v>
      </c>
      <c r="H62" s="32" t="s">
        <v>352</v>
      </c>
      <c r="I62" s="31" t="s">
        <v>1456</v>
      </c>
      <c r="J62" s="31">
        <v>99</v>
      </c>
      <c r="K62" s="33" t="s">
        <v>693</v>
      </c>
      <c r="L62" s="33" t="s">
        <v>39</v>
      </c>
      <c r="M62" s="34" t="s">
        <v>39</v>
      </c>
      <c r="N62" s="34" t="s">
        <v>1693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1587</v>
      </c>
      <c r="E63" s="32" t="s">
        <v>169</v>
      </c>
      <c r="F63" s="32" t="s">
        <v>1588</v>
      </c>
      <c r="G63" s="32" t="s">
        <v>39</v>
      </c>
      <c r="H63" s="32" t="s">
        <v>353</v>
      </c>
      <c r="I63" s="31" t="s">
        <v>1589</v>
      </c>
      <c r="J63" s="31">
        <v>11</v>
      </c>
      <c r="K63" s="33" t="s">
        <v>938</v>
      </c>
      <c r="L63" s="33" t="s">
        <v>39</v>
      </c>
      <c r="M63" s="34" t="s">
        <v>39</v>
      </c>
      <c r="N63" s="34" t="s">
        <v>1693</v>
      </c>
      <c r="O63" s="35">
        <v>1</v>
      </c>
      <c r="P63" s="35">
        <v>1</v>
      </c>
      <c r="Q63" s="36" t="s">
        <v>1863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1584</v>
      </c>
      <c r="E64" s="32" t="s">
        <v>173</v>
      </c>
      <c r="F64" s="32" t="s">
        <v>1585</v>
      </c>
      <c r="G64" s="32" t="s">
        <v>1452</v>
      </c>
      <c r="H64" s="32" t="s">
        <v>352</v>
      </c>
      <c r="I64" s="31" t="s">
        <v>1586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1693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784</v>
      </c>
      <c r="E65" s="32" t="s">
        <v>173</v>
      </c>
      <c r="F65" s="32" t="s">
        <v>786</v>
      </c>
      <c r="G65" s="32" t="s">
        <v>39</v>
      </c>
      <c r="H65" s="32" t="s">
        <v>785</v>
      </c>
      <c r="I65" s="31" t="s">
        <v>787</v>
      </c>
      <c r="J65" s="31">
        <v>14</v>
      </c>
      <c r="K65" s="33" t="s">
        <v>945</v>
      </c>
      <c r="L65" s="33" t="s">
        <v>1672</v>
      </c>
      <c r="M65" s="34" t="s">
        <v>1350</v>
      </c>
      <c r="N65" s="34" t="s">
        <v>1709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35"/>
        <v>0</v>
      </c>
      <c r="AG65" s="1">
        <f t="shared" si="36"/>
        <v>1</v>
      </c>
      <c r="AH65" s="1">
        <f t="shared" si="37"/>
        <v>0</v>
      </c>
      <c r="AI65" s="1">
        <f t="shared" si="38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1296</v>
      </c>
      <c r="E66" s="16" t="s">
        <v>174</v>
      </c>
      <c r="F66" s="16" t="s">
        <v>1320</v>
      </c>
      <c r="G66" s="16" t="s">
        <v>39</v>
      </c>
      <c r="H66" s="16" t="s">
        <v>361</v>
      </c>
      <c r="I66" s="15" t="s">
        <v>1120</v>
      </c>
      <c r="J66" s="15">
        <v>14</v>
      </c>
      <c r="K66" s="10" t="s">
        <v>713</v>
      </c>
      <c r="L66" s="10" t="s">
        <v>1665</v>
      </c>
      <c r="M66" s="19" t="s">
        <v>953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35"/>
        <v>0</v>
      </c>
      <c r="AG66" s="1">
        <f t="shared" si="36"/>
        <v>0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20" t="s">
        <v>2115</v>
      </c>
      <c r="E67" s="16" t="s">
        <v>174</v>
      </c>
      <c r="F67" s="20" t="s">
        <v>2120</v>
      </c>
      <c r="G67" s="16"/>
      <c r="H67" s="20" t="s">
        <v>2117</v>
      </c>
      <c r="I67" s="21" t="s">
        <v>2116</v>
      </c>
      <c r="J67" s="15">
        <v>16</v>
      </c>
      <c r="K67" s="10" t="s">
        <v>694</v>
      </c>
      <c r="L67" s="10" t="s">
        <v>2118</v>
      </c>
      <c r="M67" s="19" t="s">
        <v>2119</v>
      </c>
      <c r="N67" s="17"/>
      <c r="Q67" s="16" t="s">
        <v>2121</v>
      </c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1483</v>
      </c>
      <c r="E68" s="32" t="s">
        <v>169</v>
      </c>
      <c r="F68" s="32" t="s">
        <v>1485</v>
      </c>
      <c r="G68" s="32" t="s">
        <v>1143</v>
      </c>
      <c r="H68" s="32" t="s">
        <v>352</v>
      </c>
      <c r="I68" s="31" t="s">
        <v>1484</v>
      </c>
      <c r="J68" s="31">
        <v>11</v>
      </c>
      <c r="K68" s="33" t="s">
        <v>713</v>
      </c>
      <c r="L68" s="33">
        <v>50</v>
      </c>
      <c r="M68" s="34" t="s">
        <v>39</v>
      </c>
      <c r="N68" s="34" t="s">
        <v>1808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35"/>
        <v>0</v>
      </c>
      <c r="AG68" s="1">
        <f t="shared" si="36"/>
        <v>1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1115</v>
      </c>
      <c r="E69" s="32" t="s">
        <v>174</v>
      </c>
      <c r="F69" s="32" t="s">
        <v>1118</v>
      </c>
      <c r="G69" s="32" t="s">
        <v>39</v>
      </c>
      <c r="H69" s="32" t="s">
        <v>1116</v>
      </c>
      <c r="I69" s="31" t="s">
        <v>1117</v>
      </c>
      <c r="J69" s="31">
        <v>12</v>
      </c>
      <c r="K69" s="33" t="s">
        <v>694</v>
      </c>
      <c r="L69" s="33">
        <v>50</v>
      </c>
      <c r="M69" s="34" t="s">
        <v>39</v>
      </c>
      <c r="N69" s="34" t="s">
        <v>1709</v>
      </c>
      <c r="O69" s="35">
        <v>1</v>
      </c>
      <c r="P69" s="35"/>
      <c r="Q69" s="32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1</v>
      </c>
      <c r="AF69" s="1">
        <f t="shared" si="35"/>
        <v>0</v>
      </c>
      <c r="AG69" s="1">
        <f t="shared" si="36"/>
        <v>1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153</v>
      </c>
      <c r="E70" s="32" t="s">
        <v>170</v>
      </c>
      <c r="F70" s="32" t="s">
        <v>2042</v>
      </c>
      <c r="G70" s="32" t="s">
        <v>2043</v>
      </c>
      <c r="H70" s="32" t="s">
        <v>352</v>
      </c>
      <c r="I70" s="31"/>
      <c r="J70" s="31">
        <v>1</v>
      </c>
      <c r="K70" s="33" t="s">
        <v>941</v>
      </c>
      <c r="L70" s="33" t="s">
        <v>39</v>
      </c>
      <c r="M70" s="34" t="s">
        <v>39</v>
      </c>
      <c r="N70" s="34" t="s">
        <v>1699</v>
      </c>
      <c r="O70" s="35">
        <v>1</v>
      </c>
      <c r="P70" s="35">
        <v>1</v>
      </c>
      <c r="Q70" s="32" t="s">
        <v>2044</v>
      </c>
      <c r="S70" s="1">
        <f t="shared" si="23"/>
        <v>1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35"/>
        <v>1</v>
      </c>
      <c r="AG70" s="1">
        <f t="shared" si="36"/>
        <v>0</v>
      </c>
      <c r="AH70" s="1">
        <f t="shared" si="37"/>
        <v>1</v>
      </c>
      <c r="AI70" s="1">
        <f t="shared" si="38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1416</v>
      </c>
      <c r="E71" s="32" t="s">
        <v>174</v>
      </c>
      <c r="F71" s="32" t="s">
        <v>1413</v>
      </c>
      <c r="G71" s="32" t="s">
        <v>39</v>
      </c>
      <c r="H71" s="32" t="s">
        <v>352</v>
      </c>
      <c r="I71" s="31" t="s">
        <v>1414</v>
      </c>
      <c r="J71" s="31">
        <v>99</v>
      </c>
      <c r="K71" s="33" t="s">
        <v>693</v>
      </c>
      <c r="L71" s="33" t="s">
        <v>680</v>
      </c>
      <c r="M71" s="34" t="s">
        <v>1415</v>
      </c>
      <c r="N71" s="34" t="s">
        <v>1693</v>
      </c>
      <c r="O71" s="35">
        <v>1</v>
      </c>
      <c r="P71" s="35">
        <v>1</v>
      </c>
      <c r="Q71" s="32"/>
      <c r="S71" s="1">
        <f t="shared" si="23"/>
        <v>0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15">
        <v>0</v>
      </c>
      <c r="B72" s="15">
        <v>1</v>
      </c>
      <c r="C72" s="15">
        <v>2</v>
      </c>
      <c r="D72" s="16" t="s">
        <v>800</v>
      </c>
      <c r="E72" s="16" t="s">
        <v>174</v>
      </c>
      <c r="F72" s="16" t="s">
        <v>918</v>
      </c>
      <c r="G72" s="16" t="s">
        <v>212</v>
      </c>
      <c r="H72" s="16" t="s">
        <v>352</v>
      </c>
      <c r="I72" s="15" t="s">
        <v>801</v>
      </c>
      <c r="J72" s="15">
        <v>1</v>
      </c>
      <c r="K72" s="10" t="s">
        <v>937</v>
      </c>
      <c r="L72" s="10" t="s">
        <v>680</v>
      </c>
      <c r="M72" s="19" t="s">
        <v>682</v>
      </c>
      <c r="N72" s="17"/>
      <c r="Q72" s="16"/>
      <c r="S72" s="1">
        <f t="shared" si="23"/>
        <v>1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0</v>
      </c>
      <c r="AE72" s="1">
        <f t="shared" si="34"/>
        <v>0</v>
      </c>
      <c r="AF72" s="1">
        <f t="shared" si="35"/>
        <v>0</v>
      </c>
      <c r="AG72" s="1">
        <f t="shared" si="36"/>
        <v>0</v>
      </c>
      <c r="AH72" s="1">
        <f t="shared" si="37"/>
        <v>0</v>
      </c>
      <c r="AI72" s="1">
        <f t="shared" si="38"/>
        <v>1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1297</v>
      </c>
      <c r="E73" s="32" t="s">
        <v>174</v>
      </c>
      <c r="F73" s="32" t="s">
        <v>1107</v>
      </c>
      <c r="G73" s="32" t="s">
        <v>39</v>
      </c>
      <c r="H73" s="32" t="s">
        <v>1106</v>
      </c>
      <c r="I73" s="31" t="s">
        <v>1105</v>
      </c>
      <c r="J73" s="31">
        <v>15</v>
      </c>
      <c r="K73" s="33" t="s">
        <v>938</v>
      </c>
      <c r="L73" s="33">
        <v>75</v>
      </c>
      <c r="M73" s="34" t="s">
        <v>1359</v>
      </c>
      <c r="N73" s="34" t="s">
        <v>1699</v>
      </c>
      <c r="O73" s="35">
        <v>1</v>
      </c>
      <c r="P73" s="35">
        <v>1</v>
      </c>
      <c r="Q73" s="32" t="s">
        <v>1940</v>
      </c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35"/>
        <v>1</v>
      </c>
      <c r="AG73" s="1">
        <f t="shared" si="36"/>
        <v>0</v>
      </c>
      <c r="AH73" s="1">
        <f t="shared" si="37"/>
        <v>1</v>
      </c>
      <c r="AI73" s="1">
        <f t="shared" si="38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1028</v>
      </c>
      <c r="E74" s="32" t="s">
        <v>173</v>
      </c>
      <c r="F74" s="32" t="s">
        <v>1029</v>
      </c>
      <c r="G74" s="32" t="s">
        <v>620</v>
      </c>
      <c r="H74" s="32" t="s">
        <v>352</v>
      </c>
      <c r="I74" s="31" t="s">
        <v>1030</v>
      </c>
      <c r="J74" s="31">
        <v>99</v>
      </c>
      <c r="K74" s="33" t="s">
        <v>693</v>
      </c>
      <c r="L74" s="33" t="s">
        <v>39</v>
      </c>
      <c r="M74" s="34" t="s">
        <v>39</v>
      </c>
      <c r="N74" s="34" t="s">
        <v>1699</v>
      </c>
      <c r="O74" s="35">
        <v>1</v>
      </c>
      <c r="P74" s="35">
        <v>1</v>
      </c>
      <c r="Q74" s="32"/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2009</v>
      </c>
      <c r="E75" s="32" t="s">
        <v>1936</v>
      </c>
      <c r="F75" s="32" t="s">
        <v>2010</v>
      </c>
      <c r="G75" s="32" t="s">
        <v>283</v>
      </c>
      <c r="H75" s="32" t="s">
        <v>352</v>
      </c>
      <c r="I75" s="31" t="s">
        <v>2011</v>
      </c>
      <c r="J75" s="31">
        <v>10</v>
      </c>
      <c r="K75" s="33" t="s">
        <v>694</v>
      </c>
      <c r="L75" s="33"/>
      <c r="M75" s="34"/>
      <c r="N75" s="34" t="s">
        <v>1699</v>
      </c>
      <c r="O75" s="35">
        <v>1</v>
      </c>
      <c r="P75" s="35">
        <v>1</v>
      </c>
      <c r="Q75" s="36" t="s">
        <v>2012</v>
      </c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1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1965</v>
      </c>
      <c r="E76" s="32" t="s">
        <v>174</v>
      </c>
      <c r="F76" s="36" t="s">
        <v>1966</v>
      </c>
      <c r="G76" s="36" t="s">
        <v>219</v>
      </c>
      <c r="H76" s="36" t="s">
        <v>352</v>
      </c>
      <c r="I76" s="37" t="s">
        <v>1967</v>
      </c>
      <c r="J76" s="31">
        <v>8</v>
      </c>
      <c r="K76" s="33" t="s">
        <v>694</v>
      </c>
      <c r="L76" s="33"/>
      <c r="M76" s="34"/>
      <c r="N76" s="34" t="s">
        <v>1699</v>
      </c>
      <c r="O76" s="35">
        <v>1</v>
      </c>
      <c r="P76" s="35">
        <v>1</v>
      </c>
      <c r="Q76" s="32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1</v>
      </c>
      <c r="AA76" s="1">
        <f t="shared" si="31"/>
        <v>0</v>
      </c>
      <c r="AB76" s="1">
        <f t="shared" si="32"/>
        <v>0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576</v>
      </c>
      <c r="E77" s="32" t="s">
        <v>173</v>
      </c>
      <c r="F77" s="36" t="s">
        <v>578</v>
      </c>
      <c r="G77" s="36" t="s">
        <v>39</v>
      </c>
      <c r="H77" s="36" t="s">
        <v>579</v>
      </c>
      <c r="I77" s="37" t="s">
        <v>580</v>
      </c>
      <c r="J77" s="31">
        <v>12</v>
      </c>
      <c r="K77" s="33" t="s">
        <v>941</v>
      </c>
      <c r="L77" s="33" t="s">
        <v>1678</v>
      </c>
      <c r="M77" s="34" t="s">
        <v>1350</v>
      </c>
      <c r="N77" s="34" t="s">
        <v>1721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35"/>
        <v>0</v>
      </c>
      <c r="AG77" s="1">
        <f t="shared" si="36"/>
        <v>1</v>
      </c>
      <c r="AH77" s="1">
        <f t="shared" si="37"/>
        <v>0</v>
      </c>
      <c r="AI77" s="1">
        <f t="shared" si="38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2" t="s">
        <v>1801</v>
      </c>
      <c r="E78" s="32" t="s">
        <v>173</v>
      </c>
      <c r="F78" s="32" t="s">
        <v>1802</v>
      </c>
      <c r="G78" s="32"/>
      <c r="H78" s="32" t="s">
        <v>1803</v>
      </c>
      <c r="I78" s="31" t="s">
        <v>1804</v>
      </c>
      <c r="J78" s="31">
        <v>14</v>
      </c>
      <c r="K78" s="33" t="s">
        <v>694</v>
      </c>
      <c r="L78" s="33">
        <v>75</v>
      </c>
      <c r="M78" s="34" t="s">
        <v>952</v>
      </c>
      <c r="N78" s="34" t="s">
        <v>1704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1690</v>
      </c>
      <c r="E79" s="32" t="s">
        <v>174</v>
      </c>
      <c r="F79" s="36" t="s">
        <v>1691</v>
      </c>
      <c r="G79" s="36" t="s">
        <v>206</v>
      </c>
      <c r="H79" s="36" t="s">
        <v>352</v>
      </c>
      <c r="I79" s="37" t="s">
        <v>1692</v>
      </c>
      <c r="J79" s="31">
        <v>99</v>
      </c>
      <c r="K79" s="33" t="s">
        <v>694</v>
      </c>
      <c r="L79" s="33"/>
      <c r="M79" s="34"/>
      <c r="N79" s="34" t="s">
        <v>1693</v>
      </c>
      <c r="O79" s="35">
        <v>1</v>
      </c>
      <c r="P79" s="35">
        <v>1</v>
      </c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1</v>
      </c>
      <c r="AE79" s="1">
        <f t="shared" si="34"/>
        <v>0</v>
      </c>
      <c r="AF79" s="1">
        <f t="shared" si="35"/>
        <v>1</v>
      </c>
      <c r="AG79" s="1">
        <f t="shared" si="36"/>
        <v>0</v>
      </c>
      <c r="AH79" s="1">
        <f t="shared" si="37"/>
        <v>1</v>
      </c>
      <c r="AI79" s="1">
        <f t="shared" si="38"/>
        <v>0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1039</v>
      </c>
      <c r="E80" s="32" t="s">
        <v>174</v>
      </c>
      <c r="F80" s="36" t="s">
        <v>1078</v>
      </c>
      <c r="G80" s="36" t="s">
        <v>39</v>
      </c>
      <c r="H80" s="36" t="s">
        <v>1040</v>
      </c>
      <c r="I80" s="37" t="s">
        <v>1139</v>
      </c>
      <c r="J80" s="31">
        <v>13</v>
      </c>
      <c r="K80" s="33" t="s">
        <v>693</v>
      </c>
      <c r="L80" s="33" t="s">
        <v>680</v>
      </c>
      <c r="M80" s="34" t="s">
        <v>1410</v>
      </c>
      <c r="N80" s="34" t="s">
        <v>1709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35"/>
        <v>0</v>
      </c>
      <c r="AG80" s="1">
        <f t="shared" si="36"/>
        <v>1</v>
      </c>
      <c r="AH80" s="1">
        <f t="shared" si="37"/>
        <v>0</v>
      </c>
      <c r="AI80" s="1">
        <f t="shared" si="38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1562</v>
      </c>
      <c r="E81" s="32" t="s">
        <v>174</v>
      </c>
      <c r="F81" s="36" t="s">
        <v>1563</v>
      </c>
      <c r="G81" s="36" t="s">
        <v>234</v>
      </c>
      <c r="H81" s="36" t="s">
        <v>352</v>
      </c>
      <c r="I81" s="37" t="s">
        <v>1564</v>
      </c>
      <c r="J81" s="31">
        <v>99</v>
      </c>
      <c r="K81" s="33" t="s">
        <v>937</v>
      </c>
      <c r="L81" s="33">
        <v>45</v>
      </c>
      <c r="M81" s="34" t="s">
        <v>39</v>
      </c>
      <c r="N81" s="34" t="s">
        <v>1749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1299</v>
      </c>
      <c r="E82" s="32" t="s">
        <v>173</v>
      </c>
      <c r="F82" s="36" t="s">
        <v>1242</v>
      </c>
      <c r="G82" s="36" t="s">
        <v>206</v>
      </c>
      <c r="H82" s="36" t="s">
        <v>352</v>
      </c>
      <c r="I82" s="37" t="s">
        <v>1243</v>
      </c>
      <c r="J82" s="31">
        <v>99</v>
      </c>
      <c r="K82" s="33" t="s">
        <v>943</v>
      </c>
      <c r="L82" s="33" t="s">
        <v>39</v>
      </c>
      <c r="M82" s="34" t="s">
        <v>39</v>
      </c>
      <c r="N82" s="34" t="s">
        <v>1693</v>
      </c>
      <c r="O82" s="35">
        <v>1</v>
      </c>
      <c r="P82" s="35">
        <v>1</v>
      </c>
      <c r="Q82" s="36"/>
      <c r="S82" s="1">
        <f t="shared" ref="S82:S145" si="39">IF(J82=$S$7,1,0)</f>
        <v>0</v>
      </c>
      <c r="T82" s="1">
        <f t="shared" ref="T82:T145" si="40">IF(J82=$T$7,1,0)</f>
        <v>0</v>
      </c>
      <c r="U82" s="1">
        <f t="shared" ref="U82:U145" si="41">IF(J82=$U$7,1,0)</f>
        <v>0</v>
      </c>
      <c r="V82" s="1">
        <f t="shared" ref="V82:V145" si="42">IF(J82=$V$7,1,0)</f>
        <v>0</v>
      </c>
      <c r="W82" s="1">
        <f t="shared" ref="W82:W145" si="43">IF(J82=$W$7,1,0)</f>
        <v>0</v>
      </c>
      <c r="X82" s="1">
        <f t="shared" ref="X82:X145" si="44">IF(J82=$X$7,1,0)</f>
        <v>0</v>
      </c>
      <c r="Y82" s="1">
        <f t="shared" ref="Y82:Y145" si="45">IF(J82=$Y$7,1,0)</f>
        <v>0</v>
      </c>
      <c r="Z82" s="1">
        <f t="shared" ref="Z82:Z145" si="46">IF(J82=$Z$7,1,0)</f>
        <v>0</v>
      </c>
      <c r="AA82" s="1">
        <f t="shared" ref="AA82:AA145" si="47">IF(J82=$AA$7,1,0)</f>
        <v>0</v>
      </c>
      <c r="AB82" s="1">
        <f t="shared" ref="AB82:AB145" si="48">IF(J82=$AB$7,1,0)</f>
        <v>0</v>
      </c>
      <c r="AD82" s="1">
        <f t="shared" ref="AD82:AD145" si="49">+O82*P82</f>
        <v>1</v>
      </c>
      <c r="AE82" s="1">
        <f t="shared" ref="AE82:AE145" si="50">O82*(1-P82)</f>
        <v>0</v>
      </c>
      <c r="AF82" s="1">
        <f t="shared" si="35"/>
        <v>1</v>
      </c>
      <c r="AG82" s="1">
        <f t="shared" si="36"/>
        <v>0</v>
      </c>
      <c r="AH82" s="1">
        <f t="shared" si="37"/>
        <v>1</v>
      </c>
      <c r="AI82" s="1">
        <f t="shared" si="38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1758</v>
      </c>
      <c r="E83" s="32" t="s">
        <v>169</v>
      </c>
      <c r="F83" s="36" t="s">
        <v>1756</v>
      </c>
      <c r="G83" s="36" t="s">
        <v>231</v>
      </c>
      <c r="H83" s="36" t="s">
        <v>352</v>
      </c>
      <c r="I83" s="37" t="s">
        <v>1757</v>
      </c>
      <c r="J83" s="31">
        <v>99</v>
      </c>
      <c r="K83" s="33" t="s">
        <v>694</v>
      </c>
      <c r="L83" s="33"/>
      <c r="M83" s="34"/>
      <c r="N83" s="34" t="s">
        <v>1693</v>
      </c>
      <c r="O83" s="35">
        <v>1</v>
      </c>
      <c r="P83" s="35">
        <v>1</v>
      </c>
      <c r="Q83" s="36"/>
      <c r="S83" s="1">
        <f t="shared" si="39"/>
        <v>0</v>
      </c>
      <c r="T83" s="1">
        <f t="shared" si="40"/>
        <v>0</v>
      </c>
      <c r="U83" s="1">
        <f t="shared" si="41"/>
        <v>0</v>
      </c>
      <c r="V83" s="1">
        <f t="shared" si="42"/>
        <v>0</v>
      </c>
      <c r="W83" s="1">
        <f t="shared" si="43"/>
        <v>0</v>
      </c>
      <c r="X83" s="1">
        <f t="shared" si="44"/>
        <v>0</v>
      </c>
      <c r="Y83" s="1">
        <f t="shared" si="45"/>
        <v>0</v>
      </c>
      <c r="Z83" s="1">
        <f t="shared" si="46"/>
        <v>0</v>
      </c>
      <c r="AA83" s="1">
        <f t="shared" si="47"/>
        <v>0</v>
      </c>
      <c r="AB83" s="1">
        <f t="shared" si="48"/>
        <v>0</v>
      </c>
      <c r="AD83" s="1">
        <f t="shared" si="49"/>
        <v>1</v>
      </c>
      <c r="AE83" s="1">
        <f t="shared" si="50"/>
        <v>0</v>
      </c>
      <c r="AF83" s="1">
        <f t="shared" ref="AF83:AF146" si="51">+O83*P83*(1-A83)</f>
        <v>1</v>
      </c>
      <c r="AG83" s="1">
        <f t="shared" ref="AG83:AG146" si="52">O83*(1-P83)*(1-A83)</f>
        <v>0</v>
      </c>
      <c r="AH83" s="1">
        <f t="shared" ref="AH83:AH146" si="53">+P83*(1-A83)</f>
        <v>1</v>
      </c>
      <c r="AI83" s="1">
        <f t="shared" ref="AI83:AI146" si="54">+(1-A83)*(1-P83)</f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1136</v>
      </c>
      <c r="E84" s="32" t="s">
        <v>169</v>
      </c>
      <c r="F84" s="36" t="s">
        <v>1137</v>
      </c>
      <c r="G84" s="36" t="s">
        <v>39</v>
      </c>
      <c r="H84" s="36" t="s">
        <v>1331</v>
      </c>
      <c r="I84" s="37" t="s">
        <v>1138</v>
      </c>
      <c r="J84" s="31">
        <v>11</v>
      </c>
      <c r="K84" s="33" t="s">
        <v>693</v>
      </c>
      <c r="L84" s="33" t="s">
        <v>1665</v>
      </c>
      <c r="M84" s="34" t="s">
        <v>1360</v>
      </c>
      <c r="N84" s="34" t="s">
        <v>1709</v>
      </c>
      <c r="O84" s="35">
        <v>1</v>
      </c>
      <c r="P84" s="35"/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0</v>
      </c>
      <c r="AE84" s="1">
        <f t="shared" si="50"/>
        <v>1</v>
      </c>
      <c r="AF84" s="1">
        <f t="shared" si="51"/>
        <v>0</v>
      </c>
      <c r="AG84" s="1">
        <f t="shared" si="52"/>
        <v>1</v>
      </c>
      <c r="AH84" s="1">
        <f t="shared" si="53"/>
        <v>0</v>
      </c>
      <c r="AI84" s="1">
        <f t="shared" si="5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123</v>
      </c>
      <c r="E85" s="32" t="s">
        <v>169</v>
      </c>
      <c r="F85" s="36" t="s">
        <v>569</v>
      </c>
      <c r="G85" s="36" t="s">
        <v>39</v>
      </c>
      <c r="H85" s="36" t="s">
        <v>371</v>
      </c>
      <c r="I85" s="37" t="s">
        <v>468</v>
      </c>
      <c r="J85" s="31">
        <v>18</v>
      </c>
      <c r="K85" s="33" t="s">
        <v>694</v>
      </c>
      <c r="L85" s="33" t="s">
        <v>686</v>
      </c>
      <c r="M85" s="34" t="s">
        <v>682</v>
      </c>
      <c r="N85" s="34" t="s">
        <v>1784</v>
      </c>
      <c r="O85" s="35">
        <v>1</v>
      </c>
      <c r="P85" s="35"/>
      <c r="Q85" s="36" t="s">
        <v>1840</v>
      </c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991</v>
      </c>
      <c r="E86" s="32" t="s">
        <v>171</v>
      </c>
      <c r="F86" s="36" t="s">
        <v>992</v>
      </c>
      <c r="G86" s="36" t="s">
        <v>993</v>
      </c>
      <c r="H86" s="36" t="s">
        <v>352</v>
      </c>
      <c r="I86" s="37" t="s">
        <v>994</v>
      </c>
      <c r="J86" s="31">
        <v>99</v>
      </c>
      <c r="K86" s="33" t="s">
        <v>937</v>
      </c>
      <c r="L86" s="33" t="s">
        <v>39</v>
      </c>
      <c r="M86" s="34" t="s">
        <v>39</v>
      </c>
      <c r="N86" s="34" t="s">
        <v>1699</v>
      </c>
      <c r="O86" s="35">
        <v>1</v>
      </c>
      <c r="P86" s="35">
        <v>1</v>
      </c>
      <c r="Q86" s="36"/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1</v>
      </c>
      <c r="AE86" s="1">
        <f t="shared" si="50"/>
        <v>0</v>
      </c>
      <c r="AF86" s="1">
        <f t="shared" si="51"/>
        <v>1</v>
      </c>
      <c r="AG86" s="1">
        <f t="shared" si="52"/>
        <v>0</v>
      </c>
      <c r="AH86" s="1">
        <f t="shared" si="53"/>
        <v>1</v>
      </c>
      <c r="AI86" s="1">
        <f t="shared" si="54"/>
        <v>0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142</v>
      </c>
      <c r="E87" s="32" t="s">
        <v>174</v>
      </c>
      <c r="F87" s="36" t="s">
        <v>342</v>
      </c>
      <c r="G87" s="36" t="s">
        <v>343</v>
      </c>
      <c r="H87" s="36" t="s">
        <v>352</v>
      </c>
      <c r="I87" s="37" t="s">
        <v>488</v>
      </c>
      <c r="J87" s="31">
        <v>6</v>
      </c>
      <c r="K87" s="33" t="s">
        <v>938</v>
      </c>
      <c r="L87" s="33" t="s">
        <v>678</v>
      </c>
      <c r="M87" s="34" t="s">
        <v>682</v>
      </c>
      <c r="N87" s="34" t="s">
        <v>1704</v>
      </c>
      <c r="O87" s="35">
        <v>1</v>
      </c>
      <c r="P87" s="35"/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1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0</v>
      </c>
      <c r="AE87" s="1">
        <f t="shared" si="50"/>
        <v>1</v>
      </c>
      <c r="AF87" s="1">
        <f t="shared" si="51"/>
        <v>0</v>
      </c>
      <c r="AG87" s="1">
        <f t="shared" si="52"/>
        <v>1</v>
      </c>
      <c r="AH87" s="1">
        <f t="shared" si="53"/>
        <v>0</v>
      </c>
      <c r="AI87" s="1">
        <f t="shared" si="54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2061</v>
      </c>
      <c r="E88" s="32" t="s">
        <v>169</v>
      </c>
      <c r="F88" s="36" t="s">
        <v>2062</v>
      </c>
      <c r="G88" s="36" t="s">
        <v>206</v>
      </c>
      <c r="H88" s="36" t="s">
        <v>352</v>
      </c>
      <c r="I88" s="37" t="s">
        <v>2063</v>
      </c>
      <c r="J88" s="31">
        <v>99</v>
      </c>
      <c r="K88" s="33" t="s">
        <v>694</v>
      </c>
      <c r="L88" s="33"/>
      <c r="M88" s="34"/>
      <c r="N88" s="34" t="s">
        <v>1699</v>
      </c>
      <c r="O88" s="35">
        <v>1</v>
      </c>
      <c r="P88" s="35">
        <v>1</v>
      </c>
      <c r="Q88" s="36" t="s">
        <v>2064</v>
      </c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0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1</v>
      </c>
      <c r="AE88" s="1">
        <f t="shared" si="50"/>
        <v>0</v>
      </c>
      <c r="AF88" s="1">
        <f t="shared" si="51"/>
        <v>1</v>
      </c>
      <c r="AG88" s="1">
        <f t="shared" si="52"/>
        <v>0</v>
      </c>
      <c r="AH88" s="1">
        <f t="shared" si="53"/>
        <v>1</v>
      </c>
      <c r="AI88" s="1">
        <f t="shared" si="54"/>
        <v>0</v>
      </c>
    </row>
    <row r="89" spans="1:35" ht="14.25" customHeight="1" x14ac:dyDescent="0.25">
      <c r="A89" s="15">
        <v>0</v>
      </c>
      <c r="B89" s="15">
        <v>1</v>
      </c>
      <c r="C89" s="15">
        <v>3</v>
      </c>
      <c r="D89" s="16" t="s">
        <v>1746</v>
      </c>
      <c r="E89" s="16" t="s">
        <v>171</v>
      </c>
      <c r="F89" s="16" t="s">
        <v>1748</v>
      </c>
      <c r="G89" s="16"/>
      <c r="H89" s="16" t="s">
        <v>362</v>
      </c>
      <c r="I89" s="15" t="s">
        <v>1747</v>
      </c>
      <c r="J89" s="15">
        <v>17</v>
      </c>
      <c r="K89" s="10" t="s">
        <v>694</v>
      </c>
      <c r="L89" s="10" t="s">
        <v>1703</v>
      </c>
      <c r="M89" s="19" t="s">
        <v>682</v>
      </c>
      <c r="N89" s="17"/>
      <c r="Q89" s="20" t="s">
        <v>1872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0</v>
      </c>
      <c r="AE89" s="1">
        <f t="shared" si="50"/>
        <v>0</v>
      </c>
      <c r="AF89" s="1">
        <f t="shared" si="51"/>
        <v>0</v>
      </c>
      <c r="AG89" s="1">
        <f t="shared" si="52"/>
        <v>0</v>
      </c>
      <c r="AH89" s="1">
        <f t="shared" si="53"/>
        <v>0</v>
      </c>
      <c r="AI89" s="1">
        <f t="shared" si="5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2" t="s">
        <v>1769</v>
      </c>
      <c r="E90" s="32" t="s">
        <v>171</v>
      </c>
      <c r="F90" s="32" t="s">
        <v>1770</v>
      </c>
      <c r="G90" s="32" t="s">
        <v>1771</v>
      </c>
      <c r="H90" s="32" t="s">
        <v>352</v>
      </c>
      <c r="I90" s="31" t="s">
        <v>1772</v>
      </c>
      <c r="J90" s="31">
        <v>1</v>
      </c>
      <c r="K90" s="33" t="s">
        <v>694</v>
      </c>
      <c r="L90" s="33">
        <v>60</v>
      </c>
      <c r="M90" s="34" t="s">
        <v>1773</v>
      </c>
      <c r="N90" s="34" t="s">
        <v>1808</v>
      </c>
      <c r="O90" s="35">
        <v>1</v>
      </c>
      <c r="P90" s="35"/>
      <c r="Q90" s="32"/>
      <c r="S90" s="1">
        <f t="shared" si="39"/>
        <v>1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1</v>
      </c>
      <c r="AF90" s="1">
        <f t="shared" si="51"/>
        <v>0</v>
      </c>
      <c r="AG90" s="1">
        <f t="shared" si="52"/>
        <v>1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2019</v>
      </c>
      <c r="E91" s="36" t="s">
        <v>175</v>
      </c>
      <c r="F91" s="36" t="s">
        <v>2017</v>
      </c>
      <c r="G91" s="36" t="s">
        <v>219</v>
      </c>
      <c r="H91" s="36" t="s">
        <v>352</v>
      </c>
      <c r="I91" s="37" t="s">
        <v>2018</v>
      </c>
      <c r="J91" s="31">
        <v>8</v>
      </c>
      <c r="K91" s="33" t="s">
        <v>694</v>
      </c>
      <c r="L91" s="33"/>
      <c r="M91" s="34"/>
      <c r="N91" s="34" t="s">
        <v>1699</v>
      </c>
      <c r="O91" s="35">
        <v>1</v>
      </c>
      <c r="P91" s="35">
        <v>1</v>
      </c>
      <c r="Q91" s="36"/>
      <c r="S91" s="1">
        <f t="shared" si="39"/>
        <v>0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1</v>
      </c>
      <c r="AA91" s="1">
        <f t="shared" si="47"/>
        <v>0</v>
      </c>
      <c r="AB91" s="1">
        <f t="shared" si="48"/>
        <v>0</v>
      </c>
      <c r="AD91" s="1">
        <f t="shared" si="49"/>
        <v>1</v>
      </c>
      <c r="AE91" s="1">
        <f t="shared" si="50"/>
        <v>0</v>
      </c>
      <c r="AF91" s="1">
        <f t="shared" si="51"/>
        <v>1</v>
      </c>
      <c r="AG91" s="1">
        <f t="shared" si="52"/>
        <v>0</v>
      </c>
      <c r="AH91" s="1">
        <f t="shared" si="53"/>
        <v>1</v>
      </c>
      <c r="AI91" s="1">
        <f t="shared" si="54"/>
        <v>0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1565</v>
      </c>
      <c r="E92" s="32" t="s">
        <v>174</v>
      </c>
      <c r="F92" s="36" t="s">
        <v>317</v>
      </c>
      <c r="G92" s="36" t="s">
        <v>268</v>
      </c>
      <c r="H92" s="36" t="s">
        <v>352</v>
      </c>
      <c r="I92" s="37" t="s">
        <v>463</v>
      </c>
      <c r="J92" s="31">
        <v>8</v>
      </c>
      <c r="K92" s="33" t="s">
        <v>693</v>
      </c>
      <c r="L92" s="33" t="s">
        <v>680</v>
      </c>
      <c r="M92" s="34" t="s">
        <v>682</v>
      </c>
      <c r="N92" s="34" t="s">
        <v>1715</v>
      </c>
      <c r="O92" s="35">
        <v>1</v>
      </c>
      <c r="P92" s="35"/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0</v>
      </c>
      <c r="AE92" s="1">
        <f t="shared" si="50"/>
        <v>1</v>
      </c>
      <c r="AF92" s="1">
        <f t="shared" si="51"/>
        <v>0</v>
      </c>
      <c r="AG92" s="1">
        <f t="shared" si="52"/>
        <v>1</v>
      </c>
      <c r="AH92" s="1">
        <f t="shared" si="53"/>
        <v>0</v>
      </c>
      <c r="AI92" s="1">
        <f t="shared" si="54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135</v>
      </c>
      <c r="E93" s="32" t="s">
        <v>171</v>
      </c>
      <c r="F93" s="36" t="s">
        <v>1838</v>
      </c>
      <c r="G93" s="36" t="s">
        <v>239</v>
      </c>
      <c r="H93" s="36" t="s">
        <v>352</v>
      </c>
      <c r="I93" s="37" t="s">
        <v>481</v>
      </c>
      <c r="J93" s="31">
        <v>1</v>
      </c>
      <c r="K93" s="33" t="s">
        <v>937</v>
      </c>
      <c r="L93" s="33" t="s">
        <v>680</v>
      </c>
      <c r="M93" s="34" t="s">
        <v>682</v>
      </c>
      <c r="N93" s="34" t="s">
        <v>1808</v>
      </c>
      <c r="O93" s="35">
        <v>1</v>
      </c>
      <c r="P93" s="35"/>
      <c r="Q93" s="36"/>
      <c r="S93" s="1">
        <f t="shared" si="39"/>
        <v>1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0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775</v>
      </c>
      <c r="E94" s="16" t="s">
        <v>602</v>
      </c>
      <c r="F94" s="16" t="s">
        <v>777</v>
      </c>
      <c r="G94" s="16" t="s">
        <v>213</v>
      </c>
      <c r="H94" s="16" t="s">
        <v>352</v>
      </c>
      <c r="I94" s="15" t="s">
        <v>776</v>
      </c>
      <c r="J94" s="15">
        <v>99</v>
      </c>
      <c r="K94" s="10" t="s">
        <v>713</v>
      </c>
      <c r="L94" s="10" t="s">
        <v>1665</v>
      </c>
      <c r="M94" s="19" t="s">
        <v>1361</v>
      </c>
      <c r="N94" s="19"/>
      <c r="Q94" s="16"/>
      <c r="S94" s="1">
        <f t="shared" si="39"/>
        <v>0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77</v>
      </c>
      <c r="E95" s="32" t="s">
        <v>171</v>
      </c>
      <c r="F95" s="32" t="s">
        <v>266</v>
      </c>
      <c r="G95" s="32" t="s">
        <v>262</v>
      </c>
      <c r="H95" s="32" t="s">
        <v>352</v>
      </c>
      <c r="I95" s="31" t="s">
        <v>422</v>
      </c>
      <c r="J95" s="31">
        <v>1</v>
      </c>
      <c r="K95" s="33" t="s">
        <v>937</v>
      </c>
      <c r="L95" s="33" t="s">
        <v>1665</v>
      </c>
      <c r="M95" s="34" t="s">
        <v>951</v>
      </c>
      <c r="N95" s="34" t="s">
        <v>1704</v>
      </c>
      <c r="O95" s="35">
        <v>1</v>
      </c>
      <c r="P95" s="35"/>
      <c r="Q95" s="32"/>
      <c r="S95" s="1">
        <f t="shared" si="39"/>
        <v>1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1</v>
      </c>
      <c r="AF95" s="1">
        <f t="shared" si="51"/>
        <v>0</v>
      </c>
      <c r="AG95" s="1">
        <f t="shared" si="52"/>
        <v>1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15">
        <v>0</v>
      </c>
      <c r="B96" s="15">
        <v>1</v>
      </c>
      <c r="C96" s="15">
        <v>3</v>
      </c>
      <c r="D96" s="20" t="s">
        <v>1908</v>
      </c>
      <c r="E96" s="20" t="s">
        <v>1936</v>
      </c>
      <c r="F96" s="20" t="s">
        <v>1937</v>
      </c>
      <c r="G96" s="20"/>
      <c r="H96" s="20" t="s">
        <v>1935</v>
      </c>
      <c r="I96" s="21" t="s">
        <v>1938</v>
      </c>
      <c r="J96" s="15">
        <v>18</v>
      </c>
      <c r="K96" s="10" t="s">
        <v>694</v>
      </c>
      <c r="L96" s="10" t="s">
        <v>1703</v>
      </c>
      <c r="M96" s="19" t="s">
        <v>952</v>
      </c>
      <c r="N96" s="17"/>
      <c r="Q96" s="20" t="s">
        <v>1939</v>
      </c>
      <c r="S96" s="1">
        <f t="shared" si="39"/>
        <v>0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0</v>
      </c>
      <c r="AF96" s="1">
        <f t="shared" si="51"/>
        <v>0</v>
      </c>
      <c r="AG96" s="1">
        <f t="shared" si="52"/>
        <v>0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1492</v>
      </c>
      <c r="E97" s="32" t="s">
        <v>175</v>
      </c>
      <c r="F97" s="36" t="s">
        <v>1493</v>
      </c>
      <c r="G97" s="36" t="s">
        <v>39</v>
      </c>
      <c r="H97" s="36" t="s">
        <v>889</v>
      </c>
      <c r="I97" s="37" t="s">
        <v>1494</v>
      </c>
      <c r="J97" s="31">
        <v>11</v>
      </c>
      <c r="K97" s="33" t="s">
        <v>945</v>
      </c>
      <c r="L97" s="33" t="s">
        <v>39</v>
      </c>
      <c r="M97" s="34" t="s">
        <v>39</v>
      </c>
      <c r="N97" s="34" t="s">
        <v>1699</v>
      </c>
      <c r="O97" s="35">
        <v>1</v>
      </c>
      <c r="P97" s="35">
        <v>1</v>
      </c>
      <c r="Q97" s="36"/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1</v>
      </c>
      <c r="AE97" s="1">
        <f t="shared" si="50"/>
        <v>0</v>
      </c>
      <c r="AF97" s="1">
        <f t="shared" si="51"/>
        <v>1</v>
      </c>
      <c r="AG97" s="1">
        <f t="shared" si="52"/>
        <v>0</v>
      </c>
      <c r="AH97" s="1">
        <f t="shared" si="53"/>
        <v>1</v>
      </c>
      <c r="AI97" s="1">
        <f t="shared" si="5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1813</v>
      </c>
      <c r="E98" s="36" t="s">
        <v>171</v>
      </c>
      <c r="F98" s="36" t="s">
        <v>1814</v>
      </c>
      <c r="G98" s="36"/>
      <c r="H98" s="36" t="s">
        <v>1815</v>
      </c>
      <c r="I98" s="37" t="s">
        <v>1816</v>
      </c>
      <c r="J98" s="31">
        <v>15</v>
      </c>
      <c r="K98" s="33" t="s">
        <v>694</v>
      </c>
      <c r="L98" s="33"/>
      <c r="M98" s="34"/>
      <c r="N98" s="34" t="s">
        <v>1699</v>
      </c>
      <c r="O98" s="35">
        <v>1</v>
      </c>
      <c r="P98" s="35">
        <v>1</v>
      </c>
      <c r="Q98" s="36" t="s">
        <v>1850</v>
      </c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727</v>
      </c>
      <c r="E99" s="32" t="s">
        <v>1305</v>
      </c>
      <c r="F99" s="32" t="s">
        <v>1625</v>
      </c>
      <c r="G99" s="32" t="s">
        <v>39</v>
      </c>
      <c r="H99" s="32" t="s">
        <v>728</v>
      </c>
      <c r="I99" s="31" t="s">
        <v>729</v>
      </c>
      <c r="J99" s="31">
        <v>18</v>
      </c>
      <c r="K99" s="33" t="s">
        <v>693</v>
      </c>
      <c r="L99" s="33" t="s">
        <v>679</v>
      </c>
      <c r="M99" s="34" t="s">
        <v>951</v>
      </c>
      <c r="N99" s="34" t="s">
        <v>1808</v>
      </c>
      <c r="O99" s="35">
        <v>1</v>
      </c>
      <c r="P99" s="35"/>
      <c r="Q99" s="32"/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0</v>
      </c>
      <c r="AE99" s="1">
        <f t="shared" si="50"/>
        <v>1</v>
      </c>
      <c r="AF99" s="1">
        <f t="shared" si="51"/>
        <v>0</v>
      </c>
      <c r="AG99" s="1">
        <f t="shared" si="52"/>
        <v>1</v>
      </c>
      <c r="AH99" s="1">
        <f t="shared" si="53"/>
        <v>0</v>
      </c>
      <c r="AI99" s="1">
        <f t="shared" si="54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1513</v>
      </c>
      <c r="E100" s="32" t="s">
        <v>171</v>
      </c>
      <c r="F100" s="32" t="s">
        <v>1514</v>
      </c>
      <c r="G100" s="32" t="s">
        <v>39</v>
      </c>
      <c r="H100" s="32" t="s">
        <v>362</v>
      </c>
      <c r="I100" s="31" t="s">
        <v>1515</v>
      </c>
      <c r="J100" s="31">
        <v>17</v>
      </c>
      <c r="K100" s="33" t="s">
        <v>713</v>
      </c>
      <c r="L100" s="33" t="s">
        <v>679</v>
      </c>
      <c r="M100" s="34" t="s">
        <v>39</v>
      </c>
      <c r="N100" s="34" t="s">
        <v>1693</v>
      </c>
      <c r="O100" s="35">
        <v>1</v>
      </c>
      <c r="P100" s="35">
        <v>1</v>
      </c>
      <c r="Q100" s="36" t="s">
        <v>1874</v>
      </c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1</v>
      </c>
      <c r="AE100" s="1">
        <f t="shared" si="50"/>
        <v>0</v>
      </c>
      <c r="AF100" s="1">
        <f t="shared" si="51"/>
        <v>1</v>
      </c>
      <c r="AG100" s="1">
        <f t="shared" si="52"/>
        <v>0</v>
      </c>
      <c r="AH100" s="1">
        <f t="shared" si="53"/>
        <v>1</v>
      </c>
      <c r="AI100" s="1">
        <f t="shared" si="54"/>
        <v>0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118</v>
      </c>
      <c r="E101" s="32" t="s">
        <v>171</v>
      </c>
      <c r="F101" s="36" t="s">
        <v>318</v>
      </c>
      <c r="G101" s="36" t="s">
        <v>39</v>
      </c>
      <c r="H101" s="36" t="s">
        <v>368</v>
      </c>
      <c r="I101" s="37" t="s">
        <v>464</v>
      </c>
      <c r="J101" s="31">
        <v>14</v>
      </c>
      <c r="K101" s="33" t="s">
        <v>937</v>
      </c>
      <c r="L101" s="33" t="s">
        <v>685</v>
      </c>
      <c r="M101" s="34" t="s">
        <v>682</v>
      </c>
      <c r="N101" s="34" t="s">
        <v>1708</v>
      </c>
      <c r="O101" s="35">
        <v>1</v>
      </c>
      <c r="P101" s="35"/>
      <c r="Q101" s="36" t="s">
        <v>1847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0</v>
      </c>
      <c r="AE101" s="1">
        <f t="shared" si="50"/>
        <v>1</v>
      </c>
      <c r="AF101" s="1">
        <f t="shared" si="51"/>
        <v>0</v>
      </c>
      <c r="AG101" s="1">
        <f t="shared" si="52"/>
        <v>1</v>
      </c>
      <c r="AH101" s="1">
        <f t="shared" si="53"/>
        <v>0</v>
      </c>
      <c r="AI101" s="1">
        <f t="shared" si="54"/>
        <v>1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114</v>
      </c>
      <c r="E102" s="32" t="s">
        <v>169</v>
      </c>
      <c r="F102" s="36" t="s">
        <v>324</v>
      </c>
      <c r="G102" s="36" t="s">
        <v>229</v>
      </c>
      <c r="H102" s="36" t="s">
        <v>352</v>
      </c>
      <c r="I102" s="37" t="s">
        <v>471</v>
      </c>
      <c r="J102" s="31">
        <v>7</v>
      </c>
      <c r="K102" s="33" t="s">
        <v>693</v>
      </c>
      <c r="L102" s="33" t="s">
        <v>39</v>
      </c>
      <c r="M102" s="34" t="s">
        <v>39</v>
      </c>
      <c r="N102" s="34" t="s">
        <v>1699</v>
      </c>
      <c r="O102" s="35">
        <v>1</v>
      </c>
      <c r="P102" s="35">
        <v>1</v>
      </c>
      <c r="Q102" s="36"/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1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1</v>
      </c>
      <c r="AE102" s="1">
        <f t="shared" si="50"/>
        <v>0</v>
      </c>
      <c r="AF102" s="1">
        <f t="shared" si="51"/>
        <v>1</v>
      </c>
      <c r="AG102" s="1">
        <f t="shared" si="52"/>
        <v>0</v>
      </c>
      <c r="AH102" s="1">
        <f t="shared" si="53"/>
        <v>1</v>
      </c>
      <c r="AI102" s="1">
        <f t="shared" si="54"/>
        <v>0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1890</v>
      </c>
      <c r="E103" s="32" t="s">
        <v>1891</v>
      </c>
      <c r="F103" s="36" t="s">
        <v>1892</v>
      </c>
      <c r="G103" s="36"/>
      <c r="H103" s="36" t="s">
        <v>364</v>
      </c>
      <c r="I103" s="37" t="s">
        <v>1894</v>
      </c>
      <c r="J103" s="31">
        <v>18</v>
      </c>
      <c r="K103" s="33" t="s">
        <v>694</v>
      </c>
      <c r="L103" s="33"/>
      <c r="M103" s="34"/>
      <c r="N103" s="34" t="s">
        <v>1699</v>
      </c>
      <c r="O103" s="35">
        <v>1</v>
      </c>
      <c r="P103" s="35">
        <v>1</v>
      </c>
      <c r="Q103" s="36" t="s">
        <v>1893</v>
      </c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0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1182</v>
      </c>
      <c r="E104" s="32" t="s">
        <v>174</v>
      </c>
      <c r="F104" s="36" t="s">
        <v>1313</v>
      </c>
      <c r="G104" s="36" t="s">
        <v>39</v>
      </c>
      <c r="H104" s="36" t="s">
        <v>603</v>
      </c>
      <c r="I104" s="37" t="s">
        <v>1183</v>
      </c>
      <c r="J104" s="31">
        <v>14</v>
      </c>
      <c r="K104" s="33" t="s">
        <v>937</v>
      </c>
      <c r="L104" s="33" t="s">
        <v>1665</v>
      </c>
      <c r="M104" s="34" t="s">
        <v>1362</v>
      </c>
      <c r="N104" s="34" t="s">
        <v>1784</v>
      </c>
      <c r="O104" s="35">
        <v>1</v>
      </c>
      <c r="P104" s="35"/>
      <c r="Q104" s="36"/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0</v>
      </c>
      <c r="AE104" s="1">
        <f t="shared" si="50"/>
        <v>1</v>
      </c>
      <c r="AF104" s="1">
        <f t="shared" si="51"/>
        <v>0</v>
      </c>
      <c r="AG104" s="1">
        <f t="shared" si="52"/>
        <v>1</v>
      </c>
      <c r="AH104" s="1">
        <f t="shared" si="53"/>
        <v>0</v>
      </c>
      <c r="AI104" s="1">
        <f t="shared" si="54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6" t="s">
        <v>806</v>
      </c>
      <c r="E105" s="32" t="s">
        <v>175</v>
      </c>
      <c r="F105" s="36" t="s">
        <v>910</v>
      </c>
      <c r="G105" s="36" t="s">
        <v>39</v>
      </c>
      <c r="H105" s="36" t="s">
        <v>370</v>
      </c>
      <c r="I105" s="37" t="s">
        <v>807</v>
      </c>
      <c r="J105" s="31">
        <v>16</v>
      </c>
      <c r="K105" s="33" t="s">
        <v>938</v>
      </c>
      <c r="L105" s="33" t="s">
        <v>679</v>
      </c>
      <c r="M105" s="34" t="s">
        <v>951</v>
      </c>
      <c r="N105" s="34" t="s">
        <v>1693</v>
      </c>
      <c r="O105" s="35">
        <v>1</v>
      </c>
      <c r="P105" s="35">
        <v>1</v>
      </c>
      <c r="Q105" s="36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1</v>
      </c>
      <c r="AE105" s="1">
        <f t="shared" si="50"/>
        <v>0</v>
      </c>
      <c r="AF105" s="1">
        <f t="shared" si="51"/>
        <v>1</v>
      </c>
      <c r="AG105" s="1">
        <f t="shared" si="52"/>
        <v>0</v>
      </c>
      <c r="AH105" s="1">
        <f t="shared" si="53"/>
        <v>1</v>
      </c>
      <c r="AI105" s="1">
        <f t="shared" si="54"/>
        <v>0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103</v>
      </c>
      <c r="E106" s="32" t="s">
        <v>169</v>
      </c>
      <c r="F106" s="32" t="s">
        <v>301</v>
      </c>
      <c r="G106" s="32" t="s">
        <v>39</v>
      </c>
      <c r="H106" s="32" t="s">
        <v>355</v>
      </c>
      <c r="I106" s="31" t="s">
        <v>448</v>
      </c>
      <c r="J106" s="31">
        <v>18</v>
      </c>
      <c r="K106" s="33" t="s">
        <v>693</v>
      </c>
      <c r="L106" s="33" t="s">
        <v>679</v>
      </c>
      <c r="M106" s="34" t="s">
        <v>682</v>
      </c>
      <c r="N106" s="34" t="s">
        <v>1704</v>
      </c>
      <c r="O106" s="35">
        <v>1</v>
      </c>
      <c r="P106" s="35"/>
      <c r="Q106" s="32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0</v>
      </c>
      <c r="AE106" s="1">
        <f t="shared" si="50"/>
        <v>1</v>
      </c>
      <c r="AF106" s="1">
        <f t="shared" si="51"/>
        <v>0</v>
      </c>
      <c r="AG106" s="1">
        <f t="shared" si="52"/>
        <v>1</v>
      </c>
      <c r="AH106" s="1">
        <f t="shared" si="53"/>
        <v>0</v>
      </c>
      <c r="AI106" s="1">
        <f t="shared" si="54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512</v>
      </c>
      <c r="E107" s="32" t="s">
        <v>169</v>
      </c>
      <c r="F107" s="32" t="s">
        <v>513</v>
      </c>
      <c r="G107" s="32" t="s">
        <v>500</v>
      </c>
      <c r="H107" s="32" t="s">
        <v>352</v>
      </c>
      <c r="I107" s="31" t="s">
        <v>514</v>
      </c>
      <c r="J107" s="31">
        <v>99</v>
      </c>
      <c r="K107" s="33" t="s">
        <v>937</v>
      </c>
      <c r="L107" s="33" t="s">
        <v>685</v>
      </c>
      <c r="M107" s="34" t="s">
        <v>682</v>
      </c>
      <c r="N107" s="34" t="s">
        <v>1708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6" t="s">
        <v>2126</v>
      </c>
      <c r="E108" s="32" t="s">
        <v>602</v>
      </c>
      <c r="F108" s="32" t="s">
        <v>738</v>
      </c>
      <c r="G108" s="32" t="s">
        <v>39</v>
      </c>
      <c r="H108" s="32" t="s">
        <v>739</v>
      </c>
      <c r="I108" s="31" t="s">
        <v>740</v>
      </c>
      <c r="J108" s="31">
        <v>18</v>
      </c>
      <c r="K108" s="33" t="s">
        <v>694</v>
      </c>
      <c r="L108" s="33" t="s">
        <v>688</v>
      </c>
      <c r="M108" s="34" t="s">
        <v>682</v>
      </c>
      <c r="N108" s="34" t="s">
        <v>1808</v>
      </c>
      <c r="O108" s="35">
        <v>1</v>
      </c>
      <c r="P108" s="35"/>
      <c r="Q108" s="36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1</v>
      </c>
      <c r="AF108" s="1">
        <f t="shared" si="51"/>
        <v>0</v>
      </c>
      <c r="AG108" s="1">
        <f t="shared" si="52"/>
        <v>1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2111</v>
      </c>
      <c r="E109" s="32" t="s">
        <v>169</v>
      </c>
      <c r="F109" s="32" t="s">
        <v>2110</v>
      </c>
      <c r="G109" s="32"/>
      <c r="H109" s="32" t="s">
        <v>352</v>
      </c>
      <c r="I109" s="31" t="s">
        <v>2112</v>
      </c>
      <c r="J109" s="31">
        <v>99</v>
      </c>
      <c r="K109" s="33" t="s">
        <v>694</v>
      </c>
      <c r="L109" s="33"/>
      <c r="M109" s="34"/>
      <c r="N109" s="34" t="s">
        <v>1784</v>
      </c>
      <c r="O109" s="35">
        <v>1</v>
      </c>
      <c r="P109" s="35"/>
      <c r="Q109" s="32" t="s">
        <v>2113</v>
      </c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1612</v>
      </c>
      <c r="E110" s="16" t="s">
        <v>1068</v>
      </c>
      <c r="F110" s="16" t="s">
        <v>1194</v>
      </c>
      <c r="G110" s="16" t="s">
        <v>39</v>
      </c>
      <c r="H110" s="16" t="s">
        <v>1195</v>
      </c>
      <c r="I110" s="15" t="s">
        <v>1196</v>
      </c>
      <c r="J110" s="15">
        <v>18</v>
      </c>
      <c r="K110" s="10" t="s">
        <v>939</v>
      </c>
      <c r="L110" s="10" t="s">
        <v>679</v>
      </c>
      <c r="M110" s="19" t="s">
        <v>951</v>
      </c>
      <c r="N110" s="17"/>
      <c r="Q110" s="16" t="s">
        <v>1842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1525</v>
      </c>
      <c r="E111" s="32" t="s">
        <v>169</v>
      </c>
      <c r="F111" s="32" t="s">
        <v>1643</v>
      </c>
      <c r="G111" s="32" t="s">
        <v>39</v>
      </c>
      <c r="H111" s="32" t="s">
        <v>355</v>
      </c>
      <c r="I111" s="31" t="s">
        <v>1526</v>
      </c>
      <c r="J111" s="31">
        <v>18</v>
      </c>
      <c r="K111" s="33" t="s">
        <v>713</v>
      </c>
      <c r="L111" s="33" t="s">
        <v>679</v>
      </c>
      <c r="M111" s="34" t="s">
        <v>682</v>
      </c>
      <c r="N111" s="34" t="s">
        <v>1704</v>
      </c>
      <c r="O111" s="35">
        <v>1</v>
      </c>
      <c r="P111" s="35"/>
      <c r="Q111" s="32"/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1</v>
      </c>
      <c r="AF111" s="1">
        <f t="shared" si="51"/>
        <v>0</v>
      </c>
      <c r="AG111" s="1">
        <f t="shared" si="52"/>
        <v>1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1293</v>
      </c>
      <c r="E112" s="32" t="s">
        <v>174</v>
      </c>
      <c r="F112" s="32" t="s">
        <v>1314</v>
      </c>
      <c r="G112" s="32" t="s">
        <v>39</v>
      </c>
      <c r="H112" s="32" t="s">
        <v>352</v>
      </c>
      <c r="I112" s="31" t="s">
        <v>1114</v>
      </c>
      <c r="J112" s="31">
        <v>99</v>
      </c>
      <c r="K112" s="33" t="s">
        <v>693</v>
      </c>
      <c r="L112" s="33" t="s">
        <v>1665</v>
      </c>
      <c r="M112" s="34" t="s">
        <v>1363</v>
      </c>
      <c r="N112" s="34" t="s">
        <v>1709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1237</v>
      </c>
      <c r="E113" s="32" t="s">
        <v>169</v>
      </c>
      <c r="F113" s="32" t="s">
        <v>1315</v>
      </c>
      <c r="G113" s="32" t="s">
        <v>1169</v>
      </c>
      <c r="H113" s="32" t="s">
        <v>352</v>
      </c>
      <c r="I113" s="31" t="s">
        <v>1170</v>
      </c>
      <c r="J113" s="31">
        <v>99</v>
      </c>
      <c r="K113" s="33" t="s">
        <v>713</v>
      </c>
      <c r="L113" s="33">
        <v>50</v>
      </c>
      <c r="M113" s="34" t="s">
        <v>39</v>
      </c>
      <c r="N113" s="34" t="s">
        <v>1760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1000</v>
      </c>
      <c r="E114" s="32" t="s">
        <v>602</v>
      </c>
      <c r="F114" s="32" t="s">
        <v>1001</v>
      </c>
      <c r="G114" s="32" t="s">
        <v>1002</v>
      </c>
      <c r="H114" s="32" t="s">
        <v>352</v>
      </c>
      <c r="I114" s="31" t="s">
        <v>1003</v>
      </c>
      <c r="J114" s="31">
        <v>99</v>
      </c>
      <c r="K114" s="33" t="s">
        <v>937</v>
      </c>
      <c r="L114" s="33" t="s">
        <v>39</v>
      </c>
      <c r="M114" s="34" t="s">
        <v>39</v>
      </c>
      <c r="N114" s="34" t="s">
        <v>1699</v>
      </c>
      <c r="O114" s="35">
        <v>1</v>
      </c>
      <c r="P114" s="35">
        <v>1</v>
      </c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1</v>
      </c>
      <c r="AE114" s="1">
        <f t="shared" si="50"/>
        <v>0</v>
      </c>
      <c r="AF114" s="1">
        <f t="shared" si="51"/>
        <v>1</v>
      </c>
      <c r="AG114" s="1">
        <f t="shared" si="52"/>
        <v>0</v>
      </c>
      <c r="AH114" s="1">
        <f t="shared" si="53"/>
        <v>1</v>
      </c>
      <c r="AI114" s="1">
        <f t="shared" si="54"/>
        <v>0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2074</v>
      </c>
      <c r="E115" s="32" t="s">
        <v>171</v>
      </c>
      <c r="F115" s="32" t="s">
        <v>2075</v>
      </c>
      <c r="G115" s="32"/>
      <c r="H115" s="32" t="s">
        <v>2076</v>
      </c>
      <c r="I115" s="31" t="s">
        <v>2077</v>
      </c>
      <c r="J115" s="31">
        <v>12</v>
      </c>
      <c r="K115" s="33" t="s">
        <v>694</v>
      </c>
      <c r="L115" s="33">
        <v>45</v>
      </c>
      <c r="M115" s="34" t="s">
        <v>1364</v>
      </c>
      <c r="N115" s="34" t="s">
        <v>1808</v>
      </c>
      <c r="O115" s="35">
        <v>1</v>
      </c>
      <c r="P115" s="35"/>
      <c r="Q115" s="32" t="s">
        <v>2078</v>
      </c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0</v>
      </c>
      <c r="AE115" s="1">
        <f t="shared" si="50"/>
        <v>1</v>
      </c>
      <c r="AF115" s="1">
        <f t="shared" si="51"/>
        <v>0</v>
      </c>
      <c r="AG115" s="1">
        <f t="shared" si="52"/>
        <v>1</v>
      </c>
      <c r="AH115" s="1">
        <f t="shared" si="53"/>
        <v>0</v>
      </c>
      <c r="AI115" s="1">
        <f t="shared" si="5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140</v>
      </c>
      <c r="E116" s="32" t="s">
        <v>174</v>
      </c>
      <c r="F116" s="32" t="s">
        <v>340</v>
      </c>
      <c r="G116" s="32" t="s">
        <v>39</v>
      </c>
      <c r="H116" s="32" t="s">
        <v>374</v>
      </c>
      <c r="I116" s="31" t="s">
        <v>486</v>
      </c>
      <c r="J116" s="31">
        <v>16</v>
      </c>
      <c r="K116" s="33" t="s">
        <v>693</v>
      </c>
      <c r="L116" s="33" t="s">
        <v>679</v>
      </c>
      <c r="M116" s="34" t="s">
        <v>1364</v>
      </c>
      <c r="N116" s="34" t="s">
        <v>1708</v>
      </c>
      <c r="O116" s="35">
        <v>1</v>
      </c>
      <c r="P116" s="35"/>
      <c r="Q116" s="32"/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1</v>
      </c>
      <c r="AF116" s="1">
        <f t="shared" si="51"/>
        <v>0</v>
      </c>
      <c r="AG116" s="1">
        <f t="shared" si="52"/>
        <v>1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802</v>
      </c>
      <c r="E117" s="32" t="s">
        <v>171</v>
      </c>
      <c r="F117" s="32" t="s">
        <v>803</v>
      </c>
      <c r="G117" s="32" t="s">
        <v>39</v>
      </c>
      <c r="H117" s="32" t="s">
        <v>804</v>
      </c>
      <c r="I117" s="31" t="s">
        <v>805</v>
      </c>
      <c r="J117" s="31">
        <v>16</v>
      </c>
      <c r="K117" s="33" t="s">
        <v>693</v>
      </c>
      <c r="L117" s="33" t="s">
        <v>679</v>
      </c>
      <c r="M117" s="34" t="s">
        <v>1364</v>
      </c>
      <c r="N117" s="34" t="s">
        <v>1693</v>
      </c>
      <c r="O117" s="35">
        <v>1</v>
      </c>
      <c r="P117" s="35">
        <v>1</v>
      </c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1</v>
      </c>
      <c r="AE117" s="1">
        <f t="shared" si="50"/>
        <v>0</v>
      </c>
      <c r="AF117" s="1">
        <f t="shared" si="51"/>
        <v>1</v>
      </c>
      <c r="AG117" s="1">
        <f t="shared" si="52"/>
        <v>0</v>
      </c>
      <c r="AH117" s="1">
        <f t="shared" si="53"/>
        <v>1</v>
      </c>
      <c r="AI117" s="1">
        <f t="shared" si="54"/>
        <v>0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107</v>
      </c>
      <c r="E118" s="16" t="s">
        <v>169</v>
      </c>
      <c r="F118" s="16" t="s">
        <v>304</v>
      </c>
      <c r="G118" s="16" t="s">
        <v>39</v>
      </c>
      <c r="H118" s="16" t="s">
        <v>359</v>
      </c>
      <c r="I118" s="15" t="s">
        <v>452</v>
      </c>
      <c r="J118" s="15">
        <v>18</v>
      </c>
      <c r="K118" s="10" t="s">
        <v>694</v>
      </c>
      <c r="L118" s="10" t="s">
        <v>679</v>
      </c>
      <c r="M118" s="19" t="s">
        <v>682</v>
      </c>
      <c r="N118" s="17"/>
      <c r="Q118" s="20" t="s">
        <v>1841</v>
      </c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0</v>
      </c>
      <c r="AE118" s="1">
        <f t="shared" si="50"/>
        <v>0</v>
      </c>
      <c r="AF118" s="1">
        <f t="shared" si="51"/>
        <v>0</v>
      </c>
      <c r="AG118" s="1">
        <f t="shared" si="52"/>
        <v>0</v>
      </c>
      <c r="AH118" s="1">
        <f t="shared" si="53"/>
        <v>0</v>
      </c>
      <c r="AI118" s="1">
        <f t="shared" si="5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1474</v>
      </c>
      <c r="E119" s="32" t="s">
        <v>169</v>
      </c>
      <c r="F119" s="32" t="s">
        <v>1475</v>
      </c>
      <c r="G119" s="32" t="s">
        <v>39</v>
      </c>
      <c r="H119" s="32" t="s">
        <v>372</v>
      </c>
      <c r="I119" s="31" t="s">
        <v>1476</v>
      </c>
      <c r="J119" s="31">
        <v>11</v>
      </c>
      <c r="K119" s="33" t="s">
        <v>713</v>
      </c>
      <c r="L119" s="33">
        <v>50</v>
      </c>
      <c r="M119" s="34" t="s">
        <v>39</v>
      </c>
      <c r="N119" s="34" t="s">
        <v>1709</v>
      </c>
      <c r="O119" s="35">
        <v>1</v>
      </c>
      <c r="P119" s="35"/>
      <c r="Q119" s="32"/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1</v>
      </c>
      <c r="AF119" s="1">
        <f t="shared" si="51"/>
        <v>0</v>
      </c>
      <c r="AG119" s="1">
        <f t="shared" si="52"/>
        <v>1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106</v>
      </c>
      <c r="E120" s="32" t="s">
        <v>169</v>
      </c>
      <c r="F120" s="32" t="s">
        <v>303</v>
      </c>
      <c r="G120" s="32" t="s">
        <v>39</v>
      </c>
      <c r="H120" s="32" t="s">
        <v>358</v>
      </c>
      <c r="I120" s="31" t="s">
        <v>451</v>
      </c>
      <c r="J120" s="31">
        <v>18</v>
      </c>
      <c r="K120" s="33" t="s">
        <v>693</v>
      </c>
      <c r="L120" s="33">
        <v>55</v>
      </c>
      <c r="M120" s="34" t="s">
        <v>682</v>
      </c>
      <c r="N120" s="34" t="s">
        <v>1709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127</v>
      </c>
      <c r="E121" s="32" t="s">
        <v>174</v>
      </c>
      <c r="F121" s="32" t="s">
        <v>327</v>
      </c>
      <c r="G121" s="32" t="s">
        <v>39</v>
      </c>
      <c r="H121" s="32" t="s">
        <v>373</v>
      </c>
      <c r="I121" s="31" t="s">
        <v>474</v>
      </c>
      <c r="J121" s="31">
        <v>12</v>
      </c>
      <c r="K121" s="33" t="s">
        <v>693</v>
      </c>
      <c r="L121" s="33">
        <v>35</v>
      </c>
      <c r="M121" s="34" t="s">
        <v>682</v>
      </c>
      <c r="N121" s="34" t="s">
        <v>1709</v>
      </c>
      <c r="O121" s="35">
        <v>1</v>
      </c>
      <c r="P121" s="35"/>
      <c r="Q121" s="32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1</v>
      </c>
      <c r="AF121" s="1">
        <f t="shared" si="51"/>
        <v>0</v>
      </c>
      <c r="AG121" s="1">
        <f t="shared" si="52"/>
        <v>1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975</v>
      </c>
      <c r="E122" s="16" t="s">
        <v>169</v>
      </c>
      <c r="F122" s="16" t="s">
        <v>1074</v>
      </c>
      <c r="G122" s="16" t="s">
        <v>231</v>
      </c>
      <c r="H122" s="16" t="s">
        <v>352</v>
      </c>
      <c r="I122" s="15" t="s">
        <v>976</v>
      </c>
      <c r="J122" s="15">
        <v>99</v>
      </c>
      <c r="K122" s="10" t="s">
        <v>937</v>
      </c>
      <c r="L122" s="10">
        <v>40</v>
      </c>
      <c r="M122" s="19" t="s">
        <v>39</v>
      </c>
      <c r="N122" s="19"/>
      <c r="Q122" s="16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0</v>
      </c>
      <c r="AF122" s="1">
        <f t="shared" si="51"/>
        <v>0</v>
      </c>
      <c r="AG122" s="1">
        <f t="shared" si="52"/>
        <v>0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128</v>
      </c>
      <c r="E123" s="32" t="s">
        <v>169</v>
      </c>
      <c r="F123" s="32" t="s">
        <v>328</v>
      </c>
      <c r="G123" s="32" t="s">
        <v>39</v>
      </c>
      <c r="H123" s="32" t="s">
        <v>369</v>
      </c>
      <c r="I123" s="31" t="s">
        <v>475</v>
      </c>
      <c r="J123" s="31">
        <v>11</v>
      </c>
      <c r="K123" s="33" t="s">
        <v>693</v>
      </c>
      <c r="L123" s="33" t="s">
        <v>39</v>
      </c>
      <c r="M123" s="34" t="s">
        <v>39</v>
      </c>
      <c r="N123" s="34" t="s">
        <v>1693</v>
      </c>
      <c r="O123" s="35">
        <v>1</v>
      </c>
      <c r="P123" s="35">
        <v>1</v>
      </c>
      <c r="Q123" s="32" t="s">
        <v>1992</v>
      </c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1</v>
      </c>
      <c r="AE123" s="1">
        <f t="shared" si="50"/>
        <v>0</v>
      </c>
      <c r="AF123" s="1">
        <f t="shared" si="51"/>
        <v>1</v>
      </c>
      <c r="AG123" s="1">
        <f t="shared" si="52"/>
        <v>0</v>
      </c>
      <c r="AH123" s="1">
        <f t="shared" si="53"/>
        <v>1</v>
      </c>
      <c r="AI123" s="1">
        <f t="shared" si="54"/>
        <v>0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1294</v>
      </c>
      <c r="E124" s="32" t="s">
        <v>171</v>
      </c>
      <c r="F124" s="32" t="s">
        <v>1317</v>
      </c>
      <c r="G124" s="32" t="s">
        <v>39</v>
      </c>
      <c r="H124" s="32" t="s">
        <v>969</v>
      </c>
      <c r="I124" s="31" t="s">
        <v>970</v>
      </c>
      <c r="J124" s="31">
        <v>14</v>
      </c>
      <c r="K124" s="33" t="s">
        <v>694</v>
      </c>
      <c r="L124" s="33">
        <v>30</v>
      </c>
      <c r="M124" s="34" t="s">
        <v>952</v>
      </c>
      <c r="N124" s="34" t="s">
        <v>1704</v>
      </c>
      <c r="O124" s="35">
        <v>1</v>
      </c>
      <c r="P124" s="35"/>
      <c r="Q124" s="32"/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0</v>
      </c>
      <c r="AE124" s="1">
        <f t="shared" si="50"/>
        <v>1</v>
      </c>
      <c r="AF124" s="1">
        <f t="shared" si="51"/>
        <v>0</v>
      </c>
      <c r="AG124" s="1">
        <f t="shared" si="52"/>
        <v>1</v>
      </c>
      <c r="AH124" s="1">
        <f t="shared" si="53"/>
        <v>0</v>
      </c>
      <c r="AI124" s="1">
        <f t="shared" si="5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2096</v>
      </c>
      <c r="E125" s="16" t="s">
        <v>169</v>
      </c>
      <c r="F125" s="16" t="s">
        <v>2098</v>
      </c>
      <c r="G125" s="16"/>
      <c r="H125" s="16" t="s">
        <v>372</v>
      </c>
      <c r="I125" s="15" t="s">
        <v>2099</v>
      </c>
      <c r="J125" s="15">
        <v>11</v>
      </c>
      <c r="K125" s="10" t="s">
        <v>694</v>
      </c>
      <c r="L125" s="10">
        <v>50</v>
      </c>
      <c r="M125" s="19" t="s">
        <v>2097</v>
      </c>
      <c r="N125" s="17"/>
      <c r="Q125" s="16" t="s">
        <v>2100</v>
      </c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0</v>
      </c>
      <c r="AF125" s="1">
        <f t="shared" si="51"/>
        <v>0</v>
      </c>
      <c r="AG125" s="1">
        <f t="shared" si="52"/>
        <v>0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31">
        <v>0</v>
      </c>
      <c r="B126" s="31">
        <v>1</v>
      </c>
      <c r="C126" s="31">
        <v>3</v>
      </c>
      <c r="D126" s="32" t="s">
        <v>690</v>
      </c>
      <c r="E126" s="32" t="s">
        <v>174</v>
      </c>
      <c r="F126" s="32" t="s">
        <v>691</v>
      </c>
      <c r="G126" s="32" t="s">
        <v>39</v>
      </c>
      <c r="H126" s="32" t="s">
        <v>692</v>
      </c>
      <c r="I126" s="31" t="s">
        <v>1096</v>
      </c>
      <c r="J126" s="31">
        <v>13</v>
      </c>
      <c r="K126" s="33" t="s">
        <v>693</v>
      </c>
      <c r="L126" s="33" t="s">
        <v>1665</v>
      </c>
      <c r="M126" s="34" t="s">
        <v>951</v>
      </c>
      <c r="N126" s="34" t="s">
        <v>1784</v>
      </c>
      <c r="O126" s="35">
        <v>1</v>
      </c>
      <c r="P126" s="35"/>
      <c r="Q126" s="32"/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1</v>
      </c>
      <c r="AF126" s="1">
        <f t="shared" si="51"/>
        <v>0</v>
      </c>
      <c r="AG126" s="1">
        <f t="shared" si="52"/>
        <v>1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1488</v>
      </c>
      <c r="E127" s="32" t="s">
        <v>169</v>
      </c>
      <c r="F127" s="32" t="s">
        <v>1634</v>
      </c>
      <c r="G127" s="32" t="s">
        <v>39</v>
      </c>
      <c r="H127" s="32" t="s">
        <v>1489</v>
      </c>
      <c r="I127" s="31" t="s">
        <v>1490</v>
      </c>
      <c r="J127" s="31">
        <v>11</v>
      </c>
      <c r="K127" s="33" t="s">
        <v>713</v>
      </c>
      <c r="L127" s="33">
        <v>40</v>
      </c>
      <c r="M127" s="34" t="s">
        <v>39</v>
      </c>
      <c r="N127" s="34" t="s">
        <v>1693</v>
      </c>
      <c r="O127" s="35">
        <v>1</v>
      </c>
      <c r="P127" s="35">
        <v>1</v>
      </c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1</v>
      </c>
      <c r="AE127" s="1">
        <f t="shared" si="50"/>
        <v>0</v>
      </c>
      <c r="AF127" s="1">
        <f t="shared" si="51"/>
        <v>1</v>
      </c>
      <c r="AG127" s="1">
        <f t="shared" si="52"/>
        <v>0</v>
      </c>
      <c r="AH127" s="1">
        <f t="shared" si="53"/>
        <v>1</v>
      </c>
      <c r="AI127" s="1">
        <f t="shared" si="54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145</v>
      </c>
      <c r="E128" s="16" t="s">
        <v>171</v>
      </c>
      <c r="F128" s="16" t="s">
        <v>346</v>
      </c>
      <c r="G128" s="16" t="s">
        <v>39</v>
      </c>
      <c r="H128" s="16" t="s">
        <v>365</v>
      </c>
      <c r="I128" s="15" t="s">
        <v>490</v>
      </c>
      <c r="J128" s="15">
        <v>18</v>
      </c>
      <c r="K128" s="10" t="s">
        <v>937</v>
      </c>
      <c r="L128" s="10" t="s">
        <v>688</v>
      </c>
      <c r="M128" s="19" t="s">
        <v>951</v>
      </c>
      <c r="N128" s="17"/>
      <c r="Q128" s="16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0</v>
      </c>
      <c r="AE128" s="1">
        <f t="shared" si="50"/>
        <v>0</v>
      </c>
      <c r="AF128" s="1">
        <f t="shared" si="51"/>
        <v>0</v>
      </c>
      <c r="AG128" s="1">
        <f t="shared" si="52"/>
        <v>0</v>
      </c>
      <c r="AH128" s="1">
        <f t="shared" si="53"/>
        <v>0</v>
      </c>
      <c r="AI128" s="1">
        <f t="shared" si="54"/>
        <v>1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20" t="s">
        <v>1934</v>
      </c>
      <c r="E129" s="20" t="s">
        <v>171</v>
      </c>
      <c r="F129" s="20" t="s">
        <v>1931</v>
      </c>
      <c r="G129" s="20"/>
      <c r="H129" s="20" t="s">
        <v>1932</v>
      </c>
      <c r="I129" s="21" t="s">
        <v>1930</v>
      </c>
      <c r="J129" s="15">
        <v>17</v>
      </c>
      <c r="K129" s="10" t="s">
        <v>694</v>
      </c>
      <c r="L129" s="10" t="s">
        <v>1703</v>
      </c>
      <c r="M129" s="19" t="s">
        <v>952</v>
      </c>
      <c r="N129" s="17"/>
      <c r="Q129" s="20" t="s">
        <v>1933</v>
      </c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981</v>
      </c>
      <c r="E130" s="45" t="s">
        <v>171</v>
      </c>
      <c r="F130" s="57" t="s">
        <v>1826</v>
      </c>
      <c r="G130" s="45" t="s">
        <v>39</v>
      </c>
      <c r="H130" s="45" t="s">
        <v>982</v>
      </c>
      <c r="I130" s="44" t="s">
        <v>1097</v>
      </c>
      <c r="J130" s="44">
        <v>16</v>
      </c>
      <c r="K130" s="46" t="s">
        <v>713</v>
      </c>
      <c r="L130" s="46" t="s">
        <v>1703</v>
      </c>
      <c r="M130" s="47" t="s">
        <v>1365</v>
      </c>
      <c r="N130" s="47" t="s">
        <v>1761</v>
      </c>
      <c r="O130" s="48"/>
      <c r="P130" s="48"/>
      <c r="Q130" s="57" t="s">
        <v>1848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31">
        <v>0</v>
      </c>
      <c r="B131" s="31">
        <v>1</v>
      </c>
      <c r="C131" s="31">
        <v>3</v>
      </c>
      <c r="D131" s="32" t="s">
        <v>1108</v>
      </c>
      <c r="E131" s="32" t="s">
        <v>171</v>
      </c>
      <c r="F131" s="32" t="s">
        <v>1318</v>
      </c>
      <c r="G131" s="32" t="s">
        <v>39</v>
      </c>
      <c r="H131" s="32" t="s">
        <v>1110</v>
      </c>
      <c r="I131" s="31" t="s">
        <v>1109</v>
      </c>
      <c r="J131" s="31">
        <v>14</v>
      </c>
      <c r="K131" s="33" t="s">
        <v>939</v>
      </c>
      <c r="L131" s="33" t="s">
        <v>1665</v>
      </c>
      <c r="M131" s="34" t="s">
        <v>1366</v>
      </c>
      <c r="N131" s="34" t="s">
        <v>1693</v>
      </c>
      <c r="O131" s="35">
        <v>1</v>
      </c>
      <c r="P131" s="35">
        <v>1</v>
      </c>
      <c r="Q131" s="32" t="s">
        <v>2079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1</v>
      </c>
      <c r="AE131" s="1">
        <f t="shared" si="50"/>
        <v>0</v>
      </c>
      <c r="AF131" s="1">
        <f t="shared" si="51"/>
        <v>1</v>
      </c>
      <c r="AG131" s="1">
        <f t="shared" si="52"/>
        <v>0</v>
      </c>
      <c r="AH131" s="1">
        <f t="shared" si="53"/>
        <v>1</v>
      </c>
      <c r="AI131" s="1">
        <f t="shared" si="54"/>
        <v>0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1059</v>
      </c>
      <c r="E132" s="32" t="s">
        <v>171</v>
      </c>
      <c r="F132" s="32" t="s">
        <v>1021</v>
      </c>
      <c r="G132" s="32" t="s">
        <v>1085</v>
      </c>
      <c r="H132" s="32" t="s">
        <v>352</v>
      </c>
      <c r="I132" s="31" t="s">
        <v>1022</v>
      </c>
      <c r="J132" s="31">
        <v>1</v>
      </c>
      <c r="K132" s="33" t="s">
        <v>939</v>
      </c>
      <c r="L132" s="33" t="s">
        <v>678</v>
      </c>
      <c r="M132" s="34" t="s">
        <v>952</v>
      </c>
      <c r="N132" s="34" t="s">
        <v>1715</v>
      </c>
      <c r="O132" s="35">
        <v>1</v>
      </c>
      <c r="P132" s="35"/>
      <c r="Q132" s="32"/>
      <c r="S132" s="1">
        <f t="shared" si="39"/>
        <v>1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0</v>
      </c>
      <c r="AE132" s="1">
        <f t="shared" si="50"/>
        <v>1</v>
      </c>
      <c r="AF132" s="1">
        <f t="shared" si="51"/>
        <v>0</v>
      </c>
      <c r="AG132" s="1">
        <f t="shared" si="52"/>
        <v>1</v>
      </c>
      <c r="AH132" s="1">
        <f t="shared" si="53"/>
        <v>0</v>
      </c>
      <c r="AI132" s="1">
        <f t="shared" si="54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6" t="s">
        <v>2049</v>
      </c>
      <c r="E133" s="36" t="s">
        <v>171</v>
      </c>
      <c r="F133" s="36" t="s">
        <v>2050</v>
      </c>
      <c r="G133" s="32"/>
      <c r="H133" s="36" t="s">
        <v>2051</v>
      </c>
      <c r="I133" s="37" t="s">
        <v>2052</v>
      </c>
      <c r="J133" s="31">
        <v>14</v>
      </c>
      <c r="K133" s="33" t="s">
        <v>694</v>
      </c>
      <c r="L133" s="33"/>
      <c r="M133" s="34"/>
      <c r="N133" s="34" t="s">
        <v>1699</v>
      </c>
      <c r="O133" s="35">
        <v>1</v>
      </c>
      <c r="P133" s="35">
        <v>1</v>
      </c>
      <c r="Q133" s="36" t="s">
        <v>2053</v>
      </c>
      <c r="S133" s="1">
        <f t="shared" si="39"/>
        <v>0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1</v>
      </c>
      <c r="AE133" s="1">
        <f t="shared" si="50"/>
        <v>0</v>
      </c>
      <c r="AF133" s="1">
        <f t="shared" si="51"/>
        <v>1</v>
      </c>
      <c r="AG133" s="1">
        <f t="shared" si="52"/>
        <v>0</v>
      </c>
      <c r="AH133" s="1">
        <f t="shared" si="53"/>
        <v>1</v>
      </c>
      <c r="AI133" s="1">
        <f t="shared" si="54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1596</v>
      </c>
      <c r="E134" s="32" t="s">
        <v>1068</v>
      </c>
      <c r="F134" s="32" t="s">
        <v>1597</v>
      </c>
      <c r="G134" s="32" t="s">
        <v>39</v>
      </c>
      <c r="H134" s="32" t="s">
        <v>1598</v>
      </c>
      <c r="I134" s="31" t="s">
        <v>1599</v>
      </c>
      <c r="J134" s="31">
        <v>15</v>
      </c>
      <c r="K134" s="33" t="s">
        <v>939</v>
      </c>
      <c r="L134" s="33" t="s">
        <v>39</v>
      </c>
      <c r="M134" s="34" t="s">
        <v>39</v>
      </c>
      <c r="N134" s="34" t="s">
        <v>1708</v>
      </c>
      <c r="O134" s="35">
        <v>1</v>
      </c>
      <c r="P134" s="35"/>
      <c r="Q134" s="36" t="s">
        <v>1853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0</v>
      </c>
      <c r="AE134" s="1">
        <f t="shared" si="50"/>
        <v>1</v>
      </c>
      <c r="AF134" s="1">
        <f t="shared" si="51"/>
        <v>0</v>
      </c>
      <c r="AG134" s="1">
        <f t="shared" si="52"/>
        <v>1</v>
      </c>
      <c r="AH134" s="1">
        <f t="shared" si="53"/>
        <v>0</v>
      </c>
      <c r="AI134" s="1">
        <f t="shared" si="54"/>
        <v>1</v>
      </c>
    </row>
    <row r="135" spans="1:35" ht="14.25" customHeight="1" x14ac:dyDescent="0.25">
      <c r="A135" s="15">
        <v>0</v>
      </c>
      <c r="B135" s="15">
        <v>1</v>
      </c>
      <c r="C135" s="15">
        <v>3</v>
      </c>
      <c r="D135" s="16" t="s">
        <v>605</v>
      </c>
      <c r="E135" s="16" t="s">
        <v>169</v>
      </c>
      <c r="F135" s="16" t="s">
        <v>606</v>
      </c>
      <c r="G135" s="16" t="s">
        <v>39</v>
      </c>
      <c r="H135" s="16" t="s">
        <v>364</v>
      </c>
      <c r="I135" s="15" t="s">
        <v>607</v>
      </c>
      <c r="J135" s="15">
        <v>18</v>
      </c>
      <c r="K135" s="10" t="s">
        <v>713</v>
      </c>
      <c r="L135" s="10" t="s">
        <v>1703</v>
      </c>
      <c r="M135" s="19" t="s">
        <v>39</v>
      </c>
      <c r="N135" s="17"/>
      <c r="Q135" s="16"/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0</v>
      </c>
      <c r="AF135" s="1">
        <f t="shared" si="51"/>
        <v>0</v>
      </c>
      <c r="AG135" s="1">
        <f t="shared" si="52"/>
        <v>0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6" t="s">
        <v>2105</v>
      </c>
      <c r="E136" s="36" t="s">
        <v>171</v>
      </c>
      <c r="F136" s="36" t="s">
        <v>2106</v>
      </c>
      <c r="G136" s="32"/>
      <c r="H136" s="36" t="s">
        <v>360</v>
      </c>
      <c r="I136" s="37" t="s">
        <v>2107</v>
      </c>
      <c r="J136" s="31">
        <v>12</v>
      </c>
      <c r="K136" s="33" t="s">
        <v>694</v>
      </c>
      <c r="L136" s="33">
        <v>40</v>
      </c>
      <c r="M136" s="34" t="s">
        <v>952</v>
      </c>
      <c r="N136" s="34" t="s">
        <v>1704</v>
      </c>
      <c r="O136" s="35">
        <v>1</v>
      </c>
      <c r="P136" s="35"/>
      <c r="Q136" s="32" t="s">
        <v>2108</v>
      </c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1</v>
      </c>
      <c r="AF136" s="1">
        <f t="shared" si="51"/>
        <v>0</v>
      </c>
      <c r="AG136" s="1">
        <f t="shared" si="52"/>
        <v>1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20" t="s">
        <v>2056</v>
      </c>
      <c r="E137" s="20" t="s">
        <v>859</v>
      </c>
      <c r="F137" s="20" t="s">
        <v>2057</v>
      </c>
      <c r="G137" s="16"/>
      <c r="H137" s="20" t="s">
        <v>2058</v>
      </c>
      <c r="I137" s="21" t="s">
        <v>2059</v>
      </c>
      <c r="J137" s="15">
        <v>16</v>
      </c>
      <c r="K137" s="10" t="s">
        <v>694</v>
      </c>
      <c r="L137" s="10" t="s">
        <v>679</v>
      </c>
      <c r="M137" s="19" t="s">
        <v>952</v>
      </c>
      <c r="N137" s="17"/>
      <c r="Q137" s="16" t="s">
        <v>2060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0</v>
      </c>
      <c r="AF137" s="1">
        <f t="shared" si="51"/>
        <v>0</v>
      </c>
      <c r="AG137" s="1">
        <f t="shared" si="52"/>
        <v>0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1907</v>
      </c>
      <c r="E138" s="20" t="s">
        <v>171</v>
      </c>
      <c r="F138" s="20" t="s">
        <v>1927</v>
      </c>
      <c r="G138" s="20"/>
      <c r="H138" s="20" t="s">
        <v>1926</v>
      </c>
      <c r="I138" s="21" t="s">
        <v>1928</v>
      </c>
      <c r="J138" s="15">
        <v>15</v>
      </c>
      <c r="K138" s="10" t="s">
        <v>694</v>
      </c>
      <c r="L138" s="10" t="s">
        <v>1703</v>
      </c>
      <c r="M138" s="19" t="s">
        <v>952</v>
      </c>
      <c r="N138" s="17"/>
      <c r="Q138" s="20" t="s">
        <v>1929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903</v>
      </c>
      <c r="E139" s="32" t="s">
        <v>171</v>
      </c>
      <c r="F139" s="32" t="s">
        <v>1135</v>
      </c>
      <c r="G139" s="32" t="s">
        <v>39</v>
      </c>
      <c r="H139" s="32" t="s">
        <v>361</v>
      </c>
      <c r="I139" s="31" t="s">
        <v>874</v>
      </c>
      <c r="J139" s="31">
        <v>14</v>
      </c>
      <c r="K139" s="33" t="s">
        <v>938</v>
      </c>
      <c r="L139" s="33" t="s">
        <v>39</v>
      </c>
      <c r="M139" s="34" t="s">
        <v>39</v>
      </c>
      <c r="N139" s="34" t="s">
        <v>1699</v>
      </c>
      <c r="O139" s="35">
        <v>1</v>
      </c>
      <c r="P139" s="35">
        <v>1</v>
      </c>
      <c r="Q139" s="36"/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1</v>
      </c>
      <c r="AE139" s="1">
        <f t="shared" si="50"/>
        <v>0</v>
      </c>
      <c r="AF139" s="1">
        <f t="shared" si="51"/>
        <v>1</v>
      </c>
      <c r="AG139" s="1">
        <f t="shared" si="52"/>
        <v>0</v>
      </c>
      <c r="AH139" s="1">
        <f t="shared" si="53"/>
        <v>1</v>
      </c>
      <c r="AI139" s="1">
        <f t="shared" si="54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104</v>
      </c>
      <c r="E140" s="32" t="s">
        <v>171</v>
      </c>
      <c r="F140" s="32" t="s">
        <v>914</v>
      </c>
      <c r="G140" s="32" t="s">
        <v>39</v>
      </c>
      <c r="H140" s="32" t="s">
        <v>356</v>
      </c>
      <c r="I140" s="31" t="s">
        <v>449</v>
      </c>
      <c r="J140" s="31">
        <v>18</v>
      </c>
      <c r="K140" s="33" t="s">
        <v>937</v>
      </c>
      <c r="L140" s="33" t="s">
        <v>688</v>
      </c>
      <c r="M140" s="34" t="s">
        <v>682</v>
      </c>
      <c r="N140" s="34" t="s">
        <v>1704</v>
      </c>
      <c r="O140" s="35">
        <v>1</v>
      </c>
      <c r="P140" s="35"/>
      <c r="Q140" s="36" t="s">
        <v>1846</v>
      </c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0</v>
      </c>
      <c r="AE140" s="1">
        <f t="shared" si="50"/>
        <v>1</v>
      </c>
      <c r="AF140" s="1">
        <f t="shared" si="51"/>
        <v>0</v>
      </c>
      <c r="AG140" s="1">
        <f t="shared" si="52"/>
        <v>1</v>
      </c>
      <c r="AH140" s="1">
        <f t="shared" si="53"/>
        <v>0</v>
      </c>
      <c r="AI140" s="1">
        <f t="shared" si="54"/>
        <v>1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1477</v>
      </c>
      <c r="E141" s="32" t="s">
        <v>1619</v>
      </c>
      <c r="F141" s="36" t="s">
        <v>2127</v>
      </c>
      <c r="G141" s="32" t="s">
        <v>39</v>
      </c>
      <c r="H141" s="32" t="s">
        <v>1479</v>
      </c>
      <c r="I141" s="31" t="s">
        <v>1478</v>
      </c>
      <c r="J141" s="31">
        <v>14</v>
      </c>
      <c r="K141" s="33" t="s">
        <v>943</v>
      </c>
      <c r="L141" s="33" t="s">
        <v>678</v>
      </c>
      <c r="M141" s="34" t="s">
        <v>1367</v>
      </c>
      <c r="N141" s="34" t="s">
        <v>1693</v>
      </c>
      <c r="O141" s="35">
        <v>1</v>
      </c>
      <c r="P141" s="35">
        <v>1</v>
      </c>
      <c r="Q141" s="36"/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1</v>
      </c>
      <c r="AE141" s="1">
        <f t="shared" si="50"/>
        <v>0</v>
      </c>
      <c r="AF141" s="1">
        <f t="shared" si="51"/>
        <v>1</v>
      </c>
      <c r="AG141" s="1">
        <f t="shared" si="52"/>
        <v>0</v>
      </c>
      <c r="AH141" s="1">
        <f t="shared" si="53"/>
        <v>1</v>
      </c>
      <c r="AI141" s="1">
        <f t="shared" si="5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1231</v>
      </c>
      <c r="E142" s="32" t="s">
        <v>171</v>
      </c>
      <c r="F142" s="32" t="s">
        <v>1232</v>
      </c>
      <c r="G142" s="32" t="s">
        <v>1234</v>
      </c>
      <c r="H142" s="32" t="s">
        <v>352</v>
      </c>
      <c r="I142" s="31" t="s">
        <v>1233</v>
      </c>
      <c r="J142" s="31">
        <v>99</v>
      </c>
      <c r="K142" s="33" t="s">
        <v>939</v>
      </c>
      <c r="L142" s="33" t="s">
        <v>684</v>
      </c>
      <c r="M142" s="34" t="s">
        <v>952</v>
      </c>
      <c r="N142" s="34" t="s">
        <v>1784</v>
      </c>
      <c r="O142" s="35">
        <v>1</v>
      </c>
      <c r="P142" s="35"/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0</v>
      </c>
      <c r="AE142" s="1">
        <f t="shared" si="50"/>
        <v>1</v>
      </c>
      <c r="AF142" s="1">
        <f t="shared" si="51"/>
        <v>0</v>
      </c>
      <c r="AG142" s="1">
        <f t="shared" si="52"/>
        <v>1</v>
      </c>
      <c r="AH142" s="1">
        <f t="shared" si="53"/>
        <v>0</v>
      </c>
      <c r="AI142" s="1">
        <f t="shared" si="54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1471</v>
      </c>
      <c r="E143" s="32" t="s">
        <v>171</v>
      </c>
      <c r="F143" s="32" t="s">
        <v>1472</v>
      </c>
      <c r="G143" s="32" t="s">
        <v>39</v>
      </c>
      <c r="H143" s="32" t="s">
        <v>363</v>
      </c>
      <c r="I143" s="31" t="s">
        <v>1473</v>
      </c>
      <c r="J143" s="31">
        <v>18</v>
      </c>
      <c r="K143" s="33" t="s">
        <v>937</v>
      </c>
      <c r="L143" s="33" t="s">
        <v>1703</v>
      </c>
      <c r="M143" s="34" t="s">
        <v>39</v>
      </c>
      <c r="N143" s="34" t="s">
        <v>1708</v>
      </c>
      <c r="O143" s="35">
        <v>1</v>
      </c>
      <c r="P143" s="35"/>
      <c r="Q143" s="32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1590</v>
      </c>
      <c r="E144" s="16" t="s">
        <v>171</v>
      </c>
      <c r="F144" s="16" t="s">
        <v>1593</v>
      </c>
      <c r="G144" s="16" t="s">
        <v>39</v>
      </c>
      <c r="H144" s="16" t="s">
        <v>1591</v>
      </c>
      <c r="I144" s="15" t="s">
        <v>1592</v>
      </c>
      <c r="J144" s="15">
        <v>15</v>
      </c>
      <c r="K144" s="10" t="s">
        <v>713</v>
      </c>
      <c r="L144" s="10" t="s">
        <v>39</v>
      </c>
      <c r="M144" s="19" t="s">
        <v>39</v>
      </c>
      <c r="N144" s="17"/>
      <c r="Q144" s="16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0</v>
      </c>
      <c r="AF144" s="1">
        <f t="shared" si="51"/>
        <v>0</v>
      </c>
      <c r="AG144" s="1">
        <f t="shared" si="52"/>
        <v>0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1219</v>
      </c>
      <c r="E145" s="32" t="s">
        <v>1221</v>
      </c>
      <c r="F145" s="32" t="s">
        <v>1222</v>
      </c>
      <c r="G145" s="32" t="s">
        <v>39</v>
      </c>
      <c r="H145" s="32" t="s">
        <v>367</v>
      </c>
      <c r="I145" s="31" t="s">
        <v>1220</v>
      </c>
      <c r="J145" s="31">
        <v>14</v>
      </c>
      <c r="K145" s="33" t="s">
        <v>939</v>
      </c>
      <c r="L145" s="33" t="s">
        <v>678</v>
      </c>
      <c r="M145" s="34" t="s">
        <v>1367</v>
      </c>
      <c r="N145" s="34" t="s">
        <v>1699</v>
      </c>
      <c r="O145" s="35">
        <v>1</v>
      </c>
      <c r="P145" s="35">
        <v>1</v>
      </c>
      <c r="Q145" s="32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1</v>
      </c>
      <c r="AE145" s="1">
        <f t="shared" si="50"/>
        <v>0</v>
      </c>
      <c r="AF145" s="1">
        <f t="shared" si="51"/>
        <v>1</v>
      </c>
      <c r="AG145" s="1">
        <f t="shared" si="52"/>
        <v>0</v>
      </c>
      <c r="AH145" s="1">
        <f t="shared" si="53"/>
        <v>1</v>
      </c>
      <c r="AI145" s="1">
        <f t="shared" si="54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129</v>
      </c>
      <c r="E146" s="32" t="s">
        <v>175</v>
      </c>
      <c r="F146" s="32" t="s">
        <v>329</v>
      </c>
      <c r="G146" s="32" t="s">
        <v>181</v>
      </c>
      <c r="H146" s="32" t="s">
        <v>352</v>
      </c>
      <c r="I146" s="31" t="s">
        <v>476</v>
      </c>
      <c r="J146" s="31">
        <v>99</v>
      </c>
      <c r="K146" s="33" t="s">
        <v>938</v>
      </c>
      <c r="L146" s="33" t="s">
        <v>39</v>
      </c>
      <c r="M146" s="34" t="s">
        <v>39</v>
      </c>
      <c r="N146" s="34" t="s">
        <v>1699</v>
      </c>
      <c r="O146" s="35">
        <v>1</v>
      </c>
      <c r="P146" s="35">
        <v>1</v>
      </c>
      <c r="Q146" s="32"/>
      <c r="S146" s="1">
        <f t="shared" ref="S146:S209" si="55">IF(J146=$S$7,1,0)</f>
        <v>0</v>
      </c>
      <c r="T146" s="1">
        <f t="shared" ref="T146:T209" si="56">IF(J146=$T$7,1,0)</f>
        <v>0</v>
      </c>
      <c r="U146" s="1">
        <f t="shared" ref="U146:U209" si="57">IF(J146=$U$7,1,0)</f>
        <v>0</v>
      </c>
      <c r="V146" s="1">
        <f t="shared" ref="V146:V209" si="58">IF(J146=$V$7,1,0)</f>
        <v>0</v>
      </c>
      <c r="W146" s="1">
        <f t="shared" ref="W146:W209" si="59">IF(J146=$W$7,1,0)</f>
        <v>0</v>
      </c>
      <c r="X146" s="1">
        <f t="shared" ref="X146:X209" si="60">IF(J146=$X$7,1,0)</f>
        <v>0</v>
      </c>
      <c r="Y146" s="1">
        <f t="shared" ref="Y146:Y209" si="61">IF(J146=$Y$7,1,0)</f>
        <v>0</v>
      </c>
      <c r="Z146" s="1">
        <f t="shared" ref="Z146:Z209" si="62">IF(J146=$Z$7,1,0)</f>
        <v>0</v>
      </c>
      <c r="AA146" s="1">
        <f t="shared" ref="AA146:AA209" si="63">IF(J146=$AA$7,1,0)</f>
        <v>0</v>
      </c>
      <c r="AB146" s="1">
        <f t="shared" ref="AB146:AB209" si="64">IF(J146=$AB$7,1,0)</f>
        <v>0</v>
      </c>
      <c r="AD146" s="1">
        <f t="shared" ref="AD146:AD209" si="65">+O146*P146</f>
        <v>1</v>
      </c>
      <c r="AE146" s="1">
        <f t="shared" ref="AE146:AE209" si="66">O146*(1-P146)</f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904</v>
      </c>
      <c r="E147" s="32" t="s">
        <v>171</v>
      </c>
      <c r="F147" s="32" t="s">
        <v>916</v>
      </c>
      <c r="G147" s="32" t="s">
        <v>234</v>
      </c>
      <c r="H147" s="32" t="s">
        <v>352</v>
      </c>
      <c r="I147" s="31" t="s">
        <v>929</v>
      </c>
      <c r="J147" s="31">
        <v>99</v>
      </c>
      <c r="K147" s="33" t="s">
        <v>713</v>
      </c>
      <c r="L147" s="33">
        <v>45</v>
      </c>
      <c r="M147" s="34" t="s">
        <v>39</v>
      </c>
      <c r="N147" s="34" t="s">
        <v>1760</v>
      </c>
      <c r="O147" s="35">
        <v>1</v>
      </c>
      <c r="P147" s="35"/>
      <c r="Q147" s="32"/>
      <c r="S147" s="1">
        <f t="shared" si="55"/>
        <v>0</v>
      </c>
      <c r="T147" s="1">
        <f t="shared" si="56"/>
        <v>0</v>
      </c>
      <c r="U147" s="1">
        <f t="shared" si="57"/>
        <v>0</v>
      </c>
      <c r="V147" s="1">
        <f t="shared" si="58"/>
        <v>0</v>
      </c>
      <c r="W147" s="1">
        <f t="shared" si="59"/>
        <v>0</v>
      </c>
      <c r="X147" s="1">
        <f t="shared" si="60"/>
        <v>0</v>
      </c>
      <c r="Y147" s="1">
        <f t="shared" si="61"/>
        <v>0</v>
      </c>
      <c r="Z147" s="1">
        <f t="shared" si="62"/>
        <v>0</v>
      </c>
      <c r="AA147" s="1">
        <f t="shared" si="63"/>
        <v>0</v>
      </c>
      <c r="AB147" s="1">
        <f t="shared" si="64"/>
        <v>0</v>
      </c>
      <c r="AD147" s="1">
        <f t="shared" si="65"/>
        <v>0</v>
      </c>
      <c r="AE147" s="1">
        <f t="shared" si="66"/>
        <v>1</v>
      </c>
      <c r="AF147" s="1">
        <f t="shared" ref="AF147:AF210" si="67">+O147*P147*(1-A147)</f>
        <v>0</v>
      </c>
      <c r="AG147" s="1">
        <f t="shared" ref="AG147:AG210" si="68">O147*(1-P147)*(1-A147)</f>
        <v>1</v>
      </c>
      <c r="AH147" s="1">
        <f t="shared" ref="AH147:AH210" si="69">+P147*(1-A147)</f>
        <v>0</v>
      </c>
      <c r="AI147" s="1">
        <f t="shared" ref="AI147:AI210" si="70">+(1-A147)*(1-P147)</f>
        <v>1</v>
      </c>
    </row>
    <row r="148" spans="1:35" ht="14.25" customHeight="1" x14ac:dyDescent="0.25">
      <c r="A148" s="44">
        <v>0</v>
      </c>
      <c r="B148" s="44">
        <v>1</v>
      </c>
      <c r="C148" s="44">
        <v>3</v>
      </c>
      <c r="D148" s="45" t="s">
        <v>78</v>
      </c>
      <c r="E148" s="45" t="s">
        <v>602</v>
      </c>
      <c r="F148" s="45" t="s">
        <v>306</v>
      </c>
      <c r="G148" s="45" t="s">
        <v>39</v>
      </c>
      <c r="H148" s="45" t="s">
        <v>360</v>
      </c>
      <c r="I148" s="44" t="s">
        <v>454</v>
      </c>
      <c r="J148" s="44">
        <v>12</v>
      </c>
      <c r="K148" s="46" t="s">
        <v>694</v>
      </c>
      <c r="L148" s="46">
        <v>40</v>
      </c>
      <c r="M148" s="47" t="s">
        <v>952</v>
      </c>
      <c r="N148" s="47" t="s">
        <v>1761</v>
      </c>
      <c r="O148" s="48"/>
      <c r="P148" s="48"/>
      <c r="Q148" s="45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0</v>
      </c>
      <c r="AF148" s="1">
        <f t="shared" si="67"/>
        <v>0</v>
      </c>
      <c r="AG148" s="1">
        <f t="shared" si="68"/>
        <v>0</v>
      </c>
      <c r="AH148" s="1">
        <f t="shared" si="69"/>
        <v>0</v>
      </c>
      <c r="AI148" s="1">
        <f t="shared" si="7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16" t="s">
        <v>1549</v>
      </c>
      <c r="E149" s="16" t="s">
        <v>169</v>
      </c>
      <c r="F149" s="16" t="s">
        <v>1551</v>
      </c>
      <c r="G149" s="16"/>
      <c r="H149" s="16" t="s">
        <v>363</v>
      </c>
      <c r="I149" s="15" t="s">
        <v>1550</v>
      </c>
      <c r="J149" s="15">
        <v>18</v>
      </c>
      <c r="K149" s="10" t="s">
        <v>694</v>
      </c>
      <c r="L149" s="10" t="s">
        <v>679</v>
      </c>
      <c r="M149" s="19" t="s">
        <v>952</v>
      </c>
      <c r="N149" s="17"/>
      <c r="Q149" s="16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1261</v>
      </c>
      <c r="E150" s="32" t="s">
        <v>171</v>
      </c>
      <c r="F150" s="32" t="s">
        <v>1262</v>
      </c>
      <c r="G150" s="32" t="s">
        <v>237</v>
      </c>
      <c r="H150" s="32" t="s">
        <v>352</v>
      </c>
      <c r="I150" s="31" t="s">
        <v>1263</v>
      </c>
      <c r="J150" s="31">
        <v>4</v>
      </c>
      <c r="K150" s="33" t="s">
        <v>938</v>
      </c>
      <c r="L150" s="33" t="s">
        <v>39</v>
      </c>
      <c r="M150" s="34" t="s">
        <v>39</v>
      </c>
      <c r="N150" s="34" t="s">
        <v>1693</v>
      </c>
      <c r="O150" s="35">
        <v>1</v>
      </c>
      <c r="P150" s="35">
        <v>1</v>
      </c>
      <c r="Q150" s="32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1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1</v>
      </c>
      <c r="AE150" s="1">
        <f t="shared" si="66"/>
        <v>0</v>
      </c>
      <c r="AF150" s="1">
        <f t="shared" si="67"/>
        <v>1</v>
      </c>
      <c r="AG150" s="1">
        <f t="shared" si="68"/>
        <v>0</v>
      </c>
      <c r="AH150" s="1">
        <f t="shared" si="69"/>
        <v>1</v>
      </c>
      <c r="AI150" s="1">
        <f t="shared" si="70"/>
        <v>0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640</v>
      </c>
      <c r="E151" s="32" t="s">
        <v>171</v>
      </c>
      <c r="F151" s="32" t="s">
        <v>649</v>
      </c>
      <c r="G151" s="32" t="s">
        <v>231</v>
      </c>
      <c r="H151" s="32" t="s">
        <v>352</v>
      </c>
      <c r="I151" s="31" t="s">
        <v>604</v>
      </c>
      <c r="J151" s="31">
        <v>99</v>
      </c>
      <c r="K151" s="33" t="s">
        <v>693</v>
      </c>
      <c r="L151" s="33" t="s">
        <v>39</v>
      </c>
      <c r="M151" s="34" t="s">
        <v>39</v>
      </c>
      <c r="N151" s="34" t="s">
        <v>1699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0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8">
        <v>0</v>
      </c>
      <c r="B152" s="38">
        <v>1</v>
      </c>
      <c r="C152" s="38">
        <v>3</v>
      </c>
      <c r="D152" s="39" t="s">
        <v>858</v>
      </c>
      <c r="E152" s="39" t="s">
        <v>859</v>
      </c>
      <c r="F152" s="39" t="s">
        <v>860</v>
      </c>
      <c r="G152" s="39" t="s">
        <v>39</v>
      </c>
      <c r="H152" s="39" t="s">
        <v>364</v>
      </c>
      <c r="I152" s="38" t="s">
        <v>861</v>
      </c>
      <c r="J152" s="38">
        <v>18</v>
      </c>
      <c r="K152" s="40" t="s">
        <v>937</v>
      </c>
      <c r="L152" s="40" t="s">
        <v>39</v>
      </c>
      <c r="M152" s="41" t="s">
        <v>39</v>
      </c>
      <c r="N152" s="42"/>
      <c r="O152" s="43"/>
      <c r="P152" s="43">
        <v>1</v>
      </c>
      <c r="Q152" s="39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0</v>
      </c>
      <c r="AE152" s="1">
        <f t="shared" si="66"/>
        <v>0</v>
      </c>
      <c r="AF152" s="1">
        <f t="shared" si="67"/>
        <v>0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1281</v>
      </c>
      <c r="E153" s="32" t="s">
        <v>171</v>
      </c>
      <c r="F153" s="32" t="s">
        <v>1282</v>
      </c>
      <c r="G153" s="32" t="s">
        <v>207</v>
      </c>
      <c r="H153" s="32" t="s">
        <v>352</v>
      </c>
      <c r="I153" s="31" t="s">
        <v>1283</v>
      </c>
      <c r="J153" s="31">
        <v>3</v>
      </c>
      <c r="K153" s="33" t="s">
        <v>937</v>
      </c>
      <c r="L153" s="33" t="s">
        <v>39</v>
      </c>
      <c r="M153" s="34" t="s">
        <v>39</v>
      </c>
      <c r="N153" s="34" t="s">
        <v>1699</v>
      </c>
      <c r="O153" s="35">
        <v>1</v>
      </c>
      <c r="P153" s="35">
        <v>1</v>
      </c>
      <c r="Q153" s="32"/>
      <c r="S153" s="1">
        <f t="shared" si="55"/>
        <v>0</v>
      </c>
      <c r="T153" s="1">
        <f t="shared" si="56"/>
        <v>0</v>
      </c>
      <c r="U153" s="1">
        <f t="shared" si="57"/>
        <v>1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1</v>
      </c>
      <c r="AE153" s="1">
        <f t="shared" si="66"/>
        <v>0</v>
      </c>
      <c r="AF153" s="1">
        <f t="shared" si="67"/>
        <v>1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852</v>
      </c>
      <c r="E154" s="32" t="s">
        <v>169</v>
      </c>
      <c r="F154" s="32" t="s">
        <v>853</v>
      </c>
      <c r="G154" s="32" t="s">
        <v>39</v>
      </c>
      <c r="H154" s="32" t="s">
        <v>854</v>
      </c>
      <c r="I154" s="31" t="s">
        <v>930</v>
      </c>
      <c r="J154" s="31">
        <v>11</v>
      </c>
      <c r="K154" s="33" t="s">
        <v>693</v>
      </c>
      <c r="L154" s="33" t="s">
        <v>680</v>
      </c>
      <c r="M154" s="34" t="s">
        <v>952</v>
      </c>
      <c r="N154" s="34" t="s">
        <v>1715</v>
      </c>
      <c r="O154" s="35">
        <v>1</v>
      </c>
      <c r="P154" s="35"/>
      <c r="Q154" s="32"/>
      <c r="S154" s="1">
        <f t="shared" si="55"/>
        <v>0</v>
      </c>
      <c r="T154" s="1">
        <f t="shared" si="56"/>
        <v>0</v>
      </c>
      <c r="U154" s="1">
        <f t="shared" si="57"/>
        <v>0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0</v>
      </c>
      <c r="AE154" s="1">
        <f t="shared" si="66"/>
        <v>1</v>
      </c>
      <c r="AF154" s="1">
        <f t="shared" si="67"/>
        <v>0</v>
      </c>
      <c r="AG154" s="1">
        <f t="shared" si="68"/>
        <v>1</v>
      </c>
      <c r="AH154" s="1">
        <f t="shared" si="69"/>
        <v>0</v>
      </c>
      <c r="AI154" s="1">
        <f t="shared" si="70"/>
        <v>1</v>
      </c>
    </row>
    <row r="155" spans="1:35" ht="14.25" customHeight="1" x14ac:dyDescent="0.25">
      <c r="A155" s="15">
        <v>0</v>
      </c>
      <c r="B155" s="15">
        <v>1</v>
      </c>
      <c r="C155" s="15">
        <v>3</v>
      </c>
      <c r="D155" s="16" t="s">
        <v>502</v>
      </c>
      <c r="E155" s="16" t="s">
        <v>169</v>
      </c>
      <c r="F155" s="16" t="s">
        <v>503</v>
      </c>
      <c r="G155" s="16" t="s">
        <v>500</v>
      </c>
      <c r="H155" s="16" t="s">
        <v>352</v>
      </c>
      <c r="I155" s="15" t="s">
        <v>504</v>
      </c>
      <c r="J155" s="15">
        <v>99</v>
      </c>
      <c r="K155" s="10" t="s">
        <v>694</v>
      </c>
      <c r="L155" s="10">
        <v>40</v>
      </c>
      <c r="M155" s="19" t="s">
        <v>952</v>
      </c>
      <c r="N155" s="19"/>
      <c r="Q155" s="16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0</v>
      </c>
      <c r="AF155" s="1">
        <f t="shared" si="67"/>
        <v>0</v>
      </c>
      <c r="AG155" s="1">
        <f t="shared" si="68"/>
        <v>0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1751</v>
      </c>
      <c r="E156" s="36" t="s">
        <v>1752</v>
      </c>
      <c r="F156" s="36" t="s">
        <v>1753</v>
      </c>
      <c r="G156" s="36" t="s">
        <v>1754</v>
      </c>
      <c r="H156" s="36" t="s">
        <v>352</v>
      </c>
      <c r="I156" s="37" t="s">
        <v>1755</v>
      </c>
      <c r="J156" s="31">
        <v>99</v>
      </c>
      <c r="K156" s="33" t="s">
        <v>694</v>
      </c>
      <c r="L156" s="33"/>
      <c r="M156" s="34"/>
      <c r="N156" s="34" t="s">
        <v>1699</v>
      </c>
      <c r="O156" s="35">
        <v>1</v>
      </c>
      <c r="P156" s="35">
        <v>1</v>
      </c>
      <c r="Q156" s="3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1</v>
      </c>
      <c r="AE156" s="1">
        <f t="shared" si="66"/>
        <v>0</v>
      </c>
      <c r="AF156" s="1">
        <f t="shared" si="67"/>
        <v>1</v>
      </c>
      <c r="AG156" s="1">
        <f t="shared" si="68"/>
        <v>0</v>
      </c>
      <c r="AH156" s="1">
        <f t="shared" si="69"/>
        <v>1</v>
      </c>
      <c r="AI156" s="1">
        <f t="shared" si="70"/>
        <v>0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525</v>
      </c>
      <c r="E157" s="32" t="s">
        <v>169</v>
      </c>
      <c r="F157" s="32" t="s">
        <v>650</v>
      </c>
      <c r="G157" s="32" t="s">
        <v>39</v>
      </c>
      <c r="H157" s="32" t="s">
        <v>526</v>
      </c>
      <c r="I157" s="31" t="s">
        <v>527</v>
      </c>
      <c r="J157" s="31">
        <v>18</v>
      </c>
      <c r="K157" s="33" t="s">
        <v>937</v>
      </c>
      <c r="L157" s="33" t="s">
        <v>1703</v>
      </c>
      <c r="M157" s="34" t="s">
        <v>951</v>
      </c>
      <c r="N157" s="34" t="s">
        <v>1699</v>
      </c>
      <c r="O157" s="35">
        <v>1</v>
      </c>
      <c r="P157" s="35">
        <v>1</v>
      </c>
      <c r="Q157" s="32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956</v>
      </c>
      <c r="E158" s="32" t="s">
        <v>174</v>
      </c>
      <c r="F158" s="32" t="s">
        <v>790</v>
      </c>
      <c r="G158" s="32" t="s">
        <v>39</v>
      </c>
      <c r="H158" s="32" t="s">
        <v>791</v>
      </c>
      <c r="I158" s="31" t="s">
        <v>792</v>
      </c>
      <c r="J158" s="31">
        <v>16</v>
      </c>
      <c r="K158" s="33" t="s">
        <v>938</v>
      </c>
      <c r="L158" s="33" t="s">
        <v>1119</v>
      </c>
      <c r="M158" s="34" t="s">
        <v>951</v>
      </c>
      <c r="N158" s="34" t="s">
        <v>1708</v>
      </c>
      <c r="O158" s="35">
        <v>1</v>
      </c>
      <c r="P158" s="35"/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0</v>
      </c>
      <c r="AE158" s="1">
        <f t="shared" si="66"/>
        <v>1</v>
      </c>
      <c r="AF158" s="1">
        <f t="shared" si="67"/>
        <v>0</v>
      </c>
      <c r="AG158" s="1">
        <f t="shared" si="68"/>
        <v>1</v>
      </c>
      <c r="AH158" s="1">
        <f t="shared" si="69"/>
        <v>0</v>
      </c>
      <c r="AI158" s="1">
        <f t="shared" si="70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1173</v>
      </c>
      <c r="E159" s="32" t="s">
        <v>171</v>
      </c>
      <c r="F159" s="32" t="s">
        <v>1174</v>
      </c>
      <c r="G159" s="32" t="s">
        <v>237</v>
      </c>
      <c r="H159" s="32" t="s">
        <v>352</v>
      </c>
      <c r="I159" s="31" t="s">
        <v>1175</v>
      </c>
      <c r="J159" s="31">
        <v>4</v>
      </c>
      <c r="K159" s="33" t="s">
        <v>944</v>
      </c>
      <c r="L159" s="33" t="s">
        <v>1665</v>
      </c>
      <c r="M159" s="34" t="s">
        <v>1571</v>
      </c>
      <c r="N159" s="34" t="s">
        <v>1693</v>
      </c>
      <c r="O159" s="35">
        <v>1</v>
      </c>
      <c r="P159" s="35">
        <v>1</v>
      </c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1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1</v>
      </c>
      <c r="AE159" s="1">
        <f t="shared" si="66"/>
        <v>0</v>
      </c>
      <c r="AF159" s="1">
        <f t="shared" si="67"/>
        <v>1</v>
      </c>
      <c r="AG159" s="1">
        <f t="shared" si="68"/>
        <v>0</v>
      </c>
      <c r="AH159" s="1">
        <f t="shared" si="69"/>
        <v>1</v>
      </c>
      <c r="AI159" s="1">
        <f t="shared" si="70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1608</v>
      </c>
      <c r="E160" s="32" t="s">
        <v>169</v>
      </c>
      <c r="F160" s="32" t="s">
        <v>1445</v>
      </c>
      <c r="G160" s="32" t="s">
        <v>1636</v>
      </c>
      <c r="H160" s="32" t="s">
        <v>352</v>
      </c>
      <c r="I160" s="31" t="s">
        <v>1444</v>
      </c>
      <c r="J160" s="31">
        <v>99</v>
      </c>
      <c r="K160" s="33" t="s">
        <v>693</v>
      </c>
      <c r="L160" s="33" t="s">
        <v>1670</v>
      </c>
      <c r="M160" s="34" t="s">
        <v>1446</v>
      </c>
      <c r="N160" s="34" t="s">
        <v>1709</v>
      </c>
      <c r="O160" s="35">
        <v>1</v>
      </c>
      <c r="P160" s="35"/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0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0</v>
      </c>
      <c r="AE160" s="1">
        <f t="shared" si="66"/>
        <v>1</v>
      </c>
      <c r="AF160" s="1">
        <f t="shared" si="67"/>
        <v>0</v>
      </c>
      <c r="AG160" s="1">
        <f t="shared" si="68"/>
        <v>1</v>
      </c>
      <c r="AH160" s="1">
        <f t="shared" si="69"/>
        <v>0</v>
      </c>
      <c r="AI160" s="1">
        <f t="shared" si="70"/>
        <v>1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6" t="s">
        <v>2031</v>
      </c>
      <c r="E161" s="36" t="s">
        <v>171</v>
      </c>
      <c r="F161" s="36" t="s">
        <v>2032</v>
      </c>
      <c r="G161" s="32"/>
      <c r="H161" s="36" t="s">
        <v>603</v>
      </c>
      <c r="I161" s="37" t="s">
        <v>2033</v>
      </c>
      <c r="J161" s="31">
        <v>14</v>
      </c>
      <c r="K161" s="33" t="s">
        <v>694</v>
      </c>
      <c r="L161" s="33"/>
      <c r="M161" s="34"/>
      <c r="N161" s="34" t="s">
        <v>1699</v>
      </c>
      <c r="O161" s="35">
        <v>1</v>
      </c>
      <c r="P161" s="35">
        <v>1</v>
      </c>
      <c r="Q161" s="32" t="s">
        <v>2034</v>
      </c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1</v>
      </c>
      <c r="AE161" s="1">
        <f t="shared" si="66"/>
        <v>0</v>
      </c>
      <c r="AF161" s="1">
        <f t="shared" si="67"/>
        <v>1</v>
      </c>
      <c r="AG161" s="1">
        <f t="shared" si="68"/>
        <v>0</v>
      </c>
      <c r="AH161" s="1">
        <f t="shared" si="69"/>
        <v>1</v>
      </c>
      <c r="AI161" s="1">
        <f t="shared" si="70"/>
        <v>0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1905</v>
      </c>
      <c r="E162" s="20" t="s">
        <v>171</v>
      </c>
      <c r="F162" s="20" t="s">
        <v>1920</v>
      </c>
      <c r="G162" s="20"/>
      <c r="H162" s="20" t="s">
        <v>1919</v>
      </c>
      <c r="I162" s="21" t="s">
        <v>1918</v>
      </c>
      <c r="J162" s="15">
        <v>14</v>
      </c>
      <c r="K162" s="10" t="s">
        <v>694</v>
      </c>
      <c r="L162" s="10" t="s">
        <v>688</v>
      </c>
      <c r="M162" s="19" t="s">
        <v>952</v>
      </c>
      <c r="N162" s="17"/>
      <c r="Q162" s="20" t="s">
        <v>1921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0</v>
      </c>
      <c r="AE162" s="1">
        <f t="shared" si="66"/>
        <v>0</v>
      </c>
      <c r="AF162" s="1">
        <f t="shared" si="67"/>
        <v>0</v>
      </c>
      <c r="AG162" s="1">
        <f t="shared" si="68"/>
        <v>0</v>
      </c>
      <c r="AH162" s="1">
        <f t="shared" si="69"/>
        <v>0</v>
      </c>
      <c r="AI162" s="1">
        <f t="shared" si="70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144</v>
      </c>
      <c r="E163" s="32" t="s">
        <v>171</v>
      </c>
      <c r="F163" s="32" t="s">
        <v>345</v>
      </c>
      <c r="G163" s="32" t="s">
        <v>39</v>
      </c>
      <c r="H163" s="32" t="s">
        <v>376</v>
      </c>
      <c r="I163" s="31" t="s">
        <v>1334</v>
      </c>
      <c r="J163" s="31">
        <v>14</v>
      </c>
      <c r="K163" s="33" t="s">
        <v>937</v>
      </c>
      <c r="L163" s="33" t="s">
        <v>680</v>
      </c>
      <c r="M163" s="34" t="s">
        <v>682</v>
      </c>
      <c r="N163" s="34" t="s">
        <v>1708</v>
      </c>
      <c r="O163" s="35">
        <v>1</v>
      </c>
      <c r="P163" s="35"/>
      <c r="Q163" s="32"/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1</v>
      </c>
      <c r="AF163" s="1">
        <f t="shared" si="67"/>
        <v>0</v>
      </c>
      <c r="AG163" s="1">
        <f t="shared" si="68"/>
        <v>1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1534</v>
      </c>
      <c r="E164" s="32" t="s">
        <v>171</v>
      </c>
      <c r="F164" s="32" t="s">
        <v>1535</v>
      </c>
      <c r="G164" s="32" t="s">
        <v>39</v>
      </c>
      <c r="H164" s="32" t="s">
        <v>1536</v>
      </c>
      <c r="I164" s="31" t="s">
        <v>1537</v>
      </c>
      <c r="J164" s="31">
        <v>17</v>
      </c>
      <c r="K164" s="33" t="s">
        <v>713</v>
      </c>
      <c r="L164" s="33" t="s">
        <v>39</v>
      </c>
      <c r="M164" s="34" t="s">
        <v>39</v>
      </c>
      <c r="N164" s="34" t="s">
        <v>1699</v>
      </c>
      <c r="O164" s="35">
        <v>1</v>
      </c>
      <c r="P164" s="35">
        <v>1</v>
      </c>
      <c r="Q164" s="32" t="s">
        <v>1871</v>
      </c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1</v>
      </c>
      <c r="AE164" s="1">
        <f t="shared" si="66"/>
        <v>0</v>
      </c>
      <c r="AF164" s="1">
        <f t="shared" si="67"/>
        <v>1</v>
      </c>
      <c r="AG164" s="1">
        <f t="shared" si="68"/>
        <v>0</v>
      </c>
      <c r="AH164" s="1">
        <f t="shared" si="69"/>
        <v>1</v>
      </c>
      <c r="AI164" s="1">
        <f t="shared" si="70"/>
        <v>0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152</v>
      </c>
      <c r="E165" s="32" t="s">
        <v>171</v>
      </c>
      <c r="F165" s="32" t="s">
        <v>351</v>
      </c>
      <c r="G165" s="32" t="s">
        <v>39</v>
      </c>
      <c r="H165" s="32" t="s">
        <v>1828</v>
      </c>
      <c r="I165" s="31" t="s">
        <v>497</v>
      </c>
      <c r="J165" s="31">
        <v>14</v>
      </c>
      <c r="K165" s="33" t="s">
        <v>693</v>
      </c>
      <c r="L165" s="33" t="s">
        <v>680</v>
      </c>
      <c r="M165" s="34" t="s">
        <v>951</v>
      </c>
      <c r="N165" s="34" t="s">
        <v>1708</v>
      </c>
      <c r="O165" s="35">
        <v>1</v>
      </c>
      <c r="P165" s="35"/>
      <c r="Q165" s="32" t="s">
        <v>1854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0</v>
      </c>
      <c r="AE165" s="1">
        <f t="shared" si="66"/>
        <v>1</v>
      </c>
      <c r="AF165" s="1">
        <f t="shared" si="67"/>
        <v>0</v>
      </c>
      <c r="AG165" s="1">
        <f t="shared" si="68"/>
        <v>1</v>
      </c>
      <c r="AH165" s="1">
        <f t="shared" si="69"/>
        <v>0</v>
      </c>
      <c r="AI165" s="1">
        <f t="shared" si="7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730</v>
      </c>
      <c r="E166" s="16" t="s">
        <v>171</v>
      </c>
      <c r="F166" s="16" t="s">
        <v>731</v>
      </c>
      <c r="G166" s="16" t="s">
        <v>39</v>
      </c>
      <c r="H166" s="16" t="s">
        <v>732</v>
      </c>
      <c r="I166" s="15" t="s">
        <v>733</v>
      </c>
      <c r="J166" s="15">
        <v>17</v>
      </c>
      <c r="K166" s="10" t="s">
        <v>713</v>
      </c>
      <c r="L166" s="10" t="s">
        <v>688</v>
      </c>
      <c r="M166" s="19" t="s">
        <v>682</v>
      </c>
      <c r="N166" s="17"/>
      <c r="Q166" s="16" t="s">
        <v>1845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0</v>
      </c>
      <c r="AF166" s="1">
        <f t="shared" si="67"/>
        <v>0</v>
      </c>
      <c r="AG166" s="1">
        <f t="shared" si="68"/>
        <v>0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887</v>
      </c>
      <c r="E167" s="32" t="s">
        <v>171</v>
      </c>
      <c r="F167" s="32" t="s">
        <v>1077</v>
      </c>
      <c r="G167" s="32" t="s">
        <v>39</v>
      </c>
      <c r="H167" s="32" t="s">
        <v>889</v>
      </c>
      <c r="I167" s="31" t="s">
        <v>888</v>
      </c>
      <c r="J167" s="31">
        <v>11</v>
      </c>
      <c r="K167" s="33" t="s">
        <v>938</v>
      </c>
      <c r="L167" s="33">
        <v>60</v>
      </c>
      <c r="M167" s="34" t="s">
        <v>39</v>
      </c>
      <c r="N167" s="34" t="s">
        <v>1708</v>
      </c>
      <c r="O167" s="35">
        <v>1</v>
      </c>
      <c r="P167" s="35"/>
      <c r="Q167" s="32"/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1</v>
      </c>
      <c r="AF167" s="1">
        <f t="shared" si="67"/>
        <v>0</v>
      </c>
      <c r="AG167" s="1">
        <f t="shared" si="68"/>
        <v>1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31">
        <v>0</v>
      </c>
      <c r="B168" s="31">
        <v>1</v>
      </c>
      <c r="C168" s="31">
        <v>3</v>
      </c>
      <c r="D168" s="32" t="s">
        <v>122</v>
      </c>
      <c r="E168" s="32" t="s">
        <v>174</v>
      </c>
      <c r="F168" s="32" t="s">
        <v>322</v>
      </c>
      <c r="G168" s="32" t="s">
        <v>39</v>
      </c>
      <c r="H168" s="32" t="s">
        <v>361</v>
      </c>
      <c r="I168" s="31" t="s">
        <v>467</v>
      </c>
      <c r="J168" s="31">
        <v>14</v>
      </c>
      <c r="K168" s="33" t="s">
        <v>713</v>
      </c>
      <c r="L168" s="33" t="s">
        <v>684</v>
      </c>
      <c r="M168" s="34" t="s">
        <v>1350</v>
      </c>
      <c r="N168" s="34" t="s">
        <v>1808</v>
      </c>
      <c r="O168" s="35">
        <v>1</v>
      </c>
      <c r="P168" s="35"/>
      <c r="Q168" s="36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1</v>
      </c>
      <c r="AF168" s="1">
        <f t="shared" si="67"/>
        <v>0</v>
      </c>
      <c r="AG168" s="1">
        <f t="shared" si="68"/>
        <v>1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1147</v>
      </c>
      <c r="E169" s="32" t="s">
        <v>171</v>
      </c>
      <c r="F169" s="32" t="s">
        <v>1149</v>
      </c>
      <c r="G169" s="32" t="s">
        <v>752</v>
      </c>
      <c r="H169" s="32" t="s">
        <v>352</v>
      </c>
      <c r="I169" s="31" t="s">
        <v>1148</v>
      </c>
      <c r="J169" s="31">
        <v>99</v>
      </c>
      <c r="K169" s="33" t="s">
        <v>694</v>
      </c>
      <c r="L169" s="33">
        <v>30</v>
      </c>
      <c r="M169" s="34" t="s">
        <v>951</v>
      </c>
      <c r="N169" s="34" t="s">
        <v>1784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1993</v>
      </c>
      <c r="E170" s="32" t="s">
        <v>171</v>
      </c>
      <c r="F170" s="32" t="s">
        <v>1994</v>
      </c>
      <c r="G170" s="32"/>
      <c r="H170" s="32" t="s">
        <v>352</v>
      </c>
      <c r="I170" s="31" t="s">
        <v>1995</v>
      </c>
      <c r="J170" s="31">
        <v>18</v>
      </c>
      <c r="K170" s="33" t="s">
        <v>694</v>
      </c>
      <c r="L170" s="33"/>
      <c r="M170" s="34"/>
      <c r="N170" s="34" t="s">
        <v>1699</v>
      </c>
      <c r="O170" s="35">
        <v>1</v>
      </c>
      <c r="P170" s="35">
        <v>1</v>
      </c>
      <c r="Q170" s="36" t="s">
        <v>1996</v>
      </c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1</v>
      </c>
      <c r="AE170" s="1">
        <f t="shared" si="66"/>
        <v>0</v>
      </c>
      <c r="AF170" s="1">
        <f t="shared" si="67"/>
        <v>1</v>
      </c>
      <c r="AG170" s="1">
        <f t="shared" si="68"/>
        <v>0</v>
      </c>
      <c r="AH170" s="1">
        <f t="shared" si="69"/>
        <v>1</v>
      </c>
      <c r="AI170" s="1">
        <f t="shared" si="70"/>
        <v>0</v>
      </c>
    </row>
    <row r="171" spans="1:35" ht="14.25" customHeight="1" x14ac:dyDescent="0.25">
      <c r="A171" s="15">
        <v>0</v>
      </c>
      <c r="B171" s="15">
        <v>1</v>
      </c>
      <c r="C171" s="15">
        <v>3</v>
      </c>
      <c r="D171" s="16" t="s">
        <v>734</v>
      </c>
      <c r="E171" s="16" t="s">
        <v>169</v>
      </c>
      <c r="F171" s="16" t="s">
        <v>735</v>
      </c>
      <c r="G171" s="16" t="s">
        <v>39</v>
      </c>
      <c r="H171" s="16" t="s">
        <v>736</v>
      </c>
      <c r="I171" s="15" t="s">
        <v>737</v>
      </c>
      <c r="J171" s="15">
        <v>17</v>
      </c>
      <c r="K171" s="10" t="s">
        <v>694</v>
      </c>
      <c r="L171" s="10" t="s">
        <v>688</v>
      </c>
      <c r="M171" s="19" t="s">
        <v>952</v>
      </c>
      <c r="N171" s="17"/>
      <c r="Q171" s="16"/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0</v>
      </c>
      <c r="AE171" s="1">
        <f t="shared" si="66"/>
        <v>0</v>
      </c>
      <c r="AF171" s="1">
        <f t="shared" si="67"/>
        <v>0</v>
      </c>
      <c r="AG171" s="1">
        <f t="shared" si="68"/>
        <v>0</v>
      </c>
      <c r="AH171" s="1">
        <f t="shared" si="69"/>
        <v>0</v>
      </c>
      <c r="AI171" s="1">
        <f t="shared" si="70"/>
        <v>1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20" t="s">
        <v>1904</v>
      </c>
      <c r="E172" s="20" t="s">
        <v>171</v>
      </c>
      <c r="F172" s="20" t="s">
        <v>1914</v>
      </c>
      <c r="G172" s="20"/>
      <c r="H172" s="20" t="s">
        <v>1915</v>
      </c>
      <c r="I172" s="21" t="s">
        <v>1916</v>
      </c>
      <c r="J172" s="15">
        <v>16</v>
      </c>
      <c r="K172" s="10" t="s">
        <v>694</v>
      </c>
      <c r="L172" s="10" t="s">
        <v>688</v>
      </c>
      <c r="M172" s="19" t="s">
        <v>952</v>
      </c>
      <c r="N172" s="17"/>
      <c r="Q172" s="20" t="s">
        <v>1913</v>
      </c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819</v>
      </c>
      <c r="E173" s="32" t="s">
        <v>897</v>
      </c>
      <c r="F173" s="32" t="s">
        <v>820</v>
      </c>
      <c r="G173" s="32" t="s">
        <v>207</v>
      </c>
      <c r="H173" s="32" t="s">
        <v>352</v>
      </c>
      <c r="I173" s="37" t="s">
        <v>821</v>
      </c>
      <c r="J173" s="31">
        <v>3</v>
      </c>
      <c r="K173" s="33" t="s">
        <v>713</v>
      </c>
      <c r="L173" s="33" t="s">
        <v>684</v>
      </c>
      <c r="M173" s="34" t="s">
        <v>689</v>
      </c>
      <c r="N173" s="34" t="s">
        <v>1749</v>
      </c>
      <c r="O173" s="35">
        <v>1</v>
      </c>
      <c r="P173" s="35"/>
      <c r="Q173" s="36"/>
      <c r="S173" s="1">
        <f t="shared" si="55"/>
        <v>0</v>
      </c>
      <c r="T173" s="1">
        <f t="shared" si="56"/>
        <v>0</v>
      </c>
      <c r="U173" s="1">
        <f t="shared" si="57"/>
        <v>1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1</v>
      </c>
      <c r="AF173" s="1">
        <f t="shared" si="67"/>
        <v>0</v>
      </c>
      <c r="AG173" s="1">
        <f t="shared" si="68"/>
        <v>1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2069</v>
      </c>
      <c r="E174" s="32" t="s">
        <v>174</v>
      </c>
      <c r="F174" s="32" t="s">
        <v>2070</v>
      </c>
      <c r="G174" s="32"/>
      <c r="H174" s="32" t="s">
        <v>2071</v>
      </c>
      <c r="I174" s="37" t="s">
        <v>2072</v>
      </c>
      <c r="J174" s="31">
        <v>16</v>
      </c>
      <c r="K174" s="33" t="s">
        <v>694</v>
      </c>
      <c r="L174" s="33"/>
      <c r="M174" s="34"/>
      <c r="N174" s="34" t="s">
        <v>1693</v>
      </c>
      <c r="O174" s="35">
        <v>1</v>
      </c>
      <c r="P174" s="35">
        <v>1</v>
      </c>
      <c r="Q174" s="36" t="s">
        <v>2073</v>
      </c>
      <c r="S174" s="1">
        <f t="shared" si="55"/>
        <v>0</v>
      </c>
      <c r="T174" s="1">
        <f t="shared" si="56"/>
        <v>0</v>
      </c>
      <c r="U174" s="1">
        <f t="shared" si="57"/>
        <v>0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1</v>
      </c>
      <c r="AE174" s="1">
        <f t="shared" si="66"/>
        <v>0</v>
      </c>
      <c r="AF174" s="1">
        <f t="shared" si="67"/>
        <v>1</v>
      </c>
      <c r="AG174" s="1">
        <f t="shared" si="68"/>
        <v>0</v>
      </c>
      <c r="AH174" s="1">
        <f t="shared" si="69"/>
        <v>1</v>
      </c>
      <c r="AI174" s="1">
        <f t="shared" si="70"/>
        <v>0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1909</v>
      </c>
      <c r="E175" s="32" t="s">
        <v>171</v>
      </c>
      <c r="F175" s="32" t="s">
        <v>1911</v>
      </c>
      <c r="G175" s="32"/>
      <c r="H175" s="32" t="s">
        <v>1912</v>
      </c>
      <c r="I175" s="37" t="s">
        <v>1910</v>
      </c>
      <c r="J175" s="31">
        <v>16</v>
      </c>
      <c r="K175" s="33" t="s">
        <v>694</v>
      </c>
      <c r="L175" s="33" t="s">
        <v>688</v>
      </c>
      <c r="M175" s="34" t="s">
        <v>952</v>
      </c>
      <c r="N175" s="34" t="s">
        <v>1708</v>
      </c>
      <c r="O175" s="35">
        <v>1</v>
      </c>
      <c r="P175" s="35"/>
      <c r="Q175" s="36" t="s">
        <v>1917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0</v>
      </c>
      <c r="AE175" s="1">
        <f t="shared" si="66"/>
        <v>1</v>
      </c>
      <c r="AF175" s="1">
        <f t="shared" si="67"/>
        <v>0</v>
      </c>
      <c r="AG175" s="1">
        <f t="shared" si="68"/>
        <v>1</v>
      </c>
      <c r="AH175" s="1">
        <f t="shared" si="69"/>
        <v>0</v>
      </c>
      <c r="AI175" s="1">
        <f t="shared" si="70"/>
        <v>1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1184</v>
      </c>
      <c r="E176" s="32" t="s">
        <v>171</v>
      </c>
      <c r="F176" s="32" t="s">
        <v>1186</v>
      </c>
      <c r="G176" s="32" t="s">
        <v>184</v>
      </c>
      <c r="H176" s="32" t="s">
        <v>352</v>
      </c>
      <c r="I176" s="31" t="s">
        <v>1185</v>
      </c>
      <c r="J176" s="31">
        <v>99</v>
      </c>
      <c r="K176" s="33" t="s">
        <v>939</v>
      </c>
      <c r="L176" s="33" t="s">
        <v>680</v>
      </c>
      <c r="M176" s="34" t="s">
        <v>952</v>
      </c>
      <c r="N176" s="34" t="s">
        <v>1709</v>
      </c>
      <c r="O176" s="35">
        <v>1</v>
      </c>
      <c r="P176" s="35"/>
      <c r="Q176" s="32"/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624</v>
      </c>
      <c r="E177" s="32" t="s">
        <v>169</v>
      </c>
      <c r="F177" s="32" t="s">
        <v>625</v>
      </c>
      <c r="G177" s="32" t="s">
        <v>193</v>
      </c>
      <c r="H177" s="32" t="s">
        <v>352</v>
      </c>
      <c r="I177" s="31" t="s">
        <v>626</v>
      </c>
      <c r="J177" s="31">
        <v>9</v>
      </c>
      <c r="K177" s="33" t="s">
        <v>938</v>
      </c>
      <c r="L177" s="33" t="s">
        <v>1665</v>
      </c>
      <c r="M177" s="34" t="s">
        <v>951</v>
      </c>
      <c r="N177" s="34" t="s">
        <v>1693</v>
      </c>
      <c r="O177" s="35">
        <v>1</v>
      </c>
      <c r="P177" s="35">
        <v>1</v>
      </c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1</v>
      </c>
      <c r="AB177" s="1">
        <f t="shared" si="64"/>
        <v>0</v>
      </c>
      <c r="AD177" s="1">
        <f t="shared" si="65"/>
        <v>1</v>
      </c>
      <c r="AE177" s="1">
        <f t="shared" si="66"/>
        <v>0</v>
      </c>
      <c r="AF177" s="1">
        <f t="shared" si="67"/>
        <v>1</v>
      </c>
      <c r="AG177" s="1">
        <f t="shared" si="68"/>
        <v>0</v>
      </c>
      <c r="AH177" s="1">
        <f t="shared" si="69"/>
        <v>1</v>
      </c>
      <c r="AI177" s="1">
        <f t="shared" si="70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131</v>
      </c>
      <c r="E178" s="32" t="s">
        <v>674</v>
      </c>
      <c r="F178" s="32" t="s">
        <v>332</v>
      </c>
      <c r="G178" s="32" t="s">
        <v>39</v>
      </c>
      <c r="H178" s="32" t="s">
        <v>360</v>
      </c>
      <c r="I178" s="31" t="s">
        <v>478</v>
      </c>
      <c r="J178" s="31">
        <v>12</v>
      </c>
      <c r="K178" s="33" t="s">
        <v>713</v>
      </c>
      <c r="L178" s="33">
        <v>35</v>
      </c>
      <c r="M178" s="34" t="s">
        <v>39</v>
      </c>
      <c r="N178" s="34" t="s">
        <v>1784</v>
      </c>
      <c r="O178" s="35">
        <v>1</v>
      </c>
      <c r="P178" s="35"/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0</v>
      </c>
      <c r="AB178" s="1">
        <f t="shared" si="64"/>
        <v>0</v>
      </c>
      <c r="AD178" s="1">
        <f t="shared" si="65"/>
        <v>0</v>
      </c>
      <c r="AE178" s="1">
        <f t="shared" si="66"/>
        <v>1</v>
      </c>
      <c r="AF178" s="1">
        <f t="shared" si="67"/>
        <v>0</v>
      </c>
      <c r="AG178" s="1">
        <f t="shared" si="68"/>
        <v>1</v>
      </c>
      <c r="AH178" s="1">
        <f t="shared" si="69"/>
        <v>0</v>
      </c>
      <c r="AI178" s="1">
        <f t="shared" si="7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811</v>
      </c>
      <c r="E179" s="16" t="s">
        <v>171</v>
      </c>
      <c r="F179" s="16" t="s">
        <v>812</v>
      </c>
      <c r="G179" s="16" t="s">
        <v>39</v>
      </c>
      <c r="H179" s="16" t="s">
        <v>373</v>
      </c>
      <c r="I179" s="15" t="s">
        <v>810</v>
      </c>
      <c r="J179" s="15">
        <v>12</v>
      </c>
      <c r="K179" s="10" t="s">
        <v>694</v>
      </c>
      <c r="L179" s="10">
        <v>40</v>
      </c>
      <c r="M179" s="19" t="s">
        <v>951</v>
      </c>
      <c r="N179" s="19"/>
      <c r="Q179" s="16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0</v>
      </c>
      <c r="AF179" s="1">
        <f t="shared" si="67"/>
        <v>0</v>
      </c>
      <c r="AG179" s="1">
        <f t="shared" si="68"/>
        <v>0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141</v>
      </c>
      <c r="E180" s="32" t="s">
        <v>171</v>
      </c>
      <c r="F180" s="32" t="s">
        <v>341</v>
      </c>
      <c r="G180" s="32" t="s">
        <v>39</v>
      </c>
      <c r="H180" s="32" t="s">
        <v>375</v>
      </c>
      <c r="I180" s="31" t="s">
        <v>487</v>
      </c>
      <c r="J180" s="31">
        <v>15</v>
      </c>
      <c r="K180" s="33" t="s">
        <v>693</v>
      </c>
      <c r="L180" s="33" t="s">
        <v>683</v>
      </c>
      <c r="M180" s="34" t="s">
        <v>682</v>
      </c>
      <c r="N180" s="34" t="s">
        <v>1699</v>
      </c>
      <c r="O180" s="35">
        <v>1</v>
      </c>
      <c r="P180" s="35">
        <v>1</v>
      </c>
      <c r="Q180" s="36" t="s">
        <v>1849</v>
      </c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1</v>
      </c>
      <c r="AE180" s="1">
        <f t="shared" si="66"/>
        <v>0</v>
      </c>
      <c r="AF180" s="1">
        <f t="shared" si="67"/>
        <v>1</v>
      </c>
      <c r="AG180" s="1">
        <f t="shared" si="68"/>
        <v>0</v>
      </c>
      <c r="AH180" s="1">
        <f t="shared" si="69"/>
        <v>1</v>
      </c>
      <c r="AI180" s="1">
        <f t="shared" si="70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6" t="s">
        <v>1800</v>
      </c>
      <c r="E181" s="32" t="s">
        <v>1068</v>
      </c>
      <c r="F181" s="32" t="s">
        <v>1785</v>
      </c>
      <c r="G181" s="32"/>
      <c r="H181" s="32" t="s">
        <v>370</v>
      </c>
      <c r="I181" s="31" t="s">
        <v>1786</v>
      </c>
      <c r="J181" s="31">
        <v>16</v>
      </c>
      <c r="K181" s="33" t="s">
        <v>694</v>
      </c>
      <c r="L181" s="33"/>
      <c r="M181" s="34"/>
      <c r="N181" s="34" t="s">
        <v>1693</v>
      </c>
      <c r="O181" s="35">
        <v>1</v>
      </c>
      <c r="P181" s="35">
        <v>1</v>
      </c>
      <c r="Q181" s="32"/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2" t="s">
        <v>960</v>
      </c>
      <c r="E182" s="32" t="s">
        <v>602</v>
      </c>
      <c r="F182" s="32" t="s">
        <v>961</v>
      </c>
      <c r="G182" s="32" t="s">
        <v>202</v>
      </c>
      <c r="H182" s="32" t="s">
        <v>352</v>
      </c>
      <c r="I182" s="31" t="s">
        <v>962</v>
      </c>
      <c r="J182" s="31">
        <v>99</v>
      </c>
      <c r="K182" s="33" t="s">
        <v>937</v>
      </c>
      <c r="L182" s="33" t="s">
        <v>39</v>
      </c>
      <c r="M182" s="34" t="s">
        <v>39</v>
      </c>
      <c r="N182" s="34" t="s">
        <v>1693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148</v>
      </c>
      <c r="E183" s="32" t="s">
        <v>171</v>
      </c>
      <c r="F183" s="32" t="s">
        <v>348</v>
      </c>
      <c r="G183" s="32" t="s">
        <v>39</v>
      </c>
      <c r="H183" s="32" t="s">
        <v>378</v>
      </c>
      <c r="I183" s="31" t="s">
        <v>493</v>
      </c>
      <c r="J183" s="31">
        <v>14</v>
      </c>
      <c r="K183" s="33" t="s">
        <v>945</v>
      </c>
      <c r="L183" s="33" t="s">
        <v>39</v>
      </c>
      <c r="M183" s="34" t="s">
        <v>39</v>
      </c>
      <c r="N183" s="34" t="s">
        <v>1699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1942</v>
      </c>
      <c r="E184" s="32" t="s">
        <v>1943</v>
      </c>
      <c r="F184" s="32" t="s">
        <v>1944</v>
      </c>
      <c r="G184" s="32" t="s">
        <v>531</v>
      </c>
      <c r="H184" s="32" t="s">
        <v>352</v>
      </c>
      <c r="I184" s="31" t="s">
        <v>1945</v>
      </c>
      <c r="J184" s="31"/>
      <c r="K184" s="33" t="s">
        <v>694</v>
      </c>
      <c r="L184" s="33"/>
      <c r="M184" s="34"/>
      <c r="N184" s="34" t="s">
        <v>1699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627</v>
      </c>
      <c r="E185" s="32" t="s">
        <v>171</v>
      </c>
      <c r="F185" s="32" t="s">
        <v>629</v>
      </c>
      <c r="G185" s="32" t="s">
        <v>237</v>
      </c>
      <c r="H185" s="32" t="s">
        <v>352</v>
      </c>
      <c r="I185" s="31" t="s">
        <v>628</v>
      </c>
      <c r="J185" s="31">
        <v>4</v>
      </c>
      <c r="K185" s="33" t="s">
        <v>937</v>
      </c>
      <c r="L185" s="33" t="s">
        <v>39</v>
      </c>
      <c r="M185" s="34" t="s">
        <v>39</v>
      </c>
      <c r="N185" s="34" t="s">
        <v>1699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1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15">
        <v>0</v>
      </c>
      <c r="B186" s="15">
        <v>1</v>
      </c>
      <c r="C186" s="15">
        <v>3</v>
      </c>
      <c r="D186" s="16" t="s">
        <v>1495</v>
      </c>
      <c r="E186" s="16" t="s">
        <v>1068</v>
      </c>
      <c r="F186" s="16" t="s">
        <v>1496</v>
      </c>
      <c r="G186" s="16" t="s">
        <v>217</v>
      </c>
      <c r="H186" s="16" t="s">
        <v>352</v>
      </c>
      <c r="I186" s="15" t="s">
        <v>1497</v>
      </c>
      <c r="J186" s="15">
        <v>99</v>
      </c>
      <c r="K186" s="10" t="s">
        <v>694</v>
      </c>
      <c r="L186" s="10">
        <v>40</v>
      </c>
      <c r="M186" s="19" t="s">
        <v>951</v>
      </c>
      <c r="N186" s="19"/>
      <c r="Q186" s="16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0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0</v>
      </c>
      <c r="AE186" s="1">
        <f t="shared" si="66"/>
        <v>0</v>
      </c>
      <c r="AF186" s="1">
        <f t="shared" si="67"/>
        <v>0</v>
      </c>
      <c r="AG186" s="1">
        <f t="shared" si="68"/>
        <v>0</v>
      </c>
      <c r="AH186" s="1">
        <f t="shared" si="69"/>
        <v>0</v>
      </c>
      <c r="AI186" s="1">
        <f t="shared" si="70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101</v>
      </c>
      <c r="E187" s="32" t="s">
        <v>171</v>
      </c>
      <c r="F187" s="32" t="s">
        <v>297</v>
      </c>
      <c r="G187" s="32" t="s">
        <v>298</v>
      </c>
      <c r="H187" s="32" t="s">
        <v>352</v>
      </c>
      <c r="I187" s="31" t="s">
        <v>446</v>
      </c>
      <c r="J187" s="31">
        <v>99</v>
      </c>
      <c r="K187" s="33" t="s">
        <v>939</v>
      </c>
      <c r="L187" s="33" t="s">
        <v>684</v>
      </c>
      <c r="M187" s="34" t="s">
        <v>682</v>
      </c>
      <c r="N187" s="34" t="s">
        <v>1704</v>
      </c>
      <c r="O187" s="35">
        <v>1</v>
      </c>
      <c r="P187" s="35"/>
      <c r="Q187" s="32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1</v>
      </c>
      <c r="AF187" s="1">
        <f t="shared" si="67"/>
        <v>0</v>
      </c>
      <c r="AG187" s="1">
        <f t="shared" si="68"/>
        <v>1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971</v>
      </c>
      <c r="E188" s="32" t="s">
        <v>171</v>
      </c>
      <c r="F188" s="32" t="s">
        <v>974</v>
      </c>
      <c r="G188" s="32" t="s">
        <v>39</v>
      </c>
      <c r="H188" s="32" t="s">
        <v>973</v>
      </c>
      <c r="I188" s="31" t="s">
        <v>972</v>
      </c>
      <c r="J188" s="31">
        <v>14</v>
      </c>
      <c r="K188" s="33" t="s">
        <v>713</v>
      </c>
      <c r="L188" s="33" t="s">
        <v>685</v>
      </c>
      <c r="M188" s="34" t="s">
        <v>952</v>
      </c>
      <c r="N188" s="34" t="s">
        <v>1704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51">
        <v>0</v>
      </c>
      <c r="B189" s="51">
        <v>1</v>
      </c>
      <c r="C189" s="51">
        <v>3</v>
      </c>
      <c r="D189" s="52" t="s">
        <v>1611</v>
      </c>
      <c r="E189" s="52" t="s">
        <v>171</v>
      </c>
      <c r="F189" s="52" t="s">
        <v>758</v>
      </c>
      <c r="G189" s="52" t="s">
        <v>39</v>
      </c>
      <c r="H189" s="52" t="s">
        <v>365</v>
      </c>
      <c r="I189" s="51" t="s">
        <v>766</v>
      </c>
      <c r="J189" s="51">
        <v>18</v>
      </c>
      <c r="K189" s="53" t="s">
        <v>1663</v>
      </c>
      <c r="L189" s="53" t="s">
        <v>39</v>
      </c>
      <c r="M189" s="54" t="s">
        <v>759</v>
      </c>
      <c r="N189" s="55"/>
      <c r="O189" s="56"/>
      <c r="P189" s="56"/>
      <c r="Q189" s="5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0</v>
      </c>
      <c r="AF189" s="1">
        <f t="shared" si="67"/>
        <v>0</v>
      </c>
      <c r="AG189" s="1">
        <f t="shared" si="68"/>
        <v>0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31">
        <v>0</v>
      </c>
      <c r="B190" s="31">
        <v>1</v>
      </c>
      <c r="C190" s="31">
        <v>3</v>
      </c>
      <c r="D190" s="32" t="s">
        <v>134</v>
      </c>
      <c r="E190" s="32" t="s">
        <v>171</v>
      </c>
      <c r="F190" s="32" t="s">
        <v>651</v>
      </c>
      <c r="G190" s="32" t="s">
        <v>256</v>
      </c>
      <c r="H190" s="32" t="s">
        <v>352</v>
      </c>
      <c r="I190" s="31" t="s">
        <v>1659</v>
      </c>
      <c r="J190" s="31">
        <v>99</v>
      </c>
      <c r="K190" s="33" t="s">
        <v>713</v>
      </c>
      <c r="L190" s="33" t="s">
        <v>678</v>
      </c>
      <c r="M190" s="34" t="s">
        <v>1368</v>
      </c>
      <c r="N190" s="34" t="s">
        <v>1704</v>
      </c>
      <c r="O190" s="35">
        <v>1</v>
      </c>
      <c r="P190" s="35"/>
      <c r="Q190" s="32" t="s">
        <v>1888</v>
      </c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1</v>
      </c>
      <c r="AF190" s="1">
        <f t="shared" si="67"/>
        <v>0</v>
      </c>
      <c r="AG190" s="1">
        <f t="shared" si="68"/>
        <v>1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906</v>
      </c>
      <c r="E191" s="32" t="s">
        <v>169</v>
      </c>
      <c r="F191" s="32" t="s">
        <v>922</v>
      </c>
      <c r="G191" s="32" t="s">
        <v>39</v>
      </c>
      <c r="H191" s="32" t="s">
        <v>363</v>
      </c>
      <c r="I191" s="31" t="s">
        <v>868</v>
      </c>
      <c r="J191" s="31">
        <v>18</v>
      </c>
      <c r="K191" s="33" t="s">
        <v>693</v>
      </c>
      <c r="L191" s="33" t="s">
        <v>688</v>
      </c>
      <c r="M191" s="34" t="s">
        <v>952</v>
      </c>
      <c r="N191" s="34" t="s">
        <v>1708</v>
      </c>
      <c r="O191" s="35">
        <v>1</v>
      </c>
      <c r="P191" s="35"/>
      <c r="Q191" s="32"/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1235</v>
      </c>
      <c r="E192" s="32" t="s">
        <v>169</v>
      </c>
      <c r="F192" s="32" t="s">
        <v>1642</v>
      </c>
      <c r="G192" s="32" t="s">
        <v>39</v>
      </c>
      <c r="H192" s="32" t="s">
        <v>756</v>
      </c>
      <c r="I192" s="31" t="s">
        <v>1236</v>
      </c>
      <c r="J192" s="31">
        <v>11</v>
      </c>
      <c r="K192" s="33" t="s">
        <v>713</v>
      </c>
      <c r="L192" s="33" t="s">
        <v>680</v>
      </c>
      <c r="M192" s="34" t="s">
        <v>1369</v>
      </c>
      <c r="N192" s="34" t="s">
        <v>1709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4</v>
      </c>
      <c r="D193" s="32" t="s">
        <v>977</v>
      </c>
      <c r="E193" s="32" t="s">
        <v>757</v>
      </c>
      <c r="F193" s="32" t="s">
        <v>1075</v>
      </c>
      <c r="G193" s="32" t="s">
        <v>199</v>
      </c>
      <c r="H193" s="32" t="s">
        <v>352</v>
      </c>
      <c r="I193" s="31" t="s">
        <v>978</v>
      </c>
      <c r="J193" s="31">
        <v>2</v>
      </c>
      <c r="K193" s="33" t="s">
        <v>937</v>
      </c>
      <c r="L193" s="33" t="s">
        <v>684</v>
      </c>
      <c r="M193" s="34" t="s">
        <v>1370</v>
      </c>
      <c r="N193" s="34" t="s">
        <v>1693</v>
      </c>
      <c r="O193" s="35">
        <v>1</v>
      </c>
      <c r="P193" s="35">
        <v>1</v>
      </c>
      <c r="Q193" s="32"/>
      <c r="S193" s="1">
        <f t="shared" si="55"/>
        <v>0</v>
      </c>
      <c r="T193" s="1">
        <f t="shared" si="56"/>
        <v>1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1</v>
      </c>
      <c r="AE193" s="1">
        <f t="shared" si="66"/>
        <v>0</v>
      </c>
      <c r="AF193" s="1">
        <f t="shared" si="67"/>
        <v>1</v>
      </c>
      <c r="AG193" s="1">
        <f t="shared" si="68"/>
        <v>0</v>
      </c>
      <c r="AH193" s="1">
        <f t="shared" si="69"/>
        <v>1</v>
      </c>
      <c r="AI193" s="1">
        <f t="shared" si="70"/>
        <v>0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50</v>
      </c>
      <c r="E194" s="32" t="s">
        <v>757</v>
      </c>
      <c r="F194" s="32" t="s">
        <v>192</v>
      </c>
      <c r="G194" s="32" t="s">
        <v>193</v>
      </c>
      <c r="H194" s="32" t="s">
        <v>352</v>
      </c>
      <c r="I194" s="31" t="s">
        <v>385</v>
      </c>
      <c r="J194" s="31">
        <v>9</v>
      </c>
      <c r="K194" s="33" t="s">
        <v>937</v>
      </c>
      <c r="L194" s="33" t="s">
        <v>685</v>
      </c>
      <c r="M194" s="34" t="s">
        <v>950</v>
      </c>
      <c r="N194" s="34" t="s">
        <v>1760</v>
      </c>
      <c r="O194" s="35">
        <v>1</v>
      </c>
      <c r="P194" s="35"/>
      <c r="Q194" s="32"/>
      <c r="S194" s="1">
        <f t="shared" si="55"/>
        <v>0</v>
      </c>
      <c r="T194" s="1">
        <f t="shared" si="56"/>
        <v>0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1</v>
      </c>
      <c r="AB194" s="1">
        <f t="shared" si="64"/>
        <v>0</v>
      </c>
      <c r="AD194" s="1">
        <f t="shared" si="65"/>
        <v>0</v>
      </c>
      <c r="AE194" s="1">
        <f t="shared" si="66"/>
        <v>1</v>
      </c>
      <c r="AF194" s="1">
        <f t="shared" si="67"/>
        <v>0</v>
      </c>
      <c r="AG194" s="1">
        <f t="shared" si="68"/>
        <v>1</v>
      </c>
      <c r="AH194" s="1">
        <f t="shared" si="69"/>
        <v>0</v>
      </c>
      <c r="AI194" s="1">
        <f t="shared" si="70"/>
        <v>1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133</v>
      </c>
      <c r="E195" s="32" t="s">
        <v>176</v>
      </c>
      <c r="F195" s="32" t="s">
        <v>334</v>
      </c>
      <c r="G195" s="32" t="s">
        <v>212</v>
      </c>
      <c r="H195" s="32" t="s">
        <v>352</v>
      </c>
      <c r="I195" s="31" t="s">
        <v>480</v>
      </c>
      <c r="J195" s="31">
        <v>1</v>
      </c>
      <c r="K195" s="33" t="s">
        <v>937</v>
      </c>
      <c r="L195" s="33" t="s">
        <v>680</v>
      </c>
      <c r="M195" s="34" t="s">
        <v>682</v>
      </c>
      <c r="N195" s="34" t="s">
        <v>1704</v>
      </c>
      <c r="O195" s="35">
        <v>1</v>
      </c>
      <c r="P195" s="35"/>
      <c r="Q195" s="32"/>
      <c r="S195" s="1">
        <f t="shared" si="55"/>
        <v>1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0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6" t="s">
        <v>2128</v>
      </c>
      <c r="E196" s="32" t="s">
        <v>757</v>
      </c>
      <c r="F196" s="36" t="s">
        <v>2035</v>
      </c>
      <c r="G196" s="36" t="s">
        <v>212</v>
      </c>
      <c r="H196" s="36" t="s">
        <v>352</v>
      </c>
      <c r="I196" s="37" t="s">
        <v>2036</v>
      </c>
      <c r="J196" s="31">
        <v>1</v>
      </c>
      <c r="K196" s="33" t="s">
        <v>694</v>
      </c>
      <c r="L196" s="33"/>
      <c r="M196" s="34"/>
      <c r="N196" s="34" t="s">
        <v>1699</v>
      </c>
      <c r="O196" s="35">
        <v>1</v>
      </c>
      <c r="P196" s="35">
        <v>1</v>
      </c>
      <c r="Q196" s="32" t="s">
        <v>2037</v>
      </c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1</v>
      </c>
      <c r="AE196" s="1">
        <f t="shared" si="66"/>
        <v>0</v>
      </c>
      <c r="AF196" s="1">
        <f t="shared" si="67"/>
        <v>1</v>
      </c>
      <c r="AG196" s="1">
        <f t="shared" si="68"/>
        <v>0</v>
      </c>
      <c r="AH196" s="1">
        <f t="shared" si="69"/>
        <v>1</v>
      </c>
      <c r="AI196" s="1">
        <f t="shared" si="70"/>
        <v>0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125</v>
      </c>
      <c r="E197" s="32" t="s">
        <v>522</v>
      </c>
      <c r="F197" s="32" t="s">
        <v>325</v>
      </c>
      <c r="G197" s="32" t="s">
        <v>298</v>
      </c>
      <c r="H197" s="32" t="s">
        <v>352</v>
      </c>
      <c r="I197" s="31" t="s">
        <v>472</v>
      </c>
      <c r="J197" s="31">
        <v>99</v>
      </c>
      <c r="K197" s="33" t="s">
        <v>693</v>
      </c>
      <c r="L197" s="33" t="s">
        <v>680</v>
      </c>
      <c r="M197" s="34" t="s">
        <v>951</v>
      </c>
      <c r="N197" s="34" t="s">
        <v>1704</v>
      </c>
      <c r="O197" s="35">
        <v>1</v>
      </c>
      <c r="P197" s="35"/>
      <c r="Q197" s="32"/>
      <c r="S197" s="1">
        <f t="shared" si="55"/>
        <v>0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0</v>
      </c>
      <c r="AE197" s="1">
        <f t="shared" si="66"/>
        <v>1</v>
      </c>
      <c r="AF197" s="1">
        <f t="shared" si="67"/>
        <v>0</v>
      </c>
      <c r="AG197" s="1">
        <f t="shared" si="68"/>
        <v>1</v>
      </c>
      <c r="AH197" s="1">
        <f t="shared" si="69"/>
        <v>0</v>
      </c>
      <c r="AI197" s="1">
        <f t="shared" si="7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1695</v>
      </c>
      <c r="E198" s="32" t="s">
        <v>165</v>
      </c>
      <c r="F198" s="32" t="s">
        <v>1696</v>
      </c>
      <c r="G198" s="32" t="s">
        <v>1697</v>
      </c>
      <c r="H198" s="32" t="s">
        <v>352</v>
      </c>
      <c r="I198" s="31" t="s">
        <v>1698</v>
      </c>
      <c r="J198" s="31">
        <v>2</v>
      </c>
      <c r="K198" s="33" t="s">
        <v>694</v>
      </c>
      <c r="L198" s="33"/>
      <c r="M198" s="34"/>
      <c r="N198" s="34" t="s">
        <v>1699</v>
      </c>
      <c r="O198" s="35">
        <v>1</v>
      </c>
      <c r="P198" s="35">
        <v>1</v>
      </c>
      <c r="Q198" s="32"/>
      <c r="S198" s="1">
        <f t="shared" si="55"/>
        <v>0</v>
      </c>
      <c r="T198" s="1">
        <f t="shared" si="56"/>
        <v>1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1</v>
      </c>
      <c r="AE198" s="1">
        <f t="shared" si="66"/>
        <v>0</v>
      </c>
      <c r="AF198" s="1">
        <f t="shared" si="67"/>
        <v>1</v>
      </c>
      <c r="AG198" s="1">
        <f t="shared" si="68"/>
        <v>0</v>
      </c>
      <c r="AH198" s="1">
        <f t="shared" si="69"/>
        <v>1</v>
      </c>
      <c r="AI198" s="1">
        <f t="shared" si="70"/>
        <v>0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87</v>
      </c>
      <c r="E199" s="32" t="s">
        <v>165</v>
      </c>
      <c r="F199" s="32" t="s">
        <v>570</v>
      </c>
      <c r="G199" s="32" t="s">
        <v>193</v>
      </c>
      <c r="H199" s="32" t="s">
        <v>352</v>
      </c>
      <c r="I199" s="31" t="s">
        <v>434</v>
      </c>
      <c r="J199" s="31">
        <v>9</v>
      </c>
      <c r="K199" s="33" t="s">
        <v>937</v>
      </c>
      <c r="L199" s="33" t="s">
        <v>687</v>
      </c>
      <c r="M199" s="34" t="s">
        <v>682</v>
      </c>
      <c r="N199" s="34" t="s">
        <v>1704</v>
      </c>
      <c r="O199" s="35">
        <v>1</v>
      </c>
      <c r="P199" s="35"/>
      <c r="Q199" s="32"/>
      <c r="S199" s="1">
        <f t="shared" si="55"/>
        <v>0</v>
      </c>
      <c r="T199" s="1">
        <f t="shared" si="56"/>
        <v>0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1</v>
      </c>
      <c r="AB199" s="1">
        <f t="shared" si="64"/>
        <v>0</v>
      </c>
      <c r="AD199" s="1">
        <f t="shared" si="65"/>
        <v>0</v>
      </c>
      <c r="AE199" s="1">
        <f t="shared" si="66"/>
        <v>1</v>
      </c>
      <c r="AF199" s="1">
        <f t="shared" si="67"/>
        <v>0</v>
      </c>
      <c r="AG199" s="1">
        <f t="shared" si="68"/>
        <v>1</v>
      </c>
      <c r="AH199" s="1">
        <f t="shared" si="69"/>
        <v>0</v>
      </c>
      <c r="AI199" s="1">
        <f t="shared" si="7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1949</v>
      </c>
      <c r="E200" s="32" t="s">
        <v>165</v>
      </c>
      <c r="F200" s="32" t="s">
        <v>1950</v>
      </c>
      <c r="G200" s="32" t="s">
        <v>1953</v>
      </c>
      <c r="H200" s="32" t="s">
        <v>352</v>
      </c>
      <c r="I200" s="31" t="s">
        <v>1951</v>
      </c>
      <c r="J200" s="31">
        <v>99</v>
      </c>
      <c r="K200" s="33" t="s">
        <v>694</v>
      </c>
      <c r="L200" s="33">
        <v>25</v>
      </c>
      <c r="M200" s="34" t="s">
        <v>682</v>
      </c>
      <c r="N200" s="34" t="s">
        <v>1704</v>
      </c>
      <c r="O200" s="35">
        <v>1</v>
      </c>
      <c r="P200" s="35"/>
      <c r="Q200" s="32" t="s">
        <v>1952</v>
      </c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0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126</v>
      </c>
      <c r="E201" s="32" t="s">
        <v>165</v>
      </c>
      <c r="F201" s="32" t="s">
        <v>326</v>
      </c>
      <c r="G201" s="32" t="s">
        <v>179</v>
      </c>
      <c r="H201" s="32" t="s">
        <v>352</v>
      </c>
      <c r="I201" s="31" t="s">
        <v>473</v>
      </c>
      <c r="J201" s="31">
        <v>10</v>
      </c>
      <c r="K201" s="33" t="s">
        <v>939</v>
      </c>
      <c r="L201" s="33" t="s">
        <v>685</v>
      </c>
      <c r="M201" s="34" t="s">
        <v>682</v>
      </c>
      <c r="N201" s="34" t="s">
        <v>1749</v>
      </c>
      <c r="O201" s="35">
        <v>1</v>
      </c>
      <c r="P201" s="35"/>
      <c r="Q201" s="32"/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1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136</v>
      </c>
      <c r="E202" s="32" t="s">
        <v>165</v>
      </c>
      <c r="F202" s="32" t="s">
        <v>544</v>
      </c>
      <c r="G202" s="32" t="s">
        <v>219</v>
      </c>
      <c r="H202" s="32" t="s">
        <v>352</v>
      </c>
      <c r="I202" s="31" t="s">
        <v>536</v>
      </c>
      <c r="J202" s="31">
        <v>8</v>
      </c>
      <c r="K202" s="33" t="s">
        <v>937</v>
      </c>
      <c r="L202" s="33" t="s">
        <v>685</v>
      </c>
      <c r="M202" s="34" t="s">
        <v>682</v>
      </c>
      <c r="N202" s="34" t="s">
        <v>1704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1</v>
      </c>
      <c r="AA202" s="1">
        <f t="shared" si="63"/>
        <v>0</v>
      </c>
      <c r="AB202" s="1">
        <f t="shared" si="64"/>
        <v>0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1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335</v>
      </c>
      <c r="G203" s="32" t="s">
        <v>336</v>
      </c>
      <c r="H203" s="32" t="s">
        <v>352</v>
      </c>
      <c r="I203" s="31" t="s">
        <v>482</v>
      </c>
      <c r="J203" s="31">
        <v>10</v>
      </c>
      <c r="K203" s="33" t="s">
        <v>937</v>
      </c>
      <c r="L203" s="33" t="s">
        <v>685</v>
      </c>
      <c r="M203" s="34" t="s">
        <v>682</v>
      </c>
      <c r="N203" s="34" t="s">
        <v>1704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0</v>
      </c>
      <c r="AA203" s="1">
        <f t="shared" si="63"/>
        <v>0</v>
      </c>
      <c r="AB203" s="1">
        <f t="shared" si="64"/>
        <v>1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0</v>
      </c>
      <c r="AH203" s="1">
        <f t="shared" si="69"/>
        <v>0</v>
      </c>
      <c r="AI203" s="1">
        <f t="shared" si="7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1604</v>
      </c>
      <c r="E204" s="32" t="s">
        <v>165</v>
      </c>
      <c r="F204" s="32" t="s">
        <v>850</v>
      </c>
      <c r="G204" s="32" t="s">
        <v>1631</v>
      </c>
      <c r="H204" s="32" t="s">
        <v>352</v>
      </c>
      <c r="I204" s="31" t="s">
        <v>851</v>
      </c>
      <c r="J204" s="31">
        <v>1</v>
      </c>
      <c r="K204" s="33" t="s">
        <v>713</v>
      </c>
      <c r="L204" s="33" t="s">
        <v>1673</v>
      </c>
      <c r="M204" s="34" t="s">
        <v>1371</v>
      </c>
      <c r="N204" s="34" t="s">
        <v>1704</v>
      </c>
      <c r="O204" s="35">
        <v>1</v>
      </c>
      <c r="P204" s="35"/>
      <c r="Q204" s="32"/>
      <c r="S204" s="1">
        <f t="shared" si="55"/>
        <v>1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0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1</v>
      </c>
      <c r="AH204" s="1">
        <f t="shared" si="69"/>
        <v>0</v>
      </c>
      <c r="AI204" s="1">
        <f t="shared" si="70"/>
        <v>1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2065</v>
      </c>
      <c r="E205" s="32" t="s">
        <v>165</v>
      </c>
      <c r="F205" s="32" t="s">
        <v>2066</v>
      </c>
      <c r="G205" s="32" t="s">
        <v>193</v>
      </c>
      <c r="H205" s="32" t="s">
        <v>352</v>
      </c>
      <c r="I205" s="31" t="s">
        <v>2067</v>
      </c>
      <c r="J205" s="31">
        <v>9</v>
      </c>
      <c r="K205" s="33" t="s">
        <v>694</v>
      </c>
      <c r="L205" s="33"/>
      <c r="M205" s="34"/>
      <c r="N205" s="34" t="s">
        <v>1699</v>
      </c>
      <c r="O205" s="35">
        <v>1</v>
      </c>
      <c r="P205" s="35">
        <v>1</v>
      </c>
      <c r="Q205" s="32" t="s">
        <v>2068</v>
      </c>
      <c r="S205" s="1">
        <f t="shared" si="55"/>
        <v>0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1</v>
      </c>
      <c r="AB205" s="1">
        <f t="shared" si="64"/>
        <v>0</v>
      </c>
      <c r="AD205" s="1">
        <f t="shared" si="65"/>
        <v>1</v>
      </c>
      <c r="AE205" s="1">
        <f t="shared" si="66"/>
        <v>0</v>
      </c>
      <c r="AF205" s="1">
        <f t="shared" si="67"/>
        <v>1</v>
      </c>
      <c r="AG205" s="1">
        <f t="shared" si="68"/>
        <v>0</v>
      </c>
      <c r="AH205" s="1">
        <f t="shared" si="69"/>
        <v>1</v>
      </c>
      <c r="AI205" s="1">
        <f t="shared" si="70"/>
        <v>0</v>
      </c>
    </row>
    <row r="206" spans="1:35" ht="14.25" customHeight="1" x14ac:dyDescent="0.25">
      <c r="A206" s="15">
        <v>0</v>
      </c>
      <c r="B206" s="15">
        <v>1</v>
      </c>
      <c r="C206" s="15">
        <v>5</v>
      </c>
      <c r="D206" s="20" t="s">
        <v>1906</v>
      </c>
      <c r="E206" s="20" t="s">
        <v>876</v>
      </c>
      <c r="F206" s="20" t="s">
        <v>1923</v>
      </c>
      <c r="G206" s="20"/>
      <c r="H206" s="20" t="s">
        <v>1924</v>
      </c>
      <c r="I206" s="21" t="s">
        <v>1922</v>
      </c>
      <c r="J206" s="15">
        <v>15</v>
      </c>
      <c r="K206" s="10" t="s">
        <v>694</v>
      </c>
      <c r="L206" s="10" t="s">
        <v>688</v>
      </c>
      <c r="M206" s="19" t="s">
        <v>952</v>
      </c>
      <c r="N206" s="17"/>
      <c r="Q206" s="20" t="s">
        <v>1925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0</v>
      </c>
      <c r="AB206" s="1">
        <f t="shared" si="64"/>
        <v>0</v>
      </c>
      <c r="AD206" s="1">
        <f t="shared" si="65"/>
        <v>0</v>
      </c>
      <c r="AE206" s="1">
        <f t="shared" si="66"/>
        <v>0</v>
      </c>
      <c r="AF206" s="1">
        <f t="shared" si="67"/>
        <v>0</v>
      </c>
      <c r="AG206" s="1">
        <f t="shared" si="68"/>
        <v>0</v>
      </c>
      <c r="AH206" s="1">
        <f t="shared" si="69"/>
        <v>0</v>
      </c>
      <c r="AI206" s="1">
        <f t="shared" si="70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870</v>
      </c>
      <c r="E207" s="32" t="s">
        <v>871</v>
      </c>
      <c r="F207" s="32" t="s">
        <v>1073</v>
      </c>
      <c r="G207" s="32" t="s">
        <v>39</v>
      </c>
      <c r="H207" s="32" t="s">
        <v>872</v>
      </c>
      <c r="I207" s="31" t="s">
        <v>873</v>
      </c>
      <c r="J207" s="31">
        <v>16</v>
      </c>
      <c r="K207" s="33" t="s">
        <v>694</v>
      </c>
      <c r="L207" s="33" t="s">
        <v>683</v>
      </c>
      <c r="M207" s="34" t="s">
        <v>951</v>
      </c>
      <c r="N207" s="34" t="s">
        <v>1699</v>
      </c>
      <c r="O207" s="35">
        <v>1</v>
      </c>
      <c r="P207" s="35">
        <v>1</v>
      </c>
      <c r="Q207" s="36" t="s">
        <v>1852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1</v>
      </c>
      <c r="AE207" s="1">
        <f t="shared" si="66"/>
        <v>0</v>
      </c>
      <c r="AF207" s="1">
        <f t="shared" si="67"/>
        <v>1</v>
      </c>
      <c r="AG207" s="1">
        <f t="shared" si="68"/>
        <v>0</v>
      </c>
      <c r="AH207" s="1">
        <f t="shared" si="69"/>
        <v>1</v>
      </c>
      <c r="AI207" s="1">
        <f t="shared" si="70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105</v>
      </c>
      <c r="E208" s="32" t="s">
        <v>172</v>
      </c>
      <c r="F208" s="32" t="s">
        <v>302</v>
      </c>
      <c r="G208" s="32" t="s">
        <v>39</v>
      </c>
      <c r="H208" s="32" t="s">
        <v>357</v>
      </c>
      <c r="I208" s="31" t="s">
        <v>450</v>
      </c>
      <c r="J208" s="31">
        <v>14</v>
      </c>
      <c r="K208" s="33" t="s">
        <v>937</v>
      </c>
      <c r="L208" s="33" t="s">
        <v>684</v>
      </c>
      <c r="M208" s="34" t="s">
        <v>951</v>
      </c>
      <c r="N208" s="34" t="s">
        <v>1704</v>
      </c>
      <c r="O208" s="35">
        <v>1</v>
      </c>
      <c r="P208" s="35"/>
      <c r="Q208" s="32"/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0</v>
      </c>
      <c r="AE208" s="1">
        <f t="shared" si="66"/>
        <v>1</v>
      </c>
      <c r="AF208" s="1">
        <f t="shared" si="67"/>
        <v>0</v>
      </c>
      <c r="AG208" s="1">
        <f t="shared" si="68"/>
        <v>1</v>
      </c>
      <c r="AH208" s="1">
        <f t="shared" si="69"/>
        <v>0</v>
      </c>
      <c r="AI208" s="1">
        <f t="shared" si="70"/>
        <v>1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509</v>
      </c>
      <c r="E209" s="32" t="s">
        <v>171</v>
      </c>
      <c r="F209" s="32" t="s">
        <v>545</v>
      </c>
      <c r="G209" s="32" t="s">
        <v>39</v>
      </c>
      <c r="H209" s="32" t="s">
        <v>360</v>
      </c>
      <c r="I209" s="31" t="s">
        <v>1095</v>
      </c>
      <c r="J209" s="31">
        <v>12</v>
      </c>
      <c r="K209" s="33" t="s">
        <v>694</v>
      </c>
      <c r="L209" s="33">
        <v>35</v>
      </c>
      <c r="M209" s="34" t="s">
        <v>951</v>
      </c>
      <c r="N209" s="34" t="s">
        <v>1784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150</v>
      </c>
      <c r="E210" s="32" t="s">
        <v>165</v>
      </c>
      <c r="F210" s="36" t="s">
        <v>1829</v>
      </c>
      <c r="G210" s="32" t="s">
        <v>196</v>
      </c>
      <c r="H210" s="32" t="s">
        <v>352</v>
      </c>
      <c r="I210" s="31" t="s">
        <v>495</v>
      </c>
      <c r="J210" s="31">
        <v>99</v>
      </c>
      <c r="K210" s="33" t="s">
        <v>937</v>
      </c>
      <c r="L210" s="33" t="s">
        <v>684</v>
      </c>
      <c r="M210" s="34" t="s">
        <v>951</v>
      </c>
      <c r="N210" s="34" t="s">
        <v>1708</v>
      </c>
      <c r="O210" s="35">
        <v>1</v>
      </c>
      <c r="P210" s="35"/>
      <c r="Q210" s="32"/>
      <c r="S210" s="1">
        <f t="shared" ref="S210:S274" si="71">IF(J210=$S$7,1,0)</f>
        <v>0</v>
      </c>
      <c r="T210" s="1">
        <f t="shared" ref="T210:T274" si="72">IF(J210=$T$7,1,0)</f>
        <v>0</v>
      </c>
      <c r="U210" s="1">
        <f t="shared" ref="U210:U274" si="73">IF(J210=$U$7,1,0)</f>
        <v>0</v>
      </c>
      <c r="V210" s="1">
        <f t="shared" ref="V210:V274" si="74">IF(J210=$V$7,1,0)</f>
        <v>0</v>
      </c>
      <c r="W210" s="1">
        <f t="shared" ref="W210:W274" si="75">IF(J210=$W$7,1,0)</f>
        <v>0</v>
      </c>
      <c r="X210" s="1">
        <f t="shared" ref="X210:X274" si="76">IF(J210=$X$7,1,0)</f>
        <v>0</v>
      </c>
      <c r="Y210" s="1">
        <f t="shared" ref="Y210:Y274" si="77">IF(J210=$Y$7,1,0)</f>
        <v>0</v>
      </c>
      <c r="Z210" s="1">
        <f t="shared" ref="Z210:Z274" si="78">IF(J210=$Z$7,1,0)</f>
        <v>0</v>
      </c>
      <c r="AA210" s="1">
        <f t="shared" ref="AA210:AA274" si="79">IF(J210=$AA$7,1,0)</f>
        <v>0</v>
      </c>
      <c r="AB210" s="1">
        <f t="shared" ref="AB210:AB274" si="80">IF(J210=$AB$7,1,0)</f>
        <v>0</v>
      </c>
      <c r="AD210" s="1">
        <f t="shared" ref="AD210:AD274" si="81">+O210*P210</f>
        <v>0</v>
      </c>
      <c r="AE210" s="1">
        <f t="shared" ref="AE210:AE274" si="82">O210*(1-P210)</f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641</v>
      </c>
      <c r="E211" s="32" t="s">
        <v>675</v>
      </c>
      <c r="F211" s="32" t="s">
        <v>637</v>
      </c>
      <c r="G211" s="32" t="s">
        <v>184</v>
      </c>
      <c r="H211" s="32" t="s">
        <v>352</v>
      </c>
      <c r="I211" s="31" t="s">
        <v>638</v>
      </c>
      <c r="J211" s="31">
        <v>99</v>
      </c>
      <c r="K211" s="33" t="s">
        <v>713</v>
      </c>
      <c r="L211" s="33" t="s">
        <v>684</v>
      </c>
      <c r="M211" s="34" t="s">
        <v>951</v>
      </c>
      <c r="N211" s="34" t="s">
        <v>1709</v>
      </c>
      <c r="O211" s="35">
        <v>1</v>
      </c>
      <c r="P211" s="35"/>
      <c r="Q211" s="32"/>
      <c r="S211" s="1">
        <f t="shared" si="71"/>
        <v>0</v>
      </c>
      <c r="T211" s="1">
        <f t="shared" si="72"/>
        <v>0</v>
      </c>
      <c r="U211" s="1">
        <f t="shared" si="73"/>
        <v>0</v>
      </c>
      <c r="V211" s="1">
        <f t="shared" si="74"/>
        <v>0</v>
      </c>
      <c r="W211" s="1">
        <f t="shared" si="75"/>
        <v>0</v>
      </c>
      <c r="X211" s="1">
        <f t="shared" si="76"/>
        <v>0</v>
      </c>
      <c r="Y211" s="1">
        <f t="shared" si="77"/>
        <v>0</v>
      </c>
      <c r="Z211" s="1">
        <f t="shared" si="78"/>
        <v>0</v>
      </c>
      <c r="AA211" s="1">
        <f t="shared" si="79"/>
        <v>0</v>
      </c>
      <c r="AB211" s="1">
        <f t="shared" si="80"/>
        <v>0</v>
      </c>
      <c r="AD211" s="1">
        <f t="shared" si="81"/>
        <v>0</v>
      </c>
      <c r="AE211" s="1">
        <f t="shared" si="82"/>
        <v>1</v>
      </c>
      <c r="AF211" s="1">
        <f t="shared" ref="AF211:AF275" si="83">+O211*P211*(1-A211)</f>
        <v>0</v>
      </c>
      <c r="AG211" s="1">
        <f t="shared" ref="AG211:AG275" si="84">O211*(1-P211)*(1-A211)</f>
        <v>1</v>
      </c>
      <c r="AH211" s="1">
        <f t="shared" ref="AH211:AH275" si="85">+P211*(1-A211)</f>
        <v>0</v>
      </c>
      <c r="AI211" s="1">
        <f t="shared" ref="AI211:AI275" si="86">+(1-A211)*(1-P211)</f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1284</v>
      </c>
      <c r="E212" s="32" t="s">
        <v>165</v>
      </c>
      <c r="F212" s="32" t="s">
        <v>1285</v>
      </c>
      <c r="G212" s="32" t="s">
        <v>281</v>
      </c>
      <c r="H212" s="32" t="s">
        <v>352</v>
      </c>
      <c r="I212" s="31" t="s">
        <v>1286</v>
      </c>
      <c r="J212" s="31">
        <v>99</v>
      </c>
      <c r="K212" s="33" t="s">
        <v>693</v>
      </c>
      <c r="L212" s="33" t="s">
        <v>39</v>
      </c>
      <c r="M212" s="34" t="s">
        <v>39</v>
      </c>
      <c r="N212" s="34" t="s">
        <v>1699</v>
      </c>
      <c r="O212" s="35">
        <v>1</v>
      </c>
      <c r="P212" s="35">
        <v>1</v>
      </c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1</v>
      </c>
      <c r="AE212" s="1">
        <f t="shared" si="82"/>
        <v>0</v>
      </c>
      <c r="AF212" s="1">
        <f t="shared" si="83"/>
        <v>1</v>
      </c>
      <c r="AG212" s="1">
        <f t="shared" si="84"/>
        <v>0</v>
      </c>
      <c r="AH212" s="1">
        <f t="shared" si="85"/>
        <v>1</v>
      </c>
      <c r="AI212" s="1">
        <f t="shared" si="86"/>
        <v>0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875</v>
      </c>
      <c r="E213" s="32" t="s">
        <v>876</v>
      </c>
      <c r="F213" s="32" t="s">
        <v>917</v>
      </c>
      <c r="G213" s="32" t="s">
        <v>39</v>
      </c>
      <c r="H213" s="32" t="s">
        <v>877</v>
      </c>
      <c r="I213" s="31" t="s">
        <v>878</v>
      </c>
      <c r="J213" s="31">
        <v>17</v>
      </c>
      <c r="K213" s="33" t="s">
        <v>694</v>
      </c>
      <c r="L213" s="33" t="s">
        <v>688</v>
      </c>
      <c r="M213" s="34" t="s">
        <v>951</v>
      </c>
      <c r="N213" s="34" t="s">
        <v>1715</v>
      </c>
      <c r="O213" s="35">
        <v>1</v>
      </c>
      <c r="P213" s="35"/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0</v>
      </c>
      <c r="AE213" s="1">
        <f t="shared" si="82"/>
        <v>1</v>
      </c>
      <c r="AF213" s="1">
        <f t="shared" si="83"/>
        <v>0</v>
      </c>
      <c r="AG213" s="1">
        <f t="shared" si="84"/>
        <v>1</v>
      </c>
      <c r="AH213" s="1">
        <f t="shared" si="85"/>
        <v>0</v>
      </c>
      <c r="AI213" s="1">
        <f t="shared" si="86"/>
        <v>1</v>
      </c>
    </row>
    <row r="214" spans="1:35" ht="14.25" customHeight="1" x14ac:dyDescent="0.25">
      <c r="A214" s="15">
        <v>0</v>
      </c>
      <c r="B214" s="15">
        <v>1</v>
      </c>
      <c r="C214" s="15">
        <v>5</v>
      </c>
      <c r="D214" s="16" t="s">
        <v>1899</v>
      </c>
      <c r="E214" s="16" t="s">
        <v>876</v>
      </c>
      <c r="F214" s="16" t="s">
        <v>1901</v>
      </c>
      <c r="G214" s="16"/>
      <c r="H214" s="16" t="s">
        <v>1900</v>
      </c>
      <c r="I214" s="15" t="s">
        <v>1902</v>
      </c>
      <c r="J214" s="15">
        <v>16</v>
      </c>
      <c r="K214" s="10" t="s">
        <v>694</v>
      </c>
      <c r="L214" s="10" t="s">
        <v>688</v>
      </c>
      <c r="M214" s="19" t="s">
        <v>951</v>
      </c>
      <c r="N214" s="17"/>
      <c r="Q214" s="20" t="s">
        <v>1903</v>
      </c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0</v>
      </c>
      <c r="AF214" s="1">
        <f t="shared" si="83"/>
        <v>0</v>
      </c>
      <c r="AG214" s="1">
        <f t="shared" si="84"/>
        <v>0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130</v>
      </c>
      <c r="E215" s="32" t="s">
        <v>165</v>
      </c>
      <c r="F215" s="32" t="s">
        <v>330</v>
      </c>
      <c r="G215" s="32" t="s">
        <v>331</v>
      </c>
      <c r="H215" s="32" t="s">
        <v>352</v>
      </c>
      <c r="I215" s="31" t="s">
        <v>477</v>
      </c>
      <c r="J215" s="31">
        <v>99</v>
      </c>
      <c r="K215" s="33" t="s">
        <v>713</v>
      </c>
      <c r="L215" s="33" t="s">
        <v>685</v>
      </c>
      <c r="M215" s="34" t="s">
        <v>951</v>
      </c>
      <c r="N215" s="34" t="s">
        <v>1709</v>
      </c>
      <c r="O215" s="35">
        <v>1</v>
      </c>
      <c r="P215" s="35"/>
      <c r="Q215" s="32"/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1</v>
      </c>
      <c r="AF215" s="1">
        <f t="shared" si="83"/>
        <v>0</v>
      </c>
      <c r="AG215" s="1">
        <f t="shared" si="84"/>
        <v>1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108</v>
      </c>
      <c r="E216" s="32" t="s">
        <v>165</v>
      </c>
      <c r="F216" s="32" t="s">
        <v>305</v>
      </c>
      <c r="G216" s="32" t="s">
        <v>230</v>
      </c>
      <c r="H216" s="32" t="s">
        <v>352</v>
      </c>
      <c r="I216" s="31" t="s">
        <v>453</v>
      </c>
      <c r="J216" s="31">
        <v>99</v>
      </c>
      <c r="K216" s="33" t="s">
        <v>713</v>
      </c>
      <c r="L216" s="33" t="s">
        <v>687</v>
      </c>
      <c r="M216" s="34" t="s">
        <v>682</v>
      </c>
      <c r="N216" s="34" t="s">
        <v>1704</v>
      </c>
      <c r="O216" s="35">
        <v>1</v>
      </c>
      <c r="P216" s="35"/>
      <c r="Q216" s="32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1</v>
      </c>
      <c r="AF216" s="1">
        <f t="shared" si="83"/>
        <v>0</v>
      </c>
      <c r="AG216" s="1">
        <f t="shared" si="84"/>
        <v>1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110</v>
      </c>
      <c r="E217" s="32" t="s">
        <v>171</v>
      </c>
      <c r="F217" s="32" t="s">
        <v>308</v>
      </c>
      <c r="G217" s="32" t="s">
        <v>39</v>
      </c>
      <c r="H217" s="32" t="s">
        <v>362</v>
      </c>
      <c r="I217" s="31" t="s">
        <v>456</v>
      </c>
      <c r="J217" s="31">
        <v>17</v>
      </c>
      <c r="K217" s="33" t="s">
        <v>694</v>
      </c>
      <c r="L217" s="33" t="s">
        <v>688</v>
      </c>
      <c r="M217" s="34" t="s">
        <v>682</v>
      </c>
      <c r="N217" s="34" t="s">
        <v>1699</v>
      </c>
      <c r="O217" s="35">
        <v>1</v>
      </c>
      <c r="P217" s="35">
        <v>1</v>
      </c>
      <c r="Q217" s="32" t="s">
        <v>1873</v>
      </c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1</v>
      </c>
      <c r="AE217" s="1">
        <f t="shared" si="82"/>
        <v>0</v>
      </c>
      <c r="AF217" s="1">
        <f t="shared" si="83"/>
        <v>1</v>
      </c>
      <c r="AG217" s="1">
        <f t="shared" si="84"/>
        <v>0</v>
      </c>
      <c r="AH217" s="1">
        <f t="shared" si="85"/>
        <v>1</v>
      </c>
      <c r="AI217" s="1">
        <f t="shared" si="86"/>
        <v>0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521</v>
      </c>
      <c r="E218" s="32" t="s">
        <v>522</v>
      </c>
      <c r="F218" s="32" t="s">
        <v>523</v>
      </c>
      <c r="G218" s="32" t="s">
        <v>201</v>
      </c>
      <c r="H218" s="32" t="s">
        <v>352</v>
      </c>
      <c r="I218" s="31" t="s">
        <v>524</v>
      </c>
      <c r="J218" s="31">
        <v>10</v>
      </c>
      <c r="K218" s="33" t="s">
        <v>693</v>
      </c>
      <c r="L218" s="33" t="s">
        <v>684</v>
      </c>
      <c r="M218" s="34" t="s">
        <v>951</v>
      </c>
      <c r="N218" s="34" t="s">
        <v>1699</v>
      </c>
      <c r="O218" s="35">
        <v>1</v>
      </c>
      <c r="P218" s="35">
        <v>1</v>
      </c>
      <c r="Q218" s="32"/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1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1468</v>
      </c>
      <c r="E219" s="32" t="s">
        <v>165</v>
      </c>
      <c r="F219" s="32" t="s">
        <v>1469</v>
      </c>
      <c r="G219" s="32" t="s">
        <v>179</v>
      </c>
      <c r="H219" s="32" t="s">
        <v>352</v>
      </c>
      <c r="I219" s="31" t="s">
        <v>1470</v>
      </c>
      <c r="J219" s="31">
        <v>10</v>
      </c>
      <c r="K219" s="33" t="s">
        <v>937</v>
      </c>
      <c r="L219" s="33" t="s">
        <v>684</v>
      </c>
      <c r="M219" s="34" t="s">
        <v>951</v>
      </c>
      <c r="N219" s="34" t="s">
        <v>1693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1717</v>
      </c>
      <c r="E220" s="32" t="s">
        <v>165</v>
      </c>
      <c r="F220" s="32" t="s">
        <v>1718</v>
      </c>
      <c r="G220" s="32" t="s">
        <v>1719</v>
      </c>
      <c r="H220" s="32" t="s">
        <v>352</v>
      </c>
      <c r="I220" s="31" t="s">
        <v>1720</v>
      </c>
      <c r="J220" s="31">
        <v>1</v>
      </c>
      <c r="K220" s="33" t="s">
        <v>694</v>
      </c>
      <c r="L220" s="33"/>
      <c r="M220" s="34"/>
      <c r="N220" s="34" t="s">
        <v>1708</v>
      </c>
      <c r="O220" s="35">
        <v>1</v>
      </c>
      <c r="P220" s="35"/>
      <c r="Q220" s="32"/>
      <c r="S220" s="1">
        <f t="shared" si="71"/>
        <v>1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0</v>
      </c>
      <c r="AD220" s="1">
        <f t="shared" si="81"/>
        <v>0</v>
      </c>
      <c r="AE220" s="1">
        <f t="shared" si="82"/>
        <v>1</v>
      </c>
      <c r="AF220" s="1">
        <f t="shared" si="83"/>
        <v>0</v>
      </c>
      <c r="AG220" s="1">
        <f t="shared" si="84"/>
        <v>1</v>
      </c>
      <c r="AH220" s="1">
        <f t="shared" si="85"/>
        <v>0</v>
      </c>
      <c r="AI220" s="1">
        <f t="shared" si="86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1007</v>
      </c>
      <c r="E221" s="32" t="s">
        <v>1068</v>
      </c>
      <c r="F221" s="32" t="s">
        <v>1008</v>
      </c>
      <c r="G221" s="32" t="s">
        <v>193</v>
      </c>
      <c r="H221" s="32" t="s">
        <v>352</v>
      </c>
      <c r="I221" s="31" t="s">
        <v>1009</v>
      </c>
      <c r="J221" s="31">
        <v>9</v>
      </c>
      <c r="K221" s="33" t="s">
        <v>713</v>
      </c>
      <c r="L221" s="33" t="s">
        <v>1670</v>
      </c>
      <c r="M221" s="34" t="s">
        <v>1571</v>
      </c>
      <c r="N221" s="34" t="s">
        <v>1704</v>
      </c>
      <c r="O221" s="35">
        <v>1</v>
      </c>
      <c r="P221" s="35"/>
      <c r="Q221" s="32"/>
      <c r="S221" s="1">
        <f t="shared" si="71"/>
        <v>0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1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1581</v>
      </c>
      <c r="E222" s="32" t="s">
        <v>165</v>
      </c>
      <c r="F222" s="32" t="s">
        <v>1582</v>
      </c>
      <c r="G222" s="32" t="s">
        <v>212</v>
      </c>
      <c r="H222" s="32" t="s">
        <v>352</v>
      </c>
      <c r="I222" s="31" t="s">
        <v>1583</v>
      </c>
      <c r="J222" s="31">
        <v>1</v>
      </c>
      <c r="K222" s="33" t="s">
        <v>713</v>
      </c>
      <c r="L222" s="33" t="s">
        <v>685</v>
      </c>
      <c r="M222" s="34" t="s">
        <v>951</v>
      </c>
      <c r="N222" s="34" t="s">
        <v>1760</v>
      </c>
      <c r="O222" s="35">
        <v>1</v>
      </c>
      <c r="P222" s="35"/>
      <c r="Q222" s="32"/>
      <c r="S222" s="1">
        <f t="shared" si="71"/>
        <v>1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0</v>
      </c>
      <c r="AB222" s="1">
        <f t="shared" si="80"/>
        <v>0</v>
      </c>
      <c r="AD222" s="1">
        <f t="shared" si="81"/>
        <v>0</v>
      </c>
      <c r="AE222" s="1">
        <f t="shared" si="82"/>
        <v>1</v>
      </c>
      <c r="AF222" s="1">
        <f t="shared" si="83"/>
        <v>0</v>
      </c>
      <c r="AG222" s="1">
        <f t="shared" si="84"/>
        <v>1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146</v>
      </c>
      <c r="E223" s="32" t="s">
        <v>541</v>
      </c>
      <c r="F223" s="32" t="s">
        <v>1566</v>
      </c>
      <c r="G223" s="32" t="s">
        <v>1640</v>
      </c>
      <c r="H223" s="32" t="s">
        <v>352</v>
      </c>
      <c r="I223" s="31" t="s">
        <v>491</v>
      </c>
      <c r="J223" s="31">
        <v>99</v>
      </c>
      <c r="K223" s="33" t="s">
        <v>693</v>
      </c>
      <c r="L223" s="33" t="s">
        <v>680</v>
      </c>
      <c r="M223" s="34" t="s">
        <v>951</v>
      </c>
      <c r="N223" s="34" t="s">
        <v>1784</v>
      </c>
      <c r="O223" s="35">
        <v>1</v>
      </c>
      <c r="P223" s="35"/>
      <c r="Q223" s="32"/>
      <c r="S223" s="1">
        <f t="shared" si="71"/>
        <v>0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15">
        <v>0</v>
      </c>
      <c r="B224" s="15">
        <v>1</v>
      </c>
      <c r="C224" s="15">
        <v>5</v>
      </c>
      <c r="D224" s="16" t="s">
        <v>1187</v>
      </c>
      <c r="E224" s="16" t="s">
        <v>165</v>
      </c>
      <c r="F224" s="16" t="s">
        <v>1188</v>
      </c>
      <c r="G224" s="16" t="s">
        <v>1189</v>
      </c>
      <c r="H224" s="16" t="s">
        <v>352</v>
      </c>
      <c r="I224" s="15" t="s">
        <v>1190</v>
      </c>
      <c r="J224" s="15">
        <v>99</v>
      </c>
      <c r="K224" s="10" t="s">
        <v>694</v>
      </c>
      <c r="L224" s="10">
        <v>30</v>
      </c>
      <c r="M224" s="19" t="s">
        <v>951</v>
      </c>
      <c r="N224" s="19"/>
      <c r="Q224" s="16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0</v>
      </c>
      <c r="AF224" s="1">
        <f t="shared" si="83"/>
        <v>0</v>
      </c>
      <c r="AG224" s="1">
        <f t="shared" si="84"/>
        <v>0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31">
        <v>0</v>
      </c>
      <c r="B225" s="31">
        <v>1</v>
      </c>
      <c r="C225" s="31">
        <v>5</v>
      </c>
      <c r="D225" s="32" t="s">
        <v>1567</v>
      </c>
      <c r="E225" s="32" t="s">
        <v>171</v>
      </c>
      <c r="F225" s="32" t="s">
        <v>793</v>
      </c>
      <c r="G225" s="32" t="s">
        <v>39</v>
      </c>
      <c r="H225" s="32" t="s">
        <v>794</v>
      </c>
      <c r="I225" s="31" t="s">
        <v>795</v>
      </c>
      <c r="J225" s="31">
        <v>16</v>
      </c>
      <c r="K225" s="33" t="s">
        <v>938</v>
      </c>
      <c r="L225" s="33" t="s">
        <v>1703</v>
      </c>
      <c r="M225" s="34" t="s">
        <v>951</v>
      </c>
      <c r="N225" s="34" t="s">
        <v>1708</v>
      </c>
      <c r="O225" s="35">
        <v>1</v>
      </c>
      <c r="P225" s="35"/>
      <c r="Q225" s="32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1</v>
      </c>
      <c r="AF225" s="1">
        <f t="shared" si="83"/>
        <v>0</v>
      </c>
      <c r="AG225" s="1">
        <f t="shared" si="84"/>
        <v>1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498</v>
      </c>
      <c r="E226" s="32" t="s">
        <v>165</v>
      </c>
      <c r="F226" s="32" t="s">
        <v>499</v>
      </c>
      <c r="G226" s="32" t="s">
        <v>500</v>
      </c>
      <c r="H226" s="32" t="s">
        <v>352</v>
      </c>
      <c r="I226" s="31" t="s">
        <v>501</v>
      </c>
      <c r="J226" s="31">
        <v>99</v>
      </c>
      <c r="K226" s="33" t="s">
        <v>938</v>
      </c>
      <c r="L226" s="33" t="s">
        <v>685</v>
      </c>
      <c r="M226" s="34" t="s">
        <v>682</v>
      </c>
      <c r="N226" s="34" t="s">
        <v>1693</v>
      </c>
      <c r="O226" s="35">
        <v>1</v>
      </c>
      <c r="P226" s="35">
        <v>1</v>
      </c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1</v>
      </c>
      <c r="AE226" s="1">
        <f t="shared" si="82"/>
        <v>0</v>
      </c>
      <c r="AF226" s="1">
        <f t="shared" si="83"/>
        <v>1</v>
      </c>
      <c r="AG226" s="1">
        <f t="shared" si="84"/>
        <v>0</v>
      </c>
      <c r="AH226" s="1">
        <f t="shared" si="85"/>
        <v>1</v>
      </c>
      <c r="AI226" s="1">
        <f t="shared" si="86"/>
        <v>0</v>
      </c>
    </row>
    <row r="227" spans="1:35" ht="14.25" customHeight="1" x14ac:dyDescent="0.25">
      <c r="A227" s="31">
        <v>0</v>
      </c>
      <c r="B227" s="31">
        <v>1</v>
      </c>
      <c r="C227" s="31">
        <v>6</v>
      </c>
      <c r="D227" s="32" t="s">
        <v>1419</v>
      </c>
      <c r="E227" s="32" t="s">
        <v>166</v>
      </c>
      <c r="F227" s="32" t="s">
        <v>1420</v>
      </c>
      <c r="G227" s="32" t="s">
        <v>178</v>
      </c>
      <c r="H227" s="32" t="s">
        <v>352</v>
      </c>
      <c r="I227" s="31" t="s">
        <v>1421</v>
      </c>
      <c r="J227" s="31">
        <v>99</v>
      </c>
      <c r="K227" s="33" t="s">
        <v>937</v>
      </c>
      <c r="L227" s="33" t="s">
        <v>687</v>
      </c>
      <c r="M227" s="34" t="s">
        <v>1422</v>
      </c>
      <c r="N227" s="34" t="s">
        <v>1709</v>
      </c>
      <c r="O227" s="35">
        <v>1</v>
      </c>
      <c r="P227" s="35"/>
      <c r="Q227" s="36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0</v>
      </c>
      <c r="AE227" s="1">
        <f t="shared" si="82"/>
        <v>1</v>
      </c>
      <c r="AF227" s="1">
        <f t="shared" si="83"/>
        <v>0</v>
      </c>
      <c r="AG227" s="1">
        <f t="shared" si="84"/>
        <v>1</v>
      </c>
      <c r="AH227" s="1">
        <f t="shared" si="85"/>
        <v>0</v>
      </c>
      <c r="AI227" s="1">
        <f t="shared" si="86"/>
        <v>1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1161</v>
      </c>
      <c r="E228" s="32" t="s">
        <v>1164</v>
      </c>
      <c r="F228" s="32" t="s">
        <v>1162</v>
      </c>
      <c r="G228" s="32" t="s">
        <v>39</v>
      </c>
      <c r="H228" s="32" t="s">
        <v>352</v>
      </c>
      <c r="I228" s="31" t="s">
        <v>1163</v>
      </c>
      <c r="J228" s="31">
        <v>99</v>
      </c>
      <c r="K228" s="33" t="s">
        <v>943</v>
      </c>
      <c r="L228" s="33" t="s">
        <v>39</v>
      </c>
      <c r="M228" s="34" t="s">
        <v>39</v>
      </c>
      <c r="N228" s="34" t="s">
        <v>1699</v>
      </c>
      <c r="O228" s="35">
        <v>1</v>
      </c>
      <c r="P228" s="35">
        <v>1</v>
      </c>
      <c r="Q228" s="36" t="s">
        <v>1866</v>
      </c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1</v>
      </c>
      <c r="AE228" s="1">
        <f t="shared" si="82"/>
        <v>0</v>
      </c>
      <c r="AF228" s="1">
        <f t="shared" si="83"/>
        <v>1</v>
      </c>
      <c r="AG228" s="1">
        <f t="shared" si="84"/>
        <v>0</v>
      </c>
      <c r="AH228" s="1">
        <f t="shared" si="85"/>
        <v>1</v>
      </c>
      <c r="AI228" s="1">
        <f t="shared" si="86"/>
        <v>0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1615</v>
      </c>
      <c r="E229" s="32" t="s">
        <v>1623</v>
      </c>
      <c r="F229" s="32" t="s">
        <v>1649</v>
      </c>
      <c r="G229" s="32" t="s">
        <v>1650</v>
      </c>
      <c r="H229" s="32" t="s">
        <v>352</v>
      </c>
      <c r="I229" s="31" t="s">
        <v>1662</v>
      </c>
      <c r="J229" s="31">
        <v>1</v>
      </c>
      <c r="K229" s="33" t="s">
        <v>939</v>
      </c>
      <c r="L229" s="33" t="s">
        <v>39</v>
      </c>
      <c r="M229" s="34" t="s">
        <v>39</v>
      </c>
      <c r="N229" s="34" t="s">
        <v>1693</v>
      </c>
      <c r="O229" s="35">
        <v>1</v>
      </c>
      <c r="P229" s="35">
        <v>1</v>
      </c>
      <c r="Q229" s="32"/>
      <c r="S229" s="1">
        <f t="shared" si="71"/>
        <v>1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89</v>
      </c>
      <c r="E230" s="32" t="s">
        <v>167</v>
      </c>
      <c r="F230" s="32" t="s">
        <v>282</v>
      </c>
      <c r="G230" s="32" t="s">
        <v>229</v>
      </c>
      <c r="H230" s="32" t="s">
        <v>352</v>
      </c>
      <c r="I230" s="31" t="s">
        <v>435</v>
      </c>
      <c r="J230" s="31">
        <v>7</v>
      </c>
      <c r="K230" s="33" t="s">
        <v>713</v>
      </c>
      <c r="L230" s="33">
        <v>40</v>
      </c>
      <c r="M230" s="34" t="s">
        <v>39</v>
      </c>
      <c r="N230" s="34" t="s">
        <v>1708</v>
      </c>
      <c r="O230" s="35">
        <v>1</v>
      </c>
      <c r="P230" s="35"/>
      <c r="Q230" s="32"/>
      <c r="S230" s="1">
        <f t="shared" ref="S230:S232" si="87">IF(J230=$S$7,1,0)</f>
        <v>0</v>
      </c>
      <c r="T230" s="1">
        <f t="shared" ref="T230:T232" si="88">IF(J230=$T$7,1,0)</f>
        <v>0</v>
      </c>
      <c r="U230" s="1">
        <f t="shared" ref="U230:U232" si="89">IF(J230=$U$7,1,0)</f>
        <v>0</v>
      </c>
      <c r="V230" s="1">
        <f t="shared" ref="V230:V232" si="90">IF(J230=$V$7,1,0)</f>
        <v>0</v>
      </c>
      <c r="W230" s="1">
        <f t="shared" ref="W230:W232" si="91">IF(J230=$W$7,1,0)</f>
        <v>0</v>
      </c>
      <c r="X230" s="1">
        <f t="shared" ref="X230:X232" si="92">IF(J230=$X$7,1,0)</f>
        <v>0</v>
      </c>
      <c r="Y230" s="1">
        <f t="shared" ref="Y230:Y232" si="93">IF(J230=$Y$7,1,0)</f>
        <v>1</v>
      </c>
      <c r="Z230" s="1">
        <f t="shared" ref="Z230:Z232" si="94">IF(J230=$Z$7,1,0)</f>
        <v>0</v>
      </c>
      <c r="AA230" s="1">
        <f t="shared" ref="AA230:AA232" si="95">IF(J230=$AA$7,1,0)</f>
        <v>0</v>
      </c>
      <c r="AB230" s="1">
        <f t="shared" ref="AB230:AB232" si="96">IF(J230=$AB$7,1,0)</f>
        <v>0</v>
      </c>
      <c r="AD230" s="1">
        <f t="shared" si="81"/>
        <v>0</v>
      </c>
      <c r="AE230" s="1">
        <f t="shared" si="82"/>
        <v>1</v>
      </c>
      <c r="AF230" s="1">
        <f t="shared" si="83"/>
        <v>0</v>
      </c>
      <c r="AG230" s="1">
        <f t="shared" si="84"/>
        <v>1</v>
      </c>
      <c r="AH230" s="1">
        <f t="shared" si="85"/>
        <v>0</v>
      </c>
      <c r="AI230" s="1">
        <f t="shared" si="86"/>
        <v>1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6" t="s">
        <v>2135</v>
      </c>
      <c r="E231" s="36" t="s">
        <v>2136</v>
      </c>
      <c r="F231" s="36" t="s">
        <v>2137</v>
      </c>
      <c r="G231" s="36" t="s">
        <v>283</v>
      </c>
      <c r="H231" s="36" t="s">
        <v>352</v>
      </c>
      <c r="I231" s="37" t="s">
        <v>2138</v>
      </c>
      <c r="J231" s="31">
        <v>10</v>
      </c>
      <c r="K231" s="33" t="s">
        <v>694</v>
      </c>
      <c r="L231" s="33"/>
      <c r="M231" s="34"/>
      <c r="N231" s="34" t="s">
        <v>1708</v>
      </c>
      <c r="O231" s="35">
        <v>1</v>
      </c>
      <c r="P231" s="35"/>
      <c r="Q231" s="32"/>
      <c r="S231" s="1">
        <f t="shared" si="87"/>
        <v>0</v>
      </c>
      <c r="T231" s="1">
        <f t="shared" si="88"/>
        <v>0</v>
      </c>
      <c r="U231" s="1">
        <f t="shared" si="89"/>
        <v>0</v>
      </c>
      <c r="V231" s="1">
        <f t="shared" si="90"/>
        <v>0</v>
      </c>
      <c r="W231" s="1">
        <f t="shared" si="91"/>
        <v>0</v>
      </c>
      <c r="X231" s="1">
        <f t="shared" si="92"/>
        <v>0</v>
      </c>
      <c r="Y231" s="1">
        <f t="shared" si="93"/>
        <v>0</v>
      </c>
      <c r="Z231" s="1">
        <f t="shared" si="94"/>
        <v>0</v>
      </c>
      <c r="AA231" s="1">
        <f t="shared" si="95"/>
        <v>0</v>
      </c>
      <c r="AB231" s="1">
        <f t="shared" si="96"/>
        <v>1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1830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945</v>
      </c>
      <c r="L232" s="33" t="s">
        <v>39</v>
      </c>
      <c r="M232" s="34" t="s">
        <v>39</v>
      </c>
      <c r="N232" s="34" t="s">
        <v>1693</v>
      </c>
      <c r="O232" s="35">
        <v>1</v>
      </c>
      <c r="P232" s="35">
        <v>1</v>
      </c>
      <c r="Q232" s="32"/>
      <c r="S232" s="1">
        <f t="shared" si="87"/>
        <v>1</v>
      </c>
      <c r="T232" s="1">
        <f t="shared" si="88"/>
        <v>0</v>
      </c>
      <c r="U232" s="1">
        <f t="shared" si="89"/>
        <v>0</v>
      </c>
      <c r="V232" s="1">
        <f t="shared" si="90"/>
        <v>0</v>
      </c>
      <c r="W232" s="1">
        <f t="shared" si="91"/>
        <v>0</v>
      </c>
      <c r="X232" s="1">
        <f t="shared" si="92"/>
        <v>0</v>
      </c>
      <c r="Y232" s="1">
        <f t="shared" si="93"/>
        <v>0</v>
      </c>
      <c r="Z232" s="1">
        <f t="shared" si="94"/>
        <v>0</v>
      </c>
      <c r="AA232" s="1">
        <f t="shared" si="95"/>
        <v>0</v>
      </c>
      <c r="AB232" s="1">
        <f t="shared" si="96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943</v>
      </c>
      <c r="L233" s="33" t="s">
        <v>39</v>
      </c>
      <c r="M233" s="34" t="s">
        <v>39</v>
      </c>
      <c r="N233" s="34" t="s">
        <v>1693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1250</v>
      </c>
      <c r="E234" s="32" t="s">
        <v>166</v>
      </c>
      <c r="F234" s="32" t="s">
        <v>1126</v>
      </c>
      <c r="G234" s="32" t="s">
        <v>1316</v>
      </c>
      <c r="H234" s="32" t="s">
        <v>352</v>
      </c>
      <c r="I234" s="31" t="s">
        <v>1127</v>
      </c>
      <c r="J234" s="31">
        <v>99</v>
      </c>
      <c r="K234" s="33" t="s">
        <v>693</v>
      </c>
      <c r="L234" s="33">
        <v>45</v>
      </c>
      <c r="M234" s="34" t="s">
        <v>39</v>
      </c>
      <c r="N234" s="34" t="s">
        <v>1704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2129</v>
      </c>
      <c r="E235" s="32" t="s">
        <v>166</v>
      </c>
      <c r="F235" s="32" t="s">
        <v>1726</v>
      </c>
      <c r="G235" s="32"/>
      <c r="H235" s="32" t="s">
        <v>352</v>
      </c>
      <c r="I235" s="31" t="s">
        <v>1727</v>
      </c>
      <c r="J235" s="31"/>
      <c r="K235" s="33" t="s">
        <v>694</v>
      </c>
      <c r="L235" s="33"/>
      <c r="M235" s="34"/>
      <c r="N235" s="34" t="s">
        <v>1693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1750</v>
      </c>
      <c r="E236" s="32" t="s">
        <v>166</v>
      </c>
      <c r="F236" s="32" t="s">
        <v>1728</v>
      </c>
      <c r="G236" s="32"/>
      <c r="H236" s="32" t="s">
        <v>352</v>
      </c>
      <c r="I236" s="31" t="s">
        <v>1729</v>
      </c>
      <c r="J236" s="31"/>
      <c r="K236" s="33" t="s">
        <v>694</v>
      </c>
      <c r="L236" s="33">
        <v>30</v>
      </c>
      <c r="M236" s="34" t="s">
        <v>1730</v>
      </c>
      <c r="N236" s="34" t="s">
        <v>1708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995</v>
      </c>
      <c r="E237" s="32" t="s">
        <v>166</v>
      </c>
      <c r="F237" s="32" t="s">
        <v>996</v>
      </c>
      <c r="G237" s="32" t="s">
        <v>1084</v>
      </c>
      <c r="H237" s="32" t="s">
        <v>352</v>
      </c>
      <c r="I237" s="31" t="s">
        <v>997</v>
      </c>
      <c r="J237" s="31">
        <v>99</v>
      </c>
      <c r="K237" s="33" t="s">
        <v>945</v>
      </c>
      <c r="L237" s="33" t="s">
        <v>39</v>
      </c>
      <c r="M237" s="34" t="s">
        <v>39</v>
      </c>
      <c r="N237" s="34" t="s">
        <v>1693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693</v>
      </c>
      <c r="L238" s="33" t="s">
        <v>685</v>
      </c>
      <c r="M238" s="34" t="s">
        <v>697</v>
      </c>
      <c r="N238" s="34" t="s">
        <v>1708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1576</v>
      </c>
      <c r="E239" s="32" t="s">
        <v>1577</v>
      </c>
      <c r="F239" s="32" t="s">
        <v>1578</v>
      </c>
      <c r="G239" s="32" t="s">
        <v>191</v>
      </c>
      <c r="H239" s="32" t="s">
        <v>352</v>
      </c>
      <c r="I239" s="31" t="s">
        <v>1579</v>
      </c>
      <c r="J239" s="31">
        <v>10</v>
      </c>
      <c r="K239" s="33" t="s">
        <v>937</v>
      </c>
      <c r="L239" s="33" t="s">
        <v>678</v>
      </c>
      <c r="M239" s="34" t="s">
        <v>1580</v>
      </c>
      <c r="N239" s="34" t="s">
        <v>1704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693</v>
      </c>
      <c r="L240" s="33" t="s">
        <v>685</v>
      </c>
      <c r="M240" s="34" t="s">
        <v>689</v>
      </c>
      <c r="N240" s="34" t="s">
        <v>1709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1066</v>
      </c>
      <c r="E241" s="32" t="s">
        <v>166</v>
      </c>
      <c r="F241" s="32" t="s">
        <v>652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713</v>
      </c>
      <c r="L241" s="33" t="s">
        <v>695</v>
      </c>
      <c r="M241" s="34" t="s">
        <v>698</v>
      </c>
      <c r="N241" s="34" t="s">
        <v>1710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1204</v>
      </c>
      <c r="E242" s="32" t="s">
        <v>164</v>
      </c>
      <c r="F242" s="32" t="s">
        <v>1205</v>
      </c>
      <c r="G242" s="32" t="s">
        <v>1207</v>
      </c>
      <c r="H242" s="32" t="s">
        <v>352</v>
      </c>
      <c r="I242" s="31" t="s">
        <v>1206</v>
      </c>
      <c r="J242" s="31">
        <v>99</v>
      </c>
      <c r="K242" s="33" t="s">
        <v>713</v>
      </c>
      <c r="L242" s="33" t="s">
        <v>684</v>
      </c>
      <c r="M242" s="34" t="s">
        <v>1372</v>
      </c>
      <c r="N242" s="34" t="s">
        <v>1704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959</v>
      </c>
      <c r="E243" s="32" t="s">
        <v>164</v>
      </c>
      <c r="F243" s="32" t="s">
        <v>957</v>
      </c>
      <c r="G243" s="32" t="s">
        <v>1086</v>
      </c>
      <c r="H243" s="32" t="s">
        <v>352</v>
      </c>
      <c r="I243" s="31" t="s">
        <v>958</v>
      </c>
      <c r="J243" s="31">
        <v>1</v>
      </c>
      <c r="K243" s="33" t="s">
        <v>937</v>
      </c>
      <c r="L243" s="33" t="s">
        <v>680</v>
      </c>
      <c r="M243" s="34" t="s">
        <v>1373</v>
      </c>
      <c r="N243" s="34" t="s">
        <v>1708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693</v>
      </c>
      <c r="L244" s="33">
        <v>40</v>
      </c>
      <c r="M244" s="34" t="s">
        <v>953</v>
      </c>
      <c r="N244" s="34" t="s">
        <v>1808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1796</v>
      </c>
      <c r="E245" s="39" t="s">
        <v>1797</v>
      </c>
      <c r="F245" s="39" t="s">
        <v>1798</v>
      </c>
      <c r="G245" s="39"/>
      <c r="H245" s="39" t="s">
        <v>352</v>
      </c>
      <c r="I245" s="38" t="s">
        <v>1799</v>
      </c>
      <c r="J245" s="38"/>
      <c r="K245" s="40" t="s">
        <v>694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2045</v>
      </c>
      <c r="E246" s="32" t="s">
        <v>166</v>
      </c>
      <c r="F246" s="32" t="s">
        <v>2046</v>
      </c>
      <c r="G246" s="32"/>
      <c r="H246" s="32" t="s">
        <v>352</v>
      </c>
      <c r="I246" s="31" t="s">
        <v>2047</v>
      </c>
      <c r="J246" s="31"/>
      <c r="K246" s="33" t="s">
        <v>694</v>
      </c>
      <c r="L246" s="33"/>
      <c r="M246" s="34"/>
      <c r="N246" s="34" t="s">
        <v>1708</v>
      </c>
      <c r="O246" s="35">
        <v>1</v>
      </c>
      <c r="P246" s="35"/>
      <c r="Q246" s="32" t="s">
        <v>2048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1449</v>
      </c>
      <c r="E247" s="32" t="s">
        <v>166</v>
      </c>
      <c r="F247" s="32" t="s">
        <v>1451</v>
      </c>
      <c r="G247" s="32" t="s">
        <v>1452</v>
      </c>
      <c r="H247" s="32" t="s">
        <v>352</v>
      </c>
      <c r="I247" s="31" t="s">
        <v>1450</v>
      </c>
      <c r="J247" s="31">
        <v>99</v>
      </c>
      <c r="K247" s="33" t="s">
        <v>694</v>
      </c>
      <c r="L247" s="33">
        <v>62</v>
      </c>
      <c r="M247" s="34"/>
      <c r="N247" s="34" t="s">
        <v>1709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1171</v>
      </c>
      <c r="E248" s="32" t="s">
        <v>164</v>
      </c>
      <c r="F248" s="32" t="s">
        <v>1637</v>
      </c>
      <c r="G248" s="32" t="s">
        <v>212</v>
      </c>
      <c r="H248" s="32" t="s">
        <v>352</v>
      </c>
      <c r="I248" s="31" t="s">
        <v>1172</v>
      </c>
      <c r="J248" s="31">
        <v>1</v>
      </c>
      <c r="K248" s="33" t="s">
        <v>943</v>
      </c>
      <c r="L248" s="33" t="s">
        <v>678</v>
      </c>
      <c r="M248" s="34" t="s">
        <v>1539</v>
      </c>
      <c r="N248" s="34" t="s">
        <v>1715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2025</v>
      </c>
      <c r="E249" s="32" t="s">
        <v>2026</v>
      </c>
      <c r="F249" s="32" t="s">
        <v>2027</v>
      </c>
      <c r="G249" s="32" t="s">
        <v>207</v>
      </c>
      <c r="H249" s="32" t="s">
        <v>352</v>
      </c>
      <c r="I249" s="31" t="s">
        <v>2028</v>
      </c>
      <c r="J249" s="31">
        <v>3</v>
      </c>
      <c r="K249" s="33" t="s">
        <v>694</v>
      </c>
      <c r="L249" s="33">
        <v>30</v>
      </c>
      <c r="M249" s="34" t="s">
        <v>2029</v>
      </c>
      <c r="N249" s="34" t="s">
        <v>1808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1099</v>
      </c>
      <c r="J250" s="31">
        <v>10</v>
      </c>
      <c r="K250" s="33" t="s">
        <v>937</v>
      </c>
      <c r="L250" s="33" t="s">
        <v>685</v>
      </c>
      <c r="M250" s="34" t="s">
        <v>696</v>
      </c>
      <c r="N250" s="34" t="s">
        <v>1709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595</v>
      </c>
      <c r="E251" s="32" t="s">
        <v>164</v>
      </c>
      <c r="F251" s="32" t="s">
        <v>597</v>
      </c>
      <c r="G251" s="32" t="s">
        <v>39</v>
      </c>
      <c r="H251" s="32" t="s">
        <v>352</v>
      </c>
      <c r="I251" s="31" t="s">
        <v>596</v>
      </c>
      <c r="J251" s="31">
        <v>99</v>
      </c>
      <c r="K251" s="33" t="s">
        <v>937</v>
      </c>
      <c r="L251" s="33" t="s">
        <v>684</v>
      </c>
      <c r="M251" s="34" t="s">
        <v>951</v>
      </c>
      <c r="N251" s="34" t="s">
        <v>1709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1140</v>
      </c>
      <c r="E252" s="32" t="s">
        <v>164</v>
      </c>
      <c r="F252" s="32" t="s">
        <v>1142</v>
      </c>
      <c r="G252" s="32" t="s">
        <v>219</v>
      </c>
      <c r="H252" s="32" t="s">
        <v>352</v>
      </c>
      <c r="I252" s="31" t="s">
        <v>1141</v>
      </c>
      <c r="J252" s="31">
        <v>8</v>
      </c>
      <c r="K252" s="33" t="s">
        <v>693</v>
      </c>
      <c r="L252" s="33" t="s">
        <v>1679</v>
      </c>
      <c r="M252" s="34" t="s">
        <v>1374</v>
      </c>
      <c r="N252" s="34" t="s">
        <v>1708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558</v>
      </c>
      <c r="E253" s="32" t="s">
        <v>166</v>
      </c>
      <c r="F253" s="32" t="s">
        <v>653</v>
      </c>
      <c r="G253" s="32" t="s">
        <v>201</v>
      </c>
      <c r="H253" s="32" t="s">
        <v>352</v>
      </c>
      <c r="I253" s="31" t="s">
        <v>575</v>
      </c>
      <c r="J253" s="31">
        <v>10</v>
      </c>
      <c r="K253" s="33" t="s">
        <v>943</v>
      </c>
      <c r="L253" s="33" t="s">
        <v>684</v>
      </c>
      <c r="M253" s="34" t="s">
        <v>696</v>
      </c>
      <c r="N253" s="34" t="s">
        <v>1708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880</v>
      </c>
      <c r="E254" s="32" t="s">
        <v>166</v>
      </c>
      <c r="F254" s="32" t="s">
        <v>920</v>
      </c>
      <c r="G254" s="32" t="s">
        <v>921</v>
      </c>
      <c r="H254" s="32" t="s">
        <v>352</v>
      </c>
      <c r="I254" s="31" t="s">
        <v>934</v>
      </c>
      <c r="J254" s="31">
        <v>99</v>
      </c>
      <c r="K254" s="33" t="s">
        <v>693</v>
      </c>
      <c r="L254" s="33" t="s">
        <v>680</v>
      </c>
      <c r="M254" s="34" t="s">
        <v>1375</v>
      </c>
      <c r="N254" s="34" t="s">
        <v>1721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654</v>
      </c>
      <c r="G255" s="32" t="s">
        <v>656</v>
      </c>
      <c r="H255" s="32" t="s">
        <v>352</v>
      </c>
      <c r="I255" s="31" t="s">
        <v>444</v>
      </c>
      <c r="J255" s="31">
        <v>99</v>
      </c>
      <c r="K255" s="33" t="s">
        <v>713</v>
      </c>
      <c r="L255" s="33" t="s">
        <v>687</v>
      </c>
      <c r="M255" s="34" t="s">
        <v>698</v>
      </c>
      <c r="N255" s="34" t="s">
        <v>1709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655</v>
      </c>
      <c r="G256" s="32" t="s">
        <v>656</v>
      </c>
      <c r="H256" s="32" t="s">
        <v>352</v>
      </c>
      <c r="I256" s="31" t="s">
        <v>623</v>
      </c>
      <c r="J256" s="31">
        <v>99</v>
      </c>
      <c r="K256" s="33" t="s">
        <v>935</v>
      </c>
      <c r="L256" s="33" t="s">
        <v>684</v>
      </c>
      <c r="M256" s="34" t="s">
        <v>1376</v>
      </c>
      <c r="N256" s="34" t="s">
        <v>1693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642</v>
      </c>
      <c r="E257" s="32" t="s">
        <v>29</v>
      </c>
      <c r="F257" s="32" t="s">
        <v>618</v>
      </c>
      <c r="G257" s="32" t="s">
        <v>231</v>
      </c>
      <c r="H257" s="32" t="s">
        <v>352</v>
      </c>
      <c r="I257" s="31" t="s">
        <v>619</v>
      </c>
      <c r="J257" s="31">
        <v>99</v>
      </c>
      <c r="K257" s="33" t="s">
        <v>704</v>
      </c>
      <c r="L257" s="33" t="s">
        <v>687</v>
      </c>
      <c r="M257" s="34" t="s">
        <v>954</v>
      </c>
      <c r="N257" s="34" t="s">
        <v>1808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964</v>
      </c>
      <c r="E258" s="16" t="s">
        <v>29</v>
      </c>
      <c r="F258" s="16" t="s">
        <v>965</v>
      </c>
      <c r="G258" s="16" t="s">
        <v>966</v>
      </c>
      <c r="H258" s="16" t="s">
        <v>352</v>
      </c>
      <c r="I258" s="15" t="s">
        <v>963</v>
      </c>
      <c r="J258" s="15">
        <v>99</v>
      </c>
      <c r="K258" s="10" t="s">
        <v>694</v>
      </c>
      <c r="L258" s="10">
        <v>20</v>
      </c>
      <c r="M258" s="19" t="s">
        <v>954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2" t="s">
        <v>583</v>
      </c>
      <c r="E259" s="32" t="s">
        <v>29</v>
      </c>
      <c r="F259" s="32" t="s">
        <v>584</v>
      </c>
      <c r="G259" s="32" t="s">
        <v>1054</v>
      </c>
      <c r="H259" s="32" t="s">
        <v>352</v>
      </c>
      <c r="I259" s="31" t="s">
        <v>585</v>
      </c>
      <c r="J259" s="31">
        <v>99</v>
      </c>
      <c r="K259" s="33" t="s">
        <v>694</v>
      </c>
      <c r="L259" s="33">
        <v>35</v>
      </c>
      <c r="M259" s="34" t="s">
        <v>1376</v>
      </c>
      <c r="N259" s="34" t="s">
        <v>1693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1594</v>
      </c>
      <c r="E260" s="32" t="s">
        <v>29</v>
      </c>
      <c r="F260" s="32" t="s">
        <v>1648</v>
      </c>
      <c r="G260" s="32" t="s">
        <v>310</v>
      </c>
      <c r="H260" s="32" t="s">
        <v>352</v>
      </c>
      <c r="I260" s="31" t="s">
        <v>1595</v>
      </c>
      <c r="J260" s="31"/>
      <c r="K260" s="33" t="s">
        <v>704</v>
      </c>
      <c r="L260" s="33">
        <v>45</v>
      </c>
      <c r="M260" s="34" t="s">
        <v>1759</v>
      </c>
      <c r="N260" s="34" t="s">
        <v>1699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844</v>
      </c>
      <c r="E261" s="32" t="s">
        <v>29</v>
      </c>
      <c r="F261" s="32" t="s">
        <v>845</v>
      </c>
      <c r="G261" s="32" t="s">
        <v>201</v>
      </c>
      <c r="H261" s="32" t="s">
        <v>352</v>
      </c>
      <c r="I261" s="31" t="s">
        <v>846</v>
      </c>
      <c r="J261" s="31">
        <v>10</v>
      </c>
      <c r="K261" s="33" t="s">
        <v>704</v>
      </c>
      <c r="L261" s="33" t="s">
        <v>684</v>
      </c>
      <c r="M261" s="34" t="s">
        <v>1376</v>
      </c>
      <c r="N261" s="34" t="s">
        <v>1715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704</v>
      </c>
      <c r="L262" s="33" t="s">
        <v>687</v>
      </c>
      <c r="M262" s="34" t="s">
        <v>954</v>
      </c>
      <c r="N262" s="34" t="s">
        <v>1693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1568</v>
      </c>
      <c r="G263" s="32" t="s">
        <v>39</v>
      </c>
      <c r="H263" s="32" t="s">
        <v>352</v>
      </c>
      <c r="I263" s="31" t="s">
        <v>1569</v>
      </c>
      <c r="J263" s="31">
        <v>99</v>
      </c>
      <c r="K263" s="33" t="s">
        <v>704</v>
      </c>
      <c r="L263" s="33" t="s">
        <v>687</v>
      </c>
      <c r="M263" s="34" t="s">
        <v>954</v>
      </c>
      <c r="N263" s="34" t="s">
        <v>1693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1453</v>
      </c>
      <c r="E264" s="32" t="s">
        <v>29</v>
      </c>
      <c r="F264" s="32" t="s">
        <v>985</v>
      </c>
      <c r="G264" s="32" t="s">
        <v>1083</v>
      </c>
      <c r="H264" s="32" t="s">
        <v>352</v>
      </c>
      <c r="I264" s="31" t="s">
        <v>1091</v>
      </c>
      <c r="J264" s="31">
        <v>10</v>
      </c>
      <c r="K264" s="33" t="s">
        <v>704</v>
      </c>
      <c r="L264" s="33" t="s">
        <v>685</v>
      </c>
      <c r="M264" s="34" t="s">
        <v>954</v>
      </c>
      <c r="N264" s="34" t="s">
        <v>1704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1454</v>
      </c>
      <c r="E265" s="32" t="s">
        <v>29</v>
      </c>
      <c r="F265" s="36" t="s">
        <v>983</v>
      </c>
      <c r="G265" s="36" t="s">
        <v>239</v>
      </c>
      <c r="H265" s="36" t="s">
        <v>352</v>
      </c>
      <c r="I265" s="37" t="s">
        <v>984</v>
      </c>
      <c r="J265" s="31">
        <v>1</v>
      </c>
      <c r="K265" s="33" t="s">
        <v>942</v>
      </c>
      <c r="L265" s="33" t="s">
        <v>685</v>
      </c>
      <c r="M265" s="34" t="s">
        <v>954</v>
      </c>
      <c r="N265" s="34" t="s">
        <v>1760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1454</v>
      </c>
      <c r="E266" s="32" t="s">
        <v>29</v>
      </c>
      <c r="F266" s="36" t="s">
        <v>2130</v>
      </c>
      <c r="G266" s="36" t="s">
        <v>219</v>
      </c>
      <c r="H266" s="36" t="s">
        <v>352</v>
      </c>
      <c r="I266" s="37" t="s">
        <v>2131</v>
      </c>
      <c r="J266" s="31">
        <v>8</v>
      </c>
      <c r="K266" s="33" t="s">
        <v>942</v>
      </c>
      <c r="L266" s="33" t="s">
        <v>685</v>
      </c>
      <c r="M266" s="34" t="s">
        <v>954</v>
      </c>
      <c r="N266" s="34" t="s">
        <v>1760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881</v>
      </c>
      <c r="E267" s="20" t="s">
        <v>29</v>
      </c>
      <c r="F267" s="20" t="s">
        <v>882</v>
      </c>
      <c r="G267" s="16" t="s">
        <v>39</v>
      </c>
      <c r="H267" s="20" t="s">
        <v>353</v>
      </c>
      <c r="I267" s="21" t="s">
        <v>883</v>
      </c>
      <c r="J267" s="15">
        <v>11</v>
      </c>
      <c r="K267" s="10" t="s">
        <v>694</v>
      </c>
      <c r="L267" s="10">
        <v>35</v>
      </c>
      <c r="M267" s="19" t="s">
        <v>1376</v>
      </c>
      <c r="N267" s="17"/>
      <c r="Q267" s="16" t="s">
        <v>1861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1065</v>
      </c>
      <c r="E268" s="32" t="s">
        <v>29</v>
      </c>
      <c r="F268" s="36" t="s">
        <v>967</v>
      </c>
      <c r="G268" s="36" t="s">
        <v>202</v>
      </c>
      <c r="H268" s="36" t="s">
        <v>352</v>
      </c>
      <c r="I268" s="37" t="s">
        <v>968</v>
      </c>
      <c r="J268" s="31">
        <v>99</v>
      </c>
      <c r="K268" s="33" t="s">
        <v>704</v>
      </c>
      <c r="L268" s="33" t="s">
        <v>685</v>
      </c>
      <c r="M268" s="34" t="s">
        <v>1411</v>
      </c>
      <c r="N268" s="34" t="s">
        <v>1693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741</v>
      </c>
      <c r="E269" s="16" t="s">
        <v>29</v>
      </c>
      <c r="F269" s="16" t="s">
        <v>742</v>
      </c>
      <c r="G269" s="16" t="s">
        <v>743</v>
      </c>
      <c r="H269" s="16" t="s">
        <v>352</v>
      </c>
      <c r="I269" s="15" t="s">
        <v>744</v>
      </c>
      <c r="J269" s="15">
        <v>99</v>
      </c>
      <c r="K269" s="10" t="s">
        <v>694</v>
      </c>
      <c r="L269" s="10">
        <v>20</v>
      </c>
      <c r="M269" s="19" t="s">
        <v>1101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813</v>
      </c>
      <c r="E270" s="32" t="s">
        <v>29</v>
      </c>
      <c r="F270" s="36" t="s">
        <v>814</v>
      </c>
      <c r="G270" s="36" t="s">
        <v>911</v>
      </c>
      <c r="H270" s="36" t="s">
        <v>352</v>
      </c>
      <c r="I270" s="37" t="s">
        <v>815</v>
      </c>
      <c r="J270" s="31">
        <v>99</v>
      </c>
      <c r="K270" s="33" t="s">
        <v>936</v>
      </c>
      <c r="L270" s="33" t="s">
        <v>685</v>
      </c>
      <c r="M270" s="34" t="s">
        <v>954</v>
      </c>
      <c r="N270" s="34" t="s">
        <v>1784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1686</v>
      </c>
      <c r="E271" s="32" t="s">
        <v>29</v>
      </c>
      <c r="F271" s="36" t="s">
        <v>1687</v>
      </c>
      <c r="G271" s="36" t="s">
        <v>248</v>
      </c>
      <c r="H271" s="36" t="s">
        <v>352</v>
      </c>
      <c r="I271" s="37" t="s">
        <v>1688</v>
      </c>
      <c r="J271" s="31"/>
      <c r="K271" s="33" t="s">
        <v>694</v>
      </c>
      <c r="L271" s="33"/>
      <c r="M271" s="34"/>
      <c r="N271" s="34" t="s">
        <v>1693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884</v>
      </c>
      <c r="E272" s="32" t="s">
        <v>29</v>
      </c>
      <c r="F272" s="32" t="s">
        <v>885</v>
      </c>
      <c r="G272" s="32" t="s">
        <v>227</v>
      </c>
      <c r="H272" s="32" t="s">
        <v>352</v>
      </c>
      <c r="I272" s="31" t="s">
        <v>886</v>
      </c>
      <c r="J272" s="31">
        <v>99</v>
      </c>
      <c r="K272" s="33" t="s">
        <v>704</v>
      </c>
      <c r="L272" s="33" t="s">
        <v>685</v>
      </c>
      <c r="M272" s="34" t="s">
        <v>1377</v>
      </c>
      <c r="N272" s="34" t="s">
        <v>1708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925</v>
      </c>
      <c r="J273" s="31">
        <v>99</v>
      </c>
      <c r="K273" s="33" t="s">
        <v>936</v>
      </c>
      <c r="L273" s="33" t="s">
        <v>685</v>
      </c>
      <c r="M273" s="34" t="s">
        <v>954</v>
      </c>
      <c r="N273" s="34" t="s">
        <v>1808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1603</v>
      </c>
      <c r="E274" s="32" t="s">
        <v>29</v>
      </c>
      <c r="F274" s="36" t="s">
        <v>1502</v>
      </c>
      <c r="G274" s="36" t="s">
        <v>39</v>
      </c>
      <c r="H274" s="36" t="s">
        <v>869</v>
      </c>
      <c r="I274" s="37" t="s">
        <v>1503</v>
      </c>
      <c r="J274" s="31">
        <v>17</v>
      </c>
      <c r="K274" s="33" t="s">
        <v>704</v>
      </c>
      <c r="L274" s="33" t="s">
        <v>688</v>
      </c>
      <c r="M274" s="34" t="s">
        <v>1426</v>
      </c>
      <c r="N274" s="34" t="s">
        <v>1693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1423</v>
      </c>
      <c r="E275" s="32" t="s">
        <v>29</v>
      </c>
      <c r="F275" s="32" t="s">
        <v>1424</v>
      </c>
      <c r="G275" s="32" t="s">
        <v>319</v>
      </c>
      <c r="H275" s="32" t="s">
        <v>352</v>
      </c>
      <c r="I275" s="31" t="s">
        <v>1425</v>
      </c>
      <c r="J275" s="31">
        <v>99</v>
      </c>
      <c r="K275" s="33" t="s">
        <v>694</v>
      </c>
      <c r="L275" s="33">
        <v>30</v>
      </c>
      <c r="M275" s="34" t="s">
        <v>1426</v>
      </c>
      <c r="N275" s="34" t="s">
        <v>1784</v>
      </c>
      <c r="O275" s="35">
        <v>1</v>
      </c>
      <c r="P275" s="35"/>
      <c r="Q275" s="32"/>
      <c r="S275" s="1">
        <f t="shared" ref="S275:S338" si="97">IF(J275=$S$7,1,0)</f>
        <v>0</v>
      </c>
      <c r="T275" s="1">
        <f t="shared" ref="T275:T338" si="98">IF(J275=$T$7,1,0)</f>
        <v>0</v>
      </c>
      <c r="U275" s="1">
        <f t="shared" ref="U275:U338" si="99">IF(J275=$U$7,1,0)</f>
        <v>0</v>
      </c>
      <c r="V275" s="1">
        <f t="shared" ref="V275:V338" si="100">IF(J275=$V$7,1,0)</f>
        <v>0</v>
      </c>
      <c r="W275" s="1">
        <f t="shared" ref="W275:W338" si="101">IF(J275=$W$7,1,0)</f>
        <v>0</v>
      </c>
      <c r="X275" s="1">
        <f t="shared" ref="X275:X338" si="102">IF(J275=$X$7,1,0)</f>
        <v>0</v>
      </c>
      <c r="Y275" s="1">
        <f t="shared" ref="Y275:Y338" si="103">IF(J275=$Y$7,1,0)</f>
        <v>0</v>
      </c>
      <c r="Z275" s="1">
        <f t="shared" ref="Z275:Z338" si="104">IF(J275=$Z$7,1,0)</f>
        <v>0</v>
      </c>
      <c r="AA275" s="1">
        <f t="shared" ref="AA275:AA338" si="105">IF(J275=$AA$7,1,0)</f>
        <v>0</v>
      </c>
      <c r="AB275" s="1">
        <f t="shared" ref="AB275:AB338" si="106">IF(J275=$AB$7,1,0)</f>
        <v>0</v>
      </c>
      <c r="AD275" s="1">
        <f t="shared" ref="AD275:AD338" si="107">+O275*P275</f>
        <v>0</v>
      </c>
      <c r="AE275" s="1">
        <f t="shared" ref="AE275:AE338" si="10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831</v>
      </c>
      <c r="E276" s="32" t="s">
        <v>29</v>
      </c>
      <c r="F276" s="36" t="s">
        <v>832</v>
      </c>
      <c r="G276" s="36" t="s">
        <v>221</v>
      </c>
      <c r="H276" s="36" t="s">
        <v>352</v>
      </c>
      <c r="I276" s="37" t="s">
        <v>833</v>
      </c>
      <c r="J276" s="31">
        <v>99</v>
      </c>
      <c r="K276" s="33" t="s">
        <v>936</v>
      </c>
      <c r="L276" s="33" t="s">
        <v>685</v>
      </c>
      <c r="M276" s="34" t="s">
        <v>954</v>
      </c>
      <c r="N276" s="34" t="s">
        <v>1808</v>
      </c>
      <c r="O276" s="35">
        <v>1</v>
      </c>
      <c r="P276" s="35"/>
      <c r="Q276" s="36"/>
      <c r="S276" s="1">
        <f t="shared" si="97"/>
        <v>0</v>
      </c>
      <c r="T276" s="1">
        <f t="shared" si="98"/>
        <v>0</v>
      </c>
      <c r="U276" s="1">
        <f t="shared" si="99"/>
        <v>0</v>
      </c>
      <c r="V276" s="1">
        <f t="shared" si="100"/>
        <v>0</v>
      </c>
      <c r="W276" s="1">
        <f t="shared" si="101"/>
        <v>0</v>
      </c>
      <c r="X276" s="1">
        <f t="shared" si="102"/>
        <v>0</v>
      </c>
      <c r="Y276" s="1">
        <f t="shared" si="103"/>
        <v>0</v>
      </c>
      <c r="Z276" s="1">
        <f t="shared" si="104"/>
        <v>0</v>
      </c>
      <c r="AA276" s="1">
        <f t="shared" si="105"/>
        <v>0</v>
      </c>
      <c r="AB276" s="1">
        <f t="shared" si="106"/>
        <v>0</v>
      </c>
      <c r="AD276" s="1">
        <f t="shared" si="107"/>
        <v>0</v>
      </c>
      <c r="AE276" s="1">
        <f t="shared" si="108"/>
        <v>1</v>
      </c>
      <c r="AF276" s="1">
        <f t="shared" ref="AF276:AF339" si="109">+O276*P276*(1-A276)</f>
        <v>0</v>
      </c>
      <c r="AG276" s="1">
        <f t="shared" ref="AG276:AG339" si="110">O276*(1-P276)*(1-A276)</f>
        <v>1</v>
      </c>
      <c r="AH276" s="1">
        <f t="shared" ref="AH276:AH339" si="111">+P276*(1-A276)</f>
        <v>0</v>
      </c>
      <c r="AI276" s="1">
        <f t="shared" ref="AI276:AI339" si="11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831</v>
      </c>
      <c r="E277" s="32" t="s">
        <v>29</v>
      </c>
      <c r="F277" s="36" t="s">
        <v>913</v>
      </c>
      <c r="G277" s="36" t="s">
        <v>278</v>
      </c>
      <c r="H277" s="36" t="s">
        <v>352</v>
      </c>
      <c r="I277" s="37" t="s">
        <v>834</v>
      </c>
      <c r="J277" s="31">
        <v>99</v>
      </c>
      <c r="K277" s="33" t="s">
        <v>936</v>
      </c>
      <c r="L277" s="33" t="s">
        <v>685</v>
      </c>
      <c r="M277" s="34" t="s">
        <v>954</v>
      </c>
      <c r="N277" s="34" t="s">
        <v>1808</v>
      </c>
      <c r="O277" s="35">
        <v>1</v>
      </c>
      <c r="P277" s="35"/>
      <c r="Q277" s="36"/>
      <c r="S277" s="1">
        <f t="shared" si="97"/>
        <v>0</v>
      </c>
      <c r="T277" s="1">
        <f t="shared" si="98"/>
        <v>0</v>
      </c>
      <c r="U277" s="1">
        <f t="shared" si="99"/>
        <v>0</v>
      </c>
      <c r="V277" s="1">
        <f t="shared" si="100"/>
        <v>0</v>
      </c>
      <c r="W277" s="1">
        <f t="shared" si="101"/>
        <v>0</v>
      </c>
      <c r="X277" s="1">
        <f t="shared" si="102"/>
        <v>0</v>
      </c>
      <c r="Y277" s="1">
        <f t="shared" si="103"/>
        <v>0</v>
      </c>
      <c r="Z277" s="1">
        <f t="shared" si="104"/>
        <v>0</v>
      </c>
      <c r="AA277" s="1">
        <f t="shared" si="105"/>
        <v>0</v>
      </c>
      <c r="AB277" s="1">
        <f t="shared" si="106"/>
        <v>0</v>
      </c>
      <c r="AD277" s="1">
        <f t="shared" si="107"/>
        <v>0</v>
      </c>
      <c r="AE277" s="1">
        <f t="shared" si="108"/>
        <v>1</v>
      </c>
      <c r="AF277" s="1">
        <f t="shared" si="109"/>
        <v>0</v>
      </c>
      <c r="AG277" s="1">
        <f t="shared" si="110"/>
        <v>0</v>
      </c>
      <c r="AH277" s="1">
        <f t="shared" si="111"/>
        <v>0</v>
      </c>
      <c r="AI277" s="1">
        <f t="shared" si="11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1191</v>
      </c>
      <c r="E278" s="32" t="s">
        <v>29</v>
      </c>
      <c r="F278" s="32" t="s">
        <v>1192</v>
      </c>
      <c r="G278" s="32" t="s">
        <v>237</v>
      </c>
      <c r="H278" s="32" t="s">
        <v>352</v>
      </c>
      <c r="I278" s="31" t="s">
        <v>1333</v>
      </c>
      <c r="J278" s="31">
        <v>99</v>
      </c>
      <c r="K278" s="33" t="s">
        <v>704</v>
      </c>
      <c r="L278" s="33" t="s">
        <v>685</v>
      </c>
      <c r="M278" s="34" t="s">
        <v>1378</v>
      </c>
      <c r="N278" s="34" t="s">
        <v>1715</v>
      </c>
      <c r="O278" s="35">
        <v>1</v>
      </c>
      <c r="P278" s="35"/>
      <c r="Q278" s="32"/>
      <c r="S278" s="1">
        <f t="shared" si="97"/>
        <v>0</v>
      </c>
      <c r="T278" s="1">
        <f t="shared" si="98"/>
        <v>0</v>
      </c>
      <c r="U278" s="1">
        <f t="shared" si="99"/>
        <v>0</v>
      </c>
      <c r="V278" s="1">
        <f t="shared" si="100"/>
        <v>0</v>
      </c>
      <c r="W278" s="1">
        <f t="shared" si="101"/>
        <v>0</v>
      </c>
      <c r="X278" s="1">
        <f t="shared" si="102"/>
        <v>0</v>
      </c>
      <c r="Y278" s="1">
        <f t="shared" si="103"/>
        <v>0</v>
      </c>
      <c r="Z278" s="1">
        <f t="shared" si="104"/>
        <v>0</v>
      </c>
      <c r="AA278" s="1">
        <f t="shared" si="105"/>
        <v>0</v>
      </c>
      <c r="AB278" s="1">
        <f t="shared" si="106"/>
        <v>0</v>
      </c>
      <c r="AD278" s="1">
        <f t="shared" si="107"/>
        <v>0</v>
      </c>
      <c r="AE278" s="1">
        <f t="shared" si="108"/>
        <v>1</v>
      </c>
      <c r="AF278" s="1">
        <f t="shared" si="109"/>
        <v>0</v>
      </c>
      <c r="AG278" s="1">
        <f t="shared" si="110"/>
        <v>1</v>
      </c>
      <c r="AH278" s="1">
        <f t="shared" si="111"/>
        <v>0</v>
      </c>
      <c r="AI278" s="1">
        <f t="shared" si="11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1208</v>
      </c>
      <c r="E279" s="32" t="s">
        <v>29</v>
      </c>
      <c r="F279" s="36" t="s">
        <v>1209</v>
      </c>
      <c r="G279" s="36" t="s">
        <v>237</v>
      </c>
      <c r="H279" s="36" t="s">
        <v>352</v>
      </c>
      <c r="I279" s="37" t="s">
        <v>1210</v>
      </c>
      <c r="J279" s="31">
        <v>99</v>
      </c>
      <c r="K279" s="33" t="s">
        <v>704</v>
      </c>
      <c r="L279" s="33" t="s">
        <v>684</v>
      </c>
      <c r="M279" s="34" t="s">
        <v>1378</v>
      </c>
      <c r="N279" s="34" t="s">
        <v>1784</v>
      </c>
      <c r="O279" s="35">
        <v>1</v>
      </c>
      <c r="P279" s="35"/>
      <c r="Q279" s="36"/>
      <c r="S279" s="1">
        <f t="shared" si="97"/>
        <v>0</v>
      </c>
      <c r="T279" s="1">
        <f t="shared" si="98"/>
        <v>0</v>
      </c>
      <c r="U279" s="1">
        <f t="shared" si="99"/>
        <v>0</v>
      </c>
      <c r="V279" s="1">
        <f t="shared" si="100"/>
        <v>0</v>
      </c>
      <c r="W279" s="1">
        <f t="shared" si="101"/>
        <v>0</v>
      </c>
      <c r="X279" s="1">
        <f t="shared" si="102"/>
        <v>0</v>
      </c>
      <c r="Y279" s="1">
        <f t="shared" si="103"/>
        <v>0</v>
      </c>
      <c r="Z279" s="1">
        <f t="shared" si="104"/>
        <v>0</v>
      </c>
      <c r="AA279" s="1">
        <f t="shared" si="105"/>
        <v>0</v>
      </c>
      <c r="AB279" s="1">
        <f t="shared" si="106"/>
        <v>0</v>
      </c>
      <c r="AD279" s="1">
        <f t="shared" si="107"/>
        <v>0</v>
      </c>
      <c r="AE279" s="1">
        <f t="shared" si="108"/>
        <v>1</v>
      </c>
      <c r="AF279" s="1">
        <f t="shared" si="109"/>
        <v>0</v>
      </c>
      <c r="AG279" s="1">
        <f t="shared" si="110"/>
        <v>1</v>
      </c>
      <c r="AH279" s="1">
        <f t="shared" si="111"/>
        <v>0</v>
      </c>
      <c r="AI279" s="1">
        <f t="shared" si="11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704</v>
      </c>
      <c r="L280" s="33" t="s">
        <v>685</v>
      </c>
      <c r="M280" s="34" t="s">
        <v>1379</v>
      </c>
      <c r="N280" s="34" t="s">
        <v>1710</v>
      </c>
      <c r="O280" s="35">
        <v>1</v>
      </c>
      <c r="P280" s="35"/>
      <c r="Q280" s="36"/>
      <c r="S280" s="1">
        <f t="shared" si="97"/>
        <v>0</v>
      </c>
      <c r="T280" s="1">
        <f t="shared" si="98"/>
        <v>0</v>
      </c>
      <c r="U280" s="1">
        <f t="shared" si="99"/>
        <v>0</v>
      </c>
      <c r="V280" s="1">
        <f t="shared" si="100"/>
        <v>0</v>
      </c>
      <c r="W280" s="1">
        <f t="shared" si="101"/>
        <v>0</v>
      </c>
      <c r="X280" s="1">
        <f t="shared" si="102"/>
        <v>0</v>
      </c>
      <c r="Y280" s="1">
        <f t="shared" si="103"/>
        <v>0</v>
      </c>
      <c r="Z280" s="1">
        <f t="shared" si="104"/>
        <v>0</v>
      </c>
      <c r="AA280" s="1">
        <f t="shared" si="105"/>
        <v>0</v>
      </c>
      <c r="AB280" s="1">
        <f t="shared" si="106"/>
        <v>0</v>
      </c>
      <c r="AD280" s="1">
        <f t="shared" si="107"/>
        <v>0</v>
      </c>
      <c r="AE280" s="1">
        <f t="shared" si="108"/>
        <v>1</v>
      </c>
      <c r="AF280" s="1">
        <f t="shared" si="109"/>
        <v>0</v>
      </c>
      <c r="AG280" s="1">
        <f t="shared" si="110"/>
        <v>1</v>
      </c>
      <c r="AH280" s="1">
        <f t="shared" si="111"/>
        <v>0</v>
      </c>
      <c r="AI280" s="1">
        <f t="shared" si="11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855</v>
      </c>
      <c r="E281" s="32" t="s">
        <v>29</v>
      </c>
      <c r="F281" s="32" t="s">
        <v>856</v>
      </c>
      <c r="G281" s="32" t="s">
        <v>193</v>
      </c>
      <c r="H281" s="32" t="s">
        <v>352</v>
      </c>
      <c r="I281" s="31" t="s">
        <v>857</v>
      </c>
      <c r="J281" s="31">
        <v>9</v>
      </c>
      <c r="K281" s="33" t="s">
        <v>704</v>
      </c>
      <c r="L281" s="33" t="s">
        <v>687</v>
      </c>
      <c r="M281" s="34" t="s">
        <v>699</v>
      </c>
      <c r="N281" s="34" t="s">
        <v>1704</v>
      </c>
      <c r="O281" s="35">
        <v>1</v>
      </c>
      <c r="P281" s="35"/>
      <c r="Q281" s="32"/>
      <c r="S281" s="1">
        <f t="shared" si="97"/>
        <v>0</v>
      </c>
      <c r="T281" s="1">
        <f t="shared" si="98"/>
        <v>0</v>
      </c>
      <c r="U281" s="1">
        <f t="shared" si="99"/>
        <v>0</v>
      </c>
      <c r="V281" s="1">
        <f t="shared" si="100"/>
        <v>0</v>
      </c>
      <c r="W281" s="1">
        <f t="shared" si="101"/>
        <v>0</v>
      </c>
      <c r="X281" s="1">
        <f t="shared" si="102"/>
        <v>0</v>
      </c>
      <c r="Y281" s="1">
        <f t="shared" si="103"/>
        <v>0</v>
      </c>
      <c r="Z281" s="1">
        <f t="shared" si="104"/>
        <v>0</v>
      </c>
      <c r="AA281" s="1">
        <f t="shared" si="105"/>
        <v>1</v>
      </c>
      <c r="AB281" s="1">
        <f t="shared" si="106"/>
        <v>0</v>
      </c>
      <c r="AD281" s="1">
        <f t="shared" si="107"/>
        <v>0</v>
      </c>
      <c r="AE281" s="1">
        <f t="shared" si="108"/>
        <v>1</v>
      </c>
      <c r="AF281" s="1">
        <f t="shared" si="109"/>
        <v>0</v>
      </c>
      <c r="AG281" s="1">
        <f t="shared" si="110"/>
        <v>1</v>
      </c>
      <c r="AH281" s="1">
        <f t="shared" si="111"/>
        <v>0</v>
      </c>
      <c r="AI281" s="1">
        <f t="shared" si="11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855</v>
      </c>
      <c r="E282" s="32" t="s">
        <v>29</v>
      </c>
      <c r="F282" s="32" t="s">
        <v>1049</v>
      </c>
      <c r="G282" s="32" t="s">
        <v>319</v>
      </c>
      <c r="H282" s="32" t="s">
        <v>352</v>
      </c>
      <c r="I282" s="31" t="s">
        <v>1050</v>
      </c>
      <c r="J282" s="31">
        <v>99</v>
      </c>
      <c r="K282" s="33" t="s">
        <v>704</v>
      </c>
      <c r="L282" s="33" t="s">
        <v>687</v>
      </c>
      <c r="M282" s="34" t="s">
        <v>699</v>
      </c>
      <c r="N282" s="34" t="s">
        <v>1704</v>
      </c>
      <c r="O282" s="35">
        <v>1</v>
      </c>
      <c r="P282" s="35"/>
      <c r="Q282" s="32"/>
      <c r="S282" s="1">
        <f t="shared" si="97"/>
        <v>0</v>
      </c>
      <c r="T282" s="1">
        <f t="shared" si="98"/>
        <v>0</v>
      </c>
      <c r="U282" s="1">
        <f t="shared" si="99"/>
        <v>0</v>
      </c>
      <c r="V282" s="1">
        <f t="shared" si="100"/>
        <v>0</v>
      </c>
      <c r="W282" s="1">
        <f t="shared" si="101"/>
        <v>0</v>
      </c>
      <c r="X282" s="1">
        <f t="shared" si="102"/>
        <v>0</v>
      </c>
      <c r="Y282" s="1">
        <f t="shared" si="103"/>
        <v>0</v>
      </c>
      <c r="Z282" s="1">
        <f t="shared" si="104"/>
        <v>0</v>
      </c>
      <c r="AA282" s="1">
        <f t="shared" si="105"/>
        <v>0</v>
      </c>
      <c r="AB282" s="1">
        <f t="shared" si="106"/>
        <v>0</v>
      </c>
      <c r="AD282" s="1">
        <f t="shared" si="107"/>
        <v>0</v>
      </c>
      <c r="AE282" s="1">
        <f t="shared" si="108"/>
        <v>1</v>
      </c>
      <c r="AF282" s="1">
        <f t="shared" si="109"/>
        <v>0</v>
      </c>
      <c r="AG282" s="1">
        <f t="shared" si="110"/>
        <v>0</v>
      </c>
      <c r="AH282" s="1">
        <f t="shared" si="111"/>
        <v>0</v>
      </c>
      <c r="AI282" s="1">
        <f t="shared" si="11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855</v>
      </c>
      <c r="E283" s="32" t="s">
        <v>29</v>
      </c>
      <c r="F283" s="32" t="s">
        <v>1977</v>
      </c>
      <c r="G283" s="32" t="s">
        <v>193</v>
      </c>
      <c r="H283" s="32" t="s">
        <v>352</v>
      </c>
      <c r="I283" s="31" t="s">
        <v>857</v>
      </c>
      <c r="J283" s="31">
        <v>9</v>
      </c>
      <c r="K283" s="33" t="s">
        <v>704</v>
      </c>
      <c r="L283" s="33" t="s">
        <v>687</v>
      </c>
      <c r="M283" s="34" t="s">
        <v>699</v>
      </c>
      <c r="N283" s="34" t="s">
        <v>1704</v>
      </c>
      <c r="O283" s="35">
        <v>1</v>
      </c>
      <c r="P283" s="35"/>
      <c r="Q283" s="32"/>
      <c r="S283" s="1">
        <f t="shared" si="97"/>
        <v>0</v>
      </c>
      <c r="T283" s="1">
        <f t="shared" si="98"/>
        <v>0</v>
      </c>
      <c r="U283" s="1">
        <f t="shared" si="99"/>
        <v>0</v>
      </c>
      <c r="V283" s="1">
        <f t="shared" si="100"/>
        <v>0</v>
      </c>
      <c r="W283" s="1">
        <f t="shared" si="101"/>
        <v>0</v>
      </c>
      <c r="X283" s="1">
        <f t="shared" si="102"/>
        <v>0</v>
      </c>
      <c r="Y283" s="1">
        <f t="shared" si="103"/>
        <v>0</v>
      </c>
      <c r="Z283" s="1">
        <f t="shared" si="104"/>
        <v>0</v>
      </c>
      <c r="AA283" s="1">
        <f t="shared" si="105"/>
        <v>1</v>
      </c>
      <c r="AB283" s="1">
        <f t="shared" si="106"/>
        <v>0</v>
      </c>
      <c r="AD283" s="1">
        <f t="shared" si="107"/>
        <v>0</v>
      </c>
      <c r="AE283" s="1">
        <f t="shared" si="108"/>
        <v>1</v>
      </c>
      <c r="AF283" s="1">
        <f t="shared" si="109"/>
        <v>0</v>
      </c>
      <c r="AG283" s="1">
        <f t="shared" si="110"/>
        <v>0</v>
      </c>
      <c r="AH283" s="1">
        <f t="shared" si="111"/>
        <v>0</v>
      </c>
      <c r="AI283" s="1">
        <f t="shared" si="11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855</v>
      </c>
      <c r="E284" s="32" t="s">
        <v>29</v>
      </c>
      <c r="F284" s="32" t="s">
        <v>1979</v>
      </c>
      <c r="G284" s="32" t="s">
        <v>208</v>
      </c>
      <c r="H284" s="32" t="s">
        <v>352</v>
      </c>
      <c r="I284" s="31" t="s">
        <v>1978</v>
      </c>
      <c r="J284" s="31">
        <v>99</v>
      </c>
      <c r="K284" s="33" t="s">
        <v>704</v>
      </c>
      <c r="L284" s="33" t="s">
        <v>687</v>
      </c>
      <c r="M284" s="34" t="s">
        <v>699</v>
      </c>
      <c r="N284" s="34" t="s">
        <v>1704</v>
      </c>
      <c r="O284" s="35">
        <v>1</v>
      </c>
      <c r="P284" s="35"/>
      <c r="Q284" s="32"/>
      <c r="S284" s="1">
        <f t="shared" si="97"/>
        <v>0</v>
      </c>
      <c r="T284" s="1">
        <f t="shared" si="98"/>
        <v>0</v>
      </c>
      <c r="U284" s="1">
        <f t="shared" si="99"/>
        <v>0</v>
      </c>
      <c r="V284" s="1">
        <f t="shared" si="100"/>
        <v>0</v>
      </c>
      <c r="W284" s="1">
        <f t="shared" si="101"/>
        <v>0</v>
      </c>
      <c r="X284" s="1">
        <f t="shared" si="102"/>
        <v>0</v>
      </c>
      <c r="Y284" s="1">
        <f t="shared" si="103"/>
        <v>0</v>
      </c>
      <c r="Z284" s="1">
        <f t="shared" si="104"/>
        <v>0</v>
      </c>
      <c r="AA284" s="1">
        <f t="shared" si="105"/>
        <v>0</v>
      </c>
      <c r="AB284" s="1">
        <f t="shared" si="106"/>
        <v>0</v>
      </c>
      <c r="AD284" s="1">
        <f t="shared" si="107"/>
        <v>0</v>
      </c>
      <c r="AE284" s="1">
        <f t="shared" si="108"/>
        <v>1</v>
      </c>
      <c r="AF284" s="1">
        <f t="shared" si="109"/>
        <v>0</v>
      </c>
      <c r="AG284" s="1">
        <f t="shared" si="110"/>
        <v>0</v>
      </c>
      <c r="AH284" s="1">
        <f t="shared" si="111"/>
        <v>0</v>
      </c>
      <c r="AI284" s="1">
        <f t="shared" si="11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855</v>
      </c>
      <c r="E285" s="32" t="s">
        <v>29</v>
      </c>
      <c r="F285" s="36" t="s">
        <v>1645</v>
      </c>
      <c r="G285" s="36" t="s">
        <v>2132</v>
      </c>
      <c r="H285" s="32" t="s">
        <v>352</v>
      </c>
      <c r="I285" s="37" t="s">
        <v>2133</v>
      </c>
      <c r="J285" s="31">
        <v>99</v>
      </c>
      <c r="K285" s="33" t="s">
        <v>704</v>
      </c>
      <c r="L285" s="33" t="s">
        <v>687</v>
      </c>
      <c r="M285" s="34" t="s">
        <v>699</v>
      </c>
      <c r="N285" s="34" t="s">
        <v>1704</v>
      </c>
      <c r="O285" s="35">
        <v>1</v>
      </c>
      <c r="P285" s="35"/>
      <c r="Q285" s="32"/>
      <c r="S285" s="1">
        <f t="shared" si="97"/>
        <v>0</v>
      </c>
      <c r="T285" s="1">
        <f t="shared" si="98"/>
        <v>0</v>
      </c>
      <c r="U285" s="1">
        <f t="shared" si="99"/>
        <v>0</v>
      </c>
      <c r="V285" s="1">
        <f t="shared" si="100"/>
        <v>0</v>
      </c>
      <c r="W285" s="1">
        <f t="shared" si="101"/>
        <v>0</v>
      </c>
      <c r="X285" s="1">
        <f t="shared" si="102"/>
        <v>0</v>
      </c>
      <c r="Y285" s="1">
        <f t="shared" si="103"/>
        <v>0</v>
      </c>
      <c r="Z285" s="1">
        <f t="shared" si="104"/>
        <v>0</v>
      </c>
      <c r="AA285" s="1">
        <f t="shared" si="105"/>
        <v>0</v>
      </c>
      <c r="AB285" s="1">
        <f t="shared" si="106"/>
        <v>0</v>
      </c>
      <c r="AD285" s="1">
        <f t="shared" si="107"/>
        <v>0</v>
      </c>
      <c r="AE285" s="1">
        <f t="shared" si="108"/>
        <v>1</v>
      </c>
      <c r="AF285" s="1">
        <f t="shared" si="109"/>
        <v>0</v>
      </c>
      <c r="AG285" s="1">
        <f t="shared" si="110"/>
        <v>0</v>
      </c>
      <c r="AH285" s="1">
        <f t="shared" si="111"/>
        <v>0</v>
      </c>
      <c r="AI285" s="1">
        <f t="shared" si="11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1098</v>
      </c>
      <c r="J286" s="31">
        <v>99</v>
      </c>
      <c r="K286" s="33" t="s">
        <v>704</v>
      </c>
      <c r="L286" s="33" t="s">
        <v>687</v>
      </c>
      <c r="M286" s="34" t="s">
        <v>699</v>
      </c>
      <c r="N286" s="34" t="s">
        <v>1708</v>
      </c>
      <c r="O286" s="35">
        <v>1</v>
      </c>
      <c r="P286" s="35"/>
      <c r="Q286" s="36"/>
      <c r="S286" s="1">
        <f t="shared" si="97"/>
        <v>0</v>
      </c>
      <c r="T286" s="1">
        <f t="shared" si="98"/>
        <v>0</v>
      </c>
      <c r="U286" s="1">
        <f t="shared" si="99"/>
        <v>0</v>
      </c>
      <c r="V286" s="1">
        <f t="shared" si="100"/>
        <v>0</v>
      </c>
      <c r="W286" s="1">
        <f t="shared" si="101"/>
        <v>0</v>
      </c>
      <c r="X286" s="1">
        <f t="shared" si="102"/>
        <v>0</v>
      </c>
      <c r="Y286" s="1">
        <f t="shared" si="103"/>
        <v>0</v>
      </c>
      <c r="Z286" s="1">
        <f t="shared" si="104"/>
        <v>0</v>
      </c>
      <c r="AA286" s="1">
        <f t="shared" si="105"/>
        <v>0</v>
      </c>
      <c r="AB286" s="1">
        <f t="shared" si="106"/>
        <v>0</v>
      </c>
      <c r="AD286" s="1">
        <f t="shared" si="107"/>
        <v>0</v>
      </c>
      <c r="AE286" s="1">
        <f t="shared" si="108"/>
        <v>1</v>
      </c>
      <c r="AF286" s="1">
        <f t="shared" si="109"/>
        <v>0</v>
      </c>
      <c r="AG286" s="1">
        <f t="shared" si="110"/>
        <v>1</v>
      </c>
      <c r="AH286" s="1">
        <f t="shared" si="111"/>
        <v>0</v>
      </c>
      <c r="AI286" s="1">
        <f t="shared" si="11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657</v>
      </c>
      <c r="G287" s="36" t="s">
        <v>39</v>
      </c>
      <c r="H287" s="36" t="s">
        <v>529</v>
      </c>
      <c r="I287" s="37" t="s">
        <v>1656</v>
      </c>
      <c r="J287" s="31">
        <v>14</v>
      </c>
      <c r="K287" s="33" t="s">
        <v>935</v>
      </c>
      <c r="L287" s="33">
        <v>40</v>
      </c>
      <c r="M287" s="34" t="s">
        <v>699</v>
      </c>
      <c r="N287" s="34" t="s">
        <v>1704</v>
      </c>
      <c r="O287" s="35">
        <v>1</v>
      </c>
      <c r="P287" s="35"/>
      <c r="Q287" s="36"/>
      <c r="S287" s="1">
        <f t="shared" si="97"/>
        <v>0</v>
      </c>
      <c r="T287" s="1">
        <f t="shared" si="98"/>
        <v>0</v>
      </c>
      <c r="U287" s="1">
        <f t="shared" si="99"/>
        <v>0</v>
      </c>
      <c r="V287" s="1">
        <f t="shared" si="100"/>
        <v>0</v>
      </c>
      <c r="W287" s="1">
        <f t="shared" si="101"/>
        <v>0</v>
      </c>
      <c r="X287" s="1">
        <f t="shared" si="102"/>
        <v>0</v>
      </c>
      <c r="Y287" s="1">
        <f t="shared" si="103"/>
        <v>0</v>
      </c>
      <c r="Z287" s="1">
        <f t="shared" si="104"/>
        <v>0</v>
      </c>
      <c r="AA287" s="1">
        <f t="shared" si="105"/>
        <v>0</v>
      </c>
      <c r="AB287" s="1">
        <f t="shared" si="106"/>
        <v>0</v>
      </c>
      <c r="AD287" s="1">
        <f t="shared" si="107"/>
        <v>0</v>
      </c>
      <c r="AE287" s="1">
        <f t="shared" si="108"/>
        <v>1</v>
      </c>
      <c r="AF287" s="1">
        <f t="shared" si="109"/>
        <v>0</v>
      </c>
      <c r="AG287" s="1">
        <f t="shared" si="110"/>
        <v>1</v>
      </c>
      <c r="AH287" s="1">
        <f t="shared" si="111"/>
        <v>0</v>
      </c>
      <c r="AI287" s="1">
        <f t="shared" si="11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1295</v>
      </c>
      <c r="E288" s="32" t="s">
        <v>29</v>
      </c>
      <c r="F288" s="36" t="s">
        <v>1319</v>
      </c>
      <c r="G288" s="36" t="s">
        <v>39</v>
      </c>
      <c r="H288" s="36" t="s">
        <v>352</v>
      </c>
      <c r="I288" s="37" t="s">
        <v>1128</v>
      </c>
      <c r="J288" s="31">
        <v>99</v>
      </c>
      <c r="K288" s="33" t="s">
        <v>704</v>
      </c>
      <c r="L288" s="33" t="s">
        <v>684</v>
      </c>
      <c r="M288" s="34" t="s">
        <v>1380</v>
      </c>
      <c r="N288" s="34" t="s">
        <v>1699</v>
      </c>
      <c r="O288" s="35">
        <v>1</v>
      </c>
      <c r="P288" s="35">
        <v>1</v>
      </c>
      <c r="Q288" s="36"/>
      <c r="S288" s="1">
        <f t="shared" si="97"/>
        <v>0</v>
      </c>
      <c r="T288" s="1">
        <f t="shared" si="98"/>
        <v>0</v>
      </c>
      <c r="U288" s="1">
        <f t="shared" si="99"/>
        <v>0</v>
      </c>
      <c r="V288" s="1">
        <f t="shared" si="100"/>
        <v>0</v>
      </c>
      <c r="W288" s="1">
        <f t="shared" si="101"/>
        <v>0</v>
      </c>
      <c r="X288" s="1">
        <f t="shared" si="102"/>
        <v>0</v>
      </c>
      <c r="Y288" s="1">
        <f t="shared" si="103"/>
        <v>0</v>
      </c>
      <c r="Z288" s="1">
        <f t="shared" si="104"/>
        <v>0</v>
      </c>
      <c r="AA288" s="1">
        <f t="shared" si="105"/>
        <v>0</v>
      </c>
      <c r="AB288" s="1">
        <f t="shared" si="106"/>
        <v>0</v>
      </c>
      <c r="AD288" s="1">
        <f t="shared" si="107"/>
        <v>1</v>
      </c>
      <c r="AE288" s="1">
        <f t="shared" si="108"/>
        <v>0</v>
      </c>
      <c r="AF288" s="1">
        <f t="shared" si="109"/>
        <v>1</v>
      </c>
      <c r="AG288" s="1">
        <f t="shared" si="110"/>
        <v>0</v>
      </c>
      <c r="AH288" s="1">
        <f t="shared" si="111"/>
        <v>1</v>
      </c>
      <c r="AI288" s="1">
        <f t="shared" si="11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704</v>
      </c>
      <c r="L289" s="33" t="s">
        <v>685</v>
      </c>
      <c r="M289" s="34" t="s">
        <v>699</v>
      </c>
      <c r="N289" s="34" t="s">
        <v>1704</v>
      </c>
      <c r="O289" s="35">
        <v>1</v>
      </c>
      <c r="P289" s="35"/>
      <c r="Q289" s="32"/>
      <c r="S289" s="1">
        <f t="shared" si="97"/>
        <v>1</v>
      </c>
      <c r="T289" s="1">
        <f t="shared" si="98"/>
        <v>0</v>
      </c>
      <c r="U289" s="1">
        <f t="shared" si="99"/>
        <v>0</v>
      </c>
      <c r="V289" s="1">
        <f t="shared" si="100"/>
        <v>0</v>
      </c>
      <c r="W289" s="1">
        <f t="shared" si="101"/>
        <v>0</v>
      </c>
      <c r="X289" s="1">
        <f t="shared" si="102"/>
        <v>0</v>
      </c>
      <c r="Y289" s="1">
        <f t="shared" si="103"/>
        <v>0</v>
      </c>
      <c r="Z289" s="1">
        <f t="shared" si="104"/>
        <v>0</v>
      </c>
      <c r="AA289" s="1">
        <f t="shared" si="105"/>
        <v>0</v>
      </c>
      <c r="AB289" s="1">
        <f t="shared" si="106"/>
        <v>0</v>
      </c>
      <c r="AD289" s="1">
        <f t="shared" si="107"/>
        <v>0</v>
      </c>
      <c r="AE289" s="1">
        <f t="shared" si="108"/>
        <v>1</v>
      </c>
      <c r="AF289" s="1">
        <f t="shared" si="109"/>
        <v>0</v>
      </c>
      <c r="AG289" s="1">
        <f t="shared" si="110"/>
        <v>1</v>
      </c>
      <c r="AH289" s="1">
        <f t="shared" si="111"/>
        <v>0</v>
      </c>
      <c r="AI289" s="1">
        <f t="shared" si="11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745</v>
      </c>
      <c r="E290" s="16" t="s">
        <v>29</v>
      </c>
      <c r="F290" s="20" t="s">
        <v>2054</v>
      </c>
      <c r="G290" s="16" t="s">
        <v>39</v>
      </c>
      <c r="H290" s="20" t="s">
        <v>365</v>
      </c>
      <c r="I290" s="21" t="s">
        <v>2055</v>
      </c>
      <c r="J290" s="15">
        <v>18</v>
      </c>
      <c r="K290" s="10" t="s">
        <v>694</v>
      </c>
      <c r="L290" s="10" t="s">
        <v>688</v>
      </c>
      <c r="M290" s="19" t="s">
        <v>699</v>
      </c>
      <c r="N290" s="17"/>
      <c r="Q290" s="16"/>
      <c r="S290" s="1">
        <f t="shared" si="97"/>
        <v>0</v>
      </c>
      <c r="T290" s="1">
        <f t="shared" si="98"/>
        <v>0</v>
      </c>
      <c r="U290" s="1">
        <f t="shared" si="99"/>
        <v>0</v>
      </c>
      <c r="V290" s="1">
        <f t="shared" si="100"/>
        <v>0</v>
      </c>
      <c r="W290" s="1">
        <f t="shared" si="101"/>
        <v>0</v>
      </c>
      <c r="X290" s="1">
        <f t="shared" si="102"/>
        <v>0</v>
      </c>
      <c r="Y290" s="1">
        <f t="shared" si="103"/>
        <v>0</v>
      </c>
      <c r="Z290" s="1">
        <f t="shared" si="104"/>
        <v>0</v>
      </c>
      <c r="AA290" s="1">
        <f t="shared" si="105"/>
        <v>0</v>
      </c>
      <c r="AB290" s="1">
        <f t="shared" si="106"/>
        <v>0</v>
      </c>
      <c r="AD290" s="1">
        <f t="shared" si="107"/>
        <v>0</v>
      </c>
      <c r="AE290" s="1">
        <f t="shared" si="108"/>
        <v>0</v>
      </c>
      <c r="AF290" s="1">
        <f t="shared" si="109"/>
        <v>0</v>
      </c>
      <c r="AG290" s="1">
        <f t="shared" si="110"/>
        <v>0</v>
      </c>
      <c r="AH290" s="1">
        <f t="shared" si="111"/>
        <v>0</v>
      </c>
      <c r="AI290" s="1">
        <f t="shared" si="11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1486</v>
      </c>
      <c r="E291" s="32" t="s">
        <v>29</v>
      </c>
      <c r="F291" s="36" t="s">
        <v>1638</v>
      </c>
      <c r="G291" s="36" t="s">
        <v>1639</v>
      </c>
      <c r="H291" s="36" t="s">
        <v>352</v>
      </c>
      <c r="I291" s="37" t="s">
        <v>1487</v>
      </c>
      <c r="J291" s="31">
        <v>99</v>
      </c>
      <c r="K291" s="33" t="s">
        <v>704</v>
      </c>
      <c r="L291" s="33" t="s">
        <v>39</v>
      </c>
      <c r="M291" s="34" t="s">
        <v>39</v>
      </c>
      <c r="N291" s="34" t="s">
        <v>1693</v>
      </c>
      <c r="O291" s="35">
        <v>1</v>
      </c>
      <c r="P291" s="35">
        <v>1</v>
      </c>
      <c r="Q291" s="36"/>
      <c r="S291" s="1">
        <f t="shared" si="97"/>
        <v>0</v>
      </c>
      <c r="T291" s="1">
        <f t="shared" si="98"/>
        <v>0</v>
      </c>
      <c r="U291" s="1">
        <f t="shared" si="99"/>
        <v>0</v>
      </c>
      <c r="V291" s="1">
        <f t="shared" si="100"/>
        <v>0</v>
      </c>
      <c r="W291" s="1">
        <f t="shared" si="101"/>
        <v>0</v>
      </c>
      <c r="X291" s="1">
        <f t="shared" si="102"/>
        <v>0</v>
      </c>
      <c r="Y291" s="1">
        <f t="shared" si="103"/>
        <v>0</v>
      </c>
      <c r="Z291" s="1">
        <f t="shared" si="104"/>
        <v>0</v>
      </c>
      <c r="AA291" s="1">
        <f t="shared" si="105"/>
        <v>0</v>
      </c>
      <c r="AB291" s="1">
        <f t="shared" si="106"/>
        <v>0</v>
      </c>
      <c r="AD291" s="1">
        <f t="shared" si="107"/>
        <v>1</v>
      </c>
      <c r="AE291" s="1">
        <f t="shared" si="108"/>
        <v>0</v>
      </c>
      <c r="AF291" s="1">
        <f t="shared" si="109"/>
        <v>1</v>
      </c>
      <c r="AG291" s="1">
        <f t="shared" si="110"/>
        <v>0</v>
      </c>
      <c r="AH291" s="1">
        <f t="shared" si="111"/>
        <v>1</v>
      </c>
      <c r="AI291" s="1">
        <f t="shared" si="11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1122</v>
      </c>
      <c r="E292" s="32" t="s">
        <v>29</v>
      </c>
      <c r="F292" s="32" t="s">
        <v>1123</v>
      </c>
      <c r="G292" s="32" t="s">
        <v>1125</v>
      </c>
      <c r="H292" s="32" t="s">
        <v>352</v>
      </c>
      <c r="I292" s="31" t="s">
        <v>1124</v>
      </c>
      <c r="J292" s="31">
        <v>99</v>
      </c>
      <c r="K292" s="33" t="s">
        <v>694</v>
      </c>
      <c r="L292" s="33">
        <v>30</v>
      </c>
      <c r="M292" s="34" t="s">
        <v>1381</v>
      </c>
      <c r="N292" s="34" t="s">
        <v>1808</v>
      </c>
      <c r="O292" s="35">
        <v>1</v>
      </c>
      <c r="P292" s="35"/>
      <c r="Q292" s="32"/>
      <c r="S292" s="1">
        <f t="shared" si="97"/>
        <v>0</v>
      </c>
      <c r="T292" s="1">
        <f t="shared" si="98"/>
        <v>0</v>
      </c>
      <c r="U292" s="1">
        <f t="shared" si="99"/>
        <v>0</v>
      </c>
      <c r="V292" s="1">
        <f t="shared" si="100"/>
        <v>0</v>
      </c>
      <c r="W292" s="1">
        <f t="shared" si="101"/>
        <v>0</v>
      </c>
      <c r="X292" s="1">
        <f t="shared" si="102"/>
        <v>0</v>
      </c>
      <c r="Y292" s="1">
        <f t="shared" si="103"/>
        <v>0</v>
      </c>
      <c r="Z292" s="1">
        <f t="shared" si="104"/>
        <v>0</v>
      </c>
      <c r="AA292" s="1">
        <f t="shared" si="105"/>
        <v>0</v>
      </c>
      <c r="AB292" s="1">
        <f t="shared" si="106"/>
        <v>0</v>
      </c>
      <c r="AD292" s="1">
        <f t="shared" si="107"/>
        <v>0</v>
      </c>
      <c r="AE292" s="1">
        <f t="shared" si="108"/>
        <v>1</v>
      </c>
      <c r="AF292" s="1">
        <f t="shared" si="109"/>
        <v>0</v>
      </c>
      <c r="AG292" s="1">
        <f t="shared" si="110"/>
        <v>1</v>
      </c>
      <c r="AH292" s="1">
        <f t="shared" si="111"/>
        <v>0</v>
      </c>
      <c r="AI292" s="1">
        <f t="shared" si="11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694</v>
      </c>
      <c r="L293" s="33">
        <v>30</v>
      </c>
      <c r="M293" s="34" t="s">
        <v>699</v>
      </c>
      <c r="N293" s="34" t="s">
        <v>1704</v>
      </c>
      <c r="O293" s="35">
        <v>1</v>
      </c>
      <c r="P293" s="35"/>
      <c r="Q293" s="32"/>
      <c r="S293" s="1">
        <f t="shared" si="97"/>
        <v>0</v>
      </c>
      <c r="T293" s="1">
        <f t="shared" si="98"/>
        <v>0</v>
      </c>
      <c r="U293" s="1">
        <f t="shared" si="99"/>
        <v>0</v>
      </c>
      <c r="V293" s="1">
        <f t="shared" si="100"/>
        <v>0</v>
      </c>
      <c r="W293" s="1">
        <f t="shared" si="101"/>
        <v>0</v>
      </c>
      <c r="X293" s="1">
        <f t="shared" si="102"/>
        <v>0</v>
      </c>
      <c r="Y293" s="1">
        <f t="shared" si="103"/>
        <v>0</v>
      </c>
      <c r="Z293" s="1">
        <f t="shared" si="104"/>
        <v>0</v>
      </c>
      <c r="AA293" s="1">
        <f t="shared" si="105"/>
        <v>1</v>
      </c>
      <c r="AB293" s="1">
        <f t="shared" si="106"/>
        <v>0</v>
      </c>
      <c r="AD293" s="1">
        <f t="shared" si="107"/>
        <v>0</v>
      </c>
      <c r="AE293" s="1">
        <f t="shared" si="108"/>
        <v>1</v>
      </c>
      <c r="AF293" s="1">
        <f t="shared" si="109"/>
        <v>0</v>
      </c>
      <c r="AG293" s="1">
        <f t="shared" si="110"/>
        <v>1</v>
      </c>
      <c r="AH293" s="1">
        <f t="shared" si="111"/>
        <v>0</v>
      </c>
      <c r="AI293" s="1">
        <f t="shared" si="11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788</v>
      </c>
      <c r="E294" s="32" t="s">
        <v>29</v>
      </c>
      <c r="F294" s="32" t="s">
        <v>767</v>
      </c>
      <c r="G294" s="32" t="s">
        <v>789</v>
      </c>
      <c r="H294" s="32" t="s">
        <v>352</v>
      </c>
      <c r="I294" s="31" t="s">
        <v>933</v>
      </c>
      <c r="J294" s="31">
        <v>99</v>
      </c>
      <c r="K294" s="33" t="s">
        <v>704</v>
      </c>
      <c r="L294" s="33" t="s">
        <v>685</v>
      </c>
      <c r="M294" s="34" t="s">
        <v>699</v>
      </c>
      <c r="N294" s="34" t="s">
        <v>1784</v>
      </c>
      <c r="O294" s="35">
        <v>1</v>
      </c>
      <c r="P294" s="35"/>
      <c r="Q294" s="32"/>
      <c r="S294" s="1">
        <f t="shared" si="97"/>
        <v>0</v>
      </c>
      <c r="T294" s="1">
        <f t="shared" si="98"/>
        <v>0</v>
      </c>
      <c r="U294" s="1">
        <f t="shared" si="99"/>
        <v>0</v>
      </c>
      <c r="V294" s="1">
        <f t="shared" si="100"/>
        <v>0</v>
      </c>
      <c r="W294" s="1">
        <f t="shared" si="101"/>
        <v>0</v>
      </c>
      <c r="X294" s="1">
        <f t="shared" si="102"/>
        <v>0</v>
      </c>
      <c r="Y294" s="1">
        <f t="shared" si="103"/>
        <v>0</v>
      </c>
      <c r="Z294" s="1">
        <f t="shared" si="104"/>
        <v>0</v>
      </c>
      <c r="AA294" s="1">
        <f t="shared" si="105"/>
        <v>0</v>
      </c>
      <c r="AB294" s="1">
        <f t="shared" si="106"/>
        <v>0</v>
      </c>
      <c r="AD294" s="1">
        <f t="shared" si="107"/>
        <v>0</v>
      </c>
      <c r="AE294" s="1">
        <f t="shared" si="108"/>
        <v>1</v>
      </c>
      <c r="AF294" s="1">
        <f t="shared" si="109"/>
        <v>0</v>
      </c>
      <c r="AG294" s="1">
        <f t="shared" si="110"/>
        <v>1</v>
      </c>
      <c r="AH294" s="1">
        <f t="shared" si="111"/>
        <v>0</v>
      </c>
      <c r="AI294" s="1">
        <f t="shared" si="11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1298</v>
      </c>
      <c r="E295" s="32" t="s">
        <v>29</v>
      </c>
      <c r="F295" s="32" t="s">
        <v>1321</v>
      </c>
      <c r="G295" s="32" t="s">
        <v>1159</v>
      </c>
      <c r="H295" s="32" t="s">
        <v>352</v>
      </c>
      <c r="I295" s="31" t="s">
        <v>1658</v>
      </c>
      <c r="J295" s="31">
        <v>99</v>
      </c>
      <c r="K295" s="33" t="s">
        <v>704</v>
      </c>
      <c r="L295" s="33" t="s">
        <v>685</v>
      </c>
      <c r="M295" s="34" t="s">
        <v>1382</v>
      </c>
      <c r="N295" s="34" t="s">
        <v>1721</v>
      </c>
      <c r="O295" s="35">
        <v>1</v>
      </c>
      <c r="P295" s="35"/>
      <c r="Q295" s="32"/>
      <c r="S295" s="1">
        <f t="shared" si="97"/>
        <v>0</v>
      </c>
      <c r="T295" s="1">
        <f t="shared" si="98"/>
        <v>0</v>
      </c>
      <c r="U295" s="1">
        <f t="shared" si="99"/>
        <v>0</v>
      </c>
      <c r="V295" s="1">
        <f t="shared" si="100"/>
        <v>0</v>
      </c>
      <c r="W295" s="1">
        <f t="shared" si="101"/>
        <v>0</v>
      </c>
      <c r="X295" s="1">
        <f t="shared" si="102"/>
        <v>0</v>
      </c>
      <c r="Y295" s="1">
        <f t="shared" si="103"/>
        <v>0</v>
      </c>
      <c r="Z295" s="1">
        <f t="shared" si="104"/>
        <v>0</v>
      </c>
      <c r="AA295" s="1">
        <f t="shared" si="105"/>
        <v>0</v>
      </c>
      <c r="AB295" s="1">
        <f t="shared" si="106"/>
        <v>0</v>
      </c>
      <c r="AD295" s="1">
        <f t="shared" si="107"/>
        <v>0</v>
      </c>
      <c r="AE295" s="1">
        <f t="shared" si="108"/>
        <v>1</v>
      </c>
      <c r="AF295" s="1">
        <f t="shared" si="109"/>
        <v>0</v>
      </c>
      <c r="AG295" s="1">
        <f t="shared" si="110"/>
        <v>1</v>
      </c>
      <c r="AH295" s="1">
        <f t="shared" si="111"/>
        <v>0</v>
      </c>
      <c r="AI295" s="1">
        <f t="shared" si="11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1253</v>
      </c>
      <c r="E296" s="20" t="s">
        <v>29</v>
      </c>
      <c r="F296" s="20" t="s">
        <v>1254</v>
      </c>
      <c r="G296" s="16" t="s">
        <v>1255</v>
      </c>
      <c r="H296" s="20" t="s">
        <v>352</v>
      </c>
      <c r="I296" s="21" t="s">
        <v>1256</v>
      </c>
      <c r="J296" s="15">
        <v>99</v>
      </c>
      <c r="K296" s="10" t="s">
        <v>704</v>
      </c>
      <c r="L296" s="10" t="s">
        <v>685</v>
      </c>
      <c r="M296" s="19" t="s">
        <v>699</v>
      </c>
      <c r="N296" s="17"/>
      <c r="Q296" s="16"/>
      <c r="S296" s="1">
        <f t="shared" si="97"/>
        <v>0</v>
      </c>
      <c r="T296" s="1">
        <f t="shared" si="98"/>
        <v>0</v>
      </c>
      <c r="U296" s="1">
        <f t="shared" si="99"/>
        <v>0</v>
      </c>
      <c r="V296" s="1">
        <f t="shared" si="100"/>
        <v>0</v>
      </c>
      <c r="W296" s="1">
        <f t="shared" si="101"/>
        <v>0</v>
      </c>
      <c r="X296" s="1">
        <f t="shared" si="102"/>
        <v>0</v>
      </c>
      <c r="Y296" s="1">
        <f t="shared" si="103"/>
        <v>0</v>
      </c>
      <c r="Z296" s="1">
        <f t="shared" si="104"/>
        <v>0</v>
      </c>
      <c r="AA296" s="1">
        <f t="shared" si="105"/>
        <v>0</v>
      </c>
      <c r="AB296" s="1">
        <f t="shared" si="106"/>
        <v>0</v>
      </c>
      <c r="AD296" s="1">
        <f t="shared" si="107"/>
        <v>0</v>
      </c>
      <c r="AE296" s="1">
        <f t="shared" si="108"/>
        <v>0</v>
      </c>
      <c r="AF296" s="1">
        <f t="shared" si="109"/>
        <v>0</v>
      </c>
      <c r="AG296" s="1">
        <f t="shared" si="110"/>
        <v>0</v>
      </c>
      <c r="AH296" s="1">
        <f t="shared" si="111"/>
        <v>0</v>
      </c>
      <c r="AI296" s="1">
        <f t="shared" si="11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700</v>
      </c>
      <c r="E297" s="32" t="s">
        <v>29</v>
      </c>
      <c r="F297" s="32" t="s">
        <v>701</v>
      </c>
      <c r="G297" s="32" t="s">
        <v>183</v>
      </c>
      <c r="H297" s="32" t="s">
        <v>352</v>
      </c>
      <c r="I297" s="31" t="s">
        <v>702</v>
      </c>
      <c r="J297" s="31">
        <v>99</v>
      </c>
      <c r="K297" s="33" t="s">
        <v>936</v>
      </c>
      <c r="L297" s="33" t="s">
        <v>39</v>
      </c>
      <c r="M297" s="34" t="s">
        <v>39</v>
      </c>
      <c r="N297" s="34" t="s">
        <v>1699</v>
      </c>
      <c r="O297" s="35">
        <v>1</v>
      </c>
      <c r="P297" s="35">
        <v>1</v>
      </c>
      <c r="Q297" s="32"/>
      <c r="S297" s="1">
        <f t="shared" si="97"/>
        <v>0</v>
      </c>
      <c r="T297" s="1">
        <f t="shared" si="98"/>
        <v>0</v>
      </c>
      <c r="U297" s="1">
        <f t="shared" si="99"/>
        <v>0</v>
      </c>
      <c r="V297" s="1">
        <f t="shared" si="100"/>
        <v>0</v>
      </c>
      <c r="W297" s="1">
        <f t="shared" si="101"/>
        <v>0</v>
      </c>
      <c r="X297" s="1">
        <f t="shared" si="102"/>
        <v>0</v>
      </c>
      <c r="Y297" s="1">
        <f t="shared" si="103"/>
        <v>0</v>
      </c>
      <c r="Z297" s="1">
        <f t="shared" si="104"/>
        <v>0</v>
      </c>
      <c r="AA297" s="1">
        <f t="shared" si="105"/>
        <v>0</v>
      </c>
      <c r="AB297" s="1">
        <f t="shared" si="106"/>
        <v>0</v>
      </c>
      <c r="AD297" s="1">
        <f t="shared" si="107"/>
        <v>1</v>
      </c>
      <c r="AE297" s="1">
        <f t="shared" si="108"/>
        <v>0</v>
      </c>
      <c r="AF297" s="1">
        <f t="shared" si="109"/>
        <v>1</v>
      </c>
      <c r="AG297" s="1">
        <f t="shared" si="110"/>
        <v>0</v>
      </c>
      <c r="AH297" s="1">
        <f t="shared" si="111"/>
        <v>1</v>
      </c>
      <c r="AI297" s="1">
        <f t="shared" si="11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2085</v>
      </c>
      <c r="E298" s="36" t="s">
        <v>29</v>
      </c>
      <c r="F298" s="36" t="s">
        <v>2086</v>
      </c>
      <c r="G298" s="36" t="s">
        <v>239</v>
      </c>
      <c r="H298" s="36" t="s">
        <v>352</v>
      </c>
      <c r="I298" s="37" t="s">
        <v>2087</v>
      </c>
      <c r="J298" s="31">
        <v>1</v>
      </c>
      <c r="K298" s="33" t="s">
        <v>694</v>
      </c>
      <c r="L298" s="33"/>
      <c r="M298" s="34"/>
      <c r="N298" s="34" t="s">
        <v>1708</v>
      </c>
      <c r="O298" s="35">
        <v>1</v>
      </c>
      <c r="P298" s="35"/>
      <c r="Q298" s="32" t="s">
        <v>2088</v>
      </c>
      <c r="S298" s="1">
        <f t="shared" si="97"/>
        <v>1</v>
      </c>
      <c r="T298" s="1">
        <f t="shared" si="98"/>
        <v>0</v>
      </c>
      <c r="U298" s="1">
        <f t="shared" si="99"/>
        <v>0</v>
      </c>
      <c r="V298" s="1">
        <f t="shared" si="100"/>
        <v>0</v>
      </c>
      <c r="W298" s="1">
        <f t="shared" si="101"/>
        <v>0</v>
      </c>
      <c r="X298" s="1">
        <f t="shared" si="102"/>
        <v>0</v>
      </c>
      <c r="Y298" s="1">
        <f t="shared" si="103"/>
        <v>0</v>
      </c>
      <c r="Z298" s="1">
        <f t="shared" si="104"/>
        <v>0</v>
      </c>
      <c r="AA298" s="1">
        <f t="shared" si="105"/>
        <v>0</v>
      </c>
      <c r="AB298" s="1">
        <f t="shared" si="106"/>
        <v>0</v>
      </c>
      <c r="AD298" s="1">
        <f t="shared" si="107"/>
        <v>0</v>
      </c>
      <c r="AE298" s="1">
        <f t="shared" si="108"/>
        <v>1</v>
      </c>
      <c r="AF298" s="1">
        <f t="shared" si="109"/>
        <v>0</v>
      </c>
      <c r="AG298" s="1">
        <f t="shared" si="110"/>
        <v>1</v>
      </c>
      <c r="AH298" s="1">
        <f t="shared" si="111"/>
        <v>0</v>
      </c>
      <c r="AI298" s="1">
        <f t="shared" si="11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704</v>
      </c>
      <c r="L299" s="33" t="s">
        <v>704</v>
      </c>
      <c r="M299" s="34" t="s">
        <v>705</v>
      </c>
      <c r="N299" s="34" t="s">
        <v>1708</v>
      </c>
      <c r="O299" s="35">
        <v>1</v>
      </c>
      <c r="P299" s="35"/>
      <c r="Q299" s="32"/>
      <c r="S299" s="1">
        <f t="shared" si="97"/>
        <v>0</v>
      </c>
      <c r="T299" s="1">
        <f t="shared" si="98"/>
        <v>0</v>
      </c>
      <c r="U299" s="1">
        <f t="shared" si="99"/>
        <v>0</v>
      </c>
      <c r="V299" s="1">
        <f t="shared" si="100"/>
        <v>0</v>
      </c>
      <c r="W299" s="1">
        <f t="shared" si="101"/>
        <v>0</v>
      </c>
      <c r="X299" s="1">
        <f t="shared" si="102"/>
        <v>0</v>
      </c>
      <c r="Y299" s="1">
        <f t="shared" si="103"/>
        <v>0</v>
      </c>
      <c r="Z299" s="1">
        <f t="shared" si="104"/>
        <v>1</v>
      </c>
      <c r="AA299" s="1">
        <f t="shared" si="105"/>
        <v>0</v>
      </c>
      <c r="AB299" s="1">
        <f t="shared" si="106"/>
        <v>0</v>
      </c>
      <c r="AD299" s="1">
        <f t="shared" si="107"/>
        <v>0</v>
      </c>
      <c r="AE299" s="1">
        <f t="shared" si="108"/>
        <v>1</v>
      </c>
      <c r="AF299" s="1">
        <f t="shared" si="109"/>
        <v>0</v>
      </c>
      <c r="AG299" s="1">
        <f t="shared" si="110"/>
        <v>1</v>
      </c>
      <c r="AH299" s="1">
        <f t="shared" si="111"/>
        <v>0</v>
      </c>
      <c r="AI299" s="1">
        <f t="shared" si="11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1264</v>
      </c>
      <c r="E300" s="32" t="s">
        <v>555</v>
      </c>
      <c r="F300" s="32" t="s">
        <v>1265</v>
      </c>
      <c r="G300" s="32" t="s">
        <v>229</v>
      </c>
      <c r="H300" s="32" t="s">
        <v>352</v>
      </c>
      <c r="I300" s="31" t="s">
        <v>1266</v>
      </c>
      <c r="J300" s="31">
        <v>7</v>
      </c>
      <c r="K300" s="33" t="s">
        <v>704</v>
      </c>
      <c r="L300" s="33" t="s">
        <v>704</v>
      </c>
      <c r="M300" s="34" t="s">
        <v>705</v>
      </c>
      <c r="N300" s="34" t="s">
        <v>1716</v>
      </c>
      <c r="O300" s="35">
        <v>1</v>
      </c>
      <c r="P300" s="35"/>
      <c r="Q300" s="32"/>
      <c r="S300" s="1">
        <f t="shared" si="97"/>
        <v>0</v>
      </c>
      <c r="T300" s="1">
        <f t="shared" si="98"/>
        <v>0</v>
      </c>
      <c r="U300" s="1">
        <f t="shared" si="99"/>
        <v>0</v>
      </c>
      <c r="V300" s="1">
        <f t="shared" si="100"/>
        <v>0</v>
      </c>
      <c r="W300" s="1">
        <f t="shared" si="101"/>
        <v>0</v>
      </c>
      <c r="X300" s="1">
        <f t="shared" si="102"/>
        <v>0</v>
      </c>
      <c r="Y300" s="1">
        <f t="shared" si="103"/>
        <v>1</v>
      </c>
      <c r="Z300" s="1">
        <f t="shared" si="104"/>
        <v>0</v>
      </c>
      <c r="AA300" s="1">
        <f t="shared" si="105"/>
        <v>0</v>
      </c>
      <c r="AB300" s="1">
        <f t="shared" si="106"/>
        <v>0</v>
      </c>
      <c r="AD300" s="1">
        <f t="shared" si="107"/>
        <v>0</v>
      </c>
      <c r="AE300" s="1">
        <f t="shared" si="108"/>
        <v>1</v>
      </c>
      <c r="AF300" s="1">
        <f t="shared" si="109"/>
        <v>0</v>
      </c>
      <c r="AG300" s="1">
        <f t="shared" si="110"/>
        <v>1</v>
      </c>
      <c r="AH300" s="1">
        <f t="shared" si="111"/>
        <v>0</v>
      </c>
      <c r="AI300" s="1">
        <f t="shared" si="11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1300</v>
      </c>
      <c r="E301" s="32" t="s">
        <v>555</v>
      </c>
      <c r="F301" s="32" t="s">
        <v>1941</v>
      </c>
      <c r="G301" s="32" t="s">
        <v>212</v>
      </c>
      <c r="H301" s="32" t="s">
        <v>352</v>
      </c>
      <c r="I301" s="31" t="s">
        <v>1134</v>
      </c>
      <c r="J301" s="31">
        <v>1</v>
      </c>
      <c r="K301" s="33" t="s">
        <v>935</v>
      </c>
      <c r="L301" s="33" t="s">
        <v>704</v>
      </c>
      <c r="M301" s="34" t="s">
        <v>705</v>
      </c>
      <c r="N301" s="34" t="s">
        <v>1721</v>
      </c>
      <c r="O301" s="35">
        <v>1</v>
      </c>
      <c r="P301" s="35"/>
      <c r="Q301" s="32"/>
      <c r="S301" s="1">
        <f t="shared" si="97"/>
        <v>1</v>
      </c>
      <c r="T301" s="1">
        <f t="shared" si="98"/>
        <v>0</v>
      </c>
      <c r="U301" s="1">
        <f t="shared" si="99"/>
        <v>0</v>
      </c>
      <c r="V301" s="1">
        <f t="shared" si="100"/>
        <v>0</v>
      </c>
      <c r="W301" s="1">
        <f t="shared" si="101"/>
        <v>0</v>
      </c>
      <c r="X301" s="1">
        <f t="shared" si="102"/>
        <v>0</v>
      </c>
      <c r="Y301" s="1">
        <f t="shared" si="103"/>
        <v>0</v>
      </c>
      <c r="Z301" s="1">
        <f t="shared" si="104"/>
        <v>0</v>
      </c>
      <c r="AA301" s="1">
        <f t="shared" si="105"/>
        <v>0</v>
      </c>
      <c r="AB301" s="1">
        <f t="shared" si="106"/>
        <v>0</v>
      </c>
      <c r="AD301" s="1">
        <f t="shared" si="107"/>
        <v>0</v>
      </c>
      <c r="AE301" s="1">
        <f t="shared" si="108"/>
        <v>1</v>
      </c>
      <c r="AF301" s="1">
        <f t="shared" si="109"/>
        <v>0</v>
      </c>
      <c r="AG301" s="1">
        <f t="shared" si="110"/>
        <v>1</v>
      </c>
      <c r="AH301" s="1">
        <f t="shared" si="111"/>
        <v>0</v>
      </c>
      <c r="AI301" s="1">
        <f t="shared" si="11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1301</v>
      </c>
      <c r="E302" s="32" t="s">
        <v>555</v>
      </c>
      <c r="F302" s="32" t="s">
        <v>1129</v>
      </c>
      <c r="G302" s="32" t="s">
        <v>283</v>
      </c>
      <c r="H302" s="32" t="s">
        <v>352</v>
      </c>
      <c r="I302" s="31" t="s">
        <v>1130</v>
      </c>
      <c r="J302" s="31">
        <v>10</v>
      </c>
      <c r="K302" s="33" t="s">
        <v>935</v>
      </c>
      <c r="L302" s="33" t="s">
        <v>704</v>
      </c>
      <c r="M302" s="34" t="s">
        <v>705</v>
      </c>
      <c r="N302" s="34" t="s">
        <v>1721</v>
      </c>
      <c r="O302" s="35">
        <v>1</v>
      </c>
      <c r="P302" s="35"/>
      <c r="Q302" s="32"/>
      <c r="S302" s="1">
        <f t="shared" si="97"/>
        <v>0</v>
      </c>
      <c r="T302" s="1">
        <f t="shared" si="98"/>
        <v>0</v>
      </c>
      <c r="U302" s="1">
        <f t="shared" si="99"/>
        <v>0</v>
      </c>
      <c r="V302" s="1">
        <f t="shared" si="100"/>
        <v>0</v>
      </c>
      <c r="W302" s="1">
        <f t="shared" si="101"/>
        <v>0</v>
      </c>
      <c r="X302" s="1">
        <f t="shared" si="102"/>
        <v>0</v>
      </c>
      <c r="Y302" s="1">
        <f t="shared" si="103"/>
        <v>0</v>
      </c>
      <c r="Z302" s="1">
        <f t="shared" si="104"/>
        <v>0</v>
      </c>
      <c r="AA302" s="1">
        <f t="shared" si="105"/>
        <v>0</v>
      </c>
      <c r="AB302" s="1">
        <f t="shared" si="106"/>
        <v>1</v>
      </c>
      <c r="AD302" s="1">
        <f t="shared" si="107"/>
        <v>0</v>
      </c>
      <c r="AE302" s="1">
        <f t="shared" si="108"/>
        <v>1</v>
      </c>
      <c r="AF302" s="1">
        <f t="shared" si="109"/>
        <v>0</v>
      </c>
      <c r="AG302" s="1">
        <f t="shared" si="110"/>
        <v>1</v>
      </c>
      <c r="AH302" s="1">
        <f t="shared" si="111"/>
        <v>0</v>
      </c>
      <c r="AI302" s="1">
        <f t="shared" si="11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2020</v>
      </c>
      <c r="E303" s="32" t="s">
        <v>36</v>
      </c>
      <c r="F303" s="32" t="s">
        <v>2021</v>
      </c>
      <c r="G303" s="32" t="s">
        <v>1452</v>
      </c>
      <c r="H303" s="32" t="s">
        <v>352</v>
      </c>
      <c r="I303" s="31" t="s">
        <v>2023</v>
      </c>
      <c r="J303" s="31">
        <v>99</v>
      </c>
      <c r="K303" s="33" t="s">
        <v>694</v>
      </c>
      <c r="L303" s="33">
        <v>7</v>
      </c>
      <c r="M303" s="34" t="s">
        <v>2022</v>
      </c>
      <c r="N303" s="34" t="s">
        <v>1699</v>
      </c>
      <c r="O303" s="35">
        <v>1</v>
      </c>
      <c r="P303" s="35">
        <v>1</v>
      </c>
      <c r="Q303" s="32" t="s">
        <v>2024</v>
      </c>
      <c r="S303" s="1">
        <f t="shared" si="97"/>
        <v>0</v>
      </c>
      <c r="T303" s="1">
        <f t="shared" si="98"/>
        <v>0</v>
      </c>
      <c r="U303" s="1">
        <f t="shared" si="99"/>
        <v>0</v>
      </c>
      <c r="V303" s="1">
        <f t="shared" si="100"/>
        <v>0</v>
      </c>
      <c r="W303" s="1">
        <f t="shared" si="101"/>
        <v>0</v>
      </c>
      <c r="X303" s="1">
        <f t="shared" si="102"/>
        <v>0</v>
      </c>
      <c r="Y303" s="1">
        <f t="shared" si="103"/>
        <v>0</v>
      </c>
      <c r="Z303" s="1">
        <f t="shared" si="104"/>
        <v>0</v>
      </c>
      <c r="AA303" s="1">
        <f t="shared" si="105"/>
        <v>0</v>
      </c>
      <c r="AB303" s="1">
        <f t="shared" si="106"/>
        <v>0</v>
      </c>
      <c r="AD303" s="1">
        <f t="shared" si="107"/>
        <v>1</v>
      </c>
      <c r="AE303" s="1">
        <f t="shared" si="108"/>
        <v>0</v>
      </c>
      <c r="AF303" s="1">
        <f t="shared" si="109"/>
        <v>1</v>
      </c>
      <c r="AG303" s="1">
        <f t="shared" si="110"/>
        <v>0</v>
      </c>
      <c r="AH303" s="1">
        <f t="shared" si="111"/>
        <v>1</v>
      </c>
      <c r="AI303" s="1">
        <f t="shared" si="11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1336</v>
      </c>
      <c r="J304" s="15">
        <v>99</v>
      </c>
      <c r="K304" s="10" t="s">
        <v>936</v>
      </c>
      <c r="L304" s="10" t="s">
        <v>704</v>
      </c>
      <c r="M304" s="19" t="s">
        <v>705</v>
      </c>
      <c r="N304" s="19"/>
      <c r="Q304" s="20" t="s">
        <v>1964</v>
      </c>
      <c r="S304" s="1">
        <f t="shared" si="97"/>
        <v>0</v>
      </c>
      <c r="T304" s="1">
        <f t="shared" si="98"/>
        <v>0</v>
      </c>
      <c r="U304" s="1">
        <f t="shared" si="99"/>
        <v>0</v>
      </c>
      <c r="V304" s="1">
        <f t="shared" si="100"/>
        <v>0</v>
      </c>
      <c r="W304" s="1">
        <f t="shared" si="101"/>
        <v>0</v>
      </c>
      <c r="X304" s="1">
        <f t="shared" si="102"/>
        <v>0</v>
      </c>
      <c r="Y304" s="1">
        <f t="shared" si="103"/>
        <v>0</v>
      </c>
      <c r="Z304" s="1">
        <f t="shared" si="104"/>
        <v>0</v>
      </c>
      <c r="AA304" s="1">
        <f t="shared" si="105"/>
        <v>0</v>
      </c>
      <c r="AB304" s="1">
        <f t="shared" si="106"/>
        <v>0</v>
      </c>
      <c r="AD304" s="1">
        <f t="shared" si="107"/>
        <v>0</v>
      </c>
      <c r="AE304" s="1">
        <f t="shared" si="108"/>
        <v>0</v>
      </c>
      <c r="AF304" s="1">
        <f t="shared" si="109"/>
        <v>0</v>
      </c>
      <c r="AG304" s="1">
        <f t="shared" si="110"/>
        <v>0</v>
      </c>
      <c r="AH304" s="1">
        <f t="shared" si="111"/>
        <v>0</v>
      </c>
      <c r="AI304" s="1">
        <f t="shared" si="11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1023</v>
      </c>
      <c r="E305" s="32" t="s">
        <v>36</v>
      </c>
      <c r="F305" s="32" t="s">
        <v>1626</v>
      </c>
      <c r="G305" s="32" t="s">
        <v>620</v>
      </c>
      <c r="H305" s="32" t="s">
        <v>352</v>
      </c>
      <c r="I305" s="31" t="s">
        <v>1024</v>
      </c>
      <c r="J305" s="31">
        <v>99</v>
      </c>
      <c r="K305" s="33" t="s">
        <v>940</v>
      </c>
      <c r="L305" s="33" t="s">
        <v>704</v>
      </c>
      <c r="M305" s="34" t="s">
        <v>705</v>
      </c>
      <c r="N305" s="34" t="s">
        <v>1699</v>
      </c>
      <c r="O305" s="35">
        <v>1</v>
      </c>
      <c r="P305" s="35">
        <v>1</v>
      </c>
      <c r="Q305" s="32" t="s">
        <v>1857</v>
      </c>
      <c r="S305" s="1">
        <f t="shared" si="97"/>
        <v>0</v>
      </c>
      <c r="T305" s="1">
        <f t="shared" si="98"/>
        <v>0</v>
      </c>
      <c r="U305" s="1">
        <f t="shared" si="99"/>
        <v>0</v>
      </c>
      <c r="V305" s="1">
        <f t="shared" si="100"/>
        <v>0</v>
      </c>
      <c r="W305" s="1">
        <f t="shared" si="101"/>
        <v>0</v>
      </c>
      <c r="X305" s="1">
        <f t="shared" si="102"/>
        <v>0</v>
      </c>
      <c r="Y305" s="1">
        <f t="shared" si="103"/>
        <v>0</v>
      </c>
      <c r="Z305" s="1">
        <f t="shared" si="104"/>
        <v>0</v>
      </c>
      <c r="AA305" s="1">
        <f t="shared" si="105"/>
        <v>0</v>
      </c>
      <c r="AB305" s="1">
        <f t="shared" si="106"/>
        <v>0</v>
      </c>
      <c r="AD305" s="1">
        <f t="shared" si="107"/>
        <v>1</v>
      </c>
      <c r="AE305" s="1">
        <f t="shared" si="108"/>
        <v>0</v>
      </c>
      <c r="AF305" s="1">
        <f t="shared" si="109"/>
        <v>1</v>
      </c>
      <c r="AG305" s="1">
        <f t="shared" si="110"/>
        <v>0</v>
      </c>
      <c r="AH305" s="1">
        <f t="shared" si="111"/>
        <v>1</v>
      </c>
      <c r="AI305" s="1">
        <f t="shared" si="11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1288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703</v>
      </c>
      <c r="L306" s="33" t="s">
        <v>704</v>
      </c>
      <c r="M306" s="34" t="s">
        <v>705</v>
      </c>
      <c r="N306" s="34" t="s">
        <v>1716</v>
      </c>
      <c r="O306" s="35">
        <v>1</v>
      </c>
      <c r="P306" s="35"/>
      <c r="Q306" s="32"/>
      <c r="S306" s="1">
        <f t="shared" si="97"/>
        <v>0</v>
      </c>
      <c r="T306" s="1">
        <f t="shared" si="98"/>
        <v>0</v>
      </c>
      <c r="U306" s="1">
        <f t="shared" si="99"/>
        <v>0</v>
      </c>
      <c r="V306" s="1">
        <f t="shared" si="100"/>
        <v>0</v>
      </c>
      <c r="W306" s="1">
        <f t="shared" si="101"/>
        <v>0</v>
      </c>
      <c r="X306" s="1">
        <f t="shared" si="102"/>
        <v>0</v>
      </c>
      <c r="Y306" s="1">
        <f t="shared" si="103"/>
        <v>0</v>
      </c>
      <c r="Z306" s="1">
        <f t="shared" si="104"/>
        <v>0</v>
      </c>
      <c r="AA306" s="1">
        <f t="shared" si="105"/>
        <v>0</v>
      </c>
      <c r="AB306" s="1">
        <f t="shared" si="106"/>
        <v>0</v>
      </c>
      <c r="AD306" s="1">
        <f t="shared" si="107"/>
        <v>0</v>
      </c>
      <c r="AE306" s="1">
        <f t="shared" si="108"/>
        <v>1</v>
      </c>
      <c r="AF306" s="1">
        <f t="shared" si="109"/>
        <v>0</v>
      </c>
      <c r="AG306" s="1">
        <f t="shared" si="110"/>
        <v>0</v>
      </c>
      <c r="AH306" s="1">
        <f t="shared" si="111"/>
        <v>0</v>
      </c>
      <c r="AI306" s="1">
        <f t="shared" si="11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1055</v>
      </c>
      <c r="E307" s="32" t="s">
        <v>1288</v>
      </c>
      <c r="F307" s="32" t="s">
        <v>1070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703</v>
      </c>
      <c r="L307" s="33" t="s">
        <v>704</v>
      </c>
      <c r="M307" s="34" t="s">
        <v>705</v>
      </c>
      <c r="N307" s="34" t="s">
        <v>1716</v>
      </c>
      <c r="O307" s="35">
        <v>1</v>
      </c>
      <c r="P307" s="35"/>
      <c r="Q307" s="32"/>
      <c r="S307" s="1">
        <f t="shared" si="97"/>
        <v>0</v>
      </c>
      <c r="T307" s="1">
        <f t="shared" si="98"/>
        <v>0</v>
      </c>
      <c r="U307" s="1">
        <f t="shared" si="99"/>
        <v>0</v>
      </c>
      <c r="V307" s="1">
        <f t="shared" si="100"/>
        <v>0</v>
      </c>
      <c r="W307" s="1">
        <f t="shared" si="101"/>
        <v>0</v>
      </c>
      <c r="X307" s="1">
        <f t="shared" si="102"/>
        <v>0</v>
      </c>
      <c r="Y307" s="1">
        <f t="shared" si="103"/>
        <v>0</v>
      </c>
      <c r="Z307" s="1">
        <f t="shared" si="104"/>
        <v>0</v>
      </c>
      <c r="AA307" s="1">
        <f t="shared" si="105"/>
        <v>0</v>
      </c>
      <c r="AB307" s="1">
        <f t="shared" si="106"/>
        <v>1</v>
      </c>
      <c r="AD307" s="1">
        <f t="shared" si="107"/>
        <v>0</v>
      </c>
      <c r="AE307" s="1">
        <f t="shared" si="108"/>
        <v>1</v>
      </c>
      <c r="AF307" s="1">
        <f t="shared" si="109"/>
        <v>0</v>
      </c>
      <c r="AG307" s="1">
        <f t="shared" si="110"/>
        <v>1</v>
      </c>
      <c r="AH307" s="1">
        <f t="shared" si="111"/>
        <v>0</v>
      </c>
      <c r="AI307" s="1">
        <f t="shared" si="11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1247</v>
      </c>
      <c r="E308" s="32" t="s">
        <v>555</v>
      </c>
      <c r="F308" s="32" t="s">
        <v>1248</v>
      </c>
      <c r="G308" s="32" t="s">
        <v>257</v>
      </c>
      <c r="H308" s="32" t="s">
        <v>352</v>
      </c>
      <c r="I308" s="31" t="s">
        <v>1249</v>
      </c>
      <c r="J308" s="31">
        <v>8</v>
      </c>
      <c r="K308" s="33" t="s">
        <v>935</v>
      </c>
      <c r="L308" s="33" t="s">
        <v>704</v>
      </c>
      <c r="M308" s="34" t="s">
        <v>705</v>
      </c>
      <c r="N308" s="34" t="s">
        <v>1708</v>
      </c>
      <c r="O308" s="35">
        <v>1</v>
      </c>
      <c r="P308" s="35"/>
      <c r="Q308" s="32"/>
      <c r="S308" s="1">
        <f t="shared" si="97"/>
        <v>0</v>
      </c>
      <c r="T308" s="1">
        <f t="shared" si="98"/>
        <v>0</v>
      </c>
      <c r="U308" s="1">
        <f t="shared" si="99"/>
        <v>0</v>
      </c>
      <c r="V308" s="1">
        <f t="shared" si="100"/>
        <v>0</v>
      </c>
      <c r="W308" s="1">
        <f t="shared" si="101"/>
        <v>0</v>
      </c>
      <c r="X308" s="1">
        <f t="shared" si="102"/>
        <v>0</v>
      </c>
      <c r="Y308" s="1">
        <f t="shared" si="103"/>
        <v>0</v>
      </c>
      <c r="Z308" s="1">
        <f t="shared" si="104"/>
        <v>1</v>
      </c>
      <c r="AA308" s="1">
        <f t="shared" si="105"/>
        <v>0</v>
      </c>
      <c r="AB308" s="1">
        <f t="shared" si="106"/>
        <v>0</v>
      </c>
      <c r="AD308" s="1">
        <f t="shared" si="107"/>
        <v>0</v>
      </c>
      <c r="AE308" s="1">
        <f t="shared" si="108"/>
        <v>1</v>
      </c>
      <c r="AF308" s="1">
        <f t="shared" si="109"/>
        <v>0</v>
      </c>
      <c r="AG308" s="1">
        <f t="shared" si="110"/>
        <v>1</v>
      </c>
      <c r="AH308" s="1">
        <f t="shared" si="111"/>
        <v>0</v>
      </c>
      <c r="AI308" s="1">
        <f t="shared" si="11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571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704</v>
      </c>
      <c r="L309" s="10" t="s">
        <v>704</v>
      </c>
      <c r="M309" s="19" t="s">
        <v>705</v>
      </c>
      <c r="N309" s="19"/>
      <c r="Q309" s="16"/>
      <c r="S309" s="1">
        <f t="shared" si="97"/>
        <v>0</v>
      </c>
      <c r="T309" s="1">
        <f t="shared" si="98"/>
        <v>0</v>
      </c>
      <c r="U309" s="1">
        <f t="shared" si="99"/>
        <v>0</v>
      </c>
      <c r="V309" s="1">
        <f t="shared" si="100"/>
        <v>0</v>
      </c>
      <c r="W309" s="1">
        <f t="shared" si="101"/>
        <v>0</v>
      </c>
      <c r="X309" s="1">
        <f t="shared" si="102"/>
        <v>0</v>
      </c>
      <c r="Y309" s="1">
        <f t="shared" si="103"/>
        <v>0</v>
      </c>
      <c r="Z309" s="1">
        <f t="shared" si="104"/>
        <v>0</v>
      </c>
      <c r="AA309" s="1">
        <f t="shared" si="105"/>
        <v>0</v>
      </c>
      <c r="AB309" s="1">
        <f t="shared" si="106"/>
        <v>0</v>
      </c>
      <c r="AD309" s="1">
        <f t="shared" si="107"/>
        <v>0</v>
      </c>
      <c r="AE309" s="1">
        <f t="shared" si="108"/>
        <v>0</v>
      </c>
      <c r="AF309" s="1">
        <f t="shared" si="109"/>
        <v>0</v>
      </c>
      <c r="AG309" s="1">
        <f t="shared" si="110"/>
        <v>0</v>
      </c>
      <c r="AH309" s="1">
        <f t="shared" si="111"/>
        <v>0</v>
      </c>
      <c r="AI309" s="1">
        <f t="shared" si="11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658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942</v>
      </c>
      <c r="L310" s="33" t="s">
        <v>704</v>
      </c>
      <c r="M310" s="34" t="s">
        <v>705</v>
      </c>
      <c r="N310" s="34" t="s">
        <v>1704</v>
      </c>
      <c r="O310" s="35">
        <v>1</v>
      </c>
      <c r="P310" s="35"/>
      <c r="Q310" s="32"/>
      <c r="S310" s="1">
        <f t="shared" si="97"/>
        <v>0</v>
      </c>
      <c r="T310" s="1">
        <f t="shared" si="98"/>
        <v>0</v>
      </c>
      <c r="U310" s="1">
        <f t="shared" si="99"/>
        <v>0</v>
      </c>
      <c r="V310" s="1">
        <f t="shared" si="100"/>
        <v>0</v>
      </c>
      <c r="W310" s="1">
        <f t="shared" si="101"/>
        <v>0</v>
      </c>
      <c r="X310" s="1">
        <f t="shared" si="102"/>
        <v>0</v>
      </c>
      <c r="Y310" s="1">
        <f t="shared" si="103"/>
        <v>0</v>
      </c>
      <c r="Z310" s="1">
        <f t="shared" si="104"/>
        <v>0</v>
      </c>
      <c r="AA310" s="1">
        <f t="shared" si="105"/>
        <v>0</v>
      </c>
      <c r="AB310" s="1">
        <f t="shared" si="106"/>
        <v>0</v>
      </c>
      <c r="AD310" s="1">
        <f t="shared" si="107"/>
        <v>0</v>
      </c>
      <c r="AE310" s="1">
        <f t="shared" si="108"/>
        <v>1</v>
      </c>
      <c r="AF310" s="1">
        <f t="shared" si="109"/>
        <v>0</v>
      </c>
      <c r="AG310" s="1">
        <f t="shared" si="110"/>
        <v>1</v>
      </c>
      <c r="AH310" s="1">
        <f t="shared" si="111"/>
        <v>0</v>
      </c>
      <c r="AI310" s="1">
        <f t="shared" si="11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555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935</v>
      </c>
      <c r="L311" s="33" t="s">
        <v>704</v>
      </c>
      <c r="M311" s="34" t="s">
        <v>705</v>
      </c>
      <c r="N311" s="34" t="s">
        <v>1709</v>
      </c>
      <c r="O311" s="35">
        <v>1</v>
      </c>
      <c r="P311" s="35"/>
      <c r="Q311" s="32"/>
      <c r="S311" s="1">
        <f t="shared" si="97"/>
        <v>0</v>
      </c>
      <c r="T311" s="1">
        <f t="shared" si="98"/>
        <v>0</v>
      </c>
      <c r="U311" s="1">
        <f t="shared" si="99"/>
        <v>0</v>
      </c>
      <c r="V311" s="1">
        <f t="shared" si="100"/>
        <v>0</v>
      </c>
      <c r="W311" s="1">
        <f t="shared" si="101"/>
        <v>0</v>
      </c>
      <c r="X311" s="1">
        <f t="shared" si="102"/>
        <v>0</v>
      </c>
      <c r="Y311" s="1">
        <f t="shared" si="103"/>
        <v>1</v>
      </c>
      <c r="Z311" s="1">
        <f t="shared" si="104"/>
        <v>0</v>
      </c>
      <c r="AA311" s="1">
        <f t="shared" si="105"/>
        <v>0</v>
      </c>
      <c r="AB311" s="1">
        <f t="shared" si="106"/>
        <v>0</v>
      </c>
      <c r="AD311" s="1">
        <f t="shared" si="107"/>
        <v>0</v>
      </c>
      <c r="AE311" s="1">
        <f t="shared" si="108"/>
        <v>1</v>
      </c>
      <c r="AF311" s="1">
        <f t="shared" si="109"/>
        <v>0</v>
      </c>
      <c r="AG311" s="1">
        <f t="shared" si="110"/>
        <v>1</v>
      </c>
      <c r="AH311" s="1">
        <f t="shared" si="111"/>
        <v>0</v>
      </c>
      <c r="AI311" s="1">
        <f t="shared" si="112"/>
        <v>1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554</v>
      </c>
      <c r="E312" s="32" t="s">
        <v>555</v>
      </c>
      <c r="F312" s="32" t="s">
        <v>556</v>
      </c>
      <c r="G312" s="32" t="s">
        <v>207</v>
      </c>
      <c r="H312" s="32" t="s">
        <v>352</v>
      </c>
      <c r="I312" s="31" t="s">
        <v>557</v>
      </c>
      <c r="J312" s="31">
        <v>3</v>
      </c>
      <c r="K312" s="33" t="s">
        <v>703</v>
      </c>
      <c r="L312" s="33" t="s">
        <v>704</v>
      </c>
      <c r="M312" s="34" t="s">
        <v>705</v>
      </c>
      <c r="N312" s="34" t="s">
        <v>1699</v>
      </c>
      <c r="O312" s="35">
        <v>1</v>
      </c>
      <c r="P312" s="35">
        <v>1</v>
      </c>
      <c r="Q312" s="32"/>
      <c r="S312" s="1">
        <f t="shared" si="97"/>
        <v>0</v>
      </c>
      <c r="T312" s="1">
        <f t="shared" si="98"/>
        <v>0</v>
      </c>
      <c r="U312" s="1">
        <f t="shared" si="99"/>
        <v>1</v>
      </c>
      <c r="V312" s="1">
        <f t="shared" si="100"/>
        <v>0</v>
      </c>
      <c r="W312" s="1">
        <f t="shared" si="101"/>
        <v>0</v>
      </c>
      <c r="X312" s="1">
        <f t="shared" si="102"/>
        <v>0</v>
      </c>
      <c r="Y312" s="1">
        <f t="shared" si="103"/>
        <v>0</v>
      </c>
      <c r="Z312" s="1">
        <f t="shared" si="104"/>
        <v>0</v>
      </c>
      <c r="AA312" s="1">
        <f t="shared" si="105"/>
        <v>0</v>
      </c>
      <c r="AB312" s="1">
        <f t="shared" si="106"/>
        <v>0</v>
      </c>
      <c r="AD312" s="1">
        <f t="shared" si="107"/>
        <v>1</v>
      </c>
      <c r="AE312" s="1">
        <f t="shared" si="108"/>
        <v>0</v>
      </c>
      <c r="AF312" s="1">
        <f t="shared" si="109"/>
        <v>1</v>
      </c>
      <c r="AG312" s="1">
        <f t="shared" si="110"/>
        <v>0</v>
      </c>
      <c r="AH312" s="1">
        <f t="shared" si="111"/>
        <v>1</v>
      </c>
      <c r="AI312" s="1">
        <f t="shared" si="11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1034</v>
      </c>
      <c r="E313" s="36" t="s">
        <v>32</v>
      </c>
      <c r="F313" s="36" t="s">
        <v>1251</v>
      </c>
      <c r="G313" s="36" t="s">
        <v>531</v>
      </c>
      <c r="H313" s="36" t="s">
        <v>352</v>
      </c>
      <c r="I313" s="37" t="s">
        <v>1252</v>
      </c>
      <c r="J313" s="37">
        <v>6</v>
      </c>
      <c r="K313" s="50" t="s">
        <v>704</v>
      </c>
      <c r="L313" s="33" t="s">
        <v>704</v>
      </c>
      <c r="M313" s="34" t="s">
        <v>705</v>
      </c>
      <c r="N313" s="34" t="s">
        <v>1708</v>
      </c>
      <c r="O313" s="35">
        <v>1</v>
      </c>
      <c r="P313" s="35"/>
      <c r="Q313" s="36"/>
      <c r="S313" s="1">
        <f t="shared" si="97"/>
        <v>0</v>
      </c>
      <c r="T313" s="1">
        <f t="shared" si="98"/>
        <v>0</v>
      </c>
      <c r="U313" s="1">
        <f t="shared" si="99"/>
        <v>0</v>
      </c>
      <c r="V313" s="1">
        <f t="shared" si="100"/>
        <v>0</v>
      </c>
      <c r="W313" s="1">
        <f t="shared" si="101"/>
        <v>0</v>
      </c>
      <c r="X313" s="1">
        <f t="shared" si="102"/>
        <v>1</v>
      </c>
      <c r="Y313" s="1">
        <f t="shared" si="103"/>
        <v>0</v>
      </c>
      <c r="Z313" s="1">
        <f t="shared" si="104"/>
        <v>0</v>
      </c>
      <c r="AA313" s="1">
        <f t="shared" si="105"/>
        <v>0</v>
      </c>
      <c r="AB313" s="1">
        <f t="shared" si="106"/>
        <v>0</v>
      </c>
      <c r="AD313" s="1">
        <f t="shared" si="107"/>
        <v>0</v>
      </c>
      <c r="AE313" s="1">
        <f t="shared" si="108"/>
        <v>1</v>
      </c>
      <c r="AF313" s="1">
        <f t="shared" si="109"/>
        <v>0</v>
      </c>
      <c r="AG313" s="1">
        <f t="shared" si="110"/>
        <v>1</v>
      </c>
      <c r="AH313" s="1">
        <f t="shared" si="111"/>
        <v>0</v>
      </c>
      <c r="AI313" s="1">
        <f t="shared" si="11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900</v>
      </c>
      <c r="E314" s="45" t="s">
        <v>1307</v>
      </c>
      <c r="F314" s="45" t="s">
        <v>774</v>
      </c>
      <c r="G314" s="45" t="s">
        <v>256</v>
      </c>
      <c r="H314" s="45" t="s">
        <v>352</v>
      </c>
      <c r="I314" s="44" t="s">
        <v>926</v>
      </c>
      <c r="J314" s="44">
        <v>99</v>
      </c>
      <c r="K314" s="46" t="s">
        <v>703</v>
      </c>
      <c r="L314" s="46" t="s">
        <v>704</v>
      </c>
      <c r="M314" s="47" t="s">
        <v>705</v>
      </c>
      <c r="N314" s="47" t="s">
        <v>1700</v>
      </c>
      <c r="O314" s="48"/>
      <c r="P314" s="48"/>
      <c r="Q314" s="45"/>
      <c r="S314" s="1">
        <f t="shared" si="97"/>
        <v>0</v>
      </c>
      <c r="T314" s="1">
        <f t="shared" si="98"/>
        <v>0</v>
      </c>
      <c r="U314" s="1">
        <f t="shared" si="99"/>
        <v>0</v>
      </c>
      <c r="V314" s="1">
        <f t="shared" si="100"/>
        <v>0</v>
      </c>
      <c r="W314" s="1">
        <f t="shared" si="101"/>
        <v>0</v>
      </c>
      <c r="X314" s="1">
        <f t="shared" si="102"/>
        <v>0</v>
      </c>
      <c r="Y314" s="1">
        <f t="shared" si="103"/>
        <v>0</v>
      </c>
      <c r="Z314" s="1">
        <f t="shared" si="104"/>
        <v>0</v>
      </c>
      <c r="AA314" s="1">
        <f t="shared" si="105"/>
        <v>0</v>
      </c>
      <c r="AB314" s="1">
        <f t="shared" si="106"/>
        <v>0</v>
      </c>
      <c r="AD314" s="1">
        <f t="shared" si="107"/>
        <v>0</v>
      </c>
      <c r="AE314" s="1">
        <f t="shared" si="108"/>
        <v>0</v>
      </c>
      <c r="AF314" s="1">
        <f t="shared" si="109"/>
        <v>0</v>
      </c>
      <c r="AG314" s="1">
        <f t="shared" si="110"/>
        <v>0</v>
      </c>
      <c r="AH314" s="1">
        <f t="shared" si="111"/>
        <v>0</v>
      </c>
      <c r="AI314" s="1">
        <f t="shared" si="11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1731</v>
      </c>
      <c r="E315" s="36" t="s">
        <v>1732</v>
      </c>
      <c r="F315" s="36" t="s">
        <v>1733</v>
      </c>
      <c r="G315" s="36" t="s">
        <v>179</v>
      </c>
      <c r="H315" s="36" t="s">
        <v>352</v>
      </c>
      <c r="I315" s="37" t="s">
        <v>1734</v>
      </c>
      <c r="J315" s="37"/>
      <c r="K315" s="50" t="s">
        <v>694</v>
      </c>
      <c r="L315" s="33">
        <v>4</v>
      </c>
      <c r="M315" s="34" t="s">
        <v>705</v>
      </c>
      <c r="N315" s="34" t="s">
        <v>1704</v>
      </c>
      <c r="O315" s="35">
        <v>1</v>
      </c>
      <c r="P315" s="35"/>
      <c r="Q315" s="36"/>
      <c r="S315" s="1">
        <f t="shared" si="97"/>
        <v>0</v>
      </c>
      <c r="T315" s="1">
        <f t="shared" si="98"/>
        <v>0</v>
      </c>
      <c r="U315" s="1">
        <f t="shared" si="99"/>
        <v>0</v>
      </c>
      <c r="V315" s="1">
        <f t="shared" si="100"/>
        <v>0</v>
      </c>
      <c r="W315" s="1">
        <f t="shared" si="101"/>
        <v>0</v>
      </c>
      <c r="X315" s="1">
        <f t="shared" si="102"/>
        <v>0</v>
      </c>
      <c r="Y315" s="1">
        <f t="shared" si="103"/>
        <v>0</v>
      </c>
      <c r="Z315" s="1">
        <f t="shared" si="104"/>
        <v>0</v>
      </c>
      <c r="AA315" s="1">
        <f t="shared" si="105"/>
        <v>0</v>
      </c>
      <c r="AB315" s="1">
        <f t="shared" si="106"/>
        <v>0</v>
      </c>
      <c r="AD315" s="1">
        <f t="shared" si="107"/>
        <v>0</v>
      </c>
      <c r="AE315" s="1">
        <f t="shared" si="108"/>
        <v>1</v>
      </c>
      <c r="AF315" s="1">
        <f t="shared" si="109"/>
        <v>0</v>
      </c>
      <c r="AG315" s="1">
        <f t="shared" si="110"/>
        <v>1</v>
      </c>
      <c r="AH315" s="1">
        <f t="shared" si="111"/>
        <v>0</v>
      </c>
      <c r="AI315" s="1">
        <f t="shared" si="11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611</v>
      </c>
      <c r="E316" s="32" t="s">
        <v>612</v>
      </c>
      <c r="F316" s="32" t="s">
        <v>613</v>
      </c>
      <c r="G316" s="32" t="s">
        <v>614</v>
      </c>
      <c r="H316" s="32" t="s">
        <v>352</v>
      </c>
      <c r="I316" s="31" t="s">
        <v>615</v>
      </c>
      <c r="J316" s="31">
        <v>99</v>
      </c>
      <c r="K316" s="33" t="s">
        <v>703</v>
      </c>
      <c r="L316" s="33" t="s">
        <v>704</v>
      </c>
      <c r="M316" s="34" t="s">
        <v>705</v>
      </c>
      <c r="N316" s="34" t="s">
        <v>1716</v>
      </c>
      <c r="O316" s="35">
        <v>1</v>
      </c>
      <c r="P316" s="35"/>
      <c r="Q316" s="32"/>
      <c r="S316" s="1">
        <f t="shared" si="97"/>
        <v>0</v>
      </c>
      <c r="T316" s="1">
        <f t="shared" si="98"/>
        <v>0</v>
      </c>
      <c r="U316" s="1">
        <f t="shared" si="99"/>
        <v>0</v>
      </c>
      <c r="V316" s="1">
        <f t="shared" si="100"/>
        <v>0</v>
      </c>
      <c r="W316" s="1">
        <f t="shared" si="101"/>
        <v>0</v>
      </c>
      <c r="X316" s="1">
        <f t="shared" si="102"/>
        <v>0</v>
      </c>
      <c r="Y316" s="1">
        <f t="shared" si="103"/>
        <v>0</v>
      </c>
      <c r="Z316" s="1">
        <f t="shared" si="104"/>
        <v>0</v>
      </c>
      <c r="AA316" s="1">
        <f t="shared" si="105"/>
        <v>0</v>
      </c>
      <c r="AB316" s="1">
        <f t="shared" si="106"/>
        <v>0</v>
      </c>
      <c r="AD316" s="1">
        <f t="shared" si="107"/>
        <v>0</v>
      </c>
      <c r="AE316" s="1">
        <f t="shared" si="108"/>
        <v>1</v>
      </c>
      <c r="AF316" s="1">
        <f t="shared" si="109"/>
        <v>0</v>
      </c>
      <c r="AG316" s="1">
        <f t="shared" si="110"/>
        <v>1</v>
      </c>
      <c r="AH316" s="1">
        <f t="shared" si="111"/>
        <v>0</v>
      </c>
      <c r="AI316" s="1">
        <f t="shared" si="11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1061</v>
      </c>
      <c r="E317" s="32" t="s">
        <v>1308</v>
      </c>
      <c r="F317" s="32" t="s">
        <v>1630</v>
      </c>
      <c r="G317" s="32" t="s">
        <v>189</v>
      </c>
      <c r="H317" s="32" t="s">
        <v>352</v>
      </c>
      <c r="I317" s="31" t="s">
        <v>1820</v>
      </c>
      <c r="J317" s="31">
        <v>99</v>
      </c>
      <c r="K317" s="33" t="s">
        <v>703</v>
      </c>
      <c r="L317" s="33" t="s">
        <v>704</v>
      </c>
      <c r="M317" s="34" t="s">
        <v>705</v>
      </c>
      <c r="N317" s="34" t="s">
        <v>1704</v>
      </c>
      <c r="O317" s="35">
        <v>1</v>
      </c>
      <c r="P317" s="35"/>
      <c r="Q317" s="32"/>
      <c r="S317" s="1">
        <f t="shared" si="97"/>
        <v>0</v>
      </c>
      <c r="T317" s="1">
        <f t="shared" si="98"/>
        <v>0</v>
      </c>
      <c r="U317" s="1">
        <f t="shared" si="99"/>
        <v>0</v>
      </c>
      <c r="V317" s="1">
        <f t="shared" si="100"/>
        <v>0</v>
      </c>
      <c r="W317" s="1">
        <f t="shared" si="101"/>
        <v>0</v>
      </c>
      <c r="X317" s="1">
        <f t="shared" si="102"/>
        <v>0</v>
      </c>
      <c r="Y317" s="1">
        <f t="shared" si="103"/>
        <v>0</v>
      </c>
      <c r="Z317" s="1">
        <f t="shared" si="104"/>
        <v>0</v>
      </c>
      <c r="AA317" s="1">
        <f t="shared" si="105"/>
        <v>0</v>
      </c>
      <c r="AB317" s="1">
        <f t="shared" si="106"/>
        <v>0</v>
      </c>
      <c r="AD317" s="1">
        <f t="shared" si="107"/>
        <v>0</v>
      </c>
      <c r="AE317" s="1">
        <f t="shared" si="108"/>
        <v>1</v>
      </c>
      <c r="AF317" s="1">
        <f t="shared" si="109"/>
        <v>0</v>
      </c>
      <c r="AG317" s="1">
        <f t="shared" si="110"/>
        <v>1</v>
      </c>
      <c r="AH317" s="1">
        <f t="shared" si="111"/>
        <v>0</v>
      </c>
      <c r="AI317" s="1">
        <f t="shared" si="11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643</v>
      </c>
      <c r="E318" s="16" t="s">
        <v>36</v>
      </c>
      <c r="F318" s="16" t="s">
        <v>659</v>
      </c>
      <c r="G318" s="16" t="s">
        <v>200</v>
      </c>
      <c r="H318" s="16" t="s">
        <v>352</v>
      </c>
      <c r="I318" s="15" t="s">
        <v>986</v>
      </c>
      <c r="J318" s="15">
        <v>99</v>
      </c>
      <c r="K318" s="10" t="s">
        <v>694</v>
      </c>
      <c r="L318" s="10">
        <v>4</v>
      </c>
      <c r="M318" s="19" t="s">
        <v>705</v>
      </c>
      <c r="N318" s="17"/>
      <c r="Q318" s="16"/>
      <c r="S318" s="1">
        <f t="shared" si="97"/>
        <v>0</v>
      </c>
      <c r="T318" s="1">
        <f t="shared" si="98"/>
        <v>0</v>
      </c>
      <c r="U318" s="1">
        <f t="shared" si="99"/>
        <v>0</v>
      </c>
      <c r="V318" s="1">
        <f t="shared" si="100"/>
        <v>0</v>
      </c>
      <c r="W318" s="1">
        <f t="shared" si="101"/>
        <v>0</v>
      </c>
      <c r="X318" s="1">
        <f t="shared" si="102"/>
        <v>0</v>
      </c>
      <c r="Y318" s="1">
        <f t="shared" si="103"/>
        <v>0</v>
      </c>
      <c r="Z318" s="1">
        <f t="shared" si="104"/>
        <v>0</v>
      </c>
      <c r="AA318" s="1">
        <f t="shared" si="105"/>
        <v>0</v>
      </c>
      <c r="AB318" s="1">
        <f t="shared" si="106"/>
        <v>0</v>
      </c>
      <c r="AD318" s="1">
        <f t="shared" si="107"/>
        <v>0</v>
      </c>
      <c r="AE318" s="1">
        <f t="shared" si="108"/>
        <v>0</v>
      </c>
      <c r="AF318" s="1">
        <f t="shared" si="109"/>
        <v>0</v>
      </c>
      <c r="AG318" s="1">
        <f t="shared" si="110"/>
        <v>0</v>
      </c>
      <c r="AH318" s="1">
        <f t="shared" si="111"/>
        <v>0</v>
      </c>
      <c r="AI318" s="1">
        <f t="shared" si="112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1238</v>
      </c>
      <c r="E319" s="32" t="s">
        <v>1239</v>
      </c>
      <c r="F319" s="32" t="s">
        <v>1240</v>
      </c>
      <c r="G319" s="32" t="s">
        <v>1143</v>
      </c>
      <c r="H319" s="32" t="s">
        <v>352</v>
      </c>
      <c r="I319" s="31" t="s">
        <v>1241</v>
      </c>
      <c r="J319" s="31">
        <v>11</v>
      </c>
      <c r="K319" s="33" t="s">
        <v>694</v>
      </c>
      <c r="L319" s="33">
        <v>6</v>
      </c>
      <c r="M319" s="34" t="s">
        <v>1694</v>
      </c>
      <c r="N319" s="34" t="s">
        <v>1808</v>
      </c>
      <c r="O319" s="35">
        <v>1</v>
      </c>
      <c r="P319" s="35"/>
      <c r="Q319" s="32"/>
      <c r="S319" s="1">
        <f t="shared" si="97"/>
        <v>0</v>
      </c>
      <c r="T319" s="1">
        <f t="shared" si="98"/>
        <v>0</v>
      </c>
      <c r="U319" s="1">
        <f t="shared" si="99"/>
        <v>0</v>
      </c>
      <c r="V319" s="1">
        <f t="shared" si="100"/>
        <v>0</v>
      </c>
      <c r="W319" s="1">
        <f t="shared" si="101"/>
        <v>0</v>
      </c>
      <c r="X319" s="1">
        <f t="shared" si="102"/>
        <v>0</v>
      </c>
      <c r="Y319" s="1">
        <f t="shared" si="103"/>
        <v>0</v>
      </c>
      <c r="Z319" s="1">
        <f t="shared" si="104"/>
        <v>0</v>
      </c>
      <c r="AA319" s="1">
        <f t="shared" si="105"/>
        <v>0</v>
      </c>
      <c r="AB319" s="1">
        <f t="shared" si="106"/>
        <v>0</v>
      </c>
      <c r="AD319" s="1">
        <f t="shared" si="107"/>
        <v>0</v>
      </c>
      <c r="AE319" s="1">
        <f t="shared" si="108"/>
        <v>1</v>
      </c>
      <c r="AF319" s="1">
        <f t="shared" si="109"/>
        <v>0</v>
      </c>
      <c r="AG319" s="1">
        <f t="shared" si="110"/>
        <v>1</v>
      </c>
      <c r="AH319" s="1">
        <f t="shared" si="111"/>
        <v>0</v>
      </c>
      <c r="AI319" s="1">
        <f t="shared" si="11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1104</v>
      </c>
      <c r="E320" s="32" t="s">
        <v>1288</v>
      </c>
      <c r="F320" s="32" t="s">
        <v>1102</v>
      </c>
      <c r="G320" s="32" t="s">
        <v>229</v>
      </c>
      <c r="H320" s="32" t="s">
        <v>352</v>
      </c>
      <c r="I320" s="31" t="s">
        <v>1103</v>
      </c>
      <c r="J320" s="31">
        <v>7</v>
      </c>
      <c r="K320" s="33" t="s">
        <v>704</v>
      </c>
      <c r="L320" s="33" t="s">
        <v>1675</v>
      </c>
      <c r="M320" s="34" t="s">
        <v>705</v>
      </c>
      <c r="N320" s="34" t="s">
        <v>1716</v>
      </c>
      <c r="O320" s="35">
        <v>1</v>
      </c>
      <c r="P320" s="35"/>
      <c r="Q320" s="32"/>
      <c r="S320" s="1">
        <f t="shared" si="97"/>
        <v>0</v>
      </c>
      <c r="T320" s="1">
        <f t="shared" si="98"/>
        <v>0</v>
      </c>
      <c r="U320" s="1">
        <f t="shared" si="99"/>
        <v>0</v>
      </c>
      <c r="V320" s="1">
        <f t="shared" si="100"/>
        <v>0</v>
      </c>
      <c r="W320" s="1">
        <f t="shared" si="101"/>
        <v>0</v>
      </c>
      <c r="X320" s="1">
        <f t="shared" si="102"/>
        <v>0</v>
      </c>
      <c r="Y320" s="1">
        <f t="shared" si="103"/>
        <v>1</v>
      </c>
      <c r="Z320" s="1">
        <f t="shared" si="104"/>
        <v>0</v>
      </c>
      <c r="AA320" s="1">
        <f t="shared" si="105"/>
        <v>0</v>
      </c>
      <c r="AB320" s="1">
        <f t="shared" si="106"/>
        <v>0</v>
      </c>
      <c r="AD320" s="1">
        <f t="shared" si="107"/>
        <v>0</v>
      </c>
      <c r="AE320" s="1">
        <f t="shared" si="108"/>
        <v>1</v>
      </c>
      <c r="AF320" s="1">
        <f t="shared" si="109"/>
        <v>0</v>
      </c>
      <c r="AG320" s="1">
        <f t="shared" si="110"/>
        <v>1</v>
      </c>
      <c r="AH320" s="1">
        <f t="shared" si="111"/>
        <v>0</v>
      </c>
      <c r="AI320" s="1">
        <f t="shared" si="11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989</v>
      </c>
      <c r="E321" s="32" t="s">
        <v>1310</v>
      </c>
      <c r="F321" s="32" t="s">
        <v>990</v>
      </c>
      <c r="G321" s="32" t="s">
        <v>1081</v>
      </c>
      <c r="H321" s="32" t="s">
        <v>352</v>
      </c>
      <c r="I321" s="31" t="s">
        <v>406</v>
      </c>
      <c r="J321" s="31">
        <v>99</v>
      </c>
      <c r="K321" s="33" t="s">
        <v>704</v>
      </c>
      <c r="L321" s="33" t="s">
        <v>704</v>
      </c>
      <c r="M321" s="34" t="s">
        <v>705</v>
      </c>
      <c r="N321" s="34" t="s">
        <v>1704</v>
      </c>
      <c r="O321" s="35">
        <v>1</v>
      </c>
      <c r="P321" s="35"/>
      <c r="Q321" s="32"/>
      <c r="S321" s="1">
        <f t="shared" si="97"/>
        <v>0</v>
      </c>
      <c r="T321" s="1">
        <f t="shared" si="98"/>
        <v>0</v>
      </c>
      <c r="U321" s="1">
        <f t="shared" si="99"/>
        <v>0</v>
      </c>
      <c r="V321" s="1">
        <f t="shared" si="100"/>
        <v>0</v>
      </c>
      <c r="W321" s="1">
        <f t="shared" si="101"/>
        <v>0</v>
      </c>
      <c r="X321" s="1">
        <f t="shared" si="102"/>
        <v>0</v>
      </c>
      <c r="Y321" s="1">
        <f t="shared" si="103"/>
        <v>0</v>
      </c>
      <c r="Z321" s="1">
        <f t="shared" si="104"/>
        <v>0</v>
      </c>
      <c r="AA321" s="1">
        <f t="shared" si="105"/>
        <v>0</v>
      </c>
      <c r="AB321" s="1">
        <f t="shared" si="106"/>
        <v>0</v>
      </c>
      <c r="AD321" s="1">
        <f t="shared" si="107"/>
        <v>0</v>
      </c>
      <c r="AE321" s="1">
        <f t="shared" si="108"/>
        <v>1</v>
      </c>
      <c r="AF321" s="1">
        <f t="shared" si="109"/>
        <v>0</v>
      </c>
      <c r="AG321" s="1">
        <f t="shared" si="110"/>
        <v>1</v>
      </c>
      <c r="AH321" s="1">
        <f t="shared" si="111"/>
        <v>0</v>
      </c>
      <c r="AI321" s="1">
        <f t="shared" si="11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1111</v>
      </c>
      <c r="E322" s="32" t="s">
        <v>555</v>
      </c>
      <c r="F322" s="32" t="s">
        <v>1327</v>
      </c>
      <c r="G322" s="32" t="s">
        <v>264</v>
      </c>
      <c r="H322" s="32" t="s">
        <v>352</v>
      </c>
      <c r="I322" s="31" t="s">
        <v>1112</v>
      </c>
      <c r="J322" s="31">
        <v>8</v>
      </c>
      <c r="K322" s="33" t="s">
        <v>703</v>
      </c>
      <c r="L322" s="33" t="s">
        <v>1675</v>
      </c>
      <c r="M322" s="34" t="s">
        <v>705</v>
      </c>
      <c r="N322" s="34" t="s">
        <v>1708</v>
      </c>
      <c r="O322" s="35">
        <v>1</v>
      </c>
      <c r="P322" s="35"/>
      <c r="Q322" s="32"/>
      <c r="S322" s="1">
        <f t="shared" si="97"/>
        <v>0</v>
      </c>
      <c r="T322" s="1">
        <f t="shared" si="98"/>
        <v>0</v>
      </c>
      <c r="U322" s="1">
        <f t="shared" si="99"/>
        <v>0</v>
      </c>
      <c r="V322" s="1">
        <f t="shared" si="100"/>
        <v>0</v>
      </c>
      <c r="W322" s="1">
        <f t="shared" si="101"/>
        <v>0</v>
      </c>
      <c r="X322" s="1">
        <f t="shared" si="102"/>
        <v>0</v>
      </c>
      <c r="Y322" s="1">
        <f t="shared" si="103"/>
        <v>0</v>
      </c>
      <c r="Z322" s="1">
        <f t="shared" si="104"/>
        <v>1</v>
      </c>
      <c r="AA322" s="1">
        <f t="shared" si="105"/>
        <v>0</v>
      </c>
      <c r="AB322" s="1">
        <f t="shared" si="106"/>
        <v>0</v>
      </c>
      <c r="AD322" s="1">
        <f t="shared" si="107"/>
        <v>0</v>
      </c>
      <c r="AE322" s="1">
        <f t="shared" si="108"/>
        <v>1</v>
      </c>
      <c r="AF322" s="1">
        <f t="shared" si="109"/>
        <v>0</v>
      </c>
      <c r="AG322" s="1">
        <f t="shared" si="110"/>
        <v>1</v>
      </c>
      <c r="AH322" s="1">
        <f t="shared" si="111"/>
        <v>0</v>
      </c>
      <c r="AI322" s="1">
        <f t="shared" si="11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1260</v>
      </c>
      <c r="E323" s="32" t="s">
        <v>1308</v>
      </c>
      <c r="F323" s="32" t="s">
        <v>1257</v>
      </c>
      <c r="G323" s="32" t="s">
        <v>1258</v>
      </c>
      <c r="H323" s="32" t="s">
        <v>352</v>
      </c>
      <c r="I323" s="31" t="s">
        <v>1259</v>
      </c>
      <c r="J323" s="31">
        <v>1</v>
      </c>
      <c r="K323" s="33" t="s">
        <v>703</v>
      </c>
      <c r="L323" s="33" t="s">
        <v>704</v>
      </c>
      <c r="M323" s="34" t="s">
        <v>705</v>
      </c>
      <c r="N323" s="34" t="s">
        <v>1721</v>
      </c>
      <c r="O323" s="35">
        <v>1</v>
      </c>
      <c r="P323" s="35"/>
      <c r="Q323" s="32" t="s">
        <v>1860</v>
      </c>
      <c r="S323" s="1">
        <f t="shared" si="97"/>
        <v>1</v>
      </c>
      <c r="T323" s="1">
        <f t="shared" si="98"/>
        <v>0</v>
      </c>
      <c r="U323" s="1">
        <f t="shared" si="99"/>
        <v>0</v>
      </c>
      <c r="V323" s="1">
        <f t="shared" si="100"/>
        <v>0</v>
      </c>
      <c r="W323" s="1">
        <f t="shared" si="101"/>
        <v>0</v>
      </c>
      <c r="X323" s="1">
        <f t="shared" si="102"/>
        <v>0</v>
      </c>
      <c r="Y323" s="1">
        <f t="shared" si="103"/>
        <v>0</v>
      </c>
      <c r="Z323" s="1">
        <f t="shared" si="104"/>
        <v>0</v>
      </c>
      <c r="AA323" s="1">
        <f t="shared" si="105"/>
        <v>0</v>
      </c>
      <c r="AB323" s="1">
        <f t="shared" si="106"/>
        <v>0</v>
      </c>
      <c r="AD323" s="1">
        <f t="shared" si="107"/>
        <v>0</v>
      </c>
      <c r="AE323" s="1">
        <f t="shared" si="108"/>
        <v>1</v>
      </c>
      <c r="AF323" s="1">
        <f t="shared" si="109"/>
        <v>0</v>
      </c>
      <c r="AG323" s="1">
        <f t="shared" si="110"/>
        <v>1</v>
      </c>
      <c r="AH323" s="1">
        <f t="shared" si="111"/>
        <v>0</v>
      </c>
      <c r="AI323" s="1">
        <f t="shared" si="11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703</v>
      </c>
      <c r="L324" s="10" t="s">
        <v>704</v>
      </c>
      <c r="M324" s="19" t="s">
        <v>705</v>
      </c>
      <c r="N324" s="19"/>
      <c r="Q324" s="16"/>
      <c r="S324" s="1">
        <f t="shared" si="97"/>
        <v>0</v>
      </c>
      <c r="T324" s="1">
        <f t="shared" si="98"/>
        <v>0</v>
      </c>
      <c r="U324" s="1">
        <f t="shared" si="99"/>
        <v>0</v>
      </c>
      <c r="V324" s="1">
        <f t="shared" si="100"/>
        <v>0</v>
      </c>
      <c r="W324" s="1">
        <f t="shared" si="101"/>
        <v>0</v>
      </c>
      <c r="X324" s="1">
        <f t="shared" si="102"/>
        <v>0</v>
      </c>
      <c r="Y324" s="1">
        <f t="shared" si="103"/>
        <v>0</v>
      </c>
      <c r="Z324" s="1">
        <f t="shared" si="104"/>
        <v>0</v>
      </c>
      <c r="AA324" s="1">
        <f t="shared" si="105"/>
        <v>0</v>
      </c>
      <c r="AB324" s="1">
        <f t="shared" si="106"/>
        <v>0</v>
      </c>
      <c r="AD324" s="1">
        <f t="shared" si="107"/>
        <v>0</v>
      </c>
      <c r="AE324" s="1">
        <f t="shared" si="108"/>
        <v>0</v>
      </c>
      <c r="AF324" s="1">
        <f t="shared" si="109"/>
        <v>0</v>
      </c>
      <c r="AG324" s="1">
        <f t="shared" si="110"/>
        <v>0</v>
      </c>
      <c r="AH324" s="1">
        <f t="shared" si="111"/>
        <v>0</v>
      </c>
      <c r="AI324" s="1">
        <f t="shared" si="11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555</v>
      </c>
      <c r="F325" s="32" t="s">
        <v>1031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935</v>
      </c>
      <c r="L325" s="33" t="s">
        <v>704</v>
      </c>
      <c r="M325" s="34" t="s">
        <v>705</v>
      </c>
      <c r="N325" s="34" t="s">
        <v>1704</v>
      </c>
      <c r="O325" s="35">
        <v>1</v>
      </c>
      <c r="P325" s="35"/>
      <c r="Q325" s="32"/>
      <c r="S325" s="1">
        <f t="shared" si="97"/>
        <v>0</v>
      </c>
      <c r="T325" s="1">
        <f t="shared" si="98"/>
        <v>0</v>
      </c>
      <c r="U325" s="1">
        <f t="shared" si="99"/>
        <v>0</v>
      </c>
      <c r="V325" s="1">
        <f t="shared" si="100"/>
        <v>0</v>
      </c>
      <c r="W325" s="1">
        <f t="shared" si="101"/>
        <v>0</v>
      </c>
      <c r="X325" s="1">
        <f t="shared" si="102"/>
        <v>0</v>
      </c>
      <c r="Y325" s="1">
        <f t="shared" si="103"/>
        <v>0</v>
      </c>
      <c r="Z325" s="1">
        <f t="shared" si="104"/>
        <v>0</v>
      </c>
      <c r="AA325" s="1">
        <f t="shared" si="105"/>
        <v>0</v>
      </c>
      <c r="AB325" s="1">
        <f t="shared" si="106"/>
        <v>0</v>
      </c>
      <c r="AD325" s="1">
        <f t="shared" si="107"/>
        <v>0</v>
      </c>
      <c r="AE325" s="1">
        <f t="shared" si="108"/>
        <v>1</v>
      </c>
      <c r="AF325" s="1">
        <f t="shared" si="109"/>
        <v>0</v>
      </c>
      <c r="AG325" s="1">
        <f t="shared" si="110"/>
        <v>1</v>
      </c>
      <c r="AH325" s="1">
        <f t="shared" si="111"/>
        <v>0</v>
      </c>
      <c r="AI325" s="1">
        <f t="shared" si="11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936</v>
      </c>
      <c r="L326" s="33" t="s">
        <v>704</v>
      </c>
      <c r="M326" s="34" t="s">
        <v>705</v>
      </c>
      <c r="N326" s="34" t="s">
        <v>1704</v>
      </c>
      <c r="O326" s="35">
        <v>1</v>
      </c>
      <c r="P326" s="35"/>
      <c r="Q326" s="32"/>
      <c r="S326" s="1">
        <f t="shared" si="97"/>
        <v>0</v>
      </c>
      <c r="T326" s="1">
        <f t="shared" si="98"/>
        <v>0</v>
      </c>
      <c r="U326" s="1">
        <f t="shared" si="99"/>
        <v>0</v>
      </c>
      <c r="V326" s="1">
        <f t="shared" si="100"/>
        <v>0</v>
      </c>
      <c r="W326" s="1">
        <f t="shared" si="101"/>
        <v>0</v>
      </c>
      <c r="X326" s="1">
        <f t="shared" si="102"/>
        <v>0</v>
      </c>
      <c r="Y326" s="1">
        <f t="shared" si="103"/>
        <v>0</v>
      </c>
      <c r="Z326" s="1">
        <f t="shared" si="104"/>
        <v>0</v>
      </c>
      <c r="AA326" s="1">
        <f t="shared" si="105"/>
        <v>0</v>
      </c>
      <c r="AB326" s="1">
        <f t="shared" si="106"/>
        <v>1</v>
      </c>
      <c r="AD326" s="1">
        <f t="shared" si="107"/>
        <v>0</v>
      </c>
      <c r="AE326" s="1">
        <f t="shared" si="108"/>
        <v>1</v>
      </c>
      <c r="AF326" s="1">
        <f t="shared" si="109"/>
        <v>0</v>
      </c>
      <c r="AG326" s="1">
        <f t="shared" si="110"/>
        <v>1</v>
      </c>
      <c r="AH326" s="1">
        <f t="shared" si="111"/>
        <v>0</v>
      </c>
      <c r="AI326" s="1">
        <f t="shared" si="11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644</v>
      </c>
      <c r="E327" s="32" t="s">
        <v>159</v>
      </c>
      <c r="F327" s="32" t="s">
        <v>187</v>
      </c>
      <c r="G327" s="32" t="s">
        <v>660</v>
      </c>
      <c r="H327" s="32" t="s">
        <v>352</v>
      </c>
      <c r="I327" s="31" t="s">
        <v>382</v>
      </c>
      <c r="J327" s="31">
        <v>99</v>
      </c>
      <c r="K327" s="33" t="s">
        <v>703</v>
      </c>
      <c r="L327" s="33" t="s">
        <v>704</v>
      </c>
      <c r="M327" s="34" t="s">
        <v>705</v>
      </c>
      <c r="N327" s="34" t="s">
        <v>1716</v>
      </c>
      <c r="O327" s="35">
        <v>1</v>
      </c>
      <c r="P327" s="35"/>
      <c r="Q327" s="32"/>
      <c r="S327" s="1">
        <f t="shared" si="97"/>
        <v>0</v>
      </c>
      <c r="T327" s="1">
        <f t="shared" si="98"/>
        <v>0</v>
      </c>
      <c r="U327" s="1">
        <f t="shared" si="99"/>
        <v>0</v>
      </c>
      <c r="V327" s="1">
        <f t="shared" si="100"/>
        <v>0</v>
      </c>
      <c r="W327" s="1">
        <f t="shared" si="101"/>
        <v>0</v>
      </c>
      <c r="X327" s="1">
        <f t="shared" si="102"/>
        <v>0</v>
      </c>
      <c r="Y327" s="1">
        <f t="shared" si="103"/>
        <v>0</v>
      </c>
      <c r="Z327" s="1">
        <f t="shared" si="104"/>
        <v>0</v>
      </c>
      <c r="AA327" s="1">
        <f t="shared" si="105"/>
        <v>0</v>
      </c>
      <c r="AB327" s="1">
        <f t="shared" si="106"/>
        <v>0</v>
      </c>
      <c r="AD327" s="1">
        <f t="shared" si="107"/>
        <v>0</v>
      </c>
      <c r="AE327" s="1">
        <f t="shared" si="108"/>
        <v>1</v>
      </c>
      <c r="AF327" s="1">
        <f t="shared" si="109"/>
        <v>0</v>
      </c>
      <c r="AG327" s="1">
        <f t="shared" si="110"/>
        <v>1</v>
      </c>
      <c r="AH327" s="1">
        <f t="shared" si="111"/>
        <v>0</v>
      </c>
      <c r="AI327" s="1">
        <f t="shared" si="11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1278</v>
      </c>
      <c r="E328" s="32" t="s">
        <v>36</v>
      </c>
      <c r="F328" s="32" t="s">
        <v>1279</v>
      </c>
      <c r="G328" s="32" t="s">
        <v>257</v>
      </c>
      <c r="H328" s="32" t="s">
        <v>352</v>
      </c>
      <c r="I328" s="31" t="s">
        <v>1280</v>
      </c>
      <c r="J328" s="31">
        <v>8</v>
      </c>
      <c r="K328" s="33" t="s">
        <v>940</v>
      </c>
      <c r="L328" s="33" t="s">
        <v>704</v>
      </c>
      <c r="M328" s="34" t="s">
        <v>705</v>
      </c>
      <c r="N328" s="34" t="s">
        <v>1699</v>
      </c>
      <c r="O328" s="35">
        <v>1</v>
      </c>
      <c r="P328" s="35">
        <v>1</v>
      </c>
      <c r="Q328" s="32"/>
      <c r="S328" s="1">
        <f t="shared" si="97"/>
        <v>0</v>
      </c>
      <c r="T328" s="1">
        <f t="shared" si="98"/>
        <v>0</v>
      </c>
      <c r="U328" s="1">
        <f t="shared" si="99"/>
        <v>0</v>
      </c>
      <c r="V328" s="1">
        <f t="shared" si="100"/>
        <v>0</v>
      </c>
      <c r="W328" s="1">
        <f t="shared" si="101"/>
        <v>0</v>
      </c>
      <c r="X328" s="1">
        <f t="shared" si="102"/>
        <v>0</v>
      </c>
      <c r="Y328" s="1">
        <f t="shared" si="103"/>
        <v>0</v>
      </c>
      <c r="Z328" s="1">
        <f t="shared" si="104"/>
        <v>1</v>
      </c>
      <c r="AA328" s="1">
        <f t="shared" si="105"/>
        <v>0</v>
      </c>
      <c r="AB328" s="1">
        <f t="shared" si="106"/>
        <v>0</v>
      </c>
      <c r="AD328" s="1">
        <f t="shared" si="107"/>
        <v>1</v>
      </c>
      <c r="AE328" s="1">
        <f t="shared" si="108"/>
        <v>0</v>
      </c>
      <c r="AF328" s="1">
        <f t="shared" si="109"/>
        <v>1</v>
      </c>
      <c r="AG328" s="1">
        <f t="shared" si="110"/>
        <v>0</v>
      </c>
      <c r="AH328" s="1">
        <f t="shared" si="111"/>
        <v>1</v>
      </c>
      <c r="AI328" s="1">
        <f t="shared" si="11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555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936</v>
      </c>
      <c r="L329" s="33" t="s">
        <v>704</v>
      </c>
      <c r="M329" s="34" t="s">
        <v>39</v>
      </c>
      <c r="N329" s="34" t="s">
        <v>1704</v>
      </c>
      <c r="O329" s="35">
        <v>1</v>
      </c>
      <c r="P329" s="35"/>
      <c r="Q329" s="32"/>
      <c r="S329" s="1">
        <f t="shared" si="97"/>
        <v>1</v>
      </c>
      <c r="T329" s="1">
        <f t="shared" si="98"/>
        <v>0</v>
      </c>
      <c r="U329" s="1">
        <f t="shared" si="99"/>
        <v>0</v>
      </c>
      <c r="V329" s="1">
        <f t="shared" si="100"/>
        <v>0</v>
      </c>
      <c r="W329" s="1">
        <f t="shared" si="101"/>
        <v>0</v>
      </c>
      <c r="X329" s="1">
        <f t="shared" si="102"/>
        <v>0</v>
      </c>
      <c r="Y329" s="1">
        <f t="shared" si="103"/>
        <v>0</v>
      </c>
      <c r="Z329" s="1">
        <f t="shared" si="104"/>
        <v>0</v>
      </c>
      <c r="AA329" s="1">
        <f t="shared" si="105"/>
        <v>0</v>
      </c>
      <c r="AB329" s="1">
        <f t="shared" si="106"/>
        <v>0</v>
      </c>
      <c r="AD329" s="1">
        <f t="shared" si="107"/>
        <v>0</v>
      </c>
      <c r="AE329" s="1">
        <f t="shared" si="108"/>
        <v>1</v>
      </c>
      <c r="AF329" s="1">
        <f t="shared" si="109"/>
        <v>0</v>
      </c>
      <c r="AG329" s="1">
        <f t="shared" si="110"/>
        <v>1</v>
      </c>
      <c r="AH329" s="1">
        <f t="shared" si="111"/>
        <v>0</v>
      </c>
      <c r="AI329" s="1">
        <f t="shared" si="11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703</v>
      </c>
      <c r="L330" s="33" t="s">
        <v>704</v>
      </c>
      <c r="M330" s="34" t="s">
        <v>705</v>
      </c>
      <c r="N330" s="34" t="s">
        <v>1721</v>
      </c>
      <c r="O330" s="35">
        <v>1</v>
      </c>
      <c r="P330" s="35"/>
      <c r="Q330" s="32"/>
      <c r="S330" s="1">
        <f t="shared" si="97"/>
        <v>0</v>
      </c>
      <c r="T330" s="1">
        <f t="shared" si="98"/>
        <v>0</v>
      </c>
      <c r="U330" s="1">
        <f t="shared" si="99"/>
        <v>0</v>
      </c>
      <c r="V330" s="1">
        <f t="shared" si="100"/>
        <v>0</v>
      </c>
      <c r="W330" s="1">
        <f t="shared" si="101"/>
        <v>0</v>
      </c>
      <c r="X330" s="1">
        <f t="shared" si="102"/>
        <v>0</v>
      </c>
      <c r="Y330" s="1">
        <f t="shared" si="103"/>
        <v>1</v>
      </c>
      <c r="Z330" s="1">
        <f t="shared" si="104"/>
        <v>0</v>
      </c>
      <c r="AA330" s="1">
        <f t="shared" si="105"/>
        <v>0</v>
      </c>
      <c r="AB330" s="1">
        <f t="shared" si="106"/>
        <v>0</v>
      </c>
      <c r="AD330" s="1">
        <f t="shared" si="107"/>
        <v>0</v>
      </c>
      <c r="AE330" s="1">
        <f t="shared" si="108"/>
        <v>1</v>
      </c>
      <c r="AF330" s="1">
        <f t="shared" si="109"/>
        <v>0</v>
      </c>
      <c r="AG330" s="1">
        <f t="shared" si="110"/>
        <v>1</v>
      </c>
      <c r="AH330" s="1">
        <f t="shared" si="111"/>
        <v>0</v>
      </c>
      <c r="AI330" s="1">
        <f t="shared" si="11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1614</v>
      </c>
      <c r="E331" s="32" t="s">
        <v>555</v>
      </c>
      <c r="F331" s="32" t="s">
        <v>1330</v>
      </c>
      <c r="G331" s="32" t="s">
        <v>1258</v>
      </c>
      <c r="H331" s="32" t="s">
        <v>352</v>
      </c>
      <c r="I331" s="31" t="s">
        <v>1145</v>
      </c>
      <c r="J331" s="31">
        <v>99</v>
      </c>
      <c r="K331" s="33" t="s">
        <v>703</v>
      </c>
      <c r="L331" s="33" t="s">
        <v>704</v>
      </c>
      <c r="M331" s="34" t="s">
        <v>705</v>
      </c>
      <c r="N331" s="34" t="s">
        <v>1708</v>
      </c>
      <c r="O331" s="35">
        <v>1</v>
      </c>
      <c r="P331" s="35"/>
      <c r="Q331" s="32" t="s">
        <v>1859</v>
      </c>
      <c r="S331" s="1">
        <f t="shared" si="97"/>
        <v>0</v>
      </c>
      <c r="T331" s="1">
        <f t="shared" si="98"/>
        <v>0</v>
      </c>
      <c r="U331" s="1">
        <f t="shared" si="99"/>
        <v>0</v>
      </c>
      <c r="V331" s="1">
        <f t="shared" si="100"/>
        <v>0</v>
      </c>
      <c r="W331" s="1">
        <f t="shared" si="101"/>
        <v>0</v>
      </c>
      <c r="X331" s="1">
        <f t="shared" si="102"/>
        <v>0</v>
      </c>
      <c r="Y331" s="1">
        <f t="shared" si="103"/>
        <v>0</v>
      </c>
      <c r="Z331" s="1">
        <f t="shared" si="104"/>
        <v>0</v>
      </c>
      <c r="AA331" s="1">
        <f t="shared" si="105"/>
        <v>0</v>
      </c>
      <c r="AB331" s="1">
        <f t="shared" si="106"/>
        <v>0</v>
      </c>
      <c r="AD331" s="1">
        <f t="shared" si="107"/>
        <v>0</v>
      </c>
      <c r="AE331" s="1">
        <f t="shared" si="108"/>
        <v>1</v>
      </c>
      <c r="AF331" s="1">
        <f t="shared" si="109"/>
        <v>0</v>
      </c>
      <c r="AG331" s="1">
        <f t="shared" si="110"/>
        <v>1</v>
      </c>
      <c r="AH331" s="1">
        <f t="shared" si="111"/>
        <v>0</v>
      </c>
      <c r="AI331" s="1">
        <f t="shared" si="11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1742</v>
      </c>
      <c r="E332" s="32" t="s">
        <v>1743</v>
      </c>
      <c r="F332" s="32" t="s">
        <v>1744</v>
      </c>
      <c r="G332" s="32" t="s">
        <v>1745</v>
      </c>
      <c r="H332" s="32" t="s">
        <v>352</v>
      </c>
      <c r="I332" s="31"/>
      <c r="J332" s="31">
        <v>1</v>
      </c>
      <c r="K332" s="33" t="s">
        <v>694</v>
      </c>
      <c r="L332" s="33"/>
      <c r="M332" s="34"/>
      <c r="N332" s="34" t="s">
        <v>1704</v>
      </c>
      <c r="O332" s="35">
        <v>1</v>
      </c>
      <c r="P332" s="35"/>
      <c r="Q332" s="32" t="s">
        <v>1867</v>
      </c>
      <c r="S332" s="1">
        <f t="shared" si="97"/>
        <v>1</v>
      </c>
      <c r="T332" s="1">
        <f t="shared" si="98"/>
        <v>0</v>
      </c>
      <c r="U332" s="1">
        <f t="shared" si="99"/>
        <v>0</v>
      </c>
      <c r="V332" s="1">
        <f t="shared" si="100"/>
        <v>0</v>
      </c>
      <c r="W332" s="1">
        <f t="shared" si="101"/>
        <v>0</v>
      </c>
      <c r="X332" s="1">
        <f t="shared" si="102"/>
        <v>0</v>
      </c>
      <c r="Y332" s="1">
        <f t="shared" si="103"/>
        <v>0</v>
      </c>
      <c r="Z332" s="1">
        <f t="shared" si="104"/>
        <v>0</v>
      </c>
      <c r="AA332" s="1">
        <f t="shared" si="105"/>
        <v>0</v>
      </c>
      <c r="AB332" s="1">
        <f t="shared" si="106"/>
        <v>0</v>
      </c>
      <c r="AD332" s="1">
        <f t="shared" si="107"/>
        <v>0</v>
      </c>
      <c r="AE332" s="1">
        <f t="shared" si="108"/>
        <v>1</v>
      </c>
      <c r="AF332" s="1">
        <f t="shared" si="109"/>
        <v>0</v>
      </c>
      <c r="AG332" s="1">
        <f t="shared" si="110"/>
        <v>1</v>
      </c>
      <c r="AH332" s="1">
        <f t="shared" si="111"/>
        <v>0</v>
      </c>
      <c r="AI332" s="1">
        <f t="shared" si="11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1292</v>
      </c>
      <c r="E333" s="63" t="s">
        <v>1312</v>
      </c>
      <c r="F333" s="63" t="s">
        <v>1275</v>
      </c>
      <c r="G333" s="63" t="s">
        <v>1276</v>
      </c>
      <c r="H333" s="63" t="s">
        <v>352</v>
      </c>
      <c r="I333" s="62" t="s">
        <v>1277</v>
      </c>
      <c r="J333" s="62">
        <v>99</v>
      </c>
      <c r="K333" s="64" t="s">
        <v>936</v>
      </c>
      <c r="L333" s="64" t="s">
        <v>704</v>
      </c>
      <c r="M333" s="65" t="s">
        <v>705</v>
      </c>
      <c r="N333" s="65" t="s">
        <v>1877</v>
      </c>
      <c r="O333" s="66">
        <v>1</v>
      </c>
      <c r="P333" s="66"/>
      <c r="Q333" s="63"/>
      <c r="S333" s="1">
        <f t="shared" si="97"/>
        <v>0</v>
      </c>
      <c r="T333" s="1">
        <f t="shared" si="98"/>
        <v>0</v>
      </c>
      <c r="U333" s="1">
        <f t="shared" si="99"/>
        <v>0</v>
      </c>
      <c r="V333" s="1">
        <f t="shared" si="100"/>
        <v>0</v>
      </c>
      <c r="W333" s="1">
        <f t="shared" si="101"/>
        <v>0</v>
      </c>
      <c r="X333" s="1">
        <f t="shared" si="102"/>
        <v>0</v>
      </c>
      <c r="Y333" s="1">
        <f t="shared" si="103"/>
        <v>0</v>
      </c>
      <c r="Z333" s="1">
        <f t="shared" si="104"/>
        <v>0</v>
      </c>
      <c r="AA333" s="1">
        <f t="shared" si="105"/>
        <v>0</v>
      </c>
      <c r="AB333" s="1">
        <f t="shared" si="106"/>
        <v>0</v>
      </c>
      <c r="AD333" s="1">
        <f t="shared" si="107"/>
        <v>0</v>
      </c>
      <c r="AE333" s="1">
        <f t="shared" si="108"/>
        <v>1</v>
      </c>
      <c r="AF333" s="1">
        <f t="shared" si="109"/>
        <v>0</v>
      </c>
      <c r="AG333" s="1">
        <f t="shared" si="110"/>
        <v>1</v>
      </c>
      <c r="AH333" s="1">
        <f t="shared" si="111"/>
        <v>0</v>
      </c>
      <c r="AI333" s="1">
        <f t="shared" si="11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1287</v>
      </c>
      <c r="E334" s="16" t="s">
        <v>159</v>
      </c>
      <c r="F334" s="16" t="s">
        <v>1289</v>
      </c>
      <c r="G334" s="16" t="s">
        <v>1290</v>
      </c>
      <c r="H334" s="16" t="s">
        <v>352</v>
      </c>
      <c r="I334" s="15" t="s">
        <v>1291</v>
      </c>
      <c r="J334" s="15">
        <v>8</v>
      </c>
      <c r="K334" s="10" t="s">
        <v>704</v>
      </c>
      <c r="L334" s="10" t="s">
        <v>704</v>
      </c>
      <c r="M334" s="19" t="s">
        <v>705</v>
      </c>
      <c r="N334" s="19"/>
      <c r="Q334" s="16"/>
      <c r="S334" s="1">
        <f t="shared" si="97"/>
        <v>0</v>
      </c>
      <c r="T334" s="1">
        <f t="shared" si="98"/>
        <v>0</v>
      </c>
      <c r="U334" s="1">
        <f t="shared" si="99"/>
        <v>0</v>
      </c>
      <c r="V334" s="1">
        <f t="shared" si="100"/>
        <v>0</v>
      </c>
      <c r="W334" s="1">
        <f t="shared" si="101"/>
        <v>0</v>
      </c>
      <c r="X334" s="1">
        <f t="shared" si="102"/>
        <v>0</v>
      </c>
      <c r="Y334" s="1">
        <f t="shared" si="103"/>
        <v>0</v>
      </c>
      <c r="Z334" s="1">
        <f t="shared" si="104"/>
        <v>1</v>
      </c>
      <c r="AA334" s="1">
        <f t="shared" si="105"/>
        <v>0</v>
      </c>
      <c r="AB334" s="1">
        <f t="shared" si="106"/>
        <v>0</v>
      </c>
      <c r="AD334" s="1">
        <f t="shared" si="107"/>
        <v>0</v>
      </c>
      <c r="AE334" s="1">
        <f t="shared" si="108"/>
        <v>0</v>
      </c>
      <c r="AF334" s="1">
        <f t="shared" si="109"/>
        <v>0</v>
      </c>
      <c r="AG334" s="1">
        <f t="shared" si="110"/>
        <v>0</v>
      </c>
      <c r="AH334" s="1">
        <f t="shared" si="111"/>
        <v>0</v>
      </c>
      <c r="AI334" s="1">
        <f t="shared" si="11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1613</v>
      </c>
      <c r="E335" s="32" t="s">
        <v>1146</v>
      </c>
      <c r="F335" s="32" t="s">
        <v>1646</v>
      </c>
      <c r="G335" s="32" t="s">
        <v>189</v>
      </c>
      <c r="H335" s="32" t="s">
        <v>352</v>
      </c>
      <c r="I335" s="31" t="s">
        <v>1574</v>
      </c>
      <c r="J335" s="31">
        <v>99</v>
      </c>
      <c r="K335" s="33" t="s">
        <v>704</v>
      </c>
      <c r="L335" s="33" t="s">
        <v>687</v>
      </c>
      <c r="M335" s="34" t="s">
        <v>1575</v>
      </c>
      <c r="N335" s="34" t="s">
        <v>1721</v>
      </c>
      <c r="O335" s="35">
        <v>1</v>
      </c>
      <c r="P335" s="35"/>
      <c r="Q335" s="32"/>
      <c r="S335" s="1">
        <f t="shared" si="97"/>
        <v>0</v>
      </c>
      <c r="T335" s="1">
        <f t="shared" si="98"/>
        <v>0</v>
      </c>
      <c r="U335" s="1">
        <f t="shared" si="99"/>
        <v>0</v>
      </c>
      <c r="V335" s="1">
        <f t="shared" si="100"/>
        <v>0</v>
      </c>
      <c r="W335" s="1">
        <f t="shared" si="101"/>
        <v>0</v>
      </c>
      <c r="X335" s="1">
        <f t="shared" si="102"/>
        <v>0</v>
      </c>
      <c r="Y335" s="1">
        <f t="shared" si="103"/>
        <v>0</v>
      </c>
      <c r="Z335" s="1">
        <f t="shared" si="104"/>
        <v>0</v>
      </c>
      <c r="AA335" s="1">
        <f t="shared" si="105"/>
        <v>0</v>
      </c>
      <c r="AB335" s="1">
        <f t="shared" si="106"/>
        <v>0</v>
      </c>
      <c r="AD335" s="1">
        <f t="shared" si="107"/>
        <v>0</v>
      </c>
      <c r="AE335" s="1">
        <f t="shared" si="108"/>
        <v>1</v>
      </c>
      <c r="AF335" s="1">
        <f t="shared" si="109"/>
        <v>0</v>
      </c>
      <c r="AG335" s="1">
        <f t="shared" si="110"/>
        <v>1</v>
      </c>
      <c r="AH335" s="1">
        <f t="shared" si="111"/>
        <v>0</v>
      </c>
      <c r="AI335" s="1">
        <f t="shared" si="11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936</v>
      </c>
      <c r="L336" s="33" t="s">
        <v>687</v>
      </c>
      <c r="M336" s="34" t="s">
        <v>706</v>
      </c>
      <c r="N336" s="34" t="s">
        <v>1704</v>
      </c>
      <c r="O336" s="35">
        <v>1</v>
      </c>
      <c r="P336" s="35"/>
      <c r="Q336" s="32"/>
      <c r="S336" s="1">
        <f t="shared" si="97"/>
        <v>0</v>
      </c>
      <c r="T336" s="1">
        <f t="shared" si="98"/>
        <v>1</v>
      </c>
      <c r="U336" s="1">
        <f t="shared" si="99"/>
        <v>0</v>
      </c>
      <c r="V336" s="1">
        <f t="shared" si="100"/>
        <v>0</v>
      </c>
      <c r="W336" s="1">
        <f t="shared" si="101"/>
        <v>0</v>
      </c>
      <c r="X336" s="1">
        <f t="shared" si="102"/>
        <v>0</v>
      </c>
      <c r="Y336" s="1">
        <f t="shared" si="103"/>
        <v>0</v>
      </c>
      <c r="Z336" s="1">
        <f t="shared" si="104"/>
        <v>0</v>
      </c>
      <c r="AA336" s="1">
        <f t="shared" si="105"/>
        <v>0</v>
      </c>
      <c r="AB336" s="1">
        <f t="shared" si="106"/>
        <v>0</v>
      </c>
      <c r="AD336" s="1">
        <f t="shared" si="107"/>
        <v>0</v>
      </c>
      <c r="AE336" s="1">
        <f t="shared" si="108"/>
        <v>1</v>
      </c>
      <c r="AF336" s="1">
        <f t="shared" si="109"/>
        <v>0</v>
      </c>
      <c r="AG336" s="1">
        <f t="shared" si="110"/>
        <v>1</v>
      </c>
      <c r="AH336" s="1">
        <f t="shared" si="111"/>
        <v>0</v>
      </c>
      <c r="AI336" s="1">
        <f t="shared" si="11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1787</v>
      </c>
      <c r="E337" s="32" t="s">
        <v>1788</v>
      </c>
      <c r="F337" s="32" t="s">
        <v>1789</v>
      </c>
      <c r="G337" s="32" t="s">
        <v>195</v>
      </c>
      <c r="H337" s="32" t="s">
        <v>352</v>
      </c>
      <c r="I337" s="31" t="s">
        <v>1790</v>
      </c>
      <c r="J337" s="31"/>
      <c r="K337" s="33" t="s">
        <v>694</v>
      </c>
      <c r="L337" s="33">
        <v>20</v>
      </c>
      <c r="M337" s="34" t="s">
        <v>1791</v>
      </c>
      <c r="N337" s="34" t="s">
        <v>1708</v>
      </c>
      <c r="O337" s="35">
        <v>1</v>
      </c>
      <c r="P337" s="35"/>
      <c r="Q337" s="32"/>
      <c r="S337" s="1">
        <f t="shared" si="97"/>
        <v>0</v>
      </c>
      <c r="T337" s="1">
        <f t="shared" si="98"/>
        <v>0</v>
      </c>
      <c r="U337" s="1">
        <f t="shared" si="99"/>
        <v>0</v>
      </c>
      <c r="V337" s="1">
        <f t="shared" si="100"/>
        <v>0</v>
      </c>
      <c r="W337" s="1">
        <f t="shared" si="101"/>
        <v>0</v>
      </c>
      <c r="X337" s="1">
        <f t="shared" si="102"/>
        <v>0</v>
      </c>
      <c r="Y337" s="1">
        <f t="shared" si="103"/>
        <v>0</v>
      </c>
      <c r="Z337" s="1">
        <f t="shared" si="104"/>
        <v>0</v>
      </c>
      <c r="AA337" s="1">
        <f t="shared" si="105"/>
        <v>0</v>
      </c>
      <c r="AB337" s="1">
        <f t="shared" si="106"/>
        <v>0</v>
      </c>
      <c r="AD337" s="1">
        <f t="shared" si="107"/>
        <v>0</v>
      </c>
      <c r="AE337" s="1">
        <f t="shared" si="108"/>
        <v>1</v>
      </c>
      <c r="AF337" s="1">
        <f t="shared" si="109"/>
        <v>0</v>
      </c>
      <c r="AG337" s="1">
        <f t="shared" si="110"/>
        <v>1</v>
      </c>
      <c r="AH337" s="1">
        <f t="shared" si="111"/>
        <v>0</v>
      </c>
      <c r="AI337" s="1">
        <f t="shared" si="11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2095</v>
      </c>
      <c r="E338" s="36" t="s">
        <v>2093</v>
      </c>
      <c r="F338" s="36" t="s">
        <v>2094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694</v>
      </c>
      <c r="L338" s="33"/>
      <c r="M338" s="34"/>
      <c r="N338" s="34" t="s">
        <v>1693</v>
      </c>
      <c r="O338" s="35">
        <v>1</v>
      </c>
      <c r="P338" s="35">
        <v>1</v>
      </c>
      <c r="Q338" s="36"/>
      <c r="S338" s="1">
        <f t="shared" si="97"/>
        <v>0</v>
      </c>
      <c r="T338" s="1">
        <f t="shared" si="98"/>
        <v>1</v>
      </c>
      <c r="U338" s="1">
        <f t="shared" si="99"/>
        <v>0</v>
      </c>
      <c r="V338" s="1">
        <f t="shared" si="100"/>
        <v>0</v>
      </c>
      <c r="W338" s="1">
        <f t="shared" si="101"/>
        <v>0</v>
      </c>
      <c r="X338" s="1">
        <f t="shared" si="102"/>
        <v>0</v>
      </c>
      <c r="Y338" s="1">
        <f t="shared" si="103"/>
        <v>0</v>
      </c>
      <c r="Z338" s="1">
        <f t="shared" si="104"/>
        <v>0</v>
      </c>
      <c r="AA338" s="1">
        <f t="shared" si="105"/>
        <v>0</v>
      </c>
      <c r="AB338" s="1">
        <f t="shared" si="106"/>
        <v>0</v>
      </c>
      <c r="AD338" s="1">
        <f t="shared" si="107"/>
        <v>1</v>
      </c>
      <c r="AE338" s="1">
        <f t="shared" si="108"/>
        <v>0</v>
      </c>
      <c r="AF338" s="1">
        <f t="shared" si="109"/>
        <v>1</v>
      </c>
      <c r="AG338" s="1">
        <f t="shared" si="110"/>
        <v>0</v>
      </c>
      <c r="AH338" s="1">
        <f t="shared" si="111"/>
        <v>1</v>
      </c>
      <c r="AI338" s="1">
        <f t="shared" si="11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1543</v>
      </c>
      <c r="E339" s="32" t="s">
        <v>1544</v>
      </c>
      <c r="F339" s="32" t="s">
        <v>1546</v>
      </c>
      <c r="G339" s="32" t="s">
        <v>1547</v>
      </c>
      <c r="H339" s="32" t="s">
        <v>352</v>
      </c>
      <c r="I339" s="31" t="s">
        <v>1545</v>
      </c>
      <c r="J339" s="31">
        <v>99</v>
      </c>
      <c r="K339" s="33" t="s">
        <v>694</v>
      </c>
      <c r="L339" s="33">
        <v>18</v>
      </c>
      <c r="M339" s="34" t="s">
        <v>1548</v>
      </c>
      <c r="N339" s="34" t="s">
        <v>1708</v>
      </c>
      <c r="O339" s="35">
        <v>1</v>
      </c>
      <c r="P339" s="35"/>
      <c r="Q339" s="32"/>
      <c r="S339" s="1">
        <f t="shared" ref="S339:S403" si="113">IF(J339=$S$7,1,0)</f>
        <v>0</v>
      </c>
      <c r="T339" s="1">
        <f t="shared" ref="T339:T403" si="114">IF(J339=$T$7,1,0)</f>
        <v>0</v>
      </c>
      <c r="U339" s="1">
        <f t="shared" ref="U339:U403" si="115">IF(J339=$U$7,1,0)</f>
        <v>0</v>
      </c>
      <c r="V339" s="1">
        <f t="shared" ref="V339:V403" si="116">IF(J339=$V$7,1,0)</f>
        <v>0</v>
      </c>
      <c r="W339" s="1">
        <f t="shared" ref="W339:W403" si="117">IF(J339=$W$7,1,0)</f>
        <v>0</v>
      </c>
      <c r="X339" s="1">
        <f t="shared" ref="X339:X403" si="118">IF(J339=$X$7,1,0)</f>
        <v>0</v>
      </c>
      <c r="Y339" s="1">
        <f t="shared" ref="Y339:Y403" si="119">IF(J339=$Y$7,1,0)</f>
        <v>0</v>
      </c>
      <c r="Z339" s="1">
        <f t="shared" ref="Z339:Z403" si="120">IF(J339=$Z$7,1,0)</f>
        <v>0</v>
      </c>
      <c r="AA339" s="1">
        <f t="shared" ref="AA339:AA403" si="121">IF(J339=$AA$7,1,0)</f>
        <v>0</v>
      </c>
      <c r="AB339" s="1">
        <f t="shared" ref="AB339:AB403" si="122">IF(J339=$AB$7,1,0)</f>
        <v>0</v>
      </c>
      <c r="AD339" s="1">
        <f t="shared" ref="AD339:AD403" si="123">+O339*P339</f>
        <v>0</v>
      </c>
      <c r="AE339" s="1">
        <f t="shared" ref="AE339:AE403" si="124">O339*(1-P339)</f>
        <v>1</v>
      </c>
      <c r="AF339" s="1">
        <f t="shared" si="109"/>
        <v>0</v>
      </c>
      <c r="AG339" s="1">
        <f t="shared" si="110"/>
        <v>1</v>
      </c>
      <c r="AH339" s="1">
        <f t="shared" si="111"/>
        <v>0</v>
      </c>
      <c r="AI339" s="1">
        <f t="shared" si="11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942</v>
      </c>
      <c r="L340" s="33" t="s">
        <v>707</v>
      </c>
      <c r="M340" s="34" t="s">
        <v>708</v>
      </c>
      <c r="N340" s="34" t="s">
        <v>1704</v>
      </c>
      <c r="O340" s="35">
        <v>1</v>
      </c>
      <c r="P340" s="35"/>
      <c r="Q340" s="32"/>
      <c r="S340" s="1">
        <f t="shared" si="113"/>
        <v>1</v>
      </c>
      <c r="T340" s="1">
        <f t="shared" si="114"/>
        <v>0</v>
      </c>
      <c r="U340" s="1">
        <f t="shared" si="115"/>
        <v>0</v>
      </c>
      <c r="V340" s="1">
        <f t="shared" si="116"/>
        <v>0</v>
      </c>
      <c r="W340" s="1">
        <f t="shared" si="117"/>
        <v>0</v>
      </c>
      <c r="X340" s="1">
        <f t="shared" si="118"/>
        <v>0</v>
      </c>
      <c r="Y340" s="1">
        <f t="shared" si="119"/>
        <v>0</v>
      </c>
      <c r="Z340" s="1">
        <f t="shared" si="120"/>
        <v>0</v>
      </c>
      <c r="AA340" s="1">
        <f t="shared" si="121"/>
        <v>0</v>
      </c>
      <c r="AB340" s="1">
        <f t="shared" si="122"/>
        <v>0</v>
      </c>
      <c r="AD340" s="1">
        <f t="shared" si="123"/>
        <v>0</v>
      </c>
      <c r="AE340" s="1">
        <f t="shared" si="124"/>
        <v>1</v>
      </c>
      <c r="AF340" s="1">
        <f t="shared" ref="AF340:AF404" si="125">+O340*P340*(1-A340)</f>
        <v>0</v>
      </c>
      <c r="AG340" s="1">
        <f t="shared" ref="AG340:AG404" si="126">O340*(1-P340)*(1-A340)</f>
        <v>1</v>
      </c>
      <c r="AH340" s="1">
        <f t="shared" ref="AH340:AH404" si="127">+P340*(1-A340)</f>
        <v>0</v>
      </c>
      <c r="AI340" s="1">
        <f t="shared" ref="AI340:AI404" si="12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1067</v>
      </c>
      <c r="F341" s="32" t="s">
        <v>233</v>
      </c>
      <c r="G341" s="32" t="s">
        <v>234</v>
      </c>
      <c r="H341" s="32" t="s">
        <v>352</v>
      </c>
      <c r="I341" s="31" t="s">
        <v>1337</v>
      </c>
      <c r="J341" s="31">
        <v>99</v>
      </c>
      <c r="K341" s="33" t="s">
        <v>936</v>
      </c>
      <c r="L341" s="33" t="s">
        <v>707</v>
      </c>
      <c r="M341" s="34" t="s">
        <v>709</v>
      </c>
      <c r="N341" s="34" t="s">
        <v>1704</v>
      </c>
      <c r="O341" s="35">
        <v>1</v>
      </c>
      <c r="P341" s="35"/>
      <c r="Q341" s="32"/>
      <c r="S341" s="1">
        <f t="shared" si="113"/>
        <v>0</v>
      </c>
      <c r="T341" s="1">
        <f t="shared" si="114"/>
        <v>0</v>
      </c>
      <c r="U341" s="1">
        <f t="shared" si="115"/>
        <v>0</v>
      </c>
      <c r="V341" s="1">
        <f t="shared" si="116"/>
        <v>0</v>
      </c>
      <c r="W341" s="1">
        <f t="shared" si="117"/>
        <v>0</v>
      </c>
      <c r="X341" s="1">
        <f t="shared" si="118"/>
        <v>0</v>
      </c>
      <c r="Y341" s="1">
        <f t="shared" si="119"/>
        <v>0</v>
      </c>
      <c r="Z341" s="1">
        <f t="shared" si="120"/>
        <v>0</v>
      </c>
      <c r="AA341" s="1">
        <f t="shared" si="121"/>
        <v>0</v>
      </c>
      <c r="AB341" s="1">
        <f t="shared" si="122"/>
        <v>0</v>
      </c>
      <c r="AD341" s="1">
        <f t="shared" si="123"/>
        <v>0</v>
      </c>
      <c r="AE341" s="1">
        <f t="shared" si="124"/>
        <v>1</v>
      </c>
      <c r="AF341" s="1">
        <f t="shared" si="125"/>
        <v>0</v>
      </c>
      <c r="AG341" s="1">
        <f t="shared" si="126"/>
        <v>1</v>
      </c>
      <c r="AH341" s="1">
        <f t="shared" si="127"/>
        <v>0</v>
      </c>
      <c r="AI341" s="1">
        <f t="shared" si="12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1682</v>
      </c>
      <c r="E342" s="32" t="s">
        <v>1684</v>
      </c>
      <c r="F342" s="32" t="s">
        <v>1683</v>
      </c>
      <c r="G342" s="32"/>
      <c r="H342" s="32" t="s">
        <v>352</v>
      </c>
      <c r="I342" s="31" t="s">
        <v>1685</v>
      </c>
      <c r="J342" s="31"/>
      <c r="K342" s="33" t="s">
        <v>694</v>
      </c>
      <c r="L342" s="33"/>
      <c r="M342" s="34"/>
      <c r="N342" s="34" t="s">
        <v>1693</v>
      </c>
      <c r="O342" s="35">
        <v>1</v>
      </c>
      <c r="P342" s="35">
        <v>1</v>
      </c>
      <c r="Q342" s="32"/>
      <c r="S342" s="1">
        <f t="shared" si="113"/>
        <v>0</v>
      </c>
      <c r="T342" s="1">
        <f t="shared" si="114"/>
        <v>0</v>
      </c>
      <c r="U342" s="1">
        <f t="shared" si="115"/>
        <v>0</v>
      </c>
      <c r="V342" s="1">
        <f t="shared" si="116"/>
        <v>0</v>
      </c>
      <c r="W342" s="1">
        <f t="shared" si="117"/>
        <v>0</v>
      </c>
      <c r="X342" s="1">
        <f t="shared" si="118"/>
        <v>0</v>
      </c>
      <c r="Y342" s="1">
        <f t="shared" si="119"/>
        <v>0</v>
      </c>
      <c r="Z342" s="1">
        <f t="shared" si="120"/>
        <v>0</v>
      </c>
      <c r="AA342" s="1">
        <f t="shared" si="121"/>
        <v>0</v>
      </c>
      <c r="AB342" s="1">
        <f t="shared" si="122"/>
        <v>0</v>
      </c>
      <c r="AD342" s="1">
        <f t="shared" si="123"/>
        <v>1</v>
      </c>
      <c r="AE342" s="1">
        <f t="shared" si="124"/>
        <v>0</v>
      </c>
      <c r="AF342" s="1">
        <f t="shared" si="125"/>
        <v>1</v>
      </c>
      <c r="AG342" s="1">
        <f t="shared" si="126"/>
        <v>0</v>
      </c>
      <c r="AH342" s="1">
        <f t="shared" si="127"/>
        <v>1</v>
      </c>
      <c r="AI342" s="1">
        <f t="shared" si="12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772</v>
      </c>
      <c r="E343" s="32" t="s">
        <v>892</v>
      </c>
      <c r="F343" s="32" t="s">
        <v>1538</v>
      </c>
      <c r="G343" s="32" t="s">
        <v>229</v>
      </c>
      <c r="H343" s="32" t="s">
        <v>352</v>
      </c>
      <c r="I343" s="31" t="s">
        <v>1660</v>
      </c>
      <c r="J343" s="31">
        <v>7</v>
      </c>
      <c r="K343" s="33" t="s">
        <v>704</v>
      </c>
      <c r="L343" s="33">
        <v>20</v>
      </c>
      <c r="M343" s="34" t="s">
        <v>39</v>
      </c>
      <c r="N343" s="34" t="s">
        <v>1709</v>
      </c>
      <c r="O343" s="35">
        <v>1</v>
      </c>
      <c r="P343" s="35"/>
      <c r="Q343" s="32"/>
      <c r="S343" s="1">
        <f t="shared" si="113"/>
        <v>0</v>
      </c>
      <c r="T343" s="1">
        <f t="shared" si="114"/>
        <v>0</v>
      </c>
      <c r="U343" s="1">
        <f t="shared" si="115"/>
        <v>0</v>
      </c>
      <c r="V343" s="1">
        <f t="shared" si="116"/>
        <v>0</v>
      </c>
      <c r="W343" s="1">
        <f t="shared" si="117"/>
        <v>0</v>
      </c>
      <c r="X343" s="1">
        <f t="shared" si="118"/>
        <v>0</v>
      </c>
      <c r="Y343" s="1">
        <f t="shared" si="119"/>
        <v>1</v>
      </c>
      <c r="Z343" s="1">
        <f t="shared" si="120"/>
        <v>0</v>
      </c>
      <c r="AA343" s="1">
        <f t="shared" si="121"/>
        <v>0</v>
      </c>
      <c r="AB343" s="1">
        <f t="shared" si="122"/>
        <v>0</v>
      </c>
      <c r="AD343" s="1">
        <f t="shared" si="123"/>
        <v>0</v>
      </c>
      <c r="AE343" s="1">
        <f t="shared" si="124"/>
        <v>1</v>
      </c>
      <c r="AF343" s="1">
        <f t="shared" si="125"/>
        <v>0</v>
      </c>
      <c r="AG343" s="1">
        <f t="shared" si="126"/>
        <v>1</v>
      </c>
      <c r="AH343" s="1">
        <f t="shared" si="127"/>
        <v>0</v>
      </c>
      <c r="AI343" s="1">
        <f t="shared" si="12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837</v>
      </c>
      <c r="E344" s="32" t="s">
        <v>537</v>
      </c>
      <c r="F344" s="32" t="s">
        <v>839</v>
      </c>
      <c r="G344" s="32" t="s">
        <v>219</v>
      </c>
      <c r="H344" s="32" t="s">
        <v>352</v>
      </c>
      <c r="I344" s="31" t="s">
        <v>840</v>
      </c>
      <c r="J344" s="31">
        <v>8</v>
      </c>
      <c r="K344" s="33" t="s">
        <v>704</v>
      </c>
      <c r="L344" s="33" t="s">
        <v>707</v>
      </c>
      <c r="M344" s="34" t="s">
        <v>1383</v>
      </c>
      <c r="N344" s="34" t="s">
        <v>1704</v>
      </c>
      <c r="O344" s="35">
        <v>1</v>
      </c>
      <c r="P344" s="35"/>
      <c r="Q344" s="32"/>
      <c r="S344" s="1">
        <f t="shared" si="113"/>
        <v>0</v>
      </c>
      <c r="T344" s="1">
        <f t="shared" si="114"/>
        <v>0</v>
      </c>
      <c r="U344" s="1">
        <f t="shared" si="115"/>
        <v>0</v>
      </c>
      <c r="V344" s="1">
        <f t="shared" si="116"/>
        <v>0</v>
      </c>
      <c r="W344" s="1">
        <f t="shared" si="117"/>
        <v>0</v>
      </c>
      <c r="X344" s="1">
        <f t="shared" si="118"/>
        <v>0</v>
      </c>
      <c r="Y344" s="1">
        <f t="shared" si="119"/>
        <v>0</v>
      </c>
      <c r="Z344" s="1">
        <f t="shared" si="120"/>
        <v>1</v>
      </c>
      <c r="AA344" s="1">
        <f t="shared" si="121"/>
        <v>0</v>
      </c>
      <c r="AB344" s="1">
        <f t="shared" si="122"/>
        <v>0</v>
      </c>
      <c r="AD344" s="1">
        <f t="shared" si="123"/>
        <v>0</v>
      </c>
      <c r="AE344" s="1">
        <f t="shared" si="124"/>
        <v>1</v>
      </c>
      <c r="AF344" s="1">
        <f t="shared" si="125"/>
        <v>0</v>
      </c>
      <c r="AG344" s="1">
        <f t="shared" si="126"/>
        <v>1</v>
      </c>
      <c r="AH344" s="1">
        <f t="shared" si="127"/>
        <v>0</v>
      </c>
      <c r="AI344" s="1">
        <f t="shared" si="12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837</v>
      </c>
      <c r="E345" s="32" t="s">
        <v>537</v>
      </c>
      <c r="F345" s="32" t="s">
        <v>1326</v>
      </c>
      <c r="G345" s="32" t="s">
        <v>193</v>
      </c>
      <c r="H345" s="32" t="s">
        <v>352</v>
      </c>
      <c r="I345" s="31" t="s">
        <v>838</v>
      </c>
      <c r="J345" s="31">
        <v>9</v>
      </c>
      <c r="K345" s="33" t="s">
        <v>704</v>
      </c>
      <c r="L345" s="33" t="s">
        <v>707</v>
      </c>
      <c r="M345" s="34" t="s">
        <v>1383</v>
      </c>
      <c r="N345" s="34" t="s">
        <v>1704</v>
      </c>
      <c r="O345" s="35">
        <v>1</v>
      </c>
      <c r="P345" s="35"/>
      <c r="Q345" s="32"/>
      <c r="S345" s="1">
        <f t="shared" si="113"/>
        <v>0</v>
      </c>
      <c r="T345" s="1">
        <f t="shared" si="114"/>
        <v>0</v>
      </c>
      <c r="U345" s="1">
        <f t="shared" si="115"/>
        <v>0</v>
      </c>
      <c r="V345" s="1">
        <f t="shared" si="116"/>
        <v>0</v>
      </c>
      <c r="W345" s="1">
        <f t="shared" si="117"/>
        <v>0</v>
      </c>
      <c r="X345" s="1">
        <f t="shared" si="118"/>
        <v>0</v>
      </c>
      <c r="Y345" s="1">
        <f t="shared" si="119"/>
        <v>0</v>
      </c>
      <c r="Z345" s="1">
        <f t="shared" si="120"/>
        <v>0</v>
      </c>
      <c r="AA345" s="1">
        <f t="shared" si="121"/>
        <v>1</v>
      </c>
      <c r="AB345" s="1">
        <f t="shared" si="122"/>
        <v>0</v>
      </c>
      <c r="AD345" s="1">
        <f t="shared" si="123"/>
        <v>0</v>
      </c>
      <c r="AE345" s="1">
        <f t="shared" si="124"/>
        <v>1</v>
      </c>
      <c r="AF345" s="1">
        <f t="shared" si="125"/>
        <v>0</v>
      </c>
      <c r="AG345" s="1">
        <f t="shared" si="126"/>
        <v>0</v>
      </c>
      <c r="AH345" s="1">
        <f t="shared" si="127"/>
        <v>0</v>
      </c>
      <c r="AI345" s="1">
        <f t="shared" si="12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901</v>
      </c>
      <c r="E346" s="32" t="s">
        <v>770</v>
      </c>
      <c r="F346" s="32" t="s">
        <v>771</v>
      </c>
      <c r="G346" s="32" t="s">
        <v>229</v>
      </c>
      <c r="H346" s="32" t="s">
        <v>352</v>
      </c>
      <c r="I346" s="31" t="s">
        <v>773</v>
      </c>
      <c r="J346" s="31">
        <v>7</v>
      </c>
      <c r="K346" s="33" t="s">
        <v>703</v>
      </c>
      <c r="L346" s="33">
        <v>15</v>
      </c>
      <c r="M346" s="34" t="s">
        <v>39</v>
      </c>
      <c r="N346" s="34" t="s">
        <v>1704</v>
      </c>
      <c r="O346" s="35">
        <v>1</v>
      </c>
      <c r="P346" s="35"/>
      <c r="Q346" s="32"/>
      <c r="S346" s="1">
        <f t="shared" si="113"/>
        <v>0</v>
      </c>
      <c r="T346" s="1">
        <f t="shared" si="114"/>
        <v>0</v>
      </c>
      <c r="U346" s="1">
        <f t="shared" si="115"/>
        <v>0</v>
      </c>
      <c r="V346" s="1">
        <f t="shared" si="116"/>
        <v>0</v>
      </c>
      <c r="W346" s="1">
        <f t="shared" si="117"/>
        <v>0</v>
      </c>
      <c r="X346" s="1">
        <f t="shared" si="118"/>
        <v>0</v>
      </c>
      <c r="Y346" s="1">
        <f t="shared" si="119"/>
        <v>1</v>
      </c>
      <c r="Z346" s="1">
        <f t="shared" si="120"/>
        <v>0</v>
      </c>
      <c r="AA346" s="1">
        <f t="shared" si="121"/>
        <v>0</v>
      </c>
      <c r="AB346" s="1">
        <f t="shared" si="122"/>
        <v>0</v>
      </c>
      <c r="AD346" s="1">
        <f t="shared" si="123"/>
        <v>0</v>
      </c>
      <c r="AE346" s="1">
        <f t="shared" si="124"/>
        <v>1</v>
      </c>
      <c r="AF346" s="1">
        <f t="shared" si="125"/>
        <v>0</v>
      </c>
      <c r="AG346" s="1">
        <f t="shared" si="126"/>
        <v>1</v>
      </c>
      <c r="AH346" s="1">
        <f t="shared" si="127"/>
        <v>0</v>
      </c>
      <c r="AI346" s="1">
        <f t="shared" si="12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1831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935</v>
      </c>
      <c r="L347" s="33" t="s">
        <v>695</v>
      </c>
      <c r="M347" s="34" t="s">
        <v>710</v>
      </c>
      <c r="N347" s="34" t="s">
        <v>1704</v>
      </c>
      <c r="O347" s="35">
        <v>1</v>
      </c>
      <c r="P347" s="35"/>
      <c r="Q347" s="32"/>
      <c r="S347" s="1">
        <f t="shared" si="113"/>
        <v>0</v>
      </c>
      <c r="T347" s="1">
        <f t="shared" si="114"/>
        <v>0</v>
      </c>
      <c r="U347" s="1">
        <f t="shared" si="115"/>
        <v>0</v>
      </c>
      <c r="V347" s="1">
        <f t="shared" si="116"/>
        <v>0</v>
      </c>
      <c r="W347" s="1">
        <f t="shared" si="117"/>
        <v>0</v>
      </c>
      <c r="X347" s="1">
        <f t="shared" si="118"/>
        <v>0</v>
      </c>
      <c r="Y347" s="1">
        <f t="shared" si="119"/>
        <v>0</v>
      </c>
      <c r="Z347" s="1">
        <f t="shared" si="120"/>
        <v>0</v>
      </c>
      <c r="AA347" s="1">
        <f t="shared" si="121"/>
        <v>0</v>
      </c>
      <c r="AB347" s="1">
        <f t="shared" si="122"/>
        <v>0</v>
      </c>
      <c r="AD347" s="1">
        <f t="shared" si="123"/>
        <v>0</v>
      </c>
      <c r="AE347" s="1">
        <f t="shared" si="124"/>
        <v>1</v>
      </c>
      <c r="AF347" s="1">
        <f t="shared" si="125"/>
        <v>0</v>
      </c>
      <c r="AG347" s="1">
        <f t="shared" si="126"/>
        <v>1</v>
      </c>
      <c r="AH347" s="1">
        <f t="shared" si="127"/>
        <v>0</v>
      </c>
      <c r="AI347" s="1">
        <f t="shared" si="12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1531</v>
      </c>
      <c r="E348" s="32" t="s">
        <v>1308</v>
      </c>
      <c r="F348" s="32" t="s">
        <v>1532</v>
      </c>
      <c r="G348" s="32" t="s">
        <v>1144</v>
      </c>
      <c r="H348" s="32" t="s">
        <v>352</v>
      </c>
      <c r="I348" s="31" t="s">
        <v>1533</v>
      </c>
      <c r="J348" s="31">
        <v>1</v>
      </c>
      <c r="K348" s="33" t="s">
        <v>704</v>
      </c>
      <c r="L348" s="33" t="s">
        <v>39</v>
      </c>
      <c r="M348" s="34" t="s">
        <v>39</v>
      </c>
      <c r="N348" s="34" t="s">
        <v>1693</v>
      </c>
      <c r="O348" s="35">
        <v>1</v>
      </c>
      <c r="P348" s="35">
        <v>1</v>
      </c>
      <c r="Q348" s="32"/>
      <c r="S348" s="1">
        <f t="shared" si="113"/>
        <v>1</v>
      </c>
      <c r="T348" s="1">
        <f t="shared" si="114"/>
        <v>0</v>
      </c>
      <c r="U348" s="1">
        <f t="shared" si="115"/>
        <v>0</v>
      </c>
      <c r="V348" s="1">
        <f t="shared" si="116"/>
        <v>0</v>
      </c>
      <c r="W348" s="1">
        <f t="shared" si="117"/>
        <v>0</v>
      </c>
      <c r="X348" s="1">
        <f t="shared" si="118"/>
        <v>0</v>
      </c>
      <c r="Y348" s="1">
        <f t="shared" si="119"/>
        <v>0</v>
      </c>
      <c r="Z348" s="1">
        <f t="shared" si="120"/>
        <v>0</v>
      </c>
      <c r="AA348" s="1">
        <f t="shared" si="121"/>
        <v>0</v>
      </c>
      <c r="AB348" s="1">
        <f t="shared" si="122"/>
        <v>0</v>
      </c>
      <c r="AD348" s="1">
        <f t="shared" si="123"/>
        <v>1</v>
      </c>
      <c r="AE348" s="1">
        <f t="shared" si="124"/>
        <v>0</v>
      </c>
      <c r="AF348" s="1">
        <f t="shared" si="125"/>
        <v>1</v>
      </c>
      <c r="AG348" s="1">
        <f t="shared" si="126"/>
        <v>0</v>
      </c>
      <c r="AH348" s="1">
        <f t="shared" si="127"/>
        <v>1</v>
      </c>
      <c r="AI348" s="1">
        <f t="shared" si="12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1705</v>
      </c>
      <c r="E349" s="32" t="s">
        <v>27</v>
      </c>
      <c r="F349" s="32" t="s">
        <v>1025</v>
      </c>
      <c r="G349" s="32" t="s">
        <v>219</v>
      </c>
      <c r="H349" s="32" t="s">
        <v>352</v>
      </c>
      <c r="I349" s="31" t="s">
        <v>1026</v>
      </c>
      <c r="J349" s="31">
        <v>8</v>
      </c>
      <c r="K349" s="33" t="s">
        <v>704</v>
      </c>
      <c r="L349" s="33">
        <v>25</v>
      </c>
      <c r="M349" s="34" t="s">
        <v>1706</v>
      </c>
      <c r="N349" s="34" t="s">
        <v>1693</v>
      </c>
      <c r="O349" s="35">
        <v>1</v>
      </c>
      <c r="P349" s="35">
        <v>1</v>
      </c>
      <c r="Q349" s="32"/>
      <c r="S349" s="1">
        <f t="shared" si="113"/>
        <v>0</v>
      </c>
      <c r="T349" s="1">
        <f t="shared" si="114"/>
        <v>0</v>
      </c>
      <c r="U349" s="1">
        <f t="shared" si="115"/>
        <v>0</v>
      </c>
      <c r="V349" s="1">
        <f t="shared" si="116"/>
        <v>0</v>
      </c>
      <c r="W349" s="1">
        <f t="shared" si="117"/>
        <v>0</v>
      </c>
      <c r="X349" s="1">
        <f t="shared" si="118"/>
        <v>0</v>
      </c>
      <c r="Y349" s="1">
        <f t="shared" si="119"/>
        <v>0</v>
      </c>
      <c r="Z349" s="1">
        <f t="shared" si="120"/>
        <v>1</v>
      </c>
      <c r="AA349" s="1">
        <f t="shared" si="121"/>
        <v>0</v>
      </c>
      <c r="AB349" s="1">
        <f t="shared" si="122"/>
        <v>0</v>
      </c>
      <c r="AD349" s="1">
        <f t="shared" si="123"/>
        <v>1</v>
      </c>
      <c r="AE349" s="1">
        <f t="shared" si="124"/>
        <v>0</v>
      </c>
      <c r="AF349" s="1">
        <f t="shared" si="125"/>
        <v>1</v>
      </c>
      <c r="AG349" s="1">
        <f t="shared" si="126"/>
        <v>0</v>
      </c>
      <c r="AH349" s="1">
        <f t="shared" si="127"/>
        <v>1</v>
      </c>
      <c r="AI349" s="1">
        <f t="shared" si="12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661</v>
      </c>
      <c r="G350" s="32" t="s">
        <v>179</v>
      </c>
      <c r="H350" s="32" t="s">
        <v>352</v>
      </c>
      <c r="I350" s="31" t="s">
        <v>931</v>
      </c>
      <c r="J350" s="31">
        <v>10</v>
      </c>
      <c r="K350" s="33" t="s">
        <v>704</v>
      </c>
      <c r="L350" s="33" t="s">
        <v>711</v>
      </c>
      <c r="M350" s="34" t="s">
        <v>712</v>
      </c>
      <c r="N350" s="34" t="s">
        <v>1693</v>
      </c>
      <c r="O350" s="35">
        <v>1</v>
      </c>
      <c r="P350" s="35">
        <v>1</v>
      </c>
      <c r="Q350" s="32"/>
      <c r="S350" s="1">
        <f t="shared" si="113"/>
        <v>0</v>
      </c>
      <c r="T350" s="1">
        <f t="shared" si="114"/>
        <v>0</v>
      </c>
      <c r="U350" s="1">
        <f t="shared" si="115"/>
        <v>0</v>
      </c>
      <c r="V350" s="1">
        <f t="shared" si="116"/>
        <v>0</v>
      </c>
      <c r="W350" s="1">
        <f t="shared" si="117"/>
        <v>0</v>
      </c>
      <c r="X350" s="1">
        <f t="shared" si="118"/>
        <v>0</v>
      </c>
      <c r="Y350" s="1">
        <f t="shared" si="119"/>
        <v>0</v>
      </c>
      <c r="Z350" s="1">
        <f t="shared" si="120"/>
        <v>0</v>
      </c>
      <c r="AA350" s="1">
        <f t="shared" si="121"/>
        <v>0</v>
      </c>
      <c r="AB350" s="1">
        <f t="shared" si="122"/>
        <v>1</v>
      </c>
      <c r="AD350" s="1">
        <f t="shared" si="123"/>
        <v>1</v>
      </c>
      <c r="AE350" s="1">
        <f t="shared" si="124"/>
        <v>0</v>
      </c>
      <c r="AF350" s="1">
        <f t="shared" si="125"/>
        <v>1</v>
      </c>
      <c r="AG350" s="1">
        <f t="shared" si="126"/>
        <v>0</v>
      </c>
      <c r="AH350" s="1">
        <f t="shared" si="127"/>
        <v>1</v>
      </c>
      <c r="AI350" s="1">
        <f t="shared" si="12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1417</v>
      </c>
      <c r="E351" s="32" t="s">
        <v>1620</v>
      </c>
      <c r="F351" s="32" t="s">
        <v>1635</v>
      </c>
      <c r="G351" s="32" t="s">
        <v>229</v>
      </c>
      <c r="H351" s="32" t="s">
        <v>352</v>
      </c>
      <c r="I351" s="31" t="s">
        <v>1418</v>
      </c>
      <c r="J351" s="31">
        <v>99</v>
      </c>
      <c r="K351" s="33" t="s">
        <v>936</v>
      </c>
      <c r="L351" s="33">
        <v>20</v>
      </c>
      <c r="M351" s="34" t="s">
        <v>39</v>
      </c>
      <c r="N351" s="34" t="s">
        <v>1693</v>
      </c>
      <c r="O351" s="35">
        <v>1</v>
      </c>
      <c r="P351" s="35">
        <v>1</v>
      </c>
      <c r="Q351" s="32"/>
      <c r="S351" s="1">
        <f t="shared" si="113"/>
        <v>0</v>
      </c>
      <c r="T351" s="1">
        <f t="shared" si="114"/>
        <v>0</v>
      </c>
      <c r="U351" s="1">
        <f t="shared" si="115"/>
        <v>0</v>
      </c>
      <c r="V351" s="1">
        <f t="shared" si="116"/>
        <v>0</v>
      </c>
      <c r="W351" s="1">
        <f t="shared" si="117"/>
        <v>0</v>
      </c>
      <c r="X351" s="1">
        <f t="shared" si="118"/>
        <v>0</v>
      </c>
      <c r="Y351" s="1">
        <f t="shared" si="119"/>
        <v>0</v>
      </c>
      <c r="Z351" s="1">
        <f t="shared" si="120"/>
        <v>0</v>
      </c>
      <c r="AA351" s="1">
        <f t="shared" si="121"/>
        <v>0</v>
      </c>
      <c r="AB351" s="1">
        <f t="shared" si="122"/>
        <v>0</v>
      </c>
      <c r="AD351" s="1">
        <f t="shared" si="123"/>
        <v>1</v>
      </c>
      <c r="AE351" s="1">
        <f t="shared" si="124"/>
        <v>0</v>
      </c>
      <c r="AF351" s="1">
        <f t="shared" si="125"/>
        <v>1</v>
      </c>
      <c r="AG351" s="1">
        <f t="shared" si="126"/>
        <v>0</v>
      </c>
      <c r="AH351" s="1">
        <f t="shared" si="127"/>
        <v>1</v>
      </c>
      <c r="AI351" s="1">
        <f t="shared" si="12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1946</v>
      </c>
      <c r="E352" s="49" t="s">
        <v>2030</v>
      </c>
      <c r="F352" s="49" t="s">
        <v>1947</v>
      </c>
      <c r="G352" s="49" t="s">
        <v>178</v>
      </c>
      <c r="H352" s="49" t="s">
        <v>352</v>
      </c>
      <c r="I352" s="59" t="s">
        <v>1948</v>
      </c>
      <c r="J352" s="59"/>
      <c r="K352" s="59" t="s">
        <v>694</v>
      </c>
      <c r="L352" s="59"/>
      <c r="M352" s="49"/>
      <c r="N352" s="49"/>
      <c r="O352" s="60"/>
      <c r="P352" s="60">
        <v>1</v>
      </c>
      <c r="Q352" s="49"/>
      <c r="S352" s="1">
        <f t="shared" si="113"/>
        <v>0</v>
      </c>
      <c r="T352" s="1">
        <f t="shared" si="114"/>
        <v>0</v>
      </c>
      <c r="U352" s="1">
        <f t="shared" si="115"/>
        <v>0</v>
      </c>
      <c r="V352" s="1">
        <f t="shared" si="116"/>
        <v>0</v>
      </c>
      <c r="W352" s="1">
        <f t="shared" si="117"/>
        <v>0</v>
      </c>
      <c r="X352" s="1">
        <f t="shared" si="118"/>
        <v>0</v>
      </c>
      <c r="Y352" s="1">
        <f t="shared" si="119"/>
        <v>0</v>
      </c>
      <c r="Z352" s="1">
        <f t="shared" si="120"/>
        <v>0</v>
      </c>
      <c r="AA352" s="1">
        <f t="shared" si="121"/>
        <v>0</v>
      </c>
      <c r="AB352" s="1">
        <f t="shared" si="122"/>
        <v>0</v>
      </c>
      <c r="AD352" s="1">
        <f t="shared" si="123"/>
        <v>0</v>
      </c>
      <c r="AE352" s="1">
        <f t="shared" si="124"/>
        <v>0</v>
      </c>
      <c r="AF352" s="1">
        <f t="shared" si="125"/>
        <v>0</v>
      </c>
      <c r="AG352" s="1">
        <f t="shared" si="126"/>
        <v>0</v>
      </c>
      <c r="AH352" s="1">
        <f t="shared" si="127"/>
        <v>1</v>
      </c>
      <c r="AI352" s="1">
        <f t="shared" si="12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598</v>
      </c>
      <c r="E353" s="32" t="s">
        <v>599</v>
      </c>
      <c r="F353" s="32" t="s">
        <v>600</v>
      </c>
      <c r="G353" s="32" t="s">
        <v>256</v>
      </c>
      <c r="H353" s="32" t="s">
        <v>352</v>
      </c>
      <c r="I353" s="31" t="s">
        <v>601</v>
      </c>
      <c r="J353" s="31">
        <v>99</v>
      </c>
      <c r="K353" s="33" t="s">
        <v>936</v>
      </c>
      <c r="L353" s="33" t="s">
        <v>695</v>
      </c>
      <c r="M353" s="34" t="s">
        <v>1384</v>
      </c>
      <c r="N353" s="34" t="s">
        <v>1704</v>
      </c>
      <c r="O353" s="35">
        <v>1</v>
      </c>
      <c r="P353" s="35"/>
      <c r="Q353" s="32"/>
      <c r="S353" s="1">
        <f t="shared" si="113"/>
        <v>0</v>
      </c>
      <c r="T353" s="1">
        <f t="shared" si="114"/>
        <v>0</v>
      </c>
      <c r="U353" s="1">
        <f t="shared" si="115"/>
        <v>0</v>
      </c>
      <c r="V353" s="1">
        <f t="shared" si="116"/>
        <v>0</v>
      </c>
      <c r="W353" s="1">
        <f t="shared" si="117"/>
        <v>0</v>
      </c>
      <c r="X353" s="1">
        <f t="shared" si="118"/>
        <v>0</v>
      </c>
      <c r="Y353" s="1">
        <f t="shared" si="119"/>
        <v>0</v>
      </c>
      <c r="Z353" s="1">
        <f t="shared" si="120"/>
        <v>0</v>
      </c>
      <c r="AA353" s="1">
        <f t="shared" si="121"/>
        <v>0</v>
      </c>
      <c r="AB353" s="1">
        <f t="shared" si="122"/>
        <v>0</v>
      </c>
      <c r="AD353" s="1">
        <f t="shared" si="123"/>
        <v>0</v>
      </c>
      <c r="AE353" s="1">
        <f t="shared" si="124"/>
        <v>1</v>
      </c>
      <c r="AF353" s="1">
        <f t="shared" si="125"/>
        <v>0</v>
      </c>
      <c r="AG353" s="1">
        <f t="shared" si="126"/>
        <v>1</v>
      </c>
      <c r="AH353" s="1">
        <f t="shared" si="127"/>
        <v>0</v>
      </c>
      <c r="AI353" s="1">
        <f t="shared" si="12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1883</v>
      </c>
      <c r="E354" s="32" t="s">
        <v>1884</v>
      </c>
      <c r="F354" s="32" t="s">
        <v>1885</v>
      </c>
      <c r="G354" s="32" t="s">
        <v>183</v>
      </c>
      <c r="H354" s="32" t="s">
        <v>352</v>
      </c>
      <c r="I354" s="31" t="s">
        <v>1887</v>
      </c>
      <c r="J354" s="31">
        <v>99</v>
      </c>
      <c r="K354" s="33" t="s">
        <v>694</v>
      </c>
      <c r="L354" s="33"/>
      <c r="M354" s="34"/>
      <c r="N354" s="34" t="s">
        <v>1693</v>
      </c>
      <c r="O354" s="35">
        <v>1</v>
      </c>
      <c r="P354" s="35">
        <v>1</v>
      </c>
      <c r="Q354" s="32" t="s">
        <v>1886</v>
      </c>
      <c r="S354" s="1">
        <f t="shared" si="113"/>
        <v>0</v>
      </c>
      <c r="T354" s="1">
        <f t="shared" si="114"/>
        <v>0</v>
      </c>
      <c r="U354" s="1">
        <f t="shared" si="115"/>
        <v>0</v>
      </c>
      <c r="V354" s="1">
        <f t="shared" si="116"/>
        <v>0</v>
      </c>
      <c r="W354" s="1">
        <f t="shared" si="117"/>
        <v>0</v>
      </c>
      <c r="X354" s="1">
        <f t="shared" si="118"/>
        <v>0</v>
      </c>
      <c r="Y354" s="1">
        <f t="shared" si="119"/>
        <v>0</v>
      </c>
      <c r="Z354" s="1">
        <f t="shared" si="120"/>
        <v>0</v>
      </c>
      <c r="AA354" s="1">
        <f t="shared" si="121"/>
        <v>0</v>
      </c>
      <c r="AB354" s="1">
        <f t="shared" si="122"/>
        <v>0</v>
      </c>
      <c r="AD354" s="1">
        <f t="shared" si="123"/>
        <v>1</v>
      </c>
      <c r="AE354" s="1">
        <f t="shared" si="124"/>
        <v>0</v>
      </c>
      <c r="AF354" s="1">
        <f t="shared" si="125"/>
        <v>1</v>
      </c>
      <c r="AG354" s="1">
        <f t="shared" si="126"/>
        <v>0</v>
      </c>
      <c r="AH354" s="1">
        <f t="shared" si="127"/>
        <v>1</v>
      </c>
      <c r="AI354" s="1">
        <f t="shared" si="12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1610</v>
      </c>
      <c r="E355" s="32" t="s">
        <v>1146</v>
      </c>
      <c r="F355" s="32" t="s">
        <v>1641</v>
      </c>
      <c r="G355" s="32" t="s">
        <v>179</v>
      </c>
      <c r="H355" s="32" t="s">
        <v>352</v>
      </c>
      <c r="I355" s="31" t="s">
        <v>1463</v>
      </c>
      <c r="J355" s="31">
        <v>10</v>
      </c>
      <c r="K355" s="33" t="s">
        <v>703</v>
      </c>
      <c r="L355" s="33">
        <v>15</v>
      </c>
      <c r="M355" s="34" t="s">
        <v>39</v>
      </c>
      <c r="N355" s="34" t="s">
        <v>1749</v>
      </c>
      <c r="O355" s="35">
        <v>1</v>
      </c>
      <c r="P355" s="35"/>
      <c r="Q355" s="32"/>
      <c r="S355" s="1">
        <f t="shared" si="113"/>
        <v>0</v>
      </c>
      <c r="T355" s="1">
        <f t="shared" si="114"/>
        <v>0</v>
      </c>
      <c r="U355" s="1">
        <f t="shared" si="115"/>
        <v>0</v>
      </c>
      <c r="V355" s="1">
        <f t="shared" si="116"/>
        <v>0</v>
      </c>
      <c r="W355" s="1">
        <f t="shared" si="117"/>
        <v>0</v>
      </c>
      <c r="X355" s="1">
        <f t="shared" si="118"/>
        <v>0</v>
      </c>
      <c r="Y355" s="1">
        <f t="shared" si="119"/>
        <v>0</v>
      </c>
      <c r="Z355" s="1">
        <f t="shared" si="120"/>
        <v>0</v>
      </c>
      <c r="AA355" s="1">
        <f t="shared" si="121"/>
        <v>0</v>
      </c>
      <c r="AB355" s="1">
        <f t="shared" si="122"/>
        <v>1</v>
      </c>
      <c r="AD355" s="1">
        <f t="shared" si="123"/>
        <v>0</v>
      </c>
      <c r="AE355" s="1">
        <f t="shared" si="124"/>
        <v>1</v>
      </c>
      <c r="AF355" s="1">
        <f t="shared" si="125"/>
        <v>0</v>
      </c>
      <c r="AG355" s="1">
        <f t="shared" si="126"/>
        <v>1</v>
      </c>
      <c r="AH355" s="1">
        <f t="shared" si="127"/>
        <v>0</v>
      </c>
      <c r="AI355" s="1">
        <f t="shared" si="12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847</v>
      </c>
      <c r="E356" s="32" t="s">
        <v>540</v>
      </c>
      <c r="F356" s="32" t="s">
        <v>848</v>
      </c>
      <c r="G356" s="32" t="s">
        <v>312</v>
      </c>
      <c r="H356" s="32" t="s">
        <v>352</v>
      </c>
      <c r="I356" s="31" t="s">
        <v>849</v>
      </c>
      <c r="J356" s="31">
        <v>1</v>
      </c>
      <c r="K356" s="33" t="s">
        <v>703</v>
      </c>
      <c r="L356" s="33">
        <v>25</v>
      </c>
      <c r="M356" s="34" t="s">
        <v>39</v>
      </c>
      <c r="N356" s="34" t="s">
        <v>1704</v>
      </c>
      <c r="O356" s="35">
        <v>1</v>
      </c>
      <c r="P356" s="35"/>
      <c r="Q356" s="32"/>
      <c r="S356" s="1">
        <f t="shared" si="113"/>
        <v>1</v>
      </c>
      <c r="T356" s="1">
        <f t="shared" si="114"/>
        <v>0</v>
      </c>
      <c r="U356" s="1">
        <f t="shared" si="115"/>
        <v>0</v>
      </c>
      <c r="V356" s="1">
        <f t="shared" si="116"/>
        <v>0</v>
      </c>
      <c r="W356" s="1">
        <f t="shared" si="117"/>
        <v>0</v>
      </c>
      <c r="X356" s="1">
        <f t="shared" si="118"/>
        <v>0</v>
      </c>
      <c r="Y356" s="1">
        <f t="shared" si="119"/>
        <v>0</v>
      </c>
      <c r="Z356" s="1">
        <f t="shared" si="120"/>
        <v>0</v>
      </c>
      <c r="AA356" s="1">
        <f t="shared" si="121"/>
        <v>0</v>
      </c>
      <c r="AB356" s="1">
        <f t="shared" si="122"/>
        <v>0</v>
      </c>
      <c r="AD356" s="1">
        <f t="shared" si="123"/>
        <v>0</v>
      </c>
      <c r="AE356" s="1">
        <f t="shared" si="124"/>
        <v>1</v>
      </c>
      <c r="AF356" s="1">
        <f t="shared" si="125"/>
        <v>0</v>
      </c>
      <c r="AG356" s="1">
        <f t="shared" si="126"/>
        <v>1</v>
      </c>
      <c r="AH356" s="1">
        <f t="shared" si="127"/>
        <v>0</v>
      </c>
      <c r="AI356" s="1">
        <f t="shared" si="12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562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703</v>
      </c>
      <c r="L357" s="33" t="s">
        <v>715</v>
      </c>
      <c r="M357" s="34" t="s">
        <v>716</v>
      </c>
      <c r="N357" s="34" t="s">
        <v>1693</v>
      </c>
      <c r="O357" s="35">
        <v>1</v>
      </c>
      <c r="P357" s="35">
        <v>1</v>
      </c>
      <c r="Q357" s="32"/>
      <c r="S357" s="1">
        <f t="shared" si="113"/>
        <v>1</v>
      </c>
      <c r="T357" s="1">
        <f t="shared" si="114"/>
        <v>0</v>
      </c>
      <c r="U357" s="1">
        <f t="shared" si="115"/>
        <v>0</v>
      </c>
      <c r="V357" s="1">
        <f t="shared" si="116"/>
        <v>0</v>
      </c>
      <c r="W357" s="1">
        <f t="shared" si="117"/>
        <v>0</v>
      </c>
      <c r="X357" s="1">
        <f t="shared" si="118"/>
        <v>0</v>
      </c>
      <c r="Y357" s="1">
        <f t="shared" si="119"/>
        <v>0</v>
      </c>
      <c r="Z357" s="1">
        <f t="shared" si="120"/>
        <v>0</v>
      </c>
      <c r="AA357" s="1">
        <f t="shared" si="121"/>
        <v>0</v>
      </c>
      <c r="AB357" s="1">
        <f t="shared" si="122"/>
        <v>0</v>
      </c>
      <c r="AD357" s="1">
        <f t="shared" si="123"/>
        <v>1</v>
      </c>
      <c r="AE357" s="1">
        <f t="shared" si="124"/>
        <v>0</v>
      </c>
      <c r="AF357" s="1">
        <f t="shared" si="125"/>
        <v>1</v>
      </c>
      <c r="AG357" s="1">
        <f t="shared" si="126"/>
        <v>0</v>
      </c>
      <c r="AH357" s="1">
        <f t="shared" si="127"/>
        <v>1</v>
      </c>
      <c r="AI357" s="1">
        <f t="shared" si="12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835</v>
      </c>
      <c r="E358" s="32" t="s">
        <v>34</v>
      </c>
      <c r="F358" s="32" t="s">
        <v>909</v>
      </c>
      <c r="G358" s="32" t="s">
        <v>630</v>
      </c>
      <c r="H358" s="32" t="s">
        <v>352</v>
      </c>
      <c r="I358" s="31" t="s">
        <v>836</v>
      </c>
      <c r="J358" s="31">
        <v>1</v>
      </c>
      <c r="K358" s="33" t="s">
        <v>935</v>
      </c>
      <c r="L358" s="33" t="s">
        <v>720</v>
      </c>
      <c r="M358" s="34" t="s">
        <v>714</v>
      </c>
      <c r="N358" s="34" t="s">
        <v>1704</v>
      </c>
      <c r="O358" s="35">
        <v>1</v>
      </c>
      <c r="P358" s="35"/>
      <c r="Q358" s="32"/>
      <c r="S358" s="1">
        <f t="shared" si="113"/>
        <v>1</v>
      </c>
      <c r="T358" s="1">
        <f t="shared" si="114"/>
        <v>0</v>
      </c>
      <c r="U358" s="1">
        <f t="shared" si="115"/>
        <v>0</v>
      </c>
      <c r="V358" s="1">
        <f t="shared" si="116"/>
        <v>0</v>
      </c>
      <c r="W358" s="1">
        <f t="shared" si="117"/>
        <v>0</v>
      </c>
      <c r="X358" s="1">
        <f t="shared" si="118"/>
        <v>0</v>
      </c>
      <c r="Y358" s="1">
        <f t="shared" si="119"/>
        <v>0</v>
      </c>
      <c r="Z358" s="1">
        <f t="shared" si="120"/>
        <v>0</v>
      </c>
      <c r="AA358" s="1">
        <f t="shared" si="121"/>
        <v>0</v>
      </c>
      <c r="AB358" s="1">
        <f t="shared" si="122"/>
        <v>0</v>
      </c>
      <c r="AD358" s="1">
        <f t="shared" si="123"/>
        <v>0</v>
      </c>
      <c r="AE358" s="1">
        <f t="shared" si="124"/>
        <v>1</v>
      </c>
      <c r="AF358" s="1">
        <f t="shared" si="125"/>
        <v>0</v>
      </c>
      <c r="AG358" s="1">
        <f t="shared" si="126"/>
        <v>1</v>
      </c>
      <c r="AH358" s="1">
        <f t="shared" si="127"/>
        <v>0</v>
      </c>
      <c r="AI358" s="1">
        <f t="shared" si="128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778</v>
      </c>
      <c r="E359" s="32" t="s">
        <v>32</v>
      </c>
      <c r="F359" s="32" t="s">
        <v>779</v>
      </c>
      <c r="G359" s="32" t="s">
        <v>250</v>
      </c>
      <c r="H359" s="32" t="s">
        <v>352</v>
      </c>
      <c r="I359" s="31" t="s">
        <v>780</v>
      </c>
      <c r="J359" s="31">
        <v>99</v>
      </c>
      <c r="K359" s="33" t="s">
        <v>704</v>
      </c>
      <c r="L359" s="33" t="s">
        <v>713</v>
      </c>
      <c r="M359" s="34" t="s">
        <v>714</v>
      </c>
      <c r="N359" s="34" t="s">
        <v>1808</v>
      </c>
      <c r="O359" s="35">
        <v>1</v>
      </c>
      <c r="P359" s="35"/>
      <c r="Q359" s="32"/>
      <c r="S359" s="1">
        <f t="shared" si="113"/>
        <v>0</v>
      </c>
      <c r="T359" s="1">
        <f t="shared" si="114"/>
        <v>0</v>
      </c>
      <c r="U359" s="1">
        <f t="shared" si="115"/>
        <v>0</v>
      </c>
      <c r="V359" s="1">
        <f t="shared" si="116"/>
        <v>0</v>
      </c>
      <c r="W359" s="1">
        <f t="shared" si="117"/>
        <v>0</v>
      </c>
      <c r="X359" s="1">
        <f t="shared" si="118"/>
        <v>0</v>
      </c>
      <c r="Y359" s="1">
        <f t="shared" si="119"/>
        <v>0</v>
      </c>
      <c r="Z359" s="1">
        <f t="shared" si="120"/>
        <v>0</v>
      </c>
      <c r="AA359" s="1">
        <f t="shared" si="121"/>
        <v>0</v>
      </c>
      <c r="AB359" s="1">
        <f t="shared" si="122"/>
        <v>0</v>
      </c>
      <c r="AD359" s="1">
        <f t="shared" si="123"/>
        <v>0</v>
      </c>
      <c r="AE359" s="1">
        <f t="shared" si="124"/>
        <v>1</v>
      </c>
      <c r="AF359" s="1">
        <f t="shared" si="125"/>
        <v>0</v>
      </c>
      <c r="AG359" s="1">
        <f t="shared" si="126"/>
        <v>1</v>
      </c>
      <c r="AH359" s="1">
        <f t="shared" si="127"/>
        <v>0</v>
      </c>
      <c r="AI359" s="1">
        <f t="shared" si="12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704</v>
      </c>
      <c r="L360" s="46" t="s">
        <v>713</v>
      </c>
      <c r="M360" s="47" t="s">
        <v>714</v>
      </c>
      <c r="N360" s="47" t="s">
        <v>1761</v>
      </c>
      <c r="O360" s="48"/>
      <c r="P360" s="48"/>
      <c r="Q360" s="45"/>
      <c r="S360" s="1">
        <f t="shared" si="113"/>
        <v>0</v>
      </c>
      <c r="T360" s="1">
        <f t="shared" si="114"/>
        <v>0</v>
      </c>
      <c r="U360" s="1">
        <f t="shared" si="115"/>
        <v>0</v>
      </c>
      <c r="V360" s="1">
        <f t="shared" si="116"/>
        <v>0</v>
      </c>
      <c r="W360" s="1">
        <f t="shared" si="117"/>
        <v>0</v>
      </c>
      <c r="X360" s="1">
        <f t="shared" si="118"/>
        <v>0</v>
      </c>
      <c r="Y360" s="1">
        <f t="shared" si="119"/>
        <v>0</v>
      </c>
      <c r="Z360" s="1">
        <f t="shared" si="120"/>
        <v>0</v>
      </c>
      <c r="AA360" s="1">
        <f t="shared" si="121"/>
        <v>0</v>
      </c>
      <c r="AB360" s="1">
        <f t="shared" si="122"/>
        <v>0</v>
      </c>
      <c r="AD360" s="1">
        <f t="shared" si="123"/>
        <v>0</v>
      </c>
      <c r="AE360" s="1">
        <f t="shared" si="124"/>
        <v>0</v>
      </c>
      <c r="AF360" s="1">
        <f t="shared" si="125"/>
        <v>0</v>
      </c>
      <c r="AG360" s="1">
        <f t="shared" si="126"/>
        <v>0</v>
      </c>
      <c r="AH360" s="1">
        <f t="shared" si="127"/>
        <v>0</v>
      </c>
      <c r="AI360" s="1">
        <f t="shared" si="12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1153</v>
      </c>
      <c r="E361" s="32" t="s">
        <v>1309</v>
      </c>
      <c r="F361" s="32" t="s">
        <v>1154</v>
      </c>
      <c r="G361" s="32" t="s">
        <v>300</v>
      </c>
      <c r="H361" s="32" t="s">
        <v>352</v>
      </c>
      <c r="I361" s="31" t="s">
        <v>1155</v>
      </c>
      <c r="J361" s="31">
        <v>1</v>
      </c>
      <c r="K361" s="33" t="s">
        <v>936</v>
      </c>
      <c r="L361" s="33" t="s">
        <v>684</v>
      </c>
      <c r="M361" s="34" t="s">
        <v>1385</v>
      </c>
      <c r="N361" s="34" t="s">
        <v>1704</v>
      </c>
      <c r="O361" s="35">
        <v>1</v>
      </c>
      <c r="P361" s="35"/>
      <c r="Q361" s="32"/>
      <c r="S361" s="1">
        <f t="shared" si="113"/>
        <v>1</v>
      </c>
      <c r="T361" s="1">
        <f t="shared" si="114"/>
        <v>0</v>
      </c>
      <c r="U361" s="1">
        <f t="shared" si="115"/>
        <v>0</v>
      </c>
      <c r="V361" s="1">
        <f t="shared" si="116"/>
        <v>0</v>
      </c>
      <c r="W361" s="1">
        <f t="shared" si="117"/>
        <v>0</v>
      </c>
      <c r="X361" s="1">
        <f t="shared" si="118"/>
        <v>0</v>
      </c>
      <c r="Y361" s="1">
        <f t="shared" si="119"/>
        <v>0</v>
      </c>
      <c r="Z361" s="1">
        <f t="shared" si="120"/>
        <v>0</v>
      </c>
      <c r="AA361" s="1">
        <f t="shared" si="121"/>
        <v>0</v>
      </c>
      <c r="AB361" s="1">
        <f t="shared" si="122"/>
        <v>0</v>
      </c>
      <c r="AD361" s="1">
        <f t="shared" si="123"/>
        <v>0</v>
      </c>
      <c r="AE361" s="1">
        <f t="shared" si="124"/>
        <v>1</v>
      </c>
      <c r="AF361" s="1">
        <f t="shared" si="125"/>
        <v>0</v>
      </c>
      <c r="AG361" s="1">
        <f t="shared" si="126"/>
        <v>1</v>
      </c>
      <c r="AH361" s="1">
        <f t="shared" si="127"/>
        <v>0</v>
      </c>
      <c r="AI361" s="1">
        <f t="shared" si="12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1150</v>
      </c>
      <c r="E362" s="32" t="s">
        <v>1309</v>
      </c>
      <c r="F362" s="32" t="s">
        <v>1151</v>
      </c>
      <c r="G362" s="32" t="s">
        <v>1037</v>
      </c>
      <c r="H362" s="32" t="s">
        <v>352</v>
      </c>
      <c r="I362" s="31" t="s">
        <v>1152</v>
      </c>
      <c r="J362" s="31">
        <v>1</v>
      </c>
      <c r="K362" s="33" t="s">
        <v>704</v>
      </c>
      <c r="L362" s="33" t="s">
        <v>684</v>
      </c>
      <c r="M362" s="34" t="s">
        <v>1385</v>
      </c>
      <c r="N362" s="34" t="s">
        <v>1704</v>
      </c>
      <c r="O362" s="35">
        <v>1</v>
      </c>
      <c r="P362" s="35"/>
      <c r="Q362" s="32"/>
      <c r="S362" s="1">
        <f t="shared" si="113"/>
        <v>1</v>
      </c>
      <c r="T362" s="1">
        <f t="shared" si="114"/>
        <v>0</v>
      </c>
      <c r="U362" s="1">
        <f t="shared" si="115"/>
        <v>0</v>
      </c>
      <c r="V362" s="1">
        <f t="shared" si="116"/>
        <v>0</v>
      </c>
      <c r="W362" s="1">
        <f t="shared" si="117"/>
        <v>0</v>
      </c>
      <c r="X362" s="1">
        <f t="shared" si="118"/>
        <v>0</v>
      </c>
      <c r="Y362" s="1">
        <f t="shared" si="119"/>
        <v>0</v>
      </c>
      <c r="Z362" s="1">
        <f t="shared" si="120"/>
        <v>0</v>
      </c>
      <c r="AA362" s="1">
        <f t="shared" si="121"/>
        <v>0</v>
      </c>
      <c r="AB362" s="1">
        <f t="shared" si="122"/>
        <v>0</v>
      </c>
      <c r="AD362" s="1">
        <f t="shared" si="123"/>
        <v>0</v>
      </c>
      <c r="AE362" s="1">
        <f t="shared" si="124"/>
        <v>1</v>
      </c>
      <c r="AF362" s="1">
        <f t="shared" si="125"/>
        <v>0</v>
      </c>
      <c r="AG362" s="1">
        <f t="shared" si="126"/>
        <v>1</v>
      </c>
      <c r="AH362" s="1">
        <f t="shared" si="127"/>
        <v>0</v>
      </c>
      <c r="AI362" s="1">
        <f t="shared" si="12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1268</v>
      </c>
      <c r="E363" s="32" t="s">
        <v>32</v>
      </c>
      <c r="F363" s="32" t="s">
        <v>1269</v>
      </c>
      <c r="G363" s="32" t="s">
        <v>221</v>
      </c>
      <c r="H363" s="32" t="s">
        <v>352</v>
      </c>
      <c r="I363" s="31" t="s">
        <v>1655</v>
      </c>
      <c r="J363" s="31">
        <v>99</v>
      </c>
      <c r="K363" s="33" t="s">
        <v>704</v>
      </c>
      <c r="L363" s="33" t="s">
        <v>707</v>
      </c>
      <c r="M363" s="34" t="s">
        <v>1270</v>
      </c>
      <c r="N363" s="34" t="s">
        <v>1693</v>
      </c>
      <c r="O363" s="35">
        <v>1</v>
      </c>
      <c r="P363" s="35">
        <v>1</v>
      </c>
      <c r="Q363" s="32"/>
      <c r="S363" s="1">
        <f t="shared" si="113"/>
        <v>0</v>
      </c>
      <c r="T363" s="1">
        <f t="shared" si="114"/>
        <v>0</v>
      </c>
      <c r="U363" s="1">
        <f t="shared" si="115"/>
        <v>0</v>
      </c>
      <c r="V363" s="1">
        <f t="shared" si="116"/>
        <v>0</v>
      </c>
      <c r="W363" s="1">
        <f t="shared" si="117"/>
        <v>0</v>
      </c>
      <c r="X363" s="1">
        <f t="shared" si="118"/>
        <v>0</v>
      </c>
      <c r="Y363" s="1">
        <f t="shared" si="119"/>
        <v>0</v>
      </c>
      <c r="Z363" s="1">
        <f t="shared" si="120"/>
        <v>0</v>
      </c>
      <c r="AA363" s="1">
        <f t="shared" si="121"/>
        <v>0</v>
      </c>
      <c r="AB363" s="1">
        <f t="shared" si="122"/>
        <v>0</v>
      </c>
      <c r="AD363" s="1">
        <f t="shared" si="123"/>
        <v>1</v>
      </c>
      <c r="AE363" s="1">
        <f t="shared" si="124"/>
        <v>0</v>
      </c>
      <c r="AF363" s="1">
        <f t="shared" si="125"/>
        <v>1</v>
      </c>
      <c r="AG363" s="1">
        <f t="shared" si="126"/>
        <v>0</v>
      </c>
      <c r="AH363" s="1">
        <f t="shared" si="127"/>
        <v>1</v>
      </c>
      <c r="AI363" s="1">
        <f t="shared" si="12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746</v>
      </c>
      <c r="E364" s="32" t="s">
        <v>896</v>
      </c>
      <c r="F364" s="32" t="s">
        <v>747</v>
      </c>
      <c r="G364" s="32" t="s">
        <v>219</v>
      </c>
      <c r="H364" s="32" t="s">
        <v>352</v>
      </c>
      <c r="I364" s="31" t="s">
        <v>748</v>
      </c>
      <c r="J364" s="31">
        <v>8</v>
      </c>
      <c r="K364" s="33" t="s">
        <v>936</v>
      </c>
      <c r="L364" s="33" t="s">
        <v>720</v>
      </c>
      <c r="M364" s="34" t="s">
        <v>714</v>
      </c>
      <c r="N364" s="34" t="s">
        <v>1708</v>
      </c>
      <c r="O364" s="35">
        <v>1</v>
      </c>
      <c r="P364" s="35"/>
      <c r="Q364" s="32"/>
      <c r="S364" s="1">
        <f t="shared" si="113"/>
        <v>0</v>
      </c>
      <c r="T364" s="1">
        <f t="shared" si="114"/>
        <v>0</v>
      </c>
      <c r="U364" s="1">
        <f t="shared" si="115"/>
        <v>0</v>
      </c>
      <c r="V364" s="1">
        <f t="shared" si="116"/>
        <v>0</v>
      </c>
      <c r="W364" s="1">
        <f t="shared" si="117"/>
        <v>0</v>
      </c>
      <c r="X364" s="1">
        <f t="shared" si="118"/>
        <v>0</v>
      </c>
      <c r="Y364" s="1">
        <f t="shared" si="119"/>
        <v>0</v>
      </c>
      <c r="Z364" s="1">
        <f t="shared" si="120"/>
        <v>1</v>
      </c>
      <c r="AA364" s="1">
        <f t="shared" si="121"/>
        <v>0</v>
      </c>
      <c r="AB364" s="1">
        <f t="shared" si="122"/>
        <v>0</v>
      </c>
      <c r="AD364" s="1">
        <f t="shared" si="123"/>
        <v>0</v>
      </c>
      <c r="AE364" s="1">
        <f t="shared" si="124"/>
        <v>1</v>
      </c>
      <c r="AF364" s="1">
        <f t="shared" si="125"/>
        <v>0</v>
      </c>
      <c r="AG364" s="1">
        <f t="shared" si="126"/>
        <v>1</v>
      </c>
      <c r="AH364" s="1">
        <f t="shared" si="127"/>
        <v>0</v>
      </c>
      <c r="AI364" s="1">
        <f t="shared" si="12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1464</v>
      </c>
      <c r="E365" s="45" t="s">
        <v>1465</v>
      </c>
      <c r="F365" s="45" t="s">
        <v>1466</v>
      </c>
      <c r="G365" s="45" t="s">
        <v>237</v>
      </c>
      <c r="H365" s="45" t="s">
        <v>352</v>
      </c>
      <c r="I365" s="44" t="s">
        <v>1467</v>
      </c>
      <c r="J365" s="44">
        <v>4</v>
      </c>
      <c r="K365" s="46" t="s">
        <v>703</v>
      </c>
      <c r="L365" s="46">
        <v>15</v>
      </c>
      <c r="M365" s="47" t="s">
        <v>39</v>
      </c>
      <c r="N365" s="47" t="s">
        <v>1761</v>
      </c>
      <c r="O365" s="48"/>
      <c r="P365" s="48"/>
      <c r="Q365" s="45"/>
      <c r="S365" s="1">
        <f t="shared" si="113"/>
        <v>0</v>
      </c>
      <c r="T365" s="1">
        <f t="shared" si="114"/>
        <v>0</v>
      </c>
      <c r="U365" s="1">
        <f t="shared" si="115"/>
        <v>0</v>
      </c>
      <c r="V365" s="1">
        <f t="shared" si="116"/>
        <v>1</v>
      </c>
      <c r="W365" s="1">
        <f t="shared" si="117"/>
        <v>0</v>
      </c>
      <c r="X365" s="1">
        <f t="shared" si="118"/>
        <v>0</v>
      </c>
      <c r="Y365" s="1">
        <f t="shared" si="119"/>
        <v>0</v>
      </c>
      <c r="Z365" s="1">
        <f t="shared" si="120"/>
        <v>0</v>
      </c>
      <c r="AA365" s="1">
        <f t="shared" si="121"/>
        <v>0</v>
      </c>
      <c r="AB365" s="1">
        <f t="shared" si="122"/>
        <v>0</v>
      </c>
      <c r="AD365" s="1">
        <f t="shared" si="123"/>
        <v>0</v>
      </c>
      <c r="AE365" s="1">
        <f t="shared" si="124"/>
        <v>0</v>
      </c>
      <c r="AF365" s="1">
        <f t="shared" si="125"/>
        <v>0</v>
      </c>
      <c r="AG365" s="1">
        <f t="shared" si="126"/>
        <v>0</v>
      </c>
      <c r="AH365" s="1">
        <f t="shared" si="127"/>
        <v>0</v>
      </c>
      <c r="AI365" s="1">
        <f t="shared" si="12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1520</v>
      </c>
      <c r="E366" s="32" t="s">
        <v>1521</v>
      </c>
      <c r="F366" s="32" t="s">
        <v>1522</v>
      </c>
      <c r="G366" s="32" t="s">
        <v>1523</v>
      </c>
      <c r="H366" s="32" t="s">
        <v>352</v>
      </c>
      <c r="I366" s="31" t="s">
        <v>1524</v>
      </c>
      <c r="J366" s="31">
        <v>7</v>
      </c>
      <c r="K366" s="33" t="s">
        <v>936</v>
      </c>
      <c r="L366" s="33">
        <v>10</v>
      </c>
      <c r="M366" s="34" t="s">
        <v>39</v>
      </c>
      <c r="N366" s="34" t="s">
        <v>1704</v>
      </c>
      <c r="O366" s="35">
        <v>1</v>
      </c>
      <c r="P366" s="35"/>
      <c r="Q366" s="32"/>
      <c r="S366" s="1">
        <f t="shared" si="113"/>
        <v>0</v>
      </c>
      <c r="T366" s="1">
        <f t="shared" si="114"/>
        <v>0</v>
      </c>
      <c r="U366" s="1">
        <f t="shared" si="115"/>
        <v>0</v>
      </c>
      <c r="V366" s="1">
        <f t="shared" si="116"/>
        <v>0</v>
      </c>
      <c r="W366" s="1">
        <f t="shared" si="117"/>
        <v>0</v>
      </c>
      <c r="X366" s="1">
        <f t="shared" si="118"/>
        <v>0</v>
      </c>
      <c r="Y366" s="1">
        <f t="shared" si="119"/>
        <v>1</v>
      </c>
      <c r="Z366" s="1">
        <f t="shared" si="120"/>
        <v>0</v>
      </c>
      <c r="AA366" s="1">
        <f t="shared" si="121"/>
        <v>0</v>
      </c>
      <c r="AB366" s="1">
        <f t="shared" si="122"/>
        <v>0</v>
      </c>
      <c r="AD366" s="1">
        <f t="shared" si="123"/>
        <v>0</v>
      </c>
      <c r="AE366" s="1">
        <f t="shared" si="124"/>
        <v>1</v>
      </c>
      <c r="AF366" s="1">
        <f t="shared" si="125"/>
        <v>0</v>
      </c>
      <c r="AG366" s="1">
        <f t="shared" si="126"/>
        <v>1</v>
      </c>
      <c r="AH366" s="1">
        <f t="shared" si="127"/>
        <v>0</v>
      </c>
      <c r="AI366" s="1">
        <f t="shared" si="12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826</v>
      </c>
      <c r="E367" s="32" t="s">
        <v>32</v>
      </c>
      <c r="F367" s="32" t="s">
        <v>828</v>
      </c>
      <c r="G367" s="32" t="s">
        <v>39</v>
      </c>
      <c r="H367" s="32" t="s">
        <v>352</v>
      </c>
      <c r="I367" s="31" t="s">
        <v>827</v>
      </c>
      <c r="J367" s="31">
        <v>1</v>
      </c>
      <c r="K367" s="33" t="s">
        <v>704</v>
      </c>
      <c r="L367" s="33" t="s">
        <v>685</v>
      </c>
      <c r="M367" s="34" t="s">
        <v>1385</v>
      </c>
      <c r="N367" s="34" t="s">
        <v>1704</v>
      </c>
      <c r="O367" s="35">
        <v>1</v>
      </c>
      <c r="P367" s="35"/>
      <c r="Q367" s="32"/>
      <c r="S367" s="1">
        <f t="shared" si="113"/>
        <v>1</v>
      </c>
      <c r="T367" s="1">
        <f t="shared" si="114"/>
        <v>0</v>
      </c>
      <c r="U367" s="1">
        <f t="shared" si="115"/>
        <v>0</v>
      </c>
      <c r="V367" s="1">
        <f t="shared" si="116"/>
        <v>0</v>
      </c>
      <c r="W367" s="1">
        <f t="shared" si="117"/>
        <v>0</v>
      </c>
      <c r="X367" s="1">
        <f t="shared" si="118"/>
        <v>0</v>
      </c>
      <c r="Y367" s="1">
        <f t="shared" si="119"/>
        <v>0</v>
      </c>
      <c r="Z367" s="1">
        <f t="shared" si="120"/>
        <v>0</v>
      </c>
      <c r="AA367" s="1">
        <f t="shared" si="121"/>
        <v>0</v>
      </c>
      <c r="AB367" s="1">
        <f t="shared" si="122"/>
        <v>0</v>
      </c>
      <c r="AD367" s="1">
        <f t="shared" si="123"/>
        <v>0</v>
      </c>
      <c r="AE367" s="1">
        <f t="shared" si="124"/>
        <v>1</v>
      </c>
      <c r="AF367" s="1">
        <f t="shared" si="125"/>
        <v>0</v>
      </c>
      <c r="AG367" s="1">
        <f t="shared" si="126"/>
        <v>1</v>
      </c>
      <c r="AH367" s="1">
        <f t="shared" si="127"/>
        <v>0</v>
      </c>
      <c r="AI367" s="1">
        <f t="shared" si="12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749</v>
      </c>
      <c r="E368" s="16" t="s">
        <v>750</v>
      </c>
      <c r="F368" s="16" t="s">
        <v>751</v>
      </c>
      <c r="G368" s="16" t="s">
        <v>752</v>
      </c>
      <c r="H368" s="16" t="s">
        <v>352</v>
      </c>
      <c r="I368" s="15" t="s">
        <v>753</v>
      </c>
      <c r="J368" s="15">
        <v>99</v>
      </c>
      <c r="K368" s="10" t="s">
        <v>694</v>
      </c>
      <c r="L368" s="10">
        <v>15</v>
      </c>
      <c r="M368" s="19" t="s">
        <v>754</v>
      </c>
      <c r="N368" s="19"/>
      <c r="Q368" s="16"/>
      <c r="S368" s="1">
        <f t="shared" si="113"/>
        <v>0</v>
      </c>
      <c r="T368" s="1">
        <f t="shared" si="114"/>
        <v>0</v>
      </c>
      <c r="U368" s="1">
        <f t="shared" si="115"/>
        <v>0</v>
      </c>
      <c r="V368" s="1">
        <f t="shared" si="116"/>
        <v>0</v>
      </c>
      <c r="W368" s="1">
        <f t="shared" si="117"/>
        <v>0</v>
      </c>
      <c r="X368" s="1">
        <f t="shared" si="118"/>
        <v>0</v>
      </c>
      <c r="Y368" s="1">
        <f t="shared" si="119"/>
        <v>0</v>
      </c>
      <c r="Z368" s="1">
        <f t="shared" si="120"/>
        <v>0</v>
      </c>
      <c r="AA368" s="1">
        <f t="shared" si="121"/>
        <v>0</v>
      </c>
      <c r="AB368" s="1">
        <f t="shared" si="122"/>
        <v>0</v>
      </c>
      <c r="AD368" s="1">
        <f t="shared" si="123"/>
        <v>0</v>
      </c>
      <c r="AE368" s="1">
        <f t="shared" si="124"/>
        <v>0</v>
      </c>
      <c r="AF368" s="1">
        <f t="shared" si="125"/>
        <v>0</v>
      </c>
      <c r="AG368" s="1">
        <f t="shared" si="126"/>
        <v>0</v>
      </c>
      <c r="AH368" s="1">
        <f t="shared" si="127"/>
        <v>0</v>
      </c>
      <c r="AI368" s="1">
        <f t="shared" si="12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783</v>
      </c>
      <c r="E369" s="32" t="s">
        <v>891</v>
      </c>
      <c r="F369" s="32" t="s">
        <v>908</v>
      </c>
      <c r="G369" s="32" t="s">
        <v>207</v>
      </c>
      <c r="H369" s="32" t="s">
        <v>352</v>
      </c>
      <c r="I369" s="31" t="s">
        <v>1335</v>
      </c>
      <c r="J369" s="31">
        <v>3</v>
      </c>
      <c r="K369" s="33" t="s">
        <v>694</v>
      </c>
      <c r="L369" s="33">
        <v>20</v>
      </c>
      <c r="M369" s="34" t="s">
        <v>1387</v>
      </c>
      <c r="N369" s="34" t="s">
        <v>1784</v>
      </c>
      <c r="O369" s="35">
        <v>1</v>
      </c>
      <c r="P369" s="35"/>
      <c r="Q369" s="32"/>
      <c r="S369" s="1">
        <f t="shared" si="113"/>
        <v>0</v>
      </c>
      <c r="T369" s="1">
        <f t="shared" si="114"/>
        <v>0</v>
      </c>
      <c r="U369" s="1">
        <f t="shared" si="115"/>
        <v>1</v>
      </c>
      <c r="V369" s="1">
        <f t="shared" si="116"/>
        <v>0</v>
      </c>
      <c r="W369" s="1">
        <f t="shared" si="117"/>
        <v>0</v>
      </c>
      <c r="X369" s="1">
        <f t="shared" si="118"/>
        <v>0</v>
      </c>
      <c r="Y369" s="1">
        <f t="shared" si="119"/>
        <v>0</v>
      </c>
      <c r="Z369" s="1">
        <f t="shared" si="120"/>
        <v>0</v>
      </c>
      <c r="AA369" s="1">
        <f t="shared" si="121"/>
        <v>0</v>
      </c>
      <c r="AB369" s="1">
        <f t="shared" si="122"/>
        <v>0</v>
      </c>
      <c r="AD369" s="1">
        <f t="shared" si="123"/>
        <v>0</v>
      </c>
      <c r="AE369" s="1">
        <f t="shared" si="124"/>
        <v>1</v>
      </c>
      <c r="AF369" s="1">
        <f t="shared" si="125"/>
        <v>0</v>
      </c>
      <c r="AG369" s="1">
        <f t="shared" si="126"/>
        <v>1</v>
      </c>
      <c r="AH369" s="1">
        <f t="shared" si="127"/>
        <v>0</v>
      </c>
      <c r="AI369" s="1">
        <f t="shared" si="12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561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694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13"/>
        <v>0</v>
      </c>
      <c r="T370" s="1">
        <f t="shared" si="114"/>
        <v>0</v>
      </c>
      <c r="U370" s="1">
        <f t="shared" si="115"/>
        <v>0</v>
      </c>
      <c r="V370" s="1">
        <f t="shared" si="116"/>
        <v>0</v>
      </c>
      <c r="W370" s="1">
        <f t="shared" si="117"/>
        <v>0</v>
      </c>
      <c r="X370" s="1">
        <f t="shared" si="118"/>
        <v>1</v>
      </c>
      <c r="Y370" s="1">
        <f t="shared" si="119"/>
        <v>0</v>
      </c>
      <c r="Z370" s="1">
        <f t="shared" si="120"/>
        <v>0</v>
      </c>
      <c r="AA370" s="1">
        <f t="shared" si="121"/>
        <v>0</v>
      </c>
      <c r="AB370" s="1">
        <f t="shared" si="122"/>
        <v>0</v>
      </c>
      <c r="AD370" s="1">
        <f t="shared" si="123"/>
        <v>0</v>
      </c>
      <c r="AE370" s="1">
        <f t="shared" si="124"/>
        <v>0</v>
      </c>
      <c r="AF370" s="1">
        <f t="shared" si="125"/>
        <v>0</v>
      </c>
      <c r="AG370" s="1">
        <f t="shared" si="126"/>
        <v>0</v>
      </c>
      <c r="AH370" s="1">
        <f t="shared" si="127"/>
        <v>0</v>
      </c>
      <c r="AI370" s="1">
        <f t="shared" si="12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645</v>
      </c>
      <c r="E371" s="32" t="s">
        <v>893</v>
      </c>
      <c r="F371" s="32" t="s">
        <v>616</v>
      </c>
      <c r="G371" s="32" t="s">
        <v>339</v>
      </c>
      <c r="H371" s="32" t="s">
        <v>352</v>
      </c>
      <c r="I371" s="31" t="s">
        <v>617</v>
      </c>
      <c r="J371" s="31">
        <v>10</v>
      </c>
      <c r="K371" s="33" t="s">
        <v>935</v>
      </c>
      <c r="L371" s="33" t="s">
        <v>695</v>
      </c>
      <c r="M371" s="34" t="s">
        <v>1388</v>
      </c>
      <c r="N371" s="34" t="s">
        <v>1709</v>
      </c>
      <c r="O371" s="35">
        <v>1</v>
      </c>
      <c r="P371" s="35"/>
      <c r="Q371" s="32"/>
      <c r="S371" s="1">
        <f t="shared" si="113"/>
        <v>0</v>
      </c>
      <c r="T371" s="1">
        <f t="shared" si="114"/>
        <v>0</v>
      </c>
      <c r="U371" s="1">
        <f t="shared" si="115"/>
        <v>0</v>
      </c>
      <c r="V371" s="1">
        <f t="shared" si="116"/>
        <v>0</v>
      </c>
      <c r="W371" s="1">
        <f t="shared" si="117"/>
        <v>0</v>
      </c>
      <c r="X371" s="1">
        <f t="shared" si="118"/>
        <v>0</v>
      </c>
      <c r="Y371" s="1">
        <f t="shared" si="119"/>
        <v>0</v>
      </c>
      <c r="Z371" s="1">
        <f t="shared" si="120"/>
        <v>0</v>
      </c>
      <c r="AA371" s="1">
        <f t="shared" si="121"/>
        <v>0</v>
      </c>
      <c r="AB371" s="1">
        <f t="shared" si="122"/>
        <v>1</v>
      </c>
      <c r="AD371" s="1">
        <f t="shared" si="123"/>
        <v>0</v>
      </c>
      <c r="AE371" s="1">
        <f t="shared" si="124"/>
        <v>1</v>
      </c>
      <c r="AF371" s="1">
        <f t="shared" si="125"/>
        <v>0</v>
      </c>
      <c r="AG371" s="1">
        <f t="shared" si="126"/>
        <v>1</v>
      </c>
      <c r="AH371" s="1">
        <f t="shared" si="127"/>
        <v>0</v>
      </c>
      <c r="AI371" s="1">
        <f t="shared" si="12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927</v>
      </c>
      <c r="J372" s="31">
        <v>1</v>
      </c>
      <c r="K372" s="33" t="s">
        <v>704</v>
      </c>
      <c r="L372" s="33" t="s">
        <v>695</v>
      </c>
      <c r="M372" s="34" t="s">
        <v>1389</v>
      </c>
      <c r="N372" s="34" t="s">
        <v>1704</v>
      </c>
      <c r="O372" s="35">
        <v>1</v>
      </c>
      <c r="P372" s="35"/>
      <c r="Q372" s="32"/>
      <c r="S372" s="1">
        <f t="shared" si="113"/>
        <v>1</v>
      </c>
      <c r="T372" s="1">
        <f t="shared" si="114"/>
        <v>0</v>
      </c>
      <c r="U372" s="1">
        <f t="shared" si="115"/>
        <v>0</v>
      </c>
      <c r="V372" s="1">
        <f t="shared" si="116"/>
        <v>0</v>
      </c>
      <c r="W372" s="1">
        <f t="shared" si="117"/>
        <v>0</v>
      </c>
      <c r="X372" s="1">
        <f t="shared" si="118"/>
        <v>0</v>
      </c>
      <c r="Y372" s="1">
        <f t="shared" si="119"/>
        <v>0</v>
      </c>
      <c r="Z372" s="1">
        <f t="shared" si="120"/>
        <v>0</v>
      </c>
      <c r="AA372" s="1">
        <f t="shared" si="121"/>
        <v>0</v>
      </c>
      <c r="AB372" s="1">
        <f t="shared" si="122"/>
        <v>0</v>
      </c>
      <c r="AD372" s="1">
        <f t="shared" si="123"/>
        <v>0</v>
      </c>
      <c r="AE372" s="1">
        <f t="shared" si="124"/>
        <v>1</v>
      </c>
      <c r="AF372" s="1">
        <f t="shared" si="125"/>
        <v>0</v>
      </c>
      <c r="AG372" s="1">
        <f t="shared" si="126"/>
        <v>1</v>
      </c>
      <c r="AH372" s="1">
        <f t="shared" si="127"/>
        <v>0</v>
      </c>
      <c r="AI372" s="1">
        <f t="shared" si="12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902</v>
      </c>
      <c r="E373" s="32" t="s">
        <v>895</v>
      </c>
      <c r="F373" s="32" t="s">
        <v>767</v>
      </c>
      <c r="G373" s="32" t="s">
        <v>283</v>
      </c>
      <c r="H373" s="32" t="s">
        <v>352</v>
      </c>
      <c r="I373" s="31" t="s">
        <v>928</v>
      </c>
      <c r="J373" s="31">
        <v>4</v>
      </c>
      <c r="K373" s="33" t="s">
        <v>704</v>
      </c>
      <c r="L373" s="33" t="s">
        <v>687</v>
      </c>
      <c r="M373" s="34" t="s">
        <v>1390</v>
      </c>
      <c r="N373" s="34" t="s">
        <v>1709</v>
      </c>
      <c r="O373" s="35">
        <v>1</v>
      </c>
      <c r="P373" s="35"/>
      <c r="Q373" s="32"/>
      <c r="S373" s="1">
        <f t="shared" si="113"/>
        <v>0</v>
      </c>
      <c r="T373" s="1">
        <f t="shared" si="114"/>
        <v>0</v>
      </c>
      <c r="U373" s="1">
        <f t="shared" si="115"/>
        <v>0</v>
      </c>
      <c r="V373" s="1">
        <f t="shared" si="116"/>
        <v>1</v>
      </c>
      <c r="W373" s="1">
        <f t="shared" si="117"/>
        <v>0</v>
      </c>
      <c r="X373" s="1">
        <f t="shared" si="118"/>
        <v>0</v>
      </c>
      <c r="Y373" s="1">
        <f t="shared" si="119"/>
        <v>0</v>
      </c>
      <c r="Z373" s="1">
        <f t="shared" si="120"/>
        <v>0</v>
      </c>
      <c r="AA373" s="1">
        <f t="shared" si="121"/>
        <v>0</v>
      </c>
      <c r="AB373" s="1">
        <f t="shared" si="122"/>
        <v>0</v>
      </c>
      <c r="AD373" s="1">
        <f t="shared" si="123"/>
        <v>0</v>
      </c>
      <c r="AE373" s="1">
        <f t="shared" si="124"/>
        <v>1</v>
      </c>
      <c r="AF373" s="1">
        <f t="shared" si="125"/>
        <v>0</v>
      </c>
      <c r="AG373" s="1">
        <f t="shared" si="126"/>
        <v>1</v>
      </c>
      <c r="AH373" s="1">
        <f t="shared" si="127"/>
        <v>0</v>
      </c>
      <c r="AI373" s="1">
        <f t="shared" si="128"/>
        <v>1</v>
      </c>
    </row>
    <row r="374" spans="1:35" ht="14.25" customHeight="1" x14ac:dyDescent="0.25">
      <c r="A374" s="31">
        <v>0</v>
      </c>
      <c r="B374" s="31">
        <v>2</v>
      </c>
      <c r="C374" s="31">
        <v>4</v>
      </c>
      <c r="D374" s="32" t="s">
        <v>621</v>
      </c>
      <c r="E374" s="32" t="s">
        <v>676</v>
      </c>
      <c r="F374" s="32" t="s">
        <v>662</v>
      </c>
      <c r="G374" s="32" t="s">
        <v>620</v>
      </c>
      <c r="H374" s="32" t="s">
        <v>352</v>
      </c>
      <c r="I374" s="31" t="s">
        <v>622</v>
      </c>
      <c r="J374" s="31">
        <v>99</v>
      </c>
      <c r="K374" s="33" t="s">
        <v>936</v>
      </c>
      <c r="L374" s="33" t="s">
        <v>39</v>
      </c>
      <c r="M374" s="34" t="s">
        <v>39</v>
      </c>
      <c r="N374" s="34" t="s">
        <v>1699</v>
      </c>
      <c r="O374" s="35">
        <v>1</v>
      </c>
      <c r="P374" s="35">
        <v>1</v>
      </c>
      <c r="Q374" s="32" t="s">
        <v>1855</v>
      </c>
      <c r="S374" s="1">
        <f t="shared" si="113"/>
        <v>0</v>
      </c>
      <c r="T374" s="1">
        <f t="shared" si="114"/>
        <v>0</v>
      </c>
      <c r="U374" s="1">
        <f t="shared" si="115"/>
        <v>0</v>
      </c>
      <c r="V374" s="1">
        <f t="shared" si="116"/>
        <v>0</v>
      </c>
      <c r="W374" s="1">
        <f t="shared" si="117"/>
        <v>0</v>
      </c>
      <c r="X374" s="1">
        <f t="shared" si="118"/>
        <v>0</v>
      </c>
      <c r="Y374" s="1">
        <f t="shared" si="119"/>
        <v>0</v>
      </c>
      <c r="Z374" s="1">
        <f t="shared" si="120"/>
        <v>0</v>
      </c>
      <c r="AA374" s="1">
        <f t="shared" si="121"/>
        <v>0</v>
      </c>
      <c r="AB374" s="1">
        <f t="shared" si="122"/>
        <v>0</v>
      </c>
      <c r="AD374" s="1">
        <f t="shared" si="123"/>
        <v>1</v>
      </c>
      <c r="AE374" s="1">
        <f t="shared" si="124"/>
        <v>0</v>
      </c>
      <c r="AF374" s="1">
        <f t="shared" si="125"/>
        <v>1</v>
      </c>
      <c r="AG374" s="1">
        <f t="shared" si="126"/>
        <v>0</v>
      </c>
      <c r="AH374" s="1">
        <f t="shared" si="127"/>
        <v>1</v>
      </c>
      <c r="AI374" s="1">
        <f t="shared" si="128"/>
        <v>0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935</v>
      </c>
      <c r="L375" s="33" t="s">
        <v>695</v>
      </c>
      <c r="M375" s="34" t="s">
        <v>717</v>
      </c>
      <c r="N375" s="34" t="s">
        <v>1721</v>
      </c>
      <c r="O375" s="35">
        <v>1</v>
      </c>
      <c r="P375" s="35"/>
      <c r="Q375" s="32"/>
      <c r="S375" s="1">
        <f t="shared" si="113"/>
        <v>0</v>
      </c>
      <c r="T375" s="1">
        <f t="shared" si="114"/>
        <v>0</v>
      </c>
      <c r="U375" s="1">
        <f t="shared" si="115"/>
        <v>0</v>
      </c>
      <c r="V375" s="1">
        <f t="shared" si="116"/>
        <v>0</v>
      </c>
      <c r="W375" s="1">
        <f t="shared" si="117"/>
        <v>0</v>
      </c>
      <c r="X375" s="1">
        <f t="shared" si="118"/>
        <v>0</v>
      </c>
      <c r="Y375" s="1">
        <f t="shared" si="119"/>
        <v>0</v>
      </c>
      <c r="Z375" s="1">
        <f t="shared" si="120"/>
        <v>0</v>
      </c>
      <c r="AA375" s="1">
        <f t="shared" si="121"/>
        <v>0</v>
      </c>
      <c r="AB375" s="1">
        <f t="shared" si="122"/>
        <v>0</v>
      </c>
      <c r="AD375" s="1">
        <f t="shared" si="123"/>
        <v>0</v>
      </c>
      <c r="AE375" s="1">
        <f t="shared" si="124"/>
        <v>1</v>
      </c>
      <c r="AF375" s="1">
        <f t="shared" si="125"/>
        <v>0</v>
      </c>
      <c r="AG375" s="1">
        <f t="shared" si="126"/>
        <v>1</v>
      </c>
      <c r="AH375" s="1">
        <f t="shared" si="127"/>
        <v>0</v>
      </c>
      <c r="AI375" s="1">
        <f t="shared" si="12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864</v>
      </c>
      <c r="E376" s="32" t="s">
        <v>757</v>
      </c>
      <c r="F376" s="32" t="s">
        <v>862</v>
      </c>
      <c r="G376" s="32" t="s">
        <v>278</v>
      </c>
      <c r="H376" s="32" t="s">
        <v>352</v>
      </c>
      <c r="I376" s="31" t="s">
        <v>863</v>
      </c>
      <c r="J376" s="31">
        <v>99</v>
      </c>
      <c r="K376" s="33" t="s">
        <v>694</v>
      </c>
      <c r="L376" s="33">
        <v>25</v>
      </c>
      <c r="M376" s="34" t="s">
        <v>1391</v>
      </c>
      <c r="N376" s="34" t="s">
        <v>1808</v>
      </c>
      <c r="O376" s="35">
        <v>1</v>
      </c>
      <c r="P376" s="35"/>
      <c r="Q376" s="32"/>
      <c r="S376" s="1">
        <f t="shared" si="113"/>
        <v>0</v>
      </c>
      <c r="T376" s="1">
        <f t="shared" si="114"/>
        <v>0</v>
      </c>
      <c r="U376" s="1">
        <f t="shared" si="115"/>
        <v>0</v>
      </c>
      <c r="V376" s="1">
        <f t="shared" si="116"/>
        <v>0</v>
      </c>
      <c r="W376" s="1">
        <f t="shared" si="117"/>
        <v>0</v>
      </c>
      <c r="X376" s="1">
        <f t="shared" si="118"/>
        <v>0</v>
      </c>
      <c r="Y376" s="1">
        <f t="shared" si="119"/>
        <v>0</v>
      </c>
      <c r="Z376" s="1">
        <f t="shared" si="120"/>
        <v>0</v>
      </c>
      <c r="AA376" s="1">
        <f t="shared" si="121"/>
        <v>0</v>
      </c>
      <c r="AB376" s="1">
        <f t="shared" si="122"/>
        <v>0</v>
      </c>
      <c r="AD376" s="1">
        <f t="shared" si="123"/>
        <v>0</v>
      </c>
      <c r="AE376" s="1">
        <f t="shared" si="124"/>
        <v>1</v>
      </c>
      <c r="AF376" s="1">
        <f t="shared" si="125"/>
        <v>0</v>
      </c>
      <c r="AG376" s="1">
        <f t="shared" si="126"/>
        <v>1</v>
      </c>
      <c r="AH376" s="1">
        <f t="shared" si="127"/>
        <v>0</v>
      </c>
      <c r="AI376" s="1">
        <f t="shared" si="12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905</v>
      </c>
      <c r="E377" s="32" t="s">
        <v>757</v>
      </c>
      <c r="F377" s="32" t="s">
        <v>829</v>
      </c>
      <c r="G377" s="32" t="s">
        <v>208</v>
      </c>
      <c r="H377" s="32" t="s">
        <v>352</v>
      </c>
      <c r="I377" s="31" t="s">
        <v>830</v>
      </c>
      <c r="J377" s="31">
        <v>99</v>
      </c>
      <c r="K377" s="33" t="s">
        <v>703</v>
      </c>
      <c r="L377" s="33" t="s">
        <v>695</v>
      </c>
      <c r="M377" s="34" t="s">
        <v>717</v>
      </c>
      <c r="N377" s="34" t="s">
        <v>1716</v>
      </c>
      <c r="O377" s="35">
        <v>1</v>
      </c>
      <c r="P377" s="35"/>
      <c r="Q377" s="32"/>
      <c r="S377" s="1">
        <f t="shared" si="113"/>
        <v>0</v>
      </c>
      <c r="T377" s="1">
        <f t="shared" si="114"/>
        <v>0</v>
      </c>
      <c r="U377" s="1">
        <f t="shared" si="115"/>
        <v>0</v>
      </c>
      <c r="V377" s="1">
        <f t="shared" si="116"/>
        <v>0</v>
      </c>
      <c r="W377" s="1">
        <f t="shared" si="117"/>
        <v>0</v>
      </c>
      <c r="X377" s="1">
        <f t="shared" si="118"/>
        <v>0</v>
      </c>
      <c r="Y377" s="1">
        <f t="shared" si="119"/>
        <v>0</v>
      </c>
      <c r="Z377" s="1">
        <f t="shared" si="120"/>
        <v>0</v>
      </c>
      <c r="AA377" s="1">
        <f t="shared" si="121"/>
        <v>0</v>
      </c>
      <c r="AB377" s="1">
        <f t="shared" si="122"/>
        <v>0</v>
      </c>
      <c r="AD377" s="1">
        <f t="shared" si="123"/>
        <v>0</v>
      </c>
      <c r="AE377" s="1">
        <f t="shared" si="124"/>
        <v>1</v>
      </c>
      <c r="AF377" s="1">
        <f t="shared" si="125"/>
        <v>0</v>
      </c>
      <c r="AG377" s="1">
        <f t="shared" si="126"/>
        <v>1</v>
      </c>
      <c r="AH377" s="1">
        <f t="shared" si="127"/>
        <v>0</v>
      </c>
      <c r="AI377" s="1">
        <f t="shared" si="12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1980</v>
      </c>
      <c r="E378" s="32" t="s">
        <v>35</v>
      </c>
      <c r="F378" s="32" t="s">
        <v>1981</v>
      </c>
      <c r="G378" s="32" t="s">
        <v>208</v>
      </c>
      <c r="H378" s="32" t="s">
        <v>352</v>
      </c>
      <c r="I378" s="31" t="s">
        <v>1982</v>
      </c>
      <c r="J378" s="31">
        <v>99</v>
      </c>
      <c r="K378" s="33" t="s">
        <v>694</v>
      </c>
      <c r="L378" s="33">
        <v>25</v>
      </c>
      <c r="M378" s="34" t="s">
        <v>1984</v>
      </c>
      <c r="N378" s="34" t="s">
        <v>1808</v>
      </c>
      <c r="O378" s="35">
        <v>1</v>
      </c>
      <c r="P378" s="35"/>
      <c r="Q378" s="32" t="s">
        <v>1983</v>
      </c>
      <c r="S378" s="1">
        <f t="shared" si="113"/>
        <v>0</v>
      </c>
      <c r="T378" s="1">
        <f t="shared" si="114"/>
        <v>0</v>
      </c>
      <c r="U378" s="1">
        <f t="shared" si="115"/>
        <v>0</v>
      </c>
      <c r="V378" s="1">
        <f t="shared" si="116"/>
        <v>0</v>
      </c>
      <c r="W378" s="1">
        <f t="shared" si="117"/>
        <v>0</v>
      </c>
      <c r="X378" s="1">
        <f t="shared" si="118"/>
        <v>0</v>
      </c>
      <c r="Y378" s="1">
        <f t="shared" si="119"/>
        <v>0</v>
      </c>
      <c r="Z378" s="1">
        <f t="shared" si="120"/>
        <v>0</v>
      </c>
      <c r="AA378" s="1">
        <f t="shared" si="121"/>
        <v>0</v>
      </c>
      <c r="AB378" s="1">
        <f t="shared" si="122"/>
        <v>0</v>
      </c>
      <c r="AD378" s="1">
        <f t="shared" si="123"/>
        <v>0</v>
      </c>
      <c r="AE378" s="1">
        <f t="shared" si="124"/>
        <v>1</v>
      </c>
      <c r="AF378" s="1">
        <f t="shared" si="125"/>
        <v>0</v>
      </c>
      <c r="AG378" s="1">
        <f t="shared" si="126"/>
        <v>1</v>
      </c>
      <c r="AH378" s="1">
        <f t="shared" si="127"/>
        <v>0</v>
      </c>
      <c r="AI378" s="1">
        <f t="shared" si="12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1198</v>
      </c>
      <c r="E379" s="32" t="s">
        <v>1197</v>
      </c>
      <c r="F379" s="32" t="s">
        <v>1199</v>
      </c>
      <c r="G379" s="32" t="s">
        <v>531</v>
      </c>
      <c r="H379" s="32" t="s">
        <v>352</v>
      </c>
      <c r="I379" s="31" t="s">
        <v>1200</v>
      </c>
      <c r="J379" s="31">
        <v>99</v>
      </c>
      <c r="K379" s="33" t="s">
        <v>704</v>
      </c>
      <c r="L379" s="33" t="s">
        <v>685</v>
      </c>
      <c r="M379" s="34" t="s">
        <v>1392</v>
      </c>
      <c r="N379" s="34" t="s">
        <v>1693</v>
      </c>
      <c r="O379" s="35">
        <v>1</v>
      </c>
      <c r="P379" s="35">
        <v>1</v>
      </c>
      <c r="Q379" s="32"/>
      <c r="S379" s="1">
        <f t="shared" si="113"/>
        <v>0</v>
      </c>
      <c r="T379" s="1">
        <f t="shared" si="114"/>
        <v>0</v>
      </c>
      <c r="U379" s="1">
        <f t="shared" si="115"/>
        <v>0</v>
      </c>
      <c r="V379" s="1">
        <f t="shared" si="116"/>
        <v>0</v>
      </c>
      <c r="W379" s="1">
        <f t="shared" si="117"/>
        <v>0</v>
      </c>
      <c r="X379" s="1">
        <f t="shared" si="118"/>
        <v>0</v>
      </c>
      <c r="Y379" s="1">
        <f t="shared" si="119"/>
        <v>0</v>
      </c>
      <c r="Z379" s="1">
        <f t="shared" si="120"/>
        <v>0</v>
      </c>
      <c r="AA379" s="1">
        <f t="shared" si="121"/>
        <v>0</v>
      </c>
      <c r="AB379" s="1">
        <f t="shared" si="122"/>
        <v>0</v>
      </c>
      <c r="AD379" s="1">
        <f t="shared" si="123"/>
        <v>1</v>
      </c>
      <c r="AE379" s="1">
        <f t="shared" si="124"/>
        <v>0</v>
      </c>
      <c r="AF379" s="1">
        <f t="shared" si="125"/>
        <v>1</v>
      </c>
      <c r="AG379" s="1">
        <f t="shared" si="126"/>
        <v>0</v>
      </c>
      <c r="AH379" s="1">
        <f t="shared" si="127"/>
        <v>1</v>
      </c>
      <c r="AI379" s="1">
        <f t="shared" si="12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808</v>
      </c>
      <c r="E380" s="32" t="s">
        <v>582</v>
      </c>
      <c r="F380" s="32" t="s">
        <v>809</v>
      </c>
      <c r="G380" s="32" t="s">
        <v>919</v>
      </c>
      <c r="H380" s="32" t="s">
        <v>352</v>
      </c>
      <c r="I380" s="31" t="s">
        <v>932</v>
      </c>
      <c r="J380" s="31">
        <v>7</v>
      </c>
      <c r="K380" s="33" t="s">
        <v>703</v>
      </c>
      <c r="L380" s="33" t="s">
        <v>39</v>
      </c>
      <c r="M380" s="34" t="s">
        <v>39</v>
      </c>
      <c r="N380" s="34" t="s">
        <v>1693</v>
      </c>
      <c r="O380" s="35">
        <v>1</v>
      </c>
      <c r="P380" s="35">
        <v>1</v>
      </c>
      <c r="Q380" s="32"/>
      <c r="S380" s="1">
        <f t="shared" si="113"/>
        <v>0</v>
      </c>
      <c r="T380" s="1">
        <f t="shared" si="114"/>
        <v>0</v>
      </c>
      <c r="U380" s="1">
        <f t="shared" si="115"/>
        <v>0</v>
      </c>
      <c r="V380" s="1">
        <f t="shared" si="116"/>
        <v>0</v>
      </c>
      <c r="W380" s="1">
        <f t="shared" si="117"/>
        <v>0</v>
      </c>
      <c r="X380" s="1">
        <f t="shared" si="118"/>
        <v>0</v>
      </c>
      <c r="Y380" s="1">
        <f t="shared" si="119"/>
        <v>1</v>
      </c>
      <c r="Z380" s="1">
        <f t="shared" si="120"/>
        <v>0</v>
      </c>
      <c r="AA380" s="1">
        <f t="shared" si="121"/>
        <v>0</v>
      </c>
      <c r="AB380" s="1">
        <f t="shared" si="122"/>
        <v>0</v>
      </c>
      <c r="AD380" s="1">
        <f t="shared" si="123"/>
        <v>1</v>
      </c>
      <c r="AE380" s="1">
        <f t="shared" si="124"/>
        <v>0</v>
      </c>
      <c r="AF380" s="1">
        <f t="shared" si="125"/>
        <v>1</v>
      </c>
      <c r="AG380" s="1">
        <f t="shared" si="126"/>
        <v>0</v>
      </c>
      <c r="AH380" s="1">
        <f t="shared" si="127"/>
        <v>1</v>
      </c>
      <c r="AI380" s="1">
        <f t="shared" si="12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1572</v>
      </c>
      <c r="E381" s="32" t="s">
        <v>1622</v>
      </c>
      <c r="F381" s="32" t="s">
        <v>1573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704</v>
      </c>
      <c r="L381" s="33">
        <v>20</v>
      </c>
      <c r="M381" s="34" t="s">
        <v>39</v>
      </c>
      <c r="N381" s="34" t="s">
        <v>1715</v>
      </c>
      <c r="O381" s="35">
        <v>1</v>
      </c>
      <c r="P381" s="35"/>
      <c r="Q381" s="32"/>
      <c r="S381" s="1">
        <f t="shared" si="113"/>
        <v>0</v>
      </c>
      <c r="T381" s="1">
        <f t="shared" si="114"/>
        <v>0</v>
      </c>
      <c r="U381" s="1">
        <f t="shared" si="115"/>
        <v>0</v>
      </c>
      <c r="V381" s="1">
        <f t="shared" si="116"/>
        <v>0</v>
      </c>
      <c r="W381" s="1">
        <f t="shared" si="117"/>
        <v>0</v>
      </c>
      <c r="X381" s="1">
        <f t="shared" si="118"/>
        <v>0</v>
      </c>
      <c r="Y381" s="1">
        <f t="shared" si="119"/>
        <v>0</v>
      </c>
      <c r="Z381" s="1">
        <f t="shared" si="120"/>
        <v>0</v>
      </c>
      <c r="AA381" s="1">
        <f t="shared" si="121"/>
        <v>0</v>
      </c>
      <c r="AB381" s="1">
        <f t="shared" si="122"/>
        <v>0</v>
      </c>
      <c r="AD381" s="1">
        <f t="shared" si="123"/>
        <v>0</v>
      </c>
      <c r="AE381" s="1">
        <f t="shared" si="124"/>
        <v>1</v>
      </c>
      <c r="AF381" s="1">
        <f t="shared" si="125"/>
        <v>0</v>
      </c>
      <c r="AG381" s="1">
        <f t="shared" si="126"/>
        <v>1</v>
      </c>
      <c r="AH381" s="1">
        <f t="shared" si="127"/>
        <v>0</v>
      </c>
      <c r="AI381" s="1">
        <f t="shared" si="128"/>
        <v>1</v>
      </c>
    </row>
    <row r="382" spans="1:35" ht="14.25" customHeight="1" x14ac:dyDescent="0.25">
      <c r="A382" s="15">
        <v>0</v>
      </c>
      <c r="B382" s="15">
        <v>2</v>
      </c>
      <c r="C382" s="15">
        <v>4</v>
      </c>
      <c r="D382" s="16" t="s">
        <v>2145</v>
      </c>
      <c r="E382" s="16" t="s">
        <v>2146</v>
      </c>
      <c r="F382" s="16" t="s">
        <v>2147</v>
      </c>
      <c r="G382" s="16" t="s">
        <v>278</v>
      </c>
      <c r="H382" s="16" t="s">
        <v>352</v>
      </c>
      <c r="I382" s="21" t="s">
        <v>2148</v>
      </c>
      <c r="J382" s="15">
        <v>99</v>
      </c>
      <c r="K382" s="10" t="s">
        <v>694</v>
      </c>
      <c r="L382" s="10">
        <v>30</v>
      </c>
      <c r="M382" s="19" t="s">
        <v>2149</v>
      </c>
      <c r="N382" s="19"/>
      <c r="Q382" s="16" t="s">
        <v>2150</v>
      </c>
      <c r="S382" s="1">
        <f t="shared" si="113"/>
        <v>0</v>
      </c>
      <c r="T382" s="1">
        <f t="shared" si="114"/>
        <v>0</v>
      </c>
      <c r="U382" s="1">
        <f t="shared" si="115"/>
        <v>0</v>
      </c>
      <c r="V382" s="1">
        <f t="shared" si="116"/>
        <v>0</v>
      </c>
      <c r="W382" s="1">
        <f t="shared" si="117"/>
        <v>0</v>
      </c>
      <c r="X382" s="1">
        <f t="shared" si="118"/>
        <v>0</v>
      </c>
      <c r="Y382" s="1">
        <f t="shared" si="119"/>
        <v>0</v>
      </c>
      <c r="Z382" s="1">
        <f t="shared" si="120"/>
        <v>0</v>
      </c>
      <c r="AA382" s="1">
        <f t="shared" si="121"/>
        <v>0</v>
      </c>
      <c r="AB382" s="1">
        <f t="shared" si="122"/>
        <v>0</v>
      </c>
      <c r="AD382" s="1">
        <f t="shared" ref="AD382:AD385" si="129">+O382*P382</f>
        <v>0</v>
      </c>
      <c r="AE382" s="1">
        <f t="shared" ref="AE382:AE385" si="130">O382*(1-P382)</f>
        <v>0</v>
      </c>
      <c r="AF382" s="1">
        <f t="shared" ref="AF382:AF385" si="131">+O382*P382*(1-A382)</f>
        <v>0</v>
      </c>
      <c r="AG382" s="1">
        <f t="shared" ref="AG382:AG385" si="132">O382*(1-P382)*(1-A382)</f>
        <v>0</v>
      </c>
      <c r="AH382" s="1">
        <f t="shared" ref="AH382:AH385" si="133">+P382*(1-A382)</f>
        <v>0</v>
      </c>
      <c r="AI382" s="1">
        <f t="shared" ref="AI382:AI385" si="134">+(1-A382)*(1-P382)</f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58</v>
      </c>
      <c r="E383" s="32" t="s">
        <v>44</v>
      </c>
      <c r="F383" s="32" t="s">
        <v>663</v>
      </c>
      <c r="G383" s="32" t="s">
        <v>222</v>
      </c>
      <c r="H383" s="32" t="s">
        <v>352</v>
      </c>
      <c r="I383" s="31" t="s">
        <v>395</v>
      </c>
      <c r="J383" s="31">
        <v>8</v>
      </c>
      <c r="K383" s="33" t="s">
        <v>704</v>
      </c>
      <c r="L383" s="33" t="s">
        <v>707</v>
      </c>
      <c r="M383" s="34" t="s">
        <v>1393</v>
      </c>
      <c r="N383" s="34" t="s">
        <v>1708</v>
      </c>
      <c r="O383" s="35">
        <v>1</v>
      </c>
      <c r="P383" s="35"/>
      <c r="Q383" s="32"/>
      <c r="S383" s="1">
        <f t="shared" si="113"/>
        <v>0</v>
      </c>
      <c r="T383" s="1">
        <f t="shared" si="114"/>
        <v>0</v>
      </c>
      <c r="U383" s="1">
        <f t="shared" si="115"/>
        <v>0</v>
      </c>
      <c r="V383" s="1">
        <f t="shared" si="116"/>
        <v>0</v>
      </c>
      <c r="W383" s="1">
        <f t="shared" si="117"/>
        <v>0</v>
      </c>
      <c r="X383" s="1">
        <f t="shared" si="118"/>
        <v>0</v>
      </c>
      <c r="Y383" s="1">
        <f t="shared" si="119"/>
        <v>0</v>
      </c>
      <c r="Z383" s="1">
        <f t="shared" si="120"/>
        <v>1</v>
      </c>
      <c r="AA383" s="1">
        <f t="shared" si="121"/>
        <v>0</v>
      </c>
      <c r="AB383" s="1">
        <f t="shared" si="122"/>
        <v>0</v>
      </c>
      <c r="AD383" s="1">
        <f t="shared" si="129"/>
        <v>0</v>
      </c>
      <c r="AE383" s="1">
        <f t="shared" si="130"/>
        <v>1</v>
      </c>
      <c r="AF383" s="1">
        <f t="shared" si="131"/>
        <v>0</v>
      </c>
      <c r="AG383" s="1">
        <f t="shared" si="132"/>
        <v>1</v>
      </c>
      <c r="AH383" s="1">
        <f t="shared" si="133"/>
        <v>0</v>
      </c>
      <c r="AI383" s="1">
        <f t="shared" si="134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2" t="s">
        <v>817</v>
      </c>
      <c r="E384" s="32" t="s">
        <v>816</v>
      </c>
      <c r="F384" s="32" t="s">
        <v>907</v>
      </c>
      <c r="G384" s="32" t="s">
        <v>212</v>
      </c>
      <c r="H384" s="32" t="s">
        <v>352</v>
      </c>
      <c r="I384" s="31" t="s">
        <v>818</v>
      </c>
      <c r="J384" s="31">
        <v>1</v>
      </c>
      <c r="K384" s="33" t="s">
        <v>703</v>
      </c>
      <c r="L384" s="33" t="s">
        <v>684</v>
      </c>
      <c r="M384" s="34" t="s">
        <v>1394</v>
      </c>
      <c r="N384" s="34" t="s">
        <v>1704</v>
      </c>
      <c r="O384" s="35">
        <v>1</v>
      </c>
      <c r="P384" s="35"/>
      <c r="Q384" s="32"/>
      <c r="S384" s="1">
        <f t="shared" si="113"/>
        <v>1</v>
      </c>
      <c r="T384" s="1">
        <f t="shared" si="114"/>
        <v>0</v>
      </c>
      <c r="U384" s="1">
        <f t="shared" si="115"/>
        <v>0</v>
      </c>
      <c r="V384" s="1">
        <f t="shared" si="116"/>
        <v>0</v>
      </c>
      <c r="W384" s="1">
        <f t="shared" si="117"/>
        <v>0</v>
      </c>
      <c r="X384" s="1">
        <f t="shared" si="118"/>
        <v>0</v>
      </c>
      <c r="Y384" s="1">
        <f t="shared" si="119"/>
        <v>0</v>
      </c>
      <c r="Z384" s="1">
        <f t="shared" si="120"/>
        <v>0</v>
      </c>
      <c r="AA384" s="1">
        <f t="shared" si="121"/>
        <v>0</v>
      </c>
      <c r="AB384" s="1">
        <f t="shared" si="122"/>
        <v>0</v>
      </c>
      <c r="AD384" s="1">
        <f t="shared" si="129"/>
        <v>0</v>
      </c>
      <c r="AE384" s="1">
        <f t="shared" si="130"/>
        <v>1</v>
      </c>
      <c r="AF384" s="1">
        <f t="shared" si="131"/>
        <v>0</v>
      </c>
      <c r="AG384" s="1">
        <f t="shared" si="132"/>
        <v>1</v>
      </c>
      <c r="AH384" s="1">
        <f t="shared" si="133"/>
        <v>0</v>
      </c>
      <c r="AI384" s="1">
        <f t="shared" si="134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6" t="s">
        <v>2013</v>
      </c>
      <c r="E385" s="36" t="s">
        <v>169</v>
      </c>
      <c r="F385" s="36" t="s">
        <v>2014</v>
      </c>
      <c r="G385" s="36" t="s">
        <v>1501</v>
      </c>
      <c r="H385" s="36" t="s">
        <v>352</v>
      </c>
      <c r="I385" s="37" t="s">
        <v>2015</v>
      </c>
      <c r="J385" s="31">
        <v>5</v>
      </c>
      <c r="K385" s="33" t="s">
        <v>694</v>
      </c>
      <c r="L385" s="33"/>
      <c r="M385" s="34"/>
      <c r="N385" s="34" t="s">
        <v>1693</v>
      </c>
      <c r="O385" s="35">
        <v>1</v>
      </c>
      <c r="P385" s="35">
        <v>1</v>
      </c>
      <c r="Q385" s="36" t="s">
        <v>2016</v>
      </c>
      <c r="S385" s="1">
        <f t="shared" si="113"/>
        <v>0</v>
      </c>
      <c r="T385" s="1">
        <f t="shared" si="114"/>
        <v>0</v>
      </c>
      <c r="U385" s="1">
        <f t="shared" si="115"/>
        <v>0</v>
      </c>
      <c r="V385" s="1">
        <f t="shared" si="116"/>
        <v>0</v>
      </c>
      <c r="W385" s="1">
        <f t="shared" si="117"/>
        <v>1</v>
      </c>
      <c r="X385" s="1">
        <f t="shared" si="118"/>
        <v>0</v>
      </c>
      <c r="Y385" s="1">
        <f t="shared" si="119"/>
        <v>0</v>
      </c>
      <c r="Z385" s="1">
        <f t="shared" si="120"/>
        <v>0</v>
      </c>
      <c r="AA385" s="1">
        <f t="shared" si="121"/>
        <v>0</v>
      </c>
      <c r="AB385" s="1">
        <f t="shared" si="122"/>
        <v>0</v>
      </c>
      <c r="AD385" s="1">
        <f t="shared" si="129"/>
        <v>1</v>
      </c>
      <c r="AE385" s="1">
        <f t="shared" si="130"/>
        <v>0</v>
      </c>
      <c r="AF385" s="1">
        <f t="shared" si="131"/>
        <v>1</v>
      </c>
      <c r="AG385" s="1">
        <f t="shared" si="132"/>
        <v>0</v>
      </c>
      <c r="AH385" s="1">
        <f t="shared" si="133"/>
        <v>1</v>
      </c>
      <c r="AI385" s="1">
        <f t="shared" si="134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65</v>
      </c>
      <c r="E386" s="32" t="s">
        <v>163</v>
      </c>
      <c r="F386" s="32" t="s">
        <v>543</v>
      </c>
      <c r="G386" s="32" t="s">
        <v>193</v>
      </c>
      <c r="H386" s="32" t="s">
        <v>352</v>
      </c>
      <c r="I386" s="31" t="s">
        <v>548</v>
      </c>
      <c r="J386" s="31">
        <v>9</v>
      </c>
      <c r="K386" s="33" t="s">
        <v>704</v>
      </c>
      <c r="L386" s="33" t="s">
        <v>678</v>
      </c>
      <c r="M386" s="34" t="s">
        <v>1412</v>
      </c>
      <c r="N386" s="34" t="s">
        <v>1721</v>
      </c>
      <c r="O386" s="35">
        <v>1</v>
      </c>
      <c r="P386" s="35"/>
      <c r="Q386" s="32"/>
      <c r="S386" s="1">
        <f t="shared" si="113"/>
        <v>0</v>
      </c>
      <c r="T386" s="1">
        <f t="shared" si="114"/>
        <v>0</v>
      </c>
      <c r="U386" s="1">
        <f t="shared" si="115"/>
        <v>0</v>
      </c>
      <c r="V386" s="1">
        <f t="shared" si="116"/>
        <v>0</v>
      </c>
      <c r="W386" s="1">
        <f t="shared" si="117"/>
        <v>0</v>
      </c>
      <c r="X386" s="1">
        <f t="shared" si="118"/>
        <v>0</v>
      </c>
      <c r="Y386" s="1">
        <f t="shared" si="119"/>
        <v>0</v>
      </c>
      <c r="Z386" s="1">
        <f t="shared" si="120"/>
        <v>0</v>
      </c>
      <c r="AA386" s="1">
        <f t="shared" si="121"/>
        <v>1</v>
      </c>
      <c r="AB386" s="1">
        <f t="shared" si="122"/>
        <v>0</v>
      </c>
      <c r="AD386" s="1">
        <f t="shared" si="123"/>
        <v>0</v>
      </c>
      <c r="AE386" s="1">
        <f t="shared" si="124"/>
        <v>1</v>
      </c>
      <c r="AF386" s="1">
        <f t="shared" si="125"/>
        <v>0</v>
      </c>
      <c r="AG386" s="1">
        <f t="shared" si="126"/>
        <v>1</v>
      </c>
      <c r="AH386" s="1">
        <f t="shared" si="127"/>
        <v>0</v>
      </c>
      <c r="AI386" s="1">
        <f t="shared" si="12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1455</v>
      </c>
      <c r="E387" s="32" t="s">
        <v>35</v>
      </c>
      <c r="F387" s="32" t="s">
        <v>1832</v>
      </c>
      <c r="G387" s="32" t="s">
        <v>221</v>
      </c>
      <c r="H387" s="32" t="s">
        <v>352</v>
      </c>
      <c r="I387" s="31" t="s">
        <v>1652</v>
      </c>
      <c r="J387" s="31">
        <v>99</v>
      </c>
      <c r="K387" s="33" t="s">
        <v>704</v>
      </c>
      <c r="L387" s="33">
        <v>25</v>
      </c>
      <c r="M387" s="34" t="s">
        <v>39</v>
      </c>
      <c r="N387" s="34" t="s">
        <v>1716</v>
      </c>
      <c r="O387" s="35">
        <v>1</v>
      </c>
      <c r="P387" s="35"/>
      <c r="Q387" s="32"/>
      <c r="S387" s="1">
        <f t="shared" si="113"/>
        <v>0</v>
      </c>
      <c r="T387" s="1">
        <f t="shared" si="114"/>
        <v>0</v>
      </c>
      <c r="U387" s="1">
        <f t="shared" si="115"/>
        <v>0</v>
      </c>
      <c r="V387" s="1">
        <f t="shared" si="116"/>
        <v>0</v>
      </c>
      <c r="W387" s="1">
        <f t="shared" si="117"/>
        <v>0</v>
      </c>
      <c r="X387" s="1">
        <f t="shared" si="118"/>
        <v>0</v>
      </c>
      <c r="Y387" s="1">
        <f t="shared" si="119"/>
        <v>0</v>
      </c>
      <c r="Z387" s="1">
        <f t="shared" si="120"/>
        <v>0</v>
      </c>
      <c r="AA387" s="1">
        <f t="shared" si="121"/>
        <v>0</v>
      </c>
      <c r="AB387" s="1">
        <f t="shared" si="122"/>
        <v>0</v>
      </c>
      <c r="AD387" s="1">
        <f t="shared" si="123"/>
        <v>0</v>
      </c>
      <c r="AE387" s="1">
        <f t="shared" si="124"/>
        <v>1</v>
      </c>
      <c r="AF387" s="1">
        <f t="shared" si="125"/>
        <v>0</v>
      </c>
      <c r="AG387" s="1">
        <f t="shared" si="126"/>
        <v>1</v>
      </c>
      <c r="AH387" s="1">
        <f t="shared" si="127"/>
        <v>0</v>
      </c>
      <c r="AI387" s="1">
        <f t="shared" si="12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1778</v>
      </c>
      <c r="E388" s="32" t="s">
        <v>757</v>
      </c>
      <c r="F388" s="32" t="s">
        <v>1779</v>
      </c>
      <c r="G388" s="32" t="s">
        <v>223</v>
      </c>
      <c r="H388" s="32" t="s">
        <v>352</v>
      </c>
      <c r="I388" s="31" t="s">
        <v>1780</v>
      </c>
      <c r="J388" s="31">
        <v>99</v>
      </c>
      <c r="K388" s="33" t="s">
        <v>1781</v>
      </c>
      <c r="L388" s="33">
        <v>40</v>
      </c>
      <c r="M388" s="34" t="s">
        <v>1782</v>
      </c>
      <c r="N388" s="34" t="s">
        <v>1808</v>
      </c>
      <c r="O388" s="35">
        <v>1</v>
      </c>
      <c r="P388" s="35"/>
      <c r="Q388" s="32"/>
      <c r="S388" s="1">
        <f t="shared" si="113"/>
        <v>0</v>
      </c>
      <c r="T388" s="1">
        <f t="shared" si="114"/>
        <v>0</v>
      </c>
      <c r="U388" s="1">
        <f t="shared" si="115"/>
        <v>0</v>
      </c>
      <c r="V388" s="1">
        <f t="shared" si="116"/>
        <v>0</v>
      </c>
      <c r="W388" s="1">
        <f t="shared" si="117"/>
        <v>0</v>
      </c>
      <c r="X388" s="1">
        <f t="shared" si="118"/>
        <v>0</v>
      </c>
      <c r="Y388" s="1">
        <f t="shared" si="119"/>
        <v>0</v>
      </c>
      <c r="Z388" s="1">
        <f t="shared" si="120"/>
        <v>0</v>
      </c>
      <c r="AA388" s="1">
        <f t="shared" si="121"/>
        <v>0</v>
      </c>
      <c r="AB388" s="1">
        <f t="shared" si="122"/>
        <v>0</v>
      </c>
      <c r="AD388" s="1">
        <f t="shared" si="123"/>
        <v>0</v>
      </c>
      <c r="AE388" s="1">
        <f t="shared" si="124"/>
        <v>1</v>
      </c>
      <c r="AF388" s="1">
        <f t="shared" si="125"/>
        <v>0</v>
      </c>
      <c r="AG388" s="1">
        <f t="shared" si="126"/>
        <v>1</v>
      </c>
      <c r="AH388" s="1">
        <f t="shared" si="127"/>
        <v>0</v>
      </c>
      <c r="AI388" s="1">
        <f t="shared" si="12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608</v>
      </c>
      <c r="E389" s="32" t="s">
        <v>677</v>
      </c>
      <c r="F389" s="32" t="s">
        <v>609</v>
      </c>
      <c r="G389" s="32" t="s">
        <v>285</v>
      </c>
      <c r="H389" s="32" t="s">
        <v>352</v>
      </c>
      <c r="I389" s="31" t="s">
        <v>610</v>
      </c>
      <c r="J389" s="31">
        <v>99</v>
      </c>
      <c r="K389" s="33" t="s">
        <v>703</v>
      </c>
      <c r="L389" s="33" t="s">
        <v>695</v>
      </c>
      <c r="M389" s="34" t="s">
        <v>1395</v>
      </c>
      <c r="N389" s="34" t="s">
        <v>1704</v>
      </c>
      <c r="O389" s="35">
        <v>1</v>
      </c>
      <c r="P389" s="35"/>
      <c r="Q389" s="32"/>
      <c r="S389" s="1">
        <f t="shared" si="113"/>
        <v>0</v>
      </c>
      <c r="T389" s="1">
        <f t="shared" si="114"/>
        <v>0</v>
      </c>
      <c r="U389" s="1">
        <f t="shared" si="115"/>
        <v>0</v>
      </c>
      <c r="V389" s="1">
        <f t="shared" si="116"/>
        <v>0</v>
      </c>
      <c r="W389" s="1">
        <f t="shared" si="117"/>
        <v>0</v>
      </c>
      <c r="X389" s="1">
        <f t="shared" si="118"/>
        <v>0</v>
      </c>
      <c r="Y389" s="1">
        <f t="shared" si="119"/>
        <v>0</v>
      </c>
      <c r="Z389" s="1">
        <f t="shared" si="120"/>
        <v>0</v>
      </c>
      <c r="AA389" s="1">
        <f t="shared" si="121"/>
        <v>0</v>
      </c>
      <c r="AB389" s="1">
        <f t="shared" si="122"/>
        <v>0</v>
      </c>
      <c r="AD389" s="1">
        <f t="shared" si="123"/>
        <v>0</v>
      </c>
      <c r="AE389" s="1">
        <f t="shared" si="124"/>
        <v>1</v>
      </c>
      <c r="AF389" s="1">
        <f t="shared" si="125"/>
        <v>0</v>
      </c>
      <c r="AG389" s="1">
        <f t="shared" si="126"/>
        <v>1</v>
      </c>
      <c r="AH389" s="1">
        <f t="shared" si="127"/>
        <v>0</v>
      </c>
      <c r="AI389" s="1">
        <f t="shared" si="12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1457</v>
      </c>
      <c r="E390" s="32" t="s">
        <v>757</v>
      </c>
      <c r="F390" s="32" t="s">
        <v>1458</v>
      </c>
      <c r="G390" s="32" t="s">
        <v>195</v>
      </c>
      <c r="H390" s="32" t="s">
        <v>352</v>
      </c>
      <c r="I390" s="31" t="s">
        <v>1459</v>
      </c>
      <c r="J390" s="31">
        <v>99</v>
      </c>
      <c r="K390" s="33" t="s">
        <v>935</v>
      </c>
      <c r="L390" s="33" t="s">
        <v>684</v>
      </c>
      <c r="M390" s="34" t="s">
        <v>1386</v>
      </c>
      <c r="N390" s="34" t="s">
        <v>1704</v>
      </c>
      <c r="O390" s="35">
        <v>1</v>
      </c>
      <c r="P390" s="35"/>
      <c r="Q390" s="32"/>
      <c r="S390" s="1">
        <f t="shared" si="113"/>
        <v>0</v>
      </c>
      <c r="T390" s="1">
        <f t="shared" si="114"/>
        <v>0</v>
      </c>
      <c r="U390" s="1">
        <f t="shared" si="115"/>
        <v>0</v>
      </c>
      <c r="V390" s="1">
        <f t="shared" si="116"/>
        <v>0</v>
      </c>
      <c r="W390" s="1">
        <f t="shared" si="117"/>
        <v>0</v>
      </c>
      <c r="X390" s="1">
        <f t="shared" si="118"/>
        <v>0</v>
      </c>
      <c r="Y390" s="1">
        <f t="shared" si="119"/>
        <v>0</v>
      </c>
      <c r="Z390" s="1">
        <f t="shared" si="120"/>
        <v>0</v>
      </c>
      <c r="AA390" s="1">
        <f t="shared" si="121"/>
        <v>0</v>
      </c>
      <c r="AB390" s="1">
        <f t="shared" si="122"/>
        <v>0</v>
      </c>
      <c r="AD390" s="1">
        <f t="shared" si="123"/>
        <v>0</v>
      </c>
      <c r="AE390" s="1">
        <f t="shared" si="124"/>
        <v>1</v>
      </c>
      <c r="AF390" s="1">
        <f t="shared" si="125"/>
        <v>0</v>
      </c>
      <c r="AG390" s="1">
        <f t="shared" si="126"/>
        <v>1</v>
      </c>
      <c r="AH390" s="1">
        <f t="shared" si="127"/>
        <v>0</v>
      </c>
      <c r="AI390" s="1">
        <f t="shared" si="128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760</v>
      </c>
      <c r="E391" s="32" t="s">
        <v>757</v>
      </c>
      <c r="F391" s="32" t="s">
        <v>762</v>
      </c>
      <c r="G391" s="32" t="s">
        <v>206</v>
      </c>
      <c r="H391" s="32" t="s">
        <v>352</v>
      </c>
      <c r="I391" s="31" t="s">
        <v>761</v>
      </c>
      <c r="J391" s="31">
        <v>99</v>
      </c>
      <c r="K391" s="33" t="s">
        <v>703</v>
      </c>
      <c r="L391" s="33" t="s">
        <v>685</v>
      </c>
      <c r="M391" s="34" t="s">
        <v>1396</v>
      </c>
      <c r="N391" s="34" t="s">
        <v>1704</v>
      </c>
      <c r="O391" s="35">
        <v>1</v>
      </c>
      <c r="P391" s="35"/>
      <c r="Q391" s="32"/>
      <c r="S391" s="1">
        <f t="shared" si="113"/>
        <v>0</v>
      </c>
      <c r="T391" s="1">
        <f t="shared" si="114"/>
        <v>0</v>
      </c>
      <c r="U391" s="1">
        <f t="shared" si="115"/>
        <v>0</v>
      </c>
      <c r="V391" s="1">
        <f t="shared" si="116"/>
        <v>0</v>
      </c>
      <c r="W391" s="1">
        <f t="shared" si="117"/>
        <v>0</v>
      </c>
      <c r="X391" s="1">
        <f t="shared" si="118"/>
        <v>0</v>
      </c>
      <c r="Y391" s="1">
        <f t="shared" si="119"/>
        <v>0</v>
      </c>
      <c r="Z391" s="1">
        <f t="shared" si="120"/>
        <v>0</v>
      </c>
      <c r="AA391" s="1">
        <f t="shared" si="121"/>
        <v>0</v>
      </c>
      <c r="AB391" s="1">
        <f t="shared" si="122"/>
        <v>0</v>
      </c>
      <c r="AD391" s="1">
        <f t="shared" si="123"/>
        <v>0</v>
      </c>
      <c r="AE391" s="1">
        <f t="shared" si="124"/>
        <v>1</v>
      </c>
      <c r="AF391" s="1">
        <f t="shared" si="125"/>
        <v>0</v>
      </c>
      <c r="AG391" s="1">
        <f t="shared" si="126"/>
        <v>1</v>
      </c>
      <c r="AH391" s="1">
        <f t="shared" si="127"/>
        <v>0</v>
      </c>
      <c r="AI391" s="1">
        <f t="shared" si="128"/>
        <v>1</v>
      </c>
    </row>
    <row r="392" spans="1:35" ht="14.25" customHeight="1" x14ac:dyDescent="0.25">
      <c r="A392" s="31">
        <v>1</v>
      </c>
      <c r="B392" s="31">
        <v>2</v>
      </c>
      <c r="C392" s="31">
        <v>5</v>
      </c>
      <c r="D392" s="32" t="s">
        <v>760</v>
      </c>
      <c r="E392" s="32" t="s">
        <v>757</v>
      </c>
      <c r="F392" s="32" t="s">
        <v>987</v>
      </c>
      <c r="G392" s="32" t="s">
        <v>189</v>
      </c>
      <c r="H392" s="32" t="s">
        <v>352</v>
      </c>
      <c r="I392" s="31" t="s">
        <v>988</v>
      </c>
      <c r="J392" s="31">
        <v>99</v>
      </c>
      <c r="K392" s="33" t="s">
        <v>703</v>
      </c>
      <c r="L392" s="33" t="s">
        <v>685</v>
      </c>
      <c r="M392" s="34" t="s">
        <v>1396</v>
      </c>
      <c r="N392" s="34" t="s">
        <v>1704</v>
      </c>
      <c r="O392" s="35">
        <v>1</v>
      </c>
      <c r="P392" s="35"/>
      <c r="Q392" s="32"/>
      <c r="S392" s="1">
        <f t="shared" si="113"/>
        <v>0</v>
      </c>
      <c r="T392" s="1">
        <f t="shared" si="114"/>
        <v>0</v>
      </c>
      <c r="U392" s="1">
        <f t="shared" si="115"/>
        <v>0</v>
      </c>
      <c r="V392" s="1">
        <f t="shared" si="116"/>
        <v>0</v>
      </c>
      <c r="W392" s="1">
        <f t="shared" si="117"/>
        <v>0</v>
      </c>
      <c r="X392" s="1">
        <f t="shared" si="118"/>
        <v>0</v>
      </c>
      <c r="Y392" s="1">
        <f t="shared" si="119"/>
        <v>0</v>
      </c>
      <c r="Z392" s="1">
        <f t="shared" si="120"/>
        <v>0</v>
      </c>
      <c r="AA392" s="1">
        <f t="shared" si="121"/>
        <v>0</v>
      </c>
      <c r="AB392" s="1">
        <f t="shared" si="122"/>
        <v>0</v>
      </c>
      <c r="AD392" s="1">
        <f t="shared" si="123"/>
        <v>0</v>
      </c>
      <c r="AE392" s="1">
        <f t="shared" si="124"/>
        <v>1</v>
      </c>
      <c r="AF392" s="1">
        <f t="shared" si="125"/>
        <v>0</v>
      </c>
      <c r="AG392" s="1">
        <f t="shared" si="126"/>
        <v>0</v>
      </c>
      <c r="AH392" s="1">
        <f t="shared" si="127"/>
        <v>0</v>
      </c>
      <c r="AI392" s="1">
        <f t="shared" si="128"/>
        <v>0</v>
      </c>
    </row>
    <row r="393" spans="1:35" ht="14.25" customHeight="1" x14ac:dyDescent="0.25">
      <c r="A393" s="15">
        <v>0</v>
      </c>
      <c r="B393" s="15">
        <v>2</v>
      </c>
      <c r="C393" s="15">
        <v>5</v>
      </c>
      <c r="D393" s="16" t="s">
        <v>899</v>
      </c>
      <c r="E393" s="16" t="s">
        <v>894</v>
      </c>
      <c r="F393" s="16" t="s">
        <v>912</v>
      </c>
      <c r="G393" s="16" t="s">
        <v>1323</v>
      </c>
      <c r="H393" s="16" t="s">
        <v>352</v>
      </c>
      <c r="I393" s="15" t="s">
        <v>755</v>
      </c>
      <c r="J393" s="15">
        <v>99</v>
      </c>
      <c r="K393" s="10" t="s">
        <v>694</v>
      </c>
      <c r="L393" s="10">
        <v>20</v>
      </c>
      <c r="M393" s="19" t="s">
        <v>1397</v>
      </c>
      <c r="N393" s="19"/>
      <c r="Q393" s="16"/>
      <c r="S393" s="1">
        <f t="shared" si="113"/>
        <v>0</v>
      </c>
      <c r="T393" s="1">
        <f t="shared" si="114"/>
        <v>0</v>
      </c>
      <c r="U393" s="1">
        <f t="shared" si="115"/>
        <v>0</v>
      </c>
      <c r="V393" s="1">
        <f t="shared" si="116"/>
        <v>0</v>
      </c>
      <c r="W393" s="1">
        <f t="shared" si="117"/>
        <v>0</v>
      </c>
      <c r="X393" s="1">
        <f t="shared" si="118"/>
        <v>0</v>
      </c>
      <c r="Y393" s="1">
        <f t="shared" si="119"/>
        <v>0</v>
      </c>
      <c r="Z393" s="1">
        <f t="shared" si="120"/>
        <v>0</v>
      </c>
      <c r="AA393" s="1">
        <f t="shared" si="121"/>
        <v>0</v>
      </c>
      <c r="AB393" s="1">
        <f t="shared" si="122"/>
        <v>0</v>
      </c>
      <c r="AD393" s="1">
        <f t="shared" si="123"/>
        <v>0</v>
      </c>
      <c r="AE393" s="1">
        <f t="shared" si="124"/>
        <v>0</v>
      </c>
      <c r="AF393" s="1">
        <f t="shared" si="125"/>
        <v>0</v>
      </c>
      <c r="AG393" s="1">
        <f t="shared" si="126"/>
        <v>0</v>
      </c>
      <c r="AH393" s="1">
        <f t="shared" si="127"/>
        <v>0</v>
      </c>
      <c r="AI393" s="1">
        <f t="shared" si="128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1879</v>
      </c>
      <c r="E394" s="32"/>
      <c r="F394" s="32" t="s">
        <v>1880</v>
      </c>
      <c r="G394" s="32" t="s">
        <v>207</v>
      </c>
      <c r="H394" s="32" t="s">
        <v>352</v>
      </c>
      <c r="I394" s="31" t="s">
        <v>1881</v>
      </c>
      <c r="J394" s="31">
        <v>3</v>
      </c>
      <c r="K394" s="33" t="s">
        <v>694</v>
      </c>
      <c r="L394" s="33"/>
      <c r="M394" s="34"/>
      <c r="N394" s="34" t="s">
        <v>1693</v>
      </c>
      <c r="O394" s="35">
        <v>1</v>
      </c>
      <c r="P394" s="35">
        <v>1</v>
      </c>
      <c r="Q394" s="32" t="s">
        <v>1882</v>
      </c>
      <c r="S394" s="1">
        <f t="shared" si="113"/>
        <v>0</v>
      </c>
      <c r="T394" s="1">
        <f t="shared" si="114"/>
        <v>0</v>
      </c>
      <c r="U394" s="1">
        <f t="shared" si="115"/>
        <v>1</v>
      </c>
      <c r="V394" s="1">
        <f t="shared" si="116"/>
        <v>0</v>
      </c>
      <c r="W394" s="1">
        <f t="shared" si="117"/>
        <v>0</v>
      </c>
      <c r="X394" s="1">
        <f t="shared" si="118"/>
        <v>0</v>
      </c>
      <c r="Y394" s="1">
        <f t="shared" si="119"/>
        <v>0</v>
      </c>
      <c r="Z394" s="1">
        <f t="shared" si="120"/>
        <v>0</v>
      </c>
      <c r="AA394" s="1">
        <f t="shared" si="121"/>
        <v>0</v>
      </c>
      <c r="AB394" s="1">
        <f t="shared" si="122"/>
        <v>0</v>
      </c>
      <c r="AD394" s="1">
        <f t="shared" si="123"/>
        <v>1</v>
      </c>
      <c r="AE394" s="1">
        <f t="shared" si="124"/>
        <v>0</v>
      </c>
      <c r="AF394" s="1">
        <f t="shared" si="125"/>
        <v>1</v>
      </c>
      <c r="AG394" s="1">
        <f t="shared" si="126"/>
        <v>0</v>
      </c>
      <c r="AH394" s="1">
        <f t="shared" si="127"/>
        <v>1</v>
      </c>
      <c r="AI394" s="1">
        <f t="shared" si="12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1244</v>
      </c>
      <c r="E395" s="32" t="s">
        <v>1245</v>
      </c>
      <c r="F395" s="32" t="s">
        <v>1246</v>
      </c>
      <c r="G395" s="32" t="s">
        <v>219</v>
      </c>
      <c r="H395" s="32" t="s">
        <v>352</v>
      </c>
      <c r="I395" s="31" t="s">
        <v>1689</v>
      </c>
      <c r="J395" s="31">
        <v>8</v>
      </c>
      <c r="K395" s="33" t="s">
        <v>704</v>
      </c>
      <c r="L395" s="33" t="s">
        <v>39</v>
      </c>
      <c r="M395" s="34" t="s">
        <v>39</v>
      </c>
      <c r="N395" s="34" t="s">
        <v>1693</v>
      </c>
      <c r="O395" s="35">
        <v>1</v>
      </c>
      <c r="P395" s="35">
        <v>1</v>
      </c>
      <c r="Q395" s="32"/>
      <c r="S395" s="1">
        <f t="shared" si="113"/>
        <v>0</v>
      </c>
      <c r="T395" s="1">
        <f t="shared" si="114"/>
        <v>0</v>
      </c>
      <c r="U395" s="1">
        <f t="shared" si="115"/>
        <v>0</v>
      </c>
      <c r="V395" s="1">
        <f t="shared" si="116"/>
        <v>0</v>
      </c>
      <c r="W395" s="1">
        <f t="shared" si="117"/>
        <v>0</v>
      </c>
      <c r="X395" s="1">
        <f t="shared" si="118"/>
        <v>0</v>
      </c>
      <c r="Y395" s="1">
        <f t="shared" si="119"/>
        <v>0</v>
      </c>
      <c r="Z395" s="1">
        <f t="shared" si="120"/>
        <v>1</v>
      </c>
      <c r="AA395" s="1">
        <f t="shared" si="121"/>
        <v>0</v>
      </c>
      <c r="AB395" s="1">
        <f t="shared" si="122"/>
        <v>0</v>
      </c>
      <c r="AD395" s="1">
        <f t="shared" si="123"/>
        <v>1</v>
      </c>
      <c r="AE395" s="1">
        <f t="shared" si="124"/>
        <v>0</v>
      </c>
      <c r="AF395" s="1">
        <f t="shared" si="125"/>
        <v>1</v>
      </c>
      <c r="AG395" s="1">
        <f t="shared" si="126"/>
        <v>0</v>
      </c>
      <c r="AH395" s="1">
        <f t="shared" si="127"/>
        <v>1</v>
      </c>
      <c r="AI395" s="1">
        <f t="shared" si="128"/>
        <v>0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1063</v>
      </c>
      <c r="E396" s="32" t="s">
        <v>154</v>
      </c>
      <c r="F396" s="32" t="s">
        <v>1047</v>
      </c>
      <c r="G396" s="32" t="s">
        <v>319</v>
      </c>
      <c r="H396" s="32" t="s">
        <v>352</v>
      </c>
      <c r="I396" s="31" t="s">
        <v>1048</v>
      </c>
      <c r="J396" s="31">
        <v>99</v>
      </c>
      <c r="K396" s="33" t="s">
        <v>704</v>
      </c>
      <c r="L396" s="33" t="s">
        <v>685</v>
      </c>
      <c r="M396" s="34" t="s">
        <v>1398</v>
      </c>
      <c r="N396" s="34" t="s">
        <v>1716</v>
      </c>
      <c r="O396" s="35">
        <v>1</v>
      </c>
      <c r="P396" s="35"/>
      <c r="Q396" s="32"/>
      <c r="S396" s="1">
        <f t="shared" si="113"/>
        <v>0</v>
      </c>
      <c r="T396" s="1">
        <f t="shared" si="114"/>
        <v>0</v>
      </c>
      <c r="U396" s="1">
        <f t="shared" si="115"/>
        <v>0</v>
      </c>
      <c r="V396" s="1">
        <f t="shared" si="116"/>
        <v>0</v>
      </c>
      <c r="W396" s="1">
        <f t="shared" si="117"/>
        <v>0</v>
      </c>
      <c r="X396" s="1">
        <f t="shared" si="118"/>
        <v>0</v>
      </c>
      <c r="Y396" s="1">
        <f t="shared" si="119"/>
        <v>0</v>
      </c>
      <c r="Z396" s="1">
        <f t="shared" si="120"/>
        <v>0</v>
      </c>
      <c r="AA396" s="1">
        <f t="shared" si="121"/>
        <v>0</v>
      </c>
      <c r="AB396" s="1">
        <f t="shared" si="122"/>
        <v>0</v>
      </c>
      <c r="AD396" s="1">
        <f t="shared" si="123"/>
        <v>0</v>
      </c>
      <c r="AE396" s="1">
        <f t="shared" si="124"/>
        <v>1</v>
      </c>
      <c r="AF396" s="1">
        <f t="shared" si="125"/>
        <v>0</v>
      </c>
      <c r="AG396" s="1">
        <f t="shared" si="126"/>
        <v>1</v>
      </c>
      <c r="AH396" s="1">
        <f t="shared" si="127"/>
        <v>0</v>
      </c>
      <c r="AI396" s="1">
        <f t="shared" si="12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781</v>
      </c>
      <c r="E397" s="32" t="s">
        <v>757</v>
      </c>
      <c r="F397" s="32" t="s">
        <v>915</v>
      </c>
      <c r="G397" s="32" t="s">
        <v>219</v>
      </c>
      <c r="H397" s="32" t="s">
        <v>352</v>
      </c>
      <c r="I397" s="31" t="s">
        <v>782</v>
      </c>
      <c r="J397" s="31">
        <v>8</v>
      </c>
      <c r="K397" s="33" t="s">
        <v>694</v>
      </c>
      <c r="L397" s="33">
        <v>20</v>
      </c>
      <c r="M397" s="34" t="s">
        <v>1389</v>
      </c>
      <c r="N397" s="34" t="s">
        <v>1784</v>
      </c>
      <c r="O397" s="35">
        <v>1</v>
      </c>
      <c r="P397" s="35"/>
      <c r="Q397" s="32"/>
      <c r="S397" s="1">
        <f t="shared" si="113"/>
        <v>0</v>
      </c>
      <c r="T397" s="1">
        <f t="shared" si="114"/>
        <v>0</v>
      </c>
      <c r="U397" s="1">
        <f t="shared" si="115"/>
        <v>0</v>
      </c>
      <c r="V397" s="1">
        <f t="shared" si="116"/>
        <v>0</v>
      </c>
      <c r="W397" s="1">
        <f t="shared" si="117"/>
        <v>0</v>
      </c>
      <c r="X397" s="1">
        <f t="shared" si="118"/>
        <v>0</v>
      </c>
      <c r="Y397" s="1">
        <f t="shared" si="119"/>
        <v>0</v>
      </c>
      <c r="Z397" s="1">
        <f t="shared" si="120"/>
        <v>1</v>
      </c>
      <c r="AA397" s="1">
        <f t="shared" si="121"/>
        <v>0</v>
      </c>
      <c r="AB397" s="1">
        <f t="shared" si="122"/>
        <v>0</v>
      </c>
      <c r="AD397" s="1">
        <f t="shared" si="123"/>
        <v>0</v>
      </c>
      <c r="AE397" s="1">
        <f t="shared" si="124"/>
        <v>1</v>
      </c>
      <c r="AF397" s="1">
        <f t="shared" si="125"/>
        <v>0</v>
      </c>
      <c r="AG397" s="1">
        <f t="shared" si="126"/>
        <v>1</v>
      </c>
      <c r="AH397" s="1">
        <f t="shared" si="127"/>
        <v>0</v>
      </c>
      <c r="AI397" s="1">
        <f t="shared" si="12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2" t="s">
        <v>79</v>
      </c>
      <c r="E398" s="32" t="s">
        <v>158</v>
      </c>
      <c r="F398" s="32" t="s">
        <v>267</v>
      </c>
      <c r="G398" s="32" t="s">
        <v>212</v>
      </c>
      <c r="H398" s="32" t="s">
        <v>352</v>
      </c>
      <c r="I398" s="31" t="s">
        <v>423</v>
      </c>
      <c r="J398" s="31">
        <v>1</v>
      </c>
      <c r="K398" s="33" t="s">
        <v>936</v>
      </c>
      <c r="L398" s="33" t="s">
        <v>695</v>
      </c>
      <c r="M398" s="34" t="s">
        <v>718</v>
      </c>
      <c r="N398" s="34" t="s">
        <v>1704</v>
      </c>
      <c r="O398" s="35">
        <v>1</v>
      </c>
      <c r="P398" s="35"/>
      <c r="Q398" s="32"/>
      <c r="S398" s="1">
        <f t="shared" si="113"/>
        <v>1</v>
      </c>
      <c r="T398" s="1">
        <f t="shared" si="114"/>
        <v>0</v>
      </c>
      <c r="U398" s="1">
        <f t="shared" si="115"/>
        <v>0</v>
      </c>
      <c r="V398" s="1">
        <f t="shared" si="116"/>
        <v>0</v>
      </c>
      <c r="W398" s="1">
        <f t="shared" si="117"/>
        <v>0</v>
      </c>
      <c r="X398" s="1">
        <f t="shared" si="118"/>
        <v>0</v>
      </c>
      <c r="Y398" s="1">
        <f t="shared" si="119"/>
        <v>0</v>
      </c>
      <c r="Z398" s="1">
        <f t="shared" si="120"/>
        <v>0</v>
      </c>
      <c r="AA398" s="1">
        <f t="shared" si="121"/>
        <v>0</v>
      </c>
      <c r="AB398" s="1">
        <f t="shared" si="122"/>
        <v>0</v>
      </c>
      <c r="AD398" s="1">
        <f t="shared" si="123"/>
        <v>0</v>
      </c>
      <c r="AE398" s="1">
        <f t="shared" si="124"/>
        <v>1</v>
      </c>
      <c r="AF398" s="1">
        <f t="shared" si="125"/>
        <v>0</v>
      </c>
      <c r="AG398" s="1">
        <f t="shared" si="126"/>
        <v>1</v>
      </c>
      <c r="AH398" s="1">
        <f t="shared" si="127"/>
        <v>0</v>
      </c>
      <c r="AI398" s="1">
        <f t="shared" si="128"/>
        <v>1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6" t="s">
        <v>2102</v>
      </c>
      <c r="E399" s="36" t="s">
        <v>816</v>
      </c>
      <c r="F399" s="36" t="s">
        <v>2103</v>
      </c>
      <c r="G399" s="36" t="s">
        <v>202</v>
      </c>
      <c r="H399" s="36" t="s">
        <v>352</v>
      </c>
      <c r="I399" s="37" t="s">
        <v>2104</v>
      </c>
      <c r="J399" s="31">
        <v>99</v>
      </c>
      <c r="K399" s="33" t="s">
        <v>694</v>
      </c>
      <c r="L399" s="33"/>
      <c r="M399" s="34"/>
      <c r="N399" s="34" t="s">
        <v>1693</v>
      </c>
      <c r="O399" s="35">
        <v>1</v>
      </c>
      <c r="P399" s="35">
        <v>1</v>
      </c>
      <c r="Q399" s="32"/>
      <c r="S399" s="1">
        <f t="shared" si="113"/>
        <v>0</v>
      </c>
      <c r="T399" s="1">
        <f t="shared" si="114"/>
        <v>0</v>
      </c>
      <c r="U399" s="1">
        <f t="shared" si="115"/>
        <v>0</v>
      </c>
      <c r="V399" s="1">
        <f t="shared" si="116"/>
        <v>0</v>
      </c>
      <c r="W399" s="1">
        <f t="shared" si="117"/>
        <v>0</v>
      </c>
      <c r="X399" s="1">
        <f t="shared" si="118"/>
        <v>0</v>
      </c>
      <c r="Y399" s="1">
        <f t="shared" si="119"/>
        <v>0</v>
      </c>
      <c r="Z399" s="1">
        <f t="shared" si="120"/>
        <v>0</v>
      </c>
      <c r="AA399" s="1">
        <f t="shared" si="121"/>
        <v>0</v>
      </c>
      <c r="AB399" s="1">
        <f t="shared" si="122"/>
        <v>0</v>
      </c>
      <c r="AD399" s="1">
        <f t="shared" si="123"/>
        <v>1</v>
      </c>
      <c r="AE399" s="1">
        <f t="shared" si="124"/>
        <v>0</v>
      </c>
      <c r="AF399" s="1">
        <f t="shared" si="125"/>
        <v>1</v>
      </c>
      <c r="AG399" s="1">
        <f t="shared" si="126"/>
        <v>0</v>
      </c>
      <c r="AH399" s="1">
        <f t="shared" si="127"/>
        <v>1</v>
      </c>
      <c r="AI399" s="1">
        <f t="shared" si="128"/>
        <v>0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2038</v>
      </c>
      <c r="E400" s="32" t="s">
        <v>171</v>
      </c>
      <c r="F400" s="32" t="s">
        <v>2039</v>
      </c>
      <c r="G400" s="32" t="s">
        <v>206</v>
      </c>
      <c r="H400" s="32" t="s">
        <v>352</v>
      </c>
      <c r="I400" s="31" t="s">
        <v>2040</v>
      </c>
      <c r="J400" s="31">
        <v>99</v>
      </c>
      <c r="K400" s="33" t="s">
        <v>694</v>
      </c>
      <c r="L400" s="33">
        <v>30</v>
      </c>
      <c r="M400" s="34" t="s">
        <v>951</v>
      </c>
      <c r="N400" s="34" t="s">
        <v>1704</v>
      </c>
      <c r="O400" s="35">
        <v>1</v>
      </c>
      <c r="P400" s="35"/>
      <c r="Q400" s="32" t="s">
        <v>2041</v>
      </c>
      <c r="S400" s="1">
        <f t="shared" si="113"/>
        <v>0</v>
      </c>
      <c r="T400" s="1">
        <f t="shared" si="114"/>
        <v>0</v>
      </c>
      <c r="U400" s="1">
        <f t="shared" si="115"/>
        <v>0</v>
      </c>
      <c r="V400" s="1">
        <f t="shared" si="116"/>
        <v>0</v>
      </c>
      <c r="W400" s="1">
        <f t="shared" si="117"/>
        <v>0</v>
      </c>
      <c r="X400" s="1">
        <f t="shared" si="118"/>
        <v>0</v>
      </c>
      <c r="Y400" s="1">
        <f t="shared" si="119"/>
        <v>0</v>
      </c>
      <c r="Z400" s="1">
        <f t="shared" si="120"/>
        <v>0</v>
      </c>
      <c r="AA400" s="1">
        <f t="shared" si="121"/>
        <v>0</v>
      </c>
      <c r="AB400" s="1">
        <f t="shared" si="122"/>
        <v>0</v>
      </c>
      <c r="AD400" s="1">
        <f t="shared" si="123"/>
        <v>0</v>
      </c>
      <c r="AE400" s="1">
        <f t="shared" si="124"/>
        <v>1</v>
      </c>
      <c r="AF400" s="1">
        <f t="shared" si="125"/>
        <v>0</v>
      </c>
      <c r="AG400" s="1">
        <f t="shared" si="126"/>
        <v>1</v>
      </c>
      <c r="AH400" s="1">
        <f t="shared" si="127"/>
        <v>0</v>
      </c>
      <c r="AI400" s="1">
        <f t="shared" si="12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1609</v>
      </c>
      <c r="E401" s="32" t="s">
        <v>1621</v>
      </c>
      <c r="F401" s="32" t="s">
        <v>1518</v>
      </c>
      <c r="G401" s="32" t="s">
        <v>261</v>
      </c>
      <c r="H401" s="32" t="s">
        <v>352</v>
      </c>
      <c r="I401" s="31" t="s">
        <v>1519</v>
      </c>
      <c r="J401" s="31">
        <v>99</v>
      </c>
      <c r="K401" s="33" t="s">
        <v>936</v>
      </c>
      <c r="L401" s="33">
        <v>40</v>
      </c>
      <c r="M401" s="34" t="s">
        <v>39</v>
      </c>
      <c r="N401" s="34" t="s">
        <v>1784</v>
      </c>
      <c r="O401" s="35">
        <v>1</v>
      </c>
      <c r="P401" s="35"/>
      <c r="Q401" s="32"/>
      <c r="S401" s="1">
        <f t="shared" si="113"/>
        <v>0</v>
      </c>
      <c r="T401" s="1">
        <f t="shared" si="114"/>
        <v>0</v>
      </c>
      <c r="U401" s="1">
        <f t="shared" si="115"/>
        <v>0</v>
      </c>
      <c r="V401" s="1">
        <f t="shared" si="116"/>
        <v>0</v>
      </c>
      <c r="W401" s="1">
        <f t="shared" si="117"/>
        <v>0</v>
      </c>
      <c r="X401" s="1">
        <f t="shared" si="118"/>
        <v>0</v>
      </c>
      <c r="Y401" s="1">
        <f t="shared" si="119"/>
        <v>0</v>
      </c>
      <c r="Z401" s="1">
        <f t="shared" si="120"/>
        <v>0</v>
      </c>
      <c r="AA401" s="1">
        <f t="shared" si="121"/>
        <v>0</v>
      </c>
      <c r="AB401" s="1">
        <f t="shared" si="122"/>
        <v>0</v>
      </c>
      <c r="AD401" s="1">
        <f t="shared" si="123"/>
        <v>0</v>
      </c>
      <c r="AE401" s="1">
        <f t="shared" si="124"/>
        <v>1</v>
      </c>
      <c r="AF401" s="1">
        <f t="shared" si="125"/>
        <v>0</v>
      </c>
      <c r="AG401" s="1">
        <f t="shared" si="126"/>
        <v>1</v>
      </c>
      <c r="AH401" s="1">
        <f t="shared" si="127"/>
        <v>0</v>
      </c>
      <c r="AI401" s="1">
        <f t="shared" si="128"/>
        <v>1</v>
      </c>
    </row>
    <row r="402" spans="1:35" ht="14.25" customHeight="1" x14ac:dyDescent="0.25">
      <c r="A402" s="31">
        <v>0</v>
      </c>
      <c r="B402" s="31">
        <v>2</v>
      </c>
      <c r="C402" s="31">
        <v>5</v>
      </c>
      <c r="D402" s="32" t="s">
        <v>1271</v>
      </c>
      <c r="E402" s="32" t="s">
        <v>27</v>
      </c>
      <c r="F402" s="32" t="s">
        <v>1272</v>
      </c>
      <c r="G402" s="32" t="s">
        <v>1273</v>
      </c>
      <c r="H402" s="32" t="s">
        <v>352</v>
      </c>
      <c r="I402" s="31" t="s">
        <v>1274</v>
      </c>
      <c r="J402" s="31">
        <v>99</v>
      </c>
      <c r="K402" s="33" t="s">
        <v>936</v>
      </c>
      <c r="L402" s="33" t="s">
        <v>39</v>
      </c>
      <c r="M402" s="34" t="s">
        <v>39</v>
      </c>
      <c r="N402" s="34" t="s">
        <v>1693</v>
      </c>
      <c r="O402" s="35">
        <v>1</v>
      </c>
      <c r="P402" s="35">
        <v>1</v>
      </c>
      <c r="Q402" s="36"/>
      <c r="S402" s="1">
        <f t="shared" si="113"/>
        <v>0</v>
      </c>
      <c r="T402" s="1">
        <f t="shared" si="114"/>
        <v>0</v>
      </c>
      <c r="U402" s="1">
        <f t="shared" si="115"/>
        <v>0</v>
      </c>
      <c r="V402" s="1">
        <f t="shared" si="116"/>
        <v>0</v>
      </c>
      <c r="W402" s="1">
        <f t="shared" si="117"/>
        <v>0</v>
      </c>
      <c r="X402" s="1">
        <f t="shared" si="118"/>
        <v>0</v>
      </c>
      <c r="Y402" s="1">
        <f t="shared" si="119"/>
        <v>0</v>
      </c>
      <c r="Z402" s="1">
        <f t="shared" si="120"/>
        <v>0</v>
      </c>
      <c r="AA402" s="1">
        <f t="shared" si="121"/>
        <v>0</v>
      </c>
      <c r="AB402" s="1">
        <f t="shared" si="122"/>
        <v>0</v>
      </c>
      <c r="AD402" s="1">
        <f t="shared" si="123"/>
        <v>1</v>
      </c>
      <c r="AE402" s="1">
        <f t="shared" si="124"/>
        <v>0</v>
      </c>
      <c r="AF402" s="1">
        <f t="shared" si="125"/>
        <v>1</v>
      </c>
      <c r="AG402" s="1">
        <f t="shared" si="126"/>
        <v>0</v>
      </c>
      <c r="AH402" s="1">
        <f t="shared" si="127"/>
        <v>1</v>
      </c>
      <c r="AI402" s="1">
        <f t="shared" si="128"/>
        <v>0</v>
      </c>
    </row>
    <row r="403" spans="1:35" ht="14.25" customHeight="1" x14ac:dyDescent="0.25">
      <c r="A403" s="15">
        <v>0</v>
      </c>
      <c r="B403" s="15">
        <v>2</v>
      </c>
      <c r="C403" s="15">
        <v>5</v>
      </c>
      <c r="D403" s="16" t="s">
        <v>1570</v>
      </c>
      <c r="E403" s="16" t="s">
        <v>158</v>
      </c>
      <c r="F403" s="16" t="s">
        <v>2101</v>
      </c>
      <c r="G403" s="16" t="s">
        <v>1437</v>
      </c>
      <c r="H403" s="16" t="s">
        <v>352</v>
      </c>
      <c r="I403" s="15" t="s">
        <v>1438</v>
      </c>
      <c r="J403" s="15">
        <v>99</v>
      </c>
      <c r="K403" s="10" t="s">
        <v>704</v>
      </c>
      <c r="L403" s="10" t="s">
        <v>687</v>
      </c>
      <c r="M403" s="19" t="s">
        <v>1439</v>
      </c>
      <c r="N403" s="19"/>
      <c r="Q403" s="16"/>
      <c r="S403" s="1">
        <f t="shared" si="113"/>
        <v>0</v>
      </c>
      <c r="T403" s="1">
        <f t="shared" si="114"/>
        <v>0</v>
      </c>
      <c r="U403" s="1">
        <f t="shared" si="115"/>
        <v>0</v>
      </c>
      <c r="V403" s="1">
        <f t="shared" si="116"/>
        <v>0</v>
      </c>
      <c r="W403" s="1">
        <f t="shared" si="117"/>
        <v>0</v>
      </c>
      <c r="X403" s="1">
        <f t="shared" si="118"/>
        <v>0</v>
      </c>
      <c r="Y403" s="1">
        <f t="shared" si="119"/>
        <v>0</v>
      </c>
      <c r="Z403" s="1">
        <f t="shared" si="120"/>
        <v>0</v>
      </c>
      <c r="AA403" s="1">
        <f t="shared" si="121"/>
        <v>0</v>
      </c>
      <c r="AB403" s="1">
        <f t="shared" si="122"/>
        <v>0</v>
      </c>
      <c r="AD403" s="1">
        <f t="shared" si="123"/>
        <v>0</v>
      </c>
      <c r="AE403" s="1">
        <f t="shared" si="124"/>
        <v>0</v>
      </c>
      <c r="AF403" s="1">
        <f t="shared" si="125"/>
        <v>0</v>
      </c>
      <c r="AG403" s="1">
        <f t="shared" si="126"/>
        <v>0</v>
      </c>
      <c r="AH403" s="1">
        <f t="shared" si="127"/>
        <v>0</v>
      </c>
      <c r="AI403" s="1">
        <f t="shared" si="128"/>
        <v>1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1997</v>
      </c>
      <c r="E404" s="32" t="s">
        <v>1998</v>
      </c>
      <c r="F404" s="32" t="s">
        <v>1999</v>
      </c>
      <c r="G404" s="32" t="s">
        <v>2002</v>
      </c>
      <c r="H404" s="32" t="s">
        <v>352</v>
      </c>
      <c r="I404" s="31" t="s">
        <v>2000</v>
      </c>
      <c r="J404" s="31"/>
      <c r="K404" s="33" t="s">
        <v>1781</v>
      </c>
      <c r="L404" s="33"/>
      <c r="M404" s="34"/>
      <c r="N404" s="34" t="s">
        <v>1693</v>
      </c>
      <c r="O404" s="35">
        <v>1</v>
      </c>
      <c r="P404" s="35">
        <v>1</v>
      </c>
      <c r="Q404" s="32" t="s">
        <v>2001</v>
      </c>
      <c r="S404" s="1">
        <f t="shared" ref="S404:S468" si="135">IF(J404=$S$7,1,0)</f>
        <v>0</v>
      </c>
      <c r="T404" s="1">
        <f t="shared" ref="T404:T468" si="136">IF(J404=$T$7,1,0)</f>
        <v>0</v>
      </c>
      <c r="U404" s="1">
        <f t="shared" ref="U404:U468" si="137">IF(J404=$U$7,1,0)</f>
        <v>0</v>
      </c>
      <c r="V404" s="1">
        <f t="shared" ref="V404:V468" si="138">IF(J404=$V$7,1,0)</f>
        <v>0</v>
      </c>
      <c r="W404" s="1">
        <f t="shared" ref="W404:W468" si="139">IF(J404=$W$7,1,0)</f>
        <v>0</v>
      </c>
      <c r="X404" s="1">
        <f t="shared" ref="X404:X468" si="140">IF(J404=$X$7,1,0)</f>
        <v>0</v>
      </c>
      <c r="Y404" s="1">
        <f t="shared" ref="Y404:Y468" si="141">IF(J404=$Y$7,1,0)</f>
        <v>0</v>
      </c>
      <c r="Z404" s="1">
        <f t="shared" ref="Z404:Z468" si="142">IF(J404=$Z$7,1,0)</f>
        <v>0</v>
      </c>
      <c r="AA404" s="1">
        <f t="shared" ref="AA404:AA468" si="143">IF(J404=$AA$7,1,0)</f>
        <v>0</v>
      </c>
      <c r="AB404" s="1">
        <f t="shared" ref="AB404:AB468" si="144">IF(J404=$AB$7,1,0)</f>
        <v>0</v>
      </c>
      <c r="AD404" s="1">
        <f t="shared" ref="AD404:AD468" si="145">+O404*P404</f>
        <v>1</v>
      </c>
      <c r="AE404" s="1">
        <f t="shared" ref="AE404:AE468" si="146">O404*(1-P404)</f>
        <v>0</v>
      </c>
      <c r="AF404" s="1">
        <f t="shared" si="125"/>
        <v>1</v>
      </c>
      <c r="AG404" s="1">
        <f t="shared" si="126"/>
        <v>0</v>
      </c>
      <c r="AH404" s="1">
        <f t="shared" si="127"/>
        <v>1</v>
      </c>
      <c r="AI404" s="1">
        <f t="shared" si="128"/>
        <v>0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1738</v>
      </c>
      <c r="E405" s="32" t="s">
        <v>154</v>
      </c>
      <c r="F405" s="32" t="s">
        <v>1739</v>
      </c>
      <c r="G405" s="32" t="s">
        <v>648</v>
      </c>
      <c r="H405" s="32" t="s">
        <v>352</v>
      </c>
      <c r="I405" s="31" t="s">
        <v>1740</v>
      </c>
      <c r="J405" s="31"/>
      <c r="K405" s="33" t="s">
        <v>694</v>
      </c>
      <c r="L405" s="33">
        <v>40</v>
      </c>
      <c r="M405" s="34" t="s">
        <v>1741</v>
      </c>
      <c r="N405" s="34" t="s">
        <v>1704</v>
      </c>
      <c r="O405" s="35">
        <v>1</v>
      </c>
      <c r="P405" s="35"/>
      <c r="Q405" s="32"/>
      <c r="S405" s="1">
        <f t="shared" si="135"/>
        <v>0</v>
      </c>
      <c r="T405" s="1">
        <f t="shared" si="136"/>
        <v>0</v>
      </c>
      <c r="U405" s="1">
        <f t="shared" si="137"/>
        <v>0</v>
      </c>
      <c r="V405" s="1">
        <f t="shared" si="138"/>
        <v>0</v>
      </c>
      <c r="W405" s="1">
        <f t="shared" si="139"/>
        <v>0</v>
      </c>
      <c r="X405" s="1">
        <f t="shared" si="140"/>
        <v>0</v>
      </c>
      <c r="Y405" s="1">
        <f t="shared" si="141"/>
        <v>0</v>
      </c>
      <c r="Z405" s="1">
        <f t="shared" si="142"/>
        <v>0</v>
      </c>
      <c r="AA405" s="1">
        <f t="shared" si="143"/>
        <v>0</v>
      </c>
      <c r="AB405" s="1">
        <f t="shared" si="144"/>
        <v>0</v>
      </c>
      <c r="AD405" s="1">
        <f t="shared" si="145"/>
        <v>0</v>
      </c>
      <c r="AE405" s="1">
        <f t="shared" si="146"/>
        <v>1</v>
      </c>
      <c r="AF405" s="1">
        <f t="shared" ref="AF405:AF469" si="147">+O405*P405*(1-A405)</f>
        <v>0</v>
      </c>
      <c r="AG405" s="1">
        <f t="shared" ref="AG405:AG469" si="148">O405*(1-P405)*(1-A405)</f>
        <v>1</v>
      </c>
      <c r="AH405" s="1">
        <f t="shared" ref="AH405:AH469" si="149">+P405*(1-A405)</f>
        <v>0</v>
      </c>
      <c r="AI405" s="1">
        <f t="shared" ref="AI405:AI469" si="150">+(1-A405)*(1-P405)</f>
        <v>1</v>
      </c>
    </row>
    <row r="406" spans="1:35" ht="14.25" customHeight="1" x14ac:dyDescent="0.25">
      <c r="A406" s="31">
        <v>0</v>
      </c>
      <c r="B406" s="31">
        <v>2</v>
      </c>
      <c r="C406" s="31">
        <v>5</v>
      </c>
      <c r="D406" s="32" t="s">
        <v>822</v>
      </c>
      <c r="E406" s="32" t="s">
        <v>816</v>
      </c>
      <c r="F406" s="32" t="s">
        <v>923</v>
      </c>
      <c r="G406" s="32" t="s">
        <v>179</v>
      </c>
      <c r="H406" s="32" t="s">
        <v>352</v>
      </c>
      <c r="I406" s="31" t="s">
        <v>1090</v>
      </c>
      <c r="J406" s="31">
        <v>10</v>
      </c>
      <c r="K406" s="33" t="s">
        <v>703</v>
      </c>
      <c r="L406" s="33" t="s">
        <v>684</v>
      </c>
      <c r="M406" s="34" t="s">
        <v>1399</v>
      </c>
      <c r="N406" s="34" t="s">
        <v>1715</v>
      </c>
      <c r="O406" s="35">
        <v>1</v>
      </c>
      <c r="P406" s="35"/>
      <c r="Q406" s="32"/>
      <c r="S406" s="1">
        <f t="shared" si="135"/>
        <v>0</v>
      </c>
      <c r="T406" s="1">
        <f t="shared" si="136"/>
        <v>0</v>
      </c>
      <c r="U406" s="1">
        <f t="shared" si="137"/>
        <v>0</v>
      </c>
      <c r="V406" s="1">
        <f t="shared" si="138"/>
        <v>0</v>
      </c>
      <c r="W406" s="1">
        <f t="shared" si="139"/>
        <v>0</v>
      </c>
      <c r="X406" s="1">
        <f t="shared" si="140"/>
        <v>0</v>
      </c>
      <c r="Y406" s="1">
        <f t="shared" si="141"/>
        <v>0</v>
      </c>
      <c r="Z406" s="1">
        <f t="shared" si="142"/>
        <v>0</v>
      </c>
      <c r="AA406" s="1">
        <f t="shared" si="143"/>
        <v>0</v>
      </c>
      <c r="AB406" s="1">
        <f t="shared" si="144"/>
        <v>1</v>
      </c>
      <c r="AD406" s="1">
        <f t="shared" si="145"/>
        <v>0</v>
      </c>
      <c r="AE406" s="1">
        <f t="shared" si="146"/>
        <v>1</v>
      </c>
      <c r="AF406" s="1">
        <f t="shared" si="147"/>
        <v>0</v>
      </c>
      <c r="AG406" s="1">
        <f t="shared" si="148"/>
        <v>1</v>
      </c>
      <c r="AH406" s="1">
        <f t="shared" si="149"/>
        <v>0</v>
      </c>
      <c r="AI406" s="1">
        <f t="shared" si="150"/>
        <v>1</v>
      </c>
    </row>
    <row r="407" spans="1:35" ht="14.25" customHeight="1" x14ac:dyDescent="0.25">
      <c r="A407" s="51">
        <v>0</v>
      </c>
      <c r="B407" s="51">
        <v>2</v>
      </c>
      <c r="C407" s="51">
        <v>6</v>
      </c>
      <c r="D407" s="52" t="s">
        <v>1510</v>
      </c>
      <c r="E407" s="52" t="s">
        <v>27</v>
      </c>
      <c r="F407" s="52" t="s">
        <v>1512</v>
      </c>
      <c r="G407" s="52" t="s">
        <v>1501</v>
      </c>
      <c r="H407" s="52" t="s">
        <v>352</v>
      </c>
      <c r="I407" s="51" t="s">
        <v>1511</v>
      </c>
      <c r="J407" s="51">
        <v>5</v>
      </c>
      <c r="K407" s="53" t="s">
        <v>936</v>
      </c>
      <c r="L407" s="53" t="s">
        <v>39</v>
      </c>
      <c r="M407" s="54" t="s">
        <v>39</v>
      </c>
      <c r="N407" s="55"/>
      <c r="O407" s="56"/>
      <c r="P407" s="56"/>
      <c r="Q407" s="58" t="s">
        <v>1858</v>
      </c>
      <c r="S407" s="1">
        <f t="shared" si="135"/>
        <v>0</v>
      </c>
      <c r="T407" s="1">
        <f t="shared" si="136"/>
        <v>0</v>
      </c>
      <c r="U407" s="1">
        <f t="shared" si="137"/>
        <v>0</v>
      </c>
      <c r="V407" s="1">
        <f t="shared" si="138"/>
        <v>0</v>
      </c>
      <c r="W407" s="1">
        <f t="shared" si="139"/>
        <v>1</v>
      </c>
      <c r="X407" s="1">
        <f t="shared" si="140"/>
        <v>0</v>
      </c>
      <c r="Y407" s="1">
        <f t="shared" si="141"/>
        <v>0</v>
      </c>
      <c r="Z407" s="1">
        <f t="shared" si="142"/>
        <v>0</v>
      </c>
      <c r="AA407" s="1">
        <f t="shared" si="143"/>
        <v>0</v>
      </c>
      <c r="AB407" s="1">
        <f t="shared" si="144"/>
        <v>0</v>
      </c>
      <c r="AD407" s="1">
        <f t="shared" si="145"/>
        <v>0</v>
      </c>
      <c r="AE407" s="1">
        <f t="shared" si="146"/>
        <v>0</v>
      </c>
      <c r="AF407" s="1">
        <f t="shared" si="147"/>
        <v>0</v>
      </c>
      <c r="AG407" s="1">
        <f t="shared" si="148"/>
        <v>0</v>
      </c>
      <c r="AH407" s="1">
        <f t="shared" si="149"/>
        <v>0</v>
      </c>
      <c r="AI407" s="1">
        <f t="shared" si="150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515</v>
      </c>
      <c r="E408" s="32" t="s">
        <v>31</v>
      </c>
      <c r="F408" s="32" t="s">
        <v>664</v>
      </c>
      <c r="G408" s="32" t="s">
        <v>199</v>
      </c>
      <c r="H408" s="32" t="s">
        <v>352</v>
      </c>
      <c r="I408" s="31" t="s">
        <v>516</v>
      </c>
      <c r="J408" s="31">
        <v>2</v>
      </c>
      <c r="K408" s="33" t="s">
        <v>935</v>
      </c>
      <c r="L408" s="33" t="s">
        <v>685</v>
      </c>
      <c r="M408" s="34" t="s">
        <v>1400</v>
      </c>
      <c r="N408" s="34" t="s">
        <v>1704</v>
      </c>
      <c r="O408" s="35">
        <v>1</v>
      </c>
      <c r="P408" s="35"/>
      <c r="Q408" s="32"/>
      <c r="S408" s="1">
        <f t="shared" si="135"/>
        <v>0</v>
      </c>
      <c r="T408" s="1">
        <f t="shared" si="136"/>
        <v>1</v>
      </c>
      <c r="U408" s="1">
        <f t="shared" si="137"/>
        <v>0</v>
      </c>
      <c r="V408" s="1">
        <f t="shared" si="138"/>
        <v>0</v>
      </c>
      <c r="W408" s="1">
        <f t="shared" si="139"/>
        <v>0</v>
      </c>
      <c r="X408" s="1">
        <f t="shared" si="140"/>
        <v>0</v>
      </c>
      <c r="Y408" s="1">
        <f t="shared" si="141"/>
        <v>0</v>
      </c>
      <c r="Z408" s="1">
        <f t="shared" si="142"/>
        <v>0</v>
      </c>
      <c r="AA408" s="1">
        <f t="shared" si="143"/>
        <v>0</v>
      </c>
      <c r="AB408" s="1">
        <f t="shared" si="144"/>
        <v>0</v>
      </c>
      <c r="AD408" s="1">
        <f t="shared" si="145"/>
        <v>0</v>
      </c>
      <c r="AE408" s="1">
        <f t="shared" si="146"/>
        <v>1</v>
      </c>
      <c r="AF408" s="1">
        <f t="shared" si="147"/>
        <v>0</v>
      </c>
      <c r="AG408" s="1">
        <f t="shared" si="148"/>
        <v>1</v>
      </c>
      <c r="AH408" s="1">
        <f t="shared" si="149"/>
        <v>0</v>
      </c>
      <c r="AI408" s="1">
        <f t="shared" si="150"/>
        <v>1</v>
      </c>
    </row>
    <row r="409" spans="1:35" ht="14.25" customHeight="1" x14ac:dyDescent="0.25">
      <c r="A409" s="31">
        <v>0</v>
      </c>
      <c r="B409" s="31">
        <v>2</v>
      </c>
      <c r="C409" s="31">
        <v>6</v>
      </c>
      <c r="D409" s="32" t="s">
        <v>53</v>
      </c>
      <c r="E409" s="32" t="s">
        <v>31</v>
      </c>
      <c r="F409" s="32" t="s">
        <v>209</v>
      </c>
      <c r="G409" s="32" t="s">
        <v>210</v>
      </c>
      <c r="H409" s="32" t="s">
        <v>352</v>
      </c>
      <c r="I409" s="31" t="s">
        <v>390</v>
      </c>
      <c r="J409" s="31">
        <v>1</v>
      </c>
      <c r="K409" s="33" t="s">
        <v>703</v>
      </c>
      <c r="L409" s="33" t="s">
        <v>695</v>
      </c>
      <c r="M409" s="34" t="s">
        <v>719</v>
      </c>
      <c r="N409" s="34" t="s">
        <v>1704</v>
      </c>
      <c r="O409" s="35">
        <v>1</v>
      </c>
      <c r="P409" s="35"/>
      <c r="Q409" s="32"/>
      <c r="S409" s="1">
        <f t="shared" si="135"/>
        <v>1</v>
      </c>
      <c r="T409" s="1">
        <f t="shared" si="136"/>
        <v>0</v>
      </c>
      <c r="U409" s="1">
        <f t="shared" si="137"/>
        <v>0</v>
      </c>
      <c r="V409" s="1">
        <f t="shared" si="138"/>
        <v>0</v>
      </c>
      <c r="W409" s="1">
        <f t="shared" si="139"/>
        <v>0</v>
      </c>
      <c r="X409" s="1">
        <f t="shared" si="140"/>
        <v>0</v>
      </c>
      <c r="Y409" s="1">
        <f t="shared" si="141"/>
        <v>0</v>
      </c>
      <c r="Z409" s="1">
        <f t="shared" si="142"/>
        <v>0</v>
      </c>
      <c r="AA409" s="1">
        <f t="shared" si="143"/>
        <v>0</v>
      </c>
      <c r="AB409" s="1">
        <f t="shared" si="144"/>
        <v>0</v>
      </c>
      <c r="AD409" s="1">
        <f t="shared" si="145"/>
        <v>0</v>
      </c>
      <c r="AE409" s="1">
        <f t="shared" si="146"/>
        <v>1</v>
      </c>
      <c r="AF409" s="1">
        <f t="shared" si="147"/>
        <v>0</v>
      </c>
      <c r="AG409" s="1">
        <f t="shared" si="148"/>
        <v>1</v>
      </c>
      <c r="AH409" s="1">
        <f t="shared" si="149"/>
        <v>0</v>
      </c>
      <c r="AI409" s="1">
        <f t="shared" si="150"/>
        <v>1</v>
      </c>
    </row>
    <row r="410" spans="1:35" ht="14.25" customHeight="1" x14ac:dyDescent="0.25">
      <c r="A410" s="31">
        <v>0</v>
      </c>
      <c r="B410" s="31">
        <v>2</v>
      </c>
      <c r="C410" s="31">
        <v>6</v>
      </c>
      <c r="D410" s="32" t="s">
        <v>1821</v>
      </c>
      <c r="E410" s="32" t="s">
        <v>1822</v>
      </c>
      <c r="F410" s="32" t="s">
        <v>1823</v>
      </c>
      <c r="G410" s="32"/>
      <c r="H410" s="32" t="s">
        <v>352</v>
      </c>
      <c r="I410" s="31" t="s">
        <v>1824</v>
      </c>
      <c r="J410" s="31">
        <v>99</v>
      </c>
      <c r="K410" s="33" t="s">
        <v>694</v>
      </c>
      <c r="L410" s="33">
        <v>25</v>
      </c>
      <c r="M410" s="34" t="s">
        <v>1825</v>
      </c>
      <c r="N410" s="34" t="s">
        <v>1704</v>
      </c>
      <c r="O410" s="35">
        <v>1</v>
      </c>
      <c r="P410" s="35"/>
      <c r="Q410" s="32" t="s">
        <v>2003</v>
      </c>
      <c r="S410" s="1">
        <f t="shared" si="135"/>
        <v>0</v>
      </c>
      <c r="T410" s="1">
        <f t="shared" si="136"/>
        <v>0</v>
      </c>
      <c r="U410" s="1">
        <f t="shared" si="137"/>
        <v>0</v>
      </c>
      <c r="V410" s="1">
        <f t="shared" si="138"/>
        <v>0</v>
      </c>
      <c r="W410" s="1">
        <f t="shared" si="139"/>
        <v>0</v>
      </c>
      <c r="X410" s="1">
        <f t="shared" si="140"/>
        <v>0</v>
      </c>
      <c r="Y410" s="1">
        <f t="shared" si="141"/>
        <v>0</v>
      </c>
      <c r="Z410" s="1">
        <f t="shared" si="142"/>
        <v>0</v>
      </c>
      <c r="AA410" s="1">
        <f t="shared" si="143"/>
        <v>0</v>
      </c>
      <c r="AB410" s="1">
        <f t="shared" si="144"/>
        <v>0</v>
      </c>
      <c r="AD410" s="1">
        <f t="shared" si="145"/>
        <v>0</v>
      </c>
      <c r="AE410" s="1">
        <f t="shared" si="146"/>
        <v>1</v>
      </c>
      <c r="AF410" s="1">
        <f t="shared" si="147"/>
        <v>0</v>
      </c>
      <c r="AG410" s="1">
        <f t="shared" si="148"/>
        <v>1</v>
      </c>
      <c r="AH410" s="1">
        <f t="shared" si="149"/>
        <v>0</v>
      </c>
      <c r="AI410" s="1">
        <f t="shared" si="150"/>
        <v>1</v>
      </c>
    </row>
    <row r="411" spans="1:35" ht="14.25" customHeight="1" x14ac:dyDescent="0.25">
      <c r="A411" s="44">
        <v>0</v>
      </c>
      <c r="B411" s="44">
        <v>2</v>
      </c>
      <c r="C411" s="44">
        <v>6</v>
      </c>
      <c r="D411" s="45" t="s">
        <v>80</v>
      </c>
      <c r="E411" s="45" t="s">
        <v>31</v>
      </c>
      <c r="F411" s="45" t="s">
        <v>269</v>
      </c>
      <c r="G411" s="45" t="s">
        <v>223</v>
      </c>
      <c r="H411" s="45" t="s">
        <v>352</v>
      </c>
      <c r="I411" s="44" t="s">
        <v>670</v>
      </c>
      <c r="J411" s="44">
        <v>99</v>
      </c>
      <c r="K411" s="46" t="s">
        <v>936</v>
      </c>
      <c r="L411" s="46" t="s">
        <v>685</v>
      </c>
      <c r="M411" s="47" t="s">
        <v>1401</v>
      </c>
      <c r="N411" s="47" t="s">
        <v>1768</v>
      </c>
      <c r="O411" s="48"/>
      <c r="P411" s="48"/>
      <c r="Q411" s="45"/>
      <c r="S411" s="1">
        <f t="shared" si="135"/>
        <v>0</v>
      </c>
      <c r="T411" s="1">
        <f t="shared" si="136"/>
        <v>0</v>
      </c>
      <c r="U411" s="1">
        <f t="shared" si="137"/>
        <v>0</v>
      </c>
      <c r="V411" s="1">
        <f t="shared" si="138"/>
        <v>0</v>
      </c>
      <c r="W411" s="1">
        <f t="shared" si="139"/>
        <v>0</v>
      </c>
      <c r="X411" s="1">
        <f t="shared" si="140"/>
        <v>0</v>
      </c>
      <c r="Y411" s="1">
        <f t="shared" si="141"/>
        <v>0</v>
      </c>
      <c r="Z411" s="1">
        <f t="shared" si="142"/>
        <v>0</v>
      </c>
      <c r="AA411" s="1">
        <f t="shared" si="143"/>
        <v>0</v>
      </c>
      <c r="AB411" s="1">
        <f t="shared" si="144"/>
        <v>0</v>
      </c>
      <c r="AD411" s="1">
        <f t="shared" si="145"/>
        <v>0</v>
      </c>
      <c r="AE411" s="1">
        <f t="shared" si="146"/>
        <v>0</v>
      </c>
      <c r="AF411" s="1">
        <f t="shared" si="147"/>
        <v>0</v>
      </c>
      <c r="AG411" s="1">
        <f t="shared" si="148"/>
        <v>0</v>
      </c>
      <c r="AH411" s="1">
        <f t="shared" si="149"/>
        <v>0</v>
      </c>
      <c r="AI411" s="1">
        <f t="shared" si="150"/>
        <v>1</v>
      </c>
    </row>
    <row r="412" spans="1:35" ht="14.25" customHeight="1" x14ac:dyDescent="0.25">
      <c r="A412" s="31">
        <v>0</v>
      </c>
      <c r="B412" s="31">
        <v>2</v>
      </c>
      <c r="C412" s="31">
        <v>6</v>
      </c>
      <c r="D412" s="32" t="s">
        <v>631</v>
      </c>
      <c r="E412" s="32" t="s">
        <v>31</v>
      </c>
      <c r="F412" s="32" t="s">
        <v>632</v>
      </c>
      <c r="G412" s="32" t="s">
        <v>239</v>
      </c>
      <c r="H412" s="32" t="s">
        <v>352</v>
      </c>
      <c r="I412" s="31" t="s">
        <v>633</v>
      </c>
      <c r="J412" s="31">
        <v>1</v>
      </c>
      <c r="K412" s="33" t="s">
        <v>704</v>
      </c>
      <c r="L412" s="33" t="s">
        <v>685</v>
      </c>
      <c r="M412" s="34" t="s">
        <v>1402</v>
      </c>
      <c r="N412" s="34" t="s">
        <v>1704</v>
      </c>
      <c r="O412" s="35">
        <v>1</v>
      </c>
      <c r="P412" s="35"/>
      <c r="Q412" s="32"/>
      <c r="S412" s="1">
        <f t="shared" si="135"/>
        <v>1</v>
      </c>
      <c r="T412" s="1">
        <f t="shared" si="136"/>
        <v>0</v>
      </c>
      <c r="U412" s="1">
        <f t="shared" si="137"/>
        <v>0</v>
      </c>
      <c r="V412" s="1">
        <f t="shared" si="138"/>
        <v>0</v>
      </c>
      <c r="W412" s="1">
        <f t="shared" si="139"/>
        <v>0</v>
      </c>
      <c r="X412" s="1">
        <f t="shared" si="140"/>
        <v>0</v>
      </c>
      <c r="Y412" s="1">
        <f t="shared" si="141"/>
        <v>0</v>
      </c>
      <c r="Z412" s="1">
        <f t="shared" si="142"/>
        <v>0</v>
      </c>
      <c r="AA412" s="1">
        <f t="shared" si="143"/>
        <v>0</v>
      </c>
      <c r="AB412" s="1">
        <f t="shared" si="144"/>
        <v>0</v>
      </c>
      <c r="AD412" s="1">
        <f t="shared" si="145"/>
        <v>0</v>
      </c>
      <c r="AE412" s="1">
        <f t="shared" si="146"/>
        <v>1</v>
      </c>
      <c r="AF412" s="1">
        <f t="shared" si="147"/>
        <v>0</v>
      </c>
      <c r="AG412" s="1">
        <f t="shared" si="148"/>
        <v>1</v>
      </c>
      <c r="AH412" s="1">
        <f t="shared" si="149"/>
        <v>0</v>
      </c>
      <c r="AI412" s="1">
        <f t="shared" si="150"/>
        <v>1</v>
      </c>
    </row>
    <row r="413" spans="1:35" ht="14.25" customHeight="1" x14ac:dyDescent="0.25">
      <c r="A413" s="44">
        <v>0</v>
      </c>
      <c r="B413" s="44">
        <v>2</v>
      </c>
      <c r="C413" s="44">
        <v>6</v>
      </c>
      <c r="D413" s="45" t="s">
        <v>1113</v>
      </c>
      <c r="E413" s="45" t="s">
        <v>31</v>
      </c>
      <c r="F413" s="45" t="s">
        <v>664</v>
      </c>
      <c r="G413" s="45" t="s">
        <v>199</v>
      </c>
      <c r="H413" s="45" t="s">
        <v>352</v>
      </c>
      <c r="I413" s="44" t="s">
        <v>516</v>
      </c>
      <c r="J413" s="44">
        <v>2</v>
      </c>
      <c r="K413" s="46" t="s">
        <v>703</v>
      </c>
      <c r="L413" s="46" t="s">
        <v>685</v>
      </c>
      <c r="M413" s="47" t="s">
        <v>719</v>
      </c>
      <c r="N413" s="47" t="s">
        <v>1701</v>
      </c>
      <c r="O413" s="48"/>
      <c r="P413" s="48"/>
      <c r="Q413" s="45"/>
      <c r="S413" s="1">
        <f t="shared" si="135"/>
        <v>0</v>
      </c>
      <c r="T413" s="1">
        <f t="shared" si="136"/>
        <v>1</v>
      </c>
      <c r="U413" s="1">
        <f t="shared" si="137"/>
        <v>0</v>
      </c>
      <c r="V413" s="1">
        <f t="shared" si="138"/>
        <v>0</v>
      </c>
      <c r="W413" s="1">
        <f t="shared" si="139"/>
        <v>0</v>
      </c>
      <c r="X413" s="1">
        <f t="shared" si="140"/>
        <v>0</v>
      </c>
      <c r="Y413" s="1">
        <f t="shared" si="141"/>
        <v>0</v>
      </c>
      <c r="Z413" s="1">
        <f t="shared" si="142"/>
        <v>0</v>
      </c>
      <c r="AA413" s="1">
        <f t="shared" si="143"/>
        <v>0</v>
      </c>
      <c r="AB413" s="1">
        <f t="shared" si="144"/>
        <v>0</v>
      </c>
      <c r="AD413" s="1">
        <f t="shared" si="145"/>
        <v>0</v>
      </c>
      <c r="AE413" s="1">
        <f t="shared" si="146"/>
        <v>0</v>
      </c>
      <c r="AF413" s="1">
        <f t="shared" si="147"/>
        <v>0</v>
      </c>
      <c r="AG413" s="1">
        <f t="shared" si="148"/>
        <v>0</v>
      </c>
      <c r="AH413" s="1">
        <f t="shared" si="149"/>
        <v>0</v>
      </c>
      <c r="AI413" s="1">
        <f t="shared" si="150"/>
        <v>1</v>
      </c>
    </row>
    <row r="414" spans="1:35" ht="14.25" customHeight="1" x14ac:dyDescent="0.25">
      <c r="A414" s="31">
        <v>0</v>
      </c>
      <c r="B414" s="31">
        <v>2</v>
      </c>
      <c r="C414" s="31">
        <v>6</v>
      </c>
      <c r="D414" s="32" t="s">
        <v>1064</v>
      </c>
      <c r="E414" s="32" t="s">
        <v>158</v>
      </c>
      <c r="F414" s="32" t="s">
        <v>197</v>
      </c>
      <c r="G414" s="32" t="s">
        <v>198</v>
      </c>
      <c r="H414" s="32" t="s">
        <v>352</v>
      </c>
      <c r="I414" s="31" t="s">
        <v>386</v>
      </c>
      <c r="J414" s="31">
        <v>99</v>
      </c>
      <c r="K414" s="33" t="s">
        <v>703</v>
      </c>
      <c r="L414" s="33" t="s">
        <v>707</v>
      </c>
      <c r="M414" s="34" t="s">
        <v>721</v>
      </c>
      <c r="N414" s="34" t="s">
        <v>1709</v>
      </c>
      <c r="O414" s="35">
        <v>1</v>
      </c>
      <c r="P414" s="35"/>
      <c r="Q414" s="32"/>
      <c r="S414" s="1">
        <f t="shared" si="135"/>
        <v>0</v>
      </c>
      <c r="T414" s="1">
        <f t="shared" si="136"/>
        <v>0</v>
      </c>
      <c r="U414" s="1">
        <f t="shared" si="137"/>
        <v>0</v>
      </c>
      <c r="V414" s="1">
        <f t="shared" si="138"/>
        <v>0</v>
      </c>
      <c r="W414" s="1">
        <f t="shared" si="139"/>
        <v>0</v>
      </c>
      <c r="X414" s="1">
        <f t="shared" si="140"/>
        <v>0</v>
      </c>
      <c r="Y414" s="1">
        <f t="shared" si="141"/>
        <v>0</v>
      </c>
      <c r="Z414" s="1">
        <f t="shared" si="142"/>
        <v>0</v>
      </c>
      <c r="AA414" s="1">
        <f t="shared" si="143"/>
        <v>0</v>
      </c>
      <c r="AB414" s="1">
        <f t="shared" si="144"/>
        <v>0</v>
      </c>
      <c r="AD414" s="1">
        <f t="shared" si="145"/>
        <v>0</v>
      </c>
      <c r="AE414" s="1">
        <f t="shared" si="146"/>
        <v>1</v>
      </c>
      <c r="AF414" s="1">
        <f t="shared" si="147"/>
        <v>0</v>
      </c>
      <c r="AG414" s="1">
        <f t="shared" si="148"/>
        <v>1</v>
      </c>
      <c r="AH414" s="1">
        <f t="shared" si="149"/>
        <v>0</v>
      </c>
      <c r="AI414" s="1">
        <f t="shared" si="150"/>
        <v>1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505</v>
      </c>
      <c r="E415" s="32" t="s">
        <v>155</v>
      </c>
      <c r="F415" s="32" t="s">
        <v>506</v>
      </c>
      <c r="G415" s="32" t="s">
        <v>39</v>
      </c>
      <c r="H415" s="32" t="s">
        <v>352</v>
      </c>
      <c r="I415" s="31" t="s">
        <v>924</v>
      </c>
      <c r="J415" s="31">
        <v>7</v>
      </c>
      <c r="K415" s="33" t="s">
        <v>936</v>
      </c>
      <c r="L415" s="33" t="s">
        <v>39</v>
      </c>
      <c r="M415" s="34" t="s">
        <v>39</v>
      </c>
      <c r="N415" s="34" t="s">
        <v>1693</v>
      </c>
      <c r="O415" s="35">
        <v>1</v>
      </c>
      <c r="P415" s="35">
        <v>1</v>
      </c>
      <c r="Q415" s="32"/>
      <c r="S415" s="1">
        <f t="shared" si="135"/>
        <v>0</v>
      </c>
      <c r="T415" s="1">
        <f t="shared" si="136"/>
        <v>0</v>
      </c>
      <c r="U415" s="1">
        <f t="shared" si="137"/>
        <v>0</v>
      </c>
      <c r="V415" s="1">
        <f t="shared" si="138"/>
        <v>0</v>
      </c>
      <c r="W415" s="1">
        <f t="shared" si="139"/>
        <v>0</v>
      </c>
      <c r="X415" s="1">
        <f t="shared" si="140"/>
        <v>0</v>
      </c>
      <c r="Y415" s="1">
        <f t="shared" si="141"/>
        <v>1</v>
      </c>
      <c r="Z415" s="1">
        <f t="shared" si="142"/>
        <v>0</v>
      </c>
      <c r="AA415" s="1">
        <f t="shared" si="143"/>
        <v>0</v>
      </c>
      <c r="AB415" s="1">
        <f t="shared" si="144"/>
        <v>0</v>
      </c>
      <c r="AD415" s="1">
        <f t="shared" si="145"/>
        <v>1</v>
      </c>
      <c r="AE415" s="1">
        <f t="shared" si="146"/>
        <v>0</v>
      </c>
      <c r="AF415" s="1">
        <f t="shared" si="147"/>
        <v>1</v>
      </c>
      <c r="AG415" s="1">
        <f t="shared" si="148"/>
        <v>0</v>
      </c>
      <c r="AH415" s="1">
        <f t="shared" si="149"/>
        <v>1</v>
      </c>
      <c r="AI415" s="1">
        <f t="shared" si="150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70</v>
      </c>
      <c r="E416" s="32" t="s">
        <v>28</v>
      </c>
      <c r="F416" s="32" t="s">
        <v>665</v>
      </c>
      <c r="G416" s="32" t="s">
        <v>257</v>
      </c>
      <c r="H416" s="32" t="s">
        <v>352</v>
      </c>
      <c r="I416" s="31" t="s">
        <v>415</v>
      </c>
      <c r="J416" s="31">
        <v>8</v>
      </c>
      <c r="K416" s="33" t="s">
        <v>704</v>
      </c>
      <c r="L416" s="33" t="s">
        <v>704</v>
      </c>
      <c r="M416" s="34" t="s">
        <v>722</v>
      </c>
      <c r="N416" s="34" t="s">
        <v>1704</v>
      </c>
      <c r="O416" s="35">
        <v>1</v>
      </c>
      <c r="P416" s="35"/>
      <c r="Q416" s="32"/>
      <c r="S416" s="1">
        <f t="shared" si="135"/>
        <v>0</v>
      </c>
      <c r="T416" s="1">
        <f t="shared" si="136"/>
        <v>0</v>
      </c>
      <c r="U416" s="1">
        <f t="shared" si="137"/>
        <v>0</v>
      </c>
      <c r="V416" s="1">
        <f t="shared" si="138"/>
        <v>0</v>
      </c>
      <c r="W416" s="1">
        <f t="shared" si="139"/>
        <v>0</v>
      </c>
      <c r="X416" s="1">
        <f t="shared" si="140"/>
        <v>0</v>
      </c>
      <c r="Y416" s="1">
        <f t="shared" si="141"/>
        <v>0</v>
      </c>
      <c r="Z416" s="1">
        <f t="shared" si="142"/>
        <v>1</v>
      </c>
      <c r="AA416" s="1">
        <f t="shared" si="143"/>
        <v>0</v>
      </c>
      <c r="AB416" s="1">
        <f t="shared" si="144"/>
        <v>0</v>
      </c>
      <c r="AD416" s="1">
        <f t="shared" si="145"/>
        <v>0</v>
      </c>
      <c r="AE416" s="1">
        <f t="shared" si="146"/>
        <v>1</v>
      </c>
      <c r="AF416" s="1">
        <f t="shared" si="147"/>
        <v>0</v>
      </c>
      <c r="AG416" s="1">
        <f t="shared" si="148"/>
        <v>1</v>
      </c>
      <c r="AH416" s="1">
        <f t="shared" si="149"/>
        <v>0</v>
      </c>
      <c r="AI416" s="1">
        <f t="shared" si="150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646</v>
      </c>
      <c r="E417" s="32" t="s">
        <v>155</v>
      </c>
      <c r="F417" s="32" t="s">
        <v>577</v>
      </c>
      <c r="G417" s="32" t="s">
        <v>248</v>
      </c>
      <c r="H417" s="32" t="s">
        <v>352</v>
      </c>
      <c r="I417" s="31" t="s">
        <v>671</v>
      </c>
      <c r="J417" s="31">
        <v>7</v>
      </c>
      <c r="K417" s="33" t="s">
        <v>936</v>
      </c>
      <c r="L417" s="33" t="s">
        <v>39</v>
      </c>
      <c r="M417" s="34" t="s">
        <v>39</v>
      </c>
      <c r="N417" s="34" t="s">
        <v>1693</v>
      </c>
      <c r="O417" s="35">
        <v>1</v>
      </c>
      <c r="P417" s="35">
        <v>1</v>
      </c>
      <c r="Q417" s="32"/>
      <c r="S417" s="1">
        <f t="shared" si="135"/>
        <v>0</v>
      </c>
      <c r="T417" s="1">
        <f t="shared" si="136"/>
        <v>0</v>
      </c>
      <c r="U417" s="1">
        <f t="shared" si="137"/>
        <v>0</v>
      </c>
      <c r="V417" s="1">
        <f t="shared" si="138"/>
        <v>0</v>
      </c>
      <c r="W417" s="1">
        <f t="shared" si="139"/>
        <v>0</v>
      </c>
      <c r="X417" s="1">
        <f t="shared" si="140"/>
        <v>0</v>
      </c>
      <c r="Y417" s="1">
        <f t="shared" si="141"/>
        <v>1</v>
      </c>
      <c r="Z417" s="1">
        <f t="shared" si="142"/>
        <v>0</v>
      </c>
      <c r="AA417" s="1">
        <f t="shared" si="143"/>
        <v>0</v>
      </c>
      <c r="AB417" s="1">
        <f t="shared" si="144"/>
        <v>0</v>
      </c>
      <c r="AD417" s="1">
        <f t="shared" si="145"/>
        <v>1</v>
      </c>
      <c r="AE417" s="1">
        <f t="shared" si="146"/>
        <v>0</v>
      </c>
      <c r="AF417" s="1">
        <f t="shared" si="147"/>
        <v>1</v>
      </c>
      <c r="AG417" s="1">
        <f t="shared" si="148"/>
        <v>0</v>
      </c>
      <c r="AH417" s="1">
        <f t="shared" si="149"/>
        <v>1</v>
      </c>
      <c r="AI417" s="1">
        <f t="shared" si="150"/>
        <v>0</v>
      </c>
    </row>
    <row r="418" spans="1:35" ht="14.25" customHeight="1" x14ac:dyDescent="0.25">
      <c r="A418" s="44">
        <v>0</v>
      </c>
      <c r="B418" s="44">
        <v>2</v>
      </c>
      <c r="C418" s="44">
        <v>7</v>
      </c>
      <c r="D418" s="45" t="s">
        <v>1601</v>
      </c>
      <c r="E418" s="45" t="s">
        <v>155</v>
      </c>
      <c r="F418" s="45" t="s">
        <v>1624</v>
      </c>
      <c r="G418" s="45" t="s">
        <v>212</v>
      </c>
      <c r="H418" s="45" t="s">
        <v>352</v>
      </c>
      <c r="I418" s="44" t="s">
        <v>586</v>
      </c>
      <c r="J418" s="44">
        <v>1</v>
      </c>
      <c r="K418" s="46" t="s">
        <v>703</v>
      </c>
      <c r="L418" s="46" t="s">
        <v>713</v>
      </c>
      <c r="M418" s="47" t="s">
        <v>1403</v>
      </c>
      <c r="N418" s="47" t="s">
        <v>1701</v>
      </c>
      <c r="O418" s="48"/>
      <c r="P418" s="48"/>
      <c r="Q418" s="45"/>
      <c r="S418" s="1">
        <f t="shared" si="135"/>
        <v>1</v>
      </c>
      <c r="T418" s="1">
        <f t="shared" si="136"/>
        <v>0</v>
      </c>
      <c r="U418" s="1">
        <f t="shared" si="137"/>
        <v>0</v>
      </c>
      <c r="V418" s="1">
        <f t="shared" si="138"/>
        <v>0</v>
      </c>
      <c r="W418" s="1">
        <f t="shared" si="139"/>
        <v>0</v>
      </c>
      <c r="X418" s="1">
        <f t="shared" si="140"/>
        <v>0</v>
      </c>
      <c r="Y418" s="1">
        <f t="shared" si="141"/>
        <v>0</v>
      </c>
      <c r="Z418" s="1">
        <f t="shared" si="142"/>
        <v>0</v>
      </c>
      <c r="AA418" s="1">
        <f t="shared" si="143"/>
        <v>0</v>
      </c>
      <c r="AB418" s="1">
        <f t="shared" si="144"/>
        <v>0</v>
      </c>
      <c r="AD418" s="1">
        <f t="shared" si="145"/>
        <v>0</v>
      </c>
      <c r="AE418" s="1">
        <f t="shared" si="146"/>
        <v>0</v>
      </c>
      <c r="AF418" s="1">
        <f t="shared" si="147"/>
        <v>0</v>
      </c>
      <c r="AG418" s="1">
        <f t="shared" si="148"/>
        <v>0</v>
      </c>
      <c r="AH418" s="1">
        <f t="shared" si="149"/>
        <v>0</v>
      </c>
      <c r="AI418" s="1">
        <f t="shared" si="150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1051</v>
      </c>
      <c r="E419" s="32" t="s">
        <v>1027</v>
      </c>
      <c r="F419" s="32" t="s">
        <v>1052</v>
      </c>
      <c r="G419" s="32" t="s">
        <v>212</v>
      </c>
      <c r="H419" s="32" t="s">
        <v>352</v>
      </c>
      <c r="I419" s="31" t="s">
        <v>1053</v>
      </c>
      <c r="J419" s="31">
        <v>1</v>
      </c>
      <c r="K419" s="33" t="s">
        <v>936</v>
      </c>
      <c r="L419" s="33" t="s">
        <v>713</v>
      </c>
      <c r="M419" s="34" t="s">
        <v>1404</v>
      </c>
      <c r="N419" s="34" t="s">
        <v>1704</v>
      </c>
      <c r="O419" s="35">
        <v>1</v>
      </c>
      <c r="P419" s="35"/>
      <c r="Q419" s="32" t="s">
        <v>1876</v>
      </c>
      <c r="S419" s="1">
        <f t="shared" si="135"/>
        <v>1</v>
      </c>
      <c r="T419" s="1">
        <f t="shared" si="136"/>
        <v>0</v>
      </c>
      <c r="U419" s="1">
        <f t="shared" si="137"/>
        <v>0</v>
      </c>
      <c r="V419" s="1">
        <f t="shared" si="138"/>
        <v>0</v>
      </c>
      <c r="W419" s="1">
        <f t="shared" si="139"/>
        <v>0</v>
      </c>
      <c r="X419" s="1">
        <f t="shared" si="140"/>
        <v>0</v>
      </c>
      <c r="Y419" s="1">
        <f t="shared" si="141"/>
        <v>0</v>
      </c>
      <c r="Z419" s="1">
        <f t="shared" si="142"/>
        <v>0</v>
      </c>
      <c r="AA419" s="1">
        <f t="shared" si="143"/>
        <v>0</v>
      </c>
      <c r="AB419" s="1">
        <f t="shared" si="144"/>
        <v>0</v>
      </c>
      <c r="AD419" s="1">
        <f t="shared" si="145"/>
        <v>0</v>
      </c>
      <c r="AE419" s="1">
        <f t="shared" si="146"/>
        <v>1</v>
      </c>
      <c r="AF419" s="1">
        <f t="shared" si="147"/>
        <v>0</v>
      </c>
      <c r="AG419" s="1">
        <f t="shared" si="148"/>
        <v>1</v>
      </c>
      <c r="AH419" s="1">
        <f t="shared" si="149"/>
        <v>0</v>
      </c>
      <c r="AI419" s="1">
        <f t="shared" si="150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998</v>
      </c>
      <c r="E420" s="32" t="s">
        <v>155</v>
      </c>
      <c r="F420" s="32" t="s">
        <v>1069</v>
      </c>
      <c r="G420" s="32" t="s">
        <v>1079</v>
      </c>
      <c r="H420" s="32" t="s">
        <v>352</v>
      </c>
      <c r="I420" s="31" t="s">
        <v>999</v>
      </c>
      <c r="J420" s="31">
        <v>99</v>
      </c>
      <c r="K420" s="33" t="s">
        <v>704</v>
      </c>
      <c r="L420" s="33" t="s">
        <v>713</v>
      </c>
      <c r="M420" s="34" t="s">
        <v>1404</v>
      </c>
      <c r="N420" s="34" t="s">
        <v>1708</v>
      </c>
      <c r="O420" s="35">
        <v>1</v>
      </c>
      <c r="P420" s="35"/>
      <c r="Q420" s="32"/>
      <c r="S420" s="1">
        <f t="shared" si="135"/>
        <v>0</v>
      </c>
      <c r="T420" s="1">
        <f t="shared" si="136"/>
        <v>0</v>
      </c>
      <c r="U420" s="1">
        <f t="shared" si="137"/>
        <v>0</v>
      </c>
      <c r="V420" s="1">
        <f t="shared" si="138"/>
        <v>0</v>
      </c>
      <c r="W420" s="1">
        <f t="shared" si="139"/>
        <v>0</v>
      </c>
      <c r="X420" s="1">
        <f t="shared" si="140"/>
        <v>0</v>
      </c>
      <c r="Y420" s="1">
        <f t="shared" si="141"/>
        <v>0</v>
      </c>
      <c r="Z420" s="1">
        <f t="shared" si="142"/>
        <v>0</v>
      </c>
      <c r="AA420" s="1">
        <f t="shared" si="143"/>
        <v>0</v>
      </c>
      <c r="AB420" s="1">
        <f t="shared" si="144"/>
        <v>0</v>
      </c>
      <c r="AD420" s="1">
        <f t="shared" si="145"/>
        <v>0</v>
      </c>
      <c r="AE420" s="1">
        <f t="shared" si="146"/>
        <v>1</v>
      </c>
      <c r="AF420" s="1">
        <f t="shared" si="147"/>
        <v>0</v>
      </c>
      <c r="AG420" s="1">
        <f t="shared" si="148"/>
        <v>1</v>
      </c>
      <c r="AH420" s="1">
        <f t="shared" si="149"/>
        <v>0</v>
      </c>
      <c r="AI420" s="1">
        <f t="shared" si="150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1180</v>
      </c>
      <c r="E421" s="32" t="s">
        <v>1306</v>
      </c>
      <c r="F421" s="32" t="s">
        <v>1181</v>
      </c>
      <c r="G421" s="32" t="s">
        <v>39</v>
      </c>
      <c r="H421" s="32" t="s">
        <v>352</v>
      </c>
      <c r="I421" s="31" t="s">
        <v>1651</v>
      </c>
      <c r="J421" s="31">
        <v>99</v>
      </c>
      <c r="K421" s="33" t="s">
        <v>936</v>
      </c>
      <c r="L421" s="33" t="s">
        <v>720</v>
      </c>
      <c r="M421" s="34" t="s">
        <v>1405</v>
      </c>
      <c r="N421" s="34" t="s">
        <v>1708</v>
      </c>
      <c r="O421" s="35">
        <v>1</v>
      </c>
      <c r="P421" s="35"/>
      <c r="Q421" s="32"/>
      <c r="S421" s="1">
        <f t="shared" si="135"/>
        <v>0</v>
      </c>
      <c r="T421" s="1">
        <f t="shared" si="136"/>
        <v>0</v>
      </c>
      <c r="U421" s="1">
        <f t="shared" si="137"/>
        <v>0</v>
      </c>
      <c r="V421" s="1">
        <f t="shared" si="138"/>
        <v>0</v>
      </c>
      <c r="W421" s="1">
        <f t="shared" si="139"/>
        <v>0</v>
      </c>
      <c r="X421" s="1">
        <f t="shared" si="140"/>
        <v>0</v>
      </c>
      <c r="Y421" s="1">
        <f t="shared" si="141"/>
        <v>0</v>
      </c>
      <c r="Z421" s="1">
        <f t="shared" si="142"/>
        <v>0</v>
      </c>
      <c r="AA421" s="1">
        <f t="shared" si="143"/>
        <v>0</v>
      </c>
      <c r="AB421" s="1">
        <f t="shared" si="144"/>
        <v>0</v>
      </c>
      <c r="AD421" s="1">
        <f t="shared" si="145"/>
        <v>0</v>
      </c>
      <c r="AE421" s="1">
        <f t="shared" si="146"/>
        <v>1</v>
      </c>
      <c r="AF421" s="1">
        <f t="shared" si="147"/>
        <v>0</v>
      </c>
      <c r="AG421" s="1">
        <f t="shared" si="148"/>
        <v>1</v>
      </c>
      <c r="AH421" s="1">
        <f t="shared" si="149"/>
        <v>0</v>
      </c>
      <c r="AI421" s="1">
        <f t="shared" si="150"/>
        <v>1</v>
      </c>
    </row>
    <row r="422" spans="1:35" ht="14.25" customHeight="1" x14ac:dyDescent="0.25">
      <c r="A422" s="31">
        <v>0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636</v>
      </c>
      <c r="G422" s="32" t="s">
        <v>531</v>
      </c>
      <c r="H422" s="32" t="s">
        <v>352</v>
      </c>
      <c r="I422" s="31" t="s">
        <v>392</v>
      </c>
      <c r="J422" s="31">
        <v>6</v>
      </c>
      <c r="K422" s="33" t="s">
        <v>703</v>
      </c>
      <c r="L422" s="33" t="s">
        <v>704</v>
      </c>
      <c r="M422" s="34" t="s">
        <v>722</v>
      </c>
      <c r="N422" s="34" t="s">
        <v>1721</v>
      </c>
      <c r="O422" s="35">
        <v>1</v>
      </c>
      <c r="P422" s="35"/>
      <c r="Q422" s="32"/>
      <c r="S422" s="1">
        <f t="shared" si="135"/>
        <v>0</v>
      </c>
      <c r="T422" s="1">
        <f t="shared" si="136"/>
        <v>0</v>
      </c>
      <c r="U422" s="1">
        <f t="shared" si="137"/>
        <v>0</v>
      </c>
      <c r="V422" s="1">
        <f t="shared" si="138"/>
        <v>0</v>
      </c>
      <c r="W422" s="1">
        <f t="shared" si="139"/>
        <v>0</v>
      </c>
      <c r="X422" s="1">
        <f t="shared" si="140"/>
        <v>1</v>
      </c>
      <c r="Y422" s="1">
        <f t="shared" si="141"/>
        <v>0</v>
      </c>
      <c r="Z422" s="1">
        <f t="shared" si="142"/>
        <v>0</v>
      </c>
      <c r="AA422" s="1">
        <f t="shared" si="143"/>
        <v>0</v>
      </c>
      <c r="AB422" s="1">
        <f t="shared" si="144"/>
        <v>0</v>
      </c>
      <c r="AD422" s="1">
        <f t="shared" si="145"/>
        <v>0</v>
      </c>
      <c r="AE422" s="1">
        <f t="shared" si="146"/>
        <v>1</v>
      </c>
      <c r="AF422" s="1">
        <f t="shared" si="147"/>
        <v>0</v>
      </c>
      <c r="AG422" s="1">
        <f t="shared" si="148"/>
        <v>1</v>
      </c>
      <c r="AH422" s="1">
        <f t="shared" si="149"/>
        <v>0</v>
      </c>
      <c r="AI422" s="1">
        <f t="shared" si="150"/>
        <v>1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215</v>
      </c>
      <c r="G423" s="32" t="s">
        <v>39</v>
      </c>
      <c r="H423" s="32" t="s">
        <v>352</v>
      </c>
      <c r="I423" s="31" t="s">
        <v>30</v>
      </c>
      <c r="J423" s="31">
        <v>99</v>
      </c>
      <c r="K423" s="33" t="s">
        <v>703</v>
      </c>
      <c r="L423" s="33" t="s">
        <v>704</v>
      </c>
      <c r="M423" s="34" t="s">
        <v>722</v>
      </c>
      <c r="N423" s="34" t="s">
        <v>1721</v>
      </c>
      <c r="O423" s="35">
        <v>1</v>
      </c>
      <c r="P423" s="35"/>
      <c r="Q423" s="32"/>
      <c r="S423" s="1">
        <f t="shared" si="135"/>
        <v>0</v>
      </c>
      <c r="T423" s="1">
        <f t="shared" si="136"/>
        <v>0</v>
      </c>
      <c r="U423" s="1">
        <f t="shared" si="137"/>
        <v>0</v>
      </c>
      <c r="V423" s="1">
        <f t="shared" si="138"/>
        <v>0</v>
      </c>
      <c r="W423" s="1">
        <f t="shared" si="139"/>
        <v>0</v>
      </c>
      <c r="X423" s="1">
        <f t="shared" si="140"/>
        <v>0</v>
      </c>
      <c r="Y423" s="1">
        <f t="shared" si="141"/>
        <v>0</v>
      </c>
      <c r="Z423" s="1">
        <f t="shared" si="142"/>
        <v>0</v>
      </c>
      <c r="AA423" s="1">
        <f t="shared" si="143"/>
        <v>0</v>
      </c>
      <c r="AB423" s="1">
        <f t="shared" si="144"/>
        <v>0</v>
      </c>
      <c r="AD423" s="1">
        <f t="shared" si="145"/>
        <v>0</v>
      </c>
      <c r="AE423" s="1">
        <f t="shared" si="146"/>
        <v>1</v>
      </c>
      <c r="AF423" s="1">
        <f t="shared" si="147"/>
        <v>0</v>
      </c>
      <c r="AG423" s="1">
        <f t="shared" si="148"/>
        <v>0</v>
      </c>
      <c r="AH423" s="1">
        <f t="shared" si="149"/>
        <v>0</v>
      </c>
      <c r="AI423" s="1">
        <f t="shared" si="150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214</v>
      </c>
      <c r="G424" s="32" t="s">
        <v>39</v>
      </c>
      <c r="H424" s="32" t="s">
        <v>352</v>
      </c>
      <c r="I424" s="31" t="s">
        <v>392</v>
      </c>
      <c r="J424" s="31">
        <v>99</v>
      </c>
      <c r="K424" s="33" t="s">
        <v>703</v>
      </c>
      <c r="L424" s="33" t="s">
        <v>704</v>
      </c>
      <c r="M424" s="34" t="s">
        <v>722</v>
      </c>
      <c r="N424" s="34" t="s">
        <v>1721</v>
      </c>
      <c r="O424" s="35">
        <v>1</v>
      </c>
      <c r="P424" s="35"/>
      <c r="Q424" s="32"/>
      <c r="S424" s="1">
        <f t="shared" si="135"/>
        <v>0</v>
      </c>
      <c r="T424" s="1">
        <f t="shared" si="136"/>
        <v>0</v>
      </c>
      <c r="U424" s="1">
        <f t="shared" si="137"/>
        <v>0</v>
      </c>
      <c r="V424" s="1">
        <f t="shared" si="138"/>
        <v>0</v>
      </c>
      <c r="W424" s="1">
        <f t="shared" si="139"/>
        <v>0</v>
      </c>
      <c r="X424" s="1">
        <f t="shared" si="140"/>
        <v>0</v>
      </c>
      <c r="Y424" s="1">
        <f t="shared" si="141"/>
        <v>0</v>
      </c>
      <c r="Z424" s="1">
        <f t="shared" si="142"/>
        <v>0</v>
      </c>
      <c r="AA424" s="1">
        <f t="shared" si="143"/>
        <v>0</v>
      </c>
      <c r="AB424" s="1">
        <f t="shared" si="144"/>
        <v>0</v>
      </c>
      <c r="AD424" s="1">
        <f t="shared" si="145"/>
        <v>0</v>
      </c>
      <c r="AE424" s="1">
        <f t="shared" si="146"/>
        <v>1</v>
      </c>
      <c r="AF424" s="1">
        <f t="shared" si="147"/>
        <v>0</v>
      </c>
      <c r="AG424" s="1">
        <f t="shared" si="148"/>
        <v>0</v>
      </c>
      <c r="AH424" s="1">
        <f t="shared" si="149"/>
        <v>0</v>
      </c>
      <c r="AI424" s="1">
        <f t="shared" si="150"/>
        <v>0</v>
      </c>
    </row>
    <row r="425" spans="1:35" ht="14.25" customHeight="1" x14ac:dyDescent="0.25">
      <c r="A425" s="31">
        <v>1</v>
      </c>
      <c r="B425" s="31">
        <v>2</v>
      </c>
      <c r="C425" s="31">
        <v>7</v>
      </c>
      <c r="D425" s="32" t="s">
        <v>55</v>
      </c>
      <c r="E425" s="32" t="s">
        <v>28</v>
      </c>
      <c r="F425" s="32" t="s">
        <v>216</v>
      </c>
      <c r="G425" s="32" t="s">
        <v>217</v>
      </c>
      <c r="H425" s="32" t="s">
        <v>352</v>
      </c>
      <c r="I425" s="31" t="s">
        <v>393</v>
      </c>
      <c r="J425" s="31">
        <v>99</v>
      </c>
      <c r="K425" s="33" t="s">
        <v>703</v>
      </c>
      <c r="L425" s="33" t="s">
        <v>704</v>
      </c>
      <c r="M425" s="34" t="s">
        <v>722</v>
      </c>
      <c r="N425" s="34" t="s">
        <v>1721</v>
      </c>
      <c r="O425" s="35">
        <v>1</v>
      </c>
      <c r="P425" s="35"/>
      <c r="Q425" s="32"/>
      <c r="S425" s="1">
        <f t="shared" si="135"/>
        <v>0</v>
      </c>
      <c r="T425" s="1">
        <f t="shared" si="136"/>
        <v>0</v>
      </c>
      <c r="U425" s="1">
        <f t="shared" si="137"/>
        <v>0</v>
      </c>
      <c r="V425" s="1">
        <f t="shared" si="138"/>
        <v>0</v>
      </c>
      <c r="W425" s="1">
        <f t="shared" si="139"/>
        <v>0</v>
      </c>
      <c r="X425" s="1">
        <f t="shared" si="140"/>
        <v>0</v>
      </c>
      <c r="Y425" s="1">
        <f t="shared" si="141"/>
        <v>0</v>
      </c>
      <c r="Z425" s="1">
        <f t="shared" si="142"/>
        <v>0</v>
      </c>
      <c r="AA425" s="1">
        <f t="shared" si="143"/>
        <v>0</v>
      </c>
      <c r="AB425" s="1">
        <f t="shared" si="144"/>
        <v>0</v>
      </c>
      <c r="AD425" s="1">
        <f t="shared" si="145"/>
        <v>0</v>
      </c>
      <c r="AE425" s="1">
        <f t="shared" si="146"/>
        <v>1</v>
      </c>
      <c r="AF425" s="1">
        <f t="shared" si="147"/>
        <v>0</v>
      </c>
      <c r="AG425" s="1">
        <f t="shared" si="148"/>
        <v>0</v>
      </c>
      <c r="AH425" s="1">
        <f t="shared" si="149"/>
        <v>0</v>
      </c>
      <c r="AI425" s="1">
        <f t="shared" si="150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2005</v>
      </c>
      <c r="E426" s="36" t="s">
        <v>155</v>
      </c>
      <c r="F426" s="36" t="s">
        <v>2006</v>
      </c>
      <c r="G426" s="36" t="s">
        <v>219</v>
      </c>
      <c r="H426" s="36" t="s">
        <v>352</v>
      </c>
      <c r="I426" s="37" t="s">
        <v>2007</v>
      </c>
      <c r="J426" s="31">
        <v>99</v>
      </c>
      <c r="K426" s="33" t="s">
        <v>694</v>
      </c>
      <c r="L426" s="33">
        <v>10</v>
      </c>
      <c r="M426" s="34" t="s">
        <v>2008</v>
      </c>
      <c r="N426" s="34" t="s">
        <v>1708</v>
      </c>
      <c r="O426" s="35">
        <v>1</v>
      </c>
      <c r="P426" s="35"/>
      <c r="Q426" s="32"/>
      <c r="S426" s="1">
        <f t="shared" si="135"/>
        <v>0</v>
      </c>
      <c r="T426" s="1">
        <f t="shared" si="136"/>
        <v>0</v>
      </c>
      <c r="U426" s="1">
        <f t="shared" si="137"/>
        <v>0</v>
      </c>
      <c r="V426" s="1">
        <f t="shared" si="138"/>
        <v>0</v>
      </c>
      <c r="W426" s="1">
        <f t="shared" si="139"/>
        <v>0</v>
      </c>
      <c r="X426" s="1">
        <f t="shared" si="140"/>
        <v>0</v>
      </c>
      <c r="Y426" s="1">
        <f t="shared" si="141"/>
        <v>0</v>
      </c>
      <c r="Z426" s="1">
        <f t="shared" si="142"/>
        <v>0</v>
      </c>
      <c r="AA426" s="1">
        <f t="shared" si="143"/>
        <v>0</v>
      </c>
      <c r="AB426" s="1">
        <f t="shared" si="144"/>
        <v>0</v>
      </c>
      <c r="AD426" s="1">
        <f t="shared" si="145"/>
        <v>0</v>
      </c>
      <c r="AE426" s="1">
        <f t="shared" si="146"/>
        <v>1</v>
      </c>
      <c r="AF426" s="1">
        <f t="shared" si="147"/>
        <v>0</v>
      </c>
      <c r="AG426" s="1">
        <f t="shared" si="148"/>
        <v>1</v>
      </c>
      <c r="AH426" s="1">
        <f t="shared" si="149"/>
        <v>0</v>
      </c>
      <c r="AI426" s="1">
        <f t="shared" si="150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6" t="s">
        <v>68</v>
      </c>
      <c r="E427" s="36" t="s">
        <v>28</v>
      </c>
      <c r="F427" s="36" t="s">
        <v>252</v>
      </c>
      <c r="G427" s="36" t="s">
        <v>253</v>
      </c>
      <c r="H427" s="36" t="s">
        <v>352</v>
      </c>
      <c r="I427" s="37" t="s">
        <v>412</v>
      </c>
      <c r="J427" s="31">
        <v>99</v>
      </c>
      <c r="K427" s="33" t="s">
        <v>704</v>
      </c>
      <c r="L427" s="33" t="s">
        <v>704</v>
      </c>
      <c r="M427" s="34" t="s">
        <v>722</v>
      </c>
      <c r="N427" s="34" t="s">
        <v>1784</v>
      </c>
      <c r="O427" s="35">
        <v>1</v>
      </c>
      <c r="P427" s="35"/>
      <c r="Q427" s="32"/>
      <c r="S427" s="1">
        <f t="shared" si="135"/>
        <v>0</v>
      </c>
      <c r="T427" s="1">
        <f t="shared" si="136"/>
        <v>0</v>
      </c>
      <c r="U427" s="1">
        <f t="shared" si="137"/>
        <v>0</v>
      </c>
      <c r="V427" s="1">
        <f t="shared" si="138"/>
        <v>0</v>
      </c>
      <c r="W427" s="1">
        <f t="shared" si="139"/>
        <v>0</v>
      </c>
      <c r="X427" s="1">
        <f t="shared" si="140"/>
        <v>0</v>
      </c>
      <c r="Y427" s="1">
        <f t="shared" si="141"/>
        <v>0</v>
      </c>
      <c r="Z427" s="1">
        <f t="shared" si="142"/>
        <v>0</v>
      </c>
      <c r="AA427" s="1">
        <f t="shared" si="143"/>
        <v>0</v>
      </c>
      <c r="AB427" s="1">
        <f t="shared" si="144"/>
        <v>0</v>
      </c>
      <c r="AD427" s="1">
        <f t="shared" si="145"/>
        <v>0</v>
      </c>
      <c r="AE427" s="1">
        <f t="shared" si="146"/>
        <v>1</v>
      </c>
      <c r="AF427" s="1">
        <f t="shared" si="147"/>
        <v>0</v>
      </c>
      <c r="AG427" s="1">
        <f t="shared" si="148"/>
        <v>1</v>
      </c>
      <c r="AH427" s="1">
        <f t="shared" si="149"/>
        <v>0</v>
      </c>
      <c r="AI427" s="1">
        <f t="shared" si="150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1969</v>
      </c>
      <c r="E428" s="32" t="s">
        <v>28</v>
      </c>
      <c r="F428" s="32" t="s">
        <v>1971</v>
      </c>
      <c r="G428" s="32" t="s">
        <v>1085</v>
      </c>
      <c r="H428" s="32" t="s">
        <v>352</v>
      </c>
      <c r="I428" s="31" t="s">
        <v>1972</v>
      </c>
      <c r="J428" s="31">
        <v>1</v>
      </c>
      <c r="K428" s="33" t="s">
        <v>694</v>
      </c>
      <c r="L428" s="33"/>
      <c r="M428" s="34"/>
      <c r="N428" s="34" t="s">
        <v>1693</v>
      </c>
      <c r="O428" s="35">
        <v>1</v>
      </c>
      <c r="P428" s="35">
        <v>1</v>
      </c>
      <c r="Q428" s="32" t="s">
        <v>1974</v>
      </c>
      <c r="S428" s="1">
        <f t="shared" si="135"/>
        <v>1</v>
      </c>
      <c r="T428" s="1">
        <f t="shared" si="136"/>
        <v>0</v>
      </c>
      <c r="U428" s="1">
        <f t="shared" si="137"/>
        <v>0</v>
      </c>
      <c r="V428" s="1">
        <f t="shared" si="138"/>
        <v>0</v>
      </c>
      <c r="W428" s="1">
        <f t="shared" si="139"/>
        <v>0</v>
      </c>
      <c r="X428" s="1">
        <f t="shared" si="140"/>
        <v>0</v>
      </c>
      <c r="Y428" s="1">
        <f t="shared" si="141"/>
        <v>0</v>
      </c>
      <c r="Z428" s="1">
        <f t="shared" si="142"/>
        <v>0</v>
      </c>
      <c r="AA428" s="1">
        <f t="shared" si="143"/>
        <v>0</v>
      </c>
      <c r="AB428" s="1">
        <f t="shared" si="144"/>
        <v>0</v>
      </c>
      <c r="AD428" s="1">
        <f t="shared" si="145"/>
        <v>1</v>
      </c>
      <c r="AE428" s="1">
        <f t="shared" si="146"/>
        <v>0</v>
      </c>
      <c r="AF428" s="1">
        <f t="shared" si="147"/>
        <v>1</v>
      </c>
      <c r="AG428" s="1">
        <f t="shared" si="148"/>
        <v>0</v>
      </c>
      <c r="AH428" s="1">
        <f t="shared" si="149"/>
        <v>1</v>
      </c>
      <c r="AI428" s="1">
        <f t="shared" si="150"/>
        <v>0</v>
      </c>
    </row>
    <row r="429" spans="1:35" ht="14.25" customHeight="1" x14ac:dyDescent="0.25">
      <c r="A429" s="31">
        <v>1</v>
      </c>
      <c r="B429" s="31">
        <v>2</v>
      </c>
      <c r="C429" s="31">
        <v>7</v>
      </c>
      <c r="D429" s="32" t="s">
        <v>1969</v>
      </c>
      <c r="E429" s="32" t="s">
        <v>28</v>
      </c>
      <c r="F429" s="32" t="s">
        <v>1970</v>
      </c>
      <c r="G429" s="36" t="s">
        <v>1976</v>
      </c>
      <c r="H429" s="32" t="s">
        <v>352</v>
      </c>
      <c r="I429" s="31" t="s">
        <v>1973</v>
      </c>
      <c r="J429" s="31">
        <v>8</v>
      </c>
      <c r="K429" s="33" t="s">
        <v>694</v>
      </c>
      <c r="L429" s="33"/>
      <c r="M429" s="34"/>
      <c r="N429" s="34" t="s">
        <v>1693</v>
      </c>
      <c r="O429" s="35">
        <v>1</v>
      </c>
      <c r="P429" s="35">
        <v>1</v>
      </c>
      <c r="Q429" s="32" t="s">
        <v>1975</v>
      </c>
      <c r="S429" s="1">
        <f t="shared" si="135"/>
        <v>0</v>
      </c>
      <c r="T429" s="1">
        <f t="shared" si="136"/>
        <v>0</v>
      </c>
      <c r="U429" s="1">
        <f t="shared" si="137"/>
        <v>0</v>
      </c>
      <c r="V429" s="1">
        <f t="shared" si="138"/>
        <v>0</v>
      </c>
      <c r="W429" s="1">
        <f t="shared" si="139"/>
        <v>0</v>
      </c>
      <c r="X429" s="1">
        <f t="shared" si="140"/>
        <v>0</v>
      </c>
      <c r="Y429" s="1">
        <f t="shared" si="141"/>
        <v>0</v>
      </c>
      <c r="Z429" s="1">
        <f t="shared" si="142"/>
        <v>1</v>
      </c>
      <c r="AA429" s="1">
        <f t="shared" si="143"/>
        <v>0</v>
      </c>
      <c r="AB429" s="1">
        <f t="shared" si="144"/>
        <v>0</v>
      </c>
      <c r="AD429" s="1">
        <f t="shared" si="145"/>
        <v>1</v>
      </c>
      <c r="AE429" s="1">
        <f t="shared" si="146"/>
        <v>0</v>
      </c>
      <c r="AF429" s="1">
        <f t="shared" si="147"/>
        <v>0</v>
      </c>
      <c r="AG429" s="1">
        <f t="shared" si="148"/>
        <v>0</v>
      </c>
      <c r="AH429" s="1">
        <f t="shared" si="149"/>
        <v>0</v>
      </c>
      <c r="AI429" s="1">
        <f t="shared" si="150"/>
        <v>0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254</v>
      </c>
      <c r="G430" s="36" t="s">
        <v>206</v>
      </c>
      <c r="H430" s="32" t="s">
        <v>352</v>
      </c>
      <c r="I430" s="31" t="s">
        <v>413</v>
      </c>
      <c r="J430" s="31">
        <v>99</v>
      </c>
      <c r="K430" s="33" t="s">
        <v>936</v>
      </c>
      <c r="L430" s="33" t="s">
        <v>704</v>
      </c>
      <c r="M430" s="34" t="s">
        <v>722</v>
      </c>
      <c r="N430" s="34" t="s">
        <v>1699</v>
      </c>
      <c r="O430" s="35">
        <v>1</v>
      </c>
      <c r="P430" s="35">
        <v>1</v>
      </c>
      <c r="Q430" s="32"/>
      <c r="S430" s="1">
        <f t="shared" si="135"/>
        <v>0</v>
      </c>
      <c r="T430" s="1">
        <f t="shared" si="136"/>
        <v>0</v>
      </c>
      <c r="U430" s="1">
        <f t="shared" si="137"/>
        <v>0</v>
      </c>
      <c r="V430" s="1">
        <f t="shared" si="138"/>
        <v>0</v>
      </c>
      <c r="W430" s="1">
        <f t="shared" si="139"/>
        <v>0</v>
      </c>
      <c r="X430" s="1">
        <f t="shared" si="140"/>
        <v>0</v>
      </c>
      <c r="Y430" s="1">
        <f t="shared" si="141"/>
        <v>0</v>
      </c>
      <c r="Z430" s="1">
        <f t="shared" si="142"/>
        <v>0</v>
      </c>
      <c r="AA430" s="1">
        <f t="shared" si="143"/>
        <v>0</v>
      </c>
      <c r="AB430" s="1">
        <f t="shared" si="144"/>
        <v>0</v>
      </c>
      <c r="AD430" s="1">
        <f t="shared" si="145"/>
        <v>1</v>
      </c>
      <c r="AE430" s="1">
        <f t="shared" si="146"/>
        <v>0</v>
      </c>
      <c r="AF430" s="1">
        <f t="shared" si="147"/>
        <v>1</v>
      </c>
      <c r="AG430" s="1">
        <f t="shared" si="148"/>
        <v>0</v>
      </c>
      <c r="AH430" s="1">
        <f t="shared" si="149"/>
        <v>1</v>
      </c>
      <c r="AI430" s="1">
        <f t="shared" si="150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1833</v>
      </c>
      <c r="G431" s="36" t="s">
        <v>255</v>
      </c>
      <c r="H431" s="32" t="s">
        <v>352</v>
      </c>
      <c r="I431" s="31" t="s">
        <v>414</v>
      </c>
      <c r="J431" s="31">
        <v>99</v>
      </c>
      <c r="K431" s="33" t="s">
        <v>936</v>
      </c>
      <c r="L431" s="33" t="s">
        <v>704</v>
      </c>
      <c r="M431" s="34" t="s">
        <v>722</v>
      </c>
      <c r="N431" s="34" t="s">
        <v>1699</v>
      </c>
      <c r="O431" s="35">
        <v>1</v>
      </c>
      <c r="P431" s="35">
        <v>1</v>
      </c>
      <c r="Q431" s="32"/>
      <c r="S431" s="1">
        <f t="shared" si="135"/>
        <v>0</v>
      </c>
      <c r="T431" s="1">
        <f t="shared" si="136"/>
        <v>0</v>
      </c>
      <c r="U431" s="1">
        <f t="shared" si="137"/>
        <v>0</v>
      </c>
      <c r="V431" s="1">
        <f t="shared" si="138"/>
        <v>0</v>
      </c>
      <c r="W431" s="1">
        <f t="shared" si="139"/>
        <v>0</v>
      </c>
      <c r="X431" s="1">
        <f t="shared" si="140"/>
        <v>0</v>
      </c>
      <c r="Y431" s="1">
        <f t="shared" si="141"/>
        <v>0</v>
      </c>
      <c r="Z431" s="1">
        <f t="shared" si="142"/>
        <v>0</v>
      </c>
      <c r="AA431" s="1">
        <f t="shared" si="143"/>
        <v>0</v>
      </c>
      <c r="AB431" s="1">
        <f t="shared" si="144"/>
        <v>0</v>
      </c>
      <c r="AD431" s="1">
        <f t="shared" si="145"/>
        <v>1</v>
      </c>
      <c r="AE431" s="1">
        <f t="shared" si="146"/>
        <v>0</v>
      </c>
      <c r="AF431" s="1">
        <f t="shared" si="147"/>
        <v>0</v>
      </c>
      <c r="AG431" s="1">
        <f t="shared" si="148"/>
        <v>0</v>
      </c>
      <c r="AH431" s="1">
        <f t="shared" si="149"/>
        <v>0</v>
      </c>
      <c r="AI431" s="1">
        <f t="shared" si="150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69</v>
      </c>
      <c r="E432" s="32" t="s">
        <v>28</v>
      </c>
      <c r="F432" s="32" t="s">
        <v>563</v>
      </c>
      <c r="G432" s="36" t="s">
        <v>564</v>
      </c>
      <c r="H432" s="32" t="s">
        <v>352</v>
      </c>
      <c r="I432" s="31" t="s">
        <v>572</v>
      </c>
      <c r="J432" s="31">
        <v>99</v>
      </c>
      <c r="K432" s="33" t="s">
        <v>936</v>
      </c>
      <c r="L432" s="33" t="s">
        <v>704</v>
      </c>
      <c r="M432" s="34" t="s">
        <v>722</v>
      </c>
      <c r="N432" s="34" t="s">
        <v>1699</v>
      </c>
      <c r="O432" s="35">
        <v>1</v>
      </c>
      <c r="P432" s="35">
        <v>1</v>
      </c>
      <c r="Q432" s="32"/>
      <c r="S432" s="1">
        <f t="shared" si="135"/>
        <v>0</v>
      </c>
      <c r="T432" s="1">
        <f t="shared" si="136"/>
        <v>0</v>
      </c>
      <c r="U432" s="1">
        <f t="shared" si="137"/>
        <v>0</v>
      </c>
      <c r="V432" s="1">
        <f t="shared" si="138"/>
        <v>0</v>
      </c>
      <c r="W432" s="1">
        <f t="shared" si="139"/>
        <v>0</v>
      </c>
      <c r="X432" s="1">
        <f t="shared" si="140"/>
        <v>0</v>
      </c>
      <c r="Y432" s="1">
        <f t="shared" si="141"/>
        <v>0</v>
      </c>
      <c r="Z432" s="1">
        <f t="shared" si="142"/>
        <v>0</v>
      </c>
      <c r="AA432" s="1">
        <f t="shared" si="143"/>
        <v>0</v>
      </c>
      <c r="AB432" s="1">
        <f t="shared" si="144"/>
        <v>0</v>
      </c>
      <c r="AD432" s="1">
        <f t="shared" si="145"/>
        <v>1</v>
      </c>
      <c r="AE432" s="1">
        <f t="shared" si="146"/>
        <v>0</v>
      </c>
      <c r="AF432" s="1">
        <f t="shared" si="147"/>
        <v>0</v>
      </c>
      <c r="AG432" s="1">
        <f t="shared" si="148"/>
        <v>0</v>
      </c>
      <c r="AH432" s="1">
        <f t="shared" si="149"/>
        <v>0</v>
      </c>
      <c r="AI432" s="1">
        <f t="shared" si="150"/>
        <v>0</v>
      </c>
    </row>
    <row r="433" spans="1:35" s="1" customFormat="1" ht="14.25" customHeight="1" x14ac:dyDescent="0.25">
      <c r="A433" s="31">
        <v>0</v>
      </c>
      <c r="B433" s="31">
        <v>2</v>
      </c>
      <c r="C433" s="31">
        <v>7</v>
      </c>
      <c r="D433" s="32" t="s">
        <v>71</v>
      </c>
      <c r="E433" s="32" t="s">
        <v>28</v>
      </c>
      <c r="F433" s="32" t="s">
        <v>1322</v>
      </c>
      <c r="G433" s="36" t="s">
        <v>258</v>
      </c>
      <c r="H433" s="32" t="s">
        <v>352</v>
      </c>
      <c r="I433" s="31" t="s">
        <v>416</v>
      </c>
      <c r="J433" s="31">
        <v>99</v>
      </c>
      <c r="K433" s="33" t="s">
        <v>704</v>
      </c>
      <c r="L433" s="33" t="s">
        <v>704</v>
      </c>
      <c r="M433" s="34" t="s">
        <v>722</v>
      </c>
      <c r="N433" s="34" t="s">
        <v>1784</v>
      </c>
      <c r="O433" s="35">
        <v>1</v>
      </c>
      <c r="P433" s="35"/>
      <c r="Q433" s="32"/>
      <c r="S433" s="1">
        <f t="shared" si="135"/>
        <v>0</v>
      </c>
      <c r="T433" s="1">
        <f t="shared" si="136"/>
        <v>0</v>
      </c>
      <c r="U433" s="1">
        <f t="shared" si="137"/>
        <v>0</v>
      </c>
      <c r="V433" s="1">
        <f t="shared" si="138"/>
        <v>0</v>
      </c>
      <c r="W433" s="1">
        <f t="shared" si="139"/>
        <v>0</v>
      </c>
      <c r="X433" s="1">
        <f t="shared" si="140"/>
        <v>0</v>
      </c>
      <c r="Y433" s="1">
        <f t="shared" si="141"/>
        <v>0</v>
      </c>
      <c r="Z433" s="1">
        <f t="shared" si="142"/>
        <v>0</v>
      </c>
      <c r="AA433" s="1">
        <f t="shared" si="143"/>
        <v>0</v>
      </c>
      <c r="AB433" s="1">
        <f t="shared" si="144"/>
        <v>0</v>
      </c>
      <c r="AD433" s="1">
        <f t="shared" si="145"/>
        <v>0</v>
      </c>
      <c r="AE433" s="1">
        <f t="shared" si="146"/>
        <v>1</v>
      </c>
      <c r="AF433" s="1">
        <f t="shared" si="147"/>
        <v>0</v>
      </c>
      <c r="AG433" s="1">
        <f t="shared" si="148"/>
        <v>1</v>
      </c>
      <c r="AH433" s="1">
        <f t="shared" si="149"/>
        <v>0</v>
      </c>
      <c r="AI433" s="1">
        <f t="shared" si="150"/>
        <v>1</v>
      </c>
    </row>
    <row r="434" spans="1:35" ht="14.25" customHeight="1" x14ac:dyDescent="0.25">
      <c r="A434" s="44">
        <v>0</v>
      </c>
      <c r="B434" s="44">
        <v>2</v>
      </c>
      <c r="C434" s="44">
        <v>7</v>
      </c>
      <c r="D434" s="45" t="s">
        <v>1043</v>
      </c>
      <c r="E434" s="45" t="s">
        <v>28</v>
      </c>
      <c r="F434" s="45" t="s">
        <v>1044</v>
      </c>
      <c r="G434" s="45" t="s">
        <v>1045</v>
      </c>
      <c r="H434" s="45" t="s">
        <v>352</v>
      </c>
      <c r="I434" s="44" t="s">
        <v>1046</v>
      </c>
      <c r="J434" s="44">
        <v>99</v>
      </c>
      <c r="K434" s="46" t="s">
        <v>704</v>
      </c>
      <c r="L434" s="46" t="s">
        <v>704</v>
      </c>
      <c r="M434" s="47" t="s">
        <v>722</v>
      </c>
      <c r="N434" s="47" t="s">
        <v>1761</v>
      </c>
      <c r="O434" s="48"/>
      <c r="P434" s="48"/>
      <c r="Q434" s="45"/>
      <c r="S434" s="1">
        <f t="shared" si="135"/>
        <v>0</v>
      </c>
      <c r="T434" s="1">
        <f t="shared" si="136"/>
        <v>0</v>
      </c>
      <c r="U434" s="1">
        <f t="shared" si="137"/>
        <v>0</v>
      </c>
      <c r="V434" s="1">
        <f t="shared" si="138"/>
        <v>0</v>
      </c>
      <c r="W434" s="1">
        <f t="shared" si="139"/>
        <v>0</v>
      </c>
      <c r="X434" s="1">
        <f t="shared" si="140"/>
        <v>0</v>
      </c>
      <c r="Y434" s="1">
        <f t="shared" si="141"/>
        <v>0</v>
      </c>
      <c r="Z434" s="1">
        <f t="shared" si="142"/>
        <v>0</v>
      </c>
      <c r="AA434" s="1">
        <f t="shared" si="143"/>
        <v>0</v>
      </c>
      <c r="AB434" s="1">
        <f t="shared" si="144"/>
        <v>0</v>
      </c>
      <c r="AD434" s="1">
        <f t="shared" si="145"/>
        <v>0</v>
      </c>
      <c r="AE434" s="1">
        <f t="shared" si="146"/>
        <v>0</v>
      </c>
      <c r="AF434" s="1">
        <f t="shared" si="147"/>
        <v>0</v>
      </c>
      <c r="AG434" s="1">
        <f t="shared" si="148"/>
        <v>0</v>
      </c>
      <c r="AH434" s="1">
        <f t="shared" si="149"/>
        <v>0</v>
      </c>
      <c r="AI434" s="1">
        <f t="shared" si="150"/>
        <v>1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1765</v>
      </c>
      <c r="E435" s="32" t="s">
        <v>155</v>
      </c>
      <c r="F435" s="32" t="s">
        <v>1766</v>
      </c>
      <c r="G435" s="32"/>
      <c r="H435" s="32" t="s">
        <v>352</v>
      </c>
      <c r="I435" s="31" t="s">
        <v>1767</v>
      </c>
      <c r="J435" s="31">
        <v>99</v>
      </c>
      <c r="K435" s="33" t="s">
        <v>694</v>
      </c>
      <c r="L435" s="33"/>
      <c r="M435" s="34"/>
      <c r="N435" s="34" t="s">
        <v>1693</v>
      </c>
      <c r="O435" s="35">
        <v>1</v>
      </c>
      <c r="P435" s="35">
        <v>1</v>
      </c>
      <c r="Q435" s="32"/>
      <c r="S435" s="1">
        <f t="shared" si="135"/>
        <v>0</v>
      </c>
      <c r="T435" s="1">
        <f t="shared" si="136"/>
        <v>0</v>
      </c>
      <c r="U435" s="1">
        <f t="shared" si="137"/>
        <v>0</v>
      </c>
      <c r="V435" s="1">
        <f t="shared" si="138"/>
        <v>0</v>
      </c>
      <c r="W435" s="1">
        <f t="shared" si="139"/>
        <v>0</v>
      </c>
      <c r="X435" s="1">
        <f t="shared" si="140"/>
        <v>0</v>
      </c>
      <c r="Y435" s="1">
        <f t="shared" si="141"/>
        <v>0</v>
      </c>
      <c r="Z435" s="1">
        <f t="shared" si="142"/>
        <v>0</v>
      </c>
      <c r="AA435" s="1">
        <f t="shared" si="143"/>
        <v>0</v>
      </c>
      <c r="AB435" s="1">
        <f t="shared" si="144"/>
        <v>0</v>
      </c>
      <c r="AD435" s="1">
        <f t="shared" si="145"/>
        <v>1</v>
      </c>
      <c r="AE435" s="1">
        <f t="shared" si="146"/>
        <v>0</v>
      </c>
      <c r="AF435" s="1">
        <f t="shared" si="147"/>
        <v>1</v>
      </c>
      <c r="AG435" s="1">
        <f t="shared" si="148"/>
        <v>0</v>
      </c>
      <c r="AH435" s="1">
        <f t="shared" si="149"/>
        <v>1</v>
      </c>
      <c r="AI435" s="1">
        <f t="shared" si="150"/>
        <v>0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1156</v>
      </c>
      <c r="E436" s="32" t="s">
        <v>155</v>
      </c>
      <c r="F436" s="32" t="s">
        <v>1157</v>
      </c>
      <c r="G436" s="32" t="s">
        <v>291</v>
      </c>
      <c r="H436" s="32" t="s">
        <v>352</v>
      </c>
      <c r="I436" s="31" t="s">
        <v>1158</v>
      </c>
      <c r="J436" s="31">
        <v>99</v>
      </c>
      <c r="K436" s="33" t="s">
        <v>704</v>
      </c>
      <c r="L436" s="33" t="s">
        <v>713</v>
      </c>
      <c r="M436" s="34" t="s">
        <v>1404</v>
      </c>
      <c r="N436" s="34" t="s">
        <v>1708</v>
      </c>
      <c r="O436" s="35">
        <v>1</v>
      </c>
      <c r="P436" s="35"/>
      <c r="Q436" s="32"/>
      <c r="S436" s="1">
        <f t="shared" si="135"/>
        <v>0</v>
      </c>
      <c r="T436" s="1">
        <f t="shared" si="136"/>
        <v>0</v>
      </c>
      <c r="U436" s="1">
        <f t="shared" si="137"/>
        <v>0</v>
      </c>
      <c r="V436" s="1">
        <f t="shared" si="138"/>
        <v>0</v>
      </c>
      <c r="W436" s="1">
        <f t="shared" si="139"/>
        <v>0</v>
      </c>
      <c r="X436" s="1">
        <f t="shared" si="140"/>
        <v>0</v>
      </c>
      <c r="Y436" s="1">
        <f t="shared" si="141"/>
        <v>0</v>
      </c>
      <c r="Z436" s="1">
        <f t="shared" si="142"/>
        <v>0</v>
      </c>
      <c r="AA436" s="1">
        <f t="shared" si="143"/>
        <v>0</v>
      </c>
      <c r="AB436" s="1">
        <f t="shared" si="144"/>
        <v>0</v>
      </c>
      <c r="AD436" s="1">
        <f t="shared" si="145"/>
        <v>0</v>
      </c>
      <c r="AE436" s="1">
        <f t="shared" si="146"/>
        <v>1</v>
      </c>
      <c r="AF436" s="1">
        <f t="shared" si="147"/>
        <v>0</v>
      </c>
      <c r="AG436" s="1">
        <f t="shared" si="148"/>
        <v>1</v>
      </c>
      <c r="AH436" s="1">
        <f t="shared" si="149"/>
        <v>0</v>
      </c>
      <c r="AI436" s="1">
        <f t="shared" si="150"/>
        <v>1</v>
      </c>
    </row>
    <row r="437" spans="1:35" ht="14.25" customHeight="1" x14ac:dyDescent="0.25">
      <c r="A437" s="31">
        <v>0</v>
      </c>
      <c r="B437" s="31">
        <v>2</v>
      </c>
      <c r="C437" s="31">
        <v>7</v>
      </c>
      <c r="D437" s="36" t="s">
        <v>2134</v>
      </c>
      <c r="E437" s="32" t="s">
        <v>155</v>
      </c>
      <c r="F437" s="32" t="s">
        <v>1959</v>
      </c>
      <c r="G437" s="32" t="s">
        <v>281</v>
      </c>
      <c r="H437" s="32" t="s">
        <v>352</v>
      </c>
      <c r="I437" s="31" t="s">
        <v>1960</v>
      </c>
      <c r="J437" s="31">
        <v>99</v>
      </c>
      <c r="K437" s="33" t="s">
        <v>694</v>
      </c>
      <c r="L437" s="33" t="s">
        <v>713</v>
      </c>
      <c r="M437" s="34" t="s">
        <v>723</v>
      </c>
      <c r="N437" s="34" t="s">
        <v>1693</v>
      </c>
      <c r="O437" s="35">
        <v>1</v>
      </c>
      <c r="P437" s="35">
        <v>1</v>
      </c>
      <c r="Q437" s="32"/>
      <c r="S437" s="1">
        <f t="shared" si="135"/>
        <v>0</v>
      </c>
      <c r="T437" s="1">
        <f t="shared" si="136"/>
        <v>0</v>
      </c>
      <c r="U437" s="1">
        <f t="shared" si="137"/>
        <v>0</v>
      </c>
      <c r="V437" s="1">
        <f t="shared" si="138"/>
        <v>0</v>
      </c>
      <c r="W437" s="1">
        <f t="shared" si="139"/>
        <v>0</v>
      </c>
      <c r="X437" s="1">
        <f t="shared" si="140"/>
        <v>0</v>
      </c>
      <c r="Y437" s="1">
        <f t="shared" si="141"/>
        <v>0</v>
      </c>
      <c r="Z437" s="1">
        <f t="shared" si="142"/>
        <v>0</v>
      </c>
      <c r="AA437" s="1">
        <f t="shared" si="143"/>
        <v>0</v>
      </c>
      <c r="AB437" s="1">
        <f t="shared" si="144"/>
        <v>0</v>
      </c>
      <c r="AD437" s="1">
        <f t="shared" si="145"/>
        <v>1</v>
      </c>
      <c r="AE437" s="1">
        <f t="shared" si="146"/>
        <v>0</v>
      </c>
      <c r="AF437" s="1">
        <f t="shared" si="147"/>
        <v>1</v>
      </c>
      <c r="AG437" s="1">
        <f t="shared" si="148"/>
        <v>0</v>
      </c>
      <c r="AH437" s="1">
        <f t="shared" si="149"/>
        <v>1</v>
      </c>
      <c r="AI437" s="1">
        <f t="shared" si="150"/>
        <v>0</v>
      </c>
    </row>
    <row r="438" spans="1:35" ht="14.25" customHeight="1" x14ac:dyDescent="0.25">
      <c r="A438" s="31">
        <v>1</v>
      </c>
      <c r="B438" s="31">
        <v>2</v>
      </c>
      <c r="C438" s="31">
        <v>7</v>
      </c>
      <c r="D438" s="36" t="s">
        <v>2134</v>
      </c>
      <c r="E438" s="32" t="s">
        <v>155</v>
      </c>
      <c r="F438" s="32" t="s">
        <v>1961</v>
      </c>
      <c r="G438" s="32" t="s">
        <v>1962</v>
      </c>
      <c r="H438" s="32" t="s">
        <v>352</v>
      </c>
      <c r="I438" s="31" t="s">
        <v>1963</v>
      </c>
      <c r="J438" s="31">
        <v>99</v>
      </c>
      <c r="K438" s="33" t="s">
        <v>694</v>
      </c>
      <c r="L438" s="33" t="s">
        <v>713</v>
      </c>
      <c r="M438" s="34" t="s">
        <v>723</v>
      </c>
      <c r="N438" s="34" t="s">
        <v>1693</v>
      </c>
      <c r="O438" s="35">
        <v>1</v>
      </c>
      <c r="P438" s="35">
        <v>1</v>
      </c>
      <c r="Q438" s="32"/>
      <c r="S438" s="1">
        <f t="shared" si="135"/>
        <v>0</v>
      </c>
      <c r="T438" s="1">
        <f t="shared" si="136"/>
        <v>0</v>
      </c>
      <c r="U438" s="1">
        <f t="shared" si="137"/>
        <v>0</v>
      </c>
      <c r="V438" s="1">
        <f t="shared" si="138"/>
        <v>0</v>
      </c>
      <c r="W438" s="1">
        <f t="shared" si="139"/>
        <v>0</v>
      </c>
      <c r="X438" s="1">
        <f t="shared" si="140"/>
        <v>0</v>
      </c>
      <c r="Y438" s="1">
        <f t="shared" si="141"/>
        <v>0</v>
      </c>
      <c r="Z438" s="1">
        <f t="shared" si="142"/>
        <v>0</v>
      </c>
      <c r="AA438" s="1">
        <f t="shared" si="143"/>
        <v>0</v>
      </c>
      <c r="AB438" s="1">
        <f t="shared" si="144"/>
        <v>0</v>
      </c>
      <c r="AD438" s="1">
        <f t="shared" si="145"/>
        <v>1</v>
      </c>
      <c r="AE438" s="1">
        <f t="shared" si="146"/>
        <v>0</v>
      </c>
      <c r="AF438" s="1">
        <f t="shared" si="147"/>
        <v>0</v>
      </c>
      <c r="AG438" s="1">
        <f t="shared" si="148"/>
        <v>0</v>
      </c>
      <c r="AH438" s="1">
        <f t="shared" si="149"/>
        <v>0</v>
      </c>
      <c r="AI438" s="1">
        <f t="shared" si="150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1131</v>
      </c>
      <c r="E439" s="32" t="s">
        <v>1132</v>
      </c>
      <c r="F439" s="36" t="s">
        <v>1836</v>
      </c>
      <c r="G439" s="32" t="s">
        <v>620</v>
      </c>
      <c r="H439" s="32" t="s">
        <v>352</v>
      </c>
      <c r="I439" s="31" t="s">
        <v>1133</v>
      </c>
      <c r="J439" s="31">
        <v>99</v>
      </c>
      <c r="K439" s="33" t="s">
        <v>704</v>
      </c>
      <c r="L439" s="33" t="s">
        <v>704</v>
      </c>
      <c r="M439" s="34" t="s">
        <v>722</v>
      </c>
      <c r="N439" s="34" t="s">
        <v>1704</v>
      </c>
      <c r="O439" s="35">
        <v>1</v>
      </c>
      <c r="P439" s="35"/>
      <c r="Q439" s="36" t="s">
        <v>1856</v>
      </c>
      <c r="S439" s="1">
        <f t="shared" si="135"/>
        <v>0</v>
      </c>
      <c r="T439" s="1">
        <f t="shared" si="136"/>
        <v>0</v>
      </c>
      <c r="U439" s="1">
        <f t="shared" si="137"/>
        <v>0</v>
      </c>
      <c r="V439" s="1">
        <f t="shared" si="138"/>
        <v>0</v>
      </c>
      <c r="W439" s="1">
        <f t="shared" si="139"/>
        <v>0</v>
      </c>
      <c r="X439" s="1">
        <f t="shared" si="140"/>
        <v>0</v>
      </c>
      <c r="Y439" s="1">
        <f t="shared" si="141"/>
        <v>0</v>
      </c>
      <c r="Z439" s="1">
        <f t="shared" si="142"/>
        <v>0</v>
      </c>
      <c r="AA439" s="1">
        <f t="shared" si="143"/>
        <v>0</v>
      </c>
      <c r="AB439" s="1">
        <f t="shared" si="144"/>
        <v>0</v>
      </c>
      <c r="AD439" s="1">
        <f t="shared" si="145"/>
        <v>0</v>
      </c>
      <c r="AE439" s="1">
        <f t="shared" si="146"/>
        <v>1</v>
      </c>
      <c r="AF439" s="1">
        <f t="shared" si="147"/>
        <v>0</v>
      </c>
      <c r="AG439" s="1">
        <f t="shared" si="148"/>
        <v>1</v>
      </c>
      <c r="AH439" s="1">
        <f t="shared" si="149"/>
        <v>0</v>
      </c>
      <c r="AI439" s="1">
        <f t="shared" si="150"/>
        <v>1</v>
      </c>
    </row>
    <row r="440" spans="1:35" ht="14.25" customHeight="1" x14ac:dyDescent="0.25">
      <c r="A440" s="31">
        <v>0</v>
      </c>
      <c r="B440" s="31">
        <v>2</v>
      </c>
      <c r="C440" s="31">
        <v>7</v>
      </c>
      <c r="D440" s="32" t="s">
        <v>538</v>
      </c>
      <c r="E440" s="32" t="s">
        <v>157</v>
      </c>
      <c r="F440" s="32" t="s">
        <v>194</v>
      </c>
      <c r="G440" s="32" t="s">
        <v>195</v>
      </c>
      <c r="H440" s="32" t="s">
        <v>352</v>
      </c>
      <c r="I440" s="31" t="s">
        <v>546</v>
      </c>
      <c r="J440" s="31">
        <v>99</v>
      </c>
      <c r="K440" s="33" t="s">
        <v>936</v>
      </c>
      <c r="L440" s="33" t="s">
        <v>687</v>
      </c>
      <c r="M440" s="34" t="s">
        <v>1406</v>
      </c>
      <c r="N440" s="34" t="s">
        <v>1708</v>
      </c>
      <c r="O440" s="35">
        <v>1</v>
      </c>
      <c r="P440" s="35"/>
      <c r="Q440" s="32"/>
      <c r="S440" s="1">
        <f t="shared" si="135"/>
        <v>0</v>
      </c>
      <c r="T440" s="1">
        <f t="shared" si="136"/>
        <v>0</v>
      </c>
      <c r="U440" s="1">
        <f t="shared" si="137"/>
        <v>0</v>
      </c>
      <c r="V440" s="1">
        <f t="shared" si="138"/>
        <v>0</v>
      </c>
      <c r="W440" s="1">
        <f t="shared" si="139"/>
        <v>0</v>
      </c>
      <c r="X440" s="1">
        <f t="shared" si="140"/>
        <v>0</v>
      </c>
      <c r="Y440" s="1">
        <f t="shared" si="141"/>
        <v>0</v>
      </c>
      <c r="Z440" s="1">
        <f t="shared" si="142"/>
        <v>0</v>
      </c>
      <c r="AA440" s="1">
        <f t="shared" si="143"/>
        <v>0</v>
      </c>
      <c r="AB440" s="1">
        <f t="shared" si="144"/>
        <v>0</v>
      </c>
      <c r="AD440" s="1">
        <f t="shared" si="145"/>
        <v>0</v>
      </c>
      <c r="AE440" s="1">
        <f t="shared" si="146"/>
        <v>1</v>
      </c>
      <c r="AF440" s="1">
        <f t="shared" si="147"/>
        <v>0</v>
      </c>
      <c r="AG440" s="1">
        <f t="shared" si="148"/>
        <v>1</v>
      </c>
      <c r="AH440" s="1">
        <f t="shared" si="149"/>
        <v>0</v>
      </c>
      <c r="AI440" s="1">
        <f t="shared" si="150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46</v>
      </c>
      <c r="E441" s="32" t="s">
        <v>155</v>
      </c>
      <c r="F441" s="32" t="s">
        <v>182</v>
      </c>
      <c r="G441" s="32" t="s">
        <v>178</v>
      </c>
      <c r="H441" s="32" t="s">
        <v>352</v>
      </c>
      <c r="I441" s="31" t="s">
        <v>380</v>
      </c>
      <c r="J441" s="31">
        <v>10</v>
      </c>
      <c r="K441" s="33" t="s">
        <v>936</v>
      </c>
      <c r="L441" s="33" t="s">
        <v>713</v>
      </c>
      <c r="M441" s="34" t="s">
        <v>1404</v>
      </c>
      <c r="N441" s="34" t="s">
        <v>1808</v>
      </c>
      <c r="O441" s="35">
        <v>1</v>
      </c>
      <c r="P441" s="35"/>
      <c r="Q441" s="32"/>
      <c r="S441" s="1">
        <f t="shared" si="135"/>
        <v>0</v>
      </c>
      <c r="T441" s="1">
        <f t="shared" si="136"/>
        <v>0</v>
      </c>
      <c r="U441" s="1">
        <f t="shared" si="137"/>
        <v>0</v>
      </c>
      <c r="V441" s="1">
        <f t="shared" si="138"/>
        <v>0</v>
      </c>
      <c r="W441" s="1">
        <f t="shared" si="139"/>
        <v>0</v>
      </c>
      <c r="X441" s="1">
        <f t="shared" si="140"/>
        <v>0</v>
      </c>
      <c r="Y441" s="1">
        <f t="shared" si="141"/>
        <v>0</v>
      </c>
      <c r="Z441" s="1">
        <f t="shared" si="142"/>
        <v>0</v>
      </c>
      <c r="AA441" s="1">
        <f t="shared" si="143"/>
        <v>0</v>
      </c>
      <c r="AB441" s="1">
        <f t="shared" si="144"/>
        <v>1</v>
      </c>
      <c r="AD441" s="1">
        <f t="shared" si="145"/>
        <v>0</v>
      </c>
      <c r="AE441" s="1">
        <f t="shared" si="146"/>
        <v>1</v>
      </c>
      <c r="AF441" s="1">
        <f t="shared" si="147"/>
        <v>0</v>
      </c>
      <c r="AG441" s="1">
        <f t="shared" si="148"/>
        <v>1</v>
      </c>
      <c r="AH441" s="1">
        <f t="shared" si="149"/>
        <v>0</v>
      </c>
      <c r="AI441" s="1">
        <f t="shared" si="150"/>
        <v>1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247</v>
      </c>
      <c r="G442" s="32" t="s">
        <v>248</v>
      </c>
      <c r="H442" s="32" t="s">
        <v>352</v>
      </c>
      <c r="I442" s="31" t="s">
        <v>409</v>
      </c>
      <c r="J442" s="31">
        <v>7</v>
      </c>
      <c r="K442" s="33" t="s">
        <v>704</v>
      </c>
      <c r="L442" s="33" t="s">
        <v>704</v>
      </c>
      <c r="M442" s="34" t="s">
        <v>722</v>
      </c>
      <c r="N442" s="34" t="s">
        <v>1709</v>
      </c>
      <c r="O442" s="35">
        <v>1</v>
      </c>
      <c r="P442" s="35"/>
      <c r="Q442" s="32"/>
      <c r="S442" s="1">
        <f t="shared" si="135"/>
        <v>0</v>
      </c>
      <c r="T442" s="1">
        <f t="shared" si="136"/>
        <v>0</v>
      </c>
      <c r="U442" s="1">
        <f t="shared" si="137"/>
        <v>0</v>
      </c>
      <c r="V442" s="1">
        <f t="shared" si="138"/>
        <v>0</v>
      </c>
      <c r="W442" s="1">
        <f t="shared" si="139"/>
        <v>0</v>
      </c>
      <c r="X442" s="1">
        <f t="shared" si="140"/>
        <v>0</v>
      </c>
      <c r="Y442" s="1">
        <f t="shared" si="141"/>
        <v>1</v>
      </c>
      <c r="Z442" s="1">
        <f t="shared" si="142"/>
        <v>0</v>
      </c>
      <c r="AA442" s="1">
        <f t="shared" si="143"/>
        <v>0</v>
      </c>
      <c r="AB442" s="1">
        <f t="shared" si="144"/>
        <v>0</v>
      </c>
      <c r="AD442" s="1">
        <f t="shared" si="145"/>
        <v>0</v>
      </c>
      <c r="AE442" s="1">
        <f t="shared" si="146"/>
        <v>1</v>
      </c>
      <c r="AF442" s="1">
        <f t="shared" si="147"/>
        <v>0</v>
      </c>
      <c r="AG442" s="1">
        <f t="shared" si="148"/>
        <v>1</v>
      </c>
      <c r="AH442" s="1">
        <f t="shared" si="149"/>
        <v>0</v>
      </c>
      <c r="AI442" s="1">
        <f t="shared" si="150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1020</v>
      </c>
      <c r="G443" s="32" t="s">
        <v>535</v>
      </c>
      <c r="H443" s="32" t="s">
        <v>352</v>
      </c>
      <c r="I443" s="31" t="s">
        <v>30</v>
      </c>
      <c r="J443" s="31">
        <v>1</v>
      </c>
      <c r="K443" s="33" t="s">
        <v>704</v>
      </c>
      <c r="L443" s="33" t="s">
        <v>704</v>
      </c>
      <c r="M443" s="34" t="s">
        <v>722</v>
      </c>
      <c r="N443" s="34" t="s">
        <v>1709</v>
      </c>
      <c r="O443" s="35">
        <v>1</v>
      </c>
      <c r="P443" s="35"/>
      <c r="Q443" s="32"/>
      <c r="S443" s="1">
        <f t="shared" si="135"/>
        <v>1</v>
      </c>
      <c r="T443" s="1">
        <f t="shared" si="136"/>
        <v>0</v>
      </c>
      <c r="U443" s="1">
        <f t="shared" si="137"/>
        <v>0</v>
      </c>
      <c r="V443" s="1">
        <f t="shared" si="138"/>
        <v>0</v>
      </c>
      <c r="W443" s="1">
        <f t="shared" si="139"/>
        <v>0</v>
      </c>
      <c r="X443" s="1">
        <f t="shared" si="140"/>
        <v>0</v>
      </c>
      <c r="Y443" s="1">
        <f t="shared" si="141"/>
        <v>0</v>
      </c>
      <c r="Z443" s="1">
        <f t="shared" si="142"/>
        <v>0</v>
      </c>
      <c r="AA443" s="1">
        <f t="shared" si="143"/>
        <v>0</v>
      </c>
      <c r="AB443" s="1">
        <f t="shared" si="144"/>
        <v>0</v>
      </c>
      <c r="AD443" s="1">
        <f t="shared" si="145"/>
        <v>0</v>
      </c>
      <c r="AE443" s="1">
        <f t="shared" si="146"/>
        <v>1</v>
      </c>
      <c r="AF443" s="1">
        <f t="shared" si="147"/>
        <v>0</v>
      </c>
      <c r="AG443" s="1">
        <f t="shared" si="148"/>
        <v>0</v>
      </c>
      <c r="AH443" s="1">
        <f t="shared" si="149"/>
        <v>0</v>
      </c>
      <c r="AI443" s="1">
        <f t="shared" si="150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249</v>
      </c>
      <c r="G444" s="32" t="s">
        <v>199</v>
      </c>
      <c r="H444" s="32" t="s">
        <v>352</v>
      </c>
      <c r="I444" s="31" t="s">
        <v>410</v>
      </c>
      <c r="J444" s="31">
        <v>2</v>
      </c>
      <c r="K444" s="33" t="s">
        <v>704</v>
      </c>
      <c r="L444" s="33" t="s">
        <v>704</v>
      </c>
      <c r="M444" s="34" t="s">
        <v>722</v>
      </c>
      <c r="N444" s="34" t="s">
        <v>1709</v>
      </c>
      <c r="O444" s="35">
        <v>1</v>
      </c>
      <c r="P444" s="35"/>
      <c r="Q444" s="32"/>
      <c r="S444" s="1">
        <f t="shared" si="135"/>
        <v>0</v>
      </c>
      <c r="T444" s="1">
        <f t="shared" si="136"/>
        <v>1</v>
      </c>
      <c r="U444" s="1">
        <f t="shared" si="137"/>
        <v>0</v>
      </c>
      <c r="V444" s="1">
        <f t="shared" si="138"/>
        <v>0</v>
      </c>
      <c r="W444" s="1">
        <f t="shared" si="139"/>
        <v>0</v>
      </c>
      <c r="X444" s="1">
        <f t="shared" si="140"/>
        <v>0</v>
      </c>
      <c r="Y444" s="1">
        <f t="shared" si="141"/>
        <v>0</v>
      </c>
      <c r="Z444" s="1">
        <f t="shared" si="142"/>
        <v>0</v>
      </c>
      <c r="AA444" s="1">
        <f t="shared" si="143"/>
        <v>0</v>
      </c>
      <c r="AB444" s="1">
        <f t="shared" si="144"/>
        <v>0</v>
      </c>
      <c r="AD444" s="1">
        <f t="shared" si="145"/>
        <v>0</v>
      </c>
      <c r="AE444" s="1">
        <f t="shared" si="146"/>
        <v>1</v>
      </c>
      <c r="AF444" s="1">
        <f t="shared" si="147"/>
        <v>0</v>
      </c>
      <c r="AG444" s="1">
        <f t="shared" si="148"/>
        <v>0</v>
      </c>
      <c r="AH444" s="1">
        <f t="shared" si="149"/>
        <v>0</v>
      </c>
      <c r="AI444" s="1">
        <f t="shared" si="150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246</v>
      </c>
      <c r="G445" s="32" t="s">
        <v>1324</v>
      </c>
      <c r="H445" s="32" t="s">
        <v>352</v>
      </c>
      <c r="I445" s="31" t="s">
        <v>30</v>
      </c>
      <c r="J445" s="31">
        <v>1</v>
      </c>
      <c r="K445" s="33" t="s">
        <v>704</v>
      </c>
      <c r="L445" s="33" t="s">
        <v>704</v>
      </c>
      <c r="M445" s="34" t="s">
        <v>722</v>
      </c>
      <c r="N445" s="34" t="s">
        <v>1709</v>
      </c>
      <c r="O445" s="35">
        <v>1</v>
      </c>
      <c r="P445" s="35"/>
      <c r="Q445" s="32" t="s">
        <v>1875</v>
      </c>
      <c r="S445" s="1">
        <f t="shared" si="135"/>
        <v>1</v>
      </c>
      <c r="T445" s="1">
        <f t="shared" si="136"/>
        <v>0</v>
      </c>
      <c r="U445" s="1">
        <f t="shared" si="137"/>
        <v>0</v>
      </c>
      <c r="V445" s="1">
        <f t="shared" si="138"/>
        <v>0</v>
      </c>
      <c r="W445" s="1">
        <f t="shared" si="139"/>
        <v>0</v>
      </c>
      <c r="X445" s="1">
        <f t="shared" si="140"/>
        <v>0</v>
      </c>
      <c r="Y445" s="1">
        <f t="shared" si="141"/>
        <v>0</v>
      </c>
      <c r="Z445" s="1">
        <f t="shared" si="142"/>
        <v>0</v>
      </c>
      <c r="AA445" s="1">
        <f t="shared" si="143"/>
        <v>0</v>
      </c>
      <c r="AB445" s="1">
        <f t="shared" si="144"/>
        <v>0</v>
      </c>
      <c r="AD445" s="1">
        <f t="shared" si="145"/>
        <v>0</v>
      </c>
      <c r="AE445" s="1">
        <f t="shared" si="146"/>
        <v>1</v>
      </c>
      <c r="AF445" s="1">
        <f t="shared" si="147"/>
        <v>0</v>
      </c>
      <c r="AG445" s="1">
        <f t="shared" si="148"/>
        <v>0</v>
      </c>
      <c r="AH445" s="1">
        <f t="shared" si="149"/>
        <v>0</v>
      </c>
      <c r="AI445" s="1">
        <f t="shared" si="150"/>
        <v>0</v>
      </c>
    </row>
    <row r="446" spans="1:35" ht="14.25" customHeight="1" x14ac:dyDescent="0.25">
      <c r="A446" s="31">
        <v>1</v>
      </c>
      <c r="B446" s="31">
        <v>2</v>
      </c>
      <c r="C446" s="31">
        <v>7</v>
      </c>
      <c r="D446" s="32" t="s">
        <v>67</v>
      </c>
      <c r="E446" s="32" t="s">
        <v>28</v>
      </c>
      <c r="F446" s="32" t="s">
        <v>251</v>
      </c>
      <c r="G446" s="32" t="s">
        <v>193</v>
      </c>
      <c r="H446" s="32" t="s">
        <v>352</v>
      </c>
      <c r="I446" s="31" t="s">
        <v>411</v>
      </c>
      <c r="J446" s="31">
        <v>9</v>
      </c>
      <c r="K446" s="33" t="s">
        <v>704</v>
      </c>
      <c r="L446" s="33" t="s">
        <v>704</v>
      </c>
      <c r="M446" s="34" t="s">
        <v>722</v>
      </c>
      <c r="N446" s="34" t="s">
        <v>1709</v>
      </c>
      <c r="O446" s="35">
        <v>1</v>
      </c>
      <c r="P446" s="35"/>
      <c r="Q446" s="32"/>
      <c r="S446" s="1">
        <f t="shared" si="135"/>
        <v>0</v>
      </c>
      <c r="T446" s="1">
        <f t="shared" si="136"/>
        <v>0</v>
      </c>
      <c r="U446" s="1">
        <f t="shared" si="137"/>
        <v>0</v>
      </c>
      <c r="V446" s="1">
        <f t="shared" si="138"/>
        <v>0</v>
      </c>
      <c r="W446" s="1">
        <f t="shared" si="139"/>
        <v>0</v>
      </c>
      <c r="X446" s="1">
        <f t="shared" si="140"/>
        <v>0</v>
      </c>
      <c r="Y446" s="1">
        <f t="shared" si="141"/>
        <v>0</v>
      </c>
      <c r="Z446" s="1">
        <f t="shared" si="142"/>
        <v>0</v>
      </c>
      <c r="AA446" s="1">
        <f t="shared" si="143"/>
        <v>1</v>
      </c>
      <c r="AB446" s="1">
        <f t="shared" si="144"/>
        <v>0</v>
      </c>
      <c r="AD446" s="1">
        <f t="shared" si="145"/>
        <v>0</v>
      </c>
      <c r="AE446" s="1">
        <f t="shared" si="146"/>
        <v>1</v>
      </c>
      <c r="AF446" s="1">
        <f t="shared" si="147"/>
        <v>0</v>
      </c>
      <c r="AG446" s="1">
        <f t="shared" si="148"/>
        <v>0</v>
      </c>
      <c r="AH446" s="1">
        <f t="shared" si="149"/>
        <v>0</v>
      </c>
      <c r="AI446" s="1">
        <f t="shared" si="150"/>
        <v>0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1004</v>
      </c>
      <c r="E447" s="32" t="s">
        <v>28</v>
      </c>
      <c r="F447" s="32" t="s">
        <v>1005</v>
      </c>
      <c r="G447" s="32" t="s">
        <v>193</v>
      </c>
      <c r="H447" s="32" t="s">
        <v>352</v>
      </c>
      <c r="I447" s="31" t="s">
        <v>1006</v>
      </c>
      <c r="J447" s="31">
        <v>9</v>
      </c>
      <c r="K447" s="33" t="s">
        <v>703</v>
      </c>
      <c r="L447" s="33" t="s">
        <v>704</v>
      </c>
      <c r="M447" s="34" t="s">
        <v>722</v>
      </c>
      <c r="N447" s="34" t="s">
        <v>1704</v>
      </c>
      <c r="O447" s="35">
        <v>1</v>
      </c>
      <c r="P447" s="35"/>
      <c r="Q447" s="32"/>
      <c r="S447" s="1">
        <f t="shared" si="135"/>
        <v>0</v>
      </c>
      <c r="T447" s="1">
        <f t="shared" si="136"/>
        <v>0</v>
      </c>
      <c r="U447" s="1">
        <f t="shared" si="137"/>
        <v>0</v>
      </c>
      <c r="V447" s="1">
        <f t="shared" si="138"/>
        <v>0</v>
      </c>
      <c r="W447" s="1">
        <f t="shared" si="139"/>
        <v>0</v>
      </c>
      <c r="X447" s="1">
        <f t="shared" si="140"/>
        <v>0</v>
      </c>
      <c r="Y447" s="1">
        <f t="shared" si="141"/>
        <v>0</v>
      </c>
      <c r="Z447" s="1">
        <f t="shared" si="142"/>
        <v>0</v>
      </c>
      <c r="AA447" s="1">
        <f t="shared" si="143"/>
        <v>1</v>
      </c>
      <c r="AB447" s="1">
        <f t="shared" si="144"/>
        <v>0</v>
      </c>
      <c r="AD447" s="1">
        <f t="shared" si="145"/>
        <v>0</v>
      </c>
      <c r="AE447" s="1">
        <f t="shared" si="146"/>
        <v>1</v>
      </c>
      <c r="AF447" s="1">
        <f t="shared" si="147"/>
        <v>0</v>
      </c>
      <c r="AG447" s="1">
        <f t="shared" si="148"/>
        <v>1</v>
      </c>
      <c r="AH447" s="1">
        <f t="shared" si="149"/>
        <v>0</v>
      </c>
      <c r="AI447" s="1">
        <f t="shared" si="150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1792</v>
      </c>
      <c r="E448" s="32" t="s">
        <v>1793</v>
      </c>
      <c r="F448" s="32" t="s">
        <v>1794</v>
      </c>
      <c r="G448" s="32" t="s">
        <v>206</v>
      </c>
      <c r="H448" s="32" t="s">
        <v>352</v>
      </c>
      <c r="I448" s="31" t="s">
        <v>30</v>
      </c>
      <c r="J448" s="31"/>
      <c r="K448" s="33" t="s">
        <v>694</v>
      </c>
      <c r="L448" s="33">
        <v>20</v>
      </c>
      <c r="M448" s="34" t="s">
        <v>1795</v>
      </c>
      <c r="N448" s="34" t="s">
        <v>1704</v>
      </c>
      <c r="O448" s="35">
        <v>1</v>
      </c>
      <c r="P448" s="35"/>
      <c r="Q448" s="32"/>
      <c r="S448" s="1">
        <f t="shared" si="135"/>
        <v>0</v>
      </c>
      <c r="T448" s="1">
        <f t="shared" si="136"/>
        <v>0</v>
      </c>
      <c r="U448" s="1">
        <f t="shared" si="137"/>
        <v>0</v>
      </c>
      <c r="V448" s="1">
        <f t="shared" si="138"/>
        <v>0</v>
      </c>
      <c r="W448" s="1">
        <f t="shared" si="139"/>
        <v>0</v>
      </c>
      <c r="X448" s="1">
        <f t="shared" si="140"/>
        <v>0</v>
      </c>
      <c r="Y448" s="1">
        <f t="shared" si="141"/>
        <v>0</v>
      </c>
      <c r="Z448" s="1">
        <f t="shared" si="142"/>
        <v>0</v>
      </c>
      <c r="AA448" s="1">
        <f t="shared" si="143"/>
        <v>0</v>
      </c>
      <c r="AB448" s="1">
        <f t="shared" si="144"/>
        <v>0</v>
      </c>
      <c r="AD448" s="1">
        <f t="shared" si="145"/>
        <v>0</v>
      </c>
      <c r="AE448" s="1">
        <f t="shared" si="146"/>
        <v>1</v>
      </c>
      <c r="AF448" s="1">
        <f t="shared" si="147"/>
        <v>0</v>
      </c>
      <c r="AG448" s="1">
        <f t="shared" si="148"/>
        <v>1</v>
      </c>
      <c r="AH448" s="1">
        <f t="shared" si="149"/>
        <v>0</v>
      </c>
      <c r="AI448" s="1">
        <f t="shared" si="150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1060</v>
      </c>
      <c r="E449" s="32" t="s">
        <v>540</v>
      </c>
      <c r="F449" s="32" t="s">
        <v>1041</v>
      </c>
      <c r="G449" s="32" t="s">
        <v>237</v>
      </c>
      <c r="H449" s="32" t="s">
        <v>352</v>
      </c>
      <c r="I449" s="31" t="s">
        <v>1042</v>
      </c>
      <c r="J449" s="31">
        <v>99</v>
      </c>
      <c r="K449" s="33" t="s">
        <v>936</v>
      </c>
      <c r="L449" s="33" t="s">
        <v>713</v>
      </c>
      <c r="M449" s="34" t="s">
        <v>1407</v>
      </c>
      <c r="N449" s="34" t="s">
        <v>1704</v>
      </c>
      <c r="O449" s="35">
        <v>1</v>
      </c>
      <c r="P449" s="35"/>
      <c r="Q449" s="32"/>
      <c r="S449" s="1">
        <f t="shared" si="135"/>
        <v>0</v>
      </c>
      <c r="T449" s="1">
        <f t="shared" si="136"/>
        <v>0</v>
      </c>
      <c r="U449" s="1">
        <f t="shared" si="137"/>
        <v>0</v>
      </c>
      <c r="V449" s="1">
        <f t="shared" si="138"/>
        <v>0</v>
      </c>
      <c r="W449" s="1">
        <f t="shared" si="139"/>
        <v>0</v>
      </c>
      <c r="X449" s="1">
        <f t="shared" si="140"/>
        <v>0</v>
      </c>
      <c r="Y449" s="1">
        <f t="shared" si="141"/>
        <v>0</v>
      </c>
      <c r="Z449" s="1">
        <f t="shared" si="142"/>
        <v>0</v>
      </c>
      <c r="AA449" s="1">
        <f t="shared" si="143"/>
        <v>0</v>
      </c>
      <c r="AB449" s="1">
        <f t="shared" si="144"/>
        <v>0</v>
      </c>
      <c r="AD449" s="1">
        <f t="shared" si="145"/>
        <v>0</v>
      </c>
      <c r="AE449" s="1">
        <f t="shared" si="146"/>
        <v>1</v>
      </c>
      <c r="AF449" s="1">
        <f t="shared" si="147"/>
        <v>0</v>
      </c>
      <c r="AG449" s="1">
        <f t="shared" si="148"/>
        <v>1</v>
      </c>
      <c r="AH449" s="1">
        <f t="shared" si="149"/>
        <v>0</v>
      </c>
      <c r="AI449" s="1">
        <f t="shared" si="150"/>
        <v>1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2" t="s">
        <v>1201</v>
      </c>
      <c r="E450" s="32" t="s">
        <v>155</v>
      </c>
      <c r="F450" s="32" t="s">
        <v>1202</v>
      </c>
      <c r="G450" s="32" t="s">
        <v>250</v>
      </c>
      <c r="H450" s="32" t="s">
        <v>352</v>
      </c>
      <c r="I450" s="31" t="s">
        <v>1203</v>
      </c>
      <c r="J450" s="31">
        <v>99</v>
      </c>
      <c r="K450" s="33" t="s">
        <v>704</v>
      </c>
      <c r="L450" s="33">
        <v>10</v>
      </c>
      <c r="M450" s="34" t="s">
        <v>1707</v>
      </c>
      <c r="N450" s="34" t="s">
        <v>1693</v>
      </c>
      <c r="O450" s="35">
        <v>1</v>
      </c>
      <c r="P450" s="35">
        <v>1</v>
      </c>
      <c r="Q450" s="32"/>
      <c r="S450" s="1">
        <f t="shared" si="135"/>
        <v>0</v>
      </c>
      <c r="T450" s="1">
        <f t="shared" si="136"/>
        <v>0</v>
      </c>
      <c r="U450" s="1">
        <f t="shared" si="137"/>
        <v>0</v>
      </c>
      <c r="V450" s="1">
        <f t="shared" si="138"/>
        <v>0</v>
      </c>
      <c r="W450" s="1">
        <f t="shared" si="139"/>
        <v>0</v>
      </c>
      <c r="X450" s="1">
        <f t="shared" si="140"/>
        <v>0</v>
      </c>
      <c r="Y450" s="1">
        <f t="shared" si="141"/>
        <v>0</v>
      </c>
      <c r="Z450" s="1">
        <f t="shared" si="142"/>
        <v>0</v>
      </c>
      <c r="AA450" s="1">
        <f t="shared" si="143"/>
        <v>0</v>
      </c>
      <c r="AB450" s="1">
        <f t="shared" si="144"/>
        <v>0</v>
      </c>
      <c r="AD450" s="1">
        <f t="shared" si="145"/>
        <v>1</v>
      </c>
      <c r="AE450" s="1">
        <f t="shared" si="146"/>
        <v>0</v>
      </c>
      <c r="AF450" s="1">
        <f t="shared" si="147"/>
        <v>1</v>
      </c>
      <c r="AG450" s="1">
        <f t="shared" si="148"/>
        <v>0</v>
      </c>
      <c r="AH450" s="1">
        <f t="shared" si="149"/>
        <v>1</v>
      </c>
      <c r="AI450" s="1">
        <f t="shared" si="150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6" t="s">
        <v>1762</v>
      </c>
      <c r="E451" s="36" t="s">
        <v>28</v>
      </c>
      <c r="F451" s="36" t="s">
        <v>1763</v>
      </c>
      <c r="G451" s="36" t="s">
        <v>179</v>
      </c>
      <c r="H451" s="36" t="s">
        <v>352</v>
      </c>
      <c r="I451" s="37" t="s">
        <v>1764</v>
      </c>
      <c r="J451" s="31">
        <v>10</v>
      </c>
      <c r="K451" s="33" t="s">
        <v>694</v>
      </c>
      <c r="L451" s="33">
        <v>10</v>
      </c>
      <c r="M451" s="34"/>
      <c r="N451" s="34" t="s">
        <v>1693</v>
      </c>
      <c r="O451" s="35">
        <v>1</v>
      </c>
      <c r="P451" s="35">
        <v>1</v>
      </c>
      <c r="Q451" s="36"/>
      <c r="S451" s="1">
        <f t="shared" si="135"/>
        <v>0</v>
      </c>
      <c r="T451" s="1">
        <f t="shared" si="136"/>
        <v>0</v>
      </c>
      <c r="U451" s="1">
        <f t="shared" si="137"/>
        <v>0</v>
      </c>
      <c r="V451" s="1">
        <f t="shared" si="138"/>
        <v>0</v>
      </c>
      <c r="W451" s="1">
        <f t="shared" si="139"/>
        <v>0</v>
      </c>
      <c r="X451" s="1">
        <f t="shared" si="140"/>
        <v>0</v>
      </c>
      <c r="Y451" s="1">
        <f t="shared" si="141"/>
        <v>0</v>
      </c>
      <c r="Z451" s="1">
        <f t="shared" si="142"/>
        <v>0</v>
      </c>
      <c r="AA451" s="1">
        <f t="shared" si="143"/>
        <v>0</v>
      </c>
      <c r="AB451" s="1">
        <f t="shared" si="144"/>
        <v>1</v>
      </c>
      <c r="AD451" s="1">
        <f t="shared" si="145"/>
        <v>1</v>
      </c>
      <c r="AE451" s="1">
        <f t="shared" si="146"/>
        <v>0</v>
      </c>
      <c r="AF451" s="1">
        <f t="shared" si="147"/>
        <v>1</v>
      </c>
      <c r="AG451" s="1">
        <f t="shared" si="148"/>
        <v>0</v>
      </c>
      <c r="AH451" s="1">
        <f t="shared" si="149"/>
        <v>1</v>
      </c>
      <c r="AI451" s="1">
        <f t="shared" si="150"/>
        <v>0</v>
      </c>
    </row>
    <row r="452" spans="1:35" ht="14.25" customHeight="1" x14ac:dyDescent="0.25">
      <c r="A452" s="37">
        <v>0</v>
      </c>
      <c r="B452" s="37">
        <v>2</v>
      </c>
      <c r="C452" s="37">
        <v>7</v>
      </c>
      <c r="D452" s="36" t="s">
        <v>1552</v>
      </c>
      <c r="E452" s="36" t="s">
        <v>1618</v>
      </c>
      <c r="F452" s="36" t="s">
        <v>1553</v>
      </c>
      <c r="G452" s="36" t="s">
        <v>648</v>
      </c>
      <c r="H452" s="36" t="s">
        <v>352</v>
      </c>
      <c r="I452" s="37" t="s">
        <v>1554</v>
      </c>
      <c r="J452" s="37">
        <v>99</v>
      </c>
      <c r="K452" s="33" t="s">
        <v>704</v>
      </c>
      <c r="L452" s="33" t="s">
        <v>39</v>
      </c>
      <c r="M452" s="34" t="s">
        <v>39</v>
      </c>
      <c r="N452" s="34" t="s">
        <v>1693</v>
      </c>
      <c r="O452" s="35">
        <v>1</v>
      </c>
      <c r="P452" s="35">
        <v>1</v>
      </c>
      <c r="Q452" s="36"/>
      <c r="S452" s="1">
        <f t="shared" si="135"/>
        <v>0</v>
      </c>
      <c r="T452" s="1">
        <f t="shared" si="136"/>
        <v>0</v>
      </c>
      <c r="U452" s="1">
        <f t="shared" si="137"/>
        <v>0</v>
      </c>
      <c r="V452" s="1">
        <f t="shared" si="138"/>
        <v>0</v>
      </c>
      <c r="W452" s="1">
        <f t="shared" si="139"/>
        <v>0</v>
      </c>
      <c r="X452" s="1">
        <f t="shared" si="140"/>
        <v>0</v>
      </c>
      <c r="Y452" s="1">
        <f t="shared" si="141"/>
        <v>0</v>
      </c>
      <c r="Z452" s="1">
        <f t="shared" si="142"/>
        <v>0</v>
      </c>
      <c r="AA452" s="1">
        <f t="shared" si="143"/>
        <v>0</v>
      </c>
      <c r="AB452" s="1">
        <f t="shared" si="144"/>
        <v>0</v>
      </c>
      <c r="AD452" s="1">
        <f t="shared" si="145"/>
        <v>1</v>
      </c>
      <c r="AE452" s="1">
        <f t="shared" si="146"/>
        <v>0</v>
      </c>
      <c r="AF452" s="1">
        <f t="shared" si="147"/>
        <v>1</v>
      </c>
      <c r="AG452" s="1">
        <f t="shared" si="148"/>
        <v>0</v>
      </c>
      <c r="AH452" s="1">
        <f t="shared" si="149"/>
        <v>1</v>
      </c>
      <c r="AI452" s="1">
        <f t="shared" si="150"/>
        <v>0</v>
      </c>
    </row>
    <row r="453" spans="1:35" ht="14.25" customHeight="1" x14ac:dyDescent="0.25">
      <c r="A453" s="37">
        <v>0</v>
      </c>
      <c r="B453" s="37">
        <v>2</v>
      </c>
      <c r="C453" s="37">
        <v>7</v>
      </c>
      <c r="D453" s="36" t="s">
        <v>2139</v>
      </c>
      <c r="E453" s="36" t="s">
        <v>2140</v>
      </c>
      <c r="F453" s="36" t="s">
        <v>2142</v>
      </c>
      <c r="G453" s="36" t="s">
        <v>2143</v>
      </c>
      <c r="H453" s="36" t="s">
        <v>352</v>
      </c>
      <c r="I453" s="37" t="s">
        <v>2141</v>
      </c>
      <c r="J453" s="37">
        <v>99</v>
      </c>
      <c r="K453" s="33" t="s">
        <v>694</v>
      </c>
      <c r="L453" s="33" t="s">
        <v>704</v>
      </c>
      <c r="M453" s="34" t="s">
        <v>722</v>
      </c>
      <c r="N453" s="34" t="s">
        <v>1699</v>
      </c>
      <c r="O453" s="35">
        <v>1</v>
      </c>
      <c r="P453" s="35">
        <v>1</v>
      </c>
      <c r="Q453" s="36" t="s">
        <v>2144</v>
      </c>
      <c r="S453" s="1">
        <f t="shared" si="135"/>
        <v>0</v>
      </c>
      <c r="T453" s="1">
        <f t="shared" si="136"/>
        <v>0</v>
      </c>
      <c r="U453" s="1">
        <f t="shared" si="137"/>
        <v>0</v>
      </c>
      <c r="V453" s="1">
        <f t="shared" si="138"/>
        <v>0</v>
      </c>
      <c r="W453" s="1">
        <f t="shared" si="139"/>
        <v>0</v>
      </c>
      <c r="X453" s="1">
        <f t="shared" si="140"/>
        <v>0</v>
      </c>
      <c r="Y453" s="1">
        <f t="shared" si="141"/>
        <v>0</v>
      </c>
      <c r="Z453" s="1">
        <f t="shared" si="142"/>
        <v>0</v>
      </c>
      <c r="AA453" s="1">
        <f t="shared" si="143"/>
        <v>0</v>
      </c>
      <c r="AB453" s="1">
        <f t="shared" si="144"/>
        <v>0</v>
      </c>
      <c r="AD453" s="1">
        <f t="shared" ref="AD453:AD455" si="151">+O453*P453</f>
        <v>1</v>
      </c>
      <c r="AE453" s="1">
        <f t="shared" ref="AE453:AE455" si="152">O453*(1-P453)</f>
        <v>0</v>
      </c>
      <c r="AF453" s="1">
        <f t="shared" ref="AF453:AF455" si="153">+O453*P453*(1-A453)</f>
        <v>1</v>
      </c>
      <c r="AG453" s="1">
        <f t="shared" ref="AG453:AG455" si="154">O453*(1-P453)*(1-A453)</f>
        <v>0</v>
      </c>
      <c r="AH453" s="1">
        <f t="shared" ref="AH453:AH455" si="155">+P453*(1-A453)</f>
        <v>1</v>
      </c>
      <c r="AI453" s="1">
        <f t="shared" ref="AI453:AI455" si="156">+(1-A453)*(1-P453)</f>
        <v>0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1504</v>
      </c>
      <c r="E454" s="32" t="s">
        <v>28</v>
      </c>
      <c r="F454" s="32" t="s">
        <v>1629</v>
      </c>
      <c r="G454" s="32" t="s">
        <v>285</v>
      </c>
      <c r="H454" s="32" t="s">
        <v>352</v>
      </c>
      <c r="I454" s="31" t="s">
        <v>1654</v>
      </c>
      <c r="J454" s="31">
        <v>99</v>
      </c>
      <c r="K454" s="33" t="s">
        <v>704</v>
      </c>
      <c r="L454" s="33" t="s">
        <v>704</v>
      </c>
      <c r="M454" s="34" t="s">
        <v>722</v>
      </c>
      <c r="N454" s="34" t="s">
        <v>1704</v>
      </c>
      <c r="O454" s="35">
        <v>1</v>
      </c>
      <c r="P454" s="35"/>
      <c r="Q454" s="32"/>
      <c r="S454" s="1">
        <f t="shared" si="135"/>
        <v>0</v>
      </c>
      <c r="T454" s="1">
        <f t="shared" si="136"/>
        <v>0</v>
      </c>
      <c r="U454" s="1">
        <f t="shared" si="137"/>
        <v>0</v>
      </c>
      <c r="V454" s="1">
        <f t="shared" si="138"/>
        <v>0</v>
      </c>
      <c r="W454" s="1">
        <f t="shared" si="139"/>
        <v>0</v>
      </c>
      <c r="X454" s="1">
        <f t="shared" si="140"/>
        <v>0</v>
      </c>
      <c r="Y454" s="1">
        <f t="shared" si="141"/>
        <v>0</v>
      </c>
      <c r="Z454" s="1">
        <f t="shared" si="142"/>
        <v>0</v>
      </c>
      <c r="AA454" s="1">
        <f t="shared" si="143"/>
        <v>0</v>
      </c>
      <c r="AB454" s="1">
        <f t="shared" si="144"/>
        <v>0</v>
      </c>
      <c r="AD454" s="1">
        <f t="shared" si="151"/>
        <v>0</v>
      </c>
      <c r="AE454" s="1">
        <f t="shared" si="152"/>
        <v>1</v>
      </c>
      <c r="AF454" s="1">
        <f t="shared" si="153"/>
        <v>0</v>
      </c>
      <c r="AG454" s="1">
        <f t="shared" si="154"/>
        <v>1</v>
      </c>
      <c r="AH454" s="1">
        <f t="shared" si="155"/>
        <v>0</v>
      </c>
      <c r="AI454" s="1">
        <f t="shared" si="156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1302</v>
      </c>
      <c r="E455" s="32" t="s">
        <v>28</v>
      </c>
      <c r="F455" s="32" t="s">
        <v>565</v>
      </c>
      <c r="G455" s="32" t="s">
        <v>180</v>
      </c>
      <c r="H455" s="32" t="s">
        <v>352</v>
      </c>
      <c r="I455" s="31" t="s">
        <v>428</v>
      </c>
      <c r="J455" s="31">
        <v>7</v>
      </c>
      <c r="K455" s="33" t="s">
        <v>703</v>
      </c>
      <c r="L455" s="33" t="s">
        <v>704</v>
      </c>
      <c r="M455" s="34" t="s">
        <v>722</v>
      </c>
      <c r="N455" s="34" t="s">
        <v>1704</v>
      </c>
      <c r="O455" s="35">
        <v>1</v>
      </c>
      <c r="P455" s="35"/>
      <c r="Q455" s="32"/>
      <c r="S455" s="1">
        <f t="shared" si="135"/>
        <v>0</v>
      </c>
      <c r="T455" s="1">
        <f t="shared" si="136"/>
        <v>0</v>
      </c>
      <c r="U455" s="1">
        <f t="shared" si="137"/>
        <v>0</v>
      </c>
      <c r="V455" s="1">
        <f t="shared" si="138"/>
        <v>0</v>
      </c>
      <c r="W455" s="1">
        <f t="shared" si="139"/>
        <v>0</v>
      </c>
      <c r="X455" s="1">
        <f t="shared" si="140"/>
        <v>0</v>
      </c>
      <c r="Y455" s="1">
        <f t="shared" si="141"/>
        <v>1</v>
      </c>
      <c r="Z455" s="1">
        <f t="shared" si="142"/>
        <v>0</v>
      </c>
      <c r="AA455" s="1">
        <f t="shared" si="143"/>
        <v>0</v>
      </c>
      <c r="AB455" s="1">
        <f t="shared" si="144"/>
        <v>0</v>
      </c>
      <c r="AD455" s="1">
        <f t="shared" si="151"/>
        <v>0</v>
      </c>
      <c r="AE455" s="1">
        <f t="shared" si="152"/>
        <v>1</v>
      </c>
      <c r="AF455" s="1">
        <f t="shared" si="153"/>
        <v>0</v>
      </c>
      <c r="AG455" s="1">
        <f t="shared" si="154"/>
        <v>1</v>
      </c>
      <c r="AH455" s="1">
        <f t="shared" si="155"/>
        <v>0</v>
      </c>
      <c r="AI455" s="1">
        <f t="shared" si="156"/>
        <v>1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72</v>
      </c>
      <c r="E456" s="32" t="s">
        <v>28</v>
      </c>
      <c r="F456" s="32" t="s">
        <v>260</v>
      </c>
      <c r="G456" s="32" t="s">
        <v>219</v>
      </c>
      <c r="H456" s="32" t="s">
        <v>352</v>
      </c>
      <c r="I456" s="31" t="s">
        <v>418</v>
      </c>
      <c r="J456" s="31">
        <v>8</v>
      </c>
      <c r="K456" s="33" t="s">
        <v>704</v>
      </c>
      <c r="L456" s="33" t="s">
        <v>704</v>
      </c>
      <c r="M456" s="34" t="s">
        <v>722</v>
      </c>
      <c r="N456" s="34" t="s">
        <v>1704</v>
      </c>
      <c r="O456" s="35">
        <v>1</v>
      </c>
      <c r="P456" s="35"/>
      <c r="Q456" s="32"/>
      <c r="S456" s="1">
        <f t="shared" si="135"/>
        <v>0</v>
      </c>
      <c r="T456" s="1">
        <f t="shared" si="136"/>
        <v>0</v>
      </c>
      <c r="U456" s="1">
        <f t="shared" si="137"/>
        <v>0</v>
      </c>
      <c r="V456" s="1">
        <f t="shared" si="138"/>
        <v>0</v>
      </c>
      <c r="W456" s="1">
        <f t="shared" si="139"/>
        <v>0</v>
      </c>
      <c r="X456" s="1">
        <f t="shared" si="140"/>
        <v>0</v>
      </c>
      <c r="Y456" s="1">
        <f t="shared" si="141"/>
        <v>0</v>
      </c>
      <c r="Z456" s="1">
        <f t="shared" si="142"/>
        <v>1</v>
      </c>
      <c r="AA456" s="1">
        <f t="shared" si="143"/>
        <v>0</v>
      </c>
      <c r="AB456" s="1">
        <f t="shared" si="144"/>
        <v>0</v>
      </c>
      <c r="AD456" s="1">
        <f t="shared" si="145"/>
        <v>0</v>
      </c>
      <c r="AE456" s="1">
        <f t="shared" si="146"/>
        <v>1</v>
      </c>
      <c r="AF456" s="1">
        <f t="shared" si="147"/>
        <v>0</v>
      </c>
      <c r="AG456" s="1">
        <f t="shared" si="148"/>
        <v>1</v>
      </c>
      <c r="AH456" s="1">
        <f t="shared" si="149"/>
        <v>0</v>
      </c>
      <c r="AI456" s="1">
        <f t="shared" si="150"/>
        <v>1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72</v>
      </c>
      <c r="E457" s="32" t="s">
        <v>28</v>
      </c>
      <c r="F457" s="32" t="s">
        <v>259</v>
      </c>
      <c r="G457" s="32" t="s">
        <v>177</v>
      </c>
      <c r="H457" s="32" t="s">
        <v>352</v>
      </c>
      <c r="I457" s="31" t="s">
        <v>417</v>
      </c>
      <c r="J457" s="31">
        <v>1</v>
      </c>
      <c r="K457" s="33" t="s">
        <v>704</v>
      </c>
      <c r="L457" s="33" t="s">
        <v>704</v>
      </c>
      <c r="M457" s="34" t="s">
        <v>722</v>
      </c>
      <c r="N457" s="34" t="s">
        <v>1704</v>
      </c>
      <c r="O457" s="35">
        <v>1</v>
      </c>
      <c r="P457" s="35"/>
      <c r="Q457" s="32"/>
      <c r="S457" s="1">
        <f t="shared" si="135"/>
        <v>1</v>
      </c>
      <c r="T457" s="1">
        <f t="shared" si="136"/>
        <v>0</v>
      </c>
      <c r="U457" s="1">
        <f t="shared" si="137"/>
        <v>0</v>
      </c>
      <c r="V457" s="1">
        <f t="shared" si="138"/>
        <v>0</v>
      </c>
      <c r="W457" s="1">
        <f t="shared" si="139"/>
        <v>0</v>
      </c>
      <c r="X457" s="1">
        <f t="shared" si="140"/>
        <v>0</v>
      </c>
      <c r="Y457" s="1">
        <f t="shared" si="141"/>
        <v>0</v>
      </c>
      <c r="Z457" s="1">
        <f t="shared" si="142"/>
        <v>0</v>
      </c>
      <c r="AA457" s="1">
        <f t="shared" si="143"/>
        <v>0</v>
      </c>
      <c r="AB457" s="1">
        <f t="shared" si="144"/>
        <v>0</v>
      </c>
      <c r="AD457" s="1">
        <f t="shared" si="145"/>
        <v>0</v>
      </c>
      <c r="AE457" s="1">
        <f t="shared" si="146"/>
        <v>1</v>
      </c>
      <c r="AF457" s="1">
        <f t="shared" si="147"/>
        <v>0</v>
      </c>
      <c r="AG457" s="1">
        <f t="shared" si="148"/>
        <v>0</v>
      </c>
      <c r="AH457" s="1">
        <f t="shared" si="149"/>
        <v>0</v>
      </c>
      <c r="AI457" s="1">
        <f t="shared" si="150"/>
        <v>0</v>
      </c>
    </row>
    <row r="458" spans="1:35" ht="14.25" customHeight="1" x14ac:dyDescent="0.25">
      <c r="A458" s="31">
        <v>0</v>
      </c>
      <c r="B458" s="31">
        <v>2</v>
      </c>
      <c r="C458" s="31">
        <v>7</v>
      </c>
      <c r="D458" s="32" t="s">
        <v>763</v>
      </c>
      <c r="E458" s="32" t="s">
        <v>28</v>
      </c>
      <c r="F458" s="32" t="s">
        <v>764</v>
      </c>
      <c r="G458" s="32" t="s">
        <v>278</v>
      </c>
      <c r="H458" s="32" t="s">
        <v>352</v>
      </c>
      <c r="I458" s="31" t="s">
        <v>765</v>
      </c>
      <c r="J458" s="31">
        <v>99</v>
      </c>
      <c r="K458" s="33" t="s">
        <v>704</v>
      </c>
      <c r="L458" s="33" t="s">
        <v>704</v>
      </c>
      <c r="M458" s="34" t="s">
        <v>722</v>
      </c>
      <c r="N458" s="34" t="s">
        <v>1704</v>
      </c>
      <c r="O458" s="35">
        <v>1</v>
      </c>
      <c r="P458" s="35"/>
      <c r="Q458" s="32"/>
      <c r="S458" s="1">
        <f t="shared" si="135"/>
        <v>0</v>
      </c>
      <c r="T458" s="1">
        <f t="shared" si="136"/>
        <v>0</v>
      </c>
      <c r="U458" s="1">
        <f t="shared" si="137"/>
        <v>0</v>
      </c>
      <c r="V458" s="1">
        <f t="shared" si="138"/>
        <v>0</v>
      </c>
      <c r="W458" s="1">
        <f t="shared" si="139"/>
        <v>0</v>
      </c>
      <c r="X458" s="1">
        <f t="shared" si="140"/>
        <v>0</v>
      </c>
      <c r="Y458" s="1">
        <f t="shared" si="141"/>
        <v>0</v>
      </c>
      <c r="Z458" s="1">
        <f t="shared" si="142"/>
        <v>0</v>
      </c>
      <c r="AA458" s="1">
        <f t="shared" si="143"/>
        <v>0</v>
      </c>
      <c r="AB458" s="1">
        <f t="shared" si="144"/>
        <v>0</v>
      </c>
      <c r="AD458" s="1">
        <f t="shared" si="145"/>
        <v>0</v>
      </c>
      <c r="AE458" s="1">
        <f t="shared" si="146"/>
        <v>1</v>
      </c>
      <c r="AF458" s="1">
        <f t="shared" si="147"/>
        <v>0</v>
      </c>
      <c r="AG458" s="1">
        <f t="shared" si="148"/>
        <v>1</v>
      </c>
      <c r="AH458" s="1">
        <f t="shared" si="149"/>
        <v>0</v>
      </c>
      <c r="AI458" s="1">
        <f t="shared" si="150"/>
        <v>1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85</v>
      </c>
      <c r="E459" s="32" t="s">
        <v>28</v>
      </c>
      <c r="F459" s="32" t="s">
        <v>277</v>
      </c>
      <c r="G459" s="32" t="s">
        <v>278</v>
      </c>
      <c r="H459" s="32" t="s">
        <v>352</v>
      </c>
      <c r="I459" s="31" t="s">
        <v>432</v>
      </c>
      <c r="J459" s="31">
        <v>99</v>
      </c>
      <c r="K459" s="33" t="s">
        <v>704</v>
      </c>
      <c r="L459" s="33" t="s">
        <v>704</v>
      </c>
      <c r="M459" s="34" t="s">
        <v>722</v>
      </c>
      <c r="N459" s="34" t="s">
        <v>1704</v>
      </c>
      <c r="O459" s="35">
        <v>1</v>
      </c>
      <c r="P459" s="35"/>
      <c r="Q459" s="32"/>
      <c r="S459" s="1">
        <f t="shared" si="135"/>
        <v>0</v>
      </c>
      <c r="T459" s="1">
        <f t="shared" si="136"/>
        <v>0</v>
      </c>
      <c r="U459" s="1">
        <f t="shared" si="137"/>
        <v>0</v>
      </c>
      <c r="V459" s="1">
        <f t="shared" si="138"/>
        <v>0</v>
      </c>
      <c r="W459" s="1">
        <f t="shared" si="139"/>
        <v>0</v>
      </c>
      <c r="X459" s="1">
        <f t="shared" si="140"/>
        <v>0</v>
      </c>
      <c r="Y459" s="1">
        <f t="shared" si="141"/>
        <v>0</v>
      </c>
      <c r="Z459" s="1">
        <f t="shared" si="142"/>
        <v>0</v>
      </c>
      <c r="AA459" s="1">
        <f t="shared" si="143"/>
        <v>0</v>
      </c>
      <c r="AB459" s="1">
        <f t="shared" si="144"/>
        <v>0</v>
      </c>
      <c r="AD459" s="1">
        <f t="shared" si="145"/>
        <v>0</v>
      </c>
      <c r="AE459" s="1">
        <f t="shared" si="146"/>
        <v>1</v>
      </c>
      <c r="AF459" s="1">
        <f t="shared" si="147"/>
        <v>0</v>
      </c>
      <c r="AG459" s="1">
        <f t="shared" si="148"/>
        <v>1</v>
      </c>
      <c r="AH459" s="1">
        <f t="shared" si="149"/>
        <v>0</v>
      </c>
      <c r="AI459" s="1">
        <f t="shared" si="150"/>
        <v>1</v>
      </c>
    </row>
    <row r="460" spans="1:35" ht="14.25" customHeight="1" x14ac:dyDescent="0.25">
      <c r="A460" s="37">
        <v>0</v>
      </c>
      <c r="B460" s="37">
        <v>2</v>
      </c>
      <c r="C460" s="37">
        <v>7</v>
      </c>
      <c r="D460" s="36" t="s">
        <v>1895</v>
      </c>
      <c r="E460" s="36" t="s">
        <v>28</v>
      </c>
      <c r="F460" s="36" t="s">
        <v>1896</v>
      </c>
      <c r="G460" s="36" t="s">
        <v>184</v>
      </c>
      <c r="H460" s="36" t="s">
        <v>352</v>
      </c>
      <c r="I460" s="37" t="s">
        <v>1897</v>
      </c>
      <c r="J460" s="37">
        <v>99</v>
      </c>
      <c r="K460" s="33" t="s">
        <v>694</v>
      </c>
      <c r="L460" s="33">
        <v>4</v>
      </c>
      <c r="M460" s="34" t="s">
        <v>722</v>
      </c>
      <c r="N460" s="34" t="s">
        <v>1704</v>
      </c>
      <c r="O460" s="35">
        <v>1</v>
      </c>
      <c r="P460" s="35"/>
      <c r="Q460" s="36" t="s">
        <v>1898</v>
      </c>
      <c r="S460" s="1">
        <f t="shared" si="135"/>
        <v>0</v>
      </c>
      <c r="T460" s="1">
        <f t="shared" si="136"/>
        <v>0</v>
      </c>
      <c r="U460" s="1">
        <f t="shared" si="137"/>
        <v>0</v>
      </c>
      <c r="V460" s="1">
        <f t="shared" si="138"/>
        <v>0</v>
      </c>
      <c r="W460" s="1">
        <f t="shared" si="139"/>
        <v>0</v>
      </c>
      <c r="X460" s="1">
        <f t="shared" si="140"/>
        <v>0</v>
      </c>
      <c r="Y460" s="1">
        <f t="shared" si="141"/>
        <v>0</v>
      </c>
      <c r="Z460" s="1">
        <f t="shared" si="142"/>
        <v>0</v>
      </c>
      <c r="AA460" s="1">
        <f t="shared" si="143"/>
        <v>0</v>
      </c>
      <c r="AB460" s="1">
        <f t="shared" si="144"/>
        <v>0</v>
      </c>
      <c r="AD460" s="1">
        <f t="shared" si="145"/>
        <v>0</v>
      </c>
      <c r="AE460" s="1">
        <f t="shared" si="146"/>
        <v>1</v>
      </c>
      <c r="AF460" s="1">
        <f t="shared" si="147"/>
        <v>0</v>
      </c>
      <c r="AG460" s="1">
        <f t="shared" si="148"/>
        <v>1</v>
      </c>
      <c r="AH460" s="1">
        <f t="shared" si="149"/>
        <v>0</v>
      </c>
      <c r="AI460" s="1">
        <f t="shared" si="150"/>
        <v>1</v>
      </c>
    </row>
    <row r="461" spans="1:35" ht="14.25" customHeight="1" x14ac:dyDescent="0.25">
      <c r="A461" s="37">
        <v>0</v>
      </c>
      <c r="B461" s="37">
        <v>2</v>
      </c>
      <c r="C461" s="37">
        <v>7</v>
      </c>
      <c r="D461" s="36" t="s">
        <v>549</v>
      </c>
      <c r="E461" s="36" t="s">
        <v>28</v>
      </c>
      <c r="F461" s="36" t="s">
        <v>1834</v>
      </c>
      <c r="G461" s="36" t="s">
        <v>552</v>
      </c>
      <c r="H461" s="36" t="s">
        <v>352</v>
      </c>
      <c r="I461" s="37" t="s">
        <v>553</v>
      </c>
      <c r="J461" s="37">
        <v>99</v>
      </c>
      <c r="K461" s="33" t="s">
        <v>704</v>
      </c>
      <c r="L461" s="33" t="s">
        <v>704</v>
      </c>
      <c r="M461" s="34" t="s">
        <v>722</v>
      </c>
      <c r="N461" s="34" t="s">
        <v>1784</v>
      </c>
      <c r="O461" s="35">
        <v>1</v>
      </c>
      <c r="P461" s="35"/>
      <c r="Q461" s="36"/>
      <c r="S461" s="1">
        <f t="shared" si="135"/>
        <v>0</v>
      </c>
      <c r="T461" s="1">
        <f t="shared" si="136"/>
        <v>0</v>
      </c>
      <c r="U461" s="1">
        <f t="shared" si="137"/>
        <v>0</v>
      </c>
      <c r="V461" s="1">
        <f t="shared" si="138"/>
        <v>0</v>
      </c>
      <c r="W461" s="1">
        <f t="shared" si="139"/>
        <v>0</v>
      </c>
      <c r="X461" s="1">
        <f t="shared" si="140"/>
        <v>0</v>
      </c>
      <c r="Y461" s="1">
        <f t="shared" si="141"/>
        <v>0</v>
      </c>
      <c r="Z461" s="1">
        <f t="shared" si="142"/>
        <v>0</v>
      </c>
      <c r="AA461" s="1">
        <f t="shared" si="143"/>
        <v>0</v>
      </c>
      <c r="AB461" s="1">
        <f t="shared" si="144"/>
        <v>0</v>
      </c>
      <c r="AD461" s="1">
        <f t="shared" si="145"/>
        <v>0</v>
      </c>
      <c r="AE461" s="1">
        <f t="shared" si="146"/>
        <v>1</v>
      </c>
      <c r="AF461" s="1">
        <f t="shared" si="147"/>
        <v>0</v>
      </c>
      <c r="AG461" s="1">
        <f t="shared" si="148"/>
        <v>1</v>
      </c>
      <c r="AH461" s="1">
        <f t="shared" si="149"/>
        <v>0</v>
      </c>
      <c r="AI461" s="1">
        <f t="shared" si="150"/>
        <v>1</v>
      </c>
    </row>
    <row r="462" spans="1:35" ht="14.25" customHeight="1" x14ac:dyDescent="0.25">
      <c r="A462" s="37">
        <v>1</v>
      </c>
      <c r="B462" s="37">
        <v>2</v>
      </c>
      <c r="C462" s="37">
        <v>7</v>
      </c>
      <c r="D462" s="36" t="s">
        <v>549</v>
      </c>
      <c r="E462" s="36" t="s">
        <v>28</v>
      </c>
      <c r="F462" s="36" t="s">
        <v>1835</v>
      </c>
      <c r="G462" s="36" t="s">
        <v>550</v>
      </c>
      <c r="H462" s="36" t="s">
        <v>352</v>
      </c>
      <c r="I462" s="37" t="s">
        <v>551</v>
      </c>
      <c r="J462" s="37">
        <v>99</v>
      </c>
      <c r="K462" s="33" t="s">
        <v>704</v>
      </c>
      <c r="L462" s="33" t="s">
        <v>704</v>
      </c>
      <c r="M462" s="34" t="s">
        <v>722</v>
      </c>
      <c r="N462" s="34" t="s">
        <v>1784</v>
      </c>
      <c r="O462" s="35">
        <v>1</v>
      </c>
      <c r="P462" s="35"/>
      <c r="Q462" s="36"/>
      <c r="S462" s="1">
        <f t="shared" si="135"/>
        <v>0</v>
      </c>
      <c r="T462" s="1">
        <f t="shared" si="136"/>
        <v>0</v>
      </c>
      <c r="U462" s="1">
        <f t="shared" si="137"/>
        <v>0</v>
      </c>
      <c r="V462" s="1">
        <f t="shared" si="138"/>
        <v>0</v>
      </c>
      <c r="W462" s="1">
        <f t="shared" si="139"/>
        <v>0</v>
      </c>
      <c r="X462" s="1">
        <f t="shared" si="140"/>
        <v>0</v>
      </c>
      <c r="Y462" s="1">
        <f t="shared" si="141"/>
        <v>0</v>
      </c>
      <c r="Z462" s="1">
        <f t="shared" si="142"/>
        <v>0</v>
      </c>
      <c r="AA462" s="1">
        <f t="shared" si="143"/>
        <v>0</v>
      </c>
      <c r="AB462" s="1">
        <f t="shared" si="144"/>
        <v>0</v>
      </c>
      <c r="AD462" s="1">
        <f t="shared" si="145"/>
        <v>0</v>
      </c>
      <c r="AE462" s="1">
        <f t="shared" si="146"/>
        <v>1</v>
      </c>
      <c r="AF462" s="1">
        <f t="shared" si="147"/>
        <v>0</v>
      </c>
      <c r="AG462" s="1">
        <f t="shared" si="148"/>
        <v>0</v>
      </c>
      <c r="AH462" s="1">
        <f t="shared" si="149"/>
        <v>0</v>
      </c>
      <c r="AI462" s="1">
        <f t="shared" si="150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1160</v>
      </c>
      <c r="E463" s="32" t="s">
        <v>28</v>
      </c>
      <c r="F463" s="32" t="s">
        <v>1644</v>
      </c>
      <c r="G463" s="32" t="s">
        <v>234</v>
      </c>
      <c r="H463" s="32" t="s">
        <v>352</v>
      </c>
      <c r="I463" s="31" t="s">
        <v>1338</v>
      </c>
      <c r="J463" s="31">
        <v>99</v>
      </c>
      <c r="K463" s="33" t="s">
        <v>703</v>
      </c>
      <c r="L463" s="33" t="s">
        <v>704</v>
      </c>
      <c r="M463" s="34" t="s">
        <v>722</v>
      </c>
      <c r="N463" s="34" t="s">
        <v>1704</v>
      </c>
      <c r="O463" s="35">
        <v>1</v>
      </c>
      <c r="P463" s="35"/>
      <c r="Q463" s="32"/>
      <c r="S463" s="1">
        <f t="shared" si="135"/>
        <v>0</v>
      </c>
      <c r="T463" s="1">
        <f t="shared" si="136"/>
        <v>0</v>
      </c>
      <c r="U463" s="1">
        <f t="shared" si="137"/>
        <v>0</v>
      </c>
      <c r="V463" s="1">
        <f t="shared" si="138"/>
        <v>0</v>
      </c>
      <c r="W463" s="1">
        <f t="shared" si="139"/>
        <v>0</v>
      </c>
      <c r="X463" s="1">
        <f t="shared" si="140"/>
        <v>0</v>
      </c>
      <c r="Y463" s="1">
        <f t="shared" si="141"/>
        <v>0</v>
      </c>
      <c r="Z463" s="1">
        <f t="shared" si="142"/>
        <v>0</v>
      </c>
      <c r="AA463" s="1">
        <f t="shared" si="143"/>
        <v>0</v>
      </c>
      <c r="AB463" s="1">
        <f t="shared" si="144"/>
        <v>0</v>
      </c>
      <c r="AD463" s="1">
        <f t="shared" si="145"/>
        <v>0</v>
      </c>
      <c r="AE463" s="1">
        <f t="shared" si="146"/>
        <v>1</v>
      </c>
      <c r="AF463" s="1">
        <f t="shared" si="147"/>
        <v>0</v>
      </c>
      <c r="AG463" s="1">
        <f t="shared" si="148"/>
        <v>1</v>
      </c>
      <c r="AH463" s="1">
        <f t="shared" si="149"/>
        <v>0</v>
      </c>
      <c r="AI463" s="1">
        <f t="shared" si="150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1160</v>
      </c>
      <c r="E464" s="32" t="s">
        <v>28</v>
      </c>
      <c r="F464" s="32" t="s">
        <v>1645</v>
      </c>
      <c r="G464" s="32" t="s">
        <v>1325</v>
      </c>
      <c r="H464" s="32" t="s">
        <v>352</v>
      </c>
      <c r="I464" s="31" t="s">
        <v>1339</v>
      </c>
      <c r="J464" s="31">
        <v>99</v>
      </c>
      <c r="K464" s="33" t="s">
        <v>703</v>
      </c>
      <c r="L464" s="33" t="s">
        <v>704</v>
      </c>
      <c r="M464" s="34" t="s">
        <v>722</v>
      </c>
      <c r="N464" s="34" t="s">
        <v>1704</v>
      </c>
      <c r="O464" s="35">
        <v>1</v>
      </c>
      <c r="P464" s="35"/>
      <c r="Q464" s="32"/>
      <c r="S464" s="1">
        <f t="shared" si="135"/>
        <v>0</v>
      </c>
      <c r="T464" s="1">
        <f t="shared" si="136"/>
        <v>0</v>
      </c>
      <c r="U464" s="1">
        <f t="shared" si="137"/>
        <v>0</v>
      </c>
      <c r="V464" s="1">
        <f t="shared" si="138"/>
        <v>0</v>
      </c>
      <c r="W464" s="1">
        <f t="shared" si="139"/>
        <v>0</v>
      </c>
      <c r="X464" s="1">
        <f t="shared" si="140"/>
        <v>0</v>
      </c>
      <c r="Y464" s="1">
        <f t="shared" si="141"/>
        <v>0</v>
      </c>
      <c r="Z464" s="1">
        <f t="shared" si="142"/>
        <v>0</v>
      </c>
      <c r="AA464" s="1">
        <f t="shared" si="143"/>
        <v>0</v>
      </c>
      <c r="AB464" s="1">
        <f t="shared" si="144"/>
        <v>0</v>
      </c>
      <c r="AD464" s="1">
        <f t="shared" si="145"/>
        <v>0</v>
      </c>
      <c r="AE464" s="1">
        <f t="shared" si="146"/>
        <v>1</v>
      </c>
      <c r="AF464" s="1">
        <f t="shared" si="147"/>
        <v>0</v>
      </c>
      <c r="AG464" s="1">
        <f t="shared" si="148"/>
        <v>0</v>
      </c>
      <c r="AH464" s="1">
        <f t="shared" si="149"/>
        <v>0</v>
      </c>
      <c r="AI464" s="1">
        <f t="shared" si="150"/>
        <v>0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1228</v>
      </c>
      <c r="E465" s="32" t="s">
        <v>28</v>
      </c>
      <c r="F465" s="32" t="s">
        <v>1227</v>
      </c>
      <c r="G465" s="32" t="s">
        <v>1212</v>
      </c>
      <c r="H465" s="32" t="s">
        <v>352</v>
      </c>
      <c r="I465" s="31" t="s">
        <v>1229</v>
      </c>
      <c r="J465" s="31">
        <v>99</v>
      </c>
      <c r="K465" s="33" t="s">
        <v>694</v>
      </c>
      <c r="L465" s="33" t="s">
        <v>704</v>
      </c>
      <c r="M465" s="34" t="s">
        <v>722</v>
      </c>
      <c r="N465" s="34" t="s">
        <v>1704</v>
      </c>
      <c r="O465" s="35">
        <v>1</v>
      </c>
      <c r="P465" s="35"/>
      <c r="Q465" s="32"/>
      <c r="S465" s="1">
        <f t="shared" si="135"/>
        <v>0</v>
      </c>
      <c r="T465" s="1">
        <f t="shared" si="136"/>
        <v>0</v>
      </c>
      <c r="U465" s="1">
        <f t="shared" si="137"/>
        <v>0</v>
      </c>
      <c r="V465" s="1">
        <f t="shared" si="138"/>
        <v>0</v>
      </c>
      <c r="W465" s="1">
        <f t="shared" si="139"/>
        <v>0</v>
      </c>
      <c r="X465" s="1">
        <f t="shared" si="140"/>
        <v>0</v>
      </c>
      <c r="Y465" s="1">
        <f t="shared" si="141"/>
        <v>0</v>
      </c>
      <c r="Z465" s="1">
        <f t="shared" si="142"/>
        <v>0</v>
      </c>
      <c r="AA465" s="1">
        <f t="shared" si="143"/>
        <v>0</v>
      </c>
      <c r="AB465" s="1">
        <f t="shared" si="144"/>
        <v>0</v>
      </c>
      <c r="AD465" s="1">
        <f t="shared" si="145"/>
        <v>0</v>
      </c>
      <c r="AE465" s="1">
        <f t="shared" si="146"/>
        <v>1</v>
      </c>
      <c r="AF465" s="1">
        <f t="shared" si="147"/>
        <v>0</v>
      </c>
      <c r="AG465" s="1">
        <f t="shared" si="148"/>
        <v>1</v>
      </c>
      <c r="AH465" s="1">
        <f t="shared" si="149"/>
        <v>0</v>
      </c>
      <c r="AI465" s="1">
        <f t="shared" si="150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1228</v>
      </c>
      <c r="E466" s="32" t="s">
        <v>28</v>
      </c>
      <c r="F466" s="32" t="s">
        <v>1226</v>
      </c>
      <c r="G466" s="32" t="s">
        <v>39</v>
      </c>
      <c r="H466" s="32" t="s">
        <v>352</v>
      </c>
      <c r="I466" s="31" t="s">
        <v>1230</v>
      </c>
      <c r="J466" s="31">
        <v>9</v>
      </c>
      <c r="K466" s="33" t="s">
        <v>694</v>
      </c>
      <c r="L466" s="33" t="s">
        <v>704</v>
      </c>
      <c r="M466" s="34" t="s">
        <v>722</v>
      </c>
      <c r="N466" s="34" t="s">
        <v>1704</v>
      </c>
      <c r="O466" s="35">
        <v>1</v>
      </c>
      <c r="P466" s="35"/>
      <c r="Q466" s="32"/>
      <c r="S466" s="1">
        <f t="shared" si="135"/>
        <v>0</v>
      </c>
      <c r="T466" s="1">
        <f t="shared" si="136"/>
        <v>0</v>
      </c>
      <c r="U466" s="1">
        <f t="shared" si="137"/>
        <v>0</v>
      </c>
      <c r="V466" s="1">
        <f t="shared" si="138"/>
        <v>0</v>
      </c>
      <c r="W466" s="1">
        <f t="shared" si="139"/>
        <v>0</v>
      </c>
      <c r="X466" s="1">
        <f t="shared" si="140"/>
        <v>0</v>
      </c>
      <c r="Y466" s="1">
        <f t="shared" si="141"/>
        <v>0</v>
      </c>
      <c r="Z466" s="1">
        <f t="shared" si="142"/>
        <v>0</v>
      </c>
      <c r="AA466" s="1">
        <f t="shared" si="143"/>
        <v>1</v>
      </c>
      <c r="AB466" s="1">
        <f t="shared" si="144"/>
        <v>0</v>
      </c>
      <c r="AD466" s="1">
        <f t="shared" si="145"/>
        <v>0</v>
      </c>
      <c r="AE466" s="1">
        <f t="shared" si="146"/>
        <v>1</v>
      </c>
      <c r="AF466" s="1">
        <f t="shared" si="147"/>
        <v>0</v>
      </c>
      <c r="AG466" s="1">
        <f t="shared" si="148"/>
        <v>0</v>
      </c>
      <c r="AH466" s="1">
        <f t="shared" si="149"/>
        <v>0</v>
      </c>
      <c r="AI466" s="1">
        <f t="shared" si="150"/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1228</v>
      </c>
      <c r="E467" s="32" t="s">
        <v>28</v>
      </c>
      <c r="F467" s="36" t="s">
        <v>1783</v>
      </c>
      <c r="G467" s="36" t="s">
        <v>257</v>
      </c>
      <c r="H467" s="32" t="s">
        <v>352</v>
      </c>
      <c r="I467" s="37" t="s">
        <v>30</v>
      </c>
      <c r="J467" s="31">
        <v>8</v>
      </c>
      <c r="K467" s="33" t="s">
        <v>694</v>
      </c>
      <c r="L467" s="33" t="s">
        <v>704</v>
      </c>
      <c r="M467" s="34" t="s">
        <v>722</v>
      </c>
      <c r="N467" s="34" t="s">
        <v>1704</v>
      </c>
      <c r="O467" s="35">
        <v>1</v>
      </c>
      <c r="P467" s="35"/>
      <c r="Q467" s="32"/>
      <c r="S467" s="1">
        <f t="shared" si="135"/>
        <v>0</v>
      </c>
      <c r="T467" s="1">
        <f t="shared" si="136"/>
        <v>0</v>
      </c>
      <c r="U467" s="1">
        <f t="shared" si="137"/>
        <v>0</v>
      </c>
      <c r="V467" s="1">
        <f t="shared" si="138"/>
        <v>0</v>
      </c>
      <c r="W467" s="1">
        <f t="shared" si="139"/>
        <v>0</v>
      </c>
      <c r="X467" s="1">
        <f t="shared" si="140"/>
        <v>0</v>
      </c>
      <c r="Y467" s="1">
        <f t="shared" si="141"/>
        <v>0</v>
      </c>
      <c r="Z467" s="1">
        <f t="shared" si="142"/>
        <v>1</v>
      </c>
      <c r="AA467" s="1">
        <f t="shared" si="143"/>
        <v>0</v>
      </c>
      <c r="AB467" s="1">
        <f t="shared" si="144"/>
        <v>0</v>
      </c>
      <c r="AD467" s="1">
        <f t="shared" si="145"/>
        <v>0</v>
      </c>
      <c r="AE467" s="1">
        <f t="shared" si="146"/>
        <v>1</v>
      </c>
      <c r="AF467" s="1">
        <f t="shared" si="147"/>
        <v>0</v>
      </c>
      <c r="AG467" s="1">
        <f t="shared" si="148"/>
        <v>0</v>
      </c>
      <c r="AH467" s="1">
        <f t="shared" si="149"/>
        <v>0</v>
      </c>
      <c r="AI467" s="1">
        <f t="shared" si="150"/>
        <v>0</v>
      </c>
    </row>
    <row r="468" spans="1:35" ht="14.25" customHeight="1" x14ac:dyDescent="0.25">
      <c r="A468" s="31">
        <v>0</v>
      </c>
      <c r="B468" s="31">
        <v>2</v>
      </c>
      <c r="C468" s="31">
        <v>7</v>
      </c>
      <c r="D468" s="32" t="s">
        <v>51</v>
      </c>
      <c r="E468" s="32" t="s">
        <v>28</v>
      </c>
      <c r="F468" s="32" t="s">
        <v>666</v>
      </c>
      <c r="G468" s="32" t="s">
        <v>184</v>
      </c>
      <c r="H468" s="32" t="s">
        <v>352</v>
      </c>
      <c r="I468" s="31" t="s">
        <v>388</v>
      </c>
      <c r="J468" s="31">
        <v>99</v>
      </c>
      <c r="K468" s="33" t="s">
        <v>703</v>
      </c>
      <c r="L468" s="33" t="s">
        <v>704</v>
      </c>
      <c r="M468" s="34" t="s">
        <v>722</v>
      </c>
      <c r="N468" s="34" t="s">
        <v>1709</v>
      </c>
      <c r="O468" s="35">
        <v>1</v>
      </c>
      <c r="P468" s="35"/>
      <c r="Q468" s="32"/>
      <c r="S468" s="1">
        <f t="shared" si="135"/>
        <v>0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si="147"/>
        <v>0</v>
      </c>
      <c r="AG468" s="1">
        <f t="shared" si="148"/>
        <v>1</v>
      </c>
      <c r="AH468" s="1">
        <f t="shared" si="149"/>
        <v>0</v>
      </c>
      <c r="AI468" s="1">
        <f t="shared" si="150"/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1062</v>
      </c>
      <c r="E469" s="32" t="s">
        <v>28</v>
      </c>
      <c r="F469" s="32" t="s">
        <v>979</v>
      </c>
      <c r="G469" s="32" t="s">
        <v>239</v>
      </c>
      <c r="H469" s="32" t="s">
        <v>352</v>
      </c>
      <c r="I469" s="31" t="s">
        <v>1087</v>
      </c>
      <c r="J469" s="31">
        <v>1</v>
      </c>
      <c r="K469" s="33" t="s">
        <v>703</v>
      </c>
      <c r="L469" s="33" t="s">
        <v>704</v>
      </c>
      <c r="M469" s="34" t="s">
        <v>722</v>
      </c>
      <c r="N469" s="34" t="s">
        <v>1704</v>
      </c>
      <c r="O469" s="35">
        <v>1</v>
      </c>
      <c r="P469" s="35"/>
      <c r="Q469" s="32"/>
      <c r="S469" s="1">
        <f t="shared" ref="S469:S512" si="157">IF(J469=$S$7,1,0)</f>
        <v>1</v>
      </c>
      <c r="T469" s="1">
        <f t="shared" ref="T469:T512" si="158">IF(J469=$T$7,1,0)</f>
        <v>0</v>
      </c>
      <c r="U469" s="1">
        <f t="shared" ref="U469:U512" si="159">IF(J469=$U$7,1,0)</f>
        <v>0</v>
      </c>
      <c r="V469" s="1">
        <f t="shared" ref="V469:V512" si="160">IF(J469=$V$7,1,0)</f>
        <v>0</v>
      </c>
      <c r="W469" s="1">
        <f t="shared" ref="W469:W512" si="161">IF(J469=$W$7,1,0)</f>
        <v>0</v>
      </c>
      <c r="X469" s="1">
        <f t="shared" ref="X469:X512" si="162">IF(J469=$X$7,1,0)</f>
        <v>0</v>
      </c>
      <c r="Y469" s="1">
        <f t="shared" ref="Y469:Y512" si="163">IF(J469=$Y$7,1,0)</f>
        <v>0</v>
      </c>
      <c r="Z469" s="1">
        <f t="shared" ref="Z469:Z512" si="164">IF(J469=$Z$7,1,0)</f>
        <v>0</v>
      </c>
      <c r="AA469" s="1">
        <f t="shared" ref="AA469:AA512" si="165">IF(J469=$AA$7,1,0)</f>
        <v>0</v>
      </c>
      <c r="AB469" s="1">
        <f t="shared" ref="AB469:AB512" si="166">IF(J469=$AB$7,1,0)</f>
        <v>0</v>
      </c>
      <c r="AD469" s="1">
        <f t="shared" ref="AD469:AD512" si="167">+O469*P469</f>
        <v>0</v>
      </c>
      <c r="AE469" s="1">
        <f t="shared" ref="AE469:AE512" si="168">O469*(1-P469)</f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1062</v>
      </c>
      <c r="E470" s="32" t="s">
        <v>28</v>
      </c>
      <c r="F470" s="32" t="s">
        <v>980</v>
      </c>
      <c r="G470" s="32" t="s">
        <v>1080</v>
      </c>
      <c r="H470" s="32" t="s">
        <v>352</v>
      </c>
      <c r="I470" s="31" t="s">
        <v>1088</v>
      </c>
      <c r="J470" s="31">
        <v>1</v>
      </c>
      <c r="K470" s="33" t="s">
        <v>703</v>
      </c>
      <c r="L470" s="33" t="s">
        <v>704</v>
      </c>
      <c r="M470" s="34" t="s">
        <v>722</v>
      </c>
      <c r="N470" s="34" t="s">
        <v>1704</v>
      </c>
      <c r="O470" s="35">
        <v>1</v>
      </c>
      <c r="P470" s="35"/>
      <c r="Q470" s="32"/>
      <c r="S470" s="1">
        <f t="shared" si="157"/>
        <v>1</v>
      </c>
      <c r="T470" s="1">
        <f t="shared" si="158"/>
        <v>0</v>
      </c>
      <c r="U470" s="1">
        <f t="shared" si="159"/>
        <v>0</v>
      </c>
      <c r="V470" s="1">
        <f t="shared" si="160"/>
        <v>0</v>
      </c>
      <c r="W470" s="1">
        <f t="shared" si="161"/>
        <v>0</v>
      </c>
      <c r="X470" s="1">
        <f t="shared" si="162"/>
        <v>0</v>
      </c>
      <c r="Y470" s="1">
        <f t="shared" si="163"/>
        <v>0</v>
      </c>
      <c r="Z470" s="1">
        <f t="shared" si="164"/>
        <v>0</v>
      </c>
      <c r="AA470" s="1">
        <f t="shared" si="165"/>
        <v>0</v>
      </c>
      <c r="AB470" s="1">
        <f t="shared" si="166"/>
        <v>0</v>
      </c>
      <c r="AD470" s="1">
        <f t="shared" si="167"/>
        <v>0</v>
      </c>
      <c r="AE470" s="1">
        <f t="shared" si="168"/>
        <v>1</v>
      </c>
      <c r="AF470" s="1">
        <f t="shared" ref="AF470:AF512" si="169">+O470*P470*(1-A470)</f>
        <v>0</v>
      </c>
      <c r="AG470" s="1">
        <f t="shared" ref="AG470:AG512" si="170">O470*(1-P470)*(1-A470)</f>
        <v>0</v>
      </c>
      <c r="AH470" s="1">
        <f t="shared" ref="AH470:AH512" si="171">+P470*(1-A470)</f>
        <v>0</v>
      </c>
      <c r="AI470" s="1">
        <f t="shared" ref="AI470:AI512" si="172">+(1-A470)*(1-P470)</f>
        <v>0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1605</v>
      </c>
      <c r="E471" s="32" t="s">
        <v>155</v>
      </c>
      <c r="F471" s="32" t="s">
        <v>1460</v>
      </c>
      <c r="G471" s="32" t="s">
        <v>1461</v>
      </c>
      <c r="H471" s="32" t="s">
        <v>352</v>
      </c>
      <c r="I471" s="31" t="s">
        <v>1462</v>
      </c>
      <c r="J471" s="31">
        <v>99</v>
      </c>
      <c r="K471" s="33" t="s">
        <v>936</v>
      </c>
      <c r="L471" s="33" t="s">
        <v>713</v>
      </c>
      <c r="M471" s="34" t="s">
        <v>723</v>
      </c>
      <c r="N471" s="34" t="s">
        <v>1708</v>
      </c>
      <c r="O471" s="35">
        <v>1</v>
      </c>
      <c r="P471" s="35"/>
      <c r="Q471" s="32"/>
      <c r="S471" s="1">
        <f t="shared" si="157"/>
        <v>0</v>
      </c>
      <c r="T471" s="1">
        <f t="shared" si="158"/>
        <v>0</v>
      </c>
      <c r="U471" s="1">
        <f t="shared" si="159"/>
        <v>0</v>
      </c>
      <c r="V471" s="1">
        <f t="shared" si="160"/>
        <v>0</v>
      </c>
      <c r="W471" s="1">
        <f t="shared" si="161"/>
        <v>0</v>
      </c>
      <c r="X471" s="1">
        <f t="shared" si="162"/>
        <v>0</v>
      </c>
      <c r="Y471" s="1">
        <f t="shared" si="163"/>
        <v>0</v>
      </c>
      <c r="Z471" s="1">
        <f t="shared" si="164"/>
        <v>0</v>
      </c>
      <c r="AA471" s="1">
        <f t="shared" si="165"/>
        <v>0</v>
      </c>
      <c r="AB471" s="1">
        <f t="shared" si="166"/>
        <v>0</v>
      </c>
      <c r="AD471" s="1">
        <f t="shared" si="167"/>
        <v>0</v>
      </c>
      <c r="AE471" s="1">
        <f t="shared" si="168"/>
        <v>1</v>
      </c>
      <c r="AF471" s="1">
        <f t="shared" si="169"/>
        <v>0</v>
      </c>
      <c r="AG471" s="1">
        <f t="shared" si="170"/>
        <v>1</v>
      </c>
      <c r="AH471" s="1">
        <f t="shared" si="171"/>
        <v>0</v>
      </c>
      <c r="AI471" s="1">
        <f t="shared" si="17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82</v>
      </c>
      <c r="E472" s="32" t="s">
        <v>28</v>
      </c>
      <c r="F472" s="32" t="s">
        <v>273</v>
      </c>
      <c r="G472" s="32" t="s">
        <v>274</v>
      </c>
      <c r="H472" s="32" t="s">
        <v>352</v>
      </c>
      <c r="I472" s="31" t="s">
        <v>427</v>
      </c>
      <c r="J472" s="31">
        <v>7</v>
      </c>
      <c r="K472" s="33" t="s">
        <v>936</v>
      </c>
      <c r="L472" s="33" t="s">
        <v>935</v>
      </c>
      <c r="M472" s="34" t="s">
        <v>949</v>
      </c>
      <c r="N472" s="34" t="s">
        <v>1808</v>
      </c>
      <c r="O472" s="35">
        <v>1</v>
      </c>
      <c r="P472" s="35"/>
      <c r="Q472" s="32"/>
      <c r="S472" s="1">
        <f t="shared" si="157"/>
        <v>0</v>
      </c>
      <c r="T472" s="1">
        <f t="shared" si="158"/>
        <v>0</v>
      </c>
      <c r="U472" s="1">
        <f t="shared" si="159"/>
        <v>0</v>
      </c>
      <c r="V472" s="1">
        <f t="shared" si="160"/>
        <v>0</v>
      </c>
      <c r="W472" s="1">
        <f t="shared" si="161"/>
        <v>0</v>
      </c>
      <c r="X472" s="1">
        <f t="shared" si="162"/>
        <v>0</v>
      </c>
      <c r="Y472" s="1">
        <f t="shared" si="163"/>
        <v>1</v>
      </c>
      <c r="Z472" s="1">
        <f t="shared" si="164"/>
        <v>0</v>
      </c>
      <c r="AA472" s="1">
        <f t="shared" si="165"/>
        <v>0</v>
      </c>
      <c r="AB472" s="1">
        <f t="shared" si="166"/>
        <v>0</v>
      </c>
      <c r="AD472" s="1">
        <f t="shared" si="167"/>
        <v>0</v>
      </c>
      <c r="AE472" s="1">
        <f t="shared" si="168"/>
        <v>1</v>
      </c>
      <c r="AF472" s="1">
        <f t="shared" si="169"/>
        <v>0</v>
      </c>
      <c r="AG472" s="1">
        <f t="shared" si="170"/>
        <v>1</v>
      </c>
      <c r="AH472" s="1">
        <f t="shared" si="171"/>
        <v>0</v>
      </c>
      <c r="AI472" s="1">
        <f t="shared" si="17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76</v>
      </c>
      <c r="E473" s="32" t="s">
        <v>28</v>
      </c>
      <c r="F473" s="32" t="s">
        <v>1647</v>
      </c>
      <c r="G473" s="32" t="s">
        <v>189</v>
      </c>
      <c r="H473" s="32" t="s">
        <v>352</v>
      </c>
      <c r="I473" s="31" t="s">
        <v>421</v>
      </c>
      <c r="J473" s="31">
        <v>99</v>
      </c>
      <c r="K473" s="33" t="s">
        <v>935</v>
      </c>
      <c r="L473" s="33" t="s">
        <v>704</v>
      </c>
      <c r="M473" s="34" t="s">
        <v>722</v>
      </c>
      <c r="N473" s="34" t="s">
        <v>1704</v>
      </c>
      <c r="O473" s="35">
        <v>1</v>
      </c>
      <c r="P473" s="35"/>
      <c r="Q473" s="32"/>
      <c r="S473" s="1">
        <f t="shared" si="157"/>
        <v>0</v>
      </c>
      <c r="T473" s="1">
        <f t="shared" si="158"/>
        <v>0</v>
      </c>
      <c r="U473" s="1">
        <f t="shared" si="159"/>
        <v>0</v>
      </c>
      <c r="V473" s="1">
        <f t="shared" si="160"/>
        <v>0</v>
      </c>
      <c r="W473" s="1">
        <f t="shared" si="161"/>
        <v>0</v>
      </c>
      <c r="X473" s="1">
        <f t="shared" si="162"/>
        <v>0</v>
      </c>
      <c r="Y473" s="1">
        <f t="shared" si="163"/>
        <v>0</v>
      </c>
      <c r="Z473" s="1">
        <f t="shared" si="164"/>
        <v>0</v>
      </c>
      <c r="AA473" s="1">
        <f t="shared" si="165"/>
        <v>0</v>
      </c>
      <c r="AB473" s="1">
        <f t="shared" si="166"/>
        <v>0</v>
      </c>
      <c r="AD473" s="1">
        <f t="shared" si="167"/>
        <v>0</v>
      </c>
      <c r="AE473" s="1">
        <f t="shared" si="168"/>
        <v>1</v>
      </c>
      <c r="AF473" s="1">
        <f t="shared" si="169"/>
        <v>0</v>
      </c>
      <c r="AG473" s="1">
        <f t="shared" si="170"/>
        <v>1</v>
      </c>
      <c r="AH473" s="1">
        <f t="shared" si="171"/>
        <v>0</v>
      </c>
      <c r="AI473" s="1">
        <f t="shared" si="172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6" t="s">
        <v>1985</v>
      </c>
      <c r="E474" s="32" t="s">
        <v>1989</v>
      </c>
      <c r="F474" s="36" t="s">
        <v>1986</v>
      </c>
      <c r="G474" s="36" t="s">
        <v>1987</v>
      </c>
      <c r="H474" s="36" t="s">
        <v>352</v>
      </c>
      <c r="I474" s="37" t="s">
        <v>1988</v>
      </c>
      <c r="J474" s="31">
        <v>99</v>
      </c>
      <c r="K474" s="33" t="s">
        <v>694</v>
      </c>
      <c r="L474" s="33">
        <v>20</v>
      </c>
      <c r="M474" s="34" t="s">
        <v>1991</v>
      </c>
      <c r="N474" s="34" t="s">
        <v>1708</v>
      </c>
      <c r="O474" s="35">
        <v>1</v>
      </c>
      <c r="P474" s="35"/>
      <c r="Q474" s="36" t="s">
        <v>1990</v>
      </c>
      <c r="S474" s="1">
        <f t="shared" si="157"/>
        <v>0</v>
      </c>
      <c r="T474" s="1">
        <f t="shared" si="158"/>
        <v>0</v>
      </c>
      <c r="U474" s="1">
        <f t="shared" si="159"/>
        <v>0</v>
      </c>
      <c r="V474" s="1">
        <f t="shared" si="160"/>
        <v>0</v>
      </c>
      <c r="W474" s="1">
        <f t="shared" si="161"/>
        <v>0</v>
      </c>
      <c r="X474" s="1">
        <f t="shared" si="162"/>
        <v>0</v>
      </c>
      <c r="Y474" s="1">
        <f t="shared" si="163"/>
        <v>0</v>
      </c>
      <c r="Z474" s="1">
        <f t="shared" si="164"/>
        <v>0</v>
      </c>
      <c r="AA474" s="1">
        <f t="shared" si="165"/>
        <v>0</v>
      </c>
      <c r="AB474" s="1">
        <f t="shared" si="166"/>
        <v>0</v>
      </c>
      <c r="AD474" s="1">
        <f t="shared" si="167"/>
        <v>0</v>
      </c>
      <c r="AE474" s="1">
        <f t="shared" si="168"/>
        <v>1</v>
      </c>
      <c r="AF474" s="1">
        <f t="shared" si="169"/>
        <v>0</v>
      </c>
      <c r="AG474" s="1">
        <f t="shared" si="170"/>
        <v>1</v>
      </c>
      <c r="AH474" s="1">
        <f t="shared" si="171"/>
        <v>0</v>
      </c>
      <c r="AI474" s="1">
        <f t="shared" si="172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1607</v>
      </c>
      <c r="E475" s="32" t="s">
        <v>162</v>
      </c>
      <c r="F475" s="32" t="s">
        <v>243</v>
      </c>
      <c r="G475" s="32" t="s">
        <v>217</v>
      </c>
      <c r="H475" s="32" t="s">
        <v>352</v>
      </c>
      <c r="I475" s="31" t="s">
        <v>406</v>
      </c>
      <c r="J475" s="31">
        <v>99</v>
      </c>
      <c r="K475" s="33" t="s">
        <v>704</v>
      </c>
      <c r="L475" s="33" t="s">
        <v>713</v>
      </c>
      <c r="M475" s="34" t="s">
        <v>723</v>
      </c>
      <c r="N475" s="34" t="s">
        <v>1693</v>
      </c>
      <c r="O475" s="35">
        <v>1</v>
      </c>
      <c r="P475" s="35">
        <v>1</v>
      </c>
      <c r="Q475" s="32"/>
      <c r="S475" s="1">
        <f t="shared" si="157"/>
        <v>0</v>
      </c>
      <c r="T475" s="1">
        <f t="shared" si="158"/>
        <v>0</v>
      </c>
      <c r="U475" s="1">
        <f t="shared" si="159"/>
        <v>0</v>
      </c>
      <c r="V475" s="1">
        <f t="shared" si="160"/>
        <v>0</v>
      </c>
      <c r="W475" s="1">
        <f t="shared" si="161"/>
        <v>0</v>
      </c>
      <c r="X475" s="1">
        <f t="shared" si="162"/>
        <v>0</v>
      </c>
      <c r="Y475" s="1">
        <f t="shared" si="163"/>
        <v>0</v>
      </c>
      <c r="Z475" s="1">
        <f t="shared" si="164"/>
        <v>0</v>
      </c>
      <c r="AA475" s="1">
        <f t="shared" si="165"/>
        <v>0</v>
      </c>
      <c r="AB475" s="1">
        <f t="shared" si="166"/>
        <v>0</v>
      </c>
      <c r="AD475" s="1">
        <f t="shared" si="167"/>
        <v>1</v>
      </c>
      <c r="AE475" s="1">
        <f t="shared" si="168"/>
        <v>0</v>
      </c>
      <c r="AF475" s="1">
        <f t="shared" si="169"/>
        <v>1</v>
      </c>
      <c r="AG475" s="1">
        <f t="shared" si="170"/>
        <v>0</v>
      </c>
      <c r="AH475" s="1">
        <f t="shared" si="171"/>
        <v>1</v>
      </c>
      <c r="AI475" s="1">
        <f t="shared" si="172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1505</v>
      </c>
      <c r="E476" s="32" t="s">
        <v>155</v>
      </c>
      <c r="F476" s="32" t="s">
        <v>1506</v>
      </c>
      <c r="G476" s="32" t="s">
        <v>39</v>
      </c>
      <c r="H476" s="32" t="s">
        <v>352</v>
      </c>
      <c r="I476" s="31" t="s">
        <v>1507</v>
      </c>
      <c r="J476" s="31">
        <v>99</v>
      </c>
      <c r="K476" s="33" t="s">
        <v>704</v>
      </c>
      <c r="L476" s="33" t="s">
        <v>713</v>
      </c>
      <c r="M476" s="34" t="s">
        <v>723</v>
      </c>
      <c r="N476" s="34" t="s">
        <v>1708</v>
      </c>
      <c r="O476" s="35">
        <v>1</v>
      </c>
      <c r="P476" s="35"/>
      <c r="Q476" s="32"/>
      <c r="S476" s="1">
        <f t="shared" si="157"/>
        <v>0</v>
      </c>
      <c r="T476" s="1">
        <f t="shared" si="158"/>
        <v>0</v>
      </c>
      <c r="U476" s="1">
        <f t="shared" si="159"/>
        <v>0</v>
      </c>
      <c r="V476" s="1">
        <f t="shared" si="160"/>
        <v>0</v>
      </c>
      <c r="W476" s="1">
        <f t="shared" si="161"/>
        <v>0</v>
      </c>
      <c r="X476" s="1">
        <f t="shared" si="162"/>
        <v>0</v>
      </c>
      <c r="Y476" s="1">
        <f t="shared" si="163"/>
        <v>0</v>
      </c>
      <c r="Z476" s="1">
        <f t="shared" si="164"/>
        <v>0</v>
      </c>
      <c r="AA476" s="1">
        <f t="shared" si="165"/>
        <v>0</v>
      </c>
      <c r="AB476" s="1">
        <f t="shared" si="166"/>
        <v>0</v>
      </c>
      <c r="AD476" s="1">
        <f t="shared" si="167"/>
        <v>0</v>
      </c>
      <c r="AE476" s="1">
        <f t="shared" si="168"/>
        <v>1</v>
      </c>
      <c r="AF476" s="1">
        <f t="shared" si="169"/>
        <v>0</v>
      </c>
      <c r="AG476" s="1">
        <f t="shared" si="170"/>
        <v>1</v>
      </c>
      <c r="AH476" s="1">
        <f t="shared" si="171"/>
        <v>0</v>
      </c>
      <c r="AI476" s="1">
        <f t="shared" si="172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955</v>
      </c>
      <c r="G477" s="32" t="s">
        <v>1082</v>
      </c>
      <c r="H477" s="32" t="s">
        <v>352</v>
      </c>
      <c r="I477" s="31" t="s">
        <v>1089</v>
      </c>
      <c r="J477" s="31">
        <v>99</v>
      </c>
      <c r="K477" s="33" t="s">
        <v>704</v>
      </c>
      <c r="L477" s="33" t="s">
        <v>704</v>
      </c>
      <c r="M477" s="34" t="s">
        <v>722</v>
      </c>
      <c r="N477" s="34" t="s">
        <v>1704</v>
      </c>
      <c r="O477" s="35">
        <v>1</v>
      </c>
      <c r="P477" s="35"/>
      <c r="Q477" s="32"/>
      <c r="S477" s="1">
        <f t="shared" si="157"/>
        <v>0</v>
      </c>
      <c r="T477" s="1">
        <f t="shared" si="158"/>
        <v>0</v>
      </c>
      <c r="U477" s="1">
        <f t="shared" si="159"/>
        <v>0</v>
      </c>
      <c r="V477" s="1">
        <f t="shared" si="160"/>
        <v>0</v>
      </c>
      <c r="W477" s="1">
        <f t="shared" si="161"/>
        <v>0</v>
      </c>
      <c r="X477" s="1">
        <f t="shared" si="162"/>
        <v>0</v>
      </c>
      <c r="Y477" s="1">
        <f t="shared" si="163"/>
        <v>0</v>
      </c>
      <c r="Z477" s="1">
        <f t="shared" si="164"/>
        <v>0</v>
      </c>
      <c r="AA477" s="1">
        <f t="shared" si="165"/>
        <v>0</v>
      </c>
      <c r="AB477" s="1">
        <f t="shared" si="166"/>
        <v>0</v>
      </c>
      <c r="AD477" s="1">
        <f t="shared" si="167"/>
        <v>0</v>
      </c>
      <c r="AE477" s="1">
        <f t="shared" si="168"/>
        <v>1</v>
      </c>
      <c r="AF477" s="1">
        <f t="shared" si="169"/>
        <v>0</v>
      </c>
      <c r="AG477" s="1">
        <f t="shared" si="170"/>
        <v>1</v>
      </c>
      <c r="AH477" s="1">
        <f t="shared" si="171"/>
        <v>0</v>
      </c>
      <c r="AI477" s="1">
        <f t="shared" si="172"/>
        <v>1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244</v>
      </c>
      <c r="G478" s="32" t="s">
        <v>223</v>
      </c>
      <c r="H478" s="32" t="s">
        <v>352</v>
      </c>
      <c r="I478" s="31" t="s">
        <v>407</v>
      </c>
      <c r="J478" s="31">
        <v>99</v>
      </c>
      <c r="K478" s="33" t="s">
        <v>704</v>
      </c>
      <c r="L478" s="33" t="s">
        <v>704</v>
      </c>
      <c r="M478" s="34" t="s">
        <v>722</v>
      </c>
      <c r="N478" s="34" t="s">
        <v>1704</v>
      </c>
      <c r="O478" s="35">
        <v>1</v>
      </c>
      <c r="P478" s="35"/>
      <c r="Q478" s="32"/>
      <c r="S478" s="1">
        <f t="shared" si="157"/>
        <v>0</v>
      </c>
      <c r="T478" s="1">
        <f t="shared" si="158"/>
        <v>0</v>
      </c>
      <c r="U478" s="1">
        <f t="shared" si="159"/>
        <v>0</v>
      </c>
      <c r="V478" s="1">
        <f t="shared" si="160"/>
        <v>0</v>
      </c>
      <c r="W478" s="1">
        <f t="shared" si="161"/>
        <v>0</v>
      </c>
      <c r="X478" s="1">
        <f t="shared" si="162"/>
        <v>0</v>
      </c>
      <c r="Y478" s="1">
        <f t="shared" si="163"/>
        <v>0</v>
      </c>
      <c r="Z478" s="1">
        <f t="shared" si="164"/>
        <v>0</v>
      </c>
      <c r="AA478" s="1">
        <f t="shared" si="165"/>
        <v>0</v>
      </c>
      <c r="AB478" s="1">
        <f t="shared" si="166"/>
        <v>0</v>
      </c>
      <c r="AD478" s="1">
        <f t="shared" si="167"/>
        <v>0</v>
      </c>
      <c r="AE478" s="1">
        <f t="shared" si="168"/>
        <v>1</v>
      </c>
      <c r="AF478" s="1">
        <f t="shared" si="169"/>
        <v>0</v>
      </c>
      <c r="AG478" s="1">
        <f t="shared" si="170"/>
        <v>0</v>
      </c>
      <c r="AH478" s="1">
        <f t="shared" si="171"/>
        <v>0</v>
      </c>
      <c r="AI478" s="1">
        <f t="shared" si="172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245</v>
      </c>
      <c r="G479" s="32" t="s">
        <v>219</v>
      </c>
      <c r="H479" s="32" t="s">
        <v>352</v>
      </c>
      <c r="I479" s="31" t="s">
        <v>408</v>
      </c>
      <c r="J479" s="31">
        <v>8</v>
      </c>
      <c r="K479" s="33" t="s">
        <v>704</v>
      </c>
      <c r="L479" s="33" t="s">
        <v>704</v>
      </c>
      <c r="M479" s="34" t="s">
        <v>722</v>
      </c>
      <c r="N479" s="34" t="s">
        <v>1704</v>
      </c>
      <c r="O479" s="35">
        <v>1</v>
      </c>
      <c r="P479" s="35"/>
      <c r="Q479" s="32" t="s">
        <v>1968</v>
      </c>
      <c r="S479" s="1">
        <f t="shared" si="157"/>
        <v>0</v>
      </c>
      <c r="T479" s="1">
        <f t="shared" si="158"/>
        <v>0</v>
      </c>
      <c r="U479" s="1">
        <f t="shared" si="159"/>
        <v>0</v>
      </c>
      <c r="V479" s="1">
        <f t="shared" si="160"/>
        <v>0</v>
      </c>
      <c r="W479" s="1">
        <f t="shared" si="161"/>
        <v>0</v>
      </c>
      <c r="X479" s="1">
        <f t="shared" si="162"/>
        <v>0</v>
      </c>
      <c r="Y479" s="1">
        <f t="shared" si="163"/>
        <v>0</v>
      </c>
      <c r="Z479" s="1">
        <f t="shared" si="164"/>
        <v>1</v>
      </c>
      <c r="AA479" s="1">
        <f t="shared" si="165"/>
        <v>0</v>
      </c>
      <c r="AB479" s="1">
        <f t="shared" si="166"/>
        <v>0</v>
      </c>
      <c r="AD479" s="1">
        <f t="shared" si="167"/>
        <v>0</v>
      </c>
      <c r="AE479" s="1">
        <f t="shared" si="168"/>
        <v>1</v>
      </c>
      <c r="AF479" s="1">
        <f t="shared" si="169"/>
        <v>0</v>
      </c>
      <c r="AG479" s="1">
        <f t="shared" si="170"/>
        <v>0</v>
      </c>
      <c r="AH479" s="1">
        <f t="shared" si="171"/>
        <v>0</v>
      </c>
      <c r="AI479" s="1">
        <f t="shared" si="172"/>
        <v>0</v>
      </c>
    </row>
    <row r="480" spans="1:35" ht="14.25" customHeight="1" x14ac:dyDescent="0.25">
      <c r="A480" s="31">
        <v>1</v>
      </c>
      <c r="B480" s="31">
        <v>2</v>
      </c>
      <c r="C480" s="31">
        <v>7</v>
      </c>
      <c r="D480" s="32" t="s">
        <v>66</v>
      </c>
      <c r="E480" s="32" t="s">
        <v>28</v>
      </c>
      <c r="F480" s="32" t="s">
        <v>1015</v>
      </c>
      <c r="G480" s="32" t="s">
        <v>39</v>
      </c>
      <c r="H480" s="32" t="s">
        <v>352</v>
      </c>
      <c r="I480" s="31" t="s">
        <v>1016</v>
      </c>
      <c r="J480" s="31">
        <v>1</v>
      </c>
      <c r="K480" s="33" t="s">
        <v>704</v>
      </c>
      <c r="L480" s="33" t="s">
        <v>704</v>
      </c>
      <c r="M480" s="34" t="s">
        <v>722</v>
      </c>
      <c r="N480" s="34" t="s">
        <v>1704</v>
      </c>
      <c r="O480" s="35">
        <v>1</v>
      </c>
      <c r="P480" s="35"/>
      <c r="Q480" s="32"/>
      <c r="S480" s="1">
        <f t="shared" si="157"/>
        <v>1</v>
      </c>
      <c r="T480" s="1">
        <f t="shared" si="158"/>
        <v>0</v>
      </c>
      <c r="U480" s="1">
        <f t="shared" si="159"/>
        <v>0</v>
      </c>
      <c r="V480" s="1">
        <f t="shared" si="160"/>
        <v>0</v>
      </c>
      <c r="W480" s="1">
        <f t="shared" si="161"/>
        <v>0</v>
      </c>
      <c r="X480" s="1">
        <f t="shared" si="162"/>
        <v>0</v>
      </c>
      <c r="Y480" s="1">
        <f t="shared" si="163"/>
        <v>0</v>
      </c>
      <c r="Z480" s="1">
        <f t="shared" si="164"/>
        <v>0</v>
      </c>
      <c r="AA480" s="1">
        <f t="shared" si="165"/>
        <v>0</v>
      </c>
      <c r="AB480" s="1">
        <f t="shared" si="166"/>
        <v>0</v>
      </c>
      <c r="AD480" s="1">
        <f t="shared" si="167"/>
        <v>0</v>
      </c>
      <c r="AE480" s="1">
        <f t="shared" si="168"/>
        <v>1</v>
      </c>
      <c r="AF480" s="1">
        <f t="shared" si="169"/>
        <v>0</v>
      </c>
      <c r="AG480" s="1">
        <f t="shared" si="170"/>
        <v>0</v>
      </c>
      <c r="AH480" s="1">
        <f t="shared" si="171"/>
        <v>0</v>
      </c>
      <c r="AI480" s="1">
        <f t="shared" si="172"/>
        <v>0</v>
      </c>
    </row>
    <row r="481" spans="1:35" ht="14.25" customHeight="1" x14ac:dyDescent="0.25">
      <c r="A481" s="31">
        <v>1</v>
      </c>
      <c r="B481" s="31">
        <v>2</v>
      </c>
      <c r="C481" s="31">
        <v>7</v>
      </c>
      <c r="D481" s="32" t="s">
        <v>66</v>
      </c>
      <c r="E481" s="32" t="s">
        <v>28</v>
      </c>
      <c r="F481" s="32" t="s">
        <v>1017</v>
      </c>
      <c r="G481" s="32" t="s">
        <v>300</v>
      </c>
      <c r="H481" s="32" t="s">
        <v>352</v>
      </c>
      <c r="I481" s="31" t="s">
        <v>1018</v>
      </c>
      <c r="J481" s="31">
        <v>1</v>
      </c>
      <c r="K481" s="33" t="s">
        <v>704</v>
      </c>
      <c r="L481" s="33" t="s">
        <v>704</v>
      </c>
      <c r="M481" s="34" t="s">
        <v>722</v>
      </c>
      <c r="N481" s="34" t="s">
        <v>1704</v>
      </c>
      <c r="O481" s="35">
        <v>1</v>
      </c>
      <c r="P481" s="35"/>
      <c r="Q481" s="32"/>
      <c r="S481" s="1">
        <f t="shared" si="157"/>
        <v>1</v>
      </c>
      <c r="T481" s="1">
        <f t="shared" si="158"/>
        <v>0</v>
      </c>
      <c r="U481" s="1">
        <f t="shared" si="159"/>
        <v>0</v>
      </c>
      <c r="V481" s="1">
        <f t="shared" si="160"/>
        <v>0</v>
      </c>
      <c r="W481" s="1">
        <f t="shared" si="161"/>
        <v>0</v>
      </c>
      <c r="X481" s="1">
        <f t="shared" si="162"/>
        <v>0</v>
      </c>
      <c r="Y481" s="1">
        <f t="shared" si="163"/>
        <v>0</v>
      </c>
      <c r="Z481" s="1">
        <f t="shared" si="164"/>
        <v>0</v>
      </c>
      <c r="AA481" s="1">
        <f t="shared" si="165"/>
        <v>0</v>
      </c>
      <c r="AB481" s="1">
        <f t="shared" si="166"/>
        <v>0</v>
      </c>
      <c r="AD481" s="1">
        <f t="shared" si="167"/>
        <v>0</v>
      </c>
      <c r="AE481" s="1">
        <f t="shared" si="168"/>
        <v>1</v>
      </c>
      <c r="AF481" s="1">
        <f t="shared" si="169"/>
        <v>0</v>
      </c>
      <c r="AG481" s="1">
        <f t="shared" si="170"/>
        <v>0</v>
      </c>
      <c r="AH481" s="1">
        <f t="shared" si="171"/>
        <v>0</v>
      </c>
      <c r="AI481" s="1">
        <f t="shared" si="172"/>
        <v>0</v>
      </c>
    </row>
    <row r="482" spans="1:35" ht="14.25" customHeight="1" x14ac:dyDescent="0.25">
      <c r="A482" s="15">
        <v>0</v>
      </c>
      <c r="B482" s="15">
        <v>2</v>
      </c>
      <c r="C482" s="15">
        <v>7</v>
      </c>
      <c r="D482" s="20" t="s">
        <v>1540</v>
      </c>
      <c r="E482" s="20" t="s">
        <v>155</v>
      </c>
      <c r="F482" s="20" t="s">
        <v>1541</v>
      </c>
      <c r="G482" s="16" t="s">
        <v>206</v>
      </c>
      <c r="H482" s="20" t="s">
        <v>352</v>
      </c>
      <c r="I482" s="21" t="s">
        <v>1542</v>
      </c>
      <c r="J482" s="15">
        <v>99</v>
      </c>
      <c r="K482" s="10" t="s">
        <v>703</v>
      </c>
      <c r="L482" s="10" t="s">
        <v>713</v>
      </c>
      <c r="M482" s="19" t="s">
        <v>723</v>
      </c>
      <c r="N482" s="17"/>
      <c r="Q482" s="16"/>
      <c r="S482" s="1">
        <f t="shared" si="157"/>
        <v>0</v>
      </c>
      <c r="T482" s="1">
        <f t="shared" si="158"/>
        <v>0</v>
      </c>
      <c r="U482" s="1">
        <f t="shared" si="159"/>
        <v>0</v>
      </c>
      <c r="V482" s="1">
        <f t="shared" si="160"/>
        <v>0</v>
      </c>
      <c r="W482" s="1">
        <f t="shared" si="161"/>
        <v>0</v>
      </c>
      <c r="X482" s="1">
        <f t="shared" si="162"/>
        <v>0</v>
      </c>
      <c r="Y482" s="1">
        <f t="shared" si="163"/>
        <v>0</v>
      </c>
      <c r="Z482" s="1">
        <f t="shared" si="164"/>
        <v>0</v>
      </c>
      <c r="AA482" s="1">
        <f t="shared" si="165"/>
        <v>0</v>
      </c>
      <c r="AB482" s="1">
        <f t="shared" si="166"/>
        <v>0</v>
      </c>
      <c r="AD482" s="1">
        <f t="shared" si="167"/>
        <v>0</v>
      </c>
      <c r="AE482" s="1">
        <f t="shared" si="168"/>
        <v>0</v>
      </c>
      <c r="AF482" s="1">
        <f t="shared" si="169"/>
        <v>0</v>
      </c>
      <c r="AG482" s="1">
        <f t="shared" si="170"/>
        <v>0</v>
      </c>
      <c r="AH482" s="1">
        <f t="shared" si="171"/>
        <v>0</v>
      </c>
      <c r="AI482" s="1">
        <f t="shared" si="172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73</v>
      </c>
      <c r="E483" s="32" t="s">
        <v>28</v>
      </c>
      <c r="F483" s="32" t="s">
        <v>263</v>
      </c>
      <c r="G483" s="32" t="s">
        <v>193</v>
      </c>
      <c r="H483" s="32" t="s">
        <v>352</v>
      </c>
      <c r="I483" s="31" t="s">
        <v>419</v>
      </c>
      <c r="J483" s="31">
        <v>9</v>
      </c>
      <c r="K483" s="33" t="s">
        <v>703</v>
      </c>
      <c r="L483" s="33" t="s">
        <v>704</v>
      </c>
      <c r="M483" s="34" t="s">
        <v>722</v>
      </c>
      <c r="N483" s="34" t="s">
        <v>1704</v>
      </c>
      <c r="O483" s="35">
        <v>1</v>
      </c>
      <c r="P483" s="35"/>
      <c r="Q483" s="32"/>
      <c r="S483" s="1">
        <f t="shared" si="157"/>
        <v>0</v>
      </c>
      <c r="T483" s="1">
        <f t="shared" si="158"/>
        <v>0</v>
      </c>
      <c r="U483" s="1">
        <f t="shared" si="159"/>
        <v>0</v>
      </c>
      <c r="V483" s="1">
        <f t="shared" si="160"/>
        <v>0</v>
      </c>
      <c r="W483" s="1">
        <f t="shared" si="161"/>
        <v>0</v>
      </c>
      <c r="X483" s="1">
        <f t="shared" si="162"/>
        <v>0</v>
      </c>
      <c r="Y483" s="1">
        <f t="shared" si="163"/>
        <v>0</v>
      </c>
      <c r="Z483" s="1">
        <f t="shared" si="164"/>
        <v>0</v>
      </c>
      <c r="AA483" s="1">
        <f t="shared" si="165"/>
        <v>1</v>
      </c>
      <c r="AB483" s="1">
        <f t="shared" si="166"/>
        <v>0</v>
      </c>
      <c r="AD483" s="1">
        <f t="shared" si="167"/>
        <v>0</v>
      </c>
      <c r="AE483" s="1">
        <f t="shared" si="168"/>
        <v>1</v>
      </c>
      <c r="AF483" s="1">
        <f t="shared" si="169"/>
        <v>0</v>
      </c>
      <c r="AG483" s="1">
        <f t="shared" si="170"/>
        <v>1</v>
      </c>
      <c r="AH483" s="1">
        <f t="shared" si="171"/>
        <v>0</v>
      </c>
      <c r="AI483" s="1">
        <f t="shared" si="172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59</v>
      </c>
      <c r="E484" s="32" t="s">
        <v>162</v>
      </c>
      <c r="F484" s="32" t="s">
        <v>224</v>
      </c>
      <c r="G484" s="32" t="s">
        <v>225</v>
      </c>
      <c r="H484" s="32" t="s">
        <v>352</v>
      </c>
      <c r="I484" s="31" t="s">
        <v>396</v>
      </c>
      <c r="J484" s="31">
        <v>99</v>
      </c>
      <c r="K484" s="33" t="s">
        <v>704</v>
      </c>
      <c r="L484" s="33" t="s">
        <v>713</v>
      </c>
      <c r="M484" s="34" t="s">
        <v>723</v>
      </c>
      <c r="N484" s="34" t="s">
        <v>1710</v>
      </c>
      <c r="O484" s="35">
        <v>1</v>
      </c>
      <c r="P484" s="35"/>
      <c r="Q484" s="32"/>
      <c r="S484" s="1">
        <f t="shared" si="157"/>
        <v>0</v>
      </c>
      <c r="T484" s="1">
        <f t="shared" si="158"/>
        <v>0</v>
      </c>
      <c r="U484" s="1">
        <f t="shared" si="159"/>
        <v>0</v>
      </c>
      <c r="V484" s="1">
        <f t="shared" si="160"/>
        <v>0</v>
      </c>
      <c r="W484" s="1">
        <f t="shared" si="161"/>
        <v>0</v>
      </c>
      <c r="X484" s="1">
        <f t="shared" si="162"/>
        <v>0</v>
      </c>
      <c r="Y484" s="1">
        <f t="shared" si="163"/>
        <v>0</v>
      </c>
      <c r="Z484" s="1">
        <f t="shared" si="164"/>
        <v>0</v>
      </c>
      <c r="AA484" s="1">
        <f t="shared" si="165"/>
        <v>0</v>
      </c>
      <c r="AB484" s="1">
        <f t="shared" si="166"/>
        <v>0</v>
      </c>
      <c r="AD484" s="1">
        <f t="shared" si="167"/>
        <v>0</v>
      </c>
      <c r="AE484" s="1">
        <f t="shared" si="168"/>
        <v>1</v>
      </c>
      <c r="AF484" s="1">
        <f t="shared" si="169"/>
        <v>0</v>
      </c>
      <c r="AG484" s="1">
        <f t="shared" si="170"/>
        <v>1</v>
      </c>
      <c r="AH484" s="1">
        <f t="shared" si="171"/>
        <v>0</v>
      </c>
      <c r="AI484" s="1">
        <f t="shared" si="172"/>
        <v>1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1056</v>
      </c>
      <c r="E485" s="32" t="s">
        <v>155</v>
      </c>
      <c r="F485" s="32" t="s">
        <v>1057</v>
      </c>
      <c r="G485" s="32" t="s">
        <v>219</v>
      </c>
      <c r="H485" s="32" t="s">
        <v>352</v>
      </c>
      <c r="I485" s="31" t="s">
        <v>1058</v>
      </c>
      <c r="J485" s="31">
        <v>8</v>
      </c>
      <c r="K485" s="33" t="s">
        <v>703</v>
      </c>
      <c r="L485" s="33" t="s">
        <v>713</v>
      </c>
      <c r="M485" s="34" t="s">
        <v>723</v>
      </c>
      <c r="N485" s="34" t="s">
        <v>1708</v>
      </c>
      <c r="O485" s="35">
        <v>1</v>
      </c>
      <c r="P485" s="35"/>
      <c r="Q485" s="32"/>
      <c r="S485" s="1">
        <f t="shared" si="157"/>
        <v>0</v>
      </c>
      <c r="T485" s="1">
        <f t="shared" si="158"/>
        <v>0</v>
      </c>
      <c r="U485" s="1">
        <f t="shared" si="159"/>
        <v>0</v>
      </c>
      <c r="V485" s="1">
        <f t="shared" si="160"/>
        <v>0</v>
      </c>
      <c r="W485" s="1">
        <f t="shared" si="161"/>
        <v>0</v>
      </c>
      <c r="X485" s="1">
        <f t="shared" si="162"/>
        <v>0</v>
      </c>
      <c r="Y485" s="1">
        <f t="shared" si="163"/>
        <v>0</v>
      </c>
      <c r="Z485" s="1">
        <f t="shared" si="164"/>
        <v>1</v>
      </c>
      <c r="AA485" s="1">
        <f t="shared" si="165"/>
        <v>0</v>
      </c>
      <c r="AB485" s="1">
        <f t="shared" si="166"/>
        <v>0</v>
      </c>
      <c r="AD485" s="1">
        <f t="shared" si="167"/>
        <v>0</v>
      </c>
      <c r="AE485" s="1">
        <f t="shared" si="168"/>
        <v>1</v>
      </c>
      <c r="AF485" s="1">
        <f t="shared" si="169"/>
        <v>0</v>
      </c>
      <c r="AG485" s="1">
        <f t="shared" si="170"/>
        <v>1</v>
      </c>
      <c r="AH485" s="1">
        <f t="shared" si="171"/>
        <v>0</v>
      </c>
      <c r="AI485" s="1">
        <f t="shared" si="172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81</v>
      </c>
      <c r="E486" s="32" t="s">
        <v>155</v>
      </c>
      <c r="F486" s="32" t="s">
        <v>272</v>
      </c>
      <c r="G486" s="32" t="s">
        <v>253</v>
      </c>
      <c r="H486" s="32" t="s">
        <v>352</v>
      </c>
      <c r="I486" s="31" t="s">
        <v>426</v>
      </c>
      <c r="J486" s="31">
        <v>99</v>
      </c>
      <c r="K486" s="33" t="s">
        <v>704</v>
      </c>
      <c r="L486" s="33" t="s">
        <v>724</v>
      </c>
      <c r="M486" s="34" t="s">
        <v>725</v>
      </c>
      <c r="N486" s="34" t="s">
        <v>1716</v>
      </c>
      <c r="O486" s="35">
        <v>1</v>
      </c>
      <c r="P486" s="35"/>
      <c r="Q486" s="32"/>
      <c r="S486" s="1">
        <f t="shared" si="157"/>
        <v>0</v>
      </c>
      <c r="T486" s="1">
        <f t="shared" si="158"/>
        <v>0</v>
      </c>
      <c r="U486" s="1">
        <f t="shared" si="159"/>
        <v>0</v>
      </c>
      <c r="V486" s="1">
        <f t="shared" si="160"/>
        <v>0</v>
      </c>
      <c r="W486" s="1">
        <f t="shared" si="161"/>
        <v>0</v>
      </c>
      <c r="X486" s="1">
        <f t="shared" si="162"/>
        <v>0</v>
      </c>
      <c r="Y486" s="1">
        <f t="shared" si="163"/>
        <v>0</v>
      </c>
      <c r="Z486" s="1">
        <f t="shared" si="164"/>
        <v>0</v>
      </c>
      <c r="AA486" s="1">
        <f t="shared" si="165"/>
        <v>0</v>
      </c>
      <c r="AB486" s="1">
        <f t="shared" si="166"/>
        <v>0</v>
      </c>
      <c r="AD486" s="1">
        <f t="shared" si="167"/>
        <v>0</v>
      </c>
      <c r="AE486" s="1">
        <f t="shared" si="168"/>
        <v>1</v>
      </c>
      <c r="AF486" s="1">
        <f t="shared" si="169"/>
        <v>0</v>
      </c>
      <c r="AG486" s="1">
        <f t="shared" si="170"/>
        <v>1</v>
      </c>
      <c r="AH486" s="1">
        <f t="shared" si="171"/>
        <v>0</v>
      </c>
      <c r="AI486" s="1">
        <f t="shared" si="172"/>
        <v>1</v>
      </c>
    </row>
    <row r="487" spans="1:35" ht="14.25" customHeight="1" x14ac:dyDescent="0.25">
      <c r="A487" s="37">
        <v>0</v>
      </c>
      <c r="B487" s="37">
        <v>2</v>
      </c>
      <c r="C487" s="37">
        <v>7</v>
      </c>
      <c r="D487" s="36" t="s">
        <v>1735</v>
      </c>
      <c r="E487" s="36" t="s">
        <v>1736</v>
      </c>
      <c r="F487" s="36" t="s">
        <v>1737</v>
      </c>
      <c r="G487" s="36" t="s">
        <v>189</v>
      </c>
      <c r="H487" s="36" t="s">
        <v>352</v>
      </c>
      <c r="I487" s="37"/>
      <c r="J487" s="37"/>
      <c r="K487" s="33" t="s">
        <v>694</v>
      </c>
      <c r="L487" s="33"/>
      <c r="M487" s="34"/>
      <c r="N487" s="34" t="s">
        <v>1693</v>
      </c>
      <c r="O487" s="35">
        <v>1</v>
      </c>
      <c r="P487" s="35">
        <v>1</v>
      </c>
      <c r="Q487" s="36"/>
      <c r="S487" s="1">
        <f t="shared" si="157"/>
        <v>0</v>
      </c>
      <c r="T487" s="1">
        <f t="shared" si="158"/>
        <v>0</v>
      </c>
      <c r="U487" s="1">
        <f t="shared" si="159"/>
        <v>0</v>
      </c>
      <c r="V487" s="1">
        <f t="shared" si="160"/>
        <v>0</v>
      </c>
      <c r="W487" s="1">
        <f t="shared" si="161"/>
        <v>0</v>
      </c>
      <c r="X487" s="1">
        <f t="shared" si="162"/>
        <v>0</v>
      </c>
      <c r="Y487" s="1">
        <f t="shared" si="163"/>
        <v>0</v>
      </c>
      <c r="Z487" s="1">
        <f t="shared" si="164"/>
        <v>0</v>
      </c>
      <c r="AA487" s="1">
        <f t="shared" si="165"/>
        <v>0</v>
      </c>
      <c r="AB487" s="1">
        <f t="shared" si="166"/>
        <v>0</v>
      </c>
      <c r="AD487" s="1">
        <f t="shared" si="167"/>
        <v>1</v>
      </c>
      <c r="AE487" s="1">
        <f t="shared" si="168"/>
        <v>0</v>
      </c>
      <c r="AF487" s="1">
        <f t="shared" si="169"/>
        <v>1</v>
      </c>
      <c r="AG487" s="1">
        <f t="shared" si="170"/>
        <v>0</v>
      </c>
      <c r="AH487" s="1">
        <f t="shared" si="171"/>
        <v>1</v>
      </c>
      <c r="AI487" s="1">
        <f t="shared" si="172"/>
        <v>0</v>
      </c>
    </row>
    <row r="488" spans="1:35" ht="14.25" customHeight="1" x14ac:dyDescent="0.25">
      <c r="A488" s="37">
        <v>0</v>
      </c>
      <c r="B488" s="37">
        <v>2</v>
      </c>
      <c r="C488" s="37">
        <v>7</v>
      </c>
      <c r="D488" s="36" t="s">
        <v>510</v>
      </c>
      <c r="E488" s="36" t="s">
        <v>155</v>
      </c>
      <c r="F488" s="36" t="s">
        <v>567</v>
      </c>
      <c r="G488" s="36" t="s">
        <v>319</v>
      </c>
      <c r="H488" s="36" t="s">
        <v>352</v>
      </c>
      <c r="I488" s="37" t="s">
        <v>573</v>
      </c>
      <c r="J488" s="37">
        <v>99</v>
      </c>
      <c r="K488" s="33" t="s">
        <v>935</v>
      </c>
      <c r="L488" s="33" t="s">
        <v>713</v>
      </c>
      <c r="M488" s="34" t="s">
        <v>723</v>
      </c>
      <c r="N488" s="34" t="s">
        <v>1721</v>
      </c>
      <c r="O488" s="35">
        <v>1</v>
      </c>
      <c r="P488" s="35"/>
      <c r="Q488" s="36"/>
      <c r="S488" s="1">
        <f t="shared" si="157"/>
        <v>0</v>
      </c>
      <c r="T488" s="1">
        <f t="shared" si="158"/>
        <v>0</v>
      </c>
      <c r="U488" s="1">
        <f t="shared" si="159"/>
        <v>0</v>
      </c>
      <c r="V488" s="1">
        <f t="shared" si="160"/>
        <v>0</v>
      </c>
      <c r="W488" s="1">
        <f t="shared" si="161"/>
        <v>0</v>
      </c>
      <c r="X488" s="1">
        <f t="shared" si="162"/>
        <v>0</v>
      </c>
      <c r="Y488" s="1">
        <f t="shared" si="163"/>
        <v>0</v>
      </c>
      <c r="Z488" s="1">
        <f t="shared" si="164"/>
        <v>0</v>
      </c>
      <c r="AA488" s="1">
        <f t="shared" si="165"/>
        <v>0</v>
      </c>
      <c r="AB488" s="1">
        <f t="shared" si="166"/>
        <v>0</v>
      </c>
      <c r="AD488" s="1">
        <f t="shared" si="167"/>
        <v>0</v>
      </c>
      <c r="AE488" s="1">
        <f t="shared" si="168"/>
        <v>1</v>
      </c>
      <c r="AF488" s="1">
        <f t="shared" si="169"/>
        <v>0</v>
      </c>
      <c r="AG488" s="1">
        <f t="shared" si="170"/>
        <v>1</v>
      </c>
      <c r="AH488" s="1">
        <f t="shared" si="171"/>
        <v>0</v>
      </c>
      <c r="AI488" s="1">
        <f t="shared" si="172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74</v>
      </c>
      <c r="E489" s="32" t="s">
        <v>155</v>
      </c>
      <c r="F489" s="32" t="s">
        <v>667</v>
      </c>
      <c r="G489" s="32" t="s">
        <v>264</v>
      </c>
      <c r="H489" s="32" t="s">
        <v>352</v>
      </c>
      <c r="I489" s="31" t="s">
        <v>420</v>
      </c>
      <c r="J489" s="31">
        <v>99</v>
      </c>
      <c r="K489" s="33" t="s">
        <v>703</v>
      </c>
      <c r="L489" s="33" t="s">
        <v>720</v>
      </c>
      <c r="M489" s="34" t="s">
        <v>723</v>
      </c>
      <c r="N489" s="34" t="s">
        <v>1704</v>
      </c>
      <c r="O489" s="35">
        <v>1</v>
      </c>
      <c r="P489" s="35"/>
      <c r="Q489" s="32"/>
      <c r="S489" s="1">
        <f t="shared" si="157"/>
        <v>0</v>
      </c>
      <c r="T489" s="1">
        <f t="shared" si="158"/>
        <v>0</v>
      </c>
      <c r="U489" s="1">
        <f t="shared" si="159"/>
        <v>0</v>
      </c>
      <c r="V489" s="1">
        <f t="shared" si="160"/>
        <v>0</v>
      </c>
      <c r="W489" s="1">
        <f t="shared" si="161"/>
        <v>0</v>
      </c>
      <c r="X489" s="1">
        <f t="shared" si="162"/>
        <v>0</v>
      </c>
      <c r="Y489" s="1">
        <f t="shared" si="163"/>
        <v>0</v>
      </c>
      <c r="Z489" s="1">
        <f t="shared" si="164"/>
        <v>0</v>
      </c>
      <c r="AA489" s="1">
        <f t="shared" si="165"/>
        <v>0</v>
      </c>
      <c r="AB489" s="1">
        <f t="shared" si="166"/>
        <v>0</v>
      </c>
      <c r="AD489" s="1">
        <f t="shared" si="167"/>
        <v>0</v>
      </c>
      <c r="AE489" s="1">
        <f t="shared" si="168"/>
        <v>1</v>
      </c>
      <c r="AF489" s="1">
        <f t="shared" si="169"/>
        <v>0</v>
      </c>
      <c r="AG489" s="1">
        <f t="shared" si="170"/>
        <v>1</v>
      </c>
      <c r="AH489" s="1">
        <f t="shared" si="171"/>
        <v>0</v>
      </c>
      <c r="AI489" s="1">
        <f t="shared" si="172"/>
        <v>1</v>
      </c>
    </row>
    <row r="490" spans="1:35" ht="14.25" customHeight="1" x14ac:dyDescent="0.25">
      <c r="A490" s="15">
        <v>0</v>
      </c>
      <c r="B490" s="15">
        <v>2</v>
      </c>
      <c r="C490" s="15">
        <v>7</v>
      </c>
      <c r="D490" s="20" t="s">
        <v>1817</v>
      </c>
      <c r="E490" s="16" t="s">
        <v>155</v>
      </c>
      <c r="F490" s="20" t="s">
        <v>1818</v>
      </c>
      <c r="G490" s="20" t="s">
        <v>281</v>
      </c>
      <c r="H490" s="20" t="s">
        <v>352</v>
      </c>
      <c r="I490" s="21" t="s">
        <v>1819</v>
      </c>
      <c r="J490" s="15">
        <v>99</v>
      </c>
      <c r="K490" s="10" t="s">
        <v>694</v>
      </c>
      <c r="L490" s="10" t="s">
        <v>713</v>
      </c>
      <c r="M490" s="19" t="s">
        <v>723</v>
      </c>
      <c r="N490" s="19"/>
      <c r="Q490" s="20"/>
      <c r="S490" s="1">
        <f t="shared" si="157"/>
        <v>0</v>
      </c>
      <c r="T490" s="1">
        <f t="shared" si="158"/>
        <v>0</v>
      </c>
      <c r="U490" s="1">
        <f t="shared" si="159"/>
        <v>0</v>
      </c>
      <c r="V490" s="1">
        <f t="shared" si="160"/>
        <v>0</v>
      </c>
      <c r="W490" s="1">
        <f t="shared" si="161"/>
        <v>0</v>
      </c>
      <c r="X490" s="1">
        <f t="shared" si="162"/>
        <v>0</v>
      </c>
      <c r="Y490" s="1">
        <f t="shared" si="163"/>
        <v>0</v>
      </c>
      <c r="Z490" s="1">
        <f t="shared" si="164"/>
        <v>0</v>
      </c>
      <c r="AA490" s="1">
        <f t="shared" si="165"/>
        <v>0</v>
      </c>
      <c r="AB490" s="1">
        <f t="shared" si="166"/>
        <v>0</v>
      </c>
      <c r="AD490" s="1">
        <f t="shared" si="167"/>
        <v>0</v>
      </c>
      <c r="AE490" s="1">
        <f t="shared" si="168"/>
        <v>0</v>
      </c>
      <c r="AF490" s="1">
        <f t="shared" si="169"/>
        <v>0</v>
      </c>
      <c r="AG490" s="1">
        <f t="shared" si="170"/>
        <v>0</v>
      </c>
      <c r="AH490" s="1">
        <f t="shared" si="171"/>
        <v>0</v>
      </c>
      <c r="AI490" s="1">
        <f t="shared" si="172"/>
        <v>1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60</v>
      </c>
      <c r="E491" s="32" t="s">
        <v>162</v>
      </c>
      <c r="F491" s="32" t="s">
        <v>226</v>
      </c>
      <c r="G491" s="32" t="s">
        <v>189</v>
      </c>
      <c r="H491" s="32" t="s">
        <v>352</v>
      </c>
      <c r="I491" s="31" t="s">
        <v>397</v>
      </c>
      <c r="J491" s="31">
        <v>99</v>
      </c>
      <c r="K491" s="33" t="s">
        <v>704</v>
      </c>
      <c r="L491" s="33" t="s">
        <v>713</v>
      </c>
      <c r="M491" s="34" t="s">
        <v>723</v>
      </c>
      <c r="N491" s="34" t="s">
        <v>1708</v>
      </c>
      <c r="O491" s="35">
        <v>1</v>
      </c>
      <c r="P491" s="35"/>
      <c r="Q491" s="32"/>
      <c r="S491" s="1">
        <f t="shared" si="157"/>
        <v>0</v>
      </c>
      <c r="T491" s="1">
        <f t="shared" si="158"/>
        <v>0</v>
      </c>
      <c r="U491" s="1">
        <f t="shared" si="159"/>
        <v>0</v>
      </c>
      <c r="V491" s="1">
        <f t="shared" si="160"/>
        <v>0</v>
      </c>
      <c r="W491" s="1">
        <f t="shared" si="161"/>
        <v>0</v>
      </c>
      <c r="X491" s="1">
        <f t="shared" si="162"/>
        <v>0</v>
      </c>
      <c r="Y491" s="1">
        <f t="shared" si="163"/>
        <v>0</v>
      </c>
      <c r="Z491" s="1">
        <f t="shared" si="164"/>
        <v>0</v>
      </c>
      <c r="AA491" s="1">
        <f t="shared" si="165"/>
        <v>0</v>
      </c>
      <c r="AB491" s="1">
        <f t="shared" si="166"/>
        <v>0</v>
      </c>
      <c r="AD491" s="1">
        <f t="shared" si="167"/>
        <v>0</v>
      </c>
      <c r="AE491" s="1">
        <f t="shared" si="168"/>
        <v>1</v>
      </c>
      <c r="AF491" s="1">
        <f t="shared" si="169"/>
        <v>0</v>
      </c>
      <c r="AG491" s="1">
        <f t="shared" si="170"/>
        <v>1</v>
      </c>
      <c r="AH491" s="1">
        <f t="shared" si="171"/>
        <v>0</v>
      </c>
      <c r="AI491" s="1">
        <f t="shared" si="172"/>
        <v>1</v>
      </c>
    </row>
    <row r="492" spans="1:35" ht="14.25" customHeight="1" x14ac:dyDescent="0.25">
      <c r="A492" s="31">
        <v>0</v>
      </c>
      <c r="B492" s="31">
        <v>2</v>
      </c>
      <c r="C492" s="31">
        <v>7</v>
      </c>
      <c r="D492" s="32" t="s">
        <v>1303</v>
      </c>
      <c r="E492" s="32" t="s">
        <v>155</v>
      </c>
      <c r="F492" s="32" t="s">
        <v>1121</v>
      </c>
      <c r="G492" s="32" t="s">
        <v>191</v>
      </c>
      <c r="H492" s="32" t="s">
        <v>352</v>
      </c>
      <c r="I492" s="31" t="s">
        <v>1340</v>
      </c>
      <c r="J492" s="31">
        <v>99</v>
      </c>
      <c r="K492" s="33" t="s">
        <v>703</v>
      </c>
      <c r="L492" s="33" t="s">
        <v>39</v>
      </c>
      <c r="M492" s="34" t="s">
        <v>39</v>
      </c>
      <c r="N492" s="34" t="s">
        <v>1693</v>
      </c>
      <c r="O492" s="35">
        <v>1</v>
      </c>
      <c r="P492" s="35">
        <v>1</v>
      </c>
      <c r="Q492" s="32"/>
      <c r="S492" s="1">
        <f t="shared" si="157"/>
        <v>0</v>
      </c>
      <c r="T492" s="1">
        <f t="shared" si="158"/>
        <v>0</v>
      </c>
      <c r="U492" s="1">
        <f t="shared" si="159"/>
        <v>0</v>
      </c>
      <c r="V492" s="1">
        <f t="shared" si="160"/>
        <v>0</v>
      </c>
      <c r="W492" s="1">
        <f t="shared" si="161"/>
        <v>0</v>
      </c>
      <c r="X492" s="1">
        <f t="shared" si="162"/>
        <v>0</v>
      </c>
      <c r="Y492" s="1">
        <f t="shared" si="163"/>
        <v>0</v>
      </c>
      <c r="Z492" s="1">
        <f t="shared" si="164"/>
        <v>0</v>
      </c>
      <c r="AA492" s="1">
        <f t="shared" si="165"/>
        <v>0</v>
      </c>
      <c r="AB492" s="1">
        <f t="shared" si="166"/>
        <v>0</v>
      </c>
      <c r="AD492" s="1">
        <f t="shared" si="167"/>
        <v>1</v>
      </c>
      <c r="AE492" s="1">
        <f t="shared" si="168"/>
        <v>0</v>
      </c>
      <c r="AF492" s="1">
        <f t="shared" si="169"/>
        <v>1</v>
      </c>
      <c r="AG492" s="1">
        <f t="shared" si="170"/>
        <v>0</v>
      </c>
      <c r="AH492" s="1">
        <f t="shared" si="171"/>
        <v>1</v>
      </c>
      <c r="AI492" s="1">
        <f t="shared" si="172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581</v>
      </c>
      <c r="E493" s="32" t="s">
        <v>1311</v>
      </c>
      <c r="F493" s="32" t="s">
        <v>668</v>
      </c>
      <c r="G493" s="32" t="s">
        <v>239</v>
      </c>
      <c r="H493" s="32" t="s">
        <v>352</v>
      </c>
      <c r="I493" s="31" t="s">
        <v>403</v>
      </c>
      <c r="J493" s="31">
        <v>1</v>
      </c>
      <c r="K493" s="33" t="s">
        <v>704</v>
      </c>
      <c r="L493" s="33" t="s">
        <v>1677</v>
      </c>
      <c r="M493" s="34" t="s">
        <v>1408</v>
      </c>
      <c r="N493" s="34" t="s">
        <v>1708</v>
      </c>
      <c r="O493" s="35">
        <v>1</v>
      </c>
      <c r="P493" s="35"/>
      <c r="Q493" s="32"/>
      <c r="S493" s="1">
        <f t="shared" si="157"/>
        <v>1</v>
      </c>
      <c r="T493" s="1">
        <f t="shared" si="158"/>
        <v>0</v>
      </c>
      <c r="U493" s="1">
        <f t="shared" si="159"/>
        <v>0</v>
      </c>
      <c r="V493" s="1">
        <f t="shared" si="160"/>
        <v>0</v>
      </c>
      <c r="W493" s="1">
        <f t="shared" si="161"/>
        <v>0</v>
      </c>
      <c r="X493" s="1">
        <f t="shared" si="162"/>
        <v>0</v>
      </c>
      <c r="Y493" s="1">
        <f t="shared" si="163"/>
        <v>0</v>
      </c>
      <c r="Z493" s="1">
        <f t="shared" si="164"/>
        <v>0</v>
      </c>
      <c r="AA493" s="1">
        <f t="shared" si="165"/>
        <v>0</v>
      </c>
      <c r="AB493" s="1">
        <f t="shared" si="166"/>
        <v>0</v>
      </c>
      <c r="AD493" s="1">
        <f t="shared" si="167"/>
        <v>0</v>
      </c>
      <c r="AE493" s="1">
        <f t="shared" si="168"/>
        <v>1</v>
      </c>
      <c r="AF493" s="1">
        <f t="shared" si="169"/>
        <v>0</v>
      </c>
      <c r="AG493" s="1">
        <f t="shared" si="170"/>
        <v>1</v>
      </c>
      <c r="AH493" s="1">
        <f t="shared" si="171"/>
        <v>0</v>
      </c>
      <c r="AI493" s="1">
        <f t="shared" si="172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581</v>
      </c>
      <c r="E494" s="32" t="s">
        <v>1311</v>
      </c>
      <c r="F494" s="32" t="s">
        <v>238</v>
      </c>
      <c r="G494" s="32" t="s">
        <v>177</v>
      </c>
      <c r="H494" s="32" t="s">
        <v>352</v>
      </c>
      <c r="I494" s="31" t="s">
        <v>402</v>
      </c>
      <c r="J494" s="31">
        <v>1</v>
      </c>
      <c r="K494" s="33" t="s">
        <v>704</v>
      </c>
      <c r="L494" s="33" t="s">
        <v>1677</v>
      </c>
      <c r="M494" s="34" t="s">
        <v>1408</v>
      </c>
      <c r="N494" s="34" t="s">
        <v>1708</v>
      </c>
      <c r="O494" s="35">
        <v>1</v>
      </c>
      <c r="P494" s="35"/>
      <c r="Q494" s="36" t="s">
        <v>1869</v>
      </c>
      <c r="S494" s="1">
        <f t="shared" si="157"/>
        <v>1</v>
      </c>
      <c r="T494" s="1">
        <f t="shared" si="158"/>
        <v>0</v>
      </c>
      <c r="U494" s="1">
        <f t="shared" si="159"/>
        <v>0</v>
      </c>
      <c r="V494" s="1">
        <f t="shared" si="160"/>
        <v>0</v>
      </c>
      <c r="W494" s="1">
        <f t="shared" si="161"/>
        <v>0</v>
      </c>
      <c r="X494" s="1">
        <f t="shared" si="162"/>
        <v>0</v>
      </c>
      <c r="Y494" s="1">
        <f t="shared" si="163"/>
        <v>0</v>
      </c>
      <c r="Z494" s="1">
        <f t="shared" si="164"/>
        <v>0</v>
      </c>
      <c r="AA494" s="1">
        <f t="shared" si="165"/>
        <v>0</v>
      </c>
      <c r="AB494" s="1">
        <f t="shared" si="166"/>
        <v>0</v>
      </c>
      <c r="AD494" s="1">
        <f t="shared" si="167"/>
        <v>0</v>
      </c>
      <c r="AE494" s="1">
        <f t="shared" si="168"/>
        <v>1</v>
      </c>
      <c r="AF494" s="1">
        <f t="shared" si="169"/>
        <v>0</v>
      </c>
      <c r="AG494" s="1">
        <f t="shared" si="170"/>
        <v>0</v>
      </c>
      <c r="AH494" s="1">
        <f t="shared" si="171"/>
        <v>0</v>
      </c>
      <c r="AI494" s="1">
        <f t="shared" si="172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1304</v>
      </c>
      <c r="E495" s="32" t="s">
        <v>155</v>
      </c>
      <c r="F495" s="32" t="s">
        <v>1328</v>
      </c>
      <c r="G495" s="32" t="s">
        <v>257</v>
      </c>
      <c r="H495" s="32" t="s">
        <v>352</v>
      </c>
      <c r="I495" s="31" t="s">
        <v>1214</v>
      </c>
      <c r="J495" s="31">
        <v>8</v>
      </c>
      <c r="K495" s="33" t="s">
        <v>936</v>
      </c>
      <c r="L495" s="33" t="s">
        <v>713</v>
      </c>
      <c r="M495" s="34" t="s">
        <v>723</v>
      </c>
      <c r="N495" s="34" t="s">
        <v>1708</v>
      </c>
      <c r="O495" s="35">
        <v>1</v>
      </c>
      <c r="P495" s="35"/>
      <c r="Q495" s="32"/>
      <c r="S495" s="1">
        <f t="shared" si="157"/>
        <v>0</v>
      </c>
      <c r="T495" s="1">
        <f t="shared" si="158"/>
        <v>0</v>
      </c>
      <c r="U495" s="1">
        <f t="shared" si="159"/>
        <v>0</v>
      </c>
      <c r="V495" s="1">
        <f t="shared" si="160"/>
        <v>0</v>
      </c>
      <c r="W495" s="1">
        <f t="shared" si="161"/>
        <v>0</v>
      </c>
      <c r="X495" s="1">
        <f t="shared" si="162"/>
        <v>0</v>
      </c>
      <c r="Y495" s="1">
        <f t="shared" si="163"/>
        <v>0</v>
      </c>
      <c r="Z495" s="1">
        <f t="shared" si="164"/>
        <v>1</v>
      </c>
      <c r="AA495" s="1">
        <f t="shared" si="165"/>
        <v>0</v>
      </c>
      <c r="AB495" s="1">
        <f t="shared" si="166"/>
        <v>0</v>
      </c>
      <c r="AD495" s="1">
        <f t="shared" si="167"/>
        <v>0</v>
      </c>
      <c r="AE495" s="1">
        <f t="shared" si="168"/>
        <v>1</v>
      </c>
      <c r="AF495" s="1">
        <f t="shared" si="169"/>
        <v>0</v>
      </c>
      <c r="AG495" s="1">
        <f t="shared" si="170"/>
        <v>1</v>
      </c>
      <c r="AH495" s="1">
        <f t="shared" si="171"/>
        <v>0</v>
      </c>
      <c r="AI495" s="1">
        <f t="shared" si="172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1304</v>
      </c>
      <c r="E496" s="32" t="s">
        <v>155</v>
      </c>
      <c r="F496" s="32" t="s">
        <v>1193</v>
      </c>
      <c r="G496" s="32" t="s">
        <v>217</v>
      </c>
      <c r="H496" s="32" t="s">
        <v>352</v>
      </c>
      <c r="I496" s="31" t="s">
        <v>1214</v>
      </c>
      <c r="J496" s="31">
        <v>99</v>
      </c>
      <c r="K496" s="33" t="s">
        <v>936</v>
      </c>
      <c r="L496" s="33" t="s">
        <v>713</v>
      </c>
      <c r="M496" s="34" t="s">
        <v>723</v>
      </c>
      <c r="N496" s="34" t="s">
        <v>1708</v>
      </c>
      <c r="O496" s="35">
        <v>1</v>
      </c>
      <c r="P496" s="35"/>
      <c r="Q496" s="32"/>
      <c r="S496" s="1">
        <f t="shared" si="157"/>
        <v>0</v>
      </c>
      <c r="T496" s="1">
        <f t="shared" si="158"/>
        <v>0</v>
      </c>
      <c r="U496" s="1">
        <f t="shared" si="159"/>
        <v>0</v>
      </c>
      <c r="V496" s="1">
        <f t="shared" si="160"/>
        <v>0</v>
      </c>
      <c r="W496" s="1">
        <f t="shared" si="161"/>
        <v>0</v>
      </c>
      <c r="X496" s="1">
        <f t="shared" si="162"/>
        <v>0</v>
      </c>
      <c r="Y496" s="1">
        <f t="shared" si="163"/>
        <v>0</v>
      </c>
      <c r="Z496" s="1">
        <f t="shared" si="164"/>
        <v>0</v>
      </c>
      <c r="AA496" s="1">
        <f t="shared" si="165"/>
        <v>0</v>
      </c>
      <c r="AB496" s="1">
        <f t="shared" si="166"/>
        <v>0</v>
      </c>
      <c r="AD496" s="1">
        <f t="shared" si="167"/>
        <v>0</v>
      </c>
      <c r="AE496" s="1">
        <f t="shared" si="168"/>
        <v>1</v>
      </c>
      <c r="AF496" s="1">
        <f t="shared" si="169"/>
        <v>0</v>
      </c>
      <c r="AG496" s="1">
        <f t="shared" si="170"/>
        <v>0</v>
      </c>
      <c r="AH496" s="1">
        <f t="shared" si="171"/>
        <v>0</v>
      </c>
      <c r="AI496" s="1">
        <f t="shared" si="172"/>
        <v>0</v>
      </c>
    </row>
    <row r="497" spans="1:35" ht="14.25" customHeight="1" x14ac:dyDescent="0.25">
      <c r="A497" s="31">
        <v>0</v>
      </c>
      <c r="B497" s="31">
        <v>2</v>
      </c>
      <c r="C497" s="31">
        <v>7</v>
      </c>
      <c r="D497" s="32" t="s">
        <v>1223</v>
      </c>
      <c r="E497" s="32" t="s">
        <v>155</v>
      </c>
      <c r="F497" s="32" t="s">
        <v>1225</v>
      </c>
      <c r="G497" s="32" t="s">
        <v>219</v>
      </c>
      <c r="H497" s="32" t="s">
        <v>352</v>
      </c>
      <c r="I497" s="31" t="s">
        <v>1341</v>
      </c>
      <c r="J497" s="31">
        <v>8</v>
      </c>
      <c r="K497" s="33" t="s">
        <v>935</v>
      </c>
      <c r="L497" s="33" t="s">
        <v>713</v>
      </c>
      <c r="M497" s="34" t="s">
        <v>723</v>
      </c>
      <c r="N497" s="34" t="s">
        <v>1704</v>
      </c>
      <c r="O497" s="35">
        <v>1</v>
      </c>
      <c r="P497" s="35"/>
      <c r="Q497" s="32"/>
      <c r="S497" s="1">
        <f t="shared" si="157"/>
        <v>0</v>
      </c>
      <c r="T497" s="1">
        <f t="shared" si="158"/>
        <v>0</v>
      </c>
      <c r="U497" s="1">
        <f t="shared" si="159"/>
        <v>0</v>
      </c>
      <c r="V497" s="1">
        <f t="shared" si="160"/>
        <v>0</v>
      </c>
      <c r="W497" s="1">
        <f t="shared" si="161"/>
        <v>0</v>
      </c>
      <c r="X497" s="1">
        <f t="shared" si="162"/>
        <v>0</v>
      </c>
      <c r="Y497" s="1">
        <f t="shared" si="163"/>
        <v>0</v>
      </c>
      <c r="Z497" s="1">
        <f t="shared" si="164"/>
        <v>1</v>
      </c>
      <c r="AA497" s="1">
        <f t="shared" si="165"/>
        <v>0</v>
      </c>
      <c r="AB497" s="1">
        <f t="shared" si="166"/>
        <v>0</v>
      </c>
      <c r="AD497" s="1">
        <f t="shared" si="167"/>
        <v>0</v>
      </c>
      <c r="AE497" s="1">
        <f t="shared" si="168"/>
        <v>1</v>
      </c>
      <c r="AF497" s="1">
        <f t="shared" si="169"/>
        <v>0</v>
      </c>
      <c r="AG497" s="1">
        <f t="shared" si="170"/>
        <v>1</v>
      </c>
      <c r="AH497" s="1">
        <f t="shared" si="171"/>
        <v>0</v>
      </c>
      <c r="AI497" s="1">
        <f t="shared" si="172"/>
        <v>1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1223</v>
      </c>
      <c r="E498" s="32" t="s">
        <v>155</v>
      </c>
      <c r="F498" s="32" t="s">
        <v>1329</v>
      </c>
      <c r="G498" s="32" t="s">
        <v>39</v>
      </c>
      <c r="H498" s="32" t="s">
        <v>353</v>
      </c>
      <c r="I498" s="31" t="s">
        <v>1224</v>
      </c>
      <c r="J498" s="31">
        <v>99</v>
      </c>
      <c r="K498" s="33" t="s">
        <v>935</v>
      </c>
      <c r="L498" s="33" t="s">
        <v>713</v>
      </c>
      <c r="M498" s="34" t="s">
        <v>723</v>
      </c>
      <c r="N498" s="34" t="s">
        <v>1704</v>
      </c>
      <c r="O498" s="35">
        <v>1</v>
      </c>
      <c r="P498" s="35"/>
      <c r="Q498" s="32" t="s">
        <v>1862</v>
      </c>
      <c r="S498" s="1">
        <f t="shared" si="157"/>
        <v>0</v>
      </c>
      <c r="T498" s="1">
        <f t="shared" si="158"/>
        <v>0</v>
      </c>
      <c r="U498" s="1">
        <f t="shared" si="159"/>
        <v>0</v>
      </c>
      <c r="V498" s="1">
        <f t="shared" si="160"/>
        <v>0</v>
      </c>
      <c r="W498" s="1">
        <f t="shared" si="161"/>
        <v>0</v>
      </c>
      <c r="X498" s="1">
        <f t="shared" si="162"/>
        <v>0</v>
      </c>
      <c r="Y498" s="1">
        <f t="shared" si="163"/>
        <v>0</v>
      </c>
      <c r="Z498" s="1">
        <f t="shared" si="164"/>
        <v>0</v>
      </c>
      <c r="AA498" s="1">
        <f t="shared" si="165"/>
        <v>0</v>
      </c>
      <c r="AB498" s="1">
        <f t="shared" si="166"/>
        <v>0</v>
      </c>
      <c r="AD498" s="1">
        <f t="shared" si="167"/>
        <v>0</v>
      </c>
      <c r="AE498" s="1">
        <f t="shared" si="168"/>
        <v>1</v>
      </c>
      <c r="AF498" s="1">
        <f t="shared" si="169"/>
        <v>0</v>
      </c>
      <c r="AG498" s="1">
        <f t="shared" si="170"/>
        <v>0</v>
      </c>
      <c r="AH498" s="1">
        <f t="shared" si="171"/>
        <v>0</v>
      </c>
      <c r="AI498" s="1">
        <f t="shared" si="172"/>
        <v>0</v>
      </c>
    </row>
    <row r="499" spans="1:35" ht="14.25" customHeight="1" x14ac:dyDescent="0.25">
      <c r="A499" s="31">
        <v>1</v>
      </c>
      <c r="B499" s="31">
        <v>2</v>
      </c>
      <c r="C499" s="31">
        <v>7</v>
      </c>
      <c r="D499" s="32" t="s">
        <v>1223</v>
      </c>
      <c r="E499" s="32" t="s">
        <v>155</v>
      </c>
      <c r="F499" s="32" t="s">
        <v>1491</v>
      </c>
      <c r="G499" s="32" t="s">
        <v>234</v>
      </c>
      <c r="H499" s="32" t="s">
        <v>352</v>
      </c>
      <c r="I499" s="31" t="s">
        <v>1657</v>
      </c>
      <c r="J499" s="31">
        <v>99</v>
      </c>
      <c r="K499" s="33" t="s">
        <v>935</v>
      </c>
      <c r="L499" s="33" t="s">
        <v>713</v>
      </c>
      <c r="M499" s="34" t="s">
        <v>723</v>
      </c>
      <c r="N499" s="34" t="s">
        <v>1704</v>
      </c>
      <c r="O499" s="35">
        <v>1</v>
      </c>
      <c r="P499" s="35"/>
      <c r="Q499" s="32"/>
      <c r="S499" s="1">
        <f t="shared" si="157"/>
        <v>0</v>
      </c>
      <c r="T499" s="1">
        <f t="shared" si="158"/>
        <v>0</v>
      </c>
      <c r="U499" s="1">
        <f t="shared" si="159"/>
        <v>0</v>
      </c>
      <c r="V499" s="1">
        <f t="shared" si="160"/>
        <v>0</v>
      </c>
      <c r="W499" s="1">
        <f t="shared" si="161"/>
        <v>0</v>
      </c>
      <c r="X499" s="1">
        <f t="shared" si="162"/>
        <v>0</v>
      </c>
      <c r="Y499" s="1">
        <f t="shared" si="163"/>
        <v>0</v>
      </c>
      <c r="Z499" s="1">
        <f t="shared" si="164"/>
        <v>0</v>
      </c>
      <c r="AA499" s="1">
        <f t="shared" si="165"/>
        <v>0</v>
      </c>
      <c r="AB499" s="1">
        <f t="shared" si="166"/>
        <v>0</v>
      </c>
      <c r="AD499" s="1">
        <f t="shared" si="167"/>
        <v>0</v>
      </c>
      <c r="AE499" s="1">
        <f t="shared" si="168"/>
        <v>1</v>
      </c>
      <c r="AF499" s="1">
        <f t="shared" si="169"/>
        <v>0</v>
      </c>
      <c r="AG499" s="1">
        <f t="shared" si="170"/>
        <v>0</v>
      </c>
      <c r="AH499" s="1">
        <f t="shared" si="171"/>
        <v>0</v>
      </c>
      <c r="AI499" s="1">
        <f t="shared" si="172"/>
        <v>0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1809</v>
      </c>
      <c r="E500" s="32" t="s">
        <v>1810</v>
      </c>
      <c r="F500" s="32" t="s">
        <v>1811</v>
      </c>
      <c r="G500" s="32" t="s">
        <v>264</v>
      </c>
      <c r="H500" s="32" t="s">
        <v>352</v>
      </c>
      <c r="I500" s="31" t="s">
        <v>1812</v>
      </c>
      <c r="J500" s="31">
        <v>99</v>
      </c>
      <c r="K500" s="33" t="s">
        <v>694</v>
      </c>
      <c r="L500" s="33"/>
      <c r="M500" s="34"/>
      <c r="N500" s="34" t="s">
        <v>1693</v>
      </c>
      <c r="O500" s="35">
        <v>1</v>
      </c>
      <c r="P500" s="35">
        <v>1</v>
      </c>
      <c r="Q500" s="32"/>
      <c r="S500" s="1">
        <f t="shared" si="157"/>
        <v>0</v>
      </c>
      <c r="T500" s="1">
        <f t="shared" si="158"/>
        <v>0</v>
      </c>
      <c r="U500" s="1">
        <f t="shared" si="159"/>
        <v>0</v>
      </c>
      <c r="V500" s="1">
        <f t="shared" si="160"/>
        <v>0</v>
      </c>
      <c r="W500" s="1">
        <f t="shared" si="161"/>
        <v>0</v>
      </c>
      <c r="X500" s="1">
        <f t="shared" si="162"/>
        <v>0</v>
      </c>
      <c r="Y500" s="1">
        <f t="shared" si="163"/>
        <v>0</v>
      </c>
      <c r="Z500" s="1">
        <f t="shared" si="164"/>
        <v>0</v>
      </c>
      <c r="AA500" s="1">
        <f t="shared" si="165"/>
        <v>0</v>
      </c>
      <c r="AB500" s="1">
        <f t="shared" si="166"/>
        <v>0</v>
      </c>
      <c r="AD500" s="1">
        <f t="shared" si="167"/>
        <v>1</v>
      </c>
      <c r="AE500" s="1">
        <f t="shared" si="168"/>
        <v>0</v>
      </c>
      <c r="AF500" s="1">
        <f t="shared" si="169"/>
        <v>1</v>
      </c>
      <c r="AG500" s="1">
        <f t="shared" si="170"/>
        <v>0</v>
      </c>
      <c r="AH500" s="1">
        <f t="shared" si="171"/>
        <v>1</v>
      </c>
      <c r="AI500" s="1">
        <f t="shared" si="172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1218</v>
      </c>
      <c r="E501" s="32" t="s">
        <v>28</v>
      </c>
      <c r="F501" s="32" t="s">
        <v>1211</v>
      </c>
      <c r="G501" s="32" t="s">
        <v>1212</v>
      </c>
      <c r="H501" s="32" t="s">
        <v>352</v>
      </c>
      <c r="I501" s="31" t="s">
        <v>1213</v>
      </c>
      <c r="J501" s="31">
        <v>99</v>
      </c>
      <c r="K501" s="33" t="s">
        <v>703</v>
      </c>
      <c r="L501" s="33" t="s">
        <v>704</v>
      </c>
      <c r="M501" s="34" t="s">
        <v>722</v>
      </c>
      <c r="N501" s="34" t="s">
        <v>1704</v>
      </c>
      <c r="O501" s="35">
        <v>1</v>
      </c>
      <c r="P501" s="35"/>
      <c r="Q501" s="32"/>
      <c r="S501" s="1">
        <f t="shared" si="157"/>
        <v>0</v>
      </c>
      <c r="T501" s="1">
        <f t="shared" si="158"/>
        <v>0</v>
      </c>
      <c r="U501" s="1">
        <f t="shared" si="159"/>
        <v>0</v>
      </c>
      <c r="V501" s="1">
        <f t="shared" si="160"/>
        <v>0</v>
      </c>
      <c r="W501" s="1">
        <f t="shared" si="161"/>
        <v>0</v>
      </c>
      <c r="X501" s="1">
        <f t="shared" si="162"/>
        <v>0</v>
      </c>
      <c r="Y501" s="1">
        <f t="shared" si="163"/>
        <v>0</v>
      </c>
      <c r="Z501" s="1">
        <f t="shared" si="164"/>
        <v>0</v>
      </c>
      <c r="AA501" s="1">
        <f t="shared" si="165"/>
        <v>0</v>
      </c>
      <c r="AB501" s="1">
        <f t="shared" si="166"/>
        <v>0</v>
      </c>
      <c r="AD501" s="1">
        <f t="shared" si="167"/>
        <v>0</v>
      </c>
      <c r="AE501" s="1">
        <f t="shared" si="168"/>
        <v>1</v>
      </c>
      <c r="AF501" s="1">
        <f t="shared" si="169"/>
        <v>0</v>
      </c>
      <c r="AG501" s="1">
        <f t="shared" si="170"/>
        <v>1</v>
      </c>
      <c r="AH501" s="1">
        <f t="shared" si="171"/>
        <v>0</v>
      </c>
      <c r="AI501" s="1">
        <f t="shared" si="172"/>
        <v>1</v>
      </c>
    </row>
    <row r="502" spans="1:35" ht="14.25" customHeight="1" x14ac:dyDescent="0.25">
      <c r="A502" s="31">
        <v>1</v>
      </c>
      <c r="B502" s="31">
        <v>2</v>
      </c>
      <c r="C502" s="31">
        <v>7</v>
      </c>
      <c r="D502" s="32" t="s">
        <v>1215</v>
      </c>
      <c r="E502" s="32" t="s">
        <v>28</v>
      </c>
      <c r="F502" s="32" t="s">
        <v>1216</v>
      </c>
      <c r="G502" s="32" t="s">
        <v>519</v>
      </c>
      <c r="H502" s="32" t="s">
        <v>352</v>
      </c>
      <c r="I502" s="31" t="s">
        <v>1217</v>
      </c>
      <c r="J502" s="31">
        <v>99</v>
      </c>
      <c r="K502" s="33" t="s">
        <v>703</v>
      </c>
      <c r="L502" s="33" t="s">
        <v>704</v>
      </c>
      <c r="M502" s="34" t="s">
        <v>722</v>
      </c>
      <c r="N502" s="34" t="s">
        <v>1704</v>
      </c>
      <c r="O502" s="35">
        <v>1</v>
      </c>
      <c r="P502" s="35"/>
      <c r="Q502" s="32"/>
      <c r="S502" s="1">
        <f t="shared" si="157"/>
        <v>0</v>
      </c>
      <c r="T502" s="1">
        <f t="shared" si="158"/>
        <v>0</v>
      </c>
      <c r="U502" s="1">
        <f t="shared" si="159"/>
        <v>0</v>
      </c>
      <c r="V502" s="1">
        <f t="shared" si="160"/>
        <v>0</v>
      </c>
      <c r="W502" s="1">
        <f t="shared" si="161"/>
        <v>0</v>
      </c>
      <c r="X502" s="1">
        <f t="shared" si="162"/>
        <v>0</v>
      </c>
      <c r="Y502" s="1">
        <f t="shared" si="163"/>
        <v>0</v>
      </c>
      <c r="Z502" s="1">
        <f t="shared" si="164"/>
        <v>0</v>
      </c>
      <c r="AA502" s="1">
        <f t="shared" si="165"/>
        <v>0</v>
      </c>
      <c r="AB502" s="1">
        <f t="shared" si="166"/>
        <v>0</v>
      </c>
      <c r="AD502" s="1">
        <f t="shared" si="167"/>
        <v>0</v>
      </c>
      <c r="AE502" s="1">
        <f t="shared" si="168"/>
        <v>1</v>
      </c>
      <c r="AF502" s="1">
        <f t="shared" si="169"/>
        <v>0</v>
      </c>
      <c r="AG502" s="1">
        <f t="shared" si="170"/>
        <v>0</v>
      </c>
      <c r="AH502" s="1">
        <f t="shared" si="171"/>
        <v>0</v>
      </c>
      <c r="AI502" s="1">
        <f t="shared" si="172"/>
        <v>0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1805</v>
      </c>
      <c r="E503" s="32" t="s">
        <v>1146</v>
      </c>
      <c r="F503" s="32" t="s">
        <v>1806</v>
      </c>
      <c r="G503" s="32"/>
      <c r="H503" s="32" t="s">
        <v>352</v>
      </c>
      <c r="I503" s="31" t="s">
        <v>1807</v>
      </c>
      <c r="J503" s="31">
        <v>6</v>
      </c>
      <c r="K503" s="33" t="s">
        <v>694</v>
      </c>
      <c r="L503" s="33"/>
      <c r="M503" s="34"/>
      <c r="N503" s="34" t="s">
        <v>1708</v>
      </c>
      <c r="O503" s="35">
        <v>1</v>
      </c>
      <c r="P503" s="35"/>
      <c r="Q503" s="32"/>
      <c r="S503" s="1">
        <f t="shared" si="157"/>
        <v>0</v>
      </c>
      <c r="T503" s="1">
        <f t="shared" si="158"/>
        <v>0</v>
      </c>
      <c r="U503" s="1">
        <f t="shared" si="159"/>
        <v>0</v>
      </c>
      <c r="V503" s="1">
        <f t="shared" si="160"/>
        <v>0</v>
      </c>
      <c r="W503" s="1">
        <f t="shared" si="161"/>
        <v>0</v>
      </c>
      <c r="X503" s="1">
        <f t="shared" si="162"/>
        <v>1</v>
      </c>
      <c r="Y503" s="1">
        <f t="shared" si="163"/>
        <v>0</v>
      </c>
      <c r="Z503" s="1">
        <f t="shared" si="164"/>
        <v>0</v>
      </c>
      <c r="AA503" s="1">
        <f t="shared" si="165"/>
        <v>0</v>
      </c>
      <c r="AB503" s="1">
        <f t="shared" si="166"/>
        <v>0</v>
      </c>
      <c r="AD503" s="1">
        <f t="shared" si="167"/>
        <v>0</v>
      </c>
      <c r="AE503" s="1">
        <f t="shared" si="168"/>
        <v>1</v>
      </c>
      <c r="AF503" s="1">
        <f t="shared" si="169"/>
        <v>0</v>
      </c>
      <c r="AG503" s="1">
        <f t="shared" si="170"/>
        <v>1</v>
      </c>
      <c r="AH503" s="1">
        <f t="shared" si="171"/>
        <v>0</v>
      </c>
      <c r="AI503" s="1">
        <f t="shared" si="172"/>
        <v>1</v>
      </c>
    </row>
    <row r="504" spans="1:35" ht="14.25" customHeight="1" x14ac:dyDescent="0.25">
      <c r="A504" s="31">
        <v>0</v>
      </c>
      <c r="B504" s="31">
        <v>2</v>
      </c>
      <c r="C504" s="31">
        <v>7</v>
      </c>
      <c r="D504" s="32" t="s">
        <v>1427</v>
      </c>
      <c r="E504" s="32" t="s">
        <v>28</v>
      </c>
      <c r="F504" s="32" t="s">
        <v>1428</v>
      </c>
      <c r="G504" s="32" t="s">
        <v>1429</v>
      </c>
      <c r="H504" s="32" t="s">
        <v>352</v>
      </c>
      <c r="I504" s="31" t="s">
        <v>1430</v>
      </c>
      <c r="J504" s="31">
        <v>99</v>
      </c>
      <c r="K504" s="33" t="s">
        <v>703</v>
      </c>
      <c r="L504" s="33" t="s">
        <v>704</v>
      </c>
      <c r="M504" s="34" t="s">
        <v>722</v>
      </c>
      <c r="N504" s="34" t="s">
        <v>1704</v>
      </c>
      <c r="O504" s="35">
        <v>1</v>
      </c>
      <c r="P504" s="35"/>
      <c r="Q504" s="32" t="s">
        <v>1889</v>
      </c>
      <c r="S504" s="1">
        <f t="shared" si="157"/>
        <v>0</v>
      </c>
      <c r="T504" s="1">
        <f t="shared" si="158"/>
        <v>0</v>
      </c>
      <c r="U504" s="1">
        <f t="shared" si="159"/>
        <v>0</v>
      </c>
      <c r="V504" s="1">
        <f t="shared" si="160"/>
        <v>0</v>
      </c>
      <c r="W504" s="1">
        <f t="shared" si="161"/>
        <v>0</v>
      </c>
      <c r="X504" s="1">
        <f t="shared" si="162"/>
        <v>0</v>
      </c>
      <c r="Y504" s="1">
        <f t="shared" si="163"/>
        <v>0</v>
      </c>
      <c r="Z504" s="1">
        <f t="shared" si="164"/>
        <v>0</v>
      </c>
      <c r="AA504" s="1">
        <f t="shared" si="165"/>
        <v>0</v>
      </c>
      <c r="AB504" s="1">
        <f t="shared" si="166"/>
        <v>0</v>
      </c>
      <c r="AD504" s="1">
        <f t="shared" si="167"/>
        <v>0</v>
      </c>
      <c r="AE504" s="1">
        <f t="shared" si="168"/>
        <v>1</v>
      </c>
      <c r="AF504" s="1">
        <f t="shared" si="169"/>
        <v>0</v>
      </c>
      <c r="AG504" s="1">
        <f t="shared" si="170"/>
        <v>1</v>
      </c>
      <c r="AH504" s="1">
        <f t="shared" si="171"/>
        <v>0</v>
      </c>
      <c r="AI504" s="1">
        <f t="shared" si="172"/>
        <v>1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2089</v>
      </c>
      <c r="E505" s="32" t="s">
        <v>155</v>
      </c>
      <c r="F505" s="32" t="s">
        <v>2090</v>
      </c>
      <c r="G505" s="32" t="s">
        <v>552</v>
      </c>
      <c r="H505" s="32" t="s">
        <v>352</v>
      </c>
      <c r="I505" s="31" t="s">
        <v>2091</v>
      </c>
      <c r="J505" s="31">
        <v>99</v>
      </c>
      <c r="K505" s="33" t="s">
        <v>694</v>
      </c>
      <c r="L505" s="33">
        <v>7</v>
      </c>
      <c r="M505" s="34" t="s">
        <v>723</v>
      </c>
      <c r="N505" s="34" t="s">
        <v>1708</v>
      </c>
      <c r="O505" s="35">
        <v>1</v>
      </c>
      <c r="P505" s="35"/>
      <c r="Q505" s="32"/>
      <c r="S505" s="1">
        <f t="shared" si="157"/>
        <v>0</v>
      </c>
      <c r="T505" s="1">
        <f t="shared" si="158"/>
        <v>0</v>
      </c>
      <c r="U505" s="1">
        <f t="shared" si="159"/>
        <v>0</v>
      </c>
      <c r="V505" s="1">
        <f t="shared" si="160"/>
        <v>0</v>
      </c>
      <c r="W505" s="1">
        <f t="shared" si="161"/>
        <v>0</v>
      </c>
      <c r="X505" s="1">
        <f t="shared" si="162"/>
        <v>0</v>
      </c>
      <c r="Y505" s="1">
        <f t="shared" si="163"/>
        <v>0</v>
      </c>
      <c r="Z505" s="1">
        <f t="shared" si="164"/>
        <v>0</v>
      </c>
      <c r="AA505" s="1">
        <f t="shared" si="165"/>
        <v>0</v>
      </c>
      <c r="AB505" s="1">
        <f t="shared" si="166"/>
        <v>0</v>
      </c>
      <c r="AD505" s="1">
        <f t="shared" si="167"/>
        <v>0</v>
      </c>
      <c r="AE505" s="1">
        <f t="shared" si="168"/>
        <v>1</v>
      </c>
      <c r="AF505" s="1">
        <f t="shared" si="169"/>
        <v>0</v>
      </c>
      <c r="AG505" s="1">
        <f t="shared" si="170"/>
        <v>1</v>
      </c>
      <c r="AH505" s="1">
        <f t="shared" si="171"/>
        <v>0</v>
      </c>
      <c r="AI505" s="1">
        <f t="shared" si="172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2089</v>
      </c>
      <c r="E506" s="32" t="s">
        <v>155</v>
      </c>
      <c r="F506" s="32" t="s">
        <v>2092</v>
      </c>
      <c r="G506" s="32" t="s">
        <v>203</v>
      </c>
      <c r="H506" s="32" t="s">
        <v>352</v>
      </c>
      <c r="I506" s="31" t="s">
        <v>2091</v>
      </c>
      <c r="J506" s="31">
        <v>7</v>
      </c>
      <c r="K506" s="33" t="s">
        <v>694</v>
      </c>
      <c r="L506" s="33">
        <v>7</v>
      </c>
      <c r="M506" s="34" t="s">
        <v>723</v>
      </c>
      <c r="N506" s="34" t="s">
        <v>1708</v>
      </c>
      <c r="O506" s="35">
        <v>1</v>
      </c>
      <c r="P506" s="35"/>
      <c r="Q506" s="32"/>
      <c r="S506" s="1">
        <f t="shared" si="157"/>
        <v>0</v>
      </c>
      <c r="T506" s="1">
        <f t="shared" si="158"/>
        <v>0</v>
      </c>
      <c r="U506" s="1">
        <f t="shared" si="159"/>
        <v>0</v>
      </c>
      <c r="V506" s="1">
        <f t="shared" si="160"/>
        <v>0</v>
      </c>
      <c r="W506" s="1">
        <f t="shared" si="161"/>
        <v>0</v>
      </c>
      <c r="X506" s="1">
        <f t="shared" si="162"/>
        <v>0</v>
      </c>
      <c r="Y506" s="1">
        <f t="shared" si="163"/>
        <v>1</v>
      </c>
      <c r="Z506" s="1">
        <f t="shared" si="164"/>
        <v>0</v>
      </c>
      <c r="AA506" s="1">
        <f t="shared" si="165"/>
        <v>0</v>
      </c>
      <c r="AB506" s="1">
        <f t="shared" si="166"/>
        <v>0</v>
      </c>
      <c r="AD506" s="1">
        <f t="shared" si="167"/>
        <v>0</v>
      </c>
      <c r="AE506" s="1">
        <f t="shared" si="168"/>
        <v>1</v>
      </c>
      <c r="AF506" s="1">
        <f t="shared" si="169"/>
        <v>0</v>
      </c>
      <c r="AG506" s="1">
        <f t="shared" si="170"/>
        <v>0</v>
      </c>
      <c r="AH506" s="1">
        <f t="shared" si="171"/>
        <v>0</v>
      </c>
      <c r="AI506" s="1">
        <f t="shared" si="172"/>
        <v>0</v>
      </c>
    </row>
    <row r="507" spans="1:35" ht="14.25" customHeight="1" x14ac:dyDescent="0.25">
      <c r="A507" s="31">
        <v>0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568</v>
      </c>
      <c r="G507" s="32" t="s">
        <v>234</v>
      </c>
      <c r="H507" s="32" t="s">
        <v>352</v>
      </c>
      <c r="I507" s="31" t="s">
        <v>574</v>
      </c>
      <c r="J507" s="31">
        <v>99</v>
      </c>
      <c r="K507" s="33" t="s">
        <v>703</v>
      </c>
      <c r="L507" s="33" t="s">
        <v>720</v>
      </c>
      <c r="M507" s="34" t="s">
        <v>1409</v>
      </c>
      <c r="N507" s="34" t="s">
        <v>1708</v>
      </c>
      <c r="O507" s="35">
        <v>1</v>
      </c>
      <c r="P507" s="35"/>
      <c r="Q507" s="32"/>
      <c r="S507" s="1">
        <f t="shared" si="157"/>
        <v>0</v>
      </c>
      <c r="T507" s="1">
        <f t="shared" si="158"/>
        <v>0</v>
      </c>
      <c r="U507" s="1">
        <f t="shared" si="159"/>
        <v>0</v>
      </c>
      <c r="V507" s="1">
        <f t="shared" si="160"/>
        <v>0</v>
      </c>
      <c r="W507" s="1">
        <f t="shared" si="161"/>
        <v>0</v>
      </c>
      <c r="X507" s="1">
        <f t="shared" si="162"/>
        <v>0</v>
      </c>
      <c r="Y507" s="1">
        <f t="shared" si="163"/>
        <v>0</v>
      </c>
      <c r="Z507" s="1">
        <f t="shared" si="164"/>
        <v>0</v>
      </c>
      <c r="AA507" s="1">
        <f t="shared" si="165"/>
        <v>0</v>
      </c>
      <c r="AB507" s="1">
        <f t="shared" si="166"/>
        <v>0</v>
      </c>
      <c r="AD507" s="1">
        <f t="shared" si="167"/>
        <v>0</v>
      </c>
      <c r="AE507" s="1">
        <f t="shared" si="168"/>
        <v>1</v>
      </c>
      <c r="AF507" s="1">
        <f t="shared" si="169"/>
        <v>0</v>
      </c>
      <c r="AG507" s="1">
        <f t="shared" si="170"/>
        <v>1</v>
      </c>
      <c r="AH507" s="1">
        <f t="shared" si="171"/>
        <v>0</v>
      </c>
      <c r="AI507" s="1">
        <f t="shared" si="172"/>
        <v>1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270</v>
      </c>
      <c r="G508" s="32" t="s">
        <v>179</v>
      </c>
      <c r="H508" s="32" t="s">
        <v>352</v>
      </c>
      <c r="I508" s="31" t="s">
        <v>424</v>
      </c>
      <c r="J508" s="31">
        <v>10</v>
      </c>
      <c r="K508" s="33" t="s">
        <v>703</v>
      </c>
      <c r="L508" s="33" t="s">
        <v>720</v>
      </c>
      <c r="M508" s="34" t="s">
        <v>1409</v>
      </c>
      <c r="N508" s="34" t="s">
        <v>1708</v>
      </c>
      <c r="O508" s="35">
        <v>1</v>
      </c>
      <c r="P508" s="35"/>
      <c r="Q508" s="32"/>
      <c r="S508" s="1">
        <f t="shared" si="157"/>
        <v>0</v>
      </c>
      <c r="T508" s="1">
        <f t="shared" si="158"/>
        <v>0</v>
      </c>
      <c r="U508" s="1">
        <f t="shared" si="159"/>
        <v>0</v>
      </c>
      <c r="V508" s="1">
        <f t="shared" si="160"/>
        <v>0</v>
      </c>
      <c r="W508" s="1">
        <f t="shared" si="161"/>
        <v>0</v>
      </c>
      <c r="X508" s="1">
        <f t="shared" si="162"/>
        <v>0</v>
      </c>
      <c r="Y508" s="1">
        <f t="shared" si="163"/>
        <v>0</v>
      </c>
      <c r="Z508" s="1">
        <f t="shared" si="164"/>
        <v>0</v>
      </c>
      <c r="AA508" s="1">
        <f t="shared" si="165"/>
        <v>0</v>
      </c>
      <c r="AB508" s="1">
        <f t="shared" si="166"/>
        <v>1</v>
      </c>
      <c r="AD508" s="1">
        <f t="shared" si="167"/>
        <v>0</v>
      </c>
      <c r="AE508" s="1">
        <f t="shared" si="168"/>
        <v>1</v>
      </c>
      <c r="AF508" s="1">
        <f t="shared" si="169"/>
        <v>0</v>
      </c>
      <c r="AG508" s="1">
        <f t="shared" si="170"/>
        <v>0</v>
      </c>
      <c r="AH508" s="1">
        <f t="shared" si="171"/>
        <v>0</v>
      </c>
      <c r="AI508" s="1">
        <f t="shared" si="172"/>
        <v>0</v>
      </c>
    </row>
    <row r="509" spans="1:35" ht="14.25" customHeight="1" x14ac:dyDescent="0.25">
      <c r="A509" s="31">
        <v>1</v>
      </c>
      <c r="B509" s="31">
        <v>2</v>
      </c>
      <c r="C509" s="31">
        <v>7</v>
      </c>
      <c r="D509" s="32" t="s">
        <v>43</v>
      </c>
      <c r="E509" s="32" t="s">
        <v>537</v>
      </c>
      <c r="F509" s="32" t="s">
        <v>271</v>
      </c>
      <c r="G509" s="32" t="s">
        <v>39</v>
      </c>
      <c r="H509" s="32" t="s">
        <v>352</v>
      </c>
      <c r="I509" s="31" t="s">
        <v>425</v>
      </c>
      <c r="J509" s="31">
        <v>5</v>
      </c>
      <c r="K509" s="33" t="s">
        <v>703</v>
      </c>
      <c r="L509" s="33" t="s">
        <v>720</v>
      </c>
      <c r="M509" s="34" t="s">
        <v>1409</v>
      </c>
      <c r="N509" s="34" t="s">
        <v>1708</v>
      </c>
      <c r="O509" s="35">
        <v>1</v>
      </c>
      <c r="P509" s="35"/>
      <c r="Q509" s="32"/>
      <c r="S509" s="1">
        <f t="shared" si="157"/>
        <v>0</v>
      </c>
      <c r="T509" s="1">
        <f t="shared" si="158"/>
        <v>0</v>
      </c>
      <c r="U509" s="1">
        <f t="shared" si="159"/>
        <v>0</v>
      </c>
      <c r="V509" s="1">
        <f t="shared" si="160"/>
        <v>0</v>
      </c>
      <c r="W509" s="1">
        <f t="shared" si="161"/>
        <v>1</v>
      </c>
      <c r="X509" s="1">
        <f t="shared" si="162"/>
        <v>0</v>
      </c>
      <c r="Y509" s="1">
        <f t="shared" si="163"/>
        <v>0</v>
      </c>
      <c r="Z509" s="1">
        <f t="shared" si="164"/>
        <v>0</v>
      </c>
      <c r="AA509" s="1">
        <f t="shared" si="165"/>
        <v>0</v>
      </c>
      <c r="AB509" s="1">
        <f t="shared" si="166"/>
        <v>0</v>
      </c>
      <c r="AD509" s="1">
        <f t="shared" si="167"/>
        <v>0</v>
      </c>
      <c r="AE509" s="1">
        <f t="shared" si="168"/>
        <v>1</v>
      </c>
      <c r="AF509" s="1">
        <f t="shared" si="169"/>
        <v>0</v>
      </c>
      <c r="AG509" s="1">
        <f t="shared" si="170"/>
        <v>0</v>
      </c>
      <c r="AH509" s="1">
        <f t="shared" si="171"/>
        <v>0</v>
      </c>
      <c r="AI509" s="1">
        <f t="shared" si="172"/>
        <v>0</v>
      </c>
    </row>
    <row r="510" spans="1:35" ht="14.25" customHeight="1" x14ac:dyDescent="0.25">
      <c r="A510" s="31">
        <v>1</v>
      </c>
      <c r="B510" s="31">
        <v>2</v>
      </c>
      <c r="C510" s="31">
        <v>7</v>
      </c>
      <c r="D510" s="32" t="s">
        <v>43</v>
      </c>
      <c r="E510" s="32" t="s">
        <v>537</v>
      </c>
      <c r="F510" s="32" t="s">
        <v>275</v>
      </c>
      <c r="G510" s="32" t="s">
        <v>193</v>
      </c>
      <c r="H510" s="32" t="s">
        <v>352</v>
      </c>
      <c r="I510" s="31" t="s">
        <v>429</v>
      </c>
      <c r="J510" s="31">
        <v>9</v>
      </c>
      <c r="K510" s="33" t="s">
        <v>703</v>
      </c>
      <c r="L510" s="33" t="s">
        <v>720</v>
      </c>
      <c r="M510" s="34" t="s">
        <v>1409</v>
      </c>
      <c r="N510" s="34" t="s">
        <v>1708</v>
      </c>
      <c r="O510" s="35">
        <v>1</v>
      </c>
      <c r="P510" s="35"/>
      <c r="Q510" s="32"/>
      <c r="S510" s="1">
        <f t="shared" si="157"/>
        <v>0</v>
      </c>
      <c r="T510" s="1">
        <f t="shared" si="158"/>
        <v>0</v>
      </c>
      <c r="U510" s="1">
        <f t="shared" si="159"/>
        <v>0</v>
      </c>
      <c r="V510" s="1">
        <f t="shared" si="160"/>
        <v>0</v>
      </c>
      <c r="W510" s="1">
        <f t="shared" si="161"/>
        <v>0</v>
      </c>
      <c r="X510" s="1">
        <f t="shared" si="162"/>
        <v>0</v>
      </c>
      <c r="Y510" s="1">
        <f t="shared" si="163"/>
        <v>0</v>
      </c>
      <c r="Z510" s="1">
        <f t="shared" si="164"/>
        <v>0</v>
      </c>
      <c r="AA510" s="1">
        <f t="shared" si="165"/>
        <v>1</v>
      </c>
      <c r="AB510" s="1">
        <f t="shared" si="166"/>
        <v>0</v>
      </c>
      <c r="AD510" s="1">
        <f t="shared" si="167"/>
        <v>0</v>
      </c>
      <c r="AE510" s="1">
        <f t="shared" si="168"/>
        <v>1</v>
      </c>
      <c r="AF510" s="1">
        <f t="shared" si="169"/>
        <v>0</v>
      </c>
      <c r="AG510" s="1">
        <f t="shared" si="170"/>
        <v>0</v>
      </c>
      <c r="AH510" s="1">
        <f t="shared" si="171"/>
        <v>0</v>
      </c>
      <c r="AI510" s="1">
        <f t="shared" si="172"/>
        <v>0</v>
      </c>
    </row>
    <row r="511" spans="1:35" ht="14.25" customHeight="1" x14ac:dyDescent="0.25">
      <c r="A511" s="31">
        <v>0</v>
      </c>
      <c r="B511" s="31">
        <v>2</v>
      </c>
      <c r="C511" s="31">
        <v>7</v>
      </c>
      <c r="D511" s="32" t="s">
        <v>1528</v>
      </c>
      <c r="E511" s="32" t="s">
        <v>28</v>
      </c>
      <c r="F511" s="32" t="s">
        <v>1529</v>
      </c>
      <c r="G511" s="32" t="s">
        <v>237</v>
      </c>
      <c r="H511" s="32" t="s">
        <v>352</v>
      </c>
      <c r="I511" s="31" t="s">
        <v>1661</v>
      </c>
      <c r="J511" s="31">
        <v>4</v>
      </c>
      <c r="K511" s="33" t="s">
        <v>704</v>
      </c>
      <c r="L511" s="33" t="s">
        <v>704</v>
      </c>
      <c r="M511" s="34" t="s">
        <v>722</v>
      </c>
      <c r="N511" s="34" t="s">
        <v>1704</v>
      </c>
      <c r="O511" s="35">
        <v>1</v>
      </c>
      <c r="P511" s="35"/>
      <c r="Q511" s="32"/>
      <c r="S511" s="1">
        <f t="shared" si="157"/>
        <v>0</v>
      </c>
      <c r="T511" s="1">
        <f t="shared" si="158"/>
        <v>0</v>
      </c>
      <c r="U511" s="1">
        <f t="shared" si="159"/>
        <v>0</v>
      </c>
      <c r="V511" s="1">
        <f t="shared" si="160"/>
        <v>1</v>
      </c>
      <c r="W511" s="1">
        <f t="shared" si="161"/>
        <v>0</v>
      </c>
      <c r="X511" s="1">
        <f t="shared" si="162"/>
        <v>0</v>
      </c>
      <c r="Y511" s="1">
        <f t="shared" si="163"/>
        <v>0</v>
      </c>
      <c r="Z511" s="1">
        <f t="shared" si="164"/>
        <v>0</v>
      </c>
      <c r="AA511" s="1">
        <f t="shared" si="165"/>
        <v>0</v>
      </c>
      <c r="AB511" s="1">
        <f t="shared" si="166"/>
        <v>0</v>
      </c>
      <c r="AD511" s="1">
        <f t="shared" si="167"/>
        <v>0</v>
      </c>
      <c r="AE511" s="1">
        <f t="shared" si="168"/>
        <v>1</v>
      </c>
      <c r="AF511" s="1">
        <f t="shared" si="169"/>
        <v>0</v>
      </c>
      <c r="AG511" s="1">
        <f t="shared" si="170"/>
        <v>1</v>
      </c>
      <c r="AH511" s="1">
        <f t="shared" si="171"/>
        <v>0</v>
      </c>
      <c r="AI511" s="1">
        <f t="shared" si="172"/>
        <v>1</v>
      </c>
    </row>
    <row r="512" spans="1:35" ht="14.25" customHeight="1" x14ac:dyDescent="0.25">
      <c r="A512" s="31">
        <v>0</v>
      </c>
      <c r="B512" s="31">
        <v>2</v>
      </c>
      <c r="C512" s="31">
        <v>7</v>
      </c>
      <c r="D512" s="32" t="s">
        <v>63</v>
      </c>
      <c r="E512" s="32" t="s">
        <v>44</v>
      </c>
      <c r="F512" s="32" t="s">
        <v>235</v>
      </c>
      <c r="G512" s="32" t="s">
        <v>199</v>
      </c>
      <c r="H512" s="32" t="s">
        <v>352</v>
      </c>
      <c r="I512" s="31" t="s">
        <v>400</v>
      </c>
      <c r="J512" s="31">
        <v>2</v>
      </c>
      <c r="K512" s="33" t="s">
        <v>704</v>
      </c>
      <c r="L512" s="33" t="s">
        <v>713</v>
      </c>
      <c r="M512" s="34" t="s">
        <v>726</v>
      </c>
      <c r="N512" s="34" t="s">
        <v>1704</v>
      </c>
      <c r="O512" s="35">
        <v>1</v>
      </c>
      <c r="P512" s="35"/>
      <c r="Q512" s="32"/>
      <c r="S512" s="1">
        <f t="shared" si="157"/>
        <v>0</v>
      </c>
      <c r="T512" s="1">
        <f t="shared" si="158"/>
        <v>1</v>
      </c>
      <c r="U512" s="1">
        <f t="shared" si="159"/>
        <v>0</v>
      </c>
      <c r="V512" s="1">
        <f t="shared" si="160"/>
        <v>0</v>
      </c>
      <c r="W512" s="1">
        <f t="shared" si="161"/>
        <v>0</v>
      </c>
      <c r="X512" s="1">
        <f t="shared" si="162"/>
        <v>0</v>
      </c>
      <c r="Y512" s="1">
        <f t="shared" si="163"/>
        <v>0</v>
      </c>
      <c r="Z512" s="1">
        <f t="shared" si="164"/>
        <v>0</v>
      </c>
      <c r="AA512" s="1">
        <f t="shared" si="165"/>
        <v>0</v>
      </c>
      <c r="AB512" s="1">
        <f t="shared" si="166"/>
        <v>0</v>
      </c>
      <c r="AD512" s="1">
        <f t="shared" si="167"/>
        <v>0</v>
      </c>
      <c r="AE512" s="1">
        <f t="shared" si="168"/>
        <v>1</v>
      </c>
      <c r="AF512" s="1">
        <f t="shared" si="169"/>
        <v>0</v>
      </c>
      <c r="AG512" s="1">
        <f t="shared" si="170"/>
        <v>1</v>
      </c>
      <c r="AH512" s="1">
        <f t="shared" si="171"/>
        <v>0</v>
      </c>
      <c r="AI512" s="1">
        <f t="shared" si="172"/>
        <v>1</v>
      </c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20"/>
      <c r="E802" s="20"/>
      <c r="F802" s="20"/>
      <c r="G802" s="20"/>
      <c r="H802" s="20"/>
      <c r="I802" s="21"/>
      <c r="J802" s="15"/>
      <c r="K802" s="21"/>
      <c r="M802" s="19"/>
      <c r="N802" s="17"/>
      <c r="Q802" s="20"/>
    </row>
    <row r="803" spans="1:17" ht="14.25" customHeight="1" x14ac:dyDescent="0.25">
      <c r="A803" s="15"/>
      <c r="B803" s="15"/>
      <c r="C803" s="15"/>
      <c r="D803" s="20"/>
      <c r="E803" s="20"/>
      <c r="F803" s="20"/>
      <c r="G803" s="20"/>
      <c r="H803" s="20"/>
      <c r="I803" s="21"/>
      <c r="J803" s="15"/>
      <c r="K803" s="21"/>
      <c r="M803" s="19"/>
      <c r="N803" s="17"/>
      <c r="Q803" s="20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9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9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  <row r="810" spans="1:17" ht="14.25" customHeight="1" x14ac:dyDescent="0.25">
      <c r="A810" s="15"/>
      <c r="B810" s="15"/>
      <c r="C810" s="15"/>
      <c r="D810" s="16"/>
      <c r="E810" s="16"/>
      <c r="F810" s="16"/>
      <c r="G810" s="16"/>
      <c r="H810" s="16"/>
      <c r="I810" s="15"/>
      <c r="J810" s="15"/>
      <c r="K810" s="10"/>
      <c r="M810" s="17"/>
      <c r="N810" s="17"/>
      <c r="Q810" s="16"/>
    </row>
    <row r="811" spans="1:17" ht="14.25" customHeight="1" x14ac:dyDescent="0.25">
      <c r="A811" s="15"/>
      <c r="B811" s="15"/>
      <c r="C811" s="15"/>
      <c r="D811" s="16"/>
      <c r="E811" s="16"/>
      <c r="F811" s="16"/>
      <c r="G811" s="16"/>
      <c r="H811" s="16"/>
      <c r="I811" s="15"/>
      <c r="J811" s="15"/>
      <c r="K811" s="10"/>
      <c r="M811" s="17"/>
      <c r="N811" s="17"/>
      <c r="Q811" s="16"/>
    </row>
  </sheetData>
  <autoFilter ref="A7:Q512" xr:uid="{AEE30112-88BB-441D-AEFC-A7A733AB1798}">
    <sortState xmlns:xlrd2="http://schemas.microsoft.com/office/spreadsheetml/2017/richdata2" ref="A8:Q512">
      <sortCondition ref="B8:B512"/>
      <sortCondition ref="C8:C512"/>
      <sortCondition ref="D8:D512"/>
      <sortCondition ref="A8:A512"/>
    </sortState>
  </autoFilter>
  <sortState xmlns:xlrd2="http://schemas.microsoft.com/office/spreadsheetml/2017/richdata2" ref="A8:Q512">
    <sortCondition ref="B8:B512"/>
    <sortCondition ref="C8:C512"/>
    <sortCondition ref="D8:D512"/>
    <sortCondition ref="A8:A512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2026-09-28T07:31:27Z</dcterms:modified>
</cp:coreProperties>
</file>