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87D67E1-E45B-48D6-88F6-650D6AF1BB77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golose'!$A$7:$Q$479</definedName>
    <definedName name="_xlnm.Print_Area" localSheetId="0">'Tavole e pause golose'!$D$7:$I$174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2" i="6" l="1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S186" i="6"/>
  <c r="AG186" i="6"/>
  <c r="AH186" i="6"/>
  <c r="AI186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261" i="6"/>
  <c r="AH261" i="6"/>
  <c r="AG261" i="6"/>
  <c r="AF261" i="6"/>
  <c r="AE261" i="6"/>
  <c r="AD261" i="6"/>
  <c r="AI260" i="6"/>
  <c r="AH260" i="6"/>
  <c r="AG260" i="6"/>
  <c r="AF260" i="6"/>
  <c r="AE260" i="6"/>
  <c r="AD260" i="6"/>
  <c r="S477" i="6"/>
  <c r="S476" i="6"/>
  <c r="S475" i="6"/>
  <c r="S474" i="6"/>
  <c r="S473" i="6"/>
  <c r="S472" i="6"/>
  <c r="S471" i="6"/>
  <c r="S470" i="6"/>
  <c r="AD190" i="6"/>
  <c r="AE190" i="6"/>
  <c r="AF190" i="6"/>
  <c r="AD191" i="6"/>
  <c r="AE191" i="6"/>
  <c r="AF191" i="6"/>
  <c r="S191" i="6"/>
  <c r="AG191" i="6"/>
  <c r="AH191" i="6"/>
  <c r="AI191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2" i="6"/>
  <c r="AD322" i="6"/>
  <c r="AE322" i="6"/>
  <c r="AF322" i="6"/>
  <c r="AG322" i="6"/>
  <c r="AH322" i="6"/>
  <c r="AI322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59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AD449" i="6"/>
  <c r="AE449" i="6"/>
  <c r="AD450" i="6"/>
  <c r="AE450" i="6"/>
  <c r="S449" i="6"/>
  <c r="AF449" i="6"/>
  <c r="AG449" i="6"/>
  <c r="AH449" i="6"/>
  <c r="AI449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58" i="6"/>
  <c r="AE458" i="6"/>
  <c r="AD459" i="6"/>
  <c r="AE459" i="6"/>
  <c r="AD460" i="6"/>
  <c r="AE460" i="6"/>
  <c r="AD461" i="6"/>
  <c r="AE461" i="6"/>
  <c r="S459" i="6"/>
  <c r="AF459" i="6"/>
  <c r="AG459" i="6"/>
  <c r="AH459" i="6"/>
  <c r="AI459" i="6"/>
  <c r="AD462" i="6"/>
  <c r="AE462" i="6"/>
  <c r="S462" i="6"/>
  <c r="AF462" i="6"/>
  <c r="AG462" i="6"/>
  <c r="AH462" i="6"/>
  <c r="AI462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G184" i="6"/>
  <c r="AH184" i="6"/>
  <c r="AI184" i="6"/>
  <c r="S185" i="6"/>
  <c r="AG185" i="6"/>
  <c r="AH185" i="6"/>
  <c r="AI185" i="6"/>
  <c r="S187" i="6"/>
  <c r="AG187" i="6"/>
  <c r="AH187" i="6"/>
  <c r="AI187" i="6"/>
  <c r="S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S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F458" i="6"/>
  <c r="AG458" i="6"/>
  <c r="AH458" i="6"/>
  <c r="AI458" i="6"/>
  <c r="S460" i="6"/>
  <c r="AF460" i="6"/>
  <c r="AG460" i="6"/>
  <c r="AH460" i="6"/>
  <c r="AI460" i="6"/>
  <c r="S461" i="6"/>
  <c r="AF461" i="6"/>
  <c r="AG461" i="6"/>
  <c r="AH461" i="6"/>
  <c r="AI461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7" i="6" s="1"/>
  <c r="T186" i="6" l="1"/>
  <c r="T472" i="6"/>
  <c r="T477" i="6"/>
  <c r="T474" i="6"/>
  <c r="T476" i="6"/>
  <c r="T473" i="6"/>
  <c r="T475" i="6"/>
  <c r="T479" i="6"/>
  <c r="T478" i="6"/>
  <c r="T471" i="6"/>
  <c r="T470" i="6"/>
  <c r="T191" i="6"/>
  <c r="T421" i="6"/>
  <c r="T420" i="6"/>
  <c r="T419" i="6"/>
  <c r="T418" i="6"/>
  <c r="T417" i="6"/>
  <c r="T99" i="6"/>
  <c r="T98" i="6"/>
  <c r="T97" i="6"/>
  <c r="T322" i="6"/>
  <c r="T359" i="6"/>
  <c r="T32" i="6"/>
  <c r="T87" i="6"/>
  <c r="T334" i="6"/>
  <c r="T364" i="6"/>
  <c r="T296" i="6"/>
  <c r="T187" i="6"/>
  <c r="T185" i="6"/>
  <c r="T65" i="6"/>
  <c r="T375" i="6"/>
  <c r="T374" i="6"/>
  <c r="T373" i="6"/>
  <c r="T449" i="6"/>
  <c r="T268" i="6"/>
  <c r="T239" i="6"/>
  <c r="T269" i="6"/>
  <c r="T217" i="6"/>
  <c r="T216" i="6"/>
  <c r="T352" i="6"/>
  <c r="T338" i="6"/>
  <c r="T141" i="6"/>
  <c r="T164" i="6"/>
  <c r="T104" i="6"/>
  <c r="T142" i="6"/>
  <c r="T318" i="6"/>
  <c r="T103" i="6"/>
  <c r="T94" i="6"/>
  <c r="T93" i="6"/>
  <c r="T92" i="6"/>
  <c r="T293" i="6"/>
  <c r="T240" i="6"/>
  <c r="T368" i="6"/>
  <c r="T353" i="6"/>
  <c r="T317" i="6"/>
  <c r="T289" i="6"/>
  <c r="T266" i="6"/>
  <c r="T238" i="6"/>
  <c r="T215" i="6"/>
  <c r="T183" i="6"/>
  <c r="T71" i="6"/>
  <c r="T140" i="6"/>
  <c r="T100" i="6"/>
  <c r="T372" i="6"/>
  <c r="T340" i="6"/>
  <c r="T316" i="6"/>
  <c r="T288" i="6"/>
  <c r="T265" i="6"/>
  <c r="T237" i="6"/>
  <c r="T212" i="6"/>
  <c r="T182" i="6"/>
  <c r="T132" i="6"/>
  <c r="T66" i="6"/>
  <c r="T287" i="6"/>
  <c r="T181" i="6"/>
  <c r="T207" i="6"/>
  <c r="T389" i="6"/>
  <c r="T69" i="6"/>
  <c r="T205" i="6"/>
  <c r="T361" i="6"/>
  <c r="T397" i="6"/>
  <c r="T328" i="6"/>
  <c r="T305" i="6"/>
  <c r="T282" i="6"/>
  <c r="T80" i="6"/>
  <c r="T231" i="6"/>
  <c r="T204" i="6"/>
  <c r="T90" i="6"/>
  <c r="T156" i="6"/>
  <c r="T124" i="6"/>
  <c r="T89" i="6"/>
  <c r="T127" i="6"/>
  <c r="T233" i="6"/>
  <c r="T344" i="6"/>
  <c r="T365" i="6"/>
  <c r="T405" i="6"/>
  <c r="T252" i="6"/>
  <c r="T304" i="6"/>
  <c r="T281" i="6"/>
  <c r="T246" i="6"/>
  <c r="T228" i="6"/>
  <c r="T203" i="6"/>
  <c r="T169" i="6"/>
  <c r="T155" i="6"/>
  <c r="T123" i="6"/>
  <c r="T49" i="6"/>
  <c r="T326" i="6"/>
  <c r="T128" i="6"/>
  <c r="T261" i="6"/>
  <c r="T327" i="6"/>
  <c r="T257" i="6"/>
  <c r="T174" i="6"/>
  <c r="T393" i="6"/>
  <c r="T303" i="6"/>
  <c r="T247" i="6"/>
  <c r="T224" i="6"/>
  <c r="T201" i="6"/>
  <c r="T162" i="6"/>
  <c r="T153" i="6"/>
  <c r="T121" i="6"/>
  <c r="T48" i="6"/>
  <c r="T377" i="6"/>
  <c r="T264" i="6"/>
  <c r="T61" i="6"/>
  <c r="T235" i="6"/>
  <c r="T285" i="6"/>
  <c r="T172" i="6"/>
  <c r="T369" i="6"/>
  <c r="T329" i="6"/>
  <c r="T280" i="6"/>
  <c r="T250" i="6"/>
  <c r="T302" i="6"/>
  <c r="T277" i="6"/>
  <c r="T248" i="6"/>
  <c r="T223" i="6"/>
  <c r="T200" i="6"/>
  <c r="T170" i="6"/>
  <c r="T152" i="6"/>
  <c r="T120" i="6"/>
  <c r="T46" i="6"/>
  <c r="T314" i="6"/>
  <c r="T84" i="6"/>
  <c r="T381" i="6"/>
  <c r="T286" i="6"/>
  <c r="T68" i="6"/>
  <c r="T312" i="6"/>
  <c r="T126" i="6"/>
  <c r="T125" i="6"/>
  <c r="T335" i="6"/>
  <c r="T378" i="6"/>
  <c r="T336" i="6"/>
  <c r="T346" i="6"/>
  <c r="T301" i="6"/>
  <c r="T273" i="6"/>
  <c r="T171" i="6"/>
  <c r="T222" i="6"/>
  <c r="T192" i="6"/>
  <c r="T70" i="6"/>
  <c r="T151" i="6"/>
  <c r="T116" i="6"/>
  <c r="T45" i="6"/>
  <c r="T236" i="6"/>
  <c r="T343" i="6"/>
  <c r="T178" i="6"/>
  <c r="T206" i="6"/>
  <c r="T357" i="6"/>
  <c r="T309" i="6"/>
  <c r="T232" i="6"/>
  <c r="T166" i="6"/>
  <c r="T59" i="6"/>
  <c r="T323" i="6"/>
  <c r="T300" i="6"/>
  <c r="T163" i="6"/>
  <c r="T190" i="6"/>
  <c r="T148" i="6"/>
  <c r="T390" i="6"/>
  <c r="T255" i="6"/>
  <c r="T298" i="6"/>
  <c r="T271" i="6"/>
  <c r="T173" i="6"/>
  <c r="T220" i="6"/>
  <c r="T189" i="6"/>
  <c r="T91" i="6"/>
  <c r="T144" i="6"/>
  <c r="T107" i="6"/>
  <c r="T41" i="6"/>
  <c r="T208" i="6"/>
  <c r="T313" i="6"/>
  <c r="T85" i="6"/>
  <c r="T403" i="6"/>
  <c r="T158" i="6"/>
  <c r="T284" i="6"/>
  <c r="T157" i="6"/>
  <c r="T386" i="6"/>
  <c r="T254" i="6"/>
  <c r="T272" i="6"/>
  <c r="T221" i="6"/>
  <c r="T60" i="6"/>
  <c r="T112" i="6"/>
  <c r="T43" i="6"/>
  <c r="T394" i="6"/>
  <c r="T337" i="6"/>
  <c r="T256" i="6"/>
  <c r="T297" i="6"/>
  <c r="T270" i="6"/>
  <c r="T244" i="6"/>
  <c r="T219" i="6"/>
  <c r="T188" i="6"/>
  <c r="T74" i="6"/>
  <c r="T143" i="6"/>
  <c r="T105" i="6"/>
  <c r="T38" i="6"/>
  <c r="T33" i="6"/>
  <c r="T62" i="6"/>
  <c r="T56" i="6"/>
  <c r="T139" i="6"/>
  <c r="T111" i="6"/>
  <c r="T79" i="6"/>
  <c r="T31" i="6"/>
  <c r="T199" i="6"/>
  <c r="T167" i="6"/>
  <c r="T160" i="6"/>
  <c r="T137" i="6"/>
  <c r="T110" i="6"/>
  <c r="T64" i="6"/>
  <c r="T30" i="6"/>
  <c r="T196" i="6"/>
  <c r="T168" i="6"/>
  <c r="T159" i="6"/>
  <c r="T136" i="6"/>
  <c r="T109" i="6"/>
  <c r="T55" i="6"/>
  <c r="T29" i="6"/>
  <c r="T135" i="6"/>
  <c r="T108" i="6"/>
  <c r="T50" i="6"/>
  <c r="T27" i="6"/>
  <c r="T26" i="6"/>
  <c r="T459" i="6"/>
  <c r="T25" i="6"/>
  <c r="T47" i="6"/>
  <c r="T17" i="6"/>
  <c r="T16" i="6"/>
  <c r="T15" i="6"/>
  <c r="T14" i="6"/>
  <c r="T42" i="6"/>
  <c r="T9" i="6"/>
  <c r="T11" i="6"/>
  <c r="T119" i="6"/>
  <c r="T82" i="6"/>
  <c r="T34" i="6"/>
  <c r="T22" i="6"/>
  <c r="T18" i="6"/>
  <c r="T13" i="6"/>
  <c r="U7" i="6"/>
  <c r="U186" i="6" s="1"/>
  <c r="T429" i="6"/>
  <c r="T370" i="6"/>
  <c r="T462" i="6"/>
  <c r="T382" i="6"/>
  <c r="T385" i="6"/>
  <c r="T251" i="6"/>
  <c r="T345" i="6"/>
  <c r="T315" i="6"/>
  <c r="T299" i="6"/>
  <c r="T283" i="6"/>
  <c r="T267" i="6"/>
  <c r="T249" i="6"/>
  <c r="T234" i="6"/>
  <c r="T218" i="6"/>
  <c r="T202" i="6"/>
  <c r="T184" i="6"/>
  <c r="T83" i="6"/>
  <c r="T58" i="6"/>
  <c r="T154" i="6"/>
  <c r="T138" i="6"/>
  <c r="T122" i="6"/>
  <c r="T106" i="6"/>
  <c r="T95" i="6"/>
  <c r="T44" i="6"/>
  <c r="T28" i="6"/>
  <c r="T12" i="6"/>
  <c r="T468" i="6"/>
  <c r="T398" i="6"/>
  <c r="T401" i="6"/>
  <c r="T339" i="6"/>
  <c r="T330" i="6"/>
  <c r="T311" i="6"/>
  <c r="T295" i="6"/>
  <c r="T279" i="6"/>
  <c r="T263" i="6"/>
  <c r="T165" i="6"/>
  <c r="T230" i="6"/>
  <c r="T214" i="6"/>
  <c r="T198" i="6"/>
  <c r="T180" i="6"/>
  <c r="T96" i="6"/>
  <c r="T150" i="6"/>
  <c r="T134" i="6"/>
  <c r="T118" i="6"/>
  <c r="T102" i="6"/>
  <c r="T57" i="6"/>
  <c r="T40" i="6"/>
  <c r="T24" i="6"/>
  <c r="T10" i="6"/>
  <c r="T463" i="6"/>
  <c r="T402" i="6"/>
  <c r="T406" i="6"/>
  <c r="T324" i="6"/>
  <c r="T253" i="6"/>
  <c r="T310" i="6"/>
  <c r="T294" i="6"/>
  <c r="T278" i="6"/>
  <c r="T262" i="6"/>
  <c r="T245" i="6"/>
  <c r="T229" i="6"/>
  <c r="T213" i="6"/>
  <c r="T197" i="6"/>
  <c r="T179" i="6"/>
  <c r="T86" i="6"/>
  <c r="T81" i="6"/>
  <c r="T149" i="6"/>
  <c r="T133" i="6"/>
  <c r="T117" i="6"/>
  <c r="T101" i="6"/>
  <c r="T73" i="6"/>
  <c r="T39" i="6"/>
  <c r="T23" i="6"/>
  <c r="T350" i="6"/>
  <c r="T388" i="6"/>
  <c r="T434" i="6"/>
  <c r="AD6" i="6"/>
  <c r="F3" i="6" s="1"/>
  <c r="T409" i="6"/>
  <c r="T407" i="6"/>
  <c r="T349" i="6"/>
  <c r="T341" i="6"/>
  <c r="T321" i="6"/>
  <c r="T308" i="6"/>
  <c r="T292" i="6"/>
  <c r="T276" i="6"/>
  <c r="T260" i="6"/>
  <c r="T243" i="6"/>
  <c r="T227" i="6"/>
  <c r="T211" i="6"/>
  <c r="T195" i="6"/>
  <c r="T177" i="6"/>
  <c r="T67" i="6"/>
  <c r="T78" i="6"/>
  <c r="T147" i="6"/>
  <c r="T131" i="6"/>
  <c r="T115" i="6"/>
  <c r="T88" i="6"/>
  <c r="T37" i="6"/>
  <c r="T21" i="6"/>
  <c r="T445" i="6"/>
  <c r="T355" i="6"/>
  <c r="T332" i="6"/>
  <c r="T333" i="6"/>
  <c r="T325" i="6"/>
  <c r="T320" i="6"/>
  <c r="T307" i="6"/>
  <c r="T291" i="6"/>
  <c r="T275" i="6"/>
  <c r="T259" i="6"/>
  <c r="T242" i="6"/>
  <c r="T226" i="6"/>
  <c r="T210" i="6"/>
  <c r="T194" i="6"/>
  <c r="T176" i="6"/>
  <c r="T63" i="6"/>
  <c r="T146" i="6"/>
  <c r="T130" i="6"/>
  <c r="T114" i="6"/>
  <c r="T36" i="6"/>
  <c r="T20" i="6"/>
  <c r="T347" i="6"/>
  <c r="T356" i="6"/>
  <c r="T351" i="6"/>
  <c r="T342" i="6"/>
  <c r="T319" i="6"/>
  <c r="T306" i="6"/>
  <c r="T290" i="6"/>
  <c r="T274" i="6"/>
  <c r="T258" i="6"/>
  <c r="T241" i="6"/>
  <c r="T225" i="6"/>
  <c r="T209" i="6"/>
  <c r="T193" i="6"/>
  <c r="T175" i="6"/>
  <c r="T77" i="6"/>
  <c r="T161" i="6"/>
  <c r="T145" i="6"/>
  <c r="T129" i="6"/>
  <c r="T113" i="6"/>
  <c r="T72" i="6"/>
  <c r="T51" i="6"/>
  <c r="T35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7" i="6"/>
  <c r="T441" i="6"/>
  <c r="T425" i="6"/>
  <c r="T466" i="6"/>
  <c r="T448" i="6"/>
  <c r="T432" i="6"/>
  <c r="T415" i="6"/>
  <c r="T392" i="6"/>
  <c r="T360" i="6"/>
  <c r="T455" i="6"/>
  <c r="T439" i="6"/>
  <c r="T423" i="6"/>
  <c r="T348" i="6"/>
  <c r="T464" i="6"/>
  <c r="T446" i="6"/>
  <c r="T430" i="6"/>
  <c r="T413" i="6"/>
  <c r="T396" i="6"/>
  <c r="T379" i="6"/>
  <c r="T363" i="6"/>
  <c r="T453" i="6"/>
  <c r="T437" i="6"/>
  <c r="T411" i="6"/>
  <c r="T461" i="6"/>
  <c r="T444" i="6"/>
  <c r="T428" i="6"/>
  <c r="T400" i="6"/>
  <c r="T383" i="6"/>
  <c r="T367" i="6"/>
  <c r="T469" i="6"/>
  <c r="T451" i="6"/>
  <c r="T435" i="6"/>
  <c r="T458" i="6"/>
  <c r="T442" i="6"/>
  <c r="T426" i="6"/>
  <c r="T387" i="6"/>
  <c r="T371" i="6"/>
  <c r="T354" i="6"/>
  <c r="T467" i="6"/>
  <c r="T450" i="6"/>
  <c r="T433" i="6"/>
  <c r="T416" i="6"/>
  <c r="T404" i="6"/>
  <c r="T456" i="6"/>
  <c r="T440" i="6"/>
  <c r="T424" i="6"/>
  <c r="T391" i="6"/>
  <c r="T376" i="6"/>
  <c r="T358" i="6"/>
  <c r="T465" i="6"/>
  <c r="T447" i="6"/>
  <c r="T431" i="6"/>
  <c r="T414" i="6"/>
  <c r="T454" i="6"/>
  <c r="T438" i="6"/>
  <c r="T422" i="6"/>
  <c r="T412" i="6"/>
  <c r="T408" i="6"/>
  <c r="T395" i="6"/>
  <c r="T380" i="6"/>
  <c r="T362" i="6"/>
  <c r="T410" i="6"/>
  <c r="T331" i="6"/>
  <c r="T452" i="6"/>
  <c r="T436" i="6"/>
  <c r="T399" i="6"/>
  <c r="T384" i="6"/>
  <c r="T366" i="6"/>
  <c r="T460" i="6"/>
  <c r="T443" i="6"/>
  <c r="U472" i="6" l="1"/>
  <c r="U478" i="6"/>
  <c r="U479" i="6"/>
  <c r="U475" i="6"/>
  <c r="U473" i="6"/>
  <c r="U476" i="6"/>
  <c r="U474" i="6"/>
  <c r="U477" i="6"/>
  <c r="U191" i="6"/>
  <c r="U470" i="6"/>
  <c r="U471" i="6"/>
  <c r="U417" i="6"/>
  <c r="U418" i="6"/>
  <c r="U419" i="6"/>
  <c r="U420" i="6"/>
  <c r="U421" i="6"/>
  <c r="U322" i="6"/>
  <c r="U97" i="6"/>
  <c r="U98" i="6"/>
  <c r="U99" i="6"/>
  <c r="U13" i="6"/>
  <c r="U359" i="6"/>
  <c r="U333" i="6"/>
  <c r="U449" i="6"/>
  <c r="U373" i="6"/>
  <c r="U374" i="6"/>
  <c r="U375" i="6"/>
  <c r="U459" i="6"/>
  <c r="U92" i="6"/>
  <c r="U93" i="6"/>
  <c r="U94" i="6"/>
  <c r="U143" i="6"/>
  <c r="U108" i="6"/>
  <c r="U290" i="6"/>
  <c r="U181" i="6"/>
  <c r="U447" i="6"/>
  <c r="U411" i="6"/>
  <c r="U451" i="6"/>
  <c r="U291" i="6"/>
  <c r="U220" i="6"/>
  <c r="U230" i="6"/>
  <c r="U309" i="6"/>
  <c r="U172" i="6"/>
  <c r="U132" i="6"/>
  <c r="U273" i="6"/>
  <c r="U147" i="6"/>
  <c r="U276" i="6"/>
  <c r="U101" i="6"/>
  <c r="U331" i="6"/>
  <c r="U319" i="6"/>
  <c r="U77" i="6"/>
  <c r="U295" i="6"/>
  <c r="U162" i="6"/>
  <c r="U382" i="6"/>
  <c r="U109" i="6"/>
  <c r="U106" i="6"/>
  <c r="U330" i="6"/>
  <c r="U174" i="6"/>
  <c r="U206" i="6"/>
  <c r="U119" i="6"/>
  <c r="U324" i="6"/>
  <c r="U200" i="6"/>
  <c r="U293" i="6"/>
  <c r="U177" i="6"/>
  <c r="U157" i="6"/>
  <c r="U45" i="6"/>
  <c r="U22" i="6"/>
  <c r="U188" i="6"/>
  <c r="U36" i="6"/>
  <c r="U24" i="6"/>
  <c r="U297" i="6"/>
  <c r="U122" i="6"/>
  <c r="U227" i="6"/>
  <c r="U203" i="6"/>
  <c r="U464" i="6"/>
  <c r="U469" i="6"/>
  <c r="U454" i="6"/>
  <c r="U20" i="6"/>
  <c r="U439" i="6"/>
  <c r="U321" i="6"/>
  <c r="U71" i="6"/>
  <c r="U453" i="6"/>
  <c r="U445" i="6"/>
  <c r="U235" i="6"/>
  <c r="U152" i="6"/>
  <c r="U313" i="6"/>
  <c r="U155" i="6"/>
  <c r="U239" i="6"/>
  <c r="U229" i="6"/>
  <c r="U111" i="6"/>
  <c r="U199" i="6"/>
  <c r="U231" i="6"/>
  <c r="V7" i="6"/>
  <c r="U27" i="6"/>
  <c r="U456" i="6"/>
  <c r="U246" i="6"/>
  <c r="U437" i="6"/>
  <c r="U458" i="6"/>
  <c r="U21" i="6"/>
  <c r="U110" i="6"/>
  <c r="U19" i="6"/>
  <c r="U69" i="6"/>
  <c r="U408" i="6"/>
  <c r="U138" i="6"/>
  <c r="U341" i="6"/>
  <c r="U215" i="6"/>
  <c r="U349" i="6"/>
  <c r="U78" i="6"/>
  <c r="U265" i="6"/>
  <c r="U205" i="6"/>
  <c r="U281" i="6"/>
  <c r="U444" i="6"/>
  <c r="U455" i="6"/>
  <c r="U57" i="6"/>
  <c r="U35" i="6"/>
  <c r="U105" i="6"/>
  <c r="U73" i="6"/>
  <c r="U140" i="6"/>
  <c r="U131" i="6"/>
  <c r="U133" i="6"/>
  <c r="U332" i="6"/>
  <c r="U158" i="6"/>
  <c r="U175" i="6"/>
  <c r="U269" i="6"/>
  <c r="U434" i="6"/>
  <c r="U9" i="6"/>
  <c r="U68" i="6"/>
  <c r="U171" i="6"/>
  <c r="U151" i="6"/>
  <c r="U107" i="6"/>
  <c r="U11" i="6"/>
  <c r="U287" i="6"/>
  <c r="U350" i="6"/>
  <c r="U190" i="6"/>
  <c r="U432" i="6"/>
  <c r="U193" i="6"/>
  <c r="U76" i="6"/>
  <c r="U289" i="6"/>
  <c r="U425" i="6"/>
  <c r="U272" i="6"/>
  <c r="U179" i="6"/>
  <c r="U30" i="6"/>
  <c r="U438" i="6"/>
  <c r="U426" i="6"/>
  <c r="U465" i="6"/>
  <c r="U412" i="6"/>
  <c r="U142" i="6"/>
  <c r="U428" i="6"/>
  <c r="U10" i="6"/>
  <c r="U112" i="6"/>
  <c r="U23" i="6"/>
  <c r="U409" i="6"/>
  <c r="U156" i="6"/>
  <c r="U463" i="6"/>
  <c r="U103" i="6"/>
  <c r="U271" i="6"/>
  <c r="U75" i="6"/>
  <c r="U237" i="6"/>
  <c r="U159" i="6"/>
  <c r="U406" i="6"/>
  <c r="U84" i="6"/>
  <c r="U135" i="6"/>
  <c r="U416" i="6"/>
  <c r="U118" i="6"/>
  <c r="U149" i="6"/>
  <c r="U25" i="6"/>
  <c r="U303" i="6"/>
  <c r="U413" i="6"/>
  <c r="U207" i="6"/>
  <c r="U209" i="6"/>
  <c r="U308" i="6"/>
  <c r="U176" i="6"/>
  <c r="U311" i="6"/>
  <c r="U208" i="6"/>
  <c r="U59" i="6"/>
  <c r="U467" i="6"/>
  <c r="U124" i="6"/>
  <c r="U62" i="6"/>
  <c r="U8" i="6"/>
  <c r="U429" i="6"/>
  <c r="U351" i="6"/>
  <c r="U40" i="6"/>
  <c r="U221" i="6"/>
  <c r="U443" i="6"/>
  <c r="U87" i="6"/>
  <c r="U85" i="6"/>
  <c r="U461" i="6"/>
  <c r="U415" i="6"/>
  <c r="U460" i="6"/>
  <c r="U51" i="6"/>
  <c r="U89" i="6"/>
  <c r="U407" i="6"/>
  <c r="U102" i="6"/>
  <c r="U414" i="6"/>
  <c r="U253" i="6"/>
  <c r="U184" i="6"/>
  <c r="U168" i="6"/>
  <c r="U41" i="6"/>
  <c r="U164" i="6"/>
  <c r="U223" i="6"/>
  <c r="U448" i="6"/>
  <c r="U225" i="6"/>
  <c r="U255" i="6"/>
  <c r="U201" i="6"/>
  <c r="U365" i="6"/>
  <c r="U173" i="6"/>
  <c r="U404" i="6"/>
  <c r="U245" i="6"/>
  <c r="U81" i="6"/>
  <c r="U423" i="6"/>
  <c r="U442" i="6"/>
  <c r="U43" i="6"/>
  <c r="U38" i="6"/>
  <c r="U60" i="6"/>
  <c r="U55" i="6"/>
  <c r="U163" i="6"/>
  <c r="U468" i="6"/>
  <c r="U452" i="6"/>
  <c r="U127" i="6"/>
  <c r="U431" i="6"/>
  <c r="U218" i="6"/>
  <c r="U435" i="6"/>
  <c r="U187" i="6"/>
  <c r="U74" i="6"/>
  <c r="U466" i="6"/>
  <c r="U259" i="6"/>
  <c r="U395" i="6"/>
  <c r="U233" i="6"/>
  <c r="U274" i="6"/>
  <c r="U16" i="6"/>
  <c r="U210" i="6"/>
  <c r="U440" i="6"/>
  <c r="U29" i="6"/>
  <c r="U165" i="6"/>
  <c r="U427" i="6"/>
  <c r="U95" i="6"/>
  <c r="U436" i="6"/>
  <c r="U18" i="6"/>
  <c r="U433" i="6"/>
  <c r="U202" i="6"/>
  <c r="U134" i="6"/>
  <c r="U58" i="6"/>
  <c r="U430" i="6"/>
  <c r="U348" i="6"/>
  <c r="U249" i="6"/>
  <c r="U342" i="6"/>
  <c r="U228" i="6"/>
  <c r="U15" i="6"/>
  <c r="U422" i="6"/>
  <c r="U153" i="6"/>
  <c r="U424" i="6"/>
  <c r="U450" i="6"/>
  <c r="U128" i="6"/>
  <c r="U204" i="6"/>
  <c r="U90" i="6"/>
  <c r="U446" i="6"/>
  <c r="U275" i="6"/>
  <c r="U79" i="6"/>
  <c r="U270" i="6"/>
  <c r="U398" i="6"/>
  <c r="U180" i="6"/>
  <c r="U49" i="6"/>
  <c r="U88" i="6"/>
  <c r="U117" i="6"/>
  <c r="U294" i="6"/>
  <c r="U367" i="6"/>
  <c r="U120" i="6"/>
  <c r="U129" i="6"/>
  <c r="U292" i="6"/>
  <c r="U312" i="6"/>
  <c r="U384" i="6"/>
  <c r="U314" i="6"/>
  <c r="U189" i="6"/>
  <c r="U363" i="6"/>
  <c r="U310" i="6"/>
  <c r="U347" i="6"/>
  <c r="U410" i="6"/>
  <c r="U400" i="6"/>
  <c r="U280" i="6"/>
  <c r="U362" i="6"/>
  <c r="U243" i="6"/>
  <c r="U380" i="6"/>
  <c r="U254" i="6"/>
  <c r="U340" i="6"/>
  <c r="U441" i="6"/>
  <c r="U457" i="6"/>
  <c r="U300" i="6"/>
  <c r="U379" i="6"/>
  <c r="U396" i="6"/>
  <c r="U325" i="6"/>
  <c r="U366" i="6"/>
  <c r="U318" i="6"/>
  <c r="U44" i="6"/>
  <c r="U336" i="6"/>
  <c r="U381" i="6"/>
  <c r="U383" i="6"/>
  <c r="U345" i="6"/>
  <c r="U42" i="6"/>
  <c r="U323" i="6"/>
  <c r="U72" i="6"/>
  <c r="U364" i="6"/>
  <c r="U47" i="6"/>
  <c r="U14" i="6"/>
  <c r="U399" i="6"/>
  <c r="U355" i="6"/>
  <c r="U70" i="6"/>
  <c r="U12" i="6"/>
  <c r="U104" i="6"/>
  <c r="U397" i="6"/>
  <c r="U178" i="6"/>
  <c r="U48" i="6"/>
  <c r="U334" i="6"/>
  <c r="U371" i="6"/>
  <c r="U169" i="6"/>
  <c r="U46" i="6"/>
  <c r="U241" i="6"/>
  <c r="U80" i="6"/>
  <c r="U113" i="6"/>
  <c r="U388" i="6"/>
  <c r="U335" i="6"/>
  <c r="U34" i="6"/>
  <c r="U121" i="6"/>
  <c r="U211" i="6"/>
  <c r="U248" i="6"/>
  <c r="U284" i="6"/>
  <c r="U232" i="6"/>
  <c r="U353" i="6"/>
  <c r="U378" i="6"/>
  <c r="U251" i="6"/>
  <c r="U212" i="6"/>
  <c r="U240" i="6"/>
  <c r="U50" i="6"/>
  <c r="U161" i="6"/>
  <c r="U216" i="6"/>
  <c r="U258" i="6"/>
  <c r="U288" i="6"/>
  <c r="U244" i="6"/>
  <c r="U357" i="6"/>
  <c r="U387" i="6"/>
  <c r="U114" i="6"/>
  <c r="U390" i="6"/>
  <c r="U195" i="6"/>
  <c r="U96" i="6"/>
  <c r="U145" i="6"/>
  <c r="U462" i="6"/>
  <c r="U100" i="6"/>
  <c r="U166" i="6"/>
  <c r="U217" i="6"/>
  <c r="U260" i="6"/>
  <c r="U296" i="6"/>
  <c r="U256" i="6"/>
  <c r="U358" i="6"/>
  <c r="U389" i="6"/>
  <c r="U126" i="6"/>
  <c r="U262" i="6"/>
  <c r="U123" i="6"/>
  <c r="U82" i="6"/>
  <c r="U307" i="6"/>
  <c r="U91" i="6"/>
  <c r="U317" i="6"/>
  <c r="U247" i="6"/>
  <c r="U337" i="6"/>
  <c r="U39" i="6"/>
  <c r="U286" i="6"/>
  <c r="U56" i="6"/>
  <c r="U219" i="6"/>
  <c r="U298" i="6"/>
  <c r="U360" i="6"/>
  <c r="U278" i="6"/>
  <c r="U283" i="6"/>
  <c r="U213" i="6"/>
  <c r="U61" i="6"/>
  <c r="U115" i="6"/>
  <c r="U150" i="6"/>
  <c r="U222" i="6"/>
  <c r="U263" i="6"/>
  <c r="U299" i="6"/>
  <c r="U346" i="6"/>
  <c r="U391" i="6"/>
  <c r="U146" i="6"/>
  <c r="U33" i="6"/>
  <c r="U352" i="6"/>
  <c r="U386" i="6"/>
  <c r="U63" i="6"/>
  <c r="U116" i="6"/>
  <c r="U182" i="6"/>
  <c r="U224" i="6"/>
  <c r="U264" i="6"/>
  <c r="U301" i="6"/>
  <c r="U320" i="6"/>
  <c r="U361" i="6"/>
  <c r="U392" i="6"/>
  <c r="U226" i="6"/>
  <c r="U329" i="6"/>
  <c r="U368" i="6"/>
  <c r="U136" i="6"/>
  <c r="U252" i="6"/>
  <c r="U37" i="6"/>
  <c r="U64" i="6"/>
  <c r="U125" i="6"/>
  <c r="U183" i="6"/>
  <c r="U266" i="6"/>
  <c r="U302" i="6"/>
  <c r="U393" i="6"/>
  <c r="U267" i="6"/>
  <c r="U369" i="6"/>
  <c r="U137" i="6"/>
  <c r="U65" i="6"/>
  <c r="U141" i="6"/>
  <c r="U185" i="6"/>
  <c r="U304" i="6"/>
  <c r="U394" i="6"/>
  <c r="U139" i="6"/>
  <c r="U403" i="6"/>
  <c r="U242" i="6"/>
  <c r="U356" i="6"/>
  <c r="U17" i="6"/>
  <c r="U66" i="6"/>
  <c r="U170" i="6"/>
  <c r="U192" i="6"/>
  <c r="U144" i="6"/>
  <c r="U268" i="6"/>
  <c r="U305" i="6"/>
  <c r="U328" i="6"/>
  <c r="U370" i="6"/>
  <c r="U401" i="6"/>
  <c r="U277" i="6"/>
  <c r="U306" i="6"/>
  <c r="U372" i="6"/>
  <c r="U402" i="6"/>
  <c r="U198" i="6"/>
  <c r="U385" i="6"/>
  <c r="U26" i="6"/>
  <c r="U67" i="6"/>
  <c r="U130" i="6"/>
  <c r="U194" i="6"/>
  <c r="U160" i="6"/>
  <c r="U344" i="6"/>
  <c r="U28" i="6"/>
  <c r="U327" i="6"/>
  <c r="U167" i="6"/>
  <c r="U339" i="6"/>
  <c r="U285" i="6"/>
  <c r="U31" i="6"/>
  <c r="U83" i="6"/>
  <c r="U154" i="6"/>
  <c r="U196" i="6"/>
  <c r="U234" i="6"/>
  <c r="U279" i="6"/>
  <c r="U315" i="6"/>
  <c r="U343" i="6"/>
  <c r="U405" i="6"/>
  <c r="U236" i="6"/>
  <c r="U257" i="6"/>
  <c r="U32" i="6"/>
  <c r="U86" i="6"/>
  <c r="U148" i="6"/>
  <c r="U197" i="6"/>
  <c r="U238" i="6"/>
  <c r="U282" i="6"/>
  <c r="U316" i="6"/>
  <c r="U326" i="6"/>
  <c r="U376" i="6"/>
  <c r="U338" i="6"/>
  <c r="U377" i="6"/>
  <c r="U354" i="6"/>
  <c r="U214" i="6"/>
  <c r="U250" i="6"/>
  <c r="U261" i="6"/>
  <c r="F5" i="6"/>
  <c r="G5" i="6"/>
  <c r="E5" i="6"/>
  <c r="H4" i="6"/>
  <c r="H3" i="6"/>
  <c r="T5" i="6"/>
  <c r="V310" i="6"/>
  <c r="V140" i="6" l="1"/>
  <c r="V186" i="6"/>
  <c r="V462" i="6"/>
  <c r="V472" i="6"/>
  <c r="V478" i="6"/>
  <c r="V479" i="6"/>
  <c r="V475" i="6"/>
  <c r="V473" i="6"/>
  <c r="V476" i="6"/>
  <c r="V474" i="6"/>
  <c r="V477" i="6"/>
  <c r="V376" i="6"/>
  <c r="V188" i="6"/>
  <c r="V458" i="6"/>
  <c r="V352" i="6"/>
  <c r="V237" i="6"/>
  <c r="V191" i="6"/>
  <c r="V470" i="6"/>
  <c r="V471" i="6"/>
  <c r="V417" i="6"/>
  <c r="V418" i="6"/>
  <c r="V419" i="6"/>
  <c r="V420" i="6"/>
  <c r="V421" i="6"/>
  <c r="V97" i="6"/>
  <c r="V98" i="6"/>
  <c r="V99" i="6"/>
  <c r="V359" i="6"/>
  <c r="V322" i="6"/>
  <c r="V95" i="6"/>
  <c r="V307" i="6"/>
  <c r="V380" i="6"/>
  <c r="V38" i="6"/>
  <c r="V261" i="6"/>
  <c r="V128" i="6"/>
  <c r="V315" i="6"/>
  <c r="V388" i="6"/>
  <c r="V13" i="6"/>
  <c r="V68" i="6"/>
  <c r="V136" i="6"/>
  <c r="V349" i="6"/>
  <c r="V166" i="6"/>
  <c r="V281" i="6"/>
  <c r="V286" i="6"/>
  <c r="V226" i="6"/>
  <c r="V319" i="6"/>
  <c r="V28" i="6"/>
  <c r="V18" i="6"/>
  <c r="V232" i="6"/>
  <c r="V433" i="6"/>
  <c r="V181" i="6"/>
  <c r="V449" i="6"/>
  <c r="V373" i="6"/>
  <c r="V374" i="6"/>
  <c r="V375" i="6"/>
  <c r="V459" i="6"/>
  <c r="V92" i="6"/>
  <c r="V93" i="6"/>
  <c r="V94" i="6"/>
  <c r="V153" i="6"/>
  <c r="V413" i="6"/>
  <c r="V203" i="6"/>
  <c r="V464" i="6"/>
  <c r="V250" i="6"/>
  <c r="V73" i="6"/>
  <c r="V355" i="6"/>
  <c r="V104" i="6"/>
  <c r="V386" i="6"/>
  <c r="V134" i="6"/>
  <c r="V251" i="6"/>
  <c r="V200" i="6"/>
  <c r="V253" i="6"/>
  <c r="V56" i="6"/>
  <c r="V278" i="6"/>
  <c r="V12" i="6"/>
  <c r="V229" i="6"/>
  <c r="V342" i="6"/>
  <c r="V51" i="6"/>
  <c r="V275" i="6"/>
  <c r="V444" i="6"/>
  <c r="V194" i="6"/>
  <c r="V289" i="6"/>
  <c r="V34" i="6"/>
  <c r="V155" i="6"/>
  <c r="V248" i="6"/>
  <c r="V32" i="6"/>
  <c r="V389" i="6"/>
  <c r="V124" i="6"/>
  <c r="V435" i="6"/>
  <c r="V354" i="6"/>
  <c r="V65" i="6"/>
  <c r="V451" i="6"/>
  <c r="V345" i="6"/>
  <c r="V35" i="6"/>
  <c r="V369" i="6"/>
  <c r="V118" i="6"/>
  <c r="V233" i="6"/>
  <c r="V434" i="6"/>
  <c r="V182" i="6"/>
  <c r="V399" i="6"/>
  <c r="V147" i="6"/>
  <c r="V262" i="6"/>
  <c r="V465" i="6"/>
  <c r="V213" i="6"/>
  <c r="V323" i="6"/>
  <c r="V19" i="6"/>
  <c r="V259" i="6"/>
  <c r="V428" i="6"/>
  <c r="V176" i="6"/>
  <c r="V273" i="6"/>
  <c r="V391" i="6"/>
  <c r="V139" i="6"/>
  <c r="V238" i="6"/>
  <c r="V265" i="6"/>
  <c r="V446" i="6"/>
  <c r="V299" i="6"/>
  <c r="V469" i="6"/>
  <c r="V9" i="6"/>
  <c r="V246" i="6"/>
  <c r="V88" i="6"/>
  <c r="V423" i="6"/>
  <c r="V316" i="6"/>
  <c r="V66" i="6"/>
  <c r="V353" i="6"/>
  <c r="V102" i="6"/>
  <c r="V217" i="6"/>
  <c r="V170" i="6"/>
  <c r="V383" i="6"/>
  <c r="V131" i="6"/>
  <c r="V80" i="6"/>
  <c r="V447" i="6"/>
  <c r="V197" i="6"/>
  <c r="V308" i="6"/>
  <c r="V79" i="6"/>
  <c r="V243" i="6"/>
  <c r="W7" i="6"/>
  <c r="W186" i="6" s="1"/>
  <c r="V91" i="6"/>
  <c r="V257" i="6"/>
  <c r="V123" i="6"/>
  <c r="V222" i="6"/>
  <c r="V468" i="6"/>
  <c r="V208" i="6"/>
  <c r="V439" i="6"/>
  <c r="V360" i="6"/>
  <c r="V167" i="6"/>
  <c r="V455" i="6"/>
  <c r="V407" i="6"/>
  <c r="V300" i="6"/>
  <c r="V67" i="6"/>
  <c r="V346" i="6"/>
  <c r="V31" i="6"/>
  <c r="V201" i="6"/>
  <c r="V335" i="6"/>
  <c r="V81" i="6"/>
  <c r="V366" i="6"/>
  <c r="V115" i="6"/>
  <c r="V230" i="6"/>
  <c r="V431" i="6"/>
  <c r="V179" i="6"/>
  <c r="V292" i="6"/>
  <c r="V40" i="6"/>
  <c r="V227" i="6"/>
  <c r="V410" i="6"/>
  <c r="V158" i="6"/>
  <c r="V241" i="6"/>
  <c r="V358" i="6"/>
  <c r="V107" i="6"/>
  <c r="V206" i="6"/>
  <c r="V442" i="6"/>
  <c r="V252" i="6"/>
  <c r="V402" i="6"/>
  <c r="V171" i="6"/>
  <c r="V363" i="6"/>
  <c r="V305" i="6"/>
  <c r="V403" i="6"/>
  <c r="V137" i="6"/>
  <c r="V10" i="6"/>
  <c r="V269" i="6"/>
  <c r="V43" i="6"/>
  <c r="V425" i="6"/>
  <c r="V317" i="6"/>
  <c r="V284" i="6"/>
  <c r="V24" i="6"/>
  <c r="V314" i="6"/>
  <c r="V85" i="6"/>
  <c r="V183" i="6"/>
  <c r="V400" i="6"/>
  <c r="V148" i="6"/>
  <c r="V340" i="6"/>
  <c r="V78" i="6"/>
  <c r="V214" i="6"/>
  <c r="V414" i="6"/>
  <c r="V90" i="6"/>
  <c r="V276" i="6"/>
  <c r="V463" i="6"/>
  <c r="V211" i="6"/>
  <c r="V394" i="6"/>
  <c r="V142" i="6"/>
  <c r="V225" i="6"/>
  <c r="V344" i="6"/>
  <c r="V41" i="6"/>
  <c r="V189" i="6"/>
  <c r="V76" i="6"/>
  <c r="V304" i="6"/>
  <c r="V441" i="6"/>
  <c r="V372" i="6"/>
  <c r="V185" i="6"/>
  <c r="V457" i="6"/>
  <c r="V409" i="6"/>
  <c r="V235" i="6"/>
  <c r="V268" i="6"/>
  <c r="V103" i="6"/>
  <c r="V298" i="6"/>
  <c r="V169" i="6"/>
  <c r="V384" i="6"/>
  <c r="V132" i="6"/>
  <c r="V331" i="6"/>
  <c r="V25" i="6"/>
  <c r="V198" i="6"/>
  <c r="V337" i="6"/>
  <c r="V161" i="6"/>
  <c r="V260" i="6"/>
  <c r="V445" i="6"/>
  <c r="V195" i="6"/>
  <c r="V378" i="6"/>
  <c r="V126" i="6"/>
  <c r="V209" i="6"/>
  <c r="V256" i="6"/>
  <c r="V96" i="6"/>
  <c r="V60" i="6"/>
  <c r="V75" i="6"/>
  <c r="V221" i="6"/>
  <c r="V351" i="6"/>
  <c r="V283" i="6"/>
  <c r="V108" i="6"/>
  <c r="V427" i="6"/>
  <c r="V329" i="6"/>
  <c r="V156" i="6"/>
  <c r="V165" i="6"/>
  <c r="V33" i="6"/>
  <c r="V282" i="6"/>
  <c r="V20" i="6"/>
  <c r="V367" i="6"/>
  <c r="V116" i="6"/>
  <c r="V311" i="6"/>
  <c r="V59" i="6"/>
  <c r="V180" i="6"/>
  <c r="V397" i="6"/>
  <c r="V145" i="6"/>
  <c r="V244" i="6"/>
  <c r="V429" i="6"/>
  <c r="V177" i="6"/>
  <c r="V361" i="6"/>
  <c r="V110" i="6"/>
  <c r="V193" i="6"/>
  <c r="V303" i="6"/>
  <c r="V30" i="6"/>
  <c r="V71" i="6"/>
  <c r="V151" i="6"/>
  <c r="V387" i="6"/>
  <c r="V192" i="6"/>
  <c r="V460" i="6"/>
  <c r="V240" i="6"/>
  <c r="V70" i="6"/>
  <c r="V236" i="6"/>
  <c r="V61" i="6"/>
  <c r="V266" i="6"/>
  <c r="V401" i="6"/>
  <c r="V149" i="6"/>
  <c r="V324" i="6"/>
  <c r="V100" i="6"/>
  <c r="V295" i="6"/>
  <c r="V46" i="6"/>
  <c r="V163" i="6"/>
  <c r="V381" i="6"/>
  <c r="V129" i="6"/>
  <c r="V228" i="6"/>
  <c r="V333" i="6"/>
  <c r="V62" i="6"/>
  <c r="V254" i="6"/>
  <c r="V47" i="6"/>
  <c r="V175" i="6"/>
  <c r="V287" i="6"/>
  <c r="V406" i="6"/>
  <c r="V154" i="6"/>
  <c r="V26" i="6"/>
  <c r="V288" i="6"/>
  <c r="V121" i="6"/>
  <c r="V432" i="6"/>
  <c r="V327" i="6"/>
  <c r="V58" i="6"/>
  <c r="V412" i="6"/>
  <c r="V220" i="6"/>
  <c r="V55" i="6"/>
  <c r="V173" i="6"/>
  <c r="V385" i="6"/>
  <c r="V133" i="6"/>
  <c r="V347" i="6"/>
  <c r="V27" i="6"/>
  <c r="V279" i="6"/>
  <c r="V14" i="6"/>
  <c r="V162" i="6"/>
  <c r="V364" i="6"/>
  <c r="V113" i="6"/>
  <c r="V212" i="6"/>
  <c r="V338" i="6"/>
  <c r="V159" i="6"/>
  <c r="V320" i="6"/>
  <c r="V15" i="6"/>
  <c r="V74" i="6"/>
  <c r="V271" i="6"/>
  <c r="V390" i="6"/>
  <c r="V138" i="6"/>
  <c r="V443" i="6"/>
  <c r="V205" i="6"/>
  <c r="V466" i="6"/>
  <c r="V11" i="6"/>
  <c r="V249" i="6"/>
  <c r="V72" i="6"/>
  <c r="V454" i="6"/>
  <c r="V204" i="6"/>
  <c r="V22" i="6"/>
  <c r="V234" i="6"/>
  <c r="V368" i="6"/>
  <c r="V117" i="6"/>
  <c r="V312" i="6"/>
  <c r="V82" i="6"/>
  <c r="V263" i="6"/>
  <c r="V398" i="6"/>
  <c r="V146" i="6"/>
  <c r="V325" i="6"/>
  <c r="V196" i="6"/>
  <c r="V395" i="6"/>
  <c r="V143" i="6"/>
  <c r="V306" i="6"/>
  <c r="V64" i="6"/>
  <c r="V157" i="6"/>
  <c r="V247" i="6"/>
  <c r="V122" i="6"/>
  <c r="V285" i="6"/>
  <c r="V84" i="6"/>
  <c r="V150" i="6"/>
  <c r="V294" i="6"/>
  <c r="V112" i="6"/>
  <c r="V57" i="6"/>
  <c r="V415" i="6"/>
  <c r="V135" i="6"/>
  <c r="V437" i="6"/>
  <c r="V356" i="6"/>
  <c r="V453" i="6"/>
  <c r="V438" i="6"/>
  <c r="V187" i="6"/>
  <c r="V411" i="6"/>
  <c r="V218" i="6"/>
  <c r="V339" i="6"/>
  <c r="V101" i="6"/>
  <c r="V296" i="6"/>
  <c r="V48" i="6"/>
  <c r="V164" i="6"/>
  <c r="V382" i="6"/>
  <c r="V130" i="6"/>
  <c r="V332" i="6"/>
  <c r="V21" i="6"/>
  <c r="V178" i="6"/>
  <c r="V379" i="6"/>
  <c r="V127" i="6"/>
  <c r="V290" i="6"/>
  <c r="V36" i="6"/>
  <c r="V141" i="6"/>
  <c r="V239" i="6"/>
  <c r="V357" i="6"/>
  <c r="V106" i="6"/>
  <c r="V224" i="6"/>
  <c r="V430" i="6"/>
  <c r="V120" i="6"/>
  <c r="V416" i="6"/>
  <c r="V245" i="6"/>
  <c r="V461" i="6"/>
  <c r="V87" i="6"/>
  <c r="V448" i="6"/>
  <c r="V392" i="6"/>
  <c r="V350" i="6"/>
  <c r="V8" i="6"/>
  <c r="V267" i="6"/>
  <c r="V37" i="6"/>
  <c r="V424" i="6"/>
  <c r="V422" i="6"/>
  <c r="V168" i="6"/>
  <c r="V452" i="6"/>
  <c r="V202" i="6"/>
  <c r="V330" i="6"/>
  <c r="V29" i="6"/>
  <c r="V280" i="6"/>
  <c r="V16" i="6"/>
  <c r="V231" i="6"/>
  <c r="V365" i="6"/>
  <c r="V114" i="6"/>
  <c r="V309" i="6"/>
  <c r="V89" i="6"/>
  <c r="V83" i="6"/>
  <c r="V362" i="6"/>
  <c r="V111" i="6"/>
  <c r="V274" i="6"/>
  <c r="V393" i="6"/>
  <c r="V125" i="6"/>
  <c r="V223" i="6"/>
  <c r="V328" i="6"/>
  <c r="V39" i="6"/>
  <c r="V301" i="6"/>
  <c r="V440" i="6"/>
  <c r="V370" i="6"/>
  <c r="V174" i="6"/>
  <c r="V456" i="6"/>
  <c r="V408" i="6"/>
  <c r="V334" i="6"/>
  <c r="V436" i="6"/>
  <c r="V184" i="6"/>
  <c r="V313" i="6"/>
  <c r="V69" i="6"/>
  <c r="V264" i="6"/>
  <c r="V467" i="6"/>
  <c r="V215" i="6"/>
  <c r="V341" i="6"/>
  <c r="V63" i="6"/>
  <c r="V293" i="6"/>
  <c r="V42" i="6"/>
  <c r="V160" i="6"/>
  <c r="V326" i="6"/>
  <c r="V49" i="6"/>
  <c r="V258" i="6"/>
  <c r="V377" i="6"/>
  <c r="V109" i="6"/>
  <c r="V207" i="6"/>
  <c r="V318" i="6"/>
  <c r="V119" i="6"/>
  <c r="V371" i="6"/>
  <c r="V216" i="6"/>
  <c r="V44" i="6"/>
  <c r="V291" i="6"/>
  <c r="V210" i="6"/>
  <c r="V270" i="6"/>
  <c r="V405" i="6"/>
  <c r="V219" i="6"/>
  <c r="V336" i="6"/>
  <c r="V272" i="6"/>
  <c r="V105" i="6"/>
  <c r="V426" i="6"/>
  <c r="V255" i="6"/>
  <c r="V404" i="6"/>
  <c r="V152" i="6"/>
  <c r="V77" i="6"/>
  <c r="V297" i="6"/>
  <c r="V50" i="6"/>
  <c r="V172" i="6"/>
  <c r="V450" i="6"/>
  <c r="V199" i="6"/>
  <c r="V348" i="6"/>
  <c r="V23" i="6"/>
  <c r="V277" i="6"/>
  <c r="V396" i="6"/>
  <c r="V144" i="6"/>
  <c r="V321" i="6"/>
  <c r="V17" i="6"/>
  <c r="V242" i="6"/>
  <c r="V343" i="6"/>
  <c r="V45" i="6"/>
  <c r="V190" i="6"/>
  <c r="V302" i="6"/>
  <c r="V86" i="6"/>
  <c r="U5" i="6"/>
  <c r="H5" i="6"/>
  <c r="W35" i="6" l="1"/>
  <c r="W477" i="6"/>
  <c r="W472" i="6"/>
  <c r="W478" i="6"/>
  <c r="W479" i="6"/>
  <c r="W475" i="6"/>
  <c r="W473" i="6"/>
  <c r="W476" i="6"/>
  <c r="W474" i="6"/>
  <c r="W191" i="6"/>
  <c r="W470" i="6"/>
  <c r="W471" i="6"/>
  <c r="W417" i="6"/>
  <c r="W418" i="6"/>
  <c r="W419" i="6"/>
  <c r="W420" i="6"/>
  <c r="W421" i="6"/>
  <c r="W125" i="6"/>
  <c r="W97" i="6"/>
  <c r="W98" i="6"/>
  <c r="W99" i="6"/>
  <c r="W355" i="6"/>
  <c r="W322" i="6"/>
  <c r="W61" i="6"/>
  <c r="W118" i="6"/>
  <c r="W86" i="6"/>
  <c r="W249" i="6"/>
  <c r="W184" i="6"/>
  <c r="W276" i="6"/>
  <c r="W17" i="6"/>
  <c r="W406" i="6"/>
  <c r="W12" i="6"/>
  <c r="W37" i="6"/>
  <c r="W147" i="6"/>
  <c r="W316" i="6"/>
  <c r="W359" i="6"/>
  <c r="W352" i="6"/>
  <c r="W60" i="6"/>
  <c r="W427" i="6"/>
  <c r="W198" i="6"/>
  <c r="W8" i="6"/>
  <c r="W468" i="6"/>
  <c r="W415" i="6"/>
  <c r="W399" i="6"/>
  <c r="W62" i="6"/>
  <c r="W67" i="6"/>
  <c r="W32" i="6"/>
  <c r="W449" i="6"/>
  <c r="W373" i="6"/>
  <c r="W374" i="6"/>
  <c r="W375" i="6"/>
  <c r="W300" i="6"/>
  <c r="W33" i="6"/>
  <c r="W92" i="6"/>
  <c r="W93" i="6"/>
  <c r="W94" i="6"/>
  <c r="V5" i="6"/>
  <c r="W376" i="6"/>
  <c r="W401" i="6"/>
  <c r="W398" i="6"/>
  <c r="W407" i="6"/>
  <c r="W464" i="6"/>
  <c r="W446" i="6"/>
  <c r="W430" i="6"/>
  <c r="W31" i="6"/>
  <c r="W30" i="6"/>
  <c r="W59" i="6"/>
  <c r="W84" i="6"/>
  <c r="W117" i="6"/>
  <c r="W145" i="6"/>
  <c r="W162" i="6"/>
  <c r="W242" i="6"/>
  <c r="W178" i="6"/>
  <c r="W43" i="6"/>
  <c r="W260" i="6"/>
  <c r="W167" i="6"/>
  <c r="W383" i="6"/>
  <c r="W109" i="6"/>
  <c r="W207" i="6"/>
  <c r="W36" i="6"/>
  <c r="W50" i="6"/>
  <c r="W284" i="6"/>
  <c r="W340" i="6"/>
  <c r="W396" i="6"/>
  <c r="W334" i="6"/>
  <c r="W414" i="6"/>
  <c r="W461" i="6"/>
  <c r="W428" i="6"/>
  <c r="W253" i="6"/>
  <c r="W463" i="6"/>
  <c r="W445" i="6"/>
  <c r="W29" i="6"/>
  <c r="W57" i="6"/>
  <c r="W81" i="6"/>
  <c r="W116" i="6"/>
  <c r="W143" i="6"/>
  <c r="W163" i="6"/>
  <c r="W332" i="6"/>
  <c r="W27" i="6"/>
  <c r="W221" i="6"/>
  <c r="W438" i="6"/>
  <c r="W158" i="6"/>
  <c r="W366" i="6"/>
  <c r="W87" i="6"/>
  <c r="W303" i="6"/>
  <c r="W20" i="6"/>
  <c r="W34" i="6"/>
  <c r="W268" i="6"/>
  <c r="W76" i="6"/>
  <c r="W187" i="6"/>
  <c r="W228" i="6"/>
  <c r="W341" i="6"/>
  <c r="W372" i="6"/>
  <c r="W395" i="6"/>
  <c r="W317" i="6"/>
  <c r="W408" i="6"/>
  <c r="W465" i="6"/>
  <c r="W443" i="6"/>
  <c r="W456" i="6"/>
  <c r="W429" i="6"/>
  <c r="W28" i="6"/>
  <c r="W80" i="6"/>
  <c r="W115" i="6"/>
  <c r="W140" i="6"/>
  <c r="W310" i="6"/>
  <c r="W452" i="6"/>
  <c r="W246" i="6"/>
  <c r="W409" i="6"/>
  <c r="W142" i="6"/>
  <c r="W318" i="6"/>
  <c r="W71" i="6"/>
  <c r="W287" i="6"/>
  <c r="W301" i="6"/>
  <c r="W18" i="6"/>
  <c r="W226" i="6"/>
  <c r="W75" i="6"/>
  <c r="W348" i="6"/>
  <c r="W349" i="6"/>
  <c r="W204" i="6"/>
  <c r="W370" i="6"/>
  <c r="W393" i="6"/>
  <c r="W392" i="6"/>
  <c r="W391" i="6"/>
  <c r="W323" i="6"/>
  <c r="W447" i="6"/>
  <c r="W457" i="6"/>
  <c r="W424" i="6"/>
  <c r="W469" i="6"/>
  <c r="W26" i="6"/>
  <c r="W51" i="6"/>
  <c r="W79" i="6"/>
  <c r="W113" i="6"/>
  <c r="W294" i="6"/>
  <c r="W460" i="6"/>
  <c r="W214" i="6"/>
  <c r="W400" i="6"/>
  <c r="W126" i="6"/>
  <c r="W345" i="6"/>
  <c r="W55" i="6"/>
  <c r="W271" i="6"/>
  <c r="W285" i="6"/>
  <c r="X7" i="6"/>
  <c r="X186" i="6" s="1"/>
  <c r="W237" i="6"/>
  <c r="W459" i="6"/>
  <c r="W298" i="6"/>
  <c r="W297" i="6"/>
  <c r="W255" i="6"/>
  <c r="W342" i="6"/>
  <c r="W368" i="6"/>
  <c r="W365" i="6"/>
  <c r="W363" i="6"/>
  <c r="W390" i="6"/>
  <c r="W410" i="6"/>
  <c r="W403" i="6"/>
  <c r="W441" i="6"/>
  <c r="W466" i="6"/>
  <c r="W448" i="6"/>
  <c r="W24" i="6"/>
  <c r="W48" i="6"/>
  <c r="W78" i="6"/>
  <c r="W278" i="6"/>
  <c r="W426" i="6"/>
  <c r="W252" i="6"/>
  <c r="W384" i="6"/>
  <c r="W110" i="6"/>
  <c r="W223" i="6"/>
  <c r="W38" i="6"/>
  <c r="W240" i="6"/>
  <c r="W269" i="6"/>
  <c r="W416" i="6"/>
  <c r="W177" i="6"/>
  <c r="W462" i="6"/>
  <c r="W270" i="6"/>
  <c r="W267" i="6"/>
  <c r="W296" i="6"/>
  <c r="W215" i="6"/>
  <c r="W326" i="6"/>
  <c r="W319" i="6"/>
  <c r="W254" i="6"/>
  <c r="W362" i="6"/>
  <c r="W389" i="6"/>
  <c r="W387" i="6"/>
  <c r="W411" i="6"/>
  <c r="W432" i="6"/>
  <c r="W458" i="6"/>
  <c r="W439" i="6"/>
  <c r="W21" i="6"/>
  <c r="W47" i="6"/>
  <c r="W262" i="6"/>
  <c r="W455" i="6"/>
  <c r="W160" i="6"/>
  <c r="W367" i="6"/>
  <c r="W88" i="6"/>
  <c r="W305" i="6"/>
  <c r="W22" i="6"/>
  <c r="W179" i="6"/>
  <c r="W232" i="6"/>
  <c r="W10" i="6"/>
  <c r="W173" i="6"/>
  <c r="W213" i="6"/>
  <c r="W188" i="6"/>
  <c r="W266" i="6"/>
  <c r="W295" i="6"/>
  <c r="W199" i="6"/>
  <c r="W190" i="6"/>
  <c r="W256" i="6"/>
  <c r="W343" i="6"/>
  <c r="W344" i="6"/>
  <c r="W360" i="6"/>
  <c r="W385" i="6"/>
  <c r="W350" i="6"/>
  <c r="W454" i="6"/>
  <c r="W442" i="6"/>
  <c r="W436" i="6"/>
  <c r="W19" i="6"/>
  <c r="W174" i="6"/>
  <c r="W402" i="6"/>
  <c r="W144" i="6"/>
  <c r="W324" i="6"/>
  <c r="W72" i="6"/>
  <c r="W289" i="6"/>
  <c r="W467" i="6"/>
  <c r="W203" i="6"/>
  <c r="W241" i="6"/>
  <c r="W444" i="6"/>
  <c r="W171" i="6"/>
  <c r="W229" i="6"/>
  <c r="W91" i="6"/>
  <c r="W234" i="6"/>
  <c r="W222" i="6"/>
  <c r="W245" i="6"/>
  <c r="W265" i="6"/>
  <c r="W293" i="6"/>
  <c r="W291" i="6"/>
  <c r="W288" i="6"/>
  <c r="W176" i="6"/>
  <c r="W313" i="6"/>
  <c r="W329" i="6"/>
  <c r="W358" i="6"/>
  <c r="W382" i="6"/>
  <c r="W335" i="6"/>
  <c r="W9" i="6"/>
  <c r="W453" i="6"/>
  <c r="W192" i="6"/>
  <c r="W338" i="6"/>
  <c r="W128" i="6"/>
  <c r="W328" i="6"/>
  <c r="W56" i="6"/>
  <c r="W273" i="6"/>
  <c r="W440" i="6"/>
  <c r="W175" i="6"/>
  <c r="W185" i="6"/>
  <c r="W239" i="6"/>
  <c r="W152" i="6"/>
  <c r="W299" i="6"/>
  <c r="W238" i="6"/>
  <c r="W138" i="6"/>
  <c r="W172" i="6"/>
  <c r="W164" i="6"/>
  <c r="W206" i="6"/>
  <c r="W233" i="6"/>
  <c r="W264" i="6"/>
  <c r="W263" i="6"/>
  <c r="W261" i="6"/>
  <c r="W286" i="6"/>
  <c r="W283" i="6"/>
  <c r="W312" i="6"/>
  <c r="W346" i="6"/>
  <c r="W357" i="6"/>
  <c r="W380" i="6"/>
  <c r="W336" i="6"/>
  <c r="W405" i="6"/>
  <c r="W413" i="6"/>
  <c r="W230" i="6"/>
  <c r="W386" i="6"/>
  <c r="W112" i="6"/>
  <c r="W231" i="6"/>
  <c r="W39" i="6"/>
  <c r="W257" i="6"/>
  <c r="W431" i="6"/>
  <c r="W169" i="6"/>
  <c r="W250" i="6"/>
  <c r="W220" i="6"/>
  <c r="W136" i="6"/>
  <c r="W272" i="6"/>
  <c r="W111" i="6"/>
  <c r="W135" i="6"/>
  <c r="W134" i="6"/>
  <c r="W180" i="6"/>
  <c r="W224" i="6"/>
  <c r="W216" i="6"/>
  <c r="W208" i="6"/>
  <c r="W259" i="6"/>
  <c r="W244" i="6"/>
  <c r="W282" i="6"/>
  <c r="W311" i="6"/>
  <c r="W330" i="6"/>
  <c r="W356" i="6"/>
  <c r="W379" i="6"/>
  <c r="W243" i="6"/>
  <c r="W435" i="6"/>
  <c r="W193" i="6"/>
  <c r="W369" i="6"/>
  <c r="W90" i="6"/>
  <c r="W306" i="6"/>
  <c r="W23" i="6"/>
  <c r="W197" i="6"/>
  <c r="W235" i="6"/>
  <c r="W155" i="6"/>
  <c r="W170" i="6"/>
  <c r="W394" i="6"/>
  <c r="W120" i="6"/>
  <c r="W77" i="6"/>
  <c r="W108" i="6"/>
  <c r="W106" i="6"/>
  <c r="W133" i="6"/>
  <c r="W161" i="6"/>
  <c r="W165" i="6"/>
  <c r="W251" i="6"/>
  <c r="W225" i="6"/>
  <c r="W200" i="6"/>
  <c r="W182" i="6"/>
  <c r="W236" i="6"/>
  <c r="W281" i="6"/>
  <c r="W309" i="6"/>
  <c r="W212" i="6"/>
  <c r="W354" i="6"/>
  <c r="W377" i="6"/>
  <c r="W425" i="6"/>
  <c r="W353" i="6"/>
  <c r="W74" i="6"/>
  <c r="W290" i="6"/>
  <c r="W423" i="6"/>
  <c r="W219" i="6"/>
  <c r="W11" i="6"/>
  <c r="W139" i="6"/>
  <c r="W153" i="6"/>
  <c r="W378" i="6"/>
  <c r="W104" i="6"/>
  <c r="W46" i="6"/>
  <c r="W45" i="6"/>
  <c r="W73" i="6"/>
  <c r="W103" i="6"/>
  <c r="W132" i="6"/>
  <c r="W159" i="6"/>
  <c r="W156" i="6"/>
  <c r="W154" i="6"/>
  <c r="W217" i="6"/>
  <c r="W209" i="6"/>
  <c r="W247" i="6"/>
  <c r="W218" i="6"/>
  <c r="W280" i="6"/>
  <c r="W307" i="6"/>
  <c r="W347" i="6"/>
  <c r="W339" i="6"/>
  <c r="W321" i="6"/>
  <c r="W146" i="6"/>
  <c r="W327" i="6"/>
  <c r="W58" i="6"/>
  <c r="W274" i="6"/>
  <c r="W314" i="6"/>
  <c r="W189" i="6"/>
  <c r="W397" i="6"/>
  <c r="W123" i="6"/>
  <c r="W137" i="6"/>
  <c r="W361" i="6"/>
  <c r="W82" i="6"/>
  <c r="W16" i="6"/>
  <c r="W15" i="6"/>
  <c r="W44" i="6"/>
  <c r="W70" i="6"/>
  <c r="W102" i="6"/>
  <c r="W131" i="6"/>
  <c r="W129" i="6"/>
  <c r="W127" i="6"/>
  <c r="W151" i="6"/>
  <c r="W150" i="6"/>
  <c r="W201" i="6"/>
  <c r="W211" i="6"/>
  <c r="W210" i="6"/>
  <c r="W279" i="6"/>
  <c r="W304" i="6"/>
  <c r="W331" i="6"/>
  <c r="W196" i="6"/>
  <c r="W130" i="6"/>
  <c r="W333" i="6"/>
  <c r="W41" i="6"/>
  <c r="W258" i="6"/>
  <c r="W434" i="6"/>
  <c r="W168" i="6"/>
  <c r="W381" i="6"/>
  <c r="W107" i="6"/>
  <c r="W121" i="6"/>
  <c r="W325" i="6"/>
  <c r="W66" i="6"/>
  <c r="W437" i="6"/>
  <c r="W433" i="6"/>
  <c r="W14" i="6"/>
  <c r="W42" i="6"/>
  <c r="W68" i="6"/>
  <c r="W101" i="6"/>
  <c r="W100" i="6"/>
  <c r="W124" i="6"/>
  <c r="W122" i="6"/>
  <c r="W149" i="6"/>
  <c r="W183" i="6"/>
  <c r="W195" i="6"/>
  <c r="W202" i="6"/>
  <c r="W277" i="6"/>
  <c r="W302" i="6"/>
  <c r="W388" i="6"/>
  <c r="W114" i="6"/>
  <c r="W308" i="6"/>
  <c r="W25" i="6"/>
  <c r="W205" i="6"/>
  <c r="W422" i="6"/>
  <c r="W157" i="6"/>
  <c r="W364" i="6"/>
  <c r="W85" i="6"/>
  <c r="W105" i="6"/>
  <c r="W320" i="6"/>
  <c r="W49" i="6"/>
  <c r="W404" i="6"/>
  <c r="W450" i="6"/>
  <c r="W351" i="6"/>
  <c r="W412" i="6"/>
  <c r="W451" i="6"/>
  <c r="W13" i="6"/>
  <c r="W40" i="6"/>
  <c r="W65" i="6"/>
  <c r="W64" i="6"/>
  <c r="W63" i="6"/>
  <c r="W96" i="6"/>
  <c r="W89" i="6"/>
  <c r="W119" i="6"/>
  <c r="W148" i="6"/>
  <c r="W166" i="6"/>
  <c r="W248" i="6"/>
  <c r="W194" i="6"/>
  <c r="W275" i="6"/>
  <c r="W371" i="6"/>
  <c r="W95" i="6"/>
  <c r="W292" i="6"/>
  <c r="W227" i="6"/>
  <c r="W337" i="6"/>
  <c r="W141" i="6"/>
  <c r="W315" i="6"/>
  <c r="W69" i="6"/>
  <c r="W83" i="6"/>
  <c r="W181" i="6"/>
  <c r="X477" i="6" l="1"/>
  <c r="X472" i="6"/>
  <c r="X478" i="6"/>
  <c r="X479" i="6"/>
  <c r="X475" i="6"/>
  <c r="X473" i="6"/>
  <c r="X476" i="6"/>
  <c r="X474" i="6"/>
  <c r="X191" i="6"/>
  <c r="X470" i="6"/>
  <c r="X471" i="6"/>
  <c r="X417" i="6"/>
  <c r="X418" i="6"/>
  <c r="X419" i="6"/>
  <c r="X420" i="6"/>
  <c r="X421" i="6"/>
  <c r="X322" i="6"/>
  <c r="X97" i="6"/>
  <c r="X98" i="6"/>
  <c r="X99" i="6"/>
  <c r="X269" i="6"/>
  <c r="X359" i="6"/>
  <c r="X382" i="6"/>
  <c r="X294" i="6"/>
  <c r="X165" i="6"/>
  <c r="X465" i="6"/>
  <c r="X319" i="6"/>
  <c r="X72" i="6"/>
  <c r="X373" i="6"/>
  <c r="X374" i="6"/>
  <c r="X375" i="6"/>
  <c r="X268" i="6"/>
  <c r="X284" i="6"/>
  <c r="X439" i="6"/>
  <c r="X410" i="6"/>
  <c r="X78" i="6"/>
  <c r="X67" i="6"/>
  <c r="X13" i="6"/>
  <c r="X28" i="6"/>
  <c r="X449" i="6"/>
  <c r="X425" i="6"/>
  <c r="X80" i="6"/>
  <c r="X164" i="6"/>
  <c r="X26" i="6"/>
  <c r="X317" i="6"/>
  <c r="X248" i="6"/>
  <c r="X217" i="6"/>
  <c r="X442" i="6"/>
  <c r="X308" i="6"/>
  <c r="X81" i="6"/>
  <c r="X427" i="6"/>
  <c r="X413" i="6"/>
  <c r="X365" i="6"/>
  <c r="X224" i="6"/>
  <c r="X440" i="6"/>
  <c r="X249" i="6"/>
  <c r="X310" i="6"/>
  <c r="X324" i="6"/>
  <c r="X178" i="6"/>
  <c r="X86" i="6"/>
  <c r="X132" i="6"/>
  <c r="X391" i="6"/>
  <c r="X356" i="6"/>
  <c r="X149" i="6"/>
  <c r="X343" i="6"/>
  <c r="X288" i="6"/>
  <c r="X272" i="6"/>
  <c r="X192" i="6"/>
  <c r="X329" i="6"/>
  <c r="X351" i="6"/>
  <c r="X29" i="6"/>
  <c r="X92" i="6"/>
  <c r="X93" i="6"/>
  <c r="X94" i="6"/>
  <c r="X355" i="6"/>
  <c r="X168" i="6"/>
  <c r="X286" i="6"/>
  <c r="X91" i="6"/>
  <c r="X65" i="6"/>
  <c r="X70" i="6"/>
  <c r="X336" i="6"/>
  <c r="X152" i="6"/>
  <c r="X27" i="6"/>
  <c r="X402" i="6"/>
  <c r="X270" i="6"/>
  <c r="X83" i="6"/>
  <c r="X464" i="6"/>
  <c r="X285" i="6"/>
  <c r="X167" i="6"/>
  <c r="X88" i="6"/>
  <c r="W5" i="6"/>
  <c r="X466" i="6"/>
  <c r="X422" i="6"/>
  <c r="X101" i="6"/>
  <c r="X347" i="6"/>
  <c r="X379" i="6"/>
  <c r="X10" i="6"/>
  <c r="X430" i="6"/>
  <c r="X263" i="6"/>
  <c r="X327" i="6"/>
  <c r="X244" i="6"/>
  <c r="X176" i="6"/>
  <c r="X43" i="6"/>
  <c r="X236" i="6"/>
  <c r="X232" i="6"/>
  <c r="X226" i="6"/>
  <c r="X431" i="6"/>
  <c r="X187" i="6"/>
  <c r="X209" i="6"/>
  <c r="X394" i="6"/>
  <c r="X136" i="6"/>
  <c r="X151" i="6"/>
  <c r="X406" i="6"/>
  <c r="X148" i="6"/>
  <c r="X333" i="6"/>
  <c r="X51" i="6"/>
  <c r="X49" i="6"/>
  <c r="X48" i="6"/>
  <c r="X46" i="6"/>
  <c r="X76" i="6"/>
  <c r="X305" i="6"/>
  <c r="X414" i="6"/>
  <c r="X188" i="6"/>
  <c r="X22" i="6"/>
  <c r="X241" i="6"/>
  <c r="X135" i="6"/>
  <c r="X25" i="6"/>
  <c r="X24" i="6"/>
  <c r="X75" i="6"/>
  <c r="X455" i="6"/>
  <c r="X387" i="6"/>
  <c r="X183" i="6"/>
  <c r="X348" i="6"/>
  <c r="X376" i="6"/>
  <c r="Y7" i="6"/>
  <c r="Y186" i="6" s="1"/>
  <c r="X460" i="6"/>
  <c r="X184" i="6"/>
  <c r="X211" i="6"/>
  <c r="X287" i="6"/>
  <c r="X195" i="6"/>
  <c r="X185" i="6"/>
  <c r="X177" i="6"/>
  <c r="X412" i="6"/>
  <c r="X154" i="6"/>
  <c r="X169" i="6"/>
  <c r="X361" i="6"/>
  <c r="X104" i="6"/>
  <c r="X119" i="6"/>
  <c r="X116" i="6"/>
  <c r="X292" i="6"/>
  <c r="X291" i="6"/>
  <c r="X290" i="6"/>
  <c r="X289" i="6"/>
  <c r="X459" i="6"/>
  <c r="X9" i="6"/>
  <c r="X362" i="6"/>
  <c r="X451" i="6"/>
  <c r="X301" i="6"/>
  <c r="X256" i="6"/>
  <c r="X397" i="6"/>
  <c r="X441" i="6"/>
  <c r="X118" i="6"/>
  <c r="X180" i="6"/>
  <c r="X271" i="6"/>
  <c r="X463" i="6"/>
  <c r="X250" i="6"/>
  <c r="X251" i="6"/>
  <c r="X225" i="6"/>
  <c r="X396" i="6"/>
  <c r="X138" i="6"/>
  <c r="X153" i="6"/>
  <c r="X342" i="6"/>
  <c r="X79" i="6"/>
  <c r="X103" i="6"/>
  <c r="X357" i="6"/>
  <c r="X100" i="6"/>
  <c r="X276" i="6"/>
  <c r="X275" i="6"/>
  <c r="X274" i="6"/>
  <c r="X273" i="6"/>
  <c r="X36" i="6"/>
  <c r="X462" i="6"/>
  <c r="X408" i="6"/>
  <c r="X328" i="6"/>
  <c r="X407" i="6"/>
  <c r="X468" i="6"/>
  <c r="X74" i="6"/>
  <c r="X255" i="6"/>
  <c r="X371" i="6"/>
  <c r="X11" i="6"/>
  <c r="X458" i="6"/>
  <c r="X228" i="6"/>
  <c r="X240" i="6"/>
  <c r="X212" i="6"/>
  <c r="X204" i="6"/>
  <c r="X196" i="6"/>
  <c r="X380" i="6"/>
  <c r="X122" i="6"/>
  <c r="X137" i="6"/>
  <c r="X331" i="6"/>
  <c r="X58" i="6"/>
  <c r="X57" i="6"/>
  <c r="X190" i="6"/>
  <c r="X90" i="6"/>
  <c r="X260" i="6"/>
  <c r="X259" i="6"/>
  <c r="X258" i="6"/>
  <c r="X257" i="6"/>
  <c r="X20" i="6"/>
  <c r="X395" i="6"/>
  <c r="X311" i="6"/>
  <c r="X384" i="6"/>
  <c r="X338" i="6"/>
  <c r="X416" i="6"/>
  <c r="X295" i="6"/>
  <c r="X215" i="6"/>
  <c r="X392" i="6"/>
  <c r="X423" i="6"/>
  <c r="X84" i="6"/>
  <c r="X179" i="6"/>
  <c r="X469" i="6"/>
  <c r="X173" i="6"/>
  <c r="X172" i="6"/>
  <c r="X171" i="6"/>
  <c r="X363" i="6"/>
  <c r="X106" i="6"/>
  <c r="X121" i="6"/>
  <c r="X313" i="6"/>
  <c r="X37" i="6"/>
  <c r="X35" i="6"/>
  <c r="X349" i="6"/>
  <c r="X221" i="6"/>
  <c r="X213" i="6"/>
  <c r="X205" i="6"/>
  <c r="X197" i="6"/>
  <c r="X50" i="6"/>
  <c r="X428" i="6"/>
  <c r="X400" i="6"/>
  <c r="X134" i="6"/>
  <c r="X303" i="6"/>
  <c r="X237" i="6"/>
  <c r="X385" i="6"/>
  <c r="X200" i="6"/>
  <c r="X358" i="6"/>
  <c r="X403" i="6"/>
  <c r="X434" i="6"/>
  <c r="X166" i="6"/>
  <c r="X334" i="6"/>
  <c r="X368" i="6"/>
  <c r="X438" i="6"/>
  <c r="X159" i="6"/>
  <c r="X203" i="6"/>
  <c r="X337" i="6"/>
  <c r="X157" i="6"/>
  <c r="X156" i="6"/>
  <c r="X155" i="6"/>
  <c r="X325" i="6"/>
  <c r="X82" i="6"/>
  <c r="X105" i="6"/>
  <c r="X297" i="6"/>
  <c r="X12" i="6"/>
  <c r="X96" i="6"/>
  <c r="X309" i="6"/>
  <c r="X30" i="6"/>
  <c r="X246" i="6"/>
  <c r="X247" i="6"/>
  <c r="X227" i="6"/>
  <c r="X219" i="6"/>
  <c r="X34" i="6"/>
  <c r="X353" i="6"/>
  <c r="X120" i="6"/>
  <c r="X370" i="6"/>
  <c r="X102" i="6"/>
  <c r="X320" i="6"/>
  <c r="X381" i="6"/>
  <c r="X352" i="6"/>
  <c r="X446" i="6"/>
  <c r="X279" i="6"/>
  <c r="X254" i="6"/>
  <c r="X181" i="6"/>
  <c r="X143" i="6"/>
  <c r="X175" i="6"/>
  <c r="X399" i="6"/>
  <c r="X141" i="6"/>
  <c r="X140" i="6"/>
  <c r="X139" i="6"/>
  <c r="X223" i="6"/>
  <c r="X60" i="6"/>
  <c r="X89" i="6"/>
  <c r="X281" i="6"/>
  <c r="X296" i="6"/>
  <c r="X56" i="6"/>
  <c r="X293" i="6"/>
  <c r="X433" i="6"/>
  <c r="X214" i="6"/>
  <c r="X206" i="6"/>
  <c r="X198" i="6"/>
  <c r="X189" i="6"/>
  <c r="X18" i="6"/>
  <c r="X411" i="6"/>
  <c r="X378" i="6"/>
  <c r="X360" i="6"/>
  <c r="X426" i="6"/>
  <c r="X306" i="6"/>
  <c r="X354" i="6"/>
  <c r="X401" i="6"/>
  <c r="X447" i="6"/>
  <c r="X150" i="6"/>
  <c r="X316" i="6"/>
  <c r="X388" i="6"/>
  <c r="X127" i="6"/>
  <c r="X220" i="6"/>
  <c r="X383" i="6"/>
  <c r="X125" i="6"/>
  <c r="X124" i="6"/>
  <c r="X123" i="6"/>
  <c r="X315" i="6"/>
  <c r="X39" i="6"/>
  <c r="X59" i="6"/>
  <c r="X265" i="6"/>
  <c r="X280" i="6"/>
  <c r="X33" i="6"/>
  <c r="X277" i="6"/>
  <c r="X437" i="6"/>
  <c r="X243" i="6"/>
  <c r="X239" i="6"/>
  <c r="X235" i="6"/>
  <c r="X231" i="6"/>
  <c r="X64" i="6"/>
  <c r="X390" i="6"/>
  <c r="X326" i="6"/>
  <c r="X424" i="6"/>
  <c r="X230" i="6"/>
  <c r="X199" i="6"/>
  <c r="X377" i="6"/>
  <c r="X8" i="6"/>
  <c r="X432" i="6"/>
  <c r="X262" i="6"/>
  <c r="X364" i="6"/>
  <c r="X111" i="6"/>
  <c r="X68" i="6"/>
  <c r="X366" i="6"/>
  <c r="X109" i="6"/>
  <c r="X108" i="6"/>
  <c r="X107" i="6"/>
  <c r="X299" i="6"/>
  <c r="X16" i="6"/>
  <c r="X38" i="6"/>
  <c r="X202" i="6"/>
  <c r="X264" i="6"/>
  <c r="X73" i="6"/>
  <c r="X261" i="6"/>
  <c r="X461" i="6"/>
  <c r="X87" i="6"/>
  <c r="X71" i="6"/>
  <c r="X47" i="6"/>
  <c r="X330" i="6"/>
  <c r="X445" i="6"/>
  <c r="X452" i="6"/>
  <c r="X304" i="6"/>
  <c r="X339" i="6"/>
  <c r="X398" i="6"/>
  <c r="X457" i="6"/>
  <c r="X133" i="6"/>
  <c r="X344" i="6"/>
  <c r="X66" i="6"/>
  <c r="X158" i="6"/>
  <c r="X340" i="6"/>
  <c r="X85" i="6"/>
  <c r="X69" i="6"/>
  <c r="X95" i="6"/>
  <c r="X283" i="6"/>
  <c r="X298" i="6"/>
  <c r="X14" i="6"/>
  <c r="X216" i="6"/>
  <c r="X194" i="6"/>
  <c r="X55" i="6"/>
  <c r="X229" i="6"/>
  <c r="X207" i="6"/>
  <c r="X163" i="6"/>
  <c r="X162" i="6"/>
  <c r="X161" i="6"/>
  <c r="X160" i="6"/>
  <c r="X31" i="6"/>
  <c r="X245" i="6"/>
  <c r="X321" i="6"/>
  <c r="X409" i="6"/>
  <c r="X448" i="6"/>
  <c r="X252" i="6"/>
  <c r="X332" i="6"/>
  <c r="X335" i="6"/>
  <c r="X443" i="6"/>
  <c r="X312" i="6"/>
  <c r="X44" i="6"/>
  <c r="X142" i="6"/>
  <c r="X346" i="6"/>
  <c r="X63" i="6"/>
  <c r="X62" i="6"/>
  <c r="X61" i="6"/>
  <c r="X267" i="6"/>
  <c r="X282" i="6"/>
  <c r="X436" i="6"/>
  <c r="X242" i="6"/>
  <c r="X208" i="6"/>
  <c r="X32" i="6"/>
  <c r="X182" i="6"/>
  <c r="X405" i="6"/>
  <c r="X147" i="6"/>
  <c r="X146" i="6"/>
  <c r="X145" i="6"/>
  <c r="X144" i="6"/>
  <c r="X15" i="6"/>
  <c r="X429" i="6"/>
  <c r="X314" i="6"/>
  <c r="X415" i="6"/>
  <c r="X307" i="6"/>
  <c r="X386" i="6"/>
  <c r="X435" i="6"/>
  <c r="X450" i="6"/>
  <c r="X300" i="6"/>
  <c r="X341" i="6"/>
  <c r="X393" i="6"/>
  <c r="X454" i="6"/>
  <c r="X174" i="6"/>
  <c r="X23" i="6"/>
  <c r="X126" i="6"/>
  <c r="X318" i="6"/>
  <c r="X42" i="6"/>
  <c r="X41" i="6"/>
  <c r="X40" i="6"/>
  <c r="X218" i="6"/>
  <c r="X266" i="6"/>
  <c r="X456" i="6"/>
  <c r="X201" i="6"/>
  <c r="X238" i="6"/>
  <c r="X467" i="6"/>
  <c r="X222" i="6"/>
  <c r="X389" i="6"/>
  <c r="X131" i="6"/>
  <c r="X130" i="6"/>
  <c r="X129" i="6"/>
  <c r="X128" i="6"/>
  <c r="X45" i="6"/>
  <c r="X170" i="6"/>
  <c r="X234" i="6"/>
  <c r="X278" i="6"/>
  <c r="X345" i="6"/>
  <c r="X404" i="6"/>
  <c r="X350" i="6"/>
  <c r="X369" i="6"/>
  <c r="X323" i="6"/>
  <c r="X117" i="6"/>
  <c r="X367" i="6"/>
  <c r="X110" i="6"/>
  <c r="X302" i="6"/>
  <c r="X21" i="6"/>
  <c r="X19" i="6"/>
  <c r="X17" i="6"/>
  <c r="X233" i="6"/>
  <c r="X210" i="6"/>
  <c r="X444" i="6"/>
  <c r="X77" i="6"/>
  <c r="X193" i="6"/>
  <c r="X453" i="6"/>
  <c r="X253" i="6"/>
  <c r="X372" i="6"/>
  <c r="X115" i="6"/>
  <c r="X114" i="6"/>
  <c r="X113" i="6"/>
  <c r="X112" i="6"/>
  <c r="Y474" i="6" l="1"/>
  <c r="Y477" i="6"/>
  <c r="Y472" i="6"/>
  <c r="Y478" i="6"/>
  <c r="Y479" i="6"/>
  <c r="Y475" i="6"/>
  <c r="Y473" i="6"/>
  <c r="Y476" i="6"/>
  <c r="Y470" i="6"/>
  <c r="Y471" i="6"/>
  <c r="Y101" i="6"/>
  <c r="Y363" i="6"/>
  <c r="Y135" i="6"/>
  <c r="Y191" i="6"/>
  <c r="Y463" i="6"/>
  <c r="Y397" i="6"/>
  <c r="Y394" i="6"/>
  <c r="Y144" i="6"/>
  <c r="Y42" i="6"/>
  <c r="Y74" i="6"/>
  <c r="Y460" i="6"/>
  <c r="Y121" i="6"/>
  <c r="Y197" i="6"/>
  <c r="Y417" i="6"/>
  <c r="Y418" i="6"/>
  <c r="Y419" i="6"/>
  <c r="Y420" i="6"/>
  <c r="Y421" i="6"/>
  <c r="Y266" i="6"/>
  <c r="Y214" i="6"/>
  <c r="Y34" i="6"/>
  <c r="Y174" i="6"/>
  <c r="Y127" i="6"/>
  <c r="Y77" i="6"/>
  <c r="Y57" i="6"/>
  <c r="Y361" i="6"/>
  <c r="Y203" i="6"/>
  <c r="Y14" i="6"/>
  <c r="Y279" i="6"/>
  <c r="Y426" i="6"/>
  <c r="Y273" i="6"/>
  <c r="Y415" i="6"/>
  <c r="Y27" i="6"/>
  <c r="Y287" i="6"/>
  <c r="Y143" i="6"/>
  <c r="Y65" i="6"/>
  <c r="Y103" i="6"/>
  <c r="Y18" i="6"/>
  <c r="Y219" i="6"/>
  <c r="Y108" i="6"/>
  <c r="Y239" i="6"/>
  <c r="Y176" i="6"/>
  <c r="Y147" i="6"/>
  <c r="Y85" i="6"/>
  <c r="Y217" i="6"/>
  <c r="Y157" i="6"/>
  <c r="Y72" i="6"/>
  <c r="Y61" i="6"/>
  <c r="Y122" i="6"/>
  <c r="Y345" i="6"/>
  <c r="Y269" i="6"/>
  <c r="Y392" i="6"/>
  <c r="Y301" i="6"/>
  <c r="Y215" i="6"/>
  <c r="Y113" i="6"/>
  <c r="Y322" i="6"/>
  <c r="Y97" i="6"/>
  <c r="Y98" i="6"/>
  <c r="Y99" i="6"/>
  <c r="Y336" i="6"/>
  <c r="Y170" i="6"/>
  <c r="Y230" i="6"/>
  <c r="Y83" i="6"/>
  <c r="Y62" i="6"/>
  <c r="Y404" i="6"/>
  <c r="Y81" i="6"/>
  <c r="Y311" i="6"/>
  <c r="Y184" i="6"/>
  <c r="Y451" i="6"/>
  <c r="Y146" i="6"/>
  <c r="Y102" i="6"/>
  <c r="Y352" i="6"/>
  <c r="Y343" i="6"/>
  <c r="Y251" i="6"/>
  <c r="Y12" i="6"/>
  <c r="Y117" i="6"/>
  <c r="Y228" i="6"/>
  <c r="Y359" i="6"/>
  <c r="Y441" i="6"/>
  <c r="Y130" i="6"/>
  <c r="Y325" i="6"/>
  <c r="Y200" i="6"/>
  <c r="Y132" i="6"/>
  <c r="Y427" i="6"/>
  <c r="Y411" i="6"/>
  <c r="Y389" i="6"/>
  <c r="Y49" i="6"/>
  <c r="Y125" i="6"/>
  <c r="Y192" i="6"/>
  <c r="Y190" i="6"/>
  <c r="Y211" i="6"/>
  <c r="Y309" i="6"/>
  <c r="Y16" i="6"/>
  <c r="Y38" i="6"/>
  <c r="Y60" i="6"/>
  <c r="Y9" i="6"/>
  <c r="Y111" i="6"/>
  <c r="Y185" i="6"/>
  <c r="Y201" i="6"/>
  <c r="Y179" i="6"/>
  <c r="Y46" i="6"/>
  <c r="Y257" i="6"/>
  <c r="Y324" i="6"/>
  <c r="Y235" i="6"/>
  <c r="Y17" i="6"/>
  <c r="Y110" i="6"/>
  <c r="Y366" i="6"/>
  <c r="Y390" i="6"/>
  <c r="Y26" i="6"/>
  <c r="Y100" i="6"/>
  <c r="Y163" i="6"/>
  <c r="Y87" i="6"/>
  <c r="Y188" i="6"/>
  <c r="Y357" i="6"/>
  <c r="Y274" i="6"/>
  <c r="Y13" i="6"/>
  <c r="Y36" i="6"/>
  <c r="Y393" i="6"/>
  <c r="Y73" i="6"/>
  <c r="Y169" i="6"/>
  <c r="Y154" i="6"/>
  <c r="Y164" i="6"/>
  <c r="Y30" i="6"/>
  <c r="Y384" i="6"/>
  <c r="Y271" i="6"/>
  <c r="Y403" i="6"/>
  <c r="Y8" i="6"/>
  <c r="Y58" i="6"/>
  <c r="Y244" i="6"/>
  <c r="Y362" i="6"/>
  <c r="Y448" i="6"/>
  <c r="Y385" i="6"/>
  <c r="Y48" i="6"/>
  <c r="Y123" i="6"/>
  <c r="Y69" i="6"/>
  <c r="Y120" i="6"/>
  <c r="Y437" i="6"/>
  <c r="Y337" i="6"/>
  <c r="Y339" i="6"/>
  <c r="Y360" i="6"/>
  <c r="Y353" i="6"/>
  <c r="Y40" i="6"/>
  <c r="Y70" i="6"/>
  <c r="Y106" i="6"/>
  <c r="Y80" i="6"/>
  <c r="Y76" i="6"/>
  <c r="Y255" i="6"/>
  <c r="Y95" i="6"/>
  <c r="Y258" i="6"/>
  <c r="Y371" i="6"/>
  <c r="Y467" i="6"/>
  <c r="Y24" i="6"/>
  <c r="Y37" i="6"/>
  <c r="Y84" i="6"/>
  <c r="Y47" i="6"/>
  <c r="Y75" i="6"/>
  <c r="Y224" i="6"/>
  <c r="Y376" i="6"/>
  <c r="Y33" i="6"/>
  <c r="Y410" i="6"/>
  <c r="Y22" i="6"/>
  <c r="Y381" i="6"/>
  <c r="Y55" i="6"/>
  <c r="Y299" i="6"/>
  <c r="Y43" i="6"/>
  <c r="Y434" i="6"/>
  <c r="Y433" i="6"/>
  <c r="Y430" i="6"/>
  <c r="Y372" i="6"/>
  <c r="Y51" i="6"/>
  <c r="Y462" i="6"/>
  <c r="Y342" i="6"/>
  <c r="Y307" i="6"/>
  <c r="Y44" i="6"/>
  <c r="Y348" i="6"/>
  <c r="Y249" i="6"/>
  <c r="Y377" i="6"/>
  <c r="Y304" i="6"/>
  <c r="Y455" i="6"/>
  <c r="Y459" i="6"/>
  <c r="Y233" i="6"/>
  <c r="Y334" i="6"/>
  <c r="Y368" i="6"/>
  <c r="Y310" i="6"/>
  <c r="Y15" i="6"/>
  <c r="Y293" i="6"/>
  <c r="Y431" i="6"/>
  <c r="Y107" i="6"/>
  <c r="Y306" i="6"/>
  <c r="Y432" i="6"/>
  <c r="Y131" i="6"/>
  <c r="Y198" i="6"/>
  <c r="Y242" i="6"/>
  <c r="Y351" i="6"/>
  <c r="Y469" i="6"/>
  <c r="Y468" i="6"/>
  <c r="Y364" i="6"/>
  <c r="Y20" i="6"/>
  <c r="Y332" i="6"/>
  <c r="Y296" i="6"/>
  <c r="Y288" i="6"/>
  <c r="Y391" i="6"/>
  <c r="Y264" i="6"/>
  <c r="Y413" i="6"/>
  <c r="Y398" i="6"/>
  <c r="Y35" i="6"/>
  <c r="Y439" i="6"/>
  <c r="Y425" i="6"/>
  <c r="Y358" i="6"/>
  <c r="Y450" i="6"/>
  <c r="Y221" i="6"/>
  <c r="Y406" i="6"/>
  <c r="Y453" i="6"/>
  <c r="Y109" i="6"/>
  <c r="Y291" i="6"/>
  <c r="Y443" i="6"/>
  <c r="Y369" i="6"/>
  <c r="Y302" i="6"/>
  <c r="Y286" i="6"/>
  <c r="Y280" i="6"/>
  <c r="Y305" i="6"/>
  <c r="Y338" i="6"/>
  <c r="Y355" i="6"/>
  <c r="Y285" i="6"/>
  <c r="Y423" i="6"/>
  <c r="Y386" i="6"/>
  <c r="Y414" i="6"/>
  <c r="Y402" i="6"/>
  <c r="Y347" i="6"/>
  <c r="Y261" i="6"/>
  <c r="Y436" i="6"/>
  <c r="Y68" i="6"/>
  <c r="Y454" i="6"/>
  <c r="Y378" i="6"/>
  <c r="Y435" i="6"/>
  <c r="Y298" i="6"/>
  <c r="Y387" i="6"/>
  <c r="Y195" i="6"/>
  <c r="Y445" i="6"/>
  <c r="Y210" i="6"/>
  <c r="Y153" i="6"/>
  <c r="Y223" i="6"/>
  <c r="Y78" i="6"/>
  <c r="Y129" i="6"/>
  <c r="Y167" i="6"/>
  <c r="Y218" i="6"/>
  <c r="Y313" i="6"/>
  <c r="Y466" i="6"/>
  <c r="Y187" i="6"/>
  <c r="Y231" i="6"/>
  <c r="Y308" i="6"/>
  <c r="Y300" i="6"/>
  <c r="Y292" i="6"/>
  <c r="Y268" i="6"/>
  <c r="Y319" i="6"/>
  <c r="Y461" i="6"/>
  <c r="Y456" i="6"/>
  <c r="Y275" i="6"/>
  <c r="Y116" i="6"/>
  <c r="Y25" i="6"/>
  <c r="Y458" i="6"/>
  <c r="Y175" i="6"/>
  <c r="Y10" i="6"/>
  <c r="Y67" i="6"/>
  <c r="Y457" i="6"/>
  <c r="Y31" i="6"/>
  <c r="Y11" i="6"/>
  <c r="Y155" i="6"/>
  <c r="Y422" i="6"/>
  <c r="Y412" i="6"/>
  <c r="Y276" i="6"/>
  <c r="Y326" i="6"/>
  <c r="Y173" i="6"/>
  <c r="Y238" i="6"/>
  <c r="Y263" i="6"/>
  <c r="Y346" i="6"/>
  <c r="Y370" i="6"/>
  <c r="Y272" i="6"/>
  <c r="Y199" i="6"/>
  <c r="Y407" i="6"/>
  <c r="Y246" i="6"/>
  <c r="Y41" i="6"/>
  <c r="Y262" i="6"/>
  <c r="Y32" i="6"/>
  <c r="Y105" i="6"/>
  <c r="Y151" i="6"/>
  <c r="Y194" i="6"/>
  <c r="Y335" i="6"/>
  <c r="Y314" i="6"/>
  <c r="Y340" i="6"/>
  <c r="Y442" i="6"/>
  <c r="Y91" i="6"/>
  <c r="Y208" i="6"/>
  <c r="Y254" i="6"/>
  <c r="Y232" i="6"/>
  <c r="Y226" i="6"/>
  <c r="Y206" i="6"/>
  <c r="Y294" i="6"/>
  <c r="Y444" i="6"/>
  <c r="Y440" i="6"/>
  <c r="Y320" i="6"/>
  <c r="Y90" i="6"/>
  <c r="Y142" i="6"/>
  <c r="Y248" i="6"/>
  <c r="Y438" i="6"/>
  <c r="Y237" i="6"/>
  <c r="Y168" i="6"/>
  <c r="Y259" i="6"/>
  <c r="Y205" i="6"/>
  <c r="Y452" i="6"/>
  <c r="Y28" i="6"/>
  <c r="Y119" i="6"/>
  <c r="Y166" i="6"/>
  <c r="Y408" i="6"/>
  <c r="Y23" i="6"/>
  <c r="Y323" i="6"/>
  <c r="Y429" i="6"/>
  <c r="Y465" i="6"/>
  <c r="Y388" i="6"/>
  <c r="Y128" i="6"/>
  <c r="Y234" i="6"/>
  <c r="Y267" i="6"/>
  <c r="Y182" i="6"/>
  <c r="Y207" i="6"/>
  <c r="Y204" i="6"/>
  <c r="Y189" i="6"/>
  <c r="Y350" i="6"/>
  <c r="Y428" i="6"/>
  <c r="Y383" i="6"/>
  <c r="Y260" i="6"/>
  <c r="Y365" i="6"/>
  <c r="Y209" i="6"/>
  <c r="Y225" i="6"/>
  <c r="Y401" i="6"/>
  <c r="Y104" i="6"/>
  <c r="Y148" i="6"/>
  <c r="Y216" i="6"/>
  <c r="Y297" i="6"/>
  <c r="Y289" i="6"/>
  <c r="Y256" i="6"/>
  <c r="Y139" i="6"/>
  <c r="Y181" i="6"/>
  <c r="Y160" i="6"/>
  <c r="Y177" i="6"/>
  <c r="Y165" i="6"/>
  <c r="Y399" i="6"/>
  <c r="Y315" i="6"/>
  <c r="Y316" i="6"/>
  <c r="Y141" i="6"/>
  <c r="Y243" i="6"/>
  <c r="Y29" i="6"/>
  <c r="Y202" i="6"/>
  <c r="Y409" i="6"/>
  <c r="Y367" i="6"/>
  <c r="Y50" i="6"/>
  <c r="Y126" i="6"/>
  <c r="Y193" i="6"/>
  <c r="Y317" i="6"/>
  <c r="Y295" i="6"/>
  <c r="Y344" i="6"/>
  <c r="Y89" i="6"/>
  <c r="Y115" i="6"/>
  <c r="Y137" i="6"/>
  <c r="Y136" i="6"/>
  <c r="Y158" i="6"/>
  <c r="Y159" i="6"/>
  <c r="Y253" i="6"/>
  <c r="Y241" i="6"/>
  <c r="Y283" i="6"/>
  <c r="Y133" i="6"/>
  <c r="Y330" i="6"/>
  <c r="Y333" i="6"/>
  <c r="Y161" i="6"/>
  <c r="Y227" i="6"/>
  <c r="Y270" i="6"/>
  <c r="Y354" i="6"/>
  <c r="Y405" i="6"/>
  <c r="Y86" i="6"/>
  <c r="Y171" i="6"/>
  <c r="Y349" i="6"/>
  <c r="Y303" i="6"/>
  <c r="Y341" i="6"/>
  <c r="Y328" i="6"/>
  <c r="Y284" i="6"/>
  <c r="Y56" i="6"/>
  <c r="Y152" i="6"/>
  <c r="Y220" i="6"/>
  <c r="Y331" i="6"/>
  <c r="Y447" i="6"/>
  <c r="Y282" i="6"/>
  <c r="Y45" i="6"/>
  <c r="Y88" i="6"/>
  <c r="Y172" i="6"/>
  <c r="Y290" i="6"/>
  <c r="Y39" i="6"/>
  <c r="Y114" i="6"/>
  <c r="Y180" i="6"/>
  <c r="Y245" i="6"/>
  <c r="Y329" i="6"/>
  <c r="Y446" i="6"/>
  <c r="Y138" i="6"/>
  <c r="Y247" i="6"/>
  <c r="Y449" i="6"/>
  <c r="Y373" i="6"/>
  <c r="Y374" i="6"/>
  <c r="Y375" i="6"/>
  <c r="Y112" i="6"/>
  <c r="Y240" i="6"/>
  <c r="Y277" i="6"/>
  <c r="Y156" i="6"/>
  <c r="Y318" i="6"/>
  <c r="Y380" i="6"/>
  <c r="Y150" i="6"/>
  <c r="Y212" i="6"/>
  <c r="Y82" i="6"/>
  <c r="Y250" i="6"/>
  <c r="Y396" i="6"/>
  <c r="Y140" i="6"/>
  <c r="Y327" i="6"/>
  <c r="Y356" i="6"/>
  <c r="Y134" i="6"/>
  <c r="Y196" i="6"/>
  <c r="Y71" i="6"/>
  <c r="Y145" i="6"/>
  <c r="Y252" i="6"/>
  <c r="Y66" i="6"/>
  <c r="Y162" i="6"/>
  <c r="Y236" i="6"/>
  <c r="Y395" i="6"/>
  <c r="Z7" i="6"/>
  <c r="Z186" i="6" s="1"/>
  <c r="Y59" i="6"/>
  <c r="Y222" i="6"/>
  <c r="Y464" i="6"/>
  <c r="Y124" i="6"/>
  <c r="Y278" i="6"/>
  <c r="Y382" i="6"/>
  <c r="Y118" i="6"/>
  <c r="Y178" i="6"/>
  <c r="X5" i="6"/>
  <c r="Y63" i="6"/>
  <c r="Y92" i="6"/>
  <c r="Y93" i="6"/>
  <c r="Y94" i="6"/>
  <c r="Y416" i="6"/>
  <c r="Y96" i="6"/>
  <c r="Y281" i="6"/>
  <c r="Y21" i="6"/>
  <c r="Y183" i="6"/>
  <c r="Y424" i="6"/>
  <c r="Y64" i="6"/>
  <c r="Y149" i="6"/>
  <c r="Y265" i="6"/>
  <c r="Y19" i="6"/>
  <c r="Y229" i="6"/>
  <c r="Y379" i="6"/>
  <c r="Y79" i="6"/>
  <c r="Y321" i="6"/>
  <c r="Y400" i="6"/>
  <c r="Y213" i="6"/>
  <c r="Y312" i="6"/>
  <c r="Z474" i="6" l="1"/>
  <c r="Z477" i="6"/>
  <c r="Z472" i="6"/>
  <c r="Z478" i="6"/>
  <c r="Z479" i="6"/>
  <c r="Z475" i="6"/>
  <c r="Z473" i="6"/>
  <c r="Z476" i="6"/>
  <c r="Z158" i="6"/>
  <c r="Z191" i="6"/>
  <c r="Z470" i="6"/>
  <c r="Z471" i="6"/>
  <c r="Z198" i="6"/>
  <c r="Z180" i="6"/>
  <c r="Z362" i="6"/>
  <c r="Z417" i="6"/>
  <c r="Z418" i="6"/>
  <c r="Z419" i="6"/>
  <c r="Z420" i="6"/>
  <c r="Z421" i="6"/>
  <c r="Z133" i="6"/>
  <c r="Z322" i="6"/>
  <c r="Z97" i="6"/>
  <c r="Z98" i="6"/>
  <c r="Z99" i="6"/>
  <c r="Z165" i="6"/>
  <c r="Z32" i="6"/>
  <c r="Z12" i="6"/>
  <c r="Z359" i="6"/>
  <c r="Z75" i="6"/>
  <c r="Z341" i="6"/>
  <c r="Z306" i="6"/>
  <c r="Z379" i="6"/>
  <c r="Z441" i="6"/>
  <c r="Z299" i="6"/>
  <c r="Z13" i="6"/>
  <c r="Z459" i="6"/>
  <c r="Z342" i="6"/>
  <c r="Z443" i="6"/>
  <c r="Z423" i="6"/>
  <c r="Z269" i="6"/>
  <c r="Z435" i="6"/>
  <c r="Z142" i="6"/>
  <c r="Z462" i="6"/>
  <c r="Z135" i="6"/>
  <c r="Z42" i="6"/>
  <c r="Z152" i="6"/>
  <c r="Z126" i="6"/>
  <c r="Z61" i="6"/>
  <c r="Z380" i="6"/>
  <c r="Z23" i="6"/>
  <c r="Z82" i="6"/>
  <c r="Z8" i="6"/>
  <c r="Z453" i="6"/>
  <c r="Z352" i="6"/>
  <c r="Z314" i="6"/>
  <c r="Y5" i="6"/>
  <c r="Z387" i="6"/>
  <c r="Z245" i="6"/>
  <c r="Z50" i="6"/>
  <c r="Z114" i="6"/>
  <c r="Z345" i="6"/>
  <c r="Z157" i="6"/>
  <c r="Z65" i="6"/>
  <c r="Z289" i="6"/>
  <c r="Z63" i="6"/>
  <c r="Z86" i="6"/>
  <c r="Z343" i="6"/>
  <c r="Z295" i="6"/>
  <c r="Z125" i="6"/>
  <c r="Z145" i="6"/>
  <c r="Z279" i="6"/>
  <c r="Z248" i="6"/>
  <c r="Z347" i="6"/>
  <c r="Z87" i="6"/>
  <c r="Z461" i="6"/>
  <c r="Z240" i="6"/>
  <c r="Z231" i="6"/>
  <c r="Z278" i="6"/>
  <c r="Z255" i="6"/>
  <c r="Z304" i="6"/>
  <c r="Z405" i="6"/>
  <c r="Z259" i="6"/>
  <c r="Z402" i="6"/>
  <c r="Z208" i="6"/>
  <c r="Z389" i="6"/>
  <c r="Z348" i="6"/>
  <c r="Z254" i="6"/>
  <c r="Z270" i="6"/>
  <c r="Z340" i="6"/>
  <c r="Z235" i="6"/>
  <c r="Z407" i="6"/>
  <c r="Z132" i="6"/>
  <c r="Z371" i="6"/>
  <c r="Z116" i="6"/>
  <c r="Z272" i="6"/>
  <c r="Z84" i="6"/>
  <c r="Z324" i="6"/>
  <c r="Z327" i="6"/>
  <c r="Z333" i="6"/>
  <c r="Z247" i="6"/>
  <c r="Z251" i="6"/>
  <c r="Z466" i="6"/>
  <c r="Z425" i="6"/>
  <c r="Z119" i="6"/>
  <c r="Z37" i="6"/>
  <c r="Z141" i="6"/>
  <c r="Z446" i="6"/>
  <c r="Z234" i="6"/>
  <c r="Z363" i="6"/>
  <c r="Z331" i="6"/>
  <c r="Z241" i="6"/>
  <c r="Z355" i="6"/>
  <c r="Z309" i="6"/>
  <c r="Z112" i="6"/>
  <c r="Z62" i="6"/>
  <c r="Z291" i="6"/>
  <c r="Z393" i="6"/>
  <c r="Z469" i="6"/>
  <c r="Z43" i="6"/>
  <c r="Z338" i="6"/>
  <c r="Z372" i="6"/>
  <c r="Z200" i="6"/>
  <c r="Z337" i="6"/>
  <c r="Z451" i="6"/>
  <c r="Z25" i="6"/>
  <c r="Z258" i="6"/>
  <c r="Z51" i="6"/>
  <c r="Z356" i="6"/>
  <c r="Z438" i="6"/>
  <c r="Z282" i="6"/>
  <c r="Z210" i="6"/>
  <c r="Z428" i="6"/>
  <c r="Z56" i="6"/>
  <c r="Z346" i="6"/>
  <c r="Z361" i="6"/>
  <c r="Z175" i="6"/>
  <c r="Z395" i="6"/>
  <c r="Z307" i="6"/>
  <c r="Z31" i="6"/>
  <c r="Z224" i="6"/>
  <c r="Z110" i="6"/>
  <c r="Z109" i="6"/>
  <c r="Z284" i="6"/>
  <c r="Z276" i="6"/>
  <c r="Z318" i="6"/>
  <c r="Z219" i="6"/>
  <c r="Z218" i="6"/>
  <c r="Z215" i="6"/>
  <c r="Z458" i="6"/>
  <c r="Z149" i="6"/>
  <c r="Z285" i="6"/>
  <c r="Z73" i="6"/>
  <c r="Z311" i="6"/>
  <c r="Z107" i="6"/>
  <c r="Z378" i="6"/>
  <c r="Z432" i="6"/>
  <c r="Z70" i="6"/>
  <c r="Z310" i="6"/>
  <c r="Z394" i="6"/>
  <c r="Z193" i="6"/>
  <c r="Z413" i="6"/>
  <c r="Z29" i="6"/>
  <c r="Z273" i="6"/>
  <c r="Z332" i="6"/>
  <c r="Z364" i="6"/>
  <c r="Z192" i="6"/>
  <c r="Z315" i="6"/>
  <c r="Z91" i="6"/>
  <c r="Z80" i="6"/>
  <c r="Z320" i="6"/>
  <c r="Z319" i="6"/>
  <c r="Z406" i="6"/>
  <c r="Z185" i="6"/>
  <c r="Z184" i="6"/>
  <c r="Z181" i="6"/>
  <c r="Z426" i="6"/>
  <c r="Z117" i="6"/>
  <c r="Z286" i="6"/>
  <c r="Z34" i="6"/>
  <c r="Z244" i="6"/>
  <c r="Z83" i="6"/>
  <c r="Z93" i="6"/>
  <c r="Z95" i="6"/>
  <c r="Z203" i="6"/>
  <c r="Z199" i="6"/>
  <c r="Z280" i="6"/>
  <c r="Z386" i="6"/>
  <c r="Z174" i="6"/>
  <c r="Z45" i="6"/>
  <c r="Z44" i="6"/>
  <c r="Z237" i="6"/>
  <c r="Z236" i="6"/>
  <c r="Z365" i="6"/>
  <c r="Z170" i="6"/>
  <c r="Z169" i="6"/>
  <c r="Z166" i="6"/>
  <c r="Z391" i="6"/>
  <c r="Z100" i="6"/>
  <c r="Z257" i="6"/>
  <c r="Z15" i="6"/>
  <c r="Z228" i="6"/>
  <c r="Z49" i="6"/>
  <c r="Z92" i="6"/>
  <c r="Z72" i="6"/>
  <c r="Z246" i="6"/>
  <c r="Z232" i="6"/>
  <c r="Z275" i="6"/>
  <c r="Z411" i="6"/>
  <c r="Z161" i="6"/>
  <c r="Z344" i="6"/>
  <c r="Z408" i="6"/>
  <c r="Z201" i="6"/>
  <c r="Z422" i="6"/>
  <c r="Z47" i="6"/>
  <c r="Z297" i="6"/>
  <c r="Z353" i="6"/>
  <c r="Z167" i="6"/>
  <c r="Z252" i="6"/>
  <c r="Z266" i="6"/>
  <c r="Z159" i="6"/>
  <c r="Z316" i="6"/>
  <c r="Z27" i="6"/>
  <c r="Z26" i="6"/>
  <c r="Z221" i="6"/>
  <c r="Z220" i="6"/>
  <c r="Z465" i="6"/>
  <c r="Z154" i="6"/>
  <c r="Z153" i="6"/>
  <c r="Z150" i="6"/>
  <c r="Z293" i="6"/>
  <c r="Z90" i="6"/>
  <c r="Z317" i="6"/>
  <c r="Z388" i="6"/>
  <c r="Z212" i="6"/>
  <c r="Z33" i="6"/>
  <c r="AA7" i="6"/>
  <c r="AA186" i="6" s="1"/>
  <c r="Z88" i="6"/>
  <c r="Z334" i="6"/>
  <c r="Z463" i="6"/>
  <c r="Z136" i="6"/>
  <c r="Z261" i="6"/>
  <c r="Z183" i="6"/>
  <c r="Z242" i="6"/>
  <c r="Z444" i="6"/>
  <c r="Z102" i="6"/>
  <c r="Z243" i="6"/>
  <c r="Z452" i="6"/>
  <c r="Z143" i="6"/>
  <c r="Z300" i="6"/>
  <c r="Z292" i="6"/>
  <c r="Z274" i="6"/>
  <c r="Z205" i="6"/>
  <c r="Z204" i="6"/>
  <c r="Z447" i="6"/>
  <c r="Z138" i="6"/>
  <c r="Z137" i="6"/>
  <c r="Z134" i="6"/>
  <c r="Z326" i="6"/>
  <c r="Z250" i="6"/>
  <c r="Z381" i="6"/>
  <c r="Z196" i="6"/>
  <c r="Z17" i="6"/>
  <c r="Z128" i="6"/>
  <c r="Z368" i="6"/>
  <c r="Z225" i="6"/>
  <c r="Z429" i="6"/>
  <c r="Z262" i="6"/>
  <c r="Z176" i="6"/>
  <c r="Z399" i="6"/>
  <c r="Z19" i="6"/>
  <c r="Z227" i="6"/>
  <c r="Z436" i="6"/>
  <c r="Z127" i="6"/>
  <c r="Z271" i="6"/>
  <c r="Z263" i="6"/>
  <c r="Z360" i="6"/>
  <c r="Z188" i="6"/>
  <c r="Z187" i="6"/>
  <c r="Z431" i="6"/>
  <c r="Z122" i="6"/>
  <c r="Z121" i="6"/>
  <c r="Z118" i="6"/>
  <c r="Z294" i="6"/>
  <c r="Z35" i="6"/>
  <c r="Z74" i="6"/>
  <c r="Z409" i="6"/>
  <c r="Z178" i="6"/>
  <c r="Z14" i="6"/>
  <c r="Z397" i="6"/>
  <c r="Z468" i="6"/>
  <c r="Z216" i="6"/>
  <c r="Z58" i="6"/>
  <c r="Z120" i="6"/>
  <c r="Z160" i="6"/>
  <c r="Z151" i="6"/>
  <c r="Z339" i="6"/>
  <c r="Z400" i="6"/>
  <c r="Z253" i="6"/>
  <c r="Z38" i="6"/>
  <c r="Z113" i="6"/>
  <c r="Z264" i="6"/>
  <c r="Z384" i="6"/>
  <c r="Z211" i="6"/>
  <c r="Z111" i="6"/>
  <c r="Z323" i="6"/>
  <c r="Z321" i="6"/>
  <c r="Z290" i="6"/>
  <c r="Z172" i="6"/>
  <c r="Z171" i="6"/>
  <c r="Z414" i="6"/>
  <c r="Z105" i="6"/>
  <c r="Z104" i="6"/>
  <c r="Z101" i="6"/>
  <c r="Z265" i="6"/>
  <c r="Z16" i="6"/>
  <c r="Z229" i="6"/>
  <c r="Z410" i="6"/>
  <c r="Z163" i="6"/>
  <c r="Z449" i="6"/>
  <c r="Z373" i="6"/>
  <c r="Z374" i="6"/>
  <c r="Z375" i="6"/>
  <c r="Z226" i="6"/>
  <c r="Z448" i="6"/>
  <c r="Z194" i="6"/>
  <c r="Z281" i="6"/>
  <c r="Z67" i="6"/>
  <c r="Z239" i="6"/>
  <c r="Z238" i="6"/>
  <c r="Z467" i="6"/>
  <c r="Z156" i="6"/>
  <c r="Z155" i="6"/>
  <c r="Z404" i="6"/>
  <c r="Z66" i="6"/>
  <c r="Z335" i="6"/>
  <c r="Z213" i="6"/>
  <c r="Z456" i="6"/>
  <c r="Z147" i="6"/>
  <c r="Z68" i="6"/>
  <c r="Z78" i="6"/>
  <c r="Z415" i="6"/>
  <c r="Z377" i="6"/>
  <c r="Z89" i="6"/>
  <c r="Z434" i="6"/>
  <c r="Z10" i="6"/>
  <c r="Z460" i="6"/>
  <c r="Z296" i="6"/>
  <c r="Z401" i="6"/>
  <c r="Z233" i="6"/>
  <c r="Z398" i="6"/>
  <c r="Z177" i="6"/>
  <c r="Z325" i="6"/>
  <c r="Z46" i="6"/>
  <c r="Z223" i="6"/>
  <c r="Z222" i="6"/>
  <c r="Z450" i="6"/>
  <c r="Z140" i="6"/>
  <c r="Z139" i="6"/>
  <c r="Z288" i="6"/>
  <c r="Z60" i="6"/>
  <c r="Z59" i="6"/>
  <c r="Z55" i="6"/>
  <c r="Z249" i="6"/>
  <c r="Z385" i="6"/>
  <c r="Z197" i="6"/>
  <c r="Z440" i="6"/>
  <c r="Z131" i="6"/>
  <c r="Z57" i="6"/>
  <c r="Z94" i="6"/>
  <c r="Z369" i="6"/>
  <c r="Z454" i="6"/>
  <c r="Z79" i="6"/>
  <c r="Z30" i="6"/>
  <c r="Z195" i="6"/>
  <c r="Z96" i="6"/>
  <c r="Z48" i="6"/>
  <c r="Z162" i="6"/>
  <c r="Z28" i="6"/>
  <c r="Z206" i="6"/>
  <c r="Z433" i="6"/>
  <c r="Z124" i="6"/>
  <c r="Z123" i="6"/>
  <c r="Z328" i="6"/>
  <c r="Z41" i="6"/>
  <c r="Z39" i="6"/>
  <c r="Z36" i="6"/>
  <c r="Z9" i="6"/>
  <c r="Z179" i="6"/>
  <c r="Z424" i="6"/>
  <c r="Z115" i="6"/>
  <c r="Z40" i="6"/>
  <c r="Z336" i="6"/>
  <c r="Z202" i="6"/>
  <c r="Z442" i="6"/>
  <c r="Z303" i="6"/>
  <c r="Z329" i="6"/>
  <c r="Z370" i="6"/>
  <c r="Z350" i="6"/>
  <c r="Z464" i="6"/>
  <c r="Z144" i="6"/>
  <c r="Z301" i="6"/>
  <c r="Z376" i="6"/>
  <c r="Z71" i="6"/>
  <c r="Z445" i="6"/>
  <c r="Z103" i="6"/>
  <c r="Z455" i="6"/>
  <c r="Z146" i="6"/>
  <c r="Z330" i="6"/>
  <c r="Z367" i="6"/>
  <c r="Z190" i="6"/>
  <c r="Z189" i="6"/>
  <c r="Z416" i="6"/>
  <c r="Z108" i="6"/>
  <c r="Z106" i="6"/>
  <c r="Z305" i="6"/>
  <c r="Z22" i="6"/>
  <c r="Z21" i="6"/>
  <c r="Z18" i="6"/>
  <c r="Z230" i="6"/>
  <c r="Z256" i="6"/>
  <c r="Z164" i="6"/>
  <c r="Z383" i="6"/>
  <c r="Z81" i="6"/>
  <c r="Z24" i="6"/>
  <c r="Z349" i="6"/>
  <c r="Z298" i="6"/>
  <c r="Z366" i="6"/>
  <c r="Z392" i="6"/>
  <c r="Z358" i="6"/>
  <c r="Z287" i="6"/>
  <c r="Z129" i="6"/>
  <c r="Z267" i="6"/>
  <c r="Z11" i="6"/>
  <c r="Z209" i="6"/>
  <c r="Z427" i="6"/>
  <c r="Z313" i="6"/>
  <c r="Z357" i="6"/>
  <c r="Z168" i="6"/>
  <c r="Z403" i="6"/>
  <c r="Z283" i="6"/>
  <c r="Z207" i="6"/>
  <c r="Z437" i="6"/>
  <c r="Z312" i="6"/>
  <c r="Z217" i="6"/>
  <c r="Z430" i="6"/>
  <c r="Z302" i="6"/>
  <c r="Z390" i="6"/>
  <c r="Z182" i="6"/>
  <c r="Z412" i="6"/>
  <c r="Z20" i="6"/>
  <c r="Z439" i="6"/>
  <c r="Z130" i="6"/>
  <c r="Z308" i="6"/>
  <c r="Z382" i="6"/>
  <c r="Z173" i="6"/>
  <c r="Z77" i="6"/>
  <c r="Z354" i="6"/>
  <c r="Z85" i="6"/>
  <c r="Z69" i="6"/>
  <c r="Z268" i="6"/>
  <c r="Z260" i="6"/>
  <c r="Z351" i="6"/>
  <c r="Z396" i="6"/>
  <c r="Z214" i="6"/>
  <c r="Z457" i="6"/>
  <c r="Z148" i="6"/>
  <c r="Z277" i="6"/>
  <c r="Z64" i="6"/>
  <c r="Z76" i="6"/>
  <c r="AA474" i="6" l="1"/>
  <c r="AA477" i="6"/>
  <c r="AA472" i="6"/>
  <c r="AA478" i="6"/>
  <c r="AA479" i="6"/>
  <c r="AA475" i="6"/>
  <c r="AA473" i="6"/>
  <c r="AA476" i="6"/>
  <c r="AA191" i="6"/>
  <c r="AA471" i="6"/>
  <c r="AA470" i="6"/>
  <c r="AA417" i="6"/>
  <c r="AA418" i="6"/>
  <c r="AA419" i="6"/>
  <c r="AA420" i="6"/>
  <c r="AA421" i="6"/>
  <c r="AA322" i="6"/>
  <c r="AA98" i="6"/>
  <c r="AA99" i="6"/>
  <c r="AA97" i="6"/>
  <c r="AA391" i="6"/>
  <c r="AA266" i="6"/>
  <c r="AA359" i="6"/>
  <c r="AA460" i="6"/>
  <c r="AA341" i="6"/>
  <c r="AA137" i="6"/>
  <c r="AA55" i="6"/>
  <c r="AA399" i="6"/>
  <c r="AA428" i="6"/>
  <c r="AA39" i="6"/>
  <c r="AA376" i="6"/>
  <c r="AA130" i="6"/>
  <c r="AA360" i="6"/>
  <c r="AA290" i="6"/>
  <c r="AA118" i="6"/>
  <c r="AA23" i="6"/>
  <c r="AA325" i="6"/>
  <c r="AA11" i="6"/>
  <c r="AA96" i="6"/>
  <c r="AA108" i="6"/>
  <c r="AA215" i="6"/>
  <c r="AA317" i="6"/>
  <c r="AA139" i="6"/>
  <c r="AA162" i="6"/>
  <c r="AA90" i="6"/>
  <c r="AA274" i="6"/>
  <c r="AA284" i="6"/>
  <c r="AA249" i="6"/>
  <c r="AA305" i="6"/>
  <c r="AA343" i="6"/>
  <c r="AA66" i="6"/>
  <c r="AA309" i="6"/>
  <c r="AA182" i="6"/>
  <c r="AA400" i="6"/>
  <c r="AA197" i="6"/>
  <c r="AA152" i="6"/>
  <c r="AA234" i="6"/>
  <c r="AA267" i="6"/>
  <c r="AA285" i="6"/>
  <c r="AA175" i="6"/>
  <c r="AA80" i="6"/>
  <c r="AA106" i="6"/>
  <c r="AA278" i="6"/>
  <c r="AA49" i="6"/>
  <c r="AA87" i="6"/>
  <c r="AA403" i="6"/>
  <c r="AA331" i="6"/>
  <c r="AA29" i="6"/>
  <c r="AA453" i="6"/>
  <c r="AA131" i="6"/>
  <c r="AA202" i="6"/>
  <c r="AA103" i="6"/>
  <c r="AA13" i="6"/>
  <c r="AA357" i="6"/>
  <c r="AA129" i="6"/>
  <c r="AA192" i="6"/>
  <c r="AA387" i="6"/>
  <c r="AA368" i="6"/>
  <c r="AA380" i="6"/>
  <c r="AA250" i="6"/>
  <c r="AA150" i="6"/>
  <c r="AA393" i="6"/>
  <c r="AA100" i="6"/>
  <c r="AA147" i="6"/>
  <c r="AA440" i="6"/>
  <c r="AA355" i="6"/>
  <c r="AA148" i="6"/>
  <c r="AA398" i="6"/>
  <c r="AA404" i="6"/>
  <c r="AA119" i="6"/>
  <c r="AA28" i="6"/>
  <c r="AA70" i="6"/>
  <c r="AA356" i="6"/>
  <c r="AA224" i="6"/>
  <c r="AA92" i="6"/>
  <c r="AA179" i="6"/>
  <c r="AA74" i="6"/>
  <c r="AA200" i="6"/>
  <c r="AA268" i="6"/>
  <c r="AA429" i="6"/>
  <c r="AA354" i="6"/>
  <c r="AA180" i="6"/>
  <c r="AA311" i="6"/>
  <c r="AA205" i="6"/>
  <c r="Z5" i="6"/>
  <c r="AA33" i="6"/>
  <c r="AA449" i="6"/>
  <c r="AA373" i="6"/>
  <c r="AA374" i="6"/>
  <c r="AA375" i="6"/>
  <c r="AA237" i="6"/>
  <c r="AA326" i="6"/>
  <c r="AA332" i="6"/>
  <c r="AA383" i="6"/>
  <c r="AA304" i="6"/>
  <c r="AA385" i="6"/>
  <c r="AA65" i="6"/>
  <c r="AA64" i="6"/>
  <c r="AA177" i="6"/>
  <c r="AA276" i="6"/>
  <c r="AA344" i="6"/>
  <c r="AA438" i="6"/>
  <c r="AA288" i="6"/>
  <c r="AA159" i="6"/>
  <c r="AA17" i="6"/>
  <c r="AA389" i="6"/>
  <c r="AA217" i="6"/>
  <c r="AA275" i="6"/>
  <c r="AA58" i="6"/>
  <c r="AA155" i="6"/>
  <c r="AA214" i="6"/>
  <c r="AA437" i="6"/>
  <c r="AA141" i="6"/>
  <c r="AA452" i="6"/>
  <c r="AA44" i="6"/>
  <c r="AA272" i="6"/>
  <c r="AA365" i="6"/>
  <c r="AA134" i="6"/>
  <c r="AA279" i="6"/>
  <c r="AA327" i="6"/>
  <c r="AA450" i="6"/>
  <c r="AA394" i="6"/>
  <c r="AA38" i="6"/>
  <c r="AA37" i="6"/>
  <c r="AA255" i="6"/>
  <c r="AA306" i="6"/>
  <c r="AA297" i="6"/>
  <c r="AA416" i="6"/>
  <c r="AA353" i="6"/>
  <c r="AA22" i="6"/>
  <c r="AA173" i="6"/>
  <c r="AA30" i="6"/>
  <c r="AA315" i="6"/>
  <c r="AA204" i="6"/>
  <c r="AA232" i="6"/>
  <c r="AA41" i="6"/>
  <c r="AA222" i="6"/>
  <c r="AA239" i="6"/>
  <c r="AA120" i="6"/>
  <c r="AA212" i="6"/>
  <c r="AA252" i="6"/>
  <c r="AA286" i="6"/>
  <c r="AA59" i="6"/>
  <c r="AA184" i="6"/>
  <c r="AA248" i="6"/>
  <c r="AA181" i="6"/>
  <c r="AA364" i="6"/>
  <c r="AA8" i="6"/>
  <c r="AA112" i="6"/>
  <c r="AA151" i="6"/>
  <c r="AA166" i="6"/>
  <c r="AA262" i="6"/>
  <c r="AA427" i="6"/>
  <c r="AA10" i="6"/>
  <c r="AA381" i="6"/>
  <c r="AA367" i="6"/>
  <c r="AA121" i="6"/>
  <c r="AA246" i="6"/>
  <c r="AA350" i="6"/>
  <c r="AA323" i="6"/>
  <c r="AA458" i="6"/>
  <c r="AA301" i="6"/>
  <c r="AA79" i="6"/>
  <c r="AA14" i="6"/>
  <c r="AA277" i="6"/>
  <c r="AA168" i="6"/>
  <c r="AA244" i="6"/>
  <c r="AA25" i="6"/>
  <c r="AA243" i="6"/>
  <c r="AA158" i="6"/>
  <c r="AA370" i="6"/>
  <c r="AA83" i="6"/>
  <c r="AA219" i="6"/>
  <c r="AA464" i="6"/>
  <c r="AA454" i="6"/>
  <c r="AA140" i="6"/>
  <c r="AA77" i="6"/>
  <c r="AA193" i="6"/>
  <c r="AA271" i="6"/>
  <c r="AA346" i="6"/>
  <c r="AA426" i="6"/>
  <c r="AA469" i="6"/>
  <c r="AA371" i="6"/>
  <c r="AA91" i="6"/>
  <c r="AA228" i="6"/>
  <c r="AA233" i="6"/>
  <c r="AA289" i="6"/>
  <c r="AA415" i="6"/>
  <c r="AA296" i="6"/>
  <c r="AA21" i="6"/>
  <c r="AA220" i="6"/>
  <c r="AA446" i="6"/>
  <c r="AA138" i="6"/>
  <c r="AA337" i="6"/>
  <c r="AA411" i="6"/>
  <c r="AA109" i="6"/>
  <c r="AA127" i="6"/>
  <c r="AA345" i="6"/>
  <c r="AA50" i="6"/>
  <c r="AA352" i="6"/>
  <c r="AA245" i="6"/>
  <c r="AA366" i="6"/>
  <c r="AA447" i="6"/>
  <c r="AA377" i="6"/>
  <c r="AA63" i="6"/>
  <c r="AA156" i="6"/>
  <c r="AA230" i="6"/>
  <c r="AA351" i="6"/>
  <c r="AA312" i="6"/>
  <c r="AA457" i="6"/>
  <c r="AA198" i="6"/>
  <c r="AA111" i="6"/>
  <c r="AA430" i="6"/>
  <c r="AA174" i="6"/>
  <c r="AA123" i="6"/>
  <c r="AA455" i="6"/>
  <c r="AA135" i="6"/>
  <c r="AA149" i="6"/>
  <c r="AA320" i="6"/>
  <c r="AA34" i="6"/>
  <c r="AA269" i="6"/>
  <c r="AA442" i="6"/>
  <c r="AA307" i="6"/>
  <c r="AA32" i="6"/>
  <c r="AA226" i="6"/>
  <c r="AA329" i="6"/>
  <c r="AA413" i="6"/>
  <c r="AA60" i="6"/>
  <c r="AA208" i="6"/>
  <c r="AA439" i="6"/>
  <c r="AA157" i="6"/>
  <c r="AA128" i="6"/>
  <c r="AA308" i="6"/>
  <c r="AA18" i="6"/>
  <c r="AA12" i="6"/>
  <c r="AA223" i="6"/>
  <c r="AA336" i="6"/>
  <c r="AA436" i="6"/>
  <c r="AA107" i="6"/>
  <c r="AA167" i="6"/>
  <c r="AA342" i="6"/>
  <c r="AA67" i="6"/>
  <c r="AA225" i="6"/>
  <c r="AA47" i="6"/>
  <c r="AA333" i="6"/>
  <c r="AA407" i="6"/>
  <c r="AA406" i="6"/>
  <c r="AA171" i="6"/>
  <c r="AA425" i="6"/>
  <c r="AA172" i="6"/>
  <c r="AA435" i="6"/>
  <c r="AA408" i="6"/>
  <c r="AA395" i="6"/>
  <c r="AA396" i="6"/>
  <c r="AA183" i="6"/>
  <c r="AA362" i="6"/>
  <c r="AA384" i="6"/>
  <c r="AA124" i="6"/>
  <c r="AA281" i="6"/>
  <c r="AA414" i="6"/>
  <c r="AA142" i="6"/>
  <c r="AA154" i="6"/>
  <c r="AA9" i="6"/>
  <c r="AA242" i="6"/>
  <c r="AA423" i="6"/>
  <c r="AA136" i="6"/>
  <c r="AA84" i="6"/>
  <c r="AA295" i="6"/>
  <c r="AA76" i="6"/>
  <c r="AA433" i="6"/>
  <c r="AA319" i="6"/>
  <c r="AA190" i="6"/>
  <c r="AA334" i="6"/>
  <c r="AA261" i="6"/>
  <c r="AA196" i="6"/>
  <c r="AA57" i="6"/>
  <c r="AA303" i="6"/>
  <c r="AA16" i="6"/>
  <c r="AA211" i="6"/>
  <c r="AA386" i="6"/>
  <c r="AA178" i="6"/>
  <c r="AA231" i="6"/>
  <c r="AA313" i="6"/>
  <c r="AA432" i="6"/>
  <c r="AB7" i="6"/>
  <c r="AB186" i="6" s="1"/>
  <c r="AA456" i="6"/>
  <c r="AA144" i="6"/>
  <c r="AA229" i="6"/>
  <c r="AA330" i="6"/>
  <c r="AA468" i="6"/>
  <c r="AA89" i="6"/>
  <c r="AA247" i="6"/>
  <c r="AA43" i="6"/>
  <c r="AA466" i="6"/>
  <c r="AA238" i="6"/>
  <c r="AA348" i="6"/>
  <c r="AA287" i="6"/>
  <c r="AA318" i="6"/>
  <c r="AA434" i="6"/>
  <c r="AA401" i="6"/>
  <c r="AA72" i="6"/>
  <c r="AA161" i="6"/>
  <c r="AA203" i="6"/>
  <c r="AA300" i="6"/>
  <c r="AA299" i="6"/>
  <c r="AA445" i="6"/>
  <c r="AA372" i="6"/>
  <c r="AA61" i="6"/>
  <c r="AA117" i="6"/>
  <c r="AA251" i="6"/>
  <c r="AA335" i="6"/>
  <c r="AA293" i="6"/>
  <c r="AA169" i="6"/>
  <c r="AA176" i="6"/>
  <c r="AA291" i="6"/>
  <c r="AA27" i="6"/>
  <c r="AA201" i="6"/>
  <c r="AA379" i="6"/>
  <c r="AA85" i="6"/>
  <c r="AA68" i="6"/>
  <c r="AA258" i="6"/>
  <c r="AA75" i="6"/>
  <c r="AA390" i="6"/>
  <c r="AA48" i="6"/>
  <c r="AA260" i="6"/>
  <c r="AA405" i="6"/>
  <c r="AA26" i="6"/>
  <c r="AA102" i="6"/>
  <c r="AA263" i="6"/>
  <c r="AA132" i="6"/>
  <c r="AA259" i="6"/>
  <c r="AA88" i="6"/>
  <c r="AA209" i="6"/>
  <c r="AA46" i="6"/>
  <c r="AA194" i="6"/>
  <c r="AA412" i="6"/>
  <c r="AA339" i="6"/>
  <c r="AA42" i="6"/>
  <c r="AA163" i="6"/>
  <c r="AA113" i="6"/>
  <c r="AA316" i="6"/>
  <c r="AA424" i="6"/>
  <c r="AA378" i="6"/>
  <c r="AA31" i="6"/>
  <c r="AA86" i="6"/>
  <c r="AA104" i="6"/>
  <c r="AA218" i="6"/>
  <c r="AA310" i="6"/>
  <c r="AA105" i="6"/>
  <c r="AA95" i="6"/>
  <c r="AA270" i="6"/>
  <c r="AA409" i="6"/>
  <c r="AA187" i="6"/>
  <c r="AA324" i="6"/>
  <c r="AA69" i="6"/>
  <c r="AA51" i="6"/>
  <c r="AA188" i="6"/>
  <c r="AA459" i="6"/>
  <c r="AA448" i="6"/>
  <c r="AA382" i="6"/>
  <c r="AA465" i="6"/>
  <c r="AA340" i="6"/>
  <c r="AA221" i="6"/>
  <c r="AA292" i="6"/>
  <c r="AA358" i="6"/>
  <c r="AA338" i="6"/>
  <c r="AA56" i="6"/>
  <c r="AA114" i="6"/>
  <c r="AA216" i="6"/>
  <c r="AA273" i="6"/>
  <c r="AA133" i="6"/>
  <c r="AA78" i="6"/>
  <c r="AA265" i="6"/>
  <c r="AA207" i="6"/>
  <c r="AA153" i="6"/>
  <c r="AA328" i="6"/>
  <c r="AA35" i="6"/>
  <c r="AA227" i="6"/>
  <c r="AA462" i="6"/>
  <c r="AA282" i="6"/>
  <c r="AA116" i="6"/>
  <c r="AA164" i="6"/>
  <c r="AA283" i="6"/>
  <c r="AA62" i="6"/>
  <c r="AA206" i="6"/>
  <c r="AA165" i="6"/>
  <c r="AA110" i="6"/>
  <c r="AA253" i="6"/>
  <c r="AA240" i="6"/>
  <c r="AA241" i="6"/>
  <c r="AA73" i="6"/>
  <c r="AA369" i="6"/>
  <c r="AA143" i="6"/>
  <c r="AA410" i="6"/>
  <c r="AA392" i="6"/>
  <c r="AA145" i="6"/>
  <c r="AA467" i="6"/>
  <c r="AA363" i="6"/>
  <c r="AA125" i="6"/>
  <c r="AA264" i="6"/>
  <c r="AA15" i="6"/>
  <c r="AA302" i="6"/>
  <c r="AA451" i="6"/>
  <c r="AA397" i="6"/>
  <c r="AA71" i="6"/>
  <c r="AA146" i="6"/>
  <c r="AA195" i="6"/>
  <c r="AA213" i="6"/>
  <c r="AA443" i="6"/>
  <c r="AA361" i="6"/>
  <c r="AA24" i="6"/>
  <c r="AA101" i="6"/>
  <c r="AA189" i="6"/>
  <c r="AA321" i="6"/>
  <c r="AA115" i="6"/>
  <c r="AA199" i="6"/>
  <c r="AA461" i="6"/>
  <c r="AA170" i="6"/>
  <c r="AA347" i="6"/>
  <c r="AA36" i="6"/>
  <c r="AA19" i="6"/>
  <c r="AA94" i="6"/>
  <c r="AA160" i="6"/>
  <c r="AA441" i="6"/>
  <c r="AA294" i="6"/>
  <c r="AA298" i="6"/>
  <c r="AA126" i="6"/>
  <c r="AA257" i="6"/>
  <c r="AA431" i="6"/>
  <c r="AA402" i="6"/>
  <c r="AA40" i="6"/>
  <c r="AA254" i="6"/>
  <c r="AA185" i="6"/>
  <c r="AA236" i="6"/>
  <c r="AA422" i="6"/>
  <c r="AA463" i="6"/>
  <c r="AA388" i="6"/>
  <c r="AA81" i="6"/>
  <c r="AA256" i="6"/>
  <c r="AA210" i="6"/>
  <c r="AA82" i="6"/>
  <c r="AA45" i="6"/>
  <c r="AA314" i="6"/>
  <c r="AA444" i="6"/>
  <c r="AA122" i="6"/>
  <c r="AA349" i="6"/>
  <c r="AA20" i="6"/>
  <c r="AA280" i="6"/>
  <c r="AA235" i="6"/>
  <c r="AA93" i="6"/>
  <c r="AB474" i="6" l="1"/>
  <c r="AB477" i="6"/>
  <c r="AB472" i="6"/>
  <c r="AB478" i="6"/>
  <c r="AB479" i="6"/>
  <c r="AB475" i="6"/>
  <c r="AB473" i="6"/>
  <c r="AB476" i="6"/>
  <c r="AB191" i="6"/>
  <c r="AB471" i="6"/>
  <c r="AB470" i="6"/>
  <c r="AB318" i="6"/>
  <c r="AB420" i="6"/>
  <c r="AB419" i="6"/>
  <c r="AB417" i="6"/>
  <c r="AB418" i="6"/>
  <c r="AB421" i="6"/>
  <c r="AB432" i="6"/>
  <c r="AB322" i="6"/>
  <c r="AB97" i="6"/>
  <c r="AB98" i="6"/>
  <c r="AB99" i="6"/>
  <c r="AB126" i="6"/>
  <c r="AB163" i="6"/>
  <c r="AB359" i="6"/>
  <c r="AB360" i="6"/>
  <c r="AB219" i="6"/>
  <c r="AB166" i="6"/>
  <c r="AB301" i="6"/>
  <c r="AB302" i="6"/>
  <c r="AB312" i="6"/>
  <c r="AB238" i="6"/>
  <c r="AB64" i="6"/>
  <c r="AB416" i="6"/>
  <c r="AB56" i="6"/>
  <c r="AB47" i="6"/>
  <c r="AB72" i="6"/>
  <c r="AB364" i="6"/>
  <c r="AB39" i="6"/>
  <c r="AB31" i="6"/>
  <c r="AB110" i="6"/>
  <c r="AB234" i="6"/>
  <c r="AB132" i="6"/>
  <c r="AB182" i="6"/>
  <c r="AB282" i="6"/>
  <c r="AB266" i="6"/>
  <c r="AB17" i="6"/>
  <c r="AB344" i="6"/>
  <c r="AB218" i="6"/>
  <c r="AB428" i="6"/>
  <c r="AB468" i="6"/>
  <c r="AB350" i="6"/>
  <c r="AB113" i="6"/>
  <c r="AB409" i="6"/>
  <c r="AB128" i="6"/>
  <c r="AB250" i="6"/>
  <c r="AB119" i="6"/>
  <c r="AB279" i="6"/>
  <c r="AB365" i="6"/>
  <c r="AB263" i="6"/>
  <c r="AB85" i="6"/>
  <c r="AB328" i="6"/>
  <c r="AB161" i="6"/>
  <c r="AB69" i="6"/>
  <c r="AB467" i="6"/>
  <c r="AB24" i="6"/>
  <c r="AB413" i="6"/>
  <c r="AB442" i="6"/>
  <c r="AB397" i="6"/>
  <c r="AB349" i="6"/>
  <c r="AB321" i="6"/>
  <c r="AB346" i="6"/>
  <c r="AB430" i="6"/>
  <c r="AB307" i="6"/>
  <c r="AB101" i="6"/>
  <c r="AB427" i="6"/>
  <c r="AB217" i="6"/>
  <c r="AB304" i="6"/>
  <c r="AB167" i="6"/>
  <c r="AB168" i="6"/>
  <c r="AB341" i="6"/>
  <c r="AB78" i="6"/>
  <c r="AB108" i="6"/>
  <c r="AB325" i="6"/>
  <c r="AB183" i="6"/>
  <c r="AB62" i="6"/>
  <c r="AB398" i="6"/>
  <c r="AB265" i="6"/>
  <c r="AB246" i="6"/>
  <c r="AB303" i="6"/>
  <c r="AB412" i="6"/>
  <c r="AB154" i="6"/>
  <c r="AB114" i="6"/>
  <c r="AB310" i="6"/>
  <c r="AB385" i="6"/>
  <c r="AB23" i="6"/>
  <c r="AB202" i="6"/>
  <c r="AB136" i="6"/>
  <c r="AB169" i="6"/>
  <c r="AB461" i="6"/>
  <c r="AB45" i="6"/>
  <c r="AB239" i="6"/>
  <c r="AB142" i="6"/>
  <c r="AB174" i="6"/>
  <c r="AB130" i="6"/>
  <c r="AB294" i="6"/>
  <c r="AB111" i="6"/>
  <c r="AB355" i="6"/>
  <c r="AB87" i="6"/>
  <c r="AB402" i="6"/>
  <c r="AB109" i="6"/>
  <c r="AB105" i="6"/>
  <c r="AB436" i="6"/>
  <c r="AB29" i="6"/>
  <c r="AB104" i="6"/>
  <c r="AB368" i="6"/>
  <c r="AB71" i="6"/>
  <c r="AB411" i="6"/>
  <c r="AB135" i="6"/>
  <c r="AB133" i="6"/>
  <c r="AB381" i="6"/>
  <c r="AB13" i="6"/>
  <c r="AB278" i="6"/>
  <c r="AB335" i="6"/>
  <c r="AB61" i="6"/>
  <c r="AB324" i="6"/>
  <c r="AB347" i="6"/>
  <c r="AB76" i="6"/>
  <c r="AB100" i="6"/>
  <c r="AB190" i="6"/>
  <c r="AB155" i="6"/>
  <c r="AB244" i="6"/>
  <c r="AB379" i="6"/>
  <c r="AB149" i="6"/>
  <c r="AB213" i="6"/>
  <c r="AB245" i="6"/>
  <c r="AB33" i="6"/>
  <c r="AB222" i="6"/>
  <c r="AB44" i="6"/>
  <c r="AB221" i="6"/>
  <c r="AB153" i="6"/>
  <c r="AB309" i="6"/>
  <c r="AB425" i="6"/>
  <c r="AB201" i="6"/>
  <c r="AB11" i="6"/>
  <c r="AB247" i="6"/>
  <c r="AB453" i="6"/>
  <c r="AB331" i="6"/>
  <c r="AB75" i="6"/>
  <c r="AB394" i="6"/>
  <c r="AB77" i="6"/>
  <c r="AB60" i="6"/>
  <c r="AB410" i="6"/>
  <c r="AB351" i="6"/>
  <c r="AB198" i="6"/>
  <c r="AB59" i="6"/>
  <c r="AB49" i="6"/>
  <c r="AB313" i="6"/>
  <c r="AB383" i="6"/>
  <c r="AB28" i="6"/>
  <c r="AB205" i="6"/>
  <c r="AB204" i="6"/>
  <c r="AB293" i="6"/>
  <c r="AB358" i="6"/>
  <c r="AB86" i="6"/>
  <c r="AB445" i="6"/>
  <c r="AB231" i="6"/>
  <c r="AB395" i="6"/>
  <c r="AB79" i="6"/>
  <c r="AB440" i="6"/>
  <c r="AB466" i="6"/>
  <c r="AB229" i="6"/>
  <c r="AB9" i="6"/>
  <c r="AB107" i="6"/>
  <c r="AB55" i="6"/>
  <c r="AB460" i="6"/>
  <c r="AB188" i="6"/>
  <c r="AB448" i="6"/>
  <c r="AB463" i="6"/>
  <c r="AB255" i="6"/>
  <c r="AB367" i="6"/>
  <c r="AB296" i="6"/>
  <c r="AB106" i="6"/>
  <c r="AB157" i="6"/>
  <c r="AB288" i="6"/>
  <c r="AB67" i="6"/>
  <c r="AB42" i="6"/>
  <c r="AB433" i="6"/>
  <c r="AB187" i="6"/>
  <c r="AB215" i="6"/>
  <c r="AB63" i="6"/>
  <c r="AB127" i="6"/>
  <c r="AB102" i="6"/>
  <c r="AB401" i="6"/>
  <c r="AB165" i="6"/>
  <c r="AB160" i="6"/>
  <c r="AB261" i="6"/>
  <c r="AB150" i="6"/>
  <c r="AB21" i="6"/>
  <c r="AB199" i="6"/>
  <c r="AB437" i="6"/>
  <c r="AB46" i="6"/>
  <c r="AB253" i="6"/>
  <c r="AB262" i="6"/>
  <c r="AB12" i="6"/>
  <c r="AB469" i="6"/>
  <c r="AB158" i="6"/>
  <c r="AB214" i="6"/>
  <c r="AB369" i="6"/>
  <c r="AB207" i="6"/>
  <c r="AB43" i="6"/>
  <c r="AB414" i="6"/>
  <c r="AB345" i="6"/>
  <c r="AB361" i="6"/>
  <c r="AB90" i="6"/>
  <c r="AB89" i="6"/>
  <c r="AB145" i="6"/>
  <c r="AB339" i="6"/>
  <c r="AB10" i="6"/>
  <c r="AB248" i="6"/>
  <c r="AB120" i="6"/>
  <c r="AB404" i="6"/>
  <c r="AB30" i="6"/>
  <c r="AB340" i="6"/>
  <c r="AB237" i="6"/>
  <c r="AB82" i="6"/>
  <c r="AB277" i="6"/>
  <c r="AB146" i="6"/>
  <c r="AB407" i="6"/>
  <c r="AB18" i="6"/>
  <c r="AB197" i="6"/>
  <c r="AB403" i="6"/>
  <c r="AB405" i="6"/>
  <c r="AB27" i="6"/>
  <c r="AB329" i="6"/>
  <c r="AB435" i="6"/>
  <c r="AB357" i="6"/>
  <c r="AB73" i="6"/>
  <c r="AB162" i="6"/>
  <c r="AB260" i="6"/>
  <c r="AB422" i="6"/>
  <c r="AB232" i="6"/>
  <c r="AB84" i="6"/>
  <c r="AB348" i="6"/>
  <c r="AB14" i="6"/>
  <c r="AB287" i="6"/>
  <c r="AB189" i="6"/>
  <c r="AB431" i="6"/>
  <c r="AB366" i="6"/>
  <c r="AB103" i="6"/>
  <c r="AB423" i="6"/>
  <c r="AB332" i="6"/>
  <c r="AB66" i="6"/>
  <c r="AB438" i="6"/>
  <c r="AB314" i="6"/>
  <c r="AB370" i="6"/>
  <c r="AB57" i="6"/>
  <c r="AB137" i="6"/>
  <c r="AB216" i="6"/>
  <c r="AB356" i="6"/>
  <c r="AB384" i="6"/>
  <c r="AB281" i="6"/>
  <c r="AB408" i="6"/>
  <c r="AB380" i="6"/>
  <c r="AB441" i="6"/>
  <c r="AB298" i="6"/>
  <c r="AB452" i="6"/>
  <c r="AB451" i="6"/>
  <c r="AB40" i="6"/>
  <c r="AB251" i="6"/>
  <c r="AB159" i="6"/>
  <c r="AB338" i="6"/>
  <c r="AB200" i="6"/>
  <c r="AB439" i="6"/>
  <c r="AB317" i="6"/>
  <c r="AB389" i="6"/>
  <c r="AB316" i="6"/>
  <c r="AB330" i="6"/>
  <c r="AB459" i="6"/>
  <c r="AB36" i="6"/>
  <c r="AB19" i="6"/>
  <c r="AB228" i="6"/>
  <c r="AB243" i="6"/>
  <c r="AB300" i="6"/>
  <c r="AB315" i="6"/>
  <c r="AB462" i="6"/>
  <c r="AB291" i="6"/>
  <c r="AB337" i="6"/>
  <c r="AB20" i="6"/>
  <c r="AB396" i="6"/>
  <c r="AB212" i="6"/>
  <c r="AB227" i="6"/>
  <c r="AB284" i="6"/>
  <c r="AB299" i="6"/>
  <c r="AB38" i="6"/>
  <c r="AB320" i="6"/>
  <c r="AB196" i="6"/>
  <c r="AB268" i="6"/>
  <c r="AB283" i="6"/>
  <c r="AB455" i="6"/>
  <c r="AB180" i="6"/>
  <c r="AB116" i="6"/>
  <c r="AB134" i="6"/>
  <c r="AB91" i="6"/>
  <c r="AB256" i="6"/>
  <c r="AB118" i="6"/>
  <c r="AB74" i="6"/>
  <c r="AB170" i="6"/>
  <c r="AB429" i="6"/>
  <c r="AB203" i="6"/>
  <c r="AB323" i="6"/>
  <c r="AB22" i="6"/>
  <c r="AB129" i="6"/>
  <c r="AB306" i="6"/>
  <c r="AB390" i="6"/>
  <c r="AB178" i="6"/>
  <c r="AB195" i="6"/>
  <c r="AB131" i="6"/>
  <c r="AB267" i="6"/>
  <c r="AB211" i="6"/>
  <c r="AB280" i="6"/>
  <c r="AB443" i="6"/>
  <c r="AB230" i="6"/>
  <c r="AB26" i="6"/>
  <c r="AB342" i="6"/>
  <c r="AB58" i="6"/>
  <c r="AB252" i="6"/>
  <c r="AB362" i="6"/>
  <c r="AB185" i="6"/>
  <c r="AB308" i="6"/>
  <c r="AB352" i="6"/>
  <c r="AB151" i="6"/>
  <c r="AB290" i="6"/>
  <c r="AB289" i="6"/>
  <c r="AB456" i="6"/>
  <c r="AB177" i="6"/>
  <c r="AB194" i="6"/>
  <c r="AB123" i="6"/>
  <c r="AA5" i="6"/>
  <c r="AB343" i="6"/>
  <c r="AB400" i="6"/>
  <c r="AB334" i="6"/>
  <c r="AB50" i="6"/>
  <c r="AB297" i="6"/>
  <c r="AB240" i="6"/>
  <c r="AB138" i="6"/>
  <c r="AB271" i="6"/>
  <c r="AB264" i="6"/>
  <c r="AB376" i="6"/>
  <c r="AB115" i="6"/>
  <c r="AB124" i="6"/>
  <c r="AB372" i="6"/>
  <c r="AB224" i="6"/>
  <c r="AB326" i="6"/>
  <c r="AB25" i="6"/>
  <c r="AB236" i="6"/>
  <c r="AB450" i="6"/>
  <c r="AB152" i="6"/>
  <c r="AB292" i="6"/>
  <c r="AB275" i="6"/>
  <c r="AB249" i="6"/>
  <c r="AB274" i="6"/>
  <c r="AB273" i="6"/>
  <c r="AB399" i="6"/>
  <c r="AB81" i="6"/>
  <c r="AB176" i="6"/>
  <c r="AB140" i="6"/>
  <c r="AB259" i="6"/>
  <c r="AB371" i="6"/>
  <c r="AB206" i="6"/>
  <c r="AB141" i="6"/>
  <c r="AB254" i="6"/>
  <c r="AB464" i="6"/>
  <c r="AB34" i="6"/>
  <c r="AB223" i="6"/>
  <c r="AB444" i="6"/>
  <c r="AB208" i="6"/>
  <c r="AB295" i="6"/>
  <c r="AB363" i="6"/>
  <c r="AB220" i="6"/>
  <c r="AB426" i="6"/>
  <c r="AB88" i="6"/>
  <c r="AB276" i="6"/>
  <c r="AB172" i="6"/>
  <c r="AB233" i="6"/>
  <c r="AB258" i="6"/>
  <c r="AB257" i="6"/>
  <c r="AB465" i="6"/>
  <c r="AB386" i="6"/>
  <c r="AB80" i="6"/>
  <c r="AB96" i="6"/>
  <c r="AB449" i="6"/>
  <c r="AB373" i="6"/>
  <c r="AB374" i="6"/>
  <c r="AB375" i="6"/>
  <c r="AB181" i="6"/>
  <c r="AB333" i="6"/>
  <c r="AB65" i="6"/>
  <c r="AB285" i="6"/>
  <c r="AB15" i="6"/>
  <c r="AB148" i="6"/>
  <c r="AB378" i="6"/>
  <c r="AB241" i="6"/>
  <c r="AB94" i="6"/>
  <c r="AB48" i="6"/>
  <c r="AB269" i="6"/>
  <c r="AB388" i="6"/>
  <c r="AB171" i="6"/>
  <c r="AB447" i="6"/>
  <c r="AB225" i="6"/>
  <c r="AB93" i="6"/>
  <c r="AB32" i="6"/>
  <c r="AB139" i="6"/>
  <c r="AB393" i="6"/>
  <c r="AB117" i="6"/>
  <c r="AB387" i="6"/>
  <c r="AB209" i="6"/>
  <c r="AB92" i="6"/>
  <c r="AB70" i="6"/>
  <c r="AB121" i="6"/>
  <c r="AB336" i="6"/>
  <c r="AB68" i="6"/>
  <c r="AB286" i="6"/>
  <c r="AB16" i="6"/>
  <c r="AB156" i="6"/>
  <c r="AB382" i="6"/>
  <c r="AB242" i="6"/>
  <c r="AB458" i="6"/>
  <c r="AB193" i="6"/>
  <c r="AB37" i="6"/>
  <c r="AB319" i="6"/>
  <c r="AB51" i="6"/>
  <c r="AB270" i="6"/>
  <c r="AB392" i="6"/>
  <c r="AB226" i="6"/>
  <c r="AB434" i="6"/>
  <c r="AB175" i="6"/>
  <c r="AB184" i="6"/>
  <c r="AB354" i="6"/>
  <c r="AB143" i="6"/>
  <c r="AB112" i="6"/>
  <c r="AB83" i="6"/>
  <c r="AB272" i="6"/>
  <c r="AB454" i="6"/>
  <c r="AB327" i="6"/>
  <c r="AB179" i="6"/>
  <c r="AB415" i="6"/>
  <c r="AB173" i="6"/>
  <c r="AB457" i="6"/>
  <c r="AB192" i="6"/>
  <c r="AB311" i="6"/>
  <c r="AB41" i="6"/>
  <c r="AB122" i="6"/>
  <c r="AB353" i="6"/>
  <c r="AB235" i="6"/>
  <c r="AB424" i="6"/>
  <c r="AB144" i="6"/>
  <c r="AB446" i="6"/>
  <c r="AB406" i="6"/>
  <c r="AB164" i="6"/>
  <c r="AB305" i="6"/>
  <c r="AB35" i="6"/>
  <c r="AB147" i="6"/>
  <c r="AB8" i="6"/>
  <c r="AB125" i="6"/>
  <c r="AB391" i="6"/>
  <c r="AB210" i="6"/>
  <c r="AB377" i="6"/>
  <c r="AB95" i="6"/>
  <c r="AB5" i="6" l="1"/>
</calcChain>
</file>

<file path=xl/sharedStrings.xml><?xml version="1.0" encoding="utf-8"?>
<sst xmlns="http://schemas.openxmlformats.org/spreadsheetml/2006/main" count="4568" uniqueCount="2011">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</sst>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8"/>
  <sheetViews>
    <sheetView tabSelected="1" zoomScaleNormal="100" workbookViewId="0">
      <pane ySplit="7" topLeftCell="A224" activePane="bottomLeft" state="frozen"/>
      <selection pane="bottomLeft" activeCell="N246" sqref="N246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80</v>
      </c>
      <c r="G3" s="5">
        <f>+AF6</f>
        <v>79</v>
      </c>
      <c r="H3" s="5">
        <f>+E3-G3</f>
        <v>31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326</v>
      </c>
      <c r="F4" s="7">
        <f>+AE6</f>
        <v>137</v>
      </c>
      <c r="G4" s="7">
        <f>+AG6</f>
        <v>120</v>
      </c>
      <c r="H4" s="5">
        <f>+E4-G4</f>
        <v>206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217</v>
      </c>
      <c r="G5" s="8">
        <f>+G3+G4</f>
        <v>199</v>
      </c>
      <c r="H5" s="8">
        <f>+H3+H4</f>
        <v>237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SUM(S8:S2421)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SUM(AD8:AD1690)</f>
        <v>80</v>
      </c>
      <c r="AE6" s="1">
        <f t="shared" si="1"/>
        <v>137</v>
      </c>
      <c r="AF6" s="1">
        <f t="shared" si="1"/>
        <v>79</v>
      </c>
      <c r="AG6" s="1">
        <f t="shared" si="1"/>
        <v>120</v>
      </c>
      <c r="AH6" s="1">
        <f t="shared" si="1"/>
        <v>110</v>
      </c>
      <c r="AI6" s="1">
        <f t="shared" si="1"/>
        <v>326</v>
      </c>
    </row>
    <row r="7" spans="1:36" s="31" customFormat="1" ht="14.25" customHeight="1" x14ac:dyDescent="0.25">
      <c r="A7" s="27" t="s">
        <v>1375</v>
      </c>
      <c r="B7" s="27" t="s">
        <v>1376</v>
      </c>
      <c r="C7" s="27" t="s">
        <v>1377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1378</v>
      </c>
      <c r="K7" s="27" t="s">
        <v>1637</v>
      </c>
      <c r="L7" s="27" t="s">
        <v>17</v>
      </c>
      <c r="M7" s="32" t="s">
        <v>1379</v>
      </c>
      <c r="N7" s="28" t="s">
        <v>0</v>
      </c>
      <c r="O7" s="18" t="s">
        <v>1</v>
      </c>
      <c r="P7" s="18" t="s">
        <v>2</v>
      </c>
      <c r="Q7" s="32" t="s">
        <v>1885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1739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2" si="3">+O8*P8*(1-A8)</f>
        <v>0</v>
      </c>
      <c r="AG8" s="1">
        <f t="shared" ref="AG8:AG72" si="4">O8*(1-P8)*(1-A8)</f>
        <v>0</v>
      </c>
      <c r="AH8" s="1">
        <f t="shared" ref="AH8:AH72" si="5">+P8*(1-A8)</f>
        <v>0</v>
      </c>
      <c r="AI8" s="1">
        <f t="shared" ref="AI8:AI72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1595</v>
      </c>
      <c r="E9" s="35" t="s">
        <v>172</v>
      </c>
      <c r="F9" s="35" t="s">
        <v>1545</v>
      </c>
      <c r="G9" s="35" t="s">
        <v>39</v>
      </c>
      <c r="H9" s="35" t="s">
        <v>364</v>
      </c>
      <c r="I9" s="34" t="s">
        <v>1546</v>
      </c>
      <c r="J9" s="34">
        <v>99</v>
      </c>
      <c r="K9" s="36" t="s">
        <v>968</v>
      </c>
      <c r="L9" s="36" t="s">
        <v>1705</v>
      </c>
      <c r="M9" s="37" t="s">
        <v>1383</v>
      </c>
      <c r="N9" s="37" t="s">
        <v>1731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1706</v>
      </c>
      <c r="M10" s="50" t="s">
        <v>1380</v>
      </c>
      <c r="N10" s="50" t="s">
        <v>1751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1381</v>
      </c>
      <c r="N11" s="50" t="s">
        <v>1806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1709</v>
      </c>
      <c r="M12" s="50" t="s">
        <v>1123</v>
      </c>
      <c r="N12" s="50" t="s">
        <v>1740</v>
      </c>
      <c r="O12" s="51"/>
      <c r="P12" s="51"/>
      <c r="Q12" s="48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4" si="17">+O12*P12</f>
        <v>0</v>
      </c>
      <c r="AE12" s="1">
        <f t="shared" ref="AE12:AE74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1710</v>
      </c>
      <c r="M13" s="50" t="s">
        <v>1123</v>
      </c>
      <c r="N13" s="50" t="s">
        <v>1740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1297</v>
      </c>
      <c r="G14" s="48" t="s">
        <v>241</v>
      </c>
      <c r="H14" s="48" t="s">
        <v>355</v>
      </c>
      <c r="I14" s="47" t="s">
        <v>1364</v>
      </c>
      <c r="J14" s="47">
        <v>1</v>
      </c>
      <c r="K14" s="49" t="s">
        <v>964</v>
      </c>
      <c r="L14" s="49" t="s">
        <v>1712</v>
      </c>
      <c r="M14" s="50" t="s">
        <v>1382</v>
      </c>
      <c r="N14" s="50" t="s">
        <v>1743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1710</v>
      </c>
      <c r="M15" s="50" t="s">
        <v>1123</v>
      </c>
      <c r="N15" s="50" t="s">
        <v>1751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1702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1718</v>
      </c>
      <c r="M17" s="50" t="s">
        <v>1383</v>
      </c>
      <c r="N17" s="50" t="s">
        <v>1745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1383</v>
      </c>
      <c r="N18" s="50" t="s">
        <v>1806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1813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1897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1170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1710</v>
      </c>
      <c r="M23" s="37" t="s">
        <v>1123</v>
      </c>
      <c r="N23" s="37" t="s">
        <v>1747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1592</v>
      </c>
      <c r="E24" s="42" t="s">
        <v>172</v>
      </c>
      <c r="F24" s="42" t="s">
        <v>1593</v>
      </c>
      <c r="G24" s="42" t="s">
        <v>214</v>
      </c>
      <c r="H24" s="42" t="s">
        <v>355</v>
      </c>
      <c r="I24" s="41" t="s">
        <v>1594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1753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1719</v>
      </c>
      <c r="M27" s="50" t="s">
        <v>1384</v>
      </c>
      <c r="N27" s="50" t="s">
        <v>1740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1737</v>
      </c>
      <c r="O28" s="38">
        <v>1</v>
      </c>
      <c r="P28" s="38">
        <v>1</v>
      </c>
      <c r="Q28" s="35" t="s">
        <v>1916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1714</v>
      </c>
      <c r="M29" s="37" t="s">
        <v>1564</v>
      </c>
      <c r="N29" s="37" t="s">
        <v>1760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1385</v>
      </c>
      <c r="N31" s="50" t="s">
        <v>1738</v>
      </c>
      <c r="O31" s="51"/>
      <c r="P31" s="51"/>
      <c r="Q31" s="68" t="s">
        <v>1910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1710</v>
      </c>
      <c r="M32" s="50" t="s">
        <v>1386</v>
      </c>
      <c r="N32" s="50" t="s">
        <v>1741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6" s="2" customFormat="1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1731</v>
      </c>
      <c r="O33" s="38">
        <v>1</v>
      </c>
      <c r="P33" s="38">
        <v>1</v>
      </c>
      <c r="Q33" s="39"/>
      <c r="R33" s="1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C33" s="1"/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  <c r="AJ33" s="1"/>
    </row>
    <row r="34" spans="1:36" s="2" customFormat="1" ht="14.25" customHeight="1" x14ac:dyDescent="0.25">
      <c r="A34" s="34">
        <v>0</v>
      </c>
      <c r="B34" s="34">
        <v>1</v>
      </c>
      <c r="C34" s="34">
        <v>2</v>
      </c>
      <c r="D34" s="39" t="s">
        <v>1553</v>
      </c>
      <c r="E34" s="39" t="s">
        <v>1250</v>
      </c>
      <c r="F34" s="39" t="s">
        <v>1554</v>
      </c>
      <c r="G34" s="39" t="s">
        <v>259</v>
      </c>
      <c r="H34" s="39" t="s">
        <v>355</v>
      </c>
      <c r="I34" s="40" t="s">
        <v>474</v>
      </c>
      <c r="J34" s="34">
        <v>8</v>
      </c>
      <c r="K34" s="36" t="s">
        <v>706</v>
      </c>
      <c r="L34" s="36" t="s">
        <v>693</v>
      </c>
      <c r="M34" s="37" t="s">
        <v>694</v>
      </c>
      <c r="N34" s="37" t="s">
        <v>1793</v>
      </c>
      <c r="O34" s="38">
        <v>1</v>
      </c>
      <c r="P34" s="38"/>
      <c r="Q34" s="39"/>
      <c r="R34" s="1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C34" s="1"/>
      <c r="AD34" s="1">
        <f t="shared" si="17"/>
        <v>0</v>
      </c>
      <c r="AE34" s="1">
        <f t="shared" si="18"/>
        <v>1</v>
      </c>
      <c r="AF34" s="1">
        <f t="shared" si="3"/>
        <v>0</v>
      </c>
      <c r="AG34" s="1">
        <f t="shared" si="4"/>
        <v>1</v>
      </c>
      <c r="AH34" s="1">
        <f t="shared" si="5"/>
        <v>0</v>
      </c>
      <c r="AI34" s="1">
        <f t="shared" si="6"/>
        <v>1</v>
      </c>
      <c r="AJ34" s="1"/>
    </row>
    <row r="35" spans="1:36" ht="14.25" customHeight="1" x14ac:dyDescent="0.25">
      <c r="A35" s="41">
        <v>0</v>
      </c>
      <c r="B35" s="41">
        <v>1</v>
      </c>
      <c r="C35" s="41">
        <v>2</v>
      </c>
      <c r="D35" s="42" t="s">
        <v>1466</v>
      </c>
      <c r="E35" s="42" t="s">
        <v>1468</v>
      </c>
      <c r="F35" s="42" t="s">
        <v>1467</v>
      </c>
      <c r="G35" s="42"/>
      <c r="H35" s="42" t="s">
        <v>1142</v>
      </c>
      <c r="I35" s="41" t="s">
        <v>1469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1924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6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1387</v>
      </c>
      <c r="N36" s="50" t="s">
        <v>1751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6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1872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1806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6" ht="14.25" customHeight="1" x14ac:dyDescent="0.25">
      <c r="A38" s="34">
        <v>0</v>
      </c>
      <c r="B38" s="34">
        <v>1</v>
      </c>
      <c r="C38" s="34">
        <v>2</v>
      </c>
      <c r="D38" s="39" t="s">
        <v>1766</v>
      </c>
      <c r="E38" s="39" t="s">
        <v>156</v>
      </c>
      <c r="F38" s="39" t="s">
        <v>1767</v>
      </c>
      <c r="G38" s="39"/>
      <c r="H38" s="39" t="s">
        <v>1768</v>
      </c>
      <c r="I38" s="40" t="s">
        <v>1769</v>
      </c>
      <c r="J38" s="34">
        <v>18</v>
      </c>
      <c r="K38" s="36" t="s">
        <v>707</v>
      </c>
      <c r="L38" s="36">
        <v>55</v>
      </c>
      <c r="M38" s="37" t="s">
        <v>1481</v>
      </c>
      <c r="N38" s="37" t="s">
        <v>1737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6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1707</v>
      </c>
      <c r="M39" s="37" t="s">
        <v>1386</v>
      </c>
      <c r="N39" s="37" t="s">
        <v>1752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6" ht="14.25" customHeight="1" x14ac:dyDescent="0.25">
      <c r="A40" s="34">
        <v>0</v>
      </c>
      <c r="B40" s="34">
        <v>1</v>
      </c>
      <c r="C40" s="34">
        <v>2</v>
      </c>
      <c r="D40" s="39" t="s">
        <v>1755</v>
      </c>
      <c r="E40" s="39" t="s">
        <v>1756</v>
      </c>
      <c r="F40" s="39" t="s">
        <v>1757</v>
      </c>
      <c r="G40" s="39" t="s">
        <v>322</v>
      </c>
      <c r="H40" s="39" t="s">
        <v>355</v>
      </c>
      <c r="I40" s="40" t="s">
        <v>1758</v>
      </c>
      <c r="J40" s="34">
        <v>99</v>
      </c>
      <c r="K40" s="36" t="s">
        <v>707</v>
      </c>
      <c r="L40" s="36"/>
      <c r="M40" s="37"/>
      <c r="N40" s="37" t="s">
        <v>1737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6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1704</v>
      </c>
      <c r="M41" s="50" t="s">
        <v>1381</v>
      </c>
      <c r="N41" s="50" t="s">
        <v>1741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6" ht="14.25" customHeight="1" x14ac:dyDescent="0.25">
      <c r="A42" s="34">
        <v>0</v>
      </c>
      <c r="B42" s="34">
        <v>1</v>
      </c>
      <c r="C42" s="34">
        <v>2</v>
      </c>
      <c r="D42" s="39" t="s">
        <v>1516</v>
      </c>
      <c r="E42" s="39" t="s">
        <v>176</v>
      </c>
      <c r="F42" s="39" t="s">
        <v>1664</v>
      </c>
      <c r="G42" s="39" t="s">
        <v>1518</v>
      </c>
      <c r="H42" s="39" t="s">
        <v>355</v>
      </c>
      <c r="I42" s="40" t="s">
        <v>1517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1731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6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1708</v>
      </c>
      <c r="M43" s="37" t="s">
        <v>1388</v>
      </c>
      <c r="N43" s="37" t="s">
        <v>1829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6" ht="14.25" customHeight="1" x14ac:dyDescent="0.25">
      <c r="A44" s="47">
        <v>0</v>
      </c>
      <c r="B44" s="47">
        <v>1</v>
      </c>
      <c r="C44" s="47">
        <v>2</v>
      </c>
      <c r="D44" s="48" t="s">
        <v>1819</v>
      </c>
      <c r="E44" s="48" t="s">
        <v>176</v>
      </c>
      <c r="F44" s="48" t="s">
        <v>1820</v>
      </c>
      <c r="G44" s="48" t="s">
        <v>195</v>
      </c>
      <c r="H44" s="48" t="s">
        <v>355</v>
      </c>
      <c r="I44" s="47" t="s">
        <v>1821</v>
      </c>
      <c r="J44" s="47">
        <v>9</v>
      </c>
      <c r="K44" s="49" t="s">
        <v>707</v>
      </c>
      <c r="L44" s="49">
        <v>60</v>
      </c>
      <c r="M44" s="50" t="s">
        <v>1822</v>
      </c>
      <c r="N44" s="50" t="s">
        <v>1813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6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1883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1742</v>
      </c>
      <c r="O45" s="51"/>
      <c r="P45" s="51"/>
      <c r="Q45" s="68" t="s">
        <v>1911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6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1737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6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1703</v>
      </c>
      <c r="M47" s="50" t="s">
        <v>1123</v>
      </c>
      <c r="N47" s="50" t="s">
        <v>1806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6" ht="14.25" customHeight="1" x14ac:dyDescent="0.25">
      <c r="A48" s="41">
        <v>0</v>
      </c>
      <c r="B48" s="41">
        <v>1</v>
      </c>
      <c r="C48" s="41">
        <v>2</v>
      </c>
      <c r="D48" s="42" t="s">
        <v>1639</v>
      </c>
      <c r="E48" s="42" t="s">
        <v>175</v>
      </c>
      <c r="F48" s="42" t="s">
        <v>1665</v>
      </c>
      <c r="G48" s="42" t="s">
        <v>252</v>
      </c>
      <c r="H48" s="42" t="s">
        <v>355</v>
      </c>
      <c r="I48" s="41" t="s">
        <v>1567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1535</v>
      </c>
      <c r="E49" s="48" t="s">
        <v>1653</v>
      </c>
      <c r="F49" s="48" t="s">
        <v>1536</v>
      </c>
      <c r="G49" s="48" t="s">
        <v>201</v>
      </c>
      <c r="H49" s="48" t="s">
        <v>355</v>
      </c>
      <c r="I49" s="47" t="s">
        <v>1537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1744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1471</v>
      </c>
      <c r="E50" s="48" t="s">
        <v>1654</v>
      </c>
      <c r="F50" s="48" t="s">
        <v>1470</v>
      </c>
      <c r="G50" s="48" t="s">
        <v>221</v>
      </c>
      <c r="H50" s="48" t="s">
        <v>355</v>
      </c>
      <c r="I50" s="47" t="s">
        <v>1691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1741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1950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1475</v>
      </c>
      <c r="E52" s="16"/>
      <c r="F52" s="16" t="s">
        <v>1476</v>
      </c>
      <c r="G52" s="16" t="s">
        <v>1477</v>
      </c>
      <c r="H52" s="16" t="s">
        <v>355</v>
      </c>
      <c r="I52" s="15" t="s">
        <v>1478</v>
      </c>
      <c r="J52" s="15">
        <v>99</v>
      </c>
      <c r="K52" s="10" t="s">
        <v>707</v>
      </c>
      <c r="L52" s="10">
        <v>35</v>
      </c>
      <c r="M52" s="19" t="s">
        <v>1483</v>
      </c>
      <c r="N52" s="19"/>
      <c r="Q52" s="16"/>
      <c r="S52" s="1">
        <f t="shared" ref="S52:S54" si="19">IF(J52=$S$7,1,0)</f>
        <v>0</v>
      </c>
      <c r="T52" s="1">
        <f t="shared" ref="T52:T54" si="20">IF(J52=$T$7,1,0)</f>
        <v>0</v>
      </c>
      <c r="U52" s="1">
        <f t="shared" ref="U52:U54" si="21">IF(J52=$U$7,1,0)</f>
        <v>0</v>
      </c>
      <c r="V52" s="1">
        <f t="shared" ref="V52:V54" si="22">IF(J52=$V$7,1,0)</f>
        <v>0</v>
      </c>
      <c r="W52" s="1">
        <f t="shared" ref="W52:W54" si="23">IF(J52=$W$7,1,0)</f>
        <v>0</v>
      </c>
      <c r="X52" s="1">
        <f t="shared" ref="X52:X54" si="24">IF(J52=$X$7,1,0)</f>
        <v>0</v>
      </c>
      <c r="Y52" s="1">
        <f t="shared" ref="Y52:Y54" si="25">IF(J52=$Y$7,1,0)</f>
        <v>0</v>
      </c>
      <c r="Z52" s="1">
        <f t="shared" ref="Z52:Z54" si="26">IF(J52=$Z$7,1,0)</f>
        <v>0</v>
      </c>
      <c r="AA52" s="1">
        <f t="shared" ref="AA52:AA54" si="27">IF(J52=$AA$7,1,0)</f>
        <v>0</v>
      </c>
      <c r="AB52" s="1">
        <f t="shared" ref="AB52:AB54" si="28">IF(J52=$AB$7,1,0)</f>
        <v>0</v>
      </c>
      <c r="AD52" s="1">
        <f t="shared" ref="AD52:AD54" si="29">+O52*P52</f>
        <v>0</v>
      </c>
      <c r="AE52" s="1">
        <f t="shared" ref="AE52:AE54" si="30">O52*(1-P52)</f>
        <v>0</v>
      </c>
      <c r="AF52" s="1">
        <f t="shared" ref="AF52:AF54" si="31">+O52*P52*(1-A52)</f>
        <v>0</v>
      </c>
      <c r="AG52" s="1">
        <f t="shared" ref="AG52:AG54" si="32">O52*(1-P52)*(1-A52)</f>
        <v>0</v>
      </c>
      <c r="AH52" s="1">
        <f t="shared" ref="AH52:AH54" si="33">+P52*(1-A52)</f>
        <v>0</v>
      </c>
      <c r="AI52" s="1">
        <f t="shared" ref="AI52:AI54" si="34">+(1-A52)*(1-P52)</f>
        <v>1</v>
      </c>
    </row>
    <row r="53" spans="1:35" ht="14.25" customHeight="1" x14ac:dyDescent="0.25">
      <c r="A53" s="41">
        <v>0</v>
      </c>
      <c r="B53" s="41">
        <v>1</v>
      </c>
      <c r="C53" s="41">
        <v>2</v>
      </c>
      <c r="D53" s="42" t="s">
        <v>2006</v>
      </c>
      <c r="E53" s="57" t="s">
        <v>176</v>
      </c>
      <c r="F53" s="42" t="s">
        <v>2007</v>
      </c>
      <c r="G53" s="42" t="s">
        <v>2008</v>
      </c>
      <c r="H53" s="42" t="s">
        <v>355</v>
      </c>
      <c r="I53" s="41" t="s">
        <v>2009</v>
      </c>
      <c r="J53" s="41">
        <v>99</v>
      </c>
      <c r="K53" s="43" t="s">
        <v>707</v>
      </c>
      <c r="L53" s="43"/>
      <c r="M53" s="44"/>
      <c r="N53" s="45"/>
      <c r="O53" s="46"/>
      <c r="P53" s="46">
        <v>1</v>
      </c>
      <c r="Q53" s="42" t="s">
        <v>2010</v>
      </c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1</v>
      </c>
      <c r="AI53" s="1">
        <f t="shared" si="34"/>
        <v>0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122</v>
      </c>
      <c r="E54" s="48" t="s">
        <v>176</v>
      </c>
      <c r="F54" s="48" t="s">
        <v>658</v>
      </c>
      <c r="G54" s="48" t="s">
        <v>39</v>
      </c>
      <c r="H54" s="48" t="s">
        <v>372</v>
      </c>
      <c r="I54" s="47" t="s">
        <v>470</v>
      </c>
      <c r="J54" s="47">
        <v>11</v>
      </c>
      <c r="K54" s="49" t="s">
        <v>707</v>
      </c>
      <c r="L54" s="49">
        <v>40</v>
      </c>
      <c r="M54" s="50" t="s">
        <v>695</v>
      </c>
      <c r="N54" s="50" t="s">
        <v>1806</v>
      </c>
      <c r="O54" s="51"/>
      <c r="P54" s="51"/>
      <c r="Q54" s="48"/>
      <c r="S54" s="1">
        <f t="shared" si="19"/>
        <v>0</v>
      </c>
      <c r="T54" s="1">
        <f t="shared" si="20"/>
        <v>0</v>
      </c>
      <c r="U54" s="1">
        <f t="shared" si="21"/>
        <v>0</v>
      </c>
      <c r="V54" s="1">
        <f t="shared" si="22"/>
        <v>0</v>
      </c>
      <c r="W54" s="1">
        <f t="shared" si="23"/>
        <v>0</v>
      </c>
      <c r="X54" s="1">
        <f t="shared" si="24"/>
        <v>0</v>
      </c>
      <c r="Y54" s="1">
        <f t="shared" si="25"/>
        <v>0</v>
      </c>
      <c r="Z54" s="1">
        <f t="shared" si="26"/>
        <v>0</v>
      </c>
      <c r="AA54" s="1">
        <f t="shared" si="27"/>
        <v>0</v>
      </c>
      <c r="AB54" s="1">
        <f t="shared" si="28"/>
        <v>0</v>
      </c>
      <c r="AD54" s="1">
        <f t="shared" si="29"/>
        <v>0</v>
      </c>
      <c r="AE54" s="1">
        <f t="shared" si="30"/>
        <v>0</v>
      </c>
      <c r="AF54" s="1">
        <f t="shared" si="31"/>
        <v>0</v>
      </c>
      <c r="AG54" s="1">
        <f t="shared" si="32"/>
        <v>0</v>
      </c>
      <c r="AH54" s="1">
        <f t="shared" si="33"/>
        <v>0</v>
      </c>
      <c r="AI54" s="1">
        <f t="shared" si="34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1058</v>
      </c>
      <c r="E55" s="48" t="s">
        <v>176</v>
      </c>
      <c r="F55" s="48" t="s">
        <v>1059</v>
      </c>
      <c r="G55" s="48" t="s">
        <v>1060</v>
      </c>
      <c r="H55" s="48" t="s">
        <v>355</v>
      </c>
      <c r="I55" s="47" t="s">
        <v>1061</v>
      </c>
      <c r="J55" s="47">
        <v>1</v>
      </c>
      <c r="K55" s="49" t="s">
        <v>726</v>
      </c>
      <c r="L55" s="49" t="s">
        <v>690</v>
      </c>
      <c r="M55" s="50" t="s">
        <v>1123</v>
      </c>
      <c r="N55" s="50" t="s">
        <v>1744</v>
      </c>
      <c r="O55" s="51"/>
      <c r="P55" s="51"/>
      <c r="Q55" s="68" t="s">
        <v>1914</v>
      </c>
      <c r="S55" s="1">
        <f t="shared" si="7"/>
        <v>1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1643</v>
      </c>
      <c r="E56" s="48" t="s">
        <v>176</v>
      </c>
      <c r="F56" s="48" t="s">
        <v>1669</v>
      </c>
      <c r="G56" s="48" t="s">
        <v>1670</v>
      </c>
      <c r="H56" s="48" t="s">
        <v>355</v>
      </c>
      <c r="I56" s="47" t="s">
        <v>1482</v>
      </c>
      <c r="J56" s="47">
        <v>99</v>
      </c>
      <c r="K56" s="49" t="s">
        <v>706</v>
      </c>
      <c r="L56" s="49">
        <v>45</v>
      </c>
      <c r="M56" s="50" t="s">
        <v>39</v>
      </c>
      <c r="N56" s="50" t="s">
        <v>1745</v>
      </c>
      <c r="O56" s="51"/>
      <c r="P56" s="51"/>
      <c r="Q56" s="48"/>
      <c r="S56" s="1">
        <f t="shared" si="7"/>
        <v>0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47">
        <v>0</v>
      </c>
      <c r="B57" s="47">
        <v>1</v>
      </c>
      <c r="C57" s="47">
        <v>2</v>
      </c>
      <c r="D57" s="48" t="s">
        <v>649</v>
      </c>
      <c r="E57" s="48" t="s">
        <v>176</v>
      </c>
      <c r="F57" s="48" t="s">
        <v>604</v>
      </c>
      <c r="G57" s="48" t="s">
        <v>597</v>
      </c>
      <c r="H57" s="48" t="s">
        <v>355</v>
      </c>
      <c r="I57" s="47" t="s">
        <v>680</v>
      </c>
      <c r="J57" s="47">
        <v>1</v>
      </c>
      <c r="K57" s="49" t="s">
        <v>706</v>
      </c>
      <c r="L57" s="49" t="s">
        <v>1704</v>
      </c>
      <c r="M57" s="50" t="s">
        <v>1389</v>
      </c>
      <c r="N57" s="50" t="s">
        <v>1739</v>
      </c>
      <c r="O57" s="51"/>
      <c r="P57" s="51"/>
      <c r="Q57" s="48"/>
      <c r="S57" s="1">
        <f t="shared" si="7"/>
        <v>1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1194</v>
      </c>
      <c r="E58" s="16" t="s">
        <v>175</v>
      </c>
      <c r="F58" s="16" t="s">
        <v>1195</v>
      </c>
      <c r="G58" s="16" t="s">
        <v>39</v>
      </c>
      <c r="H58" s="16" t="s">
        <v>1197</v>
      </c>
      <c r="I58" s="15" t="s">
        <v>1196</v>
      </c>
      <c r="J58" s="15">
        <v>17</v>
      </c>
      <c r="K58" s="10" t="s">
        <v>707</v>
      </c>
      <c r="L58" s="10" t="s">
        <v>1390</v>
      </c>
      <c r="M58" s="19" t="s">
        <v>1391</v>
      </c>
      <c r="N58" s="17"/>
      <c r="Q58" s="16" t="s">
        <v>1890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1205</v>
      </c>
      <c r="E59" s="16" t="s">
        <v>175</v>
      </c>
      <c r="F59" s="16" t="s">
        <v>1206</v>
      </c>
      <c r="G59" s="16" t="s">
        <v>39</v>
      </c>
      <c r="H59" s="16" t="s">
        <v>1207</v>
      </c>
      <c r="I59" s="15" t="s">
        <v>1208</v>
      </c>
      <c r="J59" s="15">
        <v>18</v>
      </c>
      <c r="K59" s="10" t="s">
        <v>961</v>
      </c>
      <c r="L59" s="10" t="s">
        <v>699</v>
      </c>
      <c r="M59" s="19" t="s">
        <v>974</v>
      </c>
      <c r="N59" s="17"/>
      <c r="Q59" s="16" t="s">
        <v>1889</v>
      </c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1033</v>
      </c>
      <c r="E60" s="16" t="s">
        <v>176</v>
      </c>
      <c r="F60" s="16" t="s">
        <v>1035</v>
      </c>
      <c r="G60" s="16" t="s">
        <v>39</v>
      </c>
      <c r="H60" s="16" t="s">
        <v>366</v>
      </c>
      <c r="I60" s="15" t="s">
        <v>1034</v>
      </c>
      <c r="J60" s="15">
        <v>18</v>
      </c>
      <c r="K60" s="10" t="s">
        <v>706</v>
      </c>
      <c r="L60" s="10" t="s">
        <v>1145</v>
      </c>
      <c r="M60" s="19" t="s">
        <v>695</v>
      </c>
      <c r="N60" s="17"/>
      <c r="Q60" s="16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0</v>
      </c>
      <c r="AE60" s="1">
        <f t="shared" si="18"/>
        <v>0</v>
      </c>
      <c r="AF60" s="1">
        <f t="shared" si="3"/>
        <v>0</v>
      </c>
      <c r="AG60" s="1">
        <f t="shared" si="4"/>
        <v>0</v>
      </c>
      <c r="AH60" s="1">
        <f t="shared" si="5"/>
        <v>0</v>
      </c>
      <c r="AI60" s="1">
        <f t="shared" si="6"/>
        <v>1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1596</v>
      </c>
      <c r="E61" s="35" t="s">
        <v>176</v>
      </c>
      <c r="F61" s="35" t="s">
        <v>1597</v>
      </c>
      <c r="G61" s="35" t="s">
        <v>1598</v>
      </c>
      <c r="H61" s="35" t="s">
        <v>355</v>
      </c>
      <c r="I61" s="34" t="s">
        <v>1491</v>
      </c>
      <c r="J61" s="34">
        <v>99</v>
      </c>
      <c r="K61" s="36" t="s">
        <v>706</v>
      </c>
      <c r="L61" s="36" t="s">
        <v>39</v>
      </c>
      <c r="M61" s="37" t="s">
        <v>39</v>
      </c>
      <c r="N61" s="37" t="s">
        <v>1731</v>
      </c>
      <c r="O61" s="38">
        <v>1</v>
      </c>
      <c r="P61" s="38">
        <v>1</v>
      </c>
      <c r="Q61" s="35"/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4">
        <v>0</v>
      </c>
      <c r="B62" s="34">
        <v>1</v>
      </c>
      <c r="C62" s="34">
        <v>2</v>
      </c>
      <c r="D62" s="35" t="s">
        <v>1624</v>
      </c>
      <c r="E62" s="35" t="s">
        <v>171</v>
      </c>
      <c r="F62" s="35" t="s">
        <v>1625</v>
      </c>
      <c r="G62" s="35" t="s">
        <v>39</v>
      </c>
      <c r="H62" s="35" t="s">
        <v>356</v>
      </c>
      <c r="I62" s="34" t="s">
        <v>1626</v>
      </c>
      <c r="J62" s="34">
        <v>11</v>
      </c>
      <c r="K62" s="36" t="s">
        <v>961</v>
      </c>
      <c r="L62" s="36" t="s">
        <v>39</v>
      </c>
      <c r="M62" s="37" t="s">
        <v>39</v>
      </c>
      <c r="N62" s="37" t="s">
        <v>1731</v>
      </c>
      <c r="O62" s="38">
        <v>1</v>
      </c>
      <c r="P62" s="38">
        <v>1</v>
      </c>
      <c r="Q62" s="39" t="s">
        <v>1909</v>
      </c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1621</v>
      </c>
      <c r="E63" s="42" t="s">
        <v>175</v>
      </c>
      <c r="F63" s="42" t="s">
        <v>1622</v>
      </c>
      <c r="G63" s="42" t="s">
        <v>1487</v>
      </c>
      <c r="H63" s="42" t="s">
        <v>355</v>
      </c>
      <c r="I63" s="41" t="s">
        <v>1623</v>
      </c>
      <c r="J63" s="41">
        <v>99</v>
      </c>
      <c r="K63" s="43" t="s">
        <v>966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41">
        <v>0</v>
      </c>
      <c r="B64" s="41">
        <v>1</v>
      </c>
      <c r="C64" s="41">
        <v>2</v>
      </c>
      <c r="D64" s="42" t="s">
        <v>571</v>
      </c>
      <c r="E64" s="42" t="s">
        <v>581</v>
      </c>
      <c r="F64" s="42" t="s">
        <v>560</v>
      </c>
      <c r="G64" s="42" t="s">
        <v>263</v>
      </c>
      <c r="H64" s="42" t="s">
        <v>355</v>
      </c>
      <c r="I64" s="41" t="s">
        <v>561</v>
      </c>
      <c r="J64" s="41">
        <v>99</v>
      </c>
      <c r="K64" s="43" t="s">
        <v>960</v>
      </c>
      <c r="L64" s="43" t="s">
        <v>39</v>
      </c>
      <c r="M64" s="44" t="s">
        <v>39</v>
      </c>
      <c r="N64" s="45"/>
      <c r="O64" s="46"/>
      <c r="P64" s="46">
        <v>1</v>
      </c>
      <c r="Q64" s="4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0</v>
      </c>
      <c r="AF64" s="1">
        <f t="shared" si="3"/>
        <v>0</v>
      </c>
      <c r="AG64" s="1">
        <f t="shared" si="4"/>
        <v>0</v>
      </c>
      <c r="AH64" s="1">
        <f t="shared" si="5"/>
        <v>1</v>
      </c>
      <c r="AI64" s="1">
        <f t="shared" si="6"/>
        <v>0</v>
      </c>
    </row>
    <row r="65" spans="1:36" s="2" customFormat="1" ht="14.25" customHeight="1" x14ac:dyDescent="0.25">
      <c r="A65" s="34">
        <v>0</v>
      </c>
      <c r="B65" s="34">
        <v>1</v>
      </c>
      <c r="C65" s="34">
        <v>2</v>
      </c>
      <c r="D65" s="35" t="s">
        <v>803</v>
      </c>
      <c r="E65" s="35" t="s">
        <v>175</v>
      </c>
      <c r="F65" s="35" t="s">
        <v>805</v>
      </c>
      <c r="G65" s="35" t="s">
        <v>39</v>
      </c>
      <c r="H65" s="35" t="s">
        <v>804</v>
      </c>
      <c r="I65" s="34" t="s">
        <v>806</v>
      </c>
      <c r="J65" s="34">
        <v>14</v>
      </c>
      <c r="K65" s="36" t="s">
        <v>968</v>
      </c>
      <c r="L65" s="36" t="s">
        <v>1710</v>
      </c>
      <c r="M65" s="37" t="s">
        <v>1383</v>
      </c>
      <c r="N65" s="37" t="s">
        <v>1753</v>
      </c>
      <c r="O65" s="38">
        <v>1</v>
      </c>
      <c r="P65" s="38"/>
      <c r="Q65" s="35"/>
      <c r="R65" s="1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C65" s="1"/>
      <c r="AD65" s="1">
        <f t="shared" si="17"/>
        <v>0</v>
      </c>
      <c r="AE65" s="1">
        <f t="shared" si="18"/>
        <v>1</v>
      </c>
      <c r="AF65" s="1">
        <f t="shared" si="3"/>
        <v>0</v>
      </c>
      <c r="AG65" s="1">
        <f t="shared" si="4"/>
        <v>1</v>
      </c>
      <c r="AH65" s="1">
        <f t="shared" si="5"/>
        <v>0</v>
      </c>
      <c r="AI65" s="1">
        <f t="shared" si="6"/>
        <v>1</v>
      </c>
      <c r="AJ65" s="1"/>
    </row>
    <row r="66" spans="1:36" s="2" customFormat="1" ht="14.25" customHeight="1" x14ac:dyDescent="0.25">
      <c r="A66" s="15">
        <v>0</v>
      </c>
      <c r="B66" s="15">
        <v>1</v>
      </c>
      <c r="C66" s="15">
        <v>2</v>
      </c>
      <c r="D66" s="16" t="s">
        <v>1326</v>
      </c>
      <c r="E66" s="16" t="s">
        <v>176</v>
      </c>
      <c r="F66" s="16" t="s">
        <v>1350</v>
      </c>
      <c r="G66" s="16" t="s">
        <v>39</v>
      </c>
      <c r="H66" s="16" t="s">
        <v>364</v>
      </c>
      <c r="I66" s="15" t="s">
        <v>1146</v>
      </c>
      <c r="J66" s="15">
        <v>14</v>
      </c>
      <c r="K66" s="10" t="s">
        <v>726</v>
      </c>
      <c r="L66" s="10" t="s">
        <v>1703</v>
      </c>
      <c r="M66" s="19" t="s">
        <v>976</v>
      </c>
      <c r="N66" s="17"/>
      <c r="O66" s="1"/>
      <c r="P66" s="1"/>
      <c r="Q66" s="16"/>
      <c r="R66" s="1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C66" s="1"/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  <c r="AJ66" s="1"/>
    </row>
    <row r="67" spans="1:36" s="2" customFormat="1" ht="14.25" customHeight="1" x14ac:dyDescent="0.25">
      <c r="A67" s="47">
        <v>0</v>
      </c>
      <c r="B67" s="47">
        <v>1</v>
      </c>
      <c r="C67" s="47">
        <v>2</v>
      </c>
      <c r="D67" s="48" t="s">
        <v>1519</v>
      </c>
      <c r="E67" s="48" t="s">
        <v>171</v>
      </c>
      <c r="F67" s="48" t="s">
        <v>1521</v>
      </c>
      <c r="G67" s="48" t="s">
        <v>1169</v>
      </c>
      <c r="H67" s="48" t="s">
        <v>355</v>
      </c>
      <c r="I67" s="47" t="s">
        <v>1520</v>
      </c>
      <c r="J67" s="47">
        <v>11</v>
      </c>
      <c r="K67" s="49" t="s">
        <v>726</v>
      </c>
      <c r="L67" s="49">
        <v>50</v>
      </c>
      <c r="M67" s="50" t="s">
        <v>39</v>
      </c>
      <c r="N67" s="50" t="s">
        <v>1813</v>
      </c>
      <c r="O67" s="51"/>
      <c r="P67" s="51"/>
      <c r="Q67" s="48"/>
      <c r="R67" s="1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C67" s="1"/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  <c r="AJ67" s="1"/>
    </row>
    <row r="68" spans="1:36" s="2" customFormat="1" ht="14.25" customHeight="1" x14ac:dyDescent="0.25">
      <c r="A68" s="47">
        <v>0</v>
      </c>
      <c r="B68" s="47">
        <v>1</v>
      </c>
      <c r="C68" s="47">
        <v>2</v>
      </c>
      <c r="D68" s="48" t="s">
        <v>1141</v>
      </c>
      <c r="E68" s="48" t="s">
        <v>176</v>
      </c>
      <c r="F68" s="48" t="s">
        <v>1144</v>
      </c>
      <c r="G68" s="48" t="s">
        <v>39</v>
      </c>
      <c r="H68" s="48" t="s">
        <v>1142</v>
      </c>
      <c r="I68" s="47" t="s">
        <v>1143</v>
      </c>
      <c r="J68" s="47">
        <v>12</v>
      </c>
      <c r="K68" s="49" t="s">
        <v>707</v>
      </c>
      <c r="L68" s="49">
        <v>50</v>
      </c>
      <c r="M68" s="50" t="s">
        <v>39</v>
      </c>
      <c r="N68" s="50" t="s">
        <v>1738</v>
      </c>
      <c r="O68" s="51"/>
      <c r="P68" s="51"/>
      <c r="Q68" s="48"/>
      <c r="R68" s="1"/>
      <c r="S68" s="1">
        <f t="shared" si="7"/>
        <v>0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C68" s="1"/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0</v>
      </c>
      <c r="AI68" s="1">
        <f t="shared" si="6"/>
        <v>1</v>
      </c>
      <c r="AJ68" s="1"/>
    </row>
    <row r="69" spans="1:36" s="2" customFormat="1" ht="14.25" customHeight="1" x14ac:dyDescent="0.25">
      <c r="A69" s="60">
        <v>0</v>
      </c>
      <c r="B69" s="60">
        <v>1</v>
      </c>
      <c r="C69" s="60">
        <v>2</v>
      </c>
      <c r="D69" s="61" t="s">
        <v>155</v>
      </c>
      <c r="E69" s="61" t="s">
        <v>172</v>
      </c>
      <c r="F69" s="61" t="s">
        <v>939</v>
      </c>
      <c r="G69" s="61" t="s">
        <v>187</v>
      </c>
      <c r="H69" s="61" t="s">
        <v>355</v>
      </c>
      <c r="I69" s="60" t="s">
        <v>503</v>
      </c>
      <c r="J69" s="60">
        <v>1</v>
      </c>
      <c r="K69" s="62" t="s">
        <v>964</v>
      </c>
      <c r="L69" s="62" t="s">
        <v>39</v>
      </c>
      <c r="M69" s="63" t="s">
        <v>39</v>
      </c>
      <c r="N69" s="64"/>
      <c r="O69" s="65"/>
      <c r="P69" s="65">
        <v>1</v>
      </c>
      <c r="Q69" s="61"/>
      <c r="R69" s="1"/>
      <c r="S69" s="1">
        <f t="shared" si="7"/>
        <v>1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C69" s="1"/>
      <c r="AD69" s="1">
        <f t="shared" si="17"/>
        <v>0</v>
      </c>
      <c r="AE69" s="1">
        <f t="shared" si="18"/>
        <v>0</v>
      </c>
      <c r="AF69" s="1">
        <f t="shared" si="3"/>
        <v>0</v>
      </c>
      <c r="AG69" s="1">
        <f t="shared" si="4"/>
        <v>0</v>
      </c>
      <c r="AH69" s="1">
        <f t="shared" si="5"/>
        <v>1</v>
      </c>
      <c r="AI69" s="1">
        <f t="shared" si="6"/>
        <v>0</v>
      </c>
      <c r="AJ69" s="1"/>
    </row>
    <row r="70" spans="1:36" s="2" customFormat="1" ht="14.25" customHeight="1" x14ac:dyDescent="0.25">
      <c r="A70" s="34">
        <v>0</v>
      </c>
      <c r="B70" s="34">
        <v>1</v>
      </c>
      <c r="C70" s="34">
        <v>2</v>
      </c>
      <c r="D70" s="35" t="s">
        <v>1451</v>
      </c>
      <c r="E70" s="35" t="s">
        <v>176</v>
      </c>
      <c r="F70" s="35" t="s">
        <v>1448</v>
      </c>
      <c r="G70" s="35" t="s">
        <v>39</v>
      </c>
      <c r="H70" s="35" t="s">
        <v>355</v>
      </c>
      <c r="I70" s="34" t="s">
        <v>1449</v>
      </c>
      <c r="J70" s="34">
        <v>99</v>
      </c>
      <c r="K70" s="36" t="s">
        <v>706</v>
      </c>
      <c r="L70" s="36" t="s">
        <v>693</v>
      </c>
      <c r="M70" s="37" t="s">
        <v>1450</v>
      </c>
      <c r="N70" s="37" t="s">
        <v>1731</v>
      </c>
      <c r="O70" s="38">
        <v>1</v>
      </c>
      <c r="P70" s="38">
        <v>1</v>
      </c>
      <c r="Q70" s="35"/>
      <c r="R70" s="1"/>
      <c r="S70" s="1">
        <f t="shared" si="7"/>
        <v>0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C70" s="1"/>
      <c r="AD70" s="1">
        <f t="shared" si="17"/>
        <v>1</v>
      </c>
      <c r="AE70" s="1">
        <f t="shared" si="18"/>
        <v>0</v>
      </c>
      <c r="AF70" s="1">
        <f t="shared" si="3"/>
        <v>1</v>
      </c>
      <c r="AG70" s="1">
        <f t="shared" si="4"/>
        <v>0</v>
      </c>
      <c r="AH70" s="1">
        <f t="shared" si="5"/>
        <v>1</v>
      </c>
      <c r="AI70" s="1">
        <f t="shared" si="6"/>
        <v>0</v>
      </c>
      <c r="AJ70" s="1"/>
    </row>
    <row r="71" spans="1:36" s="2" customFormat="1" ht="14.25" customHeight="1" x14ac:dyDescent="0.25">
      <c r="A71" s="41">
        <v>0</v>
      </c>
      <c r="B71" s="41">
        <v>1</v>
      </c>
      <c r="C71" s="41">
        <v>2</v>
      </c>
      <c r="D71" s="57" t="s">
        <v>819</v>
      </c>
      <c r="E71" s="42" t="s">
        <v>176</v>
      </c>
      <c r="F71" s="42" t="s">
        <v>940</v>
      </c>
      <c r="G71" s="42" t="s">
        <v>214</v>
      </c>
      <c r="H71" s="42" t="s">
        <v>355</v>
      </c>
      <c r="I71" s="41" t="s">
        <v>820</v>
      </c>
      <c r="J71" s="41">
        <v>1</v>
      </c>
      <c r="K71" s="43" t="s">
        <v>960</v>
      </c>
      <c r="L71" s="43" t="s">
        <v>39</v>
      </c>
      <c r="M71" s="44" t="s">
        <v>39</v>
      </c>
      <c r="N71" s="45"/>
      <c r="O71" s="46"/>
      <c r="P71" s="46">
        <v>1</v>
      </c>
      <c r="Q71" s="42"/>
      <c r="R71" s="1"/>
      <c r="S71" s="1">
        <f t="shared" si="7"/>
        <v>1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C71" s="1"/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1</v>
      </c>
      <c r="AI71" s="1">
        <f t="shared" si="6"/>
        <v>0</v>
      </c>
      <c r="AJ71" s="1"/>
    </row>
    <row r="72" spans="1:36" s="2" customFormat="1" ht="14.25" customHeight="1" x14ac:dyDescent="0.25">
      <c r="A72" s="34">
        <v>0</v>
      </c>
      <c r="B72" s="34">
        <v>1</v>
      </c>
      <c r="C72" s="34">
        <v>2</v>
      </c>
      <c r="D72" s="35" t="s">
        <v>1327</v>
      </c>
      <c r="E72" s="35" t="s">
        <v>176</v>
      </c>
      <c r="F72" s="35" t="s">
        <v>1130</v>
      </c>
      <c r="G72" s="35" t="s">
        <v>39</v>
      </c>
      <c r="H72" s="35" t="s">
        <v>1129</v>
      </c>
      <c r="I72" s="34" t="s">
        <v>1128</v>
      </c>
      <c r="J72" s="34">
        <v>15</v>
      </c>
      <c r="K72" s="36" t="s">
        <v>961</v>
      </c>
      <c r="L72" s="36">
        <v>75</v>
      </c>
      <c r="M72" s="37" t="s">
        <v>1392</v>
      </c>
      <c r="N72" s="37" t="s">
        <v>1737</v>
      </c>
      <c r="O72" s="38">
        <v>1</v>
      </c>
      <c r="P72" s="38">
        <v>1</v>
      </c>
      <c r="Q72" s="35" t="s">
        <v>1991</v>
      </c>
      <c r="R72" s="1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C72" s="1"/>
      <c r="AD72" s="1">
        <f t="shared" si="17"/>
        <v>1</v>
      </c>
      <c r="AE72" s="1">
        <f t="shared" si="18"/>
        <v>0</v>
      </c>
      <c r="AF72" s="1">
        <f t="shared" si="3"/>
        <v>1</v>
      </c>
      <c r="AG72" s="1">
        <f t="shared" si="4"/>
        <v>0</v>
      </c>
      <c r="AH72" s="1">
        <f t="shared" si="5"/>
        <v>1</v>
      </c>
      <c r="AI72" s="1">
        <f t="shared" si="6"/>
        <v>0</v>
      </c>
      <c r="AJ72" s="1"/>
    </row>
    <row r="73" spans="1:36" s="2" customFormat="1" ht="14.25" customHeight="1" x14ac:dyDescent="0.25">
      <c r="A73" s="34">
        <v>0</v>
      </c>
      <c r="B73" s="34">
        <v>1</v>
      </c>
      <c r="C73" s="34">
        <v>2</v>
      </c>
      <c r="D73" s="35" t="s">
        <v>1051</v>
      </c>
      <c r="E73" s="35" t="s">
        <v>175</v>
      </c>
      <c r="F73" s="35" t="s">
        <v>1052</v>
      </c>
      <c r="G73" s="35" t="s">
        <v>630</v>
      </c>
      <c r="H73" s="35" t="s">
        <v>355</v>
      </c>
      <c r="I73" s="34" t="s">
        <v>1053</v>
      </c>
      <c r="J73" s="34">
        <v>99</v>
      </c>
      <c r="K73" s="36" t="s">
        <v>706</v>
      </c>
      <c r="L73" s="36" t="s">
        <v>39</v>
      </c>
      <c r="M73" s="37" t="s">
        <v>39</v>
      </c>
      <c r="N73" s="37" t="s">
        <v>1737</v>
      </c>
      <c r="O73" s="38">
        <v>1</v>
      </c>
      <c r="P73" s="38">
        <v>1</v>
      </c>
      <c r="Q73" s="35"/>
      <c r="R73" s="1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C73" s="1"/>
      <c r="AD73" s="1">
        <f t="shared" si="17"/>
        <v>1</v>
      </c>
      <c r="AE73" s="1">
        <f t="shared" si="18"/>
        <v>0</v>
      </c>
      <c r="AF73" s="1">
        <f t="shared" ref="AF73:AF137" si="35">+O73*P73*(1-A73)</f>
        <v>1</v>
      </c>
      <c r="AG73" s="1">
        <f t="shared" ref="AG73:AG137" si="36">O73*(1-P73)*(1-A73)</f>
        <v>0</v>
      </c>
      <c r="AH73" s="1">
        <f t="shared" ref="AH73:AH137" si="37">+P73*(1-A73)</f>
        <v>1</v>
      </c>
      <c r="AI73" s="1">
        <f t="shared" ref="AI73:AI137" si="38">+(1-A73)*(1-P73)</f>
        <v>0</v>
      </c>
      <c r="AJ73" s="1"/>
    </row>
    <row r="74" spans="1:36" s="2" customFormat="1" ht="14.25" customHeight="1" x14ac:dyDescent="0.25">
      <c r="A74" s="47">
        <v>0</v>
      </c>
      <c r="B74" s="47">
        <v>1</v>
      </c>
      <c r="C74" s="47">
        <v>2</v>
      </c>
      <c r="D74" s="48" t="s">
        <v>586</v>
      </c>
      <c r="E74" s="48" t="s">
        <v>175</v>
      </c>
      <c r="F74" s="48" t="s">
        <v>588</v>
      </c>
      <c r="G74" s="48" t="s">
        <v>39</v>
      </c>
      <c r="H74" s="48" t="s">
        <v>589</v>
      </c>
      <c r="I74" s="47" t="s">
        <v>590</v>
      </c>
      <c r="J74" s="47">
        <v>12</v>
      </c>
      <c r="K74" s="49" t="s">
        <v>964</v>
      </c>
      <c r="L74" s="49" t="s">
        <v>1716</v>
      </c>
      <c r="M74" s="50" t="s">
        <v>1383</v>
      </c>
      <c r="N74" s="50" t="s">
        <v>1742</v>
      </c>
      <c r="O74" s="51"/>
      <c r="P74" s="51"/>
      <c r="Q74" s="48"/>
      <c r="R74" s="1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C74" s="1"/>
      <c r="AD74" s="1">
        <f t="shared" si="17"/>
        <v>0</v>
      </c>
      <c r="AE74" s="1">
        <f t="shared" si="18"/>
        <v>0</v>
      </c>
      <c r="AF74" s="1">
        <f t="shared" si="35"/>
        <v>0</v>
      </c>
      <c r="AG74" s="1">
        <f t="shared" si="36"/>
        <v>0</v>
      </c>
      <c r="AH74" s="1">
        <f t="shared" si="37"/>
        <v>0</v>
      </c>
      <c r="AI74" s="1">
        <f t="shared" si="38"/>
        <v>1</v>
      </c>
      <c r="AJ74" s="1"/>
    </row>
    <row r="75" spans="1:36" s="2" customFormat="1" ht="14.25" customHeight="1" x14ac:dyDescent="0.25">
      <c r="A75" s="34">
        <v>0</v>
      </c>
      <c r="B75" s="34">
        <v>1</v>
      </c>
      <c r="C75" s="34">
        <v>2</v>
      </c>
      <c r="D75" s="35" t="s">
        <v>1846</v>
      </c>
      <c r="E75" s="35" t="s">
        <v>175</v>
      </c>
      <c r="F75" s="35" t="s">
        <v>1847</v>
      </c>
      <c r="G75" s="35"/>
      <c r="H75" s="35" t="s">
        <v>1848</v>
      </c>
      <c r="I75" s="34" t="s">
        <v>1849</v>
      </c>
      <c r="J75" s="34">
        <v>14</v>
      </c>
      <c r="K75" s="36" t="s">
        <v>707</v>
      </c>
      <c r="L75" s="36">
        <v>75</v>
      </c>
      <c r="M75" s="37" t="s">
        <v>975</v>
      </c>
      <c r="N75" s="37" t="s">
        <v>1747</v>
      </c>
      <c r="O75" s="38">
        <v>1</v>
      </c>
      <c r="P75" s="38"/>
      <c r="Q75" s="35"/>
      <c r="R75" s="1"/>
      <c r="S75" s="1">
        <f t="shared" ref="S75:S76" si="39">IF(J75=$S$7,1,0)</f>
        <v>0</v>
      </c>
      <c r="T75" s="1">
        <f t="shared" ref="T75:T76" si="40">IF(J75=$T$7,1,0)</f>
        <v>0</v>
      </c>
      <c r="U75" s="1">
        <f t="shared" ref="U75:U76" si="41">IF(J75=$U$7,1,0)</f>
        <v>0</v>
      </c>
      <c r="V75" s="1">
        <f t="shared" ref="V75:V76" si="42">IF(J75=$V$7,1,0)</f>
        <v>0</v>
      </c>
      <c r="W75" s="1">
        <f t="shared" ref="W75:W76" si="43">IF(J75=$W$7,1,0)</f>
        <v>0</v>
      </c>
      <c r="X75" s="1">
        <f t="shared" ref="X75:X76" si="44">IF(J75=$X$7,1,0)</f>
        <v>0</v>
      </c>
      <c r="Y75" s="1">
        <f t="shared" ref="Y75:Y76" si="45">IF(J75=$Y$7,1,0)</f>
        <v>0</v>
      </c>
      <c r="Z75" s="1">
        <f t="shared" ref="Z75:Z76" si="46">IF(J75=$Z$7,1,0)</f>
        <v>0</v>
      </c>
      <c r="AA75" s="1">
        <f t="shared" ref="AA75:AA76" si="47">IF(J75=$AA$7,1,0)</f>
        <v>0</v>
      </c>
      <c r="AB75" s="1">
        <f t="shared" ref="AB75:AB76" si="48">IF(J75=$AB$7,1,0)</f>
        <v>0</v>
      </c>
      <c r="AC75" s="1"/>
      <c r="AD75" s="1">
        <f t="shared" ref="AD75:AD76" si="49">+O75*P75</f>
        <v>0</v>
      </c>
      <c r="AE75" s="1">
        <f t="shared" ref="AE75:AE76" si="50">O75*(1-P75)</f>
        <v>1</v>
      </c>
      <c r="AF75" s="1">
        <f t="shared" si="35"/>
        <v>0</v>
      </c>
      <c r="AG75" s="1">
        <f t="shared" si="36"/>
        <v>1</v>
      </c>
      <c r="AH75" s="1">
        <f t="shared" si="37"/>
        <v>0</v>
      </c>
      <c r="AI75" s="1">
        <f t="shared" si="38"/>
        <v>1</v>
      </c>
      <c r="AJ75" s="1"/>
    </row>
    <row r="76" spans="1:36" s="2" customFormat="1" ht="14.25" customHeight="1" x14ac:dyDescent="0.25">
      <c r="A76" s="34">
        <v>0</v>
      </c>
      <c r="B76" s="34">
        <v>1</v>
      </c>
      <c r="C76" s="34">
        <v>2</v>
      </c>
      <c r="D76" s="39" t="s">
        <v>1728</v>
      </c>
      <c r="E76" s="35" t="s">
        <v>176</v>
      </c>
      <c r="F76" s="39" t="s">
        <v>1729</v>
      </c>
      <c r="G76" s="39" t="s">
        <v>208</v>
      </c>
      <c r="H76" s="39" t="s">
        <v>355</v>
      </c>
      <c r="I76" s="40" t="s">
        <v>1730</v>
      </c>
      <c r="J76" s="34"/>
      <c r="K76" s="36" t="s">
        <v>707</v>
      </c>
      <c r="L76" s="36"/>
      <c r="M76" s="37"/>
      <c r="N76" s="37" t="s">
        <v>1731</v>
      </c>
      <c r="O76" s="38">
        <v>1</v>
      </c>
      <c r="P76" s="38">
        <v>1</v>
      </c>
      <c r="Q76" s="39"/>
      <c r="R76" s="1"/>
      <c r="S76" s="1">
        <f t="shared" si="39"/>
        <v>0</v>
      </c>
      <c r="T76" s="1">
        <f t="shared" si="40"/>
        <v>0</v>
      </c>
      <c r="U76" s="1">
        <f t="shared" si="41"/>
        <v>0</v>
      </c>
      <c r="V76" s="1">
        <f t="shared" si="42"/>
        <v>0</v>
      </c>
      <c r="W76" s="1">
        <f t="shared" si="43"/>
        <v>0</v>
      </c>
      <c r="X76" s="1">
        <f t="shared" si="44"/>
        <v>0</v>
      </c>
      <c r="Y76" s="1">
        <f t="shared" si="45"/>
        <v>0</v>
      </c>
      <c r="Z76" s="1">
        <f t="shared" si="46"/>
        <v>0</v>
      </c>
      <c r="AA76" s="1">
        <f t="shared" si="47"/>
        <v>0</v>
      </c>
      <c r="AB76" s="1">
        <f t="shared" si="48"/>
        <v>0</v>
      </c>
      <c r="AC76" s="1"/>
      <c r="AD76" s="1">
        <f t="shared" si="49"/>
        <v>1</v>
      </c>
      <c r="AE76" s="1">
        <f t="shared" si="50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  <c r="AJ76" s="1"/>
    </row>
    <row r="77" spans="1:36" s="2" customFormat="1" ht="14.25" customHeight="1" x14ac:dyDescent="0.25">
      <c r="A77" s="34">
        <v>0</v>
      </c>
      <c r="B77" s="34">
        <v>1</v>
      </c>
      <c r="C77" s="34">
        <v>2</v>
      </c>
      <c r="D77" s="39" t="s">
        <v>1062</v>
      </c>
      <c r="E77" s="35" t="s">
        <v>176</v>
      </c>
      <c r="F77" s="39" t="s">
        <v>1101</v>
      </c>
      <c r="G77" s="39" t="s">
        <v>39</v>
      </c>
      <c r="H77" s="39" t="s">
        <v>1063</v>
      </c>
      <c r="I77" s="40" t="s">
        <v>1165</v>
      </c>
      <c r="J77" s="34">
        <v>13</v>
      </c>
      <c r="K77" s="36" t="s">
        <v>706</v>
      </c>
      <c r="L77" s="36" t="s">
        <v>693</v>
      </c>
      <c r="M77" s="37" t="s">
        <v>1445</v>
      </c>
      <c r="N77" s="37" t="s">
        <v>1753</v>
      </c>
      <c r="O77" s="38">
        <v>1</v>
      </c>
      <c r="P77" s="38"/>
      <c r="Q77" s="39"/>
      <c r="R77" s="1"/>
      <c r="S77" s="1">
        <f t="shared" ref="S77:S142" si="51">IF(J77=$S$7,1,0)</f>
        <v>0</v>
      </c>
      <c r="T77" s="1">
        <f t="shared" ref="T77:T142" si="52">IF(J77=$T$7,1,0)</f>
        <v>0</v>
      </c>
      <c r="U77" s="1">
        <f t="shared" ref="U77:U142" si="53">IF(J77=$U$7,1,0)</f>
        <v>0</v>
      </c>
      <c r="V77" s="1">
        <f t="shared" ref="V77:V142" si="54">IF(J77=$V$7,1,0)</f>
        <v>0</v>
      </c>
      <c r="W77" s="1">
        <f t="shared" ref="W77:W142" si="55">IF(J77=$W$7,1,0)</f>
        <v>0</v>
      </c>
      <c r="X77" s="1">
        <f t="shared" ref="X77:X142" si="56">IF(J77=$X$7,1,0)</f>
        <v>0</v>
      </c>
      <c r="Y77" s="1">
        <f t="shared" ref="Y77:Y142" si="57">IF(J77=$Y$7,1,0)</f>
        <v>0</v>
      </c>
      <c r="Z77" s="1">
        <f t="shared" ref="Z77:Z142" si="58">IF(J77=$Z$7,1,0)</f>
        <v>0</v>
      </c>
      <c r="AA77" s="1">
        <f t="shared" ref="AA77:AA142" si="59">IF(J77=$AA$7,1,0)</f>
        <v>0</v>
      </c>
      <c r="AB77" s="1">
        <f t="shared" ref="AB77:AB142" si="60">IF(J77=$AB$7,1,0)</f>
        <v>0</v>
      </c>
      <c r="AC77" s="1"/>
      <c r="AD77" s="1">
        <f t="shared" ref="AD77:AD142" si="61">+O77*P77</f>
        <v>0</v>
      </c>
      <c r="AE77" s="1">
        <f t="shared" ref="AE77:AE142" si="62">O77*(1-P77)</f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  <c r="AJ77" s="1"/>
    </row>
    <row r="78" spans="1:36" s="2" customFormat="1" ht="14.25" customHeight="1" x14ac:dyDescent="0.25">
      <c r="A78" s="34">
        <v>0</v>
      </c>
      <c r="B78" s="34">
        <v>1</v>
      </c>
      <c r="C78" s="34">
        <v>2</v>
      </c>
      <c r="D78" s="39" t="s">
        <v>1599</v>
      </c>
      <c r="E78" s="35" t="s">
        <v>176</v>
      </c>
      <c r="F78" s="39" t="s">
        <v>1600</v>
      </c>
      <c r="G78" s="39" t="s">
        <v>236</v>
      </c>
      <c r="H78" s="39" t="s">
        <v>355</v>
      </c>
      <c r="I78" s="40" t="s">
        <v>1601</v>
      </c>
      <c r="J78" s="34">
        <v>99</v>
      </c>
      <c r="K78" s="36" t="s">
        <v>960</v>
      </c>
      <c r="L78" s="36">
        <v>45</v>
      </c>
      <c r="M78" s="37" t="s">
        <v>39</v>
      </c>
      <c r="N78" s="37" t="s">
        <v>1793</v>
      </c>
      <c r="O78" s="38">
        <v>1</v>
      </c>
      <c r="P78" s="38"/>
      <c r="Q78" s="39"/>
      <c r="R78" s="1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C78" s="1"/>
      <c r="AD78" s="1">
        <f t="shared" si="61"/>
        <v>0</v>
      </c>
      <c r="AE78" s="1">
        <f t="shared" si="62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  <c r="AJ78" s="1"/>
    </row>
    <row r="79" spans="1:36" s="2" customFormat="1" ht="14.25" customHeight="1" x14ac:dyDescent="0.25">
      <c r="A79" s="41">
        <v>0</v>
      </c>
      <c r="B79" s="41">
        <v>1</v>
      </c>
      <c r="C79" s="41">
        <v>2</v>
      </c>
      <c r="D79" s="57" t="s">
        <v>1329</v>
      </c>
      <c r="E79" s="42" t="s">
        <v>175</v>
      </c>
      <c r="F79" s="42" t="s">
        <v>1272</v>
      </c>
      <c r="G79" s="42" t="s">
        <v>208</v>
      </c>
      <c r="H79" s="42" t="s">
        <v>355</v>
      </c>
      <c r="I79" s="41" t="s">
        <v>1273</v>
      </c>
      <c r="J79" s="41">
        <v>99</v>
      </c>
      <c r="K79" s="43" t="s">
        <v>966</v>
      </c>
      <c r="L79" s="43" t="s">
        <v>39</v>
      </c>
      <c r="M79" s="44" t="s">
        <v>39</v>
      </c>
      <c r="N79" s="45"/>
      <c r="O79" s="46"/>
      <c r="P79" s="46">
        <v>1</v>
      </c>
      <c r="Q79" s="42"/>
      <c r="R79" s="1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C79" s="1"/>
      <c r="AD79" s="1">
        <f t="shared" si="61"/>
        <v>0</v>
      </c>
      <c r="AE79" s="1">
        <f t="shared" si="62"/>
        <v>0</v>
      </c>
      <c r="AF79" s="1">
        <f t="shared" si="35"/>
        <v>0</v>
      </c>
      <c r="AG79" s="1">
        <f t="shared" si="36"/>
        <v>0</v>
      </c>
      <c r="AH79" s="1">
        <f t="shared" si="37"/>
        <v>1</v>
      </c>
      <c r="AI79" s="1">
        <f t="shared" si="38"/>
        <v>0</v>
      </c>
      <c r="AJ79" s="1"/>
    </row>
    <row r="80" spans="1:36" s="2" customFormat="1" ht="14.25" customHeight="1" x14ac:dyDescent="0.25">
      <c r="A80" s="34">
        <v>0</v>
      </c>
      <c r="B80" s="34">
        <v>1</v>
      </c>
      <c r="C80" s="34">
        <v>3</v>
      </c>
      <c r="D80" s="39" t="s">
        <v>1803</v>
      </c>
      <c r="E80" s="35" t="s">
        <v>171</v>
      </c>
      <c r="F80" s="39" t="s">
        <v>1801</v>
      </c>
      <c r="G80" s="39" t="s">
        <v>233</v>
      </c>
      <c r="H80" s="39" t="s">
        <v>355</v>
      </c>
      <c r="I80" s="40" t="s">
        <v>1802</v>
      </c>
      <c r="J80" s="34">
        <v>99</v>
      </c>
      <c r="K80" s="36" t="s">
        <v>707</v>
      </c>
      <c r="L80" s="36"/>
      <c r="M80" s="37"/>
      <c r="N80" s="37" t="s">
        <v>1731</v>
      </c>
      <c r="O80" s="38">
        <v>1</v>
      </c>
      <c r="P80" s="38">
        <v>1</v>
      </c>
      <c r="Q80" s="39"/>
      <c r="R80" s="1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C80" s="1"/>
      <c r="AD80" s="1">
        <f t="shared" si="61"/>
        <v>1</v>
      </c>
      <c r="AE80" s="1">
        <f t="shared" si="62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  <c r="AJ80" s="1"/>
    </row>
    <row r="81" spans="1:35" ht="14.25" customHeight="1" x14ac:dyDescent="0.25">
      <c r="A81" s="34">
        <v>0</v>
      </c>
      <c r="B81" s="34">
        <v>1</v>
      </c>
      <c r="C81" s="34">
        <v>3</v>
      </c>
      <c r="D81" s="39" t="s">
        <v>1162</v>
      </c>
      <c r="E81" s="35" t="s">
        <v>171</v>
      </c>
      <c r="F81" s="39" t="s">
        <v>1163</v>
      </c>
      <c r="G81" s="39" t="s">
        <v>39</v>
      </c>
      <c r="H81" s="39" t="s">
        <v>1363</v>
      </c>
      <c r="I81" s="40" t="s">
        <v>1164</v>
      </c>
      <c r="J81" s="34">
        <v>11</v>
      </c>
      <c r="K81" s="36" t="s">
        <v>706</v>
      </c>
      <c r="L81" s="36" t="s">
        <v>1703</v>
      </c>
      <c r="M81" s="37" t="s">
        <v>1393</v>
      </c>
      <c r="N81" s="37" t="s">
        <v>1753</v>
      </c>
      <c r="O81" s="38">
        <v>1</v>
      </c>
      <c r="P81" s="38"/>
      <c r="Q81" s="39"/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171</v>
      </c>
      <c r="F82" s="16" t="s">
        <v>578</v>
      </c>
      <c r="G82" s="16" t="s">
        <v>39</v>
      </c>
      <c r="H82" s="16" t="s">
        <v>374</v>
      </c>
      <c r="I82" s="15" t="s">
        <v>472</v>
      </c>
      <c r="J82" s="15">
        <v>18</v>
      </c>
      <c r="K82" s="10" t="s">
        <v>707</v>
      </c>
      <c r="L82" s="10" t="s">
        <v>699</v>
      </c>
      <c r="M82" s="19" t="s">
        <v>695</v>
      </c>
      <c r="N82" s="17"/>
      <c r="Q82" s="20" t="s">
        <v>1886</v>
      </c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0</v>
      </c>
      <c r="AE82" s="1">
        <f t="shared" si="62"/>
        <v>0</v>
      </c>
      <c r="AF82" s="1">
        <f t="shared" si="35"/>
        <v>0</v>
      </c>
      <c r="AG82" s="1">
        <f t="shared" si="36"/>
        <v>0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1014</v>
      </c>
      <c r="E83" s="35" t="s">
        <v>173</v>
      </c>
      <c r="F83" s="39" t="s">
        <v>1015</v>
      </c>
      <c r="G83" s="39" t="s">
        <v>1016</v>
      </c>
      <c r="H83" s="39" t="s">
        <v>355</v>
      </c>
      <c r="I83" s="40" t="s">
        <v>1017</v>
      </c>
      <c r="J83" s="34">
        <v>99</v>
      </c>
      <c r="K83" s="36" t="s">
        <v>960</v>
      </c>
      <c r="L83" s="36" t="s">
        <v>39</v>
      </c>
      <c r="M83" s="37" t="s">
        <v>39</v>
      </c>
      <c r="N83" s="37" t="s">
        <v>1737</v>
      </c>
      <c r="O83" s="38">
        <v>1</v>
      </c>
      <c r="P83" s="38">
        <v>1</v>
      </c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0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1</v>
      </c>
      <c r="AE83" s="1">
        <f t="shared" si="62"/>
        <v>0</v>
      </c>
      <c r="AF83" s="1">
        <f t="shared" si="35"/>
        <v>1</v>
      </c>
      <c r="AG83" s="1">
        <f t="shared" si="36"/>
        <v>0</v>
      </c>
      <c r="AH83" s="1">
        <f t="shared" si="37"/>
        <v>1</v>
      </c>
      <c r="AI83" s="1">
        <f t="shared" si="38"/>
        <v>0</v>
      </c>
    </row>
    <row r="84" spans="1:35" ht="14.25" customHeight="1" x14ac:dyDescent="0.25">
      <c r="A84" s="34">
        <v>0</v>
      </c>
      <c r="B84" s="34">
        <v>1</v>
      </c>
      <c r="C84" s="34">
        <v>3</v>
      </c>
      <c r="D84" s="39" t="s">
        <v>143</v>
      </c>
      <c r="E84" s="35" t="s">
        <v>176</v>
      </c>
      <c r="F84" s="39" t="s">
        <v>345</v>
      </c>
      <c r="G84" s="39" t="s">
        <v>346</v>
      </c>
      <c r="H84" s="39" t="s">
        <v>355</v>
      </c>
      <c r="I84" s="40" t="s">
        <v>492</v>
      </c>
      <c r="J84" s="34">
        <v>6</v>
      </c>
      <c r="K84" s="36" t="s">
        <v>961</v>
      </c>
      <c r="L84" s="36" t="s">
        <v>690</v>
      </c>
      <c r="M84" s="37" t="s">
        <v>695</v>
      </c>
      <c r="N84" s="37" t="s">
        <v>1747</v>
      </c>
      <c r="O84" s="38">
        <v>1</v>
      </c>
      <c r="P84" s="38"/>
      <c r="Q84" s="39"/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1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1</v>
      </c>
      <c r="AF84" s="1">
        <f t="shared" si="35"/>
        <v>0</v>
      </c>
      <c r="AG84" s="1">
        <f t="shared" si="36"/>
        <v>1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1790</v>
      </c>
      <c r="E85" s="16" t="s">
        <v>173</v>
      </c>
      <c r="F85" s="16" t="s">
        <v>1792</v>
      </c>
      <c r="G85" s="16"/>
      <c r="H85" s="16" t="s">
        <v>365</v>
      </c>
      <c r="I85" s="15" t="s">
        <v>1791</v>
      </c>
      <c r="J85" s="15">
        <v>17</v>
      </c>
      <c r="K85" s="10" t="s">
        <v>707</v>
      </c>
      <c r="L85" s="10" t="s">
        <v>1746</v>
      </c>
      <c r="M85" s="19" t="s">
        <v>695</v>
      </c>
      <c r="N85" s="17"/>
      <c r="Q85" s="20" t="s">
        <v>1918</v>
      </c>
      <c r="S85" s="1">
        <f t="shared" si="51"/>
        <v>0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0</v>
      </c>
      <c r="AF85" s="1">
        <f t="shared" si="35"/>
        <v>0</v>
      </c>
      <c r="AG85" s="1">
        <f t="shared" si="36"/>
        <v>0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5" t="s">
        <v>1814</v>
      </c>
      <c r="E86" s="35" t="s">
        <v>173</v>
      </c>
      <c r="F86" s="35" t="s">
        <v>1815</v>
      </c>
      <c r="G86" s="35" t="s">
        <v>1816</v>
      </c>
      <c r="H86" s="35" t="s">
        <v>355</v>
      </c>
      <c r="I86" s="34" t="s">
        <v>1817</v>
      </c>
      <c r="J86" s="34">
        <v>1</v>
      </c>
      <c r="K86" s="36" t="s">
        <v>707</v>
      </c>
      <c r="L86" s="36">
        <v>60</v>
      </c>
      <c r="M86" s="37" t="s">
        <v>1818</v>
      </c>
      <c r="N86" s="37" t="s">
        <v>1853</v>
      </c>
      <c r="O86" s="38">
        <v>1</v>
      </c>
      <c r="P86" s="38"/>
      <c r="Q86" s="35"/>
      <c r="S86" s="1">
        <f t="shared" si="51"/>
        <v>1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0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34">
        <v>0</v>
      </c>
      <c r="B87" s="34">
        <v>1</v>
      </c>
      <c r="C87" s="34">
        <v>3</v>
      </c>
      <c r="D87" s="39" t="s">
        <v>1602</v>
      </c>
      <c r="E87" s="35" t="s">
        <v>176</v>
      </c>
      <c r="F87" s="39" t="s">
        <v>320</v>
      </c>
      <c r="G87" s="39" t="s">
        <v>270</v>
      </c>
      <c r="H87" s="39" t="s">
        <v>355</v>
      </c>
      <c r="I87" s="40" t="s">
        <v>467</v>
      </c>
      <c r="J87" s="34">
        <v>8</v>
      </c>
      <c r="K87" s="36" t="s">
        <v>706</v>
      </c>
      <c r="L87" s="36" t="s">
        <v>693</v>
      </c>
      <c r="M87" s="37" t="s">
        <v>695</v>
      </c>
      <c r="N87" s="37" t="s">
        <v>1759</v>
      </c>
      <c r="O87" s="38">
        <v>1</v>
      </c>
      <c r="P87" s="38"/>
      <c r="Q87" s="39"/>
      <c r="S87" s="1">
        <f t="shared" si="51"/>
        <v>0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1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1</v>
      </c>
      <c r="AF87" s="1">
        <f t="shared" si="35"/>
        <v>0</v>
      </c>
      <c r="AG87" s="1">
        <f t="shared" si="36"/>
        <v>1</v>
      </c>
      <c r="AH87" s="1">
        <f t="shared" si="37"/>
        <v>0</v>
      </c>
      <c r="AI87" s="1">
        <f t="shared" si="38"/>
        <v>1</v>
      </c>
    </row>
    <row r="88" spans="1:35" ht="14.25" customHeight="1" x14ac:dyDescent="0.25">
      <c r="A88" s="41">
        <v>0</v>
      </c>
      <c r="B88" s="41">
        <v>1</v>
      </c>
      <c r="C88" s="41">
        <v>3</v>
      </c>
      <c r="D88" s="42" t="s">
        <v>136</v>
      </c>
      <c r="E88" s="42" t="s">
        <v>173</v>
      </c>
      <c r="F88" s="57" t="s">
        <v>1884</v>
      </c>
      <c r="G88" s="42" t="s">
        <v>241</v>
      </c>
      <c r="H88" s="42" t="s">
        <v>355</v>
      </c>
      <c r="I88" s="41" t="s">
        <v>485</v>
      </c>
      <c r="J88" s="41">
        <v>1</v>
      </c>
      <c r="K88" s="43" t="s">
        <v>960</v>
      </c>
      <c r="L88" s="43" t="s">
        <v>693</v>
      </c>
      <c r="M88" s="44" t="s">
        <v>695</v>
      </c>
      <c r="N88" s="45"/>
      <c r="O88" s="46"/>
      <c r="P88" s="46">
        <v>1</v>
      </c>
      <c r="Q88" s="42"/>
      <c r="S88" s="1">
        <f t="shared" si="51"/>
        <v>1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1</v>
      </c>
      <c r="AI88" s="1">
        <f t="shared" si="38"/>
        <v>0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794</v>
      </c>
      <c r="E89" s="48" t="s">
        <v>612</v>
      </c>
      <c r="F89" s="48" t="s">
        <v>796</v>
      </c>
      <c r="G89" s="48" t="s">
        <v>215</v>
      </c>
      <c r="H89" s="48" t="s">
        <v>355</v>
      </c>
      <c r="I89" s="47" t="s">
        <v>795</v>
      </c>
      <c r="J89" s="47">
        <v>99</v>
      </c>
      <c r="K89" s="49" t="s">
        <v>726</v>
      </c>
      <c r="L89" s="49" t="s">
        <v>1703</v>
      </c>
      <c r="M89" s="50" t="s">
        <v>1394</v>
      </c>
      <c r="N89" s="50" t="s">
        <v>1751</v>
      </c>
      <c r="O89" s="51"/>
      <c r="P89" s="51"/>
      <c r="Q89" s="48"/>
      <c r="S89" s="1">
        <f t="shared" si="51"/>
        <v>0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47">
        <v>0</v>
      </c>
      <c r="B90" s="47">
        <v>1</v>
      </c>
      <c r="C90" s="47">
        <v>3</v>
      </c>
      <c r="D90" s="48" t="s">
        <v>77</v>
      </c>
      <c r="E90" s="48" t="s">
        <v>173</v>
      </c>
      <c r="F90" s="48" t="s">
        <v>268</v>
      </c>
      <c r="G90" s="48" t="s">
        <v>264</v>
      </c>
      <c r="H90" s="48" t="s">
        <v>355</v>
      </c>
      <c r="I90" s="47" t="s">
        <v>425</v>
      </c>
      <c r="J90" s="47">
        <v>1</v>
      </c>
      <c r="K90" s="49" t="s">
        <v>960</v>
      </c>
      <c r="L90" s="49" t="s">
        <v>1703</v>
      </c>
      <c r="M90" s="50" t="s">
        <v>974</v>
      </c>
      <c r="N90" s="50" t="s">
        <v>1739</v>
      </c>
      <c r="O90" s="51"/>
      <c r="P90" s="51"/>
      <c r="Q90" s="48"/>
      <c r="S90" s="1">
        <f t="shared" si="51"/>
        <v>1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1956</v>
      </c>
      <c r="E91" s="20" t="s">
        <v>1987</v>
      </c>
      <c r="F91" s="20" t="s">
        <v>1988</v>
      </c>
      <c r="G91" s="20"/>
      <c r="H91" s="20" t="s">
        <v>1984</v>
      </c>
      <c r="I91" s="21" t="s">
        <v>1989</v>
      </c>
      <c r="J91" s="15">
        <v>18</v>
      </c>
      <c r="K91" s="10" t="s">
        <v>707</v>
      </c>
      <c r="L91" s="10" t="s">
        <v>1746</v>
      </c>
      <c r="M91" s="19" t="s">
        <v>975</v>
      </c>
      <c r="N91" s="17"/>
      <c r="Q91" s="20" t="s">
        <v>1990</v>
      </c>
      <c r="S91" s="1">
        <f t="shared" si="51"/>
        <v>0</v>
      </c>
      <c r="T91" s="1">
        <f t="shared" si="52"/>
        <v>0</v>
      </c>
      <c r="U91" s="1">
        <f t="shared" si="53"/>
        <v>0</v>
      </c>
      <c r="V91" s="1">
        <f t="shared" si="54"/>
        <v>0</v>
      </c>
      <c r="W91" s="1">
        <f t="shared" si="55"/>
        <v>0</v>
      </c>
      <c r="X91" s="1">
        <f t="shared" si="56"/>
        <v>0</v>
      </c>
      <c r="Y91" s="1">
        <f t="shared" si="57"/>
        <v>0</v>
      </c>
      <c r="Z91" s="1">
        <f t="shared" si="58"/>
        <v>0</v>
      </c>
      <c r="AA91" s="1">
        <f t="shared" si="59"/>
        <v>0</v>
      </c>
      <c r="AB91" s="1">
        <f t="shared" si="60"/>
        <v>0</v>
      </c>
      <c r="AD91" s="1">
        <f t="shared" si="61"/>
        <v>0</v>
      </c>
      <c r="AE91" s="1">
        <f t="shared" si="62"/>
        <v>0</v>
      </c>
      <c r="AF91" s="1">
        <f t="shared" si="35"/>
        <v>0</v>
      </c>
      <c r="AG91" s="1">
        <f t="shared" si="36"/>
        <v>0</v>
      </c>
      <c r="AH91" s="1">
        <f t="shared" si="37"/>
        <v>0</v>
      </c>
      <c r="AI91" s="1">
        <f t="shared" si="38"/>
        <v>1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1529</v>
      </c>
      <c r="E92" s="35" t="s">
        <v>177</v>
      </c>
      <c r="F92" s="39" t="s">
        <v>1530</v>
      </c>
      <c r="G92" s="39" t="s">
        <v>39</v>
      </c>
      <c r="H92" s="39" t="s">
        <v>910</v>
      </c>
      <c r="I92" s="40" t="s">
        <v>1531</v>
      </c>
      <c r="J92" s="34">
        <v>11</v>
      </c>
      <c r="K92" s="36" t="s">
        <v>968</v>
      </c>
      <c r="L92" s="36" t="s">
        <v>39</v>
      </c>
      <c r="M92" s="37" t="s">
        <v>39</v>
      </c>
      <c r="N92" s="37" t="s">
        <v>1737</v>
      </c>
      <c r="O92" s="38">
        <v>1</v>
      </c>
      <c r="P92" s="38">
        <v>1</v>
      </c>
      <c r="Q92" s="39"/>
      <c r="S92" s="1">
        <f t="shared" ref="S92:S94" si="63">IF(J92=$S$7,1,0)</f>
        <v>0</v>
      </c>
      <c r="T92" s="1">
        <f t="shared" ref="T92:T94" si="64">IF(J92=$T$7,1,0)</f>
        <v>0</v>
      </c>
      <c r="U92" s="1">
        <f t="shared" ref="U92:U94" si="65">IF(J92=$U$7,1,0)</f>
        <v>0</v>
      </c>
      <c r="V92" s="1">
        <f t="shared" ref="V92:V94" si="66">IF(J92=$V$7,1,0)</f>
        <v>0</v>
      </c>
      <c r="W92" s="1">
        <f t="shared" ref="W92:W94" si="67">IF(J92=$W$7,1,0)</f>
        <v>0</v>
      </c>
      <c r="X92" s="1">
        <f t="shared" ref="X92:X94" si="68">IF(J92=$X$7,1,0)</f>
        <v>0</v>
      </c>
      <c r="Y92" s="1">
        <f t="shared" ref="Y92:Y94" si="69">IF(J92=$Y$7,1,0)</f>
        <v>0</v>
      </c>
      <c r="Z92" s="1">
        <f t="shared" ref="Z92:Z94" si="70">IF(J92=$Z$7,1,0)</f>
        <v>0</v>
      </c>
      <c r="AA92" s="1">
        <f t="shared" ref="AA92:AA94" si="71">IF(J92=$AA$7,1,0)</f>
        <v>0</v>
      </c>
      <c r="AB92" s="1">
        <f t="shared" ref="AB92:AB94" si="72">IF(J92=$AB$7,1,0)</f>
        <v>0</v>
      </c>
      <c r="AD92" s="1">
        <f t="shared" ref="AD92:AD94" si="73">+O92*P92</f>
        <v>1</v>
      </c>
      <c r="AE92" s="1">
        <f t="shared" ref="AE92:AE94" si="74">O92*(1-P92)</f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34">
        <v>0</v>
      </c>
      <c r="B93" s="34">
        <v>1</v>
      </c>
      <c r="C93" s="34">
        <v>3</v>
      </c>
      <c r="D93" s="39" t="s">
        <v>1858</v>
      </c>
      <c r="E93" s="39" t="s">
        <v>173</v>
      </c>
      <c r="F93" s="39" t="s">
        <v>1859</v>
      </c>
      <c r="G93" s="39"/>
      <c r="H93" s="39" t="s">
        <v>1860</v>
      </c>
      <c r="I93" s="40" t="s">
        <v>1861</v>
      </c>
      <c r="J93" s="34">
        <v>15</v>
      </c>
      <c r="K93" s="36" t="s">
        <v>707</v>
      </c>
      <c r="L93" s="36"/>
      <c r="M93" s="37"/>
      <c r="N93" s="37" t="s">
        <v>1737</v>
      </c>
      <c r="O93" s="38">
        <v>1</v>
      </c>
      <c r="P93" s="38">
        <v>1</v>
      </c>
      <c r="Q93" s="39" t="s">
        <v>1896</v>
      </c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1</v>
      </c>
      <c r="AE93" s="1">
        <f t="shared" si="74"/>
        <v>0</v>
      </c>
      <c r="AF93" s="1">
        <f t="shared" si="35"/>
        <v>1</v>
      </c>
      <c r="AG93" s="1">
        <f t="shared" si="36"/>
        <v>0</v>
      </c>
      <c r="AH93" s="1">
        <f t="shared" si="37"/>
        <v>1</v>
      </c>
      <c r="AI93" s="1">
        <f t="shared" si="38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740</v>
      </c>
      <c r="E94" s="16" t="s">
        <v>1335</v>
      </c>
      <c r="F94" s="16" t="s">
        <v>1662</v>
      </c>
      <c r="G94" s="16" t="s">
        <v>39</v>
      </c>
      <c r="H94" s="16" t="s">
        <v>741</v>
      </c>
      <c r="I94" s="15" t="s">
        <v>742</v>
      </c>
      <c r="J94" s="15">
        <v>18</v>
      </c>
      <c r="K94" s="10" t="s">
        <v>706</v>
      </c>
      <c r="L94" s="10" t="s">
        <v>691</v>
      </c>
      <c r="M94" s="19" t="s">
        <v>974</v>
      </c>
      <c r="N94" s="17"/>
      <c r="Q94" s="16"/>
      <c r="S94" s="1">
        <f t="shared" si="63"/>
        <v>0</v>
      </c>
      <c r="T94" s="1">
        <f t="shared" si="64"/>
        <v>0</v>
      </c>
      <c r="U94" s="1">
        <f t="shared" si="65"/>
        <v>0</v>
      </c>
      <c r="V94" s="1">
        <f t="shared" si="66"/>
        <v>0</v>
      </c>
      <c r="W94" s="1">
        <f t="shared" si="67"/>
        <v>0</v>
      </c>
      <c r="X94" s="1">
        <f t="shared" si="68"/>
        <v>0</v>
      </c>
      <c r="Y94" s="1">
        <f t="shared" si="69"/>
        <v>0</v>
      </c>
      <c r="Z94" s="1">
        <f t="shared" si="70"/>
        <v>0</v>
      </c>
      <c r="AA94" s="1">
        <f t="shared" si="71"/>
        <v>0</v>
      </c>
      <c r="AB94" s="1">
        <f t="shared" si="72"/>
        <v>0</v>
      </c>
      <c r="AD94" s="1">
        <f t="shared" si="73"/>
        <v>0</v>
      </c>
      <c r="AE94" s="1">
        <f t="shared" si="74"/>
        <v>0</v>
      </c>
      <c r="AF94" s="1">
        <f t="shared" si="35"/>
        <v>0</v>
      </c>
      <c r="AG94" s="1">
        <f t="shared" si="36"/>
        <v>0</v>
      </c>
      <c r="AH94" s="1">
        <f t="shared" si="37"/>
        <v>0</v>
      </c>
      <c r="AI94" s="1">
        <f t="shared" si="38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1550</v>
      </c>
      <c r="E95" s="16" t="s">
        <v>173</v>
      </c>
      <c r="F95" s="16" t="s">
        <v>1551</v>
      </c>
      <c r="G95" s="16" t="s">
        <v>39</v>
      </c>
      <c r="H95" s="16" t="s">
        <v>365</v>
      </c>
      <c r="I95" s="15" t="s">
        <v>1552</v>
      </c>
      <c r="J95" s="15">
        <v>17</v>
      </c>
      <c r="K95" s="10" t="s">
        <v>726</v>
      </c>
      <c r="L95" s="10" t="s">
        <v>691</v>
      </c>
      <c r="M95" s="19" t="s">
        <v>39</v>
      </c>
      <c r="N95" s="17"/>
      <c r="Q95" s="20" t="s">
        <v>1920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0</v>
      </c>
      <c r="AF95" s="1">
        <f t="shared" si="35"/>
        <v>0</v>
      </c>
      <c r="AG95" s="1">
        <f t="shared" si="36"/>
        <v>0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119</v>
      </c>
      <c r="E96" s="35" t="s">
        <v>173</v>
      </c>
      <c r="F96" s="39" t="s">
        <v>321</v>
      </c>
      <c r="G96" s="39" t="s">
        <v>39</v>
      </c>
      <c r="H96" s="39" t="s">
        <v>371</v>
      </c>
      <c r="I96" s="40" t="s">
        <v>468</v>
      </c>
      <c r="J96" s="34">
        <v>14</v>
      </c>
      <c r="K96" s="36" t="s">
        <v>960</v>
      </c>
      <c r="L96" s="36" t="s">
        <v>698</v>
      </c>
      <c r="M96" s="37" t="s">
        <v>695</v>
      </c>
      <c r="N96" s="37" t="s">
        <v>1752</v>
      </c>
      <c r="O96" s="38">
        <v>1</v>
      </c>
      <c r="P96" s="38"/>
      <c r="Q96" s="39" t="s">
        <v>1893</v>
      </c>
      <c r="S96" s="1">
        <f t="shared" si="51"/>
        <v>0</v>
      </c>
      <c r="T96" s="1">
        <f t="shared" si="52"/>
        <v>0</v>
      </c>
      <c r="U96" s="1">
        <f t="shared" si="53"/>
        <v>0</v>
      </c>
      <c r="V96" s="1">
        <f t="shared" si="54"/>
        <v>0</v>
      </c>
      <c r="W96" s="1">
        <f t="shared" si="55"/>
        <v>0</v>
      </c>
      <c r="X96" s="1">
        <f t="shared" si="56"/>
        <v>0</v>
      </c>
      <c r="Y96" s="1">
        <f t="shared" si="57"/>
        <v>0</v>
      </c>
      <c r="Z96" s="1">
        <f t="shared" si="58"/>
        <v>0</v>
      </c>
      <c r="AA96" s="1">
        <f t="shared" si="59"/>
        <v>0</v>
      </c>
      <c r="AB96" s="1">
        <f t="shared" si="60"/>
        <v>0</v>
      </c>
      <c r="AD96" s="1">
        <f t="shared" si="61"/>
        <v>0</v>
      </c>
      <c r="AE96" s="1">
        <f t="shared" si="62"/>
        <v>1</v>
      </c>
      <c r="AF96" s="1">
        <f t="shared" si="35"/>
        <v>0</v>
      </c>
      <c r="AG96" s="1">
        <f t="shared" si="36"/>
        <v>1</v>
      </c>
      <c r="AH96" s="1">
        <f t="shared" si="37"/>
        <v>0</v>
      </c>
      <c r="AI96" s="1">
        <f t="shared" si="38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115</v>
      </c>
      <c r="E97" s="35" t="s">
        <v>171</v>
      </c>
      <c r="F97" s="39" t="s">
        <v>327</v>
      </c>
      <c r="G97" s="39" t="s">
        <v>231</v>
      </c>
      <c r="H97" s="39" t="s">
        <v>355</v>
      </c>
      <c r="I97" s="40" t="s">
        <v>475</v>
      </c>
      <c r="J97" s="34">
        <v>7</v>
      </c>
      <c r="K97" s="36" t="s">
        <v>706</v>
      </c>
      <c r="L97" s="36" t="s">
        <v>39</v>
      </c>
      <c r="M97" s="37" t="s">
        <v>39</v>
      </c>
      <c r="N97" s="37" t="s">
        <v>1737</v>
      </c>
      <c r="O97" s="38">
        <v>1</v>
      </c>
      <c r="P97" s="38">
        <v>1</v>
      </c>
      <c r="Q97" s="39"/>
      <c r="S97" s="1">
        <f t="shared" ref="S97:S99" si="75">IF(J97=$S$7,1,0)</f>
        <v>0</v>
      </c>
      <c r="T97" s="1">
        <f t="shared" ref="T97:T99" si="76">IF(J97=$T$7,1,0)</f>
        <v>0</v>
      </c>
      <c r="U97" s="1">
        <f t="shared" ref="U97:U99" si="77">IF(J97=$U$7,1,0)</f>
        <v>0</v>
      </c>
      <c r="V97" s="1">
        <f t="shared" ref="V97:V99" si="78">IF(J97=$V$7,1,0)</f>
        <v>0</v>
      </c>
      <c r="W97" s="1">
        <f t="shared" ref="W97:W99" si="79">IF(J97=$W$7,1,0)</f>
        <v>0</v>
      </c>
      <c r="X97" s="1">
        <f t="shared" ref="X97:X99" si="80">IF(J97=$X$7,1,0)</f>
        <v>0</v>
      </c>
      <c r="Y97" s="1">
        <f t="shared" ref="Y97:Y99" si="81">IF(J97=$Y$7,1,0)</f>
        <v>1</v>
      </c>
      <c r="Z97" s="1">
        <f t="shared" ref="Z97:Z99" si="82">IF(J97=$Z$7,1,0)</f>
        <v>0</v>
      </c>
      <c r="AA97" s="1">
        <f t="shared" ref="AA97:AA99" si="83">IF(J97=$AA$7,1,0)</f>
        <v>0</v>
      </c>
      <c r="AB97" s="1">
        <f t="shared" ref="AB97:AB99" si="84">IF(J97=$AB$7,1,0)</f>
        <v>0</v>
      </c>
      <c r="AD97" s="1">
        <f t="shared" ref="AD97:AD99" si="85">+O97*P97</f>
        <v>1</v>
      </c>
      <c r="AE97" s="1">
        <f t="shared" ref="AE97:AE99" si="86">O97*(1-P97)</f>
        <v>0</v>
      </c>
      <c r="AF97" s="1">
        <f t="shared" ref="AF97:AF99" si="87">+O97*P97*(1-A97)</f>
        <v>1</v>
      </c>
      <c r="AG97" s="1">
        <f t="shared" ref="AG97:AG99" si="88">O97*(1-P97)*(1-A97)</f>
        <v>0</v>
      </c>
      <c r="AH97" s="1">
        <f t="shared" ref="AH97:AH99" si="89">+P97*(1-A97)</f>
        <v>1</v>
      </c>
      <c r="AI97" s="1">
        <f t="shared" ref="AI97:AI99" si="90">+(1-A97)*(1-P97)</f>
        <v>0</v>
      </c>
    </row>
    <row r="98" spans="1:35" ht="14.25" customHeight="1" x14ac:dyDescent="0.25">
      <c r="A98" s="34">
        <v>0</v>
      </c>
      <c r="B98" s="34">
        <v>1</v>
      </c>
      <c r="C98" s="34">
        <v>3</v>
      </c>
      <c r="D98" s="39" t="s">
        <v>1936</v>
      </c>
      <c r="E98" s="35" t="s">
        <v>1937</v>
      </c>
      <c r="F98" s="39" t="s">
        <v>1938</v>
      </c>
      <c r="G98" s="39"/>
      <c r="H98" s="39" t="s">
        <v>367</v>
      </c>
      <c r="I98" s="40" t="s">
        <v>1940</v>
      </c>
      <c r="J98" s="34">
        <v>18</v>
      </c>
      <c r="K98" s="36" t="s">
        <v>707</v>
      </c>
      <c r="L98" s="36"/>
      <c r="M98" s="37"/>
      <c r="N98" s="37" t="s">
        <v>1737</v>
      </c>
      <c r="O98" s="38">
        <v>1</v>
      </c>
      <c r="P98" s="38">
        <v>1</v>
      </c>
      <c r="Q98" s="39" t="s">
        <v>1939</v>
      </c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1</v>
      </c>
      <c r="AE98" s="1">
        <f t="shared" si="86"/>
        <v>0</v>
      </c>
      <c r="AF98" s="1">
        <f t="shared" si="87"/>
        <v>1</v>
      </c>
      <c r="AG98" s="1">
        <f t="shared" si="88"/>
        <v>0</v>
      </c>
      <c r="AH98" s="1">
        <f t="shared" si="89"/>
        <v>1</v>
      </c>
      <c r="AI98" s="1">
        <f t="shared" si="90"/>
        <v>0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1211</v>
      </c>
      <c r="E99" s="48" t="s">
        <v>176</v>
      </c>
      <c r="F99" s="48" t="s">
        <v>1343</v>
      </c>
      <c r="G99" s="48" t="s">
        <v>39</v>
      </c>
      <c r="H99" s="48" t="s">
        <v>613</v>
      </c>
      <c r="I99" s="47" t="s">
        <v>1212</v>
      </c>
      <c r="J99" s="47">
        <v>14</v>
      </c>
      <c r="K99" s="49" t="s">
        <v>960</v>
      </c>
      <c r="L99" s="49" t="s">
        <v>1703</v>
      </c>
      <c r="M99" s="50" t="s">
        <v>1395</v>
      </c>
      <c r="N99" s="50" t="s">
        <v>1806</v>
      </c>
      <c r="O99" s="51"/>
      <c r="P99" s="51"/>
      <c r="Q99" s="48"/>
      <c r="S99" s="1">
        <f t="shared" si="75"/>
        <v>0</v>
      </c>
      <c r="T99" s="1">
        <f t="shared" si="76"/>
        <v>0</v>
      </c>
      <c r="U99" s="1">
        <f t="shared" si="77"/>
        <v>0</v>
      </c>
      <c r="V99" s="1">
        <f t="shared" si="78"/>
        <v>0</v>
      </c>
      <c r="W99" s="1">
        <f t="shared" si="79"/>
        <v>0</v>
      </c>
      <c r="X99" s="1">
        <f t="shared" si="80"/>
        <v>0</v>
      </c>
      <c r="Y99" s="1">
        <f t="shared" si="81"/>
        <v>0</v>
      </c>
      <c r="Z99" s="1">
        <f t="shared" si="82"/>
        <v>0</v>
      </c>
      <c r="AA99" s="1">
        <f t="shared" si="83"/>
        <v>0</v>
      </c>
      <c r="AB99" s="1">
        <f t="shared" si="84"/>
        <v>0</v>
      </c>
      <c r="AD99" s="1">
        <f t="shared" si="85"/>
        <v>0</v>
      </c>
      <c r="AE99" s="1">
        <f t="shared" si="86"/>
        <v>0</v>
      </c>
      <c r="AF99" s="1">
        <f t="shared" si="87"/>
        <v>0</v>
      </c>
      <c r="AG99" s="1">
        <f t="shared" si="88"/>
        <v>0</v>
      </c>
      <c r="AH99" s="1">
        <f t="shared" si="89"/>
        <v>0</v>
      </c>
      <c r="AI99" s="1">
        <f t="shared" si="90"/>
        <v>1</v>
      </c>
    </row>
    <row r="100" spans="1:35" ht="14.25" customHeight="1" x14ac:dyDescent="0.25">
      <c r="A100" s="34">
        <v>0</v>
      </c>
      <c r="B100" s="34">
        <v>1</v>
      </c>
      <c r="C100" s="34">
        <v>3</v>
      </c>
      <c r="D100" s="39" t="s">
        <v>825</v>
      </c>
      <c r="E100" s="35" t="s">
        <v>177</v>
      </c>
      <c r="F100" s="39" t="s">
        <v>931</v>
      </c>
      <c r="G100" s="39" t="s">
        <v>39</v>
      </c>
      <c r="H100" s="39" t="s">
        <v>373</v>
      </c>
      <c r="I100" s="40" t="s">
        <v>826</v>
      </c>
      <c r="J100" s="34">
        <v>16</v>
      </c>
      <c r="K100" s="36" t="s">
        <v>961</v>
      </c>
      <c r="L100" s="36" t="s">
        <v>691</v>
      </c>
      <c r="M100" s="37" t="s">
        <v>974</v>
      </c>
      <c r="N100" s="37" t="s">
        <v>1731</v>
      </c>
      <c r="O100" s="38">
        <v>1</v>
      </c>
      <c r="P100" s="38">
        <v>1</v>
      </c>
      <c r="Q100" s="39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1</v>
      </c>
      <c r="AE100" s="1">
        <f t="shared" si="62"/>
        <v>0</v>
      </c>
      <c r="AF100" s="1">
        <f t="shared" si="35"/>
        <v>1</v>
      </c>
      <c r="AG100" s="1">
        <f t="shared" si="36"/>
        <v>0</v>
      </c>
      <c r="AH100" s="1">
        <f t="shared" si="37"/>
        <v>1</v>
      </c>
      <c r="AI100" s="1">
        <f t="shared" si="38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171</v>
      </c>
      <c r="F101" s="16" t="s">
        <v>304</v>
      </c>
      <c r="G101" s="16" t="s">
        <v>39</v>
      </c>
      <c r="H101" s="16" t="s">
        <v>358</v>
      </c>
      <c r="I101" s="15" t="s">
        <v>452</v>
      </c>
      <c r="J101" s="15">
        <v>18</v>
      </c>
      <c r="K101" s="10" t="s">
        <v>706</v>
      </c>
      <c r="L101" s="10" t="s">
        <v>691</v>
      </c>
      <c r="M101" s="19" t="s">
        <v>695</v>
      </c>
      <c r="N101" s="17"/>
      <c r="Q101" s="16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47">
        <v>0</v>
      </c>
      <c r="B102" s="47">
        <v>1</v>
      </c>
      <c r="C102" s="47">
        <v>3</v>
      </c>
      <c r="D102" s="48" t="s">
        <v>518</v>
      </c>
      <c r="E102" s="48" t="s">
        <v>171</v>
      </c>
      <c r="F102" s="48" t="s">
        <v>519</v>
      </c>
      <c r="G102" s="48" t="s">
        <v>506</v>
      </c>
      <c r="H102" s="48" t="s">
        <v>355</v>
      </c>
      <c r="I102" s="47" t="s">
        <v>520</v>
      </c>
      <c r="J102" s="47">
        <v>99</v>
      </c>
      <c r="K102" s="49" t="s">
        <v>960</v>
      </c>
      <c r="L102" s="49" t="s">
        <v>698</v>
      </c>
      <c r="M102" s="50" t="s">
        <v>695</v>
      </c>
      <c r="N102" s="50" t="s">
        <v>1751</v>
      </c>
      <c r="O102" s="51"/>
      <c r="P102" s="51"/>
      <c r="Q102" s="48"/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1649</v>
      </c>
      <c r="E103" s="16" t="s">
        <v>1091</v>
      </c>
      <c r="F103" s="16" t="s">
        <v>1223</v>
      </c>
      <c r="G103" s="16" t="s">
        <v>39</v>
      </c>
      <c r="H103" s="16" t="s">
        <v>1224</v>
      </c>
      <c r="I103" s="15" t="s">
        <v>1225</v>
      </c>
      <c r="J103" s="15">
        <v>18</v>
      </c>
      <c r="K103" s="10" t="s">
        <v>962</v>
      </c>
      <c r="L103" s="10" t="s">
        <v>691</v>
      </c>
      <c r="M103" s="19" t="s">
        <v>974</v>
      </c>
      <c r="N103" s="17"/>
      <c r="Q103" s="16" t="s">
        <v>1888</v>
      </c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1562</v>
      </c>
      <c r="E104" s="16" t="s">
        <v>171</v>
      </c>
      <c r="F104" s="16" t="s">
        <v>1681</v>
      </c>
      <c r="G104" s="16" t="s">
        <v>39</v>
      </c>
      <c r="H104" s="16" t="s">
        <v>358</v>
      </c>
      <c r="I104" s="15" t="s">
        <v>1563</v>
      </c>
      <c r="J104" s="15">
        <v>18</v>
      </c>
      <c r="K104" s="10" t="s">
        <v>726</v>
      </c>
      <c r="L104" s="10" t="s">
        <v>691</v>
      </c>
      <c r="M104" s="19" t="s">
        <v>695</v>
      </c>
      <c r="N104" s="17"/>
      <c r="Q104" s="16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0</v>
      </c>
      <c r="AF104" s="1">
        <f t="shared" si="35"/>
        <v>0</v>
      </c>
      <c r="AG104" s="1">
        <f t="shared" si="36"/>
        <v>0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1323</v>
      </c>
      <c r="E105" s="35" t="s">
        <v>176</v>
      </c>
      <c r="F105" s="35" t="s">
        <v>1344</v>
      </c>
      <c r="G105" s="35" t="s">
        <v>39</v>
      </c>
      <c r="H105" s="35" t="s">
        <v>355</v>
      </c>
      <c r="I105" s="34" t="s">
        <v>1140</v>
      </c>
      <c r="J105" s="34">
        <v>99</v>
      </c>
      <c r="K105" s="36" t="s">
        <v>706</v>
      </c>
      <c r="L105" s="36" t="s">
        <v>1703</v>
      </c>
      <c r="M105" s="37" t="s">
        <v>1396</v>
      </c>
      <c r="N105" s="37" t="s">
        <v>1753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1267</v>
      </c>
      <c r="E106" s="35" t="s">
        <v>171</v>
      </c>
      <c r="F106" s="35" t="s">
        <v>1345</v>
      </c>
      <c r="G106" s="35" t="s">
        <v>1198</v>
      </c>
      <c r="H106" s="35" t="s">
        <v>355</v>
      </c>
      <c r="I106" s="34" t="s">
        <v>1199</v>
      </c>
      <c r="J106" s="34">
        <v>99</v>
      </c>
      <c r="K106" s="36" t="s">
        <v>726</v>
      </c>
      <c r="L106" s="36">
        <v>50</v>
      </c>
      <c r="M106" s="37" t="s">
        <v>39</v>
      </c>
      <c r="N106" s="37" t="s">
        <v>1805</v>
      </c>
      <c r="O106" s="38">
        <v>1</v>
      </c>
      <c r="P106" s="38"/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0</v>
      </c>
      <c r="AE106" s="1">
        <f t="shared" si="62"/>
        <v>1</v>
      </c>
      <c r="AF106" s="1">
        <f t="shared" si="35"/>
        <v>0</v>
      </c>
      <c r="AG106" s="1">
        <f t="shared" si="36"/>
        <v>1</v>
      </c>
      <c r="AH106" s="1">
        <f t="shared" si="37"/>
        <v>0</v>
      </c>
      <c r="AI106" s="1">
        <f t="shared" si="38"/>
        <v>1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1023</v>
      </c>
      <c r="E107" s="35" t="s">
        <v>612</v>
      </c>
      <c r="F107" s="35" t="s">
        <v>1024</v>
      </c>
      <c r="G107" s="35" t="s">
        <v>1025</v>
      </c>
      <c r="H107" s="35" t="s">
        <v>355</v>
      </c>
      <c r="I107" s="34" t="s">
        <v>1026</v>
      </c>
      <c r="J107" s="34">
        <v>99</v>
      </c>
      <c r="K107" s="36" t="s">
        <v>960</v>
      </c>
      <c r="L107" s="36" t="s">
        <v>39</v>
      </c>
      <c r="M107" s="37" t="s">
        <v>39</v>
      </c>
      <c r="N107" s="37" t="s">
        <v>1737</v>
      </c>
      <c r="O107" s="38">
        <v>1</v>
      </c>
      <c r="P107" s="38">
        <v>1</v>
      </c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1</v>
      </c>
      <c r="AE107" s="1">
        <f t="shared" si="62"/>
        <v>0</v>
      </c>
      <c r="AF107" s="1">
        <f t="shared" si="35"/>
        <v>1</v>
      </c>
      <c r="AG107" s="1">
        <f t="shared" si="36"/>
        <v>0</v>
      </c>
      <c r="AH107" s="1">
        <f t="shared" si="37"/>
        <v>1</v>
      </c>
      <c r="AI107" s="1">
        <f t="shared" si="38"/>
        <v>0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141</v>
      </c>
      <c r="E108" s="35" t="s">
        <v>176</v>
      </c>
      <c r="F108" s="35" t="s">
        <v>343</v>
      </c>
      <c r="G108" s="35" t="s">
        <v>39</v>
      </c>
      <c r="H108" s="35" t="s">
        <v>377</v>
      </c>
      <c r="I108" s="34" t="s">
        <v>490</v>
      </c>
      <c r="J108" s="34">
        <v>16</v>
      </c>
      <c r="K108" s="36" t="s">
        <v>706</v>
      </c>
      <c r="L108" s="36" t="s">
        <v>691</v>
      </c>
      <c r="M108" s="37" t="s">
        <v>1397</v>
      </c>
      <c r="N108" s="37" t="s">
        <v>1752</v>
      </c>
      <c r="O108" s="38">
        <v>1</v>
      </c>
      <c r="P108" s="38"/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0</v>
      </c>
      <c r="AE108" s="1">
        <f t="shared" si="62"/>
        <v>1</v>
      </c>
      <c r="AF108" s="1">
        <f t="shared" si="35"/>
        <v>0</v>
      </c>
      <c r="AG108" s="1">
        <f t="shared" si="36"/>
        <v>1</v>
      </c>
      <c r="AH108" s="1">
        <f t="shared" si="37"/>
        <v>0</v>
      </c>
      <c r="AI108" s="1">
        <f t="shared" si="38"/>
        <v>1</v>
      </c>
    </row>
    <row r="109" spans="1:35" ht="14.25" customHeight="1" x14ac:dyDescent="0.25">
      <c r="A109" s="34">
        <v>0</v>
      </c>
      <c r="B109" s="34">
        <v>1</v>
      </c>
      <c r="C109" s="34">
        <v>3</v>
      </c>
      <c r="D109" s="35" t="s">
        <v>821</v>
      </c>
      <c r="E109" s="35" t="s">
        <v>173</v>
      </c>
      <c r="F109" s="35" t="s">
        <v>822</v>
      </c>
      <c r="G109" s="35" t="s">
        <v>39</v>
      </c>
      <c r="H109" s="35" t="s">
        <v>823</v>
      </c>
      <c r="I109" s="34" t="s">
        <v>824</v>
      </c>
      <c r="J109" s="34">
        <v>16</v>
      </c>
      <c r="K109" s="36" t="s">
        <v>706</v>
      </c>
      <c r="L109" s="36" t="s">
        <v>691</v>
      </c>
      <c r="M109" s="37" t="s">
        <v>1397</v>
      </c>
      <c r="N109" s="37" t="s">
        <v>1731</v>
      </c>
      <c r="O109" s="38">
        <v>1</v>
      </c>
      <c r="P109" s="38">
        <v>1</v>
      </c>
      <c r="Q109" s="35"/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1</v>
      </c>
      <c r="AE109" s="1">
        <f t="shared" si="62"/>
        <v>0</v>
      </c>
      <c r="AF109" s="1">
        <f t="shared" si="35"/>
        <v>1</v>
      </c>
      <c r="AG109" s="1">
        <f t="shared" si="36"/>
        <v>0</v>
      </c>
      <c r="AH109" s="1">
        <f t="shared" si="37"/>
        <v>1</v>
      </c>
      <c r="AI109" s="1">
        <f t="shared" si="38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171</v>
      </c>
      <c r="F110" s="16" t="s">
        <v>307</v>
      </c>
      <c r="G110" s="16" t="s">
        <v>39</v>
      </c>
      <c r="H110" s="16" t="s">
        <v>362</v>
      </c>
      <c r="I110" s="15" t="s">
        <v>456</v>
      </c>
      <c r="J110" s="15">
        <v>18</v>
      </c>
      <c r="K110" s="10" t="s">
        <v>707</v>
      </c>
      <c r="L110" s="10" t="s">
        <v>691</v>
      </c>
      <c r="M110" s="19" t="s">
        <v>695</v>
      </c>
      <c r="N110" s="17"/>
      <c r="Q110" s="20" t="s">
        <v>1887</v>
      </c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1509</v>
      </c>
      <c r="E111" s="48" t="s">
        <v>171</v>
      </c>
      <c r="F111" s="48" t="s">
        <v>1510</v>
      </c>
      <c r="G111" s="48" t="s">
        <v>39</v>
      </c>
      <c r="H111" s="48" t="s">
        <v>375</v>
      </c>
      <c r="I111" s="47" t="s">
        <v>1511</v>
      </c>
      <c r="J111" s="47">
        <v>11</v>
      </c>
      <c r="K111" s="49" t="s">
        <v>726</v>
      </c>
      <c r="L111" s="49">
        <v>50</v>
      </c>
      <c r="M111" s="50" t="s">
        <v>39</v>
      </c>
      <c r="N111" s="50" t="s">
        <v>1738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47">
        <v>0</v>
      </c>
      <c r="B112" s="47">
        <v>1</v>
      </c>
      <c r="C112" s="47">
        <v>3</v>
      </c>
      <c r="D112" s="48" t="s">
        <v>107</v>
      </c>
      <c r="E112" s="48" t="s">
        <v>171</v>
      </c>
      <c r="F112" s="48" t="s">
        <v>306</v>
      </c>
      <c r="G112" s="48" t="s">
        <v>39</v>
      </c>
      <c r="H112" s="48" t="s">
        <v>361</v>
      </c>
      <c r="I112" s="47" t="s">
        <v>455</v>
      </c>
      <c r="J112" s="47">
        <v>18</v>
      </c>
      <c r="K112" s="49" t="s">
        <v>706</v>
      </c>
      <c r="L112" s="49">
        <v>55</v>
      </c>
      <c r="M112" s="50" t="s">
        <v>695</v>
      </c>
      <c r="N112" s="50" t="s">
        <v>1738</v>
      </c>
      <c r="O112" s="51"/>
      <c r="P112" s="51"/>
      <c r="Q112" s="48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0</v>
      </c>
      <c r="AF112" s="1">
        <f t="shared" si="35"/>
        <v>0</v>
      </c>
      <c r="AG112" s="1">
        <f t="shared" si="36"/>
        <v>0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34">
        <v>0</v>
      </c>
      <c r="B113" s="34">
        <v>1</v>
      </c>
      <c r="C113" s="34">
        <v>3</v>
      </c>
      <c r="D113" s="35" t="s">
        <v>128</v>
      </c>
      <c r="E113" s="35" t="s">
        <v>176</v>
      </c>
      <c r="F113" s="35" t="s">
        <v>330</v>
      </c>
      <c r="G113" s="35" t="s">
        <v>39</v>
      </c>
      <c r="H113" s="35" t="s">
        <v>376</v>
      </c>
      <c r="I113" s="34" t="s">
        <v>478</v>
      </c>
      <c r="J113" s="34">
        <v>12</v>
      </c>
      <c r="K113" s="36" t="s">
        <v>706</v>
      </c>
      <c r="L113" s="36">
        <v>35</v>
      </c>
      <c r="M113" s="37" t="s">
        <v>695</v>
      </c>
      <c r="N113" s="37" t="s">
        <v>1753</v>
      </c>
      <c r="O113" s="38">
        <v>1</v>
      </c>
      <c r="P113" s="38"/>
      <c r="Q113" s="35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1</v>
      </c>
      <c r="AF113" s="1">
        <f t="shared" si="35"/>
        <v>0</v>
      </c>
      <c r="AG113" s="1">
        <f t="shared" si="36"/>
        <v>1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998</v>
      </c>
      <c r="E114" s="48" t="s">
        <v>171</v>
      </c>
      <c r="F114" s="48" t="s">
        <v>1097</v>
      </c>
      <c r="G114" s="48" t="s">
        <v>233</v>
      </c>
      <c r="H114" s="48" t="s">
        <v>355</v>
      </c>
      <c r="I114" s="47" t="s">
        <v>999</v>
      </c>
      <c r="J114" s="47">
        <v>99</v>
      </c>
      <c r="K114" s="49" t="s">
        <v>960</v>
      </c>
      <c r="L114" s="49">
        <v>40</v>
      </c>
      <c r="M114" s="50" t="s">
        <v>39</v>
      </c>
      <c r="N114" s="50" t="s">
        <v>1751</v>
      </c>
      <c r="O114" s="51"/>
      <c r="P114" s="51"/>
      <c r="Q114" s="48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0</v>
      </c>
      <c r="AI114" s="1">
        <f t="shared" si="38"/>
        <v>1</v>
      </c>
    </row>
    <row r="115" spans="1:35" ht="14.25" customHeight="1" x14ac:dyDescent="0.25">
      <c r="A115" s="41">
        <v>0</v>
      </c>
      <c r="B115" s="41">
        <v>1</v>
      </c>
      <c r="C115" s="41">
        <v>3</v>
      </c>
      <c r="D115" s="42" t="s">
        <v>129</v>
      </c>
      <c r="E115" s="42" t="s">
        <v>171</v>
      </c>
      <c r="F115" s="42" t="s">
        <v>331</v>
      </c>
      <c r="G115" s="42" t="s">
        <v>39</v>
      </c>
      <c r="H115" s="42" t="s">
        <v>372</v>
      </c>
      <c r="I115" s="41" t="s">
        <v>479</v>
      </c>
      <c r="J115" s="41">
        <v>11</v>
      </c>
      <c r="K115" s="43" t="s">
        <v>706</v>
      </c>
      <c r="L115" s="43" t="s">
        <v>39</v>
      </c>
      <c r="M115" s="44" t="s">
        <v>39</v>
      </c>
      <c r="N115" s="45"/>
      <c r="O115" s="46"/>
      <c r="P115" s="46">
        <v>1</v>
      </c>
      <c r="Q115" s="42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1</v>
      </c>
      <c r="AI115" s="1">
        <f t="shared" si="38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1324</v>
      </c>
      <c r="E116" s="16" t="s">
        <v>173</v>
      </c>
      <c r="F116" s="16" t="s">
        <v>1347</v>
      </c>
      <c r="G116" s="16" t="s">
        <v>39</v>
      </c>
      <c r="H116" s="16" t="s">
        <v>992</v>
      </c>
      <c r="I116" s="15" t="s">
        <v>993</v>
      </c>
      <c r="J116" s="15">
        <v>14</v>
      </c>
      <c r="K116" s="10" t="s">
        <v>707</v>
      </c>
      <c r="L116" s="10">
        <v>30</v>
      </c>
      <c r="M116" s="19" t="s">
        <v>975</v>
      </c>
      <c r="N116" s="17"/>
      <c r="Q116" s="16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703</v>
      </c>
      <c r="E117" s="48" t="s">
        <v>176</v>
      </c>
      <c r="F117" s="48" t="s">
        <v>704</v>
      </c>
      <c r="G117" s="48" t="s">
        <v>39</v>
      </c>
      <c r="H117" s="48" t="s">
        <v>705</v>
      </c>
      <c r="I117" s="47" t="s">
        <v>1119</v>
      </c>
      <c r="J117" s="47">
        <v>13</v>
      </c>
      <c r="K117" s="49" t="s">
        <v>706</v>
      </c>
      <c r="L117" s="49" t="s">
        <v>1703</v>
      </c>
      <c r="M117" s="50" t="s">
        <v>974</v>
      </c>
      <c r="N117" s="50" t="s">
        <v>1806</v>
      </c>
      <c r="O117" s="51"/>
      <c r="P117" s="51"/>
      <c r="Q117" s="48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0</v>
      </c>
      <c r="AE117" s="1">
        <f t="shared" si="62"/>
        <v>0</v>
      </c>
      <c r="AF117" s="1">
        <f t="shared" si="35"/>
        <v>0</v>
      </c>
      <c r="AG117" s="1">
        <f t="shared" si="36"/>
        <v>0</v>
      </c>
      <c r="AH117" s="1">
        <f t="shared" si="37"/>
        <v>0</v>
      </c>
      <c r="AI117" s="1">
        <f t="shared" si="38"/>
        <v>1</v>
      </c>
    </row>
    <row r="118" spans="1:35" ht="14.25" customHeight="1" x14ac:dyDescent="0.25">
      <c r="A118" s="34">
        <v>0</v>
      </c>
      <c r="B118" s="34">
        <v>1</v>
      </c>
      <c r="C118" s="34">
        <v>3</v>
      </c>
      <c r="D118" s="35" t="s">
        <v>1524</v>
      </c>
      <c r="E118" s="35" t="s">
        <v>171</v>
      </c>
      <c r="F118" s="35" t="s">
        <v>1671</v>
      </c>
      <c r="G118" s="35" t="s">
        <v>39</v>
      </c>
      <c r="H118" s="35" t="s">
        <v>1525</v>
      </c>
      <c r="I118" s="34" t="s">
        <v>1526</v>
      </c>
      <c r="J118" s="34">
        <v>11</v>
      </c>
      <c r="K118" s="36" t="s">
        <v>726</v>
      </c>
      <c r="L118" s="36">
        <v>40</v>
      </c>
      <c r="M118" s="37" t="s">
        <v>39</v>
      </c>
      <c r="N118" s="37" t="s">
        <v>1731</v>
      </c>
      <c r="O118" s="38">
        <v>1</v>
      </c>
      <c r="P118" s="38">
        <v>1</v>
      </c>
      <c r="Q118" s="35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1</v>
      </c>
      <c r="AE118" s="1">
        <f t="shared" si="62"/>
        <v>0</v>
      </c>
      <c r="AF118" s="1">
        <f t="shared" si="35"/>
        <v>1</v>
      </c>
      <c r="AG118" s="1">
        <f t="shared" si="36"/>
        <v>0</v>
      </c>
      <c r="AH118" s="1">
        <f t="shared" si="37"/>
        <v>1</v>
      </c>
      <c r="AI118" s="1">
        <f t="shared" si="38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173</v>
      </c>
      <c r="F119" s="16" t="s">
        <v>349</v>
      </c>
      <c r="G119" s="16" t="s">
        <v>39</v>
      </c>
      <c r="H119" s="16" t="s">
        <v>368</v>
      </c>
      <c r="I119" s="15" t="s">
        <v>494</v>
      </c>
      <c r="J119" s="15">
        <v>18</v>
      </c>
      <c r="K119" s="10" t="s">
        <v>960</v>
      </c>
      <c r="L119" s="10" t="s">
        <v>701</v>
      </c>
      <c r="M119" s="19" t="s">
        <v>974</v>
      </c>
      <c r="N119" s="17"/>
      <c r="Q119" s="16"/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1982</v>
      </c>
      <c r="E120" s="20" t="s">
        <v>173</v>
      </c>
      <c r="F120" s="20" t="s">
        <v>1979</v>
      </c>
      <c r="G120" s="20"/>
      <c r="H120" s="20" t="s">
        <v>1980</v>
      </c>
      <c r="I120" s="21" t="s">
        <v>1978</v>
      </c>
      <c r="J120" s="15">
        <v>17</v>
      </c>
      <c r="K120" s="10" t="s">
        <v>707</v>
      </c>
      <c r="L120" s="10" t="s">
        <v>1746</v>
      </c>
      <c r="M120" s="19" t="s">
        <v>975</v>
      </c>
      <c r="N120" s="17"/>
      <c r="Q120" s="20" t="s">
        <v>1981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47">
        <v>0</v>
      </c>
      <c r="B121" s="47">
        <v>1</v>
      </c>
      <c r="C121" s="47">
        <v>3</v>
      </c>
      <c r="D121" s="48" t="s">
        <v>1004</v>
      </c>
      <c r="E121" s="48" t="s">
        <v>173</v>
      </c>
      <c r="F121" s="68" t="s">
        <v>1871</v>
      </c>
      <c r="G121" s="48" t="s">
        <v>39</v>
      </c>
      <c r="H121" s="48" t="s">
        <v>1005</v>
      </c>
      <c r="I121" s="47" t="s">
        <v>1120</v>
      </c>
      <c r="J121" s="47">
        <v>16</v>
      </c>
      <c r="K121" s="49" t="s">
        <v>726</v>
      </c>
      <c r="L121" s="49" t="s">
        <v>1746</v>
      </c>
      <c r="M121" s="50" t="s">
        <v>1398</v>
      </c>
      <c r="N121" s="50" t="s">
        <v>1806</v>
      </c>
      <c r="O121" s="51"/>
      <c r="P121" s="51"/>
      <c r="Q121" s="68" t="s">
        <v>1894</v>
      </c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1131</v>
      </c>
      <c r="E122" s="16" t="s">
        <v>173</v>
      </c>
      <c r="F122" s="16" t="s">
        <v>1348</v>
      </c>
      <c r="G122" s="16" t="s">
        <v>39</v>
      </c>
      <c r="H122" s="16" t="s">
        <v>1133</v>
      </c>
      <c r="I122" s="15" t="s">
        <v>1132</v>
      </c>
      <c r="J122" s="15">
        <v>14</v>
      </c>
      <c r="K122" s="10" t="s">
        <v>962</v>
      </c>
      <c r="L122" s="10" t="s">
        <v>1703</v>
      </c>
      <c r="M122" s="19" t="s">
        <v>1399</v>
      </c>
      <c r="N122" s="17"/>
      <c r="Q122" s="16"/>
      <c r="S122" s="1">
        <f t="shared" si="51"/>
        <v>0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0</v>
      </c>
      <c r="AF122" s="1">
        <f t="shared" si="35"/>
        <v>0</v>
      </c>
      <c r="AG122" s="1">
        <f t="shared" si="36"/>
        <v>0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1082</v>
      </c>
      <c r="E123" s="35" t="s">
        <v>173</v>
      </c>
      <c r="F123" s="35" t="s">
        <v>1044</v>
      </c>
      <c r="G123" s="35" t="s">
        <v>1108</v>
      </c>
      <c r="H123" s="35" t="s">
        <v>355</v>
      </c>
      <c r="I123" s="34" t="s">
        <v>1045</v>
      </c>
      <c r="J123" s="34">
        <v>1</v>
      </c>
      <c r="K123" s="36" t="s">
        <v>962</v>
      </c>
      <c r="L123" s="36" t="s">
        <v>690</v>
      </c>
      <c r="M123" s="37" t="s">
        <v>975</v>
      </c>
      <c r="N123" s="37" t="s">
        <v>1759</v>
      </c>
      <c r="O123" s="38">
        <v>1</v>
      </c>
      <c r="P123" s="38"/>
      <c r="Q123" s="35"/>
      <c r="S123" s="1">
        <f t="shared" si="51"/>
        <v>1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34">
        <v>0</v>
      </c>
      <c r="B124" s="34">
        <v>1</v>
      </c>
      <c r="C124" s="34">
        <v>3</v>
      </c>
      <c r="D124" s="35" t="s">
        <v>1633</v>
      </c>
      <c r="E124" s="35" t="s">
        <v>1091</v>
      </c>
      <c r="F124" s="35" t="s">
        <v>1634</v>
      </c>
      <c r="G124" s="35" t="s">
        <v>39</v>
      </c>
      <c r="H124" s="35" t="s">
        <v>1635</v>
      </c>
      <c r="I124" s="34" t="s">
        <v>1636</v>
      </c>
      <c r="J124" s="34">
        <v>15</v>
      </c>
      <c r="K124" s="36" t="s">
        <v>962</v>
      </c>
      <c r="L124" s="36" t="s">
        <v>39</v>
      </c>
      <c r="M124" s="37" t="s">
        <v>39</v>
      </c>
      <c r="N124" s="37" t="s">
        <v>1752</v>
      </c>
      <c r="O124" s="38">
        <v>1</v>
      </c>
      <c r="P124" s="38"/>
      <c r="Q124" s="39" t="s">
        <v>1899</v>
      </c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1</v>
      </c>
      <c r="AF124" s="1">
        <f t="shared" si="35"/>
        <v>0</v>
      </c>
      <c r="AG124" s="1">
        <f t="shared" si="36"/>
        <v>1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615</v>
      </c>
      <c r="E125" s="16" t="s">
        <v>171</v>
      </c>
      <c r="F125" s="16" t="s">
        <v>616</v>
      </c>
      <c r="G125" s="16" t="s">
        <v>39</v>
      </c>
      <c r="H125" s="16" t="s">
        <v>367</v>
      </c>
      <c r="I125" s="15" t="s">
        <v>617</v>
      </c>
      <c r="J125" s="15">
        <v>18</v>
      </c>
      <c r="K125" s="10" t="s">
        <v>726</v>
      </c>
      <c r="L125" s="10" t="s">
        <v>1746</v>
      </c>
      <c r="M125" s="19" t="s">
        <v>39</v>
      </c>
      <c r="N125" s="17"/>
      <c r="Q125" s="16"/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1954</v>
      </c>
      <c r="E126" s="20" t="s">
        <v>173</v>
      </c>
      <c r="F126" s="20" t="s">
        <v>1975</v>
      </c>
      <c r="G126" s="20"/>
      <c r="H126" s="20" t="s">
        <v>1974</v>
      </c>
      <c r="I126" s="21" t="s">
        <v>1976</v>
      </c>
      <c r="J126" s="15">
        <v>15</v>
      </c>
      <c r="K126" s="10" t="s">
        <v>707</v>
      </c>
      <c r="L126" s="10" t="s">
        <v>1746</v>
      </c>
      <c r="M126" s="19" t="s">
        <v>975</v>
      </c>
      <c r="N126" s="17"/>
      <c r="Q126" s="20" t="s">
        <v>1977</v>
      </c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0</v>
      </c>
      <c r="AE126" s="1">
        <f t="shared" si="62"/>
        <v>0</v>
      </c>
      <c r="AF126" s="1">
        <f t="shared" si="35"/>
        <v>0</v>
      </c>
      <c r="AG126" s="1">
        <f t="shared" si="36"/>
        <v>0</v>
      </c>
      <c r="AH126" s="1">
        <f t="shared" si="37"/>
        <v>0</v>
      </c>
      <c r="AI126" s="1">
        <f t="shared" si="38"/>
        <v>1</v>
      </c>
    </row>
    <row r="127" spans="1:35" ht="14.25" customHeight="1" x14ac:dyDescent="0.25">
      <c r="A127" s="34">
        <v>0</v>
      </c>
      <c r="B127" s="34">
        <v>1</v>
      </c>
      <c r="C127" s="34">
        <v>3</v>
      </c>
      <c r="D127" s="35" t="s">
        <v>924</v>
      </c>
      <c r="E127" s="35" t="s">
        <v>173</v>
      </c>
      <c r="F127" s="35" t="s">
        <v>1161</v>
      </c>
      <c r="G127" s="35" t="s">
        <v>39</v>
      </c>
      <c r="H127" s="35" t="s">
        <v>364</v>
      </c>
      <c r="I127" s="34" t="s">
        <v>895</v>
      </c>
      <c r="J127" s="34">
        <v>14</v>
      </c>
      <c r="K127" s="36" t="s">
        <v>961</v>
      </c>
      <c r="L127" s="36" t="s">
        <v>39</v>
      </c>
      <c r="M127" s="37" t="s">
        <v>39</v>
      </c>
      <c r="N127" s="37" t="s">
        <v>1737</v>
      </c>
      <c r="O127" s="38">
        <v>1</v>
      </c>
      <c r="P127" s="38">
        <v>1</v>
      </c>
      <c r="Q127" s="39"/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1</v>
      </c>
      <c r="AE127" s="1">
        <f t="shared" si="62"/>
        <v>0</v>
      </c>
      <c r="AF127" s="1">
        <f t="shared" si="35"/>
        <v>1</v>
      </c>
      <c r="AG127" s="1">
        <f t="shared" si="36"/>
        <v>0</v>
      </c>
      <c r="AH127" s="1">
        <f t="shared" si="37"/>
        <v>1</v>
      </c>
      <c r="AI127" s="1">
        <f t="shared" si="38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173</v>
      </c>
      <c r="F128" s="16" t="s">
        <v>935</v>
      </c>
      <c r="G128" s="16" t="s">
        <v>39</v>
      </c>
      <c r="H128" s="16" t="s">
        <v>359</v>
      </c>
      <c r="I128" s="15" t="s">
        <v>453</v>
      </c>
      <c r="J128" s="15">
        <v>18</v>
      </c>
      <c r="K128" s="10" t="s">
        <v>960</v>
      </c>
      <c r="L128" s="10" t="s">
        <v>701</v>
      </c>
      <c r="M128" s="19" t="s">
        <v>695</v>
      </c>
      <c r="N128" s="17"/>
      <c r="Q128" s="16" t="s">
        <v>1892</v>
      </c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0</v>
      </c>
      <c r="AI128" s="1">
        <f t="shared" si="38"/>
        <v>1</v>
      </c>
    </row>
    <row r="129" spans="1:35" ht="14.25" customHeight="1" x14ac:dyDescent="0.25">
      <c r="A129" s="41">
        <v>0</v>
      </c>
      <c r="B129" s="41">
        <v>1</v>
      </c>
      <c r="C129" s="41">
        <v>3</v>
      </c>
      <c r="D129" s="42" t="s">
        <v>1512</v>
      </c>
      <c r="E129" s="42" t="s">
        <v>1656</v>
      </c>
      <c r="F129" s="42" t="s">
        <v>1514</v>
      </c>
      <c r="G129" s="42" t="s">
        <v>39</v>
      </c>
      <c r="H129" s="42" t="s">
        <v>1515</v>
      </c>
      <c r="I129" s="41" t="s">
        <v>1513</v>
      </c>
      <c r="J129" s="41">
        <v>14</v>
      </c>
      <c r="K129" s="43" t="s">
        <v>966</v>
      </c>
      <c r="L129" s="43" t="s">
        <v>690</v>
      </c>
      <c r="M129" s="44" t="s">
        <v>1400</v>
      </c>
      <c r="N129" s="45"/>
      <c r="O129" s="46"/>
      <c r="P129" s="46">
        <v>1</v>
      </c>
      <c r="Q129" s="42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1</v>
      </c>
      <c r="AI129" s="1">
        <f t="shared" si="38"/>
        <v>0</v>
      </c>
    </row>
    <row r="130" spans="1:35" ht="14.25" customHeight="1" x14ac:dyDescent="0.25">
      <c r="A130" s="47">
        <v>0</v>
      </c>
      <c r="B130" s="47">
        <v>1</v>
      </c>
      <c r="C130" s="47">
        <v>3</v>
      </c>
      <c r="D130" s="48" t="s">
        <v>1260</v>
      </c>
      <c r="E130" s="48" t="s">
        <v>173</v>
      </c>
      <c r="F130" s="48" t="s">
        <v>1261</v>
      </c>
      <c r="G130" s="48" t="s">
        <v>1263</v>
      </c>
      <c r="H130" s="48" t="s">
        <v>355</v>
      </c>
      <c r="I130" s="47" t="s">
        <v>1262</v>
      </c>
      <c r="J130" s="47">
        <v>99</v>
      </c>
      <c r="K130" s="49" t="s">
        <v>962</v>
      </c>
      <c r="L130" s="49" t="s">
        <v>697</v>
      </c>
      <c r="M130" s="50" t="s">
        <v>975</v>
      </c>
      <c r="N130" s="50" t="s">
        <v>1806</v>
      </c>
      <c r="O130" s="51"/>
      <c r="P130" s="51"/>
      <c r="Q130" s="48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1506</v>
      </c>
      <c r="E131" s="16" t="s">
        <v>173</v>
      </c>
      <c r="F131" s="16" t="s">
        <v>1507</v>
      </c>
      <c r="G131" s="16" t="s">
        <v>39</v>
      </c>
      <c r="H131" s="16" t="s">
        <v>366</v>
      </c>
      <c r="I131" s="15" t="s">
        <v>1508</v>
      </c>
      <c r="J131" s="15">
        <v>18</v>
      </c>
      <c r="K131" s="10" t="s">
        <v>960</v>
      </c>
      <c r="L131" s="10" t="s">
        <v>1746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1627</v>
      </c>
      <c r="E132" s="16" t="s">
        <v>173</v>
      </c>
      <c r="F132" s="16" t="s">
        <v>1630</v>
      </c>
      <c r="G132" s="16" t="s">
        <v>39</v>
      </c>
      <c r="H132" s="16" t="s">
        <v>1628</v>
      </c>
      <c r="I132" s="15" t="s">
        <v>1629</v>
      </c>
      <c r="J132" s="15">
        <v>15</v>
      </c>
      <c r="K132" s="10" t="s">
        <v>726</v>
      </c>
      <c r="L132" s="10" t="s">
        <v>39</v>
      </c>
      <c r="M132" s="19" t="s">
        <v>39</v>
      </c>
      <c r="N132" s="17"/>
      <c r="Q132" s="16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0</v>
      </c>
      <c r="AE132" s="1">
        <f t="shared" si="62"/>
        <v>0</v>
      </c>
      <c r="AF132" s="1">
        <f t="shared" si="35"/>
        <v>0</v>
      </c>
      <c r="AG132" s="1">
        <f t="shared" si="36"/>
        <v>0</v>
      </c>
      <c r="AH132" s="1">
        <f t="shared" si="37"/>
        <v>0</v>
      </c>
      <c r="AI132" s="1">
        <f t="shared" si="38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1248</v>
      </c>
      <c r="E133" s="16" t="s">
        <v>1250</v>
      </c>
      <c r="F133" s="16" t="s">
        <v>1251</v>
      </c>
      <c r="G133" s="16" t="s">
        <v>39</v>
      </c>
      <c r="H133" s="16" t="s">
        <v>370</v>
      </c>
      <c r="I133" s="15" t="s">
        <v>1249</v>
      </c>
      <c r="J133" s="15">
        <v>14</v>
      </c>
      <c r="K133" s="10" t="s">
        <v>962</v>
      </c>
      <c r="L133" s="10" t="s">
        <v>690</v>
      </c>
      <c r="M133" s="19" t="s">
        <v>1400</v>
      </c>
      <c r="N133" s="17"/>
      <c r="Q133" s="16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0</v>
      </c>
      <c r="AE133" s="1">
        <f t="shared" si="62"/>
        <v>0</v>
      </c>
      <c r="AF133" s="1">
        <f t="shared" si="35"/>
        <v>0</v>
      </c>
      <c r="AG133" s="1">
        <f t="shared" si="36"/>
        <v>0</v>
      </c>
      <c r="AH133" s="1">
        <f t="shared" si="37"/>
        <v>0</v>
      </c>
      <c r="AI133" s="1">
        <f t="shared" si="38"/>
        <v>1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130</v>
      </c>
      <c r="E134" s="35" t="s">
        <v>177</v>
      </c>
      <c r="F134" s="35" t="s">
        <v>332</v>
      </c>
      <c r="G134" s="35" t="s">
        <v>183</v>
      </c>
      <c r="H134" s="35" t="s">
        <v>355</v>
      </c>
      <c r="I134" s="34" t="s">
        <v>480</v>
      </c>
      <c r="J134" s="34">
        <v>99</v>
      </c>
      <c r="K134" s="36" t="s">
        <v>961</v>
      </c>
      <c r="L134" s="36" t="s">
        <v>39</v>
      </c>
      <c r="M134" s="37" t="s">
        <v>39</v>
      </c>
      <c r="N134" s="37" t="s">
        <v>1737</v>
      </c>
      <c r="O134" s="38">
        <v>1</v>
      </c>
      <c r="P134" s="38">
        <v>1</v>
      </c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1</v>
      </c>
      <c r="AE134" s="1">
        <f t="shared" si="62"/>
        <v>0</v>
      </c>
      <c r="AF134" s="1">
        <f t="shared" si="35"/>
        <v>1</v>
      </c>
      <c r="AG134" s="1">
        <f t="shared" si="36"/>
        <v>0</v>
      </c>
      <c r="AH134" s="1">
        <f t="shared" si="37"/>
        <v>1</v>
      </c>
      <c r="AI134" s="1">
        <f t="shared" si="38"/>
        <v>0</v>
      </c>
    </row>
    <row r="135" spans="1:35" ht="14.25" customHeight="1" x14ac:dyDescent="0.25">
      <c r="A135" s="34">
        <v>0</v>
      </c>
      <c r="B135" s="34">
        <v>1</v>
      </c>
      <c r="C135" s="34">
        <v>3</v>
      </c>
      <c r="D135" s="35" t="s">
        <v>925</v>
      </c>
      <c r="E135" s="35" t="s">
        <v>173</v>
      </c>
      <c r="F135" s="35" t="s">
        <v>937</v>
      </c>
      <c r="G135" s="35" t="s">
        <v>236</v>
      </c>
      <c r="H135" s="35" t="s">
        <v>355</v>
      </c>
      <c r="I135" s="34" t="s">
        <v>951</v>
      </c>
      <c r="J135" s="34">
        <v>99</v>
      </c>
      <c r="K135" s="36" t="s">
        <v>726</v>
      </c>
      <c r="L135" s="36">
        <v>45</v>
      </c>
      <c r="M135" s="37" t="s">
        <v>39</v>
      </c>
      <c r="N135" s="37" t="s">
        <v>1805</v>
      </c>
      <c r="O135" s="38">
        <v>1</v>
      </c>
      <c r="P135" s="38"/>
      <c r="Q135" s="35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1</v>
      </c>
      <c r="AF135" s="1">
        <f t="shared" si="35"/>
        <v>0</v>
      </c>
      <c r="AG135" s="1">
        <f t="shared" si="36"/>
        <v>1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47">
        <v>0</v>
      </c>
      <c r="B136" s="47">
        <v>1</v>
      </c>
      <c r="C136" s="47">
        <v>3</v>
      </c>
      <c r="D136" s="48" t="s">
        <v>78</v>
      </c>
      <c r="E136" s="48" t="s">
        <v>612</v>
      </c>
      <c r="F136" s="48" t="s">
        <v>309</v>
      </c>
      <c r="G136" s="48" t="s">
        <v>39</v>
      </c>
      <c r="H136" s="48" t="s">
        <v>363</v>
      </c>
      <c r="I136" s="47" t="s">
        <v>458</v>
      </c>
      <c r="J136" s="47">
        <v>12</v>
      </c>
      <c r="K136" s="49" t="s">
        <v>707</v>
      </c>
      <c r="L136" s="49">
        <v>40</v>
      </c>
      <c r="M136" s="50" t="s">
        <v>975</v>
      </c>
      <c r="N136" s="50" t="s">
        <v>1806</v>
      </c>
      <c r="O136" s="51"/>
      <c r="P136" s="51"/>
      <c r="Q136" s="48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1586</v>
      </c>
      <c r="E137" s="16" t="s">
        <v>171</v>
      </c>
      <c r="F137" s="16" t="s">
        <v>1588</v>
      </c>
      <c r="G137" s="16"/>
      <c r="H137" s="16" t="s">
        <v>366</v>
      </c>
      <c r="I137" s="15" t="s">
        <v>1587</v>
      </c>
      <c r="J137" s="15">
        <v>18</v>
      </c>
      <c r="K137" s="10" t="s">
        <v>707</v>
      </c>
      <c r="L137" s="10" t="s">
        <v>691</v>
      </c>
      <c r="M137" s="19" t="s">
        <v>975</v>
      </c>
      <c r="N137" s="17"/>
      <c r="Q137" s="16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0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0</v>
      </c>
      <c r="AE137" s="1">
        <f t="shared" si="62"/>
        <v>0</v>
      </c>
      <c r="AF137" s="1">
        <f t="shared" si="35"/>
        <v>0</v>
      </c>
      <c r="AG137" s="1">
        <f t="shared" si="36"/>
        <v>0</v>
      </c>
      <c r="AH137" s="1">
        <f t="shared" si="37"/>
        <v>0</v>
      </c>
      <c r="AI137" s="1">
        <f t="shared" si="38"/>
        <v>1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1291</v>
      </c>
      <c r="E138" s="35" t="s">
        <v>173</v>
      </c>
      <c r="F138" s="35" t="s">
        <v>1292</v>
      </c>
      <c r="G138" s="35" t="s">
        <v>239</v>
      </c>
      <c r="H138" s="35" t="s">
        <v>355</v>
      </c>
      <c r="I138" s="34" t="s">
        <v>1293</v>
      </c>
      <c r="J138" s="34">
        <v>4</v>
      </c>
      <c r="K138" s="36" t="s">
        <v>961</v>
      </c>
      <c r="L138" s="36" t="s">
        <v>39</v>
      </c>
      <c r="M138" s="37" t="s">
        <v>39</v>
      </c>
      <c r="N138" s="37" t="s">
        <v>1731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1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ref="AF138:AF203" si="91">+O138*P138*(1-A138)</f>
        <v>1</v>
      </c>
      <c r="AG138" s="1">
        <f t="shared" ref="AG138:AG203" si="92">O138*(1-P138)*(1-A138)</f>
        <v>0</v>
      </c>
      <c r="AH138" s="1">
        <f t="shared" ref="AH138:AH203" si="93">+P138*(1-A138)</f>
        <v>1</v>
      </c>
      <c r="AI138" s="1">
        <f t="shared" ref="AI138:AI203" si="94">+(1-A138)*(1-P138)</f>
        <v>0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5" t="s">
        <v>650</v>
      </c>
      <c r="E139" s="35" t="s">
        <v>173</v>
      </c>
      <c r="F139" s="35" t="s">
        <v>660</v>
      </c>
      <c r="G139" s="35" t="s">
        <v>233</v>
      </c>
      <c r="H139" s="35" t="s">
        <v>355</v>
      </c>
      <c r="I139" s="34" t="s">
        <v>614</v>
      </c>
      <c r="J139" s="34">
        <v>99</v>
      </c>
      <c r="K139" s="36" t="s">
        <v>706</v>
      </c>
      <c r="L139" s="36" t="s">
        <v>39</v>
      </c>
      <c r="M139" s="37" t="s">
        <v>39</v>
      </c>
      <c r="N139" s="37" t="s">
        <v>1737</v>
      </c>
      <c r="O139" s="38">
        <v>1</v>
      </c>
      <c r="P139" s="38">
        <v>1</v>
      </c>
      <c r="Q139" s="35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1</v>
      </c>
      <c r="AE139" s="1">
        <f t="shared" si="62"/>
        <v>0</v>
      </c>
      <c r="AF139" s="1">
        <f t="shared" si="91"/>
        <v>1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25">
      <c r="A140" s="41">
        <v>0</v>
      </c>
      <c r="B140" s="41">
        <v>1</v>
      </c>
      <c r="C140" s="41">
        <v>3</v>
      </c>
      <c r="D140" s="42" t="s">
        <v>877</v>
      </c>
      <c r="E140" s="42" t="s">
        <v>878</v>
      </c>
      <c r="F140" s="42" t="s">
        <v>879</v>
      </c>
      <c r="G140" s="42" t="s">
        <v>39</v>
      </c>
      <c r="H140" s="42" t="s">
        <v>367</v>
      </c>
      <c r="I140" s="41" t="s">
        <v>880</v>
      </c>
      <c r="J140" s="41">
        <v>18</v>
      </c>
      <c r="K140" s="43" t="s">
        <v>960</v>
      </c>
      <c r="L140" s="43" t="s">
        <v>39</v>
      </c>
      <c r="M140" s="44" t="s">
        <v>39</v>
      </c>
      <c r="N140" s="45"/>
      <c r="O140" s="46"/>
      <c r="P140" s="46">
        <v>1</v>
      </c>
      <c r="Q140" s="42"/>
      <c r="S140" s="1">
        <f t="shared" si="51"/>
        <v>0</v>
      </c>
      <c r="T140" s="1">
        <f t="shared" si="52"/>
        <v>0</v>
      </c>
      <c r="U140" s="1">
        <f t="shared" si="53"/>
        <v>0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0</v>
      </c>
      <c r="AE140" s="1">
        <f t="shared" si="62"/>
        <v>0</v>
      </c>
      <c r="AF140" s="1">
        <f t="shared" si="91"/>
        <v>0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25">
      <c r="A141" s="34">
        <v>0</v>
      </c>
      <c r="B141" s="34">
        <v>1</v>
      </c>
      <c r="C141" s="34">
        <v>3</v>
      </c>
      <c r="D141" s="35" t="s">
        <v>1311</v>
      </c>
      <c r="E141" s="35" t="s">
        <v>173</v>
      </c>
      <c r="F141" s="35" t="s">
        <v>1312</v>
      </c>
      <c r="G141" s="35" t="s">
        <v>209</v>
      </c>
      <c r="H141" s="35" t="s">
        <v>355</v>
      </c>
      <c r="I141" s="34" t="s">
        <v>1313</v>
      </c>
      <c r="J141" s="34">
        <v>3</v>
      </c>
      <c r="K141" s="36" t="s">
        <v>960</v>
      </c>
      <c r="L141" s="36" t="s">
        <v>39</v>
      </c>
      <c r="M141" s="37" t="s">
        <v>39</v>
      </c>
      <c r="N141" s="37" t="s">
        <v>1737</v>
      </c>
      <c r="O141" s="38">
        <v>1</v>
      </c>
      <c r="P141" s="38">
        <v>1</v>
      </c>
      <c r="Q141" s="35"/>
      <c r="S141" s="1">
        <f t="shared" si="51"/>
        <v>0</v>
      </c>
      <c r="T141" s="1">
        <f t="shared" si="52"/>
        <v>0</v>
      </c>
      <c r="U141" s="1">
        <f t="shared" si="53"/>
        <v>1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1</v>
      </c>
      <c r="AE141" s="1">
        <f t="shared" si="62"/>
        <v>0</v>
      </c>
      <c r="AF141" s="1">
        <f t="shared" si="91"/>
        <v>1</v>
      </c>
      <c r="AG141" s="1">
        <f t="shared" si="92"/>
        <v>0</v>
      </c>
      <c r="AH141" s="1">
        <f t="shared" si="93"/>
        <v>1</v>
      </c>
      <c r="AI141" s="1">
        <f t="shared" si="94"/>
        <v>0</v>
      </c>
    </row>
    <row r="142" spans="1:35" ht="14.25" customHeight="1" x14ac:dyDescent="0.25">
      <c r="A142" s="47">
        <v>0</v>
      </c>
      <c r="B142" s="47">
        <v>1</v>
      </c>
      <c r="C142" s="47">
        <v>3</v>
      </c>
      <c r="D142" s="48" t="s">
        <v>871</v>
      </c>
      <c r="E142" s="48" t="s">
        <v>171</v>
      </c>
      <c r="F142" s="48" t="s">
        <v>872</v>
      </c>
      <c r="G142" s="48" t="s">
        <v>39</v>
      </c>
      <c r="H142" s="48" t="s">
        <v>873</v>
      </c>
      <c r="I142" s="47" t="s">
        <v>952</v>
      </c>
      <c r="J142" s="47">
        <v>11</v>
      </c>
      <c r="K142" s="49" t="s">
        <v>706</v>
      </c>
      <c r="L142" s="49" t="s">
        <v>693</v>
      </c>
      <c r="M142" s="50" t="s">
        <v>975</v>
      </c>
      <c r="N142" s="50" t="s">
        <v>1745</v>
      </c>
      <c r="O142" s="51"/>
      <c r="P142" s="51"/>
      <c r="Q142" s="48"/>
      <c r="S142" s="1">
        <f t="shared" si="51"/>
        <v>0</v>
      </c>
      <c r="T142" s="1">
        <f t="shared" si="52"/>
        <v>0</v>
      </c>
      <c r="U142" s="1">
        <f t="shared" si="53"/>
        <v>0</v>
      </c>
      <c r="V142" s="1">
        <f t="shared" si="54"/>
        <v>0</v>
      </c>
      <c r="W142" s="1">
        <f t="shared" si="55"/>
        <v>0</v>
      </c>
      <c r="X142" s="1">
        <f t="shared" si="56"/>
        <v>0</v>
      </c>
      <c r="Y142" s="1">
        <f t="shared" si="57"/>
        <v>0</v>
      </c>
      <c r="Z142" s="1">
        <f t="shared" si="58"/>
        <v>0</v>
      </c>
      <c r="AA142" s="1">
        <f t="shared" si="59"/>
        <v>0</v>
      </c>
      <c r="AB142" s="1">
        <f t="shared" si="60"/>
        <v>0</v>
      </c>
      <c r="AD142" s="1">
        <f t="shared" si="61"/>
        <v>0</v>
      </c>
      <c r="AE142" s="1">
        <f t="shared" si="62"/>
        <v>0</v>
      </c>
      <c r="AF142" s="1">
        <f t="shared" si="91"/>
        <v>0</v>
      </c>
      <c r="AG142" s="1">
        <f t="shared" si="92"/>
        <v>0</v>
      </c>
      <c r="AH142" s="1">
        <f t="shared" si="93"/>
        <v>0</v>
      </c>
      <c r="AI142" s="1">
        <f t="shared" si="94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508</v>
      </c>
      <c r="E143" s="39" t="s">
        <v>171</v>
      </c>
      <c r="F143" s="39" t="s">
        <v>509</v>
      </c>
      <c r="G143" s="39" t="s">
        <v>506</v>
      </c>
      <c r="H143" s="39" t="s">
        <v>355</v>
      </c>
      <c r="I143" s="40" t="s">
        <v>510</v>
      </c>
      <c r="J143" s="34">
        <v>99</v>
      </c>
      <c r="K143" s="36" t="s">
        <v>707</v>
      </c>
      <c r="L143" s="36">
        <v>40</v>
      </c>
      <c r="M143" s="37" t="s">
        <v>975</v>
      </c>
      <c r="N143" s="37" t="s">
        <v>1950</v>
      </c>
      <c r="O143" s="38">
        <v>1</v>
      </c>
      <c r="P143" s="38"/>
      <c r="Q143" s="39"/>
      <c r="S143" s="1">
        <f t="shared" ref="S143:S208" si="95">IF(J143=$S$7,1,0)</f>
        <v>0</v>
      </c>
      <c r="T143" s="1">
        <f t="shared" ref="T143:T208" si="96">IF(J143=$T$7,1,0)</f>
        <v>0</v>
      </c>
      <c r="U143" s="1">
        <f t="shared" ref="U143:U208" si="97">IF(J143=$U$7,1,0)</f>
        <v>0</v>
      </c>
      <c r="V143" s="1">
        <f t="shared" ref="V143:V208" si="98">IF(J143=$V$7,1,0)</f>
        <v>0</v>
      </c>
      <c r="W143" s="1">
        <f t="shared" ref="W143:W208" si="99">IF(J143=$W$7,1,0)</f>
        <v>0</v>
      </c>
      <c r="X143" s="1">
        <f t="shared" ref="X143:X208" si="100">IF(J143=$X$7,1,0)</f>
        <v>0</v>
      </c>
      <c r="Y143" s="1">
        <f t="shared" ref="Y143:Y208" si="101">IF(J143=$Y$7,1,0)</f>
        <v>0</v>
      </c>
      <c r="Z143" s="1">
        <f t="shared" ref="Z143:Z208" si="102">IF(J143=$Z$7,1,0)</f>
        <v>0</v>
      </c>
      <c r="AA143" s="1">
        <f t="shared" ref="AA143:AA208" si="103">IF(J143=$AA$7,1,0)</f>
        <v>0</v>
      </c>
      <c r="AB143" s="1">
        <f t="shared" ref="AB143:AB208" si="104">IF(J143=$AB$7,1,0)</f>
        <v>0</v>
      </c>
      <c r="AD143" s="1">
        <f t="shared" ref="AD143:AD208" si="105">+O143*P143</f>
        <v>0</v>
      </c>
      <c r="AE143" s="1">
        <f t="shared" ref="AE143:AE208" si="106">O143*(1-P143)</f>
        <v>1</v>
      </c>
      <c r="AF143" s="1">
        <f t="shared" si="91"/>
        <v>0</v>
      </c>
      <c r="AG143" s="1">
        <f t="shared" si="92"/>
        <v>1</v>
      </c>
      <c r="AH143" s="1">
        <f t="shared" si="93"/>
        <v>0</v>
      </c>
      <c r="AI143" s="1">
        <f t="shared" si="94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9" t="s">
        <v>1796</v>
      </c>
      <c r="E144" s="39" t="s">
        <v>1797</v>
      </c>
      <c r="F144" s="39" t="s">
        <v>1798</v>
      </c>
      <c r="G144" s="39" t="s">
        <v>1799</v>
      </c>
      <c r="H144" s="39" t="s">
        <v>355</v>
      </c>
      <c r="I144" s="40" t="s">
        <v>1800</v>
      </c>
      <c r="J144" s="34">
        <v>99</v>
      </c>
      <c r="K144" s="36" t="s">
        <v>707</v>
      </c>
      <c r="L144" s="36"/>
      <c r="M144" s="37"/>
      <c r="N144" s="37" t="s">
        <v>1737</v>
      </c>
      <c r="O144" s="38">
        <v>1</v>
      </c>
      <c r="P144" s="38">
        <v>1</v>
      </c>
      <c r="Q144" s="39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531</v>
      </c>
      <c r="E145" s="35" t="s">
        <v>171</v>
      </c>
      <c r="F145" s="35" t="s">
        <v>661</v>
      </c>
      <c r="G145" s="35" t="s">
        <v>39</v>
      </c>
      <c r="H145" s="35" t="s">
        <v>532</v>
      </c>
      <c r="I145" s="34" t="s">
        <v>533</v>
      </c>
      <c r="J145" s="34">
        <v>18</v>
      </c>
      <c r="K145" s="36" t="s">
        <v>960</v>
      </c>
      <c r="L145" s="36" t="s">
        <v>1746</v>
      </c>
      <c r="M145" s="37" t="s">
        <v>974</v>
      </c>
      <c r="N145" s="37" t="s">
        <v>1737</v>
      </c>
      <c r="O145" s="38">
        <v>1</v>
      </c>
      <c r="P145" s="38">
        <v>1</v>
      </c>
      <c r="Q145" s="35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1</v>
      </c>
      <c r="AE145" s="1">
        <f t="shared" si="106"/>
        <v>0</v>
      </c>
      <c r="AF145" s="1">
        <f t="shared" si="91"/>
        <v>1</v>
      </c>
      <c r="AG145" s="1">
        <f t="shared" si="92"/>
        <v>0</v>
      </c>
      <c r="AH145" s="1">
        <f t="shared" si="93"/>
        <v>1</v>
      </c>
      <c r="AI145" s="1">
        <f t="shared" si="94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979</v>
      </c>
      <c r="E146" s="48" t="s">
        <v>176</v>
      </c>
      <c r="F146" s="48" t="s">
        <v>809</v>
      </c>
      <c r="G146" s="48" t="s">
        <v>39</v>
      </c>
      <c r="H146" s="48" t="s">
        <v>810</v>
      </c>
      <c r="I146" s="47" t="s">
        <v>811</v>
      </c>
      <c r="J146" s="47">
        <v>16</v>
      </c>
      <c r="K146" s="49" t="s">
        <v>961</v>
      </c>
      <c r="L146" s="49" t="s">
        <v>1145</v>
      </c>
      <c r="M146" s="50" t="s">
        <v>974</v>
      </c>
      <c r="N146" s="50" t="s">
        <v>1743</v>
      </c>
      <c r="O146" s="51"/>
      <c r="P146" s="51"/>
      <c r="Q146" s="48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0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0</v>
      </c>
      <c r="AE146" s="1">
        <f t="shared" si="106"/>
        <v>0</v>
      </c>
      <c r="AF146" s="1">
        <f t="shared" si="91"/>
        <v>0</v>
      </c>
      <c r="AG146" s="1">
        <f t="shared" si="92"/>
        <v>0</v>
      </c>
      <c r="AH146" s="1">
        <f t="shared" si="93"/>
        <v>0</v>
      </c>
      <c r="AI146" s="1">
        <f t="shared" si="94"/>
        <v>1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1202</v>
      </c>
      <c r="E147" s="35" t="s">
        <v>173</v>
      </c>
      <c r="F147" s="35" t="s">
        <v>1203</v>
      </c>
      <c r="G147" s="35" t="s">
        <v>239</v>
      </c>
      <c r="H147" s="35" t="s">
        <v>355</v>
      </c>
      <c r="I147" s="34" t="s">
        <v>1204</v>
      </c>
      <c r="J147" s="34">
        <v>4</v>
      </c>
      <c r="K147" s="36" t="s">
        <v>967</v>
      </c>
      <c r="L147" s="36" t="s">
        <v>1703</v>
      </c>
      <c r="M147" s="37" t="s">
        <v>1608</v>
      </c>
      <c r="N147" s="37" t="s">
        <v>1731</v>
      </c>
      <c r="O147" s="38">
        <v>1</v>
      </c>
      <c r="P147" s="38">
        <v>1</v>
      </c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1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1</v>
      </c>
      <c r="AE147" s="1">
        <f t="shared" si="106"/>
        <v>0</v>
      </c>
      <c r="AF147" s="1">
        <f t="shared" si="91"/>
        <v>1</v>
      </c>
      <c r="AG147" s="1">
        <f t="shared" si="92"/>
        <v>0</v>
      </c>
      <c r="AH147" s="1">
        <f t="shared" si="93"/>
        <v>1</v>
      </c>
      <c r="AI147" s="1">
        <f t="shared" si="94"/>
        <v>0</v>
      </c>
    </row>
    <row r="148" spans="1:35" ht="14.25" customHeight="1" x14ac:dyDescent="0.25">
      <c r="A148" s="34">
        <v>0</v>
      </c>
      <c r="B148" s="34">
        <v>1</v>
      </c>
      <c r="C148" s="34">
        <v>3</v>
      </c>
      <c r="D148" s="35" t="s">
        <v>1645</v>
      </c>
      <c r="E148" s="35" t="s">
        <v>171</v>
      </c>
      <c r="F148" s="35" t="s">
        <v>1480</v>
      </c>
      <c r="G148" s="35" t="s">
        <v>1673</v>
      </c>
      <c r="H148" s="35" t="s">
        <v>355</v>
      </c>
      <c r="I148" s="34" t="s">
        <v>1479</v>
      </c>
      <c r="J148" s="34">
        <v>99</v>
      </c>
      <c r="K148" s="36" t="s">
        <v>706</v>
      </c>
      <c r="L148" s="36" t="s">
        <v>1708</v>
      </c>
      <c r="M148" s="37" t="s">
        <v>1481</v>
      </c>
      <c r="N148" s="37" t="s">
        <v>1753</v>
      </c>
      <c r="O148" s="38">
        <v>1</v>
      </c>
      <c r="P148" s="38"/>
      <c r="Q148" s="35"/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1</v>
      </c>
      <c r="AF148" s="1">
        <f t="shared" si="91"/>
        <v>0</v>
      </c>
      <c r="AG148" s="1">
        <f t="shared" si="92"/>
        <v>1</v>
      </c>
      <c r="AH148" s="1">
        <f t="shared" si="93"/>
        <v>0</v>
      </c>
      <c r="AI148" s="1">
        <f t="shared" si="94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1952</v>
      </c>
      <c r="E149" s="20" t="s">
        <v>173</v>
      </c>
      <c r="F149" s="20" t="s">
        <v>1968</v>
      </c>
      <c r="G149" s="20"/>
      <c r="H149" s="20" t="s">
        <v>1967</v>
      </c>
      <c r="I149" s="21" t="s">
        <v>1966</v>
      </c>
      <c r="J149" s="15">
        <v>14</v>
      </c>
      <c r="K149" s="10" t="s">
        <v>707</v>
      </c>
      <c r="L149" s="10" t="s">
        <v>701</v>
      </c>
      <c r="M149" s="19" t="s">
        <v>975</v>
      </c>
      <c r="N149" s="17"/>
      <c r="Q149" s="20" t="s">
        <v>1969</v>
      </c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0</v>
      </c>
      <c r="AF149" s="1">
        <f t="shared" si="91"/>
        <v>0</v>
      </c>
      <c r="AG149" s="1">
        <f t="shared" si="92"/>
        <v>0</v>
      </c>
      <c r="AH149" s="1">
        <f t="shared" si="93"/>
        <v>0</v>
      </c>
      <c r="AI149" s="1">
        <f t="shared" si="94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145</v>
      </c>
      <c r="E150" s="35" t="s">
        <v>173</v>
      </c>
      <c r="F150" s="35" t="s">
        <v>348</v>
      </c>
      <c r="G150" s="35" t="s">
        <v>39</v>
      </c>
      <c r="H150" s="35" t="s">
        <v>379</v>
      </c>
      <c r="I150" s="34" t="s">
        <v>1366</v>
      </c>
      <c r="J150" s="34">
        <v>14</v>
      </c>
      <c r="K150" s="36" t="s">
        <v>960</v>
      </c>
      <c r="L150" s="36" t="s">
        <v>693</v>
      </c>
      <c r="M150" s="37" t="s">
        <v>695</v>
      </c>
      <c r="N150" s="37" t="s">
        <v>1752</v>
      </c>
      <c r="O150" s="38">
        <v>1</v>
      </c>
      <c r="P150" s="38"/>
      <c r="Q150" s="35"/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0</v>
      </c>
      <c r="AE150" s="1">
        <f t="shared" si="106"/>
        <v>1</v>
      </c>
      <c r="AF150" s="1">
        <f t="shared" si="91"/>
        <v>0</v>
      </c>
      <c r="AG150" s="1">
        <f t="shared" si="92"/>
        <v>1</v>
      </c>
      <c r="AH150" s="1">
        <f t="shared" si="93"/>
        <v>0</v>
      </c>
      <c r="AI150" s="1">
        <f t="shared" si="94"/>
        <v>1</v>
      </c>
    </row>
    <row r="151" spans="1:35" ht="14.25" customHeight="1" x14ac:dyDescent="0.25">
      <c r="A151" s="34">
        <v>0</v>
      </c>
      <c r="B151" s="34">
        <v>1</v>
      </c>
      <c r="C151" s="34">
        <v>3</v>
      </c>
      <c r="D151" s="35" t="s">
        <v>1571</v>
      </c>
      <c r="E151" s="35" t="s">
        <v>173</v>
      </c>
      <c r="F151" s="35" t="s">
        <v>1572</v>
      </c>
      <c r="G151" s="35" t="s">
        <v>39</v>
      </c>
      <c r="H151" s="35" t="s">
        <v>1573</v>
      </c>
      <c r="I151" s="34" t="s">
        <v>1574</v>
      </c>
      <c r="J151" s="34">
        <v>17</v>
      </c>
      <c r="K151" s="36" t="s">
        <v>726</v>
      </c>
      <c r="L151" s="36" t="s">
        <v>39</v>
      </c>
      <c r="M151" s="37" t="s">
        <v>39</v>
      </c>
      <c r="N151" s="37" t="s">
        <v>1737</v>
      </c>
      <c r="O151" s="38">
        <v>1</v>
      </c>
      <c r="P151" s="38">
        <v>1</v>
      </c>
      <c r="Q151" s="35" t="s">
        <v>1917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1</v>
      </c>
      <c r="AE151" s="1">
        <f t="shared" si="106"/>
        <v>0</v>
      </c>
      <c r="AF151" s="1">
        <f t="shared" si="91"/>
        <v>1</v>
      </c>
      <c r="AG151" s="1">
        <f t="shared" si="92"/>
        <v>0</v>
      </c>
      <c r="AH151" s="1">
        <f t="shared" si="93"/>
        <v>1</v>
      </c>
      <c r="AI151" s="1">
        <f t="shared" si="94"/>
        <v>0</v>
      </c>
    </row>
    <row r="152" spans="1:35" ht="14.25" customHeight="1" x14ac:dyDescent="0.25">
      <c r="A152" s="47">
        <v>0</v>
      </c>
      <c r="B152" s="47">
        <v>1</v>
      </c>
      <c r="C152" s="47">
        <v>3</v>
      </c>
      <c r="D152" s="48" t="s">
        <v>154</v>
      </c>
      <c r="E152" s="48" t="s">
        <v>173</v>
      </c>
      <c r="F152" s="48" t="s">
        <v>354</v>
      </c>
      <c r="G152" s="48" t="s">
        <v>39</v>
      </c>
      <c r="H152" s="68" t="s">
        <v>1873</v>
      </c>
      <c r="I152" s="47" t="s">
        <v>502</v>
      </c>
      <c r="J152" s="47">
        <v>14</v>
      </c>
      <c r="K152" s="49" t="s">
        <v>706</v>
      </c>
      <c r="L152" s="49" t="s">
        <v>693</v>
      </c>
      <c r="M152" s="50" t="s">
        <v>974</v>
      </c>
      <c r="N152" s="50" t="s">
        <v>1743</v>
      </c>
      <c r="O152" s="51"/>
      <c r="P152" s="51"/>
      <c r="Q152" s="68" t="s">
        <v>1900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743</v>
      </c>
      <c r="E153" s="16" t="s">
        <v>173</v>
      </c>
      <c r="F153" s="16" t="s">
        <v>744</v>
      </c>
      <c r="G153" s="16" t="s">
        <v>39</v>
      </c>
      <c r="H153" s="16" t="s">
        <v>745</v>
      </c>
      <c r="I153" s="15" t="s">
        <v>746</v>
      </c>
      <c r="J153" s="15">
        <v>17</v>
      </c>
      <c r="K153" s="10" t="s">
        <v>726</v>
      </c>
      <c r="L153" s="10" t="s">
        <v>701</v>
      </c>
      <c r="M153" s="19" t="s">
        <v>695</v>
      </c>
      <c r="N153" s="17"/>
      <c r="Q153" s="16" t="s">
        <v>1891</v>
      </c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908</v>
      </c>
      <c r="E154" s="48" t="s">
        <v>173</v>
      </c>
      <c r="F154" s="48" t="s">
        <v>1100</v>
      </c>
      <c r="G154" s="48" t="s">
        <v>39</v>
      </c>
      <c r="H154" s="48" t="s">
        <v>910</v>
      </c>
      <c r="I154" s="47" t="s">
        <v>909</v>
      </c>
      <c r="J154" s="47">
        <v>11</v>
      </c>
      <c r="K154" s="49" t="s">
        <v>961</v>
      </c>
      <c r="L154" s="49">
        <v>60</v>
      </c>
      <c r="M154" s="50" t="s">
        <v>39</v>
      </c>
      <c r="N154" s="50" t="s">
        <v>1743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123</v>
      </c>
      <c r="E155" s="48" t="s">
        <v>176</v>
      </c>
      <c r="F155" s="48" t="s">
        <v>325</v>
      </c>
      <c r="G155" s="48" t="s">
        <v>39</v>
      </c>
      <c r="H155" s="48" t="s">
        <v>364</v>
      </c>
      <c r="I155" s="47" t="s">
        <v>471</v>
      </c>
      <c r="J155" s="47">
        <v>14</v>
      </c>
      <c r="K155" s="49" t="s">
        <v>726</v>
      </c>
      <c r="L155" s="49" t="s">
        <v>697</v>
      </c>
      <c r="M155" s="50" t="s">
        <v>1383</v>
      </c>
      <c r="N155" s="50" t="s">
        <v>1813</v>
      </c>
      <c r="O155" s="51"/>
      <c r="P155" s="51"/>
      <c r="Q155" s="48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0</v>
      </c>
      <c r="AF155" s="1">
        <f t="shared" si="91"/>
        <v>0</v>
      </c>
      <c r="AG155" s="1">
        <f t="shared" si="92"/>
        <v>0</v>
      </c>
      <c r="AH155" s="1">
        <f t="shared" si="93"/>
        <v>0</v>
      </c>
      <c r="AI155" s="1">
        <f t="shared" si="94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1173</v>
      </c>
      <c r="E156" s="16" t="s">
        <v>173</v>
      </c>
      <c r="F156" s="16" t="s">
        <v>1175</v>
      </c>
      <c r="G156" s="16" t="s">
        <v>771</v>
      </c>
      <c r="H156" s="16" t="s">
        <v>355</v>
      </c>
      <c r="I156" s="15" t="s">
        <v>1174</v>
      </c>
      <c r="J156" s="15">
        <v>99</v>
      </c>
      <c r="K156" s="10" t="s">
        <v>707</v>
      </c>
      <c r="L156" s="10">
        <v>30</v>
      </c>
      <c r="M156" s="19" t="s">
        <v>974</v>
      </c>
      <c r="N156" s="19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747</v>
      </c>
      <c r="E157" s="16" t="s">
        <v>171</v>
      </c>
      <c r="F157" s="16" t="s">
        <v>748</v>
      </c>
      <c r="G157" s="16" t="s">
        <v>39</v>
      </c>
      <c r="H157" s="16" t="s">
        <v>749</v>
      </c>
      <c r="I157" s="15" t="s">
        <v>750</v>
      </c>
      <c r="J157" s="15">
        <v>17</v>
      </c>
      <c r="K157" s="10" t="s">
        <v>707</v>
      </c>
      <c r="L157" s="10" t="s">
        <v>701</v>
      </c>
      <c r="M157" s="19" t="s">
        <v>975</v>
      </c>
      <c r="N157" s="17"/>
      <c r="Q157" s="16"/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1951</v>
      </c>
      <c r="E158" s="20" t="s">
        <v>173</v>
      </c>
      <c r="F158" s="20" t="s">
        <v>1962</v>
      </c>
      <c r="G158" s="20"/>
      <c r="H158" s="20" t="s">
        <v>1963</v>
      </c>
      <c r="I158" s="21" t="s">
        <v>1964</v>
      </c>
      <c r="J158" s="15">
        <v>16</v>
      </c>
      <c r="K158" s="10" t="s">
        <v>707</v>
      </c>
      <c r="L158" s="10" t="s">
        <v>701</v>
      </c>
      <c r="M158" s="19" t="s">
        <v>975</v>
      </c>
      <c r="N158" s="17"/>
      <c r="Q158" s="20" t="s">
        <v>1961</v>
      </c>
      <c r="S158" s="1">
        <f t="shared" si="95"/>
        <v>0</v>
      </c>
      <c r="T158" s="1">
        <f t="shared" si="96"/>
        <v>0</v>
      </c>
      <c r="U158" s="1">
        <f t="shared" si="97"/>
        <v>0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5" ht="14.25" customHeight="1" x14ac:dyDescent="0.25">
      <c r="A159" s="47">
        <v>0</v>
      </c>
      <c r="B159" s="47">
        <v>1</v>
      </c>
      <c r="C159" s="47">
        <v>3</v>
      </c>
      <c r="D159" s="48" t="s">
        <v>838</v>
      </c>
      <c r="E159" s="48" t="s">
        <v>918</v>
      </c>
      <c r="F159" s="48" t="s">
        <v>839</v>
      </c>
      <c r="G159" s="48" t="s">
        <v>209</v>
      </c>
      <c r="H159" s="48" t="s">
        <v>355</v>
      </c>
      <c r="I159" s="47" t="s">
        <v>840</v>
      </c>
      <c r="J159" s="47">
        <v>3</v>
      </c>
      <c r="K159" s="49" t="s">
        <v>726</v>
      </c>
      <c r="L159" s="49" t="s">
        <v>697</v>
      </c>
      <c r="M159" s="50" t="s">
        <v>702</v>
      </c>
      <c r="N159" s="50" t="s">
        <v>1744</v>
      </c>
      <c r="O159" s="51"/>
      <c r="P159" s="51"/>
      <c r="Q159" s="48"/>
      <c r="S159" s="1">
        <f t="shared" si="95"/>
        <v>0</v>
      </c>
      <c r="T159" s="1">
        <f t="shared" si="96"/>
        <v>0</v>
      </c>
      <c r="U159" s="1">
        <f t="shared" si="97"/>
        <v>1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1957</v>
      </c>
      <c r="E160" s="20" t="s">
        <v>173</v>
      </c>
      <c r="F160" s="20" t="s">
        <v>1959</v>
      </c>
      <c r="G160" s="20"/>
      <c r="H160" s="20" t="s">
        <v>1960</v>
      </c>
      <c r="I160" s="21" t="s">
        <v>1958</v>
      </c>
      <c r="J160" s="15">
        <v>16</v>
      </c>
      <c r="K160" s="10" t="s">
        <v>707</v>
      </c>
      <c r="L160" s="10" t="s">
        <v>701</v>
      </c>
      <c r="M160" s="19" t="s">
        <v>975</v>
      </c>
      <c r="N160" s="17"/>
      <c r="Q160" s="20" t="s">
        <v>1965</v>
      </c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25">
      <c r="A161" s="47">
        <v>0</v>
      </c>
      <c r="B161" s="47">
        <v>1</v>
      </c>
      <c r="C161" s="47">
        <v>3</v>
      </c>
      <c r="D161" s="48" t="s">
        <v>1213</v>
      </c>
      <c r="E161" s="48" t="s">
        <v>173</v>
      </c>
      <c r="F161" s="48" t="s">
        <v>1215</v>
      </c>
      <c r="G161" s="48" t="s">
        <v>186</v>
      </c>
      <c r="H161" s="48" t="s">
        <v>355</v>
      </c>
      <c r="I161" s="47" t="s">
        <v>1214</v>
      </c>
      <c r="J161" s="47">
        <v>99</v>
      </c>
      <c r="K161" s="49" t="s">
        <v>962</v>
      </c>
      <c r="L161" s="49" t="s">
        <v>693</v>
      </c>
      <c r="M161" s="50" t="s">
        <v>975</v>
      </c>
      <c r="N161" s="50" t="s">
        <v>1738</v>
      </c>
      <c r="O161" s="51"/>
      <c r="P161" s="51"/>
      <c r="Q161" s="48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0</v>
      </c>
      <c r="AB161" s="1">
        <f t="shared" si="104"/>
        <v>0</v>
      </c>
      <c r="AD161" s="1">
        <f t="shared" si="105"/>
        <v>0</v>
      </c>
      <c r="AE161" s="1">
        <f t="shared" si="106"/>
        <v>0</v>
      </c>
      <c r="AF161" s="1">
        <f t="shared" si="91"/>
        <v>0</v>
      </c>
      <c r="AG161" s="1">
        <f t="shared" si="92"/>
        <v>0</v>
      </c>
      <c r="AH161" s="1">
        <f t="shared" si="93"/>
        <v>0</v>
      </c>
      <c r="AI161" s="1">
        <f t="shared" si="94"/>
        <v>1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634</v>
      </c>
      <c r="E162" s="35" t="s">
        <v>171</v>
      </c>
      <c r="F162" s="35" t="s">
        <v>635</v>
      </c>
      <c r="G162" s="35" t="s">
        <v>195</v>
      </c>
      <c r="H162" s="35" t="s">
        <v>355</v>
      </c>
      <c r="I162" s="34" t="s">
        <v>636</v>
      </c>
      <c r="J162" s="34">
        <v>9</v>
      </c>
      <c r="K162" s="36" t="s">
        <v>961</v>
      </c>
      <c r="L162" s="36" t="s">
        <v>1703</v>
      </c>
      <c r="M162" s="37" t="s">
        <v>974</v>
      </c>
      <c r="N162" s="37" t="s">
        <v>1731</v>
      </c>
      <c r="O162" s="38">
        <v>1</v>
      </c>
      <c r="P162" s="38">
        <v>1</v>
      </c>
      <c r="Q162" s="35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1</v>
      </c>
      <c r="AB162" s="1">
        <f t="shared" si="104"/>
        <v>0</v>
      </c>
      <c r="AD162" s="1">
        <f t="shared" si="105"/>
        <v>1</v>
      </c>
      <c r="AE162" s="1">
        <f t="shared" si="106"/>
        <v>0</v>
      </c>
      <c r="AF162" s="1">
        <f t="shared" si="91"/>
        <v>1</v>
      </c>
      <c r="AG162" s="1">
        <f t="shared" si="92"/>
        <v>0</v>
      </c>
      <c r="AH162" s="1">
        <f t="shared" si="93"/>
        <v>1</v>
      </c>
      <c r="AI162" s="1">
        <f t="shared" si="94"/>
        <v>0</v>
      </c>
    </row>
    <row r="163" spans="1:35" ht="14.25" customHeight="1" x14ac:dyDescent="0.25">
      <c r="A163" s="47">
        <v>0</v>
      </c>
      <c r="B163" s="47">
        <v>1</v>
      </c>
      <c r="C163" s="47">
        <v>3</v>
      </c>
      <c r="D163" s="48" t="s">
        <v>132</v>
      </c>
      <c r="E163" s="48" t="s">
        <v>686</v>
      </c>
      <c r="F163" s="48" t="s">
        <v>335</v>
      </c>
      <c r="G163" s="48" t="s">
        <v>39</v>
      </c>
      <c r="H163" s="48" t="s">
        <v>363</v>
      </c>
      <c r="I163" s="47" t="s">
        <v>482</v>
      </c>
      <c r="J163" s="47">
        <v>12</v>
      </c>
      <c r="K163" s="49" t="s">
        <v>726</v>
      </c>
      <c r="L163" s="49">
        <v>35</v>
      </c>
      <c r="M163" s="50" t="s">
        <v>39</v>
      </c>
      <c r="N163" s="50" t="s">
        <v>1806</v>
      </c>
      <c r="O163" s="51"/>
      <c r="P163" s="51"/>
      <c r="Q163" s="48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830</v>
      </c>
      <c r="E164" s="16" t="s">
        <v>173</v>
      </c>
      <c r="F164" s="16" t="s">
        <v>831</v>
      </c>
      <c r="G164" s="16" t="s">
        <v>39</v>
      </c>
      <c r="H164" s="16" t="s">
        <v>376</v>
      </c>
      <c r="I164" s="15" t="s">
        <v>829</v>
      </c>
      <c r="J164" s="15">
        <v>12</v>
      </c>
      <c r="K164" s="10" t="s">
        <v>707</v>
      </c>
      <c r="L164" s="10">
        <v>40</v>
      </c>
      <c r="M164" s="19" t="s">
        <v>974</v>
      </c>
      <c r="N164" s="19"/>
      <c r="Q164" s="16"/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0</v>
      </c>
      <c r="AE164" s="1">
        <f t="shared" si="106"/>
        <v>0</v>
      </c>
      <c r="AF164" s="1">
        <f t="shared" si="91"/>
        <v>0</v>
      </c>
      <c r="AG164" s="1">
        <f t="shared" si="92"/>
        <v>0</v>
      </c>
      <c r="AH164" s="1">
        <f t="shared" si="93"/>
        <v>0</v>
      </c>
      <c r="AI164" s="1">
        <f t="shared" si="94"/>
        <v>1</v>
      </c>
    </row>
    <row r="165" spans="1:35" ht="14.25" customHeight="1" x14ac:dyDescent="0.25">
      <c r="A165" s="34">
        <v>0</v>
      </c>
      <c r="B165" s="34">
        <v>1</v>
      </c>
      <c r="C165" s="34">
        <v>3</v>
      </c>
      <c r="D165" s="35" t="s">
        <v>142</v>
      </c>
      <c r="E165" s="35" t="s">
        <v>173</v>
      </c>
      <c r="F165" s="35" t="s">
        <v>344</v>
      </c>
      <c r="G165" s="35" t="s">
        <v>39</v>
      </c>
      <c r="H165" s="35" t="s">
        <v>378</v>
      </c>
      <c r="I165" s="34" t="s">
        <v>491</v>
      </c>
      <c r="J165" s="34">
        <v>15</v>
      </c>
      <c r="K165" s="36" t="s">
        <v>706</v>
      </c>
      <c r="L165" s="36" t="s">
        <v>696</v>
      </c>
      <c r="M165" s="37" t="s">
        <v>695</v>
      </c>
      <c r="N165" s="37" t="s">
        <v>1737</v>
      </c>
      <c r="O165" s="38">
        <v>1</v>
      </c>
      <c r="P165" s="38">
        <v>1</v>
      </c>
      <c r="Q165" s="39" t="s">
        <v>1895</v>
      </c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1</v>
      </c>
      <c r="AE165" s="1">
        <f t="shared" si="106"/>
        <v>0</v>
      </c>
      <c r="AF165" s="1">
        <f t="shared" si="91"/>
        <v>1</v>
      </c>
      <c r="AG165" s="1">
        <f t="shared" si="92"/>
        <v>0</v>
      </c>
      <c r="AH165" s="1">
        <f t="shared" si="93"/>
        <v>1</v>
      </c>
      <c r="AI165" s="1">
        <f t="shared" si="94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751</v>
      </c>
      <c r="E166" s="16" t="s">
        <v>612</v>
      </c>
      <c r="F166" s="16" t="s">
        <v>752</v>
      </c>
      <c r="G166" s="16" t="s">
        <v>39</v>
      </c>
      <c r="H166" s="16" t="s">
        <v>753</v>
      </c>
      <c r="I166" s="15" t="s">
        <v>754</v>
      </c>
      <c r="J166" s="15">
        <v>18</v>
      </c>
      <c r="K166" s="10" t="s">
        <v>707</v>
      </c>
      <c r="L166" s="10" t="s">
        <v>701</v>
      </c>
      <c r="M166" s="19" t="s">
        <v>695</v>
      </c>
      <c r="N166" s="17"/>
      <c r="Q166" s="16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0</v>
      </c>
      <c r="AE166" s="1">
        <f t="shared" si="106"/>
        <v>0</v>
      </c>
      <c r="AF166" s="1">
        <f t="shared" si="91"/>
        <v>0</v>
      </c>
      <c r="AG166" s="1">
        <f t="shared" si="92"/>
        <v>0</v>
      </c>
      <c r="AH166" s="1">
        <f t="shared" si="93"/>
        <v>0</v>
      </c>
      <c r="AI166" s="1">
        <f t="shared" si="94"/>
        <v>1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9" t="s">
        <v>1845</v>
      </c>
      <c r="E167" s="35" t="s">
        <v>1091</v>
      </c>
      <c r="F167" s="35" t="s">
        <v>1830</v>
      </c>
      <c r="G167" s="35"/>
      <c r="H167" s="35" t="s">
        <v>373</v>
      </c>
      <c r="I167" s="34" t="s">
        <v>1831</v>
      </c>
      <c r="J167" s="34">
        <v>16</v>
      </c>
      <c r="K167" s="36" t="s">
        <v>707</v>
      </c>
      <c r="L167" s="36"/>
      <c r="M167" s="37"/>
      <c r="N167" s="37" t="s">
        <v>1731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25">
      <c r="A168" s="34">
        <v>0</v>
      </c>
      <c r="B168" s="34">
        <v>1</v>
      </c>
      <c r="C168" s="34">
        <v>3</v>
      </c>
      <c r="D168" s="35" t="s">
        <v>983</v>
      </c>
      <c r="E168" s="35" t="s">
        <v>612</v>
      </c>
      <c r="F168" s="35" t="s">
        <v>984</v>
      </c>
      <c r="G168" s="35" t="s">
        <v>204</v>
      </c>
      <c r="H168" s="35" t="s">
        <v>355</v>
      </c>
      <c r="I168" s="34" t="s">
        <v>985</v>
      </c>
      <c r="J168" s="34">
        <v>99</v>
      </c>
      <c r="K168" s="36" t="s">
        <v>960</v>
      </c>
      <c r="L168" s="36" t="s">
        <v>39</v>
      </c>
      <c r="M168" s="37" t="s">
        <v>39</v>
      </c>
      <c r="N168" s="37" t="s">
        <v>1731</v>
      </c>
      <c r="O168" s="38">
        <v>1</v>
      </c>
      <c r="P168" s="38">
        <v>1</v>
      </c>
      <c r="Q168" s="35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1</v>
      </c>
      <c r="AE168" s="1">
        <f t="shared" si="106"/>
        <v>0</v>
      </c>
      <c r="AF168" s="1">
        <f t="shared" si="91"/>
        <v>1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25">
      <c r="A169" s="41">
        <v>0</v>
      </c>
      <c r="B169" s="41">
        <v>1</v>
      </c>
      <c r="C169" s="41">
        <v>3</v>
      </c>
      <c r="D169" s="42" t="s">
        <v>150</v>
      </c>
      <c r="E169" s="42" t="s">
        <v>173</v>
      </c>
      <c r="F169" s="42" t="s">
        <v>351</v>
      </c>
      <c r="G169" s="42" t="s">
        <v>39</v>
      </c>
      <c r="H169" s="42" t="s">
        <v>381</v>
      </c>
      <c r="I169" s="41" t="s">
        <v>498</v>
      </c>
      <c r="J169" s="41">
        <v>14</v>
      </c>
      <c r="K169" s="43" t="s">
        <v>968</v>
      </c>
      <c r="L169" s="43" t="s">
        <v>39</v>
      </c>
      <c r="M169" s="44" t="s">
        <v>39</v>
      </c>
      <c r="N169" s="45"/>
      <c r="O169" s="46"/>
      <c r="P169" s="46">
        <v>1</v>
      </c>
      <c r="Q169" s="42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0</v>
      </c>
      <c r="AE169" s="1">
        <f t="shared" si="106"/>
        <v>0</v>
      </c>
      <c r="AF169" s="1">
        <f t="shared" si="91"/>
        <v>0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70">
        <v>0</v>
      </c>
      <c r="B170" s="70">
        <v>1</v>
      </c>
      <c r="C170" s="70">
        <v>3</v>
      </c>
      <c r="D170" s="57" t="s">
        <v>1993</v>
      </c>
      <c r="E170" s="57" t="s">
        <v>1994</v>
      </c>
      <c r="F170" s="57" t="s">
        <v>1995</v>
      </c>
      <c r="G170" s="57" t="s">
        <v>537</v>
      </c>
      <c r="H170" s="57" t="s">
        <v>355</v>
      </c>
      <c r="I170" s="70" t="s">
        <v>1996</v>
      </c>
      <c r="J170" s="70"/>
      <c r="K170" s="70" t="s">
        <v>707</v>
      </c>
      <c r="L170" s="70"/>
      <c r="M170" s="57"/>
      <c r="N170" s="57"/>
      <c r="O170" s="71"/>
      <c r="P170" s="71">
        <v>1</v>
      </c>
      <c r="Q170" s="57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0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0</v>
      </c>
      <c r="AE170" s="1">
        <f t="shared" si="106"/>
        <v>0</v>
      </c>
      <c r="AF170" s="1">
        <f t="shared" si="91"/>
        <v>0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25">
      <c r="A171" s="34">
        <v>0</v>
      </c>
      <c r="B171" s="34">
        <v>1</v>
      </c>
      <c r="C171" s="34">
        <v>3</v>
      </c>
      <c r="D171" s="35" t="s">
        <v>637</v>
      </c>
      <c r="E171" s="35" t="s">
        <v>173</v>
      </c>
      <c r="F171" s="35" t="s">
        <v>639</v>
      </c>
      <c r="G171" s="35" t="s">
        <v>239</v>
      </c>
      <c r="H171" s="35" t="s">
        <v>355</v>
      </c>
      <c r="I171" s="34" t="s">
        <v>638</v>
      </c>
      <c r="J171" s="34">
        <v>4</v>
      </c>
      <c r="K171" s="36" t="s">
        <v>960</v>
      </c>
      <c r="L171" s="36" t="s">
        <v>39</v>
      </c>
      <c r="M171" s="37" t="s">
        <v>39</v>
      </c>
      <c r="N171" s="37" t="s">
        <v>1737</v>
      </c>
      <c r="O171" s="38">
        <v>1</v>
      </c>
      <c r="P171" s="38">
        <v>1</v>
      </c>
      <c r="Q171" s="35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1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1</v>
      </c>
      <c r="AE171" s="1">
        <f t="shared" si="106"/>
        <v>0</v>
      </c>
      <c r="AF171" s="1">
        <f t="shared" si="91"/>
        <v>1</v>
      </c>
      <c r="AG171" s="1">
        <f t="shared" si="92"/>
        <v>0</v>
      </c>
      <c r="AH171" s="1">
        <f t="shared" si="93"/>
        <v>1</v>
      </c>
      <c r="AI171" s="1">
        <f t="shared" si="94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1532</v>
      </c>
      <c r="E172" s="16" t="s">
        <v>1091</v>
      </c>
      <c r="F172" s="16" t="s">
        <v>1533</v>
      </c>
      <c r="G172" s="16" t="s">
        <v>219</v>
      </c>
      <c r="H172" s="16" t="s">
        <v>355</v>
      </c>
      <c r="I172" s="15" t="s">
        <v>1534</v>
      </c>
      <c r="J172" s="15">
        <v>99</v>
      </c>
      <c r="K172" s="10" t="s">
        <v>707</v>
      </c>
      <c r="L172" s="10">
        <v>40</v>
      </c>
      <c r="M172" s="19" t="s">
        <v>974</v>
      </c>
      <c r="N172" s="19"/>
      <c r="Q172" s="16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0</v>
      </c>
      <c r="AF172" s="1">
        <f t="shared" si="91"/>
        <v>0</v>
      </c>
      <c r="AG172" s="1">
        <f t="shared" si="92"/>
        <v>0</v>
      </c>
      <c r="AH172" s="1">
        <f t="shared" si="93"/>
        <v>0</v>
      </c>
      <c r="AI172" s="1">
        <f t="shared" si="94"/>
        <v>1</v>
      </c>
    </row>
    <row r="173" spans="1:35" ht="14.25" customHeight="1" x14ac:dyDescent="0.25">
      <c r="A173" s="34">
        <v>0</v>
      </c>
      <c r="B173" s="34">
        <v>1</v>
      </c>
      <c r="C173" s="34">
        <v>3</v>
      </c>
      <c r="D173" s="35" t="s">
        <v>102</v>
      </c>
      <c r="E173" s="35" t="s">
        <v>173</v>
      </c>
      <c r="F173" s="35" t="s">
        <v>300</v>
      </c>
      <c r="G173" s="35" t="s">
        <v>301</v>
      </c>
      <c r="H173" s="35" t="s">
        <v>355</v>
      </c>
      <c r="I173" s="34" t="s">
        <v>450</v>
      </c>
      <c r="J173" s="34">
        <v>99</v>
      </c>
      <c r="K173" s="36" t="s">
        <v>962</v>
      </c>
      <c r="L173" s="36" t="s">
        <v>697</v>
      </c>
      <c r="M173" s="37" t="s">
        <v>695</v>
      </c>
      <c r="N173" s="37" t="s">
        <v>1747</v>
      </c>
      <c r="O173" s="38">
        <v>1</v>
      </c>
      <c r="P173" s="38"/>
      <c r="Q173" s="35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1</v>
      </c>
      <c r="AF173" s="1">
        <f t="shared" si="91"/>
        <v>0</v>
      </c>
      <c r="AG173" s="1">
        <f t="shared" si="92"/>
        <v>1</v>
      </c>
      <c r="AH173" s="1">
        <f t="shared" si="93"/>
        <v>0</v>
      </c>
      <c r="AI173" s="1">
        <f t="shared" si="94"/>
        <v>1</v>
      </c>
    </row>
    <row r="174" spans="1:35" ht="14.25" customHeight="1" x14ac:dyDescent="0.25">
      <c r="A174" s="47">
        <v>0</v>
      </c>
      <c r="B174" s="47">
        <v>1</v>
      </c>
      <c r="C174" s="47">
        <v>3</v>
      </c>
      <c r="D174" s="48" t="s">
        <v>994</v>
      </c>
      <c r="E174" s="48" t="s">
        <v>173</v>
      </c>
      <c r="F174" s="48" t="s">
        <v>997</v>
      </c>
      <c r="G174" s="48" t="s">
        <v>39</v>
      </c>
      <c r="H174" s="48" t="s">
        <v>996</v>
      </c>
      <c r="I174" s="47" t="s">
        <v>995</v>
      </c>
      <c r="J174" s="47">
        <v>14</v>
      </c>
      <c r="K174" s="49" t="s">
        <v>726</v>
      </c>
      <c r="L174" s="49" t="s">
        <v>698</v>
      </c>
      <c r="M174" s="50" t="s">
        <v>975</v>
      </c>
      <c r="N174" s="50" t="s">
        <v>1739</v>
      </c>
      <c r="O174" s="51"/>
      <c r="P174" s="51"/>
      <c r="Q174" s="48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25">
      <c r="A175" s="60">
        <v>0</v>
      </c>
      <c r="B175" s="60">
        <v>1</v>
      </c>
      <c r="C175" s="60">
        <v>3</v>
      </c>
      <c r="D175" s="61" t="s">
        <v>1648</v>
      </c>
      <c r="E175" s="61" t="s">
        <v>173</v>
      </c>
      <c r="F175" s="61" t="s">
        <v>777</v>
      </c>
      <c r="G175" s="61" t="s">
        <v>39</v>
      </c>
      <c r="H175" s="61" t="s">
        <v>368</v>
      </c>
      <c r="I175" s="60" t="s">
        <v>785</v>
      </c>
      <c r="J175" s="60">
        <v>18</v>
      </c>
      <c r="K175" s="62" t="s">
        <v>1701</v>
      </c>
      <c r="L175" s="62" t="s">
        <v>39</v>
      </c>
      <c r="M175" s="63" t="s">
        <v>778</v>
      </c>
      <c r="N175" s="64"/>
      <c r="O175" s="65"/>
      <c r="P175" s="65"/>
      <c r="Q175" s="61"/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0</v>
      </c>
      <c r="AF175" s="1">
        <f t="shared" si="91"/>
        <v>0</v>
      </c>
      <c r="AG175" s="1">
        <f t="shared" si="92"/>
        <v>0</v>
      </c>
      <c r="AH175" s="1">
        <f t="shared" si="93"/>
        <v>0</v>
      </c>
      <c r="AI175" s="1">
        <f t="shared" si="94"/>
        <v>1</v>
      </c>
    </row>
    <row r="176" spans="1:35" ht="14.25" customHeight="1" x14ac:dyDescent="0.25">
      <c r="A176" s="52">
        <v>0</v>
      </c>
      <c r="B176" s="52">
        <v>1</v>
      </c>
      <c r="C176" s="52">
        <v>3</v>
      </c>
      <c r="D176" s="53" t="s">
        <v>135</v>
      </c>
      <c r="E176" s="53" t="s">
        <v>173</v>
      </c>
      <c r="F176" s="53" t="s">
        <v>662</v>
      </c>
      <c r="G176" s="53" t="s">
        <v>258</v>
      </c>
      <c r="H176" s="53" t="s">
        <v>355</v>
      </c>
      <c r="I176" s="52" t="s">
        <v>1697</v>
      </c>
      <c r="J176" s="52">
        <v>99</v>
      </c>
      <c r="K176" s="54" t="s">
        <v>726</v>
      </c>
      <c r="L176" s="54" t="s">
        <v>690</v>
      </c>
      <c r="M176" s="55" t="s">
        <v>1401</v>
      </c>
      <c r="N176" s="55" t="s">
        <v>1747</v>
      </c>
      <c r="O176" s="56">
        <v>1</v>
      </c>
      <c r="P176" s="56"/>
      <c r="Q176" s="53" t="s">
        <v>1934</v>
      </c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1</v>
      </c>
      <c r="AF176" s="1">
        <f t="shared" si="91"/>
        <v>0</v>
      </c>
      <c r="AG176" s="1">
        <f t="shared" si="92"/>
        <v>1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927</v>
      </c>
      <c r="E177" s="16" t="s">
        <v>171</v>
      </c>
      <c r="F177" s="16" t="s">
        <v>944</v>
      </c>
      <c r="G177" s="16" t="s">
        <v>39</v>
      </c>
      <c r="H177" s="16" t="s">
        <v>366</v>
      </c>
      <c r="I177" s="15" t="s">
        <v>887</v>
      </c>
      <c r="J177" s="15">
        <v>18</v>
      </c>
      <c r="K177" s="10" t="s">
        <v>706</v>
      </c>
      <c r="L177" s="10" t="s">
        <v>701</v>
      </c>
      <c r="M177" s="19" t="s">
        <v>975</v>
      </c>
      <c r="N177" s="17"/>
      <c r="Q177" s="16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0</v>
      </c>
      <c r="AF177" s="1">
        <f t="shared" si="91"/>
        <v>0</v>
      </c>
      <c r="AG177" s="1">
        <f t="shared" si="92"/>
        <v>0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3</v>
      </c>
      <c r="D178" s="35" t="s">
        <v>1264</v>
      </c>
      <c r="E178" s="35" t="s">
        <v>171</v>
      </c>
      <c r="F178" s="35" t="s">
        <v>1680</v>
      </c>
      <c r="G178" s="35" t="s">
        <v>39</v>
      </c>
      <c r="H178" s="35" t="s">
        <v>775</v>
      </c>
      <c r="I178" s="34" t="s">
        <v>1265</v>
      </c>
      <c r="J178" s="34">
        <v>11</v>
      </c>
      <c r="K178" s="36" t="s">
        <v>726</v>
      </c>
      <c r="L178" s="36" t="s">
        <v>693</v>
      </c>
      <c r="M178" s="37" t="s">
        <v>1402</v>
      </c>
      <c r="N178" s="37" t="s">
        <v>1753</v>
      </c>
      <c r="O178" s="38">
        <v>1</v>
      </c>
      <c r="P178" s="38"/>
      <c r="Q178" s="35"/>
      <c r="S178" s="1">
        <f t="shared" si="95"/>
        <v>0</v>
      </c>
      <c r="T178" s="1">
        <f t="shared" si="96"/>
        <v>0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0</v>
      </c>
      <c r="AE178" s="1">
        <f t="shared" si="106"/>
        <v>1</v>
      </c>
      <c r="AF178" s="1">
        <f t="shared" si="91"/>
        <v>0</v>
      </c>
      <c r="AG178" s="1">
        <f t="shared" si="92"/>
        <v>1</v>
      </c>
      <c r="AH178" s="1">
        <f t="shared" si="93"/>
        <v>0</v>
      </c>
      <c r="AI178" s="1">
        <f t="shared" si="94"/>
        <v>1</v>
      </c>
    </row>
    <row r="179" spans="1:35" ht="14.25" customHeight="1" x14ac:dyDescent="0.25">
      <c r="A179" s="34">
        <v>0</v>
      </c>
      <c r="B179" s="34">
        <v>1</v>
      </c>
      <c r="C179" s="34">
        <v>4</v>
      </c>
      <c r="D179" s="35" t="s">
        <v>1000</v>
      </c>
      <c r="E179" s="35" t="s">
        <v>776</v>
      </c>
      <c r="F179" s="35" t="s">
        <v>1098</v>
      </c>
      <c r="G179" s="35" t="s">
        <v>201</v>
      </c>
      <c r="H179" s="35" t="s">
        <v>355</v>
      </c>
      <c r="I179" s="34" t="s">
        <v>1001</v>
      </c>
      <c r="J179" s="34">
        <v>2</v>
      </c>
      <c r="K179" s="36" t="s">
        <v>960</v>
      </c>
      <c r="L179" s="36" t="s">
        <v>697</v>
      </c>
      <c r="M179" s="37" t="s">
        <v>1403</v>
      </c>
      <c r="N179" s="37" t="s">
        <v>1731</v>
      </c>
      <c r="O179" s="38">
        <v>1</v>
      </c>
      <c r="P179" s="38">
        <v>1</v>
      </c>
      <c r="Q179" s="35"/>
      <c r="S179" s="1">
        <f t="shared" si="95"/>
        <v>0</v>
      </c>
      <c r="T179" s="1">
        <f t="shared" si="96"/>
        <v>1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0</v>
      </c>
      <c r="AB179" s="1">
        <f t="shared" si="104"/>
        <v>0</v>
      </c>
      <c r="AD179" s="1">
        <f t="shared" si="105"/>
        <v>1</v>
      </c>
      <c r="AE179" s="1">
        <f t="shared" si="106"/>
        <v>0</v>
      </c>
      <c r="AF179" s="1">
        <f t="shared" si="91"/>
        <v>1</v>
      </c>
      <c r="AG179" s="1">
        <f t="shared" si="92"/>
        <v>0</v>
      </c>
      <c r="AH179" s="1">
        <f t="shared" si="93"/>
        <v>1</v>
      </c>
      <c r="AI179" s="1">
        <f t="shared" si="94"/>
        <v>0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50</v>
      </c>
      <c r="E180" s="48" t="s">
        <v>776</v>
      </c>
      <c r="F180" s="48" t="s">
        <v>194</v>
      </c>
      <c r="G180" s="48" t="s">
        <v>195</v>
      </c>
      <c r="H180" s="48" t="s">
        <v>355</v>
      </c>
      <c r="I180" s="47" t="s">
        <v>388</v>
      </c>
      <c r="J180" s="47">
        <v>9</v>
      </c>
      <c r="K180" s="49" t="s">
        <v>960</v>
      </c>
      <c r="L180" s="49" t="s">
        <v>698</v>
      </c>
      <c r="M180" s="50" t="s">
        <v>973</v>
      </c>
      <c r="N180" s="50" t="s">
        <v>1740</v>
      </c>
      <c r="O180" s="51"/>
      <c r="P180" s="51"/>
      <c r="Q180" s="48"/>
      <c r="S180" s="1">
        <f t="shared" si="95"/>
        <v>0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1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47">
        <v>0</v>
      </c>
      <c r="B181" s="47">
        <v>1</v>
      </c>
      <c r="C181" s="47">
        <v>4</v>
      </c>
      <c r="D181" s="48" t="s">
        <v>134</v>
      </c>
      <c r="E181" s="48" t="s">
        <v>178</v>
      </c>
      <c r="F181" s="48" t="s">
        <v>337</v>
      </c>
      <c r="G181" s="48" t="s">
        <v>214</v>
      </c>
      <c r="H181" s="48" t="s">
        <v>355</v>
      </c>
      <c r="I181" s="47" t="s">
        <v>484</v>
      </c>
      <c r="J181" s="47">
        <v>1</v>
      </c>
      <c r="K181" s="49" t="s">
        <v>960</v>
      </c>
      <c r="L181" s="49" t="s">
        <v>693</v>
      </c>
      <c r="M181" s="50" t="s">
        <v>695</v>
      </c>
      <c r="N181" s="50" t="s">
        <v>1739</v>
      </c>
      <c r="O181" s="51"/>
      <c r="P181" s="51"/>
      <c r="Q181" s="48"/>
      <c r="S181" s="1">
        <f t="shared" si="95"/>
        <v>1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15">
        <v>0</v>
      </c>
      <c r="B182" s="15">
        <v>1</v>
      </c>
      <c r="C182" s="15">
        <v>4</v>
      </c>
      <c r="D182" s="16" t="s">
        <v>888</v>
      </c>
      <c r="E182" s="16" t="s">
        <v>776</v>
      </c>
      <c r="F182" s="16" t="s">
        <v>889</v>
      </c>
      <c r="G182" s="16" t="s">
        <v>39</v>
      </c>
      <c r="H182" s="16" t="s">
        <v>890</v>
      </c>
      <c r="I182" s="15" t="s">
        <v>954</v>
      </c>
      <c r="J182" s="15">
        <v>17</v>
      </c>
      <c r="K182" s="10" t="s">
        <v>707</v>
      </c>
      <c r="L182" s="10" t="s">
        <v>1145</v>
      </c>
      <c r="M182" s="19" t="s">
        <v>976</v>
      </c>
      <c r="N182" s="17"/>
      <c r="Q182" s="16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126</v>
      </c>
      <c r="E183" s="48" t="s">
        <v>528</v>
      </c>
      <c r="F183" s="48" t="s">
        <v>328</v>
      </c>
      <c r="G183" s="48" t="s">
        <v>301</v>
      </c>
      <c r="H183" s="48" t="s">
        <v>355</v>
      </c>
      <c r="I183" s="47" t="s">
        <v>476</v>
      </c>
      <c r="J183" s="47">
        <v>99</v>
      </c>
      <c r="K183" s="49" t="s">
        <v>706</v>
      </c>
      <c r="L183" s="49" t="s">
        <v>693</v>
      </c>
      <c r="M183" s="50" t="s">
        <v>974</v>
      </c>
      <c r="N183" s="50" t="s">
        <v>1741</v>
      </c>
      <c r="O183" s="51"/>
      <c r="P183" s="51"/>
      <c r="Q183" s="48"/>
      <c r="S183" s="1">
        <f t="shared" si="95"/>
        <v>0</v>
      </c>
      <c r="T183" s="1">
        <f t="shared" si="96"/>
        <v>0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si="105"/>
        <v>0</v>
      </c>
      <c r="AE183" s="1">
        <f t="shared" si="106"/>
        <v>0</v>
      </c>
      <c r="AF183" s="1">
        <f t="shared" si="91"/>
        <v>0</v>
      </c>
      <c r="AG183" s="1">
        <f t="shared" si="92"/>
        <v>0</v>
      </c>
      <c r="AH183" s="1">
        <f t="shared" si="93"/>
        <v>0</v>
      </c>
      <c r="AI183" s="1">
        <f t="shared" si="94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1733</v>
      </c>
      <c r="E184" s="35" t="s">
        <v>167</v>
      </c>
      <c r="F184" s="35" t="s">
        <v>1734</v>
      </c>
      <c r="G184" s="35" t="s">
        <v>1735</v>
      </c>
      <c r="H184" s="35" t="s">
        <v>355</v>
      </c>
      <c r="I184" s="34" t="s">
        <v>1736</v>
      </c>
      <c r="J184" s="34">
        <v>2</v>
      </c>
      <c r="K184" s="36" t="s">
        <v>707</v>
      </c>
      <c r="L184" s="36"/>
      <c r="M184" s="37"/>
      <c r="N184" s="37" t="s">
        <v>1737</v>
      </c>
      <c r="O184" s="38">
        <v>1</v>
      </c>
      <c r="P184" s="38">
        <v>1</v>
      </c>
      <c r="Q184" s="35"/>
      <c r="S184" s="1">
        <f t="shared" si="95"/>
        <v>0</v>
      </c>
      <c r="T184" s="1">
        <f t="shared" si="96"/>
        <v>1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0</v>
      </c>
      <c r="AB184" s="1">
        <f t="shared" si="104"/>
        <v>0</v>
      </c>
      <c r="AD184" s="1">
        <f t="shared" ref="AD184:AD188" si="107">+O184*P184</f>
        <v>1</v>
      </c>
      <c r="AE184" s="1">
        <f t="shared" ref="AE184:AE188" si="108">O184*(1-P184)</f>
        <v>0</v>
      </c>
      <c r="AF184" s="1">
        <f t="shared" ref="AF184:AF188" si="109">+O184*P184*(1-A184)</f>
        <v>1</v>
      </c>
      <c r="AG184" s="1">
        <f t="shared" si="92"/>
        <v>0</v>
      </c>
      <c r="AH184" s="1">
        <f t="shared" si="93"/>
        <v>1</v>
      </c>
      <c r="AI184" s="1">
        <f t="shared" si="94"/>
        <v>0</v>
      </c>
    </row>
    <row r="185" spans="1:35" ht="14.25" customHeight="1" x14ac:dyDescent="0.25">
      <c r="A185" s="47">
        <v>0</v>
      </c>
      <c r="B185" s="47">
        <v>1</v>
      </c>
      <c r="C185" s="47">
        <v>5</v>
      </c>
      <c r="D185" s="48" t="s">
        <v>87</v>
      </c>
      <c r="E185" s="48" t="s">
        <v>167</v>
      </c>
      <c r="F185" s="48" t="s">
        <v>579</v>
      </c>
      <c r="G185" s="48" t="s">
        <v>195</v>
      </c>
      <c r="H185" s="48" t="s">
        <v>355</v>
      </c>
      <c r="I185" s="47" t="s">
        <v>437</v>
      </c>
      <c r="J185" s="47">
        <v>9</v>
      </c>
      <c r="K185" s="49" t="s">
        <v>960</v>
      </c>
      <c r="L185" s="49" t="s">
        <v>700</v>
      </c>
      <c r="M185" s="50" t="s">
        <v>695</v>
      </c>
      <c r="N185" s="50" t="s">
        <v>1739</v>
      </c>
      <c r="O185" s="51"/>
      <c r="P185" s="51"/>
      <c r="Q185" s="48"/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1</v>
      </c>
      <c r="AB185" s="1">
        <f t="shared" si="104"/>
        <v>0</v>
      </c>
      <c r="AD185" s="1">
        <f t="shared" si="107"/>
        <v>0</v>
      </c>
      <c r="AE185" s="1">
        <f t="shared" si="108"/>
        <v>0</v>
      </c>
      <c r="AF185" s="1">
        <f t="shared" si="109"/>
        <v>0</v>
      </c>
      <c r="AG185" s="1">
        <f t="shared" si="92"/>
        <v>0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15">
        <v>0</v>
      </c>
      <c r="B186" s="15">
        <v>1</v>
      </c>
      <c r="C186" s="15">
        <v>5</v>
      </c>
      <c r="D186" s="20" t="s">
        <v>2001</v>
      </c>
      <c r="E186" s="20" t="s">
        <v>167</v>
      </c>
      <c r="F186" s="20" t="s">
        <v>2002</v>
      </c>
      <c r="G186" s="20" t="s">
        <v>2005</v>
      </c>
      <c r="H186" s="20" t="s">
        <v>355</v>
      </c>
      <c r="I186" s="21" t="s">
        <v>2003</v>
      </c>
      <c r="J186" s="15">
        <v>99</v>
      </c>
      <c r="K186" s="10" t="s">
        <v>707</v>
      </c>
      <c r="L186" s="10">
        <v>25</v>
      </c>
      <c r="M186" s="19" t="s">
        <v>695</v>
      </c>
      <c r="N186" s="17"/>
      <c r="Q186" s="20" t="s">
        <v>2004</v>
      </c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0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127</v>
      </c>
      <c r="E187" s="48" t="s">
        <v>167</v>
      </c>
      <c r="F187" s="48" t="s">
        <v>329</v>
      </c>
      <c r="G187" s="48" t="s">
        <v>181</v>
      </c>
      <c r="H187" s="48" t="s">
        <v>355</v>
      </c>
      <c r="I187" s="47" t="s">
        <v>477</v>
      </c>
      <c r="J187" s="47">
        <v>10</v>
      </c>
      <c r="K187" s="49" t="s">
        <v>962</v>
      </c>
      <c r="L187" s="49" t="s">
        <v>698</v>
      </c>
      <c r="M187" s="50" t="s">
        <v>695</v>
      </c>
      <c r="N187" s="50" t="s">
        <v>1744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0</v>
      </c>
      <c r="AA187" s="1">
        <f t="shared" si="103"/>
        <v>0</v>
      </c>
      <c r="AB187" s="1">
        <f t="shared" si="104"/>
        <v>1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3.9" customHeight="1" x14ac:dyDescent="0.25">
      <c r="A188" s="47">
        <v>0</v>
      </c>
      <c r="B188" s="47">
        <v>1</v>
      </c>
      <c r="C188" s="47">
        <v>5</v>
      </c>
      <c r="D188" s="48" t="s">
        <v>137</v>
      </c>
      <c r="E188" s="48" t="s">
        <v>167</v>
      </c>
      <c r="F188" s="48" t="s">
        <v>550</v>
      </c>
      <c r="G188" s="48" t="s">
        <v>221</v>
      </c>
      <c r="H188" s="48" t="s">
        <v>355</v>
      </c>
      <c r="I188" s="47" t="s">
        <v>542</v>
      </c>
      <c r="J188" s="47">
        <v>8</v>
      </c>
      <c r="K188" s="49" t="s">
        <v>960</v>
      </c>
      <c r="L188" s="49" t="s">
        <v>698</v>
      </c>
      <c r="M188" s="50" t="s">
        <v>695</v>
      </c>
      <c r="N188" s="50" t="s">
        <v>1739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1</v>
      </c>
      <c r="AA188" s="1">
        <f t="shared" si="103"/>
        <v>0</v>
      </c>
      <c r="AB188" s="1">
        <f t="shared" si="104"/>
        <v>0</v>
      </c>
      <c r="AD188" s="1">
        <f t="shared" si="107"/>
        <v>0</v>
      </c>
      <c r="AE188" s="1">
        <f t="shared" si="108"/>
        <v>0</v>
      </c>
      <c r="AF188" s="1">
        <f t="shared" si="109"/>
        <v>0</v>
      </c>
      <c r="AG188" s="1">
        <f t="shared" si="92"/>
        <v>0</v>
      </c>
      <c r="AH188" s="1">
        <f t="shared" si="93"/>
        <v>0</v>
      </c>
      <c r="AI188" s="1">
        <f t="shared" si="94"/>
        <v>1</v>
      </c>
    </row>
    <row r="189" spans="1:35" ht="14.25" customHeight="1" x14ac:dyDescent="0.25">
      <c r="A189" s="47">
        <v>1</v>
      </c>
      <c r="B189" s="47">
        <v>1</v>
      </c>
      <c r="C189" s="47">
        <v>5</v>
      </c>
      <c r="D189" s="48" t="s">
        <v>137</v>
      </c>
      <c r="E189" s="48" t="s">
        <v>167</v>
      </c>
      <c r="F189" s="48" t="s">
        <v>338</v>
      </c>
      <c r="G189" s="48" t="s">
        <v>339</v>
      </c>
      <c r="H189" s="48" t="s">
        <v>355</v>
      </c>
      <c r="I189" s="47" t="s">
        <v>486</v>
      </c>
      <c r="J189" s="47">
        <v>10</v>
      </c>
      <c r="K189" s="49" t="s">
        <v>960</v>
      </c>
      <c r="L189" s="49" t="s">
        <v>698</v>
      </c>
      <c r="M189" s="50" t="s">
        <v>695</v>
      </c>
      <c r="N189" s="50" t="s">
        <v>1739</v>
      </c>
      <c r="O189" s="51"/>
      <c r="P189" s="51"/>
      <c r="Q189" s="48"/>
      <c r="S189" s="1">
        <f t="shared" si="95"/>
        <v>0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1</v>
      </c>
      <c r="AD189" s="1">
        <f t="shared" si="105"/>
        <v>0</v>
      </c>
      <c r="AE189" s="1">
        <f t="shared" si="106"/>
        <v>0</v>
      </c>
      <c r="AF189" s="1">
        <f t="shared" si="91"/>
        <v>0</v>
      </c>
      <c r="AG189" s="1">
        <f t="shared" si="92"/>
        <v>0</v>
      </c>
      <c r="AH189" s="1">
        <f t="shared" si="93"/>
        <v>0</v>
      </c>
      <c r="AI189" s="1">
        <f t="shared" si="94"/>
        <v>0</v>
      </c>
    </row>
    <row r="190" spans="1:35" ht="14.25" customHeight="1" x14ac:dyDescent="0.25">
      <c r="A190" s="47">
        <v>0</v>
      </c>
      <c r="B190" s="47">
        <v>1</v>
      </c>
      <c r="C190" s="47">
        <v>5</v>
      </c>
      <c r="D190" s="48" t="s">
        <v>1641</v>
      </c>
      <c r="E190" s="48" t="s">
        <v>167</v>
      </c>
      <c r="F190" s="48" t="s">
        <v>869</v>
      </c>
      <c r="G190" s="48" t="s">
        <v>1668</v>
      </c>
      <c r="H190" s="48" t="s">
        <v>355</v>
      </c>
      <c r="I190" s="47" t="s">
        <v>870</v>
      </c>
      <c r="J190" s="47">
        <v>1</v>
      </c>
      <c r="K190" s="49" t="s">
        <v>726</v>
      </c>
      <c r="L190" s="49" t="s">
        <v>1711</v>
      </c>
      <c r="M190" s="50" t="s">
        <v>1404</v>
      </c>
      <c r="N190" s="50" t="s">
        <v>1739</v>
      </c>
      <c r="O190" s="51"/>
      <c r="P190" s="51"/>
      <c r="Q190" s="48"/>
      <c r="S190" s="1">
        <f t="shared" si="95"/>
        <v>1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ref="AD190:AD191" si="110">+O190*P190</f>
        <v>0</v>
      </c>
      <c r="AE190" s="1">
        <f t="shared" ref="AE190:AE191" si="111">O190*(1-P190)</f>
        <v>0</v>
      </c>
      <c r="AF190" s="1">
        <f t="shared" ref="AF190:AF191" si="112">+O190*P190*(1-A190)</f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15">
        <v>0</v>
      </c>
      <c r="B191" s="15">
        <v>1</v>
      </c>
      <c r="C191" s="15">
        <v>5</v>
      </c>
      <c r="D191" s="20" t="s">
        <v>1953</v>
      </c>
      <c r="E191" s="20" t="s">
        <v>897</v>
      </c>
      <c r="F191" s="20" t="s">
        <v>1971</v>
      </c>
      <c r="G191" s="20"/>
      <c r="H191" s="20" t="s">
        <v>1972</v>
      </c>
      <c r="I191" s="21" t="s">
        <v>1970</v>
      </c>
      <c r="J191" s="15">
        <v>15</v>
      </c>
      <c r="K191" s="10" t="s">
        <v>707</v>
      </c>
      <c r="L191" s="10" t="s">
        <v>701</v>
      </c>
      <c r="M191" s="19" t="s">
        <v>975</v>
      </c>
      <c r="N191" s="17"/>
      <c r="Q191" s="20" t="s">
        <v>1973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10"/>
        <v>0</v>
      </c>
      <c r="AE191" s="1">
        <f t="shared" si="111"/>
        <v>0</v>
      </c>
      <c r="AF191" s="1">
        <f t="shared" si="112"/>
        <v>0</v>
      </c>
      <c r="AG191" s="1">
        <f t="shared" si="92"/>
        <v>0</v>
      </c>
      <c r="AH191" s="1">
        <f t="shared" si="93"/>
        <v>0</v>
      </c>
      <c r="AI191" s="1">
        <f t="shared" si="94"/>
        <v>1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891</v>
      </c>
      <c r="E192" s="35" t="s">
        <v>892</v>
      </c>
      <c r="F192" s="35" t="s">
        <v>1096</v>
      </c>
      <c r="G192" s="35" t="s">
        <v>39</v>
      </c>
      <c r="H192" s="35" t="s">
        <v>893</v>
      </c>
      <c r="I192" s="34" t="s">
        <v>894</v>
      </c>
      <c r="J192" s="34">
        <v>16</v>
      </c>
      <c r="K192" s="36" t="s">
        <v>707</v>
      </c>
      <c r="L192" s="36" t="s">
        <v>696</v>
      </c>
      <c r="M192" s="37" t="s">
        <v>974</v>
      </c>
      <c r="N192" s="37" t="s">
        <v>1737</v>
      </c>
      <c r="O192" s="38">
        <v>1</v>
      </c>
      <c r="P192" s="38">
        <v>1</v>
      </c>
      <c r="Q192" s="39" t="s">
        <v>1898</v>
      </c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1</v>
      </c>
      <c r="AE192" s="1">
        <f t="shared" si="106"/>
        <v>0</v>
      </c>
      <c r="AF192" s="1">
        <f t="shared" si="91"/>
        <v>1</v>
      </c>
      <c r="AG192" s="1">
        <f t="shared" si="92"/>
        <v>0</v>
      </c>
      <c r="AH192" s="1">
        <f t="shared" si="93"/>
        <v>1</v>
      </c>
      <c r="AI192" s="1">
        <f t="shared" si="94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106</v>
      </c>
      <c r="E193" s="35" t="s">
        <v>174</v>
      </c>
      <c r="F193" s="35" t="s">
        <v>305</v>
      </c>
      <c r="G193" s="35" t="s">
        <v>39</v>
      </c>
      <c r="H193" s="35" t="s">
        <v>360</v>
      </c>
      <c r="I193" s="34" t="s">
        <v>454</v>
      </c>
      <c r="J193" s="34">
        <v>14</v>
      </c>
      <c r="K193" s="36" t="s">
        <v>960</v>
      </c>
      <c r="L193" s="36" t="s">
        <v>697</v>
      </c>
      <c r="M193" s="37" t="s">
        <v>974</v>
      </c>
      <c r="N193" s="37" t="s">
        <v>1747</v>
      </c>
      <c r="O193" s="38">
        <v>1</v>
      </c>
      <c r="P193" s="38"/>
      <c r="Q193" s="35"/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1</v>
      </c>
      <c r="AF193" s="1">
        <f t="shared" si="91"/>
        <v>0</v>
      </c>
      <c r="AG193" s="1">
        <f t="shared" si="92"/>
        <v>1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1955</v>
      </c>
      <c r="E194" s="20" t="s">
        <v>897</v>
      </c>
      <c r="F194" s="20" t="s">
        <v>1985</v>
      </c>
      <c r="G194" s="20"/>
      <c r="H194" s="20" t="s">
        <v>1984</v>
      </c>
      <c r="I194" s="21" t="s">
        <v>1983</v>
      </c>
      <c r="J194" s="15">
        <v>18</v>
      </c>
      <c r="K194" s="10" t="s">
        <v>707</v>
      </c>
      <c r="L194" s="10" t="s">
        <v>701</v>
      </c>
      <c r="M194" s="19" t="s">
        <v>975</v>
      </c>
      <c r="N194" s="17"/>
      <c r="Q194" s="20" t="s">
        <v>1986</v>
      </c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515</v>
      </c>
      <c r="E195" s="48" t="s">
        <v>173</v>
      </c>
      <c r="F195" s="48" t="s">
        <v>551</v>
      </c>
      <c r="G195" s="48" t="s">
        <v>39</v>
      </c>
      <c r="H195" s="48" t="s">
        <v>363</v>
      </c>
      <c r="I195" s="47" t="s">
        <v>1118</v>
      </c>
      <c r="J195" s="47">
        <v>12</v>
      </c>
      <c r="K195" s="49" t="s">
        <v>707</v>
      </c>
      <c r="L195" s="49">
        <v>35</v>
      </c>
      <c r="M195" s="50" t="s">
        <v>974</v>
      </c>
      <c r="N195" s="50" t="s">
        <v>1806</v>
      </c>
      <c r="O195" s="51"/>
      <c r="P195" s="51"/>
      <c r="Q195" s="48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0</v>
      </c>
      <c r="AF195" s="1">
        <f t="shared" si="91"/>
        <v>0</v>
      </c>
      <c r="AG195" s="1">
        <f t="shared" si="92"/>
        <v>0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34">
        <v>0</v>
      </c>
      <c r="B196" s="34">
        <v>1</v>
      </c>
      <c r="C196" s="34">
        <v>5</v>
      </c>
      <c r="D196" s="35" t="s">
        <v>152</v>
      </c>
      <c r="E196" s="35" t="s">
        <v>167</v>
      </c>
      <c r="F196" s="39" t="s">
        <v>1874</v>
      </c>
      <c r="G196" s="35" t="s">
        <v>198</v>
      </c>
      <c r="H196" s="35" t="s">
        <v>355</v>
      </c>
      <c r="I196" s="34" t="s">
        <v>500</v>
      </c>
      <c r="J196" s="34">
        <v>99</v>
      </c>
      <c r="K196" s="36" t="s">
        <v>960</v>
      </c>
      <c r="L196" s="36" t="s">
        <v>697</v>
      </c>
      <c r="M196" s="37" t="s">
        <v>974</v>
      </c>
      <c r="N196" s="37" t="s">
        <v>1752</v>
      </c>
      <c r="O196" s="38">
        <v>1</v>
      </c>
      <c r="P196" s="38"/>
      <c r="Q196" s="35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1</v>
      </c>
      <c r="AF196" s="1">
        <f t="shared" si="91"/>
        <v>0</v>
      </c>
      <c r="AG196" s="1">
        <f t="shared" si="92"/>
        <v>1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47">
        <v>0</v>
      </c>
      <c r="B197" s="47">
        <v>1</v>
      </c>
      <c r="C197" s="47">
        <v>5</v>
      </c>
      <c r="D197" s="48" t="s">
        <v>651</v>
      </c>
      <c r="E197" s="48" t="s">
        <v>687</v>
      </c>
      <c r="F197" s="48" t="s">
        <v>647</v>
      </c>
      <c r="G197" s="48" t="s">
        <v>186</v>
      </c>
      <c r="H197" s="48" t="s">
        <v>355</v>
      </c>
      <c r="I197" s="47" t="s">
        <v>648</v>
      </c>
      <c r="J197" s="47">
        <v>99</v>
      </c>
      <c r="K197" s="49" t="s">
        <v>726</v>
      </c>
      <c r="L197" s="49" t="s">
        <v>697</v>
      </c>
      <c r="M197" s="50" t="s">
        <v>974</v>
      </c>
      <c r="N197" s="50" t="s">
        <v>1738</v>
      </c>
      <c r="O197" s="51"/>
      <c r="P197" s="51"/>
      <c r="Q197" s="48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0</v>
      </c>
      <c r="AE197" s="1">
        <f t="shared" si="106"/>
        <v>0</v>
      </c>
      <c r="AF197" s="1">
        <f t="shared" si="91"/>
        <v>0</v>
      </c>
      <c r="AG197" s="1">
        <f t="shared" si="92"/>
        <v>0</v>
      </c>
      <c r="AH197" s="1">
        <f t="shared" si="93"/>
        <v>0</v>
      </c>
      <c r="AI197" s="1">
        <f t="shared" si="94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1314</v>
      </c>
      <c r="E198" s="35" t="s">
        <v>167</v>
      </c>
      <c r="F198" s="35" t="s">
        <v>1315</v>
      </c>
      <c r="G198" s="35" t="s">
        <v>284</v>
      </c>
      <c r="H198" s="35" t="s">
        <v>355</v>
      </c>
      <c r="I198" s="34" t="s">
        <v>1316</v>
      </c>
      <c r="J198" s="34">
        <v>99</v>
      </c>
      <c r="K198" s="36" t="s">
        <v>706</v>
      </c>
      <c r="L198" s="36" t="s">
        <v>39</v>
      </c>
      <c r="M198" s="37" t="s">
        <v>39</v>
      </c>
      <c r="N198" s="37" t="s">
        <v>1737</v>
      </c>
      <c r="O198" s="38">
        <v>1</v>
      </c>
      <c r="P198" s="38">
        <v>1</v>
      </c>
      <c r="Q198" s="35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1</v>
      </c>
      <c r="AE198" s="1">
        <f t="shared" si="106"/>
        <v>0</v>
      </c>
      <c r="AF198" s="1">
        <f t="shared" si="91"/>
        <v>1</v>
      </c>
      <c r="AG198" s="1">
        <f t="shared" si="92"/>
        <v>0</v>
      </c>
      <c r="AH198" s="1">
        <f t="shared" si="93"/>
        <v>1</v>
      </c>
      <c r="AI198" s="1">
        <f t="shared" si="94"/>
        <v>0</v>
      </c>
    </row>
    <row r="199" spans="1:35" ht="14.25" customHeight="1" x14ac:dyDescent="0.25">
      <c r="A199" s="47">
        <v>0</v>
      </c>
      <c r="B199" s="47">
        <v>1</v>
      </c>
      <c r="C199" s="47">
        <v>5</v>
      </c>
      <c r="D199" s="48" t="s">
        <v>896</v>
      </c>
      <c r="E199" s="48" t="s">
        <v>897</v>
      </c>
      <c r="F199" s="48" t="s">
        <v>938</v>
      </c>
      <c r="G199" s="48" t="s">
        <v>39</v>
      </c>
      <c r="H199" s="48" t="s">
        <v>898</v>
      </c>
      <c r="I199" s="47" t="s">
        <v>899</v>
      </c>
      <c r="J199" s="47">
        <v>17</v>
      </c>
      <c r="K199" s="49" t="s">
        <v>707</v>
      </c>
      <c r="L199" s="49" t="s">
        <v>701</v>
      </c>
      <c r="M199" s="50" t="s">
        <v>974</v>
      </c>
      <c r="N199" s="50" t="s">
        <v>1745</v>
      </c>
      <c r="O199" s="51"/>
      <c r="P199" s="51"/>
      <c r="Q199" s="48"/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15">
        <v>0</v>
      </c>
      <c r="B200" s="15">
        <v>1</v>
      </c>
      <c r="C200" s="15">
        <v>5</v>
      </c>
      <c r="D200" s="16" t="s">
        <v>1945</v>
      </c>
      <c r="E200" s="16" t="s">
        <v>897</v>
      </c>
      <c r="F200" s="16" t="s">
        <v>1947</v>
      </c>
      <c r="G200" s="16"/>
      <c r="H200" s="16" t="s">
        <v>1946</v>
      </c>
      <c r="I200" s="15" t="s">
        <v>1948</v>
      </c>
      <c r="J200" s="15">
        <v>16</v>
      </c>
      <c r="K200" s="10" t="s">
        <v>707</v>
      </c>
      <c r="L200" s="10" t="s">
        <v>701</v>
      </c>
      <c r="M200" s="19" t="s">
        <v>974</v>
      </c>
      <c r="N200" s="17"/>
      <c r="Q200" s="20" t="s">
        <v>1949</v>
      </c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47">
        <v>0</v>
      </c>
      <c r="B201" s="47">
        <v>1</v>
      </c>
      <c r="C201" s="47">
        <v>5</v>
      </c>
      <c r="D201" s="48" t="s">
        <v>131</v>
      </c>
      <c r="E201" s="48" t="s">
        <v>167</v>
      </c>
      <c r="F201" s="48" t="s">
        <v>333</v>
      </c>
      <c r="G201" s="48" t="s">
        <v>334</v>
      </c>
      <c r="H201" s="48" t="s">
        <v>355</v>
      </c>
      <c r="I201" s="47" t="s">
        <v>481</v>
      </c>
      <c r="J201" s="47">
        <v>99</v>
      </c>
      <c r="K201" s="49" t="s">
        <v>726</v>
      </c>
      <c r="L201" s="49" t="s">
        <v>698</v>
      </c>
      <c r="M201" s="50" t="s">
        <v>974</v>
      </c>
      <c r="N201" s="50" t="s">
        <v>1751</v>
      </c>
      <c r="O201" s="51"/>
      <c r="P201" s="51"/>
      <c r="Q201" s="48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0</v>
      </c>
      <c r="AF201" s="1">
        <f t="shared" si="91"/>
        <v>0</v>
      </c>
      <c r="AG201" s="1">
        <f t="shared" si="92"/>
        <v>0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34">
        <v>0</v>
      </c>
      <c r="B202" s="34">
        <v>1</v>
      </c>
      <c r="C202" s="34">
        <v>5</v>
      </c>
      <c r="D202" s="35" t="s">
        <v>109</v>
      </c>
      <c r="E202" s="35" t="s">
        <v>167</v>
      </c>
      <c r="F202" s="35" t="s">
        <v>308</v>
      </c>
      <c r="G202" s="35" t="s">
        <v>232</v>
      </c>
      <c r="H202" s="35" t="s">
        <v>355</v>
      </c>
      <c r="I202" s="34" t="s">
        <v>457</v>
      </c>
      <c r="J202" s="34">
        <v>99</v>
      </c>
      <c r="K202" s="36" t="s">
        <v>726</v>
      </c>
      <c r="L202" s="36" t="s">
        <v>700</v>
      </c>
      <c r="M202" s="37" t="s">
        <v>695</v>
      </c>
      <c r="N202" s="37" t="s">
        <v>1747</v>
      </c>
      <c r="O202" s="38">
        <v>1</v>
      </c>
      <c r="P202" s="38"/>
      <c r="Q202" s="35"/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1</v>
      </c>
      <c r="AF202" s="1">
        <f t="shared" si="91"/>
        <v>0</v>
      </c>
      <c r="AG202" s="1">
        <f t="shared" si="92"/>
        <v>1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111</v>
      </c>
      <c r="E203" s="16" t="s">
        <v>173</v>
      </c>
      <c r="F203" s="16" t="s">
        <v>311</v>
      </c>
      <c r="G203" s="16" t="s">
        <v>39</v>
      </c>
      <c r="H203" s="16" t="s">
        <v>365</v>
      </c>
      <c r="I203" s="15" t="s">
        <v>460</v>
      </c>
      <c r="J203" s="15">
        <v>17</v>
      </c>
      <c r="K203" s="10" t="s">
        <v>707</v>
      </c>
      <c r="L203" s="10" t="s">
        <v>701</v>
      </c>
      <c r="M203" s="19" t="s">
        <v>695</v>
      </c>
      <c r="N203" s="17"/>
      <c r="Q203" s="20" t="s">
        <v>1919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0</v>
      </c>
      <c r="AE203" s="1">
        <f t="shared" si="106"/>
        <v>0</v>
      </c>
      <c r="AF203" s="1">
        <f t="shared" si="91"/>
        <v>0</v>
      </c>
      <c r="AG203" s="1">
        <f t="shared" si="92"/>
        <v>0</v>
      </c>
      <c r="AH203" s="1">
        <f t="shared" si="93"/>
        <v>0</v>
      </c>
      <c r="AI203" s="1">
        <f t="shared" si="94"/>
        <v>1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527</v>
      </c>
      <c r="E204" s="35" t="s">
        <v>528</v>
      </c>
      <c r="F204" s="35" t="s">
        <v>529</v>
      </c>
      <c r="G204" s="35" t="s">
        <v>203</v>
      </c>
      <c r="H204" s="35" t="s">
        <v>355</v>
      </c>
      <c r="I204" s="34" t="s">
        <v>530</v>
      </c>
      <c r="J204" s="34">
        <v>10</v>
      </c>
      <c r="K204" s="36" t="s">
        <v>706</v>
      </c>
      <c r="L204" s="36" t="s">
        <v>697</v>
      </c>
      <c r="M204" s="37" t="s">
        <v>974</v>
      </c>
      <c r="N204" s="37" t="s">
        <v>1737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ref="AF204:AF267" si="113">+O204*P204*(1-A204)</f>
        <v>1</v>
      </c>
      <c r="AG204" s="1">
        <f t="shared" ref="AG204:AG267" si="114">O204*(1-P204)*(1-A204)</f>
        <v>0</v>
      </c>
      <c r="AH204" s="1">
        <f t="shared" ref="AH204:AH267" si="115">+P204*(1-A204)</f>
        <v>1</v>
      </c>
      <c r="AI204" s="1">
        <f t="shared" ref="AI204:AI267" si="116">+(1-A204)*(1-P204)</f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1503</v>
      </c>
      <c r="E205" s="35" t="s">
        <v>167</v>
      </c>
      <c r="F205" s="35" t="s">
        <v>1504</v>
      </c>
      <c r="G205" s="35" t="s">
        <v>181</v>
      </c>
      <c r="H205" s="35" t="s">
        <v>355</v>
      </c>
      <c r="I205" s="34" t="s">
        <v>1505</v>
      </c>
      <c r="J205" s="34">
        <v>10</v>
      </c>
      <c r="K205" s="36" t="s">
        <v>960</v>
      </c>
      <c r="L205" s="36" t="s">
        <v>697</v>
      </c>
      <c r="M205" s="37" t="s">
        <v>974</v>
      </c>
      <c r="N205" s="37" t="s">
        <v>1731</v>
      </c>
      <c r="O205" s="38">
        <v>1</v>
      </c>
      <c r="P205" s="38">
        <v>1</v>
      </c>
      <c r="Q205" s="35"/>
      <c r="S205" s="1">
        <f t="shared" si="95"/>
        <v>0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1</v>
      </c>
      <c r="AD205" s="1">
        <f t="shared" si="105"/>
        <v>1</v>
      </c>
      <c r="AE205" s="1">
        <f t="shared" si="106"/>
        <v>0</v>
      </c>
      <c r="AF205" s="1">
        <f t="shared" si="113"/>
        <v>1</v>
      </c>
      <c r="AG205" s="1">
        <f t="shared" si="114"/>
        <v>0</v>
      </c>
      <c r="AH205" s="1">
        <f t="shared" si="115"/>
        <v>1</v>
      </c>
      <c r="AI205" s="1">
        <f t="shared" si="116"/>
        <v>0</v>
      </c>
    </row>
    <row r="206" spans="1:35" ht="14.25" customHeight="1" x14ac:dyDescent="0.25">
      <c r="A206" s="34">
        <v>0</v>
      </c>
      <c r="B206" s="34">
        <v>1</v>
      </c>
      <c r="C206" s="34">
        <v>5</v>
      </c>
      <c r="D206" s="35" t="s">
        <v>1761</v>
      </c>
      <c r="E206" s="35" t="s">
        <v>167</v>
      </c>
      <c r="F206" s="35" t="s">
        <v>1762</v>
      </c>
      <c r="G206" s="35" t="s">
        <v>1763</v>
      </c>
      <c r="H206" s="35" t="s">
        <v>355</v>
      </c>
      <c r="I206" s="34" t="s">
        <v>1764</v>
      </c>
      <c r="J206" s="34">
        <v>1</v>
      </c>
      <c r="K206" s="36" t="s">
        <v>707</v>
      </c>
      <c r="L206" s="36"/>
      <c r="M206" s="37"/>
      <c r="N206" s="37" t="s">
        <v>1752</v>
      </c>
      <c r="O206" s="38">
        <v>1</v>
      </c>
      <c r="P206" s="38"/>
      <c r="Q206" s="35"/>
      <c r="S206" s="1">
        <f t="shared" si="95"/>
        <v>1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0</v>
      </c>
      <c r="AB206" s="1">
        <f t="shared" si="104"/>
        <v>0</v>
      </c>
      <c r="AD206" s="1">
        <f t="shared" si="105"/>
        <v>0</v>
      </c>
      <c r="AE206" s="1">
        <f t="shared" si="106"/>
        <v>1</v>
      </c>
      <c r="AF206" s="1">
        <f t="shared" si="113"/>
        <v>0</v>
      </c>
      <c r="AG206" s="1">
        <f t="shared" si="114"/>
        <v>1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1030</v>
      </c>
      <c r="E207" s="48" t="s">
        <v>1091</v>
      </c>
      <c r="F207" s="48" t="s">
        <v>1031</v>
      </c>
      <c r="G207" s="48" t="s">
        <v>195</v>
      </c>
      <c r="H207" s="48" t="s">
        <v>355</v>
      </c>
      <c r="I207" s="47" t="s">
        <v>1032</v>
      </c>
      <c r="J207" s="47">
        <v>9</v>
      </c>
      <c r="K207" s="49" t="s">
        <v>726</v>
      </c>
      <c r="L207" s="49" t="s">
        <v>1708</v>
      </c>
      <c r="M207" s="50" t="s">
        <v>1608</v>
      </c>
      <c r="N207" s="50" t="s">
        <v>1739</v>
      </c>
      <c r="O207" s="51"/>
      <c r="P207" s="51"/>
      <c r="Q207" s="48"/>
      <c r="S207" s="1">
        <f t="shared" si="95"/>
        <v>0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1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7">
        <v>0</v>
      </c>
      <c r="B208" s="47">
        <v>1</v>
      </c>
      <c r="C208" s="47">
        <v>5</v>
      </c>
      <c r="D208" s="48" t="s">
        <v>1618</v>
      </c>
      <c r="E208" s="48" t="s">
        <v>167</v>
      </c>
      <c r="F208" s="48" t="s">
        <v>1619</v>
      </c>
      <c r="G208" s="48" t="s">
        <v>214</v>
      </c>
      <c r="H208" s="48" t="s">
        <v>355</v>
      </c>
      <c r="I208" s="47" t="s">
        <v>1620</v>
      </c>
      <c r="J208" s="47">
        <v>1</v>
      </c>
      <c r="K208" s="49" t="s">
        <v>726</v>
      </c>
      <c r="L208" s="49" t="s">
        <v>698</v>
      </c>
      <c r="M208" s="50" t="s">
        <v>974</v>
      </c>
      <c r="N208" s="50" t="s">
        <v>1740</v>
      </c>
      <c r="O208" s="51"/>
      <c r="P208" s="51"/>
      <c r="Q208" s="48"/>
      <c r="S208" s="1">
        <f t="shared" si="95"/>
        <v>1</v>
      </c>
      <c r="T208" s="1">
        <f t="shared" si="96"/>
        <v>0</v>
      </c>
      <c r="U208" s="1">
        <f t="shared" si="97"/>
        <v>0</v>
      </c>
      <c r="V208" s="1">
        <f t="shared" si="98"/>
        <v>0</v>
      </c>
      <c r="W208" s="1">
        <f t="shared" si="99"/>
        <v>0</v>
      </c>
      <c r="X208" s="1">
        <f t="shared" si="100"/>
        <v>0</v>
      </c>
      <c r="Y208" s="1">
        <f t="shared" si="101"/>
        <v>0</v>
      </c>
      <c r="Z208" s="1">
        <f t="shared" si="102"/>
        <v>0</v>
      </c>
      <c r="AA208" s="1">
        <f t="shared" si="103"/>
        <v>0</v>
      </c>
      <c r="AB208" s="1">
        <f t="shared" si="104"/>
        <v>0</v>
      </c>
      <c r="AD208" s="1">
        <f t="shared" si="105"/>
        <v>0</v>
      </c>
      <c r="AE208" s="1">
        <f t="shared" si="106"/>
        <v>0</v>
      </c>
      <c r="AF208" s="1">
        <f t="shared" si="113"/>
        <v>0</v>
      </c>
      <c r="AG208" s="1">
        <f t="shared" si="114"/>
        <v>0</v>
      </c>
      <c r="AH208" s="1">
        <f t="shared" si="115"/>
        <v>0</v>
      </c>
      <c r="AI208" s="1">
        <f t="shared" si="116"/>
        <v>1</v>
      </c>
    </row>
    <row r="209" spans="1:35" ht="14.25" customHeight="1" x14ac:dyDescent="0.25">
      <c r="A209" s="41">
        <v>0</v>
      </c>
      <c r="B209" s="41">
        <v>1</v>
      </c>
      <c r="C209" s="41">
        <v>5</v>
      </c>
      <c r="D209" s="42" t="s">
        <v>148</v>
      </c>
      <c r="E209" s="42" t="s">
        <v>547</v>
      </c>
      <c r="F209" s="42" t="s">
        <v>1603</v>
      </c>
      <c r="G209" s="42" t="s">
        <v>1677</v>
      </c>
      <c r="H209" s="42" t="s">
        <v>355</v>
      </c>
      <c r="I209" s="41" t="s">
        <v>496</v>
      </c>
      <c r="J209" s="41">
        <v>99</v>
      </c>
      <c r="K209" s="43" t="s">
        <v>706</v>
      </c>
      <c r="L209" s="43" t="s">
        <v>693</v>
      </c>
      <c r="M209" s="44" t="s">
        <v>974</v>
      </c>
      <c r="N209" s="45"/>
      <c r="O209" s="46"/>
      <c r="P209" s="46">
        <v>1</v>
      </c>
      <c r="Q209" s="42"/>
      <c r="S209" s="1">
        <f t="shared" ref="S209:S271" si="117">IF(J209=$S$7,1,0)</f>
        <v>0</v>
      </c>
      <c r="T209" s="1">
        <f t="shared" ref="T209:T271" si="118">IF(J209=$T$7,1,0)</f>
        <v>0</v>
      </c>
      <c r="U209" s="1">
        <f t="shared" ref="U209:U271" si="119">IF(J209=$U$7,1,0)</f>
        <v>0</v>
      </c>
      <c r="V209" s="1">
        <f t="shared" ref="V209:V271" si="120">IF(J209=$V$7,1,0)</f>
        <v>0</v>
      </c>
      <c r="W209" s="1">
        <f t="shared" ref="W209:W271" si="121">IF(J209=$W$7,1,0)</f>
        <v>0</v>
      </c>
      <c r="X209" s="1">
        <f t="shared" ref="X209:X271" si="122">IF(J209=$X$7,1,0)</f>
        <v>0</v>
      </c>
      <c r="Y209" s="1">
        <f t="shared" ref="Y209:Y271" si="123">IF(J209=$Y$7,1,0)</f>
        <v>0</v>
      </c>
      <c r="Z209" s="1">
        <f t="shared" ref="Z209:Z271" si="124">IF(J209=$Z$7,1,0)</f>
        <v>0</v>
      </c>
      <c r="AA209" s="1">
        <f t="shared" ref="AA209:AA271" si="125">IF(J209=$AA$7,1,0)</f>
        <v>0</v>
      </c>
      <c r="AB209" s="1">
        <f t="shared" ref="AB209:AB271" si="126">IF(J209=$AB$7,1,0)</f>
        <v>0</v>
      </c>
      <c r="AD209" s="1">
        <f t="shared" ref="AD209:AD271" si="127">+O209*P209</f>
        <v>0</v>
      </c>
      <c r="AE209" s="1">
        <f t="shared" ref="AE209:AE271" si="128">O209*(1-P209)</f>
        <v>0</v>
      </c>
      <c r="AF209" s="1">
        <f t="shared" si="113"/>
        <v>0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1216</v>
      </c>
      <c r="E210" s="16" t="s">
        <v>167</v>
      </c>
      <c r="F210" s="16" t="s">
        <v>1217</v>
      </c>
      <c r="G210" s="16" t="s">
        <v>1218</v>
      </c>
      <c r="H210" s="16" t="s">
        <v>355</v>
      </c>
      <c r="I210" s="15" t="s">
        <v>1219</v>
      </c>
      <c r="J210" s="15">
        <v>99</v>
      </c>
      <c r="K210" s="10" t="s">
        <v>707</v>
      </c>
      <c r="L210" s="10">
        <v>30</v>
      </c>
      <c r="M210" s="19" t="s">
        <v>974</v>
      </c>
      <c r="N210" s="19"/>
      <c r="Q210" s="16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0</v>
      </c>
      <c r="AF210" s="1">
        <f t="shared" si="113"/>
        <v>0</v>
      </c>
      <c r="AG210" s="1">
        <f t="shared" si="114"/>
        <v>0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1604</v>
      </c>
      <c r="E211" s="35" t="s">
        <v>173</v>
      </c>
      <c r="F211" s="35" t="s">
        <v>812</v>
      </c>
      <c r="G211" s="35" t="s">
        <v>39</v>
      </c>
      <c r="H211" s="35" t="s">
        <v>813</v>
      </c>
      <c r="I211" s="34" t="s">
        <v>814</v>
      </c>
      <c r="J211" s="34">
        <v>16</v>
      </c>
      <c r="K211" s="36" t="s">
        <v>961</v>
      </c>
      <c r="L211" s="36" t="s">
        <v>1746</v>
      </c>
      <c r="M211" s="37" t="s">
        <v>974</v>
      </c>
      <c r="N211" s="37" t="s">
        <v>1752</v>
      </c>
      <c r="O211" s="38">
        <v>1</v>
      </c>
      <c r="P211" s="38"/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1</v>
      </c>
      <c r="AF211" s="1">
        <f t="shared" si="113"/>
        <v>0</v>
      </c>
      <c r="AG211" s="1">
        <f t="shared" si="114"/>
        <v>1</v>
      </c>
      <c r="AH211" s="1">
        <f t="shared" si="115"/>
        <v>0</v>
      </c>
      <c r="AI211" s="1">
        <f t="shared" si="116"/>
        <v>1</v>
      </c>
    </row>
    <row r="212" spans="1:35" ht="14.25" customHeight="1" x14ac:dyDescent="0.25">
      <c r="A212" s="34">
        <v>0</v>
      </c>
      <c r="B212" s="34">
        <v>1</v>
      </c>
      <c r="C212" s="34">
        <v>5</v>
      </c>
      <c r="D212" s="35" t="s">
        <v>504</v>
      </c>
      <c r="E212" s="35" t="s">
        <v>167</v>
      </c>
      <c r="F212" s="35" t="s">
        <v>505</v>
      </c>
      <c r="G212" s="35" t="s">
        <v>506</v>
      </c>
      <c r="H212" s="35" t="s">
        <v>355</v>
      </c>
      <c r="I212" s="34" t="s">
        <v>507</v>
      </c>
      <c r="J212" s="34">
        <v>99</v>
      </c>
      <c r="K212" s="36" t="s">
        <v>961</v>
      </c>
      <c r="L212" s="36" t="s">
        <v>698</v>
      </c>
      <c r="M212" s="37" t="s">
        <v>695</v>
      </c>
      <c r="N212" s="37" t="s">
        <v>1731</v>
      </c>
      <c r="O212" s="38">
        <v>1</v>
      </c>
      <c r="P212" s="38">
        <v>1</v>
      </c>
      <c r="Q212" s="35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1</v>
      </c>
      <c r="AE212" s="1">
        <f t="shared" si="128"/>
        <v>0</v>
      </c>
      <c r="AF212" s="1">
        <f t="shared" si="113"/>
        <v>1</v>
      </c>
      <c r="AG212" s="1">
        <f t="shared" si="114"/>
        <v>0</v>
      </c>
      <c r="AH212" s="1">
        <f t="shared" si="115"/>
        <v>1</v>
      </c>
      <c r="AI212" s="1">
        <f t="shared" si="116"/>
        <v>0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1454</v>
      </c>
      <c r="E213" s="35" t="s">
        <v>168</v>
      </c>
      <c r="F213" s="35" t="s">
        <v>1455</v>
      </c>
      <c r="G213" s="35" t="s">
        <v>180</v>
      </c>
      <c r="H213" s="35" t="s">
        <v>355</v>
      </c>
      <c r="I213" s="34" t="s">
        <v>1456</v>
      </c>
      <c r="J213" s="34">
        <v>99</v>
      </c>
      <c r="K213" s="36" t="s">
        <v>960</v>
      </c>
      <c r="L213" s="36" t="s">
        <v>700</v>
      </c>
      <c r="M213" s="37" t="s">
        <v>1457</v>
      </c>
      <c r="N213" s="37" t="s">
        <v>1753</v>
      </c>
      <c r="O213" s="38">
        <v>1</v>
      </c>
      <c r="P213" s="38"/>
      <c r="Q213" s="39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1</v>
      </c>
      <c r="AF213" s="1">
        <f t="shared" si="113"/>
        <v>0</v>
      </c>
      <c r="AG213" s="1">
        <f t="shared" si="114"/>
        <v>1</v>
      </c>
      <c r="AH213" s="1">
        <f t="shared" si="115"/>
        <v>0</v>
      </c>
      <c r="AI213" s="1">
        <f t="shared" si="116"/>
        <v>1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1190</v>
      </c>
      <c r="E214" s="35" t="s">
        <v>1193</v>
      </c>
      <c r="F214" s="35" t="s">
        <v>1191</v>
      </c>
      <c r="G214" s="35" t="s">
        <v>39</v>
      </c>
      <c r="H214" s="35" t="s">
        <v>355</v>
      </c>
      <c r="I214" s="34" t="s">
        <v>1192</v>
      </c>
      <c r="J214" s="34">
        <v>99</v>
      </c>
      <c r="K214" s="36" t="s">
        <v>966</v>
      </c>
      <c r="L214" s="36" t="s">
        <v>39</v>
      </c>
      <c r="M214" s="37" t="s">
        <v>39</v>
      </c>
      <c r="N214" s="37" t="s">
        <v>1737</v>
      </c>
      <c r="O214" s="38">
        <v>1</v>
      </c>
      <c r="P214" s="38">
        <v>1</v>
      </c>
      <c r="Q214" s="39" t="s">
        <v>1912</v>
      </c>
      <c r="S214" s="1">
        <f t="shared" si="117"/>
        <v>0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1652</v>
      </c>
      <c r="E215" s="35" t="s">
        <v>1660</v>
      </c>
      <c r="F215" s="35" t="s">
        <v>1687</v>
      </c>
      <c r="G215" s="35" t="s">
        <v>1688</v>
      </c>
      <c r="H215" s="35" t="s">
        <v>355</v>
      </c>
      <c r="I215" s="34" t="s">
        <v>1700</v>
      </c>
      <c r="J215" s="34">
        <v>1</v>
      </c>
      <c r="K215" s="36" t="s">
        <v>962</v>
      </c>
      <c r="L215" s="36" t="s">
        <v>39</v>
      </c>
      <c r="M215" s="37" t="s">
        <v>39</v>
      </c>
      <c r="N215" s="37" t="s">
        <v>1731</v>
      </c>
      <c r="O215" s="38">
        <v>1</v>
      </c>
      <c r="P215" s="38">
        <v>1</v>
      </c>
      <c r="Q215" s="35"/>
      <c r="S215" s="1">
        <f t="shared" si="117"/>
        <v>1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1</v>
      </c>
      <c r="AE215" s="1">
        <f t="shared" si="128"/>
        <v>0</v>
      </c>
      <c r="AF215" s="1">
        <f t="shared" si="113"/>
        <v>1</v>
      </c>
      <c r="AG215" s="1">
        <f t="shared" si="114"/>
        <v>0</v>
      </c>
      <c r="AH215" s="1">
        <f t="shared" si="115"/>
        <v>1</v>
      </c>
      <c r="AI215" s="1">
        <f t="shared" si="116"/>
        <v>0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90</v>
      </c>
      <c r="E216" s="35" t="s">
        <v>169</v>
      </c>
      <c r="F216" s="35" t="s">
        <v>285</v>
      </c>
      <c r="G216" s="35" t="s">
        <v>231</v>
      </c>
      <c r="H216" s="35" t="s">
        <v>355</v>
      </c>
      <c r="I216" s="34" t="s">
        <v>439</v>
      </c>
      <c r="J216" s="34">
        <v>7</v>
      </c>
      <c r="K216" s="36" t="s">
        <v>726</v>
      </c>
      <c r="L216" s="36">
        <v>40</v>
      </c>
      <c r="M216" s="37" t="s">
        <v>39</v>
      </c>
      <c r="N216" s="37" t="s">
        <v>1752</v>
      </c>
      <c r="O216" s="38">
        <v>1</v>
      </c>
      <c r="P216" s="38"/>
      <c r="Q216" s="35"/>
      <c r="S216" s="1">
        <f t="shared" si="117"/>
        <v>0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1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0</v>
      </c>
      <c r="AE216" s="1">
        <f t="shared" si="128"/>
        <v>1</v>
      </c>
      <c r="AF216" s="1">
        <f t="shared" si="113"/>
        <v>0</v>
      </c>
      <c r="AG216" s="1">
        <f t="shared" si="114"/>
        <v>1</v>
      </c>
      <c r="AH216" s="1">
        <f t="shared" si="115"/>
        <v>0</v>
      </c>
      <c r="AI216" s="1">
        <f t="shared" si="116"/>
        <v>1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91</v>
      </c>
      <c r="E217" s="35" t="s">
        <v>166</v>
      </c>
      <c r="F217" s="39" t="s">
        <v>1875</v>
      </c>
      <c r="G217" s="35" t="s">
        <v>241</v>
      </c>
      <c r="H217" s="35" t="s">
        <v>355</v>
      </c>
      <c r="I217" s="34" t="s">
        <v>440</v>
      </c>
      <c r="J217" s="34">
        <v>1</v>
      </c>
      <c r="K217" s="36" t="s">
        <v>968</v>
      </c>
      <c r="L217" s="36" t="s">
        <v>39</v>
      </c>
      <c r="M217" s="37" t="s">
        <v>39</v>
      </c>
      <c r="N217" s="37" t="s">
        <v>1731</v>
      </c>
      <c r="O217" s="38">
        <v>1</v>
      </c>
      <c r="P217" s="38">
        <v>1</v>
      </c>
      <c r="Q217" s="35"/>
      <c r="S217" s="1">
        <f t="shared" si="117"/>
        <v>1</v>
      </c>
      <c r="T217" s="1">
        <f t="shared" si="118"/>
        <v>0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34">
        <v>0</v>
      </c>
      <c r="B218" s="34">
        <v>1</v>
      </c>
      <c r="C218" s="34">
        <v>6</v>
      </c>
      <c r="D218" s="35" t="s">
        <v>92</v>
      </c>
      <c r="E218" s="35" t="s">
        <v>168</v>
      </c>
      <c r="F218" s="35" t="s">
        <v>287</v>
      </c>
      <c r="G218" s="35" t="s">
        <v>201</v>
      </c>
      <c r="H218" s="35" t="s">
        <v>355</v>
      </c>
      <c r="I218" s="34" t="s">
        <v>441</v>
      </c>
      <c r="J218" s="34">
        <v>2</v>
      </c>
      <c r="K218" s="36" t="s">
        <v>966</v>
      </c>
      <c r="L218" s="36" t="s">
        <v>39</v>
      </c>
      <c r="M218" s="37" t="s">
        <v>39</v>
      </c>
      <c r="N218" s="37" t="s">
        <v>1731</v>
      </c>
      <c r="O218" s="38">
        <v>1</v>
      </c>
      <c r="P218" s="38">
        <v>1</v>
      </c>
      <c r="Q218" s="35"/>
      <c r="S218" s="1">
        <f t="shared" si="117"/>
        <v>0</v>
      </c>
      <c r="T218" s="1">
        <f t="shared" si="118"/>
        <v>1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1</v>
      </c>
      <c r="AE218" s="1">
        <f t="shared" si="128"/>
        <v>0</v>
      </c>
      <c r="AF218" s="1">
        <f t="shared" si="113"/>
        <v>1</v>
      </c>
      <c r="AG218" s="1">
        <f t="shared" si="114"/>
        <v>0</v>
      </c>
      <c r="AH218" s="1">
        <f t="shared" si="115"/>
        <v>1</v>
      </c>
      <c r="AI218" s="1">
        <f t="shared" si="116"/>
        <v>0</v>
      </c>
    </row>
    <row r="219" spans="1:35" ht="14.25" customHeight="1" x14ac:dyDescent="0.25">
      <c r="A219" s="47">
        <v>0</v>
      </c>
      <c r="B219" s="47">
        <v>1</v>
      </c>
      <c r="C219" s="47">
        <v>6</v>
      </c>
      <c r="D219" s="48" t="s">
        <v>1280</v>
      </c>
      <c r="E219" s="48" t="s">
        <v>168</v>
      </c>
      <c r="F219" s="48" t="s">
        <v>1152</v>
      </c>
      <c r="G219" s="48" t="s">
        <v>1346</v>
      </c>
      <c r="H219" s="48" t="s">
        <v>355</v>
      </c>
      <c r="I219" s="47" t="s">
        <v>1153</v>
      </c>
      <c r="J219" s="47">
        <v>99</v>
      </c>
      <c r="K219" s="49" t="s">
        <v>706</v>
      </c>
      <c r="L219" s="49">
        <v>45</v>
      </c>
      <c r="M219" s="50" t="s">
        <v>39</v>
      </c>
      <c r="N219" s="50" t="s">
        <v>1739</v>
      </c>
      <c r="O219" s="51"/>
      <c r="P219" s="51"/>
      <c r="Q219" s="48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0</v>
      </c>
      <c r="AE219" s="1">
        <f t="shared" si="128"/>
        <v>0</v>
      </c>
      <c r="AF219" s="1">
        <f t="shared" si="113"/>
        <v>0</v>
      </c>
      <c r="AG219" s="1">
        <f t="shared" si="114"/>
        <v>0</v>
      </c>
      <c r="AH219" s="1">
        <f t="shared" si="115"/>
        <v>0</v>
      </c>
      <c r="AI219" s="1">
        <f t="shared" si="116"/>
        <v>1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1795</v>
      </c>
      <c r="E220" s="35" t="s">
        <v>168</v>
      </c>
      <c r="F220" s="35" t="s">
        <v>1770</v>
      </c>
      <c r="G220" s="35"/>
      <c r="H220" s="35" t="s">
        <v>355</v>
      </c>
      <c r="I220" s="34" t="s">
        <v>1771</v>
      </c>
      <c r="J220" s="34"/>
      <c r="K220" s="36" t="s">
        <v>707</v>
      </c>
      <c r="L220" s="36"/>
      <c r="M220" s="37"/>
      <c r="N220" s="37" t="s">
        <v>1731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1018</v>
      </c>
      <c r="E221" s="35" t="s">
        <v>168</v>
      </c>
      <c r="F221" s="35" t="s">
        <v>1019</v>
      </c>
      <c r="G221" s="35" t="s">
        <v>1107</v>
      </c>
      <c r="H221" s="35" t="s">
        <v>355</v>
      </c>
      <c r="I221" s="34" t="s">
        <v>1020</v>
      </c>
      <c r="J221" s="34">
        <v>99</v>
      </c>
      <c r="K221" s="36" t="s">
        <v>968</v>
      </c>
      <c r="L221" s="36" t="s">
        <v>39</v>
      </c>
      <c r="M221" s="37" t="s">
        <v>39</v>
      </c>
      <c r="N221" s="37" t="s">
        <v>1731</v>
      </c>
      <c r="O221" s="38">
        <v>1</v>
      </c>
      <c r="P221" s="38">
        <v>1</v>
      </c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0</v>
      </c>
      <c r="AB221" s="1">
        <f t="shared" si="126"/>
        <v>0</v>
      </c>
      <c r="AD221" s="1">
        <f t="shared" si="127"/>
        <v>1</v>
      </c>
      <c r="AE221" s="1">
        <f t="shared" si="128"/>
        <v>0</v>
      </c>
      <c r="AF221" s="1">
        <f t="shared" si="113"/>
        <v>1</v>
      </c>
      <c r="AG221" s="1">
        <f t="shared" si="114"/>
        <v>0</v>
      </c>
      <c r="AH221" s="1">
        <f t="shared" si="115"/>
        <v>1</v>
      </c>
      <c r="AI221" s="1">
        <f t="shared" si="116"/>
        <v>0</v>
      </c>
    </row>
    <row r="222" spans="1:35" ht="14.25" customHeight="1" x14ac:dyDescent="0.25">
      <c r="A222" s="34">
        <v>0</v>
      </c>
      <c r="B222" s="34">
        <v>1</v>
      </c>
      <c r="C222" s="34">
        <v>6</v>
      </c>
      <c r="D222" s="35" t="s">
        <v>94</v>
      </c>
      <c r="E222" s="35" t="s">
        <v>170</v>
      </c>
      <c r="F222" s="35" t="s">
        <v>290</v>
      </c>
      <c r="G222" s="35" t="s">
        <v>195</v>
      </c>
      <c r="H222" s="35" t="s">
        <v>355</v>
      </c>
      <c r="I222" s="34" t="s">
        <v>443</v>
      </c>
      <c r="J222" s="34">
        <v>9</v>
      </c>
      <c r="K222" s="36" t="s">
        <v>706</v>
      </c>
      <c r="L222" s="36" t="s">
        <v>698</v>
      </c>
      <c r="M222" s="37" t="s">
        <v>710</v>
      </c>
      <c r="N222" s="37" t="s">
        <v>1752</v>
      </c>
      <c r="O222" s="38">
        <v>1</v>
      </c>
      <c r="P222" s="38"/>
      <c r="Q222" s="35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1</v>
      </c>
      <c r="AB222" s="1">
        <f t="shared" si="126"/>
        <v>0</v>
      </c>
      <c r="AD222" s="1">
        <f t="shared" si="127"/>
        <v>0</v>
      </c>
      <c r="AE222" s="1">
        <f t="shared" si="128"/>
        <v>1</v>
      </c>
      <c r="AF222" s="1">
        <f t="shared" si="113"/>
        <v>0</v>
      </c>
      <c r="AG222" s="1">
        <f t="shared" si="114"/>
        <v>1</v>
      </c>
      <c r="AH222" s="1">
        <f t="shared" si="115"/>
        <v>0</v>
      </c>
      <c r="AI222" s="1">
        <f t="shared" si="116"/>
        <v>1</v>
      </c>
    </row>
    <row r="223" spans="1:35" ht="14.25" customHeight="1" x14ac:dyDescent="0.25">
      <c r="A223" s="41">
        <v>0</v>
      </c>
      <c r="B223" s="41">
        <v>1</v>
      </c>
      <c r="C223" s="41">
        <v>6</v>
      </c>
      <c r="D223" s="57" t="s">
        <v>1613</v>
      </c>
      <c r="E223" s="42" t="s">
        <v>1614</v>
      </c>
      <c r="F223" s="42" t="s">
        <v>1615</v>
      </c>
      <c r="G223" s="42" t="s">
        <v>193</v>
      </c>
      <c r="H223" s="42" t="s">
        <v>355</v>
      </c>
      <c r="I223" s="41" t="s">
        <v>1616</v>
      </c>
      <c r="J223" s="41">
        <v>10</v>
      </c>
      <c r="K223" s="43" t="s">
        <v>960</v>
      </c>
      <c r="L223" s="43" t="s">
        <v>690</v>
      </c>
      <c r="M223" s="44" t="s">
        <v>1617</v>
      </c>
      <c r="N223" s="45"/>
      <c r="O223" s="46"/>
      <c r="P223" s="46">
        <v>1</v>
      </c>
      <c r="Q223" s="42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0</v>
      </c>
      <c r="Z223" s="1">
        <f t="shared" si="124"/>
        <v>0</v>
      </c>
      <c r="AA223" s="1">
        <f t="shared" si="125"/>
        <v>0</v>
      </c>
      <c r="AB223" s="1">
        <f t="shared" si="126"/>
        <v>1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1</v>
      </c>
      <c r="AI223" s="1">
        <f t="shared" si="116"/>
        <v>0</v>
      </c>
    </row>
    <row r="224" spans="1:35" ht="14.25" customHeight="1" x14ac:dyDescent="0.25">
      <c r="A224" s="47">
        <v>0</v>
      </c>
      <c r="B224" s="47">
        <v>1</v>
      </c>
      <c r="C224" s="47">
        <v>6</v>
      </c>
      <c r="D224" s="48" t="s">
        <v>95</v>
      </c>
      <c r="E224" s="48" t="s">
        <v>166</v>
      </c>
      <c r="F224" s="48" t="s">
        <v>291</v>
      </c>
      <c r="G224" s="48" t="s">
        <v>292</v>
      </c>
      <c r="H224" s="48" t="s">
        <v>355</v>
      </c>
      <c r="I224" s="47" t="s">
        <v>444</v>
      </c>
      <c r="J224" s="47">
        <v>7</v>
      </c>
      <c r="K224" s="49" t="s">
        <v>706</v>
      </c>
      <c r="L224" s="49" t="s">
        <v>698</v>
      </c>
      <c r="M224" s="50" t="s">
        <v>702</v>
      </c>
      <c r="N224" s="50" t="s">
        <v>1738</v>
      </c>
      <c r="O224" s="51"/>
      <c r="P224" s="51"/>
      <c r="Q224" s="48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1</v>
      </c>
      <c r="Z224" s="1">
        <f t="shared" si="124"/>
        <v>0</v>
      </c>
      <c r="AA224" s="1">
        <f t="shared" si="125"/>
        <v>0</v>
      </c>
      <c r="AB224" s="1">
        <f t="shared" si="126"/>
        <v>0</v>
      </c>
      <c r="AD224" s="1">
        <f t="shared" si="127"/>
        <v>0</v>
      </c>
      <c r="AE224" s="1">
        <f t="shared" si="128"/>
        <v>0</v>
      </c>
      <c r="AF224" s="1">
        <f t="shared" si="113"/>
        <v>0</v>
      </c>
      <c r="AG224" s="1">
        <f t="shared" si="114"/>
        <v>0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1089</v>
      </c>
      <c r="E225" s="35" t="s">
        <v>168</v>
      </c>
      <c r="F225" s="35" t="s">
        <v>663</v>
      </c>
      <c r="G225" s="35" t="s">
        <v>180</v>
      </c>
      <c r="H225" s="35" t="s">
        <v>355</v>
      </c>
      <c r="I225" s="34" t="s">
        <v>382</v>
      </c>
      <c r="J225" s="34">
        <v>10</v>
      </c>
      <c r="K225" s="36" t="s">
        <v>726</v>
      </c>
      <c r="L225" s="36" t="s">
        <v>708</v>
      </c>
      <c r="M225" s="37" t="s">
        <v>711</v>
      </c>
      <c r="N225" s="37" t="s">
        <v>1754</v>
      </c>
      <c r="O225" s="38">
        <v>1</v>
      </c>
      <c r="P225" s="38"/>
      <c r="Q225" s="35"/>
      <c r="R225" s="1"/>
      <c r="S225" s="1">
        <f t="shared" si="117"/>
        <v>0</v>
      </c>
      <c r="T225" s="1">
        <f t="shared" si="118"/>
        <v>0</v>
      </c>
      <c r="U225" s="1">
        <f t="shared" si="119"/>
        <v>0</v>
      </c>
      <c r="V225" s="1">
        <f t="shared" si="120"/>
        <v>0</v>
      </c>
      <c r="W225" s="1">
        <f t="shared" si="121"/>
        <v>0</v>
      </c>
      <c r="X225" s="1">
        <f t="shared" si="122"/>
        <v>0</v>
      </c>
      <c r="Y225" s="1">
        <f t="shared" si="123"/>
        <v>0</v>
      </c>
      <c r="Z225" s="1">
        <f t="shared" si="124"/>
        <v>0</v>
      </c>
      <c r="AA225" s="1">
        <f t="shared" si="125"/>
        <v>0</v>
      </c>
      <c r="AB225" s="1">
        <f t="shared" si="126"/>
        <v>1</v>
      </c>
      <c r="AC225" s="1"/>
      <c r="AD225" s="1">
        <f t="shared" si="127"/>
        <v>0</v>
      </c>
      <c r="AE225" s="1">
        <f t="shared" si="128"/>
        <v>1</v>
      </c>
      <c r="AF225" s="1">
        <f t="shared" si="113"/>
        <v>0</v>
      </c>
      <c r="AG225" s="1">
        <f t="shared" si="114"/>
        <v>1</v>
      </c>
      <c r="AH225" s="1">
        <f t="shared" si="115"/>
        <v>0</v>
      </c>
      <c r="AI225" s="1">
        <f t="shared" si="116"/>
        <v>1</v>
      </c>
      <c r="AJ225" s="1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1233</v>
      </c>
      <c r="E226" s="35" t="s">
        <v>166</v>
      </c>
      <c r="F226" s="35" t="s">
        <v>1234</v>
      </c>
      <c r="G226" s="35" t="s">
        <v>1236</v>
      </c>
      <c r="H226" s="35" t="s">
        <v>355</v>
      </c>
      <c r="I226" s="34" t="s">
        <v>1235</v>
      </c>
      <c r="J226" s="34">
        <v>99</v>
      </c>
      <c r="K226" s="36" t="s">
        <v>726</v>
      </c>
      <c r="L226" s="36" t="s">
        <v>697</v>
      </c>
      <c r="M226" s="37" t="s">
        <v>1405</v>
      </c>
      <c r="N226" s="37" t="s">
        <v>1747</v>
      </c>
      <c r="O226" s="38">
        <v>1</v>
      </c>
      <c r="P226" s="38"/>
      <c r="Q226" s="35"/>
      <c r="R226" s="34"/>
      <c r="S226" s="34">
        <f t="shared" si="117"/>
        <v>0</v>
      </c>
      <c r="T226" s="34">
        <f t="shared" si="118"/>
        <v>0</v>
      </c>
      <c r="U226" s="35">
        <f t="shared" si="119"/>
        <v>0</v>
      </c>
      <c r="V226" s="35">
        <f t="shared" si="120"/>
        <v>0</v>
      </c>
      <c r="W226" s="35">
        <f t="shared" si="121"/>
        <v>0</v>
      </c>
      <c r="X226" s="35">
        <f t="shared" si="122"/>
        <v>0</v>
      </c>
      <c r="Y226" s="35">
        <f t="shared" si="123"/>
        <v>0</v>
      </c>
      <c r="Z226" s="34">
        <f t="shared" si="124"/>
        <v>0</v>
      </c>
      <c r="AA226" s="34">
        <f t="shared" si="125"/>
        <v>0</v>
      </c>
      <c r="AB226" s="36">
        <f t="shared" si="126"/>
        <v>0</v>
      </c>
      <c r="AC226" s="36"/>
      <c r="AD226" s="37">
        <f t="shared" si="127"/>
        <v>0</v>
      </c>
      <c r="AE226" s="37">
        <f t="shared" si="128"/>
        <v>1</v>
      </c>
      <c r="AF226" s="38">
        <f t="shared" si="113"/>
        <v>0</v>
      </c>
      <c r="AG226" s="38">
        <f t="shared" si="114"/>
        <v>1</v>
      </c>
      <c r="AH226" s="39">
        <f t="shared" si="115"/>
        <v>0</v>
      </c>
      <c r="AI226" s="34">
        <f t="shared" si="116"/>
        <v>1</v>
      </c>
      <c r="AJ226" s="34"/>
      <c r="AK226" s="34"/>
      <c r="AL226" s="35"/>
      <c r="AM226" s="35"/>
      <c r="AN226" s="35"/>
      <c r="AO226" s="35"/>
      <c r="AP226" s="35"/>
      <c r="AQ226" s="34"/>
      <c r="AR226" s="34"/>
      <c r="AS226" s="36"/>
      <c r="AT226" s="36"/>
      <c r="AU226" s="37"/>
      <c r="AV226" s="37"/>
      <c r="AW226" s="38"/>
      <c r="AX226" s="38"/>
      <c r="AY226" s="39"/>
      <c r="AZ226" s="34"/>
      <c r="BA226" s="34"/>
      <c r="BB226" s="34"/>
      <c r="BC226" s="35"/>
      <c r="BD226" s="35"/>
      <c r="BE226" s="35"/>
      <c r="BF226" s="35"/>
      <c r="BG226" s="35"/>
      <c r="BH226" s="34"/>
      <c r="BI226" s="34"/>
      <c r="BJ226" s="36"/>
      <c r="BK226" s="36"/>
      <c r="BL226" s="37"/>
      <c r="BM226" s="37"/>
      <c r="BN226" s="38"/>
      <c r="BO226" s="38"/>
      <c r="BP226" s="39"/>
      <c r="BQ226" s="34"/>
      <c r="BR226" s="34"/>
      <c r="BS226" s="34"/>
      <c r="BT226" s="35"/>
      <c r="BU226" s="35"/>
      <c r="BV226" s="35"/>
      <c r="BW226" s="35"/>
      <c r="BX226" s="35"/>
      <c r="BY226" s="34"/>
      <c r="BZ226" s="34"/>
      <c r="CA226" s="36"/>
      <c r="CB226" s="36"/>
      <c r="CC226" s="37"/>
      <c r="CD226" s="37"/>
      <c r="CE226" s="38"/>
      <c r="CF226" s="38"/>
      <c r="CG226" s="39"/>
      <c r="CH226" s="34"/>
      <c r="CI226" s="34"/>
      <c r="CJ226" s="34"/>
      <c r="CK226" s="35"/>
      <c r="CL226" s="35"/>
      <c r="CM226" s="35"/>
      <c r="CN226" s="35"/>
      <c r="CO226" s="35"/>
      <c r="CP226" s="34"/>
      <c r="CQ226" s="34"/>
      <c r="CR226" s="36"/>
      <c r="CS226" s="36"/>
      <c r="CT226" s="37"/>
      <c r="CU226" s="37"/>
      <c r="CV226" s="38"/>
      <c r="CW226" s="38"/>
      <c r="CX226" s="39"/>
      <c r="CY226" s="34"/>
      <c r="CZ226" s="34"/>
      <c r="DA226" s="34"/>
      <c r="DB226" s="35"/>
      <c r="DC226" s="35"/>
      <c r="DD226" s="35"/>
      <c r="DE226" s="35"/>
      <c r="DF226" s="35"/>
      <c r="DG226" s="34"/>
      <c r="DH226" s="34"/>
      <c r="DI226" s="36"/>
      <c r="DJ226" s="36"/>
      <c r="DK226" s="37"/>
      <c r="DL226" s="37"/>
      <c r="DM226" s="38"/>
      <c r="DN226" s="38"/>
      <c r="DO226" s="39"/>
      <c r="DP226" s="34"/>
      <c r="DQ226" s="34"/>
      <c r="DR226" s="34"/>
      <c r="DS226" s="35"/>
      <c r="DT226" s="35"/>
      <c r="DU226" s="35"/>
      <c r="DV226" s="35"/>
      <c r="DW226" s="35"/>
      <c r="DX226" s="34"/>
      <c r="DY226" s="34"/>
      <c r="DZ226" s="36"/>
      <c r="EA226" s="36"/>
      <c r="EB226" s="37"/>
      <c r="EC226" s="37"/>
      <c r="ED226" s="38"/>
      <c r="EE226" s="38"/>
      <c r="EF226" s="39"/>
      <c r="EG226" s="34"/>
      <c r="EH226" s="34"/>
      <c r="EI226" s="34"/>
      <c r="EJ226" s="35"/>
      <c r="EK226" s="35"/>
      <c r="EL226" s="35"/>
      <c r="EM226" s="35"/>
      <c r="EN226" s="35"/>
      <c r="EO226" s="34"/>
      <c r="EP226" s="34"/>
      <c r="EQ226" s="36"/>
      <c r="ER226" s="36"/>
      <c r="ES226" s="37"/>
      <c r="ET226" s="37"/>
      <c r="EU226" s="38"/>
      <c r="EV226" s="38"/>
      <c r="EW226" s="39"/>
      <c r="EX226" s="34"/>
      <c r="EY226" s="34"/>
      <c r="EZ226" s="34"/>
      <c r="FA226" s="35"/>
      <c r="FB226" s="35"/>
      <c r="FC226" s="35"/>
      <c r="FD226" s="35"/>
      <c r="FE226" s="35"/>
      <c r="FF226" s="34"/>
      <c r="FG226" s="34"/>
      <c r="FH226" s="36"/>
      <c r="FI226" s="36"/>
      <c r="FJ226" s="37"/>
      <c r="FK226" s="37"/>
      <c r="FL226" s="38"/>
      <c r="FM226" s="38"/>
      <c r="FN226" s="39"/>
      <c r="FO226" s="34"/>
      <c r="FP226" s="34"/>
      <c r="FQ226" s="34"/>
      <c r="FR226" s="35"/>
      <c r="FS226" s="35"/>
      <c r="FT226" s="35"/>
      <c r="FU226" s="35"/>
      <c r="FV226" s="35"/>
      <c r="FW226" s="34"/>
      <c r="FX226" s="34"/>
      <c r="FY226" s="36"/>
      <c r="FZ226" s="36"/>
      <c r="GA226" s="37"/>
      <c r="GB226" s="37"/>
      <c r="GC226" s="38"/>
      <c r="GD226" s="38"/>
      <c r="GE226" s="39"/>
      <c r="GF226" s="34"/>
      <c r="GG226" s="34"/>
      <c r="GH226" s="34"/>
      <c r="GI226" s="35"/>
      <c r="GJ226" s="35"/>
      <c r="GK226" s="35"/>
      <c r="GL226" s="35"/>
      <c r="GM226" s="35"/>
      <c r="GN226" s="34"/>
      <c r="GO226" s="34"/>
      <c r="GP226" s="36"/>
      <c r="GQ226" s="36"/>
      <c r="GR226" s="37"/>
      <c r="GS226" s="37"/>
      <c r="GT226" s="38"/>
      <c r="GU226" s="38"/>
      <c r="GV226" s="39"/>
      <c r="GW226" s="34"/>
      <c r="GX226" s="34"/>
      <c r="GY226" s="34"/>
      <c r="GZ226" s="35"/>
      <c r="HA226" s="35"/>
      <c r="HB226" s="35"/>
      <c r="HC226" s="35"/>
      <c r="HD226" s="35"/>
      <c r="HE226" s="34"/>
      <c r="HF226" s="34"/>
      <c r="HG226" s="36"/>
      <c r="HH226" s="36"/>
      <c r="HI226" s="37"/>
      <c r="HJ226" s="37"/>
      <c r="HK226" s="38"/>
      <c r="HL226" s="38"/>
      <c r="HM226" s="39"/>
      <c r="HN226" s="34"/>
      <c r="HO226" s="34"/>
      <c r="HP226" s="34"/>
      <c r="HQ226" s="35"/>
      <c r="HR226" s="35"/>
      <c r="HS226" s="35"/>
      <c r="HT226" s="35"/>
      <c r="HU226" s="35"/>
      <c r="HV226" s="34"/>
      <c r="HW226" s="34"/>
      <c r="HX226" s="36"/>
      <c r="HY226" s="36"/>
      <c r="HZ226" s="37"/>
      <c r="IA226" s="37"/>
      <c r="IB226" s="38"/>
      <c r="IC226" s="38"/>
      <c r="ID226" s="39"/>
      <c r="IE226" s="34"/>
      <c r="IF226" s="34"/>
      <c r="IG226" s="34"/>
      <c r="IH226" s="35"/>
      <c r="II226" s="35"/>
      <c r="IJ226" s="35"/>
      <c r="IK226" s="35"/>
      <c r="IL226" s="35"/>
      <c r="IM226" s="34"/>
      <c r="IN226" s="34"/>
      <c r="IO226" s="36"/>
      <c r="IP226" s="36"/>
      <c r="IQ226" s="37"/>
      <c r="IR226" s="37"/>
      <c r="IS226" s="38"/>
      <c r="IT226" s="38"/>
      <c r="IU226" s="39"/>
      <c r="IV226" s="34"/>
      <c r="IW226" s="34"/>
      <c r="IX226" s="34"/>
      <c r="IY226" s="35"/>
      <c r="IZ226" s="35"/>
      <c r="JA226" s="35"/>
      <c r="JB226" s="35"/>
      <c r="JC226" s="35"/>
      <c r="JD226" s="34"/>
      <c r="JE226" s="34"/>
      <c r="JF226" s="36"/>
      <c r="JG226" s="36"/>
      <c r="JH226" s="37"/>
      <c r="JI226" s="37"/>
      <c r="JJ226" s="38"/>
      <c r="JK226" s="38"/>
      <c r="JL226" s="39"/>
      <c r="JM226" s="34"/>
      <c r="JN226" s="34"/>
      <c r="JO226" s="34"/>
      <c r="JP226" s="35"/>
      <c r="JQ226" s="35"/>
      <c r="JR226" s="35"/>
      <c r="JS226" s="35"/>
      <c r="JT226" s="35"/>
      <c r="JU226" s="34"/>
      <c r="JV226" s="34"/>
      <c r="JW226" s="36"/>
      <c r="JX226" s="36"/>
      <c r="JY226" s="37"/>
      <c r="JZ226" s="37"/>
      <c r="KA226" s="38"/>
      <c r="KB226" s="38"/>
      <c r="KC226" s="39"/>
      <c r="KD226" s="34"/>
      <c r="KE226" s="34"/>
      <c r="KF226" s="34"/>
      <c r="KG226" s="35"/>
      <c r="KH226" s="35"/>
      <c r="KI226" s="35"/>
      <c r="KJ226" s="35"/>
      <c r="KK226" s="35"/>
      <c r="KL226" s="34"/>
      <c r="KM226" s="34"/>
      <c r="KN226" s="36"/>
      <c r="KO226" s="36"/>
      <c r="KP226" s="37"/>
      <c r="KQ226" s="37"/>
      <c r="KR226" s="38"/>
      <c r="KS226" s="38"/>
      <c r="KT226" s="39"/>
      <c r="KU226" s="34"/>
      <c r="KV226" s="34"/>
      <c r="KW226" s="34"/>
      <c r="KX226" s="35"/>
      <c r="KY226" s="35"/>
      <c r="KZ226" s="35"/>
      <c r="LA226" s="35"/>
      <c r="LB226" s="35"/>
      <c r="LC226" s="34"/>
      <c r="LD226" s="34"/>
      <c r="LE226" s="36"/>
      <c r="LF226" s="36"/>
      <c r="LG226" s="37"/>
      <c r="LH226" s="37"/>
      <c r="LI226" s="38"/>
      <c r="LJ226" s="38"/>
      <c r="LK226" s="39"/>
      <c r="LL226" s="34"/>
      <c r="LM226" s="34"/>
      <c r="LN226" s="34"/>
      <c r="LO226" s="35"/>
      <c r="LP226" s="35"/>
      <c r="LQ226" s="35"/>
      <c r="LR226" s="35"/>
      <c r="LS226" s="35"/>
      <c r="LT226" s="34"/>
      <c r="LU226" s="34"/>
      <c r="LV226" s="36"/>
      <c r="LW226" s="36"/>
      <c r="LX226" s="37"/>
      <c r="LY226" s="37"/>
      <c r="LZ226" s="38"/>
      <c r="MA226" s="38"/>
      <c r="MB226" s="39"/>
      <c r="MC226" s="34"/>
      <c r="MD226" s="34"/>
      <c r="ME226" s="34"/>
      <c r="MF226" s="35"/>
      <c r="MG226" s="35"/>
      <c r="MH226" s="35"/>
      <c r="MI226" s="35"/>
      <c r="MJ226" s="35"/>
      <c r="MK226" s="34"/>
      <c r="ML226" s="34"/>
      <c r="MM226" s="36"/>
      <c r="MN226" s="36"/>
      <c r="MO226" s="37"/>
      <c r="MP226" s="37"/>
      <c r="MQ226" s="38"/>
      <c r="MR226" s="38"/>
      <c r="MS226" s="39"/>
      <c r="MT226" s="34"/>
      <c r="MU226" s="34"/>
      <c r="MV226" s="34"/>
      <c r="MW226" s="35"/>
      <c r="MX226" s="35"/>
      <c r="MY226" s="35"/>
      <c r="MZ226" s="35"/>
      <c r="NA226" s="35"/>
      <c r="NB226" s="34"/>
      <c r="NC226" s="34"/>
      <c r="ND226" s="36"/>
      <c r="NE226" s="36"/>
      <c r="NF226" s="37"/>
      <c r="NG226" s="37"/>
      <c r="NH226" s="38"/>
      <c r="NI226" s="38"/>
      <c r="NJ226" s="39"/>
      <c r="NK226" s="34"/>
      <c r="NL226" s="34"/>
      <c r="NM226" s="34"/>
      <c r="NN226" s="35"/>
      <c r="NO226" s="35"/>
      <c r="NP226" s="35"/>
      <c r="NQ226" s="35"/>
      <c r="NR226" s="35"/>
      <c r="NS226" s="34"/>
      <c r="NT226" s="34"/>
      <c r="NU226" s="36"/>
      <c r="NV226" s="36"/>
      <c r="NW226" s="37"/>
      <c r="NX226" s="37"/>
      <c r="NY226" s="38"/>
      <c r="NZ226" s="38"/>
      <c r="OA226" s="39"/>
      <c r="OB226" s="34"/>
      <c r="OC226" s="34"/>
      <c r="OD226" s="34"/>
      <c r="OE226" s="35"/>
      <c r="OF226" s="35"/>
      <c r="OG226" s="35"/>
      <c r="OH226" s="35"/>
      <c r="OI226" s="35"/>
      <c r="OJ226" s="34"/>
      <c r="OK226" s="34"/>
      <c r="OL226" s="36"/>
      <c r="OM226" s="36"/>
      <c r="ON226" s="37"/>
      <c r="OO226" s="37"/>
      <c r="OP226" s="38"/>
      <c r="OQ226" s="38"/>
      <c r="OR226" s="39"/>
      <c r="OS226" s="34"/>
      <c r="OT226" s="34"/>
      <c r="OU226" s="34"/>
      <c r="OV226" s="35"/>
      <c r="OW226" s="35"/>
      <c r="OX226" s="35"/>
      <c r="OY226" s="35"/>
      <c r="OZ226" s="35"/>
      <c r="PA226" s="34"/>
      <c r="PB226" s="34"/>
      <c r="PC226" s="36"/>
      <c r="PD226" s="36"/>
      <c r="PE226" s="37"/>
      <c r="PF226" s="37"/>
      <c r="PG226" s="38"/>
      <c r="PH226" s="38"/>
      <c r="PI226" s="39"/>
      <c r="PJ226" s="34"/>
      <c r="PK226" s="34"/>
      <c r="PL226" s="34"/>
      <c r="PM226" s="35"/>
      <c r="PN226" s="35"/>
      <c r="PO226" s="35"/>
      <c r="PP226" s="35"/>
      <c r="PQ226" s="35"/>
      <c r="PR226" s="34"/>
      <c r="PS226" s="34"/>
      <c r="PT226" s="36"/>
      <c r="PU226" s="36"/>
      <c r="PV226" s="37"/>
      <c r="PW226" s="37"/>
      <c r="PX226" s="38"/>
      <c r="PY226" s="38"/>
      <c r="PZ226" s="39"/>
      <c r="QA226" s="34"/>
      <c r="QB226" s="34"/>
      <c r="QC226" s="34"/>
      <c r="QD226" s="35"/>
      <c r="QE226" s="35"/>
      <c r="QF226" s="35"/>
      <c r="QG226" s="35"/>
      <c r="QH226" s="35"/>
      <c r="QI226" s="34"/>
      <c r="QJ226" s="34"/>
      <c r="QK226" s="36"/>
      <c r="QL226" s="36"/>
      <c r="QM226" s="37"/>
      <c r="QN226" s="37"/>
      <c r="QO226" s="38"/>
      <c r="QP226" s="38"/>
      <c r="QQ226" s="39"/>
      <c r="QR226" s="34"/>
      <c r="QS226" s="34"/>
      <c r="QT226" s="34"/>
      <c r="QU226" s="35"/>
      <c r="QV226" s="35"/>
      <c r="QW226" s="35"/>
      <c r="QX226" s="35"/>
      <c r="QY226" s="35"/>
      <c r="QZ226" s="34"/>
      <c r="RA226" s="34"/>
      <c r="RB226" s="36"/>
      <c r="RC226" s="36"/>
      <c r="RD226" s="37"/>
      <c r="RE226" s="37"/>
      <c r="RF226" s="38"/>
      <c r="RG226" s="38"/>
      <c r="RH226" s="39"/>
      <c r="RI226" s="34"/>
      <c r="RJ226" s="34"/>
      <c r="RK226" s="34"/>
      <c r="RL226" s="35"/>
      <c r="RM226" s="35"/>
      <c r="RN226" s="35"/>
      <c r="RO226" s="35"/>
      <c r="RP226" s="35"/>
      <c r="RQ226" s="34"/>
      <c r="RR226" s="34"/>
      <c r="RS226" s="36"/>
      <c r="RT226" s="36"/>
      <c r="RU226" s="37"/>
      <c r="RV226" s="37"/>
      <c r="RW226" s="38"/>
      <c r="RX226" s="38"/>
      <c r="RY226" s="39"/>
      <c r="RZ226" s="34"/>
      <c r="SA226" s="34"/>
      <c r="SB226" s="34"/>
      <c r="SC226" s="35"/>
      <c r="SD226" s="35"/>
      <c r="SE226" s="35"/>
      <c r="SF226" s="35"/>
      <c r="SG226" s="35"/>
      <c r="SH226" s="34"/>
      <c r="SI226" s="34"/>
      <c r="SJ226" s="36"/>
      <c r="SK226" s="36"/>
      <c r="SL226" s="37"/>
      <c r="SM226" s="37"/>
      <c r="SN226" s="38"/>
      <c r="SO226" s="38"/>
      <c r="SP226" s="39"/>
      <c r="SQ226" s="34"/>
      <c r="SR226" s="34"/>
      <c r="SS226" s="34"/>
      <c r="ST226" s="35"/>
      <c r="SU226" s="35"/>
      <c r="SV226" s="35"/>
      <c r="SW226" s="35"/>
      <c r="SX226" s="35"/>
      <c r="SY226" s="34"/>
      <c r="SZ226" s="34"/>
      <c r="TA226" s="36"/>
      <c r="TB226" s="36"/>
      <c r="TC226" s="37"/>
      <c r="TD226" s="37"/>
      <c r="TE226" s="38"/>
      <c r="TF226" s="38"/>
      <c r="TG226" s="39"/>
      <c r="TH226" s="34"/>
      <c r="TI226" s="34"/>
      <c r="TJ226" s="34"/>
      <c r="TK226" s="35"/>
      <c r="TL226" s="35"/>
      <c r="TM226" s="35"/>
      <c r="TN226" s="35"/>
      <c r="TO226" s="35"/>
      <c r="TP226" s="34"/>
      <c r="TQ226" s="34"/>
      <c r="TR226" s="36"/>
      <c r="TS226" s="36"/>
      <c r="TT226" s="37"/>
      <c r="TU226" s="37"/>
      <c r="TV226" s="38"/>
      <c r="TW226" s="38"/>
      <c r="TX226" s="39"/>
      <c r="TY226" s="34"/>
      <c r="TZ226" s="34"/>
      <c r="UA226" s="34"/>
      <c r="UB226" s="35"/>
      <c r="UC226" s="35"/>
      <c r="UD226" s="35"/>
      <c r="UE226" s="35"/>
      <c r="UF226" s="35"/>
      <c r="UG226" s="34"/>
      <c r="UH226" s="34"/>
      <c r="UI226" s="36"/>
      <c r="UJ226" s="36"/>
      <c r="UK226" s="37"/>
      <c r="UL226" s="37"/>
      <c r="UM226" s="38"/>
      <c r="UN226" s="38"/>
      <c r="UO226" s="39"/>
      <c r="UP226" s="34"/>
      <c r="UQ226" s="34"/>
      <c r="UR226" s="34"/>
      <c r="US226" s="35"/>
      <c r="UT226" s="35"/>
      <c r="UU226" s="35"/>
      <c r="UV226" s="35"/>
      <c r="UW226" s="35"/>
      <c r="UX226" s="34"/>
      <c r="UY226" s="34"/>
      <c r="UZ226" s="36"/>
      <c r="VA226" s="36"/>
      <c r="VB226" s="37"/>
      <c r="VC226" s="37"/>
      <c r="VD226" s="38"/>
      <c r="VE226" s="38"/>
      <c r="VF226" s="39"/>
      <c r="VG226" s="34"/>
      <c r="VH226" s="34"/>
      <c r="VI226" s="34"/>
      <c r="VJ226" s="35"/>
      <c r="VK226" s="35"/>
      <c r="VL226" s="35"/>
      <c r="VM226" s="35"/>
      <c r="VN226" s="35"/>
      <c r="VO226" s="34"/>
      <c r="VP226" s="34"/>
      <c r="VQ226" s="36"/>
      <c r="VR226" s="36"/>
      <c r="VS226" s="37"/>
      <c r="VT226" s="37"/>
      <c r="VU226" s="38"/>
      <c r="VV226" s="38"/>
      <c r="VW226" s="39"/>
      <c r="VX226" s="34"/>
      <c r="VY226" s="34"/>
      <c r="VZ226" s="34"/>
      <c r="WA226" s="35"/>
      <c r="WB226" s="35"/>
      <c r="WC226" s="35"/>
      <c r="WD226" s="35"/>
      <c r="WE226" s="35"/>
      <c r="WF226" s="34"/>
      <c r="WG226" s="34"/>
      <c r="WH226" s="36"/>
      <c r="WI226" s="36"/>
      <c r="WJ226" s="37"/>
      <c r="WK226" s="37"/>
      <c r="WL226" s="38"/>
      <c r="WM226" s="38"/>
      <c r="WN226" s="39"/>
      <c r="WO226" s="34"/>
      <c r="WP226" s="34"/>
      <c r="WQ226" s="34"/>
      <c r="WR226" s="35"/>
      <c r="WS226" s="35"/>
      <c r="WT226" s="35"/>
      <c r="WU226" s="35"/>
      <c r="WV226" s="35"/>
      <c r="WW226" s="34"/>
      <c r="WX226" s="34"/>
      <c r="WY226" s="36"/>
      <c r="WZ226" s="36"/>
      <c r="XA226" s="37"/>
      <c r="XB226" s="37"/>
      <c r="XC226" s="38"/>
      <c r="XD226" s="38"/>
      <c r="XE226" s="39"/>
      <c r="XF226" s="34"/>
      <c r="XG226" s="34"/>
      <c r="XH226" s="34"/>
      <c r="XI226" s="35"/>
      <c r="XJ226" s="35"/>
      <c r="XK226" s="35"/>
      <c r="XL226" s="35"/>
      <c r="XM226" s="35"/>
      <c r="XN226" s="34"/>
      <c r="XO226" s="34"/>
      <c r="XP226" s="36"/>
      <c r="XQ226" s="36"/>
      <c r="XR226" s="37"/>
      <c r="XS226" s="37"/>
      <c r="XT226" s="38"/>
      <c r="XU226" s="38"/>
      <c r="XV226" s="39"/>
      <c r="XW226" s="34"/>
      <c r="XX226" s="34"/>
      <c r="XY226" s="34"/>
      <c r="XZ226" s="35"/>
      <c r="YA226" s="35"/>
      <c r="YB226" s="35"/>
      <c r="YC226" s="35"/>
      <c r="YD226" s="35"/>
      <c r="YE226" s="34"/>
      <c r="YF226" s="34"/>
      <c r="YG226" s="36"/>
      <c r="YH226" s="36"/>
      <c r="YI226" s="37"/>
      <c r="YJ226" s="37"/>
      <c r="YK226" s="38"/>
      <c r="YL226" s="38"/>
      <c r="YM226" s="39"/>
      <c r="YN226" s="34"/>
      <c r="YO226" s="34"/>
      <c r="YP226" s="34"/>
      <c r="YQ226" s="35"/>
      <c r="YR226" s="35"/>
      <c r="YS226" s="35"/>
      <c r="YT226" s="35"/>
      <c r="YU226" s="35"/>
      <c r="YV226" s="34"/>
      <c r="YW226" s="34"/>
      <c r="YX226" s="36"/>
      <c r="YY226" s="36"/>
      <c r="YZ226" s="37"/>
      <c r="ZA226" s="37"/>
      <c r="ZB226" s="38"/>
      <c r="ZC226" s="38"/>
      <c r="ZD226" s="39"/>
      <c r="ZE226" s="34"/>
      <c r="ZF226" s="34"/>
      <c r="ZG226" s="34"/>
      <c r="ZH226" s="35"/>
      <c r="ZI226" s="35"/>
      <c r="ZJ226" s="35"/>
      <c r="ZK226" s="35"/>
      <c r="ZL226" s="35"/>
      <c r="ZM226" s="34"/>
      <c r="ZN226" s="34"/>
      <c r="ZO226" s="36"/>
      <c r="ZP226" s="36"/>
      <c r="ZQ226" s="37"/>
      <c r="ZR226" s="37"/>
      <c r="ZS226" s="38"/>
      <c r="ZT226" s="38"/>
      <c r="ZU226" s="39"/>
      <c r="ZV226" s="34"/>
      <c r="ZW226" s="34"/>
      <c r="ZX226" s="34"/>
      <c r="ZY226" s="35"/>
      <c r="ZZ226" s="35"/>
      <c r="AAA226" s="35"/>
      <c r="AAB226" s="35"/>
      <c r="AAC226" s="35"/>
      <c r="AAD226" s="34"/>
      <c r="AAE226" s="34"/>
      <c r="AAF226" s="36"/>
      <c r="AAG226" s="36"/>
      <c r="AAH226" s="37"/>
      <c r="AAI226" s="37"/>
      <c r="AAJ226" s="38"/>
      <c r="AAK226" s="38"/>
      <c r="AAL226" s="39"/>
      <c r="AAM226" s="34"/>
      <c r="AAN226" s="34"/>
      <c r="AAO226" s="34"/>
      <c r="AAP226" s="35"/>
      <c r="AAQ226" s="35"/>
      <c r="AAR226" s="35"/>
      <c r="AAS226" s="35"/>
      <c r="AAT226" s="35"/>
      <c r="AAU226" s="34"/>
      <c r="AAV226" s="34"/>
      <c r="AAW226" s="36"/>
      <c r="AAX226" s="36"/>
      <c r="AAY226" s="37"/>
      <c r="AAZ226" s="37"/>
      <c r="ABA226" s="38"/>
      <c r="ABB226" s="38"/>
      <c r="ABC226" s="39"/>
      <c r="ABD226" s="34"/>
      <c r="ABE226" s="34"/>
      <c r="ABF226" s="34"/>
      <c r="ABG226" s="35"/>
      <c r="ABH226" s="35"/>
      <c r="ABI226" s="35"/>
      <c r="ABJ226" s="35"/>
      <c r="ABK226" s="35"/>
      <c r="ABL226" s="34"/>
      <c r="ABM226" s="34"/>
      <c r="ABN226" s="36"/>
      <c r="ABO226" s="36"/>
      <c r="ABP226" s="37"/>
      <c r="ABQ226" s="37"/>
      <c r="ABR226" s="38"/>
      <c r="ABS226" s="38"/>
      <c r="ABT226" s="39"/>
      <c r="ABU226" s="34"/>
      <c r="ABV226" s="34"/>
      <c r="ABW226" s="34"/>
      <c r="ABX226" s="35"/>
      <c r="ABY226" s="35"/>
      <c r="ABZ226" s="35"/>
      <c r="ACA226" s="35"/>
      <c r="ACB226" s="35"/>
      <c r="ACC226" s="34"/>
      <c r="ACD226" s="34"/>
      <c r="ACE226" s="36"/>
      <c r="ACF226" s="36"/>
      <c r="ACG226" s="37"/>
      <c r="ACH226" s="37"/>
      <c r="ACI226" s="38"/>
      <c r="ACJ226" s="38"/>
      <c r="ACK226" s="39"/>
      <c r="ACL226" s="34"/>
      <c r="ACM226" s="34"/>
      <c r="ACN226" s="34"/>
      <c r="ACO226" s="35"/>
      <c r="ACP226" s="35"/>
      <c r="ACQ226" s="35"/>
      <c r="ACR226" s="35"/>
      <c r="ACS226" s="35"/>
      <c r="ACT226" s="34"/>
      <c r="ACU226" s="34"/>
      <c r="ACV226" s="36"/>
      <c r="ACW226" s="36"/>
      <c r="ACX226" s="37"/>
      <c r="ACY226" s="37"/>
      <c r="ACZ226" s="38"/>
      <c r="ADA226" s="38"/>
      <c r="ADB226" s="39"/>
      <c r="ADC226" s="34"/>
      <c r="ADD226" s="34"/>
      <c r="ADE226" s="34"/>
      <c r="ADF226" s="35"/>
      <c r="ADG226" s="35"/>
      <c r="ADH226" s="35"/>
      <c r="ADI226" s="35"/>
      <c r="ADJ226" s="35"/>
      <c r="ADK226" s="34"/>
      <c r="ADL226" s="34"/>
      <c r="ADM226" s="36"/>
      <c r="ADN226" s="36"/>
      <c r="ADO226" s="37"/>
      <c r="ADP226" s="37"/>
      <c r="ADQ226" s="38"/>
      <c r="ADR226" s="38"/>
      <c r="ADS226" s="39"/>
      <c r="ADT226" s="34"/>
      <c r="ADU226" s="34"/>
      <c r="ADV226" s="34"/>
      <c r="ADW226" s="35"/>
      <c r="ADX226" s="35"/>
      <c r="ADY226" s="35"/>
      <c r="ADZ226" s="35"/>
      <c r="AEA226" s="35"/>
      <c r="AEB226" s="34"/>
      <c r="AEC226" s="34"/>
      <c r="AED226" s="36"/>
      <c r="AEE226" s="36"/>
      <c r="AEF226" s="37"/>
      <c r="AEG226" s="37"/>
      <c r="AEH226" s="38"/>
      <c r="AEI226" s="38"/>
      <c r="AEJ226" s="39"/>
      <c r="AEK226" s="34"/>
      <c r="AEL226" s="34"/>
      <c r="AEM226" s="34"/>
      <c r="AEN226" s="35"/>
      <c r="AEO226" s="35"/>
      <c r="AEP226" s="35"/>
      <c r="AEQ226" s="35"/>
      <c r="AER226" s="35"/>
      <c r="AES226" s="34"/>
      <c r="AET226" s="34"/>
      <c r="AEU226" s="36"/>
      <c r="AEV226" s="36"/>
      <c r="AEW226" s="37"/>
      <c r="AEX226" s="37"/>
      <c r="AEY226" s="38"/>
      <c r="AEZ226" s="38"/>
      <c r="AFA226" s="39"/>
      <c r="AFB226" s="34"/>
      <c r="AFC226" s="34"/>
      <c r="AFD226" s="34"/>
      <c r="AFE226" s="35"/>
      <c r="AFF226" s="35"/>
      <c r="AFG226" s="35"/>
      <c r="AFH226" s="35"/>
      <c r="AFI226" s="35"/>
      <c r="AFJ226" s="34"/>
      <c r="AFK226" s="34"/>
      <c r="AFL226" s="36"/>
      <c r="AFM226" s="36"/>
      <c r="AFN226" s="37"/>
      <c r="AFO226" s="37"/>
      <c r="AFP226" s="38"/>
      <c r="AFQ226" s="38"/>
      <c r="AFR226" s="39"/>
      <c r="AFS226" s="34"/>
      <c r="AFT226" s="34"/>
      <c r="AFU226" s="34"/>
      <c r="AFV226" s="35"/>
      <c r="AFW226" s="35"/>
      <c r="AFX226" s="35"/>
      <c r="AFY226" s="35"/>
      <c r="AFZ226" s="35"/>
      <c r="AGA226" s="34"/>
      <c r="AGB226" s="34"/>
      <c r="AGC226" s="36"/>
      <c r="AGD226" s="36"/>
      <c r="AGE226" s="37"/>
      <c r="AGF226" s="37"/>
      <c r="AGG226" s="38"/>
      <c r="AGH226" s="38"/>
      <c r="AGI226" s="39"/>
      <c r="AGJ226" s="34"/>
      <c r="AGK226" s="34"/>
      <c r="AGL226" s="34"/>
      <c r="AGM226" s="35"/>
      <c r="AGN226" s="35"/>
      <c r="AGO226" s="35"/>
      <c r="AGP226" s="35"/>
      <c r="AGQ226" s="35"/>
      <c r="AGR226" s="34"/>
      <c r="AGS226" s="34"/>
      <c r="AGT226" s="36"/>
      <c r="AGU226" s="36"/>
      <c r="AGV226" s="37"/>
      <c r="AGW226" s="37"/>
      <c r="AGX226" s="38"/>
      <c r="AGY226" s="38"/>
      <c r="AGZ226" s="39"/>
      <c r="AHA226" s="34"/>
      <c r="AHB226" s="34"/>
      <c r="AHC226" s="34"/>
      <c r="AHD226" s="35"/>
      <c r="AHE226" s="35"/>
      <c r="AHF226" s="35"/>
      <c r="AHG226" s="35"/>
      <c r="AHH226" s="35"/>
      <c r="AHI226" s="34"/>
      <c r="AHJ226" s="34"/>
      <c r="AHK226" s="36"/>
      <c r="AHL226" s="36"/>
      <c r="AHM226" s="37"/>
      <c r="AHN226" s="37"/>
      <c r="AHO226" s="38"/>
      <c r="AHP226" s="38"/>
      <c r="AHQ226" s="39"/>
      <c r="AHR226" s="34"/>
      <c r="AHS226" s="34"/>
      <c r="AHT226" s="34"/>
      <c r="AHU226" s="35"/>
      <c r="AHV226" s="35"/>
      <c r="AHW226" s="35"/>
      <c r="AHX226" s="35"/>
      <c r="AHY226" s="35"/>
      <c r="AHZ226" s="34"/>
      <c r="AIA226" s="34"/>
      <c r="AIB226" s="36"/>
      <c r="AIC226" s="36"/>
      <c r="AID226" s="37"/>
      <c r="AIE226" s="37"/>
      <c r="AIF226" s="38"/>
      <c r="AIG226" s="38"/>
      <c r="AIH226" s="39"/>
      <c r="AII226" s="34"/>
      <c r="AIJ226" s="34"/>
      <c r="AIK226" s="34"/>
      <c r="AIL226" s="35"/>
      <c r="AIM226" s="35"/>
      <c r="AIN226" s="35"/>
      <c r="AIO226" s="35"/>
      <c r="AIP226" s="35"/>
      <c r="AIQ226" s="34"/>
      <c r="AIR226" s="34"/>
      <c r="AIS226" s="36"/>
      <c r="AIT226" s="36"/>
      <c r="AIU226" s="37"/>
      <c r="AIV226" s="37"/>
      <c r="AIW226" s="38"/>
      <c r="AIX226" s="38"/>
      <c r="AIY226" s="39"/>
      <c r="AIZ226" s="34"/>
      <c r="AJA226" s="34"/>
      <c r="AJB226" s="34"/>
      <c r="AJC226" s="35"/>
      <c r="AJD226" s="35"/>
      <c r="AJE226" s="35"/>
      <c r="AJF226" s="35"/>
      <c r="AJG226" s="35"/>
      <c r="AJH226" s="34"/>
      <c r="AJI226" s="34"/>
      <c r="AJJ226" s="36"/>
      <c r="AJK226" s="36"/>
      <c r="AJL226" s="37"/>
      <c r="AJM226" s="37"/>
      <c r="AJN226" s="38"/>
      <c r="AJO226" s="38"/>
      <c r="AJP226" s="39"/>
      <c r="AJQ226" s="34"/>
      <c r="AJR226" s="34"/>
      <c r="AJS226" s="34"/>
      <c r="AJT226" s="35"/>
      <c r="AJU226" s="35"/>
      <c r="AJV226" s="35"/>
      <c r="AJW226" s="35"/>
      <c r="AJX226" s="35"/>
      <c r="AJY226" s="34"/>
      <c r="AJZ226" s="34"/>
      <c r="AKA226" s="36"/>
      <c r="AKB226" s="36"/>
      <c r="AKC226" s="37"/>
      <c r="AKD226" s="37"/>
      <c r="AKE226" s="38"/>
      <c r="AKF226" s="38"/>
      <c r="AKG226" s="39"/>
      <c r="AKH226" s="34"/>
      <c r="AKI226" s="34"/>
      <c r="AKJ226" s="34"/>
      <c r="AKK226" s="35"/>
      <c r="AKL226" s="35"/>
      <c r="AKM226" s="35"/>
      <c r="AKN226" s="35"/>
      <c r="AKO226" s="35"/>
      <c r="AKP226" s="34"/>
      <c r="AKQ226" s="34"/>
      <c r="AKR226" s="36"/>
      <c r="AKS226" s="36"/>
      <c r="AKT226" s="37"/>
      <c r="AKU226" s="37"/>
      <c r="AKV226" s="38"/>
      <c r="AKW226" s="38"/>
      <c r="AKX226" s="39"/>
      <c r="AKY226" s="34"/>
      <c r="AKZ226" s="34"/>
      <c r="ALA226" s="34"/>
      <c r="ALB226" s="35"/>
      <c r="ALC226" s="35"/>
      <c r="ALD226" s="35"/>
      <c r="ALE226" s="35"/>
      <c r="ALF226" s="35"/>
      <c r="ALG226" s="34"/>
      <c r="ALH226" s="34"/>
      <c r="ALI226" s="36"/>
      <c r="ALJ226" s="36"/>
      <c r="ALK226" s="37"/>
      <c r="ALL226" s="37"/>
      <c r="ALM226" s="38"/>
      <c r="ALN226" s="38"/>
      <c r="ALO226" s="39"/>
      <c r="ALP226" s="34"/>
      <c r="ALQ226" s="34"/>
      <c r="ALR226" s="34"/>
      <c r="ALS226" s="35"/>
      <c r="ALT226" s="35"/>
      <c r="ALU226" s="35"/>
      <c r="ALV226" s="35"/>
      <c r="ALW226" s="35"/>
      <c r="ALX226" s="34"/>
      <c r="ALY226" s="34"/>
      <c r="ALZ226" s="36"/>
      <c r="AMA226" s="36"/>
      <c r="AMB226" s="37"/>
      <c r="AMC226" s="37"/>
      <c r="AMD226" s="38"/>
      <c r="AME226" s="38"/>
      <c r="AMF226" s="39"/>
      <c r="AMG226" s="34"/>
      <c r="AMH226" s="34"/>
      <c r="AMI226" s="34"/>
      <c r="AMJ226" s="35"/>
      <c r="AMK226" s="35"/>
      <c r="AML226" s="35"/>
      <c r="AMM226" s="35"/>
      <c r="AMN226" s="35"/>
      <c r="AMO226" s="34"/>
      <c r="AMP226" s="34"/>
      <c r="AMQ226" s="36"/>
      <c r="AMR226" s="36"/>
      <c r="AMS226" s="37"/>
      <c r="AMT226" s="37"/>
      <c r="AMU226" s="38"/>
      <c r="AMV226" s="38"/>
      <c r="AMW226" s="39"/>
      <c r="AMX226" s="34"/>
      <c r="AMY226" s="34"/>
      <c r="AMZ226" s="34"/>
      <c r="ANA226" s="35"/>
      <c r="ANB226" s="35"/>
      <c r="ANC226" s="35"/>
      <c r="AND226" s="35"/>
      <c r="ANE226" s="35"/>
      <c r="ANF226" s="34"/>
      <c r="ANG226" s="34"/>
      <c r="ANH226" s="36"/>
      <c r="ANI226" s="36"/>
      <c r="ANJ226" s="37"/>
      <c r="ANK226" s="37"/>
      <c r="ANL226" s="38"/>
      <c r="ANM226" s="38"/>
      <c r="ANN226" s="39"/>
      <c r="ANO226" s="34"/>
      <c r="ANP226" s="34"/>
      <c r="ANQ226" s="34"/>
      <c r="ANR226" s="35"/>
      <c r="ANS226" s="35"/>
      <c r="ANT226" s="35"/>
      <c r="ANU226" s="35"/>
      <c r="ANV226" s="35"/>
      <c r="ANW226" s="34"/>
      <c r="ANX226" s="34"/>
      <c r="ANY226" s="36"/>
      <c r="ANZ226" s="36"/>
      <c r="AOA226" s="37"/>
      <c r="AOB226" s="37"/>
      <c r="AOC226" s="38"/>
      <c r="AOD226" s="38"/>
      <c r="AOE226" s="39"/>
      <c r="AOF226" s="34"/>
      <c r="AOG226" s="34"/>
      <c r="AOH226" s="34"/>
      <c r="AOI226" s="35"/>
      <c r="AOJ226" s="35"/>
      <c r="AOK226" s="35"/>
      <c r="AOL226" s="35"/>
      <c r="AOM226" s="35"/>
      <c r="AON226" s="34"/>
      <c r="AOO226" s="34"/>
      <c r="AOP226" s="36"/>
      <c r="AOQ226" s="36"/>
      <c r="AOR226" s="37"/>
      <c r="AOS226" s="37"/>
      <c r="AOT226" s="38"/>
      <c r="AOU226" s="38"/>
      <c r="AOV226" s="39"/>
      <c r="AOW226" s="34"/>
      <c r="AOX226" s="34"/>
      <c r="AOY226" s="34"/>
      <c r="AOZ226" s="35"/>
      <c r="APA226" s="35"/>
      <c r="APB226" s="35"/>
      <c r="APC226" s="35"/>
      <c r="APD226" s="35"/>
      <c r="APE226" s="34"/>
      <c r="APF226" s="34"/>
      <c r="APG226" s="36"/>
      <c r="APH226" s="36"/>
      <c r="API226" s="37"/>
      <c r="APJ226" s="37"/>
      <c r="APK226" s="38"/>
      <c r="APL226" s="38"/>
      <c r="APM226" s="39"/>
      <c r="APN226" s="34"/>
      <c r="APO226" s="34"/>
      <c r="APP226" s="34"/>
      <c r="APQ226" s="35"/>
      <c r="APR226" s="35"/>
      <c r="APS226" s="35"/>
      <c r="APT226" s="35"/>
      <c r="APU226" s="35"/>
      <c r="APV226" s="34"/>
      <c r="APW226" s="34"/>
      <c r="APX226" s="36"/>
      <c r="APY226" s="36"/>
      <c r="APZ226" s="37"/>
      <c r="AQA226" s="37"/>
      <c r="AQB226" s="38"/>
      <c r="AQC226" s="38"/>
      <c r="AQD226" s="39"/>
      <c r="AQE226" s="34"/>
      <c r="AQF226" s="34"/>
      <c r="AQG226" s="34"/>
      <c r="AQH226" s="35"/>
      <c r="AQI226" s="35"/>
      <c r="AQJ226" s="35"/>
      <c r="AQK226" s="35"/>
      <c r="AQL226" s="35"/>
      <c r="AQM226" s="34"/>
      <c r="AQN226" s="34"/>
      <c r="AQO226" s="36"/>
      <c r="AQP226" s="36"/>
      <c r="AQQ226" s="37"/>
      <c r="AQR226" s="37"/>
      <c r="AQS226" s="38"/>
      <c r="AQT226" s="38"/>
      <c r="AQU226" s="39"/>
      <c r="AQV226" s="34"/>
      <c r="AQW226" s="34"/>
      <c r="AQX226" s="34"/>
      <c r="AQY226" s="35"/>
      <c r="AQZ226" s="35"/>
      <c r="ARA226" s="35"/>
      <c r="ARB226" s="35"/>
      <c r="ARC226" s="35"/>
      <c r="ARD226" s="34"/>
      <c r="ARE226" s="34"/>
      <c r="ARF226" s="36"/>
      <c r="ARG226" s="36"/>
      <c r="ARH226" s="37"/>
      <c r="ARI226" s="37"/>
      <c r="ARJ226" s="38"/>
      <c r="ARK226" s="38"/>
      <c r="ARL226" s="39"/>
      <c r="ARM226" s="34"/>
      <c r="ARN226" s="34"/>
      <c r="ARO226" s="34"/>
      <c r="ARP226" s="35"/>
      <c r="ARQ226" s="35"/>
      <c r="ARR226" s="35"/>
      <c r="ARS226" s="35"/>
      <c r="ART226" s="35"/>
      <c r="ARU226" s="34"/>
      <c r="ARV226" s="34"/>
      <c r="ARW226" s="36"/>
      <c r="ARX226" s="36"/>
      <c r="ARY226" s="37"/>
      <c r="ARZ226" s="37"/>
      <c r="ASA226" s="38"/>
      <c r="ASB226" s="38"/>
      <c r="ASC226" s="39"/>
      <c r="ASD226" s="34"/>
      <c r="ASE226" s="34"/>
      <c r="ASF226" s="34"/>
      <c r="ASG226" s="35"/>
      <c r="ASH226" s="35"/>
      <c r="ASI226" s="35"/>
      <c r="ASJ226" s="35"/>
      <c r="ASK226" s="35"/>
      <c r="ASL226" s="34"/>
      <c r="ASM226" s="34"/>
      <c r="ASN226" s="36"/>
      <c r="ASO226" s="36"/>
      <c r="ASP226" s="37"/>
      <c r="ASQ226" s="37"/>
      <c r="ASR226" s="38"/>
      <c r="ASS226" s="38"/>
      <c r="AST226" s="39"/>
      <c r="ASU226" s="34"/>
      <c r="ASV226" s="34"/>
      <c r="ASW226" s="34"/>
      <c r="ASX226" s="35"/>
      <c r="ASY226" s="35"/>
      <c r="ASZ226" s="35"/>
      <c r="ATA226" s="35"/>
      <c r="ATB226" s="35"/>
      <c r="ATC226" s="34"/>
      <c r="ATD226" s="34"/>
      <c r="ATE226" s="36"/>
      <c r="ATF226" s="36"/>
      <c r="ATG226" s="37"/>
      <c r="ATH226" s="37"/>
      <c r="ATI226" s="38"/>
      <c r="ATJ226" s="38"/>
      <c r="ATK226" s="39"/>
      <c r="ATL226" s="34"/>
      <c r="ATM226" s="34"/>
      <c r="ATN226" s="34"/>
      <c r="ATO226" s="35"/>
      <c r="ATP226" s="35"/>
      <c r="ATQ226" s="35"/>
      <c r="ATR226" s="35"/>
      <c r="ATS226" s="35"/>
      <c r="ATT226" s="34"/>
      <c r="ATU226" s="34"/>
      <c r="ATV226" s="36"/>
      <c r="ATW226" s="36"/>
      <c r="ATX226" s="37"/>
      <c r="ATY226" s="37"/>
      <c r="ATZ226" s="38"/>
      <c r="AUA226" s="38"/>
      <c r="AUB226" s="39"/>
      <c r="AUC226" s="34"/>
      <c r="AUD226" s="34"/>
      <c r="AUE226" s="34"/>
      <c r="AUF226" s="35"/>
      <c r="AUG226" s="35"/>
      <c r="AUH226" s="35"/>
      <c r="AUI226" s="35"/>
      <c r="AUJ226" s="35"/>
      <c r="AUK226" s="34"/>
      <c r="AUL226" s="34"/>
      <c r="AUM226" s="36"/>
      <c r="AUN226" s="36"/>
      <c r="AUO226" s="37"/>
      <c r="AUP226" s="37"/>
      <c r="AUQ226" s="38"/>
      <c r="AUR226" s="38"/>
      <c r="AUS226" s="39"/>
      <c r="AUT226" s="34"/>
      <c r="AUU226" s="34"/>
      <c r="AUV226" s="34"/>
      <c r="AUW226" s="35"/>
      <c r="AUX226" s="35"/>
      <c r="AUY226" s="35"/>
      <c r="AUZ226" s="35"/>
      <c r="AVA226" s="35"/>
      <c r="AVB226" s="34"/>
      <c r="AVC226" s="34"/>
      <c r="AVD226" s="36"/>
      <c r="AVE226" s="36"/>
      <c r="AVF226" s="37"/>
      <c r="AVG226" s="37"/>
      <c r="AVH226" s="38"/>
      <c r="AVI226" s="38"/>
      <c r="AVJ226" s="39"/>
      <c r="AVK226" s="34"/>
      <c r="AVL226" s="34"/>
      <c r="AVM226" s="34"/>
      <c r="AVN226" s="35"/>
      <c r="AVO226" s="35"/>
      <c r="AVP226" s="35"/>
      <c r="AVQ226" s="35"/>
      <c r="AVR226" s="35"/>
      <c r="AVS226" s="34"/>
      <c r="AVT226" s="34"/>
      <c r="AVU226" s="36"/>
      <c r="AVV226" s="36"/>
      <c r="AVW226" s="37"/>
      <c r="AVX226" s="37"/>
      <c r="AVY226" s="38"/>
      <c r="AVZ226" s="38"/>
      <c r="AWA226" s="39"/>
      <c r="AWB226" s="34"/>
      <c r="AWC226" s="34"/>
      <c r="AWD226" s="34"/>
      <c r="AWE226" s="35"/>
      <c r="AWF226" s="35"/>
      <c r="AWG226" s="35"/>
      <c r="AWH226" s="35"/>
      <c r="AWI226" s="35"/>
      <c r="AWJ226" s="34"/>
      <c r="AWK226" s="34"/>
      <c r="AWL226" s="36"/>
      <c r="AWM226" s="36"/>
      <c r="AWN226" s="37"/>
      <c r="AWO226" s="37"/>
      <c r="AWP226" s="38"/>
      <c r="AWQ226" s="38"/>
      <c r="AWR226" s="39"/>
      <c r="AWS226" s="34"/>
      <c r="AWT226" s="34"/>
      <c r="AWU226" s="34"/>
      <c r="AWV226" s="35"/>
      <c r="AWW226" s="35"/>
      <c r="AWX226" s="35"/>
      <c r="AWY226" s="35"/>
      <c r="AWZ226" s="35"/>
      <c r="AXA226" s="34"/>
      <c r="AXB226" s="34"/>
      <c r="AXC226" s="36"/>
      <c r="AXD226" s="36"/>
      <c r="AXE226" s="37"/>
      <c r="AXF226" s="37"/>
      <c r="AXG226" s="38"/>
      <c r="AXH226" s="38"/>
      <c r="AXI226" s="39"/>
      <c r="AXJ226" s="34"/>
      <c r="AXK226" s="34"/>
      <c r="AXL226" s="34"/>
      <c r="AXM226" s="35"/>
      <c r="AXN226" s="35"/>
      <c r="AXO226" s="35"/>
      <c r="AXP226" s="35"/>
      <c r="AXQ226" s="35"/>
      <c r="AXR226" s="34"/>
      <c r="AXS226" s="34"/>
      <c r="AXT226" s="36"/>
      <c r="AXU226" s="36"/>
      <c r="AXV226" s="37"/>
      <c r="AXW226" s="37"/>
      <c r="AXX226" s="38"/>
      <c r="AXY226" s="38"/>
      <c r="AXZ226" s="39"/>
      <c r="AYA226" s="34"/>
      <c r="AYB226" s="34"/>
      <c r="AYC226" s="34"/>
      <c r="AYD226" s="35"/>
      <c r="AYE226" s="35"/>
      <c r="AYF226" s="35"/>
      <c r="AYG226" s="35"/>
      <c r="AYH226" s="35"/>
      <c r="AYI226" s="34"/>
      <c r="AYJ226" s="34"/>
      <c r="AYK226" s="36"/>
      <c r="AYL226" s="36"/>
      <c r="AYM226" s="37"/>
      <c r="AYN226" s="37"/>
      <c r="AYO226" s="38"/>
      <c r="AYP226" s="38"/>
      <c r="AYQ226" s="39"/>
      <c r="AYR226" s="34"/>
      <c r="AYS226" s="34"/>
      <c r="AYT226" s="34"/>
      <c r="AYU226" s="35"/>
      <c r="AYV226" s="35"/>
      <c r="AYW226" s="35"/>
      <c r="AYX226" s="35"/>
      <c r="AYY226" s="35"/>
      <c r="AYZ226" s="34"/>
      <c r="AZA226" s="34"/>
      <c r="AZB226" s="36"/>
      <c r="AZC226" s="36"/>
      <c r="AZD226" s="37"/>
      <c r="AZE226" s="37"/>
      <c r="AZF226" s="38"/>
      <c r="AZG226" s="38"/>
      <c r="AZH226" s="39"/>
      <c r="AZI226" s="34"/>
      <c r="AZJ226" s="34"/>
      <c r="AZK226" s="34"/>
      <c r="AZL226" s="35"/>
      <c r="AZM226" s="35"/>
      <c r="AZN226" s="35"/>
      <c r="AZO226" s="35"/>
      <c r="AZP226" s="35"/>
      <c r="AZQ226" s="34"/>
      <c r="AZR226" s="34"/>
      <c r="AZS226" s="36"/>
      <c r="AZT226" s="36"/>
      <c r="AZU226" s="37"/>
      <c r="AZV226" s="37"/>
      <c r="AZW226" s="38"/>
      <c r="AZX226" s="38"/>
      <c r="AZY226" s="39"/>
      <c r="AZZ226" s="34"/>
      <c r="BAA226" s="34"/>
      <c r="BAB226" s="34"/>
      <c r="BAC226" s="35"/>
      <c r="BAD226" s="35"/>
      <c r="BAE226" s="35"/>
      <c r="BAF226" s="35"/>
      <c r="BAG226" s="35"/>
      <c r="BAH226" s="34"/>
      <c r="BAI226" s="34"/>
      <c r="BAJ226" s="36"/>
      <c r="BAK226" s="36"/>
      <c r="BAL226" s="37"/>
      <c r="BAM226" s="37"/>
      <c r="BAN226" s="38"/>
      <c r="BAO226" s="38"/>
      <c r="BAP226" s="39"/>
      <c r="BAQ226" s="34"/>
      <c r="BAR226" s="34"/>
      <c r="BAS226" s="34"/>
      <c r="BAT226" s="35"/>
      <c r="BAU226" s="35"/>
      <c r="BAV226" s="35"/>
      <c r="BAW226" s="35"/>
      <c r="BAX226" s="35"/>
      <c r="BAY226" s="34"/>
      <c r="BAZ226" s="34"/>
      <c r="BBA226" s="36"/>
      <c r="BBB226" s="36"/>
      <c r="BBC226" s="37"/>
      <c r="BBD226" s="37"/>
      <c r="BBE226" s="38"/>
      <c r="BBF226" s="38"/>
      <c r="BBG226" s="39"/>
      <c r="BBH226" s="34"/>
      <c r="BBI226" s="34"/>
      <c r="BBJ226" s="34"/>
      <c r="BBK226" s="35"/>
      <c r="BBL226" s="35"/>
      <c r="BBM226" s="35"/>
      <c r="BBN226" s="35"/>
      <c r="BBO226" s="35"/>
      <c r="BBP226" s="34"/>
      <c r="BBQ226" s="34"/>
      <c r="BBR226" s="36"/>
      <c r="BBS226" s="36"/>
      <c r="BBT226" s="37"/>
      <c r="BBU226" s="37"/>
      <c r="BBV226" s="38"/>
      <c r="BBW226" s="38"/>
      <c r="BBX226" s="39"/>
      <c r="BBY226" s="34"/>
      <c r="BBZ226" s="34"/>
      <c r="BCA226" s="34"/>
      <c r="BCB226" s="35"/>
      <c r="BCC226" s="35"/>
      <c r="BCD226" s="35"/>
      <c r="BCE226" s="35"/>
      <c r="BCF226" s="35"/>
      <c r="BCG226" s="34"/>
      <c r="BCH226" s="34"/>
      <c r="BCI226" s="36"/>
      <c r="BCJ226" s="36"/>
      <c r="BCK226" s="37"/>
      <c r="BCL226" s="37"/>
      <c r="BCM226" s="38"/>
      <c r="BCN226" s="38"/>
      <c r="BCO226" s="39"/>
      <c r="BCP226" s="34"/>
      <c r="BCQ226" s="34"/>
      <c r="BCR226" s="34"/>
      <c r="BCS226" s="35"/>
      <c r="BCT226" s="35"/>
      <c r="BCU226" s="35"/>
      <c r="BCV226" s="35"/>
      <c r="BCW226" s="35"/>
      <c r="BCX226" s="34"/>
      <c r="BCY226" s="34"/>
      <c r="BCZ226" s="36"/>
      <c r="BDA226" s="36"/>
      <c r="BDB226" s="37"/>
      <c r="BDC226" s="37"/>
      <c r="BDD226" s="38"/>
      <c r="BDE226" s="38"/>
      <c r="BDF226" s="39"/>
      <c r="BDG226" s="34"/>
      <c r="BDH226" s="34"/>
      <c r="BDI226" s="34"/>
      <c r="BDJ226" s="35"/>
      <c r="BDK226" s="35"/>
      <c r="BDL226" s="35"/>
      <c r="BDM226" s="35"/>
      <c r="BDN226" s="35"/>
      <c r="BDO226" s="34"/>
      <c r="BDP226" s="34"/>
      <c r="BDQ226" s="36"/>
      <c r="BDR226" s="36"/>
      <c r="BDS226" s="37"/>
      <c r="BDT226" s="37"/>
      <c r="BDU226" s="38"/>
      <c r="BDV226" s="38"/>
      <c r="BDW226" s="39"/>
      <c r="BDX226" s="34"/>
      <c r="BDY226" s="34"/>
      <c r="BDZ226" s="34"/>
      <c r="BEA226" s="35"/>
      <c r="BEB226" s="35"/>
      <c r="BEC226" s="35"/>
      <c r="BED226" s="35"/>
      <c r="BEE226" s="35"/>
      <c r="BEF226" s="34"/>
      <c r="BEG226" s="34"/>
      <c r="BEH226" s="36"/>
      <c r="BEI226" s="36"/>
      <c r="BEJ226" s="37"/>
      <c r="BEK226" s="37"/>
      <c r="BEL226" s="38"/>
      <c r="BEM226" s="38"/>
      <c r="BEN226" s="39"/>
      <c r="BEO226" s="34"/>
      <c r="BEP226" s="34"/>
      <c r="BEQ226" s="34"/>
      <c r="BER226" s="35"/>
      <c r="BES226" s="35"/>
      <c r="BET226" s="35"/>
      <c r="BEU226" s="35"/>
      <c r="BEV226" s="35"/>
      <c r="BEW226" s="34"/>
      <c r="BEX226" s="34"/>
      <c r="BEY226" s="36"/>
      <c r="BEZ226" s="36"/>
      <c r="BFA226" s="37"/>
      <c r="BFB226" s="37"/>
      <c r="BFC226" s="38"/>
      <c r="BFD226" s="38"/>
      <c r="BFE226" s="39"/>
      <c r="BFF226" s="34"/>
      <c r="BFG226" s="34"/>
      <c r="BFH226" s="34"/>
      <c r="BFI226" s="35"/>
      <c r="BFJ226" s="35"/>
      <c r="BFK226" s="35"/>
      <c r="BFL226" s="35"/>
      <c r="BFM226" s="35"/>
      <c r="BFN226" s="34"/>
      <c r="BFO226" s="34"/>
      <c r="BFP226" s="36"/>
      <c r="BFQ226" s="36"/>
      <c r="BFR226" s="37"/>
      <c r="BFS226" s="37"/>
      <c r="BFT226" s="38"/>
      <c r="BFU226" s="38"/>
      <c r="BFV226" s="39"/>
      <c r="BFW226" s="34"/>
      <c r="BFX226" s="34"/>
      <c r="BFY226" s="34"/>
      <c r="BFZ226" s="35"/>
      <c r="BGA226" s="35"/>
      <c r="BGB226" s="35"/>
      <c r="BGC226" s="35"/>
      <c r="BGD226" s="35"/>
      <c r="BGE226" s="34"/>
      <c r="BGF226" s="34"/>
      <c r="BGG226" s="36"/>
      <c r="BGH226" s="36"/>
      <c r="BGI226" s="37"/>
      <c r="BGJ226" s="37"/>
      <c r="BGK226" s="38"/>
      <c r="BGL226" s="38"/>
      <c r="BGM226" s="39"/>
      <c r="BGN226" s="34"/>
      <c r="BGO226" s="34"/>
      <c r="BGP226" s="34"/>
      <c r="BGQ226" s="35"/>
      <c r="BGR226" s="35"/>
      <c r="BGS226" s="35"/>
      <c r="BGT226" s="35"/>
      <c r="BGU226" s="35"/>
      <c r="BGV226" s="34"/>
      <c r="BGW226" s="34"/>
      <c r="BGX226" s="36"/>
      <c r="BGY226" s="36"/>
      <c r="BGZ226" s="37"/>
      <c r="BHA226" s="37"/>
      <c r="BHB226" s="38"/>
      <c r="BHC226" s="38"/>
      <c r="BHD226" s="39"/>
      <c r="BHE226" s="34"/>
      <c r="BHF226" s="34"/>
      <c r="BHG226" s="34"/>
      <c r="BHH226" s="35"/>
      <c r="BHI226" s="35"/>
      <c r="BHJ226" s="35"/>
      <c r="BHK226" s="35"/>
      <c r="BHL226" s="35"/>
      <c r="BHM226" s="34"/>
      <c r="BHN226" s="34"/>
      <c r="BHO226" s="36"/>
      <c r="BHP226" s="36"/>
      <c r="BHQ226" s="37"/>
      <c r="BHR226" s="37"/>
      <c r="BHS226" s="38"/>
      <c r="BHT226" s="38"/>
      <c r="BHU226" s="39"/>
      <c r="BHV226" s="34"/>
      <c r="BHW226" s="34"/>
      <c r="BHX226" s="34"/>
      <c r="BHY226" s="35"/>
      <c r="BHZ226" s="35"/>
      <c r="BIA226" s="35"/>
      <c r="BIB226" s="35"/>
      <c r="BIC226" s="35"/>
      <c r="BID226" s="34"/>
      <c r="BIE226" s="34"/>
      <c r="BIF226" s="36"/>
      <c r="BIG226" s="36"/>
      <c r="BIH226" s="37"/>
      <c r="BII226" s="37"/>
      <c r="BIJ226" s="38"/>
      <c r="BIK226" s="38"/>
      <c r="BIL226" s="39"/>
      <c r="BIM226" s="34"/>
      <c r="BIN226" s="34"/>
      <c r="BIO226" s="34"/>
      <c r="BIP226" s="35"/>
      <c r="BIQ226" s="35"/>
      <c r="BIR226" s="35"/>
      <c r="BIS226" s="35"/>
      <c r="BIT226" s="35"/>
      <c r="BIU226" s="34"/>
      <c r="BIV226" s="34"/>
      <c r="BIW226" s="36"/>
      <c r="BIX226" s="36"/>
      <c r="BIY226" s="37"/>
      <c r="BIZ226" s="37"/>
      <c r="BJA226" s="38"/>
      <c r="BJB226" s="38"/>
      <c r="BJC226" s="39"/>
      <c r="BJD226" s="34"/>
      <c r="BJE226" s="34"/>
      <c r="BJF226" s="34"/>
      <c r="BJG226" s="35"/>
      <c r="BJH226" s="35"/>
      <c r="BJI226" s="35"/>
      <c r="BJJ226" s="35"/>
      <c r="BJK226" s="35"/>
      <c r="BJL226" s="34"/>
      <c r="BJM226" s="34"/>
      <c r="BJN226" s="36"/>
      <c r="BJO226" s="36"/>
      <c r="BJP226" s="37"/>
      <c r="BJQ226" s="37"/>
      <c r="BJR226" s="38"/>
      <c r="BJS226" s="38"/>
      <c r="BJT226" s="39"/>
      <c r="BJU226" s="34"/>
      <c r="BJV226" s="34"/>
      <c r="BJW226" s="34"/>
      <c r="BJX226" s="35"/>
      <c r="BJY226" s="35"/>
      <c r="BJZ226" s="35"/>
      <c r="BKA226" s="35"/>
      <c r="BKB226" s="35"/>
      <c r="BKC226" s="34"/>
      <c r="BKD226" s="34"/>
      <c r="BKE226" s="36"/>
      <c r="BKF226" s="36"/>
      <c r="BKG226" s="37"/>
      <c r="BKH226" s="37"/>
      <c r="BKI226" s="38"/>
      <c r="BKJ226" s="38"/>
      <c r="BKK226" s="39"/>
      <c r="BKL226" s="34"/>
      <c r="BKM226" s="34"/>
      <c r="BKN226" s="34"/>
      <c r="BKO226" s="35"/>
      <c r="BKP226" s="35"/>
      <c r="BKQ226" s="35"/>
      <c r="BKR226" s="35"/>
      <c r="BKS226" s="35"/>
      <c r="BKT226" s="34"/>
      <c r="BKU226" s="34"/>
      <c r="BKV226" s="36"/>
      <c r="BKW226" s="36"/>
      <c r="BKX226" s="37"/>
      <c r="BKY226" s="37"/>
      <c r="BKZ226" s="38"/>
      <c r="BLA226" s="38"/>
      <c r="BLB226" s="39"/>
      <c r="BLC226" s="34"/>
      <c r="BLD226" s="34"/>
      <c r="BLE226" s="34"/>
      <c r="BLF226" s="35"/>
      <c r="BLG226" s="35"/>
      <c r="BLH226" s="35"/>
      <c r="BLI226" s="35"/>
      <c r="BLJ226" s="35"/>
      <c r="BLK226" s="34"/>
      <c r="BLL226" s="34"/>
      <c r="BLM226" s="36"/>
      <c r="BLN226" s="36"/>
      <c r="BLO226" s="37"/>
      <c r="BLP226" s="37"/>
      <c r="BLQ226" s="38"/>
      <c r="BLR226" s="38"/>
      <c r="BLS226" s="39"/>
      <c r="BLT226" s="34"/>
      <c r="BLU226" s="34"/>
      <c r="BLV226" s="34"/>
      <c r="BLW226" s="35"/>
      <c r="BLX226" s="35"/>
      <c r="BLY226" s="35"/>
      <c r="BLZ226" s="35"/>
      <c r="BMA226" s="35"/>
      <c r="BMB226" s="34"/>
      <c r="BMC226" s="34"/>
      <c r="BMD226" s="36"/>
      <c r="BME226" s="36"/>
      <c r="BMF226" s="37"/>
      <c r="BMG226" s="37"/>
      <c r="BMH226" s="38"/>
      <c r="BMI226" s="38"/>
      <c r="BMJ226" s="39"/>
      <c r="BMK226" s="34"/>
      <c r="BML226" s="34"/>
      <c r="BMM226" s="34"/>
      <c r="BMN226" s="35"/>
      <c r="BMO226" s="35"/>
      <c r="BMP226" s="35"/>
      <c r="BMQ226" s="35"/>
      <c r="BMR226" s="35"/>
      <c r="BMS226" s="34"/>
      <c r="BMT226" s="34"/>
      <c r="BMU226" s="36"/>
      <c r="BMV226" s="36"/>
      <c r="BMW226" s="37"/>
      <c r="BMX226" s="37"/>
      <c r="BMY226" s="38"/>
      <c r="BMZ226" s="38"/>
      <c r="BNA226" s="39"/>
      <c r="BNB226" s="34"/>
      <c r="BNC226" s="34"/>
      <c r="BND226" s="34"/>
      <c r="BNE226" s="35"/>
      <c r="BNF226" s="35"/>
      <c r="BNG226" s="35"/>
      <c r="BNH226" s="35"/>
      <c r="BNI226" s="35"/>
      <c r="BNJ226" s="34"/>
      <c r="BNK226" s="34"/>
      <c r="BNL226" s="36"/>
      <c r="BNM226" s="36"/>
      <c r="BNN226" s="37"/>
      <c r="BNO226" s="37"/>
      <c r="BNP226" s="38"/>
      <c r="BNQ226" s="38"/>
      <c r="BNR226" s="39"/>
      <c r="BNS226" s="34"/>
      <c r="BNT226" s="34"/>
      <c r="BNU226" s="34"/>
      <c r="BNV226" s="35"/>
      <c r="BNW226" s="35"/>
      <c r="BNX226" s="35"/>
      <c r="BNY226" s="35"/>
      <c r="BNZ226" s="35"/>
      <c r="BOA226" s="34"/>
      <c r="BOB226" s="34"/>
      <c r="BOC226" s="36"/>
      <c r="BOD226" s="36"/>
      <c r="BOE226" s="37"/>
      <c r="BOF226" s="37"/>
      <c r="BOG226" s="38"/>
      <c r="BOH226" s="38"/>
      <c r="BOI226" s="39"/>
      <c r="BOJ226" s="34"/>
      <c r="BOK226" s="34"/>
      <c r="BOL226" s="34"/>
      <c r="BOM226" s="35"/>
      <c r="BON226" s="35"/>
      <c r="BOO226" s="35"/>
      <c r="BOP226" s="35"/>
      <c r="BOQ226" s="35"/>
      <c r="BOR226" s="34"/>
      <c r="BOS226" s="34"/>
      <c r="BOT226" s="36"/>
      <c r="BOU226" s="36"/>
      <c r="BOV226" s="37"/>
      <c r="BOW226" s="37"/>
      <c r="BOX226" s="38"/>
      <c r="BOY226" s="38"/>
      <c r="BOZ226" s="39"/>
      <c r="BPA226" s="34"/>
      <c r="BPB226" s="34"/>
      <c r="BPC226" s="34"/>
      <c r="BPD226" s="35"/>
      <c r="BPE226" s="35"/>
      <c r="BPF226" s="35"/>
      <c r="BPG226" s="35"/>
      <c r="BPH226" s="35"/>
      <c r="BPI226" s="34"/>
      <c r="BPJ226" s="34"/>
      <c r="BPK226" s="36"/>
      <c r="BPL226" s="36"/>
      <c r="BPM226" s="37"/>
      <c r="BPN226" s="37"/>
      <c r="BPO226" s="38"/>
      <c r="BPP226" s="38"/>
      <c r="BPQ226" s="39"/>
      <c r="BPR226" s="34"/>
      <c r="BPS226" s="34"/>
      <c r="BPT226" s="34"/>
      <c r="BPU226" s="35"/>
      <c r="BPV226" s="35"/>
      <c r="BPW226" s="35"/>
      <c r="BPX226" s="35"/>
      <c r="BPY226" s="35"/>
      <c r="BPZ226" s="34"/>
      <c r="BQA226" s="34"/>
      <c r="BQB226" s="36"/>
      <c r="BQC226" s="36"/>
      <c r="BQD226" s="37"/>
      <c r="BQE226" s="37"/>
      <c r="BQF226" s="38"/>
      <c r="BQG226" s="38"/>
      <c r="BQH226" s="39"/>
      <c r="BQI226" s="34"/>
      <c r="BQJ226" s="34"/>
      <c r="BQK226" s="34"/>
      <c r="BQL226" s="35"/>
      <c r="BQM226" s="35"/>
      <c r="BQN226" s="35"/>
      <c r="BQO226" s="35"/>
      <c r="BQP226" s="35"/>
      <c r="BQQ226" s="34"/>
      <c r="BQR226" s="34"/>
      <c r="BQS226" s="36"/>
      <c r="BQT226" s="36"/>
      <c r="BQU226" s="37"/>
      <c r="BQV226" s="37"/>
      <c r="BQW226" s="38"/>
      <c r="BQX226" s="38"/>
      <c r="BQY226" s="39"/>
      <c r="BQZ226" s="34"/>
      <c r="BRA226" s="34"/>
      <c r="BRB226" s="34"/>
      <c r="BRC226" s="35"/>
      <c r="BRD226" s="35"/>
      <c r="BRE226" s="35"/>
      <c r="BRF226" s="35"/>
      <c r="BRG226" s="35"/>
      <c r="BRH226" s="34"/>
      <c r="BRI226" s="34"/>
      <c r="BRJ226" s="36"/>
      <c r="BRK226" s="36"/>
      <c r="BRL226" s="37"/>
      <c r="BRM226" s="37"/>
      <c r="BRN226" s="38"/>
      <c r="BRO226" s="38"/>
      <c r="BRP226" s="39"/>
      <c r="BRQ226" s="34"/>
      <c r="BRR226" s="34"/>
      <c r="BRS226" s="34"/>
      <c r="BRT226" s="35"/>
      <c r="BRU226" s="35"/>
      <c r="BRV226" s="35"/>
      <c r="BRW226" s="35"/>
      <c r="BRX226" s="35"/>
      <c r="BRY226" s="34"/>
      <c r="BRZ226" s="34"/>
      <c r="BSA226" s="36"/>
      <c r="BSB226" s="36"/>
      <c r="BSC226" s="37"/>
      <c r="BSD226" s="37"/>
      <c r="BSE226" s="38"/>
      <c r="BSF226" s="38"/>
      <c r="BSG226" s="39"/>
      <c r="BSH226" s="34"/>
      <c r="BSI226" s="34"/>
      <c r="BSJ226" s="34"/>
      <c r="BSK226" s="35"/>
      <c r="BSL226" s="35"/>
      <c r="BSM226" s="35"/>
      <c r="BSN226" s="35"/>
      <c r="BSO226" s="35"/>
      <c r="BSP226" s="34"/>
      <c r="BSQ226" s="34"/>
      <c r="BSR226" s="36"/>
      <c r="BSS226" s="36"/>
      <c r="BST226" s="37"/>
      <c r="BSU226" s="37"/>
      <c r="BSV226" s="38"/>
      <c r="BSW226" s="38"/>
      <c r="BSX226" s="39"/>
      <c r="BSY226" s="34"/>
      <c r="BSZ226" s="34"/>
      <c r="BTA226" s="34"/>
      <c r="BTB226" s="35"/>
      <c r="BTC226" s="35"/>
      <c r="BTD226" s="35"/>
      <c r="BTE226" s="35"/>
      <c r="BTF226" s="35"/>
      <c r="BTG226" s="34"/>
      <c r="BTH226" s="34"/>
      <c r="BTI226" s="36"/>
      <c r="BTJ226" s="36"/>
      <c r="BTK226" s="37"/>
      <c r="BTL226" s="37"/>
      <c r="BTM226" s="38"/>
      <c r="BTN226" s="38"/>
      <c r="BTO226" s="39"/>
      <c r="BTP226" s="34"/>
      <c r="BTQ226" s="34"/>
      <c r="BTR226" s="34"/>
      <c r="BTS226" s="35"/>
      <c r="BTT226" s="35"/>
      <c r="BTU226" s="35"/>
      <c r="BTV226" s="35"/>
      <c r="BTW226" s="35"/>
      <c r="BTX226" s="34"/>
      <c r="BTY226" s="34"/>
      <c r="BTZ226" s="36"/>
      <c r="BUA226" s="36"/>
      <c r="BUB226" s="37"/>
      <c r="BUC226" s="37"/>
      <c r="BUD226" s="38"/>
      <c r="BUE226" s="38"/>
      <c r="BUF226" s="39"/>
      <c r="BUG226" s="34"/>
      <c r="BUH226" s="34"/>
      <c r="BUI226" s="34"/>
      <c r="BUJ226" s="35"/>
      <c r="BUK226" s="35"/>
      <c r="BUL226" s="35"/>
      <c r="BUM226" s="35"/>
      <c r="BUN226" s="35"/>
      <c r="BUO226" s="34"/>
      <c r="BUP226" s="34"/>
      <c r="BUQ226" s="36"/>
      <c r="BUR226" s="36"/>
      <c r="BUS226" s="37"/>
      <c r="BUT226" s="37"/>
      <c r="BUU226" s="38"/>
      <c r="BUV226" s="38"/>
      <c r="BUW226" s="39"/>
      <c r="BUX226" s="34"/>
      <c r="BUY226" s="34"/>
      <c r="BUZ226" s="34"/>
      <c r="BVA226" s="35"/>
      <c r="BVB226" s="35"/>
      <c r="BVC226" s="35"/>
      <c r="BVD226" s="35"/>
      <c r="BVE226" s="35"/>
      <c r="BVF226" s="34"/>
      <c r="BVG226" s="34"/>
      <c r="BVH226" s="36"/>
      <c r="BVI226" s="36"/>
      <c r="BVJ226" s="37"/>
      <c r="BVK226" s="37"/>
      <c r="BVL226" s="38"/>
      <c r="BVM226" s="38"/>
      <c r="BVN226" s="39"/>
      <c r="BVO226" s="34"/>
      <c r="BVP226" s="34"/>
      <c r="BVQ226" s="34"/>
      <c r="BVR226" s="35"/>
      <c r="BVS226" s="35"/>
      <c r="BVT226" s="35"/>
      <c r="BVU226" s="35"/>
      <c r="BVV226" s="35"/>
      <c r="BVW226" s="34"/>
      <c r="BVX226" s="34"/>
      <c r="BVY226" s="36"/>
      <c r="BVZ226" s="36"/>
      <c r="BWA226" s="37"/>
      <c r="BWB226" s="37"/>
      <c r="BWC226" s="38"/>
      <c r="BWD226" s="38"/>
      <c r="BWE226" s="39"/>
      <c r="BWF226" s="34"/>
      <c r="BWG226" s="34"/>
      <c r="BWH226" s="34"/>
      <c r="BWI226" s="35"/>
      <c r="BWJ226" s="35"/>
      <c r="BWK226" s="35"/>
      <c r="BWL226" s="35"/>
      <c r="BWM226" s="35"/>
      <c r="BWN226" s="34"/>
      <c r="BWO226" s="34"/>
      <c r="BWP226" s="36"/>
      <c r="BWQ226" s="36"/>
      <c r="BWR226" s="37"/>
      <c r="BWS226" s="37"/>
      <c r="BWT226" s="38"/>
      <c r="BWU226" s="38"/>
      <c r="BWV226" s="39"/>
      <c r="BWW226" s="34"/>
      <c r="BWX226" s="34"/>
      <c r="BWY226" s="34"/>
      <c r="BWZ226" s="35"/>
      <c r="BXA226" s="35"/>
      <c r="BXB226" s="35"/>
      <c r="BXC226" s="35"/>
      <c r="BXD226" s="35"/>
      <c r="BXE226" s="34"/>
      <c r="BXF226" s="34"/>
      <c r="BXG226" s="36"/>
      <c r="BXH226" s="36"/>
      <c r="BXI226" s="37"/>
      <c r="BXJ226" s="37"/>
      <c r="BXK226" s="38"/>
      <c r="BXL226" s="38"/>
      <c r="BXM226" s="39"/>
      <c r="BXN226" s="34"/>
      <c r="BXO226" s="34"/>
      <c r="BXP226" s="34"/>
      <c r="BXQ226" s="35"/>
      <c r="BXR226" s="35"/>
      <c r="BXS226" s="35"/>
      <c r="BXT226" s="35"/>
      <c r="BXU226" s="35"/>
      <c r="BXV226" s="34"/>
      <c r="BXW226" s="34"/>
      <c r="BXX226" s="36"/>
      <c r="BXY226" s="36"/>
      <c r="BXZ226" s="37"/>
      <c r="BYA226" s="37"/>
      <c r="BYB226" s="38"/>
      <c r="BYC226" s="38"/>
      <c r="BYD226" s="39"/>
      <c r="BYE226" s="34"/>
      <c r="BYF226" s="34"/>
      <c r="BYG226" s="34"/>
      <c r="BYH226" s="35"/>
      <c r="BYI226" s="35"/>
      <c r="BYJ226" s="35"/>
      <c r="BYK226" s="35"/>
      <c r="BYL226" s="35"/>
      <c r="BYM226" s="34"/>
      <c r="BYN226" s="34"/>
      <c r="BYO226" s="36"/>
      <c r="BYP226" s="36"/>
      <c r="BYQ226" s="37"/>
      <c r="BYR226" s="37"/>
      <c r="BYS226" s="38"/>
      <c r="BYT226" s="38"/>
      <c r="BYU226" s="39"/>
      <c r="BYV226" s="34"/>
      <c r="BYW226" s="34"/>
      <c r="BYX226" s="34"/>
      <c r="BYY226" s="35"/>
      <c r="BYZ226" s="35"/>
      <c r="BZA226" s="35"/>
      <c r="BZB226" s="35"/>
      <c r="BZC226" s="35"/>
      <c r="BZD226" s="34"/>
      <c r="BZE226" s="34"/>
      <c r="BZF226" s="36"/>
      <c r="BZG226" s="36"/>
      <c r="BZH226" s="37"/>
      <c r="BZI226" s="37"/>
      <c r="BZJ226" s="38"/>
      <c r="BZK226" s="38"/>
      <c r="BZL226" s="39"/>
      <c r="BZM226" s="34"/>
      <c r="BZN226" s="34"/>
      <c r="BZO226" s="34"/>
      <c r="BZP226" s="35"/>
      <c r="BZQ226" s="35"/>
      <c r="BZR226" s="35"/>
      <c r="BZS226" s="35"/>
      <c r="BZT226" s="35"/>
      <c r="BZU226" s="34"/>
      <c r="BZV226" s="34"/>
      <c r="BZW226" s="36"/>
      <c r="BZX226" s="36"/>
      <c r="BZY226" s="37"/>
      <c r="BZZ226" s="37"/>
      <c r="CAA226" s="38"/>
      <c r="CAB226" s="38"/>
      <c r="CAC226" s="39"/>
      <c r="CAD226" s="34"/>
      <c r="CAE226" s="34"/>
      <c r="CAF226" s="34"/>
      <c r="CAG226" s="35"/>
      <c r="CAH226" s="35"/>
      <c r="CAI226" s="35"/>
      <c r="CAJ226" s="35"/>
      <c r="CAK226" s="35"/>
      <c r="CAL226" s="34"/>
      <c r="CAM226" s="34"/>
      <c r="CAN226" s="36"/>
      <c r="CAO226" s="36"/>
      <c r="CAP226" s="37"/>
      <c r="CAQ226" s="37"/>
      <c r="CAR226" s="38"/>
      <c r="CAS226" s="38"/>
      <c r="CAT226" s="39"/>
      <c r="CAU226" s="34"/>
      <c r="CAV226" s="34"/>
      <c r="CAW226" s="34"/>
      <c r="CAX226" s="35"/>
      <c r="CAY226" s="35"/>
      <c r="CAZ226" s="35"/>
      <c r="CBA226" s="35"/>
      <c r="CBB226" s="35"/>
      <c r="CBC226" s="34"/>
      <c r="CBD226" s="34"/>
      <c r="CBE226" s="36"/>
      <c r="CBF226" s="36"/>
      <c r="CBG226" s="37"/>
      <c r="CBH226" s="37"/>
      <c r="CBI226" s="38"/>
      <c r="CBJ226" s="38"/>
      <c r="CBK226" s="39"/>
      <c r="CBL226" s="34"/>
      <c r="CBM226" s="34"/>
      <c r="CBN226" s="34"/>
      <c r="CBO226" s="35"/>
      <c r="CBP226" s="35"/>
      <c r="CBQ226" s="35"/>
      <c r="CBR226" s="35"/>
      <c r="CBS226" s="35"/>
      <c r="CBT226" s="34"/>
      <c r="CBU226" s="34"/>
      <c r="CBV226" s="36"/>
      <c r="CBW226" s="36"/>
      <c r="CBX226" s="37"/>
      <c r="CBY226" s="37"/>
      <c r="CBZ226" s="38"/>
      <c r="CCA226" s="38"/>
      <c r="CCB226" s="39"/>
      <c r="CCC226" s="34"/>
      <c r="CCD226" s="34"/>
      <c r="CCE226" s="34"/>
      <c r="CCF226" s="35"/>
      <c r="CCG226" s="35"/>
      <c r="CCH226" s="35"/>
      <c r="CCI226" s="35"/>
      <c r="CCJ226" s="35"/>
      <c r="CCK226" s="34"/>
      <c r="CCL226" s="34"/>
      <c r="CCM226" s="36"/>
      <c r="CCN226" s="36"/>
      <c r="CCO226" s="37"/>
      <c r="CCP226" s="37"/>
      <c r="CCQ226" s="38"/>
      <c r="CCR226" s="38"/>
      <c r="CCS226" s="39"/>
      <c r="CCT226" s="34"/>
      <c r="CCU226" s="34"/>
      <c r="CCV226" s="34"/>
      <c r="CCW226" s="35"/>
      <c r="CCX226" s="35"/>
      <c r="CCY226" s="35"/>
      <c r="CCZ226" s="35"/>
      <c r="CDA226" s="35"/>
      <c r="CDB226" s="34"/>
      <c r="CDC226" s="34"/>
      <c r="CDD226" s="36"/>
      <c r="CDE226" s="36"/>
      <c r="CDF226" s="37"/>
      <c r="CDG226" s="37"/>
      <c r="CDH226" s="38"/>
      <c r="CDI226" s="38"/>
      <c r="CDJ226" s="39"/>
      <c r="CDK226" s="34"/>
      <c r="CDL226" s="34"/>
      <c r="CDM226" s="34"/>
      <c r="CDN226" s="35"/>
      <c r="CDO226" s="35"/>
      <c r="CDP226" s="35"/>
      <c r="CDQ226" s="35"/>
      <c r="CDR226" s="35"/>
      <c r="CDS226" s="34"/>
      <c r="CDT226" s="34"/>
      <c r="CDU226" s="36"/>
      <c r="CDV226" s="36"/>
      <c r="CDW226" s="37"/>
      <c r="CDX226" s="37"/>
      <c r="CDY226" s="38"/>
      <c r="CDZ226" s="38"/>
      <c r="CEA226" s="39"/>
      <c r="CEB226" s="34"/>
      <c r="CEC226" s="34"/>
      <c r="CED226" s="34"/>
      <c r="CEE226" s="35"/>
      <c r="CEF226" s="35"/>
      <c r="CEG226" s="35"/>
      <c r="CEH226" s="35"/>
      <c r="CEI226" s="35"/>
      <c r="CEJ226" s="34"/>
      <c r="CEK226" s="34"/>
      <c r="CEL226" s="36"/>
      <c r="CEM226" s="36"/>
      <c r="CEN226" s="37"/>
      <c r="CEO226" s="37"/>
      <c r="CEP226" s="38"/>
      <c r="CEQ226" s="38"/>
      <c r="CER226" s="39"/>
      <c r="CES226" s="34"/>
      <c r="CET226" s="34"/>
      <c r="CEU226" s="34"/>
      <c r="CEV226" s="35"/>
      <c r="CEW226" s="35"/>
      <c r="CEX226" s="35"/>
      <c r="CEY226" s="35"/>
      <c r="CEZ226" s="35"/>
      <c r="CFA226" s="34"/>
      <c r="CFB226" s="34"/>
      <c r="CFC226" s="36"/>
      <c r="CFD226" s="36"/>
      <c r="CFE226" s="37"/>
      <c r="CFF226" s="37"/>
      <c r="CFG226" s="38"/>
      <c r="CFH226" s="38"/>
      <c r="CFI226" s="39"/>
      <c r="CFJ226" s="34"/>
      <c r="CFK226" s="34"/>
      <c r="CFL226" s="34"/>
      <c r="CFM226" s="35"/>
      <c r="CFN226" s="35"/>
      <c r="CFO226" s="35"/>
      <c r="CFP226" s="35"/>
      <c r="CFQ226" s="35"/>
      <c r="CFR226" s="34"/>
      <c r="CFS226" s="34"/>
      <c r="CFT226" s="36"/>
      <c r="CFU226" s="36"/>
      <c r="CFV226" s="37"/>
      <c r="CFW226" s="37"/>
      <c r="CFX226" s="38"/>
      <c r="CFY226" s="38"/>
      <c r="CFZ226" s="39"/>
      <c r="CGA226" s="34"/>
      <c r="CGB226" s="34"/>
      <c r="CGC226" s="34"/>
      <c r="CGD226" s="35"/>
      <c r="CGE226" s="35"/>
      <c r="CGF226" s="35"/>
      <c r="CGG226" s="35"/>
      <c r="CGH226" s="35"/>
      <c r="CGI226" s="34"/>
      <c r="CGJ226" s="34"/>
      <c r="CGK226" s="36"/>
      <c r="CGL226" s="36"/>
      <c r="CGM226" s="37"/>
      <c r="CGN226" s="37"/>
      <c r="CGO226" s="38"/>
      <c r="CGP226" s="38"/>
      <c r="CGQ226" s="39"/>
      <c r="CGR226" s="34"/>
      <c r="CGS226" s="34"/>
      <c r="CGT226" s="34"/>
      <c r="CGU226" s="35"/>
      <c r="CGV226" s="35"/>
      <c r="CGW226" s="35"/>
      <c r="CGX226" s="35"/>
      <c r="CGY226" s="35"/>
      <c r="CGZ226" s="34"/>
      <c r="CHA226" s="34"/>
      <c r="CHB226" s="36"/>
      <c r="CHC226" s="36"/>
      <c r="CHD226" s="37"/>
      <c r="CHE226" s="37"/>
      <c r="CHF226" s="38"/>
      <c r="CHG226" s="38"/>
      <c r="CHH226" s="39"/>
      <c r="CHI226" s="34"/>
      <c r="CHJ226" s="34"/>
      <c r="CHK226" s="34"/>
      <c r="CHL226" s="35"/>
      <c r="CHM226" s="35"/>
      <c r="CHN226" s="35"/>
      <c r="CHO226" s="35"/>
      <c r="CHP226" s="35"/>
      <c r="CHQ226" s="34"/>
      <c r="CHR226" s="34"/>
      <c r="CHS226" s="36"/>
      <c r="CHT226" s="36"/>
      <c r="CHU226" s="37"/>
      <c r="CHV226" s="37"/>
      <c r="CHW226" s="38"/>
      <c r="CHX226" s="38"/>
      <c r="CHY226" s="39"/>
      <c r="CHZ226" s="34"/>
      <c r="CIA226" s="34"/>
      <c r="CIB226" s="34"/>
      <c r="CIC226" s="35"/>
      <c r="CID226" s="35"/>
      <c r="CIE226" s="35"/>
      <c r="CIF226" s="35"/>
      <c r="CIG226" s="35"/>
      <c r="CIH226" s="34"/>
      <c r="CII226" s="34"/>
      <c r="CIJ226" s="36"/>
      <c r="CIK226" s="36"/>
      <c r="CIL226" s="37"/>
      <c r="CIM226" s="37"/>
      <c r="CIN226" s="38"/>
      <c r="CIO226" s="38"/>
      <c r="CIP226" s="39"/>
      <c r="CIQ226" s="34"/>
      <c r="CIR226" s="34"/>
      <c r="CIS226" s="34"/>
      <c r="CIT226" s="35"/>
      <c r="CIU226" s="35"/>
      <c r="CIV226" s="35"/>
      <c r="CIW226" s="35"/>
      <c r="CIX226" s="35"/>
      <c r="CIY226" s="34"/>
      <c r="CIZ226" s="34"/>
      <c r="CJA226" s="36"/>
      <c r="CJB226" s="36"/>
      <c r="CJC226" s="37"/>
      <c r="CJD226" s="37"/>
      <c r="CJE226" s="38"/>
      <c r="CJF226" s="38"/>
      <c r="CJG226" s="39"/>
      <c r="CJH226" s="34"/>
      <c r="CJI226" s="34"/>
      <c r="CJJ226" s="34"/>
      <c r="CJK226" s="35"/>
      <c r="CJL226" s="35"/>
      <c r="CJM226" s="35"/>
      <c r="CJN226" s="35"/>
      <c r="CJO226" s="35"/>
      <c r="CJP226" s="34"/>
      <c r="CJQ226" s="34"/>
      <c r="CJR226" s="36"/>
      <c r="CJS226" s="36"/>
      <c r="CJT226" s="37"/>
      <c r="CJU226" s="37"/>
      <c r="CJV226" s="38"/>
      <c r="CJW226" s="38"/>
      <c r="CJX226" s="39"/>
      <c r="CJY226" s="34"/>
      <c r="CJZ226" s="34"/>
      <c r="CKA226" s="34"/>
      <c r="CKB226" s="35"/>
      <c r="CKC226" s="35"/>
      <c r="CKD226" s="35"/>
      <c r="CKE226" s="35"/>
      <c r="CKF226" s="35"/>
      <c r="CKG226" s="34"/>
      <c r="CKH226" s="34"/>
      <c r="CKI226" s="36"/>
      <c r="CKJ226" s="36"/>
      <c r="CKK226" s="37"/>
      <c r="CKL226" s="37"/>
      <c r="CKM226" s="38"/>
      <c r="CKN226" s="38"/>
      <c r="CKO226" s="39"/>
      <c r="CKP226" s="34"/>
      <c r="CKQ226" s="34"/>
      <c r="CKR226" s="34"/>
      <c r="CKS226" s="35"/>
      <c r="CKT226" s="35"/>
      <c r="CKU226" s="35"/>
      <c r="CKV226" s="35"/>
      <c r="CKW226" s="35"/>
      <c r="CKX226" s="34"/>
      <c r="CKY226" s="34"/>
      <c r="CKZ226" s="36"/>
      <c r="CLA226" s="36"/>
      <c r="CLB226" s="37"/>
      <c r="CLC226" s="37"/>
      <c r="CLD226" s="38"/>
      <c r="CLE226" s="38"/>
      <c r="CLF226" s="39"/>
      <c r="CLG226" s="34"/>
      <c r="CLH226" s="34"/>
      <c r="CLI226" s="34"/>
      <c r="CLJ226" s="35"/>
      <c r="CLK226" s="35"/>
      <c r="CLL226" s="35"/>
      <c r="CLM226" s="35"/>
      <c r="CLN226" s="35"/>
      <c r="CLO226" s="34"/>
      <c r="CLP226" s="34"/>
      <c r="CLQ226" s="36"/>
      <c r="CLR226" s="36"/>
      <c r="CLS226" s="37"/>
      <c r="CLT226" s="37"/>
      <c r="CLU226" s="38"/>
      <c r="CLV226" s="38"/>
      <c r="CLW226" s="39"/>
      <c r="CLX226" s="34"/>
      <c r="CLY226" s="34"/>
      <c r="CLZ226" s="34"/>
      <c r="CMA226" s="35"/>
      <c r="CMB226" s="35"/>
      <c r="CMC226" s="35"/>
      <c r="CMD226" s="35"/>
      <c r="CME226" s="35"/>
      <c r="CMF226" s="34"/>
      <c r="CMG226" s="34"/>
      <c r="CMH226" s="36"/>
      <c r="CMI226" s="36"/>
      <c r="CMJ226" s="37"/>
      <c r="CMK226" s="37"/>
      <c r="CML226" s="38"/>
      <c r="CMM226" s="38"/>
      <c r="CMN226" s="39"/>
      <c r="CMO226" s="34"/>
      <c r="CMP226" s="34"/>
      <c r="CMQ226" s="34"/>
      <c r="CMR226" s="35"/>
      <c r="CMS226" s="35"/>
      <c r="CMT226" s="35"/>
      <c r="CMU226" s="35"/>
      <c r="CMV226" s="35"/>
      <c r="CMW226" s="34"/>
      <c r="CMX226" s="34"/>
      <c r="CMY226" s="36"/>
      <c r="CMZ226" s="36"/>
      <c r="CNA226" s="37"/>
      <c r="CNB226" s="37"/>
      <c r="CNC226" s="38"/>
      <c r="CND226" s="38"/>
      <c r="CNE226" s="39"/>
      <c r="CNF226" s="34"/>
      <c r="CNG226" s="34"/>
      <c r="CNH226" s="34"/>
      <c r="CNI226" s="35"/>
      <c r="CNJ226" s="35"/>
      <c r="CNK226" s="35"/>
      <c r="CNL226" s="35"/>
      <c r="CNM226" s="35"/>
      <c r="CNN226" s="34"/>
      <c r="CNO226" s="34"/>
      <c r="CNP226" s="36"/>
      <c r="CNQ226" s="36"/>
      <c r="CNR226" s="37"/>
      <c r="CNS226" s="37"/>
      <c r="CNT226" s="38"/>
      <c r="CNU226" s="38"/>
      <c r="CNV226" s="39"/>
      <c r="CNW226" s="34"/>
      <c r="CNX226" s="34"/>
      <c r="CNY226" s="34"/>
      <c r="CNZ226" s="35"/>
      <c r="COA226" s="35"/>
      <c r="COB226" s="35"/>
      <c r="COC226" s="35"/>
      <c r="COD226" s="35"/>
      <c r="COE226" s="34"/>
      <c r="COF226" s="34"/>
      <c r="COG226" s="36"/>
      <c r="COH226" s="36"/>
      <c r="COI226" s="37"/>
      <c r="COJ226" s="37"/>
      <c r="COK226" s="38"/>
      <c r="COL226" s="38"/>
      <c r="COM226" s="39"/>
      <c r="CON226" s="34"/>
      <c r="COO226" s="34"/>
      <c r="COP226" s="34"/>
      <c r="COQ226" s="35"/>
      <c r="COR226" s="35"/>
      <c r="COS226" s="35"/>
      <c r="COT226" s="35"/>
      <c r="COU226" s="35"/>
      <c r="COV226" s="34"/>
      <c r="COW226" s="34"/>
      <c r="COX226" s="36"/>
      <c r="COY226" s="36"/>
      <c r="COZ226" s="37"/>
      <c r="CPA226" s="37"/>
      <c r="CPB226" s="38"/>
      <c r="CPC226" s="38"/>
      <c r="CPD226" s="39"/>
      <c r="CPE226" s="34"/>
      <c r="CPF226" s="34"/>
      <c r="CPG226" s="34"/>
      <c r="CPH226" s="35"/>
      <c r="CPI226" s="35"/>
      <c r="CPJ226" s="35"/>
      <c r="CPK226" s="35"/>
      <c r="CPL226" s="35"/>
      <c r="CPM226" s="34"/>
      <c r="CPN226" s="34"/>
      <c r="CPO226" s="36"/>
      <c r="CPP226" s="36"/>
      <c r="CPQ226" s="37"/>
      <c r="CPR226" s="37"/>
      <c r="CPS226" s="38"/>
      <c r="CPT226" s="38"/>
      <c r="CPU226" s="39"/>
      <c r="CPV226" s="34"/>
      <c r="CPW226" s="34"/>
      <c r="CPX226" s="34"/>
      <c r="CPY226" s="35"/>
      <c r="CPZ226" s="35"/>
      <c r="CQA226" s="35"/>
      <c r="CQB226" s="35"/>
      <c r="CQC226" s="35"/>
      <c r="CQD226" s="34"/>
      <c r="CQE226" s="34"/>
      <c r="CQF226" s="36"/>
      <c r="CQG226" s="36"/>
      <c r="CQH226" s="37"/>
      <c r="CQI226" s="37"/>
      <c r="CQJ226" s="38"/>
      <c r="CQK226" s="38"/>
      <c r="CQL226" s="39"/>
      <c r="CQM226" s="34"/>
      <c r="CQN226" s="34"/>
      <c r="CQO226" s="34"/>
      <c r="CQP226" s="35"/>
      <c r="CQQ226" s="35"/>
      <c r="CQR226" s="35"/>
      <c r="CQS226" s="35"/>
      <c r="CQT226" s="35"/>
      <c r="CQU226" s="34"/>
      <c r="CQV226" s="34"/>
      <c r="CQW226" s="36"/>
      <c r="CQX226" s="36"/>
      <c r="CQY226" s="37"/>
      <c r="CQZ226" s="37"/>
      <c r="CRA226" s="38"/>
      <c r="CRB226" s="38"/>
      <c r="CRC226" s="39"/>
      <c r="CRD226" s="34"/>
      <c r="CRE226" s="34"/>
      <c r="CRF226" s="34"/>
      <c r="CRG226" s="35"/>
      <c r="CRH226" s="35"/>
      <c r="CRI226" s="35"/>
      <c r="CRJ226" s="35"/>
      <c r="CRK226" s="35"/>
      <c r="CRL226" s="34"/>
      <c r="CRM226" s="34"/>
      <c r="CRN226" s="36"/>
      <c r="CRO226" s="36"/>
      <c r="CRP226" s="37"/>
      <c r="CRQ226" s="37"/>
      <c r="CRR226" s="38"/>
      <c r="CRS226" s="38"/>
      <c r="CRT226" s="39"/>
      <c r="CRU226" s="34"/>
      <c r="CRV226" s="34"/>
      <c r="CRW226" s="34"/>
      <c r="CRX226" s="35"/>
      <c r="CRY226" s="35"/>
      <c r="CRZ226" s="35"/>
      <c r="CSA226" s="35"/>
      <c r="CSB226" s="35"/>
      <c r="CSC226" s="34"/>
      <c r="CSD226" s="34"/>
      <c r="CSE226" s="36"/>
      <c r="CSF226" s="36"/>
      <c r="CSG226" s="37"/>
      <c r="CSH226" s="37"/>
      <c r="CSI226" s="38"/>
      <c r="CSJ226" s="38"/>
      <c r="CSK226" s="39"/>
      <c r="CSL226" s="34"/>
      <c r="CSM226" s="34"/>
      <c r="CSN226" s="34"/>
      <c r="CSO226" s="35"/>
      <c r="CSP226" s="35"/>
      <c r="CSQ226" s="35"/>
      <c r="CSR226" s="35"/>
      <c r="CSS226" s="35"/>
      <c r="CST226" s="34"/>
      <c r="CSU226" s="34"/>
      <c r="CSV226" s="36"/>
      <c r="CSW226" s="36"/>
      <c r="CSX226" s="37"/>
      <c r="CSY226" s="37"/>
      <c r="CSZ226" s="38"/>
      <c r="CTA226" s="38"/>
      <c r="CTB226" s="39"/>
      <c r="CTC226" s="34"/>
      <c r="CTD226" s="34"/>
      <c r="CTE226" s="34"/>
      <c r="CTF226" s="35"/>
      <c r="CTG226" s="35"/>
      <c r="CTH226" s="35"/>
      <c r="CTI226" s="35"/>
      <c r="CTJ226" s="35"/>
      <c r="CTK226" s="34"/>
      <c r="CTL226" s="34"/>
      <c r="CTM226" s="36"/>
      <c r="CTN226" s="36"/>
      <c r="CTO226" s="37"/>
      <c r="CTP226" s="37"/>
      <c r="CTQ226" s="38"/>
      <c r="CTR226" s="38"/>
      <c r="CTS226" s="39"/>
      <c r="CTT226" s="34"/>
      <c r="CTU226" s="34"/>
      <c r="CTV226" s="34"/>
      <c r="CTW226" s="35"/>
      <c r="CTX226" s="35"/>
      <c r="CTY226" s="35"/>
      <c r="CTZ226" s="35"/>
      <c r="CUA226" s="35"/>
      <c r="CUB226" s="34"/>
      <c r="CUC226" s="34"/>
      <c r="CUD226" s="36"/>
      <c r="CUE226" s="36"/>
      <c r="CUF226" s="37"/>
      <c r="CUG226" s="37"/>
      <c r="CUH226" s="38"/>
      <c r="CUI226" s="38"/>
      <c r="CUJ226" s="39"/>
      <c r="CUK226" s="34"/>
      <c r="CUL226" s="34"/>
      <c r="CUM226" s="34"/>
      <c r="CUN226" s="35"/>
      <c r="CUO226" s="35"/>
      <c r="CUP226" s="35"/>
      <c r="CUQ226" s="35"/>
      <c r="CUR226" s="35"/>
      <c r="CUS226" s="34"/>
      <c r="CUT226" s="34"/>
      <c r="CUU226" s="36"/>
      <c r="CUV226" s="36"/>
      <c r="CUW226" s="37"/>
      <c r="CUX226" s="37"/>
      <c r="CUY226" s="38"/>
      <c r="CUZ226" s="38"/>
      <c r="CVA226" s="39"/>
      <c r="CVB226" s="34"/>
      <c r="CVC226" s="34"/>
      <c r="CVD226" s="34"/>
      <c r="CVE226" s="35"/>
      <c r="CVF226" s="35"/>
      <c r="CVG226" s="35"/>
      <c r="CVH226" s="35"/>
      <c r="CVI226" s="35"/>
      <c r="CVJ226" s="34"/>
      <c r="CVK226" s="34"/>
      <c r="CVL226" s="36"/>
      <c r="CVM226" s="36"/>
      <c r="CVN226" s="37"/>
      <c r="CVO226" s="37"/>
      <c r="CVP226" s="38"/>
      <c r="CVQ226" s="38"/>
      <c r="CVR226" s="39"/>
      <c r="CVS226" s="34"/>
      <c r="CVT226" s="34"/>
      <c r="CVU226" s="34"/>
      <c r="CVV226" s="35"/>
      <c r="CVW226" s="35"/>
      <c r="CVX226" s="35"/>
      <c r="CVY226" s="35"/>
      <c r="CVZ226" s="35"/>
      <c r="CWA226" s="34"/>
      <c r="CWB226" s="34"/>
      <c r="CWC226" s="36"/>
      <c r="CWD226" s="36"/>
      <c r="CWE226" s="37"/>
      <c r="CWF226" s="37"/>
      <c r="CWG226" s="38"/>
      <c r="CWH226" s="38"/>
      <c r="CWI226" s="39"/>
      <c r="CWJ226" s="34"/>
      <c r="CWK226" s="34"/>
      <c r="CWL226" s="34"/>
      <c r="CWM226" s="35"/>
      <c r="CWN226" s="35"/>
      <c r="CWO226" s="35"/>
      <c r="CWP226" s="35"/>
      <c r="CWQ226" s="35"/>
      <c r="CWR226" s="34"/>
      <c r="CWS226" s="34"/>
      <c r="CWT226" s="36"/>
      <c r="CWU226" s="36"/>
      <c r="CWV226" s="37"/>
      <c r="CWW226" s="37"/>
      <c r="CWX226" s="38"/>
      <c r="CWY226" s="38"/>
      <c r="CWZ226" s="39"/>
      <c r="CXA226" s="34"/>
      <c r="CXB226" s="34"/>
      <c r="CXC226" s="34"/>
      <c r="CXD226" s="35"/>
      <c r="CXE226" s="35"/>
      <c r="CXF226" s="35"/>
      <c r="CXG226" s="35"/>
      <c r="CXH226" s="35"/>
      <c r="CXI226" s="34"/>
      <c r="CXJ226" s="34"/>
      <c r="CXK226" s="36"/>
      <c r="CXL226" s="36"/>
      <c r="CXM226" s="37"/>
      <c r="CXN226" s="37"/>
      <c r="CXO226" s="38"/>
      <c r="CXP226" s="38"/>
      <c r="CXQ226" s="39"/>
      <c r="CXR226" s="34"/>
      <c r="CXS226" s="34"/>
      <c r="CXT226" s="34"/>
      <c r="CXU226" s="35"/>
      <c r="CXV226" s="35"/>
      <c r="CXW226" s="35"/>
      <c r="CXX226" s="35"/>
      <c r="CXY226" s="35"/>
      <c r="CXZ226" s="34"/>
      <c r="CYA226" s="34"/>
      <c r="CYB226" s="36"/>
      <c r="CYC226" s="36"/>
      <c r="CYD226" s="37"/>
      <c r="CYE226" s="37"/>
      <c r="CYF226" s="38"/>
      <c r="CYG226" s="38"/>
      <c r="CYH226" s="39"/>
      <c r="CYI226" s="34"/>
      <c r="CYJ226" s="34"/>
      <c r="CYK226" s="34"/>
      <c r="CYL226" s="35"/>
      <c r="CYM226" s="35"/>
      <c r="CYN226" s="35"/>
      <c r="CYO226" s="35"/>
      <c r="CYP226" s="35"/>
      <c r="CYQ226" s="34"/>
      <c r="CYR226" s="34"/>
      <c r="CYS226" s="36"/>
      <c r="CYT226" s="36"/>
      <c r="CYU226" s="37"/>
      <c r="CYV226" s="37"/>
      <c r="CYW226" s="38"/>
      <c r="CYX226" s="38"/>
      <c r="CYY226" s="39"/>
      <c r="CYZ226" s="34"/>
      <c r="CZA226" s="34"/>
      <c r="CZB226" s="34"/>
      <c r="CZC226" s="35"/>
      <c r="CZD226" s="35"/>
      <c r="CZE226" s="35"/>
      <c r="CZF226" s="35"/>
      <c r="CZG226" s="35"/>
      <c r="CZH226" s="34"/>
      <c r="CZI226" s="34"/>
      <c r="CZJ226" s="36"/>
      <c r="CZK226" s="36"/>
      <c r="CZL226" s="37"/>
      <c r="CZM226" s="37"/>
      <c r="CZN226" s="38"/>
      <c r="CZO226" s="38"/>
      <c r="CZP226" s="39"/>
      <c r="CZQ226" s="34"/>
      <c r="CZR226" s="34"/>
      <c r="CZS226" s="34"/>
      <c r="CZT226" s="35"/>
      <c r="CZU226" s="35"/>
      <c r="CZV226" s="35"/>
      <c r="CZW226" s="35"/>
      <c r="CZX226" s="35"/>
      <c r="CZY226" s="34"/>
      <c r="CZZ226" s="34"/>
      <c r="DAA226" s="36"/>
      <c r="DAB226" s="36"/>
      <c r="DAC226" s="37"/>
      <c r="DAD226" s="37"/>
      <c r="DAE226" s="38"/>
      <c r="DAF226" s="38"/>
      <c r="DAG226" s="39"/>
      <c r="DAH226" s="34"/>
      <c r="DAI226" s="34"/>
      <c r="DAJ226" s="34"/>
      <c r="DAK226" s="35"/>
      <c r="DAL226" s="35"/>
      <c r="DAM226" s="35"/>
      <c r="DAN226" s="35"/>
      <c r="DAO226" s="35"/>
      <c r="DAP226" s="34"/>
      <c r="DAQ226" s="34"/>
      <c r="DAR226" s="36"/>
      <c r="DAS226" s="36"/>
      <c r="DAT226" s="37"/>
      <c r="DAU226" s="37"/>
      <c r="DAV226" s="38"/>
      <c r="DAW226" s="38"/>
      <c r="DAX226" s="39"/>
      <c r="DAY226" s="34"/>
      <c r="DAZ226" s="34"/>
      <c r="DBA226" s="34"/>
      <c r="DBB226" s="35"/>
      <c r="DBC226" s="35"/>
      <c r="DBD226" s="35"/>
      <c r="DBE226" s="35"/>
      <c r="DBF226" s="35"/>
      <c r="DBG226" s="34"/>
      <c r="DBH226" s="34"/>
      <c r="DBI226" s="36"/>
      <c r="DBJ226" s="36"/>
      <c r="DBK226" s="37"/>
      <c r="DBL226" s="37"/>
      <c r="DBM226" s="38"/>
      <c r="DBN226" s="38"/>
      <c r="DBO226" s="39"/>
      <c r="DBP226" s="34"/>
      <c r="DBQ226" s="34"/>
      <c r="DBR226" s="34"/>
      <c r="DBS226" s="35"/>
      <c r="DBT226" s="35"/>
      <c r="DBU226" s="35"/>
      <c r="DBV226" s="35"/>
      <c r="DBW226" s="35"/>
      <c r="DBX226" s="34"/>
      <c r="DBY226" s="34"/>
      <c r="DBZ226" s="36"/>
      <c r="DCA226" s="36"/>
      <c r="DCB226" s="37"/>
      <c r="DCC226" s="37"/>
      <c r="DCD226" s="38"/>
      <c r="DCE226" s="38"/>
      <c r="DCF226" s="39"/>
      <c r="DCG226" s="34"/>
      <c r="DCH226" s="34"/>
      <c r="DCI226" s="34"/>
      <c r="DCJ226" s="35"/>
      <c r="DCK226" s="35"/>
      <c r="DCL226" s="35"/>
      <c r="DCM226" s="35"/>
      <c r="DCN226" s="35"/>
      <c r="DCO226" s="34"/>
      <c r="DCP226" s="34"/>
      <c r="DCQ226" s="36"/>
      <c r="DCR226" s="36"/>
      <c r="DCS226" s="37"/>
      <c r="DCT226" s="37"/>
      <c r="DCU226" s="38"/>
      <c r="DCV226" s="38"/>
      <c r="DCW226" s="39"/>
      <c r="DCX226" s="34"/>
      <c r="DCY226" s="34"/>
      <c r="DCZ226" s="34"/>
      <c r="DDA226" s="35"/>
      <c r="DDB226" s="35"/>
      <c r="DDC226" s="35"/>
      <c r="DDD226" s="35"/>
      <c r="DDE226" s="35"/>
      <c r="DDF226" s="34"/>
      <c r="DDG226" s="34"/>
      <c r="DDH226" s="36"/>
      <c r="DDI226" s="36"/>
      <c r="DDJ226" s="37"/>
      <c r="DDK226" s="37"/>
      <c r="DDL226" s="38"/>
      <c r="DDM226" s="38"/>
      <c r="DDN226" s="39"/>
      <c r="DDO226" s="34"/>
      <c r="DDP226" s="34"/>
      <c r="DDQ226" s="34"/>
      <c r="DDR226" s="35"/>
      <c r="DDS226" s="35"/>
      <c r="DDT226" s="35"/>
      <c r="DDU226" s="35"/>
      <c r="DDV226" s="35"/>
      <c r="DDW226" s="34"/>
      <c r="DDX226" s="34"/>
      <c r="DDY226" s="36"/>
      <c r="DDZ226" s="36"/>
      <c r="DEA226" s="37"/>
      <c r="DEB226" s="37"/>
      <c r="DEC226" s="38"/>
      <c r="DED226" s="38"/>
      <c r="DEE226" s="39"/>
      <c r="DEF226" s="34"/>
      <c r="DEG226" s="34"/>
      <c r="DEH226" s="34"/>
      <c r="DEI226" s="35"/>
      <c r="DEJ226" s="35"/>
      <c r="DEK226" s="35"/>
      <c r="DEL226" s="35"/>
      <c r="DEM226" s="35"/>
      <c r="DEN226" s="34"/>
      <c r="DEO226" s="34"/>
      <c r="DEP226" s="36"/>
      <c r="DEQ226" s="36"/>
      <c r="DER226" s="37"/>
      <c r="DES226" s="37"/>
      <c r="DET226" s="38"/>
      <c r="DEU226" s="38"/>
      <c r="DEV226" s="39"/>
      <c r="DEW226" s="34"/>
      <c r="DEX226" s="34"/>
      <c r="DEY226" s="34"/>
      <c r="DEZ226" s="35"/>
      <c r="DFA226" s="35"/>
      <c r="DFB226" s="35"/>
      <c r="DFC226" s="35"/>
      <c r="DFD226" s="35"/>
      <c r="DFE226" s="34"/>
      <c r="DFF226" s="34"/>
      <c r="DFG226" s="36"/>
      <c r="DFH226" s="36"/>
      <c r="DFI226" s="37"/>
      <c r="DFJ226" s="37"/>
      <c r="DFK226" s="38"/>
      <c r="DFL226" s="38"/>
      <c r="DFM226" s="39"/>
      <c r="DFN226" s="34"/>
      <c r="DFO226" s="34"/>
      <c r="DFP226" s="34"/>
      <c r="DFQ226" s="35"/>
      <c r="DFR226" s="35"/>
      <c r="DFS226" s="35"/>
      <c r="DFT226" s="35"/>
      <c r="DFU226" s="35"/>
      <c r="DFV226" s="34"/>
      <c r="DFW226" s="34"/>
      <c r="DFX226" s="36"/>
      <c r="DFY226" s="36"/>
      <c r="DFZ226" s="37"/>
      <c r="DGA226" s="37"/>
      <c r="DGB226" s="38"/>
      <c r="DGC226" s="38"/>
      <c r="DGD226" s="39"/>
      <c r="DGE226" s="34"/>
      <c r="DGF226" s="34"/>
      <c r="DGG226" s="34"/>
      <c r="DGH226" s="35"/>
      <c r="DGI226" s="35"/>
      <c r="DGJ226" s="35"/>
      <c r="DGK226" s="35"/>
      <c r="DGL226" s="35"/>
      <c r="DGM226" s="34"/>
      <c r="DGN226" s="34"/>
      <c r="DGO226" s="36"/>
      <c r="DGP226" s="36"/>
      <c r="DGQ226" s="37"/>
      <c r="DGR226" s="37"/>
      <c r="DGS226" s="38"/>
      <c r="DGT226" s="38"/>
      <c r="DGU226" s="39"/>
      <c r="DGV226" s="34"/>
      <c r="DGW226" s="34"/>
      <c r="DGX226" s="34"/>
      <c r="DGY226" s="35"/>
      <c r="DGZ226" s="35"/>
      <c r="DHA226" s="35"/>
      <c r="DHB226" s="35"/>
      <c r="DHC226" s="35"/>
      <c r="DHD226" s="34"/>
      <c r="DHE226" s="34"/>
      <c r="DHF226" s="36"/>
      <c r="DHG226" s="36"/>
      <c r="DHH226" s="37"/>
      <c r="DHI226" s="37"/>
      <c r="DHJ226" s="38"/>
      <c r="DHK226" s="38"/>
      <c r="DHL226" s="39"/>
      <c r="DHM226" s="34"/>
      <c r="DHN226" s="34"/>
      <c r="DHO226" s="34"/>
      <c r="DHP226" s="35"/>
      <c r="DHQ226" s="35"/>
      <c r="DHR226" s="35"/>
      <c r="DHS226" s="35"/>
      <c r="DHT226" s="35"/>
      <c r="DHU226" s="34"/>
      <c r="DHV226" s="34"/>
      <c r="DHW226" s="36"/>
      <c r="DHX226" s="36"/>
      <c r="DHY226" s="37"/>
      <c r="DHZ226" s="37"/>
      <c r="DIA226" s="38"/>
      <c r="DIB226" s="38"/>
      <c r="DIC226" s="39"/>
      <c r="DID226" s="34"/>
      <c r="DIE226" s="34"/>
      <c r="DIF226" s="34"/>
      <c r="DIG226" s="35"/>
      <c r="DIH226" s="35"/>
      <c r="DII226" s="35"/>
      <c r="DIJ226" s="35"/>
      <c r="DIK226" s="35"/>
      <c r="DIL226" s="34"/>
      <c r="DIM226" s="34"/>
      <c r="DIN226" s="36"/>
      <c r="DIO226" s="36"/>
      <c r="DIP226" s="37"/>
      <c r="DIQ226" s="37"/>
      <c r="DIR226" s="38"/>
      <c r="DIS226" s="38"/>
      <c r="DIT226" s="39"/>
      <c r="DIU226" s="34"/>
      <c r="DIV226" s="34"/>
      <c r="DIW226" s="34"/>
      <c r="DIX226" s="35"/>
      <c r="DIY226" s="35"/>
      <c r="DIZ226" s="35"/>
      <c r="DJA226" s="35"/>
      <c r="DJB226" s="35"/>
      <c r="DJC226" s="34"/>
      <c r="DJD226" s="34"/>
      <c r="DJE226" s="36"/>
      <c r="DJF226" s="36"/>
      <c r="DJG226" s="37"/>
      <c r="DJH226" s="37"/>
      <c r="DJI226" s="38"/>
      <c r="DJJ226" s="38"/>
      <c r="DJK226" s="39"/>
      <c r="DJL226" s="34"/>
      <c r="DJM226" s="34"/>
      <c r="DJN226" s="34"/>
      <c r="DJO226" s="35"/>
      <c r="DJP226" s="35"/>
      <c r="DJQ226" s="35"/>
      <c r="DJR226" s="35"/>
      <c r="DJS226" s="35"/>
      <c r="DJT226" s="34"/>
      <c r="DJU226" s="34"/>
      <c r="DJV226" s="36"/>
      <c r="DJW226" s="36"/>
      <c r="DJX226" s="37"/>
      <c r="DJY226" s="37"/>
      <c r="DJZ226" s="38"/>
      <c r="DKA226" s="38"/>
      <c r="DKB226" s="39"/>
      <c r="DKC226" s="34"/>
      <c r="DKD226" s="34"/>
      <c r="DKE226" s="34"/>
      <c r="DKF226" s="35"/>
      <c r="DKG226" s="35"/>
      <c r="DKH226" s="35"/>
      <c r="DKI226" s="35"/>
      <c r="DKJ226" s="35"/>
      <c r="DKK226" s="34"/>
      <c r="DKL226" s="34"/>
      <c r="DKM226" s="36"/>
      <c r="DKN226" s="36"/>
      <c r="DKO226" s="37"/>
      <c r="DKP226" s="37"/>
      <c r="DKQ226" s="38"/>
      <c r="DKR226" s="38"/>
      <c r="DKS226" s="39"/>
      <c r="DKT226" s="34"/>
      <c r="DKU226" s="34"/>
      <c r="DKV226" s="34"/>
      <c r="DKW226" s="35"/>
      <c r="DKX226" s="35"/>
      <c r="DKY226" s="35"/>
      <c r="DKZ226" s="35"/>
      <c r="DLA226" s="35"/>
      <c r="DLB226" s="34"/>
      <c r="DLC226" s="34"/>
      <c r="DLD226" s="36"/>
      <c r="DLE226" s="36"/>
      <c r="DLF226" s="37"/>
      <c r="DLG226" s="37"/>
      <c r="DLH226" s="38"/>
      <c r="DLI226" s="38"/>
      <c r="DLJ226" s="39"/>
      <c r="DLK226" s="34"/>
      <c r="DLL226" s="34"/>
      <c r="DLM226" s="34"/>
      <c r="DLN226" s="35"/>
      <c r="DLO226" s="35"/>
      <c r="DLP226" s="35"/>
      <c r="DLQ226" s="35"/>
      <c r="DLR226" s="35"/>
      <c r="DLS226" s="34"/>
      <c r="DLT226" s="34"/>
      <c r="DLU226" s="36"/>
      <c r="DLV226" s="36"/>
      <c r="DLW226" s="37"/>
      <c r="DLX226" s="37"/>
      <c r="DLY226" s="38"/>
      <c r="DLZ226" s="38"/>
      <c r="DMA226" s="39"/>
      <c r="DMB226" s="34"/>
      <c r="DMC226" s="34"/>
      <c r="DMD226" s="34"/>
      <c r="DME226" s="35"/>
      <c r="DMF226" s="35"/>
      <c r="DMG226" s="35"/>
      <c r="DMH226" s="35"/>
      <c r="DMI226" s="35"/>
      <c r="DMJ226" s="34"/>
      <c r="DMK226" s="34"/>
      <c r="DML226" s="36"/>
      <c r="DMM226" s="36"/>
      <c r="DMN226" s="37"/>
      <c r="DMO226" s="37"/>
      <c r="DMP226" s="38"/>
      <c r="DMQ226" s="38"/>
      <c r="DMR226" s="39"/>
      <c r="DMS226" s="34"/>
      <c r="DMT226" s="34"/>
      <c r="DMU226" s="34"/>
      <c r="DMV226" s="35"/>
      <c r="DMW226" s="35"/>
      <c r="DMX226" s="35"/>
      <c r="DMY226" s="35"/>
      <c r="DMZ226" s="35"/>
      <c r="DNA226" s="34"/>
      <c r="DNB226" s="34"/>
      <c r="DNC226" s="36"/>
      <c r="DND226" s="36"/>
      <c r="DNE226" s="37"/>
      <c r="DNF226" s="37"/>
      <c r="DNG226" s="38"/>
      <c r="DNH226" s="38"/>
      <c r="DNI226" s="39"/>
      <c r="DNJ226" s="34"/>
      <c r="DNK226" s="34"/>
      <c r="DNL226" s="34"/>
      <c r="DNM226" s="35"/>
      <c r="DNN226" s="35"/>
      <c r="DNO226" s="35"/>
      <c r="DNP226" s="35"/>
      <c r="DNQ226" s="35"/>
      <c r="DNR226" s="34"/>
      <c r="DNS226" s="34"/>
      <c r="DNT226" s="36"/>
      <c r="DNU226" s="36"/>
      <c r="DNV226" s="37"/>
      <c r="DNW226" s="37"/>
      <c r="DNX226" s="38"/>
      <c r="DNY226" s="38"/>
      <c r="DNZ226" s="39"/>
      <c r="DOA226" s="34"/>
      <c r="DOB226" s="34"/>
      <c r="DOC226" s="34"/>
      <c r="DOD226" s="35"/>
      <c r="DOE226" s="35"/>
      <c r="DOF226" s="35"/>
      <c r="DOG226" s="35"/>
      <c r="DOH226" s="35"/>
      <c r="DOI226" s="34"/>
      <c r="DOJ226" s="34"/>
      <c r="DOK226" s="36"/>
      <c r="DOL226" s="36"/>
      <c r="DOM226" s="37"/>
      <c r="DON226" s="37"/>
      <c r="DOO226" s="38"/>
      <c r="DOP226" s="38"/>
      <c r="DOQ226" s="39"/>
      <c r="DOR226" s="34"/>
      <c r="DOS226" s="34"/>
      <c r="DOT226" s="34"/>
      <c r="DOU226" s="35"/>
      <c r="DOV226" s="35"/>
      <c r="DOW226" s="35"/>
      <c r="DOX226" s="35"/>
      <c r="DOY226" s="35"/>
      <c r="DOZ226" s="34"/>
      <c r="DPA226" s="34"/>
      <c r="DPB226" s="36"/>
      <c r="DPC226" s="36"/>
      <c r="DPD226" s="37"/>
      <c r="DPE226" s="37"/>
      <c r="DPF226" s="38"/>
      <c r="DPG226" s="38"/>
      <c r="DPH226" s="39"/>
      <c r="DPI226" s="34"/>
      <c r="DPJ226" s="34"/>
      <c r="DPK226" s="34"/>
      <c r="DPL226" s="35"/>
      <c r="DPM226" s="35"/>
      <c r="DPN226" s="35"/>
      <c r="DPO226" s="35"/>
      <c r="DPP226" s="35"/>
      <c r="DPQ226" s="34"/>
      <c r="DPR226" s="34"/>
      <c r="DPS226" s="36"/>
      <c r="DPT226" s="36"/>
      <c r="DPU226" s="37"/>
      <c r="DPV226" s="37"/>
      <c r="DPW226" s="38"/>
      <c r="DPX226" s="38"/>
      <c r="DPY226" s="39"/>
      <c r="DPZ226" s="34"/>
      <c r="DQA226" s="34"/>
      <c r="DQB226" s="34"/>
      <c r="DQC226" s="35"/>
      <c r="DQD226" s="35"/>
      <c r="DQE226" s="35"/>
      <c r="DQF226" s="35"/>
      <c r="DQG226" s="35"/>
      <c r="DQH226" s="34"/>
      <c r="DQI226" s="34"/>
      <c r="DQJ226" s="36"/>
      <c r="DQK226" s="36"/>
      <c r="DQL226" s="37"/>
      <c r="DQM226" s="37"/>
      <c r="DQN226" s="38"/>
      <c r="DQO226" s="38"/>
      <c r="DQP226" s="39"/>
      <c r="DQQ226" s="34"/>
      <c r="DQR226" s="34"/>
      <c r="DQS226" s="34"/>
      <c r="DQT226" s="35"/>
      <c r="DQU226" s="35"/>
      <c r="DQV226" s="35"/>
      <c r="DQW226" s="35"/>
      <c r="DQX226" s="35"/>
      <c r="DQY226" s="34"/>
      <c r="DQZ226" s="34"/>
      <c r="DRA226" s="36"/>
      <c r="DRB226" s="36"/>
      <c r="DRC226" s="37"/>
      <c r="DRD226" s="37"/>
      <c r="DRE226" s="38"/>
      <c r="DRF226" s="38"/>
      <c r="DRG226" s="39"/>
      <c r="DRH226" s="34"/>
      <c r="DRI226" s="34"/>
      <c r="DRJ226" s="34"/>
      <c r="DRK226" s="35"/>
      <c r="DRL226" s="35"/>
      <c r="DRM226" s="35"/>
      <c r="DRN226" s="35"/>
      <c r="DRO226" s="35"/>
      <c r="DRP226" s="34"/>
      <c r="DRQ226" s="34"/>
      <c r="DRR226" s="36"/>
      <c r="DRS226" s="36"/>
      <c r="DRT226" s="37"/>
      <c r="DRU226" s="37"/>
      <c r="DRV226" s="38"/>
      <c r="DRW226" s="38"/>
      <c r="DRX226" s="39"/>
      <c r="DRY226" s="34"/>
      <c r="DRZ226" s="34"/>
      <c r="DSA226" s="34"/>
      <c r="DSB226" s="35"/>
      <c r="DSC226" s="35"/>
      <c r="DSD226" s="35"/>
      <c r="DSE226" s="35"/>
      <c r="DSF226" s="35"/>
      <c r="DSG226" s="34"/>
      <c r="DSH226" s="34"/>
      <c r="DSI226" s="36"/>
      <c r="DSJ226" s="36"/>
      <c r="DSK226" s="37"/>
      <c r="DSL226" s="37"/>
      <c r="DSM226" s="38"/>
      <c r="DSN226" s="38"/>
      <c r="DSO226" s="39"/>
      <c r="DSP226" s="34"/>
      <c r="DSQ226" s="34"/>
      <c r="DSR226" s="34"/>
      <c r="DSS226" s="35"/>
      <c r="DST226" s="35"/>
      <c r="DSU226" s="35"/>
      <c r="DSV226" s="35"/>
      <c r="DSW226" s="35"/>
      <c r="DSX226" s="34"/>
      <c r="DSY226" s="34"/>
      <c r="DSZ226" s="36"/>
      <c r="DTA226" s="36"/>
      <c r="DTB226" s="37"/>
      <c r="DTC226" s="37"/>
      <c r="DTD226" s="38"/>
      <c r="DTE226" s="38"/>
      <c r="DTF226" s="39"/>
      <c r="DTG226" s="34"/>
      <c r="DTH226" s="34"/>
      <c r="DTI226" s="34"/>
      <c r="DTJ226" s="35"/>
      <c r="DTK226" s="35"/>
      <c r="DTL226" s="35"/>
      <c r="DTM226" s="35"/>
      <c r="DTN226" s="35"/>
      <c r="DTO226" s="34"/>
      <c r="DTP226" s="34"/>
      <c r="DTQ226" s="36"/>
      <c r="DTR226" s="36"/>
      <c r="DTS226" s="37"/>
      <c r="DTT226" s="37"/>
      <c r="DTU226" s="38"/>
      <c r="DTV226" s="38"/>
      <c r="DTW226" s="39"/>
      <c r="DTX226" s="34"/>
      <c r="DTY226" s="34"/>
      <c r="DTZ226" s="34"/>
      <c r="DUA226" s="35"/>
      <c r="DUB226" s="35"/>
      <c r="DUC226" s="35"/>
      <c r="DUD226" s="35"/>
      <c r="DUE226" s="35"/>
      <c r="DUF226" s="34"/>
      <c r="DUG226" s="34"/>
      <c r="DUH226" s="36"/>
      <c r="DUI226" s="36"/>
      <c r="DUJ226" s="37"/>
      <c r="DUK226" s="37"/>
      <c r="DUL226" s="38"/>
      <c r="DUM226" s="38"/>
      <c r="DUN226" s="39"/>
      <c r="DUO226" s="34"/>
      <c r="DUP226" s="34"/>
      <c r="DUQ226" s="34"/>
      <c r="DUR226" s="35"/>
      <c r="DUS226" s="35"/>
      <c r="DUT226" s="35"/>
      <c r="DUU226" s="35"/>
      <c r="DUV226" s="35"/>
      <c r="DUW226" s="34"/>
      <c r="DUX226" s="34"/>
      <c r="DUY226" s="36"/>
      <c r="DUZ226" s="36"/>
      <c r="DVA226" s="37"/>
      <c r="DVB226" s="37"/>
      <c r="DVC226" s="38"/>
      <c r="DVD226" s="38"/>
      <c r="DVE226" s="39"/>
      <c r="DVF226" s="34"/>
      <c r="DVG226" s="34"/>
      <c r="DVH226" s="34"/>
      <c r="DVI226" s="35"/>
      <c r="DVJ226" s="35"/>
      <c r="DVK226" s="35"/>
      <c r="DVL226" s="35"/>
      <c r="DVM226" s="35"/>
      <c r="DVN226" s="34"/>
      <c r="DVO226" s="34"/>
      <c r="DVP226" s="36"/>
      <c r="DVQ226" s="36"/>
      <c r="DVR226" s="37"/>
      <c r="DVS226" s="37"/>
      <c r="DVT226" s="38"/>
      <c r="DVU226" s="38"/>
      <c r="DVV226" s="39"/>
      <c r="DVW226" s="34"/>
      <c r="DVX226" s="34"/>
      <c r="DVY226" s="34"/>
      <c r="DVZ226" s="35"/>
      <c r="DWA226" s="35"/>
      <c r="DWB226" s="35"/>
      <c r="DWC226" s="35"/>
      <c r="DWD226" s="35"/>
      <c r="DWE226" s="34"/>
      <c r="DWF226" s="34"/>
      <c r="DWG226" s="36"/>
      <c r="DWH226" s="36"/>
      <c r="DWI226" s="37"/>
      <c r="DWJ226" s="37"/>
      <c r="DWK226" s="38"/>
      <c r="DWL226" s="38"/>
      <c r="DWM226" s="39"/>
      <c r="DWN226" s="34"/>
      <c r="DWO226" s="34"/>
      <c r="DWP226" s="34"/>
      <c r="DWQ226" s="35"/>
      <c r="DWR226" s="35"/>
      <c r="DWS226" s="35"/>
      <c r="DWT226" s="35"/>
      <c r="DWU226" s="35"/>
      <c r="DWV226" s="34"/>
      <c r="DWW226" s="34"/>
      <c r="DWX226" s="36"/>
      <c r="DWY226" s="36"/>
      <c r="DWZ226" s="37"/>
      <c r="DXA226" s="37"/>
      <c r="DXB226" s="38"/>
      <c r="DXC226" s="38"/>
      <c r="DXD226" s="39"/>
      <c r="DXE226" s="34"/>
      <c r="DXF226" s="34"/>
      <c r="DXG226" s="34"/>
      <c r="DXH226" s="35"/>
      <c r="DXI226" s="35"/>
      <c r="DXJ226" s="35"/>
      <c r="DXK226" s="35"/>
      <c r="DXL226" s="35"/>
      <c r="DXM226" s="34"/>
      <c r="DXN226" s="34"/>
      <c r="DXO226" s="36"/>
      <c r="DXP226" s="36"/>
      <c r="DXQ226" s="37"/>
      <c r="DXR226" s="37"/>
      <c r="DXS226" s="38"/>
      <c r="DXT226" s="38"/>
      <c r="DXU226" s="39"/>
      <c r="DXV226" s="34"/>
      <c r="DXW226" s="34"/>
      <c r="DXX226" s="34"/>
      <c r="DXY226" s="35"/>
      <c r="DXZ226" s="35"/>
      <c r="DYA226" s="35"/>
      <c r="DYB226" s="35"/>
      <c r="DYC226" s="35"/>
      <c r="DYD226" s="34"/>
      <c r="DYE226" s="34"/>
      <c r="DYF226" s="36"/>
      <c r="DYG226" s="36"/>
      <c r="DYH226" s="37"/>
      <c r="DYI226" s="37"/>
      <c r="DYJ226" s="38"/>
      <c r="DYK226" s="38"/>
      <c r="DYL226" s="39"/>
      <c r="DYM226" s="34"/>
      <c r="DYN226" s="34"/>
      <c r="DYO226" s="34"/>
      <c r="DYP226" s="35"/>
      <c r="DYQ226" s="35"/>
      <c r="DYR226" s="35"/>
      <c r="DYS226" s="35"/>
      <c r="DYT226" s="35"/>
      <c r="DYU226" s="34"/>
      <c r="DYV226" s="34"/>
      <c r="DYW226" s="36"/>
      <c r="DYX226" s="36"/>
      <c r="DYY226" s="37"/>
      <c r="DYZ226" s="37"/>
      <c r="DZA226" s="38"/>
      <c r="DZB226" s="38"/>
      <c r="DZC226" s="39"/>
      <c r="DZD226" s="34"/>
      <c r="DZE226" s="34"/>
      <c r="DZF226" s="34"/>
      <c r="DZG226" s="35"/>
      <c r="DZH226" s="35"/>
      <c r="DZI226" s="35"/>
      <c r="DZJ226" s="35"/>
      <c r="DZK226" s="35"/>
      <c r="DZL226" s="34"/>
      <c r="DZM226" s="34"/>
      <c r="DZN226" s="36"/>
      <c r="DZO226" s="36"/>
      <c r="DZP226" s="37"/>
      <c r="DZQ226" s="37"/>
      <c r="DZR226" s="38"/>
      <c r="DZS226" s="38"/>
      <c r="DZT226" s="39"/>
      <c r="DZU226" s="34"/>
      <c r="DZV226" s="34"/>
      <c r="DZW226" s="34"/>
      <c r="DZX226" s="35"/>
      <c r="DZY226" s="35"/>
      <c r="DZZ226" s="35"/>
      <c r="EAA226" s="35"/>
      <c r="EAB226" s="35"/>
      <c r="EAC226" s="34"/>
      <c r="EAD226" s="34"/>
      <c r="EAE226" s="36"/>
      <c r="EAF226" s="36"/>
      <c r="EAG226" s="37"/>
      <c r="EAH226" s="37"/>
      <c r="EAI226" s="38"/>
      <c r="EAJ226" s="38"/>
      <c r="EAK226" s="39"/>
      <c r="EAL226" s="34"/>
      <c r="EAM226" s="34"/>
      <c r="EAN226" s="34"/>
      <c r="EAO226" s="35"/>
      <c r="EAP226" s="35"/>
      <c r="EAQ226" s="35"/>
      <c r="EAR226" s="35"/>
      <c r="EAS226" s="35"/>
      <c r="EAT226" s="34"/>
      <c r="EAU226" s="34"/>
      <c r="EAV226" s="36"/>
      <c r="EAW226" s="36"/>
      <c r="EAX226" s="37"/>
      <c r="EAY226" s="37"/>
      <c r="EAZ226" s="38"/>
      <c r="EBA226" s="38"/>
      <c r="EBB226" s="39"/>
      <c r="EBC226" s="34"/>
      <c r="EBD226" s="34"/>
      <c r="EBE226" s="34"/>
      <c r="EBF226" s="35"/>
      <c r="EBG226" s="35"/>
      <c r="EBH226" s="35"/>
      <c r="EBI226" s="35"/>
      <c r="EBJ226" s="35"/>
      <c r="EBK226" s="34"/>
      <c r="EBL226" s="34"/>
      <c r="EBM226" s="36"/>
      <c r="EBN226" s="36"/>
      <c r="EBO226" s="37"/>
      <c r="EBP226" s="37"/>
      <c r="EBQ226" s="38"/>
      <c r="EBR226" s="38"/>
      <c r="EBS226" s="39"/>
      <c r="EBT226" s="34"/>
      <c r="EBU226" s="34"/>
      <c r="EBV226" s="34"/>
      <c r="EBW226" s="35"/>
      <c r="EBX226" s="35"/>
      <c r="EBY226" s="35"/>
      <c r="EBZ226" s="35"/>
      <c r="ECA226" s="35"/>
      <c r="ECB226" s="34"/>
      <c r="ECC226" s="34"/>
      <c r="ECD226" s="36"/>
      <c r="ECE226" s="36"/>
      <c r="ECF226" s="37"/>
      <c r="ECG226" s="37"/>
      <c r="ECH226" s="38"/>
      <c r="ECI226" s="38"/>
      <c r="ECJ226" s="39"/>
      <c r="ECK226" s="34"/>
      <c r="ECL226" s="34"/>
      <c r="ECM226" s="34"/>
      <c r="ECN226" s="35"/>
      <c r="ECO226" s="35"/>
      <c r="ECP226" s="35"/>
      <c r="ECQ226" s="35"/>
      <c r="ECR226" s="35"/>
      <c r="ECS226" s="34"/>
      <c r="ECT226" s="34"/>
      <c r="ECU226" s="36"/>
      <c r="ECV226" s="36"/>
      <c r="ECW226" s="37"/>
      <c r="ECX226" s="37"/>
      <c r="ECY226" s="38"/>
      <c r="ECZ226" s="38"/>
      <c r="EDA226" s="39"/>
      <c r="EDB226" s="34"/>
      <c r="EDC226" s="34"/>
      <c r="EDD226" s="34"/>
      <c r="EDE226" s="35"/>
      <c r="EDF226" s="35"/>
      <c r="EDG226" s="35"/>
      <c r="EDH226" s="35"/>
      <c r="EDI226" s="35"/>
      <c r="EDJ226" s="34"/>
      <c r="EDK226" s="34"/>
      <c r="EDL226" s="36"/>
      <c r="EDM226" s="36"/>
      <c r="EDN226" s="37"/>
      <c r="EDO226" s="37"/>
      <c r="EDP226" s="38"/>
      <c r="EDQ226" s="38"/>
      <c r="EDR226" s="39"/>
      <c r="EDS226" s="34"/>
      <c r="EDT226" s="34"/>
      <c r="EDU226" s="34"/>
      <c r="EDV226" s="35"/>
      <c r="EDW226" s="35"/>
      <c r="EDX226" s="35"/>
      <c r="EDY226" s="35"/>
      <c r="EDZ226" s="35"/>
      <c r="EEA226" s="34"/>
      <c r="EEB226" s="34"/>
      <c r="EEC226" s="36"/>
      <c r="EED226" s="36"/>
      <c r="EEE226" s="37"/>
      <c r="EEF226" s="37"/>
      <c r="EEG226" s="38"/>
      <c r="EEH226" s="38"/>
      <c r="EEI226" s="39"/>
      <c r="EEJ226" s="34"/>
      <c r="EEK226" s="34"/>
      <c r="EEL226" s="34"/>
      <c r="EEM226" s="35"/>
      <c r="EEN226" s="35"/>
      <c r="EEO226" s="35"/>
      <c r="EEP226" s="35"/>
      <c r="EEQ226" s="35"/>
      <c r="EER226" s="34"/>
      <c r="EES226" s="34"/>
      <c r="EET226" s="36"/>
      <c r="EEU226" s="36"/>
      <c r="EEV226" s="37"/>
      <c r="EEW226" s="37"/>
      <c r="EEX226" s="38"/>
      <c r="EEY226" s="38"/>
      <c r="EEZ226" s="39"/>
      <c r="EFA226" s="34"/>
      <c r="EFB226" s="34"/>
      <c r="EFC226" s="34"/>
      <c r="EFD226" s="35"/>
      <c r="EFE226" s="35"/>
      <c r="EFF226" s="35"/>
      <c r="EFG226" s="35"/>
      <c r="EFH226" s="35"/>
      <c r="EFI226" s="34"/>
      <c r="EFJ226" s="34"/>
      <c r="EFK226" s="36"/>
      <c r="EFL226" s="36"/>
      <c r="EFM226" s="37"/>
      <c r="EFN226" s="37"/>
      <c r="EFO226" s="38"/>
      <c r="EFP226" s="38"/>
      <c r="EFQ226" s="39"/>
      <c r="EFR226" s="34"/>
      <c r="EFS226" s="34"/>
      <c r="EFT226" s="34"/>
      <c r="EFU226" s="35"/>
      <c r="EFV226" s="35"/>
      <c r="EFW226" s="35"/>
      <c r="EFX226" s="35"/>
      <c r="EFY226" s="35"/>
      <c r="EFZ226" s="34"/>
      <c r="EGA226" s="34"/>
      <c r="EGB226" s="36"/>
      <c r="EGC226" s="36"/>
      <c r="EGD226" s="37"/>
      <c r="EGE226" s="37"/>
      <c r="EGF226" s="38"/>
      <c r="EGG226" s="38"/>
      <c r="EGH226" s="39"/>
      <c r="EGI226" s="34"/>
      <c r="EGJ226" s="34"/>
      <c r="EGK226" s="34"/>
      <c r="EGL226" s="35"/>
      <c r="EGM226" s="35"/>
      <c r="EGN226" s="35"/>
      <c r="EGO226" s="35"/>
      <c r="EGP226" s="35"/>
      <c r="EGQ226" s="34"/>
      <c r="EGR226" s="34"/>
      <c r="EGS226" s="36"/>
      <c r="EGT226" s="36"/>
      <c r="EGU226" s="37"/>
      <c r="EGV226" s="37"/>
      <c r="EGW226" s="38"/>
      <c r="EGX226" s="38"/>
      <c r="EGY226" s="39"/>
      <c r="EGZ226" s="34"/>
      <c r="EHA226" s="34"/>
      <c r="EHB226" s="34"/>
      <c r="EHC226" s="35"/>
      <c r="EHD226" s="35"/>
      <c r="EHE226" s="35"/>
      <c r="EHF226" s="35"/>
      <c r="EHG226" s="35"/>
      <c r="EHH226" s="34"/>
      <c r="EHI226" s="34"/>
      <c r="EHJ226" s="36"/>
      <c r="EHK226" s="36"/>
      <c r="EHL226" s="37"/>
      <c r="EHM226" s="37"/>
      <c r="EHN226" s="38"/>
      <c r="EHO226" s="38"/>
      <c r="EHP226" s="39"/>
      <c r="EHQ226" s="34"/>
      <c r="EHR226" s="34"/>
      <c r="EHS226" s="34"/>
      <c r="EHT226" s="35"/>
      <c r="EHU226" s="35"/>
      <c r="EHV226" s="35"/>
      <c r="EHW226" s="35"/>
      <c r="EHX226" s="35"/>
      <c r="EHY226" s="34"/>
      <c r="EHZ226" s="34"/>
      <c r="EIA226" s="36"/>
      <c r="EIB226" s="36"/>
      <c r="EIC226" s="37"/>
      <c r="EID226" s="37"/>
      <c r="EIE226" s="38"/>
      <c r="EIF226" s="38"/>
      <c r="EIG226" s="39"/>
      <c r="EIH226" s="34"/>
      <c r="EII226" s="34"/>
      <c r="EIJ226" s="34"/>
      <c r="EIK226" s="35"/>
      <c r="EIL226" s="35"/>
      <c r="EIM226" s="35"/>
      <c r="EIN226" s="35"/>
      <c r="EIO226" s="35"/>
      <c r="EIP226" s="34"/>
      <c r="EIQ226" s="34"/>
      <c r="EIR226" s="36"/>
      <c r="EIS226" s="36"/>
      <c r="EIT226" s="37"/>
      <c r="EIU226" s="37"/>
      <c r="EIV226" s="38"/>
      <c r="EIW226" s="38"/>
      <c r="EIX226" s="39"/>
      <c r="EIY226" s="34"/>
      <c r="EIZ226" s="34"/>
      <c r="EJA226" s="34"/>
      <c r="EJB226" s="35"/>
      <c r="EJC226" s="35"/>
      <c r="EJD226" s="35"/>
      <c r="EJE226" s="35"/>
      <c r="EJF226" s="35"/>
      <c r="EJG226" s="34"/>
      <c r="EJH226" s="34"/>
      <c r="EJI226" s="36"/>
      <c r="EJJ226" s="36"/>
      <c r="EJK226" s="37"/>
      <c r="EJL226" s="37"/>
      <c r="EJM226" s="38"/>
      <c r="EJN226" s="38"/>
      <c r="EJO226" s="39"/>
      <c r="EJP226" s="34"/>
      <c r="EJQ226" s="34"/>
      <c r="EJR226" s="34"/>
      <c r="EJS226" s="35"/>
      <c r="EJT226" s="35"/>
      <c r="EJU226" s="35"/>
      <c r="EJV226" s="35"/>
      <c r="EJW226" s="35"/>
      <c r="EJX226" s="34"/>
      <c r="EJY226" s="34"/>
      <c r="EJZ226" s="36"/>
      <c r="EKA226" s="36"/>
      <c r="EKB226" s="37"/>
      <c r="EKC226" s="37"/>
      <c r="EKD226" s="38"/>
      <c r="EKE226" s="38"/>
      <c r="EKF226" s="39"/>
      <c r="EKG226" s="34"/>
      <c r="EKH226" s="34"/>
      <c r="EKI226" s="34"/>
      <c r="EKJ226" s="35"/>
      <c r="EKK226" s="35"/>
      <c r="EKL226" s="35"/>
      <c r="EKM226" s="35"/>
      <c r="EKN226" s="35"/>
      <c r="EKO226" s="34"/>
      <c r="EKP226" s="34"/>
      <c r="EKQ226" s="36"/>
      <c r="EKR226" s="36"/>
      <c r="EKS226" s="37"/>
      <c r="EKT226" s="37"/>
      <c r="EKU226" s="38"/>
      <c r="EKV226" s="38"/>
      <c r="EKW226" s="39"/>
      <c r="EKX226" s="34"/>
      <c r="EKY226" s="34"/>
      <c r="EKZ226" s="34"/>
      <c r="ELA226" s="35"/>
      <c r="ELB226" s="35"/>
      <c r="ELC226" s="35"/>
      <c r="ELD226" s="35"/>
      <c r="ELE226" s="35"/>
      <c r="ELF226" s="34"/>
      <c r="ELG226" s="34"/>
      <c r="ELH226" s="36"/>
      <c r="ELI226" s="36"/>
      <c r="ELJ226" s="37"/>
      <c r="ELK226" s="37"/>
      <c r="ELL226" s="38"/>
      <c r="ELM226" s="38"/>
      <c r="ELN226" s="39"/>
      <c r="ELO226" s="34"/>
      <c r="ELP226" s="34"/>
      <c r="ELQ226" s="34"/>
      <c r="ELR226" s="35"/>
      <c r="ELS226" s="35"/>
      <c r="ELT226" s="35"/>
      <c r="ELU226" s="35"/>
      <c r="ELV226" s="35"/>
      <c r="ELW226" s="34"/>
      <c r="ELX226" s="34"/>
      <c r="ELY226" s="36"/>
      <c r="ELZ226" s="36"/>
      <c r="EMA226" s="37"/>
      <c r="EMB226" s="37"/>
      <c r="EMC226" s="38"/>
      <c r="EMD226" s="38"/>
      <c r="EME226" s="39"/>
      <c r="EMF226" s="34"/>
      <c r="EMG226" s="34"/>
      <c r="EMH226" s="34"/>
      <c r="EMI226" s="35"/>
      <c r="EMJ226" s="35"/>
      <c r="EMK226" s="35"/>
      <c r="EML226" s="35"/>
      <c r="EMM226" s="35"/>
      <c r="EMN226" s="34"/>
      <c r="EMO226" s="34"/>
      <c r="EMP226" s="36"/>
      <c r="EMQ226" s="36"/>
      <c r="EMR226" s="37"/>
      <c r="EMS226" s="37"/>
      <c r="EMT226" s="38"/>
      <c r="EMU226" s="38"/>
      <c r="EMV226" s="39"/>
      <c r="EMW226" s="34"/>
      <c r="EMX226" s="34"/>
      <c r="EMY226" s="34"/>
      <c r="EMZ226" s="35"/>
      <c r="ENA226" s="35"/>
      <c r="ENB226" s="35"/>
      <c r="ENC226" s="35"/>
      <c r="END226" s="35"/>
      <c r="ENE226" s="34"/>
      <c r="ENF226" s="34"/>
      <c r="ENG226" s="36"/>
      <c r="ENH226" s="36"/>
      <c r="ENI226" s="37"/>
      <c r="ENJ226" s="37"/>
      <c r="ENK226" s="38"/>
      <c r="ENL226" s="38"/>
      <c r="ENM226" s="39"/>
      <c r="ENN226" s="34"/>
      <c r="ENO226" s="34"/>
      <c r="ENP226" s="34"/>
      <c r="ENQ226" s="35"/>
      <c r="ENR226" s="35"/>
      <c r="ENS226" s="35"/>
      <c r="ENT226" s="35"/>
      <c r="ENU226" s="35"/>
      <c r="ENV226" s="34"/>
      <c r="ENW226" s="34"/>
      <c r="ENX226" s="36"/>
      <c r="ENY226" s="36"/>
      <c r="ENZ226" s="37"/>
      <c r="EOA226" s="37"/>
      <c r="EOB226" s="38"/>
      <c r="EOC226" s="38"/>
      <c r="EOD226" s="39"/>
      <c r="EOE226" s="34"/>
      <c r="EOF226" s="34"/>
      <c r="EOG226" s="34"/>
      <c r="EOH226" s="35"/>
      <c r="EOI226" s="35"/>
      <c r="EOJ226" s="35"/>
      <c r="EOK226" s="35"/>
      <c r="EOL226" s="35"/>
      <c r="EOM226" s="34"/>
      <c r="EON226" s="34"/>
      <c r="EOO226" s="36"/>
      <c r="EOP226" s="36"/>
      <c r="EOQ226" s="37"/>
      <c r="EOR226" s="37"/>
      <c r="EOS226" s="38"/>
      <c r="EOT226" s="38"/>
      <c r="EOU226" s="39"/>
      <c r="EOV226" s="34"/>
      <c r="EOW226" s="34"/>
      <c r="EOX226" s="34"/>
      <c r="EOY226" s="35"/>
      <c r="EOZ226" s="35"/>
      <c r="EPA226" s="35"/>
      <c r="EPB226" s="35"/>
      <c r="EPC226" s="35"/>
      <c r="EPD226" s="34"/>
      <c r="EPE226" s="34"/>
      <c r="EPF226" s="36"/>
      <c r="EPG226" s="36"/>
      <c r="EPH226" s="37"/>
      <c r="EPI226" s="37"/>
      <c r="EPJ226" s="38"/>
      <c r="EPK226" s="38"/>
      <c r="EPL226" s="39"/>
      <c r="EPM226" s="34"/>
      <c r="EPN226" s="34"/>
      <c r="EPO226" s="34"/>
      <c r="EPP226" s="35"/>
      <c r="EPQ226" s="35"/>
      <c r="EPR226" s="35"/>
      <c r="EPS226" s="35"/>
      <c r="EPT226" s="35"/>
      <c r="EPU226" s="34"/>
      <c r="EPV226" s="34"/>
      <c r="EPW226" s="36"/>
      <c r="EPX226" s="36"/>
      <c r="EPY226" s="37"/>
      <c r="EPZ226" s="37"/>
      <c r="EQA226" s="38"/>
      <c r="EQB226" s="38"/>
      <c r="EQC226" s="39"/>
      <c r="EQD226" s="34"/>
      <c r="EQE226" s="34"/>
      <c r="EQF226" s="34"/>
      <c r="EQG226" s="35"/>
      <c r="EQH226" s="35"/>
      <c r="EQI226" s="35"/>
      <c r="EQJ226" s="35"/>
      <c r="EQK226" s="35"/>
      <c r="EQL226" s="34"/>
      <c r="EQM226" s="34"/>
      <c r="EQN226" s="36"/>
      <c r="EQO226" s="36"/>
      <c r="EQP226" s="37"/>
      <c r="EQQ226" s="37"/>
      <c r="EQR226" s="38"/>
      <c r="EQS226" s="38"/>
      <c r="EQT226" s="39"/>
      <c r="EQU226" s="34"/>
      <c r="EQV226" s="34"/>
      <c r="EQW226" s="34"/>
      <c r="EQX226" s="35"/>
      <c r="EQY226" s="35"/>
      <c r="EQZ226" s="35"/>
      <c r="ERA226" s="35"/>
      <c r="ERB226" s="35"/>
      <c r="ERC226" s="34"/>
      <c r="ERD226" s="34"/>
      <c r="ERE226" s="36"/>
      <c r="ERF226" s="36"/>
      <c r="ERG226" s="37"/>
      <c r="ERH226" s="37"/>
      <c r="ERI226" s="38"/>
      <c r="ERJ226" s="38"/>
      <c r="ERK226" s="39"/>
      <c r="ERL226" s="34"/>
      <c r="ERM226" s="34"/>
      <c r="ERN226" s="34"/>
      <c r="ERO226" s="35"/>
      <c r="ERP226" s="35"/>
      <c r="ERQ226" s="35"/>
      <c r="ERR226" s="35"/>
      <c r="ERS226" s="35"/>
      <c r="ERT226" s="34"/>
      <c r="ERU226" s="34"/>
      <c r="ERV226" s="36"/>
      <c r="ERW226" s="36"/>
      <c r="ERX226" s="37"/>
      <c r="ERY226" s="37"/>
      <c r="ERZ226" s="38"/>
      <c r="ESA226" s="38"/>
      <c r="ESB226" s="39"/>
      <c r="ESC226" s="34"/>
      <c r="ESD226" s="34"/>
      <c r="ESE226" s="34"/>
      <c r="ESF226" s="35"/>
      <c r="ESG226" s="35"/>
      <c r="ESH226" s="35"/>
      <c r="ESI226" s="35"/>
      <c r="ESJ226" s="35"/>
      <c r="ESK226" s="34"/>
      <c r="ESL226" s="34"/>
      <c r="ESM226" s="36"/>
      <c r="ESN226" s="36"/>
      <c r="ESO226" s="37"/>
      <c r="ESP226" s="37"/>
      <c r="ESQ226" s="38"/>
      <c r="ESR226" s="38"/>
      <c r="ESS226" s="39"/>
      <c r="EST226" s="34"/>
      <c r="ESU226" s="34"/>
      <c r="ESV226" s="34"/>
      <c r="ESW226" s="35"/>
      <c r="ESX226" s="35"/>
      <c r="ESY226" s="35"/>
      <c r="ESZ226" s="35"/>
      <c r="ETA226" s="35"/>
      <c r="ETB226" s="34"/>
      <c r="ETC226" s="34"/>
      <c r="ETD226" s="36"/>
      <c r="ETE226" s="36"/>
      <c r="ETF226" s="37"/>
      <c r="ETG226" s="37"/>
      <c r="ETH226" s="38"/>
      <c r="ETI226" s="38"/>
      <c r="ETJ226" s="39"/>
      <c r="ETK226" s="34"/>
      <c r="ETL226" s="34"/>
      <c r="ETM226" s="34"/>
      <c r="ETN226" s="35"/>
      <c r="ETO226" s="35"/>
      <c r="ETP226" s="35"/>
      <c r="ETQ226" s="35"/>
      <c r="ETR226" s="35"/>
      <c r="ETS226" s="34"/>
      <c r="ETT226" s="34"/>
      <c r="ETU226" s="36"/>
      <c r="ETV226" s="36"/>
      <c r="ETW226" s="37"/>
      <c r="ETX226" s="37"/>
      <c r="ETY226" s="38"/>
      <c r="ETZ226" s="38"/>
      <c r="EUA226" s="39"/>
      <c r="EUB226" s="34"/>
      <c r="EUC226" s="34"/>
      <c r="EUD226" s="34"/>
      <c r="EUE226" s="35"/>
      <c r="EUF226" s="35"/>
      <c r="EUG226" s="35"/>
      <c r="EUH226" s="35"/>
      <c r="EUI226" s="35"/>
      <c r="EUJ226" s="34"/>
      <c r="EUK226" s="34"/>
      <c r="EUL226" s="36"/>
      <c r="EUM226" s="36"/>
      <c r="EUN226" s="37"/>
      <c r="EUO226" s="37"/>
      <c r="EUP226" s="38"/>
      <c r="EUQ226" s="38"/>
      <c r="EUR226" s="39"/>
      <c r="EUS226" s="34"/>
      <c r="EUT226" s="34"/>
      <c r="EUU226" s="34"/>
      <c r="EUV226" s="35"/>
      <c r="EUW226" s="35"/>
      <c r="EUX226" s="35"/>
      <c r="EUY226" s="35"/>
      <c r="EUZ226" s="35"/>
      <c r="EVA226" s="34"/>
      <c r="EVB226" s="34"/>
      <c r="EVC226" s="36"/>
      <c r="EVD226" s="36"/>
      <c r="EVE226" s="37"/>
      <c r="EVF226" s="37"/>
      <c r="EVG226" s="38"/>
      <c r="EVH226" s="38"/>
      <c r="EVI226" s="39"/>
      <c r="EVJ226" s="34"/>
      <c r="EVK226" s="34"/>
      <c r="EVL226" s="34"/>
      <c r="EVM226" s="35"/>
      <c r="EVN226" s="35"/>
      <c r="EVO226" s="35"/>
      <c r="EVP226" s="35"/>
      <c r="EVQ226" s="35"/>
      <c r="EVR226" s="34"/>
      <c r="EVS226" s="34"/>
      <c r="EVT226" s="36"/>
      <c r="EVU226" s="36"/>
      <c r="EVV226" s="37"/>
      <c r="EVW226" s="37"/>
      <c r="EVX226" s="38"/>
      <c r="EVY226" s="38"/>
      <c r="EVZ226" s="39"/>
      <c r="EWA226" s="34"/>
      <c r="EWB226" s="34"/>
      <c r="EWC226" s="34"/>
      <c r="EWD226" s="35"/>
      <c r="EWE226" s="35"/>
      <c r="EWF226" s="35"/>
      <c r="EWG226" s="35"/>
      <c r="EWH226" s="35"/>
      <c r="EWI226" s="34"/>
      <c r="EWJ226" s="34"/>
      <c r="EWK226" s="36"/>
      <c r="EWL226" s="36"/>
      <c r="EWM226" s="37"/>
      <c r="EWN226" s="37"/>
      <c r="EWO226" s="38"/>
      <c r="EWP226" s="38"/>
      <c r="EWQ226" s="39"/>
      <c r="EWR226" s="34"/>
      <c r="EWS226" s="34"/>
      <c r="EWT226" s="34"/>
      <c r="EWU226" s="35"/>
      <c r="EWV226" s="35"/>
      <c r="EWW226" s="35"/>
      <c r="EWX226" s="35"/>
      <c r="EWY226" s="35"/>
      <c r="EWZ226" s="34"/>
      <c r="EXA226" s="34"/>
      <c r="EXB226" s="36"/>
      <c r="EXC226" s="36"/>
      <c r="EXD226" s="37"/>
      <c r="EXE226" s="37"/>
      <c r="EXF226" s="38"/>
      <c r="EXG226" s="38"/>
      <c r="EXH226" s="39"/>
      <c r="EXI226" s="34"/>
      <c r="EXJ226" s="34"/>
      <c r="EXK226" s="34"/>
      <c r="EXL226" s="35"/>
      <c r="EXM226" s="35"/>
      <c r="EXN226" s="35"/>
      <c r="EXO226" s="35"/>
      <c r="EXP226" s="35"/>
      <c r="EXQ226" s="34"/>
      <c r="EXR226" s="34"/>
      <c r="EXS226" s="36"/>
      <c r="EXT226" s="36"/>
      <c r="EXU226" s="37"/>
      <c r="EXV226" s="37"/>
      <c r="EXW226" s="38"/>
      <c r="EXX226" s="38"/>
      <c r="EXY226" s="39"/>
      <c r="EXZ226" s="34"/>
      <c r="EYA226" s="34"/>
      <c r="EYB226" s="34"/>
      <c r="EYC226" s="35"/>
      <c r="EYD226" s="35"/>
      <c r="EYE226" s="35"/>
      <c r="EYF226" s="35"/>
      <c r="EYG226" s="35"/>
      <c r="EYH226" s="34"/>
      <c r="EYI226" s="34"/>
      <c r="EYJ226" s="36"/>
      <c r="EYK226" s="36"/>
      <c r="EYL226" s="37"/>
      <c r="EYM226" s="37"/>
      <c r="EYN226" s="38"/>
      <c r="EYO226" s="38"/>
      <c r="EYP226" s="39"/>
      <c r="EYQ226" s="34"/>
      <c r="EYR226" s="34"/>
      <c r="EYS226" s="34"/>
      <c r="EYT226" s="35"/>
      <c r="EYU226" s="35"/>
      <c r="EYV226" s="35"/>
      <c r="EYW226" s="35"/>
      <c r="EYX226" s="35"/>
      <c r="EYY226" s="34"/>
      <c r="EYZ226" s="34"/>
      <c r="EZA226" s="36"/>
      <c r="EZB226" s="36"/>
      <c r="EZC226" s="37"/>
      <c r="EZD226" s="37"/>
      <c r="EZE226" s="38"/>
      <c r="EZF226" s="38"/>
      <c r="EZG226" s="39"/>
      <c r="EZH226" s="34"/>
      <c r="EZI226" s="34"/>
      <c r="EZJ226" s="34"/>
      <c r="EZK226" s="35"/>
      <c r="EZL226" s="35"/>
      <c r="EZM226" s="35"/>
      <c r="EZN226" s="35"/>
      <c r="EZO226" s="35"/>
      <c r="EZP226" s="34"/>
      <c r="EZQ226" s="34"/>
      <c r="EZR226" s="36"/>
      <c r="EZS226" s="36"/>
      <c r="EZT226" s="37"/>
      <c r="EZU226" s="37"/>
      <c r="EZV226" s="38"/>
      <c r="EZW226" s="38"/>
      <c r="EZX226" s="39"/>
      <c r="EZY226" s="34"/>
      <c r="EZZ226" s="34"/>
      <c r="FAA226" s="34"/>
      <c r="FAB226" s="35"/>
      <c r="FAC226" s="35"/>
      <c r="FAD226" s="35"/>
      <c r="FAE226" s="35"/>
      <c r="FAF226" s="35"/>
      <c r="FAG226" s="34"/>
      <c r="FAH226" s="34"/>
      <c r="FAI226" s="36"/>
      <c r="FAJ226" s="36"/>
      <c r="FAK226" s="37"/>
      <c r="FAL226" s="37"/>
      <c r="FAM226" s="38"/>
      <c r="FAN226" s="38"/>
      <c r="FAO226" s="39"/>
      <c r="FAP226" s="34"/>
      <c r="FAQ226" s="34"/>
      <c r="FAR226" s="34"/>
      <c r="FAS226" s="35"/>
      <c r="FAT226" s="35"/>
      <c r="FAU226" s="35"/>
      <c r="FAV226" s="35"/>
      <c r="FAW226" s="35"/>
      <c r="FAX226" s="34"/>
      <c r="FAY226" s="34"/>
      <c r="FAZ226" s="36"/>
      <c r="FBA226" s="36"/>
      <c r="FBB226" s="37"/>
      <c r="FBC226" s="37"/>
      <c r="FBD226" s="38"/>
      <c r="FBE226" s="38"/>
      <c r="FBF226" s="39"/>
      <c r="FBG226" s="34"/>
      <c r="FBH226" s="34"/>
      <c r="FBI226" s="34"/>
      <c r="FBJ226" s="35"/>
      <c r="FBK226" s="35"/>
      <c r="FBL226" s="35"/>
      <c r="FBM226" s="35"/>
      <c r="FBN226" s="35"/>
      <c r="FBO226" s="34"/>
      <c r="FBP226" s="34"/>
      <c r="FBQ226" s="36"/>
      <c r="FBR226" s="36"/>
      <c r="FBS226" s="37"/>
      <c r="FBT226" s="37"/>
      <c r="FBU226" s="38"/>
      <c r="FBV226" s="38"/>
      <c r="FBW226" s="39"/>
      <c r="FBX226" s="34"/>
      <c r="FBY226" s="34"/>
      <c r="FBZ226" s="34"/>
      <c r="FCA226" s="35"/>
      <c r="FCB226" s="35"/>
      <c r="FCC226" s="35"/>
      <c r="FCD226" s="35"/>
      <c r="FCE226" s="35"/>
      <c r="FCF226" s="34"/>
      <c r="FCG226" s="34"/>
      <c r="FCH226" s="36"/>
      <c r="FCI226" s="36"/>
      <c r="FCJ226" s="37"/>
      <c r="FCK226" s="37"/>
      <c r="FCL226" s="38"/>
      <c r="FCM226" s="38"/>
      <c r="FCN226" s="39"/>
      <c r="FCO226" s="34"/>
      <c r="FCP226" s="34"/>
      <c r="FCQ226" s="34"/>
      <c r="FCR226" s="35"/>
      <c r="FCS226" s="35"/>
      <c r="FCT226" s="35"/>
      <c r="FCU226" s="35"/>
      <c r="FCV226" s="35"/>
      <c r="FCW226" s="34"/>
      <c r="FCX226" s="34"/>
      <c r="FCY226" s="36"/>
      <c r="FCZ226" s="36"/>
      <c r="FDA226" s="37"/>
      <c r="FDB226" s="37"/>
      <c r="FDC226" s="38"/>
      <c r="FDD226" s="38"/>
      <c r="FDE226" s="39"/>
      <c r="FDF226" s="34"/>
      <c r="FDG226" s="34"/>
      <c r="FDH226" s="34"/>
      <c r="FDI226" s="35"/>
      <c r="FDJ226" s="35"/>
      <c r="FDK226" s="35"/>
      <c r="FDL226" s="35"/>
      <c r="FDM226" s="35"/>
      <c r="FDN226" s="34"/>
      <c r="FDO226" s="34"/>
      <c r="FDP226" s="36"/>
      <c r="FDQ226" s="36"/>
      <c r="FDR226" s="37"/>
      <c r="FDS226" s="37"/>
      <c r="FDT226" s="38"/>
      <c r="FDU226" s="38"/>
      <c r="FDV226" s="39"/>
      <c r="FDW226" s="34"/>
      <c r="FDX226" s="34"/>
      <c r="FDY226" s="34"/>
      <c r="FDZ226" s="35"/>
      <c r="FEA226" s="35"/>
      <c r="FEB226" s="35"/>
      <c r="FEC226" s="35"/>
      <c r="FED226" s="35"/>
      <c r="FEE226" s="34"/>
      <c r="FEF226" s="34"/>
      <c r="FEG226" s="36"/>
      <c r="FEH226" s="36"/>
      <c r="FEI226" s="37"/>
      <c r="FEJ226" s="37"/>
      <c r="FEK226" s="38"/>
      <c r="FEL226" s="38"/>
      <c r="FEM226" s="39"/>
      <c r="FEN226" s="34"/>
      <c r="FEO226" s="34"/>
      <c r="FEP226" s="34"/>
      <c r="FEQ226" s="35"/>
      <c r="FER226" s="35"/>
      <c r="FES226" s="35"/>
      <c r="FET226" s="35"/>
      <c r="FEU226" s="35"/>
      <c r="FEV226" s="34"/>
      <c r="FEW226" s="34"/>
      <c r="FEX226" s="36"/>
      <c r="FEY226" s="36"/>
      <c r="FEZ226" s="37"/>
      <c r="FFA226" s="37"/>
      <c r="FFB226" s="38"/>
      <c r="FFC226" s="38"/>
      <c r="FFD226" s="39"/>
      <c r="FFE226" s="34"/>
      <c r="FFF226" s="34"/>
      <c r="FFG226" s="34"/>
      <c r="FFH226" s="35"/>
      <c r="FFI226" s="35"/>
      <c r="FFJ226" s="35"/>
      <c r="FFK226" s="35"/>
      <c r="FFL226" s="35"/>
      <c r="FFM226" s="34"/>
      <c r="FFN226" s="34"/>
      <c r="FFO226" s="36"/>
      <c r="FFP226" s="36"/>
      <c r="FFQ226" s="37"/>
      <c r="FFR226" s="37"/>
      <c r="FFS226" s="38"/>
      <c r="FFT226" s="38"/>
      <c r="FFU226" s="39"/>
      <c r="FFV226" s="34"/>
      <c r="FFW226" s="34"/>
      <c r="FFX226" s="34"/>
      <c r="FFY226" s="35"/>
      <c r="FFZ226" s="35"/>
      <c r="FGA226" s="35"/>
      <c r="FGB226" s="35"/>
      <c r="FGC226" s="35"/>
      <c r="FGD226" s="34"/>
      <c r="FGE226" s="34"/>
      <c r="FGF226" s="36"/>
      <c r="FGG226" s="36"/>
      <c r="FGH226" s="37"/>
      <c r="FGI226" s="37"/>
      <c r="FGJ226" s="38"/>
      <c r="FGK226" s="38"/>
      <c r="FGL226" s="39"/>
      <c r="FGM226" s="34"/>
      <c r="FGN226" s="34"/>
      <c r="FGO226" s="34"/>
      <c r="FGP226" s="35"/>
      <c r="FGQ226" s="35"/>
      <c r="FGR226" s="35"/>
      <c r="FGS226" s="35"/>
      <c r="FGT226" s="35"/>
      <c r="FGU226" s="34"/>
      <c r="FGV226" s="34"/>
      <c r="FGW226" s="36"/>
      <c r="FGX226" s="36"/>
      <c r="FGY226" s="37"/>
      <c r="FGZ226" s="37"/>
      <c r="FHA226" s="38"/>
      <c r="FHB226" s="38"/>
      <c r="FHC226" s="39"/>
      <c r="FHD226" s="34"/>
      <c r="FHE226" s="34"/>
      <c r="FHF226" s="34"/>
      <c r="FHG226" s="35"/>
      <c r="FHH226" s="35"/>
      <c r="FHI226" s="35"/>
      <c r="FHJ226" s="35"/>
      <c r="FHK226" s="35"/>
      <c r="FHL226" s="34"/>
      <c r="FHM226" s="34"/>
      <c r="FHN226" s="36"/>
      <c r="FHO226" s="36"/>
      <c r="FHP226" s="37"/>
      <c r="FHQ226" s="37"/>
      <c r="FHR226" s="38"/>
      <c r="FHS226" s="38"/>
      <c r="FHT226" s="39"/>
      <c r="FHU226" s="34"/>
      <c r="FHV226" s="34"/>
      <c r="FHW226" s="34"/>
      <c r="FHX226" s="35"/>
      <c r="FHY226" s="35"/>
      <c r="FHZ226" s="35"/>
      <c r="FIA226" s="35"/>
      <c r="FIB226" s="35"/>
      <c r="FIC226" s="34"/>
      <c r="FID226" s="34"/>
      <c r="FIE226" s="36"/>
      <c r="FIF226" s="36"/>
      <c r="FIG226" s="37"/>
      <c r="FIH226" s="37"/>
      <c r="FII226" s="38"/>
      <c r="FIJ226" s="38"/>
      <c r="FIK226" s="39"/>
      <c r="FIL226" s="34"/>
      <c r="FIM226" s="34"/>
      <c r="FIN226" s="34"/>
      <c r="FIO226" s="35"/>
      <c r="FIP226" s="35"/>
      <c r="FIQ226" s="35"/>
      <c r="FIR226" s="35"/>
      <c r="FIS226" s="35"/>
      <c r="FIT226" s="34"/>
      <c r="FIU226" s="34"/>
      <c r="FIV226" s="36"/>
      <c r="FIW226" s="36"/>
      <c r="FIX226" s="37"/>
      <c r="FIY226" s="37"/>
      <c r="FIZ226" s="38"/>
      <c r="FJA226" s="38"/>
      <c r="FJB226" s="39"/>
      <c r="FJC226" s="34"/>
      <c r="FJD226" s="34"/>
      <c r="FJE226" s="34"/>
      <c r="FJF226" s="35"/>
      <c r="FJG226" s="35"/>
      <c r="FJH226" s="35"/>
      <c r="FJI226" s="35"/>
      <c r="FJJ226" s="35"/>
      <c r="FJK226" s="34"/>
      <c r="FJL226" s="34"/>
      <c r="FJM226" s="36"/>
      <c r="FJN226" s="36"/>
      <c r="FJO226" s="37"/>
      <c r="FJP226" s="37"/>
      <c r="FJQ226" s="38"/>
      <c r="FJR226" s="38"/>
      <c r="FJS226" s="39"/>
      <c r="FJT226" s="34"/>
      <c r="FJU226" s="34"/>
      <c r="FJV226" s="34"/>
      <c r="FJW226" s="35"/>
      <c r="FJX226" s="35"/>
      <c r="FJY226" s="35"/>
      <c r="FJZ226" s="35"/>
      <c r="FKA226" s="35"/>
      <c r="FKB226" s="34"/>
      <c r="FKC226" s="34"/>
      <c r="FKD226" s="36"/>
      <c r="FKE226" s="36"/>
      <c r="FKF226" s="37"/>
      <c r="FKG226" s="37"/>
      <c r="FKH226" s="38"/>
      <c r="FKI226" s="38"/>
      <c r="FKJ226" s="39"/>
      <c r="FKK226" s="34"/>
      <c r="FKL226" s="34"/>
      <c r="FKM226" s="34"/>
      <c r="FKN226" s="35"/>
      <c r="FKO226" s="35"/>
      <c r="FKP226" s="35"/>
      <c r="FKQ226" s="35"/>
      <c r="FKR226" s="35"/>
      <c r="FKS226" s="34"/>
      <c r="FKT226" s="34"/>
      <c r="FKU226" s="36"/>
      <c r="FKV226" s="36"/>
      <c r="FKW226" s="37"/>
      <c r="FKX226" s="37"/>
      <c r="FKY226" s="38"/>
      <c r="FKZ226" s="38"/>
      <c r="FLA226" s="39"/>
      <c r="FLB226" s="34"/>
      <c r="FLC226" s="34"/>
      <c r="FLD226" s="34"/>
      <c r="FLE226" s="35"/>
      <c r="FLF226" s="35"/>
      <c r="FLG226" s="35"/>
      <c r="FLH226" s="35"/>
      <c r="FLI226" s="35"/>
      <c r="FLJ226" s="34"/>
      <c r="FLK226" s="34"/>
      <c r="FLL226" s="36"/>
      <c r="FLM226" s="36"/>
      <c r="FLN226" s="37"/>
      <c r="FLO226" s="37"/>
      <c r="FLP226" s="38"/>
      <c r="FLQ226" s="38"/>
      <c r="FLR226" s="39"/>
      <c r="FLS226" s="34"/>
      <c r="FLT226" s="34"/>
      <c r="FLU226" s="34"/>
      <c r="FLV226" s="35"/>
      <c r="FLW226" s="35"/>
      <c r="FLX226" s="35"/>
      <c r="FLY226" s="35"/>
      <c r="FLZ226" s="35"/>
      <c r="FMA226" s="34"/>
      <c r="FMB226" s="34"/>
      <c r="FMC226" s="36"/>
      <c r="FMD226" s="36"/>
      <c r="FME226" s="37"/>
      <c r="FMF226" s="37"/>
      <c r="FMG226" s="38"/>
      <c r="FMH226" s="38"/>
      <c r="FMI226" s="39"/>
      <c r="FMJ226" s="34"/>
      <c r="FMK226" s="34"/>
      <c r="FML226" s="34"/>
      <c r="FMM226" s="35"/>
      <c r="FMN226" s="35"/>
      <c r="FMO226" s="35"/>
      <c r="FMP226" s="35"/>
      <c r="FMQ226" s="35"/>
      <c r="FMR226" s="34"/>
      <c r="FMS226" s="34"/>
      <c r="FMT226" s="36"/>
      <c r="FMU226" s="36"/>
      <c r="FMV226" s="37"/>
      <c r="FMW226" s="37"/>
      <c r="FMX226" s="38"/>
      <c r="FMY226" s="38"/>
      <c r="FMZ226" s="39"/>
      <c r="FNA226" s="34"/>
      <c r="FNB226" s="34"/>
      <c r="FNC226" s="34"/>
      <c r="FND226" s="35"/>
      <c r="FNE226" s="35"/>
      <c r="FNF226" s="35"/>
      <c r="FNG226" s="35"/>
      <c r="FNH226" s="35"/>
      <c r="FNI226" s="34"/>
      <c r="FNJ226" s="34"/>
      <c r="FNK226" s="36"/>
      <c r="FNL226" s="36"/>
      <c r="FNM226" s="37"/>
      <c r="FNN226" s="37"/>
      <c r="FNO226" s="38"/>
      <c r="FNP226" s="38"/>
      <c r="FNQ226" s="39"/>
      <c r="FNR226" s="34"/>
      <c r="FNS226" s="34"/>
      <c r="FNT226" s="34"/>
      <c r="FNU226" s="35"/>
      <c r="FNV226" s="35"/>
      <c r="FNW226" s="35"/>
      <c r="FNX226" s="35"/>
      <c r="FNY226" s="35"/>
      <c r="FNZ226" s="34"/>
      <c r="FOA226" s="34"/>
      <c r="FOB226" s="36"/>
      <c r="FOC226" s="36"/>
      <c r="FOD226" s="37"/>
      <c r="FOE226" s="37"/>
      <c r="FOF226" s="38"/>
      <c r="FOG226" s="38"/>
      <c r="FOH226" s="39"/>
      <c r="FOI226" s="34"/>
      <c r="FOJ226" s="34"/>
      <c r="FOK226" s="34"/>
      <c r="FOL226" s="35"/>
      <c r="FOM226" s="35"/>
      <c r="FON226" s="35"/>
      <c r="FOO226" s="35"/>
      <c r="FOP226" s="35"/>
      <c r="FOQ226" s="34"/>
      <c r="FOR226" s="34"/>
      <c r="FOS226" s="36"/>
      <c r="FOT226" s="36"/>
      <c r="FOU226" s="37"/>
      <c r="FOV226" s="37"/>
      <c r="FOW226" s="38"/>
      <c r="FOX226" s="38"/>
      <c r="FOY226" s="39"/>
      <c r="FOZ226" s="34"/>
      <c r="FPA226" s="34"/>
      <c r="FPB226" s="34"/>
      <c r="FPC226" s="35"/>
      <c r="FPD226" s="35"/>
      <c r="FPE226" s="35"/>
      <c r="FPF226" s="35"/>
      <c r="FPG226" s="35"/>
      <c r="FPH226" s="34"/>
      <c r="FPI226" s="34"/>
      <c r="FPJ226" s="36"/>
      <c r="FPK226" s="36"/>
      <c r="FPL226" s="37"/>
      <c r="FPM226" s="37"/>
      <c r="FPN226" s="38"/>
      <c r="FPO226" s="38"/>
      <c r="FPP226" s="39"/>
      <c r="FPQ226" s="34"/>
      <c r="FPR226" s="34"/>
      <c r="FPS226" s="34"/>
      <c r="FPT226" s="35"/>
      <c r="FPU226" s="35"/>
      <c r="FPV226" s="35"/>
      <c r="FPW226" s="35"/>
      <c r="FPX226" s="35"/>
      <c r="FPY226" s="34"/>
      <c r="FPZ226" s="34"/>
      <c r="FQA226" s="36"/>
      <c r="FQB226" s="36"/>
      <c r="FQC226" s="37"/>
      <c r="FQD226" s="37"/>
      <c r="FQE226" s="38"/>
      <c r="FQF226" s="38"/>
      <c r="FQG226" s="39"/>
      <c r="FQH226" s="34"/>
      <c r="FQI226" s="34"/>
      <c r="FQJ226" s="34"/>
      <c r="FQK226" s="35"/>
      <c r="FQL226" s="35"/>
      <c r="FQM226" s="35"/>
      <c r="FQN226" s="35"/>
      <c r="FQO226" s="35"/>
      <c r="FQP226" s="34"/>
      <c r="FQQ226" s="34"/>
      <c r="FQR226" s="36"/>
      <c r="FQS226" s="36"/>
      <c r="FQT226" s="37"/>
      <c r="FQU226" s="37"/>
      <c r="FQV226" s="38"/>
      <c r="FQW226" s="38"/>
      <c r="FQX226" s="39"/>
      <c r="FQY226" s="34"/>
      <c r="FQZ226" s="34"/>
      <c r="FRA226" s="34"/>
      <c r="FRB226" s="35"/>
      <c r="FRC226" s="35"/>
      <c r="FRD226" s="35"/>
      <c r="FRE226" s="35"/>
      <c r="FRF226" s="35"/>
      <c r="FRG226" s="34"/>
      <c r="FRH226" s="34"/>
      <c r="FRI226" s="36"/>
      <c r="FRJ226" s="36"/>
      <c r="FRK226" s="37"/>
      <c r="FRL226" s="37"/>
      <c r="FRM226" s="38"/>
      <c r="FRN226" s="38"/>
      <c r="FRO226" s="39"/>
      <c r="FRP226" s="34"/>
      <c r="FRQ226" s="34"/>
      <c r="FRR226" s="34"/>
      <c r="FRS226" s="35"/>
      <c r="FRT226" s="35"/>
      <c r="FRU226" s="35"/>
      <c r="FRV226" s="35"/>
      <c r="FRW226" s="35"/>
      <c r="FRX226" s="34"/>
      <c r="FRY226" s="34"/>
      <c r="FRZ226" s="36"/>
      <c r="FSA226" s="36"/>
      <c r="FSB226" s="37"/>
      <c r="FSC226" s="37"/>
      <c r="FSD226" s="38"/>
      <c r="FSE226" s="38"/>
      <c r="FSF226" s="39"/>
      <c r="FSG226" s="34"/>
      <c r="FSH226" s="34"/>
      <c r="FSI226" s="34"/>
      <c r="FSJ226" s="35"/>
      <c r="FSK226" s="35"/>
      <c r="FSL226" s="35"/>
      <c r="FSM226" s="35"/>
      <c r="FSN226" s="35"/>
      <c r="FSO226" s="34"/>
      <c r="FSP226" s="34"/>
      <c r="FSQ226" s="36"/>
      <c r="FSR226" s="36"/>
      <c r="FSS226" s="37"/>
      <c r="FST226" s="37"/>
      <c r="FSU226" s="38"/>
      <c r="FSV226" s="38"/>
      <c r="FSW226" s="39"/>
      <c r="FSX226" s="34"/>
      <c r="FSY226" s="34"/>
      <c r="FSZ226" s="34"/>
      <c r="FTA226" s="35"/>
      <c r="FTB226" s="35"/>
      <c r="FTC226" s="35"/>
      <c r="FTD226" s="35"/>
      <c r="FTE226" s="35"/>
      <c r="FTF226" s="34"/>
      <c r="FTG226" s="34"/>
      <c r="FTH226" s="36"/>
      <c r="FTI226" s="36"/>
      <c r="FTJ226" s="37"/>
      <c r="FTK226" s="37"/>
      <c r="FTL226" s="38"/>
      <c r="FTM226" s="38"/>
      <c r="FTN226" s="39"/>
      <c r="FTO226" s="34"/>
      <c r="FTP226" s="34"/>
      <c r="FTQ226" s="34"/>
      <c r="FTR226" s="35"/>
      <c r="FTS226" s="35"/>
      <c r="FTT226" s="35"/>
      <c r="FTU226" s="35"/>
      <c r="FTV226" s="35"/>
      <c r="FTW226" s="34"/>
      <c r="FTX226" s="34"/>
      <c r="FTY226" s="36"/>
      <c r="FTZ226" s="36"/>
      <c r="FUA226" s="37"/>
      <c r="FUB226" s="37"/>
      <c r="FUC226" s="38"/>
      <c r="FUD226" s="38"/>
      <c r="FUE226" s="39"/>
      <c r="FUF226" s="34"/>
      <c r="FUG226" s="34"/>
      <c r="FUH226" s="34"/>
      <c r="FUI226" s="35"/>
      <c r="FUJ226" s="35"/>
      <c r="FUK226" s="35"/>
      <c r="FUL226" s="35"/>
      <c r="FUM226" s="35"/>
      <c r="FUN226" s="34"/>
      <c r="FUO226" s="34"/>
      <c r="FUP226" s="36"/>
      <c r="FUQ226" s="36"/>
      <c r="FUR226" s="37"/>
      <c r="FUS226" s="37"/>
      <c r="FUT226" s="38"/>
      <c r="FUU226" s="38"/>
      <c r="FUV226" s="39"/>
      <c r="FUW226" s="34"/>
      <c r="FUX226" s="34"/>
      <c r="FUY226" s="34"/>
      <c r="FUZ226" s="35"/>
      <c r="FVA226" s="35"/>
      <c r="FVB226" s="35"/>
      <c r="FVC226" s="35"/>
      <c r="FVD226" s="35"/>
      <c r="FVE226" s="34"/>
      <c r="FVF226" s="34"/>
      <c r="FVG226" s="36"/>
      <c r="FVH226" s="36"/>
      <c r="FVI226" s="37"/>
      <c r="FVJ226" s="37"/>
      <c r="FVK226" s="38"/>
      <c r="FVL226" s="38"/>
      <c r="FVM226" s="39"/>
      <c r="FVN226" s="34"/>
      <c r="FVO226" s="34"/>
      <c r="FVP226" s="34"/>
      <c r="FVQ226" s="35"/>
      <c r="FVR226" s="35"/>
      <c r="FVS226" s="35"/>
      <c r="FVT226" s="35"/>
      <c r="FVU226" s="35"/>
      <c r="FVV226" s="34"/>
      <c r="FVW226" s="34"/>
      <c r="FVX226" s="36"/>
      <c r="FVY226" s="36"/>
      <c r="FVZ226" s="37"/>
      <c r="FWA226" s="37"/>
      <c r="FWB226" s="38"/>
      <c r="FWC226" s="38"/>
      <c r="FWD226" s="39"/>
      <c r="FWE226" s="34"/>
      <c r="FWF226" s="34"/>
      <c r="FWG226" s="34"/>
      <c r="FWH226" s="35"/>
      <c r="FWI226" s="35"/>
      <c r="FWJ226" s="35"/>
      <c r="FWK226" s="35"/>
      <c r="FWL226" s="35"/>
      <c r="FWM226" s="34"/>
      <c r="FWN226" s="34"/>
      <c r="FWO226" s="36"/>
      <c r="FWP226" s="36"/>
      <c r="FWQ226" s="37"/>
      <c r="FWR226" s="37"/>
      <c r="FWS226" s="38"/>
      <c r="FWT226" s="38"/>
      <c r="FWU226" s="39"/>
      <c r="FWV226" s="34"/>
      <c r="FWW226" s="34"/>
      <c r="FWX226" s="34"/>
      <c r="FWY226" s="35"/>
      <c r="FWZ226" s="35"/>
      <c r="FXA226" s="35"/>
      <c r="FXB226" s="35"/>
      <c r="FXC226" s="35"/>
      <c r="FXD226" s="34"/>
      <c r="FXE226" s="34"/>
      <c r="FXF226" s="36"/>
      <c r="FXG226" s="36"/>
      <c r="FXH226" s="37"/>
      <c r="FXI226" s="37"/>
      <c r="FXJ226" s="38"/>
      <c r="FXK226" s="38"/>
      <c r="FXL226" s="39"/>
      <c r="FXM226" s="34"/>
      <c r="FXN226" s="34"/>
      <c r="FXO226" s="34"/>
      <c r="FXP226" s="35"/>
      <c r="FXQ226" s="35"/>
      <c r="FXR226" s="35"/>
      <c r="FXS226" s="35"/>
      <c r="FXT226" s="35"/>
      <c r="FXU226" s="34"/>
      <c r="FXV226" s="34"/>
      <c r="FXW226" s="36"/>
      <c r="FXX226" s="36"/>
      <c r="FXY226" s="37"/>
      <c r="FXZ226" s="37"/>
      <c r="FYA226" s="38"/>
      <c r="FYB226" s="38"/>
      <c r="FYC226" s="39"/>
      <c r="FYD226" s="34"/>
      <c r="FYE226" s="34"/>
      <c r="FYF226" s="34"/>
      <c r="FYG226" s="35"/>
      <c r="FYH226" s="35"/>
      <c r="FYI226" s="35"/>
      <c r="FYJ226" s="35"/>
      <c r="FYK226" s="35"/>
      <c r="FYL226" s="34"/>
      <c r="FYM226" s="34"/>
      <c r="FYN226" s="36"/>
      <c r="FYO226" s="36"/>
      <c r="FYP226" s="37"/>
      <c r="FYQ226" s="37"/>
      <c r="FYR226" s="38"/>
      <c r="FYS226" s="38"/>
      <c r="FYT226" s="39"/>
      <c r="FYU226" s="34"/>
      <c r="FYV226" s="34"/>
      <c r="FYW226" s="34"/>
      <c r="FYX226" s="35"/>
      <c r="FYY226" s="35"/>
      <c r="FYZ226" s="35"/>
      <c r="FZA226" s="35"/>
      <c r="FZB226" s="35"/>
      <c r="FZC226" s="34"/>
      <c r="FZD226" s="34"/>
      <c r="FZE226" s="36"/>
      <c r="FZF226" s="36"/>
      <c r="FZG226" s="37"/>
      <c r="FZH226" s="37"/>
      <c r="FZI226" s="38"/>
      <c r="FZJ226" s="38"/>
      <c r="FZK226" s="39"/>
      <c r="FZL226" s="34"/>
      <c r="FZM226" s="34"/>
      <c r="FZN226" s="34"/>
      <c r="FZO226" s="35"/>
      <c r="FZP226" s="35"/>
      <c r="FZQ226" s="35"/>
      <c r="FZR226" s="35"/>
      <c r="FZS226" s="35"/>
      <c r="FZT226" s="34"/>
      <c r="FZU226" s="34"/>
      <c r="FZV226" s="36"/>
      <c r="FZW226" s="36"/>
      <c r="FZX226" s="37"/>
      <c r="FZY226" s="37"/>
      <c r="FZZ226" s="38"/>
      <c r="GAA226" s="38"/>
      <c r="GAB226" s="39"/>
      <c r="GAC226" s="34"/>
      <c r="GAD226" s="34"/>
      <c r="GAE226" s="34"/>
      <c r="GAF226" s="35"/>
      <c r="GAG226" s="35"/>
      <c r="GAH226" s="35"/>
      <c r="GAI226" s="35"/>
      <c r="GAJ226" s="35"/>
      <c r="GAK226" s="34"/>
      <c r="GAL226" s="34"/>
      <c r="GAM226" s="36"/>
      <c r="GAN226" s="36"/>
      <c r="GAO226" s="37"/>
      <c r="GAP226" s="37"/>
      <c r="GAQ226" s="38"/>
      <c r="GAR226" s="38"/>
      <c r="GAS226" s="39"/>
      <c r="GAT226" s="34"/>
      <c r="GAU226" s="34"/>
      <c r="GAV226" s="34"/>
      <c r="GAW226" s="35"/>
      <c r="GAX226" s="35"/>
      <c r="GAY226" s="35"/>
      <c r="GAZ226" s="35"/>
      <c r="GBA226" s="35"/>
      <c r="GBB226" s="34"/>
      <c r="GBC226" s="34"/>
      <c r="GBD226" s="36"/>
      <c r="GBE226" s="36"/>
      <c r="GBF226" s="37"/>
      <c r="GBG226" s="37"/>
      <c r="GBH226" s="38"/>
      <c r="GBI226" s="38"/>
      <c r="GBJ226" s="39"/>
      <c r="GBK226" s="34"/>
      <c r="GBL226" s="34"/>
      <c r="GBM226" s="34"/>
      <c r="GBN226" s="35"/>
      <c r="GBO226" s="35"/>
      <c r="GBP226" s="35"/>
      <c r="GBQ226" s="35"/>
      <c r="GBR226" s="35"/>
      <c r="GBS226" s="34"/>
      <c r="GBT226" s="34"/>
      <c r="GBU226" s="36"/>
      <c r="GBV226" s="36"/>
      <c r="GBW226" s="37"/>
      <c r="GBX226" s="37"/>
      <c r="GBY226" s="38"/>
      <c r="GBZ226" s="38"/>
      <c r="GCA226" s="39"/>
      <c r="GCB226" s="34"/>
      <c r="GCC226" s="34"/>
      <c r="GCD226" s="34"/>
      <c r="GCE226" s="35"/>
      <c r="GCF226" s="35"/>
      <c r="GCG226" s="35"/>
      <c r="GCH226" s="35"/>
      <c r="GCI226" s="35"/>
      <c r="GCJ226" s="34"/>
      <c r="GCK226" s="34"/>
      <c r="GCL226" s="36"/>
      <c r="GCM226" s="36"/>
      <c r="GCN226" s="37"/>
      <c r="GCO226" s="37"/>
      <c r="GCP226" s="38"/>
      <c r="GCQ226" s="38"/>
      <c r="GCR226" s="39"/>
      <c r="GCS226" s="34"/>
      <c r="GCT226" s="34"/>
      <c r="GCU226" s="34"/>
      <c r="GCV226" s="35"/>
      <c r="GCW226" s="35"/>
      <c r="GCX226" s="35"/>
      <c r="GCY226" s="35"/>
      <c r="GCZ226" s="35"/>
      <c r="GDA226" s="34"/>
      <c r="GDB226" s="34"/>
      <c r="GDC226" s="36"/>
      <c r="GDD226" s="36"/>
      <c r="GDE226" s="37"/>
      <c r="GDF226" s="37"/>
      <c r="GDG226" s="38"/>
      <c r="GDH226" s="38"/>
      <c r="GDI226" s="39"/>
      <c r="GDJ226" s="34"/>
      <c r="GDK226" s="34"/>
      <c r="GDL226" s="34"/>
      <c r="GDM226" s="35"/>
      <c r="GDN226" s="35"/>
      <c r="GDO226" s="35"/>
      <c r="GDP226" s="35"/>
      <c r="GDQ226" s="35"/>
      <c r="GDR226" s="34"/>
      <c r="GDS226" s="34"/>
      <c r="GDT226" s="36"/>
      <c r="GDU226" s="36"/>
      <c r="GDV226" s="37"/>
      <c r="GDW226" s="37"/>
      <c r="GDX226" s="38"/>
      <c r="GDY226" s="38"/>
      <c r="GDZ226" s="39"/>
      <c r="GEA226" s="34"/>
      <c r="GEB226" s="34"/>
      <c r="GEC226" s="34"/>
      <c r="GED226" s="35"/>
      <c r="GEE226" s="35"/>
      <c r="GEF226" s="35"/>
      <c r="GEG226" s="35"/>
      <c r="GEH226" s="35"/>
      <c r="GEI226" s="34"/>
      <c r="GEJ226" s="34"/>
      <c r="GEK226" s="36"/>
      <c r="GEL226" s="36"/>
      <c r="GEM226" s="37"/>
      <c r="GEN226" s="37"/>
      <c r="GEO226" s="38"/>
      <c r="GEP226" s="38"/>
      <c r="GEQ226" s="39"/>
      <c r="GER226" s="34"/>
      <c r="GES226" s="34"/>
      <c r="GET226" s="34"/>
      <c r="GEU226" s="35"/>
      <c r="GEV226" s="35"/>
      <c r="GEW226" s="35"/>
      <c r="GEX226" s="35"/>
      <c r="GEY226" s="35"/>
      <c r="GEZ226" s="34"/>
      <c r="GFA226" s="34"/>
      <c r="GFB226" s="36"/>
      <c r="GFC226" s="36"/>
      <c r="GFD226" s="37"/>
      <c r="GFE226" s="37"/>
      <c r="GFF226" s="38"/>
      <c r="GFG226" s="38"/>
      <c r="GFH226" s="39"/>
      <c r="GFI226" s="34"/>
      <c r="GFJ226" s="34"/>
      <c r="GFK226" s="34"/>
      <c r="GFL226" s="35"/>
      <c r="GFM226" s="35"/>
      <c r="GFN226" s="35"/>
      <c r="GFO226" s="35"/>
      <c r="GFP226" s="35"/>
      <c r="GFQ226" s="34"/>
      <c r="GFR226" s="34"/>
      <c r="GFS226" s="36"/>
      <c r="GFT226" s="36"/>
      <c r="GFU226" s="37"/>
      <c r="GFV226" s="37"/>
      <c r="GFW226" s="38"/>
      <c r="GFX226" s="38"/>
      <c r="GFY226" s="39"/>
      <c r="GFZ226" s="34"/>
      <c r="GGA226" s="34"/>
      <c r="GGB226" s="34"/>
      <c r="GGC226" s="35"/>
      <c r="GGD226" s="35"/>
      <c r="GGE226" s="35"/>
      <c r="GGF226" s="35"/>
      <c r="GGG226" s="35"/>
      <c r="GGH226" s="34"/>
      <c r="GGI226" s="34"/>
      <c r="GGJ226" s="36"/>
      <c r="GGK226" s="36"/>
      <c r="GGL226" s="37"/>
      <c r="GGM226" s="37"/>
      <c r="GGN226" s="38"/>
      <c r="GGO226" s="38"/>
      <c r="GGP226" s="39"/>
      <c r="GGQ226" s="34"/>
      <c r="GGR226" s="34"/>
      <c r="GGS226" s="34"/>
      <c r="GGT226" s="35"/>
      <c r="GGU226" s="35"/>
      <c r="GGV226" s="35"/>
      <c r="GGW226" s="35"/>
      <c r="GGX226" s="35"/>
      <c r="GGY226" s="34"/>
      <c r="GGZ226" s="34"/>
      <c r="GHA226" s="36"/>
      <c r="GHB226" s="36"/>
      <c r="GHC226" s="37"/>
      <c r="GHD226" s="37"/>
      <c r="GHE226" s="38"/>
      <c r="GHF226" s="38"/>
      <c r="GHG226" s="39"/>
      <c r="GHH226" s="34"/>
      <c r="GHI226" s="34"/>
      <c r="GHJ226" s="34"/>
      <c r="GHK226" s="35"/>
      <c r="GHL226" s="35"/>
      <c r="GHM226" s="35"/>
      <c r="GHN226" s="35"/>
      <c r="GHO226" s="35"/>
      <c r="GHP226" s="34"/>
      <c r="GHQ226" s="34"/>
      <c r="GHR226" s="36"/>
      <c r="GHS226" s="36"/>
      <c r="GHT226" s="37"/>
      <c r="GHU226" s="37"/>
      <c r="GHV226" s="38"/>
      <c r="GHW226" s="38"/>
      <c r="GHX226" s="39"/>
      <c r="GHY226" s="34"/>
      <c r="GHZ226" s="34"/>
      <c r="GIA226" s="34"/>
      <c r="GIB226" s="35"/>
      <c r="GIC226" s="35"/>
      <c r="GID226" s="35"/>
      <c r="GIE226" s="35"/>
      <c r="GIF226" s="35"/>
      <c r="GIG226" s="34"/>
      <c r="GIH226" s="34"/>
      <c r="GII226" s="36"/>
      <c r="GIJ226" s="36"/>
      <c r="GIK226" s="37"/>
      <c r="GIL226" s="37"/>
      <c r="GIM226" s="38"/>
      <c r="GIN226" s="38"/>
      <c r="GIO226" s="39"/>
      <c r="GIP226" s="34"/>
      <c r="GIQ226" s="34"/>
      <c r="GIR226" s="34"/>
      <c r="GIS226" s="35"/>
      <c r="GIT226" s="35"/>
      <c r="GIU226" s="35"/>
      <c r="GIV226" s="35"/>
      <c r="GIW226" s="35"/>
      <c r="GIX226" s="34"/>
      <c r="GIY226" s="34"/>
      <c r="GIZ226" s="36"/>
      <c r="GJA226" s="36"/>
      <c r="GJB226" s="37"/>
      <c r="GJC226" s="37"/>
      <c r="GJD226" s="38"/>
      <c r="GJE226" s="38"/>
      <c r="GJF226" s="39"/>
      <c r="GJG226" s="34"/>
      <c r="GJH226" s="34"/>
      <c r="GJI226" s="34"/>
      <c r="GJJ226" s="35"/>
      <c r="GJK226" s="35"/>
      <c r="GJL226" s="35"/>
      <c r="GJM226" s="35"/>
      <c r="GJN226" s="35"/>
      <c r="GJO226" s="34"/>
      <c r="GJP226" s="34"/>
      <c r="GJQ226" s="36"/>
      <c r="GJR226" s="36"/>
      <c r="GJS226" s="37"/>
      <c r="GJT226" s="37"/>
      <c r="GJU226" s="38"/>
      <c r="GJV226" s="38"/>
      <c r="GJW226" s="39"/>
      <c r="GJX226" s="34"/>
      <c r="GJY226" s="34"/>
      <c r="GJZ226" s="34"/>
      <c r="GKA226" s="35"/>
      <c r="GKB226" s="35"/>
      <c r="GKC226" s="35"/>
      <c r="GKD226" s="35"/>
      <c r="GKE226" s="35"/>
      <c r="GKF226" s="34"/>
      <c r="GKG226" s="34"/>
      <c r="GKH226" s="36"/>
      <c r="GKI226" s="36"/>
      <c r="GKJ226" s="37"/>
      <c r="GKK226" s="37"/>
      <c r="GKL226" s="38"/>
      <c r="GKM226" s="38"/>
      <c r="GKN226" s="39"/>
      <c r="GKO226" s="34"/>
      <c r="GKP226" s="34"/>
      <c r="GKQ226" s="34"/>
      <c r="GKR226" s="35"/>
      <c r="GKS226" s="35"/>
      <c r="GKT226" s="35"/>
      <c r="GKU226" s="35"/>
      <c r="GKV226" s="35"/>
      <c r="GKW226" s="34"/>
      <c r="GKX226" s="34"/>
      <c r="GKY226" s="36"/>
      <c r="GKZ226" s="36"/>
      <c r="GLA226" s="37"/>
      <c r="GLB226" s="37"/>
      <c r="GLC226" s="38"/>
      <c r="GLD226" s="38"/>
      <c r="GLE226" s="39"/>
      <c r="GLF226" s="34"/>
      <c r="GLG226" s="34"/>
      <c r="GLH226" s="34"/>
      <c r="GLI226" s="35"/>
      <c r="GLJ226" s="35"/>
      <c r="GLK226" s="35"/>
      <c r="GLL226" s="35"/>
      <c r="GLM226" s="35"/>
      <c r="GLN226" s="34"/>
      <c r="GLO226" s="34"/>
      <c r="GLP226" s="36"/>
      <c r="GLQ226" s="36"/>
      <c r="GLR226" s="37"/>
      <c r="GLS226" s="37"/>
      <c r="GLT226" s="38"/>
      <c r="GLU226" s="38"/>
      <c r="GLV226" s="39"/>
      <c r="GLW226" s="34"/>
      <c r="GLX226" s="34"/>
      <c r="GLY226" s="34"/>
      <c r="GLZ226" s="35"/>
      <c r="GMA226" s="35"/>
      <c r="GMB226" s="35"/>
      <c r="GMC226" s="35"/>
      <c r="GMD226" s="35"/>
      <c r="GME226" s="34"/>
      <c r="GMF226" s="34"/>
      <c r="GMG226" s="36"/>
      <c r="GMH226" s="36"/>
      <c r="GMI226" s="37"/>
      <c r="GMJ226" s="37"/>
      <c r="GMK226" s="38"/>
      <c r="GML226" s="38"/>
      <c r="GMM226" s="39"/>
      <c r="GMN226" s="34"/>
      <c r="GMO226" s="34"/>
      <c r="GMP226" s="34"/>
      <c r="GMQ226" s="35"/>
      <c r="GMR226" s="35"/>
      <c r="GMS226" s="35"/>
      <c r="GMT226" s="35"/>
      <c r="GMU226" s="35"/>
      <c r="GMV226" s="34"/>
      <c r="GMW226" s="34"/>
      <c r="GMX226" s="36"/>
      <c r="GMY226" s="36"/>
      <c r="GMZ226" s="37"/>
      <c r="GNA226" s="37"/>
      <c r="GNB226" s="38"/>
      <c r="GNC226" s="38"/>
      <c r="GND226" s="39"/>
      <c r="GNE226" s="34"/>
      <c r="GNF226" s="34"/>
      <c r="GNG226" s="34"/>
      <c r="GNH226" s="35"/>
      <c r="GNI226" s="35"/>
      <c r="GNJ226" s="35"/>
      <c r="GNK226" s="35"/>
      <c r="GNL226" s="35"/>
      <c r="GNM226" s="34"/>
      <c r="GNN226" s="34"/>
      <c r="GNO226" s="36"/>
      <c r="GNP226" s="36"/>
      <c r="GNQ226" s="37"/>
      <c r="GNR226" s="37"/>
      <c r="GNS226" s="38"/>
      <c r="GNT226" s="38"/>
      <c r="GNU226" s="39"/>
      <c r="GNV226" s="34"/>
      <c r="GNW226" s="34"/>
      <c r="GNX226" s="34"/>
      <c r="GNY226" s="35"/>
      <c r="GNZ226" s="35"/>
      <c r="GOA226" s="35"/>
      <c r="GOB226" s="35"/>
      <c r="GOC226" s="35"/>
      <c r="GOD226" s="34"/>
      <c r="GOE226" s="34"/>
      <c r="GOF226" s="36"/>
      <c r="GOG226" s="36"/>
      <c r="GOH226" s="37"/>
      <c r="GOI226" s="37"/>
      <c r="GOJ226" s="38"/>
      <c r="GOK226" s="38"/>
      <c r="GOL226" s="39"/>
      <c r="GOM226" s="34"/>
      <c r="GON226" s="34"/>
      <c r="GOO226" s="34"/>
      <c r="GOP226" s="35"/>
      <c r="GOQ226" s="35"/>
      <c r="GOR226" s="35"/>
      <c r="GOS226" s="35"/>
      <c r="GOT226" s="35"/>
      <c r="GOU226" s="34"/>
      <c r="GOV226" s="34"/>
      <c r="GOW226" s="36"/>
      <c r="GOX226" s="36"/>
      <c r="GOY226" s="37"/>
      <c r="GOZ226" s="37"/>
      <c r="GPA226" s="38"/>
      <c r="GPB226" s="38"/>
      <c r="GPC226" s="39"/>
      <c r="GPD226" s="34"/>
      <c r="GPE226" s="34"/>
      <c r="GPF226" s="34"/>
      <c r="GPG226" s="35"/>
      <c r="GPH226" s="35"/>
      <c r="GPI226" s="35"/>
      <c r="GPJ226" s="35"/>
      <c r="GPK226" s="35"/>
      <c r="GPL226" s="34"/>
      <c r="GPM226" s="34"/>
      <c r="GPN226" s="36"/>
      <c r="GPO226" s="36"/>
      <c r="GPP226" s="37"/>
      <c r="GPQ226" s="37"/>
      <c r="GPR226" s="38"/>
      <c r="GPS226" s="38"/>
      <c r="GPT226" s="39"/>
      <c r="GPU226" s="34"/>
      <c r="GPV226" s="34"/>
      <c r="GPW226" s="34"/>
      <c r="GPX226" s="35"/>
      <c r="GPY226" s="35"/>
      <c r="GPZ226" s="35"/>
      <c r="GQA226" s="35"/>
      <c r="GQB226" s="35"/>
      <c r="GQC226" s="34"/>
      <c r="GQD226" s="34"/>
      <c r="GQE226" s="36"/>
      <c r="GQF226" s="36"/>
      <c r="GQG226" s="37"/>
      <c r="GQH226" s="37"/>
      <c r="GQI226" s="38"/>
      <c r="GQJ226" s="38"/>
      <c r="GQK226" s="39"/>
      <c r="GQL226" s="34"/>
      <c r="GQM226" s="34"/>
      <c r="GQN226" s="34"/>
      <c r="GQO226" s="35"/>
      <c r="GQP226" s="35"/>
      <c r="GQQ226" s="35"/>
      <c r="GQR226" s="35"/>
      <c r="GQS226" s="35"/>
      <c r="GQT226" s="34"/>
      <c r="GQU226" s="34"/>
      <c r="GQV226" s="36"/>
      <c r="GQW226" s="36"/>
      <c r="GQX226" s="37"/>
      <c r="GQY226" s="37"/>
      <c r="GQZ226" s="38"/>
      <c r="GRA226" s="38"/>
      <c r="GRB226" s="39"/>
      <c r="GRC226" s="34"/>
      <c r="GRD226" s="34"/>
      <c r="GRE226" s="34"/>
      <c r="GRF226" s="35"/>
      <c r="GRG226" s="35"/>
      <c r="GRH226" s="35"/>
      <c r="GRI226" s="35"/>
      <c r="GRJ226" s="35"/>
      <c r="GRK226" s="34"/>
      <c r="GRL226" s="34"/>
      <c r="GRM226" s="36"/>
      <c r="GRN226" s="36"/>
      <c r="GRO226" s="37"/>
      <c r="GRP226" s="37"/>
      <c r="GRQ226" s="38"/>
      <c r="GRR226" s="38"/>
      <c r="GRS226" s="39"/>
      <c r="GRT226" s="34"/>
      <c r="GRU226" s="34"/>
      <c r="GRV226" s="34"/>
      <c r="GRW226" s="35"/>
      <c r="GRX226" s="35"/>
      <c r="GRY226" s="35"/>
      <c r="GRZ226" s="35"/>
      <c r="GSA226" s="35"/>
      <c r="GSB226" s="34"/>
      <c r="GSC226" s="34"/>
      <c r="GSD226" s="36"/>
      <c r="GSE226" s="36"/>
      <c r="GSF226" s="37"/>
      <c r="GSG226" s="37"/>
      <c r="GSH226" s="38"/>
      <c r="GSI226" s="38"/>
      <c r="GSJ226" s="39"/>
      <c r="GSK226" s="34"/>
      <c r="GSL226" s="34"/>
      <c r="GSM226" s="34"/>
      <c r="GSN226" s="35"/>
      <c r="GSO226" s="35"/>
      <c r="GSP226" s="35"/>
      <c r="GSQ226" s="35"/>
      <c r="GSR226" s="35"/>
      <c r="GSS226" s="34"/>
      <c r="GST226" s="34"/>
      <c r="GSU226" s="36"/>
      <c r="GSV226" s="36"/>
      <c r="GSW226" s="37"/>
      <c r="GSX226" s="37"/>
      <c r="GSY226" s="38"/>
      <c r="GSZ226" s="38"/>
      <c r="GTA226" s="39"/>
      <c r="GTB226" s="34"/>
      <c r="GTC226" s="34"/>
      <c r="GTD226" s="34"/>
      <c r="GTE226" s="35"/>
      <c r="GTF226" s="35"/>
      <c r="GTG226" s="35"/>
      <c r="GTH226" s="35"/>
      <c r="GTI226" s="35"/>
      <c r="GTJ226" s="34"/>
      <c r="GTK226" s="34"/>
      <c r="GTL226" s="36"/>
      <c r="GTM226" s="36"/>
      <c r="GTN226" s="37"/>
      <c r="GTO226" s="37"/>
      <c r="GTP226" s="38"/>
      <c r="GTQ226" s="38"/>
      <c r="GTR226" s="39"/>
      <c r="GTS226" s="34"/>
      <c r="GTT226" s="34"/>
      <c r="GTU226" s="34"/>
      <c r="GTV226" s="35"/>
      <c r="GTW226" s="35"/>
      <c r="GTX226" s="35"/>
      <c r="GTY226" s="35"/>
      <c r="GTZ226" s="35"/>
      <c r="GUA226" s="34"/>
      <c r="GUB226" s="34"/>
      <c r="GUC226" s="36"/>
      <c r="GUD226" s="36"/>
      <c r="GUE226" s="37"/>
      <c r="GUF226" s="37"/>
      <c r="GUG226" s="38"/>
      <c r="GUH226" s="38"/>
      <c r="GUI226" s="39"/>
      <c r="GUJ226" s="34"/>
      <c r="GUK226" s="34"/>
      <c r="GUL226" s="34"/>
      <c r="GUM226" s="35"/>
      <c r="GUN226" s="35"/>
      <c r="GUO226" s="35"/>
      <c r="GUP226" s="35"/>
      <c r="GUQ226" s="35"/>
      <c r="GUR226" s="34"/>
      <c r="GUS226" s="34"/>
      <c r="GUT226" s="36"/>
      <c r="GUU226" s="36"/>
      <c r="GUV226" s="37"/>
      <c r="GUW226" s="37"/>
      <c r="GUX226" s="38"/>
      <c r="GUY226" s="38"/>
      <c r="GUZ226" s="39"/>
      <c r="GVA226" s="34"/>
      <c r="GVB226" s="34"/>
      <c r="GVC226" s="34"/>
      <c r="GVD226" s="35"/>
      <c r="GVE226" s="35"/>
      <c r="GVF226" s="35"/>
      <c r="GVG226" s="35"/>
      <c r="GVH226" s="35"/>
      <c r="GVI226" s="34"/>
      <c r="GVJ226" s="34"/>
      <c r="GVK226" s="36"/>
      <c r="GVL226" s="36"/>
      <c r="GVM226" s="37"/>
      <c r="GVN226" s="37"/>
      <c r="GVO226" s="38"/>
      <c r="GVP226" s="38"/>
      <c r="GVQ226" s="39"/>
      <c r="GVR226" s="34"/>
      <c r="GVS226" s="34"/>
      <c r="GVT226" s="34"/>
      <c r="GVU226" s="35"/>
      <c r="GVV226" s="35"/>
      <c r="GVW226" s="35"/>
      <c r="GVX226" s="35"/>
      <c r="GVY226" s="35"/>
      <c r="GVZ226" s="34"/>
      <c r="GWA226" s="34"/>
      <c r="GWB226" s="36"/>
      <c r="GWC226" s="36"/>
      <c r="GWD226" s="37"/>
      <c r="GWE226" s="37"/>
      <c r="GWF226" s="38"/>
      <c r="GWG226" s="38"/>
      <c r="GWH226" s="39"/>
      <c r="GWI226" s="34"/>
      <c r="GWJ226" s="34"/>
      <c r="GWK226" s="34"/>
      <c r="GWL226" s="35"/>
      <c r="GWM226" s="35"/>
      <c r="GWN226" s="35"/>
      <c r="GWO226" s="35"/>
      <c r="GWP226" s="35"/>
      <c r="GWQ226" s="34"/>
      <c r="GWR226" s="34"/>
      <c r="GWS226" s="36"/>
      <c r="GWT226" s="36"/>
      <c r="GWU226" s="37"/>
      <c r="GWV226" s="37"/>
      <c r="GWW226" s="38"/>
      <c r="GWX226" s="38"/>
      <c r="GWY226" s="39"/>
      <c r="GWZ226" s="34"/>
      <c r="GXA226" s="34"/>
      <c r="GXB226" s="34"/>
      <c r="GXC226" s="35"/>
      <c r="GXD226" s="35"/>
      <c r="GXE226" s="35"/>
      <c r="GXF226" s="35"/>
      <c r="GXG226" s="35"/>
      <c r="GXH226" s="34"/>
      <c r="GXI226" s="34"/>
      <c r="GXJ226" s="36"/>
      <c r="GXK226" s="36"/>
      <c r="GXL226" s="37"/>
      <c r="GXM226" s="37"/>
      <c r="GXN226" s="38"/>
      <c r="GXO226" s="38"/>
      <c r="GXP226" s="39"/>
      <c r="GXQ226" s="34"/>
      <c r="GXR226" s="34"/>
      <c r="GXS226" s="34"/>
      <c r="GXT226" s="35"/>
      <c r="GXU226" s="35"/>
      <c r="GXV226" s="35"/>
      <c r="GXW226" s="35"/>
      <c r="GXX226" s="35"/>
      <c r="GXY226" s="34"/>
      <c r="GXZ226" s="34"/>
      <c r="GYA226" s="36"/>
      <c r="GYB226" s="36"/>
      <c r="GYC226" s="37"/>
      <c r="GYD226" s="37"/>
      <c r="GYE226" s="38"/>
      <c r="GYF226" s="38"/>
      <c r="GYG226" s="39"/>
      <c r="GYH226" s="34"/>
      <c r="GYI226" s="34"/>
      <c r="GYJ226" s="34"/>
      <c r="GYK226" s="35"/>
      <c r="GYL226" s="35"/>
      <c r="GYM226" s="35"/>
      <c r="GYN226" s="35"/>
      <c r="GYO226" s="35"/>
      <c r="GYP226" s="34"/>
      <c r="GYQ226" s="34"/>
      <c r="GYR226" s="36"/>
      <c r="GYS226" s="36"/>
      <c r="GYT226" s="37"/>
      <c r="GYU226" s="37"/>
      <c r="GYV226" s="38"/>
      <c r="GYW226" s="38"/>
      <c r="GYX226" s="39"/>
      <c r="GYY226" s="34"/>
      <c r="GYZ226" s="34"/>
      <c r="GZA226" s="34"/>
      <c r="GZB226" s="35"/>
      <c r="GZC226" s="35"/>
      <c r="GZD226" s="35"/>
      <c r="GZE226" s="35"/>
      <c r="GZF226" s="35"/>
      <c r="GZG226" s="34"/>
      <c r="GZH226" s="34"/>
      <c r="GZI226" s="36"/>
      <c r="GZJ226" s="36"/>
      <c r="GZK226" s="37"/>
      <c r="GZL226" s="37"/>
      <c r="GZM226" s="38"/>
      <c r="GZN226" s="38"/>
      <c r="GZO226" s="39"/>
      <c r="GZP226" s="34"/>
      <c r="GZQ226" s="34"/>
      <c r="GZR226" s="34"/>
      <c r="GZS226" s="35"/>
      <c r="GZT226" s="35"/>
      <c r="GZU226" s="35"/>
      <c r="GZV226" s="35"/>
      <c r="GZW226" s="35"/>
      <c r="GZX226" s="34"/>
      <c r="GZY226" s="34"/>
      <c r="GZZ226" s="36"/>
      <c r="HAA226" s="36"/>
      <c r="HAB226" s="37"/>
      <c r="HAC226" s="37"/>
      <c r="HAD226" s="38"/>
      <c r="HAE226" s="38"/>
      <c r="HAF226" s="39"/>
      <c r="HAG226" s="34"/>
      <c r="HAH226" s="34"/>
      <c r="HAI226" s="34"/>
      <c r="HAJ226" s="35"/>
      <c r="HAK226" s="35"/>
      <c r="HAL226" s="35"/>
      <c r="HAM226" s="35"/>
      <c r="HAN226" s="35"/>
      <c r="HAO226" s="34"/>
      <c r="HAP226" s="34"/>
      <c r="HAQ226" s="36"/>
      <c r="HAR226" s="36"/>
      <c r="HAS226" s="37"/>
      <c r="HAT226" s="37"/>
      <c r="HAU226" s="38"/>
      <c r="HAV226" s="38"/>
      <c r="HAW226" s="39"/>
      <c r="HAX226" s="34"/>
      <c r="HAY226" s="34"/>
      <c r="HAZ226" s="34"/>
      <c r="HBA226" s="35"/>
      <c r="HBB226" s="35"/>
      <c r="HBC226" s="35"/>
      <c r="HBD226" s="35"/>
      <c r="HBE226" s="35"/>
      <c r="HBF226" s="34"/>
      <c r="HBG226" s="34"/>
      <c r="HBH226" s="36"/>
      <c r="HBI226" s="36"/>
      <c r="HBJ226" s="37"/>
      <c r="HBK226" s="37"/>
      <c r="HBL226" s="38"/>
      <c r="HBM226" s="38"/>
      <c r="HBN226" s="39"/>
      <c r="HBO226" s="34"/>
      <c r="HBP226" s="34"/>
      <c r="HBQ226" s="34"/>
      <c r="HBR226" s="35"/>
      <c r="HBS226" s="35"/>
      <c r="HBT226" s="35"/>
      <c r="HBU226" s="35"/>
      <c r="HBV226" s="35"/>
      <c r="HBW226" s="34"/>
      <c r="HBX226" s="34"/>
      <c r="HBY226" s="36"/>
      <c r="HBZ226" s="36"/>
      <c r="HCA226" s="37"/>
      <c r="HCB226" s="37"/>
      <c r="HCC226" s="38"/>
      <c r="HCD226" s="38"/>
      <c r="HCE226" s="39"/>
      <c r="HCF226" s="34"/>
      <c r="HCG226" s="34"/>
      <c r="HCH226" s="34"/>
      <c r="HCI226" s="35"/>
      <c r="HCJ226" s="35"/>
      <c r="HCK226" s="35"/>
      <c r="HCL226" s="35"/>
      <c r="HCM226" s="35"/>
      <c r="HCN226" s="34"/>
      <c r="HCO226" s="34"/>
      <c r="HCP226" s="36"/>
      <c r="HCQ226" s="36"/>
      <c r="HCR226" s="37"/>
      <c r="HCS226" s="37"/>
      <c r="HCT226" s="38"/>
      <c r="HCU226" s="38"/>
      <c r="HCV226" s="39"/>
      <c r="HCW226" s="34"/>
      <c r="HCX226" s="34"/>
      <c r="HCY226" s="34"/>
      <c r="HCZ226" s="35"/>
      <c r="HDA226" s="35"/>
      <c r="HDB226" s="35"/>
      <c r="HDC226" s="35"/>
      <c r="HDD226" s="35"/>
      <c r="HDE226" s="34"/>
      <c r="HDF226" s="34"/>
      <c r="HDG226" s="36"/>
      <c r="HDH226" s="36"/>
      <c r="HDI226" s="37"/>
      <c r="HDJ226" s="37"/>
      <c r="HDK226" s="38"/>
      <c r="HDL226" s="38"/>
      <c r="HDM226" s="39"/>
      <c r="HDN226" s="34"/>
      <c r="HDO226" s="34"/>
      <c r="HDP226" s="34"/>
      <c r="HDQ226" s="35"/>
      <c r="HDR226" s="35"/>
      <c r="HDS226" s="35"/>
      <c r="HDT226" s="35"/>
      <c r="HDU226" s="35"/>
      <c r="HDV226" s="34"/>
      <c r="HDW226" s="34"/>
      <c r="HDX226" s="36"/>
      <c r="HDY226" s="36"/>
      <c r="HDZ226" s="37"/>
      <c r="HEA226" s="37"/>
      <c r="HEB226" s="38"/>
      <c r="HEC226" s="38"/>
      <c r="HED226" s="39"/>
      <c r="HEE226" s="34"/>
      <c r="HEF226" s="34"/>
      <c r="HEG226" s="34"/>
      <c r="HEH226" s="35"/>
      <c r="HEI226" s="35"/>
      <c r="HEJ226" s="35"/>
      <c r="HEK226" s="35"/>
      <c r="HEL226" s="35"/>
      <c r="HEM226" s="34"/>
      <c r="HEN226" s="34"/>
      <c r="HEO226" s="36"/>
      <c r="HEP226" s="36"/>
      <c r="HEQ226" s="37"/>
      <c r="HER226" s="37"/>
      <c r="HES226" s="38"/>
      <c r="HET226" s="38"/>
      <c r="HEU226" s="39"/>
      <c r="HEV226" s="34"/>
      <c r="HEW226" s="34"/>
      <c r="HEX226" s="34"/>
      <c r="HEY226" s="35"/>
      <c r="HEZ226" s="35"/>
      <c r="HFA226" s="35"/>
      <c r="HFB226" s="35"/>
      <c r="HFC226" s="35"/>
      <c r="HFD226" s="34"/>
      <c r="HFE226" s="34"/>
      <c r="HFF226" s="36"/>
      <c r="HFG226" s="36"/>
      <c r="HFH226" s="37"/>
      <c r="HFI226" s="37"/>
      <c r="HFJ226" s="38"/>
      <c r="HFK226" s="38"/>
      <c r="HFL226" s="39"/>
      <c r="HFM226" s="34"/>
      <c r="HFN226" s="34"/>
      <c r="HFO226" s="34"/>
      <c r="HFP226" s="35"/>
      <c r="HFQ226" s="35"/>
      <c r="HFR226" s="35"/>
      <c r="HFS226" s="35"/>
      <c r="HFT226" s="35"/>
      <c r="HFU226" s="34"/>
      <c r="HFV226" s="34"/>
      <c r="HFW226" s="36"/>
      <c r="HFX226" s="36"/>
      <c r="HFY226" s="37"/>
      <c r="HFZ226" s="37"/>
      <c r="HGA226" s="38"/>
      <c r="HGB226" s="38"/>
      <c r="HGC226" s="39"/>
      <c r="HGD226" s="34"/>
      <c r="HGE226" s="34"/>
      <c r="HGF226" s="34"/>
      <c r="HGG226" s="35"/>
      <c r="HGH226" s="35"/>
      <c r="HGI226" s="35"/>
      <c r="HGJ226" s="35"/>
      <c r="HGK226" s="35"/>
      <c r="HGL226" s="34"/>
      <c r="HGM226" s="34"/>
      <c r="HGN226" s="36"/>
      <c r="HGO226" s="36"/>
      <c r="HGP226" s="37"/>
      <c r="HGQ226" s="37"/>
      <c r="HGR226" s="38"/>
      <c r="HGS226" s="38"/>
      <c r="HGT226" s="39"/>
      <c r="HGU226" s="34"/>
      <c r="HGV226" s="34"/>
      <c r="HGW226" s="34"/>
      <c r="HGX226" s="35"/>
      <c r="HGY226" s="35"/>
      <c r="HGZ226" s="35"/>
      <c r="HHA226" s="35"/>
      <c r="HHB226" s="35"/>
      <c r="HHC226" s="34"/>
      <c r="HHD226" s="34"/>
      <c r="HHE226" s="36"/>
      <c r="HHF226" s="36"/>
      <c r="HHG226" s="37"/>
      <c r="HHH226" s="37"/>
      <c r="HHI226" s="38"/>
      <c r="HHJ226" s="38"/>
      <c r="HHK226" s="39"/>
      <c r="HHL226" s="34"/>
      <c r="HHM226" s="34"/>
      <c r="HHN226" s="34"/>
      <c r="HHO226" s="35"/>
      <c r="HHP226" s="35"/>
      <c r="HHQ226" s="35"/>
      <c r="HHR226" s="35"/>
      <c r="HHS226" s="35"/>
      <c r="HHT226" s="34"/>
      <c r="HHU226" s="34"/>
      <c r="HHV226" s="36"/>
      <c r="HHW226" s="36"/>
      <c r="HHX226" s="37"/>
      <c r="HHY226" s="37"/>
      <c r="HHZ226" s="38"/>
      <c r="HIA226" s="38"/>
      <c r="HIB226" s="39"/>
      <c r="HIC226" s="34"/>
      <c r="HID226" s="34"/>
      <c r="HIE226" s="34"/>
      <c r="HIF226" s="35"/>
      <c r="HIG226" s="35"/>
      <c r="HIH226" s="35"/>
      <c r="HII226" s="35"/>
      <c r="HIJ226" s="35"/>
      <c r="HIK226" s="34"/>
      <c r="HIL226" s="34"/>
      <c r="HIM226" s="36"/>
      <c r="HIN226" s="36"/>
      <c r="HIO226" s="37"/>
      <c r="HIP226" s="37"/>
      <c r="HIQ226" s="38"/>
      <c r="HIR226" s="38"/>
      <c r="HIS226" s="39"/>
      <c r="HIT226" s="34"/>
      <c r="HIU226" s="34"/>
      <c r="HIV226" s="34"/>
      <c r="HIW226" s="35"/>
      <c r="HIX226" s="35"/>
      <c r="HIY226" s="35"/>
      <c r="HIZ226" s="35"/>
      <c r="HJA226" s="35"/>
      <c r="HJB226" s="34"/>
      <c r="HJC226" s="34"/>
      <c r="HJD226" s="36"/>
      <c r="HJE226" s="36"/>
      <c r="HJF226" s="37"/>
      <c r="HJG226" s="37"/>
      <c r="HJH226" s="38"/>
      <c r="HJI226" s="38"/>
      <c r="HJJ226" s="39"/>
      <c r="HJK226" s="34"/>
      <c r="HJL226" s="34"/>
      <c r="HJM226" s="34"/>
      <c r="HJN226" s="35"/>
      <c r="HJO226" s="35"/>
      <c r="HJP226" s="35"/>
      <c r="HJQ226" s="35"/>
      <c r="HJR226" s="35"/>
      <c r="HJS226" s="34"/>
      <c r="HJT226" s="34"/>
      <c r="HJU226" s="36"/>
      <c r="HJV226" s="36"/>
      <c r="HJW226" s="37"/>
      <c r="HJX226" s="37"/>
      <c r="HJY226" s="38"/>
      <c r="HJZ226" s="38"/>
      <c r="HKA226" s="39"/>
      <c r="HKB226" s="34"/>
      <c r="HKC226" s="34"/>
      <c r="HKD226" s="34"/>
      <c r="HKE226" s="35"/>
      <c r="HKF226" s="35"/>
      <c r="HKG226" s="35"/>
      <c r="HKH226" s="35"/>
      <c r="HKI226" s="35"/>
      <c r="HKJ226" s="34"/>
      <c r="HKK226" s="34"/>
      <c r="HKL226" s="36"/>
      <c r="HKM226" s="36"/>
      <c r="HKN226" s="37"/>
      <c r="HKO226" s="37"/>
      <c r="HKP226" s="38"/>
      <c r="HKQ226" s="38"/>
      <c r="HKR226" s="39"/>
      <c r="HKS226" s="34"/>
      <c r="HKT226" s="34"/>
      <c r="HKU226" s="34"/>
      <c r="HKV226" s="35"/>
      <c r="HKW226" s="35"/>
      <c r="HKX226" s="35"/>
      <c r="HKY226" s="35"/>
      <c r="HKZ226" s="35"/>
      <c r="HLA226" s="34"/>
      <c r="HLB226" s="34"/>
      <c r="HLC226" s="36"/>
      <c r="HLD226" s="36"/>
      <c r="HLE226" s="37"/>
      <c r="HLF226" s="37"/>
      <c r="HLG226" s="38"/>
      <c r="HLH226" s="38"/>
      <c r="HLI226" s="39"/>
      <c r="HLJ226" s="34"/>
      <c r="HLK226" s="34"/>
      <c r="HLL226" s="34"/>
      <c r="HLM226" s="35"/>
      <c r="HLN226" s="35"/>
      <c r="HLO226" s="35"/>
      <c r="HLP226" s="35"/>
      <c r="HLQ226" s="35"/>
      <c r="HLR226" s="34"/>
      <c r="HLS226" s="34"/>
      <c r="HLT226" s="36"/>
      <c r="HLU226" s="36"/>
      <c r="HLV226" s="37"/>
      <c r="HLW226" s="37"/>
      <c r="HLX226" s="38"/>
      <c r="HLY226" s="38"/>
      <c r="HLZ226" s="39"/>
      <c r="HMA226" s="34"/>
      <c r="HMB226" s="34"/>
      <c r="HMC226" s="34"/>
      <c r="HMD226" s="35"/>
      <c r="HME226" s="35"/>
      <c r="HMF226" s="35"/>
      <c r="HMG226" s="35"/>
      <c r="HMH226" s="35"/>
      <c r="HMI226" s="34"/>
      <c r="HMJ226" s="34"/>
      <c r="HMK226" s="36"/>
      <c r="HML226" s="36"/>
      <c r="HMM226" s="37"/>
      <c r="HMN226" s="37"/>
      <c r="HMO226" s="38"/>
      <c r="HMP226" s="38"/>
      <c r="HMQ226" s="39"/>
      <c r="HMR226" s="34"/>
      <c r="HMS226" s="34"/>
      <c r="HMT226" s="34"/>
      <c r="HMU226" s="35"/>
      <c r="HMV226" s="35"/>
      <c r="HMW226" s="35"/>
      <c r="HMX226" s="35"/>
      <c r="HMY226" s="35"/>
      <c r="HMZ226" s="34"/>
      <c r="HNA226" s="34"/>
      <c r="HNB226" s="36"/>
      <c r="HNC226" s="36"/>
      <c r="HND226" s="37"/>
      <c r="HNE226" s="37"/>
      <c r="HNF226" s="38"/>
      <c r="HNG226" s="38"/>
      <c r="HNH226" s="39"/>
      <c r="HNI226" s="34"/>
      <c r="HNJ226" s="34"/>
      <c r="HNK226" s="34"/>
      <c r="HNL226" s="35"/>
      <c r="HNM226" s="35"/>
      <c r="HNN226" s="35"/>
      <c r="HNO226" s="35"/>
      <c r="HNP226" s="35"/>
      <c r="HNQ226" s="34"/>
      <c r="HNR226" s="34"/>
      <c r="HNS226" s="36"/>
      <c r="HNT226" s="36"/>
      <c r="HNU226" s="37"/>
      <c r="HNV226" s="37"/>
      <c r="HNW226" s="38"/>
      <c r="HNX226" s="38"/>
      <c r="HNY226" s="39"/>
      <c r="HNZ226" s="34"/>
      <c r="HOA226" s="34"/>
      <c r="HOB226" s="34"/>
      <c r="HOC226" s="35"/>
      <c r="HOD226" s="35"/>
      <c r="HOE226" s="35"/>
      <c r="HOF226" s="35"/>
      <c r="HOG226" s="35"/>
      <c r="HOH226" s="34"/>
      <c r="HOI226" s="34"/>
      <c r="HOJ226" s="36"/>
      <c r="HOK226" s="36"/>
      <c r="HOL226" s="37"/>
      <c r="HOM226" s="37"/>
      <c r="HON226" s="38"/>
      <c r="HOO226" s="38"/>
      <c r="HOP226" s="39"/>
      <c r="HOQ226" s="34"/>
      <c r="HOR226" s="34"/>
      <c r="HOS226" s="34"/>
      <c r="HOT226" s="35"/>
      <c r="HOU226" s="35"/>
      <c r="HOV226" s="35"/>
      <c r="HOW226" s="35"/>
      <c r="HOX226" s="35"/>
      <c r="HOY226" s="34"/>
      <c r="HOZ226" s="34"/>
      <c r="HPA226" s="36"/>
      <c r="HPB226" s="36"/>
      <c r="HPC226" s="37"/>
      <c r="HPD226" s="37"/>
      <c r="HPE226" s="38"/>
      <c r="HPF226" s="38"/>
      <c r="HPG226" s="39"/>
      <c r="HPH226" s="34"/>
      <c r="HPI226" s="34"/>
      <c r="HPJ226" s="34"/>
      <c r="HPK226" s="35"/>
      <c r="HPL226" s="35"/>
      <c r="HPM226" s="35"/>
      <c r="HPN226" s="35"/>
      <c r="HPO226" s="35"/>
      <c r="HPP226" s="34"/>
      <c r="HPQ226" s="34"/>
      <c r="HPR226" s="36"/>
      <c r="HPS226" s="36"/>
      <c r="HPT226" s="37"/>
      <c r="HPU226" s="37"/>
      <c r="HPV226" s="38"/>
      <c r="HPW226" s="38"/>
      <c r="HPX226" s="39"/>
      <c r="HPY226" s="34"/>
      <c r="HPZ226" s="34"/>
      <c r="HQA226" s="34"/>
      <c r="HQB226" s="35"/>
      <c r="HQC226" s="35"/>
      <c r="HQD226" s="35"/>
      <c r="HQE226" s="35"/>
      <c r="HQF226" s="35"/>
      <c r="HQG226" s="34"/>
      <c r="HQH226" s="34"/>
      <c r="HQI226" s="36"/>
      <c r="HQJ226" s="36"/>
      <c r="HQK226" s="37"/>
      <c r="HQL226" s="37"/>
      <c r="HQM226" s="38"/>
      <c r="HQN226" s="38"/>
      <c r="HQO226" s="39"/>
      <c r="HQP226" s="34"/>
      <c r="HQQ226" s="34"/>
      <c r="HQR226" s="34"/>
      <c r="HQS226" s="35"/>
      <c r="HQT226" s="35"/>
      <c r="HQU226" s="35"/>
      <c r="HQV226" s="35"/>
      <c r="HQW226" s="35"/>
      <c r="HQX226" s="34"/>
      <c r="HQY226" s="34"/>
      <c r="HQZ226" s="36"/>
      <c r="HRA226" s="36"/>
      <c r="HRB226" s="37"/>
      <c r="HRC226" s="37"/>
      <c r="HRD226" s="38"/>
      <c r="HRE226" s="38"/>
      <c r="HRF226" s="39"/>
      <c r="HRG226" s="34"/>
      <c r="HRH226" s="34"/>
      <c r="HRI226" s="34"/>
      <c r="HRJ226" s="35"/>
      <c r="HRK226" s="35"/>
      <c r="HRL226" s="35"/>
      <c r="HRM226" s="35"/>
      <c r="HRN226" s="35"/>
      <c r="HRO226" s="34"/>
      <c r="HRP226" s="34"/>
      <c r="HRQ226" s="36"/>
      <c r="HRR226" s="36"/>
      <c r="HRS226" s="37"/>
      <c r="HRT226" s="37"/>
      <c r="HRU226" s="38"/>
      <c r="HRV226" s="38"/>
      <c r="HRW226" s="39"/>
      <c r="HRX226" s="34"/>
      <c r="HRY226" s="34"/>
      <c r="HRZ226" s="34"/>
      <c r="HSA226" s="35"/>
      <c r="HSB226" s="35"/>
      <c r="HSC226" s="35"/>
      <c r="HSD226" s="35"/>
      <c r="HSE226" s="35"/>
      <c r="HSF226" s="34"/>
      <c r="HSG226" s="34"/>
      <c r="HSH226" s="36"/>
      <c r="HSI226" s="36"/>
      <c r="HSJ226" s="37"/>
      <c r="HSK226" s="37"/>
      <c r="HSL226" s="38"/>
      <c r="HSM226" s="38"/>
      <c r="HSN226" s="39"/>
      <c r="HSO226" s="34"/>
      <c r="HSP226" s="34"/>
      <c r="HSQ226" s="34"/>
      <c r="HSR226" s="35"/>
      <c r="HSS226" s="35"/>
      <c r="HST226" s="35"/>
      <c r="HSU226" s="35"/>
      <c r="HSV226" s="35"/>
      <c r="HSW226" s="34"/>
      <c r="HSX226" s="34"/>
      <c r="HSY226" s="36"/>
      <c r="HSZ226" s="36"/>
      <c r="HTA226" s="37"/>
      <c r="HTB226" s="37"/>
      <c r="HTC226" s="38"/>
      <c r="HTD226" s="38"/>
      <c r="HTE226" s="39"/>
      <c r="HTF226" s="34"/>
      <c r="HTG226" s="34"/>
      <c r="HTH226" s="34"/>
      <c r="HTI226" s="35"/>
      <c r="HTJ226" s="35"/>
      <c r="HTK226" s="35"/>
      <c r="HTL226" s="35"/>
      <c r="HTM226" s="35"/>
      <c r="HTN226" s="34"/>
      <c r="HTO226" s="34"/>
      <c r="HTP226" s="36"/>
      <c r="HTQ226" s="36"/>
      <c r="HTR226" s="37"/>
      <c r="HTS226" s="37"/>
      <c r="HTT226" s="38"/>
      <c r="HTU226" s="38"/>
      <c r="HTV226" s="39"/>
      <c r="HTW226" s="34"/>
      <c r="HTX226" s="34"/>
      <c r="HTY226" s="34"/>
      <c r="HTZ226" s="35"/>
      <c r="HUA226" s="35"/>
      <c r="HUB226" s="35"/>
      <c r="HUC226" s="35"/>
      <c r="HUD226" s="35"/>
      <c r="HUE226" s="34"/>
      <c r="HUF226" s="34"/>
      <c r="HUG226" s="36"/>
      <c r="HUH226" s="36"/>
      <c r="HUI226" s="37"/>
      <c r="HUJ226" s="37"/>
      <c r="HUK226" s="38"/>
      <c r="HUL226" s="38"/>
      <c r="HUM226" s="39"/>
      <c r="HUN226" s="34"/>
      <c r="HUO226" s="34"/>
      <c r="HUP226" s="34"/>
      <c r="HUQ226" s="35"/>
      <c r="HUR226" s="35"/>
      <c r="HUS226" s="35"/>
      <c r="HUT226" s="35"/>
      <c r="HUU226" s="35"/>
      <c r="HUV226" s="34"/>
      <c r="HUW226" s="34"/>
      <c r="HUX226" s="36"/>
      <c r="HUY226" s="36"/>
      <c r="HUZ226" s="37"/>
      <c r="HVA226" s="37"/>
      <c r="HVB226" s="38"/>
      <c r="HVC226" s="38"/>
      <c r="HVD226" s="39"/>
      <c r="HVE226" s="34"/>
      <c r="HVF226" s="34"/>
      <c r="HVG226" s="34"/>
      <c r="HVH226" s="35"/>
      <c r="HVI226" s="35"/>
      <c r="HVJ226" s="35"/>
      <c r="HVK226" s="35"/>
      <c r="HVL226" s="35"/>
      <c r="HVM226" s="34"/>
      <c r="HVN226" s="34"/>
      <c r="HVO226" s="36"/>
      <c r="HVP226" s="36"/>
      <c r="HVQ226" s="37"/>
      <c r="HVR226" s="37"/>
      <c r="HVS226" s="38"/>
      <c r="HVT226" s="38"/>
      <c r="HVU226" s="39"/>
      <c r="HVV226" s="34"/>
      <c r="HVW226" s="34"/>
      <c r="HVX226" s="34"/>
      <c r="HVY226" s="35"/>
      <c r="HVZ226" s="35"/>
      <c r="HWA226" s="35"/>
      <c r="HWB226" s="35"/>
      <c r="HWC226" s="35"/>
      <c r="HWD226" s="34"/>
      <c r="HWE226" s="34"/>
      <c r="HWF226" s="36"/>
      <c r="HWG226" s="36"/>
      <c r="HWH226" s="37"/>
      <c r="HWI226" s="37"/>
      <c r="HWJ226" s="38"/>
      <c r="HWK226" s="38"/>
      <c r="HWL226" s="39"/>
      <c r="HWM226" s="34"/>
      <c r="HWN226" s="34"/>
      <c r="HWO226" s="34"/>
      <c r="HWP226" s="35"/>
      <c r="HWQ226" s="35"/>
      <c r="HWR226" s="35"/>
      <c r="HWS226" s="35"/>
      <c r="HWT226" s="35"/>
      <c r="HWU226" s="34"/>
      <c r="HWV226" s="34"/>
      <c r="HWW226" s="36"/>
      <c r="HWX226" s="36"/>
      <c r="HWY226" s="37"/>
      <c r="HWZ226" s="37"/>
      <c r="HXA226" s="38"/>
      <c r="HXB226" s="38"/>
      <c r="HXC226" s="39"/>
      <c r="HXD226" s="34"/>
      <c r="HXE226" s="34"/>
      <c r="HXF226" s="34"/>
      <c r="HXG226" s="35"/>
      <c r="HXH226" s="35"/>
      <c r="HXI226" s="35"/>
      <c r="HXJ226" s="35"/>
      <c r="HXK226" s="35"/>
      <c r="HXL226" s="34"/>
      <c r="HXM226" s="34"/>
      <c r="HXN226" s="36"/>
      <c r="HXO226" s="36"/>
      <c r="HXP226" s="37"/>
      <c r="HXQ226" s="37"/>
      <c r="HXR226" s="38"/>
      <c r="HXS226" s="38"/>
      <c r="HXT226" s="39"/>
      <c r="HXU226" s="34"/>
      <c r="HXV226" s="34"/>
      <c r="HXW226" s="34"/>
      <c r="HXX226" s="35"/>
      <c r="HXY226" s="35"/>
      <c r="HXZ226" s="35"/>
      <c r="HYA226" s="35"/>
      <c r="HYB226" s="35"/>
      <c r="HYC226" s="34"/>
      <c r="HYD226" s="34"/>
      <c r="HYE226" s="36"/>
      <c r="HYF226" s="36"/>
      <c r="HYG226" s="37"/>
      <c r="HYH226" s="37"/>
      <c r="HYI226" s="38"/>
      <c r="HYJ226" s="38"/>
      <c r="HYK226" s="39"/>
      <c r="HYL226" s="34"/>
      <c r="HYM226" s="34"/>
      <c r="HYN226" s="34"/>
      <c r="HYO226" s="35"/>
      <c r="HYP226" s="35"/>
      <c r="HYQ226" s="35"/>
      <c r="HYR226" s="35"/>
      <c r="HYS226" s="35"/>
      <c r="HYT226" s="34"/>
      <c r="HYU226" s="34"/>
      <c r="HYV226" s="36"/>
      <c r="HYW226" s="36"/>
      <c r="HYX226" s="37"/>
      <c r="HYY226" s="37"/>
      <c r="HYZ226" s="38"/>
      <c r="HZA226" s="38"/>
      <c r="HZB226" s="39"/>
      <c r="HZC226" s="34"/>
      <c r="HZD226" s="34"/>
      <c r="HZE226" s="34"/>
      <c r="HZF226" s="35"/>
      <c r="HZG226" s="35"/>
      <c r="HZH226" s="35"/>
      <c r="HZI226" s="35"/>
      <c r="HZJ226" s="35"/>
      <c r="HZK226" s="34"/>
      <c r="HZL226" s="34"/>
      <c r="HZM226" s="36"/>
      <c r="HZN226" s="36"/>
      <c r="HZO226" s="37"/>
      <c r="HZP226" s="37"/>
      <c r="HZQ226" s="38"/>
      <c r="HZR226" s="38"/>
      <c r="HZS226" s="39"/>
      <c r="HZT226" s="34"/>
      <c r="HZU226" s="34"/>
      <c r="HZV226" s="34"/>
      <c r="HZW226" s="35"/>
      <c r="HZX226" s="35"/>
      <c r="HZY226" s="35"/>
      <c r="HZZ226" s="35"/>
      <c r="IAA226" s="35"/>
      <c r="IAB226" s="34"/>
      <c r="IAC226" s="34"/>
      <c r="IAD226" s="36"/>
      <c r="IAE226" s="36"/>
      <c r="IAF226" s="37"/>
      <c r="IAG226" s="37"/>
      <c r="IAH226" s="38"/>
      <c r="IAI226" s="38"/>
      <c r="IAJ226" s="39"/>
      <c r="IAK226" s="34"/>
      <c r="IAL226" s="34"/>
      <c r="IAM226" s="34"/>
      <c r="IAN226" s="35"/>
      <c r="IAO226" s="35"/>
      <c r="IAP226" s="35"/>
      <c r="IAQ226" s="35"/>
      <c r="IAR226" s="35"/>
      <c r="IAS226" s="34"/>
      <c r="IAT226" s="34"/>
      <c r="IAU226" s="36"/>
      <c r="IAV226" s="36"/>
      <c r="IAW226" s="37"/>
      <c r="IAX226" s="37"/>
      <c r="IAY226" s="38"/>
      <c r="IAZ226" s="38"/>
      <c r="IBA226" s="39"/>
      <c r="IBB226" s="34"/>
      <c r="IBC226" s="34"/>
      <c r="IBD226" s="34"/>
      <c r="IBE226" s="35"/>
      <c r="IBF226" s="35"/>
      <c r="IBG226" s="35"/>
      <c r="IBH226" s="35"/>
      <c r="IBI226" s="35"/>
      <c r="IBJ226" s="34"/>
      <c r="IBK226" s="34"/>
      <c r="IBL226" s="36"/>
      <c r="IBM226" s="36"/>
      <c r="IBN226" s="37"/>
      <c r="IBO226" s="37"/>
      <c r="IBP226" s="38"/>
      <c r="IBQ226" s="38"/>
      <c r="IBR226" s="39"/>
      <c r="IBS226" s="34"/>
      <c r="IBT226" s="34"/>
      <c r="IBU226" s="34"/>
      <c r="IBV226" s="35"/>
      <c r="IBW226" s="35"/>
      <c r="IBX226" s="35"/>
      <c r="IBY226" s="35"/>
      <c r="IBZ226" s="35"/>
      <c r="ICA226" s="34"/>
      <c r="ICB226" s="34"/>
      <c r="ICC226" s="36"/>
      <c r="ICD226" s="36"/>
      <c r="ICE226" s="37"/>
      <c r="ICF226" s="37"/>
      <c r="ICG226" s="38"/>
      <c r="ICH226" s="38"/>
      <c r="ICI226" s="39"/>
      <c r="ICJ226" s="34"/>
      <c r="ICK226" s="34"/>
      <c r="ICL226" s="34"/>
      <c r="ICM226" s="35"/>
      <c r="ICN226" s="35"/>
      <c r="ICO226" s="35"/>
      <c r="ICP226" s="35"/>
      <c r="ICQ226" s="35"/>
      <c r="ICR226" s="34"/>
      <c r="ICS226" s="34"/>
      <c r="ICT226" s="36"/>
      <c r="ICU226" s="36"/>
      <c r="ICV226" s="37"/>
      <c r="ICW226" s="37"/>
      <c r="ICX226" s="38"/>
      <c r="ICY226" s="38"/>
      <c r="ICZ226" s="39"/>
      <c r="IDA226" s="34"/>
      <c r="IDB226" s="34"/>
      <c r="IDC226" s="34"/>
      <c r="IDD226" s="35"/>
      <c r="IDE226" s="35"/>
      <c r="IDF226" s="35"/>
      <c r="IDG226" s="35"/>
      <c r="IDH226" s="35"/>
      <c r="IDI226" s="34"/>
      <c r="IDJ226" s="34"/>
      <c r="IDK226" s="36"/>
      <c r="IDL226" s="36"/>
      <c r="IDM226" s="37"/>
      <c r="IDN226" s="37"/>
      <c r="IDO226" s="38"/>
      <c r="IDP226" s="38"/>
      <c r="IDQ226" s="39"/>
      <c r="IDR226" s="34"/>
      <c r="IDS226" s="34"/>
      <c r="IDT226" s="34"/>
      <c r="IDU226" s="35"/>
      <c r="IDV226" s="35"/>
      <c r="IDW226" s="35"/>
      <c r="IDX226" s="35"/>
      <c r="IDY226" s="35"/>
      <c r="IDZ226" s="34"/>
      <c r="IEA226" s="34"/>
      <c r="IEB226" s="36"/>
      <c r="IEC226" s="36"/>
      <c r="IED226" s="37"/>
      <c r="IEE226" s="37"/>
      <c r="IEF226" s="38"/>
      <c r="IEG226" s="38"/>
      <c r="IEH226" s="39"/>
      <c r="IEI226" s="34"/>
      <c r="IEJ226" s="34"/>
      <c r="IEK226" s="34"/>
      <c r="IEL226" s="35"/>
      <c r="IEM226" s="35"/>
      <c r="IEN226" s="35"/>
      <c r="IEO226" s="35"/>
      <c r="IEP226" s="35"/>
      <c r="IEQ226" s="34"/>
      <c r="IER226" s="34"/>
      <c r="IES226" s="36"/>
      <c r="IET226" s="36"/>
      <c r="IEU226" s="37"/>
      <c r="IEV226" s="37"/>
      <c r="IEW226" s="38"/>
      <c r="IEX226" s="38"/>
      <c r="IEY226" s="39"/>
      <c r="IEZ226" s="34"/>
      <c r="IFA226" s="34"/>
      <c r="IFB226" s="34"/>
      <c r="IFC226" s="35"/>
      <c r="IFD226" s="35"/>
      <c r="IFE226" s="35"/>
      <c r="IFF226" s="35"/>
      <c r="IFG226" s="35"/>
      <c r="IFH226" s="34"/>
      <c r="IFI226" s="34"/>
      <c r="IFJ226" s="36"/>
      <c r="IFK226" s="36"/>
      <c r="IFL226" s="37"/>
      <c r="IFM226" s="37"/>
      <c r="IFN226" s="38"/>
      <c r="IFO226" s="38"/>
      <c r="IFP226" s="39"/>
      <c r="IFQ226" s="34"/>
      <c r="IFR226" s="34"/>
      <c r="IFS226" s="34"/>
      <c r="IFT226" s="35"/>
      <c r="IFU226" s="35"/>
      <c r="IFV226" s="35"/>
      <c r="IFW226" s="35"/>
      <c r="IFX226" s="35"/>
      <c r="IFY226" s="34"/>
      <c r="IFZ226" s="34"/>
      <c r="IGA226" s="36"/>
      <c r="IGB226" s="36"/>
      <c r="IGC226" s="37"/>
      <c r="IGD226" s="37"/>
      <c r="IGE226" s="38"/>
      <c r="IGF226" s="38"/>
      <c r="IGG226" s="39"/>
      <c r="IGH226" s="34"/>
      <c r="IGI226" s="34"/>
      <c r="IGJ226" s="34"/>
      <c r="IGK226" s="35"/>
      <c r="IGL226" s="35"/>
      <c r="IGM226" s="35"/>
      <c r="IGN226" s="35"/>
      <c r="IGO226" s="35"/>
      <c r="IGP226" s="34"/>
      <c r="IGQ226" s="34"/>
      <c r="IGR226" s="36"/>
      <c r="IGS226" s="36"/>
      <c r="IGT226" s="37"/>
      <c r="IGU226" s="37"/>
      <c r="IGV226" s="38"/>
      <c r="IGW226" s="38"/>
      <c r="IGX226" s="39"/>
      <c r="IGY226" s="34"/>
      <c r="IGZ226" s="34"/>
      <c r="IHA226" s="34"/>
      <c r="IHB226" s="35"/>
      <c r="IHC226" s="35"/>
      <c r="IHD226" s="35"/>
      <c r="IHE226" s="35"/>
      <c r="IHF226" s="35"/>
      <c r="IHG226" s="34"/>
      <c r="IHH226" s="34"/>
      <c r="IHI226" s="36"/>
      <c r="IHJ226" s="36"/>
      <c r="IHK226" s="37"/>
      <c r="IHL226" s="37"/>
      <c r="IHM226" s="38"/>
      <c r="IHN226" s="38"/>
      <c r="IHO226" s="39"/>
      <c r="IHP226" s="34"/>
      <c r="IHQ226" s="34"/>
      <c r="IHR226" s="34"/>
      <c r="IHS226" s="35"/>
      <c r="IHT226" s="35"/>
      <c r="IHU226" s="35"/>
      <c r="IHV226" s="35"/>
      <c r="IHW226" s="35"/>
      <c r="IHX226" s="34"/>
      <c r="IHY226" s="34"/>
      <c r="IHZ226" s="36"/>
      <c r="IIA226" s="36"/>
      <c r="IIB226" s="37"/>
      <c r="IIC226" s="37"/>
      <c r="IID226" s="38"/>
      <c r="IIE226" s="38"/>
      <c r="IIF226" s="39"/>
      <c r="IIG226" s="34"/>
      <c r="IIH226" s="34"/>
      <c r="III226" s="34"/>
      <c r="IIJ226" s="35"/>
      <c r="IIK226" s="35"/>
      <c r="IIL226" s="35"/>
      <c r="IIM226" s="35"/>
      <c r="IIN226" s="35"/>
      <c r="IIO226" s="34"/>
      <c r="IIP226" s="34"/>
      <c r="IIQ226" s="36"/>
      <c r="IIR226" s="36"/>
      <c r="IIS226" s="37"/>
      <c r="IIT226" s="37"/>
      <c r="IIU226" s="38"/>
      <c r="IIV226" s="38"/>
      <c r="IIW226" s="39"/>
      <c r="IIX226" s="34"/>
      <c r="IIY226" s="34"/>
      <c r="IIZ226" s="34"/>
      <c r="IJA226" s="35"/>
      <c r="IJB226" s="35"/>
      <c r="IJC226" s="35"/>
      <c r="IJD226" s="35"/>
      <c r="IJE226" s="35"/>
      <c r="IJF226" s="34"/>
      <c r="IJG226" s="34"/>
      <c r="IJH226" s="36"/>
      <c r="IJI226" s="36"/>
      <c r="IJJ226" s="37"/>
      <c r="IJK226" s="37"/>
      <c r="IJL226" s="38"/>
      <c r="IJM226" s="38"/>
      <c r="IJN226" s="39"/>
      <c r="IJO226" s="34"/>
      <c r="IJP226" s="34"/>
      <c r="IJQ226" s="34"/>
      <c r="IJR226" s="35"/>
      <c r="IJS226" s="35"/>
      <c r="IJT226" s="35"/>
      <c r="IJU226" s="35"/>
      <c r="IJV226" s="35"/>
      <c r="IJW226" s="34"/>
      <c r="IJX226" s="34"/>
      <c r="IJY226" s="36"/>
      <c r="IJZ226" s="36"/>
      <c r="IKA226" s="37"/>
      <c r="IKB226" s="37"/>
      <c r="IKC226" s="38"/>
      <c r="IKD226" s="38"/>
      <c r="IKE226" s="39"/>
      <c r="IKF226" s="34"/>
      <c r="IKG226" s="34"/>
      <c r="IKH226" s="34"/>
      <c r="IKI226" s="35"/>
      <c r="IKJ226" s="35"/>
      <c r="IKK226" s="35"/>
      <c r="IKL226" s="35"/>
      <c r="IKM226" s="35"/>
      <c r="IKN226" s="34"/>
      <c r="IKO226" s="34"/>
      <c r="IKP226" s="36"/>
      <c r="IKQ226" s="36"/>
      <c r="IKR226" s="37"/>
      <c r="IKS226" s="37"/>
      <c r="IKT226" s="38"/>
      <c r="IKU226" s="38"/>
      <c r="IKV226" s="39"/>
      <c r="IKW226" s="34"/>
      <c r="IKX226" s="34"/>
      <c r="IKY226" s="34"/>
      <c r="IKZ226" s="35"/>
      <c r="ILA226" s="35"/>
      <c r="ILB226" s="35"/>
      <c r="ILC226" s="35"/>
      <c r="ILD226" s="35"/>
      <c r="ILE226" s="34"/>
      <c r="ILF226" s="34"/>
      <c r="ILG226" s="36"/>
      <c r="ILH226" s="36"/>
      <c r="ILI226" s="37"/>
      <c r="ILJ226" s="37"/>
      <c r="ILK226" s="38"/>
      <c r="ILL226" s="38"/>
      <c r="ILM226" s="39"/>
      <c r="ILN226" s="34"/>
      <c r="ILO226" s="34"/>
      <c r="ILP226" s="34"/>
      <c r="ILQ226" s="35"/>
      <c r="ILR226" s="35"/>
      <c r="ILS226" s="35"/>
      <c r="ILT226" s="35"/>
      <c r="ILU226" s="35"/>
      <c r="ILV226" s="34"/>
      <c r="ILW226" s="34"/>
      <c r="ILX226" s="36"/>
      <c r="ILY226" s="36"/>
      <c r="ILZ226" s="37"/>
      <c r="IMA226" s="37"/>
      <c r="IMB226" s="38"/>
      <c r="IMC226" s="38"/>
      <c r="IMD226" s="39"/>
      <c r="IME226" s="34"/>
      <c r="IMF226" s="34"/>
      <c r="IMG226" s="34"/>
      <c r="IMH226" s="35"/>
      <c r="IMI226" s="35"/>
      <c r="IMJ226" s="35"/>
      <c r="IMK226" s="35"/>
      <c r="IML226" s="35"/>
      <c r="IMM226" s="34"/>
      <c r="IMN226" s="34"/>
      <c r="IMO226" s="36"/>
      <c r="IMP226" s="36"/>
      <c r="IMQ226" s="37"/>
      <c r="IMR226" s="37"/>
      <c r="IMS226" s="38"/>
      <c r="IMT226" s="38"/>
      <c r="IMU226" s="39"/>
      <c r="IMV226" s="34"/>
      <c r="IMW226" s="34"/>
      <c r="IMX226" s="34"/>
      <c r="IMY226" s="35"/>
      <c r="IMZ226" s="35"/>
      <c r="INA226" s="35"/>
      <c r="INB226" s="35"/>
      <c r="INC226" s="35"/>
      <c r="IND226" s="34"/>
      <c r="INE226" s="34"/>
      <c r="INF226" s="36"/>
      <c r="ING226" s="36"/>
      <c r="INH226" s="37"/>
      <c r="INI226" s="37"/>
      <c r="INJ226" s="38"/>
      <c r="INK226" s="38"/>
      <c r="INL226" s="39"/>
      <c r="INM226" s="34"/>
      <c r="INN226" s="34"/>
      <c r="INO226" s="34"/>
      <c r="INP226" s="35"/>
      <c r="INQ226" s="35"/>
      <c r="INR226" s="35"/>
      <c r="INS226" s="35"/>
      <c r="INT226" s="35"/>
      <c r="INU226" s="34"/>
      <c r="INV226" s="34"/>
      <c r="INW226" s="36"/>
      <c r="INX226" s="36"/>
      <c r="INY226" s="37"/>
      <c r="INZ226" s="37"/>
      <c r="IOA226" s="38"/>
      <c r="IOB226" s="38"/>
      <c r="IOC226" s="39"/>
      <c r="IOD226" s="34"/>
      <c r="IOE226" s="34"/>
      <c r="IOF226" s="34"/>
      <c r="IOG226" s="35"/>
      <c r="IOH226" s="35"/>
      <c r="IOI226" s="35"/>
      <c r="IOJ226" s="35"/>
      <c r="IOK226" s="35"/>
      <c r="IOL226" s="34"/>
      <c r="IOM226" s="34"/>
      <c r="ION226" s="36"/>
      <c r="IOO226" s="36"/>
      <c r="IOP226" s="37"/>
      <c r="IOQ226" s="37"/>
      <c r="IOR226" s="38"/>
      <c r="IOS226" s="38"/>
      <c r="IOT226" s="39"/>
      <c r="IOU226" s="34"/>
      <c r="IOV226" s="34"/>
      <c r="IOW226" s="34"/>
      <c r="IOX226" s="35"/>
      <c r="IOY226" s="35"/>
      <c r="IOZ226" s="35"/>
      <c r="IPA226" s="35"/>
      <c r="IPB226" s="35"/>
      <c r="IPC226" s="34"/>
      <c r="IPD226" s="34"/>
      <c r="IPE226" s="36"/>
      <c r="IPF226" s="36"/>
      <c r="IPG226" s="37"/>
      <c r="IPH226" s="37"/>
      <c r="IPI226" s="38"/>
      <c r="IPJ226" s="38"/>
      <c r="IPK226" s="39"/>
      <c r="IPL226" s="34"/>
      <c r="IPM226" s="34"/>
      <c r="IPN226" s="34"/>
      <c r="IPO226" s="35"/>
      <c r="IPP226" s="35"/>
      <c r="IPQ226" s="35"/>
      <c r="IPR226" s="35"/>
      <c r="IPS226" s="35"/>
      <c r="IPT226" s="34"/>
      <c r="IPU226" s="34"/>
      <c r="IPV226" s="36"/>
      <c r="IPW226" s="36"/>
      <c r="IPX226" s="37"/>
      <c r="IPY226" s="37"/>
      <c r="IPZ226" s="38"/>
      <c r="IQA226" s="38"/>
      <c r="IQB226" s="39"/>
      <c r="IQC226" s="34"/>
      <c r="IQD226" s="34"/>
      <c r="IQE226" s="34"/>
      <c r="IQF226" s="35"/>
      <c r="IQG226" s="35"/>
      <c r="IQH226" s="35"/>
      <c r="IQI226" s="35"/>
      <c r="IQJ226" s="35"/>
      <c r="IQK226" s="34"/>
      <c r="IQL226" s="34"/>
      <c r="IQM226" s="36"/>
      <c r="IQN226" s="36"/>
      <c r="IQO226" s="37"/>
      <c r="IQP226" s="37"/>
      <c r="IQQ226" s="38"/>
      <c r="IQR226" s="38"/>
      <c r="IQS226" s="39"/>
      <c r="IQT226" s="34"/>
      <c r="IQU226" s="34"/>
      <c r="IQV226" s="34"/>
      <c r="IQW226" s="35"/>
      <c r="IQX226" s="35"/>
      <c r="IQY226" s="35"/>
      <c r="IQZ226" s="35"/>
      <c r="IRA226" s="35"/>
      <c r="IRB226" s="34"/>
      <c r="IRC226" s="34"/>
      <c r="IRD226" s="36"/>
      <c r="IRE226" s="36"/>
      <c r="IRF226" s="37"/>
      <c r="IRG226" s="37"/>
      <c r="IRH226" s="38"/>
      <c r="IRI226" s="38"/>
      <c r="IRJ226" s="39"/>
      <c r="IRK226" s="34"/>
      <c r="IRL226" s="34"/>
      <c r="IRM226" s="34"/>
      <c r="IRN226" s="35"/>
      <c r="IRO226" s="35"/>
      <c r="IRP226" s="35"/>
      <c r="IRQ226" s="35"/>
      <c r="IRR226" s="35"/>
      <c r="IRS226" s="34"/>
      <c r="IRT226" s="34"/>
      <c r="IRU226" s="36"/>
      <c r="IRV226" s="36"/>
      <c r="IRW226" s="37"/>
      <c r="IRX226" s="37"/>
      <c r="IRY226" s="38"/>
      <c r="IRZ226" s="38"/>
      <c r="ISA226" s="39"/>
      <c r="ISB226" s="34"/>
      <c r="ISC226" s="34"/>
      <c r="ISD226" s="34"/>
      <c r="ISE226" s="35"/>
      <c r="ISF226" s="35"/>
      <c r="ISG226" s="35"/>
      <c r="ISH226" s="35"/>
      <c r="ISI226" s="35"/>
      <c r="ISJ226" s="34"/>
      <c r="ISK226" s="34"/>
      <c r="ISL226" s="36"/>
      <c r="ISM226" s="36"/>
      <c r="ISN226" s="37"/>
      <c r="ISO226" s="37"/>
      <c r="ISP226" s="38"/>
      <c r="ISQ226" s="38"/>
      <c r="ISR226" s="39"/>
      <c r="ISS226" s="34"/>
      <c r="IST226" s="34"/>
      <c r="ISU226" s="34"/>
      <c r="ISV226" s="35"/>
      <c r="ISW226" s="35"/>
      <c r="ISX226" s="35"/>
      <c r="ISY226" s="35"/>
      <c r="ISZ226" s="35"/>
      <c r="ITA226" s="34"/>
      <c r="ITB226" s="34"/>
      <c r="ITC226" s="36"/>
      <c r="ITD226" s="36"/>
      <c r="ITE226" s="37"/>
      <c r="ITF226" s="37"/>
      <c r="ITG226" s="38"/>
      <c r="ITH226" s="38"/>
      <c r="ITI226" s="39"/>
      <c r="ITJ226" s="34"/>
      <c r="ITK226" s="34"/>
      <c r="ITL226" s="34"/>
      <c r="ITM226" s="35"/>
      <c r="ITN226" s="35"/>
      <c r="ITO226" s="35"/>
      <c r="ITP226" s="35"/>
      <c r="ITQ226" s="35"/>
      <c r="ITR226" s="34"/>
      <c r="ITS226" s="34"/>
      <c r="ITT226" s="36"/>
      <c r="ITU226" s="36"/>
      <c r="ITV226" s="37"/>
      <c r="ITW226" s="37"/>
      <c r="ITX226" s="38"/>
      <c r="ITY226" s="38"/>
      <c r="ITZ226" s="39"/>
      <c r="IUA226" s="34"/>
      <c r="IUB226" s="34"/>
      <c r="IUC226" s="34"/>
      <c r="IUD226" s="35"/>
      <c r="IUE226" s="35"/>
      <c r="IUF226" s="35"/>
      <c r="IUG226" s="35"/>
      <c r="IUH226" s="35"/>
      <c r="IUI226" s="34"/>
      <c r="IUJ226" s="34"/>
      <c r="IUK226" s="36"/>
      <c r="IUL226" s="36"/>
      <c r="IUM226" s="37"/>
      <c r="IUN226" s="37"/>
      <c r="IUO226" s="38"/>
      <c r="IUP226" s="38"/>
      <c r="IUQ226" s="39"/>
      <c r="IUR226" s="34"/>
      <c r="IUS226" s="34"/>
      <c r="IUT226" s="34"/>
      <c r="IUU226" s="35"/>
      <c r="IUV226" s="35"/>
      <c r="IUW226" s="35"/>
      <c r="IUX226" s="35"/>
      <c r="IUY226" s="35"/>
      <c r="IUZ226" s="34"/>
      <c r="IVA226" s="34"/>
      <c r="IVB226" s="36"/>
      <c r="IVC226" s="36"/>
      <c r="IVD226" s="37"/>
      <c r="IVE226" s="37"/>
      <c r="IVF226" s="38"/>
      <c r="IVG226" s="38"/>
      <c r="IVH226" s="39"/>
      <c r="IVI226" s="34"/>
      <c r="IVJ226" s="34"/>
      <c r="IVK226" s="34"/>
      <c r="IVL226" s="35"/>
      <c r="IVM226" s="35"/>
      <c r="IVN226" s="35"/>
      <c r="IVO226" s="35"/>
      <c r="IVP226" s="35"/>
      <c r="IVQ226" s="34"/>
      <c r="IVR226" s="34"/>
      <c r="IVS226" s="36"/>
      <c r="IVT226" s="36"/>
      <c r="IVU226" s="37"/>
      <c r="IVV226" s="37"/>
      <c r="IVW226" s="38"/>
      <c r="IVX226" s="38"/>
      <c r="IVY226" s="39"/>
      <c r="IVZ226" s="34"/>
      <c r="IWA226" s="34"/>
      <c r="IWB226" s="34"/>
      <c r="IWC226" s="35"/>
      <c r="IWD226" s="35"/>
      <c r="IWE226" s="35"/>
      <c r="IWF226" s="35"/>
      <c r="IWG226" s="35"/>
      <c r="IWH226" s="34"/>
      <c r="IWI226" s="34"/>
      <c r="IWJ226" s="36"/>
      <c r="IWK226" s="36"/>
      <c r="IWL226" s="37"/>
      <c r="IWM226" s="37"/>
      <c r="IWN226" s="38"/>
      <c r="IWO226" s="38"/>
      <c r="IWP226" s="39"/>
      <c r="IWQ226" s="34"/>
      <c r="IWR226" s="34"/>
      <c r="IWS226" s="34"/>
      <c r="IWT226" s="35"/>
      <c r="IWU226" s="35"/>
      <c r="IWV226" s="35"/>
      <c r="IWW226" s="35"/>
      <c r="IWX226" s="35"/>
      <c r="IWY226" s="34"/>
      <c r="IWZ226" s="34"/>
      <c r="IXA226" s="36"/>
      <c r="IXB226" s="36"/>
      <c r="IXC226" s="37"/>
      <c r="IXD226" s="37"/>
      <c r="IXE226" s="38"/>
      <c r="IXF226" s="38"/>
      <c r="IXG226" s="39"/>
      <c r="IXH226" s="34"/>
      <c r="IXI226" s="34"/>
      <c r="IXJ226" s="34"/>
      <c r="IXK226" s="35"/>
      <c r="IXL226" s="35"/>
      <c r="IXM226" s="35"/>
      <c r="IXN226" s="35"/>
      <c r="IXO226" s="35"/>
      <c r="IXP226" s="34"/>
      <c r="IXQ226" s="34"/>
      <c r="IXR226" s="36"/>
      <c r="IXS226" s="36"/>
      <c r="IXT226" s="37"/>
      <c r="IXU226" s="37"/>
      <c r="IXV226" s="38"/>
      <c r="IXW226" s="38"/>
      <c r="IXX226" s="39"/>
      <c r="IXY226" s="34"/>
      <c r="IXZ226" s="34"/>
      <c r="IYA226" s="34"/>
      <c r="IYB226" s="35"/>
      <c r="IYC226" s="35"/>
      <c r="IYD226" s="35"/>
      <c r="IYE226" s="35"/>
      <c r="IYF226" s="35"/>
      <c r="IYG226" s="34"/>
      <c r="IYH226" s="34"/>
      <c r="IYI226" s="36"/>
      <c r="IYJ226" s="36"/>
      <c r="IYK226" s="37"/>
      <c r="IYL226" s="37"/>
      <c r="IYM226" s="38"/>
      <c r="IYN226" s="38"/>
      <c r="IYO226" s="39"/>
      <c r="IYP226" s="34"/>
      <c r="IYQ226" s="34"/>
      <c r="IYR226" s="34"/>
      <c r="IYS226" s="35"/>
      <c r="IYT226" s="35"/>
      <c r="IYU226" s="35"/>
      <c r="IYV226" s="35"/>
      <c r="IYW226" s="35"/>
      <c r="IYX226" s="34"/>
      <c r="IYY226" s="34"/>
      <c r="IYZ226" s="36"/>
      <c r="IZA226" s="36"/>
      <c r="IZB226" s="37"/>
      <c r="IZC226" s="37"/>
      <c r="IZD226" s="38"/>
      <c r="IZE226" s="38"/>
      <c r="IZF226" s="39"/>
      <c r="IZG226" s="34"/>
      <c r="IZH226" s="34"/>
      <c r="IZI226" s="34"/>
      <c r="IZJ226" s="35"/>
      <c r="IZK226" s="35"/>
      <c r="IZL226" s="35"/>
      <c r="IZM226" s="35"/>
      <c r="IZN226" s="35"/>
      <c r="IZO226" s="34"/>
      <c r="IZP226" s="34"/>
      <c r="IZQ226" s="36"/>
      <c r="IZR226" s="36"/>
      <c r="IZS226" s="37"/>
      <c r="IZT226" s="37"/>
      <c r="IZU226" s="38"/>
      <c r="IZV226" s="38"/>
      <c r="IZW226" s="39"/>
      <c r="IZX226" s="34"/>
      <c r="IZY226" s="34"/>
      <c r="IZZ226" s="34"/>
      <c r="JAA226" s="35"/>
      <c r="JAB226" s="35"/>
      <c r="JAC226" s="35"/>
      <c r="JAD226" s="35"/>
      <c r="JAE226" s="35"/>
      <c r="JAF226" s="34"/>
      <c r="JAG226" s="34"/>
      <c r="JAH226" s="36"/>
      <c r="JAI226" s="36"/>
      <c r="JAJ226" s="37"/>
      <c r="JAK226" s="37"/>
      <c r="JAL226" s="38"/>
      <c r="JAM226" s="38"/>
      <c r="JAN226" s="39"/>
      <c r="JAO226" s="34"/>
      <c r="JAP226" s="34"/>
      <c r="JAQ226" s="34"/>
      <c r="JAR226" s="35"/>
      <c r="JAS226" s="35"/>
      <c r="JAT226" s="35"/>
      <c r="JAU226" s="35"/>
      <c r="JAV226" s="35"/>
      <c r="JAW226" s="34"/>
      <c r="JAX226" s="34"/>
      <c r="JAY226" s="36"/>
      <c r="JAZ226" s="36"/>
      <c r="JBA226" s="37"/>
      <c r="JBB226" s="37"/>
      <c r="JBC226" s="38"/>
      <c r="JBD226" s="38"/>
      <c r="JBE226" s="39"/>
      <c r="JBF226" s="34"/>
      <c r="JBG226" s="34"/>
      <c r="JBH226" s="34"/>
      <c r="JBI226" s="35"/>
      <c r="JBJ226" s="35"/>
      <c r="JBK226" s="35"/>
      <c r="JBL226" s="35"/>
      <c r="JBM226" s="35"/>
      <c r="JBN226" s="34"/>
      <c r="JBO226" s="34"/>
      <c r="JBP226" s="36"/>
      <c r="JBQ226" s="36"/>
      <c r="JBR226" s="37"/>
      <c r="JBS226" s="37"/>
      <c r="JBT226" s="38"/>
      <c r="JBU226" s="38"/>
      <c r="JBV226" s="39"/>
      <c r="JBW226" s="34"/>
      <c r="JBX226" s="34"/>
      <c r="JBY226" s="34"/>
      <c r="JBZ226" s="35"/>
      <c r="JCA226" s="35"/>
      <c r="JCB226" s="35"/>
      <c r="JCC226" s="35"/>
      <c r="JCD226" s="35"/>
      <c r="JCE226" s="34"/>
      <c r="JCF226" s="34"/>
      <c r="JCG226" s="36"/>
      <c r="JCH226" s="36"/>
      <c r="JCI226" s="37"/>
      <c r="JCJ226" s="37"/>
      <c r="JCK226" s="38"/>
      <c r="JCL226" s="38"/>
      <c r="JCM226" s="39"/>
      <c r="JCN226" s="34"/>
      <c r="JCO226" s="34"/>
      <c r="JCP226" s="34"/>
      <c r="JCQ226" s="35"/>
      <c r="JCR226" s="35"/>
      <c r="JCS226" s="35"/>
      <c r="JCT226" s="35"/>
      <c r="JCU226" s="35"/>
      <c r="JCV226" s="34"/>
      <c r="JCW226" s="34"/>
      <c r="JCX226" s="36"/>
      <c r="JCY226" s="36"/>
      <c r="JCZ226" s="37"/>
      <c r="JDA226" s="37"/>
      <c r="JDB226" s="38"/>
      <c r="JDC226" s="38"/>
      <c r="JDD226" s="39"/>
      <c r="JDE226" s="34"/>
      <c r="JDF226" s="34"/>
      <c r="JDG226" s="34"/>
      <c r="JDH226" s="35"/>
      <c r="JDI226" s="35"/>
      <c r="JDJ226" s="35"/>
      <c r="JDK226" s="35"/>
      <c r="JDL226" s="35"/>
      <c r="JDM226" s="34"/>
      <c r="JDN226" s="34"/>
      <c r="JDO226" s="36"/>
      <c r="JDP226" s="36"/>
      <c r="JDQ226" s="37"/>
      <c r="JDR226" s="37"/>
      <c r="JDS226" s="38"/>
      <c r="JDT226" s="38"/>
      <c r="JDU226" s="39"/>
      <c r="JDV226" s="34"/>
      <c r="JDW226" s="34"/>
      <c r="JDX226" s="34"/>
      <c r="JDY226" s="35"/>
      <c r="JDZ226" s="35"/>
      <c r="JEA226" s="35"/>
      <c r="JEB226" s="35"/>
      <c r="JEC226" s="35"/>
      <c r="JED226" s="34"/>
      <c r="JEE226" s="34"/>
      <c r="JEF226" s="36"/>
      <c r="JEG226" s="36"/>
      <c r="JEH226" s="37"/>
      <c r="JEI226" s="37"/>
      <c r="JEJ226" s="38"/>
      <c r="JEK226" s="38"/>
      <c r="JEL226" s="39"/>
      <c r="JEM226" s="34"/>
      <c r="JEN226" s="34"/>
      <c r="JEO226" s="34"/>
      <c r="JEP226" s="35"/>
      <c r="JEQ226" s="35"/>
      <c r="JER226" s="35"/>
      <c r="JES226" s="35"/>
      <c r="JET226" s="35"/>
      <c r="JEU226" s="34"/>
      <c r="JEV226" s="34"/>
      <c r="JEW226" s="36"/>
      <c r="JEX226" s="36"/>
      <c r="JEY226" s="37"/>
      <c r="JEZ226" s="37"/>
      <c r="JFA226" s="38"/>
      <c r="JFB226" s="38"/>
      <c r="JFC226" s="39"/>
      <c r="JFD226" s="34"/>
      <c r="JFE226" s="34"/>
      <c r="JFF226" s="34"/>
      <c r="JFG226" s="35"/>
      <c r="JFH226" s="35"/>
      <c r="JFI226" s="35"/>
      <c r="JFJ226" s="35"/>
      <c r="JFK226" s="35"/>
      <c r="JFL226" s="34"/>
      <c r="JFM226" s="34"/>
      <c r="JFN226" s="36"/>
      <c r="JFO226" s="36"/>
      <c r="JFP226" s="37"/>
      <c r="JFQ226" s="37"/>
      <c r="JFR226" s="38"/>
      <c r="JFS226" s="38"/>
      <c r="JFT226" s="39"/>
      <c r="JFU226" s="34"/>
      <c r="JFV226" s="34"/>
      <c r="JFW226" s="34"/>
      <c r="JFX226" s="35"/>
      <c r="JFY226" s="35"/>
      <c r="JFZ226" s="35"/>
      <c r="JGA226" s="35"/>
      <c r="JGB226" s="35"/>
      <c r="JGC226" s="34"/>
      <c r="JGD226" s="34"/>
      <c r="JGE226" s="36"/>
      <c r="JGF226" s="36"/>
      <c r="JGG226" s="37"/>
      <c r="JGH226" s="37"/>
      <c r="JGI226" s="38"/>
      <c r="JGJ226" s="38"/>
      <c r="JGK226" s="39"/>
      <c r="JGL226" s="34"/>
      <c r="JGM226" s="34"/>
      <c r="JGN226" s="34"/>
      <c r="JGO226" s="35"/>
      <c r="JGP226" s="35"/>
      <c r="JGQ226" s="35"/>
      <c r="JGR226" s="35"/>
      <c r="JGS226" s="35"/>
      <c r="JGT226" s="34"/>
      <c r="JGU226" s="34"/>
      <c r="JGV226" s="36"/>
      <c r="JGW226" s="36"/>
      <c r="JGX226" s="37"/>
      <c r="JGY226" s="37"/>
      <c r="JGZ226" s="38"/>
      <c r="JHA226" s="38"/>
      <c r="JHB226" s="39"/>
      <c r="JHC226" s="34"/>
      <c r="JHD226" s="34"/>
      <c r="JHE226" s="34"/>
      <c r="JHF226" s="35"/>
      <c r="JHG226" s="35"/>
      <c r="JHH226" s="35"/>
      <c r="JHI226" s="35"/>
      <c r="JHJ226" s="35"/>
      <c r="JHK226" s="34"/>
      <c r="JHL226" s="34"/>
      <c r="JHM226" s="36"/>
      <c r="JHN226" s="36"/>
      <c r="JHO226" s="37"/>
      <c r="JHP226" s="37"/>
      <c r="JHQ226" s="38"/>
      <c r="JHR226" s="38"/>
      <c r="JHS226" s="39"/>
      <c r="JHT226" s="34"/>
      <c r="JHU226" s="34"/>
      <c r="JHV226" s="34"/>
      <c r="JHW226" s="35"/>
      <c r="JHX226" s="35"/>
      <c r="JHY226" s="35"/>
      <c r="JHZ226" s="35"/>
      <c r="JIA226" s="35"/>
      <c r="JIB226" s="34"/>
      <c r="JIC226" s="34"/>
      <c r="JID226" s="36"/>
      <c r="JIE226" s="36"/>
      <c r="JIF226" s="37"/>
      <c r="JIG226" s="37"/>
      <c r="JIH226" s="38"/>
      <c r="JII226" s="38"/>
      <c r="JIJ226" s="39"/>
      <c r="JIK226" s="34"/>
      <c r="JIL226" s="34"/>
      <c r="JIM226" s="34"/>
      <c r="JIN226" s="35"/>
      <c r="JIO226" s="35"/>
      <c r="JIP226" s="35"/>
      <c r="JIQ226" s="35"/>
      <c r="JIR226" s="35"/>
      <c r="JIS226" s="34"/>
      <c r="JIT226" s="34"/>
      <c r="JIU226" s="36"/>
      <c r="JIV226" s="36"/>
      <c r="JIW226" s="37"/>
      <c r="JIX226" s="37"/>
      <c r="JIY226" s="38"/>
      <c r="JIZ226" s="38"/>
      <c r="JJA226" s="39"/>
      <c r="JJB226" s="34"/>
      <c r="JJC226" s="34"/>
      <c r="JJD226" s="34"/>
      <c r="JJE226" s="35"/>
      <c r="JJF226" s="35"/>
      <c r="JJG226" s="35"/>
      <c r="JJH226" s="35"/>
      <c r="JJI226" s="35"/>
      <c r="JJJ226" s="34"/>
      <c r="JJK226" s="34"/>
      <c r="JJL226" s="36"/>
      <c r="JJM226" s="36"/>
      <c r="JJN226" s="37"/>
      <c r="JJO226" s="37"/>
      <c r="JJP226" s="38"/>
      <c r="JJQ226" s="38"/>
      <c r="JJR226" s="39"/>
      <c r="JJS226" s="34"/>
      <c r="JJT226" s="34"/>
      <c r="JJU226" s="34"/>
      <c r="JJV226" s="35"/>
      <c r="JJW226" s="35"/>
      <c r="JJX226" s="35"/>
      <c r="JJY226" s="35"/>
      <c r="JJZ226" s="35"/>
      <c r="JKA226" s="34"/>
      <c r="JKB226" s="34"/>
      <c r="JKC226" s="36"/>
      <c r="JKD226" s="36"/>
      <c r="JKE226" s="37"/>
      <c r="JKF226" s="37"/>
      <c r="JKG226" s="38"/>
      <c r="JKH226" s="38"/>
      <c r="JKI226" s="39"/>
      <c r="JKJ226" s="34"/>
      <c r="JKK226" s="34"/>
      <c r="JKL226" s="34"/>
      <c r="JKM226" s="35"/>
      <c r="JKN226" s="35"/>
      <c r="JKO226" s="35"/>
      <c r="JKP226" s="35"/>
      <c r="JKQ226" s="35"/>
      <c r="JKR226" s="34"/>
      <c r="JKS226" s="34"/>
      <c r="JKT226" s="36"/>
      <c r="JKU226" s="36"/>
      <c r="JKV226" s="37"/>
      <c r="JKW226" s="37"/>
      <c r="JKX226" s="38"/>
      <c r="JKY226" s="38"/>
      <c r="JKZ226" s="39"/>
      <c r="JLA226" s="34"/>
      <c r="JLB226" s="34"/>
      <c r="JLC226" s="34"/>
      <c r="JLD226" s="35"/>
      <c r="JLE226" s="35"/>
      <c r="JLF226" s="35"/>
      <c r="JLG226" s="35"/>
      <c r="JLH226" s="35"/>
      <c r="JLI226" s="34"/>
      <c r="JLJ226" s="34"/>
      <c r="JLK226" s="36"/>
      <c r="JLL226" s="36"/>
      <c r="JLM226" s="37"/>
      <c r="JLN226" s="37"/>
      <c r="JLO226" s="38"/>
      <c r="JLP226" s="38"/>
      <c r="JLQ226" s="39"/>
      <c r="JLR226" s="34"/>
      <c r="JLS226" s="34"/>
      <c r="JLT226" s="34"/>
      <c r="JLU226" s="35"/>
      <c r="JLV226" s="35"/>
      <c r="JLW226" s="35"/>
      <c r="JLX226" s="35"/>
      <c r="JLY226" s="35"/>
      <c r="JLZ226" s="34"/>
      <c r="JMA226" s="34"/>
      <c r="JMB226" s="36"/>
      <c r="JMC226" s="36"/>
      <c r="JMD226" s="37"/>
      <c r="JME226" s="37"/>
      <c r="JMF226" s="38"/>
      <c r="JMG226" s="38"/>
      <c r="JMH226" s="39"/>
      <c r="JMI226" s="34"/>
      <c r="JMJ226" s="34"/>
      <c r="JMK226" s="34"/>
      <c r="JML226" s="35"/>
      <c r="JMM226" s="35"/>
      <c r="JMN226" s="35"/>
      <c r="JMO226" s="35"/>
      <c r="JMP226" s="35"/>
      <c r="JMQ226" s="34"/>
      <c r="JMR226" s="34"/>
      <c r="JMS226" s="36"/>
      <c r="JMT226" s="36"/>
      <c r="JMU226" s="37"/>
      <c r="JMV226" s="37"/>
      <c r="JMW226" s="38"/>
      <c r="JMX226" s="38"/>
      <c r="JMY226" s="39"/>
      <c r="JMZ226" s="34"/>
      <c r="JNA226" s="34"/>
      <c r="JNB226" s="34"/>
      <c r="JNC226" s="35"/>
      <c r="JND226" s="35"/>
      <c r="JNE226" s="35"/>
      <c r="JNF226" s="35"/>
      <c r="JNG226" s="35"/>
      <c r="JNH226" s="34"/>
      <c r="JNI226" s="34"/>
      <c r="JNJ226" s="36"/>
      <c r="JNK226" s="36"/>
      <c r="JNL226" s="37"/>
      <c r="JNM226" s="37"/>
      <c r="JNN226" s="38"/>
      <c r="JNO226" s="38"/>
      <c r="JNP226" s="39"/>
      <c r="JNQ226" s="34"/>
      <c r="JNR226" s="34"/>
      <c r="JNS226" s="34"/>
      <c r="JNT226" s="35"/>
      <c r="JNU226" s="35"/>
      <c r="JNV226" s="35"/>
      <c r="JNW226" s="35"/>
      <c r="JNX226" s="35"/>
      <c r="JNY226" s="34"/>
      <c r="JNZ226" s="34"/>
      <c r="JOA226" s="36"/>
      <c r="JOB226" s="36"/>
      <c r="JOC226" s="37"/>
      <c r="JOD226" s="37"/>
      <c r="JOE226" s="38"/>
      <c r="JOF226" s="38"/>
      <c r="JOG226" s="39"/>
      <c r="JOH226" s="34"/>
      <c r="JOI226" s="34"/>
      <c r="JOJ226" s="34"/>
      <c r="JOK226" s="35"/>
      <c r="JOL226" s="35"/>
      <c r="JOM226" s="35"/>
      <c r="JON226" s="35"/>
      <c r="JOO226" s="35"/>
      <c r="JOP226" s="34"/>
      <c r="JOQ226" s="34"/>
      <c r="JOR226" s="36"/>
      <c r="JOS226" s="36"/>
      <c r="JOT226" s="37"/>
      <c r="JOU226" s="37"/>
      <c r="JOV226" s="38"/>
      <c r="JOW226" s="38"/>
      <c r="JOX226" s="39"/>
      <c r="JOY226" s="34"/>
      <c r="JOZ226" s="34"/>
      <c r="JPA226" s="34"/>
      <c r="JPB226" s="35"/>
      <c r="JPC226" s="35"/>
      <c r="JPD226" s="35"/>
      <c r="JPE226" s="35"/>
      <c r="JPF226" s="35"/>
      <c r="JPG226" s="34"/>
      <c r="JPH226" s="34"/>
      <c r="JPI226" s="36"/>
      <c r="JPJ226" s="36"/>
      <c r="JPK226" s="37"/>
      <c r="JPL226" s="37"/>
      <c r="JPM226" s="38"/>
      <c r="JPN226" s="38"/>
      <c r="JPO226" s="39"/>
      <c r="JPP226" s="34"/>
      <c r="JPQ226" s="34"/>
      <c r="JPR226" s="34"/>
      <c r="JPS226" s="35"/>
      <c r="JPT226" s="35"/>
      <c r="JPU226" s="35"/>
      <c r="JPV226" s="35"/>
      <c r="JPW226" s="35"/>
      <c r="JPX226" s="34"/>
      <c r="JPY226" s="34"/>
      <c r="JPZ226" s="36"/>
      <c r="JQA226" s="36"/>
      <c r="JQB226" s="37"/>
      <c r="JQC226" s="37"/>
      <c r="JQD226" s="38"/>
      <c r="JQE226" s="38"/>
      <c r="JQF226" s="39"/>
      <c r="JQG226" s="34"/>
      <c r="JQH226" s="34"/>
      <c r="JQI226" s="34"/>
      <c r="JQJ226" s="35"/>
      <c r="JQK226" s="35"/>
      <c r="JQL226" s="35"/>
      <c r="JQM226" s="35"/>
      <c r="JQN226" s="35"/>
      <c r="JQO226" s="34"/>
      <c r="JQP226" s="34"/>
      <c r="JQQ226" s="36"/>
      <c r="JQR226" s="36"/>
      <c r="JQS226" s="37"/>
      <c r="JQT226" s="37"/>
      <c r="JQU226" s="38"/>
      <c r="JQV226" s="38"/>
      <c r="JQW226" s="39"/>
      <c r="JQX226" s="34"/>
      <c r="JQY226" s="34"/>
      <c r="JQZ226" s="34"/>
      <c r="JRA226" s="35"/>
      <c r="JRB226" s="35"/>
      <c r="JRC226" s="35"/>
      <c r="JRD226" s="35"/>
      <c r="JRE226" s="35"/>
      <c r="JRF226" s="34"/>
      <c r="JRG226" s="34"/>
      <c r="JRH226" s="36"/>
      <c r="JRI226" s="36"/>
      <c r="JRJ226" s="37"/>
      <c r="JRK226" s="37"/>
      <c r="JRL226" s="38"/>
      <c r="JRM226" s="38"/>
      <c r="JRN226" s="39"/>
      <c r="JRO226" s="34"/>
      <c r="JRP226" s="34"/>
      <c r="JRQ226" s="34"/>
      <c r="JRR226" s="35"/>
      <c r="JRS226" s="35"/>
      <c r="JRT226" s="35"/>
      <c r="JRU226" s="35"/>
      <c r="JRV226" s="35"/>
      <c r="JRW226" s="34"/>
      <c r="JRX226" s="34"/>
      <c r="JRY226" s="36"/>
      <c r="JRZ226" s="36"/>
      <c r="JSA226" s="37"/>
      <c r="JSB226" s="37"/>
      <c r="JSC226" s="38"/>
      <c r="JSD226" s="38"/>
      <c r="JSE226" s="39"/>
      <c r="JSF226" s="34"/>
      <c r="JSG226" s="34"/>
      <c r="JSH226" s="34"/>
      <c r="JSI226" s="35"/>
      <c r="JSJ226" s="35"/>
      <c r="JSK226" s="35"/>
      <c r="JSL226" s="35"/>
      <c r="JSM226" s="35"/>
      <c r="JSN226" s="34"/>
      <c r="JSO226" s="34"/>
      <c r="JSP226" s="36"/>
      <c r="JSQ226" s="36"/>
      <c r="JSR226" s="37"/>
      <c r="JSS226" s="37"/>
      <c r="JST226" s="38"/>
      <c r="JSU226" s="38"/>
      <c r="JSV226" s="39"/>
      <c r="JSW226" s="34"/>
      <c r="JSX226" s="34"/>
      <c r="JSY226" s="34"/>
      <c r="JSZ226" s="35"/>
      <c r="JTA226" s="35"/>
      <c r="JTB226" s="35"/>
      <c r="JTC226" s="35"/>
      <c r="JTD226" s="35"/>
      <c r="JTE226" s="34"/>
      <c r="JTF226" s="34"/>
      <c r="JTG226" s="36"/>
      <c r="JTH226" s="36"/>
      <c r="JTI226" s="37"/>
      <c r="JTJ226" s="37"/>
      <c r="JTK226" s="38"/>
      <c r="JTL226" s="38"/>
      <c r="JTM226" s="39"/>
      <c r="JTN226" s="34"/>
      <c r="JTO226" s="34"/>
      <c r="JTP226" s="34"/>
      <c r="JTQ226" s="35"/>
      <c r="JTR226" s="35"/>
      <c r="JTS226" s="35"/>
      <c r="JTT226" s="35"/>
      <c r="JTU226" s="35"/>
      <c r="JTV226" s="34"/>
      <c r="JTW226" s="34"/>
      <c r="JTX226" s="36"/>
      <c r="JTY226" s="36"/>
      <c r="JTZ226" s="37"/>
      <c r="JUA226" s="37"/>
      <c r="JUB226" s="38"/>
      <c r="JUC226" s="38"/>
      <c r="JUD226" s="39"/>
      <c r="JUE226" s="34"/>
      <c r="JUF226" s="34"/>
      <c r="JUG226" s="34"/>
      <c r="JUH226" s="35"/>
      <c r="JUI226" s="35"/>
      <c r="JUJ226" s="35"/>
      <c r="JUK226" s="35"/>
      <c r="JUL226" s="35"/>
      <c r="JUM226" s="34"/>
      <c r="JUN226" s="34"/>
      <c r="JUO226" s="36"/>
      <c r="JUP226" s="36"/>
      <c r="JUQ226" s="37"/>
      <c r="JUR226" s="37"/>
      <c r="JUS226" s="38"/>
      <c r="JUT226" s="38"/>
      <c r="JUU226" s="39"/>
      <c r="JUV226" s="34"/>
      <c r="JUW226" s="34"/>
      <c r="JUX226" s="34"/>
      <c r="JUY226" s="35"/>
      <c r="JUZ226" s="35"/>
      <c r="JVA226" s="35"/>
      <c r="JVB226" s="35"/>
      <c r="JVC226" s="35"/>
      <c r="JVD226" s="34"/>
      <c r="JVE226" s="34"/>
      <c r="JVF226" s="36"/>
      <c r="JVG226" s="36"/>
      <c r="JVH226" s="37"/>
      <c r="JVI226" s="37"/>
      <c r="JVJ226" s="38"/>
      <c r="JVK226" s="38"/>
      <c r="JVL226" s="39"/>
      <c r="JVM226" s="34"/>
      <c r="JVN226" s="34"/>
      <c r="JVO226" s="34"/>
      <c r="JVP226" s="35"/>
      <c r="JVQ226" s="35"/>
      <c r="JVR226" s="35"/>
      <c r="JVS226" s="35"/>
      <c r="JVT226" s="35"/>
      <c r="JVU226" s="34"/>
      <c r="JVV226" s="34"/>
      <c r="JVW226" s="36"/>
      <c r="JVX226" s="36"/>
      <c r="JVY226" s="37"/>
      <c r="JVZ226" s="37"/>
      <c r="JWA226" s="38"/>
      <c r="JWB226" s="38"/>
      <c r="JWC226" s="39"/>
      <c r="JWD226" s="34"/>
      <c r="JWE226" s="34"/>
      <c r="JWF226" s="34"/>
      <c r="JWG226" s="35"/>
      <c r="JWH226" s="35"/>
      <c r="JWI226" s="35"/>
      <c r="JWJ226" s="35"/>
      <c r="JWK226" s="35"/>
      <c r="JWL226" s="34"/>
      <c r="JWM226" s="34"/>
      <c r="JWN226" s="36"/>
      <c r="JWO226" s="36"/>
      <c r="JWP226" s="37"/>
      <c r="JWQ226" s="37"/>
      <c r="JWR226" s="38"/>
      <c r="JWS226" s="38"/>
      <c r="JWT226" s="39"/>
      <c r="JWU226" s="34"/>
      <c r="JWV226" s="34"/>
      <c r="JWW226" s="34"/>
      <c r="JWX226" s="35"/>
      <c r="JWY226" s="35"/>
      <c r="JWZ226" s="35"/>
      <c r="JXA226" s="35"/>
      <c r="JXB226" s="35"/>
      <c r="JXC226" s="34"/>
      <c r="JXD226" s="34"/>
      <c r="JXE226" s="36"/>
      <c r="JXF226" s="36"/>
      <c r="JXG226" s="37"/>
      <c r="JXH226" s="37"/>
      <c r="JXI226" s="38"/>
      <c r="JXJ226" s="38"/>
      <c r="JXK226" s="39"/>
      <c r="JXL226" s="34"/>
      <c r="JXM226" s="34"/>
      <c r="JXN226" s="34"/>
      <c r="JXO226" s="35"/>
      <c r="JXP226" s="35"/>
      <c r="JXQ226" s="35"/>
      <c r="JXR226" s="35"/>
      <c r="JXS226" s="35"/>
      <c r="JXT226" s="34"/>
      <c r="JXU226" s="34"/>
      <c r="JXV226" s="36"/>
      <c r="JXW226" s="36"/>
      <c r="JXX226" s="37"/>
      <c r="JXY226" s="37"/>
      <c r="JXZ226" s="38"/>
      <c r="JYA226" s="38"/>
      <c r="JYB226" s="39"/>
      <c r="JYC226" s="34"/>
      <c r="JYD226" s="34"/>
      <c r="JYE226" s="34"/>
      <c r="JYF226" s="35"/>
      <c r="JYG226" s="35"/>
      <c r="JYH226" s="35"/>
      <c r="JYI226" s="35"/>
      <c r="JYJ226" s="35"/>
      <c r="JYK226" s="34"/>
      <c r="JYL226" s="34"/>
      <c r="JYM226" s="36"/>
      <c r="JYN226" s="36"/>
      <c r="JYO226" s="37"/>
      <c r="JYP226" s="37"/>
      <c r="JYQ226" s="38"/>
      <c r="JYR226" s="38"/>
      <c r="JYS226" s="39"/>
      <c r="JYT226" s="34"/>
      <c r="JYU226" s="34"/>
      <c r="JYV226" s="34"/>
      <c r="JYW226" s="35"/>
      <c r="JYX226" s="35"/>
      <c r="JYY226" s="35"/>
      <c r="JYZ226" s="35"/>
      <c r="JZA226" s="35"/>
      <c r="JZB226" s="34"/>
      <c r="JZC226" s="34"/>
      <c r="JZD226" s="36"/>
      <c r="JZE226" s="36"/>
      <c r="JZF226" s="37"/>
      <c r="JZG226" s="37"/>
      <c r="JZH226" s="38"/>
      <c r="JZI226" s="38"/>
      <c r="JZJ226" s="39"/>
      <c r="JZK226" s="34"/>
      <c r="JZL226" s="34"/>
      <c r="JZM226" s="34"/>
      <c r="JZN226" s="35"/>
      <c r="JZO226" s="35"/>
      <c r="JZP226" s="35"/>
      <c r="JZQ226" s="35"/>
      <c r="JZR226" s="35"/>
      <c r="JZS226" s="34"/>
      <c r="JZT226" s="34"/>
      <c r="JZU226" s="36"/>
      <c r="JZV226" s="36"/>
      <c r="JZW226" s="37"/>
      <c r="JZX226" s="37"/>
      <c r="JZY226" s="38"/>
      <c r="JZZ226" s="38"/>
      <c r="KAA226" s="39"/>
      <c r="KAB226" s="34"/>
      <c r="KAC226" s="34"/>
      <c r="KAD226" s="34"/>
      <c r="KAE226" s="35"/>
      <c r="KAF226" s="35"/>
      <c r="KAG226" s="35"/>
      <c r="KAH226" s="35"/>
      <c r="KAI226" s="35"/>
      <c r="KAJ226" s="34"/>
      <c r="KAK226" s="34"/>
      <c r="KAL226" s="36"/>
      <c r="KAM226" s="36"/>
      <c r="KAN226" s="37"/>
      <c r="KAO226" s="37"/>
      <c r="KAP226" s="38"/>
      <c r="KAQ226" s="38"/>
      <c r="KAR226" s="39"/>
      <c r="KAS226" s="34"/>
      <c r="KAT226" s="34"/>
      <c r="KAU226" s="34"/>
      <c r="KAV226" s="35"/>
      <c r="KAW226" s="35"/>
      <c r="KAX226" s="35"/>
      <c r="KAY226" s="35"/>
      <c r="KAZ226" s="35"/>
      <c r="KBA226" s="34"/>
      <c r="KBB226" s="34"/>
      <c r="KBC226" s="36"/>
      <c r="KBD226" s="36"/>
      <c r="KBE226" s="37"/>
      <c r="KBF226" s="37"/>
      <c r="KBG226" s="38"/>
      <c r="KBH226" s="38"/>
      <c r="KBI226" s="39"/>
      <c r="KBJ226" s="34"/>
      <c r="KBK226" s="34"/>
      <c r="KBL226" s="34"/>
      <c r="KBM226" s="35"/>
      <c r="KBN226" s="35"/>
      <c r="KBO226" s="35"/>
      <c r="KBP226" s="35"/>
      <c r="KBQ226" s="35"/>
      <c r="KBR226" s="34"/>
      <c r="KBS226" s="34"/>
      <c r="KBT226" s="36"/>
      <c r="KBU226" s="36"/>
      <c r="KBV226" s="37"/>
      <c r="KBW226" s="37"/>
      <c r="KBX226" s="38"/>
      <c r="KBY226" s="38"/>
      <c r="KBZ226" s="39"/>
      <c r="KCA226" s="34"/>
      <c r="KCB226" s="34"/>
      <c r="KCC226" s="34"/>
      <c r="KCD226" s="35"/>
      <c r="KCE226" s="35"/>
      <c r="KCF226" s="35"/>
      <c r="KCG226" s="35"/>
      <c r="KCH226" s="35"/>
      <c r="KCI226" s="34"/>
      <c r="KCJ226" s="34"/>
      <c r="KCK226" s="36"/>
      <c r="KCL226" s="36"/>
      <c r="KCM226" s="37"/>
      <c r="KCN226" s="37"/>
      <c r="KCO226" s="38"/>
      <c r="KCP226" s="38"/>
      <c r="KCQ226" s="39"/>
      <c r="KCR226" s="34"/>
      <c r="KCS226" s="34"/>
      <c r="KCT226" s="34"/>
      <c r="KCU226" s="35"/>
      <c r="KCV226" s="35"/>
      <c r="KCW226" s="35"/>
      <c r="KCX226" s="35"/>
      <c r="KCY226" s="35"/>
      <c r="KCZ226" s="34"/>
      <c r="KDA226" s="34"/>
      <c r="KDB226" s="36"/>
      <c r="KDC226" s="36"/>
      <c r="KDD226" s="37"/>
      <c r="KDE226" s="37"/>
      <c r="KDF226" s="38"/>
      <c r="KDG226" s="38"/>
      <c r="KDH226" s="39"/>
      <c r="KDI226" s="34"/>
      <c r="KDJ226" s="34"/>
      <c r="KDK226" s="34"/>
      <c r="KDL226" s="35"/>
      <c r="KDM226" s="35"/>
      <c r="KDN226" s="35"/>
      <c r="KDO226" s="35"/>
      <c r="KDP226" s="35"/>
      <c r="KDQ226" s="34"/>
      <c r="KDR226" s="34"/>
      <c r="KDS226" s="36"/>
      <c r="KDT226" s="36"/>
      <c r="KDU226" s="37"/>
      <c r="KDV226" s="37"/>
      <c r="KDW226" s="38"/>
      <c r="KDX226" s="38"/>
      <c r="KDY226" s="39"/>
      <c r="KDZ226" s="34"/>
      <c r="KEA226" s="34"/>
      <c r="KEB226" s="34"/>
      <c r="KEC226" s="35"/>
      <c r="KED226" s="35"/>
      <c r="KEE226" s="35"/>
      <c r="KEF226" s="35"/>
      <c r="KEG226" s="35"/>
      <c r="KEH226" s="34"/>
      <c r="KEI226" s="34"/>
      <c r="KEJ226" s="36"/>
      <c r="KEK226" s="36"/>
      <c r="KEL226" s="37"/>
      <c r="KEM226" s="37"/>
      <c r="KEN226" s="38"/>
      <c r="KEO226" s="38"/>
      <c r="KEP226" s="39"/>
      <c r="KEQ226" s="34"/>
      <c r="KER226" s="34"/>
      <c r="KES226" s="34"/>
      <c r="KET226" s="35"/>
      <c r="KEU226" s="35"/>
      <c r="KEV226" s="35"/>
      <c r="KEW226" s="35"/>
      <c r="KEX226" s="35"/>
      <c r="KEY226" s="34"/>
      <c r="KEZ226" s="34"/>
      <c r="KFA226" s="36"/>
      <c r="KFB226" s="36"/>
      <c r="KFC226" s="37"/>
      <c r="KFD226" s="37"/>
      <c r="KFE226" s="38"/>
      <c r="KFF226" s="38"/>
      <c r="KFG226" s="39"/>
      <c r="KFH226" s="34"/>
      <c r="KFI226" s="34"/>
      <c r="KFJ226" s="34"/>
      <c r="KFK226" s="35"/>
      <c r="KFL226" s="35"/>
      <c r="KFM226" s="35"/>
      <c r="KFN226" s="35"/>
      <c r="KFO226" s="35"/>
      <c r="KFP226" s="34"/>
      <c r="KFQ226" s="34"/>
      <c r="KFR226" s="36"/>
      <c r="KFS226" s="36"/>
      <c r="KFT226" s="37"/>
      <c r="KFU226" s="37"/>
      <c r="KFV226" s="38"/>
      <c r="KFW226" s="38"/>
      <c r="KFX226" s="39"/>
      <c r="KFY226" s="34"/>
      <c r="KFZ226" s="34"/>
      <c r="KGA226" s="34"/>
      <c r="KGB226" s="35"/>
      <c r="KGC226" s="35"/>
      <c r="KGD226" s="35"/>
      <c r="KGE226" s="35"/>
      <c r="KGF226" s="35"/>
      <c r="KGG226" s="34"/>
      <c r="KGH226" s="34"/>
      <c r="KGI226" s="36"/>
      <c r="KGJ226" s="36"/>
      <c r="KGK226" s="37"/>
      <c r="KGL226" s="37"/>
      <c r="KGM226" s="38"/>
      <c r="KGN226" s="38"/>
      <c r="KGO226" s="39"/>
      <c r="KGP226" s="34"/>
      <c r="KGQ226" s="34"/>
      <c r="KGR226" s="34"/>
      <c r="KGS226" s="35"/>
      <c r="KGT226" s="35"/>
      <c r="KGU226" s="35"/>
      <c r="KGV226" s="35"/>
      <c r="KGW226" s="35"/>
      <c r="KGX226" s="34"/>
      <c r="KGY226" s="34"/>
      <c r="KGZ226" s="36"/>
      <c r="KHA226" s="36"/>
      <c r="KHB226" s="37"/>
      <c r="KHC226" s="37"/>
      <c r="KHD226" s="38"/>
      <c r="KHE226" s="38"/>
      <c r="KHF226" s="39"/>
      <c r="KHG226" s="34"/>
      <c r="KHH226" s="34"/>
      <c r="KHI226" s="34"/>
      <c r="KHJ226" s="35"/>
      <c r="KHK226" s="35"/>
      <c r="KHL226" s="35"/>
      <c r="KHM226" s="35"/>
      <c r="KHN226" s="35"/>
      <c r="KHO226" s="34"/>
      <c r="KHP226" s="34"/>
      <c r="KHQ226" s="36"/>
      <c r="KHR226" s="36"/>
      <c r="KHS226" s="37"/>
      <c r="KHT226" s="37"/>
      <c r="KHU226" s="38"/>
      <c r="KHV226" s="38"/>
      <c r="KHW226" s="39"/>
      <c r="KHX226" s="34"/>
      <c r="KHY226" s="34"/>
      <c r="KHZ226" s="34"/>
      <c r="KIA226" s="35"/>
      <c r="KIB226" s="35"/>
      <c r="KIC226" s="35"/>
      <c r="KID226" s="35"/>
      <c r="KIE226" s="35"/>
      <c r="KIF226" s="34"/>
      <c r="KIG226" s="34"/>
      <c r="KIH226" s="36"/>
      <c r="KII226" s="36"/>
      <c r="KIJ226" s="37"/>
      <c r="KIK226" s="37"/>
      <c r="KIL226" s="38"/>
      <c r="KIM226" s="38"/>
      <c r="KIN226" s="39"/>
      <c r="KIO226" s="34"/>
      <c r="KIP226" s="34"/>
      <c r="KIQ226" s="34"/>
      <c r="KIR226" s="35"/>
      <c r="KIS226" s="35"/>
      <c r="KIT226" s="35"/>
      <c r="KIU226" s="35"/>
      <c r="KIV226" s="35"/>
      <c r="KIW226" s="34"/>
      <c r="KIX226" s="34"/>
      <c r="KIY226" s="36"/>
      <c r="KIZ226" s="36"/>
      <c r="KJA226" s="37"/>
      <c r="KJB226" s="37"/>
      <c r="KJC226" s="38"/>
      <c r="KJD226" s="38"/>
      <c r="KJE226" s="39"/>
      <c r="KJF226" s="34"/>
      <c r="KJG226" s="34"/>
      <c r="KJH226" s="34"/>
      <c r="KJI226" s="35"/>
      <c r="KJJ226" s="35"/>
      <c r="KJK226" s="35"/>
      <c r="KJL226" s="35"/>
      <c r="KJM226" s="35"/>
      <c r="KJN226" s="34"/>
      <c r="KJO226" s="34"/>
      <c r="KJP226" s="36"/>
      <c r="KJQ226" s="36"/>
      <c r="KJR226" s="37"/>
      <c r="KJS226" s="37"/>
      <c r="KJT226" s="38"/>
      <c r="KJU226" s="38"/>
      <c r="KJV226" s="39"/>
      <c r="KJW226" s="34"/>
      <c r="KJX226" s="34"/>
      <c r="KJY226" s="34"/>
      <c r="KJZ226" s="35"/>
      <c r="KKA226" s="35"/>
      <c r="KKB226" s="35"/>
      <c r="KKC226" s="35"/>
      <c r="KKD226" s="35"/>
      <c r="KKE226" s="34"/>
      <c r="KKF226" s="34"/>
      <c r="KKG226" s="36"/>
      <c r="KKH226" s="36"/>
      <c r="KKI226" s="37"/>
      <c r="KKJ226" s="37"/>
      <c r="KKK226" s="38"/>
      <c r="KKL226" s="38"/>
      <c r="KKM226" s="39"/>
      <c r="KKN226" s="34"/>
      <c r="KKO226" s="34"/>
      <c r="KKP226" s="34"/>
      <c r="KKQ226" s="35"/>
      <c r="KKR226" s="35"/>
      <c r="KKS226" s="35"/>
      <c r="KKT226" s="35"/>
      <c r="KKU226" s="35"/>
      <c r="KKV226" s="34"/>
      <c r="KKW226" s="34"/>
      <c r="KKX226" s="36"/>
      <c r="KKY226" s="36"/>
      <c r="KKZ226" s="37"/>
      <c r="KLA226" s="37"/>
      <c r="KLB226" s="38"/>
      <c r="KLC226" s="38"/>
      <c r="KLD226" s="39"/>
      <c r="KLE226" s="34"/>
      <c r="KLF226" s="34"/>
      <c r="KLG226" s="34"/>
      <c r="KLH226" s="35"/>
      <c r="KLI226" s="35"/>
      <c r="KLJ226" s="35"/>
      <c r="KLK226" s="35"/>
      <c r="KLL226" s="35"/>
      <c r="KLM226" s="34"/>
      <c r="KLN226" s="34"/>
      <c r="KLO226" s="36"/>
      <c r="KLP226" s="36"/>
      <c r="KLQ226" s="37"/>
      <c r="KLR226" s="37"/>
      <c r="KLS226" s="38"/>
      <c r="KLT226" s="38"/>
      <c r="KLU226" s="39"/>
      <c r="KLV226" s="34"/>
      <c r="KLW226" s="34"/>
      <c r="KLX226" s="34"/>
      <c r="KLY226" s="35"/>
      <c r="KLZ226" s="35"/>
      <c r="KMA226" s="35"/>
      <c r="KMB226" s="35"/>
      <c r="KMC226" s="35"/>
      <c r="KMD226" s="34"/>
      <c r="KME226" s="34"/>
      <c r="KMF226" s="36"/>
      <c r="KMG226" s="36"/>
      <c r="KMH226" s="37"/>
      <c r="KMI226" s="37"/>
      <c r="KMJ226" s="38"/>
      <c r="KMK226" s="38"/>
      <c r="KML226" s="39"/>
      <c r="KMM226" s="34"/>
      <c r="KMN226" s="34"/>
      <c r="KMO226" s="34"/>
      <c r="KMP226" s="35"/>
      <c r="KMQ226" s="35"/>
      <c r="KMR226" s="35"/>
      <c r="KMS226" s="35"/>
      <c r="KMT226" s="35"/>
      <c r="KMU226" s="34"/>
      <c r="KMV226" s="34"/>
      <c r="KMW226" s="36"/>
      <c r="KMX226" s="36"/>
      <c r="KMY226" s="37"/>
      <c r="KMZ226" s="37"/>
      <c r="KNA226" s="38"/>
      <c r="KNB226" s="38"/>
      <c r="KNC226" s="39"/>
      <c r="KND226" s="34"/>
      <c r="KNE226" s="34"/>
      <c r="KNF226" s="34"/>
      <c r="KNG226" s="35"/>
      <c r="KNH226" s="35"/>
      <c r="KNI226" s="35"/>
      <c r="KNJ226" s="35"/>
      <c r="KNK226" s="35"/>
      <c r="KNL226" s="34"/>
      <c r="KNM226" s="34"/>
      <c r="KNN226" s="36"/>
      <c r="KNO226" s="36"/>
      <c r="KNP226" s="37"/>
      <c r="KNQ226" s="37"/>
      <c r="KNR226" s="38"/>
      <c r="KNS226" s="38"/>
      <c r="KNT226" s="39"/>
      <c r="KNU226" s="34"/>
      <c r="KNV226" s="34"/>
      <c r="KNW226" s="34"/>
      <c r="KNX226" s="35"/>
      <c r="KNY226" s="35"/>
      <c r="KNZ226" s="35"/>
      <c r="KOA226" s="35"/>
      <c r="KOB226" s="35"/>
      <c r="KOC226" s="34"/>
      <c r="KOD226" s="34"/>
      <c r="KOE226" s="36"/>
      <c r="KOF226" s="36"/>
      <c r="KOG226" s="37"/>
      <c r="KOH226" s="37"/>
      <c r="KOI226" s="38"/>
      <c r="KOJ226" s="38"/>
      <c r="KOK226" s="39"/>
      <c r="KOL226" s="34"/>
      <c r="KOM226" s="34"/>
      <c r="KON226" s="34"/>
      <c r="KOO226" s="35"/>
      <c r="KOP226" s="35"/>
      <c r="KOQ226" s="35"/>
      <c r="KOR226" s="35"/>
      <c r="KOS226" s="35"/>
      <c r="KOT226" s="34"/>
      <c r="KOU226" s="34"/>
      <c r="KOV226" s="36"/>
      <c r="KOW226" s="36"/>
      <c r="KOX226" s="37"/>
      <c r="KOY226" s="37"/>
      <c r="KOZ226" s="38"/>
      <c r="KPA226" s="38"/>
      <c r="KPB226" s="39"/>
      <c r="KPC226" s="34"/>
      <c r="KPD226" s="34"/>
      <c r="KPE226" s="34"/>
      <c r="KPF226" s="35"/>
      <c r="KPG226" s="35"/>
      <c r="KPH226" s="35"/>
      <c r="KPI226" s="35"/>
      <c r="KPJ226" s="35"/>
      <c r="KPK226" s="34"/>
      <c r="KPL226" s="34"/>
      <c r="KPM226" s="36"/>
      <c r="KPN226" s="36"/>
      <c r="KPO226" s="37"/>
      <c r="KPP226" s="37"/>
      <c r="KPQ226" s="38"/>
      <c r="KPR226" s="38"/>
      <c r="KPS226" s="39"/>
      <c r="KPT226" s="34"/>
      <c r="KPU226" s="34"/>
      <c r="KPV226" s="34"/>
      <c r="KPW226" s="35"/>
      <c r="KPX226" s="35"/>
      <c r="KPY226" s="35"/>
      <c r="KPZ226" s="35"/>
      <c r="KQA226" s="35"/>
      <c r="KQB226" s="34"/>
      <c r="KQC226" s="34"/>
      <c r="KQD226" s="36"/>
      <c r="KQE226" s="36"/>
      <c r="KQF226" s="37"/>
      <c r="KQG226" s="37"/>
      <c r="KQH226" s="38"/>
      <c r="KQI226" s="38"/>
      <c r="KQJ226" s="39"/>
      <c r="KQK226" s="34"/>
      <c r="KQL226" s="34"/>
      <c r="KQM226" s="34"/>
      <c r="KQN226" s="35"/>
      <c r="KQO226" s="35"/>
      <c r="KQP226" s="35"/>
      <c r="KQQ226" s="35"/>
      <c r="KQR226" s="35"/>
      <c r="KQS226" s="34"/>
      <c r="KQT226" s="34"/>
      <c r="KQU226" s="36"/>
      <c r="KQV226" s="36"/>
      <c r="KQW226" s="37"/>
      <c r="KQX226" s="37"/>
      <c r="KQY226" s="38"/>
      <c r="KQZ226" s="38"/>
      <c r="KRA226" s="39"/>
      <c r="KRB226" s="34"/>
      <c r="KRC226" s="34"/>
      <c r="KRD226" s="34"/>
      <c r="KRE226" s="35"/>
      <c r="KRF226" s="35"/>
      <c r="KRG226" s="35"/>
      <c r="KRH226" s="35"/>
      <c r="KRI226" s="35"/>
      <c r="KRJ226" s="34"/>
      <c r="KRK226" s="34"/>
      <c r="KRL226" s="36"/>
      <c r="KRM226" s="36"/>
      <c r="KRN226" s="37"/>
      <c r="KRO226" s="37"/>
      <c r="KRP226" s="38"/>
      <c r="KRQ226" s="38"/>
      <c r="KRR226" s="39"/>
      <c r="KRS226" s="34"/>
      <c r="KRT226" s="34"/>
      <c r="KRU226" s="34"/>
      <c r="KRV226" s="35"/>
      <c r="KRW226" s="35"/>
      <c r="KRX226" s="35"/>
      <c r="KRY226" s="35"/>
      <c r="KRZ226" s="35"/>
      <c r="KSA226" s="34"/>
      <c r="KSB226" s="34"/>
      <c r="KSC226" s="36"/>
      <c r="KSD226" s="36"/>
      <c r="KSE226" s="37"/>
      <c r="KSF226" s="37"/>
      <c r="KSG226" s="38"/>
      <c r="KSH226" s="38"/>
      <c r="KSI226" s="39"/>
      <c r="KSJ226" s="34"/>
      <c r="KSK226" s="34"/>
      <c r="KSL226" s="34"/>
      <c r="KSM226" s="35"/>
      <c r="KSN226" s="35"/>
      <c r="KSO226" s="35"/>
      <c r="KSP226" s="35"/>
      <c r="KSQ226" s="35"/>
      <c r="KSR226" s="34"/>
      <c r="KSS226" s="34"/>
      <c r="KST226" s="36"/>
      <c r="KSU226" s="36"/>
      <c r="KSV226" s="37"/>
      <c r="KSW226" s="37"/>
      <c r="KSX226" s="38"/>
      <c r="KSY226" s="38"/>
      <c r="KSZ226" s="39"/>
      <c r="KTA226" s="34"/>
      <c r="KTB226" s="34"/>
      <c r="KTC226" s="34"/>
      <c r="KTD226" s="35"/>
      <c r="KTE226" s="35"/>
      <c r="KTF226" s="35"/>
      <c r="KTG226" s="35"/>
      <c r="KTH226" s="35"/>
      <c r="KTI226" s="34"/>
      <c r="KTJ226" s="34"/>
      <c r="KTK226" s="36"/>
      <c r="KTL226" s="36"/>
      <c r="KTM226" s="37"/>
      <c r="KTN226" s="37"/>
      <c r="KTO226" s="38"/>
      <c r="KTP226" s="38"/>
      <c r="KTQ226" s="39"/>
      <c r="KTR226" s="34"/>
      <c r="KTS226" s="34"/>
      <c r="KTT226" s="34"/>
      <c r="KTU226" s="35"/>
      <c r="KTV226" s="35"/>
      <c r="KTW226" s="35"/>
      <c r="KTX226" s="35"/>
      <c r="KTY226" s="35"/>
      <c r="KTZ226" s="34"/>
      <c r="KUA226" s="34"/>
      <c r="KUB226" s="36"/>
      <c r="KUC226" s="36"/>
      <c r="KUD226" s="37"/>
      <c r="KUE226" s="37"/>
      <c r="KUF226" s="38"/>
      <c r="KUG226" s="38"/>
      <c r="KUH226" s="39"/>
      <c r="KUI226" s="34"/>
      <c r="KUJ226" s="34"/>
      <c r="KUK226" s="34"/>
      <c r="KUL226" s="35"/>
      <c r="KUM226" s="35"/>
      <c r="KUN226" s="35"/>
      <c r="KUO226" s="35"/>
      <c r="KUP226" s="35"/>
      <c r="KUQ226" s="34"/>
      <c r="KUR226" s="34"/>
      <c r="KUS226" s="36"/>
      <c r="KUT226" s="36"/>
      <c r="KUU226" s="37"/>
      <c r="KUV226" s="37"/>
      <c r="KUW226" s="38"/>
      <c r="KUX226" s="38"/>
      <c r="KUY226" s="39"/>
      <c r="KUZ226" s="34"/>
      <c r="KVA226" s="34"/>
      <c r="KVB226" s="34"/>
      <c r="KVC226" s="35"/>
      <c r="KVD226" s="35"/>
      <c r="KVE226" s="35"/>
      <c r="KVF226" s="35"/>
      <c r="KVG226" s="35"/>
      <c r="KVH226" s="34"/>
      <c r="KVI226" s="34"/>
      <c r="KVJ226" s="36"/>
      <c r="KVK226" s="36"/>
      <c r="KVL226" s="37"/>
      <c r="KVM226" s="37"/>
      <c r="KVN226" s="38"/>
      <c r="KVO226" s="38"/>
      <c r="KVP226" s="39"/>
      <c r="KVQ226" s="34"/>
      <c r="KVR226" s="34"/>
      <c r="KVS226" s="34"/>
      <c r="KVT226" s="35"/>
      <c r="KVU226" s="35"/>
      <c r="KVV226" s="35"/>
      <c r="KVW226" s="35"/>
      <c r="KVX226" s="35"/>
      <c r="KVY226" s="34"/>
      <c r="KVZ226" s="34"/>
      <c r="KWA226" s="36"/>
      <c r="KWB226" s="36"/>
      <c r="KWC226" s="37"/>
      <c r="KWD226" s="37"/>
      <c r="KWE226" s="38"/>
      <c r="KWF226" s="38"/>
      <c r="KWG226" s="39"/>
      <c r="KWH226" s="34"/>
      <c r="KWI226" s="34"/>
      <c r="KWJ226" s="34"/>
      <c r="KWK226" s="35"/>
      <c r="KWL226" s="35"/>
      <c r="KWM226" s="35"/>
      <c r="KWN226" s="35"/>
      <c r="KWO226" s="35"/>
      <c r="KWP226" s="34"/>
      <c r="KWQ226" s="34"/>
      <c r="KWR226" s="36"/>
      <c r="KWS226" s="36"/>
      <c r="KWT226" s="37"/>
      <c r="KWU226" s="37"/>
      <c r="KWV226" s="38"/>
      <c r="KWW226" s="38"/>
      <c r="KWX226" s="39"/>
      <c r="KWY226" s="34"/>
      <c r="KWZ226" s="34"/>
      <c r="KXA226" s="34"/>
      <c r="KXB226" s="35"/>
      <c r="KXC226" s="35"/>
      <c r="KXD226" s="35"/>
      <c r="KXE226" s="35"/>
      <c r="KXF226" s="35"/>
      <c r="KXG226" s="34"/>
      <c r="KXH226" s="34"/>
      <c r="KXI226" s="36"/>
      <c r="KXJ226" s="36"/>
      <c r="KXK226" s="37"/>
      <c r="KXL226" s="37"/>
      <c r="KXM226" s="38"/>
      <c r="KXN226" s="38"/>
      <c r="KXO226" s="39"/>
      <c r="KXP226" s="34"/>
      <c r="KXQ226" s="34"/>
      <c r="KXR226" s="34"/>
      <c r="KXS226" s="35"/>
      <c r="KXT226" s="35"/>
      <c r="KXU226" s="35"/>
      <c r="KXV226" s="35"/>
      <c r="KXW226" s="35"/>
      <c r="KXX226" s="34"/>
      <c r="KXY226" s="34"/>
      <c r="KXZ226" s="36"/>
      <c r="KYA226" s="36"/>
      <c r="KYB226" s="37"/>
      <c r="KYC226" s="37"/>
      <c r="KYD226" s="38"/>
      <c r="KYE226" s="38"/>
      <c r="KYF226" s="39"/>
      <c r="KYG226" s="34"/>
      <c r="KYH226" s="34"/>
      <c r="KYI226" s="34"/>
      <c r="KYJ226" s="35"/>
      <c r="KYK226" s="35"/>
      <c r="KYL226" s="35"/>
      <c r="KYM226" s="35"/>
      <c r="KYN226" s="35"/>
      <c r="KYO226" s="34"/>
      <c r="KYP226" s="34"/>
      <c r="KYQ226" s="36"/>
      <c r="KYR226" s="36"/>
      <c r="KYS226" s="37"/>
      <c r="KYT226" s="37"/>
      <c r="KYU226" s="38"/>
      <c r="KYV226" s="38"/>
      <c r="KYW226" s="39"/>
      <c r="KYX226" s="34"/>
      <c r="KYY226" s="34"/>
      <c r="KYZ226" s="34"/>
      <c r="KZA226" s="35"/>
      <c r="KZB226" s="35"/>
      <c r="KZC226" s="35"/>
      <c r="KZD226" s="35"/>
      <c r="KZE226" s="35"/>
      <c r="KZF226" s="34"/>
      <c r="KZG226" s="34"/>
      <c r="KZH226" s="36"/>
      <c r="KZI226" s="36"/>
      <c r="KZJ226" s="37"/>
      <c r="KZK226" s="37"/>
      <c r="KZL226" s="38"/>
      <c r="KZM226" s="38"/>
      <c r="KZN226" s="39"/>
      <c r="KZO226" s="34"/>
      <c r="KZP226" s="34"/>
      <c r="KZQ226" s="34"/>
      <c r="KZR226" s="35"/>
      <c r="KZS226" s="35"/>
      <c r="KZT226" s="35"/>
      <c r="KZU226" s="35"/>
      <c r="KZV226" s="35"/>
      <c r="KZW226" s="34"/>
      <c r="KZX226" s="34"/>
      <c r="KZY226" s="36"/>
      <c r="KZZ226" s="36"/>
      <c r="LAA226" s="37"/>
      <c r="LAB226" s="37"/>
      <c r="LAC226" s="38"/>
      <c r="LAD226" s="38"/>
      <c r="LAE226" s="39"/>
      <c r="LAF226" s="34"/>
      <c r="LAG226" s="34"/>
      <c r="LAH226" s="34"/>
      <c r="LAI226" s="35"/>
      <c r="LAJ226" s="35"/>
      <c r="LAK226" s="35"/>
      <c r="LAL226" s="35"/>
      <c r="LAM226" s="35"/>
      <c r="LAN226" s="34"/>
      <c r="LAO226" s="34"/>
      <c r="LAP226" s="36"/>
      <c r="LAQ226" s="36"/>
      <c r="LAR226" s="37"/>
      <c r="LAS226" s="37"/>
      <c r="LAT226" s="38"/>
      <c r="LAU226" s="38"/>
      <c r="LAV226" s="39"/>
      <c r="LAW226" s="34"/>
      <c r="LAX226" s="34"/>
      <c r="LAY226" s="34"/>
      <c r="LAZ226" s="35"/>
      <c r="LBA226" s="35"/>
      <c r="LBB226" s="35"/>
      <c r="LBC226" s="35"/>
      <c r="LBD226" s="35"/>
      <c r="LBE226" s="34"/>
      <c r="LBF226" s="34"/>
      <c r="LBG226" s="36"/>
      <c r="LBH226" s="36"/>
      <c r="LBI226" s="37"/>
      <c r="LBJ226" s="37"/>
      <c r="LBK226" s="38"/>
      <c r="LBL226" s="38"/>
      <c r="LBM226" s="39"/>
      <c r="LBN226" s="34"/>
      <c r="LBO226" s="34"/>
      <c r="LBP226" s="34"/>
      <c r="LBQ226" s="35"/>
      <c r="LBR226" s="35"/>
      <c r="LBS226" s="35"/>
      <c r="LBT226" s="35"/>
      <c r="LBU226" s="35"/>
      <c r="LBV226" s="34"/>
      <c r="LBW226" s="34"/>
      <c r="LBX226" s="36"/>
      <c r="LBY226" s="36"/>
      <c r="LBZ226" s="37"/>
      <c r="LCA226" s="37"/>
      <c r="LCB226" s="38"/>
      <c r="LCC226" s="38"/>
      <c r="LCD226" s="39"/>
      <c r="LCE226" s="34"/>
      <c r="LCF226" s="34"/>
      <c r="LCG226" s="34"/>
      <c r="LCH226" s="35"/>
      <c r="LCI226" s="35"/>
      <c r="LCJ226" s="35"/>
      <c r="LCK226" s="35"/>
      <c r="LCL226" s="35"/>
      <c r="LCM226" s="34"/>
      <c r="LCN226" s="34"/>
      <c r="LCO226" s="36"/>
      <c r="LCP226" s="36"/>
      <c r="LCQ226" s="37"/>
      <c r="LCR226" s="37"/>
      <c r="LCS226" s="38"/>
      <c r="LCT226" s="38"/>
      <c r="LCU226" s="39"/>
      <c r="LCV226" s="34"/>
      <c r="LCW226" s="34"/>
      <c r="LCX226" s="34"/>
      <c r="LCY226" s="35"/>
      <c r="LCZ226" s="35"/>
      <c r="LDA226" s="35"/>
      <c r="LDB226" s="35"/>
      <c r="LDC226" s="35"/>
      <c r="LDD226" s="34"/>
      <c r="LDE226" s="34"/>
      <c r="LDF226" s="36"/>
      <c r="LDG226" s="36"/>
      <c r="LDH226" s="37"/>
      <c r="LDI226" s="37"/>
      <c r="LDJ226" s="38"/>
      <c r="LDK226" s="38"/>
      <c r="LDL226" s="39"/>
      <c r="LDM226" s="34"/>
      <c r="LDN226" s="34"/>
      <c r="LDO226" s="34"/>
      <c r="LDP226" s="35"/>
      <c r="LDQ226" s="35"/>
      <c r="LDR226" s="35"/>
      <c r="LDS226" s="35"/>
      <c r="LDT226" s="35"/>
      <c r="LDU226" s="34"/>
      <c r="LDV226" s="34"/>
      <c r="LDW226" s="36"/>
      <c r="LDX226" s="36"/>
      <c r="LDY226" s="37"/>
      <c r="LDZ226" s="37"/>
      <c r="LEA226" s="38"/>
      <c r="LEB226" s="38"/>
      <c r="LEC226" s="39"/>
      <c r="LED226" s="34"/>
      <c r="LEE226" s="34"/>
      <c r="LEF226" s="34"/>
      <c r="LEG226" s="35"/>
      <c r="LEH226" s="35"/>
      <c r="LEI226" s="35"/>
      <c r="LEJ226" s="35"/>
      <c r="LEK226" s="35"/>
      <c r="LEL226" s="34"/>
      <c r="LEM226" s="34"/>
      <c r="LEN226" s="36"/>
      <c r="LEO226" s="36"/>
      <c r="LEP226" s="37"/>
      <c r="LEQ226" s="37"/>
      <c r="LER226" s="38"/>
      <c r="LES226" s="38"/>
      <c r="LET226" s="39"/>
      <c r="LEU226" s="34"/>
      <c r="LEV226" s="34"/>
      <c r="LEW226" s="34"/>
      <c r="LEX226" s="35"/>
      <c r="LEY226" s="35"/>
      <c r="LEZ226" s="35"/>
      <c r="LFA226" s="35"/>
      <c r="LFB226" s="35"/>
      <c r="LFC226" s="34"/>
      <c r="LFD226" s="34"/>
      <c r="LFE226" s="36"/>
      <c r="LFF226" s="36"/>
      <c r="LFG226" s="37"/>
      <c r="LFH226" s="37"/>
      <c r="LFI226" s="38"/>
      <c r="LFJ226" s="38"/>
      <c r="LFK226" s="39"/>
      <c r="LFL226" s="34"/>
      <c r="LFM226" s="34"/>
      <c r="LFN226" s="34"/>
      <c r="LFO226" s="35"/>
      <c r="LFP226" s="35"/>
      <c r="LFQ226" s="35"/>
      <c r="LFR226" s="35"/>
      <c r="LFS226" s="35"/>
      <c r="LFT226" s="34"/>
      <c r="LFU226" s="34"/>
      <c r="LFV226" s="36"/>
      <c r="LFW226" s="36"/>
      <c r="LFX226" s="37"/>
      <c r="LFY226" s="37"/>
      <c r="LFZ226" s="38"/>
      <c r="LGA226" s="38"/>
      <c r="LGB226" s="39"/>
      <c r="LGC226" s="34"/>
      <c r="LGD226" s="34"/>
      <c r="LGE226" s="34"/>
      <c r="LGF226" s="35"/>
      <c r="LGG226" s="35"/>
      <c r="LGH226" s="35"/>
      <c r="LGI226" s="35"/>
      <c r="LGJ226" s="35"/>
      <c r="LGK226" s="34"/>
      <c r="LGL226" s="34"/>
      <c r="LGM226" s="36"/>
      <c r="LGN226" s="36"/>
      <c r="LGO226" s="37"/>
      <c r="LGP226" s="37"/>
      <c r="LGQ226" s="38"/>
      <c r="LGR226" s="38"/>
      <c r="LGS226" s="39"/>
      <c r="LGT226" s="34"/>
      <c r="LGU226" s="34"/>
      <c r="LGV226" s="34"/>
      <c r="LGW226" s="35"/>
      <c r="LGX226" s="35"/>
      <c r="LGY226" s="35"/>
      <c r="LGZ226" s="35"/>
      <c r="LHA226" s="35"/>
      <c r="LHB226" s="34"/>
      <c r="LHC226" s="34"/>
      <c r="LHD226" s="36"/>
      <c r="LHE226" s="36"/>
      <c r="LHF226" s="37"/>
      <c r="LHG226" s="37"/>
      <c r="LHH226" s="38"/>
      <c r="LHI226" s="38"/>
      <c r="LHJ226" s="39"/>
      <c r="LHK226" s="34"/>
      <c r="LHL226" s="34"/>
      <c r="LHM226" s="34"/>
      <c r="LHN226" s="35"/>
      <c r="LHO226" s="35"/>
      <c r="LHP226" s="35"/>
      <c r="LHQ226" s="35"/>
      <c r="LHR226" s="35"/>
      <c r="LHS226" s="34"/>
      <c r="LHT226" s="34"/>
      <c r="LHU226" s="36"/>
      <c r="LHV226" s="36"/>
      <c r="LHW226" s="37"/>
      <c r="LHX226" s="37"/>
      <c r="LHY226" s="38"/>
      <c r="LHZ226" s="38"/>
      <c r="LIA226" s="39"/>
      <c r="LIB226" s="34"/>
      <c r="LIC226" s="34"/>
      <c r="LID226" s="34"/>
      <c r="LIE226" s="35"/>
      <c r="LIF226" s="35"/>
      <c r="LIG226" s="35"/>
      <c r="LIH226" s="35"/>
      <c r="LII226" s="35"/>
      <c r="LIJ226" s="34"/>
      <c r="LIK226" s="34"/>
      <c r="LIL226" s="36"/>
      <c r="LIM226" s="36"/>
      <c r="LIN226" s="37"/>
      <c r="LIO226" s="37"/>
      <c r="LIP226" s="38"/>
      <c r="LIQ226" s="38"/>
      <c r="LIR226" s="39"/>
      <c r="LIS226" s="34"/>
      <c r="LIT226" s="34"/>
      <c r="LIU226" s="34"/>
      <c r="LIV226" s="35"/>
      <c r="LIW226" s="35"/>
      <c r="LIX226" s="35"/>
      <c r="LIY226" s="35"/>
      <c r="LIZ226" s="35"/>
      <c r="LJA226" s="34"/>
      <c r="LJB226" s="34"/>
      <c r="LJC226" s="36"/>
      <c r="LJD226" s="36"/>
      <c r="LJE226" s="37"/>
      <c r="LJF226" s="37"/>
      <c r="LJG226" s="38"/>
      <c r="LJH226" s="38"/>
      <c r="LJI226" s="39"/>
      <c r="LJJ226" s="34"/>
      <c r="LJK226" s="34"/>
      <c r="LJL226" s="34"/>
      <c r="LJM226" s="35"/>
      <c r="LJN226" s="35"/>
      <c r="LJO226" s="35"/>
      <c r="LJP226" s="35"/>
      <c r="LJQ226" s="35"/>
      <c r="LJR226" s="34"/>
      <c r="LJS226" s="34"/>
      <c r="LJT226" s="36"/>
      <c r="LJU226" s="36"/>
      <c r="LJV226" s="37"/>
      <c r="LJW226" s="37"/>
      <c r="LJX226" s="38"/>
      <c r="LJY226" s="38"/>
      <c r="LJZ226" s="39"/>
      <c r="LKA226" s="34"/>
      <c r="LKB226" s="34"/>
      <c r="LKC226" s="34"/>
      <c r="LKD226" s="35"/>
      <c r="LKE226" s="35"/>
      <c r="LKF226" s="35"/>
      <c r="LKG226" s="35"/>
      <c r="LKH226" s="35"/>
      <c r="LKI226" s="34"/>
      <c r="LKJ226" s="34"/>
      <c r="LKK226" s="36"/>
      <c r="LKL226" s="36"/>
      <c r="LKM226" s="37"/>
      <c r="LKN226" s="37"/>
      <c r="LKO226" s="38"/>
      <c r="LKP226" s="38"/>
      <c r="LKQ226" s="39"/>
      <c r="LKR226" s="34"/>
      <c r="LKS226" s="34"/>
      <c r="LKT226" s="34"/>
      <c r="LKU226" s="35"/>
      <c r="LKV226" s="35"/>
      <c r="LKW226" s="35"/>
      <c r="LKX226" s="35"/>
      <c r="LKY226" s="35"/>
      <c r="LKZ226" s="34"/>
      <c r="LLA226" s="34"/>
      <c r="LLB226" s="36"/>
      <c r="LLC226" s="36"/>
      <c r="LLD226" s="37"/>
      <c r="LLE226" s="37"/>
      <c r="LLF226" s="38"/>
      <c r="LLG226" s="38"/>
      <c r="LLH226" s="39"/>
      <c r="LLI226" s="34"/>
      <c r="LLJ226" s="34"/>
      <c r="LLK226" s="34"/>
      <c r="LLL226" s="35"/>
      <c r="LLM226" s="35"/>
      <c r="LLN226" s="35"/>
      <c r="LLO226" s="35"/>
      <c r="LLP226" s="35"/>
      <c r="LLQ226" s="34"/>
      <c r="LLR226" s="34"/>
      <c r="LLS226" s="36"/>
      <c r="LLT226" s="36"/>
      <c r="LLU226" s="37"/>
      <c r="LLV226" s="37"/>
      <c r="LLW226" s="38"/>
      <c r="LLX226" s="38"/>
      <c r="LLY226" s="39"/>
      <c r="LLZ226" s="34"/>
      <c r="LMA226" s="34"/>
      <c r="LMB226" s="34"/>
      <c r="LMC226" s="35"/>
      <c r="LMD226" s="35"/>
      <c r="LME226" s="35"/>
      <c r="LMF226" s="35"/>
      <c r="LMG226" s="35"/>
      <c r="LMH226" s="34"/>
      <c r="LMI226" s="34"/>
      <c r="LMJ226" s="36"/>
      <c r="LMK226" s="36"/>
      <c r="LML226" s="37"/>
      <c r="LMM226" s="37"/>
      <c r="LMN226" s="38"/>
      <c r="LMO226" s="38"/>
      <c r="LMP226" s="39"/>
      <c r="LMQ226" s="34"/>
      <c r="LMR226" s="34"/>
      <c r="LMS226" s="34"/>
      <c r="LMT226" s="35"/>
      <c r="LMU226" s="35"/>
      <c r="LMV226" s="35"/>
      <c r="LMW226" s="35"/>
      <c r="LMX226" s="35"/>
      <c r="LMY226" s="34"/>
      <c r="LMZ226" s="34"/>
      <c r="LNA226" s="36"/>
      <c r="LNB226" s="36"/>
      <c r="LNC226" s="37"/>
      <c r="LND226" s="37"/>
      <c r="LNE226" s="38"/>
      <c r="LNF226" s="38"/>
      <c r="LNG226" s="39"/>
      <c r="LNH226" s="34"/>
      <c r="LNI226" s="34"/>
      <c r="LNJ226" s="34"/>
      <c r="LNK226" s="35"/>
      <c r="LNL226" s="35"/>
      <c r="LNM226" s="35"/>
      <c r="LNN226" s="35"/>
      <c r="LNO226" s="35"/>
      <c r="LNP226" s="34"/>
      <c r="LNQ226" s="34"/>
      <c r="LNR226" s="36"/>
      <c r="LNS226" s="36"/>
      <c r="LNT226" s="37"/>
      <c r="LNU226" s="37"/>
      <c r="LNV226" s="38"/>
      <c r="LNW226" s="38"/>
      <c r="LNX226" s="39"/>
      <c r="LNY226" s="34"/>
      <c r="LNZ226" s="34"/>
      <c r="LOA226" s="34"/>
      <c r="LOB226" s="35"/>
      <c r="LOC226" s="35"/>
      <c r="LOD226" s="35"/>
      <c r="LOE226" s="35"/>
      <c r="LOF226" s="35"/>
      <c r="LOG226" s="34"/>
      <c r="LOH226" s="34"/>
      <c r="LOI226" s="36"/>
      <c r="LOJ226" s="36"/>
      <c r="LOK226" s="37"/>
      <c r="LOL226" s="37"/>
      <c r="LOM226" s="38"/>
      <c r="LON226" s="38"/>
      <c r="LOO226" s="39"/>
      <c r="LOP226" s="34"/>
      <c r="LOQ226" s="34"/>
      <c r="LOR226" s="34"/>
      <c r="LOS226" s="35"/>
      <c r="LOT226" s="35"/>
      <c r="LOU226" s="35"/>
      <c r="LOV226" s="35"/>
      <c r="LOW226" s="35"/>
      <c r="LOX226" s="34"/>
      <c r="LOY226" s="34"/>
      <c r="LOZ226" s="36"/>
      <c r="LPA226" s="36"/>
      <c r="LPB226" s="37"/>
      <c r="LPC226" s="37"/>
      <c r="LPD226" s="38"/>
      <c r="LPE226" s="38"/>
      <c r="LPF226" s="39"/>
      <c r="LPG226" s="34"/>
      <c r="LPH226" s="34"/>
      <c r="LPI226" s="34"/>
      <c r="LPJ226" s="35"/>
      <c r="LPK226" s="35"/>
      <c r="LPL226" s="35"/>
      <c r="LPM226" s="35"/>
      <c r="LPN226" s="35"/>
      <c r="LPO226" s="34"/>
      <c r="LPP226" s="34"/>
      <c r="LPQ226" s="36"/>
      <c r="LPR226" s="36"/>
      <c r="LPS226" s="37"/>
      <c r="LPT226" s="37"/>
      <c r="LPU226" s="38"/>
      <c r="LPV226" s="38"/>
      <c r="LPW226" s="39"/>
      <c r="LPX226" s="34"/>
      <c r="LPY226" s="34"/>
      <c r="LPZ226" s="34"/>
      <c r="LQA226" s="35"/>
      <c r="LQB226" s="35"/>
      <c r="LQC226" s="35"/>
      <c r="LQD226" s="35"/>
      <c r="LQE226" s="35"/>
      <c r="LQF226" s="34"/>
      <c r="LQG226" s="34"/>
      <c r="LQH226" s="36"/>
      <c r="LQI226" s="36"/>
      <c r="LQJ226" s="37"/>
      <c r="LQK226" s="37"/>
      <c r="LQL226" s="38"/>
      <c r="LQM226" s="38"/>
      <c r="LQN226" s="39"/>
      <c r="LQO226" s="34"/>
      <c r="LQP226" s="34"/>
      <c r="LQQ226" s="34"/>
      <c r="LQR226" s="35"/>
      <c r="LQS226" s="35"/>
      <c r="LQT226" s="35"/>
      <c r="LQU226" s="35"/>
      <c r="LQV226" s="35"/>
      <c r="LQW226" s="34"/>
      <c r="LQX226" s="34"/>
      <c r="LQY226" s="36"/>
      <c r="LQZ226" s="36"/>
      <c r="LRA226" s="37"/>
      <c r="LRB226" s="37"/>
      <c r="LRC226" s="38"/>
      <c r="LRD226" s="38"/>
      <c r="LRE226" s="39"/>
      <c r="LRF226" s="34"/>
      <c r="LRG226" s="34"/>
      <c r="LRH226" s="34"/>
      <c r="LRI226" s="35"/>
      <c r="LRJ226" s="35"/>
      <c r="LRK226" s="35"/>
      <c r="LRL226" s="35"/>
      <c r="LRM226" s="35"/>
      <c r="LRN226" s="34"/>
      <c r="LRO226" s="34"/>
      <c r="LRP226" s="36"/>
      <c r="LRQ226" s="36"/>
      <c r="LRR226" s="37"/>
      <c r="LRS226" s="37"/>
      <c r="LRT226" s="38"/>
      <c r="LRU226" s="38"/>
      <c r="LRV226" s="39"/>
      <c r="LRW226" s="34"/>
      <c r="LRX226" s="34"/>
      <c r="LRY226" s="34"/>
      <c r="LRZ226" s="35"/>
      <c r="LSA226" s="35"/>
      <c r="LSB226" s="35"/>
      <c r="LSC226" s="35"/>
      <c r="LSD226" s="35"/>
      <c r="LSE226" s="34"/>
      <c r="LSF226" s="34"/>
      <c r="LSG226" s="36"/>
      <c r="LSH226" s="36"/>
      <c r="LSI226" s="37"/>
      <c r="LSJ226" s="37"/>
      <c r="LSK226" s="38"/>
      <c r="LSL226" s="38"/>
      <c r="LSM226" s="39"/>
      <c r="LSN226" s="34"/>
      <c r="LSO226" s="34"/>
      <c r="LSP226" s="34"/>
      <c r="LSQ226" s="35"/>
      <c r="LSR226" s="35"/>
      <c r="LSS226" s="35"/>
      <c r="LST226" s="35"/>
      <c r="LSU226" s="35"/>
      <c r="LSV226" s="34"/>
      <c r="LSW226" s="34"/>
      <c r="LSX226" s="36"/>
      <c r="LSY226" s="36"/>
      <c r="LSZ226" s="37"/>
      <c r="LTA226" s="37"/>
      <c r="LTB226" s="38"/>
      <c r="LTC226" s="38"/>
      <c r="LTD226" s="39"/>
      <c r="LTE226" s="34"/>
      <c r="LTF226" s="34"/>
      <c r="LTG226" s="34"/>
      <c r="LTH226" s="35"/>
      <c r="LTI226" s="35"/>
      <c r="LTJ226" s="35"/>
      <c r="LTK226" s="35"/>
      <c r="LTL226" s="35"/>
      <c r="LTM226" s="34"/>
      <c r="LTN226" s="34"/>
      <c r="LTO226" s="36"/>
      <c r="LTP226" s="36"/>
      <c r="LTQ226" s="37"/>
      <c r="LTR226" s="37"/>
      <c r="LTS226" s="38"/>
      <c r="LTT226" s="38"/>
      <c r="LTU226" s="39"/>
      <c r="LTV226" s="34"/>
      <c r="LTW226" s="34"/>
      <c r="LTX226" s="34"/>
      <c r="LTY226" s="35"/>
      <c r="LTZ226" s="35"/>
      <c r="LUA226" s="35"/>
      <c r="LUB226" s="35"/>
      <c r="LUC226" s="35"/>
      <c r="LUD226" s="34"/>
      <c r="LUE226" s="34"/>
      <c r="LUF226" s="36"/>
      <c r="LUG226" s="36"/>
      <c r="LUH226" s="37"/>
      <c r="LUI226" s="37"/>
      <c r="LUJ226" s="38"/>
      <c r="LUK226" s="38"/>
      <c r="LUL226" s="39"/>
      <c r="LUM226" s="34"/>
      <c r="LUN226" s="34"/>
      <c r="LUO226" s="34"/>
      <c r="LUP226" s="35"/>
      <c r="LUQ226" s="35"/>
      <c r="LUR226" s="35"/>
      <c r="LUS226" s="35"/>
      <c r="LUT226" s="35"/>
      <c r="LUU226" s="34"/>
      <c r="LUV226" s="34"/>
      <c r="LUW226" s="36"/>
      <c r="LUX226" s="36"/>
      <c r="LUY226" s="37"/>
      <c r="LUZ226" s="37"/>
      <c r="LVA226" s="38"/>
      <c r="LVB226" s="38"/>
      <c r="LVC226" s="39"/>
      <c r="LVD226" s="34"/>
      <c r="LVE226" s="34"/>
      <c r="LVF226" s="34"/>
      <c r="LVG226" s="35"/>
      <c r="LVH226" s="35"/>
      <c r="LVI226" s="35"/>
      <c r="LVJ226" s="35"/>
      <c r="LVK226" s="35"/>
      <c r="LVL226" s="34"/>
      <c r="LVM226" s="34"/>
      <c r="LVN226" s="36"/>
      <c r="LVO226" s="36"/>
      <c r="LVP226" s="37"/>
      <c r="LVQ226" s="37"/>
      <c r="LVR226" s="38"/>
      <c r="LVS226" s="38"/>
      <c r="LVT226" s="39"/>
      <c r="LVU226" s="34"/>
      <c r="LVV226" s="34"/>
      <c r="LVW226" s="34"/>
      <c r="LVX226" s="35"/>
      <c r="LVY226" s="35"/>
      <c r="LVZ226" s="35"/>
      <c r="LWA226" s="35"/>
      <c r="LWB226" s="35"/>
      <c r="LWC226" s="34"/>
      <c r="LWD226" s="34"/>
      <c r="LWE226" s="36"/>
      <c r="LWF226" s="36"/>
      <c r="LWG226" s="37"/>
      <c r="LWH226" s="37"/>
      <c r="LWI226" s="38"/>
      <c r="LWJ226" s="38"/>
      <c r="LWK226" s="39"/>
      <c r="LWL226" s="34"/>
      <c r="LWM226" s="34"/>
      <c r="LWN226" s="34"/>
      <c r="LWO226" s="35"/>
      <c r="LWP226" s="35"/>
      <c r="LWQ226" s="35"/>
      <c r="LWR226" s="35"/>
      <c r="LWS226" s="35"/>
      <c r="LWT226" s="34"/>
      <c r="LWU226" s="34"/>
      <c r="LWV226" s="36"/>
      <c r="LWW226" s="36"/>
      <c r="LWX226" s="37"/>
      <c r="LWY226" s="37"/>
      <c r="LWZ226" s="38"/>
      <c r="LXA226" s="38"/>
      <c r="LXB226" s="39"/>
      <c r="LXC226" s="34"/>
      <c r="LXD226" s="34"/>
      <c r="LXE226" s="34"/>
      <c r="LXF226" s="35"/>
      <c r="LXG226" s="35"/>
      <c r="LXH226" s="35"/>
      <c r="LXI226" s="35"/>
      <c r="LXJ226" s="35"/>
      <c r="LXK226" s="34"/>
      <c r="LXL226" s="34"/>
      <c r="LXM226" s="36"/>
      <c r="LXN226" s="36"/>
      <c r="LXO226" s="37"/>
      <c r="LXP226" s="37"/>
      <c r="LXQ226" s="38"/>
      <c r="LXR226" s="38"/>
      <c r="LXS226" s="39"/>
      <c r="LXT226" s="34"/>
      <c r="LXU226" s="34"/>
      <c r="LXV226" s="34"/>
      <c r="LXW226" s="35"/>
      <c r="LXX226" s="35"/>
      <c r="LXY226" s="35"/>
      <c r="LXZ226" s="35"/>
      <c r="LYA226" s="35"/>
      <c r="LYB226" s="34"/>
      <c r="LYC226" s="34"/>
      <c r="LYD226" s="36"/>
      <c r="LYE226" s="36"/>
      <c r="LYF226" s="37"/>
      <c r="LYG226" s="37"/>
      <c r="LYH226" s="38"/>
      <c r="LYI226" s="38"/>
      <c r="LYJ226" s="39"/>
      <c r="LYK226" s="34"/>
      <c r="LYL226" s="34"/>
      <c r="LYM226" s="34"/>
      <c r="LYN226" s="35"/>
      <c r="LYO226" s="35"/>
      <c r="LYP226" s="35"/>
      <c r="LYQ226" s="35"/>
      <c r="LYR226" s="35"/>
      <c r="LYS226" s="34"/>
      <c r="LYT226" s="34"/>
      <c r="LYU226" s="36"/>
      <c r="LYV226" s="36"/>
      <c r="LYW226" s="37"/>
      <c r="LYX226" s="37"/>
      <c r="LYY226" s="38"/>
      <c r="LYZ226" s="38"/>
      <c r="LZA226" s="39"/>
      <c r="LZB226" s="34"/>
      <c r="LZC226" s="34"/>
      <c r="LZD226" s="34"/>
      <c r="LZE226" s="35"/>
      <c r="LZF226" s="35"/>
      <c r="LZG226" s="35"/>
      <c r="LZH226" s="35"/>
      <c r="LZI226" s="35"/>
      <c r="LZJ226" s="34"/>
      <c r="LZK226" s="34"/>
      <c r="LZL226" s="36"/>
      <c r="LZM226" s="36"/>
      <c r="LZN226" s="37"/>
      <c r="LZO226" s="37"/>
      <c r="LZP226" s="38"/>
      <c r="LZQ226" s="38"/>
      <c r="LZR226" s="39"/>
      <c r="LZS226" s="34"/>
      <c r="LZT226" s="34"/>
      <c r="LZU226" s="34"/>
      <c r="LZV226" s="35"/>
      <c r="LZW226" s="35"/>
      <c r="LZX226" s="35"/>
      <c r="LZY226" s="35"/>
      <c r="LZZ226" s="35"/>
      <c r="MAA226" s="34"/>
      <c r="MAB226" s="34"/>
      <c r="MAC226" s="36"/>
      <c r="MAD226" s="36"/>
      <c r="MAE226" s="37"/>
      <c r="MAF226" s="37"/>
      <c r="MAG226" s="38"/>
      <c r="MAH226" s="38"/>
      <c r="MAI226" s="39"/>
      <c r="MAJ226" s="34"/>
      <c r="MAK226" s="34"/>
      <c r="MAL226" s="34"/>
      <c r="MAM226" s="35"/>
      <c r="MAN226" s="35"/>
      <c r="MAO226" s="35"/>
      <c r="MAP226" s="35"/>
      <c r="MAQ226" s="35"/>
      <c r="MAR226" s="34"/>
      <c r="MAS226" s="34"/>
      <c r="MAT226" s="36"/>
      <c r="MAU226" s="36"/>
      <c r="MAV226" s="37"/>
      <c r="MAW226" s="37"/>
      <c r="MAX226" s="38"/>
      <c r="MAY226" s="38"/>
      <c r="MAZ226" s="39"/>
      <c r="MBA226" s="34"/>
      <c r="MBB226" s="34"/>
      <c r="MBC226" s="34"/>
      <c r="MBD226" s="35"/>
      <c r="MBE226" s="35"/>
      <c r="MBF226" s="35"/>
      <c r="MBG226" s="35"/>
      <c r="MBH226" s="35"/>
      <c r="MBI226" s="34"/>
      <c r="MBJ226" s="34"/>
      <c r="MBK226" s="36"/>
      <c r="MBL226" s="36"/>
      <c r="MBM226" s="37"/>
      <c r="MBN226" s="37"/>
      <c r="MBO226" s="38"/>
      <c r="MBP226" s="38"/>
      <c r="MBQ226" s="39"/>
      <c r="MBR226" s="34"/>
      <c r="MBS226" s="34"/>
      <c r="MBT226" s="34"/>
      <c r="MBU226" s="35"/>
      <c r="MBV226" s="35"/>
      <c r="MBW226" s="35"/>
      <c r="MBX226" s="35"/>
      <c r="MBY226" s="35"/>
      <c r="MBZ226" s="34"/>
      <c r="MCA226" s="34"/>
      <c r="MCB226" s="36"/>
      <c r="MCC226" s="36"/>
      <c r="MCD226" s="37"/>
      <c r="MCE226" s="37"/>
      <c r="MCF226" s="38"/>
      <c r="MCG226" s="38"/>
      <c r="MCH226" s="39"/>
      <c r="MCI226" s="34"/>
      <c r="MCJ226" s="34"/>
      <c r="MCK226" s="34"/>
      <c r="MCL226" s="35"/>
      <c r="MCM226" s="35"/>
      <c r="MCN226" s="35"/>
      <c r="MCO226" s="35"/>
      <c r="MCP226" s="35"/>
      <c r="MCQ226" s="34"/>
      <c r="MCR226" s="34"/>
      <c r="MCS226" s="36"/>
      <c r="MCT226" s="36"/>
      <c r="MCU226" s="37"/>
      <c r="MCV226" s="37"/>
      <c r="MCW226" s="38"/>
      <c r="MCX226" s="38"/>
      <c r="MCY226" s="39"/>
      <c r="MCZ226" s="34"/>
      <c r="MDA226" s="34"/>
      <c r="MDB226" s="34"/>
      <c r="MDC226" s="35"/>
      <c r="MDD226" s="35"/>
      <c r="MDE226" s="35"/>
      <c r="MDF226" s="35"/>
      <c r="MDG226" s="35"/>
      <c r="MDH226" s="34"/>
      <c r="MDI226" s="34"/>
      <c r="MDJ226" s="36"/>
      <c r="MDK226" s="36"/>
      <c r="MDL226" s="37"/>
      <c r="MDM226" s="37"/>
      <c r="MDN226" s="38"/>
      <c r="MDO226" s="38"/>
      <c r="MDP226" s="39"/>
      <c r="MDQ226" s="34"/>
      <c r="MDR226" s="34"/>
      <c r="MDS226" s="34"/>
      <c r="MDT226" s="35"/>
      <c r="MDU226" s="35"/>
      <c r="MDV226" s="35"/>
      <c r="MDW226" s="35"/>
      <c r="MDX226" s="35"/>
      <c r="MDY226" s="34"/>
      <c r="MDZ226" s="34"/>
      <c r="MEA226" s="36"/>
      <c r="MEB226" s="36"/>
      <c r="MEC226" s="37"/>
      <c r="MED226" s="37"/>
      <c r="MEE226" s="38"/>
      <c r="MEF226" s="38"/>
      <c r="MEG226" s="39"/>
      <c r="MEH226" s="34"/>
      <c r="MEI226" s="34"/>
      <c r="MEJ226" s="34"/>
      <c r="MEK226" s="35"/>
      <c r="MEL226" s="35"/>
      <c r="MEM226" s="35"/>
      <c r="MEN226" s="35"/>
      <c r="MEO226" s="35"/>
      <c r="MEP226" s="34"/>
      <c r="MEQ226" s="34"/>
      <c r="MER226" s="36"/>
      <c r="MES226" s="36"/>
      <c r="MET226" s="37"/>
      <c r="MEU226" s="37"/>
      <c r="MEV226" s="38"/>
      <c r="MEW226" s="38"/>
      <c r="MEX226" s="39"/>
      <c r="MEY226" s="34"/>
      <c r="MEZ226" s="34"/>
      <c r="MFA226" s="34"/>
      <c r="MFB226" s="35"/>
      <c r="MFC226" s="35"/>
      <c r="MFD226" s="35"/>
      <c r="MFE226" s="35"/>
      <c r="MFF226" s="35"/>
      <c r="MFG226" s="34"/>
      <c r="MFH226" s="34"/>
      <c r="MFI226" s="36"/>
      <c r="MFJ226" s="36"/>
      <c r="MFK226" s="37"/>
      <c r="MFL226" s="37"/>
      <c r="MFM226" s="38"/>
      <c r="MFN226" s="38"/>
      <c r="MFO226" s="39"/>
      <c r="MFP226" s="34"/>
      <c r="MFQ226" s="34"/>
      <c r="MFR226" s="34"/>
      <c r="MFS226" s="35"/>
      <c r="MFT226" s="35"/>
      <c r="MFU226" s="35"/>
      <c r="MFV226" s="35"/>
      <c r="MFW226" s="35"/>
      <c r="MFX226" s="34"/>
      <c r="MFY226" s="34"/>
      <c r="MFZ226" s="36"/>
      <c r="MGA226" s="36"/>
      <c r="MGB226" s="37"/>
      <c r="MGC226" s="37"/>
      <c r="MGD226" s="38"/>
      <c r="MGE226" s="38"/>
      <c r="MGF226" s="39"/>
      <c r="MGG226" s="34"/>
      <c r="MGH226" s="34"/>
      <c r="MGI226" s="34"/>
      <c r="MGJ226" s="35"/>
      <c r="MGK226" s="35"/>
      <c r="MGL226" s="35"/>
      <c r="MGM226" s="35"/>
      <c r="MGN226" s="35"/>
      <c r="MGO226" s="34"/>
      <c r="MGP226" s="34"/>
      <c r="MGQ226" s="36"/>
      <c r="MGR226" s="36"/>
      <c r="MGS226" s="37"/>
      <c r="MGT226" s="37"/>
      <c r="MGU226" s="38"/>
      <c r="MGV226" s="38"/>
      <c r="MGW226" s="39"/>
      <c r="MGX226" s="34"/>
      <c r="MGY226" s="34"/>
      <c r="MGZ226" s="34"/>
      <c r="MHA226" s="35"/>
      <c r="MHB226" s="35"/>
      <c r="MHC226" s="35"/>
      <c r="MHD226" s="35"/>
      <c r="MHE226" s="35"/>
      <c r="MHF226" s="34"/>
      <c r="MHG226" s="34"/>
      <c r="MHH226" s="36"/>
      <c r="MHI226" s="36"/>
      <c r="MHJ226" s="37"/>
      <c r="MHK226" s="37"/>
      <c r="MHL226" s="38"/>
      <c r="MHM226" s="38"/>
      <c r="MHN226" s="39"/>
      <c r="MHO226" s="34"/>
      <c r="MHP226" s="34"/>
      <c r="MHQ226" s="34"/>
      <c r="MHR226" s="35"/>
      <c r="MHS226" s="35"/>
      <c r="MHT226" s="35"/>
      <c r="MHU226" s="35"/>
      <c r="MHV226" s="35"/>
      <c r="MHW226" s="34"/>
      <c r="MHX226" s="34"/>
      <c r="MHY226" s="36"/>
      <c r="MHZ226" s="36"/>
      <c r="MIA226" s="37"/>
      <c r="MIB226" s="37"/>
      <c r="MIC226" s="38"/>
      <c r="MID226" s="38"/>
      <c r="MIE226" s="39"/>
      <c r="MIF226" s="34"/>
      <c r="MIG226" s="34"/>
      <c r="MIH226" s="34"/>
      <c r="MII226" s="35"/>
      <c r="MIJ226" s="35"/>
      <c r="MIK226" s="35"/>
      <c r="MIL226" s="35"/>
      <c r="MIM226" s="35"/>
      <c r="MIN226" s="34"/>
      <c r="MIO226" s="34"/>
      <c r="MIP226" s="36"/>
      <c r="MIQ226" s="36"/>
      <c r="MIR226" s="37"/>
      <c r="MIS226" s="37"/>
      <c r="MIT226" s="38"/>
      <c r="MIU226" s="38"/>
      <c r="MIV226" s="39"/>
      <c r="MIW226" s="34"/>
      <c r="MIX226" s="34"/>
      <c r="MIY226" s="34"/>
      <c r="MIZ226" s="35"/>
      <c r="MJA226" s="35"/>
      <c r="MJB226" s="35"/>
      <c r="MJC226" s="35"/>
      <c r="MJD226" s="35"/>
      <c r="MJE226" s="34"/>
      <c r="MJF226" s="34"/>
      <c r="MJG226" s="36"/>
      <c r="MJH226" s="36"/>
      <c r="MJI226" s="37"/>
      <c r="MJJ226" s="37"/>
      <c r="MJK226" s="38"/>
      <c r="MJL226" s="38"/>
      <c r="MJM226" s="39"/>
      <c r="MJN226" s="34"/>
      <c r="MJO226" s="34"/>
      <c r="MJP226" s="34"/>
      <c r="MJQ226" s="35"/>
      <c r="MJR226" s="35"/>
      <c r="MJS226" s="35"/>
      <c r="MJT226" s="35"/>
      <c r="MJU226" s="35"/>
      <c r="MJV226" s="34"/>
      <c r="MJW226" s="34"/>
      <c r="MJX226" s="36"/>
      <c r="MJY226" s="36"/>
      <c r="MJZ226" s="37"/>
      <c r="MKA226" s="37"/>
      <c r="MKB226" s="38"/>
      <c r="MKC226" s="38"/>
      <c r="MKD226" s="39"/>
      <c r="MKE226" s="34"/>
      <c r="MKF226" s="34"/>
      <c r="MKG226" s="34"/>
      <c r="MKH226" s="35"/>
      <c r="MKI226" s="35"/>
      <c r="MKJ226" s="35"/>
      <c r="MKK226" s="35"/>
      <c r="MKL226" s="35"/>
      <c r="MKM226" s="34"/>
      <c r="MKN226" s="34"/>
      <c r="MKO226" s="36"/>
      <c r="MKP226" s="36"/>
      <c r="MKQ226" s="37"/>
      <c r="MKR226" s="37"/>
      <c r="MKS226" s="38"/>
      <c r="MKT226" s="38"/>
      <c r="MKU226" s="39"/>
      <c r="MKV226" s="34"/>
      <c r="MKW226" s="34"/>
      <c r="MKX226" s="34"/>
      <c r="MKY226" s="35"/>
      <c r="MKZ226" s="35"/>
      <c r="MLA226" s="35"/>
      <c r="MLB226" s="35"/>
      <c r="MLC226" s="35"/>
      <c r="MLD226" s="34"/>
      <c r="MLE226" s="34"/>
      <c r="MLF226" s="36"/>
      <c r="MLG226" s="36"/>
      <c r="MLH226" s="37"/>
      <c r="MLI226" s="37"/>
      <c r="MLJ226" s="38"/>
      <c r="MLK226" s="38"/>
      <c r="MLL226" s="39"/>
      <c r="MLM226" s="34"/>
      <c r="MLN226" s="34"/>
      <c r="MLO226" s="34"/>
      <c r="MLP226" s="35"/>
      <c r="MLQ226" s="35"/>
      <c r="MLR226" s="35"/>
      <c r="MLS226" s="35"/>
      <c r="MLT226" s="35"/>
      <c r="MLU226" s="34"/>
      <c r="MLV226" s="34"/>
      <c r="MLW226" s="36"/>
      <c r="MLX226" s="36"/>
      <c r="MLY226" s="37"/>
      <c r="MLZ226" s="37"/>
      <c r="MMA226" s="38"/>
      <c r="MMB226" s="38"/>
      <c r="MMC226" s="39"/>
      <c r="MMD226" s="34"/>
      <c r="MME226" s="34"/>
      <c r="MMF226" s="34"/>
      <c r="MMG226" s="35"/>
      <c r="MMH226" s="35"/>
      <c r="MMI226" s="35"/>
      <c r="MMJ226" s="35"/>
      <c r="MMK226" s="35"/>
      <c r="MML226" s="34"/>
      <c r="MMM226" s="34"/>
      <c r="MMN226" s="36"/>
      <c r="MMO226" s="36"/>
      <c r="MMP226" s="37"/>
      <c r="MMQ226" s="37"/>
      <c r="MMR226" s="38"/>
      <c r="MMS226" s="38"/>
      <c r="MMT226" s="39"/>
      <c r="MMU226" s="34"/>
      <c r="MMV226" s="34"/>
      <c r="MMW226" s="34"/>
      <c r="MMX226" s="35"/>
      <c r="MMY226" s="35"/>
      <c r="MMZ226" s="35"/>
      <c r="MNA226" s="35"/>
      <c r="MNB226" s="35"/>
      <c r="MNC226" s="34"/>
      <c r="MND226" s="34"/>
      <c r="MNE226" s="36"/>
      <c r="MNF226" s="36"/>
      <c r="MNG226" s="37"/>
      <c r="MNH226" s="37"/>
      <c r="MNI226" s="38"/>
      <c r="MNJ226" s="38"/>
      <c r="MNK226" s="39"/>
      <c r="MNL226" s="34"/>
      <c r="MNM226" s="34"/>
      <c r="MNN226" s="34"/>
      <c r="MNO226" s="35"/>
      <c r="MNP226" s="35"/>
      <c r="MNQ226" s="35"/>
      <c r="MNR226" s="35"/>
      <c r="MNS226" s="35"/>
      <c r="MNT226" s="34"/>
      <c r="MNU226" s="34"/>
      <c r="MNV226" s="36"/>
      <c r="MNW226" s="36"/>
      <c r="MNX226" s="37"/>
      <c r="MNY226" s="37"/>
      <c r="MNZ226" s="38"/>
      <c r="MOA226" s="38"/>
      <c r="MOB226" s="39"/>
      <c r="MOC226" s="34"/>
      <c r="MOD226" s="34"/>
      <c r="MOE226" s="34"/>
      <c r="MOF226" s="35"/>
      <c r="MOG226" s="35"/>
      <c r="MOH226" s="35"/>
      <c r="MOI226" s="35"/>
      <c r="MOJ226" s="35"/>
      <c r="MOK226" s="34"/>
      <c r="MOL226" s="34"/>
      <c r="MOM226" s="36"/>
      <c r="MON226" s="36"/>
      <c r="MOO226" s="37"/>
      <c r="MOP226" s="37"/>
      <c r="MOQ226" s="38"/>
      <c r="MOR226" s="38"/>
      <c r="MOS226" s="39"/>
      <c r="MOT226" s="34"/>
      <c r="MOU226" s="34"/>
      <c r="MOV226" s="34"/>
      <c r="MOW226" s="35"/>
      <c r="MOX226" s="35"/>
      <c r="MOY226" s="35"/>
      <c r="MOZ226" s="35"/>
      <c r="MPA226" s="35"/>
      <c r="MPB226" s="34"/>
      <c r="MPC226" s="34"/>
      <c r="MPD226" s="36"/>
      <c r="MPE226" s="36"/>
      <c r="MPF226" s="37"/>
      <c r="MPG226" s="37"/>
      <c r="MPH226" s="38"/>
      <c r="MPI226" s="38"/>
      <c r="MPJ226" s="39"/>
      <c r="MPK226" s="34"/>
      <c r="MPL226" s="34"/>
      <c r="MPM226" s="34"/>
      <c r="MPN226" s="35"/>
      <c r="MPO226" s="35"/>
      <c r="MPP226" s="35"/>
      <c r="MPQ226" s="35"/>
      <c r="MPR226" s="35"/>
      <c r="MPS226" s="34"/>
      <c r="MPT226" s="34"/>
      <c r="MPU226" s="36"/>
      <c r="MPV226" s="36"/>
      <c r="MPW226" s="37"/>
      <c r="MPX226" s="37"/>
      <c r="MPY226" s="38"/>
      <c r="MPZ226" s="38"/>
      <c r="MQA226" s="39"/>
      <c r="MQB226" s="34"/>
      <c r="MQC226" s="34"/>
      <c r="MQD226" s="34"/>
      <c r="MQE226" s="35"/>
      <c r="MQF226" s="35"/>
      <c r="MQG226" s="35"/>
      <c r="MQH226" s="35"/>
      <c r="MQI226" s="35"/>
      <c r="MQJ226" s="34"/>
      <c r="MQK226" s="34"/>
      <c r="MQL226" s="36"/>
      <c r="MQM226" s="36"/>
      <c r="MQN226" s="37"/>
      <c r="MQO226" s="37"/>
      <c r="MQP226" s="38"/>
      <c r="MQQ226" s="38"/>
      <c r="MQR226" s="39"/>
      <c r="MQS226" s="34"/>
      <c r="MQT226" s="34"/>
      <c r="MQU226" s="34"/>
      <c r="MQV226" s="35"/>
      <c r="MQW226" s="35"/>
      <c r="MQX226" s="35"/>
      <c r="MQY226" s="35"/>
      <c r="MQZ226" s="35"/>
      <c r="MRA226" s="34"/>
      <c r="MRB226" s="34"/>
      <c r="MRC226" s="36"/>
      <c r="MRD226" s="36"/>
      <c r="MRE226" s="37"/>
      <c r="MRF226" s="37"/>
      <c r="MRG226" s="38"/>
      <c r="MRH226" s="38"/>
      <c r="MRI226" s="39"/>
      <c r="MRJ226" s="34"/>
      <c r="MRK226" s="34"/>
      <c r="MRL226" s="34"/>
      <c r="MRM226" s="35"/>
      <c r="MRN226" s="35"/>
      <c r="MRO226" s="35"/>
      <c r="MRP226" s="35"/>
      <c r="MRQ226" s="35"/>
      <c r="MRR226" s="34"/>
      <c r="MRS226" s="34"/>
      <c r="MRT226" s="36"/>
      <c r="MRU226" s="36"/>
      <c r="MRV226" s="37"/>
      <c r="MRW226" s="37"/>
      <c r="MRX226" s="38"/>
      <c r="MRY226" s="38"/>
      <c r="MRZ226" s="39"/>
      <c r="MSA226" s="34"/>
      <c r="MSB226" s="34"/>
      <c r="MSC226" s="34"/>
      <c r="MSD226" s="35"/>
      <c r="MSE226" s="35"/>
      <c r="MSF226" s="35"/>
      <c r="MSG226" s="35"/>
      <c r="MSH226" s="35"/>
      <c r="MSI226" s="34"/>
      <c r="MSJ226" s="34"/>
      <c r="MSK226" s="36"/>
      <c r="MSL226" s="36"/>
      <c r="MSM226" s="37"/>
      <c r="MSN226" s="37"/>
      <c r="MSO226" s="38"/>
      <c r="MSP226" s="38"/>
      <c r="MSQ226" s="39"/>
      <c r="MSR226" s="34"/>
      <c r="MSS226" s="34"/>
      <c r="MST226" s="34"/>
      <c r="MSU226" s="35"/>
      <c r="MSV226" s="35"/>
      <c r="MSW226" s="35"/>
      <c r="MSX226" s="35"/>
      <c r="MSY226" s="35"/>
      <c r="MSZ226" s="34"/>
      <c r="MTA226" s="34"/>
      <c r="MTB226" s="36"/>
      <c r="MTC226" s="36"/>
      <c r="MTD226" s="37"/>
      <c r="MTE226" s="37"/>
      <c r="MTF226" s="38"/>
      <c r="MTG226" s="38"/>
      <c r="MTH226" s="39"/>
      <c r="MTI226" s="34"/>
      <c r="MTJ226" s="34"/>
      <c r="MTK226" s="34"/>
      <c r="MTL226" s="35"/>
      <c r="MTM226" s="35"/>
      <c r="MTN226" s="35"/>
      <c r="MTO226" s="35"/>
      <c r="MTP226" s="35"/>
      <c r="MTQ226" s="34"/>
      <c r="MTR226" s="34"/>
      <c r="MTS226" s="36"/>
      <c r="MTT226" s="36"/>
      <c r="MTU226" s="37"/>
      <c r="MTV226" s="37"/>
      <c r="MTW226" s="38"/>
      <c r="MTX226" s="38"/>
      <c r="MTY226" s="39"/>
      <c r="MTZ226" s="34"/>
      <c r="MUA226" s="34"/>
      <c r="MUB226" s="34"/>
      <c r="MUC226" s="35"/>
      <c r="MUD226" s="35"/>
      <c r="MUE226" s="35"/>
      <c r="MUF226" s="35"/>
      <c r="MUG226" s="35"/>
      <c r="MUH226" s="34"/>
      <c r="MUI226" s="34"/>
      <c r="MUJ226" s="36"/>
      <c r="MUK226" s="36"/>
      <c r="MUL226" s="37"/>
      <c r="MUM226" s="37"/>
      <c r="MUN226" s="38"/>
      <c r="MUO226" s="38"/>
      <c r="MUP226" s="39"/>
      <c r="MUQ226" s="34"/>
      <c r="MUR226" s="34"/>
      <c r="MUS226" s="34"/>
      <c r="MUT226" s="35"/>
      <c r="MUU226" s="35"/>
      <c r="MUV226" s="35"/>
      <c r="MUW226" s="35"/>
      <c r="MUX226" s="35"/>
      <c r="MUY226" s="34"/>
      <c r="MUZ226" s="34"/>
      <c r="MVA226" s="36"/>
      <c r="MVB226" s="36"/>
      <c r="MVC226" s="37"/>
      <c r="MVD226" s="37"/>
      <c r="MVE226" s="38"/>
      <c r="MVF226" s="38"/>
      <c r="MVG226" s="39"/>
      <c r="MVH226" s="34"/>
      <c r="MVI226" s="34"/>
      <c r="MVJ226" s="34"/>
      <c r="MVK226" s="35"/>
      <c r="MVL226" s="35"/>
      <c r="MVM226" s="35"/>
      <c r="MVN226" s="35"/>
      <c r="MVO226" s="35"/>
      <c r="MVP226" s="34"/>
      <c r="MVQ226" s="34"/>
      <c r="MVR226" s="36"/>
      <c r="MVS226" s="36"/>
      <c r="MVT226" s="37"/>
      <c r="MVU226" s="37"/>
      <c r="MVV226" s="38"/>
      <c r="MVW226" s="38"/>
      <c r="MVX226" s="39"/>
      <c r="MVY226" s="34"/>
      <c r="MVZ226" s="34"/>
      <c r="MWA226" s="34"/>
      <c r="MWB226" s="35"/>
      <c r="MWC226" s="35"/>
      <c r="MWD226" s="35"/>
      <c r="MWE226" s="35"/>
      <c r="MWF226" s="35"/>
      <c r="MWG226" s="34"/>
      <c r="MWH226" s="34"/>
      <c r="MWI226" s="36"/>
      <c r="MWJ226" s="36"/>
      <c r="MWK226" s="37"/>
      <c r="MWL226" s="37"/>
      <c r="MWM226" s="38"/>
      <c r="MWN226" s="38"/>
      <c r="MWO226" s="39"/>
      <c r="MWP226" s="34"/>
      <c r="MWQ226" s="34"/>
      <c r="MWR226" s="34"/>
      <c r="MWS226" s="35"/>
      <c r="MWT226" s="35"/>
      <c r="MWU226" s="35"/>
      <c r="MWV226" s="35"/>
      <c r="MWW226" s="35"/>
      <c r="MWX226" s="34"/>
      <c r="MWY226" s="34"/>
      <c r="MWZ226" s="36"/>
      <c r="MXA226" s="36"/>
      <c r="MXB226" s="37"/>
      <c r="MXC226" s="37"/>
      <c r="MXD226" s="38"/>
      <c r="MXE226" s="38"/>
      <c r="MXF226" s="39"/>
      <c r="MXG226" s="34"/>
      <c r="MXH226" s="34"/>
      <c r="MXI226" s="34"/>
      <c r="MXJ226" s="35"/>
      <c r="MXK226" s="35"/>
      <c r="MXL226" s="35"/>
      <c r="MXM226" s="35"/>
      <c r="MXN226" s="35"/>
      <c r="MXO226" s="34"/>
      <c r="MXP226" s="34"/>
      <c r="MXQ226" s="36"/>
      <c r="MXR226" s="36"/>
      <c r="MXS226" s="37"/>
      <c r="MXT226" s="37"/>
      <c r="MXU226" s="38"/>
      <c r="MXV226" s="38"/>
      <c r="MXW226" s="39"/>
      <c r="MXX226" s="34"/>
      <c r="MXY226" s="34"/>
      <c r="MXZ226" s="34"/>
      <c r="MYA226" s="35"/>
      <c r="MYB226" s="35"/>
      <c r="MYC226" s="35"/>
      <c r="MYD226" s="35"/>
      <c r="MYE226" s="35"/>
      <c r="MYF226" s="34"/>
      <c r="MYG226" s="34"/>
      <c r="MYH226" s="36"/>
      <c r="MYI226" s="36"/>
      <c r="MYJ226" s="37"/>
      <c r="MYK226" s="37"/>
      <c r="MYL226" s="38"/>
      <c r="MYM226" s="38"/>
      <c r="MYN226" s="39"/>
      <c r="MYO226" s="34"/>
      <c r="MYP226" s="34"/>
      <c r="MYQ226" s="34"/>
      <c r="MYR226" s="35"/>
      <c r="MYS226" s="35"/>
      <c r="MYT226" s="35"/>
      <c r="MYU226" s="35"/>
      <c r="MYV226" s="35"/>
      <c r="MYW226" s="34"/>
      <c r="MYX226" s="34"/>
      <c r="MYY226" s="36"/>
      <c r="MYZ226" s="36"/>
      <c r="MZA226" s="37"/>
      <c r="MZB226" s="37"/>
      <c r="MZC226" s="38"/>
      <c r="MZD226" s="38"/>
      <c r="MZE226" s="39"/>
      <c r="MZF226" s="34"/>
      <c r="MZG226" s="34"/>
      <c r="MZH226" s="34"/>
      <c r="MZI226" s="35"/>
      <c r="MZJ226" s="35"/>
      <c r="MZK226" s="35"/>
      <c r="MZL226" s="35"/>
      <c r="MZM226" s="35"/>
      <c r="MZN226" s="34"/>
      <c r="MZO226" s="34"/>
      <c r="MZP226" s="36"/>
      <c r="MZQ226" s="36"/>
      <c r="MZR226" s="37"/>
      <c r="MZS226" s="37"/>
      <c r="MZT226" s="38"/>
      <c r="MZU226" s="38"/>
      <c r="MZV226" s="39"/>
      <c r="MZW226" s="34"/>
      <c r="MZX226" s="34"/>
      <c r="MZY226" s="34"/>
      <c r="MZZ226" s="35"/>
      <c r="NAA226" s="35"/>
      <c r="NAB226" s="35"/>
      <c r="NAC226" s="35"/>
      <c r="NAD226" s="35"/>
      <c r="NAE226" s="34"/>
      <c r="NAF226" s="34"/>
      <c r="NAG226" s="36"/>
      <c r="NAH226" s="36"/>
      <c r="NAI226" s="37"/>
      <c r="NAJ226" s="37"/>
      <c r="NAK226" s="38"/>
      <c r="NAL226" s="38"/>
      <c r="NAM226" s="39"/>
      <c r="NAN226" s="34"/>
      <c r="NAO226" s="34"/>
      <c r="NAP226" s="34"/>
      <c r="NAQ226" s="35"/>
      <c r="NAR226" s="35"/>
      <c r="NAS226" s="35"/>
      <c r="NAT226" s="35"/>
      <c r="NAU226" s="35"/>
      <c r="NAV226" s="34"/>
      <c r="NAW226" s="34"/>
      <c r="NAX226" s="36"/>
      <c r="NAY226" s="36"/>
      <c r="NAZ226" s="37"/>
      <c r="NBA226" s="37"/>
      <c r="NBB226" s="38"/>
      <c r="NBC226" s="38"/>
      <c r="NBD226" s="39"/>
      <c r="NBE226" s="34"/>
      <c r="NBF226" s="34"/>
      <c r="NBG226" s="34"/>
      <c r="NBH226" s="35"/>
      <c r="NBI226" s="35"/>
      <c r="NBJ226" s="35"/>
      <c r="NBK226" s="35"/>
      <c r="NBL226" s="35"/>
      <c r="NBM226" s="34"/>
      <c r="NBN226" s="34"/>
      <c r="NBO226" s="36"/>
      <c r="NBP226" s="36"/>
      <c r="NBQ226" s="37"/>
      <c r="NBR226" s="37"/>
      <c r="NBS226" s="38"/>
      <c r="NBT226" s="38"/>
      <c r="NBU226" s="39"/>
      <c r="NBV226" s="34"/>
      <c r="NBW226" s="34"/>
      <c r="NBX226" s="34"/>
      <c r="NBY226" s="35"/>
      <c r="NBZ226" s="35"/>
      <c r="NCA226" s="35"/>
      <c r="NCB226" s="35"/>
      <c r="NCC226" s="35"/>
      <c r="NCD226" s="34"/>
      <c r="NCE226" s="34"/>
      <c r="NCF226" s="36"/>
      <c r="NCG226" s="36"/>
      <c r="NCH226" s="37"/>
      <c r="NCI226" s="37"/>
      <c r="NCJ226" s="38"/>
      <c r="NCK226" s="38"/>
      <c r="NCL226" s="39"/>
      <c r="NCM226" s="34"/>
      <c r="NCN226" s="34"/>
      <c r="NCO226" s="34"/>
      <c r="NCP226" s="35"/>
      <c r="NCQ226" s="35"/>
      <c r="NCR226" s="35"/>
      <c r="NCS226" s="35"/>
      <c r="NCT226" s="35"/>
      <c r="NCU226" s="34"/>
      <c r="NCV226" s="34"/>
      <c r="NCW226" s="36"/>
      <c r="NCX226" s="36"/>
      <c r="NCY226" s="37"/>
      <c r="NCZ226" s="37"/>
      <c r="NDA226" s="38"/>
      <c r="NDB226" s="38"/>
      <c r="NDC226" s="39"/>
      <c r="NDD226" s="34"/>
      <c r="NDE226" s="34"/>
      <c r="NDF226" s="34"/>
      <c r="NDG226" s="35"/>
      <c r="NDH226" s="35"/>
      <c r="NDI226" s="35"/>
      <c r="NDJ226" s="35"/>
      <c r="NDK226" s="35"/>
      <c r="NDL226" s="34"/>
      <c r="NDM226" s="34"/>
      <c r="NDN226" s="36"/>
      <c r="NDO226" s="36"/>
      <c r="NDP226" s="37"/>
      <c r="NDQ226" s="37"/>
      <c r="NDR226" s="38"/>
      <c r="NDS226" s="38"/>
      <c r="NDT226" s="39"/>
      <c r="NDU226" s="34"/>
      <c r="NDV226" s="34"/>
      <c r="NDW226" s="34"/>
      <c r="NDX226" s="35"/>
      <c r="NDY226" s="35"/>
      <c r="NDZ226" s="35"/>
      <c r="NEA226" s="35"/>
      <c r="NEB226" s="35"/>
      <c r="NEC226" s="34"/>
      <c r="NED226" s="34"/>
      <c r="NEE226" s="36"/>
      <c r="NEF226" s="36"/>
      <c r="NEG226" s="37"/>
      <c r="NEH226" s="37"/>
      <c r="NEI226" s="38"/>
      <c r="NEJ226" s="38"/>
      <c r="NEK226" s="39"/>
      <c r="NEL226" s="34"/>
      <c r="NEM226" s="34"/>
      <c r="NEN226" s="34"/>
      <c r="NEO226" s="35"/>
      <c r="NEP226" s="35"/>
      <c r="NEQ226" s="35"/>
      <c r="NER226" s="35"/>
      <c r="NES226" s="35"/>
      <c r="NET226" s="34"/>
      <c r="NEU226" s="34"/>
      <c r="NEV226" s="36"/>
      <c r="NEW226" s="36"/>
      <c r="NEX226" s="37"/>
      <c r="NEY226" s="37"/>
      <c r="NEZ226" s="38"/>
      <c r="NFA226" s="38"/>
      <c r="NFB226" s="39"/>
      <c r="NFC226" s="34"/>
      <c r="NFD226" s="34"/>
      <c r="NFE226" s="34"/>
      <c r="NFF226" s="35"/>
      <c r="NFG226" s="35"/>
      <c r="NFH226" s="35"/>
      <c r="NFI226" s="35"/>
      <c r="NFJ226" s="35"/>
      <c r="NFK226" s="34"/>
      <c r="NFL226" s="34"/>
      <c r="NFM226" s="36"/>
      <c r="NFN226" s="36"/>
      <c r="NFO226" s="37"/>
      <c r="NFP226" s="37"/>
      <c r="NFQ226" s="38"/>
      <c r="NFR226" s="38"/>
      <c r="NFS226" s="39"/>
      <c r="NFT226" s="34"/>
      <c r="NFU226" s="34"/>
      <c r="NFV226" s="34"/>
      <c r="NFW226" s="35"/>
      <c r="NFX226" s="35"/>
      <c r="NFY226" s="35"/>
      <c r="NFZ226" s="35"/>
      <c r="NGA226" s="35"/>
      <c r="NGB226" s="34"/>
      <c r="NGC226" s="34"/>
      <c r="NGD226" s="36"/>
      <c r="NGE226" s="36"/>
      <c r="NGF226" s="37"/>
      <c r="NGG226" s="37"/>
      <c r="NGH226" s="38"/>
      <c r="NGI226" s="38"/>
      <c r="NGJ226" s="39"/>
      <c r="NGK226" s="34"/>
      <c r="NGL226" s="34"/>
      <c r="NGM226" s="34"/>
      <c r="NGN226" s="35"/>
      <c r="NGO226" s="35"/>
      <c r="NGP226" s="35"/>
      <c r="NGQ226" s="35"/>
      <c r="NGR226" s="35"/>
      <c r="NGS226" s="34"/>
      <c r="NGT226" s="34"/>
      <c r="NGU226" s="36"/>
      <c r="NGV226" s="36"/>
      <c r="NGW226" s="37"/>
      <c r="NGX226" s="37"/>
      <c r="NGY226" s="38"/>
      <c r="NGZ226" s="38"/>
      <c r="NHA226" s="39"/>
      <c r="NHB226" s="34"/>
      <c r="NHC226" s="34"/>
      <c r="NHD226" s="34"/>
      <c r="NHE226" s="35"/>
      <c r="NHF226" s="35"/>
      <c r="NHG226" s="35"/>
      <c r="NHH226" s="35"/>
      <c r="NHI226" s="35"/>
      <c r="NHJ226" s="34"/>
      <c r="NHK226" s="34"/>
      <c r="NHL226" s="36"/>
      <c r="NHM226" s="36"/>
      <c r="NHN226" s="37"/>
      <c r="NHO226" s="37"/>
      <c r="NHP226" s="38"/>
      <c r="NHQ226" s="38"/>
      <c r="NHR226" s="39"/>
      <c r="NHS226" s="34"/>
      <c r="NHT226" s="34"/>
      <c r="NHU226" s="34"/>
      <c r="NHV226" s="35"/>
      <c r="NHW226" s="35"/>
      <c r="NHX226" s="35"/>
      <c r="NHY226" s="35"/>
      <c r="NHZ226" s="35"/>
      <c r="NIA226" s="34"/>
      <c r="NIB226" s="34"/>
      <c r="NIC226" s="36"/>
      <c r="NID226" s="36"/>
      <c r="NIE226" s="37"/>
      <c r="NIF226" s="37"/>
      <c r="NIG226" s="38"/>
      <c r="NIH226" s="38"/>
      <c r="NII226" s="39"/>
      <c r="NIJ226" s="34"/>
      <c r="NIK226" s="34"/>
      <c r="NIL226" s="34"/>
      <c r="NIM226" s="35"/>
      <c r="NIN226" s="35"/>
      <c r="NIO226" s="35"/>
      <c r="NIP226" s="35"/>
      <c r="NIQ226" s="35"/>
      <c r="NIR226" s="34"/>
      <c r="NIS226" s="34"/>
      <c r="NIT226" s="36"/>
      <c r="NIU226" s="36"/>
      <c r="NIV226" s="37"/>
      <c r="NIW226" s="37"/>
      <c r="NIX226" s="38"/>
      <c r="NIY226" s="38"/>
      <c r="NIZ226" s="39"/>
      <c r="NJA226" s="34"/>
      <c r="NJB226" s="34"/>
      <c r="NJC226" s="34"/>
      <c r="NJD226" s="35"/>
      <c r="NJE226" s="35"/>
      <c r="NJF226" s="35"/>
      <c r="NJG226" s="35"/>
      <c r="NJH226" s="35"/>
      <c r="NJI226" s="34"/>
      <c r="NJJ226" s="34"/>
      <c r="NJK226" s="36"/>
      <c r="NJL226" s="36"/>
      <c r="NJM226" s="37"/>
      <c r="NJN226" s="37"/>
      <c r="NJO226" s="38"/>
      <c r="NJP226" s="38"/>
      <c r="NJQ226" s="39"/>
      <c r="NJR226" s="34"/>
      <c r="NJS226" s="34"/>
      <c r="NJT226" s="34"/>
      <c r="NJU226" s="35"/>
      <c r="NJV226" s="35"/>
      <c r="NJW226" s="35"/>
      <c r="NJX226" s="35"/>
      <c r="NJY226" s="35"/>
      <c r="NJZ226" s="34"/>
      <c r="NKA226" s="34"/>
      <c r="NKB226" s="36"/>
      <c r="NKC226" s="36"/>
      <c r="NKD226" s="37"/>
      <c r="NKE226" s="37"/>
      <c r="NKF226" s="38"/>
      <c r="NKG226" s="38"/>
      <c r="NKH226" s="39"/>
      <c r="NKI226" s="34"/>
      <c r="NKJ226" s="34"/>
      <c r="NKK226" s="34"/>
      <c r="NKL226" s="35"/>
      <c r="NKM226" s="35"/>
      <c r="NKN226" s="35"/>
      <c r="NKO226" s="35"/>
      <c r="NKP226" s="35"/>
      <c r="NKQ226" s="34"/>
      <c r="NKR226" s="34"/>
      <c r="NKS226" s="36"/>
      <c r="NKT226" s="36"/>
      <c r="NKU226" s="37"/>
      <c r="NKV226" s="37"/>
      <c r="NKW226" s="38"/>
      <c r="NKX226" s="38"/>
      <c r="NKY226" s="39"/>
      <c r="NKZ226" s="34"/>
      <c r="NLA226" s="34"/>
      <c r="NLB226" s="34"/>
      <c r="NLC226" s="35"/>
      <c r="NLD226" s="35"/>
      <c r="NLE226" s="35"/>
      <c r="NLF226" s="35"/>
      <c r="NLG226" s="35"/>
      <c r="NLH226" s="34"/>
      <c r="NLI226" s="34"/>
      <c r="NLJ226" s="36"/>
      <c r="NLK226" s="36"/>
      <c r="NLL226" s="37"/>
      <c r="NLM226" s="37"/>
      <c r="NLN226" s="38"/>
      <c r="NLO226" s="38"/>
      <c r="NLP226" s="39"/>
      <c r="NLQ226" s="34"/>
      <c r="NLR226" s="34"/>
      <c r="NLS226" s="34"/>
      <c r="NLT226" s="35"/>
      <c r="NLU226" s="35"/>
      <c r="NLV226" s="35"/>
      <c r="NLW226" s="35"/>
      <c r="NLX226" s="35"/>
      <c r="NLY226" s="34"/>
      <c r="NLZ226" s="34"/>
      <c r="NMA226" s="36"/>
      <c r="NMB226" s="36"/>
      <c r="NMC226" s="37"/>
      <c r="NMD226" s="37"/>
      <c r="NME226" s="38"/>
      <c r="NMF226" s="38"/>
      <c r="NMG226" s="39"/>
      <c r="NMH226" s="34"/>
      <c r="NMI226" s="34"/>
      <c r="NMJ226" s="34"/>
      <c r="NMK226" s="35"/>
      <c r="NML226" s="35"/>
      <c r="NMM226" s="35"/>
      <c r="NMN226" s="35"/>
      <c r="NMO226" s="35"/>
      <c r="NMP226" s="34"/>
      <c r="NMQ226" s="34"/>
      <c r="NMR226" s="36"/>
      <c r="NMS226" s="36"/>
      <c r="NMT226" s="37"/>
      <c r="NMU226" s="37"/>
      <c r="NMV226" s="38"/>
      <c r="NMW226" s="38"/>
      <c r="NMX226" s="39"/>
      <c r="NMY226" s="34"/>
      <c r="NMZ226" s="34"/>
      <c r="NNA226" s="34"/>
      <c r="NNB226" s="35"/>
      <c r="NNC226" s="35"/>
      <c r="NND226" s="35"/>
      <c r="NNE226" s="35"/>
      <c r="NNF226" s="35"/>
      <c r="NNG226" s="34"/>
      <c r="NNH226" s="34"/>
      <c r="NNI226" s="36"/>
      <c r="NNJ226" s="36"/>
      <c r="NNK226" s="37"/>
      <c r="NNL226" s="37"/>
      <c r="NNM226" s="38"/>
      <c r="NNN226" s="38"/>
      <c r="NNO226" s="39"/>
      <c r="NNP226" s="34"/>
      <c r="NNQ226" s="34"/>
      <c r="NNR226" s="34"/>
      <c r="NNS226" s="35"/>
      <c r="NNT226" s="35"/>
      <c r="NNU226" s="35"/>
      <c r="NNV226" s="35"/>
      <c r="NNW226" s="35"/>
      <c r="NNX226" s="34"/>
      <c r="NNY226" s="34"/>
      <c r="NNZ226" s="36"/>
      <c r="NOA226" s="36"/>
      <c r="NOB226" s="37"/>
      <c r="NOC226" s="37"/>
      <c r="NOD226" s="38"/>
      <c r="NOE226" s="38"/>
      <c r="NOF226" s="39"/>
      <c r="NOG226" s="34"/>
      <c r="NOH226" s="34"/>
      <c r="NOI226" s="34"/>
      <c r="NOJ226" s="35"/>
      <c r="NOK226" s="35"/>
      <c r="NOL226" s="35"/>
      <c r="NOM226" s="35"/>
      <c r="NON226" s="35"/>
      <c r="NOO226" s="34"/>
      <c r="NOP226" s="34"/>
      <c r="NOQ226" s="36"/>
      <c r="NOR226" s="36"/>
      <c r="NOS226" s="37"/>
      <c r="NOT226" s="37"/>
      <c r="NOU226" s="38"/>
      <c r="NOV226" s="38"/>
      <c r="NOW226" s="39"/>
      <c r="NOX226" s="34"/>
      <c r="NOY226" s="34"/>
      <c r="NOZ226" s="34"/>
      <c r="NPA226" s="35"/>
      <c r="NPB226" s="35"/>
      <c r="NPC226" s="35"/>
      <c r="NPD226" s="35"/>
      <c r="NPE226" s="35"/>
      <c r="NPF226" s="34"/>
      <c r="NPG226" s="34"/>
      <c r="NPH226" s="36"/>
      <c r="NPI226" s="36"/>
      <c r="NPJ226" s="37"/>
      <c r="NPK226" s="37"/>
      <c r="NPL226" s="38"/>
      <c r="NPM226" s="38"/>
      <c r="NPN226" s="39"/>
      <c r="NPO226" s="34"/>
      <c r="NPP226" s="34"/>
      <c r="NPQ226" s="34"/>
      <c r="NPR226" s="35"/>
      <c r="NPS226" s="35"/>
      <c r="NPT226" s="35"/>
      <c r="NPU226" s="35"/>
      <c r="NPV226" s="35"/>
      <c r="NPW226" s="34"/>
      <c r="NPX226" s="34"/>
      <c r="NPY226" s="36"/>
      <c r="NPZ226" s="36"/>
      <c r="NQA226" s="37"/>
      <c r="NQB226" s="37"/>
      <c r="NQC226" s="38"/>
      <c r="NQD226" s="38"/>
      <c r="NQE226" s="39"/>
      <c r="NQF226" s="34"/>
      <c r="NQG226" s="34"/>
      <c r="NQH226" s="34"/>
      <c r="NQI226" s="35"/>
      <c r="NQJ226" s="35"/>
      <c r="NQK226" s="35"/>
      <c r="NQL226" s="35"/>
      <c r="NQM226" s="35"/>
      <c r="NQN226" s="34"/>
      <c r="NQO226" s="34"/>
      <c r="NQP226" s="36"/>
      <c r="NQQ226" s="36"/>
      <c r="NQR226" s="37"/>
      <c r="NQS226" s="37"/>
      <c r="NQT226" s="38"/>
      <c r="NQU226" s="38"/>
      <c r="NQV226" s="39"/>
      <c r="NQW226" s="34"/>
      <c r="NQX226" s="34"/>
      <c r="NQY226" s="34"/>
      <c r="NQZ226" s="35"/>
      <c r="NRA226" s="35"/>
      <c r="NRB226" s="35"/>
      <c r="NRC226" s="35"/>
      <c r="NRD226" s="35"/>
      <c r="NRE226" s="34"/>
      <c r="NRF226" s="34"/>
      <c r="NRG226" s="36"/>
      <c r="NRH226" s="36"/>
      <c r="NRI226" s="37"/>
      <c r="NRJ226" s="37"/>
      <c r="NRK226" s="38"/>
      <c r="NRL226" s="38"/>
      <c r="NRM226" s="39"/>
      <c r="NRN226" s="34"/>
      <c r="NRO226" s="34"/>
      <c r="NRP226" s="34"/>
      <c r="NRQ226" s="35"/>
      <c r="NRR226" s="35"/>
      <c r="NRS226" s="35"/>
      <c r="NRT226" s="35"/>
      <c r="NRU226" s="35"/>
      <c r="NRV226" s="34"/>
      <c r="NRW226" s="34"/>
      <c r="NRX226" s="36"/>
      <c r="NRY226" s="36"/>
      <c r="NRZ226" s="37"/>
      <c r="NSA226" s="37"/>
      <c r="NSB226" s="38"/>
      <c r="NSC226" s="38"/>
      <c r="NSD226" s="39"/>
      <c r="NSE226" s="34"/>
      <c r="NSF226" s="34"/>
      <c r="NSG226" s="34"/>
      <c r="NSH226" s="35"/>
      <c r="NSI226" s="35"/>
      <c r="NSJ226" s="35"/>
      <c r="NSK226" s="35"/>
      <c r="NSL226" s="35"/>
      <c r="NSM226" s="34"/>
      <c r="NSN226" s="34"/>
      <c r="NSO226" s="36"/>
      <c r="NSP226" s="36"/>
      <c r="NSQ226" s="37"/>
      <c r="NSR226" s="37"/>
      <c r="NSS226" s="38"/>
      <c r="NST226" s="38"/>
      <c r="NSU226" s="39"/>
      <c r="NSV226" s="34"/>
      <c r="NSW226" s="34"/>
      <c r="NSX226" s="34"/>
      <c r="NSY226" s="35"/>
      <c r="NSZ226" s="35"/>
      <c r="NTA226" s="35"/>
      <c r="NTB226" s="35"/>
      <c r="NTC226" s="35"/>
      <c r="NTD226" s="34"/>
      <c r="NTE226" s="34"/>
      <c r="NTF226" s="36"/>
      <c r="NTG226" s="36"/>
      <c r="NTH226" s="37"/>
      <c r="NTI226" s="37"/>
      <c r="NTJ226" s="38"/>
      <c r="NTK226" s="38"/>
      <c r="NTL226" s="39"/>
      <c r="NTM226" s="34"/>
      <c r="NTN226" s="34"/>
      <c r="NTO226" s="34"/>
      <c r="NTP226" s="35"/>
      <c r="NTQ226" s="35"/>
      <c r="NTR226" s="35"/>
      <c r="NTS226" s="35"/>
      <c r="NTT226" s="35"/>
      <c r="NTU226" s="34"/>
      <c r="NTV226" s="34"/>
      <c r="NTW226" s="36"/>
      <c r="NTX226" s="36"/>
      <c r="NTY226" s="37"/>
      <c r="NTZ226" s="37"/>
      <c r="NUA226" s="38"/>
      <c r="NUB226" s="38"/>
      <c r="NUC226" s="39"/>
      <c r="NUD226" s="34"/>
      <c r="NUE226" s="34"/>
      <c r="NUF226" s="34"/>
      <c r="NUG226" s="35"/>
      <c r="NUH226" s="35"/>
      <c r="NUI226" s="35"/>
      <c r="NUJ226" s="35"/>
      <c r="NUK226" s="35"/>
      <c r="NUL226" s="34"/>
      <c r="NUM226" s="34"/>
      <c r="NUN226" s="36"/>
      <c r="NUO226" s="36"/>
      <c r="NUP226" s="37"/>
      <c r="NUQ226" s="37"/>
      <c r="NUR226" s="38"/>
      <c r="NUS226" s="38"/>
      <c r="NUT226" s="39"/>
      <c r="NUU226" s="34"/>
      <c r="NUV226" s="34"/>
      <c r="NUW226" s="34"/>
      <c r="NUX226" s="35"/>
      <c r="NUY226" s="35"/>
      <c r="NUZ226" s="35"/>
      <c r="NVA226" s="35"/>
      <c r="NVB226" s="35"/>
      <c r="NVC226" s="34"/>
      <c r="NVD226" s="34"/>
      <c r="NVE226" s="36"/>
      <c r="NVF226" s="36"/>
      <c r="NVG226" s="37"/>
      <c r="NVH226" s="37"/>
      <c r="NVI226" s="38"/>
      <c r="NVJ226" s="38"/>
      <c r="NVK226" s="39"/>
      <c r="NVL226" s="34"/>
      <c r="NVM226" s="34"/>
      <c r="NVN226" s="34"/>
      <c r="NVO226" s="35"/>
      <c r="NVP226" s="35"/>
      <c r="NVQ226" s="35"/>
      <c r="NVR226" s="35"/>
      <c r="NVS226" s="35"/>
      <c r="NVT226" s="34"/>
      <c r="NVU226" s="34"/>
      <c r="NVV226" s="36"/>
      <c r="NVW226" s="36"/>
      <c r="NVX226" s="37"/>
      <c r="NVY226" s="37"/>
      <c r="NVZ226" s="38"/>
      <c r="NWA226" s="38"/>
      <c r="NWB226" s="39"/>
      <c r="NWC226" s="34"/>
      <c r="NWD226" s="34"/>
      <c r="NWE226" s="34"/>
      <c r="NWF226" s="35"/>
      <c r="NWG226" s="35"/>
      <c r="NWH226" s="35"/>
      <c r="NWI226" s="35"/>
      <c r="NWJ226" s="35"/>
      <c r="NWK226" s="34"/>
      <c r="NWL226" s="34"/>
      <c r="NWM226" s="36"/>
      <c r="NWN226" s="36"/>
      <c r="NWO226" s="37"/>
      <c r="NWP226" s="37"/>
      <c r="NWQ226" s="38"/>
      <c r="NWR226" s="38"/>
      <c r="NWS226" s="39"/>
      <c r="NWT226" s="34"/>
      <c r="NWU226" s="34"/>
      <c r="NWV226" s="34"/>
      <c r="NWW226" s="35"/>
      <c r="NWX226" s="35"/>
      <c r="NWY226" s="35"/>
      <c r="NWZ226" s="35"/>
      <c r="NXA226" s="35"/>
      <c r="NXB226" s="34"/>
      <c r="NXC226" s="34"/>
      <c r="NXD226" s="36"/>
      <c r="NXE226" s="36"/>
      <c r="NXF226" s="37"/>
      <c r="NXG226" s="37"/>
      <c r="NXH226" s="38"/>
      <c r="NXI226" s="38"/>
      <c r="NXJ226" s="39"/>
      <c r="NXK226" s="34"/>
      <c r="NXL226" s="34"/>
      <c r="NXM226" s="34"/>
      <c r="NXN226" s="35"/>
      <c r="NXO226" s="35"/>
      <c r="NXP226" s="35"/>
      <c r="NXQ226" s="35"/>
      <c r="NXR226" s="35"/>
      <c r="NXS226" s="34"/>
      <c r="NXT226" s="34"/>
      <c r="NXU226" s="36"/>
      <c r="NXV226" s="36"/>
      <c r="NXW226" s="37"/>
      <c r="NXX226" s="37"/>
      <c r="NXY226" s="38"/>
      <c r="NXZ226" s="38"/>
      <c r="NYA226" s="39"/>
      <c r="NYB226" s="34"/>
      <c r="NYC226" s="34"/>
      <c r="NYD226" s="34"/>
      <c r="NYE226" s="35"/>
      <c r="NYF226" s="35"/>
      <c r="NYG226" s="35"/>
      <c r="NYH226" s="35"/>
      <c r="NYI226" s="35"/>
      <c r="NYJ226" s="34"/>
      <c r="NYK226" s="34"/>
      <c r="NYL226" s="36"/>
      <c r="NYM226" s="36"/>
      <c r="NYN226" s="37"/>
      <c r="NYO226" s="37"/>
      <c r="NYP226" s="38"/>
      <c r="NYQ226" s="38"/>
      <c r="NYR226" s="39"/>
      <c r="NYS226" s="34"/>
      <c r="NYT226" s="34"/>
      <c r="NYU226" s="34"/>
      <c r="NYV226" s="35"/>
      <c r="NYW226" s="35"/>
      <c r="NYX226" s="35"/>
      <c r="NYY226" s="35"/>
      <c r="NYZ226" s="35"/>
      <c r="NZA226" s="34"/>
      <c r="NZB226" s="34"/>
      <c r="NZC226" s="36"/>
      <c r="NZD226" s="36"/>
      <c r="NZE226" s="37"/>
      <c r="NZF226" s="37"/>
      <c r="NZG226" s="38"/>
      <c r="NZH226" s="38"/>
      <c r="NZI226" s="39"/>
      <c r="NZJ226" s="34"/>
      <c r="NZK226" s="34"/>
      <c r="NZL226" s="34"/>
      <c r="NZM226" s="35"/>
      <c r="NZN226" s="35"/>
      <c r="NZO226" s="35"/>
      <c r="NZP226" s="35"/>
      <c r="NZQ226" s="35"/>
      <c r="NZR226" s="34"/>
      <c r="NZS226" s="34"/>
      <c r="NZT226" s="36"/>
      <c r="NZU226" s="36"/>
      <c r="NZV226" s="37"/>
      <c r="NZW226" s="37"/>
      <c r="NZX226" s="38"/>
      <c r="NZY226" s="38"/>
      <c r="NZZ226" s="39"/>
      <c r="OAA226" s="34"/>
      <c r="OAB226" s="34"/>
      <c r="OAC226" s="34"/>
      <c r="OAD226" s="35"/>
      <c r="OAE226" s="35"/>
      <c r="OAF226" s="35"/>
      <c r="OAG226" s="35"/>
      <c r="OAH226" s="35"/>
      <c r="OAI226" s="34"/>
      <c r="OAJ226" s="34"/>
      <c r="OAK226" s="36"/>
      <c r="OAL226" s="36"/>
      <c r="OAM226" s="37"/>
      <c r="OAN226" s="37"/>
      <c r="OAO226" s="38"/>
      <c r="OAP226" s="38"/>
      <c r="OAQ226" s="39"/>
      <c r="OAR226" s="34"/>
      <c r="OAS226" s="34"/>
      <c r="OAT226" s="34"/>
      <c r="OAU226" s="35"/>
      <c r="OAV226" s="35"/>
      <c r="OAW226" s="35"/>
      <c r="OAX226" s="35"/>
      <c r="OAY226" s="35"/>
      <c r="OAZ226" s="34"/>
      <c r="OBA226" s="34"/>
      <c r="OBB226" s="36"/>
      <c r="OBC226" s="36"/>
      <c r="OBD226" s="37"/>
      <c r="OBE226" s="37"/>
      <c r="OBF226" s="38"/>
      <c r="OBG226" s="38"/>
      <c r="OBH226" s="39"/>
      <c r="OBI226" s="34"/>
      <c r="OBJ226" s="34"/>
      <c r="OBK226" s="34"/>
      <c r="OBL226" s="35"/>
      <c r="OBM226" s="35"/>
      <c r="OBN226" s="35"/>
      <c r="OBO226" s="35"/>
      <c r="OBP226" s="35"/>
      <c r="OBQ226" s="34"/>
      <c r="OBR226" s="34"/>
      <c r="OBS226" s="36"/>
      <c r="OBT226" s="36"/>
      <c r="OBU226" s="37"/>
      <c r="OBV226" s="37"/>
      <c r="OBW226" s="38"/>
      <c r="OBX226" s="38"/>
      <c r="OBY226" s="39"/>
      <c r="OBZ226" s="34"/>
      <c r="OCA226" s="34"/>
      <c r="OCB226" s="34"/>
      <c r="OCC226" s="35"/>
      <c r="OCD226" s="35"/>
      <c r="OCE226" s="35"/>
      <c r="OCF226" s="35"/>
      <c r="OCG226" s="35"/>
      <c r="OCH226" s="34"/>
      <c r="OCI226" s="34"/>
      <c r="OCJ226" s="36"/>
      <c r="OCK226" s="36"/>
      <c r="OCL226" s="37"/>
      <c r="OCM226" s="37"/>
      <c r="OCN226" s="38"/>
      <c r="OCO226" s="38"/>
      <c r="OCP226" s="39"/>
      <c r="OCQ226" s="34"/>
      <c r="OCR226" s="34"/>
      <c r="OCS226" s="34"/>
      <c r="OCT226" s="35"/>
      <c r="OCU226" s="35"/>
      <c r="OCV226" s="35"/>
      <c r="OCW226" s="35"/>
      <c r="OCX226" s="35"/>
      <c r="OCY226" s="34"/>
      <c r="OCZ226" s="34"/>
      <c r="ODA226" s="36"/>
      <c r="ODB226" s="36"/>
      <c r="ODC226" s="37"/>
      <c r="ODD226" s="37"/>
      <c r="ODE226" s="38"/>
      <c r="ODF226" s="38"/>
      <c r="ODG226" s="39"/>
      <c r="ODH226" s="34"/>
      <c r="ODI226" s="34"/>
      <c r="ODJ226" s="34"/>
      <c r="ODK226" s="35"/>
      <c r="ODL226" s="35"/>
      <c r="ODM226" s="35"/>
      <c r="ODN226" s="35"/>
      <c r="ODO226" s="35"/>
      <c r="ODP226" s="34"/>
      <c r="ODQ226" s="34"/>
      <c r="ODR226" s="36"/>
      <c r="ODS226" s="36"/>
      <c r="ODT226" s="37"/>
      <c r="ODU226" s="37"/>
      <c r="ODV226" s="38"/>
      <c r="ODW226" s="38"/>
      <c r="ODX226" s="39"/>
      <c r="ODY226" s="34"/>
      <c r="ODZ226" s="34"/>
      <c r="OEA226" s="34"/>
      <c r="OEB226" s="35"/>
      <c r="OEC226" s="35"/>
      <c r="OED226" s="35"/>
      <c r="OEE226" s="35"/>
      <c r="OEF226" s="35"/>
      <c r="OEG226" s="34"/>
      <c r="OEH226" s="34"/>
      <c r="OEI226" s="36"/>
      <c r="OEJ226" s="36"/>
      <c r="OEK226" s="37"/>
      <c r="OEL226" s="37"/>
      <c r="OEM226" s="38"/>
      <c r="OEN226" s="38"/>
      <c r="OEO226" s="39"/>
      <c r="OEP226" s="34"/>
      <c r="OEQ226" s="34"/>
      <c r="OER226" s="34"/>
      <c r="OES226" s="35"/>
      <c r="OET226" s="35"/>
      <c r="OEU226" s="35"/>
      <c r="OEV226" s="35"/>
      <c r="OEW226" s="35"/>
      <c r="OEX226" s="34"/>
      <c r="OEY226" s="34"/>
      <c r="OEZ226" s="36"/>
      <c r="OFA226" s="36"/>
      <c r="OFB226" s="37"/>
      <c r="OFC226" s="37"/>
      <c r="OFD226" s="38"/>
      <c r="OFE226" s="38"/>
      <c r="OFF226" s="39"/>
      <c r="OFG226" s="34"/>
      <c r="OFH226" s="34"/>
      <c r="OFI226" s="34"/>
      <c r="OFJ226" s="35"/>
      <c r="OFK226" s="35"/>
      <c r="OFL226" s="35"/>
      <c r="OFM226" s="35"/>
      <c r="OFN226" s="35"/>
      <c r="OFO226" s="34"/>
      <c r="OFP226" s="34"/>
      <c r="OFQ226" s="36"/>
      <c r="OFR226" s="36"/>
      <c r="OFS226" s="37"/>
      <c r="OFT226" s="37"/>
      <c r="OFU226" s="38"/>
      <c r="OFV226" s="38"/>
      <c r="OFW226" s="39"/>
      <c r="OFX226" s="34"/>
      <c r="OFY226" s="34"/>
      <c r="OFZ226" s="34"/>
      <c r="OGA226" s="35"/>
      <c r="OGB226" s="35"/>
      <c r="OGC226" s="35"/>
      <c r="OGD226" s="35"/>
      <c r="OGE226" s="35"/>
      <c r="OGF226" s="34"/>
      <c r="OGG226" s="34"/>
      <c r="OGH226" s="36"/>
      <c r="OGI226" s="36"/>
      <c r="OGJ226" s="37"/>
      <c r="OGK226" s="37"/>
      <c r="OGL226" s="38"/>
      <c r="OGM226" s="38"/>
      <c r="OGN226" s="39"/>
      <c r="OGO226" s="34"/>
      <c r="OGP226" s="34"/>
      <c r="OGQ226" s="34"/>
      <c r="OGR226" s="35"/>
      <c r="OGS226" s="35"/>
      <c r="OGT226" s="35"/>
      <c r="OGU226" s="35"/>
      <c r="OGV226" s="35"/>
      <c r="OGW226" s="34"/>
      <c r="OGX226" s="34"/>
      <c r="OGY226" s="36"/>
      <c r="OGZ226" s="36"/>
      <c r="OHA226" s="37"/>
      <c r="OHB226" s="37"/>
      <c r="OHC226" s="38"/>
      <c r="OHD226" s="38"/>
      <c r="OHE226" s="39"/>
      <c r="OHF226" s="34"/>
      <c r="OHG226" s="34"/>
      <c r="OHH226" s="34"/>
      <c r="OHI226" s="35"/>
      <c r="OHJ226" s="35"/>
      <c r="OHK226" s="35"/>
      <c r="OHL226" s="35"/>
      <c r="OHM226" s="35"/>
      <c r="OHN226" s="34"/>
      <c r="OHO226" s="34"/>
      <c r="OHP226" s="36"/>
      <c r="OHQ226" s="36"/>
      <c r="OHR226" s="37"/>
      <c r="OHS226" s="37"/>
      <c r="OHT226" s="38"/>
      <c r="OHU226" s="38"/>
      <c r="OHV226" s="39"/>
      <c r="OHW226" s="34"/>
      <c r="OHX226" s="34"/>
      <c r="OHY226" s="34"/>
      <c r="OHZ226" s="35"/>
      <c r="OIA226" s="35"/>
      <c r="OIB226" s="35"/>
      <c r="OIC226" s="35"/>
      <c r="OID226" s="35"/>
      <c r="OIE226" s="34"/>
      <c r="OIF226" s="34"/>
      <c r="OIG226" s="36"/>
      <c r="OIH226" s="36"/>
      <c r="OII226" s="37"/>
      <c r="OIJ226" s="37"/>
      <c r="OIK226" s="38"/>
      <c r="OIL226" s="38"/>
      <c r="OIM226" s="39"/>
      <c r="OIN226" s="34"/>
      <c r="OIO226" s="34"/>
      <c r="OIP226" s="34"/>
      <c r="OIQ226" s="35"/>
      <c r="OIR226" s="35"/>
      <c r="OIS226" s="35"/>
      <c r="OIT226" s="35"/>
      <c r="OIU226" s="35"/>
      <c r="OIV226" s="34"/>
      <c r="OIW226" s="34"/>
      <c r="OIX226" s="36"/>
      <c r="OIY226" s="36"/>
      <c r="OIZ226" s="37"/>
      <c r="OJA226" s="37"/>
      <c r="OJB226" s="38"/>
      <c r="OJC226" s="38"/>
      <c r="OJD226" s="39"/>
      <c r="OJE226" s="34"/>
      <c r="OJF226" s="34"/>
      <c r="OJG226" s="34"/>
      <c r="OJH226" s="35"/>
      <c r="OJI226" s="35"/>
      <c r="OJJ226" s="35"/>
      <c r="OJK226" s="35"/>
      <c r="OJL226" s="35"/>
      <c r="OJM226" s="34"/>
      <c r="OJN226" s="34"/>
      <c r="OJO226" s="36"/>
      <c r="OJP226" s="36"/>
      <c r="OJQ226" s="37"/>
      <c r="OJR226" s="37"/>
      <c r="OJS226" s="38"/>
      <c r="OJT226" s="38"/>
      <c r="OJU226" s="39"/>
      <c r="OJV226" s="34"/>
      <c r="OJW226" s="34"/>
      <c r="OJX226" s="34"/>
      <c r="OJY226" s="35"/>
      <c r="OJZ226" s="35"/>
      <c r="OKA226" s="35"/>
      <c r="OKB226" s="35"/>
      <c r="OKC226" s="35"/>
      <c r="OKD226" s="34"/>
      <c r="OKE226" s="34"/>
      <c r="OKF226" s="36"/>
      <c r="OKG226" s="36"/>
      <c r="OKH226" s="37"/>
      <c r="OKI226" s="37"/>
      <c r="OKJ226" s="38"/>
      <c r="OKK226" s="38"/>
      <c r="OKL226" s="39"/>
      <c r="OKM226" s="34"/>
      <c r="OKN226" s="34"/>
      <c r="OKO226" s="34"/>
      <c r="OKP226" s="35"/>
      <c r="OKQ226" s="35"/>
      <c r="OKR226" s="35"/>
      <c r="OKS226" s="35"/>
      <c r="OKT226" s="35"/>
      <c r="OKU226" s="34"/>
      <c r="OKV226" s="34"/>
      <c r="OKW226" s="36"/>
      <c r="OKX226" s="36"/>
      <c r="OKY226" s="37"/>
      <c r="OKZ226" s="37"/>
      <c r="OLA226" s="38"/>
      <c r="OLB226" s="38"/>
      <c r="OLC226" s="39"/>
      <c r="OLD226" s="34"/>
      <c r="OLE226" s="34"/>
      <c r="OLF226" s="34"/>
      <c r="OLG226" s="35"/>
      <c r="OLH226" s="35"/>
      <c r="OLI226" s="35"/>
      <c r="OLJ226" s="35"/>
      <c r="OLK226" s="35"/>
      <c r="OLL226" s="34"/>
      <c r="OLM226" s="34"/>
      <c r="OLN226" s="36"/>
      <c r="OLO226" s="36"/>
      <c r="OLP226" s="37"/>
      <c r="OLQ226" s="37"/>
      <c r="OLR226" s="38"/>
      <c r="OLS226" s="38"/>
      <c r="OLT226" s="39"/>
      <c r="OLU226" s="34"/>
      <c r="OLV226" s="34"/>
      <c r="OLW226" s="34"/>
      <c r="OLX226" s="35"/>
      <c r="OLY226" s="35"/>
      <c r="OLZ226" s="35"/>
      <c r="OMA226" s="35"/>
      <c r="OMB226" s="35"/>
      <c r="OMC226" s="34"/>
      <c r="OMD226" s="34"/>
      <c r="OME226" s="36"/>
      <c r="OMF226" s="36"/>
      <c r="OMG226" s="37"/>
      <c r="OMH226" s="37"/>
      <c r="OMI226" s="38"/>
      <c r="OMJ226" s="38"/>
      <c r="OMK226" s="39"/>
      <c r="OML226" s="34"/>
      <c r="OMM226" s="34"/>
      <c r="OMN226" s="34"/>
      <c r="OMO226" s="35"/>
      <c r="OMP226" s="35"/>
      <c r="OMQ226" s="35"/>
      <c r="OMR226" s="35"/>
      <c r="OMS226" s="35"/>
      <c r="OMT226" s="34"/>
      <c r="OMU226" s="34"/>
      <c r="OMV226" s="36"/>
      <c r="OMW226" s="36"/>
      <c r="OMX226" s="37"/>
      <c r="OMY226" s="37"/>
      <c r="OMZ226" s="38"/>
      <c r="ONA226" s="38"/>
      <c r="ONB226" s="39"/>
      <c r="ONC226" s="34"/>
      <c r="OND226" s="34"/>
      <c r="ONE226" s="34"/>
      <c r="ONF226" s="35"/>
      <c r="ONG226" s="35"/>
      <c r="ONH226" s="35"/>
      <c r="ONI226" s="35"/>
      <c r="ONJ226" s="35"/>
      <c r="ONK226" s="34"/>
      <c r="ONL226" s="34"/>
      <c r="ONM226" s="36"/>
      <c r="ONN226" s="36"/>
      <c r="ONO226" s="37"/>
      <c r="ONP226" s="37"/>
      <c r="ONQ226" s="38"/>
      <c r="ONR226" s="38"/>
      <c r="ONS226" s="39"/>
      <c r="ONT226" s="34"/>
      <c r="ONU226" s="34"/>
      <c r="ONV226" s="34"/>
      <c r="ONW226" s="35"/>
      <c r="ONX226" s="35"/>
      <c r="ONY226" s="35"/>
      <c r="ONZ226" s="35"/>
      <c r="OOA226" s="35"/>
      <c r="OOB226" s="34"/>
      <c r="OOC226" s="34"/>
      <c r="OOD226" s="36"/>
      <c r="OOE226" s="36"/>
      <c r="OOF226" s="37"/>
      <c r="OOG226" s="37"/>
      <c r="OOH226" s="38"/>
      <c r="OOI226" s="38"/>
      <c r="OOJ226" s="39"/>
      <c r="OOK226" s="34"/>
      <c r="OOL226" s="34"/>
      <c r="OOM226" s="34"/>
      <c r="OON226" s="35"/>
      <c r="OOO226" s="35"/>
      <c r="OOP226" s="35"/>
      <c r="OOQ226" s="35"/>
      <c r="OOR226" s="35"/>
      <c r="OOS226" s="34"/>
      <c r="OOT226" s="34"/>
      <c r="OOU226" s="36"/>
      <c r="OOV226" s="36"/>
      <c r="OOW226" s="37"/>
      <c r="OOX226" s="37"/>
      <c r="OOY226" s="38"/>
      <c r="OOZ226" s="38"/>
      <c r="OPA226" s="39"/>
      <c r="OPB226" s="34"/>
      <c r="OPC226" s="34"/>
      <c r="OPD226" s="34"/>
      <c r="OPE226" s="35"/>
      <c r="OPF226" s="35"/>
      <c r="OPG226" s="35"/>
      <c r="OPH226" s="35"/>
      <c r="OPI226" s="35"/>
      <c r="OPJ226" s="34"/>
      <c r="OPK226" s="34"/>
      <c r="OPL226" s="36"/>
      <c r="OPM226" s="36"/>
      <c r="OPN226" s="37"/>
      <c r="OPO226" s="37"/>
      <c r="OPP226" s="38"/>
      <c r="OPQ226" s="38"/>
      <c r="OPR226" s="39"/>
      <c r="OPS226" s="34"/>
      <c r="OPT226" s="34"/>
      <c r="OPU226" s="34"/>
      <c r="OPV226" s="35"/>
      <c r="OPW226" s="35"/>
      <c r="OPX226" s="35"/>
      <c r="OPY226" s="35"/>
      <c r="OPZ226" s="35"/>
      <c r="OQA226" s="34"/>
      <c r="OQB226" s="34"/>
      <c r="OQC226" s="36"/>
      <c r="OQD226" s="36"/>
      <c r="OQE226" s="37"/>
      <c r="OQF226" s="37"/>
      <c r="OQG226" s="38"/>
      <c r="OQH226" s="38"/>
      <c r="OQI226" s="39"/>
      <c r="OQJ226" s="34"/>
      <c r="OQK226" s="34"/>
      <c r="OQL226" s="34"/>
      <c r="OQM226" s="35"/>
      <c r="OQN226" s="35"/>
      <c r="OQO226" s="35"/>
      <c r="OQP226" s="35"/>
      <c r="OQQ226" s="35"/>
      <c r="OQR226" s="34"/>
      <c r="OQS226" s="34"/>
      <c r="OQT226" s="36"/>
      <c r="OQU226" s="36"/>
      <c r="OQV226" s="37"/>
      <c r="OQW226" s="37"/>
      <c r="OQX226" s="38"/>
      <c r="OQY226" s="38"/>
      <c r="OQZ226" s="39"/>
      <c r="ORA226" s="34"/>
      <c r="ORB226" s="34"/>
      <c r="ORC226" s="34"/>
      <c r="ORD226" s="35"/>
      <c r="ORE226" s="35"/>
      <c r="ORF226" s="35"/>
      <c r="ORG226" s="35"/>
      <c r="ORH226" s="35"/>
      <c r="ORI226" s="34"/>
      <c r="ORJ226" s="34"/>
      <c r="ORK226" s="36"/>
      <c r="ORL226" s="36"/>
      <c r="ORM226" s="37"/>
      <c r="ORN226" s="37"/>
      <c r="ORO226" s="38"/>
      <c r="ORP226" s="38"/>
      <c r="ORQ226" s="39"/>
      <c r="ORR226" s="34"/>
      <c r="ORS226" s="34"/>
      <c r="ORT226" s="34"/>
      <c r="ORU226" s="35"/>
      <c r="ORV226" s="35"/>
      <c r="ORW226" s="35"/>
      <c r="ORX226" s="35"/>
      <c r="ORY226" s="35"/>
      <c r="ORZ226" s="34"/>
      <c r="OSA226" s="34"/>
      <c r="OSB226" s="36"/>
      <c r="OSC226" s="36"/>
      <c r="OSD226" s="37"/>
      <c r="OSE226" s="37"/>
      <c r="OSF226" s="38"/>
      <c r="OSG226" s="38"/>
      <c r="OSH226" s="39"/>
      <c r="OSI226" s="34"/>
      <c r="OSJ226" s="34"/>
      <c r="OSK226" s="34"/>
      <c r="OSL226" s="35"/>
      <c r="OSM226" s="35"/>
      <c r="OSN226" s="35"/>
      <c r="OSO226" s="35"/>
      <c r="OSP226" s="35"/>
      <c r="OSQ226" s="34"/>
      <c r="OSR226" s="34"/>
      <c r="OSS226" s="36"/>
      <c r="OST226" s="36"/>
      <c r="OSU226" s="37"/>
      <c r="OSV226" s="37"/>
      <c r="OSW226" s="38"/>
      <c r="OSX226" s="38"/>
      <c r="OSY226" s="39"/>
      <c r="OSZ226" s="34"/>
      <c r="OTA226" s="34"/>
      <c r="OTB226" s="34"/>
      <c r="OTC226" s="35"/>
      <c r="OTD226" s="35"/>
      <c r="OTE226" s="35"/>
      <c r="OTF226" s="35"/>
      <c r="OTG226" s="35"/>
      <c r="OTH226" s="34"/>
      <c r="OTI226" s="34"/>
      <c r="OTJ226" s="36"/>
      <c r="OTK226" s="36"/>
      <c r="OTL226" s="37"/>
      <c r="OTM226" s="37"/>
      <c r="OTN226" s="38"/>
      <c r="OTO226" s="38"/>
      <c r="OTP226" s="39"/>
      <c r="OTQ226" s="34"/>
      <c r="OTR226" s="34"/>
      <c r="OTS226" s="34"/>
      <c r="OTT226" s="35"/>
      <c r="OTU226" s="35"/>
      <c r="OTV226" s="35"/>
      <c r="OTW226" s="35"/>
      <c r="OTX226" s="35"/>
      <c r="OTY226" s="34"/>
      <c r="OTZ226" s="34"/>
      <c r="OUA226" s="36"/>
      <c r="OUB226" s="36"/>
      <c r="OUC226" s="37"/>
      <c r="OUD226" s="37"/>
      <c r="OUE226" s="38"/>
      <c r="OUF226" s="38"/>
      <c r="OUG226" s="39"/>
      <c r="OUH226" s="34"/>
      <c r="OUI226" s="34"/>
      <c r="OUJ226" s="34"/>
      <c r="OUK226" s="35"/>
      <c r="OUL226" s="35"/>
      <c r="OUM226" s="35"/>
      <c r="OUN226" s="35"/>
      <c r="OUO226" s="35"/>
      <c r="OUP226" s="34"/>
      <c r="OUQ226" s="34"/>
      <c r="OUR226" s="36"/>
      <c r="OUS226" s="36"/>
      <c r="OUT226" s="37"/>
      <c r="OUU226" s="37"/>
      <c r="OUV226" s="38"/>
      <c r="OUW226" s="38"/>
      <c r="OUX226" s="39"/>
      <c r="OUY226" s="34"/>
      <c r="OUZ226" s="34"/>
      <c r="OVA226" s="34"/>
      <c r="OVB226" s="35"/>
      <c r="OVC226" s="35"/>
      <c r="OVD226" s="35"/>
      <c r="OVE226" s="35"/>
      <c r="OVF226" s="35"/>
      <c r="OVG226" s="34"/>
      <c r="OVH226" s="34"/>
      <c r="OVI226" s="36"/>
      <c r="OVJ226" s="36"/>
      <c r="OVK226" s="37"/>
      <c r="OVL226" s="37"/>
      <c r="OVM226" s="38"/>
      <c r="OVN226" s="38"/>
      <c r="OVO226" s="39"/>
      <c r="OVP226" s="34"/>
      <c r="OVQ226" s="34"/>
      <c r="OVR226" s="34"/>
      <c r="OVS226" s="35"/>
      <c r="OVT226" s="35"/>
      <c r="OVU226" s="35"/>
      <c r="OVV226" s="35"/>
      <c r="OVW226" s="35"/>
      <c r="OVX226" s="34"/>
      <c r="OVY226" s="34"/>
      <c r="OVZ226" s="36"/>
      <c r="OWA226" s="36"/>
      <c r="OWB226" s="37"/>
      <c r="OWC226" s="37"/>
      <c r="OWD226" s="38"/>
      <c r="OWE226" s="38"/>
      <c r="OWF226" s="39"/>
      <c r="OWG226" s="34"/>
      <c r="OWH226" s="34"/>
      <c r="OWI226" s="34"/>
      <c r="OWJ226" s="35"/>
      <c r="OWK226" s="35"/>
      <c r="OWL226" s="35"/>
      <c r="OWM226" s="35"/>
      <c r="OWN226" s="35"/>
      <c r="OWO226" s="34"/>
      <c r="OWP226" s="34"/>
      <c r="OWQ226" s="36"/>
      <c r="OWR226" s="36"/>
      <c r="OWS226" s="37"/>
      <c r="OWT226" s="37"/>
      <c r="OWU226" s="38"/>
      <c r="OWV226" s="38"/>
      <c r="OWW226" s="39"/>
      <c r="OWX226" s="34"/>
      <c r="OWY226" s="34"/>
      <c r="OWZ226" s="34"/>
      <c r="OXA226" s="35"/>
      <c r="OXB226" s="35"/>
      <c r="OXC226" s="35"/>
      <c r="OXD226" s="35"/>
      <c r="OXE226" s="35"/>
      <c r="OXF226" s="34"/>
      <c r="OXG226" s="34"/>
      <c r="OXH226" s="36"/>
      <c r="OXI226" s="36"/>
      <c r="OXJ226" s="37"/>
      <c r="OXK226" s="37"/>
      <c r="OXL226" s="38"/>
      <c r="OXM226" s="38"/>
      <c r="OXN226" s="39"/>
      <c r="OXO226" s="34"/>
      <c r="OXP226" s="34"/>
      <c r="OXQ226" s="34"/>
      <c r="OXR226" s="35"/>
      <c r="OXS226" s="35"/>
      <c r="OXT226" s="35"/>
      <c r="OXU226" s="35"/>
      <c r="OXV226" s="35"/>
      <c r="OXW226" s="34"/>
      <c r="OXX226" s="34"/>
      <c r="OXY226" s="36"/>
      <c r="OXZ226" s="36"/>
      <c r="OYA226" s="37"/>
      <c r="OYB226" s="37"/>
      <c r="OYC226" s="38"/>
      <c r="OYD226" s="38"/>
      <c r="OYE226" s="39"/>
      <c r="OYF226" s="34"/>
      <c r="OYG226" s="34"/>
      <c r="OYH226" s="34"/>
      <c r="OYI226" s="35"/>
      <c r="OYJ226" s="35"/>
      <c r="OYK226" s="35"/>
      <c r="OYL226" s="35"/>
      <c r="OYM226" s="35"/>
      <c r="OYN226" s="34"/>
      <c r="OYO226" s="34"/>
      <c r="OYP226" s="36"/>
      <c r="OYQ226" s="36"/>
      <c r="OYR226" s="37"/>
      <c r="OYS226" s="37"/>
      <c r="OYT226" s="38"/>
      <c r="OYU226" s="38"/>
      <c r="OYV226" s="39"/>
      <c r="OYW226" s="34"/>
      <c r="OYX226" s="34"/>
      <c r="OYY226" s="34"/>
      <c r="OYZ226" s="35"/>
      <c r="OZA226" s="35"/>
      <c r="OZB226" s="35"/>
      <c r="OZC226" s="35"/>
      <c r="OZD226" s="35"/>
      <c r="OZE226" s="34"/>
      <c r="OZF226" s="34"/>
      <c r="OZG226" s="36"/>
      <c r="OZH226" s="36"/>
      <c r="OZI226" s="37"/>
      <c r="OZJ226" s="37"/>
      <c r="OZK226" s="38"/>
      <c r="OZL226" s="38"/>
      <c r="OZM226" s="39"/>
      <c r="OZN226" s="34"/>
      <c r="OZO226" s="34"/>
      <c r="OZP226" s="34"/>
      <c r="OZQ226" s="35"/>
      <c r="OZR226" s="35"/>
      <c r="OZS226" s="35"/>
      <c r="OZT226" s="35"/>
      <c r="OZU226" s="35"/>
      <c r="OZV226" s="34"/>
      <c r="OZW226" s="34"/>
      <c r="OZX226" s="36"/>
      <c r="OZY226" s="36"/>
      <c r="OZZ226" s="37"/>
      <c r="PAA226" s="37"/>
      <c r="PAB226" s="38"/>
      <c r="PAC226" s="38"/>
      <c r="PAD226" s="39"/>
      <c r="PAE226" s="34"/>
      <c r="PAF226" s="34"/>
      <c r="PAG226" s="34"/>
      <c r="PAH226" s="35"/>
      <c r="PAI226" s="35"/>
      <c r="PAJ226" s="35"/>
      <c r="PAK226" s="35"/>
      <c r="PAL226" s="35"/>
      <c r="PAM226" s="34"/>
      <c r="PAN226" s="34"/>
      <c r="PAO226" s="36"/>
      <c r="PAP226" s="36"/>
      <c r="PAQ226" s="37"/>
      <c r="PAR226" s="37"/>
      <c r="PAS226" s="38"/>
      <c r="PAT226" s="38"/>
      <c r="PAU226" s="39"/>
      <c r="PAV226" s="34"/>
      <c r="PAW226" s="34"/>
      <c r="PAX226" s="34"/>
      <c r="PAY226" s="35"/>
      <c r="PAZ226" s="35"/>
      <c r="PBA226" s="35"/>
      <c r="PBB226" s="35"/>
      <c r="PBC226" s="35"/>
      <c r="PBD226" s="34"/>
      <c r="PBE226" s="34"/>
      <c r="PBF226" s="36"/>
      <c r="PBG226" s="36"/>
      <c r="PBH226" s="37"/>
      <c r="PBI226" s="37"/>
      <c r="PBJ226" s="38"/>
      <c r="PBK226" s="38"/>
      <c r="PBL226" s="39"/>
      <c r="PBM226" s="34"/>
      <c r="PBN226" s="34"/>
      <c r="PBO226" s="34"/>
      <c r="PBP226" s="35"/>
      <c r="PBQ226" s="35"/>
      <c r="PBR226" s="35"/>
      <c r="PBS226" s="35"/>
      <c r="PBT226" s="35"/>
      <c r="PBU226" s="34"/>
      <c r="PBV226" s="34"/>
      <c r="PBW226" s="36"/>
      <c r="PBX226" s="36"/>
      <c r="PBY226" s="37"/>
      <c r="PBZ226" s="37"/>
      <c r="PCA226" s="38"/>
      <c r="PCB226" s="38"/>
      <c r="PCC226" s="39"/>
      <c r="PCD226" s="34"/>
      <c r="PCE226" s="34"/>
      <c r="PCF226" s="34"/>
      <c r="PCG226" s="35"/>
      <c r="PCH226" s="35"/>
      <c r="PCI226" s="35"/>
      <c r="PCJ226" s="35"/>
      <c r="PCK226" s="35"/>
      <c r="PCL226" s="34"/>
      <c r="PCM226" s="34"/>
      <c r="PCN226" s="36"/>
      <c r="PCO226" s="36"/>
      <c r="PCP226" s="37"/>
      <c r="PCQ226" s="37"/>
      <c r="PCR226" s="38"/>
      <c r="PCS226" s="38"/>
      <c r="PCT226" s="39"/>
      <c r="PCU226" s="34"/>
      <c r="PCV226" s="34"/>
      <c r="PCW226" s="34"/>
      <c r="PCX226" s="35"/>
      <c r="PCY226" s="35"/>
      <c r="PCZ226" s="35"/>
      <c r="PDA226" s="35"/>
      <c r="PDB226" s="35"/>
      <c r="PDC226" s="34"/>
      <c r="PDD226" s="34"/>
      <c r="PDE226" s="36"/>
      <c r="PDF226" s="36"/>
      <c r="PDG226" s="37"/>
      <c r="PDH226" s="37"/>
      <c r="PDI226" s="38"/>
      <c r="PDJ226" s="38"/>
      <c r="PDK226" s="39"/>
      <c r="PDL226" s="34"/>
      <c r="PDM226" s="34"/>
      <c r="PDN226" s="34"/>
      <c r="PDO226" s="35"/>
      <c r="PDP226" s="35"/>
      <c r="PDQ226" s="35"/>
      <c r="PDR226" s="35"/>
      <c r="PDS226" s="35"/>
      <c r="PDT226" s="34"/>
      <c r="PDU226" s="34"/>
      <c r="PDV226" s="36"/>
      <c r="PDW226" s="36"/>
      <c r="PDX226" s="37"/>
      <c r="PDY226" s="37"/>
      <c r="PDZ226" s="38"/>
      <c r="PEA226" s="38"/>
      <c r="PEB226" s="39"/>
      <c r="PEC226" s="34"/>
      <c r="PED226" s="34"/>
      <c r="PEE226" s="34"/>
      <c r="PEF226" s="35"/>
      <c r="PEG226" s="35"/>
      <c r="PEH226" s="35"/>
      <c r="PEI226" s="35"/>
      <c r="PEJ226" s="35"/>
      <c r="PEK226" s="34"/>
      <c r="PEL226" s="34"/>
      <c r="PEM226" s="36"/>
      <c r="PEN226" s="36"/>
      <c r="PEO226" s="37"/>
      <c r="PEP226" s="37"/>
      <c r="PEQ226" s="38"/>
      <c r="PER226" s="38"/>
      <c r="PES226" s="39"/>
      <c r="PET226" s="34"/>
      <c r="PEU226" s="34"/>
      <c r="PEV226" s="34"/>
      <c r="PEW226" s="35"/>
      <c r="PEX226" s="35"/>
      <c r="PEY226" s="35"/>
      <c r="PEZ226" s="35"/>
      <c r="PFA226" s="35"/>
      <c r="PFB226" s="34"/>
      <c r="PFC226" s="34"/>
      <c r="PFD226" s="36"/>
      <c r="PFE226" s="36"/>
      <c r="PFF226" s="37"/>
      <c r="PFG226" s="37"/>
      <c r="PFH226" s="38"/>
      <c r="PFI226" s="38"/>
      <c r="PFJ226" s="39"/>
      <c r="PFK226" s="34"/>
      <c r="PFL226" s="34"/>
      <c r="PFM226" s="34"/>
      <c r="PFN226" s="35"/>
      <c r="PFO226" s="35"/>
      <c r="PFP226" s="35"/>
      <c r="PFQ226" s="35"/>
      <c r="PFR226" s="35"/>
      <c r="PFS226" s="34"/>
      <c r="PFT226" s="34"/>
      <c r="PFU226" s="36"/>
      <c r="PFV226" s="36"/>
      <c r="PFW226" s="37"/>
      <c r="PFX226" s="37"/>
      <c r="PFY226" s="38"/>
      <c r="PFZ226" s="38"/>
      <c r="PGA226" s="39"/>
      <c r="PGB226" s="34"/>
      <c r="PGC226" s="34"/>
      <c r="PGD226" s="34"/>
      <c r="PGE226" s="35"/>
      <c r="PGF226" s="35"/>
      <c r="PGG226" s="35"/>
      <c r="PGH226" s="35"/>
      <c r="PGI226" s="35"/>
      <c r="PGJ226" s="34"/>
      <c r="PGK226" s="34"/>
      <c r="PGL226" s="36"/>
      <c r="PGM226" s="36"/>
      <c r="PGN226" s="37"/>
      <c r="PGO226" s="37"/>
      <c r="PGP226" s="38"/>
      <c r="PGQ226" s="38"/>
      <c r="PGR226" s="39"/>
      <c r="PGS226" s="34"/>
      <c r="PGT226" s="34"/>
      <c r="PGU226" s="34"/>
      <c r="PGV226" s="35"/>
      <c r="PGW226" s="35"/>
      <c r="PGX226" s="35"/>
      <c r="PGY226" s="35"/>
      <c r="PGZ226" s="35"/>
      <c r="PHA226" s="34"/>
      <c r="PHB226" s="34"/>
      <c r="PHC226" s="36"/>
      <c r="PHD226" s="36"/>
      <c r="PHE226" s="37"/>
      <c r="PHF226" s="37"/>
      <c r="PHG226" s="38"/>
      <c r="PHH226" s="38"/>
      <c r="PHI226" s="39"/>
      <c r="PHJ226" s="34"/>
      <c r="PHK226" s="34"/>
      <c r="PHL226" s="34"/>
      <c r="PHM226" s="35"/>
      <c r="PHN226" s="35"/>
      <c r="PHO226" s="35"/>
      <c r="PHP226" s="35"/>
      <c r="PHQ226" s="35"/>
      <c r="PHR226" s="34"/>
      <c r="PHS226" s="34"/>
      <c r="PHT226" s="36"/>
      <c r="PHU226" s="36"/>
      <c r="PHV226" s="37"/>
      <c r="PHW226" s="37"/>
      <c r="PHX226" s="38"/>
      <c r="PHY226" s="38"/>
      <c r="PHZ226" s="39"/>
      <c r="PIA226" s="34"/>
      <c r="PIB226" s="34"/>
      <c r="PIC226" s="34"/>
      <c r="PID226" s="35"/>
      <c r="PIE226" s="35"/>
      <c r="PIF226" s="35"/>
      <c r="PIG226" s="35"/>
      <c r="PIH226" s="35"/>
      <c r="PII226" s="34"/>
      <c r="PIJ226" s="34"/>
      <c r="PIK226" s="36"/>
      <c r="PIL226" s="36"/>
      <c r="PIM226" s="37"/>
      <c r="PIN226" s="37"/>
      <c r="PIO226" s="38"/>
      <c r="PIP226" s="38"/>
      <c r="PIQ226" s="39"/>
      <c r="PIR226" s="34"/>
      <c r="PIS226" s="34"/>
      <c r="PIT226" s="34"/>
      <c r="PIU226" s="35"/>
      <c r="PIV226" s="35"/>
      <c r="PIW226" s="35"/>
      <c r="PIX226" s="35"/>
      <c r="PIY226" s="35"/>
      <c r="PIZ226" s="34"/>
      <c r="PJA226" s="34"/>
      <c r="PJB226" s="36"/>
      <c r="PJC226" s="36"/>
      <c r="PJD226" s="37"/>
      <c r="PJE226" s="37"/>
      <c r="PJF226" s="38"/>
      <c r="PJG226" s="38"/>
      <c r="PJH226" s="39"/>
      <c r="PJI226" s="34"/>
      <c r="PJJ226" s="34"/>
      <c r="PJK226" s="34"/>
      <c r="PJL226" s="35"/>
      <c r="PJM226" s="35"/>
      <c r="PJN226" s="35"/>
      <c r="PJO226" s="35"/>
      <c r="PJP226" s="35"/>
      <c r="PJQ226" s="34"/>
      <c r="PJR226" s="34"/>
      <c r="PJS226" s="36"/>
      <c r="PJT226" s="36"/>
      <c r="PJU226" s="37"/>
      <c r="PJV226" s="37"/>
      <c r="PJW226" s="38"/>
      <c r="PJX226" s="38"/>
      <c r="PJY226" s="39"/>
      <c r="PJZ226" s="34"/>
      <c r="PKA226" s="34"/>
      <c r="PKB226" s="34"/>
      <c r="PKC226" s="35"/>
      <c r="PKD226" s="35"/>
      <c r="PKE226" s="35"/>
      <c r="PKF226" s="35"/>
      <c r="PKG226" s="35"/>
      <c r="PKH226" s="34"/>
      <c r="PKI226" s="34"/>
      <c r="PKJ226" s="36"/>
      <c r="PKK226" s="36"/>
      <c r="PKL226" s="37"/>
      <c r="PKM226" s="37"/>
      <c r="PKN226" s="38"/>
      <c r="PKO226" s="38"/>
      <c r="PKP226" s="39"/>
      <c r="PKQ226" s="34"/>
      <c r="PKR226" s="34"/>
      <c r="PKS226" s="34"/>
      <c r="PKT226" s="35"/>
      <c r="PKU226" s="35"/>
      <c r="PKV226" s="35"/>
      <c r="PKW226" s="35"/>
      <c r="PKX226" s="35"/>
      <c r="PKY226" s="34"/>
      <c r="PKZ226" s="34"/>
      <c r="PLA226" s="36"/>
      <c r="PLB226" s="36"/>
      <c r="PLC226" s="37"/>
      <c r="PLD226" s="37"/>
      <c r="PLE226" s="38"/>
      <c r="PLF226" s="38"/>
      <c r="PLG226" s="39"/>
      <c r="PLH226" s="34"/>
      <c r="PLI226" s="34"/>
      <c r="PLJ226" s="34"/>
      <c r="PLK226" s="35"/>
      <c r="PLL226" s="35"/>
      <c r="PLM226" s="35"/>
      <c r="PLN226" s="35"/>
      <c r="PLO226" s="35"/>
      <c r="PLP226" s="34"/>
      <c r="PLQ226" s="34"/>
      <c r="PLR226" s="36"/>
      <c r="PLS226" s="36"/>
      <c r="PLT226" s="37"/>
      <c r="PLU226" s="37"/>
      <c r="PLV226" s="38"/>
      <c r="PLW226" s="38"/>
      <c r="PLX226" s="39"/>
      <c r="PLY226" s="34"/>
      <c r="PLZ226" s="34"/>
      <c r="PMA226" s="34"/>
      <c r="PMB226" s="35"/>
      <c r="PMC226" s="35"/>
      <c r="PMD226" s="35"/>
      <c r="PME226" s="35"/>
      <c r="PMF226" s="35"/>
      <c r="PMG226" s="34"/>
      <c r="PMH226" s="34"/>
      <c r="PMI226" s="36"/>
      <c r="PMJ226" s="36"/>
      <c r="PMK226" s="37"/>
      <c r="PML226" s="37"/>
      <c r="PMM226" s="38"/>
      <c r="PMN226" s="38"/>
      <c r="PMO226" s="39"/>
      <c r="PMP226" s="34"/>
      <c r="PMQ226" s="34"/>
      <c r="PMR226" s="34"/>
      <c r="PMS226" s="35"/>
      <c r="PMT226" s="35"/>
      <c r="PMU226" s="35"/>
      <c r="PMV226" s="35"/>
      <c r="PMW226" s="35"/>
      <c r="PMX226" s="34"/>
      <c r="PMY226" s="34"/>
      <c r="PMZ226" s="36"/>
      <c r="PNA226" s="36"/>
      <c r="PNB226" s="37"/>
      <c r="PNC226" s="37"/>
      <c r="PND226" s="38"/>
      <c r="PNE226" s="38"/>
      <c r="PNF226" s="39"/>
      <c r="PNG226" s="34"/>
      <c r="PNH226" s="34"/>
      <c r="PNI226" s="34"/>
      <c r="PNJ226" s="35"/>
      <c r="PNK226" s="35"/>
      <c r="PNL226" s="35"/>
      <c r="PNM226" s="35"/>
      <c r="PNN226" s="35"/>
      <c r="PNO226" s="34"/>
      <c r="PNP226" s="34"/>
      <c r="PNQ226" s="36"/>
      <c r="PNR226" s="36"/>
      <c r="PNS226" s="37"/>
      <c r="PNT226" s="37"/>
      <c r="PNU226" s="38"/>
      <c r="PNV226" s="38"/>
      <c r="PNW226" s="39"/>
      <c r="PNX226" s="34"/>
      <c r="PNY226" s="34"/>
      <c r="PNZ226" s="34"/>
      <c r="POA226" s="35"/>
      <c r="POB226" s="35"/>
      <c r="POC226" s="35"/>
      <c r="POD226" s="35"/>
      <c r="POE226" s="35"/>
      <c r="POF226" s="34"/>
      <c r="POG226" s="34"/>
      <c r="POH226" s="36"/>
      <c r="POI226" s="36"/>
      <c r="POJ226" s="37"/>
      <c r="POK226" s="37"/>
      <c r="POL226" s="38"/>
      <c r="POM226" s="38"/>
      <c r="PON226" s="39"/>
      <c r="POO226" s="34"/>
      <c r="POP226" s="34"/>
      <c r="POQ226" s="34"/>
      <c r="POR226" s="35"/>
      <c r="POS226" s="35"/>
      <c r="POT226" s="35"/>
      <c r="POU226" s="35"/>
      <c r="POV226" s="35"/>
      <c r="POW226" s="34"/>
      <c r="POX226" s="34"/>
      <c r="POY226" s="36"/>
      <c r="POZ226" s="36"/>
      <c r="PPA226" s="37"/>
      <c r="PPB226" s="37"/>
      <c r="PPC226" s="38"/>
      <c r="PPD226" s="38"/>
      <c r="PPE226" s="39"/>
      <c r="PPF226" s="34"/>
      <c r="PPG226" s="34"/>
      <c r="PPH226" s="34"/>
      <c r="PPI226" s="35"/>
      <c r="PPJ226" s="35"/>
      <c r="PPK226" s="35"/>
      <c r="PPL226" s="35"/>
      <c r="PPM226" s="35"/>
      <c r="PPN226" s="34"/>
      <c r="PPO226" s="34"/>
      <c r="PPP226" s="36"/>
      <c r="PPQ226" s="36"/>
      <c r="PPR226" s="37"/>
      <c r="PPS226" s="37"/>
      <c r="PPT226" s="38"/>
      <c r="PPU226" s="38"/>
      <c r="PPV226" s="39"/>
      <c r="PPW226" s="34"/>
      <c r="PPX226" s="34"/>
      <c r="PPY226" s="34"/>
      <c r="PPZ226" s="35"/>
      <c r="PQA226" s="35"/>
      <c r="PQB226" s="35"/>
      <c r="PQC226" s="35"/>
      <c r="PQD226" s="35"/>
      <c r="PQE226" s="34"/>
      <c r="PQF226" s="34"/>
      <c r="PQG226" s="36"/>
      <c r="PQH226" s="36"/>
      <c r="PQI226" s="37"/>
      <c r="PQJ226" s="37"/>
      <c r="PQK226" s="38"/>
      <c r="PQL226" s="38"/>
      <c r="PQM226" s="39"/>
      <c r="PQN226" s="34"/>
      <c r="PQO226" s="34"/>
      <c r="PQP226" s="34"/>
      <c r="PQQ226" s="35"/>
      <c r="PQR226" s="35"/>
      <c r="PQS226" s="35"/>
      <c r="PQT226" s="35"/>
      <c r="PQU226" s="35"/>
      <c r="PQV226" s="34"/>
      <c r="PQW226" s="34"/>
      <c r="PQX226" s="36"/>
      <c r="PQY226" s="36"/>
      <c r="PQZ226" s="37"/>
      <c r="PRA226" s="37"/>
      <c r="PRB226" s="38"/>
      <c r="PRC226" s="38"/>
      <c r="PRD226" s="39"/>
      <c r="PRE226" s="34"/>
      <c r="PRF226" s="34"/>
      <c r="PRG226" s="34"/>
      <c r="PRH226" s="35"/>
      <c r="PRI226" s="35"/>
      <c r="PRJ226" s="35"/>
      <c r="PRK226" s="35"/>
      <c r="PRL226" s="35"/>
      <c r="PRM226" s="34"/>
      <c r="PRN226" s="34"/>
      <c r="PRO226" s="36"/>
      <c r="PRP226" s="36"/>
      <c r="PRQ226" s="37"/>
      <c r="PRR226" s="37"/>
      <c r="PRS226" s="38"/>
      <c r="PRT226" s="38"/>
      <c r="PRU226" s="39"/>
      <c r="PRV226" s="34"/>
      <c r="PRW226" s="34"/>
      <c r="PRX226" s="34"/>
      <c r="PRY226" s="35"/>
      <c r="PRZ226" s="35"/>
      <c r="PSA226" s="35"/>
      <c r="PSB226" s="35"/>
      <c r="PSC226" s="35"/>
      <c r="PSD226" s="34"/>
      <c r="PSE226" s="34"/>
      <c r="PSF226" s="36"/>
      <c r="PSG226" s="36"/>
      <c r="PSH226" s="37"/>
      <c r="PSI226" s="37"/>
      <c r="PSJ226" s="38"/>
      <c r="PSK226" s="38"/>
      <c r="PSL226" s="39"/>
      <c r="PSM226" s="34"/>
      <c r="PSN226" s="34"/>
      <c r="PSO226" s="34"/>
      <c r="PSP226" s="35"/>
      <c r="PSQ226" s="35"/>
      <c r="PSR226" s="35"/>
      <c r="PSS226" s="35"/>
      <c r="PST226" s="35"/>
      <c r="PSU226" s="34"/>
      <c r="PSV226" s="34"/>
      <c r="PSW226" s="36"/>
      <c r="PSX226" s="36"/>
      <c r="PSY226" s="37"/>
      <c r="PSZ226" s="37"/>
      <c r="PTA226" s="38"/>
      <c r="PTB226" s="38"/>
      <c r="PTC226" s="39"/>
      <c r="PTD226" s="34"/>
      <c r="PTE226" s="34"/>
      <c r="PTF226" s="34"/>
      <c r="PTG226" s="35"/>
      <c r="PTH226" s="35"/>
      <c r="PTI226" s="35"/>
      <c r="PTJ226" s="35"/>
      <c r="PTK226" s="35"/>
      <c r="PTL226" s="34"/>
      <c r="PTM226" s="34"/>
      <c r="PTN226" s="36"/>
      <c r="PTO226" s="36"/>
      <c r="PTP226" s="37"/>
      <c r="PTQ226" s="37"/>
      <c r="PTR226" s="38"/>
      <c r="PTS226" s="38"/>
      <c r="PTT226" s="39"/>
      <c r="PTU226" s="34"/>
      <c r="PTV226" s="34"/>
      <c r="PTW226" s="34"/>
      <c r="PTX226" s="35"/>
      <c r="PTY226" s="35"/>
      <c r="PTZ226" s="35"/>
      <c r="PUA226" s="35"/>
      <c r="PUB226" s="35"/>
      <c r="PUC226" s="34"/>
      <c r="PUD226" s="34"/>
      <c r="PUE226" s="36"/>
      <c r="PUF226" s="36"/>
      <c r="PUG226" s="37"/>
      <c r="PUH226" s="37"/>
      <c r="PUI226" s="38"/>
      <c r="PUJ226" s="38"/>
      <c r="PUK226" s="39"/>
      <c r="PUL226" s="34"/>
      <c r="PUM226" s="34"/>
      <c r="PUN226" s="34"/>
      <c r="PUO226" s="35"/>
      <c r="PUP226" s="35"/>
      <c r="PUQ226" s="35"/>
      <c r="PUR226" s="35"/>
      <c r="PUS226" s="35"/>
      <c r="PUT226" s="34"/>
      <c r="PUU226" s="34"/>
      <c r="PUV226" s="36"/>
      <c r="PUW226" s="36"/>
      <c r="PUX226" s="37"/>
      <c r="PUY226" s="37"/>
      <c r="PUZ226" s="38"/>
      <c r="PVA226" s="38"/>
      <c r="PVB226" s="39"/>
      <c r="PVC226" s="34"/>
      <c r="PVD226" s="34"/>
      <c r="PVE226" s="34"/>
      <c r="PVF226" s="35"/>
      <c r="PVG226" s="35"/>
      <c r="PVH226" s="35"/>
      <c r="PVI226" s="35"/>
      <c r="PVJ226" s="35"/>
      <c r="PVK226" s="34"/>
      <c r="PVL226" s="34"/>
      <c r="PVM226" s="36"/>
      <c r="PVN226" s="36"/>
      <c r="PVO226" s="37"/>
      <c r="PVP226" s="37"/>
      <c r="PVQ226" s="38"/>
      <c r="PVR226" s="38"/>
      <c r="PVS226" s="39"/>
      <c r="PVT226" s="34"/>
      <c r="PVU226" s="34"/>
      <c r="PVV226" s="34"/>
      <c r="PVW226" s="35"/>
      <c r="PVX226" s="35"/>
      <c r="PVY226" s="35"/>
      <c r="PVZ226" s="35"/>
      <c r="PWA226" s="35"/>
      <c r="PWB226" s="34"/>
      <c r="PWC226" s="34"/>
      <c r="PWD226" s="36"/>
      <c r="PWE226" s="36"/>
      <c r="PWF226" s="37"/>
      <c r="PWG226" s="37"/>
      <c r="PWH226" s="38"/>
      <c r="PWI226" s="38"/>
      <c r="PWJ226" s="39"/>
      <c r="PWK226" s="34"/>
      <c r="PWL226" s="34"/>
      <c r="PWM226" s="34"/>
      <c r="PWN226" s="35"/>
      <c r="PWO226" s="35"/>
      <c r="PWP226" s="35"/>
      <c r="PWQ226" s="35"/>
      <c r="PWR226" s="35"/>
      <c r="PWS226" s="34"/>
      <c r="PWT226" s="34"/>
      <c r="PWU226" s="36"/>
      <c r="PWV226" s="36"/>
      <c r="PWW226" s="37"/>
      <c r="PWX226" s="37"/>
      <c r="PWY226" s="38"/>
      <c r="PWZ226" s="38"/>
      <c r="PXA226" s="39"/>
      <c r="PXB226" s="34"/>
      <c r="PXC226" s="34"/>
      <c r="PXD226" s="34"/>
      <c r="PXE226" s="35"/>
      <c r="PXF226" s="35"/>
      <c r="PXG226" s="35"/>
      <c r="PXH226" s="35"/>
      <c r="PXI226" s="35"/>
      <c r="PXJ226" s="34"/>
      <c r="PXK226" s="34"/>
      <c r="PXL226" s="36"/>
      <c r="PXM226" s="36"/>
      <c r="PXN226" s="37"/>
      <c r="PXO226" s="37"/>
      <c r="PXP226" s="38"/>
      <c r="PXQ226" s="38"/>
      <c r="PXR226" s="39"/>
      <c r="PXS226" s="34"/>
      <c r="PXT226" s="34"/>
      <c r="PXU226" s="34"/>
      <c r="PXV226" s="35"/>
      <c r="PXW226" s="35"/>
      <c r="PXX226" s="35"/>
      <c r="PXY226" s="35"/>
      <c r="PXZ226" s="35"/>
      <c r="PYA226" s="34"/>
      <c r="PYB226" s="34"/>
      <c r="PYC226" s="36"/>
      <c r="PYD226" s="36"/>
      <c r="PYE226" s="37"/>
      <c r="PYF226" s="37"/>
      <c r="PYG226" s="38"/>
      <c r="PYH226" s="38"/>
      <c r="PYI226" s="39"/>
      <c r="PYJ226" s="34"/>
      <c r="PYK226" s="34"/>
      <c r="PYL226" s="34"/>
      <c r="PYM226" s="35"/>
      <c r="PYN226" s="35"/>
      <c r="PYO226" s="35"/>
      <c r="PYP226" s="35"/>
      <c r="PYQ226" s="35"/>
      <c r="PYR226" s="34"/>
      <c r="PYS226" s="34"/>
      <c r="PYT226" s="36"/>
      <c r="PYU226" s="36"/>
      <c r="PYV226" s="37"/>
      <c r="PYW226" s="37"/>
      <c r="PYX226" s="38"/>
      <c r="PYY226" s="38"/>
      <c r="PYZ226" s="39"/>
      <c r="PZA226" s="34"/>
      <c r="PZB226" s="34"/>
      <c r="PZC226" s="34"/>
      <c r="PZD226" s="35"/>
      <c r="PZE226" s="35"/>
      <c r="PZF226" s="35"/>
      <c r="PZG226" s="35"/>
      <c r="PZH226" s="35"/>
      <c r="PZI226" s="34"/>
      <c r="PZJ226" s="34"/>
      <c r="PZK226" s="36"/>
      <c r="PZL226" s="36"/>
      <c r="PZM226" s="37"/>
      <c r="PZN226" s="37"/>
      <c r="PZO226" s="38"/>
      <c r="PZP226" s="38"/>
      <c r="PZQ226" s="39"/>
      <c r="PZR226" s="34"/>
      <c r="PZS226" s="34"/>
      <c r="PZT226" s="34"/>
      <c r="PZU226" s="35"/>
      <c r="PZV226" s="35"/>
      <c r="PZW226" s="35"/>
      <c r="PZX226" s="35"/>
      <c r="PZY226" s="35"/>
      <c r="PZZ226" s="34"/>
      <c r="QAA226" s="34"/>
      <c r="QAB226" s="36"/>
      <c r="QAC226" s="36"/>
      <c r="QAD226" s="37"/>
      <c r="QAE226" s="37"/>
      <c r="QAF226" s="38"/>
      <c r="QAG226" s="38"/>
      <c r="QAH226" s="39"/>
      <c r="QAI226" s="34"/>
      <c r="QAJ226" s="34"/>
      <c r="QAK226" s="34"/>
      <c r="QAL226" s="35"/>
      <c r="QAM226" s="35"/>
      <c r="QAN226" s="35"/>
      <c r="QAO226" s="35"/>
      <c r="QAP226" s="35"/>
      <c r="QAQ226" s="34"/>
      <c r="QAR226" s="34"/>
      <c r="QAS226" s="36"/>
      <c r="QAT226" s="36"/>
      <c r="QAU226" s="37"/>
      <c r="QAV226" s="37"/>
      <c r="QAW226" s="38"/>
      <c r="QAX226" s="38"/>
      <c r="QAY226" s="39"/>
      <c r="QAZ226" s="34"/>
      <c r="QBA226" s="34"/>
      <c r="QBB226" s="34"/>
      <c r="QBC226" s="35"/>
      <c r="QBD226" s="35"/>
      <c r="QBE226" s="35"/>
      <c r="QBF226" s="35"/>
      <c r="QBG226" s="35"/>
      <c r="QBH226" s="34"/>
      <c r="QBI226" s="34"/>
      <c r="QBJ226" s="36"/>
      <c r="QBK226" s="36"/>
      <c r="QBL226" s="37"/>
      <c r="QBM226" s="37"/>
      <c r="QBN226" s="38"/>
      <c r="QBO226" s="38"/>
      <c r="QBP226" s="39"/>
      <c r="QBQ226" s="34"/>
      <c r="QBR226" s="34"/>
      <c r="QBS226" s="34"/>
      <c r="QBT226" s="35"/>
      <c r="QBU226" s="35"/>
      <c r="QBV226" s="35"/>
      <c r="QBW226" s="35"/>
      <c r="QBX226" s="35"/>
      <c r="QBY226" s="34"/>
      <c r="QBZ226" s="34"/>
      <c r="QCA226" s="36"/>
      <c r="QCB226" s="36"/>
      <c r="QCC226" s="37"/>
      <c r="QCD226" s="37"/>
      <c r="QCE226" s="38"/>
      <c r="QCF226" s="38"/>
      <c r="QCG226" s="39"/>
      <c r="QCH226" s="34"/>
      <c r="QCI226" s="34"/>
      <c r="QCJ226" s="34"/>
      <c r="QCK226" s="35"/>
      <c r="QCL226" s="35"/>
      <c r="QCM226" s="35"/>
      <c r="QCN226" s="35"/>
      <c r="QCO226" s="35"/>
      <c r="QCP226" s="34"/>
      <c r="QCQ226" s="34"/>
      <c r="QCR226" s="36"/>
      <c r="QCS226" s="36"/>
      <c r="QCT226" s="37"/>
      <c r="QCU226" s="37"/>
      <c r="QCV226" s="38"/>
      <c r="QCW226" s="38"/>
      <c r="QCX226" s="39"/>
      <c r="QCY226" s="34"/>
      <c r="QCZ226" s="34"/>
      <c r="QDA226" s="34"/>
      <c r="QDB226" s="35"/>
      <c r="QDC226" s="35"/>
      <c r="QDD226" s="35"/>
      <c r="QDE226" s="35"/>
      <c r="QDF226" s="35"/>
      <c r="QDG226" s="34"/>
      <c r="QDH226" s="34"/>
      <c r="QDI226" s="36"/>
      <c r="QDJ226" s="36"/>
      <c r="QDK226" s="37"/>
      <c r="QDL226" s="37"/>
      <c r="QDM226" s="38"/>
      <c r="QDN226" s="38"/>
      <c r="QDO226" s="39"/>
      <c r="QDP226" s="34"/>
      <c r="QDQ226" s="34"/>
      <c r="QDR226" s="34"/>
      <c r="QDS226" s="35"/>
      <c r="QDT226" s="35"/>
      <c r="QDU226" s="35"/>
      <c r="QDV226" s="35"/>
      <c r="QDW226" s="35"/>
      <c r="QDX226" s="34"/>
      <c r="QDY226" s="34"/>
      <c r="QDZ226" s="36"/>
      <c r="QEA226" s="36"/>
      <c r="QEB226" s="37"/>
      <c r="QEC226" s="37"/>
      <c r="QED226" s="38"/>
      <c r="QEE226" s="38"/>
      <c r="QEF226" s="39"/>
      <c r="QEG226" s="34"/>
      <c r="QEH226" s="34"/>
      <c r="QEI226" s="34"/>
      <c r="QEJ226" s="35"/>
      <c r="QEK226" s="35"/>
      <c r="QEL226" s="35"/>
      <c r="QEM226" s="35"/>
      <c r="QEN226" s="35"/>
      <c r="QEO226" s="34"/>
      <c r="QEP226" s="34"/>
      <c r="QEQ226" s="36"/>
      <c r="QER226" s="36"/>
      <c r="QES226" s="37"/>
      <c r="QET226" s="37"/>
      <c r="QEU226" s="38"/>
      <c r="QEV226" s="38"/>
      <c r="QEW226" s="39"/>
      <c r="QEX226" s="34"/>
      <c r="QEY226" s="34"/>
      <c r="QEZ226" s="34"/>
      <c r="QFA226" s="35"/>
      <c r="QFB226" s="35"/>
      <c r="QFC226" s="35"/>
      <c r="QFD226" s="35"/>
      <c r="QFE226" s="35"/>
      <c r="QFF226" s="34"/>
      <c r="QFG226" s="34"/>
      <c r="QFH226" s="36"/>
      <c r="QFI226" s="36"/>
      <c r="QFJ226" s="37"/>
      <c r="QFK226" s="37"/>
      <c r="QFL226" s="38"/>
      <c r="QFM226" s="38"/>
      <c r="QFN226" s="39"/>
      <c r="QFO226" s="34"/>
      <c r="QFP226" s="34"/>
      <c r="QFQ226" s="34"/>
      <c r="QFR226" s="35"/>
      <c r="QFS226" s="35"/>
      <c r="QFT226" s="35"/>
      <c r="QFU226" s="35"/>
      <c r="QFV226" s="35"/>
      <c r="QFW226" s="34"/>
      <c r="QFX226" s="34"/>
      <c r="QFY226" s="36"/>
      <c r="QFZ226" s="36"/>
      <c r="QGA226" s="37"/>
      <c r="QGB226" s="37"/>
      <c r="QGC226" s="38"/>
      <c r="QGD226" s="38"/>
      <c r="QGE226" s="39"/>
      <c r="QGF226" s="34"/>
      <c r="QGG226" s="34"/>
      <c r="QGH226" s="34"/>
      <c r="QGI226" s="35"/>
      <c r="QGJ226" s="35"/>
      <c r="QGK226" s="35"/>
      <c r="QGL226" s="35"/>
      <c r="QGM226" s="35"/>
      <c r="QGN226" s="34"/>
      <c r="QGO226" s="34"/>
      <c r="QGP226" s="36"/>
      <c r="QGQ226" s="36"/>
      <c r="QGR226" s="37"/>
      <c r="QGS226" s="37"/>
      <c r="QGT226" s="38"/>
      <c r="QGU226" s="38"/>
      <c r="QGV226" s="39"/>
      <c r="QGW226" s="34"/>
      <c r="QGX226" s="34"/>
      <c r="QGY226" s="34"/>
      <c r="QGZ226" s="35"/>
      <c r="QHA226" s="35"/>
      <c r="QHB226" s="35"/>
      <c r="QHC226" s="35"/>
      <c r="QHD226" s="35"/>
      <c r="QHE226" s="34"/>
      <c r="QHF226" s="34"/>
      <c r="QHG226" s="36"/>
      <c r="QHH226" s="36"/>
      <c r="QHI226" s="37"/>
      <c r="QHJ226" s="37"/>
      <c r="QHK226" s="38"/>
      <c r="QHL226" s="38"/>
      <c r="QHM226" s="39"/>
      <c r="QHN226" s="34"/>
      <c r="QHO226" s="34"/>
      <c r="QHP226" s="34"/>
      <c r="QHQ226" s="35"/>
      <c r="QHR226" s="35"/>
      <c r="QHS226" s="35"/>
      <c r="QHT226" s="35"/>
      <c r="QHU226" s="35"/>
      <c r="QHV226" s="34"/>
      <c r="QHW226" s="34"/>
      <c r="QHX226" s="36"/>
      <c r="QHY226" s="36"/>
      <c r="QHZ226" s="37"/>
      <c r="QIA226" s="37"/>
      <c r="QIB226" s="38"/>
      <c r="QIC226" s="38"/>
      <c r="QID226" s="39"/>
      <c r="QIE226" s="34"/>
      <c r="QIF226" s="34"/>
      <c r="QIG226" s="34"/>
      <c r="QIH226" s="35"/>
      <c r="QII226" s="35"/>
      <c r="QIJ226" s="35"/>
      <c r="QIK226" s="35"/>
      <c r="QIL226" s="35"/>
      <c r="QIM226" s="34"/>
      <c r="QIN226" s="34"/>
      <c r="QIO226" s="36"/>
      <c r="QIP226" s="36"/>
      <c r="QIQ226" s="37"/>
      <c r="QIR226" s="37"/>
      <c r="QIS226" s="38"/>
      <c r="QIT226" s="38"/>
      <c r="QIU226" s="39"/>
      <c r="QIV226" s="34"/>
      <c r="QIW226" s="34"/>
      <c r="QIX226" s="34"/>
      <c r="QIY226" s="35"/>
      <c r="QIZ226" s="35"/>
      <c r="QJA226" s="35"/>
      <c r="QJB226" s="35"/>
      <c r="QJC226" s="35"/>
      <c r="QJD226" s="34"/>
      <c r="QJE226" s="34"/>
      <c r="QJF226" s="36"/>
      <c r="QJG226" s="36"/>
      <c r="QJH226" s="37"/>
      <c r="QJI226" s="37"/>
      <c r="QJJ226" s="38"/>
      <c r="QJK226" s="38"/>
      <c r="QJL226" s="39"/>
      <c r="QJM226" s="34"/>
      <c r="QJN226" s="34"/>
      <c r="QJO226" s="34"/>
      <c r="QJP226" s="35"/>
      <c r="QJQ226" s="35"/>
      <c r="QJR226" s="35"/>
      <c r="QJS226" s="35"/>
      <c r="QJT226" s="35"/>
      <c r="QJU226" s="34"/>
      <c r="QJV226" s="34"/>
      <c r="QJW226" s="36"/>
      <c r="QJX226" s="36"/>
      <c r="QJY226" s="37"/>
      <c r="QJZ226" s="37"/>
      <c r="QKA226" s="38"/>
      <c r="QKB226" s="38"/>
      <c r="QKC226" s="39"/>
      <c r="QKD226" s="34"/>
      <c r="QKE226" s="34"/>
      <c r="QKF226" s="34"/>
      <c r="QKG226" s="35"/>
      <c r="QKH226" s="35"/>
      <c r="QKI226" s="35"/>
      <c r="QKJ226" s="35"/>
      <c r="QKK226" s="35"/>
      <c r="QKL226" s="34"/>
      <c r="QKM226" s="34"/>
      <c r="QKN226" s="36"/>
      <c r="QKO226" s="36"/>
      <c r="QKP226" s="37"/>
      <c r="QKQ226" s="37"/>
      <c r="QKR226" s="38"/>
      <c r="QKS226" s="38"/>
      <c r="QKT226" s="39"/>
      <c r="QKU226" s="34"/>
      <c r="QKV226" s="34"/>
      <c r="QKW226" s="34"/>
      <c r="QKX226" s="35"/>
      <c r="QKY226" s="35"/>
      <c r="QKZ226" s="35"/>
      <c r="QLA226" s="35"/>
      <c r="QLB226" s="35"/>
      <c r="QLC226" s="34"/>
      <c r="QLD226" s="34"/>
      <c r="QLE226" s="36"/>
      <c r="QLF226" s="36"/>
      <c r="QLG226" s="37"/>
      <c r="QLH226" s="37"/>
      <c r="QLI226" s="38"/>
      <c r="QLJ226" s="38"/>
      <c r="QLK226" s="39"/>
      <c r="QLL226" s="34"/>
      <c r="QLM226" s="34"/>
      <c r="QLN226" s="34"/>
      <c r="QLO226" s="35"/>
      <c r="QLP226" s="35"/>
      <c r="QLQ226" s="35"/>
      <c r="QLR226" s="35"/>
      <c r="QLS226" s="35"/>
      <c r="QLT226" s="34"/>
      <c r="QLU226" s="34"/>
      <c r="QLV226" s="36"/>
      <c r="QLW226" s="36"/>
      <c r="QLX226" s="37"/>
      <c r="QLY226" s="37"/>
      <c r="QLZ226" s="38"/>
      <c r="QMA226" s="38"/>
      <c r="QMB226" s="39"/>
      <c r="QMC226" s="34"/>
      <c r="QMD226" s="34"/>
      <c r="QME226" s="34"/>
      <c r="QMF226" s="35"/>
      <c r="QMG226" s="35"/>
      <c r="QMH226" s="35"/>
      <c r="QMI226" s="35"/>
      <c r="QMJ226" s="35"/>
      <c r="QMK226" s="34"/>
      <c r="QML226" s="34"/>
      <c r="QMM226" s="36"/>
      <c r="QMN226" s="36"/>
      <c r="QMO226" s="37"/>
      <c r="QMP226" s="37"/>
      <c r="QMQ226" s="38"/>
      <c r="QMR226" s="38"/>
      <c r="QMS226" s="39"/>
      <c r="QMT226" s="34"/>
      <c r="QMU226" s="34"/>
      <c r="QMV226" s="34"/>
      <c r="QMW226" s="35"/>
      <c r="QMX226" s="35"/>
      <c r="QMY226" s="35"/>
      <c r="QMZ226" s="35"/>
      <c r="QNA226" s="35"/>
      <c r="QNB226" s="34"/>
      <c r="QNC226" s="34"/>
      <c r="QND226" s="36"/>
      <c r="QNE226" s="36"/>
      <c r="QNF226" s="37"/>
      <c r="QNG226" s="37"/>
      <c r="QNH226" s="38"/>
      <c r="QNI226" s="38"/>
      <c r="QNJ226" s="39"/>
      <c r="QNK226" s="34"/>
      <c r="QNL226" s="34"/>
      <c r="QNM226" s="34"/>
      <c r="QNN226" s="35"/>
      <c r="QNO226" s="35"/>
      <c r="QNP226" s="35"/>
      <c r="QNQ226" s="35"/>
      <c r="QNR226" s="35"/>
      <c r="QNS226" s="34"/>
      <c r="QNT226" s="34"/>
      <c r="QNU226" s="36"/>
      <c r="QNV226" s="36"/>
      <c r="QNW226" s="37"/>
      <c r="QNX226" s="37"/>
      <c r="QNY226" s="38"/>
      <c r="QNZ226" s="38"/>
      <c r="QOA226" s="39"/>
      <c r="QOB226" s="34"/>
      <c r="QOC226" s="34"/>
      <c r="QOD226" s="34"/>
      <c r="QOE226" s="35"/>
      <c r="QOF226" s="35"/>
      <c r="QOG226" s="35"/>
      <c r="QOH226" s="35"/>
      <c r="QOI226" s="35"/>
      <c r="QOJ226" s="34"/>
      <c r="QOK226" s="34"/>
      <c r="QOL226" s="36"/>
      <c r="QOM226" s="36"/>
      <c r="QON226" s="37"/>
      <c r="QOO226" s="37"/>
      <c r="QOP226" s="38"/>
      <c r="QOQ226" s="38"/>
      <c r="QOR226" s="39"/>
      <c r="QOS226" s="34"/>
      <c r="QOT226" s="34"/>
      <c r="QOU226" s="34"/>
      <c r="QOV226" s="35"/>
      <c r="QOW226" s="35"/>
      <c r="QOX226" s="35"/>
      <c r="QOY226" s="35"/>
      <c r="QOZ226" s="35"/>
      <c r="QPA226" s="34"/>
      <c r="QPB226" s="34"/>
      <c r="QPC226" s="36"/>
      <c r="QPD226" s="36"/>
      <c r="QPE226" s="37"/>
      <c r="QPF226" s="37"/>
      <c r="QPG226" s="38"/>
      <c r="QPH226" s="38"/>
      <c r="QPI226" s="39"/>
      <c r="QPJ226" s="34"/>
      <c r="QPK226" s="34"/>
      <c r="QPL226" s="34"/>
      <c r="QPM226" s="35"/>
      <c r="QPN226" s="35"/>
      <c r="QPO226" s="35"/>
      <c r="QPP226" s="35"/>
      <c r="QPQ226" s="35"/>
      <c r="QPR226" s="34"/>
      <c r="QPS226" s="34"/>
      <c r="QPT226" s="36"/>
      <c r="QPU226" s="36"/>
      <c r="QPV226" s="37"/>
      <c r="QPW226" s="37"/>
      <c r="QPX226" s="38"/>
      <c r="QPY226" s="38"/>
      <c r="QPZ226" s="39"/>
      <c r="QQA226" s="34"/>
      <c r="QQB226" s="34"/>
      <c r="QQC226" s="34"/>
      <c r="QQD226" s="35"/>
      <c r="QQE226" s="35"/>
      <c r="QQF226" s="35"/>
      <c r="QQG226" s="35"/>
      <c r="QQH226" s="35"/>
      <c r="QQI226" s="34"/>
      <c r="QQJ226" s="34"/>
      <c r="QQK226" s="36"/>
      <c r="QQL226" s="36"/>
      <c r="QQM226" s="37"/>
      <c r="QQN226" s="37"/>
      <c r="QQO226" s="38"/>
      <c r="QQP226" s="38"/>
      <c r="QQQ226" s="39"/>
      <c r="QQR226" s="34"/>
      <c r="QQS226" s="34"/>
      <c r="QQT226" s="34"/>
      <c r="QQU226" s="35"/>
      <c r="QQV226" s="35"/>
      <c r="QQW226" s="35"/>
      <c r="QQX226" s="35"/>
      <c r="QQY226" s="35"/>
      <c r="QQZ226" s="34"/>
      <c r="QRA226" s="34"/>
      <c r="QRB226" s="36"/>
      <c r="QRC226" s="36"/>
      <c r="QRD226" s="37"/>
      <c r="QRE226" s="37"/>
      <c r="QRF226" s="38"/>
      <c r="QRG226" s="38"/>
      <c r="QRH226" s="39"/>
      <c r="QRI226" s="34"/>
      <c r="QRJ226" s="34"/>
      <c r="QRK226" s="34"/>
      <c r="QRL226" s="35"/>
      <c r="QRM226" s="35"/>
      <c r="QRN226" s="35"/>
      <c r="QRO226" s="35"/>
      <c r="QRP226" s="35"/>
      <c r="QRQ226" s="34"/>
      <c r="QRR226" s="34"/>
      <c r="QRS226" s="36"/>
      <c r="QRT226" s="36"/>
      <c r="QRU226" s="37"/>
      <c r="QRV226" s="37"/>
      <c r="QRW226" s="38"/>
      <c r="QRX226" s="38"/>
      <c r="QRY226" s="39"/>
      <c r="QRZ226" s="34"/>
      <c r="QSA226" s="34"/>
      <c r="QSB226" s="34"/>
      <c r="QSC226" s="35"/>
      <c r="QSD226" s="35"/>
      <c r="QSE226" s="35"/>
      <c r="QSF226" s="35"/>
      <c r="QSG226" s="35"/>
      <c r="QSH226" s="34"/>
      <c r="QSI226" s="34"/>
      <c r="QSJ226" s="36"/>
      <c r="QSK226" s="36"/>
      <c r="QSL226" s="37"/>
      <c r="QSM226" s="37"/>
      <c r="QSN226" s="38"/>
      <c r="QSO226" s="38"/>
      <c r="QSP226" s="39"/>
      <c r="QSQ226" s="34"/>
      <c r="QSR226" s="34"/>
      <c r="QSS226" s="34"/>
      <c r="QST226" s="35"/>
      <c r="QSU226" s="35"/>
      <c r="QSV226" s="35"/>
      <c r="QSW226" s="35"/>
      <c r="QSX226" s="35"/>
      <c r="QSY226" s="34"/>
      <c r="QSZ226" s="34"/>
      <c r="QTA226" s="36"/>
      <c r="QTB226" s="36"/>
      <c r="QTC226" s="37"/>
      <c r="QTD226" s="37"/>
      <c r="QTE226" s="38"/>
      <c r="QTF226" s="38"/>
      <c r="QTG226" s="39"/>
      <c r="QTH226" s="34"/>
      <c r="QTI226" s="34"/>
      <c r="QTJ226" s="34"/>
      <c r="QTK226" s="35"/>
      <c r="QTL226" s="35"/>
      <c r="QTM226" s="35"/>
      <c r="QTN226" s="35"/>
      <c r="QTO226" s="35"/>
      <c r="QTP226" s="34"/>
      <c r="QTQ226" s="34"/>
      <c r="QTR226" s="36"/>
      <c r="QTS226" s="36"/>
      <c r="QTT226" s="37"/>
      <c r="QTU226" s="37"/>
      <c r="QTV226" s="38"/>
      <c r="QTW226" s="38"/>
      <c r="QTX226" s="39"/>
      <c r="QTY226" s="34"/>
      <c r="QTZ226" s="34"/>
      <c r="QUA226" s="34"/>
      <c r="QUB226" s="35"/>
      <c r="QUC226" s="35"/>
      <c r="QUD226" s="35"/>
      <c r="QUE226" s="35"/>
      <c r="QUF226" s="35"/>
      <c r="QUG226" s="34"/>
      <c r="QUH226" s="34"/>
      <c r="QUI226" s="36"/>
      <c r="QUJ226" s="36"/>
      <c r="QUK226" s="37"/>
      <c r="QUL226" s="37"/>
      <c r="QUM226" s="38"/>
      <c r="QUN226" s="38"/>
      <c r="QUO226" s="39"/>
      <c r="QUP226" s="34"/>
      <c r="QUQ226" s="34"/>
      <c r="QUR226" s="34"/>
      <c r="QUS226" s="35"/>
      <c r="QUT226" s="35"/>
      <c r="QUU226" s="35"/>
      <c r="QUV226" s="35"/>
      <c r="QUW226" s="35"/>
      <c r="QUX226" s="34"/>
      <c r="QUY226" s="34"/>
      <c r="QUZ226" s="36"/>
      <c r="QVA226" s="36"/>
      <c r="QVB226" s="37"/>
      <c r="QVC226" s="37"/>
      <c r="QVD226" s="38"/>
      <c r="QVE226" s="38"/>
      <c r="QVF226" s="39"/>
      <c r="QVG226" s="34"/>
      <c r="QVH226" s="34"/>
      <c r="QVI226" s="34"/>
      <c r="QVJ226" s="35"/>
      <c r="QVK226" s="35"/>
      <c r="QVL226" s="35"/>
      <c r="QVM226" s="35"/>
      <c r="QVN226" s="35"/>
      <c r="QVO226" s="34"/>
      <c r="QVP226" s="34"/>
      <c r="QVQ226" s="36"/>
      <c r="QVR226" s="36"/>
      <c r="QVS226" s="37"/>
      <c r="QVT226" s="37"/>
      <c r="QVU226" s="38"/>
      <c r="QVV226" s="38"/>
      <c r="QVW226" s="39"/>
      <c r="QVX226" s="34"/>
      <c r="QVY226" s="34"/>
      <c r="QVZ226" s="34"/>
      <c r="QWA226" s="35"/>
      <c r="QWB226" s="35"/>
      <c r="QWC226" s="35"/>
      <c r="QWD226" s="35"/>
      <c r="QWE226" s="35"/>
      <c r="QWF226" s="34"/>
      <c r="QWG226" s="34"/>
      <c r="QWH226" s="36"/>
      <c r="QWI226" s="36"/>
      <c r="QWJ226" s="37"/>
      <c r="QWK226" s="37"/>
      <c r="QWL226" s="38"/>
      <c r="QWM226" s="38"/>
      <c r="QWN226" s="39"/>
      <c r="QWO226" s="34"/>
      <c r="QWP226" s="34"/>
      <c r="QWQ226" s="34"/>
      <c r="QWR226" s="35"/>
      <c r="QWS226" s="35"/>
      <c r="QWT226" s="35"/>
      <c r="QWU226" s="35"/>
      <c r="QWV226" s="35"/>
      <c r="QWW226" s="34"/>
      <c r="QWX226" s="34"/>
      <c r="QWY226" s="36"/>
      <c r="QWZ226" s="36"/>
      <c r="QXA226" s="37"/>
      <c r="QXB226" s="37"/>
      <c r="QXC226" s="38"/>
      <c r="QXD226" s="38"/>
      <c r="QXE226" s="39"/>
      <c r="QXF226" s="34"/>
      <c r="QXG226" s="34"/>
      <c r="QXH226" s="34"/>
      <c r="QXI226" s="35"/>
      <c r="QXJ226" s="35"/>
      <c r="QXK226" s="35"/>
      <c r="QXL226" s="35"/>
      <c r="QXM226" s="35"/>
      <c r="QXN226" s="34"/>
      <c r="QXO226" s="34"/>
      <c r="QXP226" s="36"/>
      <c r="QXQ226" s="36"/>
      <c r="QXR226" s="37"/>
      <c r="QXS226" s="37"/>
      <c r="QXT226" s="38"/>
      <c r="QXU226" s="38"/>
      <c r="QXV226" s="39"/>
      <c r="QXW226" s="34"/>
      <c r="QXX226" s="34"/>
      <c r="QXY226" s="34"/>
      <c r="QXZ226" s="35"/>
      <c r="QYA226" s="35"/>
      <c r="QYB226" s="35"/>
      <c r="QYC226" s="35"/>
      <c r="QYD226" s="35"/>
      <c r="QYE226" s="34"/>
      <c r="QYF226" s="34"/>
      <c r="QYG226" s="36"/>
      <c r="QYH226" s="36"/>
      <c r="QYI226" s="37"/>
      <c r="QYJ226" s="37"/>
      <c r="QYK226" s="38"/>
      <c r="QYL226" s="38"/>
      <c r="QYM226" s="39"/>
      <c r="QYN226" s="34"/>
      <c r="QYO226" s="34"/>
      <c r="QYP226" s="34"/>
      <c r="QYQ226" s="35"/>
      <c r="QYR226" s="35"/>
      <c r="QYS226" s="35"/>
      <c r="QYT226" s="35"/>
      <c r="QYU226" s="35"/>
      <c r="QYV226" s="34"/>
      <c r="QYW226" s="34"/>
      <c r="QYX226" s="36"/>
      <c r="QYY226" s="36"/>
      <c r="QYZ226" s="37"/>
      <c r="QZA226" s="37"/>
      <c r="QZB226" s="38"/>
      <c r="QZC226" s="38"/>
      <c r="QZD226" s="39"/>
      <c r="QZE226" s="34"/>
      <c r="QZF226" s="34"/>
      <c r="QZG226" s="34"/>
      <c r="QZH226" s="35"/>
      <c r="QZI226" s="35"/>
      <c r="QZJ226" s="35"/>
      <c r="QZK226" s="35"/>
      <c r="QZL226" s="35"/>
      <c r="QZM226" s="34"/>
      <c r="QZN226" s="34"/>
      <c r="QZO226" s="36"/>
      <c r="QZP226" s="36"/>
      <c r="QZQ226" s="37"/>
      <c r="QZR226" s="37"/>
      <c r="QZS226" s="38"/>
      <c r="QZT226" s="38"/>
      <c r="QZU226" s="39"/>
      <c r="QZV226" s="34"/>
      <c r="QZW226" s="34"/>
      <c r="QZX226" s="34"/>
      <c r="QZY226" s="35"/>
      <c r="QZZ226" s="35"/>
      <c r="RAA226" s="35"/>
      <c r="RAB226" s="35"/>
      <c r="RAC226" s="35"/>
      <c r="RAD226" s="34"/>
      <c r="RAE226" s="34"/>
      <c r="RAF226" s="36"/>
      <c r="RAG226" s="36"/>
      <c r="RAH226" s="37"/>
      <c r="RAI226" s="37"/>
      <c r="RAJ226" s="38"/>
      <c r="RAK226" s="38"/>
      <c r="RAL226" s="39"/>
      <c r="RAM226" s="34"/>
      <c r="RAN226" s="34"/>
      <c r="RAO226" s="34"/>
      <c r="RAP226" s="35"/>
      <c r="RAQ226" s="35"/>
      <c r="RAR226" s="35"/>
      <c r="RAS226" s="35"/>
      <c r="RAT226" s="35"/>
      <c r="RAU226" s="34"/>
      <c r="RAV226" s="34"/>
      <c r="RAW226" s="36"/>
      <c r="RAX226" s="36"/>
      <c r="RAY226" s="37"/>
      <c r="RAZ226" s="37"/>
      <c r="RBA226" s="38"/>
      <c r="RBB226" s="38"/>
      <c r="RBC226" s="39"/>
      <c r="RBD226" s="34"/>
      <c r="RBE226" s="34"/>
      <c r="RBF226" s="34"/>
      <c r="RBG226" s="35"/>
      <c r="RBH226" s="35"/>
      <c r="RBI226" s="35"/>
      <c r="RBJ226" s="35"/>
      <c r="RBK226" s="35"/>
      <c r="RBL226" s="34"/>
      <c r="RBM226" s="34"/>
      <c r="RBN226" s="36"/>
      <c r="RBO226" s="36"/>
      <c r="RBP226" s="37"/>
      <c r="RBQ226" s="37"/>
      <c r="RBR226" s="38"/>
      <c r="RBS226" s="38"/>
      <c r="RBT226" s="39"/>
      <c r="RBU226" s="34"/>
      <c r="RBV226" s="34"/>
      <c r="RBW226" s="34"/>
      <c r="RBX226" s="35"/>
      <c r="RBY226" s="35"/>
      <c r="RBZ226" s="35"/>
      <c r="RCA226" s="35"/>
      <c r="RCB226" s="35"/>
      <c r="RCC226" s="34"/>
      <c r="RCD226" s="34"/>
      <c r="RCE226" s="36"/>
      <c r="RCF226" s="36"/>
      <c r="RCG226" s="37"/>
      <c r="RCH226" s="37"/>
      <c r="RCI226" s="38"/>
      <c r="RCJ226" s="38"/>
      <c r="RCK226" s="39"/>
      <c r="RCL226" s="34"/>
      <c r="RCM226" s="34"/>
      <c r="RCN226" s="34"/>
      <c r="RCO226" s="35"/>
      <c r="RCP226" s="35"/>
      <c r="RCQ226" s="35"/>
      <c r="RCR226" s="35"/>
      <c r="RCS226" s="35"/>
      <c r="RCT226" s="34"/>
      <c r="RCU226" s="34"/>
      <c r="RCV226" s="36"/>
      <c r="RCW226" s="36"/>
      <c r="RCX226" s="37"/>
      <c r="RCY226" s="37"/>
      <c r="RCZ226" s="38"/>
      <c r="RDA226" s="38"/>
      <c r="RDB226" s="39"/>
      <c r="RDC226" s="34"/>
      <c r="RDD226" s="34"/>
      <c r="RDE226" s="34"/>
      <c r="RDF226" s="35"/>
      <c r="RDG226" s="35"/>
      <c r="RDH226" s="35"/>
      <c r="RDI226" s="35"/>
      <c r="RDJ226" s="35"/>
      <c r="RDK226" s="34"/>
      <c r="RDL226" s="34"/>
      <c r="RDM226" s="36"/>
      <c r="RDN226" s="36"/>
      <c r="RDO226" s="37"/>
      <c r="RDP226" s="37"/>
      <c r="RDQ226" s="38"/>
      <c r="RDR226" s="38"/>
      <c r="RDS226" s="39"/>
      <c r="RDT226" s="34"/>
      <c r="RDU226" s="34"/>
      <c r="RDV226" s="34"/>
      <c r="RDW226" s="35"/>
      <c r="RDX226" s="35"/>
      <c r="RDY226" s="35"/>
      <c r="RDZ226" s="35"/>
      <c r="REA226" s="35"/>
      <c r="REB226" s="34"/>
      <c r="REC226" s="34"/>
      <c r="RED226" s="36"/>
      <c r="REE226" s="36"/>
      <c r="REF226" s="37"/>
      <c r="REG226" s="37"/>
      <c r="REH226" s="38"/>
      <c r="REI226" s="38"/>
      <c r="REJ226" s="39"/>
      <c r="REK226" s="34"/>
      <c r="REL226" s="34"/>
      <c r="REM226" s="34"/>
      <c r="REN226" s="35"/>
      <c r="REO226" s="35"/>
      <c r="REP226" s="35"/>
      <c r="REQ226" s="35"/>
      <c r="RER226" s="35"/>
      <c r="RES226" s="34"/>
      <c r="RET226" s="34"/>
      <c r="REU226" s="36"/>
      <c r="REV226" s="36"/>
      <c r="REW226" s="37"/>
      <c r="REX226" s="37"/>
      <c r="REY226" s="38"/>
      <c r="REZ226" s="38"/>
      <c r="RFA226" s="39"/>
      <c r="RFB226" s="34"/>
      <c r="RFC226" s="34"/>
      <c r="RFD226" s="34"/>
      <c r="RFE226" s="35"/>
      <c r="RFF226" s="35"/>
      <c r="RFG226" s="35"/>
      <c r="RFH226" s="35"/>
      <c r="RFI226" s="35"/>
      <c r="RFJ226" s="34"/>
      <c r="RFK226" s="34"/>
      <c r="RFL226" s="36"/>
      <c r="RFM226" s="36"/>
      <c r="RFN226" s="37"/>
      <c r="RFO226" s="37"/>
      <c r="RFP226" s="38"/>
      <c r="RFQ226" s="38"/>
      <c r="RFR226" s="39"/>
      <c r="RFS226" s="34"/>
      <c r="RFT226" s="34"/>
      <c r="RFU226" s="34"/>
      <c r="RFV226" s="35"/>
      <c r="RFW226" s="35"/>
      <c r="RFX226" s="35"/>
      <c r="RFY226" s="35"/>
      <c r="RFZ226" s="35"/>
      <c r="RGA226" s="34"/>
      <c r="RGB226" s="34"/>
      <c r="RGC226" s="36"/>
      <c r="RGD226" s="36"/>
      <c r="RGE226" s="37"/>
      <c r="RGF226" s="37"/>
      <c r="RGG226" s="38"/>
      <c r="RGH226" s="38"/>
      <c r="RGI226" s="39"/>
      <c r="RGJ226" s="34"/>
      <c r="RGK226" s="34"/>
      <c r="RGL226" s="34"/>
      <c r="RGM226" s="35"/>
      <c r="RGN226" s="35"/>
      <c r="RGO226" s="35"/>
      <c r="RGP226" s="35"/>
      <c r="RGQ226" s="35"/>
      <c r="RGR226" s="34"/>
      <c r="RGS226" s="34"/>
      <c r="RGT226" s="36"/>
      <c r="RGU226" s="36"/>
      <c r="RGV226" s="37"/>
      <c r="RGW226" s="37"/>
      <c r="RGX226" s="38"/>
      <c r="RGY226" s="38"/>
      <c r="RGZ226" s="39"/>
      <c r="RHA226" s="34"/>
      <c r="RHB226" s="34"/>
      <c r="RHC226" s="34"/>
      <c r="RHD226" s="35"/>
      <c r="RHE226" s="35"/>
      <c r="RHF226" s="35"/>
      <c r="RHG226" s="35"/>
      <c r="RHH226" s="35"/>
      <c r="RHI226" s="34"/>
      <c r="RHJ226" s="34"/>
      <c r="RHK226" s="36"/>
      <c r="RHL226" s="36"/>
      <c r="RHM226" s="37"/>
      <c r="RHN226" s="37"/>
      <c r="RHO226" s="38"/>
      <c r="RHP226" s="38"/>
      <c r="RHQ226" s="39"/>
      <c r="RHR226" s="34"/>
      <c r="RHS226" s="34"/>
      <c r="RHT226" s="34"/>
      <c r="RHU226" s="35"/>
      <c r="RHV226" s="35"/>
      <c r="RHW226" s="35"/>
      <c r="RHX226" s="35"/>
      <c r="RHY226" s="35"/>
      <c r="RHZ226" s="34"/>
      <c r="RIA226" s="34"/>
      <c r="RIB226" s="36"/>
      <c r="RIC226" s="36"/>
      <c r="RID226" s="37"/>
      <c r="RIE226" s="37"/>
      <c r="RIF226" s="38"/>
      <c r="RIG226" s="38"/>
      <c r="RIH226" s="39"/>
      <c r="RII226" s="34"/>
      <c r="RIJ226" s="34"/>
      <c r="RIK226" s="34"/>
      <c r="RIL226" s="35"/>
      <c r="RIM226" s="35"/>
      <c r="RIN226" s="35"/>
      <c r="RIO226" s="35"/>
      <c r="RIP226" s="35"/>
      <c r="RIQ226" s="34"/>
      <c r="RIR226" s="34"/>
      <c r="RIS226" s="36"/>
      <c r="RIT226" s="36"/>
      <c r="RIU226" s="37"/>
      <c r="RIV226" s="37"/>
      <c r="RIW226" s="38"/>
      <c r="RIX226" s="38"/>
      <c r="RIY226" s="39"/>
      <c r="RIZ226" s="34"/>
      <c r="RJA226" s="34"/>
      <c r="RJB226" s="34"/>
      <c r="RJC226" s="35"/>
      <c r="RJD226" s="35"/>
      <c r="RJE226" s="35"/>
      <c r="RJF226" s="35"/>
      <c r="RJG226" s="35"/>
      <c r="RJH226" s="34"/>
      <c r="RJI226" s="34"/>
      <c r="RJJ226" s="36"/>
      <c r="RJK226" s="36"/>
      <c r="RJL226" s="37"/>
      <c r="RJM226" s="37"/>
      <c r="RJN226" s="38"/>
      <c r="RJO226" s="38"/>
      <c r="RJP226" s="39"/>
      <c r="RJQ226" s="34"/>
      <c r="RJR226" s="34"/>
      <c r="RJS226" s="34"/>
      <c r="RJT226" s="35"/>
      <c r="RJU226" s="35"/>
      <c r="RJV226" s="35"/>
      <c r="RJW226" s="35"/>
      <c r="RJX226" s="35"/>
      <c r="RJY226" s="34"/>
      <c r="RJZ226" s="34"/>
      <c r="RKA226" s="36"/>
      <c r="RKB226" s="36"/>
      <c r="RKC226" s="37"/>
      <c r="RKD226" s="37"/>
      <c r="RKE226" s="38"/>
      <c r="RKF226" s="38"/>
      <c r="RKG226" s="39"/>
      <c r="RKH226" s="34"/>
      <c r="RKI226" s="34"/>
      <c r="RKJ226" s="34"/>
      <c r="RKK226" s="35"/>
      <c r="RKL226" s="35"/>
      <c r="RKM226" s="35"/>
      <c r="RKN226" s="35"/>
      <c r="RKO226" s="35"/>
      <c r="RKP226" s="34"/>
      <c r="RKQ226" s="34"/>
      <c r="RKR226" s="36"/>
      <c r="RKS226" s="36"/>
      <c r="RKT226" s="37"/>
      <c r="RKU226" s="37"/>
      <c r="RKV226" s="38"/>
      <c r="RKW226" s="38"/>
      <c r="RKX226" s="39"/>
      <c r="RKY226" s="34"/>
      <c r="RKZ226" s="34"/>
      <c r="RLA226" s="34"/>
      <c r="RLB226" s="35"/>
      <c r="RLC226" s="35"/>
      <c r="RLD226" s="35"/>
      <c r="RLE226" s="35"/>
      <c r="RLF226" s="35"/>
      <c r="RLG226" s="34"/>
      <c r="RLH226" s="34"/>
      <c r="RLI226" s="36"/>
      <c r="RLJ226" s="36"/>
      <c r="RLK226" s="37"/>
      <c r="RLL226" s="37"/>
      <c r="RLM226" s="38"/>
      <c r="RLN226" s="38"/>
      <c r="RLO226" s="39"/>
      <c r="RLP226" s="34"/>
      <c r="RLQ226" s="34"/>
      <c r="RLR226" s="34"/>
      <c r="RLS226" s="35"/>
      <c r="RLT226" s="35"/>
      <c r="RLU226" s="35"/>
      <c r="RLV226" s="35"/>
      <c r="RLW226" s="35"/>
      <c r="RLX226" s="34"/>
      <c r="RLY226" s="34"/>
      <c r="RLZ226" s="36"/>
      <c r="RMA226" s="36"/>
      <c r="RMB226" s="37"/>
      <c r="RMC226" s="37"/>
      <c r="RMD226" s="38"/>
      <c r="RME226" s="38"/>
      <c r="RMF226" s="39"/>
      <c r="RMG226" s="34"/>
      <c r="RMH226" s="34"/>
      <c r="RMI226" s="34"/>
      <c r="RMJ226" s="35"/>
      <c r="RMK226" s="35"/>
      <c r="RML226" s="35"/>
      <c r="RMM226" s="35"/>
      <c r="RMN226" s="35"/>
      <c r="RMO226" s="34"/>
      <c r="RMP226" s="34"/>
      <c r="RMQ226" s="36"/>
      <c r="RMR226" s="36"/>
      <c r="RMS226" s="37"/>
      <c r="RMT226" s="37"/>
      <c r="RMU226" s="38"/>
      <c r="RMV226" s="38"/>
      <c r="RMW226" s="39"/>
      <c r="RMX226" s="34"/>
      <c r="RMY226" s="34"/>
      <c r="RMZ226" s="34"/>
      <c r="RNA226" s="35"/>
      <c r="RNB226" s="35"/>
      <c r="RNC226" s="35"/>
      <c r="RND226" s="35"/>
      <c r="RNE226" s="35"/>
      <c r="RNF226" s="34"/>
      <c r="RNG226" s="34"/>
      <c r="RNH226" s="36"/>
      <c r="RNI226" s="36"/>
      <c r="RNJ226" s="37"/>
      <c r="RNK226" s="37"/>
      <c r="RNL226" s="38"/>
      <c r="RNM226" s="38"/>
      <c r="RNN226" s="39"/>
      <c r="RNO226" s="34"/>
      <c r="RNP226" s="34"/>
      <c r="RNQ226" s="34"/>
      <c r="RNR226" s="35"/>
      <c r="RNS226" s="35"/>
      <c r="RNT226" s="35"/>
      <c r="RNU226" s="35"/>
      <c r="RNV226" s="35"/>
      <c r="RNW226" s="34"/>
      <c r="RNX226" s="34"/>
      <c r="RNY226" s="36"/>
      <c r="RNZ226" s="36"/>
      <c r="ROA226" s="37"/>
      <c r="ROB226" s="37"/>
      <c r="ROC226" s="38"/>
      <c r="ROD226" s="38"/>
      <c r="ROE226" s="39"/>
      <c r="ROF226" s="34"/>
      <c r="ROG226" s="34"/>
      <c r="ROH226" s="34"/>
      <c r="ROI226" s="35"/>
      <c r="ROJ226" s="35"/>
      <c r="ROK226" s="35"/>
      <c r="ROL226" s="35"/>
      <c r="ROM226" s="35"/>
      <c r="RON226" s="34"/>
      <c r="ROO226" s="34"/>
      <c r="ROP226" s="36"/>
      <c r="ROQ226" s="36"/>
      <c r="ROR226" s="37"/>
      <c r="ROS226" s="37"/>
      <c r="ROT226" s="38"/>
      <c r="ROU226" s="38"/>
      <c r="ROV226" s="39"/>
      <c r="ROW226" s="34"/>
      <c r="ROX226" s="34"/>
      <c r="ROY226" s="34"/>
      <c r="ROZ226" s="35"/>
      <c r="RPA226" s="35"/>
      <c r="RPB226" s="35"/>
      <c r="RPC226" s="35"/>
      <c r="RPD226" s="35"/>
      <c r="RPE226" s="34"/>
      <c r="RPF226" s="34"/>
      <c r="RPG226" s="36"/>
      <c r="RPH226" s="36"/>
      <c r="RPI226" s="37"/>
      <c r="RPJ226" s="37"/>
      <c r="RPK226" s="38"/>
      <c r="RPL226" s="38"/>
      <c r="RPM226" s="39"/>
      <c r="RPN226" s="34"/>
      <c r="RPO226" s="34"/>
      <c r="RPP226" s="34"/>
      <c r="RPQ226" s="35"/>
      <c r="RPR226" s="35"/>
      <c r="RPS226" s="35"/>
      <c r="RPT226" s="35"/>
      <c r="RPU226" s="35"/>
      <c r="RPV226" s="34"/>
      <c r="RPW226" s="34"/>
      <c r="RPX226" s="36"/>
      <c r="RPY226" s="36"/>
      <c r="RPZ226" s="37"/>
      <c r="RQA226" s="37"/>
      <c r="RQB226" s="38"/>
      <c r="RQC226" s="38"/>
      <c r="RQD226" s="39"/>
      <c r="RQE226" s="34"/>
      <c r="RQF226" s="34"/>
      <c r="RQG226" s="34"/>
      <c r="RQH226" s="35"/>
      <c r="RQI226" s="35"/>
      <c r="RQJ226" s="35"/>
      <c r="RQK226" s="35"/>
      <c r="RQL226" s="35"/>
      <c r="RQM226" s="34"/>
      <c r="RQN226" s="34"/>
      <c r="RQO226" s="36"/>
      <c r="RQP226" s="36"/>
      <c r="RQQ226" s="37"/>
      <c r="RQR226" s="37"/>
      <c r="RQS226" s="38"/>
      <c r="RQT226" s="38"/>
      <c r="RQU226" s="39"/>
      <c r="RQV226" s="34"/>
      <c r="RQW226" s="34"/>
      <c r="RQX226" s="34"/>
      <c r="RQY226" s="35"/>
      <c r="RQZ226" s="35"/>
      <c r="RRA226" s="35"/>
      <c r="RRB226" s="35"/>
      <c r="RRC226" s="35"/>
      <c r="RRD226" s="34"/>
      <c r="RRE226" s="34"/>
      <c r="RRF226" s="36"/>
      <c r="RRG226" s="36"/>
      <c r="RRH226" s="37"/>
      <c r="RRI226" s="37"/>
      <c r="RRJ226" s="38"/>
      <c r="RRK226" s="38"/>
      <c r="RRL226" s="39"/>
      <c r="RRM226" s="34"/>
      <c r="RRN226" s="34"/>
      <c r="RRO226" s="34"/>
      <c r="RRP226" s="35"/>
      <c r="RRQ226" s="35"/>
      <c r="RRR226" s="35"/>
      <c r="RRS226" s="35"/>
      <c r="RRT226" s="35"/>
      <c r="RRU226" s="34"/>
      <c r="RRV226" s="34"/>
      <c r="RRW226" s="36"/>
      <c r="RRX226" s="36"/>
      <c r="RRY226" s="37"/>
      <c r="RRZ226" s="37"/>
      <c r="RSA226" s="38"/>
      <c r="RSB226" s="38"/>
      <c r="RSC226" s="39"/>
      <c r="RSD226" s="34"/>
      <c r="RSE226" s="34"/>
      <c r="RSF226" s="34"/>
      <c r="RSG226" s="35"/>
      <c r="RSH226" s="35"/>
      <c r="RSI226" s="35"/>
      <c r="RSJ226" s="35"/>
      <c r="RSK226" s="35"/>
      <c r="RSL226" s="34"/>
      <c r="RSM226" s="34"/>
      <c r="RSN226" s="36"/>
      <c r="RSO226" s="36"/>
      <c r="RSP226" s="37"/>
      <c r="RSQ226" s="37"/>
      <c r="RSR226" s="38"/>
      <c r="RSS226" s="38"/>
      <c r="RST226" s="39"/>
      <c r="RSU226" s="34"/>
      <c r="RSV226" s="34"/>
      <c r="RSW226" s="34"/>
      <c r="RSX226" s="35"/>
      <c r="RSY226" s="35"/>
      <c r="RSZ226" s="35"/>
      <c r="RTA226" s="35"/>
      <c r="RTB226" s="35"/>
      <c r="RTC226" s="34"/>
      <c r="RTD226" s="34"/>
      <c r="RTE226" s="36"/>
      <c r="RTF226" s="36"/>
      <c r="RTG226" s="37"/>
      <c r="RTH226" s="37"/>
      <c r="RTI226" s="38"/>
      <c r="RTJ226" s="38"/>
      <c r="RTK226" s="39"/>
      <c r="RTL226" s="34"/>
      <c r="RTM226" s="34"/>
      <c r="RTN226" s="34"/>
      <c r="RTO226" s="35"/>
      <c r="RTP226" s="35"/>
      <c r="RTQ226" s="35"/>
      <c r="RTR226" s="35"/>
      <c r="RTS226" s="35"/>
      <c r="RTT226" s="34"/>
      <c r="RTU226" s="34"/>
      <c r="RTV226" s="36"/>
      <c r="RTW226" s="36"/>
      <c r="RTX226" s="37"/>
      <c r="RTY226" s="37"/>
      <c r="RTZ226" s="38"/>
      <c r="RUA226" s="38"/>
      <c r="RUB226" s="39"/>
      <c r="RUC226" s="34"/>
      <c r="RUD226" s="34"/>
      <c r="RUE226" s="34"/>
      <c r="RUF226" s="35"/>
      <c r="RUG226" s="35"/>
      <c r="RUH226" s="35"/>
      <c r="RUI226" s="35"/>
      <c r="RUJ226" s="35"/>
      <c r="RUK226" s="34"/>
      <c r="RUL226" s="34"/>
      <c r="RUM226" s="36"/>
      <c r="RUN226" s="36"/>
      <c r="RUO226" s="37"/>
      <c r="RUP226" s="37"/>
      <c r="RUQ226" s="38"/>
      <c r="RUR226" s="38"/>
      <c r="RUS226" s="39"/>
      <c r="RUT226" s="34"/>
      <c r="RUU226" s="34"/>
      <c r="RUV226" s="34"/>
      <c r="RUW226" s="35"/>
      <c r="RUX226" s="35"/>
      <c r="RUY226" s="35"/>
      <c r="RUZ226" s="35"/>
      <c r="RVA226" s="35"/>
      <c r="RVB226" s="34"/>
      <c r="RVC226" s="34"/>
      <c r="RVD226" s="36"/>
      <c r="RVE226" s="36"/>
      <c r="RVF226" s="37"/>
      <c r="RVG226" s="37"/>
      <c r="RVH226" s="38"/>
      <c r="RVI226" s="38"/>
      <c r="RVJ226" s="39"/>
      <c r="RVK226" s="34"/>
      <c r="RVL226" s="34"/>
      <c r="RVM226" s="34"/>
      <c r="RVN226" s="35"/>
      <c r="RVO226" s="35"/>
      <c r="RVP226" s="35"/>
      <c r="RVQ226" s="35"/>
      <c r="RVR226" s="35"/>
      <c r="RVS226" s="34"/>
      <c r="RVT226" s="34"/>
      <c r="RVU226" s="36"/>
      <c r="RVV226" s="36"/>
      <c r="RVW226" s="37"/>
      <c r="RVX226" s="37"/>
      <c r="RVY226" s="38"/>
      <c r="RVZ226" s="38"/>
      <c r="RWA226" s="39"/>
      <c r="RWB226" s="34"/>
      <c r="RWC226" s="34"/>
      <c r="RWD226" s="34"/>
      <c r="RWE226" s="35"/>
      <c r="RWF226" s="35"/>
      <c r="RWG226" s="35"/>
      <c r="RWH226" s="35"/>
      <c r="RWI226" s="35"/>
      <c r="RWJ226" s="34"/>
      <c r="RWK226" s="34"/>
      <c r="RWL226" s="36"/>
      <c r="RWM226" s="36"/>
      <c r="RWN226" s="37"/>
      <c r="RWO226" s="37"/>
      <c r="RWP226" s="38"/>
      <c r="RWQ226" s="38"/>
      <c r="RWR226" s="39"/>
      <c r="RWS226" s="34"/>
      <c r="RWT226" s="34"/>
      <c r="RWU226" s="34"/>
      <c r="RWV226" s="35"/>
      <c r="RWW226" s="35"/>
      <c r="RWX226" s="35"/>
      <c r="RWY226" s="35"/>
      <c r="RWZ226" s="35"/>
      <c r="RXA226" s="34"/>
      <c r="RXB226" s="34"/>
      <c r="RXC226" s="36"/>
      <c r="RXD226" s="36"/>
      <c r="RXE226" s="37"/>
      <c r="RXF226" s="37"/>
      <c r="RXG226" s="38"/>
      <c r="RXH226" s="38"/>
      <c r="RXI226" s="39"/>
      <c r="RXJ226" s="34"/>
      <c r="RXK226" s="34"/>
      <c r="RXL226" s="34"/>
      <c r="RXM226" s="35"/>
      <c r="RXN226" s="35"/>
      <c r="RXO226" s="35"/>
      <c r="RXP226" s="35"/>
      <c r="RXQ226" s="35"/>
      <c r="RXR226" s="34"/>
      <c r="RXS226" s="34"/>
      <c r="RXT226" s="36"/>
      <c r="RXU226" s="36"/>
      <c r="RXV226" s="37"/>
      <c r="RXW226" s="37"/>
      <c r="RXX226" s="38"/>
      <c r="RXY226" s="38"/>
      <c r="RXZ226" s="39"/>
      <c r="RYA226" s="34"/>
      <c r="RYB226" s="34"/>
      <c r="RYC226" s="34"/>
      <c r="RYD226" s="35"/>
      <c r="RYE226" s="35"/>
      <c r="RYF226" s="35"/>
      <c r="RYG226" s="35"/>
      <c r="RYH226" s="35"/>
      <c r="RYI226" s="34"/>
      <c r="RYJ226" s="34"/>
      <c r="RYK226" s="36"/>
      <c r="RYL226" s="36"/>
      <c r="RYM226" s="37"/>
      <c r="RYN226" s="37"/>
      <c r="RYO226" s="38"/>
      <c r="RYP226" s="38"/>
      <c r="RYQ226" s="39"/>
      <c r="RYR226" s="34"/>
      <c r="RYS226" s="34"/>
      <c r="RYT226" s="34"/>
      <c r="RYU226" s="35"/>
      <c r="RYV226" s="35"/>
      <c r="RYW226" s="35"/>
      <c r="RYX226" s="35"/>
      <c r="RYY226" s="35"/>
      <c r="RYZ226" s="34"/>
      <c r="RZA226" s="34"/>
      <c r="RZB226" s="36"/>
      <c r="RZC226" s="36"/>
      <c r="RZD226" s="37"/>
      <c r="RZE226" s="37"/>
      <c r="RZF226" s="38"/>
      <c r="RZG226" s="38"/>
      <c r="RZH226" s="39"/>
      <c r="RZI226" s="34"/>
      <c r="RZJ226" s="34"/>
      <c r="RZK226" s="34"/>
      <c r="RZL226" s="35"/>
      <c r="RZM226" s="35"/>
      <c r="RZN226" s="35"/>
      <c r="RZO226" s="35"/>
      <c r="RZP226" s="35"/>
      <c r="RZQ226" s="34"/>
      <c r="RZR226" s="34"/>
      <c r="RZS226" s="36"/>
      <c r="RZT226" s="36"/>
      <c r="RZU226" s="37"/>
      <c r="RZV226" s="37"/>
      <c r="RZW226" s="38"/>
      <c r="RZX226" s="38"/>
      <c r="RZY226" s="39"/>
      <c r="RZZ226" s="34"/>
      <c r="SAA226" s="34"/>
      <c r="SAB226" s="34"/>
      <c r="SAC226" s="35"/>
      <c r="SAD226" s="35"/>
      <c r="SAE226" s="35"/>
      <c r="SAF226" s="35"/>
      <c r="SAG226" s="35"/>
      <c r="SAH226" s="34"/>
      <c r="SAI226" s="34"/>
      <c r="SAJ226" s="36"/>
      <c r="SAK226" s="36"/>
      <c r="SAL226" s="37"/>
      <c r="SAM226" s="37"/>
      <c r="SAN226" s="38"/>
      <c r="SAO226" s="38"/>
      <c r="SAP226" s="39"/>
      <c r="SAQ226" s="34"/>
      <c r="SAR226" s="34"/>
      <c r="SAS226" s="34"/>
      <c r="SAT226" s="35"/>
      <c r="SAU226" s="35"/>
      <c r="SAV226" s="35"/>
      <c r="SAW226" s="35"/>
      <c r="SAX226" s="35"/>
      <c r="SAY226" s="34"/>
      <c r="SAZ226" s="34"/>
      <c r="SBA226" s="36"/>
      <c r="SBB226" s="36"/>
      <c r="SBC226" s="37"/>
      <c r="SBD226" s="37"/>
      <c r="SBE226" s="38"/>
      <c r="SBF226" s="38"/>
      <c r="SBG226" s="39"/>
      <c r="SBH226" s="34"/>
      <c r="SBI226" s="34"/>
      <c r="SBJ226" s="34"/>
      <c r="SBK226" s="35"/>
      <c r="SBL226" s="35"/>
      <c r="SBM226" s="35"/>
      <c r="SBN226" s="35"/>
      <c r="SBO226" s="35"/>
      <c r="SBP226" s="34"/>
      <c r="SBQ226" s="34"/>
      <c r="SBR226" s="36"/>
      <c r="SBS226" s="36"/>
      <c r="SBT226" s="37"/>
      <c r="SBU226" s="37"/>
      <c r="SBV226" s="38"/>
      <c r="SBW226" s="38"/>
      <c r="SBX226" s="39"/>
      <c r="SBY226" s="34"/>
      <c r="SBZ226" s="34"/>
      <c r="SCA226" s="34"/>
      <c r="SCB226" s="35"/>
      <c r="SCC226" s="35"/>
      <c r="SCD226" s="35"/>
      <c r="SCE226" s="35"/>
      <c r="SCF226" s="35"/>
      <c r="SCG226" s="34"/>
      <c r="SCH226" s="34"/>
      <c r="SCI226" s="36"/>
      <c r="SCJ226" s="36"/>
      <c r="SCK226" s="37"/>
      <c r="SCL226" s="37"/>
      <c r="SCM226" s="38"/>
      <c r="SCN226" s="38"/>
      <c r="SCO226" s="39"/>
      <c r="SCP226" s="34"/>
      <c r="SCQ226" s="34"/>
      <c r="SCR226" s="34"/>
      <c r="SCS226" s="35"/>
      <c r="SCT226" s="35"/>
      <c r="SCU226" s="35"/>
      <c r="SCV226" s="35"/>
      <c r="SCW226" s="35"/>
      <c r="SCX226" s="34"/>
      <c r="SCY226" s="34"/>
      <c r="SCZ226" s="36"/>
      <c r="SDA226" s="36"/>
      <c r="SDB226" s="37"/>
      <c r="SDC226" s="37"/>
      <c r="SDD226" s="38"/>
      <c r="SDE226" s="38"/>
      <c r="SDF226" s="39"/>
      <c r="SDG226" s="34"/>
      <c r="SDH226" s="34"/>
      <c r="SDI226" s="34"/>
      <c r="SDJ226" s="35"/>
      <c r="SDK226" s="35"/>
      <c r="SDL226" s="35"/>
      <c r="SDM226" s="35"/>
      <c r="SDN226" s="35"/>
      <c r="SDO226" s="34"/>
      <c r="SDP226" s="34"/>
      <c r="SDQ226" s="36"/>
      <c r="SDR226" s="36"/>
      <c r="SDS226" s="37"/>
      <c r="SDT226" s="37"/>
      <c r="SDU226" s="38"/>
      <c r="SDV226" s="38"/>
      <c r="SDW226" s="39"/>
      <c r="SDX226" s="34"/>
      <c r="SDY226" s="34"/>
      <c r="SDZ226" s="34"/>
      <c r="SEA226" s="35"/>
      <c r="SEB226" s="35"/>
      <c r="SEC226" s="35"/>
      <c r="SED226" s="35"/>
      <c r="SEE226" s="35"/>
      <c r="SEF226" s="34"/>
      <c r="SEG226" s="34"/>
      <c r="SEH226" s="36"/>
      <c r="SEI226" s="36"/>
      <c r="SEJ226" s="37"/>
      <c r="SEK226" s="37"/>
      <c r="SEL226" s="38"/>
      <c r="SEM226" s="38"/>
      <c r="SEN226" s="39"/>
      <c r="SEO226" s="34"/>
      <c r="SEP226" s="34"/>
      <c r="SEQ226" s="34"/>
      <c r="SER226" s="35"/>
      <c r="SES226" s="35"/>
      <c r="SET226" s="35"/>
      <c r="SEU226" s="35"/>
      <c r="SEV226" s="35"/>
      <c r="SEW226" s="34"/>
      <c r="SEX226" s="34"/>
      <c r="SEY226" s="36"/>
      <c r="SEZ226" s="36"/>
      <c r="SFA226" s="37"/>
      <c r="SFB226" s="37"/>
      <c r="SFC226" s="38"/>
      <c r="SFD226" s="38"/>
      <c r="SFE226" s="39"/>
      <c r="SFF226" s="34"/>
      <c r="SFG226" s="34"/>
      <c r="SFH226" s="34"/>
      <c r="SFI226" s="35"/>
      <c r="SFJ226" s="35"/>
      <c r="SFK226" s="35"/>
      <c r="SFL226" s="35"/>
      <c r="SFM226" s="35"/>
      <c r="SFN226" s="34"/>
      <c r="SFO226" s="34"/>
      <c r="SFP226" s="36"/>
      <c r="SFQ226" s="36"/>
      <c r="SFR226" s="37"/>
      <c r="SFS226" s="37"/>
      <c r="SFT226" s="38"/>
      <c r="SFU226" s="38"/>
      <c r="SFV226" s="39"/>
      <c r="SFW226" s="34"/>
      <c r="SFX226" s="34"/>
      <c r="SFY226" s="34"/>
      <c r="SFZ226" s="35"/>
      <c r="SGA226" s="35"/>
      <c r="SGB226" s="35"/>
      <c r="SGC226" s="35"/>
      <c r="SGD226" s="35"/>
      <c r="SGE226" s="34"/>
      <c r="SGF226" s="34"/>
      <c r="SGG226" s="36"/>
      <c r="SGH226" s="36"/>
      <c r="SGI226" s="37"/>
      <c r="SGJ226" s="37"/>
      <c r="SGK226" s="38"/>
      <c r="SGL226" s="38"/>
      <c r="SGM226" s="39"/>
      <c r="SGN226" s="34"/>
      <c r="SGO226" s="34"/>
      <c r="SGP226" s="34"/>
      <c r="SGQ226" s="35"/>
      <c r="SGR226" s="35"/>
      <c r="SGS226" s="35"/>
      <c r="SGT226" s="35"/>
      <c r="SGU226" s="35"/>
      <c r="SGV226" s="34"/>
      <c r="SGW226" s="34"/>
      <c r="SGX226" s="36"/>
      <c r="SGY226" s="36"/>
      <c r="SGZ226" s="37"/>
      <c r="SHA226" s="37"/>
      <c r="SHB226" s="38"/>
      <c r="SHC226" s="38"/>
      <c r="SHD226" s="39"/>
      <c r="SHE226" s="34"/>
      <c r="SHF226" s="34"/>
      <c r="SHG226" s="34"/>
      <c r="SHH226" s="35"/>
      <c r="SHI226" s="35"/>
      <c r="SHJ226" s="35"/>
      <c r="SHK226" s="35"/>
      <c r="SHL226" s="35"/>
      <c r="SHM226" s="34"/>
      <c r="SHN226" s="34"/>
      <c r="SHO226" s="36"/>
      <c r="SHP226" s="36"/>
      <c r="SHQ226" s="37"/>
      <c r="SHR226" s="37"/>
      <c r="SHS226" s="38"/>
      <c r="SHT226" s="38"/>
      <c r="SHU226" s="39"/>
      <c r="SHV226" s="34"/>
      <c r="SHW226" s="34"/>
      <c r="SHX226" s="34"/>
      <c r="SHY226" s="35"/>
      <c r="SHZ226" s="35"/>
      <c r="SIA226" s="35"/>
      <c r="SIB226" s="35"/>
      <c r="SIC226" s="35"/>
      <c r="SID226" s="34"/>
      <c r="SIE226" s="34"/>
      <c r="SIF226" s="36"/>
      <c r="SIG226" s="36"/>
      <c r="SIH226" s="37"/>
      <c r="SII226" s="37"/>
      <c r="SIJ226" s="38"/>
      <c r="SIK226" s="38"/>
      <c r="SIL226" s="39"/>
      <c r="SIM226" s="34"/>
      <c r="SIN226" s="34"/>
      <c r="SIO226" s="34"/>
      <c r="SIP226" s="35"/>
      <c r="SIQ226" s="35"/>
      <c r="SIR226" s="35"/>
      <c r="SIS226" s="35"/>
      <c r="SIT226" s="35"/>
      <c r="SIU226" s="34"/>
      <c r="SIV226" s="34"/>
      <c r="SIW226" s="36"/>
      <c r="SIX226" s="36"/>
      <c r="SIY226" s="37"/>
      <c r="SIZ226" s="37"/>
      <c r="SJA226" s="38"/>
      <c r="SJB226" s="38"/>
      <c r="SJC226" s="39"/>
      <c r="SJD226" s="34"/>
      <c r="SJE226" s="34"/>
      <c r="SJF226" s="34"/>
      <c r="SJG226" s="35"/>
      <c r="SJH226" s="35"/>
      <c r="SJI226" s="35"/>
      <c r="SJJ226" s="35"/>
      <c r="SJK226" s="35"/>
      <c r="SJL226" s="34"/>
      <c r="SJM226" s="34"/>
      <c r="SJN226" s="36"/>
      <c r="SJO226" s="36"/>
      <c r="SJP226" s="37"/>
      <c r="SJQ226" s="37"/>
      <c r="SJR226" s="38"/>
      <c r="SJS226" s="38"/>
      <c r="SJT226" s="39"/>
      <c r="SJU226" s="34"/>
      <c r="SJV226" s="34"/>
      <c r="SJW226" s="34"/>
      <c r="SJX226" s="35"/>
      <c r="SJY226" s="35"/>
      <c r="SJZ226" s="35"/>
      <c r="SKA226" s="35"/>
      <c r="SKB226" s="35"/>
      <c r="SKC226" s="34"/>
      <c r="SKD226" s="34"/>
      <c r="SKE226" s="36"/>
      <c r="SKF226" s="36"/>
      <c r="SKG226" s="37"/>
      <c r="SKH226" s="37"/>
      <c r="SKI226" s="38"/>
      <c r="SKJ226" s="38"/>
      <c r="SKK226" s="39"/>
      <c r="SKL226" s="34"/>
      <c r="SKM226" s="34"/>
      <c r="SKN226" s="34"/>
      <c r="SKO226" s="35"/>
      <c r="SKP226" s="35"/>
      <c r="SKQ226" s="35"/>
      <c r="SKR226" s="35"/>
      <c r="SKS226" s="35"/>
      <c r="SKT226" s="34"/>
      <c r="SKU226" s="34"/>
      <c r="SKV226" s="36"/>
      <c r="SKW226" s="36"/>
      <c r="SKX226" s="37"/>
      <c r="SKY226" s="37"/>
      <c r="SKZ226" s="38"/>
      <c r="SLA226" s="38"/>
      <c r="SLB226" s="39"/>
      <c r="SLC226" s="34"/>
      <c r="SLD226" s="34"/>
      <c r="SLE226" s="34"/>
      <c r="SLF226" s="35"/>
      <c r="SLG226" s="35"/>
      <c r="SLH226" s="35"/>
      <c r="SLI226" s="35"/>
      <c r="SLJ226" s="35"/>
      <c r="SLK226" s="34"/>
      <c r="SLL226" s="34"/>
      <c r="SLM226" s="36"/>
      <c r="SLN226" s="36"/>
      <c r="SLO226" s="37"/>
      <c r="SLP226" s="37"/>
      <c r="SLQ226" s="38"/>
      <c r="SLR226" s="38"/>
      <c r="SLS226" s="39"/>
      <c r="SLT226" s="34"/>
      <c r="SLU226" s="34"/>
      <c r="SLV226" s="34"/>
      <c r="SLW226" s="35"/>
      <c r="SLX226" s="35"/>
      <c r="SLY226" s="35"/>
      <c r="SLZ226" s="35"/>
      <c r="SMA226" s="35"/>
      <c r="SMB226" s="34"/>
      <c r="SMC226" s="34"/>
      <c r="SMD226" s="36"/>
      <c r="SME226" s="36"/>
      <c r="SMF226" s="37"/>
      <c r="SMG226" s="37"/>
      <c r="SMH226" s="38"/>
      <c r="SMI226" s="38"/>
      <c r="SMJ226" s="39"/>
      <c r="SMK226" s="34"/>
      <c r="SML226" s="34"/>
      <c r="SMM226" s="34"/>
      <c r="SMN226" s="35"/>
      <c r="SMO226" s="35"/>
      <c r="SMP226" s="35"/>
      <c r="SMQ226" s="35"/>
      <c r="SMR226" s="35"/>
      <c r="SMS226" s="34"/>
      <c r="SMT226" s="34"/>
      <c r="SMU226" s="36"/>
      <c r="SMV226" s="36"/>
      <c r="SMW226" s="37"/>
      <c r="SMX226" s="37"/>
      <c r="SMY226" s="38"/>
      <c r="SMZ226" s="38"/>
      <c r="SNA226" s="39"/>
      <c r="SNB226" s="34"/>
      <c r="SNC226" s="34"/>
      <c r="SND226" s="34"/>
      <c r="SNE226" s="35"/>
      <c r="SNF226" s="35"/>
      <c r="SNG226" s="35"/>
      <c r="SNH226" s="35"/>
      <c r="SNI226" s="35"/>
      <c r="SNJ226" s="34"/>
      <c r="SNK226" s="34"/>
      <c r="SNL226" s="36"/>
      <c r="SNM226" s="36"/>
      <c r="SNN226" s="37"/>
      <c r="SNO226" s="37"/>
      <c r="SNP226" s="38"/>
      <c r="SNQ226" s="38"/>
      <c r="SNR226" s="39"/>
      <c r="SNS226" s="34"/>
      <c r="SNT226" s="34"/>
      <c r="SNU226" s="34"/>
      <c r="SNV226" s="35"/>
      <c r="SNW226" s="35"/>
      <c r="SNX226" s="35"/>
      <c r="SNY226" s="35"/>
      <c r="SNZ226" s="35"/>
      <c r="SOA226" s="34"/>
      <c r="SOB226" s="34"/>
      <c r="SOC226" s="36"/>
      <c r="SOD226" s="36"/>
      <c r="SOE226" s="37"/>
      <c r="SOF226" s="37"/>
      <c r="SOG226" s="38"/>
      <c r="SOH226" s="38"/>
      <c r="SOI226" s="39"/>
      <c r="SOJ226" s="34"/>
      <c r="SOK226" s="34"/>
      <c r="SOL226" s="34"/>
      <c r="SOM226" s="35"/>
      <c r="SON226" s="35"/>
      <c r="SOO226" s="35"/>
      <c r="SOP226" s="35"/>
      <c r="SOQ226" s="35"/>
      <c r="SOR226" s="34"/>
      <c r="SOS226" s="34"/>
      <c r="SOT226" s="36"/>
      <c r="SOU226" s="36"/>
      <c r="SOV226" s="37"/>
      <c r="SOW226" s="37"/>
      <c r="SOX226" s="38"/>
      <c r="SOY226" s="38"/>
      <c r="SOZ226" s="39"/>
      <c r="SPA226" s="34"/>
      <c r="SPB226" s="34"/>
      <c r="SPC226" s="34"/>
      <c r="SPD226" s="35"/>
      <c r="SPE226" s="35"/>
      <c r="SPF226" s="35"/>
      <c r="SPG226" s="35"/>
      <c r="SPH226" s="35"/>
      <c r="SPI226" s="34"/>
      <c r="SPJ226" s="34"/>
      <c r="SPK226" s="36"/>
      <c r="SPL226" s="36"/>
      <c r="SPM226" s="37"/>
      <c r="SPN226" s="37"/>
      <c r="SPO226" s="38"/>
      <c r="SPP226" s="38"/>
      <c r="SPQ226" s="39"/>
      <c r="SPR226" s="34"/>
      <c r="SPS226" s="34"/>
      <c r="SPT226" s="34"/>
      <c r="SPU226" s="35"/>
      <c r="SPV226" s="35"/>
      <c r="SPW226" s="35"/>
      <c r="SPX226" s="35"/>
      <c r="SPY226" s="35"/>
      <c r="SPZ226" s="34"/>
      <c r="SQA226" s="34"/>
      <c r="SQB226" s="36"/>
      <c r="SQC226" s="36"/>
      <c r="SQD226" s="37"/>
      <c r="SQE226" s="37"/>
      <c r="SQF226" s="38"/>
      <c r="SQG226" s="38"/>
      <c r="SQH226" s="39"/>
      <c r="SQI226" s="34"/>
      <c r="SQJ226" s="34"/>
      <c r="SQK226" s="34"/>
      <c r="SQL226" s="35"/>
      <c r="SQM226" s="35"/>
      <c r="SQN226" s="35"/>
      <c r="SQO226" s="35"/>
      <c r="SQP226" s="35"/>
      <c r="SQQ226" s="34"/>
      <c r="SQR226" s="34"/>
      <c r="SQS226" s="36"/>
      <c r="SQT226" s="36"/>
      <c r="SQU226" s="37"/>
      <c r="SQV226" s="37"/>
      <c r="SQW226" s="38"/>
      <c r="SQX226" s="38"/>
      <c r="SQY226" s="39"/>
      <c r="SQZ226" s="34"/>
      <c r="SRA226" s="34"/>
      <c r="SRB226" s="34"/>
      <c r="SRC226" s="35"/>
      <c r="SRD226" s="35"/>
      <c r="SRE226" s="35"/>
      <c r="SRF226" s="35"/>
      <c r="SRG226" s="35"/>
      <c r="SRH226" s="34"/>
      <c r="SRI226" s="34"/>
      <c r="SRJ226" s="36"/>
      <c r="SRK226" s="36"/>
      <c r="SRL226" s="37"/>
      <c r="SRM226" s="37"/>
      <c r="SRN226" s="38"/>
      <c r="SRO226" s="38"/>
      <c r="SRP226" s="39"/>
      <c r="SRQ226" s="34"/>
      <c r="SRR226" s="34"/>
      <c r="SRS226" s="34"/>
      <c r="SRT226" s="35"/>
      <c r="SRU226" s="35"/>
      <c r="SRV226" s="35"/>
      <c r="SRW226" s="35"/>
      <c r="SRX226" s="35"/>
      <c r="SRY226" s="34"/>
      <c r="SRZ226" s="34"/>
      <c r="SSA226" s="36"/>
      <c r="SSB226" s="36"/>
      <c r="SSC226" s="37"/>
      <c r="SSD226" s="37"/>
      <c r="SSE226" s="38"/>
      <c r="SSF226" s="38"/>
      <c r="SSG226" s="39"/>
      <c r="SSH226" s="34"/>
      <c r="SSI226" s="34"/>
      <c r="SSJ226" s="34"/>
      <c r="SSK226" s="35"/>
      <c r="SSL226" s="35"/>
      <c r="SSM226" s="35"/>
      <c r="SSN226" s="35"/>
      <c r="SSO226" s="35"/>
      <c r="SSP226" s="34"/>
      <c r="SSQ226" s="34"/>
      <c r="SSR226" s="36"/>
      <c r="SSS226" s="36"/>
      <c r="SST226" s="37"/>
      <c r="SSU226" s="37"/>
      <c r="SSV226" s="38"/>
      <c r="SSW226" s="38"/>
      <c r="SSX226" s="39"/>
      <c r="SSY226" s="34"/>
      <c r="SSZ226" s="34"/>
      <c r="STA226" s="34"/>
      <c r="STB226" s="35"/>
      <c r="STC226" s="35"/>
      <c r="STD226" s="35"/>
      <c r="STE226" s="35"/>
      <c r="STF226" s="35"/>
      <c r="STG226" s="34"/>
      <c r="STH226" s="34"/>
      <c r="STI226" s="36"/>
      <c r="STJ226" s="36"/>
      <c r="STK226" s="37"/>
      <c r="STL226" s="37"/>
      <c r="STM226" s="38"/>
      <c r="STN226" s="38"/>
      <c r="STO226" s="39"/>
      <c r="STP226" s="34"/>
      <c r="STQ226" s="34"/>
      <c r="STR226" s="34"/>
      <c r="STS226" s="35"/>
      <c r="STT226" s="35"/>
      <c r="STU226" s="35"/>
      <c r="STV226" s="35"/>
      <c r="STW226" s="35"/>
      <c r="STX226" s="34"/>
      <c r="STY226" s="34"/>
      <c r="STZ226" s="36"/>
      <c r="SUA226" s="36"/>
      <c r="SUB226" s="37"/>
      <c r="SUC226" s="37"/>
      <c r="SUD226" s="38"/>
      <c r="SUE226" s="38"/>
      <c r="SUF226" s="39"/>
      <c r="SUG226" s="34"/>
      <c r="SUH226" s="34"/>
      <c r="SUI226" s="34"/>
      <c r="SUJ226" s="35"/>
      <c r="SUK226" s="35"/>
      <c r="SUL226" s="35"/>
      <c r="SUM226" s="35"/>
      <c r="SUN226" s="35"/>
      <c r="SUO226" s="34"/>
      <c r="SUP226" s="34"/>
      <c r="SUQ226" s="36"/>
      <c r="SUR226" s="36"/>
      <c r="SUS226" s="37"/>
      <c r="SUT226" s="37"/>
      <c r="SUU226" s="38"/>
      <c r="SUV226" s="38"/>
      <c r="SUW226" s="39"/>
      <c r="SUX226" s="34"/>
      <c r="SUY226" s="34"/>
      <c r="SUZ226" s="34"/>
      <c r="SVA226" s="35"/>
      <c r="SVB226" s="35"/>
      <c r="SVC226" s="35"/>
      <c r="SVD226" s="35"/>
      <c r="SVE226" s="35"/>
      <c r="SVF226" s="34"/>
      <c r="SVG226" s="34"/>
      <c r="SVH226" s="36"/>
      <c r="SVI226" s="36"/>
      <c r="SVJ226" s="37"/>
      <c r="SVK226" s="37"/>
      <c r="SVL226" s="38"/>
      <c r="SVM226" s="38"/>
      <c r="SVN226" s="39"/>
      <c r="SVO226" s="34"/>
      <c r="SVP226" s="34"/>
      <c r="SVQ226" s="34"/>
      <c r="SVR226" s="35"/>
      <c r="SVS226" s="35"/>
      <c r="SVT226" s="35"/>
      <c r="SVU226" s="35"/>
      <c r="SVV226" s="35"/>
      <c r="SVW226" s="34"/>
      <c r="SVX226" s="34"/>
      <c r="SVY226" s="36"/>
      <c r="SVZ226" s="36"/>
      <c r="SWA226" s="37"/>
      <c r="SWB226" s="37"/>
      <c r="SWC226" s="38"/>
      <c r="SWD226" s="38"/>
      <c r="SWE226" s="39"/>
      <c r="SWF226" s="34"/>
      <c r="SWG226" s="34"/>
      <c r="SWH226" s="34"/>
      <c r="SWI226" s="35"/>
      <c r="SWJ226" s="35"/>
      <c r="SWK226" s="35"/>
      <c r="SWL226" s="35"/>
      <c r="SWM226" s="35"/>
      <c r="SWN226" s="34"/>
      <c r="SWO226" s="34"/>
      <c r="SWP226" s="36"/>
      <c r="SWQ226" s="36"/>
      <c r="SWR226" s="37"/>
      <c r="SWS226" s="37"/>
      <c r="SWT226" s="38"/>
      <c r="SWU226" s="38"/>
      <c r="SWV226" s="39"/>
      <c r="SWW226" s="34"/>
      <c r="SWX226" s="34"/>
      <c r="SWY226" s="34"/>
      <c r="SWZ226" s="35"/>
      <c r="SXA226" s="35"/>
      <c r="SXB226" s="35"/>
      <c r="SXC226" s="35"/>
      <c r="SXD226" s="35"/>
      <c r="SXE226" s="34"/>
      <c r="SXF226" s="34"/>
      <c r="SXG226" s="36"/>
      <c r="SXH226" s="36"/>
      <c r="SXI226" s="37"/>
      <c r="SXJ226" s="37"/>
      <c r="SXK226" s="38"/>
      <c r="SXL226" s="38"/>
      <c r="SXM226" s="39"/>
      <c r="SXN226" s="34"/>
      <c r="SXO226" s="34"/>
      <c r="SXP226" s="34"/>
      <c r="SXQ226" s="35"/>
      <c r="SXR226" s="35"/>
      <c r="SXS226" s="35"/>
      <c r="SXT226" s="35"/>
      <c r="SXU226" s="35"/>
      <c r="SXV226" s="34"/>
      <c r="SXW226" s="34"/>
      <c r="SXX226" s="36"/>
      <c r="SXY226" s="36"/>
      <c r="SXZ226" s="37"/>
      <c r="SYA226" s="37"/>
      <c r="SYB226" s="38"/>
      <c r="SYC226" s="38"/>
      <c r="SYD226" s="39"/>
      <c r="SYE226" s="34"/>
      <c r="SYF226" s="34"/>
      <c r="SYG226" s="34"/>
      <c r="SYH226" s="35"/>
      <c r="SYI226" s="35"/>
      <c r="SYJ226" s="35"/>
      <c r="SYK226" s="35"/>
      <c r="SYL226" s="35"/>
      <c r="SYM226" s="34"/>
      <c r="SYN226" s="34"/>
      <c r="SYO226" s="36"/>
      <c r="SYP226" s="36"/>
      <c r="SYQ226" s="37"/>
      <c r="SYR226" s="37"/>
      <c r="SYS226" s="38"/>
      <c r="SYT226" s="38"/>
      <c r="SYU226" s="39"/>
      <c r="SYV226" s="34"/>
      <c r="SYW226" s="34"/>
      <c r="SYX226" s="34"/>
      <c r="SYY226" s="35"/>
      <c r="SYZ226" s="35"/>
      <c r="SZA226" s="35"/>
      <c r="SZB226" s="35"/>
      <c r="SZC226" s="35"/>
      <c r="SZD226" s="34"/>
      <c r="SZE226" s="34"/>
      <c r="SZF226" s="36"/>
      <c r="SZG226" s="36"/>
      <c r="SZH226" s="37"/>
      <c r="SZI226" s="37"/>
      <c r="SZJ226" s="38"/>
      <c r="SZK226" s="38"/>
      <c r="SZL226" s="39"/>
      <c r="SZM226" s="34"/>
      <c r="SZN226" s="34"/>
      <c r="SZO226" s="34"/>
      <c r="SZP226" s="35"/>
      <c r="SZQ226" s="35"/>
      <c r="SZR226" s="35"/>
      <c r="SZS226" s="35"/>
      <c r="SZT226" s="35"/>
      <c r="SZU226" s="34"/>
      <c r="SZV226" s="34"/>
      <c r="SZW226" s="36"/>
      <c r="SZX226" s="36"/>
      <c r="SZY226" s="37"/>
      <c r="SZZ226" s="37"/>
      <c r="TAA226" s="38"/>
      <c r="TAB226" s="38"/>
      <c r="TAC226" s="39"/>
      <c r="TAD226" s="34"/>
      <c r="TAE226" s="34"/>
      <c r="TAF226" s="34"/>
      <c r="TAG226" s="35"/>
      <c r="TAH226" s="35"/>
      <c r="TAI226" s="35"/>
      <c r="TAJ226" s="35"/>
      <c r="TAK226" s="35"/>
      <c r="TAL226" s="34"/>
      <c r="TAM226" s="34"/>
      <c r="TAN226" s="36"/>
      <c r="TAO226" s="36"/>
      <c r="TAP226" s="37"/>
      <c r="TAQ226" s="37"/>
      <c r="TAR226" s="38"/>
      <c r="TAS226" s="38"/>
      <c r="TAT226" s="39"/>
      <c r="TAU226" s="34"/>
      <c r="TAV226" s="34"/>
      <c r="TAW226" s="34"/>
      <c r="TAX226" s="35"/>
      <c r="TAY226" s="35"/>
      <c r="TAZ226" s="35"/>
      <c r="TBA226" s="35"/>
      <c r="TBB226" s="35"/>
      <c r="TBC226" s="34"/>
      <c r="TBD226" s="34"/>
      <c r="TBE226" s="36"/>
      <c r="TBF226" s="36"/>
      <c r="TBG226" s="37"/>
      <c r="TBH226" s="37"/>
      <c r="TBI226" s="38"/>
      <c r="TBJ226" s="38"/>
      <c r="TBK226" s="39"/>
      <c r="TBL226" s="34"/>
      <c r="TBM226" s="34"/>
      <c r="TBN226" s="34"/>
      <c r="TBO226" s="35"/>
      <c r="TBP226" s="35"/>
      <c r="TBQ226" s="35"/>
      <c r="TBR226" s="35"/>
      <c r="TBS226" s="35"/>
      <c r="TBT226" s="34"/>
      <c r="TBU226" s="34"/>
      <c r="TBV226" s="36"/>
      <c r="TBW226" s="36"/>
      <c r="TBX226" s="37"/>
      <c r="TBY226" s="37"/>
      <c r="TBZ226" s="38"/>
      <c r="TCA226" s="38"/>
      <c r="TCB226" s="39"/>
      <c r="TCC226" s="34"/>
      <c r="TCD226" s="34"/>
      <c r="TCE226" s="34"/>
      <c r="TCF226" s="35"/>
      <c r="TCG226" s="35"/>
      <c r="TCH226" s="35"/>
      <c r="TCI226" s="35"/>
      <c r="TCJ226" s="35"/>
      <c r="TCK226" s="34"/>
      <c r="TCL226" s="34"/>
      <c r="TCM226" s="36"/>
      <c r="TCN226" s="36"/>
      <c r="TCO226" s="37"/>
      <c r="TCP226" s="37"/>
      <c r="TCQ226" s="38"/>
      <c r="TCR226" s="38"/>
      <c r="TCS226" s="39"/>
      <c r="TCT226" s="34"/>
      <c r="TCU226" s="34"/>
      <c r="TCV226" s="34"/>
      <c r="TCW226" s="35"/>
      <c r="TCX226" s="35"/>
      <c r="TCY226" s="35"/>
      <c r="TCZ226" s="35"/>
      <c r="TDA226" s="35"/>
      <c r="TDB226" s="34"/>
      <c r="TDC226" s="34"/>
      <c r="TDD226" s="36"/>
      <c r="TDE226" s="36"/>
      <c r="TDF226" s="37"/>
      <c r="TDG226" s="37"/>
      <c r="TDH226" s="38"/>
      <c r="TDI226" s="38"/>
      <c r="TDJ226" s="39"/>
      <c r="TDK226" s="34"/>
      <c r="TDL226" s="34"/>
      <c r="TDM226" s="34"/>
      <c r="TDN226" s="35"/>
      <c r="TDO226" s="35"/>
      <c r="TDP226" s="35"/>
      <c r="TDQ226" s="35"/>
      <c r="TDR226" s="35"/>
      <c r="TDS226" s="34"/>
      <c r="TDT226" s="34"/>
      <c r="TDU226" s="36"/>
      <c r="TDV226" s="36"/>
      <c r="TDW226" s="37"/>
      <c r="TDX226" s="37"/>
      <c r="TDY226" s="38"/>
      <c r="TDZ226" s="38"/>
      <c r="TEA226" s="39"/>
      <c r="TEB226" s="34"/>
      <c r="TEC226" s="34"/>
      <c r="TED226" s="34"/>
      <c r="TEE226" s="35"/>
      <c r="TEF226" s="35"/>
      <c r="TEG226" s="35"/>
      <c r="TEH226" s="35"/>
      <c r="TEI226" s="35"/>
      <c r="TEJ226" s="34"/>
      <c r="TEK226" s="34"/>
      <c r="TEL226" s="36"/>
      <c r="TEM226" s="36"/>
      <c r="TEN226" s="37"/>
      <c r="TEO226" s="37"/>
      <c r="TEP226" s="38"/>
      <c r="TEQ226" s="38"/>
      <c r="TER226" s="39"/>
      <c r="TES226" s="34"/>
      <c r="TET226" s="34"/>
      <c r="TEU226" s="34"/>
      <c r="TEV226" s="35"/>
      <c r="TEW226" s="35"/>
      <c r="TEX226" s="35"/>
      <c r="TEY226" s="35"/>
      <c r="TEZ226" s="35"/>
      <c r="TFA226" s="34"/>
      <c r="TFB226" s="34"/>
      <c r="TFC226" s="36"/>
      <c r="TFD226" s="36"/>
      <c r="TFE226" s="37"/>
      <c r="TFF226" s="37"/>
      <c r="TFG226" s="38"/>
      <c r="TFH226" s="38"/>
      <c r="TFI226" s="39"/>
      <c r="TFJ226" s="34"/>
      <c r="TFK226" s="34"/>
      <c r="TFL226" s="34"/>
      <c r="TFM226" s="35"/>
      <c r="TFN226" s="35"/>
      <c r="TFO226" s="35"/>
      <c r="TFP226" s="35"/>
      <c r="TFQ226" s="35"/>
      <c r="TFR226" s="34"/>
      <c r="TFS226" s="34"/>
      <c r="TFT226" s="36"/>
      <c r="TFU226" s="36"/>
      <c r="TFV226" s="37"/>
      <c r="TFW226" s="37"/>
      <c r="TFX226" s="38"/>
      <c r="TFY226" s="38"/>
      <c r="TFZ226" s="39"/>
      <c r="TGA226" s="34"/>
      <c r="TGB226" s="34"/>
      <c r="TGC226" s="34"/>
      <c r="TGD226" s="35"/>
      <c r="TGE226" s="35"/>
      <c r="TGF226" s="35"/>
      <c r="TGG226" s="35"/>
      <c r="TGH226" s="35"/>
      <c r="TGI226" s="34"/>
      <c r="TGJ226" s="34"/>
      <c r="TGK226" s="36"/>
      <c r="TGL226" s="36"/>
      <c r="TGM226" s="37"/>
      <c r="TGN226" s="37"/>
      <c r="TGO226" s="38"/>
      <c r="TGP226" s="38"/>
      <c r="TGQ226" s="39"/>
      <c r="TGR226" s="34"/>
      <c r="TGS226" s="34"/>
      <c r="TGT226" s="34"/>
      <c r="TGU226" s="35"/>
      <c r="TGV226" s="35"/>
      <c r="TGW226" s="35"/>
      <c r="TGX226" s="35"/>
      <c r="TGY226" s="35"/>
      <c r="TGZ226" s="34"/>
      <c r="THA226" s="34"/>
      <c r="THB226" s="36"/>
      <c r="THC226" s="36"/>
      <c r="THD226" s="37"/>
      <c r="THE226" s="37"/>
      <c r="THF226" s="38"/>
      <c r="THG226" s="38"/>
      <c r="THH226" s="39"/>
      <c r="THI226" s="34"/>
      <c r="THJ226" s="34"/>
      <c r="THK226" s="34"/>
      <c r="THL226" s="35"/>
      <c r="THM226" s="35"/>
      <c r="THN226" s="35"/>
      <c r="THO226" s="35"/>
      <c r="THP226" s="35"/>
      <c r="THQ226" s="34"/>
      <c r="THR226" s="34"/>
      <c r="THS226" s="36"/>
      <c r="THT226" s="36"/>
      <c r="THU226" s="37"/>
      <c r="THV226" s="37"/>
      <c r="THW226" s="38"/>
      <c r="THX226" s="38"/>
      <c r="THY226" s="39"/>
      <c r="THZ226" s="34"/>
      <c r="TIA226" s="34"/>
      <c r="TIB226" s="34"/>
      <c r="TIC226" s="35"/>
      <c r="TID226" s="35"/>
      <c r="TIE226" s="35"/>
      <c r="TIF226" s="35"/>
      <c r="TIG226" s="35"/>
      <c r="TIH226" s="34"/>
      <c r="TII226" s="34"/>
      <c r="TIJ226" s="36"/>
      <c r="TIK226" s="36"/>
      <c r="TIL226" s="37"/>
      <c r="TIM226" s="37"/>
      <c r="TIN226" s="38"/>
      <c r="TIO226" s="38"/>
      <c r="TIP226" s="39"/>
      <c r="TIQ226" s="34"/>
      <c r="TIR226" s="34"/>
      <c r="TIS226" s="34"/>
      <c r="TIT226" s="35"/>
      <c r="TIU226" s="35"/>
      <c r="TIV226" s="35"/>
      <c r="TIW226" s="35"/>
      <c r="TIX226" s="35"/>
      <c r="TIY226" s="34"/>
      <c r="TIZ226" s="34"/>
      <c r="TJA226" s="36"/>
      <c r="TJB226" s="36"/>
      <c r="TJC226" s="37"/>
      <c r="TJD226" s="37"/>
      <c r="TJE226" s="38"/>
      <c r="TJF226" s="38"/>
      <c r="TJG226" s="39"/>
      <c r="TJH226" s="34"/>
      <c r="TJI226" s="34"/>
      <c r="TJJ226" s="34"/>
      <c r="TJK226" s="35"/>
      <c r="TJL226" s="35"/>
      <c r="TJM226" s="35"/>
      <c r="TJN226" s="35"/>
      <c r="TJO226" s="35"/>
      <c r="TJP226" s="34"/>
      <c r="TJQ226" s="34"/>
      <c r="TJR226" s="36"/>
      <c r="TJS226" s="36"/>
      <c r="TJT226" s="37"/>
      <c r="TJU226" s="37"/>
      <c r="TJV226" s="38"/>
      <c r="TJW226" s="38"/>
      <c r="TJX226" s="39"/>
      <c r="TJY226" s="34"/>
      <c r="TJZ226" s="34"/>
      <c r="TKA226" s="34"/>
      <c r="TKB226" s="35"/>
      <c r="TKC226" s="35"/>
      <c r="TKD226" s="35"/>
      <c r="TKE226" s="35"/>
      <c r="TKF226" s="35"/>
      <c r="TKG226" s="34"/>
      <c r="TKH226" s="34"/>
      <c r="TKI226" s="36"/>
      <c r="TKJ226" s="36"/>
      <c r="TKK226" s="37"/>
      <c r="TKL226" s="37"/>
      <c r="TKM226" s="38"/>
      <c r="TKN226" s="38"/>
      <c r="TKO226" s="39"/>
      <c r="TKP226" s="34"/>
      <c r="TKQ226" s="34"/>
      <c r="TKR226" s="34"/>
      <c r="TKS226" s="35"/>
      <c r="TKT226" s="35"/>
      <c r="TKU226" s="35"/>
      <c r="TKV226" s="35"/>
      <c r="TKW226" s="35"/>
      <c r="TKX226" s="34"/>
      <c r="TKY226" s="34"/>
      <c r="TKZ226" s="36"/>
      <c r="TLA226" s="36"/>
      <c r="TLB226" s="37"/>
      <c r="TLC226" s="37"/>
      <c r="TLD226" s="38"/>
      <c r="TLE226" s="38"/>
      <c r="TLF226" s="39"/>
      <c r="TLG226" s="34"/>
      <c r="TLH226" s="34"/>
      <c r="TLI226" s="34"/>
      <c r="TLJ226" s="35"/>
      <c r="TLK226" s="35"/>
      <c r="TLL226" s="35"/>
      <c r="TLM226" s="35"/>
      <c r="TLN226" s="35"/>
      <c r="TLO226" s="34"/>
      <c r="TLP226" s="34"/>
      <c r="TLQ226" s="36"/>
      <c r="TLR226" s="36"/>
      <c r="TLS226" s="37"/>
      <c r="TLT226" s="37"/>
      <c r="TLU226" s="38"/>
      <c r="TLV226" s="38"/>
      <c r="TLW226" s="39"/>
      <c r="TLX226" s="34"/>
      <c r="TLY226" s="34"/>
      <c r="TLZ226" s="34"/>
      <c r="TMA226" s="35"/>
      <c r="TMB226" s="35"/>
      <c r="TMC226" s="35"/>
      <c r="TMD226" s="35"/>
      <c r="TME226" s="35"/>
      <c r="TMF226" s="34"/>
      <c r="TMG226" s="34"/>
      <c r="TMH226" s="36"/>
      <c r="TMI226" s="36"/>
      <c r="TMJ226" s="37"/>
      <c r="TMK226" s="37"/>
      <c r="TML226" s="38"/>
      <c r="TMM226" s="38"/>
      <c r="TMN226" s="39"/>
      <c r="TMO226" s="34"/>
      <c r="TMP226" s="34"/>
      <c r="TMQ226" s="34"/>
      <c r="TMR226" s="35"/>
      <c r="TMS226" s="35"/>
      <c r="TMT226" s="35"/>
      <c r="TMU226" s="35"/>
      <c r="TMV226" s="35"/>
      <c r="TMW226" s="34"/>
      <c r="TMX226" s="34"/>
      <c r="TMY226" s="36"/>
      <c r="TMZ226" s="36"/>
      <c r="TNA226" s="37"/>
      <c r="TNB226" s="37"/>
      <c r="TNC226" s="38"/>
      <c r="TND226" s="38"/>
      <c r="TNE226" s="39"/>
      <c r="TNF226" s="34"/>
      <c r="TNG226" s="34"/>
      <c r="TNH226" s="34"/>
      <c r="TNI226" s="35"/>
      <c r="TNJ226" s="35"/>
      <c r="TNK226" s="35"/>
      <c r="TNL226" s="35"/>
      <c r="TNM226" s="35"/>
      <c r="TNN226" s="34"/>
      <c r="TNO226" s="34"/>
      <c r="TNP226" s="36"/>
      <c r="TNQ226" s="36"/>
      <c r="TNR226" s="37"/>
      <c r="TNS226" s="37"/>
      <c r="TNT226" s="38"/>
      <c r="TNU226" s="38"/>
      <c r="TNV226" s="39"/>
      <c r="TNW226" s="34"/>
      <c r="TNX226" s="34"/>
      <c r="TNY226" s="34"/>
      <c r="TNZ226" s="35"/>
      <c r="TOA226" s="35"/>
      <c r="TOB226" s="35"/>
      <c r="TOC226" s="35"/>
      <c r="TOD226" s="35"/>
      <c r="TOE226" s="34"/>
      <c r="TOF226" s="34"/>
      <c r="TOG226" s="36"/>
      <c r="TOH226" s="36"/>
      <c r="TOI226" s="37"/>
      <c r="TOJ226" s="37"/>
      <c r="TOK226" s="38"/>
      <c r="TOL226" s="38"/>
      <c r="TOM226" s="39"/>
      <c r="TON226" s="34"/>
      <c r="TOO226" s="34"/>
      <c r="TOP226" s="34"/>
      <c r="TOQ226" s="35"/>
      <c r="TOR226" s="35"/>
      <c r="TOS226" s="35"/>
      <c r="TOT226" s="35"/>
      <c r="TOU226" s="35"/>
      <c r="TOV226" s="34"/>
      <c r="TOW226" s="34"/>
      <c r="TOX226" s="36"/>
      <c r="TOY226" s="36"/>
      <c r="TOZ226" s="37"/>
      <c r="TPA226" s="37"/>
      <c r="TPB226" s="38"/>
      <c r="TPC226" s="38"/>
      <c r="TPD226" s="39"/>
      <c r="TPE226" s="34"/>
      <c r="TPF226" s="34"/>
      <c r="TPG226" s="34"/>
      <c r="TPH226" s="35"/>
      <c r="TPI226" s="35"/>
      <c r="TPJ226" s="35"/>
      <c r="TPK226" s="35"/>
      <c r="TPL226" s="35"/>
      <c r="TPM226" s="34"/>
      <c r="TPN226" s="34"/>
      <c r="TPO226" s="36"/>
      <c r="TPP226" s="36"/>
      <c r="TPQ226" s="37"/>
      <c r="TPR226" s="37"/>
      <c r="TPS226" s="38"/>
      <c r="TPT226" s="38"/>
      <c r="TPU226" s="39"/>
      <c r="TPV226" s="34"/>
      <c r="TPW226" s="34"/>
      <c r="TPX226" s="34"/>
      <c r="TPY226" s="35"/>
      <c r="TPZ226" s="35"/>
      <c r="TQA226" s="35"/>
      <c r="TQB226" s="35"/>
      <c r="TQC226" s="35"/>
      <c r="TQD226" s="34"/>
      <c r="TQE226" s="34"/>
      <c r="TQF226" s="36"/>
      <c r="TQG226" s="36"/>
      <c r="TQH226" s="37"/>
      <c r="TQI226" s="37"/>
      <c r="TQJ226" s="38"/>
      <c r="TQK226" s="38"/>
      <c r="TQL226" s="39"/>
      <c r="TQM226" s="34"/>
      <c r="TQN226" s="34"/>
      <c r="TQO226" s="34"/>
      <c r="TQP226" s="35"/>
      <c r="TQQ226" s="35"/>
      <c r="TQR226" s="35"/>
      <c r="TQS226" s="35"/>
      <c r="TQT226" s="35"/>
      <c r="TQU226" s="34"/>
      <c r="TQV226" s="34"/>
      <c r="TQW226" s="36"/>
      <c r="TQX226" s="36"/>
      <c r="TQY226" s="37"/>
      <c r="TQZ226" s="37"/>
      <c r="TRA226" s="38"/>
      <c r="TRB226" s="38"/>
      <c r="TRC226" s="39"/>
      <c r="TRD226" s="34"/>
      <c r="TRE226" s="34"/>
      <c r="TRF226" s="34"/>
      <c r="TRG226" s="35"/>
      <c r="TRH226" s="35"/>
      <c r="TRI226" s="35"/>
      <c r="TRJ226" s="35"/>
      <c r="TRK226" s="35"/>
      <c r="TRL226" s="34"/>
      <c r="TRM226" s="34"/>
      <c r="TRN226" s="36"/>
      <c r="TRO226" s="36"/>
      <c r="TRP226" s="37"/>
      <c r="TRQ226" s="37"/>
      <c r="TRR226" s="38"/>
      <c r="TRS226" s="38"/>
      <c r="TRT226" s="39"/>
      <c r="TRU226" s="34"/>
      <c r="TRV226" s="34"/>
      <c r="TRW226" s="34"/>
      <c r="TRX226" s="35"/>
      <c r="TRY226" s="35"/>
      <c r="TRZ226" s="35"/>
      <c r="TSA226" s="35"/>
      <c r="TSB226" s="35"/>
      <c r="TSC226" s="34"/>
      <c r="TSD226" s="34"/>
      <c r="TSE226" s="36"/>
      <c r="TSF226" s="36"/>
      <c r="TSG226" s="37"/>
      <c r="TSH226" s="37"/>
      <c r="TSI226" s="38"/>
      <c r="TSJ226" s="38"/>
      <c r="TSK226" s="39"/>
      <c r="TSL226" s="34"/>
      <c r="TSM226" s="34"/>
      <c r="TSN226" s="34"/>
      <c r="TSO226" s="35"/>
      <c r="TSP226" s="35"/>
      <c r="TSQ226" s="35"/>
      <c r="TSR226" s="35"/>
      <c r="TSS226" s="35"/>
      <c r="TST226" s="34"/>
      <c r="TSU226" s="34"/>
      <c r="TSV226" s="36"/>
      <c r="TSW226" s="36"/>
      <c r="TSX226" s="37"/>
      <c r="TSY226" s="37"/>
      <c r="TSZ226" s="38"/>
      <c r="TTA226" s="38"/>
      <c r="TTB226" s="39"/>
      <c r="TTC226" s="34"/>
      <c r="TTD226" s="34"/>
      <c r="TTE226" s="34"/>
      <c r="TTF226" s="35"/>
      <c r="TTG226" s="35"/>
      <c r="TTH226" s="35"/>
      <c r="TTI226" s="35"/>
      <c r="TTJ226" s="35"/>
      <c r="TTK226" s="34"/>
      <c r="TTL226" s="34"/>
      <c r="TTM226" s="36"/>
      <c r="TTN226" s="36"/>
      <c r="TTO226" s="37"/>
      <c r="TTP226" s="37"/>
      <c r="TTQ226" s="38"/>
      <c r="TTR226" s="38"/>
      <c r="TTS226" s="39"/>
      <c r="TTT226" s="34"/>
      <c r="TTU226" s="34"/>
      <c r="TTV226" s="34"/>
      <c r="TTW226" s="35"/>
      <c r="TTX226" s="35"/>
      <c r="TTY226" s="35"/>
      <c r="TTZ226" s="35"/>
      <c r="TUA226" s="35"/>
      <c r="TUB226" s="34"/>
      <c r="TUC226" s="34"/>
      <c r="TUD226" s="36"/>
      <c r="TUE226" s="36"/>
      <c r="TUF226" s="37"/>
      <c r="TUG226" s="37"/>
      <c r="TUH226" s="38"/>
      <c r="TUI226" s="38"/>
      <c r="TUJ226" s="39"/>
      <c r="TUK226" s="34"/>
      <c r="TUL226" s="34"/>
      <c r="TUM226" s="34"/>
      <c r="TUN226" s="35"/>
      <c r="TUO226" s="35"/>
      <c r="TUP226" s="35"/>
      <c r="TUQ226" s="35"/>
      <c r="TUR226" s="35"/>
      <c r="TUS226" s="34"/>
      <c r="TUT226" s="34"/>
      <c r="TUU226" s="36"/>
      <c r="TUV226" s="36"/>
      <c r="TUW226" s="37"/>
      <c r="TUX226" s="37"/>
      <c r="TUY226" s="38"/>
      <c r="TUZ226" s="38"/>
      <c r="TVA226" s="39"/>
      <c r="TVB226" s="34"/>
      <c r="TVC226" s="34"/>
      <c r="TVD226" s="34"/>
      <c r="TVE226" s="35"/>
      <c r="TVF226" s="35"/>
      <c r="TVG226" s="35"/>
      <c r="TVH226" s="35"/>
      <c r="TVI226" s="35"/>
      <c r="TVJ226" s="34"/>
      <c r="TVK226" s="34"/>
      <c r="TVL226" s="36"/>
      <c r="TVM226" s="36"/>
      <c r="TVN226" s="37"/>
      <c r="TVO226" s="37"/>
      <c r="TVP226" s="38"/>
      <c r="TVQ226" s="38"/>
      <c r="TVR226" s="39"/>
      <c r="TVS226" s="34"/>
      <c r="TVT226" s="34"/>
      <c r="TVU226" s="34"/>
      <c r="TVV226" s="35"/>
      <c r="TVW226" s="35"/>
      <c r="TVX226" s="35"/>
      <c r="TVY226" s="35"/>
      <c r="TVZ226" s="35"/>
      <c r="TWA226" s="34"/>
      <c r="TWB226" s="34"/>
      <c r="TWC226" s="36"/>
      <c r="TWD226" s="36"/>
      <c r="TWE226" s="37"/>
      <c r="TWF226" s="37"/>
      <c r="TWG226" s="38"/>
      <c r="TWH226" s="38"/>
      <c r="TWI226" s="39"/>
      <c r="TWJ226" s="34"/>
      <c r="TWK226" s="34"/>
      <c r="TWL226" s="34"/>
      <c r="TWM226" s="35"/>
      <c r="TWN226" s="35"/>
      <c r="TWO226" s="35"/>
      <c r="TWP226" s="35"/>
      <c r="TWQ226" s="35"/>
      <c r="TWR226" s="34"/>
      <c r="TWS226" s="34"/>
      <c r="TWT226" s="36"/>
      <c r="TWU226" s="36"/>
      <c r="TWV226" s="37"/>
      <c r="TWW226" s="37"/>
      <c r="TWX226" s="38"/>
      <c r="TWY226" s="38"/>
      <c r="TWZ226" s="39"/>
      <c r="TXA226" s="34"/>
      <c r="TXB226" s="34"/>
      <c r="TXC226" s="34"/>
      <c r="TXD226" s="35"/>
      <c r="TXE226" s="35"/>
      <c r="TXF226" s="35"/>
      <c r="TXG226" s="35"/>
      <c r="TXH226" s="35"/>
      <c r="TXI226" s="34"/>
      <c r="TXJ226" s="34"/>
      <c r="TXK226" s="36"/>
      <c r="TXL226" s="36"/>
      <c r="TXM226" s="37"/>
      <c r="TXN226" s="37"/>
      <c r="TXO226" s="38"/>
      <c r="TXP226" s="38"/>
      <c r="TXQ226" s="39"/>
      <c r="TXR226" s="34"/>
      <c r="TXS226" s="34"/>
      <c r="TXT226" s="34"/>
      <c r="TXU226" s="35"/>
      <c r="TXV226" s="35"/>
      <c r="TXW226" s="35"/>
      <c r="TXX226" s="35"/>
      <c r="TXY226" s="35"/>
      <c r="TXZ226" s="34"/>
      <c r="TYA226" s="34"/>
      <c r="TYB226" s="36"/>
      <c r="TYC226" s="36"/>
      <c r="TYD226" s="37"/>
      <c r="TYE226" s="37"/>
      <c r="TYF226" s="38"/>
      <c r="TYG226" s="38"/>
      <c r="TYH226" s="39"/>
      <c r="TYI226" s="34"/>
      <c r="TYJ226" s="34"/>
      <c r="TYK226" s="34"/>
      <c r="TYL226" s="35"/>
      <c r="TYM226" s="35"/>
      <c r="TYN226" s="35"/>
      <c r="TYO226" s="35"/>
      <c r="TYP226" s="35"/>
      <c r="TYQ226" s="34"/>
      <c r="TYR226" s="34"/>
      <c r="TYS226" s="36"/>
      <c r="TYT226" s="36"/>
      <c r="TYU226" s="37"/>
      <c r="TYV226" s="37"/>
      <c r="TYW226" s="38"/>
      <c r="TYX226" s="38"/>
      <c r="TYY226" s="39"/>
      <c r="TYZ226" s="34"/>
      <c r="TZA226" s="34"/>
      <c r="TZB226" s="34"/>
      <c r="TZC226" s="35"/>
      <c r="TZD226" s="35"/>
      <c r="TZE226" s="35"/>
      <c r="TZF226" s="35"/>
      <c r="TZG226" s="35"/>
      <c r="TZH226" s="34"/>
      <c r="TZI226" s="34"/>
      <c r="TZJ226" s="36"/>
      <c r="TZK226" s="36"/>
      <c r="TZL226" s="37"/>
      <c r="TZM226" s="37"/>
      <c r="TZN226" s="38"/>
      <c r="TZO226" s="38"/>
      <c r="TZP226" s="39"/>
      <c r="TZQ226" s="34"/>
      <c r="TZR226" s="34"/>
      <c r="TZS226" s="34"/>
      <c r="TZT226" s="35"/>
      <c r="TZU226" s="35"/>
      <c r="TZV226" s="35"/>
      <c r="TZW226" s="35"/>
      <c r="TZX226" s="35"/>
      <c r="TZY226" s="34"/>
      <c r="TZZ226" s="34"/>
      <c r="UAA226" s="36"/>
      <c r="UAB226" s="36"/>
      <c r="UAC226" s="37"/>
      <c r="UAD226" s="37"/>
      <c r="UAE226" s="38"/>
      <c r="UAF226" s="38"/>
      <c r="UAG226" s="39"/>
      <c r="UAH226" s="34"/>
      <c r="UAI226" s="34"/>
      <c r="UAJ226" s="34"/>
      <c r="UAK226" s="35"/>
      <c r="UAL226" s="35"/>
      <c r="UAM226" s="35"/>
      <c r="UAN226" s="35"/>
      <c r="UAO226" s="35"/>
      <c r="UAP226" s="34"/>
      <c r="UAQ226" s="34"/>
      <c r="UAR226" s="36"/>
      <c r="UAS226" s="36"/>
      <c r="UAT226" s="37"/>
      <c r="UAU226" s="37"/>
      <c r="UAV226" s="38"/>
      <c r="UAW226" s="38"/>
      <c r="UAX226" s="39"/>
      <c r="UAY226" s="34"/>
      <c r="UAZ226" s="34"/>
      <c r="UBA226" s="34"/>
      <c r="UBB226" s="35"/>
      <c r="UBC226" s="35"/>
      <c r="UBD226" s="35"/>
      <c r="UBE226" s="35"/>
      <c r="UBF226" s="35"/>
      <c r="UBG226" s="34"/>
      <c r="UBH226" s="34"/>
      <c r="UBI226" s="36"/>
      <c r="UBJ226" s="36"/>
      <c r="UBK226" s="37"/>
      <c r="UBL226" s="37"/>
      <c r="UBM226" s="38"/>
      <c r="UBN226" s="38"/>
      <c r="UBO226" s="39"/>
      <c r="UBP226" s="34"/>
      <c r="UBQ226" s="34"/>
      <c r="UBR226" s="34"/>
      <c r="UBS226" s="35"/>
      <c r="UBT226" s="35"/>
      <c r="UBU226" s="35"/>
      <c r="UBV226" s="35"/>
      <c r="UBW226" s="35"/>
      <c r="UBX226" s="34"/>
      <c r="UBY226" s="34"/>
      <c r="UBZ226" s="36"/>
      <c r="UCA226" s="36"/>
      <c r="UCB226" s="37"/>
      <c r="UCC226" s="37"/>
      <c r="UCD226" s="38"/>
      <c r="UCE226" s="38"/>
      <c r="UCF226" s="39"/>
      <c r="UCG226" s="34"/>
      <c r="UCH226" s="34"/>
      <c r="UCI226" s="34"/>
      <c r="UCJ226" s="35"/>
      <c r="UCK226" s="35"/>
      <c r="UCL226" s="35"/>
      <c r="UCM226" s="35"/>
      <c r="UCN226" s="35"/>
      <c r="UCO226" s="34"/>
      <c r="UCP226" s="34"/>
      <c r="UCQ226" s="36"/>
      <c r="UCR226" s="36"/>
      <c r="UCS226" s="37"/>
      <c r="UCT226" s="37"/>
      <c r="UCU226" s="38"/>
      <c r="UCV226" s="38"/>
      <c r="UCW226" s="39"/>
      <c r="UCX226" s="34"/>
      <c r="UCY226" s="34"/>
      <c r="UCZ226" s="34"/>
      <c r="UDA226" s="35"/>
      <c r="UDB226" s="35"/>
      <c r="UDC226" s="35"/>
      <c r="UDD226" s="35"/>
      <c r="UDE226" s="35"/>
      <c r="UDF226" s="34"/>
      <c r="UDG226" s="34"/>
      <c r="UDH226" s="36"/>
      <c r="UDI226" s="36"/>
      <c r="UDJ226" s="37"/>
      <c r="UDK226" s="37"/>
      <c r="UDL226" s="38"/>
      <c r="UDM226" s="38"/>
      <c r="UDN226" s="39"/>
      <c r="UDO226" s="34"/>
      <c r="UDP226" s="34"/>
      <c r="UDQ226" s="34"/>
      <c r="UDR226" s="35"/>
      <c r="UDS226" s="35"/>
      <c r="UDT226" s="35"/>
      <c r="UDU226" s="35"/>
      <c r="UDV226" s="35"/>
      <c r="UDW226" s="34"/>
      <c r="UDX226" s="34"/>
      <c r="UDY226" s="36"/>
      <c r="UDZ226" s="36"/>
      <c r="UEA226" s="37"/>
      <c r="UEB226" s="37"/>
      <c r="UEC226" s="38"/>
      <c r="UED226" s="38"/>
      <c r="UEE226" s="39"/>
      <c r="UEF226" s="34"/>
      <c r="UEG226" s="34"/>
      <c r="UEH226" s="34"/>
      <c r="UEI226" s="35"/>
      <c r="UEJ226" s="35"/>
      <c r="UEK226" s="35"/>
      <c r="UEL226" s="35"/>
      <c r="UEM226" s="35"/>
      <c r="UEN226" s="34"/>
      <c r="UEO226" s="34"/>
      <c r="UEP226" s="36"/>
      <c r="UEQ226" s="36"/>
      <c r="UER226" s="37"/>
      <c r="UES226" s="37"/>
      <c r="UET226" s="38"/>
      <c r="UEU226" s="38"/>
      <c r="UEV226" s="39"/>
      <c r="UEW226" s="34"/>
      <c r="UEX226" s="34"/>
      <c r="UEY226" s="34"/>
      <c r="UEZ226" s="35"/>
      <c r="UFA226" s="35"/>
      <c r="UFB226" s="35"/>
      <c r="UFC226" s="35"/>
      <c r="UFD226" s="35"/>
      <c r="UFE226" s="34"/>
      <c r="UFF226" s="34"/>
      <c r="UFG226" s="36"/>
      <c r="UFH226" s="36"/>
      <c r="UFI226" s="37"/>
      <c r="UFJ226" s="37"/>
      <c r="UFK226" s="38"/>
      <c r="UFL226" s="38"/>
      <c r="UFM226" s="39"/>
      <c r="UFN226" s="34"/>
      <c r="UFO226" s="34"/>
      <c r="UFP226" s="34"/>
      <c r="UFQ226" s="35"/>
      <c r="UFR226" s="35"/>
      <c r="UFS226" s="35"/>
      <c r="UFT226" s="35"/>
      <c r="UFU226" s="35"/>
      <c r="UFV226" s="34"/>
      <c r="UFW226" s="34"/>
      <c r="UFX226" s="36"/>
      <c r="UFY226" s="36"/>
      <c r="UFZ226" s="37"/>
      <c r="UGA226" s="37"/>
      <c r="UGB226" s="38"/>
      <c r="UGC226" s="38"/>
      <c r="UGD226" s="39"/>
      <c r="UGE226" s="34"/>
      <c r="UGF226" s="34"/>
      <c r="UGG226" s="34"/>
      <c r="UGH226" s="35"/>
      <c r="UGI226" s="35"/>
      <c r="UGJ226" s="35"/>
      <c r="UGK226" s="35"/>
      <c r="UGL226" s="35"/>
      <c r="UGM226" s="34"/>
      <c r="UGN226" s="34"/>
      <c r="UGO226" s="36"/>
      <c r="UGP226" s="36"/>
      <c r="UGQ226" s="37"/>
      <c r="UGR226" s="37"/>
      <c r="UGS226" s="38"/>
      <c r="UGT226" s="38"/>
      <c r="UGU226" s="39"/>
      <c r="UGV226" s="34"/>
      <c r="UGW226" s="34"/>
      <c r="UGX226" s="34"/>
      <c r="UGY226" s="35"/>
      <c r="UGZ226" s="35"/>
      <c r="UHA226" s="35"/>
      <c r="UHB226" s="35"/>
      <c r="UHC226" s="35"/>
      <c r="UHD226" s="34"/>
      <c r="UHE226" s="34"/>
      <c r="UHF226" s="36"/>
      <c r="UHG226" s="36"/>
      <c r="UHH226" s="37"/>
      <c r="UHI226" s="37"/>
      <c r="UHJ226" s="38"/>
      <c r="UHK226" s="38"/>
      <c r="UHL226" s="39"/>
      <c r="UHM226" s="34"/>
      <c r="UHN226" s="34"/>
      <c r="UHO226" s="34"/>
      <c r="UHP226" s="35"/>
      <c r="UHQ226" s="35"/>
      <c r="UHR226" s="35"/>
      <c r="UHS226" s="35"/>
      <c r="UHT226" s="35"/>
      <c r="UHU226" s="34"/>
      <c r="UHV226" s="34"/>
      <c r="UHW226" s="36"/>
      <c r="UHX226" s="36"/>
      <c r="UHY226" s="37"/>
      <c r="UHZ226" s="37"/>
      <c r="UIA226" s="38"/>
      <c r="UIB226" s="38"/>
      <c r="UIC226" s="39"/>
      <c r="UID226" s="34"/>
      <c r="UIE226" s="34"/>
      <c r="UIF226" s="34"/>
      <c r="UIG226" s="35"/>
      <c r="UIH226" s="35"/>
      <c r="UII226" s="35"/>
      <c r="UIJ226" s="35"/>
      <c r="UIK226" s="35"/>
      <c r="UIL226" s="34"/>
      <c r="UIM226" s="34"/>
      <c r="UIN226" s="36"/>
      <c r="UIO226" s="36"/>
      <c r="UIP226" s="37"/>
      <c r="UIQ226" s="37"/>
      <c r="UIR226" s="38"/>
      <c r="UIS226" s="38"/>
      <c r="UIT226" s="39"/>
      <c r="UIU226" s="34"/>
      <c r="UIV226" s="34"/>
      <c r="UIW226" s="34"/>
      <c r="UIX226" s="35"/>
      <c r="UIY226" s="35"/>
      <c r="UIZ226" s="35"/>
      <c r="UJA226" s="35"/>
      <c r="UJB226" s="35"/>
      <c r="UJC226" s="34"/>
      <c r="UJD226" s="34"/>
      <c r="UJE226" s="36"/>
      <c r="UJF226" s="36"/>
      <c r="UJG226" s="37"/>
      <c r="UJH226" s="37"/>
      <c r="UJI226" s="38"/>
      <c r="UJJ226" s="38"/>
      <c r="UJK226" s="39"/>
      <c r="UJL226" s="34"/>
      <c r="UJM226" s="34"/>
      <c r="UJN226" s="34"/>
      <c r="UJO226" s="35"/>
      <c r="UJP226" s="35"/>
      <c r="UJQ226" s="35"/>
      <c r="UJR226" s="35"/>
      <c r="UJS226" s="35"/>
      <c r="UJT226" s="34"/>
      <c r="UJU226" s="34"/>
      <c r="UJV226" s="36"/>
      <c r="UJW226" s="36"/>
      <c r="UJX226" s="37"/>
      <c r="UJY226" s="37"/>
      <c r="UJZ226" s="38"/>
      <c r="UKA226" s="38"/>
      <c r="UKB226" s="39"/>
      <c r="UKC226" s="34"/>
      <c r="UKD226" s="34"/>
      <c r="UKE226" s="34"/>
      <c r="UKF226" s="35"/>
      <c r="UKG226" s="35"/>
      <c r="UKH226" s="35"/>
      <c r="UKI226" s="35"/>
      <c r="UKJ226" s="35"/>
      <c r="UKK226" s="34"/>
      <c r="UKL226" s="34"/>
      <c r="UKM226" s="36"/>
      <c r="UKN226" s="36"/>
      <c r="UKO226" s="37"/>
      <c r="UKP226" s="37"/>
      <c r="UKQ226" s="38"/>
      <c r="UKR226" s="38"/>
      <c r="UKS226" s="39"/>
      <c r="UKT226" s="34"/>
      <c r="UKU226" s="34"/>
      <c r="UKV226" s="34"/>
      <c r="UKW226" s="35"/>
      <c r="UKX226" s="35"/>
      <c r="UKY226" s="35"/>
      <c r="UKZ226" s="35"/>
      <c r="ULA226" s="35"/>
      <c r="ULB226" s="34"/>
      <c r="ULC226" s="34"/>
      <c r="ULD226" s="36"/>
      <c r="ULE226" s="36"/>
      <c r="ULF226" s="37"/>
      <c r="ULG226" s="37"/>
      <c r="ULH226" s="38"/>
      <c r="ULI226" s="38"/>
      <c r="ULJ226" s="39"/>
      <c r="ULK226" s="34"/>
      <c r="ULL226" s="34"/>
      <c r="ULM226" s="34"/>
      <c r="ULN226" s="35"/>
      <c r="ULO226" s="35"/>
      <c r="ULP226" s="35"/>
      <c r="ULQ226" s="35"/>
      <c r="ULR226" s="35"/>
      <c r="ULS226" s="34"/>
      <c r="ULT226" s="34"/>
      <c r="ULU226" s="36"/>
      <c r="ULV226" s="36"/>
      <c r="ULW226" s="37"/>
      <c r="ULX226" s="37"/>
      <c r="ULY226" s="38"/>
      <c r="ULZ226" s="38"/>
      <c r="UMA226" s="39"/>
      <c r="UMB226" s="34"/>
      <c r="UMC226" s="34"/>
      <c r="UMD226" s="34"/>
      <c r="UME226" s="35"/>
      <c r="UMF226" s="35"/>
      <c r="UMG226" s="35"/>
      <c r="UMH226" s="35"/>
      <c r="UMI226" s="35"/>
      <c r="UMJ226" s="34"/>
      <c r="UMK226" s="34"/>
      <c r="UML226" s="36"/>
      <c r="UMM226" s="36"/>
      <c r="UMN226" s="37"/>
      <c r="UMO226" s="37"/>
      <c r="UMP226" s="38"/>
      <c r="UMQ226" s="38"/>
      <c r="UMR226" s="39"/>
      <c r="UMS226" s="34"/>
      <c r="UMT226" s="34"/>
      <c r="UMU226" s="34"/>
      <c r="UMV226" s="35"/>
      <c r="UMW226" s="35"/>
      <c r="UMX226" s="35"/>
      <c r="UMY226" s="35"/>
      <c r="UMZ226" s="35"/>
      <c r="UNA226" s="34"/>
      <c r="UNB226" s="34"/>
      <c r="UNC226" s="36"/>
      <c r="UND226" s="36"/>
      <c r="UNE226" s="37"/>
      <c r="UNF226" s="37"/>
      <c r="UNG226" s="38"/>
      <c r="UNH226" s="38"/>
      <c r="UNI226" s="39"/>
      <c r="UNJ226" s="34"/>
      <c r="UNK226" s="34"/>
      <c r="UNL226" s="34"/>
      <c r="UNM226" s="35"/>
      <c r="UNN226" s="35"/>
      <c r="UNO226" s="35"/>
      <c r="UNP226" s="35"/>
      <c r="UNQ226" s="35"/>
      <c r="UNR226" s="34"/>
      <c r="UNS226" s="34"/>
      <c r="UNT226" s="36"/>
      <c r="UNU226" s="36"/>
      <c r="UNV226" s="37"/>
      <c r="UNW226" s="37"/>
      <c r="UNX226" s="38"/>
      <c r="UNY226" s="38"/>
      <c r="UNZ226" s="39"/>
      <c r="UOA226" s="34"/>
      <c r="UOB226" s="34"/>
      <c r="UOC226" s="34"/>
      <c r="UOD226" s="35"/>
      <c r="UOE226" s="35"/>
      <c r="UOF226" s="35"/>
      <c r="UOG226" s="35"/>
      <c r="UOH226" s="35"/>
      <c r="UOI226" s="34"/>
      <c r="UOJ226" s="34"/>
      <c r="UOK226" s="36"/>
      <c r="UOL226" s="36"/>
      <c r="UOM226" s="37"/>
      <c r="UON226" s="37"/>
      <c r="UOO226" s="38"/>
      <c r="UOP226" s="38"/>
      <c r="UOQ226" s="39"/>
      <c r="UOR226" s="34"/>
      <c r="UOS226" s="34"/>
      <c r="UOT226" s="34"/>
      <c r="UOU226" s="35"/>
      <c r="UOV226" s="35"/>
      <c r="UOW226" s="35"/>
      <c r="UOX226" s="35"/>
      <c r="UOY226" s="35"/>
      <c r="UOZ226" s="34"/>
      <c r="UPA226" s="34"/>
      <c r="UPB226" s="36"/>
      <c r="UPC226" s="36"/>
      <c r="UPD226" s="37"/>
      <c r="UPE226" s="37"/>
      <c r="UPF226" s="38"/>
      <c r="UPG226" s="38"/>
      <c r="UPH226" s="39"/>
      <c r="UPI226" s="34"/>
      <c r="UPJ226" s="34"/>
      <c r="UPK226" s="34"/>
      <c r="UPL226" s="35"/>
      <c r="UPM226" s="35"/>
      <c r="UPN226" s="35"/>
      <c r="UPO226" s="35"/>
      <c r="UPP226" s="35"/>
      <c r="UPQ226" s="34"/>
      <c r="UPR226" s="34"/>
      <c r="UPS226" s="36"/>
      <c r="UPT226" s="36"/>
      <c r="UPU226" s="37"/>
      <c r="UPV226" s="37"/>
      <c r="UPW226" s="38"/>
      <c r="UPX226" s="38"/>
      <c r="UPY226" s="39"/>
      <c r="UPZ226" s="34"/>
      <c r="UQA226" s="34"/>
      <c r="UQB226" s="34"/>
      <c r="UQC226" s="35"/>
      <c r="UQD226" s="35"/>
      <c r="UQE226" s="35"/>
      <c r="UQF226" s="35"/>
      <c r="UQG226" s="35"/>
      <c r="UQH226" s="34"/>
      <c r="UQI226" s="34"/>
      <c r="UQJ226" s="36"/>
      <c r="UQK226" s="36"/>
      <c r="UQL226" s="37"/>
      <c r="UQM226" s="37"/>
      <c r="UQN226" s="38"/>
      <c r="UQO226" s="38"/>
      <c r="UQP226" s="39"/>
      <c r="UQQ226" s="34"/>
      <c r="UQR226" s="34"/>
      <c r="UQS226" s="34"/>
      <c r="UQT226" s="35"/>
      <c r="UQU226" s="35"/>
      <c r="UQV226" s="35"/>
      <c r="UQW226" s="35"/>
      <c r="UQX226" s="35"/>
      <c r="UQY226" s="34"/>
      <c r="UQZ226" s="34"/>
      <c r="URA226" s="36"/>
      <c r="URB226" s="36"/>
      <c r="URC226" s="37"/>
      <c r="URD226" s="37"/>
      <c r="URE226" s="38"/>
      <c r="URF226" s="38"/>
      <c r="URG226" s="39"/>
      <c r="URH226" s="34"/>
      <c r="URI226" s="34"/>
      <c r="URJ226" s="34"/>
      <c r="URK226" s="35"/>
      <c r="URL226" s="35"/>
      <c r="URM226" s="35"/>
      <c r="URN226" s="35"/>
      <c r="URO226" s="35"/>
      <c r="URP226" s="34"/>
      <c r="URQ226" s="34"/>
      <c r="URR226" s="36"/>
      <c r="URS226" s="36"/>
      <c r="URT226" s="37"/>
      <c r="URU226" s="37"/>
      <c r="URV226" s="38"/>
      <c r="URW226" s="38"/>
      <c r="URX226" s="39"/>
      <c r="URY226" s="34"/>
      <c r="URZ226" s="34"/>
      <c r="USA226" s="34"/>
      <c r="USB226" s="35"/>
      <c r="USC226" s="35"/>
      <c r="USD226" s="35"/>
      <c r="USE226" s="35"/>
      <c r="USF226" s="35"/>
      <c r="USG226" s="34"/>
      <c r="USH226" s="34"/>
      <c r="USI226" s="36"/>
      <c r="USJ226" s="36"/>
      <c r="USK226" s="37"/>
      <c r="USL226" s="37"/>
      <c r="USM226" s="38"/>
      <c r="USN226" s="38"/>
      <c r="USO226" s="39"/>
      <c r="USP226" s="34"/>
      <c r="USQ226" s="34"/>
      <c r="USR226" s="34"/>
      <c r="USS226" s="35"/>
      <c r="UST226" s="35"/>
      <c r="USU226" s="35"/>
      <c r="USV226" s="35"/>
      <c r="USW226" s="35"/>
      <c r="USX226" s="34"/>
      <c r="USY226" s="34"/>
      <c r="USZ226" s="36"/>
      <c r="UTA226" s="36"/>
      <c r="UTB226" s="37"/>
      <c r="UTC226" s="37"/>
      <c r="UTD226" s="38"/>
      <c r="UTE226" s="38"/>
      <c r="UTF226" s="39"/>
      <c r="UTG226" s="34"/>
      <c r="UTH226" s="34"/>
      <c r="UTI226" s="34"/>
      <c r="UTJ226" s="35"/>
      <c r="UTK226" s="35"/>
      <c r="UTL226" s="35"/>
      <c r="UTM226" s="35"/>
      <c r="UTN226" s="35"/>
      <c r="UTO226" s="34"/>
      <c r="UTP226" s="34"/>
      <c r="UTQ226" s="36"/>
      <c r="UTR226" s="36"/>
      <c r="UTS226" s="37"/>
      <c r="UTT226" s="37"/>
      <c r="UTU226" s="38"/>
      <c r="UTV226" s="38"/>
      <c r="UTW226" s="39"/>
      <c r="UTX226" s="34"/>
      <c r="UTY226" s="34"/>
      <c r="UTZ226" s="34"/>
      <c r="UUA226" s="35"/>
      <c r="UUB226" s="35"/>
      <c r="UUC226" s="35"/>
      <c r="UUD226" s="35"/>
      <c r="UUE226" s="35"/>
      <c r="UUF226" s="34"/>
      <c r="UUG226" s="34"/>
      <c r="UUH226" s="36"/>
      <c r="UUI226" s="36"/>
      <c r="UUJ226" s="37"/>
      <c r="UUK226" s="37"/>
      <c r="UUL226" s="38"/>
      <c r="UUM226" s="38"/>
      <c r="UUN226" s="39"/>
      <c r="UUO226" s="34"/>
      <c r="UUP226" s="34"/>
      <c r="UUQ226" s="34"/>
      <c r="UUR226" s="35"/>
      <c r="UUS226" s="35"/>
      <c r="UUT226" s="35"/>
      <c r="UUU226" s="35"/>
      <c r="UUV226" s="35"/>
      <c r="UUW226" s="34"/>
      <c r="UUX226" s="34"/>
      <c r="UUY226" s="36"/>
      <c r="UUZ226" s="36"/>
      <c r="UVA226" s="37"/>
      <c r="UVB226" s="37"/>
      <c r="UVC226" s="38"/>
      <c r="UVD226" s="38"/>
      <c r="UVE226" s="39"/>
      <c r="UVF226" s="34"/>
      <c r="UVG226" s="34"/>
      <c r="UVH226" s="34"/>
      <c r="UVI226" s="35"/>
      <c r="UVJ226" s="35"/>
      <c r="UVK226" s="35"/>
      <c r="UVL226" s="35"/>
      <c r="UVM226" s="35"/>
      <c r="UVN226" s="34"/>
      <c r="UVO226" s="34"/>
      <c r="UVP226" s="36"/>
      <c r="UVQ226" s="36"/>
      <c r="UVR226" s="37"/>
      <c r="UVS226" s="37"/>
      <c r="UVT226" s="38"/>
      <c r="UVU226" s="38"/>
      <c r="UVV226" s="39"/>
      <c r="UVW226" s="34"/>
      <c r="UVX226" s="34"/>
      <c r="UVY226" s="34"/>
      <c r="UVZ226" s="35"/>
      <c r="UWA226" s="35"/>
      <c r="UWB226" s="35"/>
      <c r="UWC226" s="35"/>
      <c r="UWD226" s="35"/>
      <c r="UWE226" s="34"/>
      <c r="UWF226" s="34"/>
      <c r="UWG226" s="36"/>
      <c r="UWH226" s="36"/>
      <c r="UWI226" s="37"/>
      <c r="UWJ226" s="37"/>
      <c r="UWK226" s="38"/>
      <c r="UWL226" s="38"/>
      <c r="UWM226" s="39"/>
      <c r="UWN226" s="34"/>
      <c r="UWO226" s="34"/>
      <c r="UWP226" s="34"/>
      <c r="UWQ226" s="35"/>
      <c r="UWR226" s="35"/>
      <c r="UWS226" s="35"/>
      <c r="UWT226" s="35"/>
      <c r="UWU226" s="35"/>
      <c r="UWV226" s="34"/>
      <c r="UWW226" s="34"/>
      <c r="UWX226" s="36"/>
      <c r="UWY226" s="36"/>
      <c r="UWZ226" s="37"/>
      <c r="UXA226" s="37"/>
      <c r="UXB226" s="38"/>
      <c r="UXC226" s="38"/>
      <c r="UXD226" s="39"/>
      <c r="UXE226" s="34"/>
      <c r="UXF226" s="34"/>
      <c r="UXG226" s="34"/>
      <c r="UXH226" s="35"/>
      <c r="UXI226" s="35"/>
      <c r="UXJ226" s="35"/>
      <c r="UXK226" s="35"/>
      <c r="UXL226" s="35"/>
      <c r="UXM226" s="34"/>
      <c r="UXN226" s="34"/>
      <c r="UXO226" s="36"/>
      <c r="UXP226" s="36"/>
      <c r="UXQ226" s="37"/>
      <c r="UXR226" s="37"/>
      <c r="UXS226" s="38"/>
      <c r="UXT226" s="38"/>
      <c r="UXU226" s="39"/>
      <c r="UXV226" s="34"/>
      <c r="UXW226" s="34"/>
      <c r="UXX226" s="34"/>
      <c r="UXY226" s="35"/>
      <c r="UXZ226" s="35"/>
      <c r="UYA226" s="35"/>
      <c r="UYB226" s="35"/>
      <c r="UYC226" s="35"/>
      <c r="UYD226" s="34"/>
      <c r="UYE226" s="34"/>
      <c r="UYF226" s="36"/>
      <c r="UYG226" s="36"/>
      <c r="UYH226" s="37"/>
      <c r="UYI226" s="37"/>
      <c r="UYJ226" s="38"/>
      <c r="UYK226" s="38"/>
      <c r="UYL226" s="39"/>
      <c r="UYM226" s="34"/>
      <c r="UYN226" s="34"/>
      <c r="UYO226" s="34"/>
      <c r="UYP226" s="35"/>
      <c r="UYQ226" s="35"/>
      <c r="UYR226" s="35"/>
      <c r="UYS226" s="35"/>
      <c r="UYT226" s="35"/>
      <c r="UYU226" s="34"/>
      <c r="UYV226" s="34"/>
      <c r="UYW226" s="36"/>
      <c r="UYX226" s="36"/>
      <c r="UYY226" s="37"/>
      <c r="UYZ226" s="37"/>
      <c r="UZA226" s="38"/>
      <c r="UZB226" s="38"/>
      <c r="UZC226" s="39"/>
      <c r="UZD226" s="34"/>
      <c r="UZE226" s="34"/>
      <c r="UZF226" s="34"/>
      <c r="UZG226" s="35"/>
      <c r="UZH226" s="35"/>
      <c r="UZI226" s="35"/>
      <c r="UZJ226" s="35"/>
      <c r="UZK226" s="35"/>
      <c r="UZL226" s="34"/>
      <c r="UZM226" s="34"/>
      <c r="UZN226" s="36"/>
      <c r="UZO226" s="36"/>
      <c r="UZP226" s="37"/>
      <c r="UZQ226" s="37"/>
      <c r="UZR226" s="38"/>
      <c r="UZS226" s="38"/>
      <c r="UZT226" s="39"/>
      <c r="UZU226" s="34"/>
      <c r="UZV226" s="34"/>
      <c r="UZW226" s="34"/>
      <c r="UZX226" s="35"/>
      <c r="UZY226" s="35"/>
      <c r="UZZ226" s="35"/>
      <c r="VAA226" s="35"/>
      <c r="VAB226" s="35"/>
      <c r="VAC226" s="34"/>
      <c r="VAD226" s="34"/>
      <c r="VAE226" s="36"/>
      <c r="VAF226" s="36"/>
      <c r="VAG226" s="37"/>
      <c r="VAH226" s="37"/>
      <c r="VAI226" s="38"/>
      <c r="VAJ226" s="38"/>
      <c r="VAK226" s="39"/>
      <c r="VAL226" s="34"/>
      <c r="VAM226" s="34"/>
      <c r="VAN226" s="34"/>
      <c r="VAO226" s="35"/>
      <c r="VAP226" s="35"/>
      <c r="VAQ226" s="35"/>
      <c r="VAR226" s="35"/>
      <c r="VAS226" s="35"/>
      <c r="VAT226" s="34"/>
      <c r="VAU226" s="34"/>
      <c r="VAV226" s="36"/>
      <c r="VAW226" s="36"/>
      <c r="VAX226" s="37"/>
      <c r="VAY226" s="37"/>
      <c r="VAZ226" s="38"/>
      <c r="VBA226" s="38"/>
      <c r="VBB226" s="39"/>
      <c r="VBC226" s="34"/>
      <c r="VBD226" s="34"/>
      <c r="VBE226" s="34"/>
      <c r="VBF226" s="35"/>
      <c r="VBG226" s="35"/>
      <c r="VBH226" s="35"/>
      <c r="VBI226" s="35"/>
      <c r="VBJ226" s="35"/>
      <c r="VBK226" s="34"/>
      <c r="VBL226" s="34"/>
      <c r="VBM226" s="36"/>
      <c r="VBN226" s="36"/>
      <c r="VBO226" s="37"/>
      <c r="VBP226" s="37"/>
      <c r="VBQ226" s="38"/>
      <c r="VBR226" s="38"/>
      <c r="VBS226" s="39"/>
      <c r="VBT226" s="34"/>
      <c r="VBU226" s="34"/>
      <c r="VBV226" s="34"/>
      <c r="VBW226" s="35"/>
      <c r="VBX226" s="35"/>
      <c r="VBY226" s="35"/>
      <c r="VBZ226" s="35"/>
      <c r="VCA226" s="35"/>
      <c r="VCB226" s="34"/>
      <c r="VCC226" s="34"/>
      <c r="VCD226" s="36"/>
      <c r="VCE226" s="36"/>
      <c r="VCF226" s="37"/>
      <c r="VCG226" s="37"/>
      <c r="VCH226" s="38"/>
      <c r="VCI226" s="38"/>
      <c r="VCJ226" s="39"/>
      <c r="VCK226" s="34"/>
      <c r="VCL226" s="34"/>
      <c r="VCM226" s="34"/>
      <c r="VCN226" s="35"/>
      <c r="VCO226" s="35"/>
      <c r="VCP226" s="35"/>
      <c r="VCQ226" s="35"/>
      <c r="VCR226" s="35"/>
      <c r="VCS226" s="34"/>
      <c r="VCT226" s="34"/>
      <c r="VCU226" s="36"/>
      <c r="VCV226" s="36"/>
      <c r="VCW226" s="37"/>
      <c r="VCX226" s="37"/>
      <c r="VCY226" s="38"/>
      <c r="VCZ226" s="38"/>
      <c r="VDA226" s="39"/>
      <c r="VDB226" s="34"/>
      <c r="VDC226" s="34"/>
      <c r="VDD226" s="34"/>
      <c r="VDE226" s="35"/>
      <c r="VDF226" s="35"/>
      <c r="VDG226" s="35"/>
      <c r="VDH226" s="35"/>
      <c r="VDI226" s="35"/>
      <c r="VDJ226" s="34"/>
      <c r="VDK226" s="34"/>
      <c r="VDL226" s="36"/>
      <c r="VDM226" s="36"/>
      <c r="VDN226" s="37"/>
      <c r="VDO226" s="37"/>
      <c r="VDP226" s="38"/>
      <c r="VDQ226" s="38"/>
      <c r="VDR226" s="39"/>
      <c r="VDS226" s="34"/>
      <c r="VDT226" s="34"/>
      <c r="VDU226" s="34"/>
      <c r="VDV226" s="35"/>
      <c r="VDW226" s="35"/>
      <c r="VDX226" s="35"/>
      <c r="VDY226" s="35"/>
      <c r="VDZ226" s="35"/>
      <c r="VEA226" s="34"/>
      <c r="VEB226" s="34"/>
      <c r="VEC226" s="36"/>
      <c r="VED226" s="36"/>
      <c r="VEE226" s="37"/>
      <c r="VEF226" s="37"/>
      <c r="VEG226" s="38"/>
      <c r="VEH226" s="38"/>
      <c r="VEI226" s="39"/>
      <c r="VEJ226" s="34"/>
      <c r="VEK226" s="34"/>
      <c r="VEL226" s="34"/>
      <c r="VEM226" s="35"/>
      <c r="VEN226" s="35"/>
      <c r="VEO226" s="35"/>
      <c r="VEP226" s="35"/>
      <c r="VEQ226" s="35"/>
      <c r="VER226" s="34"/>
      <c r="VES226" s="34"/>
      <c r="VET226" s="36"/>
      <c r="VEU226" s="36"/>
      <c r="VEV226" s="37"/>
      <c r="VEW226" s="37"/>
      <c r="VEX226" s="38"/>
      <c r="VEY226" s="38"/>
      <c r="VEZ226" s="39"/>
      <c r="VFA226" s="34"/>
      <c r="VFB226" s="34"/>
      <c r="VFC226" s="34"/>
      <c r="VFD226" s="35"/>
      <c r="VFE226" s="35"/>
      <c r="VFF226" s="35"/>
      <c r="VFG226" s="35"/>
      <c r="VFH226" s="35"/>
      <c r="VFI226" s="34"/>
      <c r="VFJ226" s="34"/>
      <c r="VFK226" s="36"/>
      <c r="VFL226" s="36"/>
      <c r="VFM226" s="37"/>
      <c r="VFN226" s="37"/>
      <c r="VFO226" s="38"/>
      <c r="VFP226" s="38"/>
      <c r="VFQ226" s="39"/>
      <c r="VFR226" s="34"/>
      <c r="VFS226" s="34"/>
      <c r="VFT226" s="34"/>
      <c r="VFU226" s="35"/>
      <c r="VFV226" s="35"/>
      <c r="VFW226" s="35"/>
      <c r="VFX226" s="35"/>
      <c r="VFY226" s="35"/>
      <c r="VFZ226" s="34"/>
      <c r="VGA226" s="34"/>
      <c r="VGB226" s="36"/>
      <c r="VGC226" s="36"/>
      <c r="VGD226" s="37"/>
      <c r="VGE226" s="37"/>
      <c r="VGF226" s="38"/>
      <c r="VGG226" s="38"/>
      <c r="VGH226" s="39"/>
      <c r="VGI226" s="34"/>
      <c r="VGJ226" s="34"/>
      <c r="VGK226" s="34"/>
      <c r="VGL226" s="35"/>
      <c r="VGM226" s="35"/>
      <c r="VGN226" s="35"/>
      <c r="VGO226" s="35"/>
      <c r="VGP226" s="35"/>
      <c r="VGQ226" s="34"/>
      <c r="VGR226" s="34"/>
      <c r="VGS226" s="36"/>
      <c r="VGT226" s="36"/>
      <c r="VGU226" s="37"/>
      <c r="VGV226" s="37"/>
      <c r="VGW226" s="38"/>
      <c r="VGX226" s="38"/>
      <c r="VGY226" s="39"/>
      <c r="VGZ226" s="34"/>
      <c r="VHA226" s="34"/>
      <c r="VHB226" s="34"/>
      <c r="VHC226" s="35"/>
      <c r="VHD226" s="35"/>
      <c r="VHE226" s="35"/>
      <c r="VHF226" s="35"/>
      <c r="VHG226" s="35"/>
      <c r="VHH226" s="34"/>
      <c r="VHI226" s="34"/>
      <c r="VHJ226" s="36"/>
      <c r="VHK226" s="36"/>
      <c r="VHL226" s="37"/>
      <c r="VHM226" s="37"/>
      <c r="VHN226" s="38"/>
      <c r="VHO226" s="38"/>
      <c r="VHP226" s="39"/>
      <c r="VHQ226" s="34"/>
      <c r="VHR226" s="34"/>
      <c r="VHS226" s="34"/>
      <c r="VHT226" s="35"/>
      <c r="VHU226" s="35"/>
      <c r="VHV226" s="35"/>
      <c r="VHW226" s="35"/>
      <c r="VHX226" s="35"/>
      <c r="VHY226" s="34"/>
      <c r="VHZ226" s="34"/>
      <c r="VIA226" s="36"/>
      <c r="VIB226" s="36"/>
      <c r="VIC226" s="37"/>
      <c r="VID226" s="37"/>
      <c r="VIE226" s="38"/>
      <c r="VIF226" s="38"/>
      <c r="VIG226" s="39"/>
      <c r="VIH226" s="34"/>
      <c r="VII226" s="34"/>
      <c r="VIJ226" s="34"/>
      <c r="VIK226" s="35"/>
      <c r="VIL226" s="35"/>
      <c r="VIM226" s="35"/>
      <c r="VIN226" s="35"/>
      <c r="VIO226" s="35"/>
      <c r="VIP226" s="34"/>
      <c r="VIQ226" s="34"/>
      <c r="VIR226" s="36"/>
      <c r="VIS226" s="36"/>
      <c r="VIT226" s="37"/>
      <c r="VIU226" s="37"/>
      <c r="VIV226" s="38"/>
      <c r="VIW226" s="38"/>
      <c r="VIX226" s="39"/>
      <c r="VIY226" s="34"/>
      <c r="VIZ226" s="34"/>
      <c r="VJA226" s="34"/>
      <c r="VJB226" s="35"/>
      <c r="VJC226" s="35"/>
      <c r="VJD226" s="35"/>
      <c r="VJE226" s="35"/>
      <c r="VJF226" s="35"/>
      <c r="VJG226" s="34"/>
      <c r="VJH226" s="34"/>
      <c r="VJI226" s="36"/>
      <c r="VJJ226" s="36"/>
      <c r="VJK226" s="37"/>
      <c r="VJL226" s="37"/>
      <c r="VJM226" s="38"/>
      <c r="VJN226" s="38"/>
      <c r="VJO226" s="39"/>
      <c r="VJP226" s="34"/>
      <c r="VJQ226" s="34"/>
      <c r="VJR226" s="34"/>
      <c r="VJS226" s="35"/>
      <c r="VJT226" s="35"/>
      <c r="VJU226" s="35"/>
      <c r="VJV226" s="35"/>
      <c r="VJW226" s="35"/>
      <c r="VJX226" s="34"/>
      <c r="VJY226" s="34"/>
      <c r="VJZ226" s="36"/>
      <c r="VKA226" s="36"/>
      <c r="VKB226" s="37"/>
      <c r="VKC226" s="37"/>
      <c r="VKD226" s="38"/>
      <c r="VKE226" s="38"/>
      <c r="VKF226" s="39"/>
      <c r="VKG226" s="34"/>
      <c r="VKH226" s="34"/>
      <c r="VKI226" s="34"/>
      <c r="VKJ226" s="35"/>
      <c r="VKK226" s="35"/>
      <c r="VKL226" s="35"/>
      <c r="VKM226" s="35"/>
      <c r="VKN226" s="35"/>
      <c r="VKO226" s="34"/>
      <c r="VKP226" s="34"/>
      <c r="VKQ226" s="36"/>
      <c r="VKR226" s="36"/>
      <c r="VKS226" s="37"/>
      <c r="VKT226" s="37"/>
      <c r="VKU226" s="38"/>
      <c r="VKV226" s="38"/>
      <c r="VKW226" s="39"/>
      <c r="VKX226" s="34"/>
      <c r="VKY226" s="34"/>
      <c r="VKZ226" s="34"/>
      <c r="VLA226" s="35"/>
      <c r="VLB226" s="35"/>
      <c r="VLC226" s="35"/>
      <c r="VLD226" s="35"/>
      <c r="VLE226" s="35"/>
      <c r="VLF226" s="34"/>
      <c r="VLG226" s="34"/>
      <c r="VLH226" s="36"/>
      <c r="VLI226" s="36"/>
      <c r="VLJ226" s="37"/>
      <c r="VLK226" s="37"/>
      <c r="VLL226" s="38"/>
      <c r="VLM226" s="38"/>
      <c r="VLN226" s="39"/>
      <c r="VLO226" s="34"/>
      <c r="VLP226" s="34"/>
      <c r="VLQ226" s="34"/>
      <c r="VLR226" s="35"/>
      <c r="VLS226" s="35"/>
      <c r="VLT226" s="35"/>
      <c r="VLU226" s="35"/>
      <c r="VLV226" s="35"/>
      <c r="VLW226" s="34"/>
      <c r="VLX226" s="34"/>
      <c r="VLY226" s="36"/>
      <c r="VLZ226" s="36"/>
      <c r="VMA226" s="37"/>
      <c r="VMB226" s="37"/>
      <c r="VMC226" s="38"/>
      <c r="VMD226" s="38"/>
      <c r="VME226" s="39"/>
      <c r="VMF226" s="34"/>
      <c r="VMG226" s="34"/>
      <c r="VMH226" s="34"/>
      <c r="VMI226" s="35"/>
      <c r="VMJ226" s="35"/>
      <c r="VMK226" s="35"/>
      <c r="VML226" s="35"/>
      <c r="VMM226" s="35"/>
      <c r="VMN226" s="34"/>
      <c r="VMO226" s="34"/>
      <c r="VMP226" s="36"/>
      <c r="VMQ226" s="36"/>
      <c r="VMR226" s="37"/>
      <c r="VMS226" s="37"/>
      <c r="VMT226" s="38"/>
      <c r="VMU226" s="38"/>
      <c r="VMV226" s="39"/>
      <c r="VMW226" s="34"/>
      <c r="VMX226" s="34"/>
      <c r="VMY226" s="34"/>
      <c r="VMZ226" s="35"/>
      <c r="VNA226" s="35"/>
      <c r="VNB226" s="35"/>
      <c r="VNC226" s="35"/>
      <c r="VND226" s="35"/>
      <c r="VNE226" s="34"/>
      <c r="VNF226" s="34"/>
      <c r="VNG226" s="36"/>
      <c r="VNH226" s="36"/>
      <c r="VNI226" s="37"/>
      <c r="VNJ226" s="37"/>
      <c r="VNK226" s="38"/>
      <c r="VNL226" s="38"/>
      <c r="VNM226" s="39"/>
      <c r="VNN226" s="34"/>
      <c r="VNO226" s="34"/>
      <c r="VNP226" s="34"/>
      <c r="VNQ226" s="35"/>
      <c r="VNR226" s="35"/>
      <c r="VNS226" s="35"/>
      <c r="VNT226" s="35"/>
      <c r="VNU226" s="35"/>
      <c r="VNV226" s="34"/>
      <c r="VNW226" s="34"/>
      <c r="VNX226" s="36"/>
      <c r="VNY226" s="36"/>
      <c r="VNZ226" s="37"/>
      <c r="VOA226" s="37"/>
      <c r="VOB226" s="38"/>
      <c r="VOC226" s="38"/>
      <c r="VOD226" s="39"/>
      <c r="VOE226" s="34"/>
      <c r="VOF226" s="34"/>
      <c r="VOG226" s="34"/>
      <c r="VOH226" s="35"/>
      <c r="VOI226" s="35"/>
      <c r="VOJ226" s="35"/>
      <c r="VOK226" s="35"/>
      <c r="VOL226" s="35"/>
      <c r="VOM226" s="34"/>
      <c r="VON226" s="34"/>
      <c r="VOO226" s="36"/>
      <c r="VOP226" s="36"/>
      <c r="VOQ226" s="37"/>
      <c r="VOR226" s="37"/>
      <c r="VOS226" s="38"/>
      <c r="VOT226" s="38"/>
      <c r="VOU226" s="39"/>
      <c r="VOV226" s="34"/>
      <c r="VOW226" s="34"/>
      <c r="VOX226" s="34"/>
      <c r="VOY226" s="35"/>
      <c r="VOZ226" s="35"/>
      <c r="VPA226" s="35"/>
      <c r="VPB226" s="35"/>
      <c r="VPC226" s="35"/>
      <c r="VPD226" s="34"/>
      <c r="VPE226" s="34"/>
      <c r="VPF226" s="36"/>
      <c r="VPG226" s="36"/>
      <c r="VPH226" s="37"/>
      <c r="VPI226" s="37"/>
      <c r="VPJ226" s="38"/>
      <c r="VPK226" s="38"/>
      <c r="VPL226" s="39"/>
      <c r="VPM226" s="34"/>
      <c r="VPN226" s="34"/>
      <c r="VPO226" s="34"/>
      <c r="VPP226" s="35"/>
      <c r="VPQ226" s="35"/>
      <c r="VPR226" s="35"/>
      <c r="VPS226" s="35"/>
      <c r="VPT226" s="35"/>
      <c r="VPU226" s="34"/>
      <c r="VPV226" s="34"/>
      <c r="VPW226" s="36"/>
      <c r="VPX226" s="36"/>
      <c r="VPY226" s="37"/>
      <c r="VPZ226" s="37"/>
      <c r="VQA226" s="38"/>
      <c r="VQB226" s="38"/>
      <c r="VQC226" s="39"/>
      <c r="VQD226" s="34"/>
      <c r="VQE226" s="34"/>
      <c r="VQF226" s="34"/>
      <c r="VQG226" s="35"/>
      <c r="VQH226" s="35"/>
      <c r="VQI226" s="35"/>
      <c r="VQJ226" s="35"/>
      <c r="VQK226" s="35"/>
      <c r="VQL226" s="34"/>
      <c r="VQM226" s="34"/>
      <c r="VQN226" s="36"/>
      <c r="VQO226" s="36"/>
      <c r="VQP226" s="37"/>
      <c r="VQQ226" s="37"/>
      <c r="VQR226" s="38"/>
      <c r="VQS226" s="38"/>
      <c r="VQT226" s="39"/>
      <c r="VQU226" s="34"/>
      <c r="VQV226" s="34"/>
      <c r="VQW226" s="34"/>
      <c r="VQX226" s="35"/>
      <c r="VQY226" s="35"/>
      <c r="VQZ226" s="35"/>
      <c r="VRA226" s="35"/>
      <c r="VRB226" s="35"/>
      <c r="VRC226" s="34"/>
      <c r="VRD226" s="34"/>
      <c r="VRE226" s="36"/>
      <c r="VRF226" s="36"/>
      <c r="VRG226" s="37"/>
      <c r="VRH226" s="37"/>
      <c r="VRI226" s="38"/>
      <c r="VRJ226" s="38"/>
      <c r="VRK226" s="39"/>
      <c r="VRL226" s="34"/>
      <c r="VRM226" s="34"/>
      <c r="VRN226" s="34"/>
      <c r="VRO226" s="35"/>
      <c r="VRP226" s="35"/>
      <c r="VRQ226" s="35"/>
      <c r="VRR226" s="35"/>
      <c r="VRS226" s="35"/>
      <c r="VRT226" s="34"/>
      <c r="VRU226" s="34"/>
      <c r="VRV226" s="36"/>
      <c r="VRW226" s="36"/>
      <c r="VRX226" s="37"/>
      <c r="VRY226" s="37"/>
      <c r="VRZ226" s="38"/>
      <c r="VSA226" s="38"/>
      <c r="VSB226" s="39"/>
      <c r="VSC226" s="34"/>
      <c r="VSD226" s="34"/>
      <c r="VSE226" s="34"/>
      <c r="VSF226" s="35"/>
      <c r="VSG226" s="35"/>
      <c r="VSH226" s="35"/>
      <c r="VSI226" s="35"/>
      <c r="VSJ226" s="35"/>
      <c r="VSK226" s="34"/>
      <c r="VSL226" s="34"/>
      <c r="VSM226" s="36"/>
      <c r="VSN226" s="36"/>
      <c r="VSO226" s="37"/>
      <c r="VSP226" s="37"/>
      <c r="VSQ226" s="38"/>
      <c r="VSR226" s="38"/>
      <c r="VSS226" s="39"/>
      <c r="VST226" s="34"/>
      <c r="VSU226" s="34"/>
      <c r="VSV226" s="34"/>
      <c r="VSW226" s="35"/>
      <c r="VSX226" s="35"/>
      <c r="VSY226" s="35"/>
      <c r="VSZ226" s="35"/>
      <c r="VTA226" s="35"/>
      <c r="VTB226" s="34"/>
      <c r="VTC226" s="34"/>
      <c r="VTD226" s="36"/>
      <c r="VTE226" s="36"/>
      <c r="VTF226" s="37"/>
      <c r="VTG226" s="37"/>
      <c r="VTH226" s="38"/>
      <c r="VTI226" s="38"/>
      <c r="VTJ226" s="39"/>
      <c r="VTK226" s="34"/>
      <c r="VTL226" s="34"/>
      <c r="VTM226" s="34"/>
      <c r="VTN226" s="35"/>
      <c r="VTO226" s="35"/>
      <c r="VTP226" s="35"/>
      <c r="VTQ226" s="35"/>
      <c r="VTR226" s="35"/>
      <c r="VTS226" s="34"/>
      <c r="VTT226" s="34"/>
      <c r="VTU226" s="36"/>
      <c r="VTV226" s="36"/>
      <c r="VTW226" s="37"/>
      <c r="VTX226" s="37"/>
      <c r="VTY226" s="38"/>
      <c r="VTZ226" s="38"/>
      <c r="VUA226" s="39"/>
      <c r="VUB226" s="34"/>
      <c r="VUC226" s="34"/>
      <c r="VUD226" s="34"/>
      <c r="VUE226" s="35"/>
      <c r="VUF226" s="35"/>
      <c r="VUG226" s="35"/>
      <c r="VUH226" s="35"/>
      <c r="VUI226" s="35"/>
      <c r="VUJ226" s="34"/>
      <c r="VUK226" s="34"/>
      <c r="VUL226" s="36"/>
      <c r="VUM226" s="36"/>
      <c r="VUN226" s="37"/>
      <c r="VUO226" s="37"/>
      <c r="VUP226" s="38"/>
      <c r="VUQ226" s="38"/>
      <c r="VUR226" s="39"/>
      <c r="VUS226" s="34"/>
      <c r="VUT226" s="34"/>
      <c r="VUU226" s="34"/>
      <c r="VUV226" s="35"/>
      <c r="VUW226" s="35"/>
      <c r="VUX226" s="35"/>
      <c r="VUY226" s="35"/>
      <c r="VUZ226" s="35"/>
      <c r="VVA226" s="34"/>
      <c r="VVB226" s="34"/>
      <c r="VVC226" s="36"/>
      <c r="VVD226" s="36"/>
      <c r="VVE226" s="37"/>
      <c r="VVF226" s="37"/>
      <c r="VVG226" s="38"/>
      <c r="VVH226" s="38"/>
      <c r="VVI226" s="39"/>
      <c r="VVJ226" s="34"/>
      <c r="VVK226" s="34"/>
      <c r="VVL226" s="34"/>
      <c r="VVM226" s="35"/>
      <c r="VVN226" s="35"/>
      <c r="VVO226" s="35"/>
      <c r="VVP226" s="35"/>
      <c r="VVQ226" s="35"/>
      <c r="VVR226" s="34"/>
      <c r="VVS226" s="34"/>
      <c r="VVT226" s="36"/>
      <c r="VVU226" s="36"/>
      <c r="VVV226" s="37"/>
      <c r="VVW226" s="37"/>
      <c r="VVX226" s="38"/>
      <c r="VVY226" s="38"/>
      <c r="VVZ226" s="39"/>
      <c r="VWA226" s="34"/>
      <c r="VWB226" s="34"/>
      <c r="VWC226" s="34"/>
      <c r="VWD226" s="35"/>
      <c r="VWE226" s="35"/>
      <c r="VWF226" s="35"/>
      <c r="VWG226" s="35"/>
      <c r="VWH226" s="35"/>
      <c r="VWI226" s="34"/>
      <c r="VWJ226" s="34"/>
      <c r="VWK226" s="36"/>
      <c r="VWL226" s="36"/>
      <c r="VWM226" s="37"/>
      <c r="VWN226" s="37"/>
      <c r="VWO226" s="38"/>
      <c r="VWP226" s="38"/>
      <c r="VWQ226" s="39"/>
      <c r="VWR226" s="34"/>
      <c r="VWS226" s="34"/>
      <c r="VWT226" s="34"/>
      <c r="VWU226" s="35"/>
      <c r="VWV226" s="35"/>
      <c r="VWW226" s="35"/>
      <c r="VWX226" s="35"/>
      <c r="VWY226" s="35"/>
      <c r="VWZ226" s="34"/>
      <c r="VXA226" s="34"/>
      <c r="VXB226" s="36"/>
      <c r="VXC226" s="36"/>
      <c r="VXD226" s="37"/>
      <c r="VXE226" s="37"/>
      <c r="VXF226" s="38"/>
      <c r="VXG226" s="38"/>
      <c r="VXH226" s="39"/>
      <c r="VXI226" s="34"/>
      <c r="VXJ226" s="34"/>
      <c r="VXK226" s="34"/>
      <c r="VXL226" s="35"/>
      <c r="VXM226" s="35"/>
      <c r="VXN226" s="35"/>
      <c r="VXO226" s="35"/>
      <c r="VXP226" s="35"/>
      <c r="VXQ226" s="34"/>
      <c r="VXR226" s="34"/>
      <c r="VXS226" s="36"/>
      <c r="VXT226" s="36"/>
      <c r="VXU226" s="37"/>
      <c r="VXV226" s="37"/>
      <c r="VXW226" s="38"/>
      <c r="VXX226" s="38"/>
      <c r="VXY226" s="39"/>
      <c r="VXZ226" s="34"/>
      <c r="VYA226" s="34"/>
      <c r="VYB226" s="34"/>
      <c r="VYC226" s="35"/>
      <c r="VYD226" s="35"/>
      <c r="VYE226" s="35"/>
      <c r="VYF226" s="35"/>
      <c r="VYG226" s="35"/>
      <c r="VYH226" s="34"/>
      <c r="VYI226" s="34"/>
      <c r="VYJ226" s="36"/>
      <c r="VYK226" s="36"/>
      <c r="VYL226" s="37"/>
      <c r="VYM226" s="37"/>
      <c r="VYN226" s="38"/>
      <c r="VYO226" s="38"/>
      <c r="VYP226" s="39"/>
      <c r="VYQ226" s="34"/>
      <c r="VYR226" s="34"/>
      <c r="VYS226" s="34"/>
      <c r="VYT226" s="35"/>
      <c r="VYU226" s="35"/>
      <c r="VYV226" s="35"/>
      <c r="VYW226" s="35"/>
      <c r="VYX226" s="35"/>
      <c r="VYY226" s="34"/>
      <c r="VYZ226" s="34"/>
      <c r="VZA226" s="36"/>
      <c r="VZB226" s="36"/>
      <c r="VZC226" s="37"/>
      <c r="VZD226" s="37"/>
      <c r="VZE226" s="38"/>
      <c r="VZF226" s="38"/>
      <c r="VZG226" s="39"/>
      <c r="VZH226" s="34"/>
      <c r="VZI226" s="34"/>
      <c r="VZJ226" s="34"/>
      <c r="VZK226" s="35"/>
      <c r="VZL226" s="35"/>
      <c r="VZM226" s="35"/>
      <c r="VZN226" s="35"/>
      <c r="VZO226" s="35"/>
      <c r="VZP226" s="34"/>
      <c r="VZQ226" s="34"/>
      <c r="VZR226" s="36"/>
      <c r="VZS226" s="36"/>
      <c r="VZT226" s="37"/>
      <c r="VZU226" s="37"/>
      <c r="VZV226" s="38"/>
      <c r="VZW226" s="38"/>
      <c r="VZX226" s="39"/>
      <c r="VZY226" s="34"/>
      <c r="VZZ226" s="34"/>
      <c r="WAA226" s="34"/>
      <c r="WAB226" s="35"/>
      <c r="WAC226" s="35"/>
      <c r="WAD226" s="35"/>
      <c r="WAE226" s="35"/>
      <c r="WAF226" s="35"/>
      <c r="WAG226" s="34"/>
      <c r="WAH226" s="34"/>
      <c r="WAI226" s="36"/>
      <c r="WAJ226" s="36"/>
      <c r="WAK226" s="37"/>
      <c r="WAL226" s="37"/>
      <c r="WAM226" s="38"/>
      <c r="WAN226" s="38"/>
      <c r="WAO226" s="39"/>
      <c r="WAP226" s="34"/>
      <c r="WAQ226" s="34"/>
      <c r="WAR226" s="34"/>
      <c r="WAS226" s="35"/>
      <c r="WAT226" s="35"/>
      <c r="WAU226" s="35"/>
      <c r="WAV226" s="35"/>
      <c r="WAW226" s="35"/>
      <c r="WAX226" s="34"/>
      <c r="WAY226" s="34"/>
      <c r="WAZ226" s="36"/>
      <c r="WBA226" s="36"/>
      <c r="WBB226" s="37"/>
      <c r="WBC226" s="37"/>
      <c r="WBD226" s="38"/>
      <c r="WBE226" s="38"/>
      <c r="WBF226" s="39"/>
      <c r="WBG226" s="34"/>
      <c r="WBH226" s="34"/>
      <c r="WBI226" s="34"/>
      <c r="WBJ226" s="35"/>
      <c r="WBK226" s="35"/>
      <c r="WBL226" s="35"/>
      <c r="WBM226" s="35"/>
      <c r="WBN226" s="35"/>
      <c r="WBO226" s="34"/>
      <c r="WBP226" s="34"/>
      <c r="WBQ226" s="36"/>
      <c r="WBR226" s="36"/>
      <c r="WBS226" s="37"/>
      <c r="WBT226" s="37"/>
      <c r="WBU226" s="38"/>
      <c r="WBV226" s="38"/>
      <c r="WBW226" s="39"/>
      <c r="WBX226" s="34"/>
      <c r="WBY226" s="34"/>
      <c r="WBZ226" s="34"/>
      <c r="WCA226" s="35"/>
      <c r="WCB226" s="35"/>
      <c r="WCC226" s="35"/>
      <c r="WCD226" s="35"/>
      <c r="WCE226" s="35"/>
      <c r="WCF226" s="34"/>
      <c r="WCG226" s="34"/>
      <c r="WCH226" s="36"/>
      <c r="WCI226" s="36"/>
      <c r="WCJ226" s="37"/>
      <c r="WCK226" s="37"/>
      <c r="WCL226" s="38"/>
      <c r="WCM226" s="38"/>
      <c r="WCN226" s="39"/>
      <c r="WCO226" s="34"/>
      <c r="WCP226" s="34"/>
      <c r="WCQ226" s="34"/>
      <c r="WCR226" s="35"/>
      <c r="WCS226" s="35"/>
      <c r="WCT226" s="35"/>
      <c r="WCU226" s="35"/>
      <c r="WCV226" s="35"/>
      <c r="WCW226" s="34"/>
      <c r="WCX226" s="34"/>
      <c r="WCY226" s="36"/>
      <c r="WCZ226" s="36"/>
      <c r="WDA226" s="37"/>
      <c r="WDB226" s="37"/>
      <c r="WDC226" s="38"/>
      <c r="WDD226" s="38"/>
      <c r="WDE226" s="39"/>
      <c r="WDF226" s="34"/>
      <c r="WDG226" s="34"/>
      <c r="WDH226" s="34"/>
      <c r="WDI226" s="35"/>
      <c r="WDJ226" s="35"/>
      <c r="WDK226" s="35"/>
      <c r="WDL226" s="35"/>
      <c r="WDM226" s="35"/>
      <c r="WDN226" s="34"/>
      <c r="WDO226" s="34"/>
      <c r="WDP226" s="36"/>
      <c r="WDQ226" s="36"/>
      <c r="WDR226" s="37"/>
      <c r="WDS226" s="37"/>
      <c r="WDT226" s="38"/>
      <c r="WDU226" s="38"/>
      <c r="WDV226" s="39"/>
      <c r="WDW226" s="34"/>
      <c r="WDX226" s="34"/>
      <c r="WDY226" s="34"/>
      <c r="WDZ226" s="35"/>
      <c r="WEA226" s="35"/>
      <c r="WEB226" s="35"/>
      <c r="WEC226" s="35"/>
      <c r="WED226" s="35"/>
      <c r="WEE226" s="34"/>
      <c r="WEF226" s="34"/>
      <c r="WEG226" s="36"/>
      <c r="WEH226" s="36"/>
      <c r="WEI226" s="37"/>
      <c r="WEJ226" s="37"/>
      <c r="WEK226" s="38"/>
      <c r="WEL226" s="38"/>
      <c r="WEM226" s="39"/>
      <c r="WEN226" s="34"/>
      <c r="WEO226" s="34"/>
      <c r="WEP226" s="34"/>
      <c r="WEQ226" s="35"/>
      <c r="WER226" s="35"/>
      <c r="WES226" s="35"/>
      <c r="WET226" s="35"/>
      <c r="WEU226" s="35"/>
      <c r="WEV226" s="34"/>
      <c r="WEW226" s="34"/>
      <c r="WEX226" s="36"/>
      <c r="WEY226" s="36"/>
      <c r="WEZ226" s="37"/>
      <c r="WFA226" s="37"/>
      <c r="WFB226" s="38"/>
      <c r="WFC226" s="38"/>
      <c r="WFD226" s="39"/>
      <c r="WFE226" s="34"/>
      <c r="WFF226" s="34"/>
      <c r="WFG226" s="34"/>
      <c r="WFH226" s="35"/>
      <c r="WFI226" s="35"/>
      <c r="WFJ226" s="35"/>
      <c r="WFK226" s="35"/>
      <c r="WFL226" s="35"/>
      <c r="WFM226" s="34"/>
      <c r="WFN226" s="34"/>
      <c r="WFO226" s="36"/>
      <c r="WFP226" s="36"/>
      <c r="WFQ226" s="37"/>
      <c r="WFR226" s="37"/>
      <c r="WFS226" s="38"/>
      <c r="WFT226" s="38"/>
      <c r="WFU226" s="39"/>
      <c r="WFV226" s="34"/>
      <c r="WFW226" s="34"/>
      <c r="WFX226" s="34"/>
      <c r="WFY226" s="35"/>
      <c r="WFZ226" s="35"/>
      <c r="WGA226" s="35"/>
      <c r="WGB226" s="35"/>
      <c r="WGC226" s="35"/>
      <c r="WGD226" s="34"/>
      <c r="WGE226" s="34"/>
      <c r="WGF226" s="36"/>
      <c r="WGG226" s="36"/>
      <c r="WGH226" s="37"/>
      <c r="WGI226" s="37"/>
      <c r="WGJ226" s="38"/>
      <c r="WGK226" s="38"/>
      <c r="WGL226" s="39"/>
      <c r="WGM226" s="34"/>
      <c r="WGN226" s="34"/>
      <c r="WGO226" s="34"/>
      <c r="WGP226" s="35"/>
      <c r="WGQ226" s="35"/>
      <c r="WGR226" s="35"/>
      <c r="WGS226" s="35"/>
      <c r="WGT226" s="35"/>
      <c r="WGU226" s="34"/>
      <c r="WGV226" s="34"/>
      <c r="WGW226" s="36"/>
      <c r="WGX226" s="36"/>
      <c r="WGY226" s="37"/>
      <c r="WGZ226" s="37"/>
      <c r="WHA226" s="38"/>
      <c r="WHB226" s="38"/>
      <c r="WHC226" s="39"/>
      <c r="WHD226" s="34"/>
      <c r="WHE226" s="34"/>
      <c r="WHF226" s="34"/>
      <c r="WHG226" s="35"/>
      <c r="WHH226" s="35"/>
      <c r="WHI226" s="35"/>
      <c r="WHJ226" s="35"/>
      <c r="WHK226" s="35"/>
      <c r="WHL226" s="34"/>
      <c r="WHM226" s="34"/>
      <c r="WHN226" s="36"/>
      <c r="WHO226" s="36"/>
      <c r="WHP226" s="37"/>
      <c r="WHQ226" s="37"/>
      <c r="WHR226" s="38"/>
      <c r="WHS226" s="38"/>
      <c r="WHT226" s="39"/>
      <c r="WHU226" s="34"/>
      <c r="WHV226" s="34"/>
      <c r="WHW226" s="34"/>
      <c r="WHX226" s="35"/>
      <c r="WHY226" s="35"/>
      <c r="WHZ226" s="35"/>
      <c r="WIA226" s="35"/>
      <c r="WIB226" s="35"/>
      <c r="WIC226" s="34"/>
      <c r="WID226" s="34"/>
      <c r="WIE226" s="36"/>
      <c r="WIF226" s="36"/>
      <c r="WIG226" s="37"/>
      <c r="WIH226" s="37"/>
      <c r="WII226" s="38"/>
      <c r="WIJ226" s="38"/>
      <c r="WIK226" s="39"/>
      <c r="WIL226" s="34"/>
      <c r="WIM226" s="34"/>
      <c r="WIN226" s="34"/>
      <c r="WIO226" s="35"/>
      <c r="WIP226" s="35"/>
      <c r="WIQ226" s="35"/>
      <c r="WIR226" s="35"/>
      <c r="WIS226" s="35"/>
      <c r="WIT226" s="34"/>
      <c r="WIU226" s="34"/>
      <c r="WIV226" s="36"/>
      <c r="WIW226" s="36"/>
      <c r="WIX226" s="37"/>
      <c r="WIY226" s="37"/>
      <c r="WIZ226" s="38"/>
      <c r="WJA226" s="38"/>
      <c r="WJB226" s="39"/>
      <c r="WJC226" s="34"/>
      <c r="WJD226" s="34"/>
      <c r="WJE226" s="34"/>
      <c r="WJF226" s="35"/>
      <c r="WJG226" s="35"/>
      <c r="WJH226" s="35"/>
      <c r="WJI226" s="35"/>
      <c r="WJJ226" s="35"/>
      <c r="WJK226" s="34"/>
      <c r="WJL226" s="34"/>
      <c r="WJM226" s="36"/>
      <c r="WJN226" s="36"/>
      <c r="WJO226" s="37"/>
      <c r="WJP226" s="37"/>
      <c r="WJQ226" s="38"/>
      <c r="WJR226" s="38"/>
      <c r="WJS226" s="39"/>
      <c r="WJT226" s="34"/>
      <c r="WJU226" s="34"/>
      <c r="WJV226" s="34"/>
      <c r="WJW226" s="35"/>
      <c r="WJX226" s="35"/>
      <c r="WJY226" s="35"/>
      <c r="WJZ226" s="35"/>
      <c r="WKA226" s="35"/>
      <c r="WKB226" s="34"/>
      <c r="WKC226" s="34"/>
      <c r="WKD226" s="36"/>
      <c r="WKE226" s="36"/>
      <c r="WKF226" s="37"/>
      <c r="WKG226" s="37"/>
      <c r="WKH226" s="38"/>
      <c r="WKI226" s="38"/>
      <c r="WKJ226" s="39"/>
      <c r="WKK226" s="34"/>
      <c r="WKL226" s="34"/>
      <c r="WKM226" s="34"/>
      <c r="WKN226" s="35"/>
      <c r="WKO226" s="35"/>
      <c r="WKP226" s="35"/>
      <c r="WKQ226" s="35"/>
      <c r="WKR226" s="35"/>
      <c r="WKS226" s="34"/>
      <c r="WKT226" s="34"/>
      <c r="WKU226" s="36"/>
      <c r="WKV226" s="36"/>
      <c r="WKW226" s="37"/>
      <c r="WKX226" s="37"/>
      <c r="WKY226" s="38"/>
      <c r="WKZ226" s="38"/>
      <c r="WLA226" s="39"/>
      <c r="WLB226" s="34"/>
      <c r="WLC226" s="34"/>
      <c r="WLD226" s="34"/>
      <c r="WLE226" s="35"/>
      <c r="WLF226" s="35"/>
      <c r="WLG226" s="35"/>
      <c r="WLH226" s="35"/>
      <c r="WLI226" s="35"/>
      <c r="WLJ226" s="34"/>
      <c r="WLK226" s="34"/>
      <c r="WLL226" s="36"/>
      <c r="WLM226" s="36"/>
      <c r="WLN226" s="37"/>
      <c r="WLO226" s="37"/>
      <c r="WLP226" s="38"/>
      <c r="WLQ226" s="38"/>
      <c r="WLR226" s="39"/>
      <c r="WLS226" s="34"/>
      <c r="WLT226" s="34"/>
      <c r="WLU226" s="34"/>
      <c r="WLV226" s="35"/>
      <c r="WLW226" s="35"/>
      <c r="WLX226" s="35"/>
      <c r="WLY226" s="35"/>
      <c r="WLZ226" s="35"/>
      <c r="WMA226" s="34"/>
      <c r="WMB226" s="34"/>
      <c r="WMC226" s="36"/>
      <c r="WMD226" s="36"/>
      <c r="WME226" s="37"/>
      <c r="WMF226" s="37"/>
      <c r="WMG226" s="38"/>
      <c r="WMH226" s="38"/>
      <c r="WMI226" s="39"/>
      <c r="WMJ226" s="34"/>
      <c r="WMK226" s="34"/>
      <c r="WML226" s="34"/>
      <c r="WMM226" s="35"/>
      <c r="WMN226" s="35"/>
      <c r="WMO226" s="35"/>
      <c r="WMP226" s="35"/>
      <c r="WMQ226" s="35"/>
      <c r="WMR226" s="34"/>
      <c r="WMS226" s="34"/>
      <c r="WMT226" s="36"/>
      <c r="WMU226" s="36"/>
      <c r="WMV226" s="37"/>
      <c r="WMW226" s="37"/>
      <c r="WMX226" s="38"/>
      <c r="WMY226" s="38"/>
      <c r="WMZ226" s="39"/>
      <c r="WNA226" s="34"/>
      <c r="WNB226" s="34"/>
      <c r="WNC226" s="34"/>
      <c r="WND226" s="35"/>
      <c r="WNE226" s="35"/>
      <c r="WNF226" s="35"/>
      <c r="WNG226" s="35"/>
      <c r="WNH226" s="35"/>
      <c r="WNI226" s="34"/>
      <c r="WNJ226" s="34"/>
      <c r="WNK226" s="36"/>
      <c r="WNL226" s="36"/>
      <c r="WNM226" s="37"/>
      <c r="WNN226" s="37"/>
      <c r="WNO226" s="38"/>
      <c r="WNP226" s="38"/>
      <c r="WNQ226" s="39"/>
      <c r="WNR226" s="34"/>
      <c r="WNS226" s="34"/>
      <c r="WNT226" s="34"/>
      <c r="WNU226" s="35"/>
      <c r="WNV226" s="35"/>
      <c r="WNW226" s="35"/>
      <c r="WNX226" s="35"/>
      <c r="WNY226" s="35"/>
      <c r="WNZ226" s="34"/>
      <c r="WOA226" s="34"/>
      <c r="WOB226" s="36"/>
      <c r="WOC226" s="36"/>
      <c r="WOD226" s="37"/>
      <c r="WOE226" s="37"/>
      <c r="WOF226" s="38"/>
      <c r="WOG226" s="38"/>
      <c r="WOH226" s="39"/>
      <c r="WOI226" s="34"/>
      <c r="WOJ226" s="34"/>
      <c r="WOK226" s="34"/>
      <c r="WOL226" s="35"/>
      <c r="WOM226" s="35"/>
      <c r="WON226" s="35"/>
      <c r="WOO226" s="35"/>
      <c r="WOP226" s="35"/>
      <c r="WOQ226" s="34"/>
      <c r="WOR226" s="34"/>
      <c r="WOS226" s="36"/>
      <c r="WOT226" s="36"/>
      <c r="WOU226" s="37"/>
      <c r="WOV226" s="37"/>
      <c r="WOW226" s="38"/>
      <c r="WOX226" s="38"/>
      <c r="WOY226" s="39"/>
      <c r="WOZ226" s="34"/>
      <c r="WPA226" s="34"/>
      <c r="WPB226" s="34"/>
      <c r="WPC226" s="35"/>
      <c r="WPD226" s="35"/>
      <c r="WPE226" s="35"/>
      <c r="WPF226" s="35"/>
      <c r="WPG226" s="35"/>
      <c r="WPH226" s="34"/>
      <c r="WPI226" s="34"/>
      <c r="WPJ226" s="36"/>
      <c r="WPK226" s="36"/>
      <c r="WPL226" s="37"/>
      <c r="WPM226" s="37"/>
      <c r="WPN226" s="38"/>
      <c r="WPO226" s="38"/>
      <c r="WPP226" s="39"/>
      <c r="WPQ226" s="34"/>
      <c r="WPR226" s="34"/>
      <c r="WPS226" s="34"/>
      <c r="WPT226" s="35"/>
      <c r="WPU226" s="35"/>
      <c r="WPV226" s="35"/>
      <c r="WPW226" s="35"/>
      <c r="WPX226" s="35"/>
      <c r="WPY226" s="34"/>
      <c r="WPZ226" s="34"/>
      <c r="WQA226" s="36"/>
      <c r="WQB226" s="36"/>
      <c r="WQC226" s="37"/>
      <c r="WQD226" s="37"/>
      <c r="WQE226" s="38"/>
      <c r="WQF226" s="38"/>
      <c r="WQG226" s="39"/>
      <c r="WQH226" s="34"/>
      <c r="WQI226" s="34"/>
      <c r="WQJ226" s="34"/>
      <c r="WQK226" s="35"/>
      <c r="WQL226" s="35"/>
      <c r="WQM226" s="35"/>
      <c r="WQN226" s="35"/>
      <c r="WQO226" s="35"/>
      <c r="WQP226" s="34"/>
      <c r="WQQ226" s="34"/>
      <c r="WQR226" s="36"/>
      <c r="WQS226" s="36"/>
      <c r="WQT226" s="37"/>
      <c r="WQU226" s="37"/>
      <c r="WQV226" s="38"/>
      <c r="WQW226" s="38"/>
      <c r="WQX226" s="39"/>
      <c r="WQY226" s="34"/>
      <c r="WQZ226" s="34"/>
      <c r="WRA226" s="34"/>
      <c r="WRB226" s="35"/>
      <c r="WRC226" s="35"/>
      <c r="WRD226" s="35"/>
      <c r="WRE226" s="35"/>
      <c r="WRF226" s="35"/>
      <c r="WRG226" s="34"/>
      <c r="WRH226" s="34"/>
      <c r="WRI226" s="36"/>
      <c r="WRJ226" s="36"/>
      <c r="WRK226" s="37"/>
      <c r="WRL226" s="37"/>
      <c r="WRM226" s="38"/>
      <c r="WRN226" s="38"/>
      <c r="WRO226" s="39"/>
      <c r="WRP226" s="34"/>
      <c r="WRQ226" s="34"/>
      <c r="WRR226" s="34"/>
      <c r="WRS226" s="35"/>
      <c r="WRT226" s="35"/>
      <c r="WRU226" s="35"/>
      <c r="WRV226" s="35"/>
      <c r="WRW226" s="35"/>
      <c r="WRX226" s="34"/>
      <c r="WRY226" s="34"/>
      <c r="WRZ226" s="36"/>
      <c r="WSA226" s="36"/>
      <c r="WSB226" s="37"/>
      <c r="WSC226" s="37"/>
      <c r="WSD226" s="38"/>
      <c r="WSE226" s="38"/>
      <c r="WSF226" s="39"/>
      <c r="WSG226" s="34"/>
      <c r="WSH226" s="34"/>
      <c r="WSI226" s="34"/>
      <c r="WSJ226" s="35"/>
      <c r="WSK226" s="35"/>
      <c r="WSL226" s="35"/>
      <c r="WSM226" s="35"/>
      <c r="WSN226" s="35"/>
      <c r="WSO226" s="34"/>
      <c r="WSP226" s="34"/>
      <c r="WSQ226" s="36"/>
      <c r="WSR226" s="36"/>
      <c r="WSS226" s="37"/>
      <c r="WST226" s="37"/>
      <c r="WSU226" s="38"/>
      <c r="WSV226" s="38"/>
      <c r="WSW226" s="39"/>
      <c r="WSX226" s="34"/>
      <c r="WSY226" s="34"/>
      <c r="WSZ226" s="34"/>
      <c r="WTA226" s="35"/>
      <c r="WTB226" s="35"/>
      <c r="WTC226" s="35"/>
      <c r="WTD226" s="35"/>
      <c r="WTE226" s="35"/>
      <c r="WTF226" s="34"/>
      <c r="WTG226" s="34"/>
      <c r="WTH226" s="36"/>
      <c r="WTI226" s="36"/>
      <c r="WTJ226" s="37"/>
      <c r="WTK226" s="37"/>
      <c r="WTL226" s="38"/>
      <c r="WTM226" s="38"/>
      <c r="WTN226" s="39"/>
      <c r="WTO226" s="34"/>
      <c r="WTP226" s="34"/>
      <c r="WTQ226" s="34"/>
      <c r="WTR226" s="35"/>
      <c r="WTS226" s="35"/>
      <c r="WTT226" s="35"/>
      <c r="WTU226" s="35"/>
      <c r="WTV226" s="35"/>
      <c r="WTW226" s="34"/>
      <c r="WTX226" s="34"/>
      <c r="WTY226" s="36"/>
      <c r="WTZ226" s="36"/>
      <c r="WUA226" s="37"/>
      <c r="WUB226" s="37"/>
      <c r="WUC226" s="38"/>
      <c r="WUD226" s="38"/>
      <c r="WUE226" s="39"/>
      <c r="WUF226" s="34"/>
      <c r="WUG226" s="34"/>
      <c r="WUH226" s="34"/>
      <c r="WUI226" s="35"/>
      <c r="WUJ226" s="35"/>
      <c r="WUK226" s="35"/>
      <c r="WUL226" s="35"/>
      <c r="WUM226" s="35"/>
      <c r="WUN226" s="34"/>
      <c r="WUO226" s="34"/>
      <c r="WUP226" s="36"/>
      <c r="WUQ226" s="36"/>
      <c r="WUR226" s="37"/>
      <c r="WUS226" s="37"/>
      <c r="WUT226" s="38"/>
      <c r="WUU226" s="38"/>
      <c r="WUV226" s="39"/>
      <c r="WUW226" s="34"/>
      <c r="WUX226" s="34"/>
      <c r="WUY226" s="34"/>
      <c r="WUZ226" s="35"/>
      <c r="WVA226" s="35"/>
      <c r="WVB226" s="35"/>
      <c r="WVC226" s="35"/>
      <c r="WVD226" s="35"/>
      <c r="WVE226" s="34"/>
      <c r="WVF226" s="34"/>
      <c r="WVG226" s="36"/>
      <c r="WVH226" s="36"/>
      <c r="WVI226" s="37"/>
      <c r="WVJ226" s="37"/>
      <c r="WVK226" s="38"/>
      <c r="WVL226" s="38"/>
      <c r="WVM226" s="39"/>
      <c r="WVN226" s="34"/>
      <c r="WVO226" s="34"/>
      <c r="WVP226" s="34"/>
      <c r="WVQ226" s="35"/>
      <c r="WVR226" s="35"/>
      <c r="WVS226" s="35"/>
      <c r="WVT226" s="35"/>
      <c r="WVU226" s="35"/>
      <c r="WVV226" s="34"/>
      <c r="WVW226" s="34"/>
      <c r="WVX226" s="36"/>
      <c r="WVY226" s="36"/>
      <c r="WVZ226" s="37"/>
      <c r="WWA226" s="37"/>
      <c r="WWB226" s="38"/>
      <c r="WWC226" s="38"/>
      <c r="WWD226" s="39"/>
      <c r="WWE226" s="34"/>
      <c r="WWF226" s="34"/>
      <c r="WWG226" s="34"/>
      <c r="WWH226" s="35"/>
      <c r="WWI226" s="35"/>
      <c r="WWJ226" s="35"/>
      <c r="WWK226" s="35"/>
      <c r="WWL226" s="35"/>
      <c r="WWM226" s="34"/>
      <c r="WWN226" s="34"/>
      <c r="WWO226" s="36"/>
      <c r="WWP226" s="36"/>
      <c r="WWQ226" s="37"/>
      <c r="WWR226" s="37"/>
      <c r="WWS226" s="38"/>
      <c r="WWT226" s="38"/>
      <c r="WWU226" s="39"/>
      <c r="WWV226" s="34"/>
      <c r="WWW226" s="34"/>
      <c r="WWX226" s="34"/>
      <c r="WWY226" s="35"/>
      <c r="WWZ226" s="35"/>
      <c r="WXA226" s="35"/>
      <c r="WXB226" s="35"/>
      <c r="WXC226" s="35"/>
      <c r="WXD226" s="34"/>
      <c r="WXE226" s="34"/>
      <c r="WXF226" s="36"/>
      <c r="WXG226" s="36"/>
      <c r="WXH226" s="37"/>
      <c r="WXI226" s="37"/>
      <c r="WXJ226" s="38"/>
      <c r="WXK226" s="38"/>
      <c r="WXL226" s="39"/>
      <c r="WXM226" s="34"/>
      <c r="WXN226" s="34"/>
      <c r="WXO226" s="34"/>
      <c r="WXP226" s="35"/>
      <c r="WXQ226" s="35"/>
      <c r="WXR226" s="35"/>
      <c r="WXS226" s="35"/>
      <c r="WXT226" s="35"/>
      <c r="WXU226" s="34"/>
      <c r="WXV226" s="34"/>
      <c r="WXW226" s="36"/>
      <c r="WXX226" s="36"/>
      <c r="WXY226" s="37"/>
      <c r="WXZ226" s="37"/>
      <c r="WYA226" s="38"/>
      <c r="WYB226" s="38"/>
      <c r="WYC226" s="39"/>
      <c r="WYD226" s="34"/>
      <c r="WYE226" s="34"/>
      <c r="WYF226" s="34"/>
      <c r="WYG226" s="35"/>
      <c r="WYH226" s="35"/>
      <c r="WYI226" s="35"/>
      <c r="WYJ226" s="35"/>
      <c r="WYK226" s="35"/>
      <c r="WYL226" s="34"/>
      <c r="WYM226" s="34"/>
      <c r="WYN226" s="36"/>
      <c r="WYO226" s="36"/>
      <c r="WYP226" s="37"/>
      <c r="WYQ226" s="37"/>
      <c r="WYR226" s="38"/>
      <c r="WYS226" s="38"/>
      <c r="WYT226" s="39"/>
      <c r="WYU226" s="34"/>
      <c r="WYV226" s="34"/>
      <c r="WYW226" s="34"/>
      <c r="WYX226" s="35"/>
      <c r="WYY226" s="35"/>
      <c r="WYZ226" s="35"/>
      <c r="WZA226" s="35"/>
      <c r="WZB226" s="35"/>
      <c r="WZC226" s="34"/>
      <c r="WZD226" s="34"/>
      <c r="WZE226" s="36"/>
      <c r="WZF226" s="36"/>
      <c r="WZG226" s="37"/>
      <c r="WZH226" s="37"/>
      <c r="WZI226" s="38"/>
      <c r="WZJ226" s="38"/>
      <c r="WZK226" s="39"/>
      <c r="WZL226" s="34"/>
      <c r="WZM226" s="34"/>
      <c r="WZN226" s="34"/>
      <c r="WZO226" s="35"/>
      <c r="WZP226" s="35"/>
      <c r="WZQ226" s="35"/>
      <c r="WZR226" s="35"/>
      <c r="WZS226" s="35"/>
      <c r="WZT226" s="34"/>
      <c r="WZU226" s="34"/>
      <c r="WZV226" s="36"/>
      <c r="WZW226" s="36"/>
      <c r="WZX226" s="37"/>
      <c r="WZY226" s="37"/>
      <c r="WZZ226" s="38"/>
      <c r="XAA226" s="38"/>
      <c r="XAB226" s="39"/>
      <c r="XAC226" s="34"/>
      <c r="XAD226" s="34"/>
      <c r="XAE226" s="34"/>
      <c r="XAF226" s="35"/>
      <c r="XAG226" s="35"/>
      <c r="XAH226" s="35"/>
      <c r="XAI226" s="35"/>
      <c r="XAJ226" s="35"/>
      <c r="XAK226" s="34"/>
      <c r="XAL226" s="34"/>
      <c r="XAM226" s="36"/>
      <c r="XAN226" s="36"/>
      <c r="XAO226" s="37"/>
      <c r="XAP226" s="37"/>
      <c r="XAQ226" s="38"/>
      <c r="XAR226" s="38"/>
      <c r="XAS226" s="39"/>
      <c r="XAT226" s="34"/>
      <c r="XAU226" s="34"/>
      <c r="XAV226" s="34"/>
      <c r="XAW226" s="35"/>
      <c r="XAX226" s="35"/>
      <c r="XAY226" s="35"/>
      <c r="XAZ226" s="35"/>
      <c r="XBA226" s="35"/>
      <c r="XBB226" s="34"/>
      <c r="XBC226" s="34"/>
      <c r="XBD226" s="36"/>
      <c r="XBE226" s="36"/>
      <c r="XBF226" s="37"/>
      <c r="XBG226" s="37"/>
      <c r="XBH226" s="38"/>
      <c r="XBI226" s="38"/>
      <c r="XBJ226" s="39"/>
      <c r="XBK226" s="34"/>
      <c r="XBL226" s="34"/>
      <c r="XBM226" s="34"/>
      <c r="XBN226" s="35"/>
      <c r="XBO226" s="35"/>
      <c r="XBP226" s="35"/>
      <c r="XBQ226" s="35"/>
      <c r="XBR226" s="35"/>
      <c r="XBS226" s="34"/>
      <c r="XBT226" s="34"/>
      <c r="XBU226" s="36"/>
      <c r="XBV226" s="36"/>
      <c r="XBW226" s="37"/>
      <c r="XBX226" s="37"/>
      <c r="XBY226" s="38"/>
      <c r="XBZ226" s="38"/>
      <c r="XCA226" s="39"/>
      <c r="XCB226" s="34"/>
      <c r="XCC226" s="34"/>
      <c r="XCD226" s="34"/>
      <c r="XCE226" s="35"/>
      <c r="XCF226" s="35"/>
      <c r="XCG226" s="35"/>
      <c r="XCH226" s="35"/>
      <c r="XCI226" s="35"/>
      <c r="XCJ226" s="34"/>
      <c r="XCK226" s="34"/>
      <c r="XCL226" s="36"/>
      <c r="XCM226" s="36"/>
      <c r="XCN226" s="37"/>
      <c r="XCO226" s="37"/>
      <c r="XCP226" s="38"/>
      <c r="XCQ226" s="38"/>
      <c r="XCR226" s="39"/>
      <c r="XCS226" s="34"/>
      <c r="XCT226" s="34"/>
      <c r="XCU226" s="34"/>
      <c r="XCV226" s="35"/>
      <c r="XCW226" s="35"/>
      <c r="XCX226" s="35"/>
      <c r="XCY226" s="35"/>
      <c r="XCZ226" s="35"/>
      <c r="XDA226" s="34"/>
      <c r="XDB226" s="34"/>
      <c r="XDC226" s="36"/>
      <c r="XDD226" s="36"/>
      <c r="XDE226" s="37"/>
      <c r="XDF226" s="37"/>
      <c r="XDG226" s="38"/>
      <c r="XDH226" s="38"/>
      <c r="XDI226" s="39"/>
      <c r="XDJ226" s="34"/>
      <c r="XDK226" s="34"/>
      <c r="XDL226" s="34"/>
      <c r="XDM226" s="35"/>
      <c r="XDN226" s="35"/>
      <c r="XDO226" s="35"/>
      <c r="XDP226" s="35"/>
      <c r="XDQ226" s="35"/>
      <c r="XDR226" s="34"/>
      <c r="XDS226" s="34"/>
      <c r="XDT226" s="36"/>
      <c r="XDU226" s="36"/>
      <c r="XDV226" s="37"/>
      <c r="XDW226" s="37"/>
      <c r="XDX226" s="38"/>
      <c r="XDY226" s="38"/>
      <c r="XDZ226" s="39"/>
      <c r="XEA226" s="34"/>
      <c r="XEB226" s="34"/>
      <c r="XEC226" s="34"/>
      <c r="XED226" s="35"/>
      <c r="XEE226" s="35"/>
      <c r="XEF226" s="35"/>
      <c r="XEG226" s="35"/>
      <c r="XEH226" s="35"/>
      <c r="XEI226" s="34"/>
      <c r="XEJ226" s="34"/>
      <c r="XEK226" s="36"/>
      <c r="XEL226" s="36"/>
      <c r="XEM226" s="37"/>
      <c r="XEN226" s="37"/>
      <c r="XEO226" s="38"/>
      <c r="XEP226" s="38"/>
      <c r="XEQ226" s="39"/>
      <c r="XER226" s="34"/>
      <c r="XES226" s="34"/>
      <c r="XET226" s="34"/>
      <c r="XEU226" s="35"/>
      <c r="XEV226" s="35"/>
      <c r="XEW226" s="35"/>
      <c r="XEX226" s="35"/>
      <c r="XEY226" s="35"/>
      <c r="XEZ226" s="34"/>
      <c r="XFA226" s="34"/>
      <c r="XFB226" s="36"/>
      <c r="XFC226" s="36"/>
      <c r="XFD226" s="37"/>
    </row>
    <row r="227" spans="1:16384" s="2" customFormat="1" ht="14.25" customHeight="1" x14ac:dyDescent="0.25">
      <c r="A227" s="34">
        <v>0</v>
      </c>
      <c r="B227" s="34">
        <v>1</v>
      </c>
      <c r="C227" s="34">
        <v>6</v>
      </c>
      <c r="D227" s="35" t="s">
        <v>982</v>
      </c>
      <c r="E227" s="35" t="s">
        <v>166</v>
      </c>
      <c r="F227" s="35" t="s">
        <v>980</v>
      </c>
      <c r="G227" s="35" t="s">
        <v>1109</v>
      </c>
      <c r="H227" s="35" t="s">
        <v>355</v>
      </c>
      <c r="I227" s="34" t="s">
        <v>981</v>
      </c>
      <c r="J227" s="34">
        <v>1</v>
      </c>
      <c r="K227" s="36" t="s">
        <v>960</v>
      </c>
      <c r="L227" s="36" t="s">
        <v>693</v>
      </c>
      <c r="M227" s="37" t="s">
        <v>1406</v>
      </c>
      <c r="N227" s="37" t="s">
        <v>1752</v>
      </c>
      <c r="O227" s="38">
        <v>1</v>
      </c>
      <c r="P227" s="38"/>
      <c r="Q227" s="35"/>
      <c r="R227" s="1"/>
      <c r="S227" s="1">
        <f t="shared" si="117"/>
        <v>1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1</v>
      </c>
      <c r="AF227" s="1">
        <f t="shared" si="113"/>
        <v>0</v>
      </c>
      <c r="AG227" s="1">
        <f t="shared" si="114"/>
        <v>1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7">
        <v>0</v>
      </c>
      <c r="B228" s="47">
        <v>1</v>
      </c>
      <c r="C228" s="47">
        <v>6</v>
      </c>
      <c r="D228" s="48" t="s">
        <v>523</v>
      </c>
      <c r="E228" s="48" t="s">
        <v>168</v>
      </c>
      <c r="F228" s="48" t="s">
        <v>524</v>
      </c>
      <c r="G228" s="48" t="s">
        <v>525</v>
      </c>
      <c r="H228" s="48" t="s">
        <v>355</v>
      </c>
      <c r="I228" s="47" t="s">
        <v>526</v>
      </c>
      <c r="J228" s="47">
        <v>99</v>
      </c>
      <c r="K228" s="49" t="s">
        <v>706</v>
      </c>
      <c r="L228" s="49" t="s">
        <v>698</v>
      </c>
      <c r="M228" s="50" t="s">
        <v>711</v>
      </c>
      <c r="N228" s="50" t="s">
        <v>1813</v>
      </c>
      <c r="O228" s="51"/>
      <c r="P228" s="51"/>
      <c r="Q228" s="48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0</v>
      </c>
      <c r="AI228" s="1">
        <f t="shared" si="116"/>
        <v>1</v>
      </c>
      <c r="AJ228" s="1"/>
    </row>
    <row r="229" spans="1:16384" s="2" customFormat="1" ht="14.25" customHeight="1" x14ac:dyDescent="0.25">
      <c r="A229" s="41">
        <v>0</v>
      </c>
      <c r="B229" s="41">
        <v>1</v>
      </c>
      <c r="C229" s="41">
        <v>6</v>
      </c>
      <c r="D229" s="42" t="s">
        <v>1841</v>
      </c>
      <c r="E229" s="42" t="s">
        <v>1842</v>
      </c>
      <c r="F229" s="42" t="s">
        <v>1843</v>
      </c>
      <c r="G229" s="42"/>
      <c r="H229" s="42" t="s">
        <v>355</v>
      </c>
      <c r="I229" s="41" t="s">
        <v>1844</v>
      </c>
      <c r="J229" s="41"/>
      <c r="K229" s="43" t="s">
        <v>707</v>
      </c>
      <c r="L229" s="43"/>
      <c r="M229" s="44"/>
      <c r="N229" s="45"/>
      <c r="O229" s="46"/>
      <c r="P229" s="46">
        <v>1</v>
      </c>
      <c r="Q229" s="42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1</v>
      </c>
      <c r="AI229" s="1">
        <f t="shared" si="116"/>
        <v>0</v>
      </c>
      <c r="AJ229" s="1"/>
    </row>
    <row r="230" spans="1:16384" s="2" customFormat="1" ht="14.25" customHeight="1" x14ac:dyDescent="0.25">
      <c r="A230" s="47">
        <v>0</v>
      </c>
      <c r="B230" s="47">
        <v>1</v>
      </c>
      <c r="C230" s="47">
        <v>6</v>
      </c>
      <c r="D230" s="48" t="s">
        <v>1484</v>
      </c>
      <c r="E230" s="48" t="s">
        <v>168</v>
      </c>
      <c r="F230" s="48" t="s">
        <v>1486</v>
      </c>
      <c r="G230" s="48" t="s">
        <v>1487</v>
      </c>
      <c r="H230" s="48" t="s">
        <v>355</v>
      </c>
      <c r="I230" s="47" t="s">
        <v>1485</v>
      </c>
      <c r="J230" s="47">
        <v>99</v>
      </c>
      <c r="K230" s="49" t="s">
        <v>707</v>
      </c>
      <c r="L230" s="49">
        <v>62</v>
      </c>
      <c r="M230" s="50"/>
      <c r="N230" s="50" t="s">
        <v>1738</v>
      </c>
      <c r="O230" s="51"/>
      <c r="P230" s="51"/>
      <c r="Q230" s="48"/>
      <c r="R230" s="1"/>
      <c r="S230" s="1">
        <f t="shared" si="117"/>
        <v>0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0</v>
      </c>
      <c r="AF230" s="1">
        <f t="shared" si="113"/>
        <v>0</v>
      </c>
      <c r="AG230" s="1">
        <f t="shared" si="114"/>
        <v>0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1200</v>
      </c>
      <c r="E231" s="35" t="s">
        <v>166</v>
      </c>
      <c r="F231" s="35" t="s">
        <v>1674</v>
      </c>
      <c r="G231" s="35" t="s">
        <v>214</v>
      </c>
      <c r="H231" s="35" t="s">
        <v>355</v>
      </c>
      <c r="I231" s="34" t="s">
        <v>1201</v>
      </c>
      <c r="J231" s="34">
        <v>1</v>
      </c>
      <c r="K231" s="36" t="s">
        <v>966</v>
      </c>
      <c r="L231" s="36" t="s">
        <v>690</v>
      </c>
      <c r="M231" s="37" t="s">
        <v>1576</v>
      </c>
      <c r="N231" s="37" t="s">
        <v>1759</v>
      </c>
      <c r="O231" s="38">
        <v>1</v>
      </c>
      <c r="P231" s="38"/>
      <c r="Q231" s="35"/>
      <c r="R231" s="1"/>
      <c r="S231" s="1">
        <f t="shared" si="117"/>
        <v>1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0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98</v>
      </c>
      <c r="E232" s="35" t="s">
        <v>168</v>
      </c>
      <c r="F232" s="35" t="s">
        <v>297</v>
      </c>
      <c r="G232" s="35" t="s">
        <v>286</v>
      </c>
      <c r="H232" s="35" t="s">
        <v>355</v>
      </c>
      <c r="I232" s="34" t="s">
        <v>1122</v>
      </c>
      <c r="J232" s="34">
        <v>10</v>
      </c>
      <c r="K232" s="36" t="s">
        <v>960</v>
      </c>
      <c r="L232" s="36" t="s">
        <v>698</v>
      </c>
      <c r="M232" s="37" t="s">
        <v>709</v>
      </c>
      <c r="N232" s="37" t="s">
        <v>1753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1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605</v>
      </c>
      <c r="E233" s="35" t="s">
        <v>166</v>
      </c>
      <c r="F233" s="35" t="s">
        <v>607</v>
      </c>
      <c r="G233" s="35" t="s">
        <v>39</v>
      </c>
      <c r="H233" s="35" t="s">
        <v>355</v>
      </c>
      <c r="I233" s="34" t="s">
        <v>606</v>
      </c>
      <c r="J233" s="34">
        <v>99</v>
      </c>
      <c r="K233" s="36" t="s">
        <v>960</v>
      </c>
      <c r="L233" s="36" t="s">
        <v>697</v>
      </c>
      <c r="M233" s="37" t="s">
        <v>974</v>
      </c>
      <c r="N233" s="37" t="s">
        <v>1753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0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1166</v>
      </c>
      <c r="E234" s="35" t="s">
        <v>166</v>
      </c>
      <c r="F234" s="35" t="s">
        <v>1168</v>
      </c>
      <c r="G234" s="35" t="s">
        <v>221</v>
      </c>
      <c r="H234" s="35" t="s">
        <v>355</v>
      </c>
      <c r="I234" s="34" t="s">
        <v>1167</v>
      </c>
      <c r="J234" s="34">
        <v>8</v>
      </c>
      <c r="K234" s="36" t="s">
        <v>706</v>
      </c>
      <c r="L234" s="36" t="s">
        <v>1717</v>
      </c>
      <c r="M234" s="37" t="s">
        <v>1407</v>
      </c>
      <c r="N234" s="37" t="s">
        <v>1752</v>
      </c>
      <c r="O234" s="38">
        <v>1</v>
      </c>
      <c r="P234" s="38"/>
      <c r="Q234" s="35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1</v>
      </c>
      <c r="AA234" s="1">
        <f t="shared" si="125"/>
        <v>0</v>
      </c>
      <c r="AB234" s="1">
        <f t="shared" si="126"/>
        <v>0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34">
        <v>0</v>
      </c>
      <c r="B235" s="34">
        <v>1</v>
      </c>
      <c r="C235" s="34">
        <v>6</v>
      </c>
      <c r="D235" s="35" t="s">
        <v>566</v>
      </c>
      <c r="E235" s="35" t="s">
        <v>168</v>
      </c>
      <c r="F235" s="35" t="s">
        <v>664</v>
      </c>
      <c r="G235" s="35" t="s">
        <v>203</v>
      </c>
      <c r="H235" s="35" t="s">
        <v>355</v>
      </c>
      <c r="I235" s="34" t="s">
        <v>585</v>
      </c>
      <c r="J235" s="34">
        <v>10</v>
      </c>
      <c r="K235" s="36" t="s">
        <v>966</v>
      </c>
      <c r="L235" s="36" t="s">
        <v>697</v>
      </c>
      <c r="M235" s="37" t="s">
        <v>709</v>
      </c>
      <c r="N235" s="37" t="s">
        <v>1752</v>
      </c>
      <c r="O235" s="38">
        <v>1</v>
      </c>
      <c r="P235" s="38"/>
      <c r="Q235" s="39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1</v>
      </c>
      <c r="AC235" s="1"/>
      <c r="AD235" s="1">
        <f t="shared" si="127"/>
        <v>0</v>
      </c>
      <c r="AE235" s="1">
        <f t="shared" si="128"/>
        <v>1</v>
      </c>
      <c r="AF235" s="1">
        <f t="shared" si="113"/>
        <v>0</v>
      </c>
      <c r="AG235" s="1">
        <f t="shared" si="114"/>
        <v>1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47">
        <v>0</v>
      </c>
      <c r="B236" s="47">
        <v>1</v>
      </c>
      <c r="C236" s="47">
        <v>6</v>
      </c>
      <c r="D236" s="48" t="s">
        <v>901</v>
      </c>
      <c r="E236" s="48" t="s">
        <v>168</v>
      </c>
      <c r="F236" s="48" t="s">
        <v>942</v>
      </c>
      <c r="G236" s="48" t="s">
        <v>943</v>
      </c>
      <c r="H236" s="48" t="s">
        <v>355</v>
      </c>
      <c r="I236" s="47" t="s">
        <v>957</v>
      </c>
      <c r="J236" s="47">
        <v>99</v>
      </c>
      <c r="K236" s="49" t="s">
        <v>706</v>
      </c>
      <c r="L236" s="49" t="s">
        <v>693</v>
      </c>
      <c r="M236" s="50" t="s">
        <v>1408</v>
      </c>
      <c r="N236" s="50" t="s">
        <v>1742</v>
      </c>
      <c r="O236" s="51"/>
      <c r="P236" s="51"/>
      <c r="Q236" s="48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0</v>
      </c>
      <c r="AF236" s="1">
        <f t="shared" si="113"/>
        <v>0</v>
      </c>
      <c r="AG236" s="1">
        <f t="shared" si="114"/>
        <v>0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34">
        <v>0</v>
      </c>
      <c r="B237" s="34">
        <v>1</v>
      </c>
      <c r="C237" s="34">
        <v>6</v>
      </c>
      <c r="D237" s="35" t="s">
        <v>100</v>
      </c>
      <c r="E237" s="35" t="s">
        <v>168</v>
      </c>
      <c r="F237" s="35" t="s">
        <v>665</v>
      </c>
      <c r="G237" s="35" t="s">
        <v>667</v>
      </c>
      <c r="H237" s="35" t="s">
        <v>355</v>
      </c>
      <c r="I237" s="34" t="s">
        <v>448</v>
      </c>
      <c r="J237" s="34">
        <v>99</v>
      </c>
      <c r="K237" s="36" t="s">
        <v>726</v>
      </c>
      <c r="L237" s="36" t="s">
        <v>700</v>
      </c>
      <c r="M237" s="37" t="s">
        <v>711</v>
      </c>
      <c r="N237" s="37" t="s">
        <v>1753</v>
      </c>
      <c r="O237" s="38">
        <v>1</v>
      </c>
      <c r="P237" s="38"/>
      <c r="Q237" s="35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1</v>
      </c>
      <c r="AF237" s="1">
        <f t="shared" si="113"/>
        <v>0</v>
      </c>
      <c r="AG237" s="1">
        <f t="shared" si="114"/>
        <v>1</v>
      </c>
      <c r="AH237" s="1">
        <f t="shared" si="115"/>
        <v>0</v>
      </c>
      <c r="AI237" s="1">
        <f t="shared" si="116"/>
        <v>1</v>
      </c>
      <c r="AJ237" s="1"/>
    </row>
    <row r="238" spans="1:16384" s="2" customFormat="1" ht="14.25" customHeight="1" x14ac:dyDescent="0.25">
      <c r="A238" s="41">
        <v>0</v>
      </c>
      <c r="B238" s="41">
        <v>1</v>
      </c>
      <c r="C238" s="41">
        <v>7</v>
      </c>
      <c r="D238" s="42" t="s">
        <v>86</v>
      </c>
      <c r="E238" s="42" t="s">
        <v>29</v>
      </c>
      <c r="F238" s="42" t="s">
        <v>666</v>
      </c>
      <c r="G238" s="42" t="s">
        <v>667</v>
      </c>
      <c r="H238" s="42" t="s">
        <v>355</v>
      </c>
      <c r="I238" s="41" t="s">
        <v>633</v>
      </c>
      <c r="J238" s="41">
        <v>99</v>
      </c>
      <c r="K238" s="43" t="s">
        <v>958</v>
      </c>
      <c r="L238" s="43" t="s">
        <v>697</v>
      </c>
      <c r="M238" s="44" t="s">
        <v>1409</v>
      </c>
      <c r="N238" s="45"/>
      <c r="O238" s="46"/>
      <c r="P238" s="46">
        <v>1</v>
      </c>
      <c r="Q238" s="42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1</v>
      </c>
      <c r="AI238" s="1">
        <f t="shared" si="116"/>
        <v>0</v>
      </c>
      <c r="AJ238" s="1"/>
    </row>
    <row r="239" spans="1:16384" s="2" customFormat="1" ht="14.25" customHeight="1" x14ac:dyDescent="0.25">
      <c r="A239" s="47">
        <v>0</v>
      </c>
      <c r="B239" s="47">
        <v>1</v>
      </c>
      <c r="C239" s="47">
        <v>7</v>
      </c>
      <c r="D239" s="48" t="s">
        <v>652</v>
      </c>
      <c r="E239" s="48" t="s">
        <v>29</v>
      </c>
      <c r="F239" s="48" t="s">
        <v>628</v>
      </c>
      <c r="G239" s="48" t="s">
        <v>233</v>
      </c>
      <c r="H239" s="48" t="s">
        <v>355</v>
      </c>
      <c r="I239" s="47" t="s">
        <v>629</v>
      </c>
      <c r="J239" s="47">
        <v>99</v>
      </c>
      <c r="K239" s="49" t="s">
        <v>717</v>
      </c>
      <c r="L239" s="49" t="s">
        <v>700</v>
      </c>
      <c r="M239" s="50" t="s">
        <v>977</v>
      </c>
      <c r="N239" s="50" t="s">
        <v>1813</v>
      </c>
      <c r="O239" s="51"/>
      <c r="P239" s="51"/>
      <c r="Q239" s="48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15">
        <v>0</v>
      </c>
      <c r="B240" s="15">
        <v>1</v>
      </c>
      <c r="C240" s="15">
        <v>7</v>
      </c>
      <c r="D240" s="16" t="s">
        <v>987</v>
      </c>
      <c r="E240" s="16" t="s">
        <v>29</v>
      </c>
      <c r="F240" s="16" t="s">
        <v>988</v>
      </c>
      <c r="G240" s="16" t="s">
        <v>989</v>
      </c>
      <c r="H240" s="16" t="s">
        <v>355</v>
      </c>
      <c r="I240" s="15" t="s">
        <v>986</v>
      </c>
      <c r="J240" s="15">
        <v>99</v>
      </c>
      <c r="K240" s="10" t="s">
        <v>707</v>
      </c>
      <c r="L240" s="10">
        <v>20</v>
      </c>
      <c r="M240" s="19" t="s">
        <v>977</v>
      </c>
      <c r="N240" s="19"/>
      <c r="O240" s="1"/>
      <c r="P240" s="1"/>
      <c r="Q240" s="16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0</v>
      </c>
      <c r="AI240" s="1">
        <f t="shared" si="116"/>
        <v>1</v>
      </c>
      <c r="AJ240" s="1"/>
    </row>
    <row r="241" spans="1:36" s="2" customFormat="1" ht="14.25" customHeight="1" x14ac:dyDescent="0.25">
      <c r="A241" s="41">
        <v>0</v>
      </c>
      <c r="B241" s="41">
        <v>1</v>
      </c>
      <c r="C241" s="41">
        <v>7</v>
      </c>
      <c r="D241" s="42" t="s">
        <v>593</v>
      </c>
      <c r="E241" s="42" t="s">
        <v>29</v>
      </c>
      <c r="F241" s="42" t="s">
        <v>594</v>
      </c>
      <c r="G241" s="42" t="s">
        <v>1077</v>
      </c>
      <c r="H241" s="42" t="s">
        <v>355</v>
      </c>
      <c r="I241" s="41" t="s">
        <v>595</v>
      </c>
      <c r="J241" s="41">
        <v>99</v>
      </c>
      <c r="K241" s="43" t="s">
        <v>707</v>
      </c>
      <c r="L241" s="43">
        <v>35</v>
      </c>
      <c r="M241" s="44" t="s">
        <v>1409</v>
      </c>
      <c r="N241" s="44"/>
      <c r="O241" s="46"/>
      <c r="P241" s="46">
        <v>1</v>
      </c>
      <c r="Q241" s="42"/>
      <c r="R241" s="1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C241" s="1"/>
      <c r="AD241" s="1">
        <f t="shared" si="127"/>
        <v>0</v>
      </c>
      <c r="AE241" s="1">
        <f t="shared" si="128"/>
        <v>0</v>
      </c>
      <c r="AF241" s="1">
        <f t="shared" si="113"/>
        <v>0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  <c r="AJ241" s="1"/>
    </row>
    <row r="242" spans="1:36" s="2" customFormat="1" ht="14.25" customHeight="1" x14ac:dyDescent="0.25">
      <c r="A242" s="41">
        <v>0</v>
      </c>
      <c r="B242" s="41">
        <v>1</v>
      </c>
      <c r="C242" s="41">
        <v>7</v>
      </c>
      <c r="D242" s="42" t="s">
        <v>1631</v>
      </c>
      <c r="E242" s="42" t="s">
        <v>29</v>
      </c>
      <c r="F242" s="42" t="s">
        <v>1686</v>
      </c>
      <c r="G242" s="42" t="s">
        <v>313</v>
      </c>
      <c r="H242" s="42" t="s">
        <v>355</v>
      </c>
      <c r="I242" s="41" t="s">
        <v>1632</v>
      </c>
      <c r="J242" s="41"/>
      <c r="K242" s="43" t="s">
        <v>717</v>
      </c>
      <c r="L242" s="43">
        <v>45</v>
      </c>
      <c r="M242" s="44" t="s">
        <v>1804</v>
      </c>
      <c r="N242" s="45"/>
      <c r="O242" s="46"/>
      <c r="P242" s="46">
        <v>1</v>
      </c>
      <c r="Q242" s="42"/>
      <c r="R242" s="1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0</v>
      </c>
      <c r="AC242" s="1"/>
      <c r="AD242" s="1">
        <f t="shared" si="127"/>
        <v>0</v>
      </c>
      <c r="AE242" s="1">
        <f t="shared" si="128"/>
        <v>0</v>
      </c>
      <c r="AF242" s="1">
        <f t="shared" si="113"/>
        <v>0</v>
      </c>
      <c r="AG242" s="1">
        <f t="shared" si="114"/>
        <v>0</v>
      </c>
      <c r="AH242" s="1">
        <f t="shared" si="115"/>
        <v>1</v>
      </c>
      <c r="AI242" s="1">
        <f t="shared" si="116"/>
        <v>0</v>
      </c>
      <c r="AJ242" s="1"/>
    </row>
    <row r="243" spans="1:36" s="2" customFormat="1" ht="14.25" customHeight="1" x14ac:dyDescent="0.25">
      <c r="A243" s="34">
        <v>0</v>
      </c>
      <c r="B243" s="34">
        <v>1</v>
      </c>
      <c r="C243" s="34">
        <v>7</v>
      </c>
      <c r="D243" s="35" t="s">
        <v>863</v>
      </c>
      <c r="E243" s="35" t="s">
        <v>29</v>
      </c>
      <c r="F243" s="35" t="s">
        <v>864</v>
      </c>
      <c r="G243" s="35" t="s">
        <v>203</v>
      </c>
      <c r="H243" s="35" t="s">
        <v>355</v>
      </c>
      <c r="I243" s="34" t="s">
        <v>865</v>
      </c>
      <c r="J243" s="34">
        <v>10</v>
      </c>
      <c r="K243" s="36" t="s">
        <v>717</v>
      </c>
      <c r="L243" s="36" t="s">
        <v>697</v>
      </c>
      <c r="M243" s="37" t="s">
        <v>1409</v>
      </c>
      <c r="N243" s="37" t="s">
        <v>1759</v>
      </c>
      <c r="O243" s="38">
        <v>1</v>
      </c>
      <c r="P243" s="38"/>
      <c r="Q243" s="35"/>
      <c r="R243" s="1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0</v>
      </c>
      <c r="Z243" s="1">
        <f t="shared" si="124"/>
        <v>0</v>
      </c>
      <c r="AA243" s="1">
        <f t="shared" si="125"/>
        <v>0</v>
      </c>
      <c r="AB243" s="1">
        <f t="shared" si="126"/>
        <v>1</v>
      </c>
      <c r="AC243" s="1"/>
      <c r="AD243" s="1">
        <f t="shared" si="127"/>
        <v>0</v>
      </c>
      <c r="AE243" s="1">
        <f t="shared" si="128"/>
        <v>1</v>
      </c>
      <c r="AF243" s="1">
        <f t="shared" si="113"/>
        <v>0</v>
      </c>
      <c r="AG243" s="1">
        <f t="shared" si="114"/>
        <v>1</v>
      </c>
      <c r="AH243" s="1">
        <f t="shared" si="115"/>
        <v>0</v>
      </c>
      <c r="AI243" s="1">
        <f t="shared" si="116"/>
        <v>1</v>
      </c>
      <c r="AJ243" s="1"/>
    </row>
    <row r="244" spans="1:36" s="2" customFormat="1" ht="14.25" customHeight="1" x14ac:dyDescent="0.25">
      <c r="A244" s="34">
        <v>0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281</v>
      </c>
      <c r="G244" s="35" t="s">
        <v>231</v>
      </c>
      <c r="H244" s="35" t="s">
        <v>355</v>
      </c>
      <c r="I244" s="34" t="s">
        <v>436</v>
      </c>
      <c r="J244" s="34">
        <v>7</v>
      </c>
      <c r="K244" s="36" t="s">
        <v>717</v>
      </c>
      <c r="L244" s="36" t="s">
        <v>700</v>
      </c>
      <c r="M244" s="37" t="s">
        <v>977</v>
      </c>
      <c r="N244" s="37" t="s">
        <v>1731</v>
      </c>
      <c r="O244" s="38">
        <v>1</v>
      </c>
      <c r="P244" s="38">
        <v>1</v>
      </c>
      <c r="Q244" s="35"/>
      <c r="R244" s="1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1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C244" s="1"/>
      <c r="AD244" s="1">
        <f t="shared" si="127"/>
        <v>1</v>
      </c>
      <c r="AE244" s="1">
        <f t="shared" si="128"/>
        <v>0</v>
      </c>
      <c r="AF244" s="1">
        <f t="shared" si="113"/>
        <v>1</v>
      </c>
      <c r="AG244" s="1">
        <f t="shared" si="114"/>
        <v>0</v>
      </c>
      <c r="AH244" s="1">
        <f t="shared" si="115"/>
        <v>1</v>
      </c>
      <c r="AI244" s="1">
        <f t="shared" si="116"/>
        <v>0</v>
      </c>
      <c r="AJ244" s="1"/>
    </row>
    <row r="245" spans="1:36" s="2" customFormat="1" ht="14.25" customHeight="1" x14ac:dyDescent="0.25">
      <c r="A245" s="34">
        <v>1</v>
      </c>
      <c r="B245" s="34">
        <v>1</v>
      </c>
      <c r="C245" s="34">
        <v>7</v>
      </c>
      <c r="D245" s="35" t="s">
        <v>40</v>
      </c>
      <c r="E245" s="35" t="s">
        <v>29</v>
      </c>
      <c r="F245" s="35" t="s">
        <v>1605</v>
      </c>
      <c r="G245" s="35" t="s">
        <v>39</v>
      </c>
      <c r="H245" s="35" t="s">
        <v>355</v>
      </c>
      <c r="I245" s="34" t="s">
        <v>1606</v>
      </c>
      <c r="J245" s="34">
        <v>99</v>
      </c>
      <c r="K245" s="36" t="s">
        <v>717</v>
      </c>
      <c r="L245" s="36" t="s">
        <v>700</v>
      </c>
      <c r="M245" s="37" t="s">
        <v>977</v>
      </c>
      <c r="N245" s="37" t="s">
        <v>1731</v>
      </c>
      <c r="O245" s="38">
        <v>1</v>
      </c>
      <c r="P245" s="38">
        <v>1</v>
      </c>
      <c r="Q245" s="35"/>
      <c r="R245" s="1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0</v>
      </c>
      <c r="AC245" s="1"/>
      <c r="AD245" s="1">
        <f t="shared" si="127"/>
        <v>1</v>
      </c>
      <c r="AE245" s="1">
        <f t="shared" si="128"/>
        <v>0</v>
      </c>
      <c r="AF245" s="1">
        <f t="shared" si="113"/>
        <v>0</v>
      </c>
      <c r="AG245" s="1">
        <f t="shared" si="114"/>
        <v>0</v>
      </c>
      <c r="AH245" s="1">
        <f t="shared" si="115"/>
        <v>0</v>
      </c>
      <c r="AI245" s="1">
        <f t="shared" si="116"/>
        <v>0</v>
      </c>
      <c r="AJ245" s="1"/>
    </row>
    <row r="246" spans="1:36" s="2" customFormat="1" ht="14.25" customHeight="1" x14ac:dyDescent="0.25">
      <c r="A246" s="52">
        <v>0</v>
      </c>
      <c r="B246" s="52">
        <v>1</v>
      </c>
      <c r="C246" s="52">
        <v>7</v>
      </c>
      <c r="D246" s="58" t="s">
        <v>1488</v>
      </c>
      <c r="E246" s="53" t="s">
        <v>29</v>
      </c>
      <c r="F246" s="58" t="s">
        <v>1008</v>
      </c>
      <c r="G246" s="58" t="s">
        <v>1106</v>
      </c>
      <c r="H246" s="58" t="s">
        <v>355</v>
      </c>
      <c r="I246" s="66" t="s">
        <v>1114</v>
      </c>
      <c r="J246" s="52">
        <v>10</v>
      </c>
      <c r="K246" s="54" t="s">
        <v>717</v>
      </c>
      <c r="L246" s="54" t="s">
        <v>698</v>
      </c>
      <c r="M246" s="55" t="s">
        <v>977</v>
      </c>
      <c r="N246" s="55" t="s">
        <v>1747</v>
      </c>
      <c r="O246" s="56">
        <v>1</v>
      </c>
      <c r="P246" s="56"/>
      <c r="Q246" s="58"/>
      <c r="R246" s="1"/>
      <c r="S246" s="1">
        <f t="shared" si="117"/>
        <v>0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1</v>
      </c>
      <c r="AC246" s="1"/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  <c r="AJ246" s="1"/>
    </row>
    <row r="247" spans="1:36" s="2" customFormat="1" ht="14.25" customHeight="1" x14ac:dyDescent="0.25">
      <c r="A247" s="34">
        <v>0</v>
      </c>
      <c r="B247" s="34">
        <v>1</v>
      </c>
      <c r="C247" s="34">
        <v>7</v>
      </c>
      <c r="D247" s="39" t="s">
        <v>1489</v>
      </c>
      <c r="E247" s="35" t="s">
        <v>29</v>
      </c>
      <c r="F247" s="39" t="s">
        <v>1006</v>
      </c>
      <c r="G247" s="39" t="s">
        <v>241</v>
      </c>
      <c r="H247" s="39" t="s">
        <v>355</v>
      </c>
      <c r="I247" s="40" t="s">
        <v>1007</v>
      </c>
      <c r="J247" s="34">
        <v>1</v>
      </c>
      <c r="K247" s="36" t="s">
        <v>965</v>
      </c>
      <c r="L247" s="36" t="s">
        <v>698</v>
      </c>
      <c r="M247" s="37" t="s">
        <v>977</v>
      </c>
      <c r="N247" s="37" t="s">
        <v>1805</v>
      </c>
      <c r="O247" s="38">
        <v>1</v>
      </c>
      <c r="P247" s="38"/>
      <c r="Q247" s="39"/>
      <c r="R247" s="1"/>
      <c r="S247" s="1">
        <f t="shared" si="117"/>
        <v>1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C247" s="1"/>
      <c r="AD247" s="1">
        <f t="shared" si="127"/>
        <v>0</v>
      </c>
      <c r="AE247" s="1">
        <f t="shared" si="128"/>
        <v>1</v>
      </c>
      <c r="AF247" s="1">
        <f t="shared" si="113"/>
        <v>0</v>
      </c>
      <c r="AG247" s="1">
        <f t="shared" si="114"/>
        <v>1</v>
      </c>
      <c r="AH247" s="1">
        <f t="shared" si="115"/>
        <v>0</v>
      </c>
      <c r="AI247" s="1">
        <f t="shared" si="116"/>
        <v>1</v>
      </c>
      <c r="AJ247" s="1"/>
    </row>
    <row r="248" spans="1:36" s="2" customFormat="1" ht="14.25" customHeight="1" x14ac:dyDescent="0.25">
      <c r="A248" s="47">
        <v>0</v>
      </c>
      <c r="B248" s="47">
        <v>1</v>
      </c>
      <c r="C248" s="47">
        <v>7</v>
      </c>
      <c r="D248" s="48" t="s">
        <v>902</v>
      </c>
      <c r="E248" s="48" t="s">
        <v>29</v>
      </c>
      <c r="F248" s="48" t="s">
        <v>903</v>
      </c>
      <c r="G248" s="48" t="s">
        <v>39</v>
      </c>
      <c r="H248" s="48" t="s">
        <v>356</v>
      </c>
      <c r="I248" s="47" t="s">
        <v>904</v>
      </c>
      <c r="J248" s="47">
        <v>11</v>
      </c>
      <c r="K248" s="49" t="s">
        <v>707</v>
      </c>
      <c r="L248" s="49">
        <v>35</v>
      </c>
      <c r="M248" s="50" t="s">
        <v>1409</v>
      </c>
      <c r="N248" s="50" t="s">
        <v>1751</v>
      </c>
      <c r="O248" s="51"/>
      <c r="P248" s="51"/>
      <c r="Q248" s="68" t="s">
        <v>1907</v>
      </c>
      <c r="R248" s="1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C248" s="1"/>
      <c r="AD248" s="1">
        <f t="shared" si="127"/>
        <v>0</v>
      </c>
      <c r="AE248" s="1">
        <f t="shared" si="128"/>
        <v>0</v>
      </c>
      <c r="AF248" s="1">
        <f t="shared" si="113"/>
        <v>0</v>
      </c>
      <c r="AG248" s="1">
        <f t="shared" si="114"/>
        <v>0</v>
      </c>
      <c r="AH248" s="1">
        <f t="shared" si="115"/>
        <v>0</v>
      </c>
      <c r="AI248" s="1">
        <f t="shared" si="116"/>
        <v>1</v>
      </c>
      <c r="AJ248" s="1"/>
    </row>
    <row r="249" spans="1:36" s="2" customFormat="1" ht="14.25" customHeight="1" x14ac:dyDescent="0.25">
      <c r="A249" s="34">
        <v>0</v>
      </c>
      <c r="B249" s="34">
        <v>1</v>
      </c>
      <c r="C249" s="34">
        <v>7</v>
      </c>
      <c r="D249" s="39" t="s">
        <v>1088</v>
      </c>
      <c r="E249" s="35" t="s">
        <v>29</v>
      </c>
      <c r="F249" s="39" t="s">
        <v>990</v>
      </c>
      <c r="G249" s="39" t="s">
        <v>204</v>
      </c>
      <c r="H249" s="39" t="s">
        <v>355</v>
      </c>
      <c r="I249" s="40" t="s">
        <v>991</v>
      </c>
      <c r="J249" s="34">
        <v>99</v>
      </c>
      <c r="K249" s="36" t="s">
        <v>717</v>
      </c>
      <c r="L249" s="36" t="s">
        <v>698</v>
      </c>
      <c r="M249" s="37" t="s">
        <v>1446</v>
      </c>
      <c r="N249" s="37" t="s">
        <v>1731</v>
      </c>
      <c r="O249" s="38">
        <v>1</v>
      </c>
      <c r="P249" s="38">
        <v>1</v>
      </c>
      <c r="Q249" s="39"/>
      <c r="R249" s="1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C249" s="1"/>
      <c r="AD249" s="1">
        <f t="shared" si="127"/>
        <v>1</v>
      </c>
      <c r="AE249" s="1">
        <f t="shared" si="128"/>
        <v>0</v>
      </c>
      <c r="AF249" s="1">
        <f t="shared" si="113"/>
        <v>1</v>
      </c>
      <c r="AG249" s="1">
        <f t="shared" si="114"/>
        <v>0</v>
      </c>
      <c r="AH249" s="1">
        <f t="shared" si="115"/>
        <v>1</v>
      </c>
      <c r="AI249" s="1">
        <f t="shared" si="116"/>
        <v>0</v>
      </c>
      <c r="AJ249" s="1"/>
    </row>
    <row r="250" spans="1:36" s="2" customFormat="1" ht="14.25" customHeight="1" x14ac:dyDescent="0.25">
      <c r="A250" s="15">
        <v>0</v>
      </c>
      <c r="B250" s="15">
        <v>1</v>
      </c>
      <c r="C250" s="15">
        <v>7</v>
      </c>
      <c r="D250" s="16" t="s">
        <v>755</v>
      </c>
      <c r="E250" s="16" t="s">
        <v>29</v>
      </c>
      <c r="F250" s="16" t="s">
        <v>756</v>
      </c>
      <c r="G250" s="16" t="s">
        <v>757</v>
      </c>
      <c r="H250" s="16" t="s">
        <v>355</v>
      </c>
      <c r="I250" s="15" t="s">
        <v>758</v>
      </c>
      <c r="J250" s="15">
        <v>99</v>
      </c>
      <c r="K250" s="10" t="s">
        <v>707</v>
      </c>
      <c r="L250" s="10">
        <v>20</v>
      </c>
      <c r="M250" s="19" t="s">
        <v>1124</v>
      </c>
      <c r="N250" s="17"/>
      <c r="O250" s="1"/>
      <c r="P250" s="1"/>
      <c r="Q250" s="16"/>
      <c r="R250" s="1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C250" s="1"/>
      <c r="AD250" s="1">
        <f t="shared" si="127"/>
        <v>0</v>
      </c>
      <c r="AE250" s="1">
        <f t="shared" si="128"/>
        <v>0</v>
      </c>
      <c r="AF250" s="1">
        <f t="shared" si="113"/>
        <v>0</v>
      </c>
      <c r="AG250" s="1">
        <f t="shared" si="114"/>
        <v>0</v>
      </c>
      <c r="AH250" s="1">
        <f t="shared" si="115"/>
        <v>0</v>
      </c>
      <c r="AI250" s="1">
        <f t="shared" si="116"/>
        <v>1</v>
      </c>
      <c r="AJ250" s="1"/>
    </row>
    <row r="251" spans="1:36" s="2" customFormat="1" ht="14.25" customHeight="1" x14ac:dyDescent="0.25">
      <c r="A251" s="34">
        <v>0</v>
      </c>
      <c r="B251" s="34">
        <v>1</v>
      </c>
      <c r="C251" s="34">
        <v>7</v>
      </c>
      <c r="D251" s="39" t="s">
        <v>832</v>
      </c>
      <c r="E251" s="35" t="s">
        <v>29</v>
      </c>
      <c r="F251" s="39" t="s">
        <v>833</v>
      </c>
      <c r="G251" s="39" t="s">
        <v>932</v>
      </c>
      <c r="H251" s="39" t="s">
        <v>355</v>
      </c>
      <c r="I251" s="40" t="s">
        <v>834</v>
      </c>
      <c r="J251" s="34">
        <v>99</v>
      </c>
      <c r="K251" s="36" t="s">
        <v>959</v>
      </c>
      <c r="L251" s="36" t="s">
        <v>698</v>
      </c>
      <c r="M251" s="37" t="s">
        <v>977</v>
      </c>
      <c r="N251" s="37" t="s">
        <v>1829</v>
      </c>
      <c r="O251" s="38">
        <v>1</v>
      </c>
      <c r="P251" s="38"/>
      <c r="Q251" s="39"/>
      <c r="R251" s="1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C251" s="1"/>
      <c r="AD251" s="1">
        <f t="shared" si="127"/>
        <v>0</v>
      </c>
      <c r="AE251" s="1">
        <f t="shared" si="128"/>
        <v>1</v>
      </c>
      <c r="AF251" s="1">
        <f t="shared" si="113"/>
        <v>0</v>
      </c>
      <c r="AG251" s="1">
        <f t="shared" si="114"/>
        <v>1</v>
      </c>
      <c r="AH251" s="1">
        <f t="shared" si="115"/>
        <v>0</v>
      </c>
      <c r="AI251" s="1">
        <f t="shared" si="116"/>
        <v>1</v>
      </c>
      <c r="AJ251" s="1"/>
    </row>
    <row r="252" spans="1:36" s="2" customFormat="1" ht="14.25" customHeight="1" x14ac:dyDescent="0.25">
      <c r="A252" s="34">
        <v>0</v>
      </c>
      <c r="B252" s="34">
        <v>1</v>
      </c>
      <c r="C252" s="34">
        <v>7</v>
      </c>
      <c r="D252" s="39" t="s">
        <v>1724</v>
      </c>
      <c r="E252" s="35" t="s">
        <v>29</v>
      </c>
      <c r="F252" s="39" t="s">
        <v>1725</v>
      </c>
      <c r="G252" s="39" t="s">
        <v>250</v>
      </c>
      <c r="H252" s="39" t="s">
        <v>355</v>
      </c>
      <c r="I252" s="40" t="s">
        <v>1726</v>
      </c>
      <c r="J252" s="34"/>
      <c r="K252" s="36" t="s">
        <v>707</v>
      </c>
      <c r="L252" s="36"/>
      <c r="M252" s="37"/>
      <c r="N252" s="37" t="s">
        <v>1731</v>
      </c>
      <c r="O252" s="38">
        <v>1</v>
      </c>
      <c r="P252" s="38">
        <v>1</v>
      </c>
      <c r="Q252" s="39"/>
      <c r="R252" s="1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C252" s="1"/>
      <c r="AD252" s="1">
        <f t="shared" si="127"/>
        <v>1</v>
      </c>
      <c r="AE252" s="1">
        <f t="shared" si="128"/>
        <v>0</v>
      </c>
      <c r="AF252" s="1">
        <f t="shared" si="113"/>
        <v>1</v>
      </c>
      <c r="AG252" s="1">
        <f t="shared" si="114"/>
        <v>0</v>
      </c>
      <c r="AH252" s="1">
        <f t="shared" si="115"/>
        <v>1</v>
      </c>
      <c r="AI252" s="1">
        <f t="shared" si="116"/>
        <v>0</v>
      </c>
      <c r="AJ252" s="1"/>
    </row>
    <row r="253" spans="1:36" s="2" customFormat="1" ht="14.25" customHeight="1" x14ac:dyDescent="0.25">
      <c r="A253" s="34">
        <v>0</v>
      </c>
      <c r="B253" s="34">
        <v>1</v>
      </c>
      <c r="C253" s="34">
        <v>7</v>
      </c>
      <c r="D253" s="35" t="s">
        <v>905</v>
      </c>
      <c r="E253" s="35" t="s">
        <v>29</v>
      </c>
      <c r="F253" s="35" t="s">
        <v>906</v>
      </c>
      <c r="G253" s="35" t="s">
        <v>229</v>
      </c>
      <c r="H253" s="35" t="s">
        <v>355</v>
      </c>
      <c r="I253" s="34" t="s">
        <v>907</v>
      </c>
      <c r="J253" s="34">
        <v>99</v>
      </c>
      <c r="K253" s="36" t="s">
        <v>717</v>
      </c>
      <c r="L253" s="36" t="s">
        <v>698</v>
      </c>
      <c r="M253" s="37" t="s">
        <v>1410</v>
      </c>
      <c r="N253" s="37" t="s">
        <v>1752</v>
      </c>
      <c r="O253" s="38">
        <v>1</v>
      </c>
      <c r="P253" s="38"/>
      <c r="Q253" s="35"/>
      <c r="R253" s="1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0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C253" s="1"/>
      <c r="AD253" s="1">
        <f t="shared" si="127"/>
        <v>0</v>
      </c>
      <c r="AE253" s="1">
        <f t="shared" si="128"/>
        <v>1</v>
      </c>
      <c r="AF253" s="1">
        <f t="shared" si="113"/>
        <v>0</v>
      </c>
      <c r="AG253" s="1">
        <f t="shared" si="114"/>
        <v>1</v>
      </c>
      <c r="AH253" s="1">
        <f t="shared" si="115"/>
        <v>0</v>
      </c>
      <c r="AI253" s="1">
        <f t="shared" si="116"/>
        <v>1</v>
      </c>
      <c r="AJ253" s="1"/>
    </row>
    <row r="254" spans="1:36" s="2" customFormat="1" ht="14.25" customHeight="1" x14ac:dyDescent="0.25">
      <c r="A254" s="34">
        <v>0</v>
      </c>
      <c r="B254" s="34">
        <v>1</v>
      </c>
      <c r="C254" s="34">
        <v>7</v>
      </c>
      <c r="D254" s="35" t="s">
        <v>88</v>
      </c>
      <c r="E254" s="35" t="s">
        <v>29</v>
      </c>
      <c r="F254" s="35" t="s">
        <v>282</v>
      </c>
      <c r="G254" s="35" t="s">
        <v>239</v>
      </c>
      <c r="H254" s="35" t="s">
        <v>355</v>
      </c>
      <c r="I254" s="34" t="s">
        <v>438</v>
      </c>
      <c r="J254" s="34">
        <v>4</v>
      </c>
      <c r="K254" s="36" t="s">
        <v>958</v>
      </c>
      <c r="L254" s="36" t="s">
        <v>39</v>
      </c>
      <c r="M254" s="37" t="s">
        <v>39</v>
      </c>
      <c r="N254" s="37" t="s">
        <v>1731</v>
      </c>
      <c r="O254" s="38">
        <v>1</v>
      </c>
      <c r="P254" s="38">
        <v>1</v>
      </c>
      <c r="Q254" s="35"/>
      <c r="R254" s="1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1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C254" s="1"/>
      <c r="AD254" s="1">
        <f t="shared" si="127"/>
        <v>1</v>
      </c>
      <c r="AE254" s="1">
        <f t="shared" si="128"/>
        <v>0</v>
      </c>
      <c r="AF254" s="1">
        <f t="shared" si="113"/>
        <v>1</v>
      </c>
      <c r="AG254" s="1">
        <f t="shared" si="114"/>
        <v>0</v>
      </c>
      <c r="AH254" s="1">
        <f t="shared" si="115"/>
        <v>1</v>
      </c>
      <c r="AI254" s="1">
        <f t="shared" si="116"/>
        <v>0</v>
      </c>
      <c r="AJ254" s="1"/>
    </row>
    <row r="255" spans="1:36" s="2" customFormat="1" ht="14.25" customHeight="1" x14ac:dyDescent="0.25">
      <c r="A255" s="47">
        <v>0</v>
      </c>
      <c r="B255" s="47">
        <v>1</v>
      </c>
      <c r="C255" s="47">
        <v>7</v>
      </c>
      <c r="D255" s="48" t="s">
        <v>89</v>
      </c>
      <c r="E255" s="48" t="s">
        <v>29</v>
      </c>
      <c r="F255" s="48" t="s">
        <v>283</v>
      </c>
      <c r="G255" s="48" t="s">
        <v>284</v>
      </c>
      <c r="H255" s="48" t="s">
        <v>355</v>
      </c>
      <c r="I255" s="47" t="s">
        <v>947</v>
      </c>
      <c r="J255" s="47">
        <v>99</v>
      </c>
      <c r="K255" s="49" t="s">
        <v>959</v>
      </c>
      <c r="L255" s="49" t="s">
        <v>698</v>
      </c>
      <c r="M255" s="50" t="s">
        <v>977</v>
      </c>
      <c r="N255" s="50" t="s">
        <v>1813</v>
      </c>
      <c r="O255" s="51"/>
      <c r="P255" s="51"/>
      <c r="Q255" s="48"/>
      <c r="R255" s="1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C255" s="1"/>
      <c r="AD255" s="1">
        <f t="shared" si="127"/>
        <v>0</v>
      </c>
      <c r="AE255" s="1">
        <f t="shared" si="128"/>
        <v>0</v>
      </c>
      <c r="AF255" s="1">
        <f t="shared" si="113"/>
        <v>0</v>
      </c>
      <c r="AG255" s="1">
        <f t="shared" si="114"/>
        <v>0</v>
      </c>
      <c r="AH255" s="1">
        <f t="shared" si="115"/>
        <v>0</v>
      </c>
      <c r="AI255" s="1">
        <f t="shared" si="116"/>
        <v>1</v>
      </c>
      <c r="AJ255" s="1"/>
    </row>
    <row r="256" spans="1:36" s="2" customFormat="1" ht="14.25" customHeight="1" x14ac:dyDescent="0.25">
      <c r="A256" s="34">
        <v>0</v>
      </c>
      <c r="B256" s="34">
        <v>1</v>
      </c>
      <c r="C256" s="34">
        <v>7</v>
      </c>
      <c r="D256" s="39" t="s">
        <v>1640</v>
      </c>
      <c r="E256" s="35" t="s">
        <v>29</v>
      </c>
      <c r="F256" s="39" t="s">
        <v>1539</v>
      </c>
      <c r="G256" s="39" t="s">
        <v>39</v>
      </c>
      <c r="H256" s="39" t="s">
        <v>890</v>
      </c>
      <c r="I256" s="40" t="s">
        <v>1540</v>
      </c>
      <c r="J256" s="34">
        <v>17</v>
      </c>
      <c r="K256" s="36" t="s">
        <v>717</v>
      </c>
      <c r="L256" s="36" t="s">
        <v>701</v>
      </c>
      <c r="M256" s="37" t="s">
        <v>1461</v>
      </c>
      <c r="N256" s="37" t="s">
        <v>1731</v>
      </c>
      <c r="O256" s="38">
        <v>1</v>
      </c>
      <c r="P256" s="38">
        <v>1</v>
      </c>
      <c r="Q256" s="39"/>
      <c r="R256" s="1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C256" s="1"/>
      <c r="AD256" s="1">
        <f t="shared" si="127"/>
        <v>1</v>
      </c>
      <c r="AE256" s="1">
        <f t="shared" si="128"/>
        <v>0</v>
      </c>
      <c r="AF256" s="1">
        <f t="shared" si="113"/>
        <v>1</v>
      </c>
      <c r="AG256" s="1">
        <f t="shared" si="114"/>
        <v>0</v>
      </c>
      <c r="AH256" s="1">
        <f t="shared" si="115"/>
        <v>1</v>
      </c>
      <c r="AI256" s="1">
        <f t="shared" si="116"/>
        <v>0</v>
      </c>
      <c r="AJ256" s="1"/>
    </row>
    <row r="257" spans="1:35" ht="14.25" customHeight="1" x14ac:dyDescent="0.25">
      <c r="A257" s="47">
        <v>0</v>
      </c>
      <c r="B257" s="47">
        <v>1</v>
      </c>
      <c r="C257" s="47">
        <v>7</v>
      </c>
      <c r="D257" s="48" t="s">
        <v>1458</v>
      </c>
      <c r="E257" s="48" t="s">
        <v>29</v>
      </c>
      <c r="F257" s="48" t="s">
        <v>1459</v>
      </c>
      <c r="G257" s="48" t="s">
        <v>322</v>
      </c>
      <c r="H257" s="48" t="s">
        <v>355</v>
      </c>
      <c r="I257" s="47" t="s">
        <v>1460</v>
      </c>
      <c r="J257" s="47">
        <v>99</v>
      </c>
      <c r="K257" s="49" t="s">
        <v>707</v>
      </c>
      <c r="L257" s="49">
        <v>30</v>
      </c>
      <c r="M257" s="50" t="s">
        <v>1461</v>
      </c>
      <c r="N257" s="50" t="s">
        <v>1806</v>
      </c>
      <c r="O257" s="51"/>
      <c r="P257" s="51"/>
      <c r="Q257" s="48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0</v>
      </c>
      <c r="AF257" s="1">
        <f t="shared" si="113"/>
        <v>0</v>
      </c>
      <c r="AG257" s="1">
        <f t="shared" si="114"/>
        <v>0</v>
      </c>
      <c r="AH257" s="1">
        <f t="shared" si="115"/>
        <v>0</v>
      </c>
      <c r="AI257" s="1">
        <f t="shared" si="116"/>
        <v>1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850</v>
      </c>
      <c r="E258" s="35" t="s">
        <v>29</v>
      </c>
      <c r="F258" s="39" t="s">
        <v>851</v>
      </c>
      <c r="G258" s="39" t="s">
        <v>223</v>
      </c>
      <c r="H258" s="39" t="s">
        <v>355</v>
      </c>
      <c r="I258" s="40" t="s">
        <v>852</v>
      </c>
      <c r="J258" s="34">
        <v>99</v>
      </c>
      <c r="K258" s="36" t="s">
        <v>959</v>
      </c>
      <c r="L258" s="36" t="s">
        <v>698</v>
      </c>
      <c r="M258" s="37" t="s">
        <v>977</v>
      </c>
      <c r="N258" s="37" t="s">
        <v>1853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1</v>
      </c>
      <c r="AH258" s="1">
        <f t="shared" si="115"/>
        <v>0</v>
      </c>
      <c r="AI258" s="1">
        <f t="shared" si="116"/>
        <v>1</v>
      </c>
    </row>
    <row r="259" spans="1:35" ht="14.25" customHeight="1" x14ac:dyDescent="0.25">
      <c r="A259" s="34">
        <v>1</v>
      </c>
      <c r="B259" s="34">
        <v>1</v>
      </c>
      <c r="C259" s="34">
        <v>7</v>
      </c>
      <c r="D259" s="39" t="s">
        <v>850</v>
      </c>
      <c r="E259" s="35" t="s">
        <v>29</v>
      </c>
      <c r="F259" s="39" t="s">
        <v>934</v>
      </c>
      <c r="G259" s="39" t="s">
        <v>280</v>
      </c>
      <c r="H259" s="39" t="s">
        <v>355</v>
      </c>
      <c r="I259" s="40" t="s">
        <v>853</v>
      </c>
      <c r="J259" s="34">
        <v>99</v>
      </c>
      <c r="K259" s="36" t="s">
        <v>959</v>
      </c>
      <c r="L259" s="36" t="s">
        <v>698</v>
      </c>
      <c r="M259" s="37" t="s">
        <v>977</v>
      </c>
      <c r="N259" s="37" t="s">
        <v>1853</v>
      </c>
      <c r="O259" s="38">
        <v>1</v>
      </c>
      <c r="P259" s="38"/>
      <c r="Q259" s="39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si="127"/>
        <v>0</v>
      </c>
      <c r="AE259" s="1">
        <f t="shared" si="128"/>
        <v>1</v>
      </c>
      <c r="AF259" s="1">
        <f t="shared" si="113"/>
        <v>0</v>
      </c>
      <c r="AG259" s="1">
        <f t="shared" si="114"/>
        <v>0</v>
      </c>
      <c r="AH259" s="1">
        <f t="shared" si="115"/>
        <v>0</v>
      </c>
      <c r="AI259" s="1">
        <f t="shared" si="116"/>
        <v>0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5" t="s">
        <v>1220</v>
      </c>
      <c r="E260" s="35" t="s">
        <v>29</v>
      </c>
      <c r="F260" s="35" t="s">
        <v>1221</v>
      </c>
      <c r="G260" s="35" t="s">
        <v>239</v>
      </c>
      <c r="H260" s="35" t="s">
        <v>355</v>
      </c>
      <c r="I260" s="34" t="s">
        <v>1365</v>
      </c>
      <c r="J260" s="34">
        <v>99</v>
      </c>
      <c r="K260" s="36" t="s">
        <v>717</v>
      </c>
      <c r="L260" s="36" t="s">
        <v>698</v>
      </c>
      <c r="M260" s="37" t="s">
        <v>1411</v>
      </c>
      <c r="N260" s="37" t="s">
        <v>1759</v>
      </c>
      <c r="O260" s="38">
        <v>1</v>
      </c>
      <c r="P260" s="38"/>
      <c r="Q260" s="35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ref="AD260:AD261" si="129">+O260*P260</f>
        <v>0</v>
      </c>
      <c r="AE260" s="1">
        <f t="shared" ref="AE260:AE261" si="130">O260*(1-P260)</f>
        <v>1</v>
      </c>
      <c r="AF260" s="1">
        <f t="shared" ref="AF260:AF261" si="131">+O260*P260*(1-A260)</f>
        <v>0</v>
      </c>
      <c r="AG260" s="1">
        <f t="shared" ref="AG260:AG261" si="132">O260*(1-P260)*(1-A260)</f>
        <v>1</v>
      </c>
      <c r="AH260" s="1">
        <f t="shared" ref="AH260:AH261" si="133">+P260*(1-A260)</f>
        <v>0</v>
      </c>
      <c r="AI260" s="1">
        <f t="shared" ref="AI260:AI261" si="134">+(1-A260)*(1-P260)</f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1237</v>
      </c>
      <c r="E261" s="35" t="s">
        <v>29</v>
      </c>
      <c r="F261" s="39" t="s">
        <v>1238</v>
      </c>
      <c r="G261" s="39" t="s">
        <v>239</v>
      </c>
      <c r="H261" s="39" t="s">
        <v>355</v>
      </c>
      <c r="I261" s="40" t="s">
        <v>1239</v>
      </c>
      <c r="J261" s="34">
        <v>99</v>
      </c>
      <c r="K261" s="36" t="s">
        <v>717</v>
      </c>
      <c r="L261" s="36" t="s">
        <v>697</v>
      </c>
      <c r="M261" s="37" t="s">
        <v>1411</v>
      </c>
      <c r="N261" s="37" t="s">
        <v>1829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9"/>
        <v>0</v>
      </c>
      <c r="AE261" s="1">
        <f t="shared" si="130"/>
        <v>1</v>
      </c>
      <c r="AF261" s="1">
        <f t="shared" si="131"/>
        <v>0</v>
      </c>
      <c r="AG261" s="1">
        <f t="shared" si="132"/>
        <v>1</v>
      </c>
      <c r="AH261" s="1">
        <f t="shared" si="133"/>
        <v>0</v>
      </c>
      <c r="AI261" s="1">
        <f t="shared" si="134"/>
        <v>1</v>
      </c>
    </row>
    <row r="262" spans="1:35" ht="14.25" customHeight="1" x14ac:dyDescent="0.25">
      <c r="A262" s="34">
        <v>0</v>
      </c>
      <c r="B262" s="34">
        <v>1</v>
      </c>
      <c r="C262" s="34">
        <v>7</v>
      </c>
      <c r="D262" s="39" t="s">
        <v>93</v>
      </c>
      <c r="E262" s="35" t="s">
        <v>29</v>
      </c>
      <c r="F262" s="39" t="s">
        <v>289</v>
      </c>
      <c r="G262" s="39" t="s">
        <v>191</v>
      </c>
      <c r="H262" s="39" t="s">
        <v>355</v>
      </c>
      <c r="I262" s="40" t="s">
        <v>442</v>
      </c>
      <c r="J262" s="34">
        <v>99</v>
      </c>
      <c r="K262" s="36" t="s">
        <v>717</v>
      </c>
      <c r="L262" s="36" t="s">
        <v>698</v>
      </c>
      <c r="M262" s="37" t="s">
        <v>1412</v>
      </c>
      <c r="N262" s="37" t="s">
        <v>1754</v>
      </c>
      <c r="O262" s="38">
        <v>1</v>
      </c>
      <c r="P262" s="38"/>
      <c r="Q262" s="39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0</v>
      </c>
      <c r="AB262" s="1">
        <f t="shared" si="126"/>
        <v>0</v>
      </c>
      <c r="AD262" s="1">
        <f t="shared" si="127"/>
        <v>0</v>
      </c>
      <c r="AE262" s="1">
        <f t="shared" si="128"/>
        <v>1</v>
      </c>
      <c r="AF262" s="1">
        <f t="shared" si="113"/>
        <v>0</v>
      </c>
      <c r="AG262" s="1">
        <f t="shared" si="114"/>
        <v>1</v>
      </c>
      <c r="AH262" s="1">
        <f t="shared" si="115"/>
        <v>0</v>
      </c>
      <c r="AI262" s="1">
        <f t="shared" si="116"/>
        <v>1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874</v>
      </c>
      <c r="E263" s="48" t="s">
        <v>29</v>
      </c>
      <c r="F263" s="48" t="s">
        <v>875</v>
      </c>
      <c r="G263" s="48" t="s">
        <v>195</v>
      </c>
      <c r="H263" s="48" t="s">
        <v>355</v>
      </c>
      <c r="I263" s="47" t="s">
        <v>876</v>
      </c>
      <c r="J263" s="47">
        <v>9</v>
      </c>
      <c r="K263" s="49" t="s">
        <v>717</v>
      </c>
      <c r="L263" s="49" t="s">
        <v>700</v>
      </c>
      <c r="M263" s="50" t="s">
        <v>712</v>
      </c>
      <c r="N263" s="50" t="s">
        <v>1739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1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1</v>
      </c>
    </row>
    <row r="264" spans="1:35" ht="14.25" customHeight="1" x14ac:dyDescent="0.25">
      <c r="A264" s="47">
        <v>1</v>
      </c>
      <c r="B264" s="47">
        <v>1</v>
      </c>
      <c r="C264" s="47">
        <v>7</v>
      </c>
      <c r="D264" s="48" t="s">
        <v>874</v>
      </c>
      <c r="E264" s="48" t="s">
        <v>29</v>
      </c>
      <c r="F264" s="48" t="s">
        <v>1072</v>
      </c>
      <c r="G264" s="48" t="s">
        <v>322</v>
      </c>
      <c r="H264" s="48" t="s">
        <v>355</v>
      </c>
      <c r="I264" s="47" t="s">
        <v>1073</v>
      </c>
      <c r="J264" s="47">
        <v>99</v>
      </c>
      <c r="K264" s="49" t="s">
        <v>717</v>
      </c>
      <c r="L264" s="49" t="s">
        <v>700</v>
      </c>
      <c r="M264" s="50" t="s">
        <v>712</v>
      </c>
      <c r="N264" s="50" t="s">
        <v>1739</v>
      </c>
      <c r="O264" s="51"/>
      <c r="P264" s="51"/>
      <c r="Q264" s="48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0</v>
      </c>
      <c r="AF264" s="1">
        <f t="shared" si="113"/>
        <v>0</v>
      </c>
      <c r="AG264" s="1">
        <f t="shared" si="114"/>
        <v>0</v>
      </c>
      <c r="AH264" s="1">
        <f t="shared" si="115"/>
        <v>0</v>
      </c>
      <c r="AI264" s="1">
        <f t="shared" si="116"/>
        <v>0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96</v>
      </c>
      <c r="E265" s="48" t="s">
        <v>29</v>
      </c>
      <c r="F265" s="48" t="s">
        <v>293</v>
      </c>
      <c r="G265" s="48" t="s">
        <v>294</v>
      </c>
      <c r="H265" s="48" t="s">
        <v>355</v>
      </c>
      <c r="I265" s="47" t="s">
        <v>1121</v>
      </c>
      <c r="J265" s="47">
        <v>99</v>
      </c>
      <c r="K265" s="49" t="s">
        <v>717</v>
      </c>
      <c r="L265" s="49" t="s">
        <v>700</v>
      </c>
      <c r="M265" s="50" t="s">
        <v>712</v>
      </c>
      <c r="N265" s="50" t="s">
        <v>1743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25">
      <c r="A266" s="47">
        <v>0</v>
      </c>
      <c r="B266" s="47">
        <v>1</v>
      </c>
      <c r="C266" s="47">
        <v>7</v>
      </c>
      <c r="D266" s="48" t="s">
        <v>534</v>
      </c>
      <c r="E266" s="48" t="s">
        <v>29</v>
      </c>
      <c r="F266" s="48" t="s">
        <v>668</v>
      </c>
      <c r="G266" s="48" t="s">
        <v>39</v>
      </c>
      <c r="H266" s="48" t="s">
        <v>535</v>
      </c>
      <c r="I266" s="47" t="s">
        <v>1694</v>
      </c>
      <c r="J266" s="47">
        <v>14</v>
      </c>
      <c r="K266" s="49" t="s">
        <v>958</v>
      </c>
      <c r="L266" s="49">
        <v>40</v>
      </c>
      <c r="M266" s="50" t="s">
        <v>712</v>
      </c>
      <c r="N266" s="50" t="s">
        <v>1739</v>
      </c>
      <c r="O266" s="51"/>
      <c r="P266" s="51"/>
      <c r="Q266" s="48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0</v>
      </c>
      <c r="AE266" s="1">
        <f t="shared" si="128"/>
        <v>0</v>
      </c>
      <c r="AF266" s="1">
        <f t="shared" si="113"/>
        <v>0</v>
      </c>
      <c r="AG266" s="1">
        <f t="shared" si="114"/>
        <v>0</v>
      </c>
      <c r="AH266" s="1">
        <f t="shared" si="115"/>
        <v>0</v>
      </c>
      <c r="AI266" s="1">
        <f t="shared" si="116"/>
        <v>1</v>
      </c>
    </row>
    <row r="267" spans="1:35" ht="14.25" customHeight="1" x14ac:dyDescent="0.25">
      <c r="A267" s="34">
        <v>0</v>
      </c>
      <c r="B267" s="34">
        <v>1</v>
      </c>
      <c r="C267" s="34">
        <v>7</v>
      </c>
      <c r="D267" s="39" t="s">
        <v>1325</v>
      </c>
      <c r="E267" s="35" t="s">
        <v>29</v>
      </c>
      <c r="F267" s="39" t="s">
        <v>1349</v>
      </c>
      <c r="G267" s="39" t="s">
        <v>39</v>
      </c>
      <c r="H267" s="39" t="s">
        <v>355</v>
      </c>
      <c r="I267" s="40" t="s">
        <v>1154</v>
      </c>
      <c r="J267" s="34">
        <v>99</v>
      </c>
      <c r="K267" s="36" t="s">
        <v>717</v>
      </c>
      <c r="L267" s="36" t="s">
        <v>697</v>
      </c>
      <c r="M267" s="37" t="s">
        <v>1413</v>
      </c>
      <c r="N267" s="37" t="s">
        <v>1737</v>
      </c>
      <c r="O267" s="38">
        <v>1</v>
      </c>
      <c r="P267" s="38">
        <v>1</v>
      </c>
      <c r="Q267" s="39"/>
      <c r="S267" s="1">
        <f t="shared" si="117"/>
        <v>0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1</v>
      </c>
      <c r="AE267" s="1">
        <f t="shared" si="128"/>
        <v>0</v>
      </c>
      <c r="AF267" s="1">
        <f t="shared" si="113"/>
        <v>1</v>
      </c>
      <c r="AG267" s="1">
        <f t="shared" si="114"/>
        <v>0</v>
      </c>
      <c r="AH267" s="1">
        <f t="shared" si="115"/>
        <v>1</v>
      </c>
      <c r="AI267" s="1">
        <f t="shared" si="116"/>
        <v>0</v>
      </c>
    </row>
    <row r="268" spans="1:35" ht="14.25" customHeight="1" x14ac:dyDescent="0.25">
      <c r="A268" s="47">
        <v>0</v>
      </c>
      <c r="B268" s="47">
        <v>1</v>
      </c>
      <c r="C268" s="47">
        <v>7</v>
      </c>
      <c r="D268" s="48" t="s">
        <v>97</v>
      </c>
      <c r="E268" s="48" t="s">
        <v>29</v>
      </c>
      <c r="F268" s="48" t="s">
        <v>296</v>
      </c>
      <c r="G268" s="48" t="s">
        <v>264</v>
      </c>
      <c r="H268" s="48" t="s">
        <v>355</v>
      </c>
      <c r="I268" s="47" t="s">
        <v>446</v>
      </c>
      <c r="J268" s="47">
        <v>1</v>
      </c>
      <c r="K268" s="49" t="s">
        <v>717</v>
      </c>
      <c r="L268" s="49" t="s">
        <v>698</v>
      </c>
      <c r="M268" s="50" t="s">
        <v>712</v>
      </c>
      <c r="N268" s="50" t="s">
        <v>1739</v>
      </c>
      <c r="O268" s="51"/>
      <c r="P268" s="51"/>
      <c r="Q268" s="48"/>
      <c r="S268" s="1">
        <f t="shared" si="117"/>
        <v>1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ref="AF268:AF332" si="135">+O268*P268*(1-A268)</f>
        <v>0</v>
      </c>
      <c r="AG268" s="1">
        <f t="shared" ref="AG268:AG332" si="136">O268*(1-P268)*(1-A268)</f>
        <v>0</v>
      </c>
      <c r="AH268" s="1">
        <f t="shared" ref="AH268:AH332" si="137">+P268*(1-A268)</f>
        <v>0</v>
      </c>
      <c r="AI268" s="1">
        <f t="shared" ref="AI268:AI332" si="138">+(1-A268)*(1-P268)</f>
        <v>1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759</v>
      </c>
      <c r="E269" s="16" t="s">
        <v>29</v>
      </c>
      <c r="F269" s="16" t="s">
        <v>760</v>
      </c>
      <c r="G269" s="16" t="s">
        <v>39</v>
      </c>
      <c r="H269" s="16" t="s">
        <v>761</v>
      </c>
      <c r="I269" s="15" t="s">
        <v>762</v>
      </c>
      <c r="J269" s="15">
        <v>18</v>
      </c>
      <c r="K269" s="10" t="s">
        <v>707</v>
      </c>
      <c r="L269" s="10" t="s">
        <v>701</v>
      </c>
      <c r="M269" s="19" t="s">
        <v>712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15">
        <v>1</v>
      </c>
      <c r="B270" s="15">
        <v>1</v>
      </c>
      <c r="C270" s="15">
        <v>7</v>
      </c>
      <c r="D270" s="16" t="s">
        <v>759</v>
      </c>
      <c r="E270" s="16" t="s">
        <v>29</v>
      </c>
      <c r="F270" s="16" t="s">
        <v>763</v>
      </c>
      <c r="G270" s="16" t="s">
        <v>39</v>
      </c>
      <c r="H270" s="16" t="s">
        <v>749</v>
      </c>
      <c r="I270" s="15" t="s">
        <v>764</v>
      </c>
      <c r="J270" s="15">
        <v>17</v>
      </c>
      <c r="K270" s="10" t="s">
        <v>707</v>
      </c>
      <c r="L270" s="10" t="s">
        <v>701</v>
      </c>
      <c r="M270" s="19" t="s">
        <v>712</v>
      </c>
      <c r="N270" s="17"/>
      <c r="Q270" s="16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0</v>
      </c>
      <c r="AE270" s="1">
        <f t="shared" si="128"/>
        <v>0</v>
      </c>
      <c r="AF270" s="1">
        <f t="shared" si="135"/>
        <v>0</v>
      </c>
      <c r="AG270" s="1">
        <f t="shared" si="136"/>
        <v>0</v>
      </c>
      <c r="AH270" s="1">
        <f t="shared" si="137"/>
        <v>0</v>
      </c>
      <c r="AI270" s="1">
        <f t="shared" si="138"/>
        <v>0</v>
      </c>
    </row>
    <row r="271" spans="1:35" ht="14.25" customHeight="1" x14ac:dyDescent="0.25">
      <c r="A271" s="34">
        <v>0</v>
      </c>
      <c r="B271" s="34">
        <v>1</v>
      </c>
      <c r="C271" s="34">
        <v>7</v>
      </c>
      <c r="D271" s="39" t="s">
        <v>1522</v>
      </c>
      <c r="E271" s="35" t="s">
        <v>29</v>
      </c>
      <c r="F271" s="39" t="s">
        <v>1675</v>
      </c>
      <c r="G271" s="39" t="s">
        <v>1676</v>
      </c>
      <c r="H271" s="39" t="s">
        <v>355</v>
      </c>
      <c r="I271" s="40" t="s">
        <v>1523</v>
      </c>
      <c r="J271" s="34">
        <v>99</v>
      </c>
      <c r="K271" s="36" t="s">
        <v>717</v>
      </c>
      <c r="L271" s="36" t="s">
        <v>39</v>
      </c>
      <c r="M271" s="37" t="s">
        <v>39</v>
      </c>
      <c r="N271" s="37" t="s">
        <v>1731</v>
      </c>
      <c r="O271" s="38">
        <v>1</v>
      </c>
      <c r="P271" s="38">
        <v>1</v>
      </c>
      <c r="Q271" s="39"/>
      <c r="S271" s="1">
        <f t="shared" si="117"/>
        <v>0</v>
      </c>
      <c r="T271" s="1">
        <f t="shared" si="118"/>
        <v>0</v>
      </c>
      <c r="U271" s="1">
        <f t="shared" si="119"/>
        <v>0</v>
      </c>
      <c r="V271" s="1">
        <f t="shared" si="120"/>
        <v>0</v>
      </c>
      <c r="W271" s="1">
        <f t="shared" si="121"/>
        <v>0</v>
      </c>
      <c r="X271" s="1">
        <f t="shared" si="122"/>
        <v>0</v>
      </c>
      <c r="Y271" s="1">
        <f t="shared" si="123"/>
        <v>0</v>
      </c>
      <c r="Z271" s="1">
        <f t="shared" si="124"/>
        <v>0</v>
      </c>
      <c r="AA271" s="1">
        <f t="shared" si="125"/>
        <v>0</v>
      </c>
      <c r="AB271" s="1">
        <f t="shared" si="126"/>
        <v>0</v>
      </c>
      <c r="AD271" s="1">
        <f t="shared" si="127"/>
        <v>1</v>
      </c>
      <c r="AE271" s="1">
        <f t="shared" si="128"/>
        <v>0</v>
      </c>
      <c r="AF271" s="1">
        <f t="shared" si="135"/>
        <v>1</v>
      </c>
      <c r="AG271" s="1">
        <f t="shared" si="136"/>
        <v>0</v>
      </c>
      <c r="AH271" s="1">
        <f t="shared" si="137"/>
        <v>1</v>
      </c>
      <c r="AI271" s="1">
        <f t="shared" si="138"/>
        <v>0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1148</v>
      </c>
      <c r="E272" s="16" t="s">
        <v>29</v>
      </c>
      <c r="F272" s="16" t="s">
        <v>1149</v>
      </c>
      <c r="G272" s="16" t="s">
        <v>1151</v>
      </c>
      <c r="H272" s="16" t="s">
        <v>355</v>
      </c>
      <c r="I272" s="15" t="s">
        <v>1150</v>
      </c>
      <c r="J272" s="15">
        <v>99</v>
      </c>
      <c r="K272" s="10" t="s">
        <v>707</v>
      </c>
      <c r="L272" s="10">
        <v>30</v>
      </c>
      <c r="M272" s="19" t="s">
        <v>1414</v>
      </c>
      <c r="N272" s="19"/>
      <c r="Q272" s="16"/>
      <c r="S272" s="1">
        <f t="shared" ref="S272:S336" si="139">IF(J272=$S$7,1,0)</f>
        <v>0</v>
      </c>
      <c r="T272" s="1">
        <f t="shared" ref="T272:T336" si="140">IF(J272=$T$7,1,0)</f>
        <v>0</v>
      </c>
      <c r="U272" s="1">
        <f t="shared" ref="U272:U336" si="141">IF(J272=$U$7,1,0)</f>
        <v>0</v>
      </c>
      <c r="V272" s="1">
        <f t="shared" ref="V272:V336" si="142">IF(J272=$V$7,1,0)</f>
        <v>0</v>
      </c>
      <c r="W272" s="1">
        <f t="shared" ref="W272:W336" si="143">IF(J272=$W$7,1,0)</f>
        <v>0</v>
      </c>
      <c r="X272" s="1">
        <f t="shared" ref="X272:X336" si="144">IF(J272=$X$7,1,0)</f>
        <v>0</v>
      </c>
      <c r="Y272" s="1">
        <f t="shared" ref="Y272:Y336" si="145">IF(J272=$Y$7,1,0)</f>
        <v>0</v>
      </c>
      <c r="Z272" s="1">
        <f t="shared" ref="Z272:Z336" si="146">IF(J272=$Z$7,1,0)</f>
        <v>0</v>
      </c>
      <c r="AA272" s="1">
        <f t="shared" ref="AA272:AA336" si="147">IF(J272=$AA$7,1,0)</f>
        <v>0</v>
      </c>
      <c r="AB272" s="1">
        <f t="shared" ref="AB272:AB336" si="148">IF(J272=$AB$7,1,0)</f>
        <v>0</v>
      </c>
      <c r="AD272" s="1">
        <f t="shared" ref="AD272:AD336" si="149">+O272*P272</f>
        <v>0</v>
      </c>
      <c r="AE272" s="1">
        <f t="shared" ref="AE272:AE336" si="150">O272*(1-P272)</f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99</v>
      </c>
      <c r="E273" s="48" t="s">
        <v>29</v>
      </c>
      <c r="F273" s="48" t="s">
        <v>298</v>
      </c>
      <c r="G273" s="48" t="s">
        <v>198</v>
      </c>
      <c r="H273" s="48" t="s">
        <v>355</v>
      </c>
      <c r="I273" s="47" t="s">
        <v>447</v>
      </c>
      <c r="J273" s="47">
        <v>9</v>
      </c>
      <c r="K273" s="49" t="s">
        <v>707</v>
      </c>
      <c r="L273" s="49">
        <v>30</v>
      </c>
      <c r="M273" s="50" t="s">
        <v>712</v>
      </c>
      <c r="N273" s="50" t="s">
        <v>1739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1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807</v>
      </c>
      <c r="E274" s="48" t="s">
        <v>29</v>
      </c>
      <c r="F274" s="48" t="s">
        <v>786</v>
      </c>
      <c r="G274" s="48" t="s">
        <v>808</v>
      </c>
      <c r="H274" s="48" t="s">
        <v>355</v>
      </c>
      <c r="I274" s="47" t="s">
        <v>956</v>
      </c>
      <c r="J274" s="47">
        <v>99</v>
      </c>
      <c r="K274" s="49" t="s">
        <v>717</v>
      </c>
      <c r="L274" s="49" t="s">
        <v>698</v>
      </c>
      <c r="M274" s="50" t="s">
        <v>712</v>
      </c>
      <c r="N274" s="50" t="s">
        <v>1806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47">
        <v>0</v>
      </c>
      <c r="B275" s="47">
        <v>1</v>
      </c>
      <c r="C275" s="47">
        <v>7</v>
      </c>
      <c r="D275" s="48" t="s">
        <v>1328</v>
      </c>
      <c r="E275" s="48" t="s">
        <v>29</v>
      </c>
      <c r="F275" s="48" t="s">
        <v>1351</v>
      </c>
      <c r="G275" s="48" t="s">
        <v>1185</v>
      </c>
      <c r="H275" s="48" t="s">
        <v>355</v>
      </c>
      <c r="I275" s="47" t="s">
        <v>1696</v>
      </c>
      <c r="J275" s="47">
        <v>99</v>
      </c>
      <c r="K275" s="49" t="s">
        <v>717</v>
      </c>
      <c r="L275" s="49" t="s">
        <v>698</v>
      </c>
      <c r="M275" s="50" t="s">
        <v>1415</v>
      </c>
      <c r="N275" s="50" t="s">
        <v>1742</v>
      </c>
      <c r="O275" s="51"/>
      <c r="P275" s="51"/>
      <c r="Q275" s="48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15">
        <v>0</v>
      </c>
      <c r="B276" s="15">
        <v>1</v>
      </c>
      <c r="C276" s="15">
        <v>7</v>
      </c>
      <c r="D276" s="16" t="s">
        <v>1283</v>
      </c>
      <c r="E276" s="16" t="s">
        <v>29</v>
      </c>
      <c r="F276" s="16" t="s">
        <v>1284</v>
      </c>
      <c r="G276" s="16" t="s">
        <v>1285</v>
      </c>
      <c r="H276" s="16" t="s">
        <v>355</v>
      </c>
      <c r="I276" s="15" t="s">
        <v>1286</v>
      </c>
      <c r="J276" s="15">
        <v>99</v>
      </c>
      <c r="K276" s="10" t="s">
        <v>717</v>
      </c>
      <c r="L276" s="10" t="s">
        <v>698</v>
      </c>
      <c r="M276" s="19" t="s">
        <v>712</v>
      </c>
      <c r="N276" s="17"/>
      <c r="Q276" s="16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0</v>
      </c>
      <c r="AE276" s="1">
        <f t="shared" si="150"/>
        <v>0</v>
      </c>
      <c r="AF276" s="1">
        <f t="shared" si="135"/>
        <v>0</v>
      </c>
      <c r="AG276" s="1">
        <f t="shared" si="136"/>
        <v>0</v>
      </c>
      <c r="AH276" s="1">
        <f t="shared" si="137"/>
        <v>0</v>
      </c>
      <c r="AI276" s="1">
        <f t="shared" si="138"/>
        <v>1</v>
      </c>
    </row>
    <row r="277" spans="1:35" ht="14.25" customHeight="1" x14ac:dyDescent="0.25">
      <c r="A277" s="34">
        <v>0</v>
      </c>
      <c r="B277" s="34">
        <v>1</v>
      </c>
      <c r="C277" s="34">
        <v>7</v>
      </c>
      <c r="D277" s="35" t="s">
        <v>713</v>
      </c>
      <c r="E277" s="35" t="s">
        <v>29</v>
      </c>
      <c r="F277" s="35" t="s">
        <v>714</v>
      </c>
      <c r="G277" s="35" t="s">
        <v>185</v>
      </c>
      <c r="H277" s="35" t="s">
        <v>355</v>
      </c>
      <c r="I277" s="34" t="s">
        <v>715</v>
      </c>
      <c r="J277" s="34">
        <v>99</v>
      </c>
      <c r="K277" s="36" t="s">
        <v>959</v>
      </c>
      <c r="L277" s="36" t="s">
        <v>39</v>
      </c>
      <c r="M277" s="37" t="s">
        <v>39</v>
      </c>
      <c r="N277" s="37" t="s">
        <v>1737</v>
      </c>
      <c r="O277" s="38">
        <v>1</v>
      </c>
      <c r="P277" s="38">
        <v>1</v>
      </c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0</v>
      </c>
      <c r="AA277" s="1">
        <f t="shared" si="147"/>
        <v>0</v>
      </c>
      <c r="AB277" s="1">
        <f t="shared" si="148"/>
        <v>0</v>
      </c>
      <c r="AD277" s="1">
        <f t="shared" si="149"/>
        <v>1</v>
      </c>
      <c r="AE277" s="1">
        <f t="shared" si="150"/>
        <v>0</v>
      </c>
      <c r="AF277" s="1">
        <f t="shared" si="135"/>
        <v>1</v>
      </c>
      <c r="AG277" s="1">
        <f t="shared" si="136"/>
        <v>0</v>
      </c>
      <c r="AH277" s="1">
        <f t="shared" si="137"/>
        <v>1</v>
      </c>
      <c r="AI277" s="1">
        <f t="shared" si="138"/>
        <v>0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538</v>
      </c>
      <c r="E278" s="35" t="s">
        <v>34</v>
      </c>
      <c r="F278" s="35" t="s">
        <v>539</v>
      </c>
      <c r="G278" s="35" t="s">
        <v>221</v>
      </c>
      <c r="H278" s="35" t="s">
        <v>355</v>
      </c>
      <c r="I278" s="34" t="s">
        <v>540</v>
      </c>
      <c r="J278" s="34">
        <v>8</v>
      </c>
      <c r="K278" s="36" t="s">
        <v>717</v>
      </c>
      <c r="L278" s="36" t="s">
        <v>717</v>
      </c>
      <c r="M278" s="37" t="s">
        <v>718</v>
      </c>
      <c r="N278" s="37" t="s">
        <v>1752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0</v>
      </c>
      <c r="Z278" s="1">
        <f t="shared" si="146"/>
        <v>1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1294</v>
      </c>
      <c r="E279" s="35" t="s">
        <v>563</v>
      </c>
      <c r="F279" s="35" t="s">
        <v>1295</v>
      </c>
      <c r="G279" s="35" t="s">
        <v>231</v>
      </c>
      <c r="H279" s="35" t="s">
        <v>355</v>
      </c>
      <c r="I279" s="34" t="s">
        <v>1296</v>
      </c>
      <c r="J279" s="34">
        <v>7</v>
      </c>
      <c r="K279" s="36" t="s">
        <v>717</v>
      </c>
      <c r="L279" s="36" t="s">
        <v>717</v>
      </c>
      <c r="M279" s="37" t="s">
        <v>718</v>
      </c>
      <c r="N279" s="37" t="s">
        <v>1760</v>
      </c>
      <c r="O279" s="38">
        <v>1</v>
      </c>
      <c r="P279" s="38"/>
      <c r="Q279" s="35"/>
      <c r="S279" s="1">
        <f t="shared" si="139"/>
        <v>0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1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1330</v>
      </c>
      <c r="E280" s="35" t="s">
        <v>563</v>
      </c>
      <c r="F280" s="35" t="s">
        <v>1992</v>
      </c>
      <c r="G280" s="35" t="s">
        <v>214</v>
      </c>
      <c r="H280" s="35" t="s">
        <v>355</v>
      </c>
      <c r="I280" s="34" t="s">
        <v>1160</v>
      </c>
      <c r="J280" s="34">
        <v>1</v>
      </c>
      <c r="K280" s="36" t="s">
        <v>958</v>
      </c>
      <c r="L280" s="36" t="s">
        <v>717</v>
      </c>
      <c r="M280" s="37" t="s">
        <v>718</v>
      </c>
      <c r="N280" s="37" t="s">
        <v>1765</v>
      </c>
      <c r="O280" s="38">
        <v>1</v>
      </c>
      <c r="P280" s="38"/>
      <c r="Q280" s="35"/>
      <c r="S280" s="1">
        <f t="shared" si="139"/>
        <v>1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0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1331</v>
      </c>
      <c r="E281" s="35" t="s">
        <v>563</v>
      </c>
      <c r="F281" s="35" t="s">
        <v>1155</v>
      </c>
      <c r="G281" s="35" t="s">
        <v>286</v>
      </c>
      <c r="H281" s="35" t="s">
        <v>355</v>
      </c>
      <c r="I281" s="34" t="s">
        <v>1156</v>
      </c>
      <c r="J281" s="34">
        <v>10</v>
      </c>
      <c r="K281" s="36" t="s">
        <v>958</v>
      </c>
      <c r="L281" s="36" t="s">
        <v>717</v>
      </c>
      <c r="M281" s="37" t="s">
        <v>718</v>
      </c>
      <c r="N281" s="37" t="s">
        <v>1765</v>
      </c>
      <c r="O281" s="38">
        <v>1</v>
      </c>
      <c r="P281" s="38"/>
      <c r="Q281" s="35"/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1</v>
      </c>
      <c r="AD281" s="1">
        <f t="shared" si="149"/>
        <v>0</v>
      </c>
      <c r="AE281" s="1">
        <f t="shared" si="150"/>
        <v>1</v>
      </c>
      <c r="AF281" s="1">
        <f t="shared" si="135"/>
        <v>0</v>
      </c>
      <c r="AG281" s="1">
        <f t="shared" si="136"/>
        <v>1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15">
        <v>0</v>
      </c>
      <c r="B282" s="15">
        <v>2</v>
      </c>
      <c r="C282" s="15">
        <v>1</v>
      </c>
      <c r="D282" s="16" t="s">
        <v>514</v>
      </c>
      <c r="E282" s="16" t="s">
        <v>34</v>
      </c>
      <c r="F282" s="16" t="s">
        <v>513</v>
      </c>
      <c r="G282" s="16" t="s">
        <v>548</v>
      </c>
      <c r="H282" s="16" t="s">
        <v>355</v>
      </c>
      <c r="I282" s="15" t="s">
        <v>1368</v>
      </c>
      <c r="J282" s="15">
        <v>99</v>
      </c>
      <c r="K282" s="10" t="s">
        <v>959</v>
      </c>
      <c r="L282" s="10" t="s">
        <v>717</v>
      </c>
      <c r="M282" s="19" t="s">
        <v>718</v>
      </c>
      <c r="N282" s="19"/>
      <c r="Q282" s="16"/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0</v>
      </c>
      <c r="AI282" s="1">
        <f t="shared" si="138"/>
        <v>1</v>
      </c>
    </row>
    <row r="283" spans="1:35" ht="14.25" customHeight="1" x14ac:dyDescent="0.25">
      <c r="A283" s="41">
        <v>0</v>
      </c>
      <c r="B283" s="41">
        <v>2</v>
      </c>
      <c r="C283" s="41">
        <v>1</v>
      </c>
      <c r="D283" s="42" t="s">
        <v>1046</v>
      </c>
      <c r="E283" s="42" t="s">
        <v>36</v>
      </c>
      <c r="F283" s="42" t="s">
        <v>1663</v>
      </c>
      <c r="G283" s="42" t="s">
        <v>630</v>
      </c>
      <c r="H283" s="42" t="s">
        <v>355</v>
      </c>
      <c r="I283" s="41" t="s">
        <v>1047</v>
      </c>
      <c r="J283" s="41">
        <v>99</v>
      </c>
      <c r="K283" s="43" t="s">
        <v>963</v>
      </c>
      <c r="L283" s="43" t="s">
        <v>717</v>
      </c>
      <c r="M283" s="44" t="s">
        <v>718</v>
      </c>
      <c r="N283" s="45"/>
      <c r="O283" s="46"/>
      <c r="P283" s="46">
        <v>1</v>
      </c>
      <c r="Q283" s="57" t="s">
        <v>1903</v>
      </c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0</v>
      </c>
      <c r="AF283" s="1">
        <f t="shared" si="135"/>
        <v>0</v>
      </c>
      <c r="AG283" s="1">
        <f t="shared" si="136"/>
        <v>0</v>
      </c>
      <c r="AH283" s="1">
        <f t="shared" si="137"/>
        <v>1</v>
      </c>
      <c r="AI283" s="1">
        <f t="shared" si="138"/>
        <v>0</v>
      </c>
    </row>
    <row r="284" spans="1:35" ht="14.25" customHeight="1" x14ac:dyDescent="0.25">
      <c r="A284" s="34">
        <v>1</v>
      </c>
      <c r="B284" s="34">
        <v>2</v>
      </c>
      <c r="C284" s="34">
        <v>1</v>
      </c>
      <c r="D284" s="35" t="s">
        <v>49</v>
      </c>
      <c r="E284" s="35" t="s">
        <v>1318</v>
      </c>
      <c r="F284" s="35" t="s">
        <v>192</v>
      </c>
      <c r="G284" s="35" t="s">
        <v>193</v>
      </c>
      <c r="H284" s="35" t="s">
        <v>355</v>
      </c>
      <c r="I284" s="34" t="s">
        <v>387</v>
      </c>
      <c r="J284" s="34">
        <v>99</v>
      </c>
      <c r="K284" s="36" t="s">
        <v>716</v>
      </c>
      <c r="L284" s="36" t="s">
        <v>717</v>
      </c>
      <c r="M284" s="37" t="s">
        <v>718</v>
      </c>
      <c r="N284" s="37" t="s">
        <v>1760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0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0</v>
      </c>
      <c r="AH284" s="1">
        <f t="shared" si="137"/>
        <v>0</v>
      </c>
      <c r="AI284" s="1">
        <f t="shared" si="138"/>
        <v>0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1078</v>
      </c>
      <c r="E285" s="35" t="s">
        <v>1318</v>
      </c>
      <c r="F285" s="35" t="s">
        <v>1093</v>
      </c>
      <c r="G285" s="35" t="s">
        <v>203</v>
      </c>
      <c r="H285" s="35" t="s">
        <v>355</v>
      </c>
      <c r="I285" s="34" t="s">
        <v>387</v>
      </c>
      <c r="J285" s="34">
        <v>10</v>
      </c>
      <c r="K285" s="36" t="s">
        <v>716</v>
      </c>
      <c r="L285" s="36" t="s">
        <v>717</v>
      </c>
      <c r="M285" s="37" t="s">
        <v>718</v>
      </c>
      <c r="N285" s="37" t="s">
        <v>1760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0</v>
      </c>
      <c r="AA285" s="1">
        <f t="shared" si="147"/>
        <v>0</v>
      </c>
      <c r="AB285" s="1">
        <f t="shared" si="148"/>
        <v>1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1277</v>
      </c>
      <c r="E286" s="35" t="s">
        <v>563</v>
      </c>
      <c r="F286" s="35" t="s">
        <v>1278</v>
      </c>
      <c r="G286" s="35" t="s">
        <v>259</v>
      </c>
      <c r="H286" s="35" t="s">
        <v>355</v>
      </c>
      <c r="I286" s="34" t="s">
        <v>1279</v>
      </c>
      <c r="J286" s="34">
        <v>8</v>
      </c>
      <c r="K286" s="36" t="s">
        <v>958</v>
      </c>
      <c r="L286" s="36" t="s">
        <v>717</v>
      </c>
      <c r="M286" s="37" t="s">
        <v>718</v>
      </c>
      <c r="N286" s="37" t="s">
        <v>1752</v>
      </c>
      <c r="O286" s="38">
        <v>1</v>
      </c>
      <c r="P286" s="38"/>
      <c r="Q286" s="35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1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1</v>
      </c>
      <c r="AF286" s="1">
        <f t="shared" si="135"/>
        <v>0</v>
      </c>
      <c r="AG286" s="1">
        <f t="shared" si="136"/>
        <v>1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47">
        <v>0</v>
      </c>
      <c r="B287" s="47">
        <v>2</v>
      </c>
      <c r="C287" s="47">
        <v>1</v>
      </c>
      <c r="D287" s="48" t="s">
        <v>48</v>
      </c>
      <c r="E287" s="48" t="s">
        <v>580</v>
      </c>
      <c r="F287" s="48" t="s">
        <v>190</v>
      </c>
      <c r="G287" s="48" t="s">
        <v>301</v>
      </c>
      <c r="H287" s="48" t="s">
        <v>355</v>
      </c>
      <c r="I287" s="47" t="s">
        <v>386</v>
      </c>
      <c r="J287" s="47">
        <v>99</v>
      </c>
      <c r="K287" s="49" t="s">
        <v>717</v>
      </c>
      <c r="L287" s="49" t="s">
        <v>717</v>
      </c>
      <c r="M287" s="50" t="s">
        <v>718</v>
      </c>
      <c r="N287" s="50" t="s">
        <v>1751</v>
      </c>
      <c r="O287" s="51"/>
      <c r="P287" s="51"/>
      <c r="Q287" s="48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15">
        <v>0</v>
      </c>
      <c r="B288" s="15">
        <v>2</v>
      </c>
      <c r="C288" s="15">
        <v>1</v>
      </c>
      <c r="D288" s="16" t="s">
        <v>57</v>
      </c>
      <c r="E288" s="16" t="s">
        <v>163</v>
      </c>
      <c r="F288" s="16" t="s">
        <v>669</v>
      </c>
      <c r="G288" s="16" t="s">
        <v>222</v>
      </c>
      <c r="H288" s="16" t="s">
        <v>355</v>
      </c>
      <c r="I288" s="15" t="s">
        <v>397</v>
      </c>
      <c r="J288" s="15">
        <v>99</v>
      </c>
      <c r="K288" s="10" t="s">
        <v>965</v>
      </c>
      <c r="L288" s="10" t="s">
        <v>717</v>
      </c>
      <c r="M288" s="19" t="s">
        <v>718</v>
      </c>
      <c r="N288" s="19"/>
      <c r="Q288" s="16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0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0</v>
      </c>
      <c r="AF288" s="1">
        <f t="shared" si="135"/>
        <v>0</v>
      </c>
      <c r="AG288" s="1">
        <f t="shared" si="136"/>
        <v>0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34">
        <v>0</v>
      </c>
      <c r="B289" s="34">
        <v>2</v>
      </c>
      <c r="C289" s="34">
        <v>1</v>
      </c>
      <c r="D289" s="35" t="s">
        <v>517</v>
      </c>
      <c r="E289" s="35" t="s">
        <v>563</v>
      </c>
      <c r="F289" s="35" t="s">
        <v>230</v>
      </c>
      <c r="G289" s="35" t="s">
        <v>231</v>
      </c>
      <c r="H289" s="35" t="s">
        <v>355</v>
      </c>
      <c r="I289" s="34" t="s">
        <v>401</v>
      </c>
      <c r="J289" s="34">
        <v>7</v>
      </c>
      <c r="K289" s="36" t="s">
        <v>958</v>
      </c>
      <c r="L289" s="36" t="s">
        <v>717</v>
      </c>
      <c r="M289" s="37" t="s">
        <v>718</v>
      </c>
      <c r="N289" s="37" t="s">
        <v>1753</v>
      </c>
      <c r="O289" s="38">
        <v>1</v>
      </c>
      <c r="P289" s="38"/>
      <c r="Q289" s="35"/>
      <c r="S289" s="1">
        <f t="shared" si="139"/>
        <v>0</v>
      </c>
      <c r="T289" s="1">
        <f t="shared" si="140"/>
        <v>0</v>
      </c>
      <c r="U289" s="1">
        <f t="shared" si="141"/>
        <v>0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1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1</v>
      </c>
      <c r="AF289" s="1">
        <f t="shared" si="135"/>
        <v>0</v>
      </c>
      <c r="AG289" s="1">
        <f t="shared" si="136"/>
        <v>1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562</v>
      </c>
      <c r="E290" s="48" t="s">
        <v>563</v>
      </c>
      <c r="F290" s="48" t="s">
        <v>564</v>
      </c>
      <c r="G290" s="48" t="s">
        <v>209</v>
      </c>
      <c r="H290" s="48" t="s">
        <v>355</v>
      </c>
      <c r="I290" s="47" t="s">
        <v>565</v>
      </c>
      <c r="J290" s="47">
        <v>3</v>
      </c>
      <c r="K290" s="49" t="s">
        <v>716</v>
      </c>
      <c r="L290" s="49" t="s">
        <v>717</v>
      </c>
      <c r="M290" s="50" t="s">
        <v>718</v>
      </c>
      <c r="N290" s="50" t="s">
        <v>1751</v>
      </c>
      <c r="O290" s="51"/>
      <c r="P290" s="51"/>
      <c r="Q290" s="48"/>
      <c r="S290" s="1">
        <f t="shared" si="139"/>
        <v>0</v>
      </c>
      <c r="T290" s="1">
        <f t="shared" si="140"/>
        <v>0</v>
      </c>
      <c r="U290" s="1">
        <f t="shared" si="141"/>
        <v>1</v>
      </c>
      <c r="V290" s="1">
        <f t="shared" si="142"/>
        <v>0</v>
      </c>
      <c r="W290" s="1">
        <f t="shared" si="143"/>
        <v>0</v>
      </c>
      <c r="X290" s="1">
        <f t="shared" si="144"/>
        <v>0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0</v>
      </c>
      <c r="AF290" s="1">
        <f t="shared" si="135"/>
        <v>0</v>
      </c>
      <c r="AG290" s="1">
        <f t="shared" si="136"/>
        <v>0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0">
        <v>0</v>
      </c>
      <c r="B291" s="40">
        <v>2</v>
      </c>
      <c r="C291" s="40">
        <v>1</v>
      </c>
      <c r="D291" s="39" t="s">
        <v>1057</v>
      </c>
      <c r="E291" s="39" t="s">
        <v>32</v>
      </c>
      <c r="F291" s="39" t="s">
        <v>1281</v>
      </c>
      <c r="G291" s="39" t="s">
        <v>537</v>
      </c>
      <c r="H291" s="39" t="s">
        <v>355</v>
      </c>
      <c r="I291" s="40" t="s">
        <v>1282</v>
      </c>
      <c r="J291" s="40">
        <v>6</v>
      </c>
      <c r="K291" s="59" t="s">
        <v>717</v>
      </c>
      <c r="L291" s="36" t="s">
        <v>717</v>
      </c>
      <c r="M291" s="37" t="s">
        <v>718</v>
      </c>
      <c r="N291" s="37" t="s">
        <v>1752</v>
      </c>
      <c r="O291" s="38">
        <v>1</v>
      </c>
      <c r="P291" s="38"/>
      <c r="Q291" s="39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1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1</v>
      </c>
      <c r="AF291" s="1">
        <f t="shared" si="135"/>
        <v>0</v>
      </c>
      <c r="AG291" s="1">
        <f t="shared" si="136"/>
        <v>1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921</v>
      </c>
      <c r="E292" s="48" t="s">
        <v>1337</v>
      </c>
      <c r="F292" s="48" t="s">
        <v>793</v>
      </c>
      <c r="G292" s="48" t="s">
        <v>258</v>
      </c>
      <c r="H292" s="48" t="s">
        <v>355</v>
      </c>
      <c r="I292" s="47" t="s">
        <v>948</v>
      </c>
      <c r="J292" s="47">
        <v>99</v>
      </c>
      <c r="K292" s="49" t="s">
        <v>716</v>
      </c>
      <c r="L292" s="49" t="s">
        <v>717</v>
      </c>
      <c r="M292" s="50" t="s">
        <v>718</v>
      </c>
      <c r="N292" s="50" t="s">
        <v>1738</v>
      </c>
      <c r="O292" s="51"/>
      <c r="P292" s="51"/>
      <c r="Q292" s="48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0</v>
      </c>
      <c r="AF292" s="1">
        <f t="shared" si="135"/>
        <v>0</v>
      </c>
      <c r="AG292" s="1">
        <f t="shared" si="136"/>
        <v>0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40">
        <v>0</v>
      </c>
      <c r="B293" s="40">
        <v>2</v>
      </c>
      <c r="C293" s="40">
        <v>1</v>
      </c>
      <c r="D293" s="39" t="s">
        <v>1775</v>
      </c>
      <c r="E293" s="39" t="s">
        <v>1776</v>
      </c>
      <c r="F293" s="39" t="s">
        <v>1777</v>
      </c>
      <c r="G293" s="39" t="s">
        <v>181</v>
      </c>
      <c r="H293" s="39" t="s">
        <v>355</v>
      </c>
      <c r="I293" s="40" t="s">
        <v>1778</v>
      </c>
      <c r="J293" s="40"/>
      <c r="K293" s="59" t="s">
        <v>707</v>
      </c>
      <c r="L293" s="36">
        <v>4</v>
      </c>
      <c r="M293" s="37" t="s">
        <v>718</v>
      </c>
      <c r="N293" s="37" t="s">
        <v>1747</v>
      </c>
      <c r="O293" s="38">
        <v>1</v>
      </c>
      <c r="P293" s="38"/>
      <c r="Q293" s="39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621</v>
      </c>
      <c r="E294" s="35" t="s">
        <v>622</v>
      </c>
      <c r="F294" s="35" t="s">
        <v>623</v>
      </c>
      <c r="G294" s="35" t="s">
        <v>624</v>
      </c>
      <c r="H294" s="35" t="s">
        <v>355</v>
      </c>
      <c r="I294" s="34" t="s">
        <v>625</v>
      </c>
      <c r="J294" s="34">
        <v>99</v>
      </c>
      <c r="K294" s="36" t="s">
        <v>716</v>
      </c>
      <c r="L294" s="36" t="s">
        <v>717</v>
      </c>
      <c r="M294" s="37" t="s">
        <v>718</v>
      </c>
      <c r="N294" s="37" t="s">
        <v>1760</v>
      </c>
      <c r="O294" s="38">
        <v>1</v>
      </c>
      <c r="P294" s="38"/>
      <c r="Q294" s="35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1</v>
      </c>
      <c r="AF294" s="1">
        <f t="shared" si="135"/>
        <v>0</v>
      </c>
      <c r="AG294" s="1">
        <f t="shared" si="136"/>
        <v>1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1084</v>
      </c>
      <c r="E295" s="48" t="s">
        <v>1338</v>
      </c>
      <c r="F295" s="48" t="s">
        <v>1667</v>
      </c>
      <c r="G295" s="48" t="s">
        <v>191</v>
      </c>
      <c r="H295" s="48" t="s">
        <v>355</v>
      </c>
      <c r="I295" s="67" t="s">
        <v>1865</v>
      </c>
      <c r="J295" s="47">
        <v>99</v>
      </c>
      <c r="K295" s="49" t="s">
        <v>716</v>
      </c>
      <c r="L295" s="49" t="s">
        <v>717</v>
      </c>
      <c r="M295" s="50" t="s">
        <v>718</v>
      </c>
      <c r="N295" s="50" t="s">
        <v>1739</v>
      </c>
      <c r="O295" s="51"/>
      <c r="P295" s="51"/>
      <c r="Q295" s="48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16" t="s">
        <v>653</v>
      </c>
      <c r="E296" s="16" t="s">
        <v>36</v>
      </c>
      <c r="F296" s="16" t="s">
        <v>670</v>
      </c>
      <c r="G296" s="16" t="s">
        <v>202</v>
      </c>
      <c r="H296" s="16" t="s">
        <v>355</v>
      </c>
      <c r="I296" s="15" t="s">
        <v>1009</v>
      </c>
      <c r="J296" s="15">
        <v>99</v>
      </c>
      <c r="K296" s="10" t="s">
        <v>707</v>
      </c>
      <c r="L296" s="10">
        <v>4</v>
      </c>
      <c r="M296" s="19" t="s">
        <v>718</v>
      </c>
      <c r="N296" s="17"/>
      <c r="Q296" s="16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47">
        <v>0</v>
      </c>
      <c r="B297" s="47">
        <v>2</v>
      </c>
      <c r="C297" s="47">
        <v>1</v>
      </c>
      <c r="D297" s="48" t="s">
        <v>1268</v>
      </c>
      <c r="E297" s="48" t="s">
        <v>1269</v>
      </c>
      <c r="F297" s="48" t="s">
        <v>1270</v>
      </c>
      <c r="G297" s="48" t="s">
        <v>1169</v>
      </c>
      <c r="H297" s="48" t="s">
        <v>355</v>
      </c>
      <c r="I297" s="47" t="s">
        <v>1271</v>
      </c>
      <c r="J297" s="47">
        <v>11</v>
      </c>
      <c r="K297" s="49" t="s">
        <v>707</v>
      </c>
      <c r="L297" s="49">
        <v>6</v>
      </c>
      <c r="M297" s="50" t="s">
        <v>1732</v>
      </c>
      <c r="N297" s="50" t="s">
        <v>1813</v>
      </c>
      <c r="O297" s="51"/>
      <c r="P297" s="51"/>
      <c r="Q297" s="48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0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0</v>
      </c>
      <c r="AF297" s="1">
        <f t="shared" si="135"/>
        <v>0</v>
      </c>
      <c r="AG297" s="1">
        <f t="shared" si="136"/>
        <v>0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1127</v>
      </c>
      <c r="E298" s="35" t="s">
        <v>1318</v>
      </c>
      <c r="F298" s="35" t="s">
        <v>1125</v>
      </c>
      <c r="G298" s="35" t="s">
        <v>231</v>
      </c>
      <c r="H298" s="35" t="s">
        <v>355</v>
      </c>
      <c r="I298" s="34" t="s">
        <v>1126</v>
      </c>
      <c r="J298" s="34">
        <v>7</v>
      </c>
      <c r="K298" s="36" t="s">
        <v>717</v>
      </c>
      <c r="L298" s="36" t="s">
        <v>1713</v>
      </c>
      <c r="M298" s="37" t="s">
        <v>718</v>
      </c>
      <c r="N298" s="37" t="s">
        <v>1760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1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34">
        <v>0</v>
      </c>
      <c r="B299" s="34">
        <v>2</v>
      </c>
      <c r="C299" s="34">
        <v>1</v>
      </c>
      <c r="D299" s="35" t="s">
        <v>1012</v>
      </c>
      <c r="E299" s="35" t="s">
        <v>1340</v>
      </c>
      <c r="F299" s="35" t="s">
        <v>1013</v>
      </c>
      <c r="G299" s="35" t="s">
        <v>1104</v>
      </c>
      <c r="H299" s="35" t="s">
        <v>355</v>
      </c>
      <c r="I299" s="34" t="s">
        <v>409</v>
      </c>
      <c r="J299" s="34">
        <v>99</v>
      </c>
      <c r="K299" s="36" t="s">
        <v>717</v>
      </c>
      <c r="L299" s="36" t="s">
        <v>717</v>
      </c>
      <c r="M299" s="37" t="s">
        <v>718</v>
      </c>
      <c r="N299" s="37" t="s">
        <v>1747</v>
      </c>
      <c r="O299" s="38">
        <v>1</v>
      </c>
      <c r="P299" s="38"/>
      <c r="Q299" s="35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0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52">
        <v>0</v>
      </c>
      <c r="B300" s="52">
        <v>2</v>
      </c>
      <c r="C300" s="52">
        <v>1</v>
      </c>
      <c r="D300" s="53" t="s">
        <v>1134</v>
      </c>
      <c r="E300" s="53" t="s">
        <v>563</v>
      </c>
      <c r="F300" s="53" t="s">
        <v>1358</v>
      </c>
      <c r="G300" s="53" t="s">
        <v>266</v>
      </c>
      <c r="H300" s="53" t="s">
        <v>355</v>
      </c>
      <c r="I300" s="52" t="s">
        <v>1135</v>
      </c>
      <c r="J300" s="52">
        <v>8</v>
      </c>
      <c r="K300" s="54" t="s">
        <v>716</v>
      </c>
      <c r="L300" s="54" t="s">
        <v>1713</v>
      </c>
      <c r="M300" s="55" t="s">
        <v>718</v>
      </c>
      <c r="N300" s="55" t="s">
        <v>1752</v>
      </c>
      <c r="O300" s="56">
        <v>1</v>
      </c>
      <c r="P300" s="56"/>
      <c r="Q300" s="53"/>
      <c r="S300" s="1">
        <f t="shared" si="139"/>
        <v>0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1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34">
        <v>0</v>
      </c>
      <c r="B301" s="34">
        <v>2</v>
      </c>
      <c r="C301" s="34">
        <v>1</v>
      </c>
      <c r="D301" s="35" t="s">
        <v>1290</v>
      </c>
      <c r="E301" s="35" t="s">
        <v>1338</v>
      </c>
      <c r="F301" s="35" t="s">
        <v>1287</v>
      </c>
      <c r="G301" s="35" t="s">
        <v>1288</v>
      </c>
      <c r="H301" s="35" t="s">
        <v>355</v>
      </c>
      <c r="I301" s="34" t="s">
        <v>1289</v>
      </c>
      <c r="J301" s="34">
        <v>1</v>
      </c>
      <c r="K301" s="36" t="s">
        <v>716</v>
      </c>
      <c r="L301" s="36" t="s">
        <v>717</v>
      </c>
      <c r="M301" s="37" t="s">
        <v>718</v>
      </c>
      <c r="N301" s="37" t="s">
        <v>1765</v>
      </c>
      <c r="O301" s="38">
        <v>1</v>
      </c>
      <c r="P301" s="38"/>
      <c r="Q301" s="35" t="s">
        <v>1906</v>
      </c>
      <c r="S301" s="1">
        <f t="shared" si="139"/>
        <v>1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1</v>
      </c>
      <c r="AF301" s="1">
        <f t="shared" si="135"/>
        <v>0</v>
      </c>
      <c r="AG301" s="1">
        <f t="shared" si="136"/>
        <v>1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52</v>
      </c>
      <c r="E302" s="48" t="s">
        <v>32</v>
      </c>
      <c r="F302" s="48" t="s">
        <v>207</v>
      </c>
      <c r="G302" s="48" t="s">
        <v>208</v>
      </c>
      <c r="H302" s="48" t="s">
        <v>355</v>
      </c>
      <c r="I302" s="47" t="s">
        <v>392</v>
      </c>
      <c r="J302" s="47">
        <v>99</v>
      </c>
      <c r="K302" s="49" t="s">
        <v>716</v>
      </c>
      <c r="L302" s="49" t="s">
        <v>717</v>
      </c>
      <c r="M302" s="50" t="s">
        <v>718</v>
      </c>
      <c r="N302" s="50" t="s">
        <v>1751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47">
        <v>0</v>
      </c>
      <c r="B303" s="47">
        <v>2</v>
      </c>
      <c r="C303" s="47">
        <v>1</v>
      </c>
      <c r="D303" s="48" t="s">
        <v>73</v>
      </c>
      <c r="E303" s="48" t="s">
        <v>563</v>
      </c>
      <c r="F303" s="48" t="s">
        <v>1054</v>
      </c>
      <c r="G303" s="48" t="s">
        <v>191</v>
      </c>
      <c r="H303" s="48" t="s">
        <v>355</v>
      </c>
      <c r="I303" s="47" t="s">
        <v>422</v>
      </c>
      <c r="J303" s="47">
        <v>99</v>
      </c>
      <c r="K303" s="49" t="s">
        <v>958</v>
      </c>
      <c r="L303" s="49" t="s">
        <v>717</v>
      </c>
      <c r="M303" s="50" t="s">
        <v>718</v>
      </c>
      <c r="N303" s="50" t="s">
        <v>1739</v>
      </c>
      <c r="O303" s="51"/>
      <c r="P303" s="51"/>
      <c r="Q303" s="48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0</v>
      </c>
      <c r="AD303" s="1">
        <f t="shared" si="149"/>
        <v>0</v>
      </c>
      <c r="AE303" s="1">
        <f t="shared" si="150"/>
        <v>0</v>
      </c>
      <c r="AF303" s="1">
        <f t="shared" si="135"/>
        <v>0</v>
      </c>
      <c r="AG303" s="1">
        <f t="shared" si="136"/>
        <v>0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34">
        <v>0</v>
      </c>
      <c r="B304" s="34">
        <v>2</v>
      </c>
      <c r="C304" s="34">
        <v>1</v>
      </c>
      <c r="D304" s="35" t="s">
        <v>47</v>
      </c>
      <c r="E304" s="35" t="s">
        <v>32</v>
      </c>
      <c r="F304" s="35" t="s">
        <v>188</v>
      </c>
      <c r="G304" s="35" t="s">
        <v>181</v>
      </c>
      <c r="H304" s="35" t="s">
        <v>355</v>
      </c>
      <c r="I304" s="34" t="s">
        <v>384</v>
      </c>
      <c r="J304" s="34">
        <v>10</v>
      </c>
      <c r="K304" s="36" t="s">
        <v>959</v>
      </c>
      <c r="L304" s="36" t="s">
        <v>717</v>
      </c>
      <c r="M304" s="37" t="s">
        <v>718</v>
      </c>
      <c r="N304" s="37" t="s">
        <v>1747</v>
      </c>
      <c r="O304" s="38">
        <v>1</v>
      </c>
      <c r="P304" s="38"/>
      <c r="Q304" s="35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1</v>
      </c>
      <c r="AD304" s="1">
        <f t="shared" si="149"/>
        <v>0</v>
      </c>
      <c r="AE304" s="1">
        <f t="shared" si="150"/>
        <v>1</v>
      </c>
      <c r="AF304" s="1">
        <f t="shared" si="135"/>
        <v>0</v>
      </c>
      <c r="AG304" s="1">
        <f t="shared" si="136"/>
        <v>1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7">
        <v>0</v>
      </c>
      <c r="B305" s="47">
        <v>2</v>
      </c>
      <c r="C305" s="47">
        <v>1</v>
      </c>
      <c r="D305" s="48" t="s">
        <v>654</v>
      </c>
      <c r="E305" s="48" t="s">
        <v>161</v>
      </c>
      <c r="F305" s="48" t="s">
        <v>189</v>
      </c>
      <c r="G305" s="48" t="s">
        <v>671</v>
      </c>
      <c r="H305" s="48" t="s">
        <v>355</v>
      </c>
      <c r="I305" s="47" t="s">
        <v>385</v>
      </c>
      <c r="J305" s="47">
        <v>99</v>
      </c>
      <c r="K305" s="49" t="s">
        <v>716</v>
      </c>
      <c r="L305" s="49" t="s">
        <v>717</v>
      </c>
      <c r="M305" s="50" t="s">
        <v>718</v>
      </c>
      <c r="N305" s="50" t="s">
        <v>1741</v>
      </c>
      <c r="O305" s="51"/>
      <c r="P305" s="51"/>
      <c r="Q305" s="48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0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0</v>
      </c>
      <c r="AI305" s="1">
        <f t="shared" si="138"/>
        <v>1</v>
      </c>
    </row>
    <row r="306" spans="1:35" ht="14.25" customHeight="1" x14ac:dyDescent="0.25">
      <c r="A306" s="41">
        <v>0</v>
      </c>
      <c r="B306" s="41">
        <v>2</v>
      </c>
      <c r="C306" s="41">
        <v>1</v>
      </c>
      <c r="D306" s="42" t="s">
        <v>1308</v>
      </c>
      <c r="E306" s="42" t="s">
        <v>36</v>
      </c>
      <c r="F306" s="42" t="s">
        <v>1309</v>
      </c>
      <c r="G306" s="42" t="s">
        <v>259</v>
      </c>
      <c r="H306" s="42" t="s">
        <v>355</v>
      </c>
      <c r="I306" s="41" t="s">
        <v>1310</v>
      </c>
      <c r="J306" s="41">
        <v>8</v>
      </c>
      <c r="K306" s="43" t="s">
        <v>963</v>
      </c>
      <c r="L306" s="43" t="s">
        <v>717</v>
      </c>
      <c r="M306" s="44" t="s">
        <v>718</v>
      </c>
      <c r="N306" s="45"/>
      <c r="O306" s="46"/>
      <c r="P306" s="46">
        <v>1</v>
      </c>
      <c r="Q306" s="42"/>
      <c r="S306" s="1">
        <f t="shared" si="139"/>
        <v>0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1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0</v>
      </c>
      <c r="AF306" s="1">
        <f t="shared" si="135"/>
        <v>0</v>
      </c>
      <c r="AG306" s="1">
        <f t="shared" si="136"/>
        <v>0</v>
      </c>
      <c r="AH306" s="1">
        <f t="shared" si="137"/>
        <v>1</v>
      </c>
      <c r="AI306" s="1">
        <f t="shared" si="138"/>
        <v>0</v>
      </c>
    </row>
    <row r="307" spans="1:35" ht="14.25" customHeight="1" x14ac:dyDescent="0.25">
      <c r="A307" s="34">
        <v>0</v>
      </c>
      <c r="B307" s="34">
        <v>2</v>
      </c>
      <c r="C307" s="34">
        <v>1</v>
      </c>
      <c r="D307" s="35" t="s">
        <v>54</v>
      </c>
      <c r="E307" s="35" t="s">
        <v>563</v>
      </c>
      <c r="F307" s="35" t="s">
        <v>213</v>
      </c>
      <c r="G307" s="35" t="s">
        <v>214</v>
      </c>
      <c r="H307" s="35" t="s">
        <v>355</v>
      </c>
      <c r="I307" s="34" t="s">
        <v>394</v>
      </c>
      <c r="J307" s="34">
        <v>1</v>
      </c>
      <c r="K307" s="36" t="s">
        <v>959</v>
      </c>
      <c r="L307" s="36" t="s">
        <v>717</v>
      </c>
      <c r="M307" s="37" t="s">
        <v>39</v>
      </c>
      <c r="N307" s="37" t="s">
        <v>1747</v>
      </c>
      <c r="O307" s="38">
        <v>1</v>
      </c>
      <c r="P307" s="38"/>
      <c r="Q307" s="35"/>
      <c r="S307" s="1">
        <f t="shared" si="139"/>
        <v>1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0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1</v>
      </c>
      <c r="AF307" s="1">
        <f t="shared" si="135"/>
        <v>0</v>
      </c>
      <c r="AG307" s="1">
        <f t="shared" si="136"/>
        <v>1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47">
        <v>0</v>
      </c>
      <c r="B308" s="47">
        <v>2</v>
      </c>
      <c r="C308" s="47">
        <v>1</v>
      </c>
      <c r="D308" s="48" t="s">
        <v>61</v>
      </c>
      <c r="E308" s="48" t="s">
        <v>545</v>
      </c>
      <c r="F308" s="48" t="s">
        <v>234</v>
      </c>
      <c r="G308" s="48" t="s">
        <v>205</v>
      </c>
      <c r="H308" s="48" t="s">
        <v>355</v>
      </c>
      <c r="I308" s="47" t="s">
        <v>402</v>
      </c>
      <c r="J308" s="47">
        <v>7</v>
      </c>
      <c r="K308" s="49" t="s">
        <v>716</v>
      </c>
      <c r="L308" s="49" t="s">
        <v>717</v>
      </c>
      <c r="M308" s="50" t="s">
        <v>718</v>
      </c>
      <c r="N308" s="50" t="s">
        <v>1742</v>
      </c>
      <c r="O308" s="51"/>
      <c r="P308" s="51"/>
      <c r="Q308" s="48"/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1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0</v>
      </c>
      <c r="AF308" s="1">
        <f t="shared" si="135"/>
        <v>0</v>
      </c>
      <c r="AG308" s="1">
        <f t="shared" si="136"/>
        <v>0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1651</v>
      </c>
      <c r="E309" s="53" t="s">
        <v>563</v>
      </c>
      <c r="F309" s="53" t="s">
        <v>1362</v>
      </c>
      <c r="G309" s="53" t="s">
        <v>1288</v>
      </c>
      <c r="H309" s="53" t="s">
        <v>355</v>
      </c>
      <c r="I309" s="52" t="s">
        <v>1171</v>
      </c>
      <c r="J309" s="52">
        <v>99</v>
      </c>
      <c r="K309" s="54" t="s">
        <v>716</v>
      </c>
      <c r="L309" s="54" t="s">
        <v>717</v>
      </c>
      <c r="M309" s="55" t="s">
        <v>718</v>
      </c>
      <c r="N309" s="55" t="s">
        <v>1752</v>
      </c>
      <c r="O309" s="56">
        <v>1</v>
      </c>
      <c r="P309" s="56"/>
      <c r="Q309" s="58" t="s">
        <v>1905</v>
      </c>
      <c r="S309" s="1">
        <f t="shared" si="139"/>
        <v>0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52">
        <v>0</v>
      </c>
      <c r="B310" s="52">
        <v>2</v>
      </c>
      <c r="C310" s="52">
        <v>1</v>
      </c>
      <c r="D310" s="53" t="s">
        <v>1786</v>
      </c>
      <c r="E310" s="53" t="s">
        <v>1787</v>
      </c>
      <c r="F310" s="53" t="s">
        <v>1788</v>
      </c>
      <c r="G310" s="53" t="s">
        <v>1789</v>
      </c>
      <c r="H310" s="53" t="s">
        <v>355</v>
      </c>
      <c r="I310" s="52"/>
      <c r="J310" s="52">
        <v>1</v>
      </c>
      <c r="K310" s="54" t="s">
        <v>707</v>
      </c>
      <c r="L310" s="54"/>
      <c r="M310" s="55"/>
      <c r="N310" s="55" t="s">
        <v>1747</v>
      </c>
      <c r="O310" s="56">
        <v>1</v>
      </c>
      <c r="P310" s="56"/>
      <c r="Q310" s="58" t="s">
        <v>1913</v>
      </c>
      <c r="S310" s="1">
        <f t="shared" si="139"/>
        <v>1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34">
        <v>0</v>
      </c>
      <c r="B311" s="34">
        <v>2</v>
      </c>
      <c r="C311" s="34">
        <v>1</v>
      </c>
      <c r="D311" s="35" t="s">
        <v>1322</v>
      </c>
      <c r="E311" s="35" t="s">
        <v>1342</v>
      </c>
      <c r="F311" s="35" t="s">
        <v>1305</v>
      </c>
      <c r="G311" s="35" t="s">
        <v>1306</v>
      </c>
      <c r="H311" s="35" t="s">
        <v>355</v>
      </c>
      <c r="I311" s="34" t="s">
        <v>1307</v>
      </c>
      <c r="J311" s="34">
        <v>99</v>
      </c>
      <c r="K311" s="36" t="s">
        <v>959</v>
      </c>
      <c r="L311" s="36" t="s">
        <v>717</v>
      </c>
      <c r="M311" s="37" t="s">
        <v>718</v>
      </c>
      <c r="N311" s="37" t="s">
        <v>1923</v>
      </c>
      <c r="O311" s="38">
        <v>1</v>
      </c>
      <c r="P311" s="38"/>
      <c r="Q311" s="35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0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1</v>
      </c>
      <c r="AF311" s="1">
        <f t="shared" si="135"/>
        <v>0</v>
      </c>
      <c r="AG311" s="1">
        <f t="shared" si="136"/>
        <v>1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1</v>
      </c>
      <c r="D312" s="48" t="s">
        <v>1317</v>
      </c>
      <c r="E312" s="48" t="s">
        <v>161</v>
      </c>
      <c r="F312" s="48" t="s">
        <v>1319</v>
      </c>
      <c r="G312" s="48" t="s">
        <v>1320</v>
      </c>
      <c r="H312" s="48" t="s">
        <v>355</v>
      </c>
      <c r="I312" s="47" t="s">
        <v>1321</v>
      </c>
      <c r="J312" s="47">
        <v>8</v>
      </c>
      <c r="K312" s="49" t="s">
        <v>717</v>
      </c>
      <c r="L312" s="49" t="s">
        <v>717</v>
      </c>
      <c r="M312" s="50" t="s">
        <v>718</v>
      </c>
      <c r="N312" s="50" t="s">
        <v>1751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1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1650</v>
      </c>
      <c r="E313" s="48" t="s">
        <v>1172</v>
      </c>
      <c r="F313" s="48" t="s">
        <v>1684</v>
      </c>
      <c r="G313" s="48" t="s">
        <v>191</v>
      </c>
      <c r="H313" s="48" t="s">
        <v>355</v>
      </c>
      <c r="I313" s="47" t="s">
        <v>1611</v>
      </c>
      <c r="J313" s="47">
        <v>99</v>
      </c>
      <c r="K313" s="49" t="s">
        <v>717</v>
      </c>
      <c r="L313" s="49" t="s">
        <v>700</v>
      </c>
      <c r="M313" s="50" t="s">
        <v>1612</v>
      </c>
      <c r="N313" s="50" t="s">
        <v>1742</v>
      </c>
      <c r="O313" s="51"/>
      <c r="P313" s="51"/>
      <c r="Q313" s="48"/>
      <c r="S313" s="1">
        <f t="shared" si="139"/>
        <v>0</v>
      </c>
      <c r="T313" s="1">
        <f t="shared" si="140"/>
        <v>0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0</v>
      </c>
      <c r="AF313" s="1">
        <f t="shared" si="135"/>
        <v>0</v>
      </c>
      <c r="AG313" s="1">
        <f t="shared" si="136"/>
        <v>0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52">
        <v>0</v>
      </c>
      <c r="B314" s="52">
        <v>2</v>
      </c>
      <c r="C314" s="52">
        <v>2</v>
      </c>
      <c r="D314" s="53" t="s">
        <v>65</v>
      </c>
      <c r="E314" s="53" t="s">
        <v>165</v>
      </c>
      <c r="F314" s="53" t="s">
        <v>244</v>
      </c>
      <c r="G314" s="53" t="s">
        <v>201</v>
      </c>
      <c r="H314" s="53" t="s">
        <v>355</v>
      </c>
      <c r="I314" s="52" t="s">
        <v>408</v>
      </c>
      <c r="J314" s="52">
        <v>2</v>
      </c>
      <c r="K314" s="54" t="s">
        <v>959</v>
      </c>
      <c r="L314" s="54" t="s">
        <v>700</v>
      </c>
      <c r="M314" s="55" t="s">
        <v>719</v>
      </c>
      <c r="N314" s="55" t="s">
        <v>1747</v>
      </c>
      <c r="O314" s="56">
        <v>1</v>
      </c>
      <c r="P314" s="56"/>
      <c r="Q314" s="53"/>
      <c r="S314" s="1">
        <f t="shared" si="139"/>
        <v>0</v>
      </c>
      <c r="T314" s="1">
        <f t="shared" si="140"/>
        <v>1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1</v>
      </c>
      <c r="AF314" s="1">
        <f t="shared" si="135"/>
        <v>0</v>
      </c>
      <c r="AG314" s="1">
        <f t="shared" si="136"/>
        <v>1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47">
        <v>0</v>
      </c>
      <c r="B315" s="47">
        <v>2</v>
      </c>
      <c r="C315" s="47">
        <v>2</v>
      </c>
      <c r="D315" s="48" t="s">
        <v>1186</v>
      </c>
      <c r="E315" s="48" t="s">
        <v>1187</v>
      </c>
      <c r="F315" s="48" t="s">
        <v>1352</v>
      </c>
      <c r="G315" s="48" t="s">
        <v>1060</v>
      </c>
      <c r="H315" s="48" t="s">
        <v>355</v>
      </c>
      <c r="I315" s="47" t="s">
        <v>1188</v>
      </c>
      <c r="J315" s="47">
        <v>1</v>
      </c>
      <c r="K315" s="49" t="s">
        <v>716</v>
      </c>
      <c r="L315" s="49" t="s">
        <v>708</v>
      </c>
      <c r="M315" s="50" t="s">
        <v>1416</v>
      </c>
      <c r="N315" s="50" t="s">
        <v>1739</v>
      </c>
      <c r="O315" s="51"/>
      <c r="P315" s="51"/>
      <c r="Q315" s="48"/>
      <c r="S315" s="1">
        <f t="shared" si="139"/>
        <v>1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0</v>
      </c>
      <c r="AF315" s="1">
        <f t="shared" si="135"/>
        <v>0</v>
      </c>
      <c r="AG315" s="1">
        <f t="shared" si="136"/>
        <v>0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1832</v>
      </c>
      <c r="E316" s="35" t="s">
        <v>1833</v>
      </c>
      <c r="F316" s="35" t="s">
        <v>1834</v>
      </c>
      <c r="G316" s="35" t="s">
        <v>197</v>
      </c>
      <c r="H316" s="35" t="s">
        <v>355</v>
      </c>
      <c r="I316" s="34" t="s">
        <v>1835</v>
      </c>
      <c r="J316" s="34"/>
      <c r="K316" s="36" t="s">
        <v>707</v>
      </c>
      <c r="L316" s="36">
        <v>20</v>
      </c>
      <c r="M316" s="37" t="s">
        <v>1836</v>
      </c>
      <c r="N316" s="37" t="s">
        <v>1752</v>
      </c>
      <c r="O316" s="38">
        <v>1</v>
      </c>
      <c r="P316" s="38"/>
      <c r="Q316" s="35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1</v>
      </c>
      <c r="AF316" s="1">
        <f t="shared" si="135"/>
        <v>0</v>
      </c>
      <c r="AG316" s="1">
        <f t="shared" si="136"/>
        <v>1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15">
        <v>0</v>
      </c>
      <c r="B317" s="15">
        <v>2</v>
      </c>
      <c r="C317" s="15">
        <v>2</v>
      </c>
      <c r="D317" s="16" t="s">
        <v>1580</v>
      </c>
      <c r="E317" s="16" t="s">
        <v>1581</v>
      </c>
      <c r="F317" s="16" t="s">
        <v>1583</v>
      </c>
      <c r="G317" s="16" t="s">
        <v>1584</v>
      </c>
      <c r="H317" s="16" t="s">
        <v>355</v>
      </c>
      <c r="I317" s="15" t="s">
        <v>1582</v>
      </c>
      <c r="J317" s="15">
        <v>99</v>
      </c>
      <c r="K317" s="10" t="s">
        <v>707</v>
      </c>
      <c r="L317" s="10">
        <v>18</v>
      </c>
      <c r="M317" s="19" t="s">
        <v>1585</v>
      </c>
      <c r="N317" s="17"/>
      <c r="Q317" s="16"/>
      <c r="S317" s="1">
        <f t="shared" si="139"/>
        <v>0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0</v>
      </c>
      <c r="AF317" s="1">
        <f t="shared" si="135"/>
        <v>0</v>
      </c>
      <c r="AG317" s="1">
        <f t="shared" si="136"/>
        <v>0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64</v>
      </c>
      <c r="E318" s="53" t="s">
        <v>33</v>
      </c>
      <c r="F318" s="53" t="s">
        <v>242</v>
      </c>
      <c r="G318" s="53" t="s">
        <v>243</v>
      </c>
      <c r="H318" s="53" t="s">
        <v>355</v>
      </c>
      <c r="I318" s="52" t="s">
        <v>407</v>
      </c>
      <c r="J318" s="52">
        <v>1</v>
      </c>
      <c r="K318" s="54" t="s">
        <v>965</v>
      </c>
      <c r="L318" s="54" t="s">
        <v>720</v>
      </c>
      <c r="M318" s="55" t="s">
        <v>721</v>
      </c>
      <c r="N318" s="55" t="s">
        <v>1747</v>
      </c>
      <c r="O318" s="56">
        <v>1</v>
      </c>
      <c r="P318" s="56"/>
      <c r="Q318" s="53"/>
      <c r="S318" s="1">
        <f t="shared" si="139"/>
        <v>1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52">
        <v>0</v>
      </c>
      <c r="B319" s="52">
        <v>2</v>
      </c>
      <c r="C319" s="52">
        <v>2</v>
      </c>
      <c r="D319" s="53" t="s">
        <v>62</v>
      </c>
      <c r="E319" s="53" t="s">
        <v>1090</v>
      </c>
      <c r="F319" s="53" t="s">
        <v>235</v>
      </c>
      <c r="G319" s="53" t="s">
        <v>236</v>
      </c>
      <c r="H319" s="53" t="s">
        <v>355</v>
      </c>
      <c r="I319" s="52" t="s">
        <v>1369</v>
      </c>
      <c r="J319" s="52">
        <v>99</v>
      </c>
      <c r="K319" s="54" t="s">
        <v>959</v>
      </c>
      <c r="L319" s="54" t="s">
        <v>720</v>
      </c>
      <c r="M319" s="55" t="s">
        <v>722</v>
      </c>
      <c r="N319" s="55" t="s">
        <v>1747</v>
      </c>
      <c r="O319" s="56">
        <v>1</v>
      </c>
      <c r="P319" s="56"/>
      <c r="Q319" s="53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0</v>
      </c>
      <c r="AE319" s="1">
        <f t="shared" si="150"/>
        <v>1</v>
      </c>
      <c r="AF319" s="1">
        <f t="shared" si="135"/>
        <v>0</v>
      </c>
      <c r="AG319" s="1">
        <f t="shared" si="136"/>
        <v>1</v>
      </c>
      <c r="AH319" s="1">
        <f t="shared" si="137"/>
        <v>0</v>
      </c>
      <c r="AI319" s="1">
        <f t="shared" si="138"/>
        <v>1</v>
      </c>
    </row>
    <row r="320" spans="1:35" ht="14.25" customHeight="1" x14ac:dyDescent="0.25">
      <c r="A320" s="34">
        <v>0</v>
      </c>
      <c r="B320" s="34">
        <v>2</v>
      </c>
      <c r="C320" s="34">
        <v>2</v>
      </c>
      <c r="D320" s="35" t="s">
        <v>1720</v>
      </c>
      <c r="E320" s="35" t="s">
        <v>1722</v>
      </c>
      <c r="F320" s="35" t="s">
        <v>1721</v>
      </c>
      <c r="G320" s="35"/>
      <c r="H320" s="35" t="s">
        <v>355</v>
      </c>
      <c r="I320" s="34" t="s">
        <v>1723</v>
      </c>
      <c r="J320" s="34"/>
      <c r="K320" s="36" t="s">
        <v>707</v>
      </c>
      <c r="L320" s="36"/>
      <c r="M320" s="37"/>
      <c r="N320" s="37" t="s">
        <v>1731</v>
      </c>
      <c r="O320" s="38">
        <v>1</v>
      </c>
      <c r="P320" s="38">
        <v>1</v>
      </c>
      <c r="Q320" s="35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0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1</v>
      </c>
      <c r="AE320" s="1">
        <f t="shared" si="150"/>
        <v>0</v>
      </c>
      <c r="AF320" s="1">
        <f t="shared" si="135"/>
        <v>1</v>
      </c>
      <c r="AG320" s="1">
        <f t="shared" si="136"/>
        <v>0</v>
      </c>
      <c r="AH320" s="1">
        <f t="shared" si="137"/>
        <v>1</v>
      </c>
      <c r="AI320" s="1">
        <f t="shared" si="138"/>
        <v>0</v>
      </c>
    </row>
    <row r="321" spans="1:35" ht="14.25" customHeight="1" x14ac:dyDescent="0.25">
      <c r="A321" s="47">
        <v>0</v>
      </c>
      <c r="B321" s="47">
        <v>2</v>
      </c>
      <c r="C321" s="47">
        <v>2</v>
      </c>
      <c r="D321" s="48" t="s">
        <v>791</v>
      </c>
      <c r="E321" s="48" t="s">
        <v>913</v>
      </c>
      <c r="F321" s="48" t="s">
        <v>1575</v>
      </c>
      <c r="G321" s="48" t="s">
        <v>231</v>
      </c>
      <c r="H321" s="48" t="s">
        <v>355</v>
      </c>
      <c r="I321" s="47" t="s">
        <v>1698</v>
      </c>
      <c r="J321" s="47">
        <v>7</v>
      </c>
      <c r="K321" s="49" t="s">
        <v>717</v>
      </c>
      <c r="L321" s="49">
        <v>20</v>
      </c>
      <c r="M321" s="50" t="s">
        <v>39</v>
      </c>
      <c r="N321" s="50" t="s">
        <v>1738</v>
      </c>
      <c r="O321" s="51"/>
      <c r="P321" s="51"/>
      <c r="Q321" s="48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1</v>
      </c>
      <c r="Z321" s="1">
        <f t="shared" si="146"/>
        <v>0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0</v>
      </c>
      <c r="AF321" s="1">
        <f t="shared" si="135"/>
        <v>0</v>
      </c>
      <c r="AG321" s="1">
        <f t="shared" si="136"/>
        <v>0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0</v>
      </c>
      <c r="B322" s="34">
        <v>2</v>
      </c>
      <c r="C322" s="34">
        <v>2</v>
      </c>
      <c r="D322" s="35" t="s">
        <v>856</v>
      </c>
      <c r="E322" s="35" t="s">
        <v>543</v>
      </c>
      <c r="F322" s="35" t="s">
        <v>858</v>
      </c>
      <c r="G322" s="35" t="s">
        <v>221</v>
      </c>
      <c r="H322" s="35" t="s">
        <v>355</v>
      </c>
      <c r="I322" s="34" t="s">
        <v>859</v>
      </c>
      <c r="J322" s="34">
        <v>8</v>
      </c>
      <c r="K322" s="36" t="s">
        <v>717</v>
      </c>
      <c r="L322" s="36" t="s">
        <v>720</v>
      </c>
      <c r="M322" s="37" t="s">
        <v>1417</v>
      </c>
      <c r="N322" s="37" t="s">
        <v>1747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1</v>
      </c>
      <c r="AA322" s="1">
        <f t="shared" si="147"/>
        <v>0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1</v>
      </c>
      <c r="AH322" s="1">
        <f t="shared" si="137"/>
        <v>0</v>
      </c>
      <c r="AI322" s="1">
        <f t="shared" si="138"/>
        <v>1</v>
      </c>
    </row>
    <row r="323" spans="1:35" ht="14.25" customHeight="1" x14ac:dyDescent="0.25">
      <c r="A323" s="34">
        <v>1</v>
      </c>
      <c r="B323" s="34">
        <v>2</v>
      </c>
      <c r="C323" s="34">
        <v>2</v>
      </c>
      <c r="D323" s="35" t="s">
        <v>856</v>
      </c>
      <c r="E323" s="35" t="s">
        <v>543</v>
      </c>
      <c r="F323" s="35" t="s">
        <v>1357</v>
      </c>
      <c r="G323" s="35" t="s">
        <v>195</v>
      </c>
      <c r="H323" s="35" t="s">
        <v>355</v>
      </c>
      <c r="I323" s="34" t="s">
        <v>857</v>
      </c>
      <c r="J323" s="34">
        <v>9</v>
      </c>
      <c r="K323" s="36" t="s">
        <v>717</v>
      </c>
      <c r="L323" s="36" t="s">
        <v>720</v>
      </c>
      <c r="M323" s="37" t="s">
        <v>1417</v>
      </c>
      <c r="N323" s="37" t="s">
        <v>1747</v>
      </c>
      <c r="O323" s="38">
        <v>1</v>
      </c>
      <c r="P323" s="38"/>
      <c r="Q323" s="35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0</v>
      </c>
      <c r="Z323" s="1">
        <f t="shared" si="146"/>
        <v>0</v>
      </c>
      <c r="AA323" s="1">
        <f t="shared" si="147"/>
        <v>1</v>
      </c>
      <c r="AB323" s="1">
        <f t="shared" si="148"/>
        <v>0</v>
      </c>
      <c r="AD323" s="1">
        <f t="shared" si="149"/>
        <v>0</v>
      </c>
      <c r="AE323" s="1">
        <f t="shared" si="150"/>
        <v>1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0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922</v>
      </c>
      <c r="E324" s="48" t="s">
        <v>789</v>
      </c>
      <c r="F324" s="48" t="s">
        <v>790</v>
      </c>
      <c r="G324" s="48" t="s">
        <v>231</v>
      </c>
      <c r="H324" s="48" t="s">
        <v>355</v>
      </c>
      <c r="I324" s="47" t="s">
        <v>792</v>
      </c>
      <c r="J324" s="47">
        <v>7</v>
      </c>
      <c r="K324" s="49" t="s">
        <v>716</v>
      </c>
      <c r="L324" s="49">
        <v>15</v>
      </c>
      <c r="M324" s="50" t="s">
        <v>39</v>
      </c>
      <c r="N324" s="50" t="s">
        <v>1739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1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7">
        <v>0</v>
      </c>
      <c r="B325" s="47">
        <v>2</v>
      </c>
      <c r="C325" s="47">
        <v>2</v>
      </c>
      <c r="D325" s="48" t="s">
        <v>83</v>
      </c>
      <c r="E325" s="48" t="s">
        <v>158</v>
      </c>
      <c r="F325" s="68" t="s">
        <v>1876</v>
      </c>
      <c r="G325" s="48" t="s">
        <v>210</v>
      </c>
      <c r="H325" s="48" t="s">
        <v>355</v>
      </c>
      <c r="I325" s="47" t="s">
        <v>433</v>
      </c>
      <c r="J325" s="47">
        <v>99</v>
      </c>
      <c r="K325" s="49" t="s">
        <v>958</v>
      </c>
      <c r="L325" s="49" t="s">
        <v>708</v>
      </c>
      <c r="M325" s="50" t="s">
        <v>723</v>
      </c>
      <c r="N325" s="50" t="s">
        <v>1739</v>
      </c>
      <c r="O325" s="51"/>
      <c r="P325" s="51"/>
      <c r="Q325" s="48"/>
      <c r="S325" s="1">
        <f t="shared" si="139"/>
        <v>0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0</v>
      </c>
      <c r="AI325" s="1">
        <f t="shared" si="138"/>
        <v>1</v>
      </c>
    </row>
    <row r="326" spans="1:35" ht="14.25" customHeight="1" x14ac:dyDescent="0.25">
      <c r="A326" s="41">
        <v>0</v>
      </c>
      <c r="B326" s="41">
        <v>2</v>
      </c>
      <c r="C326" s="41">
        <v>2</v>
      </c>
      <c r="D326" s="42" t="s">
        <v>1568</v>
      </c>
      <c r="E326" s="42" t="s">
        <v>1338</v>
      </c>
      <c r="F326" s="42" t="s">
        <v>1569</v>
      </c>
      <c r="G326" s="42" t="s">
        <v>1170</v>
      </c>
      <c r="H326" s="42" t="s">
        <v>355</v>
      </c>
      <c r="I326" s="41" t="s">
        <v>1570</v>
      </c>
      <c r="J326" s="41">
        <v>1</v>
      </c>
      <c r="K326" s="43" t="s">
        <v>717</v>
      </c>
      <c r="L326" s="43" t="s">
        <v>39</v>
      </c>
      <c r="M326" s="44" t="s">
        <v>39</v>
      </c>
      <c r="N326" s="45"/>
      <c r="O326" s="46"/>
      <c r="P326" s="46">
        <v>1</v>
      </c>
      <c r="Q326" s="42"/>
      <c r="S326" s="1">
        <f t="shared" si="139"/>
        <v>1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0</v>
      </c>
      <c r="AA326" s="1">
        <f t="shared" si="147"/>
        <v>0</v>
      </c>
      <c r="AB326" s="1">
        <f t="shared" si="148"/>
        <v>0</v>
      </c>
      <c r="AD326" s="1">
        <f t="shared" si="149"/>
        <v>0</v>
      </c>
      <c r="AE326" s="1">
        <f t="shared" si="150"/>
        <v>0</v>
      </c>
      <c r="AF326" s="1">
        <f t="shared" si="135"/>
        <v>0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1748</v>
      </c>
      <c r="E327" s="35" t="s">
        <v>27</v>
      </c>
      <c r="F327" s="35" t="s">
        <v>1048</v>
      </c>
      <c r="G327" s="35" t="s">
        <v>221</v>
      </c>
      <c r="H327" s="35" t="s">
        <v>355</v>
      </c>
      <c r="I327" s="34" t="s">
        <v>1049</v>
      </c>
      <c r="J327" s="34">
        <v>8</v>
      </c>
      <c r="K327" s="36" t="s">
        <v>717</v>
      </c>
      <c r="L327" s="36">
        <v>25</v>
      </c>
      <c r="M327" s="37" t="s">
        <v>1749</v>
      </c>
      <c r="N327" s="37" t="s">
        <v>1731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1</v>
      </c>
      <c r="AA327" s="1">
        <f t="shared" si="147"/>
        <v>0</v>
      </c>
      <c r="AB327" s="1">
        <f t="shared" si="148"/>
        <v>0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45</v>
      </c>
      <c r="E328" s="35" t="s">
        <v>44</v>
      </c>
      <c r="F328" s="35" t="s">
        <v>672</v>
      </c>
      <c r="G328" s="35" t="s">
        <v>181</v>
      </c>
      <c r="H328" s="35" t="s">
        <v>355</v>
      </c>
      <c r="I328" s="34" t="s">
        <v>953</v>
      </c>
      <c r="J328" s="34">
        <v>10</v>
      </c>
      <c r="K328" s="36" t="s">
        <v>717</v>
      </c>
      <c r="L328" s="36" t="s">
        <v>724</v>
      </c>
      <c r="M328" s="37" t="s">
        <v>725</v>
      </c>
      <c r="N328" s="37" t="s">
        <v>1731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1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34">
        <v>0</v>
      </c>
      <c r="B329" s="34">
        <v>2</v>
      </c>
      <c r="C329" s="34">
        <v>2</v>
      </c>
      <c r="D329" s="35" t="s">
        <v>1452</v>
      </c>
      <c r="E329" s="35" t="s">
        <v>1657</v>
      </c>
      <c r="F329" s="35" t="s">
        <v>1672</v>
      </c>
      <c r="G329" s="35" t="s">
        <v>231</v>
      </c>
      <c r="H329" s="35" t="s">
        <v>355</v>
      </c>
      <c r="I329" s="34" t="s">
        <v>1453</v>
      </c>
      <c r="J329" s="34">
        <v>99</v>
      </c>
      <c r="K329" s="36" t="s">
        <v>959</v>
      </c>
      <c r="L329" s="36">
        <v>20</v>
      </c>
      <c r="M329" s="37" t="s">
        <v>39</v>
      </c>
      <c r="N329" s="37" t="s">
        <v>1731</v>
      </c>
      <c r="O329" s="38">
        <v>1</v>
      </c>
      <c r="P329" s="38">
        <v>1</v>
      </c>
      <c r="Q329" s="35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1</v>
      </c>
      <c r="AE329" s="1">
        <f t="shared" si="150"/>
        <v>0</v>
      </c>
      <c r="AF329" s="1">
        <f t="shared" si="135"/>
        <v>1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70">
        <v>0</v>
      </c>
      <c r="B330" s="70">
        <v>2</v>
      </c>
      <c r="C330" s="70">
        <v>2</v>
      </c>
      <c r="D330" s="57" t="s">
        <v>1997</v>
      </c>
      <c r="E330" s="57" t="s">
        <v>1998</v>
      </c>
      <c r="F330" s="57" t="s">
        <v>1999</v>
      </c>
      <c r="G330" s="57" t="s">
        <v>180</v>
      </c>
      <c r="H330" s="57" t="s">
        <v>355</v>
      </c>
      <c r="I330" s="70" t="s">
        <v>2000</v>
      </c>
      <c r="J330" s="70"/>
      <c r="K330" s="70" t="s">
        <v>707</v>
      </c>
      <c r="L330" s="70"/>
      <c r="M330" s="57"/>
      <c r="N330" s="57"/>
      <c r="O330" s="71"/>
      <c r="P330" s="71">
        <v>1</v>
      </c>
      <c r="Q330" s="57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0</v>
      </c>
      <c r="AF330" s="1">
        <f t="shared" si="135"/>
        <v>0</v>
      </c>
      <c r="AG330" s="1">
        <f t="shared" si="136"/>
        <v>0</v>
      </c>
      <c r="AH330" s="1">
        <f t="shared" si="137"/>
        <v>1</v>
      </c>
      <c r="AI330" s="1">
        <f t="shared" si="138"/>
        <v>0</v>
      </c>
    </row>
    <row r="331" spans="1:35" ht="14.25" customHeight="1" x14ac:dyDescent="0.25">
      <c r="A331" s="52">
        <v>0</v>
      </c>
      <c r="B331" s="52">
        <v>2</v>
      </c>
      <c r="C331" s="52">
        <v>2</v>
      </c>
      <c r="D331" s="53" t="s">
        <v>608</v>
      </c>
      <c r="E331" s="53" t="s">
        <v>609</v>
      </c>
      <c r="F331" s="53" t="s">
        <v>610</v>
      </c>
      <c r="G331" s="53" t="s">
        <v>258</v>
      </c>
      <c r="H331" s="53" t="s">
        <v>355</v>
      </c>
      <c r="I331" s="52" t="s">
        <v>611</v>
      </c>
      <c r="J331" s="52">
        <v>99</v>
      </c>
      <c r="K331" s="54" t="s">
        <v>959</v>
      </c>
      <c r="L331" s="54" t="s">
        <v>708</v>
      </c>
      <c r="M331" s="55" t="s">
        <v>1418</v>
      </c>
      <c r="N331" s="55" t="s">
        <v>1747</v>
      </c>
      <c r="O331" s="56">
        <v>1</v>
      </c>
      <c r="P331" s="56"/>
      <c r="Q331" s="53"/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0</v>
      </c>
      <c r="AE331" s="1">
        <f t="shared" si="150"/>
        <v>1</v>
      </c>
      <c r="AF331" s="1">
        <f t="shared" si="135"/>
        <v>0</v>
      </c>
      <c r="AG331" s="1">
        <f t="shared" si="136"/>
        <v>1</v>
      </c>
      <c r="AH331" s="1">
        <f t="shared" si="137"/>
        <v>0</v>
      </c>
      <c r="AI331" s="1">
        <f t="shared" si="138"/>
        <v>1</v>
      </c>
    </row>
    <row r="332" spans="1:35" ht="14.25" customHeight="1" x14ac:dyDescent="0.25">
      <c r="A332" s="34">
        <v>0</v>
      </c>
      <c r="B332" s="34">
        <v>2</v>
      </c>
      <c r="C332" s="34">
        <v>2</v>
      </c>
      <c r="D332" s="35" t="s">
        <v>1929</v>
      </c>
      <c r="E332" s="35" t="s">
        <v>1930</v>
      </c>
      <c r="F332" s="35" t="s">
        <v>1931</v>
      </c>
      <c r="G332" s="35" t="s">
        <v>185</v>
      </c>
      <c r="H332" s="35" t="s">
        <v>355</v>
      </c>
      <c r="I332" s="34" t="s">
        <v>1933</v>
      </c>
      <c r="J332" s="34">
        <v>99</v>
      </c>
      <c r="K332" s="36" t="s">
        <v>707</v>
      </c>
      <c r="L332" s="36"/>
      <c r="M332" s="37"/>
      <c r="N332" s="37" t="s">
        <v>1731</v>
      </c>
      <c r="O332" s="38">
        <v>1</v>
      </c>
      <c r="P332" s="38">
        <v>1</v>
      </c>
      <c r="Q332" s="35" t="s">
        <v>1932</v>
      </c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0</v>
      </c>
      <c r="AD332" s="1">
        <f t="shared" si="149"/>
        <v>1</v>
      </c>
      <c r="AE332" s="1">
        <f t="shared" si="150"/>
        <v>0</v>
      </c>
      <c r="AF332" s="1">
        <f t="shared" si="135"/>
        <v>1</v>
      </c>
      <c r="AG332" s="1">
        <f t="shared" si="136"/>
        <v>0</v>
      </c>
      <c r="AH332" s="1">
        <f t="shared" si="137"/>
        <v>1</v>
      </c>
      <c r="AI332" s="1">
        <f t="shared" si="138"/>
        <v>0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1647</v>
      </c>
      <c r="E333" s="48" t="s">
        <v>1172</v>
      </c>
      <c r="F333" s="48" t="s">
        <v>1678</v>
      </c>
      <c r="G333" s="48" t="s">
        <v>181</v>
      </c>
      <c r="H333" s="48" t="s">
        <v>355</v>
      </c>
      <c r="I333" s="47" t="s">
        <v>1498</v>
      </c>
      <c r="J333" s="47">
        <v>10</v>
      </c>
      <c r="K333" s="49" t="s">
        <v>716</v>
      </c>
      <c r="L333" s="49">
        <v>15</v>
      </c>
      <c r="M333" s="50" t="s">
        <v>39</v>
      </c>
      <c r="N333" s="50" t="s">
        <v>1744</v>
      </c>
      <c r="O333" s="51"/>
      <c r="P333" s="51"/>
      <c r="Q333" s="48"/>
      <c r="S333" s="1">
        <f t="shared" si="139"/>
        <v>0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1</v>
      </c>
      <c r="AD333" s="1">
        <f t="shared" si="149"/>
        <v>0</v>
      </c>
      <c r="AE333" s="1">
        <f t="shared" si="150"/>
        <v>0</v>
      </c>
      <c r="AF333" s="1">
        <f t="shared" ref="AF333:AF395" si="151">+O333*P333*(1-A333)</f>
        <v>0</v>
      </c>
      <c r="AG333" s="1">
        <f t="shared" ref="AG333:AG395" si="152">O333*(1-P333)*(1-A333)</f>
        <v>0</v>
      </c>
      <c r="AH333" s="1">
        <f t="shared" ref="AH333:AH395" si="153">+P333*(1-A333)</f>
        <v>0</v>
      </c>
      <c r="AI333" s="1">
        <f t="shared" ref="AI333:AI395" si="154">+(1-A333)*(1-P333)</f>
        <v>1</v>
      </c>
    </row>
    <row r="334" spans="1:35" ht="14.25" customHeight="1" x14ac:dyDescent="0.25">
      <c r="A334" s="47">
        <v>0</v>
      </c>
      <c r="B334" s="47">
        <v>2</v>
      </c>
      <c r="C334" s="47">
        <v>2</v>
      </c>
      <c r="D334" s="48" t="s">
        <v>866</v>
      </c>
      <c r="E334" s="48" t="s">
        <v>546</v>
      </c>
      <c r="F334" s="48" t="s">
        <v>867</v>
      </c>
      <c r="G334" s="48" t="s">
        <v>315</v>
      </c>
      <c r="H334" s="48" t="s">
        <v>355</v>
      </c>
      <c r="I334" s="47" t="s">
        <v>868</v>
      </c>
      <c r="J334" s="47">
        <v>1</v>
      </c>
      <c r="K334" s="49" t="s">
        <v>716</v>
      </c>
      <c r="L334" s="49">
        <v>25</v>
      </c>
      <c r="M334" s="50" t="s">
        <v>39</v>
      </c>
      <c r="N334" s="50" t="s">
        <v>1739</v>
      </c>
      <c r="O334" s="51"/>
      <c r="P334" s="51"/>
      <c r="Q334" s="48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0</v>
      </c>
      <c r="AE334" s="1">
        <f t="shared" si="150"/>
        <v>0</v>
      </c>
      <c r="AF334" s="1">
        <f t="shared" si="151"/>
        <v>0</v>
      </c>
      <c r="AG334" s="1">
        <f t="shared" si="152"/>
        <v>0</v>
      </c>
      <c r="AH334" s="1">
        <f t="shared" si="153"/>
        <v>0</v>
      </c>
      <c r="AI334" s="1">
        <f t="shared" si="154"/>
        <v>1</v>
      </c>
    </row>
    <row r="335" spans="1:35" ht="14.25" customHeight="1" x14ac:dyDescent="0.25">
      <c r="A335" s="34">
        <v>0</v>
      </c>
      <c r="B335" s="34">
        <v>2</v>
      </c>
      <c r="C335" s="34">
        <v>3</v>
      </c>
      <c r="D335" s="35" t="s">
        <v>570</v>
      </c>
      <c r="E335" s="35" t="s">
        <v>38</v>
      </c>
      <c r="F335" s="35" t="s">
        <v>238</v>
      </c>
      <c r="G335" s="35" t="s">
        <v>541</v>
      </c>
      <c r="H335" s="35" t="s">
        <v>355</v>
      </c>
      <c r="I335" s="34" t="s">
        <v>404</v>
      </c>
      <c r="J335" s="34">
        <v>1</v>
      </c>
      <c r="K335" s="36" t="s">
        <v>716</v>
      </c>
      <c r="L335" s="36" t="s">
        <v>728</v>
      </c>
      <c r="M335" s="37" t="s">
        <v>729</v>
      </c>
      <c r="N335" s="37" t="s">
        <v>1731</v>
      </c>
      <c r="O335" s="38">
        <v>1</v>
      </c>
      <c r="P335" s="38">
        <v>1</v>
      </c>
      <c r="Q335" s="35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1</v>
      </c>
      <c r="AE335" s="1">
        <f t="shared" si="150"/>
        <v>0</v>
      </c>
      <c r="AF335" s="1">
        <f t="shared" si="151"/>
        <v>1</v>
      </c>
      <c r="AG335" s="1">
        <f t="shared" si="152"/>
        <v>0</v>
      </c>
      <c r="AH335" s="1">
        <f t="shared" si="153"/>
        <v>1</v>
      </c>
      <c r="AI335" s="1">
        <f t="shared" si="154"/>
        <v>0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854</v>
      </c>
      <c r="E336" s="48" t="s">
        <v>34</v>
      </c>
      <c r="F336" s="48" t="s">
        <v>930</v>
      </c>
      <c r="G336" s="48" t="s">
        <v>640</v>
      </c>
      <c r="H336" s="48" t="s">
        <v>355</v>
      </c>
      <c r="I336" s="47" t="s">
        <v>855</v>
      </c>
      <c r="J336" s="47">
        <v>1</v>
      </c>
      <c r="K336" s="49" t="s">
        <v>958</v>
      </c>
      <c r="L336" s="49" t="s">
        <v>733</v>
      </c>
      <c r="M336" s="50" t="s">
        <v>727</v>
      </c>
      <c r="N336" s="50" t="s">
        <v>1739</v>
      </c>
      <c r="O336" s="51"/>
      <c r="P336" s="51"/>
      <c r="Q336" s="48"/>
      <c r="S336" s="1">
        <f t="shared" si="139"/>
        <v>1</v>
      </c>
      <c r="T336" s="1">
        <f t="shared" si="140"/>
        <v>0</v>
      </c>
      <c r="U336" s="1">
        <f t="shared" si="141"/>
        <v>0</v>
      </c>
      <c r="V336" s="1">
        <f t="shared" si="142"/>
        <v>0</v>
      </c>
      <c r="W336" s="1">
        <f t="shared" si="143"/>
        <v>0</v>
      </c>
      <c r="X336" s="1">
        <f t="shared" si="144"/>
        <v>0</v>
      </c>
      <c r="Y336" s="1">
        <f t="shared" si="145"/>
        <v>0</v>
      </c>
      <c r="Z336" s="1">
        <f t="shared" si="146"/>
        <v>0</v>
      </c>
      <c r="AA336" s="1">
        <f t="shared" si="147"/>
        <v>0</v>
      </c>
      <c r="AB336" s="1">
        <f t="shared" si="148"/>
        <v>0</v>
      </c>
      <c r="AD336" s="1">
        <f t="shared" si="149"/>
        <v>0</v>
      </c>
      <c r="AE336" s="1">
        <f t="shared" si="150"/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797</v>
      </c>
      <c r="E337" s="48" t="s">
        <v>32</v>
      </c>
      <c r="F337" s="48" t="s">
        <v>798</v>
      </c>
      <c r="G337" s="48" t="s">
        <v>252</v>
      </c>
      <c r="H337" s="48" t="s">
        <v>355</v>
      </c>
      <c r="I337" s="47" t="s">
        <v>799</v>
      </c>
      <c r="J337" s="47">
        <v>99</v>
      </c>
      <c r="K337" s="49" t="s">
        <v>717</v>
      </c>
      <c r="L337" s="49" t="s">
        <v>726</v>
      </c>
      <c r="M337" s="50" t="s">
        <v>727</v>
      </c>
      <c r="N337" s="50" t="s">
        <v>1741</v>
      </c>
      <c r="O337" s="51"/>
      <c r="P337" s="51"/>
      <c r="Q337" s="48"/>
      <c r="S337" s="1">
        <f t="shared" ref="S337:S399" si="155">IF(J337=$S$7,1,0)</f>
        <v>0</v>
      </c>
      <c r="T337" s="1">
        <f t="shared" ref="T337:T399" si="156">IF(J337=$T$7,1,0)</f>
        <v>0</v>
      </c>
      <c r="U337" s="1">
        <f t="shared" ref="U337:U399" si="157">IF(J337=$U$7,1,0)</f>
        <v>0</v>
      </c>
      <c r="V337" s="1">
        <f t="shared" ref="V337:V399" si="158">IF(J337=$V$7,1,0)</f>
        <v>0</v>
      </c>
      <c r="W337" s="1">
        <f t="shared" ref="W337:W399" si="159">IF(J337=$W$7,1,0)</f>
        <v>0</v>
      </c>
      <c r="X337" s="1">
        <f t="shared" ref="X337:X399" si="160">IF(J337=$X$7,1,0)</f>
        <v>0</v>
      </c>
      <c r="Y337" s="1">
        <f t="shared" ref="Y337:Y399" si="161">IF(J337=$Y$7,1,0)</f>
        <v>0</v>
      </c>
      <c r="Z337" s="1">
        <f t="shared" ref="Z337:Z399" si="162">IF(J337=$Z$7,1,0)</f>
        <v>0</v>
      </c>
      <c r="AA337" s="1">
        <f t="shared" ref="AA337:AA399" si="163">IF(J337=$AA$7,1,0)</f>
        <v>0</v>
      </c>
      <c r="AB337" s="1">
        <f t="shared" ref="AB337:AB399" si="164">IF(J337=$AB$7,1,0)</f>
        <v>0</v>
      </c>
      <c r="AD337" s="1">
        <f t="shared" ref="AD337:AD399" si="165">+O337*P337</f>
        <v>0</v>
      </c>
      <c r="AE337" s="1">
        <f t="shared" ref="AE337:AE399" si="166">O337*(1-P337)</f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56</v>
      </c>
      <c r="E338" s="48" t="s">
        <v>162</v>
      </c>
      <c r="F338" s="48" t="s">
        <v>220</v>
      </c>
      <c r="G338" s="48" t="s">
        <v>197</v>
      </c>
      <c r="H338" s="48" t="s">
        <v>355</v>
      </c>
      <c r="I338" s="47" t="s">
        <v>553</v>
      </c>
      <c r="J338" s="47">
        <v>99</v>
      </c>
      <c r="K338" s="49" t="s">
        <v>717</v>
      </c>
      <c r="L338" s="49" t="s">
        <v>726</v>
      </c>
      <c r="M338" s="50" t="s">
        <v>727</v>
      </c>
      <c r="N338" s="50" t="s">
        <v>1806</v>
      </c>
      <c r="O338" s="51"/>
      <c r="P338" s="51"/>
      <c r="Q338" s="48"/>
      <c r="S338" s="1">
        <f t="shared" si="155"/>
        <v>0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1179</v>
      </c>
      <c r="E339" s="48" t="s">
        <v>1339</v>
      </c>
      <c r="F339" s="48" t="s">
        <v>1180</v>
      </c>
      <c r="G339" s="48" t="s">
        <v>303</v>
      </c>
      <c r="H339" s="48" t="s">
        <v>355</v>
      </c>
      <c r="I339" s="47" t="s">
        <v>1181</v>
      </c>
      <c r="J339" s="47">
        <v>1</v>
      </c>
      <c r="K339" s="49" t="s">
        <v>959</v>
      </c>
      <c r="L339" s="49" t="s">
        <v>697</v>
      </c>
      <c r="M339" s="50" t="s">
        <v>1419</v>
      </c>
      <c r="N339" s="50" t="s">
        <v>1739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47">
        <v>0</v>
      </c>
      <c r="B340" s="47">
        <v>2</v>
      </c>
      <c r="C340" s="47">
        <v>3</v>
      </c>
      <c r="D340" s="48" t="s">
        <v>1176</v>
      </c>
      <c r="E340" s="48" t="s">
        <v>1339</v>
      </c>
      <c r="F340" s="48" t="s">
        <v>1177</v>
      </c>
      <c r="G340" s="48" t="s">
        <v>1060</v>
      </c>
      <c r="H340" s="48" t="s">
        <v>355</v>
      </c>
      <c r="I340" s="47" t="s">
        <v>1178</v>
      </c>
      <c r="J340" s="47">
        <v>1</v>
      </c>
      <c r="K340" s="49" t="s">
        <v>717</v>
      </c>
      <c r="L340" s="49" t="s">
        <v>697</v>
      </c>
      <c r="M340" s="50" t="s">
        <v>1419</v>
      </c>
      <c r="N340" s="50" t="s">
        <v>1739</v>
      </c>
      <c r="O340" s="51"/>
      <c r="P340" s="51"/>
      <c r="Q340" s="48"/>
      <c r="S340" s="1">
        <f t="shared" si="155"/>
        <v>1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0</v>
      </c>
      <c r="AE340" s="1">
        <f t="shared" si="166"/>
        <v>0</v>
      </c>
      <c r="AF340" s="1">
        <f t="shared" si="151"/>
        <v>0</v>
      </c>
      <c r="AG340" s="1">
        <f t="shared" si="152"/>
        <v>0</v>
      </c>
      <c r="AH340" s="1">
        <f t="shared" si="153"/>
        <v>0</v>
      </c>
      <c r="AI340" s="1">
        <f t="shared" si="154"/>
        <v>1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1298</v>
      </c>
      <c r="E341" s="35" t="s">
        <v>32</v>
      </c>
      <c r="F341" s="35" t="s">
        <v>1299</v>
      </c>
      <c r="G341" s="35" t="s">
        <v>223</v>
      </c>
      <c r="H341" s="35" t="s">
        <v>355</v>
      </c>
      <c r="I341" s="34" t="s">
        <v>1693</v>
      </c>
      <c r="J341" s="34">
        <v>99</v>
      </c>
      <c r="K341" s="36" t="s">
        <v>717</v>
      </c>
      <c r="L341" s="36" t="s">
        <v>720</v>
      </c>
      <c r="M341" s="37" t="s">
        <v>1300</v>
      </c>
      <c r="N341" s="37" t="s">
        <v>1731</v>
      </c>
      <c r="O341" s="38">
        <v>1</v>
      </c>
      <c r="P341" s="38">
        <v>1</v>
      </c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0</v>
      </c>
      <c r="AA341" s="1">
        <f t="shared" si="163"/>
        <v>0</v>
      </c>
      <c r="AB341" s="1">
        <f t="shared" si="164"/>
        <v>0</v>
      </c>
      <c r="AD341" s="1">
        <f t="shared" si="165"/>
        <v>1</v>
      </c>
      <c r="AE341" s="1">
        <f t="shared" si="166"/>
        <v>0</v>
      </c>
      <c r="AF341" s="1">
        <f t="shared" si="151"/>
        <v>1</v>
      </c>
      <c r="AG341" s="1">
        <f t="shared" si="152"/>
        <v>0</v>
      </c>
      <c r="AH341" s="1">
        <f t="shared" si="153"/>
        <v>1</v>
      </c>
      <c r="AI341" s="1">
        <f t="shared" si="154"/>
        <v>0</v>
      </c>
    </row>
    <row r="342" spans="1:35" ht="14.25" customHeight="1" x14ac:dyDescent="0.25">
      <c r="A342" s="34">
        <v>0</v>
      </c>
      <c r="B342" s="34">
        <v>2</v>
      </c>
      <c r="C342" s="34">
        <v>3</v>
      </c>
      <c r="D342" s="35" t="s">
        <v>765</v>
      </c>
      <c r="E342" s="35" t="s">
        <v>917</v>
      </c>
      <c r="F342" s="35" t="s">
        <v>766</v>
      </c>
      <c r="G342" s="35" t="s">
        <v>221</v>
      </c>
      <c r="H342" s="35" t="s">
        <v>355</v>
      </c>
      <c r="I342" s="34" t="s">
        <v>767</v>
      </c>
      <c r="J342" s="34">
        <v>8</v>
      </c>
      <c r="K342" s="36" t="s">
        <v>959</v>
      </c>
      <c r="L342" s="36" t="s">
        <v>733</v>
      </c>
      <c r="M342" s="37" t="s">
        <v>727</v>
      </c>
      <c r="N342" s="37" t="s">
        <v>1752</v>
      </c>
      <c r="O342" s="38">
        <v>1</v>
      </c>
      <c r="P342" s="38"/>
      <c r="Q342" s="35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0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1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1</v>
      </c>
      <c r="AF342" s="1">
        <f t="shared" si="151"/>
        <v>0</v>
      </c>
      <c r="AG342" s="1">
        <f t="shared" si="152"/>
        <v>1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47">
        <v>0</v>
      </c>
      <c r="B343" s="47">
        <v>2</v>
      </c>
      <c r="C343" s="47">
        <v>3</v>
      </c>
      <c r="D343" s="48" t="s">
        <v>1499</v>
      </c>
      <c r="E343" s="48" t="s">
        <v>1500</v>
      </c>
      <c r="F343" s="48" t="s">
        <v>1501</v>
      </c>
      <c r="G343" s="48" t="s">
        <v>239</v>
      </c>
      <c r="H343" s="48" t="s">
        <v>355</v>
      </c>
      <c r="I343" s="47" t="s">
        <v>1502</v>
      </c>
      <c r="J343" s="47">
        <v>4</v>
      </c>
      <c r="K343" s="49" t="s">
        <v>716</v>
      </c>
      <c r="L343" s="49">
        <v>15</v>
      </c>
      <c r="M343" s="50" t="s">
        <v>39</v>
      </c>
      <c r="N343" s="50" t="s">
        <v>1806</v>
      </c>
      <c r="O343" s="51"/>
      <c r="P343" s="51"/>
      <c r="Q343" s="48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1</v>
      </c>
      <c r="W343" s="1">
        <f t="shared" si="159"/>
        <v>0</v>
      </c>
      <c r="X343" s="1">
        <f t="shared" si="160"/>
        <v>0</v>
      </c>
      <c r="Y343" s="1">
        <f t="shared" si="161"/>
        <v>0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0</v>
      </c>
      <c r="AF343" s="1">
        <f t="shared" si="151"/>
        <v>0</v>
      </c>
      <c r="AG343" s="1">
        <f t="shared" si="152"/>
        <v>0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34">
        <v>0</v>
      </c>
      <c r="B344" s="34">
        <v>2</v>
      </c>
      <c r="C344" s="34">
        <v>3</v>
      </c>
      <c r="D344" s="35" t="s">
        <v>1557</v>
      </c>
      <c r="E344" s="35" t="s">
        <v>1558</v>
      </c>
      <c r="F344" s="35" t="s">
        <v>1559</v>
      </c>
      <c r="G344" s="35" t="s">
        <v>1560</v>
      </c>
      <c r="H344" s="35" t="s">
        <v>355</v>
      </c>
      <c r="I344" s="34" t="s">
        <v>1561</v>
      </c>
      <c r="J344" s="34">
        <v>7</v>
      </c>
      <c r="K344" s="36" t="s">
        <v>959</v>
      </c>
      <c r="L344" s="36">
        <v>10</v>
      </c>
      <c r="M344" s="37" t="s">
        <v>39</v>
      </c>
      <c r="N344" s="37" t="s">
        <v>1747</v>
      </c>
      <c r="O344" s="38">
        <v>1</v>
      </c>
      <c r="P344" s="38"/>
      <c r="Q344" s="35"/>
      <c r="S344" s="1">
        <f t="shared" si="155"/>
        <v>0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1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1</v>
      </c>
      <c r="AF344" s="1">
        <f t="shared" si="151"/>
        <v>0</v>
      </c>
      <c r="AG344" s="1">
        <f t="shared" si="152"/>
        <v>1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47">
        <v>0</v>
      </c>
      <c r="B345" s="47">
        <v>2</v>
      </c>
      <c r="C345" s="47">
        <v>3</v>
      </c>
      <c r="D345" s="48" t="s">
        <v>845</v>
      </c>
      <c r="E345" s="48" t="s">
        <v>32</v>
      </c>
      <c r="F345" s="48" t="s">
        <v>847</v>
      </c>
      <c r="G345" s="48" t="s">
        <v>39</v>
      </c>
      <c r="H345" s="48" t="s">
        <v>355</v>
      </c>
      <c r="I345" s="47" t="s">
        <v>846</v>
      </c>
      <c r="J345" s="47">
        <v>1</v>
      </c>
      <c r="K345" s="49" t="s">
        <v>717</v>
      </c>
      <c r="L345" s="49" t="s">
        <v>698</v>
      </c>
      <c r="M345" s="50" t="s">
        <v>1419</v>
      </c>
      <c r="N345" s="50" t="s">
        <v>1739</v>
      </c>
      <c r="O345" s="51"/>
      <c r="P345" s="51"/>
      <c r="Q345" s="48"/>
      <c r="S345" s="1">
        <f t="shared" si="155"/>
        <v>1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15">
        <v>0</v>
      </c>
      <c r="B346" s="15">
        <v>2</v>
      </c>
      <c r="C346" s="15">
        <v>4</v>
      </c>
      <c r="D346" s="16" t="s">
        <v>768</v>
      </c>
      <c r="E346" s="16" t="s">
        <v>769</v>
      </c>
      <c r="F346" s="16" t="s">
        <v>770</v>
      </c>
      <c r="G346" s="16" t="s">
        <v>771</v>
      </c>
      <c r="H346" s="16" t="s">
        <v>355</v>
      </c>
      <c r="I346" s="15" t="s">
        <v>772</v>
      </c>
      <c r="J346" s="15">
        <v>99</v>
      </c>
      <c r="K346" s="10" t="s">
        <v>707</v>
      </c>
      <c r="L346" s="10">
        <v>15</v>
      </c>
      <c r="M346" s="19" t="s">
        <v>773</v>
      </c>
      <c r="N346" s="19"/>
      <c r="Q346" s="16"/>
      <c r="S346" s="1">
        <f t="shared" si="155"/>
        <v>0</v>
      </c>
      <c r="T346" s="1">
        <f t="shared" si="156"/>
        <v>0</v>
      </c>
      <c r="U346" s="1">
        <f t="shared" si="157"/>
        <v>0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47">
        <v>0</v>
      </c>
      <c r="B347" s="47">
        <v>2</v>
      </c>
      <c r="C347" s="47">
        <v>4</v>
      </c>
      <c r="D347" s="48" t="s">
        <v>802</v>
      </c>
      <c r="E347" s="48" t="s">
        <v>912</v>
      </c>
      <c r="F347" s="48" t="s">
        <v>929</v>
      </c>
      <c r="G347" s="48" t="s">
        <v>209</v>
      </c>
      <c r="H347" s="48" t="s">
        <v>355</v>
      </c>
      <c r="I347" s="47" t="s">
        <v>1367</v>
      </c>
      <c r="J347" s="47">
        <v>3</v>
      </c>
      <c r="K347" s="49" t="s">
        <v>707</v>
      </c>
      <c r="L347" s="49">
        <v>20</v>
      </c>
      <c r="M347" s="50" t="s">
        <v>1421</v>
      </c>
      <c r="N347" s="50" t="s">
        <v>1806</v>
      </c>
      <c r="O347" s="51"/>
      <c r="P347" s="51"/>
      <c r="Q347" s="48"/>
      <c r="S347" s="1">
        <f t="shared" si="155"/>
        <v>0</v>
      </c>
      <c r="T347" s="1">
        <f t="shared" si="156"/>
        <v>0</v>
      </c>
      <c r="U347" s="1">
        <f t="shared" si="157"/>
        <v>1</v>
      </c>
      <c r="V347" s="1">
        <f t="shared" si="158"/>
        <v>0</v>
      </c>
      <c r="W347" s="1">
        <f t="shared" si="159"/>
        <v>0</v>
      </c>
      <c r="X347" s="1">
        <f t="shared" si="160"/>
        <v>0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60">
        <v>0</v>
      </c>
      <c r="B348" s="60">
        <v>2</v>
      </c>
      <c r="C348" s="60">
        <v>4</v>
      </c>
      <c r="D348" s="61" t="s">
        <v>569</v>
      </c>
      <c r="E348" s="61" t="s">
        <v>37</v>
      </c>
      <c r="F348" s="61" t="s">
        <v>206</v>
      </c>
      <c r="G348" s="61" t="s">
        <v>39</v>
      </c>
      <c r="H348" s="61" t="s">
        <v>355</v>
      </c>
      <c r="I348" s="60" t="s">
        <v>390</v>
      </c>
      <c r="J348" s="60">
        <v>6</v>
      </c>
      <c r="K348" s="62" t="s">
        <v>707</v>
      </c>
      <c r="L348" s="62" t="s">
        <v>39</v>
      </c>
      <c r="M348" s="63" t="s">
        <v>39</v>
      </c>
      <c r="N348" s="64"/>
      <c r="O348" s="65"/>
      <c r="P348" s="65"/>
      <c r="Q348" s="61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1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0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47">
        <v>0</v>
      </c>
      <c r="B349" s="47">
        <v>2</v>
      </c>
      <c r="C349" s="47">
        <v>4</v>
      </c>
      <c r="D349" s="48" t="s">
        <v>655</v>
      </c>
      <c r="E349" s="48" t="s">
        <v>914</v>
      </c>
      <c r="F349" s="48" t="s">
        <v>626</v>
      </c>
      <c r="G349" s="48" t="s">
        <v>342</v>
      </c>
      <c r="H349" s="48" t="s">
        <v>355</v>
      </c>
      <c r="I349" s="47" t="s">
        <v>627</v>
      </c>
      <c r="J349" s="47">
        <v>10</v>
      </c>
      <c r="K349" s="49" t="s">
        <v>958</v>
      </c>
      <c r="L349" s="49" t="s">
        <v>708</v>
      </c>
      <c r="M349" s="50" t="s">
        <v>1422</v>
      </c>
      <c r="N349" s="50" t="s">
        <v>1738</v>
      </c>
      <c r="O349" s="51"/>
      <c r="P349" s="51"/>
      <c r="Q349" s="48"/>
      <c r="S349" s="1">
        <f t="shared" si="155"/>
        <v>0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1</v>
      </c>
      <c r="AD349" s="1">
        <f t="shared" si="165"/>
        <v>0</v>
      </c>
      <c r="AE349" s="1">
        <f t="shared" si="166"/>
        <v>0</v>
      </c>
      <c r="AF349" s="1">
        <f t="shared" si="151"/>
        <v>0</v>
      </c>
      <c r="AG349" s="1">
        <f t="shared" si="152"/>
        <v>0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75</v>
      </c>
      <c r="E350" s="35" t="s">
        <v>35</v>
      </c>
      <c r="F350" s="35" t="s">
        <v>267</v>
      </c>
      <c r="G350" s="35" t="s">
        <v>214</v>
      </c>
      <c r="H350" s="35" t="s">
        <v>355</v>
      </c>
      <c r="I350" s="34" t="s">
        <v>949</v>
      </c>
      <c r="J350" s="34">
        <v>1</v>
      </c>
      <c r="K350" s="36" t="s">
        <v>717</v>
      </c>
      <c r="L350" s="36" t="s">
        <v>708</v>
      </c>
      <c r="M350" s="37" t="s">
        <v>1423</v>
      </c>
      <c r="N350" s="37" t="s">
        <v>1747</v>
      </c>
      <c r="O350" s="38">
        <v>1</v>
      </c>
      <c r="P350" s="38"/>
      <c r="Q350" s="35"/>
      <c r="S350" s="1">
        <f t="shared" si="155"/>
        <v>1</v>
      </c>
      <c r="T350" s="1">
        <f t="shared" si="156"/>
        <v>0</v>
      </c>
      <c r="U350" s="1">
        <f t="shared" si="157"/>
        <v>0</v>
      </c>
      <c r="V350" s="1">
        <f t="shared" si="158"/>
        <v>0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34">
        <v>0</v>
      </c>
      <c r="B351" s="34">
        <v>2</v>
      </c>
      <c r="C351" s="34">
        <v>4</v>
      </c>
      <c r="D351" s="35" t="s">
        <v>923</v>
      </c>
      <c r="E351" s="35" t="s">
        <v>916</v>
      </c>
      <c r="F351" s="35" t="s">
        <v>786</v>
      </c>
      <c r="G351" s="35" t="s">
        <v>286</v>
      </c>
      <c r="H351" s="35" t="s">
        <v>355</v>
      </c>
      <c r="I351" s="34" t="s">
        <v>950</v>
      </c>
      <c r="J351" s="34">
        <v>4</v>
      </c>
      <c r="K351" s="36" t="s">
        <v>717</v>
      </c>
      <c r="L351" s="36" t="s">
        <v>700</v>
      </c>
      <c r="M351" s="37" t="s">
        <v>1424</v>
      </c>
      <c r="N351" s="37" t="s">
        <v>1753</v>
      </c>
      <c r="O351" s="38">
        <v>1</v>
      </c>
      <c r="P351" s="38"/>
      <c r="Q351" s="35"/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1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1</v>
      </c>
      <c r="AF351" s="1">
        <f t="shared" si="151"/>
        <v>0</v>
      </c>
      <c r="AG351" s="1">
        <f t="shared" si="152"/>
        <v>1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15">
        <v>0</v>
      </c>
      <c r="B352" s="15">
        <v>2</v>
      </c>
      <c r="C352" s="15">
        <v>4</v>
      </c>
      <c r="D352" s="16" t="s">
        <v>631</v>
      </c>
      <c r="E352" s="16" t="s">
        <v>688</v>
      </c>
      <c r="F352" s="16" t="s">
        <v>673</v>
      </c>
      <c r="G352" s="16" t="s">
        <v>630</v>
      </c>
      <c r="H352" s="16" t="s">
        <v>355</v>
      </c>
      <c r="I352" s="15" t="s">
        <v>632</v>
      </c>
      <c r="J352" s="15">
        <v>99</v>
      </c>
      <c r="K352" s="10" t="s">
        <v>959</v>
      </c>
      <c r="L352" s="10" t="s">
        <v>39</v>
      </c>
      <c r="M352" s="19" t="s">
        <v>39</v>
      </c>
      <c r="N352" s="17"/>
      <c r="Q352" s="20" t="s">
        <v>1901</v>
      </c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0</v>
      </c>
      <c r="AF352" s="1">
        <f t="shared" si="151"/>
        <v>0</v>
      </c>
      <c r="AG352" s="1">
        <f t="shared" si="152"/>
        <v>0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34">
        <v>0</v>
      </c>
      <c r="B353" s="34">
        <v>2</v>
      </c>
      <c r="C353" s="34">
        <v>4</v>
      </c>
      <c r="D353" s="35" t="s">
        <v>84</v>
      </c>
      <c r="E353" s="35" t="s">
        <v>35</v>
      </c>
      <c r="F353" s="35" t="s">
        <v>278</v>
      </c>
      <c r="G353" s="35" t="s">
        <v>225</v>
      </c>
      <c r="H353" s="35" t="s">
        <v>355</v>
      </c>
      <c r="I353" s="34" t="s">
        <v>434</v>
      </c>
      <c r="J353" s="34">
        <v>99</v>
      </c>
      <c r="K353" s="36" t="s">
        <v>958</v>
      </c>
      <c r="L353" s="36" t="s">
        <v>708</v>
      </c>
      <c r="M353" s="37" t="s">
        <v>730</v>
      </c>
      <c r="N353" s="37" t="s">
        <v>1765</v>
      </c>
      <c r="O353" s="38">
        <v>1</v>
      </c>
      <c r="P353" s="38"/>
      <c r="Q353" s="35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1</v>
      </c>
      <c r="AF353" s="1">
        <f t="shared" si="151"/>
        <v>0</v>
      </c>
      <c r="AG353" s="1">
        <f t="shared" si="152"/>
        <v>1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15">
        <v>0</v>
      </c>
      <c r="B354" s="15">
        <v>2</v>
      </c>
      <c r="C354" s="15">
        <v>4</v>
      </c>
      <c r="D354" s="16" t="s">
        <v>883</v>
      </c>
      <c r="E354" s="16" t="s">
        <v>776</v>
      </c>
      <c r="F354" s="16" t="s">
        <v>881</v>
      </c>
      <c r="G354" s="16" t="s">
        <v>280</v>
      </c>
      <c r="H354" s="16" t="s">
        <v>355</v>
      </c>
      <c r="I354" s="15" t="s">
        <v>882</v>
      </c>
      <c r="J354" s="15">
        <v>99</v>
      </c>
      <c r="K354" s="10" t="s">
        <v>707</v>
      </c>
      <c r="L354" s="10">
        <v>25</v>
      </c>
      <c r="M354" s="19" t="s">
        <v>1425</v>
      </c>
      <c r="N354" s="19"/>
      <c r="O354" s="1"/>
      <c r="P354" s="1"/>
      <c r="Q354" s="16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0</v>
      </c>
      <c r="AF354" s="1">
        <f t="shared" si="151"/>
        <v>0</v>
      </c>
      <c r="AG354" s="1">
        <f t="shared" si="152"/>
        <v>0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34">
        <v>0</v>
      </c>
      <c r="B355" s="34">
        <v>2</v>
      </c>
      <c r="C355" s="34">
        <v>4</v>
      </c>
      <c r="D355" s="35" t="s">
        <v>926</v>
      </c>
      <c r="E355" s="35" t="s">
        <v>776</v>
      </c>
      <c r="F355" s="35" t="s">
        <v>848</v>
      </c>
      <c r="G355" s="35" t="s">
        <v>210</v>
      </c>
      <c r="H355" s="35" t="s">
        <v>355</v>
      </c>
      <c r="I355" s="34" t="s">
        <v>849</v>
      </c>
      <c r="J355" s="34">
        <v>99</v>
      </c>
      <c r="K355" s="36" t="s">
        <v>716</v>
      </c>
      <c r="L355" s="36" t="s">
        <v>708</v>
      </c>
      <c r="M355" s="37" t="s">
        <v>730</v>
      </c>
      <c r="N355" s="37" t="s">
        <v>1760</v>
      </c>
      <c r="O355" s="38">
        <v>1</v>
      </c>
      <c r="P355" s="38"/>
      <c r="Q355" s="35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1</v>
      </c>
      <c r="AF355" s="1">
        <f t="shared" si="151"/>
        <v>0</v>
      </c>
      <c r="AG355" s="1">
        <f t="shared" si="152"/>
        <v>1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47">
        <v>0</v>
      </c>
      <c r="B356" s="47">
        <v>2</v>
      </c>
      <c r="C356" s="47">
        <v>4</v>
      </c>
      <c r="D356" s="48" t="s">
        <v>1227</v>
      </c>
      <c r="E356" s="48" t="s">
        <v>1226</v>
      </c>
      <c r="F356" s="48" t="s">
        <v>1228</v>
      </c>
      <c r="G356" s="48" t="s">
        <v>537</v>
      </c>
      <c r="H356" s="48" t="s">
        <v>355</v>
      </c>
      <c r="I356" s="47" t="s">
        <v>1229</v>
      </c>
      <c r="J356" s="47">
        <v>99</v>
      </c>
      <c r="K356" s="49" t="s">
        <v>717</v>
      </c>
      <c r="L356" s="49" t="s">
        <v>698</v>
      </c>
      <c r="M356" s="50" t="s">
        <v>1426</v>
      </c>
      <c r="N356" s="50" t="s">
        <v>1751</v>
      </c>
      <c r="O356" s="51"/>
      <c r="P356" s="51"/>
      <c r="Q356" s="48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0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0</v>
      </c>
      <c r="AE356" s="1">
        <f t="shared" si="166"/>
        <v>0</v>
      </c>
      <c r="AF356" s="1">
        <f t="shared" si="151"/>
        <v>0</v>
      </c>
      <c r="AG356" s="1">
        <f t="shared" si="152"/>
        <v>0</v>
      </c>
      <c r="AH356" s="1">
        <f t="shared" si="153"/>
        <v>0</v>
      </c>
      <c r="AI356" s="1">
        <f t="shared" si="154"/>
        <v>1</v>
      </c>
      <c r="AJ356" s="1"/>
    </row>
    <row r="357" spans="1:16384" s="2" customFormat="1" ht="14.25" customHeight="1" x14ac:dyDescent="0.25">
      <c r="A357" s="34">
        <v>0</v>
      </c>
      <c r="B357" s="34">
        <v>2</v>
      </c>
      <c r="C357" s="34">
        <v>4</v>
      </c>
      <c r="D357" s="35" t="s">
        <v>827</v>
      </c>
      <c r="E357" s="35" t="s">
        <v>592</v>
      </c>
      <c r="F357" s="35" t="s">
        <v>828</v>
      </c>
      <c r="G357" s="35" t="s">
        <v>941</v>
      </c>
      <c r="H357" s="35" t="s">
        <v>355</v>
      </c>
      <c r="I357" s="34" t="s">
        <v>955</v>
      </c>
      <c r="J357" s="34">
        <v>7</v>
      </c>
      <c r="K357" s="36" t="s">
        <v>716</v>
      </c>
      <c r="L357" s="36" t="s">
        <v>39</v>
      </c>
      <c r="M357" s="37" t="s">
        <v>39</v>
      </c>
      <c r="N357" s="37" t="s">
        <v>1731</v>
      </c>
      <c r="O357" s="38">
        <v>1</v>
      </c>
      <c r="P357" s="38">
        <v>1</v>
      </c>
      <c r="Q357" s="35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1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si="165"/>
        <v>1</v>
      </c>
      <c r="AE357" s="1">
        <f t="shared" si="166"/>
        <v>0</v>
      </c>
      <c r="AF357" s="1">
        <f t="shared" si="151"/>
        <v>1</v>
      </c>
      <c r="AG357" s="1">
        <f t="shared" si="152"/>
        <v>0</v>
      </c>
      <c r="AH357" s="1">
        <f t="shared" si="153"/>
        <v>1</v>
      </c>
      <c r="AI357" s="1">
        <f t="shared" si="154"/>
        <v>0</v>
      </c>
      <c r="AJ357" s="1"/>
    </row>
    <row r="358" spans="1:16384" s="2" customFormat="1" ht="14.25" customHeight="1" x14ac:dyDescent="0.25">
      <c r="A358" s="47">
        <v>0</v>
      </c>
      <c r="B358" s="47">
        <v>2</v>
      </c>
      <c r="C358" s="47">
        <v>4</v>
      </c>
      <c r="D358" s="48" t="s">
        <v>1609</v>
      </c>
      <c r="E358" s="48" t="s">
        <v>1659</v>
      </c>
      <c r="F358" s="48" t="s">
        <v>1610</v>
      </c>
      <c r="G358" s="48" t="s">
        <v>334</v>
      </c>
      <c r="H358" s="48" t="s">
        <v>355</v>
      </c>
      <c r="I358" s="47" t="s">
        <v>30</v>
      </c>
      <c r="J358" s="47">
        <v>99</v>
      </c>
      <c r="K358" s="49" t="s">
        <v>717</v>
      </c>
      <c r="L358" s="49">
        <v>20</v>
      </c>
      <c r="M358" s="50" t="s">
        <v>39</v>
      </c>
      <c r="N358" s="50" t="s">
        <v>1745</v>
      </c>
      <c r="O358" s="51"/>
      <c r="P358" s="51"/>
      <c r="Q358" s="48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0</v>
      </c>
      <c r="AA358" s="1">
        <f t="shared" si="163"/>
        <v>0</v>
      </c>
      <c r="AB358" s="1">
        <f t="shared" si="164"/>
        <v>0</v>
      </c>
      <c r="AC358" s="1"/>
      <c r="AD358" s="1">
        <f t="shared" ref="AD358:AD361" si="167">+O358*P358</f>
        <v>0</v>
      </c>
      <c r="AE358" s="1">
        <f t="shared" ref="AE358:AE361" si="168">O358*(1-P358)</f>
        <v>0</v>
      </c>
      <c r="AF358" s="1">
        <f t="shared" ref="AF358:AF361" si="169">+O358*P358*(1-A358)</f>
        <v>0</v>
      </c>
      <c r="AG358" s="1">
        <f t="shared" ref="AG358:AG361" si="170">O358*(1-P358)*(1-A358)</f>
        <v>0</v>
      </c>
      <c r="AH358" s="1">
        <f t="shared" ref="AH358:AH361" si="171">+P358*(1-A358)</f>
        <v>0</v>
      </c>
      <c r="AI358" s="1">
        <f t="shared" ref="AI358:AI361" si="172">+(1-A358)*(1-P358)</f>
        <v>1</v>
      </c>
      <c r="AJ358" s="1"/>
    </row>
    <row r="359" spans="1:16384" s="2" customFormat="1" ht="14.25" customHeight="1" x14ac:dyDescent="0.25">
      <c r="A359" s="34">
        <v>0</v>
      </c>
      <c r="B359" s="34">
        <v>2</v>
      </c>
      <c r="C359" s="34">
        <v>5</v>
      </c>
      <c r="D359" s="35" t="s">
        <v>58</v>
      </c>
      <c r="E359" s="35" t="s">
        <v>44</v>
      </c>
      <c r="F359" s="35" t="s">
        <v>674</v>
      </c>
      <c r="G359" s="35" t="s">
        <v>224</v>
      </c>
      <c r="H359" s="35" t="s">
        <v>355</v>
      </c>
      <c r="I359" s="34" t="s">
        <v>398</v>
      </c>
      <c r="J359" s="34">
        <v>8</v>
      </c>
      <c r="K359" s="36" t="s">
        <v>717</v>
      </c>
      <c r="L359" s="36" t="s">
        <v>720</v>
      </c>
      <c r="M359" s="37" t="s">
        <v>1427</v>
      </c>
      <c r="N359" s="37" t="s">
        <v>1752</v>
      </c>
      <c r="O359" s="38">
        <v>1</v>
      </c>
      <c r="P359" s="38"/>
      <c r="Q359" s="35"/>
      <c r="R359" s="1"/>
      <c r="S359" s="1">
        <f t="shared" si="155"/>
        <v>0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1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1</v>
      </c>
      <c r="AF359" s="1">
        <f t="shared" si="169"/>
        <v>0</v>
      </c>
      <c r="AG359" s="1">
        <f t="shared" si="170"/>
        <v>1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836</v>
      </c>
      <c r="E360" s="48" t="s">
        <v>835</v>
      </c>
      <c r="F360" s="48" t="s">
        <v>928</v>
      </c>
      <c r="G360" s="48" t="s">
        <v>214</v>
      </c>
      <c r="H360" s="48" t="s">
        <v>355</v>
      </c>
      <c r="I360" s="47" t="s">
        <v>837</v>
      </c>
      <c r="J360" s="47">
        <v>1</v>
      </c>
      <c r="K360" s="49" t="s">
        <v>716</v>
      </c>
      <c r="L360" s="49" t="s">
        <v>697</v>
      </c>
      <c r="M360" s="50" t="s">
        <v>1428</v>
      </c>
      <c r="N360" s="50" t="s">
        <v>1739</v>
      </c>
      <c r="O360" s="51"/>
      <c r="P360" s="51"/>
      <c r="Q360" s="48"/>
      <c r="R360" s="1"/>
      <c r="S360" s="1">
        <f t="shared" si="155"/>
        <v>1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0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0</v>
      </c>
      <c r="AF360" s="1">
        <f t="shared" si="169"/>
        <v>0</v>
      </c>
      <c r="AG360" s="1">
        <f t="shared" si="170"/>
        <v>0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65</v>
      </c>
      <c r="E361" s="35" t="s">
        <v>165</v>
      </c>
      <c r="F361" s="35" t="s">
        <v>549</v>
      </c>
      <c r="G361" s="35" t="s">
        <v>195</v>
      </c>
      <c r="H361" s="35" t="s">
        <v>355</v>
      </c>
      <c r="I361" s="34" t="s">
        <v>554</v>
      </c>
      <c r="J361" s="34">
        <v>9</v>
      </c>
      <c r="K361" s="36" t="s">
        <v>717</v>
      </c>
      <c r="L361" s="36" t="s">
        <v>690</v>
      </c>
      <c r="M361" s="37" t="s">
        <v>1447</v>
      </c>
      <c r="N361" s="37" t="s">
        <v>1765</v>
      </c>
      <c r="O361" s="38">
        <v>1</v>
      </c>
      <c r="P361" s="38"/>
      <c r="Q361" s="35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1</v>
      </c>
      <c r="AB361" s="1">
        <f t="shared" si="164"/>
        <v>0</v>
      </c>
      <c r="AC361" s="1"/>
      <c r="AD361" s="1">
        <f t="shared" si="167"/>
        <v>0</v>
      </c>
      <c r="AE361" s="1">
        <f t="shared" si="168"/>
        <v>1</v>
      </c>
      <c r="AF361" s="1">
        <f t="shared" si="169"/>
        <v>0</v>
      </c>
      <c r="AG361" s="1">
        <f t="shared" si="170"/>
        <v>1</v>
      </c>
      <c r="AH361" s="1">
        <f t="shared" si="171"/>
        <v>0</v>
      </c>
      <c r="AI361" s="1">
        <f t="shared" si="172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1490</v>
      </c>
      <c r="E362" s="48" t="s">
        <v>35</v>
      </c>
      <c r="F362" s="68" t="s">
        <v>1877</v>
      </c>
      <c r="G362" s="48" t="s">
        <v>223</v>
      </c>
      <c r="H362" s="48" t="s">
        <v>355</v>
      </c>
      <c r="I362" s="47" t="s">
        <v>1690</v>
      </c>
      <c r="J362" s="47">
        <v>99</v>
      </c>
      <c r="K362" s="49" t="s">
        <v>717</v>
      </c>
      <c r="L362" s="49">
        <v>25</v>
      </c>
      <c r="M362" s="50" t="s">
        <v>39</v>
      </c>
      <c r="N362" s="50" t="s">
        <v>1741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47">
        <v>0</v>
      </c>
      <c r="B363" s="47">
        <v>2</v>
      </c>
      <c r="C363" s="47">
        <v>5</v>
      </c>
      <c r="D363" s="48" t="s">
        <v>1823</v>
      </c>
      <c r="E363" s="48" t="s">
        <v>776</v>
      </c>
      <c r="F363" s="48" t="s">
        <v>1824</v>
      </c>
      <c r="G363" s="48" t="s">
        <v>225</v>
      </c>
      <c r="H363" s="48" t="s">
        <v>355</v>
      </c>
      <c r="I363" s="47" t="s">
        <v>1825</v>
      </c>
      <c r="J363" s="47">
        <v>99</v>
      </c>
      <c r="K363" s="49" t="s">
        <v>1826</v>
      </c>
      <c r="L363" s="49">
        <v>40</v>
      </c>
      <c r="M363" s="50" t="s">
        <v>1827</v>
      </c>
      <c r="N363" s="50" t="s">
        <v>1813</v>
      </c>
      <c r="O363" s="51"/>
      <c r="P363" s="51"/>
      <c r="Q363" s="48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0</v>
      </c>
      <c r="AF363" s="1">
        <f t="shared" si="151"/>
        <v>0</v>
      </c>
      <c r="AG363" s="1">
        <f t="shared" si="152"/>
        <v>0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618</v>
      </c>
      <c r="E364" s="35" t="s">
        <v>689</v>
      </c>
      <c r="F364" s="35" t="s">
        <v>619</v>
      </c>
      <c r="G364" s="35" t="s">
        <v>288</v>
      </c>
      <c r="H364" s="35" t="s">
        <v>355</v>
      </c>
      <c r="I364" s="34" t="s">
        <v>620</v>
      </c>
      <c r="J364" s="34">
        <v>99</v>
      </c>
      <c r="K364" s="36" t="s">
        <v>716</v>
      </c>
      <c r="L364" s="36" t="s">
        <v>708</v>
      </c>
      <c r="M364" s="37" t="s">
        <v>1429</v>
      </c>
      <c r="N364" s="37" t="s">
        <v>1747</v>
      </c>
      <c r="O364" s="38">
        <v>1</v>
      </c>
      <c r="P364" s="38"/>
      <c r="Q364" s="35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1</v>
      </c>
      <c r="AF364" s="1">
        <f t="shared" si="151"/>
        <v>0</v>
      </c>
      <c r="AG364" s="1">
        <f t="shared" si="152"/>
        <v>1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1492</v>
      </c>
      <c r="E365" s="48" t="s">
        <v>776</v>
      </c>
      <c r="F365" s="48" t="s">
        <v>1493</v>
      </c>
      <c r="G365" s="48" t="s">
        <v>197</v>
      </c>
      <c r="H365" s="48" t="s">
        <v>355</v>
      </c>
      <c r="I365" s="47" t="s">
        <v>1494</v>
      </c>
      <c r="J365" s="47">
        <v>99</v>
      </c>
      <c r="K365" s="49" t="s">
        <v>958</v>
      </c>
      <c r="L365" s="49" t="s">
        <v>697</v>
      </c>
      <c r="M365" s="50" t="s">
        <v>1420</v>
      </c>
      <c r="N365" s="50" t="s">
        <v>1739</v>
      </c>
      <c r="O365" s="51"/>
      <c r="P365" s="51"/>
      <c r="Q365" s="48"/>
      <c r="R365" s="1"/>
      <c r="S365" s="1">
        <f t="shared" si="155"/>
        <v>0</v>
      </c>
      <c r="T365" s="1">
        <f t="shared" si="156"/>
        <v>0</v>
      </c>
      <c r="U365" s="1">
        <f t="shared" si="157"/>
        <v>0</v>
      </c>
      <c r="V365" s="1">
        <f t="shared" si="158"/>
        <v>0</v>
      </c>
      <c r="W365" s="1">
        <f t="shared" si="159"/>
        <v>0</v>
      </c>
      <c r="X365" s="1">
        <f t="shared" si="160"/>
        <v>0</v>
      </c>
      <c r="Y365" s="1">
        <f t="shared" si="161"/>
        <v>0</v>
      </c>
      <c r="Z365" s="1">
        <f t="shared" si="162"/>
        <v>0</v>
      </c>
      <c r="AA365" s="1">
        <f t="shared" si="163"/>
        <v>0</v>
      </c>
      <c r="AB365" s="1">
        <f t="shared" si="164"/>
        <v>0</v>
      </c>
      <c r="AC365" s="1"/>
      <c r="AD365" s="1">
        <f t="shared" si="165"/>
        <v>0</v>
      </c>
      <c r="AE365" s="1">
        <f t="shared" si="166"/>
        <v>0</v>
      </c>
      <c r="AF365" s="1">
        <f t="shared" si="151"/>
        <v>0</v>
      </c>
      <c r="AG365" s="1">
        <f t="shared" si="152"/>
        <v>0</v>
      </c>
      <c r="AH365" s="1">
        <f t="shared" si="153"/>
        <v>0</v>
      </c>
      <c r="AI365" s="1">
        <f t="shared" si="154"/>
        <v>1</v>
      </c>
      <c r="AJ365" s="1"/>
    </row>
    <row r="366" spans="1:16384" s="2" customFormat="1" ht="14.25" customHeight="1" x14ac:dyDescent="0.25">
      <c r="A366" s="47">
        <v>0</v>
      </c>
      <c r="B366" s="47">
        <v>2</v>
      </c>
      <c r="C366" s="47">
        <v>5</v>
      </c>
      <c r="D366" s="48" t="s">
        <v>779</v>
      </c>
      <c r="E366" s="48" t="s">
        <v>776</v>
      </c>
      <c r="F366" s="48" t="s">
        <v>781</v>
      </c>
      <c r="G366" s="48" t="s">
        <v>208</v>
      </c>
      <c r="H366" s="48" t="s">
        <v>355</v>
      </c>
      <c r="I366" s="47" t="s">
        <v>780</v>
      </c>
      <c r="J366" s="47">
        <v>99</v>
      </c>
      <c r="K366" s="49" t="s">
        <v>716</v>
      </c>
      <c r="L366" s="49" t="s">
        <v>698</v>
      </c>
      <c r="M366" s="50" t="s">
        <v>1430</v>
      </c>
      <c r="N366" s="50" t="s">
        <v>1739</v>
      </c>
      <c r="O366" s="51"/>
      <c r="P366" s="51"/>
      <c r="Q366" s="48"/>
      <c r="R366" s="34"/>
      <c r="S366" s="34">
        <f t="shared" si="155"/>
        <v>0</v>
      </c>
      <c r="T366" s="34">
        <f t="shared" si="156"/>
        <v>0</v>
      </c>
      <c r="U366" s="35">
        <f t="shared" si="157"/>
        <v>0</v>
      </c>
      <c r="V366" s="35">
        <f t="shared" si="158"/>
        <v>0</v>
      </c>
      <c r="W366" s="35">
        <f t="shared" si="159"/>
        <v>0</v>
      </c>
      <c r="X366" s="35">
        <f t="shared" si="160"/>
        <v>0</v>
      </c>
      <c r="Y366" s="35">
        <f t="shared" si="161"/>
        <v>0</v>
      </c>
      <c r="Z366" s="34">
        <f t="shared" si="162"/>
        <v>0</v>
      </c>
      <c r="AA366" s="34">
        <f t="shared" si="163"/>
        <v>0</v>
      </c>
      <c r="AB366" s="36">
        <f t="shared" si="164"/>
        <v>0</v>
      </c>
      <c r="AC366" s="36"/>
      <c r="AD366" s="37">
        <f t="shared" si="165"/>
        <v>0</v>
      </c>
      <c r="AE366" s="37">
        <f t="shared" si="166"/>
        <v>0</v>
      </c>
      <c r="AF366" s="38">
        <f t="shared" si="151"/>
        <v>0</v>
      </c>
      <c r="AG366" s="38">
        <f t="shared" si="152"/>
        <v>0</v>
      </c>
      <c r="AH366" s="39">
        <f t="shared" si="153"/>
        <v>0</v>
      </c>
      <c r="AI366" s="34">
        <f t="shared" si="154"/>
        <v>1</v>
      </c>
      <c r="AJ366" s="34"/>
      <c r="AK366" s="34"/>
      <c r="AL366" s="35"/>
      <c r="AM366" s="35"/>
      <c r="AN366" s="35"/>
      <c r="AO366" s="35"/>
      <c r="AP366" s="35"/>
      <c r="AQ366" s="34"/>
      <c r="AR366" s="34"/>
      <c r="AS366" s="36"/>
      <c r="AT366" s="36"/>
      <c r="AU366" s="37"/>
      <c r="AV366" s="37"/>
      <c r="AW366" s="38"/>
      <c r="AX366" s="38"/>
      <c r="AY366" s="39"/>
      <c r="AZ366" s="34"/>
      <c r="BA366" s="34"/>
      <c r="BB366" s="34"/>
      <c r="BC366" s="35"/>
      <c r="BD366" s="35"/>
      <c r="BE366" s="35"/>
      <c r="BF366" s="35"/>
      <c r="BG366" s="35"/>
      <c r="BH366" s="34"/>
      <c r="BI366" s="34"/>
      <c r="BJ366" s="36"/>
      <c r="BK366" s="36"/>
      <c r="BL366" s="37"/>
      <c r="BM366" s="37"/>
      <c r="BN366" s="38"/>
      <c r="BO366" s="38"/>
      <c r="BP366" s="39"/>
      <c r="BQ366" s="34"/>
      <c r="BR366" s="34"/>
      <c r="BS366" s="34"/>
      <c r="BT366" s="35"/>
      <c r="BU366" s="35"/>
      <c r="BV366" s="35"/>
      <c r="BW366" s="35"/>
      <c r="BX366" s="35"/>
      <c r="BY366" s="34"/>
      <c r="BZ366" s="34"/>
      <c r="CA366" s="36"/>
      <c r="CB366" s="36"/>
      <c r="CC366" s="37"/>
      <c r="CD366" s="37"/>
      <c r="CE366" s="38"/>
      <c r="CF366" s="38"/>
      <c r="CG366" s="39"/>
      <c r="CH366" s="34"/>
      <c r="CI366" s="34"/>
      <c r="CJ366" s="34"/>
      <c r="CK366" s="35"/>
      <c r="CL366" s="35"/>
      <c r="CM366" s="35"/>
      <c r="CN366" s="35"/>
      <c r="CO366" s="35"/>
      <c r="CP366" s="34"/>
      <c r="CQ366" s="34"/>
      <c r="CR366" s="36"/>
      <c r="CS366" s="36"/>
      <c r="CT366" s="37"/>
      <c r="CU366" s="37"/>
      <c r="CV366" s="38"/>
      <c r="CW366" s="38"/>
      <c r="CX366" s="39"/>
      <c r="CY366" s="34"/>
      <c r="CZ366" s="34"/>
      <c r="DA366" s="34"/>
      <c r="DB366" s="35"/>
      <c r="DC366" s="35"/>
      <c r="DD366" s="35"/>
      <c r="DE366" s="35"/>
      <c r="DF366" s="35"/>
      <c r="DG366" s="34"/>
      <c r="DH366" s="34"/>
      <c r="DI366" s="36"/>
      <c r="DJ366" s="36"/>
      <c r="DK366" s="37"/>
      <c r="DL366" s="37"/>
      <c r="DM366" s="38"/>
      <c r="DN366" s="38"/>
      <c r="DO366" s="39"/>
      <c r="DP366" s="34"/>
      <c r="DQ366" s="34"/>
      <c r="DR366" s="34"/>
      <c r="DS366" s="35"/>
      <c r="DT366" s="35"/>
      <c r="DU366" s="35"/>
      <c r="DV366" s="35"/>
      <c r="DW366" s="35"/>
      <c r="DX366" s="34"/>
      <c r="DY366" s="34"/>
      <c r="DZ366" s="36"/>
      <c r="EA366" s="36"/>
      <c r="EB366" s="37"/>
      <c r="EC366" s="37"/>
      <c r="ED366" s="38"/>
      <c r="EE366" s="38"/>
      <c r="EF366" s="39"/>
      <c r="EG366" s="34"/>
      <c r="EH366" s="34"/>
      <c r="EI366" s="34"/>
      <c r="EJ366" s="35"/>
      <c r="EK366" s="35"/>
      <c r="EL366" s="35"/>
      <c r="EM366" s="35"/>
      <c r="EN366" s="35"/>
      <c r="EO366" s="34"/>
      <c r="EP366" s="34"/>
      <c r="EQ366" s="36"/>
      <c r="ER366" s="36"/>
      <c r="ES366" s="37"/>
      <c r="ET366" s="37"/>
      <c r="EU366" s="38"/>
      <c r="EV366" s="38"/>
      <c r="EW366" s="39"/>
      <c r="EX366" s="34"/>
      <c r="EY366" s="34"/>
      <c r="EZ366" s="34"/>
      <c r="FA366" s="35"/>
      <c r="FB366" s="35"/>
      <c r="FC366" s="35"/>
      <c r="FD366" s="35"/>
      <c r="FE366" s="35"/>
      <c r="FF366" s="34"/>
      <c r="FG366" s="34"/>
      <c r="FH366" s="36"/>
      <c r="FI366" s="36"/>
      <c r="FJ366" s="37"/>
      <c r="FK366" s="37"/>
      <c r="FL366" s="38"/>
      <c r="FM366" s="38"/>
      <c r="FN366" s="39"/>
      <c r="FO366" s="34"/>
      <c r="FP366" s="34"/>
      <c r="FQ366" s="34"/>
      <c r="FR366" s="35"/>
      <c r="FS366" s="35"/>
      <c r="FT366" s="35"/>
      <c r="FU366" s="35"/>
      <c r="FV366" s="35"/>
      <c r="FW366" s="34"/>
      <c r="FX366" s="34"/>
      <c r="FY366" s="36"/>
      <c r="FZ366" s="36"/>
      <c r="GA366" s="37"/>
      <c r="GB366" s="37"/>
      <c r="GC366" s="38"/>
      <c r="GD366" s="38"/>
      <c r="GE366" s="39"/>
      <c r="GF366" s="34"/>
      <c r="GG366" s="34"/>
      <c r="GH366" s="34"/>
      <c r="GI366" s="35"/>
      <c r="GJ366" s="35"/>
      <c r="GK366" s="35"/>
      <c r="GL366" s="35"/>
      <c r="GM366" s="35"/>
      <c r="GN366" s="34"/>
      <c r="GO366" s="34"/>
      <c r="GP366" s="36"/>
      <c r="GQ366" s="36"/>
      <c r="GR366" s="37"/>
      <c r="GS366" s="37"/>
      <c r="GT366" s="38"/>
      <c r="GU366" s="38"/>
      <c r="GV366" s="39"/>
      <c r="GW366" s="34"/>
      <c r="GX366" s="34"/>
      <c r="GY366" s="34"/>
      <c r="GZ366" s="35"/>
      <c r="HA366" s="35"/>
      <c r="HB366" s="35"/>
      <c r="HC366" s="35"/>
      <c r="HD366" s="35"/>
      <c r="HE366" s="34"/>
      <c r="HF366" s="34"/>
      <c r="HG366" s="36"/>
      <c r="HH366" s="36"/>
      <c r="HI366" s="37"/>
      <c r="HJ366" s="37"/>
      <c r="HK366" s="38"/>
      <c r="HL366" s="38"/>
      <c r="HM366" s="39"/>
      <c r="HN366" s="34"/>
      <c r="HO366" s="34"/>
      <c r="HP366" s="34"/>
      <c r="HQ366" s="35"/>
      <c r="HR366" s="35"/>
      <c r="HS366" s="35"/>
      <c r="HT366" s="35"/>
      <c r="HU366" s="35"/>
      <c r="HV366" s="34"/>
      <c r="HW366" s="34"/>
      <c r="HX366" s="36"/>
      <c r="HY366" s="36"/>
      <c r="HZ366" s="37"/>
      <c r="IA366" s="37"/>
      <c r="IB366" s="38"/>
      <c r="IC366" s="38"/>
      <c r="ID366" s="39"/>
      <c r="IE366" s="34"/>
      <c r="IF366" s="34"/>
      <c r="IG366" s="34"/>
      <c r="IH366" s="35"/>
      <c r="II366" s="35"/>
      <c r="IJ366" s="35"/>
      <c r="IK366" s="35"/>
      <c r="IL366" s="35"/>
      <c r="IM366" s="34"/>
      <c r="IN366" s="34"/>
      <c r="IO366" s="36"/>
      <c r="IP366" s="36"/>
      <c r="IQ366" s="37"/>
      <c r="IR366" s="37"/>
      <c r="IS366" s="38"/>
      <c r="IT366" s="38"/>
      <c r="IU366" s="39"/>
      <c r="IV366" s="34"/>
      <c r="IW366" s="34"/>
      <c r="IX366" s="34"/>
      <c r="IY366" s="35"/>
      <c r="IZ366" s="35"/>
      <c r="JA366" s="35"/>
      <c r="JB366" s="35"/>
      <c r="JC366" s="35"/>
      <c r="JD366" s="34"/>
      <c r="JE366" s="34"/>
      <c r="JF366" s="36"/>
      <c r="JG366" s="36"/>
      <c r="JH366" s="37"/>
      <c r="JI366" s="37"/>
      <c r="JJ366" s="38"/>
      <c r="JK366" s="38"/>
      <c r="JL366" s="39"/>
      <c r="JM366" s="34"/>
      <c r="JN366" s="34"/>
      <c r="JO366" s="34"/>
      <c r="JP366" s="35"/>
      <c r="JQ366" s="35"/>
      <c r="JR366" s="35"/>
      <c r="JS366" s="35"/>
      <c r="JT366" s="35"/>
      <c r="JU366" s="34"/>
      <c r="JV366" s="34"/>
      <c r="JW366" s="36"/>
      <c r="JX366" s="36"/>
      <c r="JY366" s="37"/>
      <c r="JZ366" s="37"/>
      <c r="KA366" s="38"/>
      <c r="KB366" s="38"/>
      <c r="KC366" s="39"/>
      <c r="KD366" s="34"/>
      <c r="KE366" s="34"/>
      <c r="KF366" s="34"/>
      <c r="KG366" s="35"/>
      <c r="KH366" s="35"/>
      <c r="KI366" s="35"/>
      <c r="KJ366" s="35"/>
      <c r="KK366" s="35"/>
      <c r="KL366" s="34"/>
      <c r="KM366" s="34"/>
      <c r="KN366" s="36"/>
      <c r="KO366" s="36"/>
      <c r="KP366" s="37"/>
      <c r="KQ366" s="37"/>
      <c r="KR366" s="38"/>
      <c r="KS366" s="38"/>
      <c r="KT366" s="39"/>
      <c r="KU366" s="34"/>
      <c r="KV366" s="34"/>
      <c r="KW366" s="34"/>
      <c r="KX366" s="35"/>
      <c r="KY366" s="35"/>
      <c r="KZ366" s="35"/>
      <c r="LA366" s="35"/>
      <c r="LB366" s="35"/>
      <c r="LC366" s="34"/>
      <c r="LD366" s="34"/>
      <c r="LE366" s="36"/>
      <c r="LF366" s="36"/>
      <c r="LG366" s="37"/>
      <c r="LH366" s="37"/>
      <c r="LI366" s="38"/>
      <c r="LJ366" s="38"/>
      <c r="LK366" s="39"/>
      <c r="LL366" s="34"/>
      <c r="LM366" s="34"/>
      <c r="LN366" s="34"/>
      <c r="LO366" s="35"/>
      <c r="LP366" s="35"/>
      <c r="LQ366" s="35"/>
      <c r="LR366" s="35"/>
      <c r="LS366" s="35"/>
      <c r="LT366" s="34"/>
      <c r="LU366" s="34"/>
      <c r="LV366" s="36"/>
      <c r="LW366" s="36"/>
      <c r="LX366" s="37"/>
      <c r="LY366" s="37"/>
      <c r="LZ366" s="38"/>
      <c r="MA366" s="38"/>
      <c r="MB366" s="39"/>
      <c r="MC366" s="34"/>
      <c r="MD366" s="34"/>
      <c r="ME366" s="34"/>
      <c r="MF366" s="35"/>
      <c r="MG366" s="35"/>
      <c r="MH366" s="35"/>
      <c r="MI366" s="35"/>
      <c r="MJ366" s="35"/>
      <c r="MK366" s="34"/>
      <c r="ML366" s="34"/>
      <c r="MM366" s="36"/>
      <c r="MN366" s="36"/>
      <c r="MO366" s="37"/>
      <c r="MP366" s="37"/>
      <c r="MQ366" s="38"/>
      <c r="MR366" s="38"/>
      <c r="MS366" s="39"/>
      <c r="MT366" s="34"/>
      <c r="MU366" s="34"/>
      <c r="MV366" s="34"/>
      <c r="MW366" s="35"/>
      <c r="MX366" s="35"/>
      <c r="MY366" s="35"/>
      <c r="MZ366" s="35"/>
      <c r="NA366" s="35"/>
      <c r="NB366" s="34"/>
      <c r="NC366" s="34"/>
      <c r="ND366" s="36"/>
      <c r="NE366" s="36"/>
      <c r="NF366" s="37"/>
      <c r="NG366" s="37"/>
      <c r="NH366" s="38"/>
      <c r="NI366" s="38"/>
      <c r="NJ366" s="39"/>
      <c r="NK366" s="34"/>
      <c r="NL366" s="34"/>
      <c r="NM366" s="34"/>
      <c r="NN366" s="35"/>
      <c r="NO366" s="35"/>
      <c r="NP366" s="35"/>
      <c r="NQ366" s="35"/>
      <c r="NR366" s="35"/>
      <c r="NS366" s="34"/>
      <c r="NT366" s="34"/>
      <c r="NU366" s="36"/>
      <c r="NV366" s="36"/>
      <c r="NW366" s="37"/>
      <c r="NX366" s="37"/>
      <c r="NY366" s="38"/>
      <c r="NZ366" s="38"/>
      <c r="OA366" s="39"/>
      <c r="OB366" s="34"/>
      <c r="OC366" s="34"/>
      <c r="OD366" s="34"/>
      <c r="OE366" s="35"/>
      <c r="OF366" s="35"/>
      <c r="OG366" s="35"/>
      <c r="OH366" s="35"/>
      <c r="OI366" s="35"/>
      <c r="OJ366" s="34"/>
      <c r="OK366" s="34"/>
      <c r="OL366" s="36"/>
      <c r="OM366" s="36"/>
      <c r="ON366" s="37"/>
      <c r="OO366" s="37"/>
      <c r="OP366" s="38"/>
      <c r="OQ366" s="38"/>
      <c r="OR366" s="39"/>
      <c r="OS366" s="34"/>
      <c r="OT366" s="34"/>
      <c r="OU366" s="34"/>
      <c r="OV366" s="35"/>
      <c r="OW366" s="35"/>
      <c r="OX366" s="35"/>
      <c r="OY366" s="35"/>
      <c r="OZ366" s="35"/>
      <c r="PA366" s="34"/>
      <c r="PB366" s="34"/>
      <c r="PC366" s="36"/>
      <c r="PD366" s="36"/>
      <c r="PE366" s="37"/>
      <c r="PF366" s="37"/>
      <c r="PG366" s="38"/>
      <c r="PH366" s="38"/>
      <c r="PI366" s="39"/>
      <c r="PJ366" s="34"/>
      <c r="PK366" s="34"/>
      <c r="PL366" s="34"/>
      <c r="PM366" s="35"/>
      <c r="PN366" s="35"/>
      <c r="PO366" s="35"/>
      <c r="PP366" s="35"/>
      <c r="PQ366" s="35"/>
      <c r="PR366" s="34"/>
      <c r="PS366" s="34"/>
      <c r="PT366" s="36"/>
      <c r="PU366" s="36"/>
      <c r="PV366" s="37"/>
      <c r="PW366" s="37"/>
      <c r="PX366" s="38"/>
      <c r="PY366" s="38"/>
      <c r="PZ366" s="39"/>
      <c r="QA366" s="34"/>
      <c r="QB366" s="34"/>
      <c r="QC366" s="34"/>
      <c r="QD366" s="35"/>
      <c r="QE366" s="35"/>
      <c r="QF366" s="35"/>
      <c r="QG366" s="35"/>
      <c r="QH366" s="35"/>
      <c r="QI366" s="34"/>
      <c r="QJ366" s="34"/>
      <c r="QK366" s="36"/>
      <c r="QL366" s="36"/>
      <c r="QM366" s="37"/>
      <c r="QN366" s="37"/>
      <c r="QO366" s="38"/>
      <c r="QP366" s="38"/>
      <c r="QQ366" s="39"/>
      <c r="QR366" s="34"/>
      <c r="QS366" s="34"/>
      <c r="QT366" s="34"/>
      <c r="QU366" s="35"/>
      <c r="QV366" s="35"/>
      <c r="QW366" s="35"/>
      <c r="QX366" s="35"/>
      <c r="QY366" s="35"/>
      <c r="QZ366" s="34"/>
      <c r="RA366" s="34"/>
      <c r="RB366" s="36"/>
      <c r="RC366" s="36"/>
      <c r="RD366" s="37"/>
      <c r="RE366" s="37"/>
      <c r="RF366" s="38"/>
      <c r="RG366" s="38"/>
      <c r="RH366" s="39"/>
      <c r="RI366" s="34"/>
      <c r="RJ366" s="34"/>
      <c r="RK366" s="34"/>
      <c r="RL366" s="35"/>
      <c r="RM366" s="35"/>
      <c r="RN366" s="35"/>
      <c r="RO366" s="35"/>
      <c r="RP366" s="35"/>
      <c r="RQ366" s="34"/>
      <c r="RR366" s="34"/>
      <c r="RS366" s="36"/>
      <c r="RT366" s="36"/>
      <c r="RU366" s="37"/>
      <c r="RV366" s="37"/>
      <c r="RW366" s="38"/>
      <c r="RX366" s="38"/>
      <c r="RY366" s="39"/>
      <c r="RZ366" s="34"/>
      <c r="SA366" s="34"/>
      <c r="SB366" s="34"/>
      <c r="SC366" s="35"/>
      <c r="SD366" s="35"/>
      <c r="SE366" s="35"/>
      <c r="SF366" s="35"/>
      <c r="SG366" s="35"/>
      <c r="SH366" s="34"/>
      <c r="SI366" s="34"/>
      <c r="SJ366" s="36"/>
      <c r="SK366" s="36"/>
      <c r="SL366" s="37"/>
      <c r="SM366" s="37"/>
      <c r="SN366" s="38"/>
      <c r="SO366" s="38"/>
      <c r="SP366" s="39"/>
      <c r="SQ366" s="34"/>
      <c r="SR366" s="34"/>
      <c r="SS366" s="34"/>
      <c r="ST366" s="35"/>
      <c r="SU366" s="35"/>
      <c r="SV366" s="35"/>
      <c r="SW366" s="35"/>
      <c r="SX366" s="35"/>
      <c r="SY366" s="34"/>
      <c r="SZ366" s="34"/>
      <c r="TA366" s="36"/>
      <c r="TB366" s="36"/>
      <c r="TC366" s="37"/>
      <c r="TD366" s="37"/>
      <c r="TE366" s="38"/>
      <c r="TF366" s="38"/>
      <c r="TG366" s="39"/>
      <c r="TH366" s="34"/>
      <c r="TI366" s="34"/>
      <c r="TJ366" s="34"/>
      <c r="TK366" s="35"/>
      <c r="TL366" s="35"/>
      <c r="TM366" s="35"/>
      <c r="TN366" s="35"/>
      <c r="TO366" s="35"/>
      <c r="TP366" s="34"/>
      <c r="TQ366" s="34"/>
      <c r="TR366" s="36"/>
      <c r="TS366" s="36"/>
      <c r="TT366" s="37"/>
      <c r="TU366" s="37"/>
      <c r="TV366" s="38"/>
      <c r="TW366" s="38"/>
      <c r="TX366" s="39"/>
      <c r="TY366" s="34"/>
      <c r="TZ366" s="34"/>
      <c r="UA366" s="34"/>
      <c r="UB366" s="35"/>
      <c r="UC366" s="35"/>
      <c r="UD366" s="35"/>
      <c r="UE366" s="35"/>
      <c r="UF366" s="35"/>
      <c r="UG366" s="34"/>
      <c r="UH366" s="34"/>
      <c r="UI366" s="36"/>
      <c r="UJ366" s="36"/>
      <c r="UK366" s="37"/>
      <c r="UL366" s="37"/>
      <c r="UM366" s="38"/>
      <c r="UN366" s="38"/>
      <c r="UO366" s="39"/>
      <c r="UP366" s="34"/>
      <c r="UQ366" s="34"/>
      <c r="UR366" s="34"/>
      <c r="US366" s="35"/>
      <c r="UT366" s="35"/>
      <c r="UU366" s="35"/>
      <c r="UV366" s="35"/>
      <c r="UW366" s="35"/>
      <c r="UX366" s="34"/>
      <c r="UY366" s="34"/>
      <c r="UZ366" s="36"/>
      <c r="VA366" s="36"/>
      <c r="VB366" s="37"/>
      <c r="VC366" s="37"/>
      <c r="VD366" s="38"/>
      <c r="VE366" s="38"/>
      <c r="VF366" s="39"/>
      <c r="VG366" s="34"/>
      <c r="VH366" s="34"/>
      <c r="VI366" s="34"/>
      <c r="VJ366" s="35"/>
      <c r="VK366" s="35"/>
      <c r="VL366" s="35"/>
      <c r="VM366" s="35"/>
      <c r="VN366" s="35"/>
      <c r="VO366" s="34"/>
      <c r="VP366" s="34"/>
      <c r="VQ366" s="36"/>
      <c r="VR366" s="36"/>
      <c r="VS366" s="37"/>
      <c r="VT366" s="37"/>
      <c r="VU366" s="38"/>
      <c r="VV366" s="38"/>
      <c r="VW366" s="39"/>
      <c r="VX366" s="34"/>
      <c r="VY366" s="34"/>
      <c r="VZ366" s="34"/>
      <c r="WA366" s="35"/>
      <c r="WB366" s="35"/>
      <c r="WC366" s="35"/>
      <c r="WD366" s="35"/>
      <c r="WE366" s="35"/>
      <c r="WF366" s="34"/>
      <c r="WG366" s="34"/>
      <c r="WH366" s="36"/>
      <c r="WI366" s="36"/>
      <c r="WJ366" s="37"/>
      <c r="WK366" s="37"/>
      <c r="WL366" s="38"/>
      <c r="WM366" s="38"/>
      <c r="WN366" s="39"/>
      <c r="WO366" s="34"/>
      <c r="WP366" s="34"/>
      <c r="WQ366" s="34"/>
      <c r="WR366" s="35"/>
      <c r="WS366" s="35"/>
      <c r="WT366" s="35"/>
      <c r="WU366" s="35"/>
      <c r="WV366" s="35"/>
      <c r="WW366" s="34"/>
      <c r="WX366" s="34"/>
      <c r="WY366" s="36"/>
      <c r="WZ366" s="36"/>
      <c r="XA366" s="37"/>
      <c r="XB366" s="37"/>
      <c r="XC366" s="38"/>
      <c r="XD366" s="38"/>
      <c r="XE366" s="39"/>
      <c r="XF366" s="34"/>
      <c r="XG366" s="34"/>
      <c r="XH366" s="34"/>
      <c r="XI366" s="35"/>
      <c r="XJ366" s="35"/>
      <c r="XK366" s="35"/>
      <c r="XL366" s="35"/>
      <c r="XM366" s="35"/>
      <c r="XN366" s="34"/>
      <c r="XO366" s="34"/>
      <c r="XP366" s="36"/>
      <c r="XQ366" s="36"/>
      <c r="XR366" s="37"/>
      <c r="XS366" s="37"/>
      <c r="XT366" s="38"/>
      <c r="XU366" s="38"/>
      <c r="XV366" s="39"/>
      <c r="XW366" s="34"/>
      <c r="XX366" s="34"/>
      <c r="XY366" s="34"/>
      <c r="XZ366" s="35"/>
      <c r="YA366" s="35"/>
      <c r="YB366" s="35"/>
      <c r="YC366" s="35"/>
      <c r="YD366" s="35"/>
      <c r="YE366" s="34"/>
      <c r="YF366" s="34"/>
      <c r="YG366" s="36"/>
      <c r="YH366" s="36"/>
      <c r="YI366" s="37"/>
      <c r="YJ366" s="37"/>
      <c r="YK366" s="38"/>
      <c r="YL366" s="38"/>
      <c r="YM366" s="39"/>
      <c r="YN366" s="34"/>
      <c r="YO366" s="34"/>
      <c r="YP366" s="34"/>
      <c r="YQ366" s="35"/>
      <c r="YR366" s="35"/>
      <c r="YS366" s="35"/>
      <c r="YT366" s="35"/>
      <c r="YU366" s="35"/>
      <c r="YV366" s="34"/>
      <c r="YW366" s="34"/>
      <c r="YX366" s="36"/>
      <c r="YY366" s="36"/>
      <c r="YZ366" s="37"/>
      <c r="ZA366" s="37"/>
      <c r="ZB366" s="38"/>
      <c r="ZC366" s="38"/>
      <c r="ZD366" s="39"/>
      <c r="ZE366" s="34"/>
      <c r="ZF366" s="34"/>
      <c r="ZG366" s="34"/>
      <c r="ZH366" s="35"/>
      <c r="ZI366" s="35"/>
      <c r="ZJ366" s="35"/>
      <c r="ZK366" s="35"/>
      <c r="ZL366" s="35"/>
      <c r="ZM366" s="34"/>
      <c r="ZN366" s="34"/>
      <c r="ZO366" s="36"/>
      <c r="ZP366" s="36"/>
      <c r="ZQ366" s="37"/>
      <c r="ZR366" s="37"/>
      <c r="ZS366" s="38"/>
      <c r="ZT366" s="38"/>
      <c r="ZU366" s="39"/>
      <c r="ZV366" s="34"/>
      <c r="ZW366" s="34"/>
      <c r="ZX366" s="34"/>
      <c r="ZY366" s="35"/>
      <c r="ZZ366" s="35"/>
      <c r="AAA366" s="35"/>
      <c r="AAB366" s="35"/>
      <c r="AAC366" s="35"/>
      <c r="AAD366" s="34"/>
      <c r="AAE366" s="34"/>
      <c r="AAF366" s="36"/>
      <c r="AAG366" s="36"/>
      <c r="AAH366" s="37"/>
      <c r="AAI366" s="37"/>
      <c r="AAJ366" s="38"/>
      <c r="AAK366" s="38"/>
      <c r="AAL366" s="39"/>
      <c r="AAM366" s="34"/>
      <c r="AAN366" s="34"/>
      <c r="AAO366" s="34"/>
      <c r="AAP366" s="35"/>
      <c r="AAQ366" s="35"/>
      <c r="AAR366" s="35"/>
      <c r="AAS366" s="35"/>
      <c r="AAT366" s="35"/>
      <c r="AAU366" s="34"/>
      <c r="AAV366" s="34"/>
      <c r="AAW366" s="36"/>
      <c r="AAX366" s="36"/>
      <c r="AAY366" s="37"/>
      <c r="AAZ366" s="37"/>
      <c r="ABA366" s="38"/>
      <c r="ABB366" s="38"/>
      <c r="ABC366" s="39"/>
      <c r="ABD366" s="34"/>
      <c r="ABE366" s="34"/>
      <c r="ABF366" s="34"/>
      <c r="ABG366" s="35"/>
      <c r="ABH366" s="35"/>
      <c r="ABI366" s="35"/>
      <c r="ABJ366" s="35"/>
      <c r="ABK366" s="35"/>
      <c r="ABL366" s="34"/>
      <c r="ABM366" s="34"/>
      <c r="ABN366" s="36"/>
      <c r="ABO366" s="36"/>
      <c r="ABP366" s="37"/>
      <c r="ABQ366" s="37"/>
      <c r="ABR366" s="38"/>
      <c r="ABS366" s="38"/>
      <c r="ABT366" s="39"/>
      <c r="ABU366" s="34"/>
      <c r="ABV366" s="34"/>
      <c r="ABW366" s="34"/>
      <c r="ABX366" s="35"/>
      <c r="ABY366" s="35"/>
      <c r="ABZ366" s="35"/>
      <c r="ACA366" s="35"/>
      <c r="ACB366" s="35"/>
      <c r="ACC366" s="34"/>
      <c r="ACD366" s="34"/>
      <c r="ACE366" s="36"/>
      <c r="ACF366" s="36"/>
      <c r="ACG366" s="37"/>
      <c r="ACH366" s="37"/>
      <c r="ACI366" s="38"/>
      <c r="ACJ366" s="38"/>
      <c r="ACK366" s="39"/>
      <c r="ACL366" s="34"/>
      <c r="ACM366" s="34"/>
      <c r="ACN366" s="34"/>
      <c r="ACO366" s="35"/>
      <c r="ACP366" s="35"/>
      <c r="ACQ366" s="35"/>
      <c r="ACR366" s="35"/>
      <c r="ACS366" s="35"/>
      <c r="ACT366" s="34"/>
      <c r="ACU366" s="34"/>
      <c r="ACV366" s="36"/>
      <c r="ACW366" s="36"/>
      <c r="ACX366" s="37"/>
      <c r="ACY366" s="37"/>
      <c r="ACZ366" s="38"/>
      <c r="ADA366" s="38"/>
      <c r="ADB366" s="39"/>
      <c r="ADC366" s="34"/>
      <c r="ADD366" s="34"/>
      <c r="ADE366" s="34"/>
      <c r="ADF366" s="35"/>
      <c r="ADG366" s="35"/>
      <c r="ADH366" s="35"/>
      <c r="ADI366" s="35"/>
      <c r="ADJ366" s="35"/>
      <c r="ADK366" s="34"/>
      <c r="ADL366" s="34"/>
      <c r="ADM366" s="36"/>
      <c r="ADN366" s="36"/>
      <c r="ADO366" s="37"/>
      <c r="ADP366" s="37"/>
      <c r="ADQ366" s="38"/>
      <c r="ADR366" s="38"/>
      <c r="ADS366" s="39"/>
      <c r="ADT366" s="34"/>
      <c r="ADU366" s="34"/>
      <c r="ADV366" s="34"/>
      <c r="ADW366" s="35"/>
      <c r="ADX366" s="35"/>
      <c r="ADY366" s="35"/>
      <c r="ADZ366" s="35"/>
      <c r="AEA366" s="35"/>
      <c r="AEB366" s="34"/>
      <c r="AEC366" s="34"/>
      <c r="AED366" s="36"/>
      <c r="AEE366" s="36"/>
      <c r="AEF366" s="37"/>
      <c r="AEG366" s="37"/>
      <c r="AEH366" s="38"/>
      <c r="AEI366" s="38"/>
      <c r="AEJ366" s="39"/>
      <c r="AEK366" s="34"/>
      <c r="AEL366" s="34"/>
      <c r="AEM366" s="34"/>
      <c r="AEN366" s="35"/>
      <c r="AEO366" s="35"/>
      <c r="AEP366" s="35"/>
      <c r="AEQ366" s="35"/>
      <c r="AER366" s="35"/>
      <c r="AES366" s="34"/>
      <c r="AET366" s="34"/>
      <c r="AEU366" s="36"/>
      <c r="AEV366" s="36"/>
      <c r="AEW366" s="37"/>
      <c r="AEX366" s="37"/>
      <c r="AEY366" s="38"/>
      <c r="AEZ366" s="38"/>
      <c r="AFA366" s="39"/>
      <c r="AFB366" s="34"/>
      <c r="AFC366" s="34"/>
      <c r="AFD366" s="34"/>
      <c r="AFE366" s="35"/>
      <c r="AFF366" s="35"/>
      <c r="AFG366" s="35"/>
      <c r="AFH366" s="35"/>
      <c r="AFI366" s="35"/>
      <c r="AFJ366" s="34"/>
      <c r="AFK366" s="34"/>
      <c r="AFL366" s="36"/>
      <c r="AFM366" s="36"/>
      <c r="AFN366" s="37"/>
      <c r="AFO366" s="37"/>
      <c r="AFP366" s="38"/>
      <c r="AFQ366" s="38"/>
      <c r="AFR366" s="39"/>
      <c r="AFS366" s="34"/>
      <c r="AFT366" s="34"/>
      <c r="AFU366" s="34"/>
      <c r="AFV366" s="35"/>
      <c r="AFW366" s="35"/>
      <c r="AFX366" s="35"/>
      <c r="AFY366" s="35"/>
      <c r="AFZ366" s="35"/>
      <c r="AGA366" s="34"/>
      <c r="AGB366" s="34"/>
      <c r="AGC366" s="36"/>
      <c r="AGD366" s="36"/>
      <c r="AGE366" s="37"/>
      <c r="AGF366" s="37"/>
      <c r="AGG366" s="38"/>
      <c r="AGH366" s="38"/>
      <c r="AGI366" s="39"/>
      <c r="AGJ366" s="34"/>
      <c r="AGK366" s="34"/>
      <c r="AGL366" s="34"/>
      <c r="AGM366" s="35"/>
      <c r="AGN366" s="35"/>
      <c r="AGO366" s="35"/>
      <c r="AGP366" s="35"/>
      <c r="AGQ366" s="35"/>
      <c r="AGR366" s="34"/>
      <c r="AGS366" s="34"/>
      <c r="AGT366" s="36"/>
      <c r="AGU366" s="36"/>
      <c r="AGV366" s="37"/>
      <c r="AGW366" s="37"/>
      <c r="AGX366" s="38"/>
      <c r="AGY366" s="38"/>
      <c r="AGZ366" s="39"/>
      <c r="AHA366" s="34"/>
      <c r="AHB366" s="34"/>
      <c r="AHC366" s="34"/>
      <c r="AHD366" s="35"/>
      <c r="AHE366" s="35"/>
      <c r="AHF366" s="35"/>
      <c r="AHG366" s="35"/>
      <c r="AHH366" s="35"/>
      <c r="AHI366" s="34"/>
      <c r="AHJ366" s="34"/>
      <c r="AHK366" s="36"/>
      <c r="AHL366" s="36"/>
      <c r="AHM366" s="37"/>
      <c r="AHN366" s="37"/>
      <c r="AHO366" s="38"/>
      <c r="AHP366" s="38"/>
      <c r="AHQ366" s="39"/>
      <c r="AHR366" s="34"/>
      <c r="AHS366" s="34"/>
      <c r="AHT366" s="34"/>
      <c r="AHU366" s="35"/>
      <c r="AHV366" s="35"/>
      <c r="AHW366" s="35"/>
      <c r="AHX366" s="35"/>
      <c r="AHY366" s="35"/>
      <c r="AHZ366" s="34"/>
      <c r="AIA366" s="34"/>
      <c r="AIB366" s="36"/>
      <c r="AIC366" s="36"/>
      <c r="AID366" s="37"/>
      <c r="AIE366" s="37"/>
      <c r="AIF366" s="38"/>
      <c r="AIG366" s="38"/>
      <c r="AIH366" s="39"/>
      <c r="AII366" s="34"/>
      <c r="AIJ366" s="34"/>
      <c r="AIK366" s="34"/>
      <c r="AIL366" s="35"/>
      <c r="AIM366" s="35"/>
      <c r="AIN366" s="35"/>
      <c r="AIO366" s="35"/>
      <c r="AIP366" s="35"/>
      <c r="AIQ366" s="34"/>
      <c r="AIR366" s="34"/>
      <c r="AIS366" s="36"/>
      <c r="AIT366" s="36"/>
      <c r="AIU366" s="37"/>
      <c r="AIV366" s="37"/>
      <c r="AIW366" s="38"/>
      <c r="AIX366" s="38"/>
      <c r="AIY366" s="39"/>
      <c r="AIZ366" s="34"/>
      <c r="AJA366" s="34"/>
      <c r="AJB366" s="34"/>
      <c r="AJC366" s="35"/>
      <c r="AJD366" s="35"/>
      <c r="AJE366" s="35"/>
      <c r="AJF366" s="35"/>
      <c r="AJG366" s="35"/>
      <c r="AJH366" s="34"/>
      <c r="AJI366" s="34"/>
      <c r="AJJ366" s="36"/>
      <c r="AJK366" s="36"/>
      <c r="AJL366" s="37"/>
      <c r="AJM366" s="37"/>
      <c r="AJN366" s="38"/>
      <c r="AJO366" s="38"/>
      <c r="AJP366" s="39"/>
      <c r="AJQ366" s="34"/>
      <c r="AJR366" s="34"/>
      <c r="AJS366" s="34"/>
      <c r="AJT366" s="35"/>
      <c r="AJU366" s="35"/>
      <c r="AJV366" s="35"/>
      <c r="AJW366" s="35"/>
      <c r="AJX366" s="35"/>
      <c r="AJY366" s="34"/>
      <c r="AJZ366" s="34"/>
      <c r="AKA366" s="36"/>
      <c r="AKB366" s="36"/>
      <c r="AKC366" s="37"/>
      <c r="AKD366" s="37"/>
      <c r="AKE366" s="38"/>
      <c r="AKF366" s="38"/>
      <c r="AKG366" s="39"/>
      <c r="AKH366" s="34"/>
      <c r="AKI366" s="34"/>
      <c r="AKJ366" s="34"/>
      <c r="AKK366" s="35"/>
      <c r="AKL366" s="35"/>
      <c r="AKM366" s="35"/>
      <c r="AKN366" s="35"/>
      <c r="AKO366" s="35"/>
      <c r="AKP366" s="34"/>
      <c r="AKQ366" s="34"/>
      <c r="AKR366" s="36"/>
      <c r="AKS366" s="36"/>
      <c r="AKT366" s="37"/>
      <c r="AKU366" s="37"/>
      <c r="AKV366" s="38"/>
      <c r="AKW366" s="38"/>
      <c r="AKX366" s="39"/>
      <c r="AKY366" s="34"/>
      <c r="AKZ366" s="34"/>
      <c r="ALA366" s="34"/>
      <c r="ALB366" s="35"/>
      <c r="ALC366" s="35"/>
      <c r="ALD366" s="35"/>
      <c r="ALE366" s="35"/>
      <c r="ALF366" s="35"/>
      <c r="ALG366" s="34"/>
      <c r="ALH366" s="34"/>
      <c r="ALI366" s="36"/>
      <c r="ALJ366" s="36"/>
      <c r="ALK366" s="37"/>
      <c r="ALL366" s="37"/>
      <c r="ALM366" s="38"/>
      <c r="ALN366" s="38"/>
      <c r="ALO366" s="39"/>
      <c r="ALP366" s="34"/>
      <c r="ALQ366" s="34"/>
      <c r="ALR366" s="34"/>
      <c r="ALS366" s="35"/>
      <c r="ALT366" s="35"/>
      <c r="ALU366" s="35"/>
      <c r="ALV366" s="35"/>
      <c r="ALW366" s="35"/>
      <c r="ALX366" s="34"/>
      <c r="ALY366" s="34"/>
      <c r="ALZ366" s="36"/>
      <c r="AMA366" s="36"/>
      <c r="AMB366" s="37"/>
      <c r="AMC366" s="37"/>
      <c r="AMD366" s="38"/>
      <c r="AME366" s="38"/>
      <c r="AMF366" s="39"/>
      <c r="AMG366" s="34"/>
      <c r="AMH366" s="34"/>
      <c r="AMI366" s="34"/>
      <c r="AMJ366" s="35"/>
      <c r="AMK366" s="35"/>
      <c r="AML366" s="35"/>
      <c r="AMM366" s="35"/>
      <c r="AMN366" s="35"/>
      <c r="AMO366" s="34"/>
      <c r="AMP366" s="34"/>
      <c r="AMQ366" s="36"/>
      <c r="AMR366" s="36"/>
      <c r="AMS366" s="37"/>
      <c r="AMT366" s="37"/>
      <c r="AMU366" s="38"/>
      <c r="AMV366" s="38"/>
      <c r="AMW366" s="39"/>
      <c r="AMX366" s="34"/>
      <c r="AMY366" s="34"/>
      <c r="AMZ366" s="34"/>
      <c r="ANA366" s="35"/>
      <c r="ANB366" s="35"/>
      <c r="ANC366" s="35"/>
      <c r="AND366" s="35"/>
      <c r="ANE366" s="35"/>
      <c r="ANF366" s="34"/>
      <c r="ANG366" s="34"/>
      <c r="ANH366" s="36"/>
      <c r="ANI366" s="36"/>
      <c r="ANJ366" s="37"/>
      <c r="ANK366" s="37"/>
      <c r="ANL366" s="38"/>
      <c r="ANM366" s="38"/>
      <c r="ANN366" s="39"/>
      <c r="ANO366" s="34"/>
      <c r="ANP366" s="34"/>
      <c r="ANQ366" s="34"/>
      <c r="ANR366" s="35"/>
      <c r="ANS366" s="35"/>
      <c r="ANT366" s="35"/>
      <c r="ANU366" s="35"/>
      <c r="ANV366" s="35"/>
      <c r="ANW366" s="34"/>
      <c r="ANX366" s="34"/>
      <c r="ANY366" s="36"/>
      <c r="ANZ366" s="36"/>
      <c r="AOA366" s="37"/>
      <c r="AOB366" s="37"/>
      <c r="AOC366" s="38"/>
      <c r="AOD366" s="38"/>
      <c r="AOE366" s="39"/>
      <c r="AOF366" s="34"/>
      <c r="AOG366" s="34"/>
      <c r="AOH366" s="34"/>
      <c r="AOI366" s="35"/>
      <c r="AOJ366" s="35"/>
      <c r="AOK366" s="35"/>
      <c r="AOL366" s="35"/>
      <c r="AOM366" s="35"/>
      <c r="AON366" s="34"/>
      <c r="AOO366" s="34"/>
      <c r="AOP366" s="36"/>
      <c r="AOQ366" s="36"/>
      <c r="AOR366" s="37"/>
      <c r="AOS366" s="37"/>
      <c r="AOT366" s="38"/>
      <c r="AOU366" s="38"/>
      <c r="AOV366" s="39"/>
      <c r="AOW366" s="34"/>
      <c r="AOX366" s="34"/>
      <c r="AOY366" s="34"/>
      <c r="AOZ366" s="35"/>
      <c r="APA366" s="35"/>
      <c r="APB366" s="35"/>
      <c r="APC366" s="35"/>
      <c r="APD366" s="35"/>
      <c r="APE366" s="34"/>
      <c r="APF366" s="34"/>
      <c r="APG366" s="36"/>
      <c r="APH366" s="36"/>
      <c r="API366" s="37"/>
      <c r="APJ366" s="37"/>
      <c r="APK366" s="38"/>
      <c r="APL366" s="38"/>
      <c r="APM366" s="39"/>
      <c r="APN366" s="34"/>
      <c r="APO366" s="34"/>
      <c r="APP366" s="34"/>
      <c r="APQ366" s="35"/>
      <c r="APR366" s="35"/>
      <c r="APS366" s="35"/>
      <c r="APT366" s="35"/>
      <c r="APU366" s="35"/>
      <c r="APV366" s="34"/>
      <c r="APW366" s="34"/>
      <c r="APX366" s="36"/>
      <c r="APY366" s="36"/>
      <c r="APZ366" s="37"/>
      <c r="AQA366" s="37"/>
      <c r="AQB366" s="38"/>
      <c r="AQC366" s="38"/>
      <c r="AQD366" s="39"/>
      <c r="AQE366" s="34"/>
      <c r="AQF366" s="34"/>
      <c r="AQG366" s="34"/>
      <c r="AQH366" s="35"/>
      <c r="AQI366" s="35"/>
      <c r="AQJ366" s="35"/>
      <c r="AQK366" s="35"/>
      <c r="AQL366" s="35"/>
      <c r="AQM366" s="34"/>
      <c r="AQN366" s="34"/>
      <c r="AQO366" s="36"/>
      <c r="AQP366" s="36"/>
      <c r="AQQ366" s="37"/>
      <c r="AQR366" s="37"/>
      <c r="AQS366" s="38"/>
      <c r="AQT366" s="38"/>
      <c r="AQU366" s="39"/>
      <c r="AQV366" s="34"/>
      <c r="AQW366" s="34"/>
      <c r="AQX366" s="34"/>
      <c r="AQY366" s="35"/>
      <c r="AQZ366" s="35"/>
      <c r="ARA366" s="35"/>
      <c r="ARB366" s="35"/>
      <c r="ARC366" s="35"/>
      <c r="ARD366" s="34"/>
      <c r="ARE366" s="34"/>
      <c r="ARF366" s="36"/>
      <c r="ARG366" s="36"/>
      <c r="ARH366" s="37"/>
      <c r="ARI366" s="37"/>
      <c r="ARJ366" s="38"/>
      <c r="ARK366" s="38"/>
      <c r="ARL366" s="39"/>
      <c r="ARM366" s="34"/>
      <c r="ARN366" s="34"/>
      <c r="ARO366" s="34"/>
      <c r="ARP366" s="35"/>
      <c r="ARQ366" s="35"/>
      <c r="ARR366" s="35"/>
      <c r="ARS366" s="35"/>
      <c r="ART366" s="35"/>
      <c r="ARU366" s="34"/>
      <c r="ARV366" s="34"/>
      <c r="ARW366" s="36"/>
      <c r="ARX366" s="36"/>
      <c r="ARY366" s="37"/>
      <c r="ARZ366" s="37"/>
      <c r="ASA366" s="38"/>
      <c r="ASB366" s="38"/>
      <c r="ASC366" s="39"/>
      <c r="ASD366" s="34"/>
      <c r="ASE366" s="34"/>
      <c r="ASF366" s="34"/>
      <c r="ASG366" s="35"/>
      <c r="ASH366" s="35"/>
      <c r="ASI366" s="35"/>
      <c r="ASJ366" s="35"/>
      <c r="ASK366" s="35"/>
      <c r="ASL366" s="34"/>
      <c r="ASM366" s="34"/>
      <c r="ASN366" s="36"/>
      <c r="ASO366" s="36"/>
      <c r="ASP366" s="37"/>
      <c r="ASQ366" s="37"/>
      <c r="ASR366" s="38"/>
      <c r="ASS366" s="38"/>
      <c r="AST366" s="39"/>
      <c r="ASU366" s="34"/>
      <c r="ASV366" s="34"/>
      <c r="ASW366" s="34"/>
      <c r="ASX366" s="35"/>
      <c r="ASY366" s="35"/>
      <c r="ASZ366" s="35"/>
      <c r="ATA366" s="35"/>
      <c r="ATB366" s="35"/>
      <c r="ATC366" s="34"/>
      <c r="ATD366" s="34"/>
      <c r="ATE366" s="36"/>
      <c r="ATF366" s="36"/>
      <c r="ATG366" s="37"/>
      <c r="ATH366" s="37"/>
      <c r="ATI366" s="38"/>
      <c r="ATJ366" s="38"/>
      <c r="ATK366" s="39"/>
      <c r="ATL366" s="34"/>
      <c r="ATM366" s="34"/>
      <c r="ATN366" s="34"/>
      <c r="ATO366" s="35"/>
      <c r="ATP366" s="35"/>
      <c r="ATQ366" s="35"/>
      <c r="ATR366" s="35"/>
      <c r="ATS366" s="35"/>
      <c r="ATT366" s="34"/>
      <c r="ATU366" s="34"/>
      <c r="ATV366" s="36"/>
      <c r="ATW366" s="36"/>
      <c r="ATX366" s="37"/>
      <c r="ATY366" s="37"/>
      <c r="ATZ366" s="38"/>
      <c r="AUA366" s="38"/>
      <c r="AUB366" s="39"/>
      <c r="AUC366" s="34"/>
      <c r="AUD366" s="34"/>
      <c r="AUE366" s="34"/>
      <c r="AUF366" s="35"/>
      <c r="AUG366" s="35"/>
      <c r="AUH366" s="35"/>
      <c r="AUI366" s="35"/>
      <c r="AUJ366" s="35"/>
      <c r="AUK366" s="34"/>
      <c r="AUL366" s="34"/>
      <c r="AUM366" s="36"/>
      <c r="AUN366" s="36"/>
      <c r="AUO366" s="37"/>
      <c r="AUP366" s="37"/>
      <c r="AUQ366" s="38"/>
      <c r="AUR366" s="38"/>
      <c r="AUS366" s="39"/>
      <c r="AUT366" s="34"/>
      <c r="AUU366" s="34"/>
      <c r="AUV366" s="34"/>
      <c r="AUW366" s="35"/>
      <c r="AUX366" s="35"/>
      <c r="AUY366" s="35"/>
      <c r="AUZ366" s="35"/>
      <c r="AVA366" s="35"/>
      <c r="AVB366" s="34"/>
      <c r="AVC366" s="34"/>
      <c r="AVD366" s="36"/>
      <c r="AVE366" s="36"/>
      <c r="AVF366" s="37"/>
      <c r="AVG366" s="37"/>
      <c r="AVH366" s="38"/>
      <c r="AVI366" s="38"/>
      <c r="AVJ366" s="39"/>
      <c r="AVK366" s="34"/>
      <c r="AVL366" s="34"/>
      <c r="AVM366" s="34"/>
      <c r="AVN366" s="35"/>
      <c r="AVO366" s="35"/>
      <c r="AVP366" s="35"/>
      <c r="AVQ366" s="35"/>
      <c r="AVR366" s="35"/>
      <c r="AVS366" s="34"/>
      <c r="AVT366" s="34"/>
      <c r="AVU366" s="36"/>
      <c r="AVV366" s="36"/>
      <c r="AVW366" s="37"/>
      <c r="AVX366" s="37"/>
      <c r="AVY366" s="38"/>
      <c r="AVZ366" s="38"/>
      <c r="AWA366" s="39"/>
      <c r="AWB366" s="34"/>
      <c r="AWC366" s="34"/>
      <c r="AWD366" s="34"/>
      <c r="AWE366" s="35"/>
      <c r="AWF366" s="35"/>
      <c r="AWG366" s="35"/>
      <c r="AWH366" s="35"/>
      <c r="AWI366" s="35"/>
      <c r="AWJ366" s="34"/>
      <c r="AWK366" s="34"/>
      <c r="AWL366" s="36"/>
      <c r="AWM366" s="36"/>
      <c r="AWN366" s="37"/>
      <c r="AWO366" s="37"/>
      <c r="AWP366" s="38"/>
      <c r="AWQ366" s="38"/>
      <c r="AWR366" s="39"/>
      <c r="AWS366" s="34"/>
      <c r="AWT366" s="34"/>
      <c r="AWU366" s="34"/>
      <c r="AWV366" s="35"/>
      <c r="AWW366" s="35"/>
      <c r="AWX366" s="35"/>
      <c r="AWY366" s="35"/>
      <c r="AWZ366" s="35"/>
      <c r="AXA366" s="34"/>
      <c r="AXB366" s="34"/>
      <c r="AXC366" s="36"/>
      <c r="AXD366" s="36"/>
      <c r="AXE366" s="37"/>
      <c r="AXF366" s="37"/>
      <c r="AXG366" s="38"/>
      <c r="AXH366" s="38"/>
      <c r="AXI366" s="39"/>
      <c r="AXJ366" s="34"/>
      <c r="AXK366" s="34"/>
      <c r="AXL366" s="34"/>
      <c r="AXM366" s="35"/>
      <c r="AXN366" s="35"/>
      <c r="AXO366" s="35"/>
      <c r="AXP366" s="35"/>
      <c r="AXQ366" s="35"/>
      <c r="AXR366" s="34"/>
      <c r="AXS366" s="34"/>
      <c r="AXT366" s="36"/>
      <c r="AXU366" s="36"/>
      <c r="AXV366" s="37"/>
      <c r="AXW366" s="37"/>
      <c r="AXX366" s="38"/>
      <c r="AXY366" s="38"/>
      <c r="AXZ366" s="39"/>
      <c r="AYA366" s="34"/>
      <c r="AYB366" s="34"/>
      <c r="AYC366" s="34"/>
      <c r="AYD366" s="35"/>
      <c r="AYE366" s="35"/>
      <c r="AYF366" s="35"/>
      <c r="AYG366" s="35"/>
      <c r="AYH366" s="35"/>
      <c r="AYI366" s="34"/>
      <c r="AYJ366" s="34"/>
      <c r="AYK366" s="36"/>
      <c r="AYL366" s="36"/>
      <c r="AYM366" s="37"/>
      <c r="AYN366" s="37"/>
      <c r="AYO366" s="38"/>
      <c r="AYP366" s="38"/>
      <c r="AYQ366" s="39"/>
      <c r="AYR366" s="34"/>
      <c r="AYS366" s="34"/>
      <c r="AYT366" s="34"/>
      <c r="AYU366" s="35"/>
      <c r="AYV366" s="35"/>
      <c r="AYW366" s="35"/>
      <c r="AYX366" s="35"/>
      <c r="AYY366" s="35"/>
      <c r="AYZ366" s="34"/>
      <c r="AZA366" s="34"/>
      <c r="AZB366" s="36"/>
      <c r="AZC366" s="36"/>
      <c r="AZD366" s="37"/>
      <c r="AZE366" s="37"/>
      <c r="AZF366" s="38"/>
      <c r="AZG366" s="38"/>
      <c r="AZH366" s="39"/>
      <c r="AZI366" s="34"/>
      <c r="AZJ366" s="34"/>
      <c r="AZK366" s="34"/>
      <c r="AZL366" s="35"/>
      <c r="AZM366" s="35"/>
      <c r="AZN366" s="35"/>
      <c r="AZO366" s="35"/>
      <c r="AZP366" s="35"/>
      <c r="AZQ366" s="34"/>
      <c r="AZR366" s="34"/>
      <c r="AZS366" s="36"/>
      <c r="AZT366" s="36"/>
      <c r="AZU366" s="37"/>
      <c r="AZV366" s="37"/>
      <c r="AZW366" s="38"/>
      <c r="AZX366" s="38"/>
      <c r="AZY366" s="39"/>
      <c r="AZZ366" s="34"/>
      <c r="BAA366" s="34"/>
      <c r="BAB366" s="34"/>
      <c r="BAC366" s="35"/>
      <c r="BAD366" s="35"/>
      <c r="BAE366" s="35"/>
      <c r="BAF366" s="35"/>
      <c r="BAG366" s="35"/>
      <c r="BAH366" s="34"/>
      <c r="BAI366" s="34"/>
      <c r="BAJ366" s="36"/>
      <c r="BAK366" s="36"/>
      <c r="BAL366" s="37"/>
      <c r="BAM366" s="37"/>
      <c r="BAN366" s="38"/>
      <c r="BAO366" s="38"/>
      <c r="BAP366" s="39"/>
      <c r="BAQ366" s="34"/>
      <c r="BAR366" s="34"/>
      <c r="BAS366" s="34"/>
      <c r="BAT366" s="35"/>
      <c r="BAU366" s="35"/>
      <c r="BAV366" s="35"/>
      <c r="BAW366" s="35"/>
      <c r="BAX366" s="35"/>
      <c r="BAY366" s="34"/>
      <c r="BAZ366" s="34"/>
      <c r="BBA366" s="36"/>
      <c r="BBB366" s="36"/>
      <c r="BBC366" s="37"/>
      <c r="BBD366" s="37"/>
      <c r="BBE366" s="38"/>
      <c r="BBF366" s="38"/>
      <c r="BBG366" s="39"/>
      <c r="BBH366" s="34"/>
      <c r="BBI366" s="34"/>
      <c r="BBJ366" s="34"/>
      <c r="BBK366" s="35"/>
      <c r="BBL366" s="35"/>
      <c r="BBM366" s="35"/>
      <c r="BBN366" s="35"/>
      <c r="BBO366" s="35"/>
      <c r="BBP366" s="34"/>
      <c r="BBQ366" s="34"/>
      <c r="BBR366" s="36"/>
      <c r="BBS366" s="36"/>
      <c r="BBT366" s="37"/>
      <c r="BBU366" s="37"/>
      <c r="BBV366" s="38"/>
      <c r="BBW366" s="38"/>
      <c r="BBX366" s="39"/>
      <c r="BBY366" s="34"/>
      <c r="BBZ366" s="34"/>
      <c r="BCA366" s="34"/>
      <c r="BCB366" s="35"/>
      <c r="BCC366" s="35"/>
      <c r="BCD366" s="35"/>
      <c r="BCE366" s="35"/>
      <c r="BCF366" s="35"/>
      <c r="BCG366" s="34"/>
      <c r="BCH366" s="34"/>
      <c r="BCI366" s="36"/>
      <c r="BCJ366" s="36"/>
      <c r="BCK366" s="37"/>
      <c r="BCL366" s="37"/>
      <c r="BCM366" s="38"/>
      <c r="BCN366" s="38"/>
      <c r="BCO366" s="39"/>
      <c r="BCP366" s="34"/>
      <c r="BCQ366" s="34"/>
      <c r="BCR366" s="34"/>
      <c r="BCS366" s="35"/>
      <c r="BCT366" s="35"/>
      <c r="BCU366" s="35"/>
      <c r="BCV366" s="35"/>
      <c r="BCW366" s="35"/>
      <c r="BCX366" s="34"/>
      <c r="BCY366" s="34"/>
      <c r="BCZ366" s="36"/>
      <c r="BDA366" s="36"/>
      <c r="BDB366" s="37"/>
      <c r="BDC366" s="37"/>
      <c r="BDD366" s="38"/>
      <c r="BDE366" s="38"/>
      <c r="BDF366" s="39"/>
      <c r="BDG366" s="34"/>
      <c r="BDH366" s="34"/>
      <c r="BDI366" s="34"/>
      <c r="BDJ366" s="35"/>
      <c r="BDK366" s="35"/>
      <c r="BDL366" s="35"/>
      <c r="BDM366" s="35"/>
      <c r="BDN366" s="35"/>
      <c r="BDO366" s="34"/>
      <c r="BDP366" s="34"/>
      <c r="BDQ366" s="36"/>
      <c r="BDR366" s="36"/>
      <c r="BDS366" s="37"/>
      <c r="BDT366" s="37"/>
      <c r="BDU366" s="38"/>
      <c r="BDV366" s="38"/>
      <c r="BDW366" s="39"/>
      <c r="BDX366" s="34"/>
      <c r="BDY366" s="34"/>
      <c r="BDZ366" s="34"/>
      <c r="BEA366" s="35"/>
      <c r="BEB366" s="35"/>
      <c r="BEC366" s="35"/>
      <c r="BED366" s="35"/>
      <c r="BEE366" s="35"/>
      <c r="BEF366" s="34"/>
      <c r="BEG366" s="34"/>
      <c r="BEH366" s="36"/>
      <c r="BEI366" s="36"/>
      <c r="BEJ366" s="37"/>
      <c r="BEK366" s="37"/>
      <c r="BEL366" s="38"/>
      <c r="BEM366" s="38"/>
      <c r="BEN366" s="39"/>
      <c r="BEO366" s="34"/>
      <c r="BEP366" s="34"/>
      <c r="BEQ366" s="34"/>
      <c r="BER366" s="35"/>
      <c r="BES366" s="35"/>
      <c r="BET366" s="35"/>
      <c r="BEU366" s="35"/>
      <c r="BEV366" s="35"/>
      <c r="BEW366" s="34"/>
      <c r="BEX366" s="34"/>
      <c r="BEY366" s="36"/>
      <c r="BEZ366" s="36"/>
      <c r="BFA366" s="37"/>
      <c r="BFB366" s="37"/>
      <c r="BFC366" s="38"/>
      <c r="BFD366" s="38"/>
      <c r="BFE366" s="39"/>
      <c r="BFF366" s="34"/>
      <c r="BFG366" s="34"/>
      <c r="BFH366" s="34"/>
      <c r="BFI366" s="35"/>
      <c r="BFJ366" s="35"/>
      <c r="BFK366" s="35"/>
      <c r="BFL366" s="35"/>
      <c r="BFM366" s="35"/>
      <c r="BFN366" s="34"/>
      <c r="BFO366" s="34"/>
      <c r="BFP366" s="36"/>
      <c r="BFQ366" s="36"/>
      <c r="BFR366" s="37"/>
      <c r="BFS366" s="37"/>
      <c r="BFT366" s="38"/>
      <c r="BFU366" s="38"/>
      <c r="BFV366" s="39"/>
      <c r="BFW366" s="34"/>
      <c r="BFX366" s="34"/>
      <c r="BFY366" s="34"/>
      <c r="BFZ366" s="35"/>
      <c r="BGA366" s="35"/>
      <c r="BGB366" s="35"/>
      <c r="BGC366" s="35"/>
      <c r="BGD366" s="35"/>
      <c r="BGE366" s="34"/>
      <c r="BGF366" s="34"/>
      <c r="BGG366" s="36"/>
      <c r="BGH366" s="36"/>
      <c r="BGI366" s="37"/>
      <c r="BGJ366" s="37"/>
      <c r="BGK366" s="38"/>
      <c r="BGL366" s="38"/>
      <c r="BGM366" s="39"/>
      <c r="BGN366" s="34"/>
      <c r="BGO366" s="34"/>
      <c r="BGP366" s="34"/>
      <c r="BGQ366" s="35"/>
      <c r="BGR366" s="35"/>
      <c r="BGS366" s="35"/>
      <c r="BGT366" s="35"/>
      <c r="BGU366" s="35"/>
      <c r="BGV366" s="34"/>
      <c r="BGW366" s="34"/>
      <c r="BGX366" s="36"/>
      <c r="BGY366" s="36"/>
      <c r="BGZ366" s="37"/>
      <c r="BHA366" s="37"/>
      <c r="BHB366" s="38"/>
      <c r="BHC366" s="38"/>
      <c r="BHD366" s="39"/>
      <c r="BHE366" s="34"/>
      <c r="BHF366" s="34"/>
      <c r="BHG366" s="34"/>
      <c r="BHH366" s="35"/>
      <c r="BHI366" s="35"/>
      <c r="BHJ366" s="35"/>
      <c r="BHK366" s="35"/>
      <c r="BHL366" s="35"/>
      <c r="BHM366" s="34"/>
      <c r="BHN366" s="34"/>
      <c r="BHO366" s="36"/>
      <c r="BHP366" s="36"/>
      <c r="BHQ366" s="37"/>
      <c r="BHR366" s="37"/>
      <c r="BHS366" s="38"/>
      <c r="BHT366" s="38"/>
      <c r="BHU366" s="39"/>
      <c r="BHV366" s="34"/>
      <c r="BHW366" s="34"/>
      <c r="BHX366" s="34"/>
      <c r="BHY366" s="35"/>
      <c r="BHZ366" s="35"/>
      <c r="BIA366" s="35"/>
      <c r="BIB366" s="35"/>
      <c r="BIC366" s="35"/>
      <c r="BID366" s="34"/>
      <c r="BIE366" s="34"/>
      <c r="BIF366" s="36"/>
      <c r="BIG366" s="36"/>
      <c r="BIH366" s="37"/>
      <c r="BII366" s="37"/>
      <c r="BIJ366" s="38"/>
      <c r="BIK366" s="38"/>
      <c r="BIL366" s="39"/>
      <c r="BIM366" s="34"/>
      <c r="BIN366" s="34"/>
      <c r="BIO366" s="34"/>
      <c r="BIP366" s="35"/>
      <c r="BIQ366" s="35"/>
      <c r="BIR366" s="35"/>
      <c r="BIS366" s="35"/>
      <c r="BIT366" s="35"/>
      <c r="BIU366" s="34"/>
      <c r="BIV366" s="34"/>
      <c r="BIW366" s="36"/>
      <c r="BIX366" s="36"/>
      <c r="BIY366" s="37"/>
      <c r="BIZ366" s="37"/>
      <c r="BJA366" s="38"/>
      <c r="BJB366" s="38"/>
      <c r="BJC366" s="39"/>
      <c r="BJD366" s="34"/>
      <c r="BJE366" s="34"/>
      <c r="BJF366" s="34"/>
      <c r="BJG366" s="35"/>
      <c r="BJH366" s="35"/>
      <c r="BJI366" s="35"/>
      <c r="BJJ366" s="35"/>
      <c r="BJK366" s="35"/>
      <c r="BJL366" s="34"/>
      <c r="BJM366" s="34"/>
      <c r="BJN366" s="36"/>
      <c r="BJO366" s="36"/>
      <c r="BJP366" s="37"/>
      <c r="BJQ366" s="37"/>
      <c r="BJR366" s="38"/>
      <c r="BJS366" s="38"/>
      <c r="BJT366" s="39"/>
      <c r="BJU366" s="34"/>
      <c r="BJV366" s="34"/>
      <c r="BJW366" s="34"/>
      <c r="BJX366" s="35"/>
      <c r="BJY366" s="35"/>
      <c r="BJZ366" s="35"/>
      <c r="BKA366" s="35"/>
      <c r="BKB366" s="35"/>
      <c r="BKC366" s="34"/>
      <c r="BKD366" s="34"/>
      <c r="BKE366" s="36"/>
      <c r="BKF366" s="36"/>
      <c r="BKG366" s="37"/>
      <c r="BKH366" s="37"/>
      <c r="BKI366" s="38"/>
      <c r="BKJ366" s="38"/>
      <c r="BKK366" s="39"/>
      <c r="BKL366" s="34"/>
      <c r="BKM366" s="34"/>
      <c r="BKN366" s="34"/>
      <c r="BKO366" s="35"/>
      <c r="BKP366" s="35"/>
      <c r="BKQ366" s="35"/>
      <c r="BKR366" s="35"/>
      <c r="BKS366" s="35"/>
      <c r="BKT366" s="34"/>
      <c r="BKU366" s="34"/>
      <c r="BKV366" s="36"/>
      <c r="BKW366" s="36"/>
      <c r="BKX366" s="37"/>
      <c r="BKY366" s="37"/>
      <c r="BKZ366" s="38"/>
      <c r="BLA366" s="38"/>
      <c r="BLB366" s="39"/>
      <c r="BLC366" s="34"/>
      <c r="BLD366" s="34"/>
      <c r="BLE366" s="34"/>
      <c r="BLF366" s="35"/>
      <c r="BLG366" s="35"/>
      <c r="BLH366" s="35"/>
      <c r="BLI366" s="35"/>
      <c r="BLJ366" s="35"/>
      <c r="BLK366" s="34"/>
      <c r="BLL366" s="34"/>
      <c r="BLM366" s="36"/>
      <c r="BLN366" s="36"/>
      <c r="BLO366" s="37"/>
      <c r="BLP366" s="37"/>
      <c r="BLQ366" s="38"/>
      <c r="BLR366" s="38"/>
      <c r="BLS366" s="39"/>
      <c r="BLT366" s="34"/>
      <c r="BLU366" s="34"/>
      <c r="BLV366" s="34"/>
      <c r="BLW366" s="35"/>
      <c r="BLX366" s="35"/>
      <c r="BLY366" s="35"/>
      <c r="BLZ366" s="35"/>
      <c r="BMA366" s="35"/>
      <c r="BMB366" s="34"/>
      <c r="BMC366" s="34"/>
      <c r="BMD366" s="36"/>
      <c r="BME366" s="36"/>
      <c r="BMF366" s="37"/>
      <c r="BMG366" s="37"/>
      <c r="BMH366" s="38"/>
      <c r="BMI366" s="38"/>
      <c r="BMJ366" s="39"/>
      <c r="BMK366" s="34"/>
      <c r="BML366" s="34"/>
      <c r="BMM366" s="34"/>
      <c r="BMN366" s="35"/>
      <c r="BMO366" s="35"/>
      <c r="BMP366" s="35"/>
      <c r="BMQ366" s="35"/>
      <c r="BMR366" s="35"/>
      <c r="BMS366" s="34"/>
      <c r="BMT366" s="34"/>
      <c r="BMU366" s="36"/>
      <c r="BMV366" s="36"/>
      <c r="BMW366" s="37"/>
      <c r="BMX366" s="37"/>
      <c r="BMY366" s="38"/>
      <c r="BMZ366" s="38"/>
      <c r="BNA366" s="39"/>
      <c r="BNB366" s="34"/>
      <c r="BNC366" s="34"/>
      <c r="BND366" s="34"/>
      <c r="BNE366" s="35"/>
      <c r="BNF366" s="35"/>
      <c r="BNG366" s="35"/>
      <c r="BNH366" s="35"/>
      <c r="BNI366" s="35"/>
      <c r="BNJ366" s="34"/>
      <c r="BNK366" s="34"/>
      <c r="BNL366" s="36"/>
      <c r="BNM366" s="36"/>
      <c r="BNN366" s="37"/>
      <c r="BNO366" s="37"/>
      <c r="BNP366" s="38"/>
      <c r="BNQ366" s="38"/>
      <c r="BNR366" s="39"/>
      <c r="BNS366" s="34"/>
      <c r="BNT366" s="34"/>
      <c r="BNU366" s="34"/>
      <c r="BNV366" s="35"/>
      <c r="BNW366" s="35"/>
      <c r="BNX366" s="35"/>
      <c r="BNY366" s="35"/>
      <c r="BNZ366" s="35"/>
      <c r="BOA366" s="34"/>
      <c r="BOB366" s="34"/>
      <c r="BOC366" s="36"/>
      <c r="BOD366" s="36"/>
      <c r="BOE366" s="37"/>
      <c r="BOF366" s="37"/>
      <c r="BOG366" s="38"/>
      <c r="BOH366" s="38"/>
      <c r="BOI366" s="39"/>
      <c r="BOJ366" s="34"/>
      <c r="BOK366" s="34"/>
      <c r="BOL366" s="34"/>
      <c r="BOM366" s="35"/>
      <c r="BON366" s="35"/>
      <c r="BOO366" s="35"/>
      <c r="BOP366" s="35"/>
      <c r="BOQ366" s="35"/>
      <c r="BOR366" s="34"/>
      <c r="BOS366" s="34"/>
      <c r="BOT366" s="36"/>
      <c r="BOU366" s="36"/>
      <c r="BOV366" s="37"/>
      <c r="BOW366" s="37"/>
      <c r="BOX366" s="38"/>
      <c r="BOY366" s="38"/>
      <c r="BOZ366" s="39"/>
      <c r="BPA366" s="34"/>
      <c r="BPB366" s="34"/>
      <c r="BPC366" s="34"/>
      <c r="BPD366" s="35"/>
      <c r="BPE366" s="35"/>
      <c r="BPF366" s="35"/>
      <c r="BPG366" s="35"/>
      <c r="BPH366" s="35"/>
      <c r="BPI366" s="34"/>
      <c r="BPJ366" s="34"/>
      <c r="BPK366" s="36"/>
      <c r="BPL366" s="36"/>
      <c r="BPM366" s="37"/>
      <c r="BPN366" s="37"/>
      <c r="BPO366" s="38"/>
      <c r="BPP366" s="38"/>
      <c r="BPQ366" s="39"/>
      <c r="BPR366" s="34"/>
      <c r="BPS366" s="34"/>
      <c r="BPT366" s="34"/>
      <c r="BPU366" s="35"/>
      <c r="BPV366" s="35"/>
      <c r="BPW366" s="35"/>
      <c r="BPX366" s="35"/>
      <c r="BPY366" s="35"/>
      <c r="BPZ366" s="34"/>
      <c r="BQA366" s="34"/>
      <c r="BQB366" s="36"/>
      <c r="BQC366" s="36"/>
      <c r="BQD366" s="37"/>
      <c r="BQE366" s="37"/>
      <c r="BQF366" s="38"/>
      <c r="BQG366" s="38"/>
      <c r="BQH366" s="39"/>
      <c r="BQI366" s="34"/>
      <c r="BQJ366" s="34"/>
      <c r="BQK366" s="34"/>
      <c r="BQL366" s="35"/>
      <c r="BQM366" s="35"/>
      <c r="BQN366" s="35"/>
      <c r="BQO366" s="35"/>
      <c r="BQP366" s="35"/>
      <c r="BQQ366" s="34"/>
      <c r="BQR366" s="34"/>
      <c r="BQS366" s="36"/>
      <c r="BQT366" s="36"/>
      <c r="BQU366" s="37"/>
      <c r="BQV366" s="37"/>
      <c r="BQW366" s="38"/>
      <c r="BQX366" s="38"/>
      <c r="BQY366" s="39"/>
      <c r="BQZ366" s="34"/>
      <c r="BRA366" s="34"/>
      <c r="BRB366" s="34"/>
      <c r="BRC366" s="35"/>
      <c r="BRD366" s="35"/>
      <c r="BRE366" s="35"/>
      <c r="BRF366" s="35"/>
      <c r="BRG366" s="35"/>
      <c r="BRH366" s="34"/>
      <c r="BRI366" s="34"/>
      <c r="BRJ366" s="36"/>
      <c r="BRK366" s="36"/>
      <c r="BRL366" s="37"/>
      <c r="BRM366" s="37"/>
      <c r="BRN366" s="38"/>
      <c r="BRO366" s="38"/>
      <c r="BRP366" s="39"/>
      <c r="BRQ366" s="34"/>
      <c r="BRR366" s="34"/>
      <c r="BRS366" s="34"/>
      <c r="BRT366" s="35"/>
      <c r="BRU366" s="35"/>
      <c r="BRV366" s="35"/>
      <c r="BRW366" s="35"/>
      <c r="BRX366" s="35"/>
      <c r="BRY366" s="34"/>
      <c r="BRZ366" s="34"/>
      <c r="BSA366" s="36"/>
      <c r="BSB366" s="36"/>
      <c r="BSC366" s="37"/>
      <c r="BSD366" s="37"/>
      <c r="BSE366" s="38"/>
      <c r="BSF366" s="38"/>
      <c r="BSG366" s="39"/>
      <c r="BSH366" s="34"/>
      <c r="BSI366" s="34"/>
      <c r="BSJ366" s="34"/>
      <c r="BSK366" s="35"/>
      <c r="BSL366" s="35"/>
      <c r="BSM366" s="35"/>
      <c r="BSN366" s="35"/>
      <c r="BSO366" s="35"/>
      <c r="BSP366" s="34"/>
      <c r="BSQ366" s="34"/>
      <c r="BSR366" s="36"/>
      <c r="BSS366" s="36"/>
      <c r="BST366" s="37"/>
      <c r="BSU366" s="37"/>
      <c r="BSV366" s="38"/>
      <c r="BSW366" s="38"/>
      <c r="BSX366" s="39"/>
      <c r="BSY366" s="34"/>
      <c r="BSZ366" s="34"/>
      <c r="BTA366" s="34"/>
      <c r="BTB366" s="35"/>
      <c r="BTC366" s="35"/>
      <c r="BTD366" s="35"/>
      <c r="BTE366" s="35"/>
      <c r="BTF366" s="35"/>
      <c r="BTG366" s="34"/>
      <c r="BTH366" s="34"/>
      <c r="BTI366" s="36"/>
      <c r="BTJ366" s="36"/>
      <c r="BTK366" s="37"/>
      <c r="BTL366" s="37"/>
      <c r="BTM366" s="38"/>
      <c r="BTN366" s="38"/>
      <c r="BTO366" s="39"/>
      <c r="BTP366" s="34"/>
      <c r="BTQ366" s="34"/>
      <c r="BTR366" s="34"/>
      <c r="BTS366" s="35"/>
      <c r="BTT366" s="35"/>
      <c r="BTU366" s="35"/>
      <c r="BTV366" s="35"/>
      <c r="BTW366" s="35"/>
      <c r="BTX366" s="34"/>
      <c r="BTY366" s="34"/>
      <c r="BTZ366" s="36"/>
      <c r="BUA366" s="36"/>
      <c r="BUB366" s="37"/>
      <c r="BUC366" s="37"/>
      <c r="BUD366" s="38"/>
      <c r="BUE366" s="38"/>
      <c r="BUF366" s="39"/>
      <c r="BUG366" s="34"/>
      <c r="BUH366" s="34"/>
      <c r="BUI366" s="34"/>
      <c r="BUJ366" s="35"/>
      <c r="BUK366" s="35"/>
      <c r="BUL366" s="35"/>
      <c r="BUM366" s="35"/>
      <c r="BUN366" s="35"/>
      <c r="BUO366" s="34"/>
      <c r="BUP366" s="34"/>
      <c r="BUQ366" s="36"/>
      <c r="BUR366" s="36"/>
      <c r="BUS366" s="37"/>
      <c r="BUT366" s="37"/>
      <c r="BUU366" s="38"/>
      <c r="BUV366" s="38"/>
      <c r="BUW366" s="39"/>
      <c r="BUX366" s="34"/>
      <c r="BUY366" s="34"/>
      <c r="BUZ366" s="34"/>
      <c r="BVA366" s="35"/>
      <c r="BVB366" s="35"/>
      <c r="BVC366" s="35"/>
      <c r="BVD366" s="35"/>
      <c r="BVE366" s="35"/>
      <c r="BVF366" s="34"/>
      <c r="BVG366" s="34"/>
      <c r="BVH366" s="36"/>
      <c r="BVI366" s="36"/>
      <c r="BVJ366" s="37"/>
      <c r="BVK366" s="37"/>
      <c r="BVL366" s="38"/>
      <c r="BVM366" s="38"/>
      <c r="BVN366" s="39"/>
      <c r="BVO366" s="34"/>
      <c r="BVP366" s="34"/>
      <c r="BVQ366" s="34"/>
      <c r="BVR366" s="35"/>
      <c r="BVS366" s="35"/>
      <c r="BVT366" s="35"/>
      <c r="BVU366" s="35"/>
      <c r="BVV366" s="35"/>
      <c r="BVW366" s="34"/>
      <c r="BVX366" s="34"/>
      <c r="BVY366" s="36"/>
      <c r="BVZ366" s="36"/>
      <c r="BWA366" s="37"/>
      <c r="BWB366" s="37"/>
      <c r="BWC366" s="38"/>
      <c r="BWD366" s="38"/>
      <c r="BWE366" s="39"/>
      <c r="BWF366" s="34"/>
      <c r="BWG366" s="34"/>
      <c r="BWH366" s="34"/>
      <c r="BWI366" s="35"/>
      <c r="BWJ366" s="35"/>
      <c r="BWK366" s="35"/>
      <c r="BWL366" s="35"/>
      <c r="BWM366" s="35"/>
      <c r="BWN366" s="34"/>
      <c r="BWO366" s="34"/>
      <c r="BWP366" s="36"/>
      <c r="BWQ366" s="36"/>
      <c r="BWR366" s="37"/>
      <c r="BWS366" s="37"/>
      <c r="BWT366" s="38"/>
      <c r="BWU366" s="38"/>
      <c r="BWV366" s="39"/>
      <c r="BWW366" s="34"/>
      <c r="BWX366" s="34"/>
      <c r="BWY366" s="34"/>
      <c r="BWZ366" s="35"/>
      <c r="BXA366" s="35"/>
      <c r="BXB366" s="35"/>
      <c r="BXC366" s="35"/>
      <c r="BXD366" s="35"/>
      <c r="BXE366" s="34"/>
      <c r="BXF366" s="34"/>
      <c r="BXG366" s="36"/>
      <c r="BXH366" s="36"/>
      <c r="BXI366" s="37"/>
      <c r="BXJ366" s="37"/>
      <c r="BXK366" s="38"/>
      <c r="BXL366" s="38"/>
      <c r="BXM366" s="39"/>
      <c r="BXN366" s="34"/>
      <c r="BXO366" s="34"/>
      <c r="BXP366" s="34"/>
      <c r="BXQ366" s="35"/>
      <c r="BXR366" s="35"/>
      <c r="BXS366" s="35"/>
      <c r="BXT366" s="35"/>
      <c r="BXU366" s="35"/>
      <c r="BXV366" s="34"/>
      <c r="BXW366" s="34"/>
      <c r="BXX366" s="36"/>
      <c r="BXY366" s="36"/>
      <c r="BXZ366" s="37"/>
      <c r="BYA366" s="37"/>
      <c r="BYB366" s="38"/>
      <c r="BYC366" s="38"/>
      <c r="BYD366" s="39"/>
      <c r="BYE366" s="34"/>
      <c r="BYF366" s="34"/>
      <c r="BYG366" s="34"/>
      <c r="BYH366" s="35"/>
      <c r="BYI366" s="35"/>
      <c r="BYJ366" s="35"/>
      <c r="BYK366" s="35"/>
      <c r="BYL366" s="35"/>
      <c r="BYM366" s="34"/>
      <c r="BYN366" s="34"/>
      <c r="BYO366" s="36"/>
      <c r="BYP366" s="36"/>
      <c r="BYQ366" s="37"/>
      <c r="BYR366" s="37"/>
      <c r="BYS366" s="38"/>
      <c r="BYT366" s="38"/>
      <c r="BYU366" s="39"/>
      <c r="BYV366" s="34"/>
      <c r="BYW366" s="34"/>
      <c r="BYX366" s="34"/>
      <c r="BYY366" s="35"/>
      <c r="BYZ366" s="35"/>
      <c r="BZA366" s="35"/>
      <c r="BZB366" s="35"/>
      <c r="BZC366" s="35"/>
      <c r="BZD366" s="34"/>
      <c r="BZE366" s="34"/>
      <c r="BZF366" s="36"/>
      <c r="BZG366" s="36"/>
      <c r="BZH366" s="37"/>
      <c r="BZI366" s="37"/>
      <c r="BZJ366" s="38"/>
      <c r="BZK366" s="38"/>
      <c r="BZL366" s="39"/>
      <c r="BZM366" s="34"/>
      <c r="BZN366" s="34"/>
      <c r="BZO366" s="34"/>
      <c r="BZP366" s="35"/>
      <c r="BZQ366" s="35"/>
      <c r="BZR366" s="35"/>
      <c r="BZS366" s="35"/>
      <c r="BZT366" s="35"/>
      <c r="BZU366" s="34"/>
      <c r="BZV366" s="34"/>
      <c r="BZW366" s="36"/>
      <c r="BZX366" s="36"/>
      <c r="BZY366" s="37"/>
      <c r="BZZ366" s="37"/>
      <c r="CAA366" s="38"/>
      <c r="CAB366" s="38"/>
      <c r="CAC366" s="39"/>
      <c r="CAD366" s="34"/>
      <c r="CAE366" s="34"/>
      <c r="CAF366" s="34"/>
      <c r="CAG366" s="35"/>
      <c r="CAH366" s="35"/>
      <c r="CAI366" s="35"/>
      <c r="CAJ366" s="35"/>
      <c r="CAK366" s="35"/>
      <c r="CAL366" s="34"/>
      <c r="CAM366" s="34"/>
      <c r="CAN366" s="36"/>
      <c r="CAO366" s="36"/>
      <c r="CAP366" s="37"/>
      <c r="CAQ366" s="37"/>
      <c r="CAR366" s="38"/>
      <c r="CAS366" s="38"/>
      <c r="CAT366" s="39"/>
      <c r="CAU366" s="34"/>
      <c r="CAV366" s="34"/>
      <c r="CAW366" s="34"/>
      <c r="CAX366" s="35"/>
      <c r="CAY366" s="35"/>
      <c r="CAZ366" s="35"/>
      <c r="CBA366" s="35"/>
      <c r="CBB366" s="35"/>
      <c r="CBC366" s="34"/>
      <c r="CBD366" s="34"/>
      <c r="CBE366" s="36"/>
      <c r="CBF366" s="36"/>
      <c r="CBG366" s="37"/>
      <c r="CBH366" s="37"/>
      <c r="CBI366" s="38"/>
      <c r="CBJ366" s="38"/>
      <c r="CBK366" s="39"/>
      <c r="CBL366" s="34"/>
      <c r="CBM366" s="34"/>
      <c r="CBN366" s="34"/>
      <c r="CBO366" s="35"/>
      <c r="CBP366" s="35"/>
      <c r="CBQ366" s="35"/>
      <c r="CBR366" s="35"/>
      <c r="CBS366" s="35"/>
      <c r="CBT366" s="34"/>
      <c r="CBU366" s="34"/>
      <c r="CBV366" s="36"/>
      <c r="CBW366" s="36"/>
      <c r="CBX366" s="37"/>
      <c r="CBY366" s="37"/>
      <c r="CBZ366" s="38"/>
      <c r="CCA366" s="38"/>
      <c r="CCB366" s="39"/>
      <c r="CCC366" s="34"/>
      <c r="CCD366" s="34"/>
      <c r="CCE366" s="34"/>
      <c r="CCF366" s="35"/>
      <c r="CCG366" s="35"/>
      <c r="CCH366" s="35"/>
      <c r="CCI366" s="35"/>
      <c r="CCJ366" s="35"/>
      <c r="CCK366" s="34"/>
      <c r="CCL366" s="34"/>
      <c r="CCM366" s="36"/>
      <c r="CCN366" s="36"/>
      <c r="CCO366" s="37"/>
      <c r="CCP366" s="37"/>
      <c r="CCQ366" s="38"/>
      <c r="CCR366" s="38"/>
      <c r="CCS366" s="39"/>
      <c r="CCT366" s="34"/>
      <c r="CCU366" s="34"/>
      <c r="CCV366" s="34"/>
      <c r="CCW366" s="35"/>
      <c r="CCX366" s="35"/>
      <c r="CCY366" s="35"/>
      <c r="CCZ366" s="35"/>
      <c r="CDA366" s="35"/>
      <c r="CDB366" s="34"/>
      <c r="CDC366" s="34"/>
      <c r="CDD366" s="36"/>
      <c r="CDE366" s="36"/>
      <c r="CDF366" s="37"/>
      <c r="CDG366" s="37"/>
      <c r="CDH366" s="38"/>
      <c r="CDI366" s="38"/>
      <c r="CDJ366" s="39"/>
      <c r="CDK366" s="34"/>
      <c r="CDL366" s="34"/>
      <c r="CDM366" s="34"/>
      <c r="CDN366" s="35"/>
      <c r="CDO366" s="35"/>
      <c r="CDP366" s="35"/>
      <c r="CDQ366" s="35"/>
      <c r="CDR366" s="35"/>
      <c r="CDS366" s="34"/>
      <c r="CDT366" s="34"/>
      <c r="CDU366" s="36"/>
      <c r="CDV366" s="36"/>
      <c r="CDW366" s="37"/>
      <c r="CDX366" s="37"/>
      <c r="CDY366" s="38"/>
      <c r="CDZ366" s="38"/>
      <c r="CEA366" s="39"/>
      <c r="CEB366" s="34"/>
      <c r="CEC366" s="34"/>
      <c r="CED366" s="34"/>
      <c r="CEE366" s="35"/>
      <c r="CEF366" s="35"/>
      <c r="CEG366" s="35"/>
      <c r="CEH366" s="35"/>
      <c r="CEI366" s="35"/>
      <c r="CEJ366" s="34"/>
      <c r="CEK366" s="34"/>
      <c r="CEL366" s="36"/>
      <c r="CEM366" s="36"/>
      <c r="CEN366" s="37"/>
      <c r="CEO366" s="37"/>
      <c r="CEP366" s="38"/>
      <c r="CEQ366" s="38"/>
      <c r="CER366" s="39"/>
      <c r="CES366" s="34"/>
      <c r="CET366" s="34"/>
      <c r="CEU366" s="34"/>
      <c r="CEV366" s="35"/>
      <c r="CEW366" s="35"/>
      <c r="CEX366" s="35"/>
      <c r="CEY366" s="35"/>
      <c r="CEZ366" s="35"/>
      <c r="CFA366" s="34"/>
      <c r="CFB366" s="34"/>
      <c r="CFC366" s="36"/>
      <c r="CFD366" s="36"/>
      <c r="CFE366" s="37"/>
      <c r="CFF366" s="37"/>
      <c r="CFG366" s="38"/>
      <c r="CFH366" s="38"/>
      <c r="CFI366" s="39"/>
      <c r="CFJ366" s="34"/>
      <c r="CFK366" s="34"/>
      <c r="CFL366" s="34"/>
      <c r="CFM366" s="35"/>
      <c r="CFN366" s="35"/>
      <c r="CFO366" s="35"/>
      <c r="CFP366" s="35"/>
      <c r="CFQ366" s="35"/>
      <c r="CFR366" s="34"/>
      <c r="CFS366" s="34"/>
      <c r="CFT366" s="36"/>
      <c r="CFU366" s="36"/>
      <c r="CFV366" s="37"/>
      <c r="CFW366" s="37"/>
      <c r="CFX366" s="38"/>
      <c r="CFY366" s="38"/>
      <c r="CFZ366" s="39"/>
      <c r="CGA366" s="34"/>
      <c r="CGB366" s="34"/>
      <c r="CGC366" s="34"/>
      <c r="CGD366" s="35"/>
      <c r="CGE366" s="35"/>
      <c r="CGF366" s="35"/>
      <c r="CGG366" s="35"/>
      <c r="CGH366" s="35"/>
      <c r="CGI366" s="34"/>
      <c r="CGJ366" s="34"/>
      <c r="CGK366" s="36"/>
      <c r="CGL366" s="36"/>
      <c r="CGM366" s="37"/>
      <c r="CGN366" s="37"/>
      <c r="CGO366" s="38"/>
      <c r="CGP366" s="38"/>
      <c r="CGQ366" s="39"/>
      <c r="CGR366" s="34"/>
      <c r="CGS366" s="34"/>
      <c r="CGT366" s="34"/>
      <c r="CGU366" s="35"/>
      <c r="CGV366" s="35"/>
      <c r="CGW366" s="35"/>
      <c r="CGX366" s="35"/>
      <c r="CGY366" s="35"/>
      <c r="CGZ366" s="34"/>
      <c r="CHA366" s="34"/>
      <c r="CHB366" s="36"/>
      <c r="CHC366" s="36"/>
      <c r="CHD366" s="37"/>
      <c r="CHE366" s="37"/>
      <c r="CHF366" s="38"/>
      <c r="CHG366" s="38"/>
      <c r="CHH366" s="39"/>
      <c r="CHI366" s="34"/>
      <c r="CHJ366" s="34"/>
      <c r="CHK366" s="34"/>
      <c r="CHL366" s="35"/>
      <c r="CHM366" s="35"/>
      <c r="CHN366" s="35"/>
      <c r="CHO366" s="35"/>
      <c r="CHP366" s="35"/>
      <c r="CHQ366" s="34"/>
      <c r="CHR366" s="34"/>
      <c r="CHS366" s="36"/>
      <c r="CHT366" s="36"/>
      <c r="CHU366" s="37"/>
      <c r="CHV366" s="37"/>
      <c r="CHW366" s="38"/>
      <c r="CHX366" s="38"/>
      <c r="CHY366" s="39"/>
      <c r="CHZ366" s="34"/>
      <c r="CIA366" s="34"/>
      <c r="CIB366" s="34"/>
      <c r="CIC366" s="35"/>
      <c r="CID366" s="35"/>
      <c r="CIE366" s="35"/>
      <c r="CIF366" s="35"/>
      <c r="CIG366" s="35"/>
      <c r="CIH366" s="34"/>
      <c r="CII366" s="34"/>
      <c r="CIJ366" s="36"/>
      <c r="CIK366" s="36"/>
      <c r="CIL366" s="37"/>
      <c r="CIM366" s="37"/>
      <c r="CIN366" s="38"/>
      <c r="CIO366" s="38"/>
      <c r="CIP366" s="39"/>
      <c r="CIQ366" s="34"/>
      <c r="CIR366" s="34"/>
      <c r="CIS366" s="34"/>
      <c r="CIT366" s="35"/>
      <c r="CIU366" s="35"/>
      <c r="CIV366" s="35"/>
      <c r="CIW366" s="35"/>
      <c r="CIX366" s="35"/>
      <c r="CIY366" s="34"/>
      <c r="CIZ366" s="34"/>
      <c r="CJA366" s="36"/>
      <c r="CJB366" s="36"/>
      <c r="CJC366" s="37"/>
      <c r="CJD366" s="37"/>
      <c r="CJE366" s="38"/>
      <c r="CJF366" s="38"/>
      <c r="CJG366" s="39"/>
      <c r="CJH366" s="34"/>
      <c r="CJI366" s="34"/>
      <c r="CJJ366" s="34"/>
      <c r="CJK366" s="35"/>
      <c r="CJL366" s="35"/>
      <c r="CJM366" s="35"/>
      <c r="CJN366" s="35"/>
      <c r="CJO366" s="35"/>
      <c r="CJP366" s="34"/>
      <c r="CJQ366" s="34"/>
      <c r="CJR366" s="36"/>
      <c r="CJS366" s="36"/>
      <c r="CJT366" s="37"/>
      <c r="CJU366" s="37"/>
      <c r="CJV366" s="38"/>
      <c r="CJW366" s="38"/>
      <c r="CJX366" s="39"/>
      <c r="CJY366" s="34"/>
      <c r="CJZ366" s="34"/>
      <c r="CKA366" s="34"/>
      <c r="CKB366" s="35"/>
      <c r="CKC366" s="35"/>
      <c r="CKD366" s="35"/>
      <c r="CKE366" s="35"/>
      <c r="CKF366" s="35"/>
      <c r="CKG366" s="34"/>
      <c r="CKH366" s="34"/>
      <c r="CKI366" s="36"/>
      <c r="CKJ366" s="36"/>
      <c r="CKK366" s="37"/>
      <c r="CKL366" s="37"/>
      <c r="CKM366" s="38"/>
      <c r="CKN366" s="38"/>
      <c r="CKO366" s="39"/>
      <c r="CKP366" s="34"/>
      <c r="CKQ366" s="34"/>
      <c r="CKR366" s="34"/>
      <c r="CKS366" s="35"/>
      <c r="CKT366" s="35"/>
      <c r="CKU366" s="35"/>
      <c r="CKV366" s="35"/>
      <c r="CKW366" s="35"/>
      <c r="CKX366" s="34"/>
      <c r="CKY366" s="34"/>
      <c r="CKZ366" s="36"/>
      <c r="CLA366" s="36"/>
      <c r="CLB366" s="37"/>
      <c r="CLC366" s="37"/>
      <c r="CLD366" s="38"/>
      <c r="CLE366" s="38"/>
      <c r="CLF366" s="39"/>
      <c r="CLG366" s="34"/>
      <c r="CLH366" s="34"/>
      <c r="CLI366" s="34"/>
      <c r="CLJ366" s="35"/>
      <c r="CLK366" s="35"/>
      <c r="CLL366" s="35"/>
      <c r="CLM366" s="35"/>
      <c r="CLN366" s="35"/>
      <c r="CLO366" s="34"/>
      <c r="CLP366" s="34"/>
      <c r="CLQ366" s="36"/>
      <c r="CLR366" s="36"/>
      <c r="CLS366" s="37"/>
      <c r="CLT366" s="37"/>
      <c r="CLU366" s="38"/>
      <c r="CLV366" s="38"/>
      <c r="CLW366" s="39"/>
      <c r="CLX366" s="34"/>
      <c r="CLY366" s="34"/>
      <c r="CLZ366" s="34"/>
      <c r="CMA366" s="35"/>
      <c r="CMB366" s="35"/>
      <c r="CMC366" s="35"/>
      <c r="CMD366" s="35"/>
      <c r="CME366" s="35"/>
      <c r="CMF366" s="34"/>
      <c r="CMG366" s="34"/>
      <c r="CMH366" s="36"/>
      <c r="CMI366" s="36"/>
      <c r="CMJ366" s="37"/>
      <c r="CMK366" s="37"/>
      <c r="CML366" s="38"/>
      <c r="CMM366" s="38"/>
      <c r="CMN366" s="39"/>
      <c r="CMO366" s="34"/>
      <c r="CMP366" s="34"/>
      <c r="CMQ366" s="34"/>
      <c r="CMR366" s="35"/>
      <c r="CMS366" s="35"/>
      <c r="CMT366" s="35"/>
      <c r="CMU366" s="35"/>
      <c r="CMV366" s="35"/>
      <c r="CMW366" s="34"/>
      <c r="CMX366" s="34"/>
      <c r="CMY366" s="36"/>
      <c r="CMZ366" s="36"/>
      <c r="CNA366" s="37"/>
      <c r="CNB366" s="37"/>
      <c r="CNC366" s="38"/>
      <c r="CND366" s="38"/>
      <c r="CNE366" s="39"/>
      <c r="CNF366" s="34"/>
      <c r="CNG366" s="34"/>
      <c r="CNH366" s="34"/>
      <c r="CNI366" s="35"/>
      <c r="CNJ366" s="35"/>
      <c r="CNK366" s="35"/>
      <c r="CNL366" s="35"/>
      <c r="CNM366" s="35"/>
      <c r="CNN366" s="34"/>
      <c r="CNO366" s="34"/>
      <c r="CNP366" s="36"/>
      <c r="CNQ366" s="36"/>
      <c r="CNR366" s="37"/>
      <c r="CNS366" s="37"/>
      <c r="CNT366" s="38"/>
      <c r="CNU366" s="38"/>
      <c r="CNV366" s="39"/>
      <c r="CNW366" s="34"/>
      <c r="CNX366" s="34"/>
      <c r="CNY366" s="34"/>
      <c r="CNZ366" s="35"/>
      <c r="COA366" s="35"/>
      <c r="COB366" s="35"/>
      <c r="COC366" s="35"/>
      <c r="COD366" s="35"/>
      <c r="COE366" s="34"/>
      <c r="COF366" s="34"/>
      <c r="COG366" s="36"/>
      <c r="COH366" s="36"/>
      <c r="COI366" s="37"/>
      <c r="COJ366" s="37"/>
      <c r="COK366" s="38"/>
      <c r="COL366" s="38"/>
      <c r="COM366" s="39"/>
      <c r="CON366" s="34"/>
      <c r="COO366" s="34"/>
      <c r="COP366" s="34"/>
      <c r="COQ366" s="35"/>
      <c r="COR366" s="35"/>
      <c r="COS366" s="35"/>
      <c r="COT366" s="35"/>
      <c r="COU366" s="35"/>
      <c r="COV366" s="34"/>
      <c r="COW366" s="34"/>
      <c r="COX366" s="36"/>
      <c r="COY366" s="36"/>
      <c r="COZ366" s="37"/>
      <c r="CPA366" s="37"/>
      <c r="CPB366" s="38"/>
      <c r="CPC366" s="38"/>
      <c r="CPD366" s="39"/>
      <c r="CPE366" s="34"/>
      <c r="CPF366" s="34"/>
      <c r="CPG366" s="34"/>
      <c r="CPH366" s="35"/>
      <c r="CPI366" s="35"/>
      <c r="CPJ366" s="35"/>
      <c r="CPK366" s="35"/>
      <c r="CPL366" s="35"/>
      <c r="CPM366" s="34"/>
      <c r="CPN366" s="34"/>
      <c r="CPO366" s="36"/>
      <c r="CPP366" s="36"/>
      <c r="CPQ366" s="37"/>
      <c r="CPR366" s="37"/>
      <c r="CPS366" s="38"/>
      <c r="CPT366" s="38"/>
      <c r="CPU366" s="39"/>
      <c r="CPV366" s="34"/>
      <c r="CPW366" s="34"/>
      <c r="CPX366" s="34"/>
      <c r="CPY366" s="35"/>
      <c r="CPZ366" s="35"/>
      <c r="CQA366" s="35"/>
      <c r="CQB366" s="35"/>
      <c r="CQC366" s="35"/>
      <c r="CQD366" s="34"/>
      <c r="CQE366" s="34"/>
      <c r="CQF366" s="36"/>
      <c r="CQG366" s="36"/>
      <c r="CQH366" s="37"/>
      <c r="CQI366" s="37"/>
      <c r="CQJ366" s="38"/>
      <c r="CQK366" s="38"/>
      <c r="CQL366" s="39"/>
      <c r="CQM366" s="34"/>
      <c r="CQN366" s="34"/>
      <c r="CQO366" s="34"/>
      <c r="CQP366" s="35"/>
      <c r="CQQ366" s="35"/>
      <c r="CQR366" s="35"/>
      <c r="CQS366" s="35"/>
      <c r="CQT366" s="35"/>
      <c r="CQU366" s="34"/>
      <c r="CQV366" s="34"/>
      <c r="CQW366" s="36"/>
      <c r="CQX366" s="36"/>
      <c r="CQY366" s="37"/>
      <c r="CQZ366" s="37"/>
      <c r="CRA366" s="38"/>
      <c r="CRB366" s="38"/>
      <c r="CRC366" s="39"/>
      <c r="CRD366" s="34"/>
      <c r="CRE366" s="34"/>
      <c r="CRF366" s="34"/>
      <c r="CRG366" s="35"/>
      <c r="CRH366" s="35"/>
      <c r="CRI366" s="35"/>
      <c r="CRJ366" s="35"/>
      <c r="CRK366" s="35"/>
      <c r="CRL366" s="34"/>
      <c r="CRM366" s="34"/>
      <c r="CRN366" s="36"/>
      <c r="CRO366" s="36"/>
      <c r="CRP366" s="37"/>
      <c r="CRQ366" s="37"/>
      <c r="CRR366" s="38"/>
      <c r="CRS366" s="38"/>
      <c r="CRT366" s="39"/>
      <c r="CRU366" s="34"/>
      <c r="CRV366" s="34"/>
      <c r="CRW366" s="34"/>
      <c r="CRX366" s="35"/>
      <c r="CRY366" s="35"/>
      <c r="CRZ366" s="35"/>
      <c r="CSA366" s="35"/>
      <c r="CSB366" s="35"/>
      <c r="CSC366" s="34"/>
      <c r="CSD366" s="34"/>
      <c r="CSE366" s="36"/>
      <c r="CSF366" s="36"/>
      <c r="CSG366" s="37"/>
      <c r="CSH366" s="37"/>
      <c r="CSI366" s="38"/>
      <c r="CSJ366" s="38"/>
      <c r="CSK366" s="39"/>
      <c r="CSL366" s="34"/>
      <c r="CSM366" s="34"/>
      <c r="CSN366" s="34"/>
      <c r="CSO366" s="35"/>
      <c r="CSP366" s="35"/>
      <c r="CSQ366" s="35"/>
      <c r="CSR366" s="35"/>
      <c r="CSS366" s="35"/>
      <c r="CST366" s="34"/>
      <c r="CSU366" s="34"/>
      <c r="CSV366" s="36"/>
      <c r="CSW366" s="36"/>
      <c r="CSX366" s="37"/>
      <c r="CSY366" s="37"/>
      <c r="CSZ366" s="38"/>
      <c r="CTA366" s="38"/>
      <c r="CTB366" s="39"/>
      <c r="CTC366" s="34"/>
      <c r="CTD366" s="34"/>
      <c r="CTE366" s="34"/>
      <c r="CTF366" s="35"/>
      <c r="CTG366" s="35"/>
      <c r="CTH366" s="35"/>
      <c r="CTI366" s="35"/>
      <c r="CTJ366" s="35"/>
      <c r="CTK366" s="34"/>
      <c r="CTL366" s="34"/>
      <c r="CTM366" s="36"/>
      <c r="CTN366" s="36"/>
      <c r="CTO366" s="37"/>
      <c r="CTP366" s="37"/>
      <c r="CTQ366" s="38"/>
      <c r="CTR366" s="38"/>
      <c r="CTS366" s="39"/>
      <c r="CTT366" s="34"/>
      <c r="CTU366" s="34"/>
      <c r="CTV366" s="34"/>
      <c r="CTW366" s="35"/>
      <c r="CTX366" s="35"/>
      <c r="CTY366" s="35"/>
      <c r="CTZ366" s="35"/>
      <c r="CUA366" s="35"/>
      <c r="CUB366" s="34"/>
      <c r="CUC366" s="34"/>
      <c r="CUD366" s="36"/>
      <c r="CUE366" s="36"/>
      <c r="CUF366" s="37"/>
      <c r="CUG366" s="37"/>
      <c r="CUH366" s="38"/>
      <c r="CUI366" s="38"/>
      <c r="CUJ366" s="39"/>
      <c r="CUK366" s="34"/>
      <c r="CUL366" s="34"/>
      <c r="CUM366" s="34"/>
      <c r="CUN366" s="35"/>
      <c r="CUO366" s="35"/>
      <c r="CUP366" s="35"/>
      <c r="CUQ366" s="35"/>
      <c r="CUR366" s="35"/>
      <c r="CUS366" s="34"/>
      <c r="CUT366" s="34"/>
      <c r="CUU366" s="36"/>
      <c r="CUV366" s="36"/>
      <c r="CUW366" s="37"/>
      <c r="CUX366" s="37"/>
      <c r="CUY366" s="38"/>
      <c r="CUZ366" s="38"/>
      <c r="CVA366" s="39"/>
      <c r="CVB366" s="34"/>
      <c r="CVC366" s="34"/>
      <c r="CVD366" s="34"/>
      <c r="CVE366" s="35"/>
      <c r="CVF366" s="35"/>
      <c r="CVG366" s="35"/>
      <c r="CVH366" s="35"/>
      <c r="CVI366" s="35"/>
      <c r="CVJ366" s="34"/>
      <c r="CVK366" s="34"/>
      <c r="CVL366" s="36"/>
      <c r="CVM366" s="36"/>
      <c r="CVN366" s="37"/>
      <c r="CVO366" s="37"/>
      <c r="CVP366" s="38"/>
      <c r="CVQ366" s="38"/>
      <c r="CVR366" s="39"/>
      <c r="CVS366" s="34"/>
      <c r="CVT366" s="34"/>
      <c r="CVU366" s="34"/>
      <c r="CVV366" s="35"/>
      <c r="CVW366" s="35"/>
      <c r="CVX366" s="35"/>
      <c r="CVY366" s="35"/>
      <c r="CVZ366" s="35"/>
      <c r="CWA366" s="34"/>
      <c r="CWB366" s="34"/>
      <c r="CWC366" s="36"/>
      <c r="CWD366" s="36"/>
      <c r="CWE366" s="37"/>
      <c r="CWF366" s="37"/>
      <c r="CWG366" s="38"/>
      <c r="CWH366" s="38"/>
      <c r="CWI366" s="39"/>
      <c r="CWJ366" s="34"/>
      <c r="CWK366" s="34"/>
      <c r="CWL366" s="34"/>
      <c r="CWM366" s="35"/>
      <c r="CWN366" s="35"/>
      <c r="CWO366" s="35"/>
      <c r="CWP366" s="35"/>
      <c r="CWQ366" s="35"/>
      <c r="CWR366" s="34"/>
      <c r="CWS366" s="34"/>
      <c r="CWT366" s="36"/>
      <c r="CWU366" s="36"/>
      <c r="CWV366" s="37"/>
      <c r="CWW366" s="37"/>
      <c r="CWX366" s="38"/>
      <c r="CWY366" s="38"/>
      <c r="CWZ366" s="39"/>
      <c r="CXA366" s="34"/>
      <c r="CXB366" s="34"/>
      <c r="CXC366" s="34"/>
      <c r="CXD366" s="35"/>
      <c r="CXE366" s="35"/>
      <c r="CXF366" s="35"/>
      <c r="CXG366" s="35"/>
      <c r="CXH366" s="35"/>
      <c r="CXI366" s="34"/>
      <c r="CXJ366" s="34"/>
      <c r="CXK366" s="36"/>
      <c r="CXL366" s="36"/>
      <c r="CXM366" s="37"/>
      <c r="CXN366" s="37"/>
      <c r="CXO366" s="38"/>
      <c r="CXP366" s="38"/>
      <c r="CXQ366" s="39"/>
      <c r="CXR366" s="34"/>
      <c r="CXS366" s="34"/>
      <c r="CXT366" s="34"/>
      <c r="CXU366" s="35"/>
      <c r="CXV366" s="35"/>
      <c r="CXW366" s="35"/>
      <c r="CXX366" s="35"/>
      <c r="CXY366" s="35"/>
      <c r="CXZ366" s="34"/>
      <c r="CYA366" s="34"/>
      <c r="CYB366" s="36"/>
      <c r="CYC366" s="36"/>
      <c r="CYD366" s="37"/>
      <c r="CYE366" s="37"/>
      <c r="CYF366" s="38"/>
      <c r="CYG366" s="38"/>
      <c r="CYH366" s="39"/>
      <c r="CYI366" s="34"/>
      <c r="CYJ366" s="34"/>
      <c r="CYK366" s="34"/>
      <c r="CYL366" s="35"/>
      <c r="CYM366" s="35"/>
      <c r="CYN366" s="35"/>
      <c r="CYO366" s="35"/>
      <c r="CYP366" s="35"/>
      <c r="CYQ366" s="34"/>
      <c r="CYR366" s="34"/>
      <c r="CYS366" s="36"/>
      <c r="CYT366" s="36"/>
      <c r="CYU366" s="37"/>
      <c r="CYV366" s="37"/>
      <c r="CYW366" s="38"/>
      <c r="CYX366" s="38"/>
      <c r="CYY366" s="39"/>
      <c r="CYZ366" s="34"/>
      <c r="CZA366" s="34"/>
      <c r="CZB366" s="34"/>
      <c r="CZC366" s="35"/>
      <c r="CZD366" s="35"/>
      <c r="CZE366" s="35"/>
      <c r="CZF366" s="35"/>
      <c r="CZG366" s="35"/>
      <c r="CZH366" s="34"/>
      <c r="CZI366" s="34"/>
      <c r="CZJ366" s="36"/>
      <c r="CZK366" s="36"/>
      <c r="CZL366" s="37"/>
      <c r="CZM366" s="37"/>
      <c r="CZN366" s="38"/>
      <c r="CZO366" s="38"/>
      <c r="CZP366" s="39"/>
      <c r="CZQ366" s="34"/>
      <c r="CZR366" s="34"/>
      <c r="CZS366" s="34"/>
      <c r="CZT366" s="35"/>
      <c r="CZU366" s="35"/>
      <c r="CZV366" s="35"/>
      <c r="CZW366" s="35"/>
      <c r="CZX366" s="35"/>
      <c r="CZY366" s="34"/>
      <c r="CZZ366" s="34"/>
      <c r="DAA366" s="36"/>
      <c r="DAB366" s="36"/>
      <c r="DAC366" s="37"/>
      <c r="DAD366" s="37"/>
      <c r="DAE366" s="38"/>
      <c r="DAF366" s="38"/>
      <c r="DAG366" s="39"/>
      <c r="DAH366" s="34"/>
      <c r="DAI366" s="34"/>
      <c r="DAJ366" s="34"/>
      <c r="DAK366" s="35"/>
      <c r="DAL366" s="35"/>
      <c r="DAM366" s="35"/>
      <c r="DAN366" s="35"/>
      <c r="DAO366" s="35"/>
      <c r="DAP366" s="34"/>
      <c r="DAQ366" s="34"/>
      <c r="DAR366" s="36"/>
      <c r="DAS366" s="36"/>
      <c r="DAT366" s="37"/>
      <c r="DAU366" s="37"/>
      <c r="DAV366" s="38"/>
      <c r="DAW366" s="38"/>
      <c r="DAX366" s="39"/>
      <c r="DAY366" s="34"/>
      <c r="DAZ366" s="34"/>
      <c r="DBA366" s="34"/>
      <c r="DBB366" s="35"/>
      <c r="DBC366" s="35"/>
      <c r="DBD366" s="35"/>
      <c r="DBE366" s="35"/>
      <c r="DBF366" s="35"/>
      <c r="DBG366" s="34"/>
      <c r="DBH366" s="34"/>
      <c r="DBI366" s="36"/>
      <c r="DBJ366" s="36"/>
      <c r="DBK366" s="37"/>
      <c r="DBL366" s="37"/>
      <c r="DBM366" s="38"/>
      <c r="DBN366" s="38"/>
      <c r="DBO366" s="39"/>
      <c r="DBP366" s="34"/>
      <c r="DBQ366" s="34"/>
      <c r="DBR366" s="34"/>
      <c r="DBS366" s="35"/>
      <c r="DBT366" s="35"/>
      <c r="DBU366" s="35"/>
      <c r="DBV366" s="35"/>
      <c r="DBW366" s="35"/>
      <c r="DBX366" s="34"/>
      <c r="DBY366" s="34"/>
      <c r="DBZ366" s="36"/>
      <c r="DCA366" s="36"/>
      <c r="DCB366" s="37"/>
      <c r="DCC366" s="37"/>
      <c r="DCD366" s="38"/>
      <c r="DCE366" s="38"/>
      <c r="DCF366" s="39"/>
      <c r="DCG366" s="34"/>
      <c r="DCH366" s="34"/>
      <c r="DCI366" s="34"/>
      <c r="DCJ366" s="35"/>
      <c r="DCK366" s="35"/>
      <c r="DCL366" s="35"/>
      <c r="DCM366" s="35"/>
      <c r="DCN366" s="35"/>
      <c r="DCO366" s="34"/>
      <c r="DCP366" s="34"/>
      <c r="DCQ366" s="36"/>
      <c r="DCR366" s="36"/>
      <c r="DCS366" s="37"/>
      <c r="DCT366" s="37"/>
      <c r="DCU366" s="38"/>
      <c r="DCV366" s="38"/>
      <c r="DCW366" s="39"/>
      <c r="DCX366" s="34"/>
      <c r="DCY366" s="34"/>
      <c r="DCZ366" s="34"/>
      <c r="DDA366" s="35"/>
      <c r="DDB366" s="35"/>
      <c r="DDC366" s="35"/>
      <c r="DDD366" s="35"/>
      <c r="DDE366" s="35"/>
      <c r="DDF366" s="34"/>
      <c r="DDG366" s="34"/>
      <c r="DDH366" s="36"/>
      <c r="DDI366" s="36"/>
      <c r="DDJ366" s="37"/>
      <c r="DDK366" s="37"/>
      <c r="DDL366" s="38"/>
      <c r="DDM366" s="38"/>
      <c r="DDN366" s="39"/>
      <c r="DDO366" s="34"/>
      <c r="DDP366" s="34"/>
      <c r="DDQ366" s="34"/>
      <c r="DDR366" s="35"/>
      <c r="DDS366" s="35"/>
      <c r="DDT366" s="35"/>
      <c r="DDU366" s="35"/>
      <c r="DDV366" s="35"/>
      <c r="DDW366" s="34"/>
      <c r="DDX366" s="34"/>
      <c r="DDY366" s="36"/>
      <c r="DDZ366" s="36"/>
      <c r="DEA366" s="37"/>
      <c r="DEB366" s="37"/>
      <c r="DEC366" s="38"/>
      <c r="DED366" s="38"/>
      <c r="DEE366" s="39"/>
      <c r="DEF366" s="34"/>
      <c r="DEG366" s="34"/>
      <c r="DEH366" s="34"/>
      <c r="DEI366" s="35"/>
      <c r="DEJ366" s="35"/>
      <c r="DEK366" s="35"/>
      <c r="DEL366" s="35"/>
      <c r="DEM366" s="35"/>
      <c r="DEN366" s="34"/>
      <c r="DEO366" s="34"/>
      <c r="DEP366" s="36"/>
      <c r="DEQ366" s="36"/>
      <c r="DER366" s="37"/>
      <c r="DES366" s="37"/>
      <c r="DET366" s="38"/>
      <c r="DEU366" s="38"/>
      <c r="DEV366" s="39"/>
      <c r="DEW366" s="34"/>
      <c r="DEX366" s="34"/>
      <c r="DEY366" s="34"/>
      <c r="DEZ366" s="35"/>
      <c r="DFA366" s="35"/>
      <c r="DFB366" s="35"/>
      <c r="DFC366" s="35"/>
      <c r="DFD366" s="35"/>
      <c r="DFE366" s="34"/>
      <c r="DFF366" s="34"/>
      <c r="DFG366" s="36"/>
      <c r="DFH366" s="36"/>
      <c r="DFI366" s="37"/>
      <c r="DFJ366" s="37"/>
      <c r="DFK366" s="38"/>
      <c r="DFL366" s="38"/>
      <c r="DFM366" s="39"/>
      <c r="DFN366" s="34"/>
      <c r="DFO366" s="34"/>
      <c r="DFP366" s="34"/>
      <c r="DFQ366" s="35"/>
      <c r="DFR366" s="35"/>
      <c r="DFS366" s="35"/>
      <c r="DFT366" s="35"/>
      <c r="DFU366" s="35"/>
      <c r="DFV366" s="34"/>
      <c r="DFW366" s="34"/>
      <c r="DFX366" s="36"/>
      <c r="DFY366" s="36"/>
      <c r="DFZ366" s="37"/>
      <c r="DGA366" s="37"/>
      <c r="DGB366" s="38"/>
      <c r="DGC366" s="38"/>
      <c r="DGD366" s="39"/>
      <c r="DGE366" s="34"/>
      <c r="DGF366" s="34"/>
      <c r="DGG366" s="34"/>
      <c r="DGH366" s="35"/>
      <c r="DGI366" s="35"/>
      <c r="DGJ366" s="35"/>
      <c r="DGK366" s="35"/>
      <c r="DGL366" s="35"/>
      <c r="DGM366" s="34"/>
      <c r="DGN366" s="34"/>
      <c r="DGO366" s="36"/>
      <c r="DGP366" s="36"/>
      <c r="DGQ366" s="37"/>
      <c r="DGR366" s="37"/>
      <c r="DGS366" s="38"/>
      <c r="DGT366" s="38"/>
      <c r="DGU366" s="39"/>
      <c r="DGV366" s="34"/>
      <c r="DGW366" s="34"/>
      <c r="DGX366" s="34"/>
      <c r="DGY366" s="35"/>
      <c r="DGZ366" s="35"/>
      <c r="DHA366" s="35"/>
      <c r="DHB366" s="35"/>
      <c r="DHC366" s="35"/>
      <c r="DHD366" s="34"/>
      <c r="DHE366" s="34"/>
      <c r="DHF366" s="36"/>
      <c r="DHG366" s="36"/>
      <c r="DHH366" s="37"/>
      <c r="DHI366" s="37"/>
      <c r="DHJ366" s="38"/>
      <c r="DHK366" s="38"/>
      <c r="DHL366" s="39"/>
      <c r="DHM366" s="34"/>
      <c r="DHN366" s="34"/>
      <c r="DHO366" s="34"/>
      <c r="DHP366" s="35"/>
      <c r="DHQ366" s="35"/>
      <c r="DHR366" s="35"/>
      <c r="DHS366" s="35"/>
      <c r="DHT366" s="35"/>
      <c r="DHU366" s="34"/>
      <c r="DHV366" s="34"/>
      <c r="DHW366" s="36"/>
      <c r="DHX366" s="36"/>
      <c r="DHY366" s="37"/>
      <c r="DHZ366" s="37"/>
      <c r="DIA366" s="38"/>
      <c r="DIB366" s="38"/>
      <c r="DIC366" s="39"/>
      <c r="DID366" s="34"/>
      <c r="DIE366" s="34"/>
      <c r="DIF366" s="34"/>
      <c r="DIG366" s="35"/>
      <c r="DIH366" s="35"/>
      <c r="DII366" s="35"/>
      <c r="DIJ366" s="35"/>
      <c r="DIK366" s="35"/>
      <c r="DIL366" s="34"/>
      <c r="DIM366" s="34"/>
      <c r="DIN366" s="36"/>
      <c r="DIO366" s="36"/>
      <c r="DIP366" s="37"/>
      <c r="DIQ366" s="37"/>
      <c r="DIR366" s="38"/>
      <c r="DIS366" s="38"/>
      <c r="DIT366" s="39"/>
      <c r="DIU366" s="34"/>
      <c r="DIV366" s="34"/>
      <c r="DIW366" s="34"/>
      <c r="DIX366" s="35"/>
      <c r="DIY366" s="35"/>
      <c r="DIZ366" s="35"/>
      <c r="DJA366" s="35"/>
      <c r="DJB366" s="35"/>
      <c r="DJC366" s="34"/>
      <c r="DJD366" s="34"/>
      <c r="DJE366" s="36"/>
      <c r="DJF366" s="36"/>
      <c r="DJG366" s="37"/>
      <c r="DJH366" s="37"/>
      <c r="DJI366" s="38"/>
      <c r="DJJ366" s="38"/>
      <c r="DJK366" s="39"/>
      <c r="DJL366" s="34"/>
      <c r="DJM366" s="34"/>
      <c r="DJN366" s="34"/>
      <c r="DJO366" s="35"/>
      <c r="DJP366" s="35"/>
      <c r="DJQ366" s="35"/>
      <c r="DJR366" s="35"/>
      <c r="DJS366" s="35"/>
      <c r="DJT366" s="34"/>
      <c r="DJU366" s="34"/>
      <c r="DJV366" s="36"/>
      <c r="DJW366" s="36"/>
      <c r="DJX366" s="37"/>
      <c r="DJY366" s="37"/>
      <c r="DJZ366" s="38"/>
      <c r="DKA366" s="38"/>
      <c r="DKB366" s="39"/>
      <c r="DKC366" s="34"/>
      <c r="DKD366" s="34"/>
      <c r="DKE366" s="34"/>
      <c r="DKF366" s="35"/>
      <c r="DKG366" s="35"/>
      <c r="DKH366" s="35"/>
      <c r="DKI366" s="35"/>
      <c r="DKJ366" s="35"/>
      <c r="DKK366" s="34"/>
      <c r="DKL366" s="34"/>
      <c r="DKM366" s="36"/>
      <c r="DKN366" s="36"/>
      <c r="DKO366" s="37"/>
      <c r="DKP366" s="37"/>
      <c r="DKQ366" s="38"/>
      <c r="DKR366" s="38"/>
      <c r="DKS366" s="39"/>
      <c r="DKT366" s="34"/>
      <c r="DKU366" s="34"/>
      <c r="DKV366" s="34"/>
      <c r="DKW366" s="35"/>
      <c r="DKX366" s="35"/>
      <c r="DKY366" s="35"/>
      <c r="DKZ366" s="35"/>
      <c r="DLA366" s="35"/>
      <c r="DLB366" s="34"/>
      <c r="DLC366" s="34"/>
      <c r="DLD366" s="36"/>
      <c r="DLE366" s="36"/>
      <c r="DLF366" s="37"/>
      <c r="DLG366" s="37"/>
      <c r="DLH366" s="38"/>
      <c r="DLI366" s="38"/>
      <c r="DLJ366" s="39"/>
      <c r="DLK366" s="34"/>
      <c r="DLL366" s="34"/>
      <c r="DLM366" s="34"/>
      <c r="DLN366" s="35"/>
      <c r="DLO366" s="35"/>
      <c r="DLP366" s="35"/>
      <c r="DLQ366" s="35"/>
      <c r="DLR366" s="35"/>
      <c r="DLS366" s="34"/>
      <c r="DLT366" s="34"/>
      <c r="DLU366" s="36"/>
      <c r="DLV366" s="36"/>
      <c r="DLW366" s="37"/>
      <c r="DLX366" s="37"/>
      <c r="DLY366" s="38"/>
      <c r="DLZ366" s="38"/>
      <c r="DMA366" s="39"/>
      <c r="DMB366" s="34"/>
      <c r="DMC366" s="34"/>
      <c r="DMD366" s="34"/>
      <c r="DME366" s="35"/>
      <c r="DMF366" s="35"/>
      <c r="DMG366" s="35"/>
      <c r="DMH366" s="35"/>
      <c r="DMI366" s="35"/>
      <c r="DMJ366" s="34"/>
      <c r="DMK366" s="34"/>
      <c r="DML366" s="36"/>
      <c r="DMM366" s="36"/>
      <c r="DMN366" s="37"/>
      <c r="DMO366" s="37"/>
      <c r="DMP366" s="38"/>
      <c r="DMQ366" s="38"/>
      <c r="DMR366" s="39"/>
      <c r="DMS366" s="34"/>
      <c r="DMT366" s="34"/>
      <c r="DMU366" s="34"/>
      <c r="DMV366" s="35"/>
      <c r="DMW366" s="35"/>
      <c r="DMX366" s="35"/>
      <c r="DMY366" s="35"/>
      <c r="DMZ366" s="35"/>
      <c r="DNA366" s="34"/>
      <c r="DNB366" s="34"/>
      <c r="DNC366" s="36"/>
      <c r="DND366" s="36"/>
      <c r="DNE366" s="37"/>
      <c r="DNF366" s="37"/>
      <c r="DNG366" s="38"/>
      <c r="DNH366" s="38"/>
      <c r="DNI366" s="39"/>
      <c r="DNJ366" s="34"/>
      <c r="DNK366" s="34"/>
      <c r="DNL366" s="34"/>
      <c r="DNM366" s="35"/>
      <c r="DNN366" s="35"/>
      <c r="DNO366" s="35"/>
      <c r="DNP366" s="35"/>
      <c r="DNQ366" s="35"/>
      <c r="DNR366" s="34"/>
      <c r="DNS366" s="34"/>
      <c r="DNT366" s="36"/>
      <c r="DNU366" s="36"/>
      <c r="DNV366" s="37"/>
      <c r="DNW366" s="37"/>
      <c r="DNX366" s="38"/>
      <c r="DNY366" s="38"/>
      <c r="DNZ366" s="39"/>
      <c r="DOA366" s="34"/>
      <c r="DOB366" s="34"/>
      <c r="DOC366" s="34"/>
      <c r="DOD366" s="35"/>
      <c r="DOE366" s="35"/>
      <c r="DOF366" s="35"/>
      <c r="DOG366" s="35"/>
      <c r="DOH366" s="35"/>
      <c r="DOI366" s="34"/>
      <c r="DOJ366" s="34"/>
      <c r="DOK366" s="36"/>
      <c r="DOL366" s="36"/>
      <c r="DOM366" s="37"/>
      <c r="DON366" s="37"/>
      <c r="DOO366" s="38"/>
      <c r="DOP366" s="38"/>
      <c r="DOQ366" s="39"/>
      <c r="DOR366" s="34"/>
      <c r="DOS366" s="34"/>
      <c r="DOT366" s="34"/>
      <c r="DOU366" s="35"/>
      <c r="DOV366" s="35"/>
      <c r="DOW366" s="35"/>
      <c r="DOX366" s="35"/>
      <c r="DOY366" s="35"/>
      <c r="DOZ366" s="34"/>
      <c r="DPA366" s="34"/>
      <c r="DPB366" s="36"/>
      <c r="DPC366" s="36"/>
      <c r="DPD366" s="37"/>
      <c r="DPE366" s="37"/>
      <c r="DPF366" s="38"/>
      <c r="DPG366" s="38"/>
      <c r="DPH366" s="39"/>
      <c r="DPI366" s="34"/>
      <c r="DPJ366" s="34"/>
      <c r="DPK366" s="34"/>
      <c r="DPL366" s="35"/>
      <c r="DPM366" s="35"/>
      <c r="DPN366" s="35"/>
      <c r="DPO366" s="35"/>
      <c r="DPP366" s="35"/>
      <c r="DPQ366" s="34"/>
      <c r="DPR366" s="34"/>
      <c r="DPS366" s="36"/>
      <c r="DPT366" s="36"/>
      <c r="DPU366" s="37"/>
      <c r="DPV366" s="37"/>
      <c r="DPW366" s="38"/>
      <c r="DPX366" s="38"/>
      <c r="DPY366" s="39"/>
      <c r="DPZ366" s="34"/>
      <c r="DQA366" s="34"/>
      <c r="DQB366" s="34"/>
      <c r="DQC366" s="35"/>
      <c r="DQD366" s="35"/>
      <c r="DQE366" s="35"/>
      <c r="DQF366" s="35"/>
      <c r="DQG366" s="35"/>
      <c r="DQH366" s="34"/>
      <c r="DQI366" s="34"/>
      <c r="DQJ366" s="36"/>
      <c r="DQK366" s="36"/>
      <c r="DQL366" s="37"/>
      <c r="DQM366" s="37"/>
      <c r="DQN366" s="38"/>
      <c r="DQO366" s="38"/>
      <c r="DQP366" s="39"/>
      <c r="DQQ366" s="34"/>
      <c r="DQR366" s="34"/>
      <c r="DQS366" s="34"/>
      <c r="DQT366" s="35"/>
      <c r="DQU366" s="35"/>
      <c r="DQV366" s="35"/>
      <c r="DQW366" s="35"/>
      <c r="DQX366" s="35"/>
      <c r="DQY366" s="34"/>
      <c r="DQZ366" s="34"/>
      <c r="DRA366" s="36"/>
      <c r="DRB366" s="36"/>
      <c r="DRC366" s="37"/>
      <c r="DRD366" s="37"/>
      <c r="DRE366" s="38"/>
      <c r="DRF366" s="38"/>
      <c r="DRG366" s="39"/>
      <c r="DRH366" s="34"/>
      <c r="DRI366" s="34"/>
      <c r="DRJ366" s="34"/>
      <c r="DRK366" s="35"/>
      <c r="DRL366" s="35"/>
      <c r="DRM366" s="35"/>
      <c r="DRN366" s="35"/>
      <c r="DRO366" s="35"/>
      <c r="DRP366" s="34"/>
      <c r="DRQ366" s="34"/>
      <c r="DRR366" s="36"/>
      <c r="DRS366" s="36"/>
      <c r="DRT366" s="37"/>
      <c r="DRU366" s="37"/>
      <c r="DRV366" s="38"/>
      <c r="DRW366" s="38"/>
      <c r="DRX366" s="39"/>
      <c r="DRY366" s="34"/>
      <c r="DRZ366" s="34"/>
      <c r="DSA366" s="34"/>
      <c r="DSB366" s="35"/>
      <c r="DSC366" s="35"/>
      <c r="DSD366" s="35"/>
      <c r="DSE366" s="35"/>
      <c r="DSF366" s="35"/>
      <c r="DSG366" s="34"/>
      <c r="DSH366" s="34"/>
      <c r="DSI366" s="36"/>
      <c r="DSJ366" s="36"/>
      <c r="DSK366" s="37"/>
      <c r="DSL366" s="37"/>
      <c r="DSM366" s="38"/>
      <c r="DSN366" s="38"/>
      <c r="DSO366" s="39"/>
      <c r="DSP366" s="34"/>
      <c r="DSQ366" s="34"/>
      <c r="DSR366" s="34"/>
      <c r="DSS366" s="35"/>
      <c r="DST366" s="35"/>
      <c r="DSU366" s="35"/>
      <c r="DSV366" s="35"/>
      <c r="DSW366" s="35"/>
      <c r="DSX366" s="34"/>
      <c r="DSY366" s="34"/>
      <c r="DSZ366" s="36"/>
      <c r="DTA366" s="36"/>
      <c r="DTB366" s="37"/>
      <c r="DTC366" s="37"/>
      <c r="DTD366" s="38"/>
      <c r="DTE366" s="38"/>
      <c r="DTF366" s="39"/>
      <c r="DTG366" s="34"/>
      <c r="DTH366" s="34"/>
      <c r="DTI366" s="34"/>
      <c r="DTJ366" s="35"/>
      <c r="DTK366" s="35"/>
      <c r="DTL366" s="35"/>
      <c r="DTM366" s="35"/>
      <c r="DTN366" s="35"/>
      <c r="DTO366" s="34"/>
      <c r="DTP366" s="34"/>
      <c r="DTQ366" s="36"/>
      <c r="DTR366" s="36"/>
      <c r="DTS366" s="37"/>
      <c r="DTT366" s="37"/>
      <c r="DTU366" s="38"/>
      <c r="DTV366" s="38"/>
      <c r="DTW366" s="39"/>
      <c r="DTX366" s="34"/>
      <c r="DTY366" s="34"/>
      <c r="DTZ366" s="34"/>
      <c r="DUA366" s="35"/>
      <c r="DUB366" s="35"/>
      <c r="DUC366" s="35"/>
      <c r="DUD366" s="35"/>
      <c r="DUE366" s="35"/>
      <c r="DUF366" s="34"/>
      <c r="DUG366" s="34"/>
      <c r="DUH366" s="36"/>
      <c r="DUI366" s="36"/>
      <c r="DUJ366" s="37"/>
      <c r="DUK366" s="37"/>
      <c r="DUL366" s="38"/>
      <c r="DUM366" s="38"/>
      <c r="DUN366" s="39"/>
      <c r="DUO366" s="34"/>
      <c r="DUP366" s="34"/>
      <c r="DUQ366" s="34"/>
      <c r="DUR366" s="35"/>
      <c r="DUS366" s="35"/>
      <c r="DUT366" s="35"/>
      <c r="DUU366" s="35"/>
      <c r="DUV366" s="35"/>
      <c r="DUW366" s="34"/>
      <c r="DUX366" s="34"/>
      <c r="DUY366" s="36"/>
      <c r="DUZ366" s="36"/>
      <c r="DVA366" s="37"/>
      <c r="DVB366" s="37"/>
      <c r="DVC366" s="38"/>
      <c r="DVD366" s="38"/>
      <c r="DVE366" s="39"/>
      <c r="DVF366" s="34"/>
      <c r="DVG366" s="34"/>
      <c r="DVH366" s="34"/>
      <c r="DVI366" s="35"/>
      <c r="DVJ366" s="35"/>
      <c r="DVK366" s="35"/>
      <c r="DVL366" s="35"/>
      <c r="DVM366" s="35"/>
      <c r="DVN366" s="34"/>
      <c r="DVO366" s="34"/>
      <c r="DVP366" s="36"/>
      <c r="DVQ366" s="36"/>
      <c r="DVR366" s="37"/>
      <c r="DVS366" s="37"/>
      <c r="DVT366" s="38"/>
      <c r="DVU366" s="38"/>
      <c r="DVV366" s="39"/>
      <c r="DVW366" s="34"/>
      <c r="DVX366" s="34"/>
      <c r="DVY366" s="34"/>
      <c r="DVZ366" s="35"/>
      <c r="DWA366" s="35"/>
      <c r="DWB366" s="35"/>
      <c r="DWC366" s="35"/>
      <c r="DWD366" s="35"/>
      <c r="DWE366" s="34"/>
      <c r="DWF366" s="34"/>
      <c r="DWG366" s="36"/>
      <c r="DWH366" s="36"/>
      <c r="DWI366" s="37"/>
      <c r="DWJ366" s="37"/>
      <c r="DWK366" s="38"/>
      <c r="DWL366" s="38"/>
      <c r="DWM366" s="39"/>
      <c r="DWN366" s="34"/>
      <c r="DWO366" s="34"/>
      <c r="DWP366" s="34"/>
      <c r="DWQ366" s="35"/>
      <c r="DWR366" s="35"/>
      <c r="DWS366" s="35"/>
      <c r="DWT366" s="35"/>
      <c r="DWU366" s="35"/>
      <c r="DWV366" s="34"/>
      <c r="DWW366" s="34"/>
      <c r="DWX366" s="36"/>
      <c r="DWY366" s="36"/>
      <c r="DWZ366" s="37"/>
      <c r="DXA366" s="37"/>
      <c r="DXB366" s="38"/>
      <c r="DXC366" s="38"/>
      <c r="DXD366" s="39"/>
      <c r="DXE366" s="34"/>
      <c r="DXF366" s="34"/>
      <c r="DXG366" s="34"/>
      <c r="DXH366" s="35"/>
      <c r="DXI366" s="35"/>
      <c r="DXJ366" s="35"/>
      <c r="DXK366" s="35"/>
      <c r="DXL366" s="35"/>
      <c r="DXM366" s="34"/>
      <c r="DXN366" s="34"/>
      <c r="DXO366" s="36"/>
      <c r="DXP366" s="36"/>
      <c r="DXQ366" s="37"/>
      <c r="DXR366" s="37"/>
      <c r="DXS366" s="38"/>
      <c r="DXT366" s="38"/>
      <c r="DXU366" s="39"/>
      <c r="DXV366" s="34"/>
      <c r="DXW366" s="34"/>
      <c r="DXX366" s="34"/>
      <c r="DXY366" s="35"/>
      <c r="DXZ366" s="35"/>
      <c r="DYA366" s="35"/>
      <c r="DYB366" s="35"/>
      <c r="DYC366" s="35"/>
      <c r="DYD366" s="34"/>
      <c r="DYE366" s="34"/>
      <c r="DYF366" s="36"/>
      <c r="DYG366" s="36"/>
      <c r="DYH366" s="37"/>
      <c r="DYI366" s="37"/>
      <c r="DYJ366" s="38"/>
      <c r="DYK366" s="38"/>
      <c r="DYL366" s="39"/>
      <c r="DYM366" s="34"/>
      <c r="DYN366" s="34"/>
      <c r="DYO366" s="34"/>
      <c r="DYP366" s="35"/>
      <c r="DYQ366" s="35"/>
      <c r="DYR366" s="35"/>
      <c r="DYS366" s="35"/>
      <c r="DYT366" s="35"/>
      <c r="DYU366" s="34"/>
      <c r="DYV366" s="34"/>
      <c r="DYW366" s="36"/>
      <c r="DYX366" s="36"/>
      <c r="DYY366" s="37"/>
      <c r="DYZ366" s="37"/>
      <c r="DZA366" s="38"/>
      <c r="DZB366" s="38"/>
      <c r="DZC366" s="39"/>
      <c r="DZD366" s="34"/>
      <c r="DZE366" s="34"/>
      <c r="DZF366" s="34"/>
      <c r="DZG366" s="35"/>
      <c r="DZH366" s="35"/>
      <c r="DZI366" s="35"/>
      <c r="DZJ366" s="35"/>
      <c r="DZK366" s="35"/>
      <c r="DZL366" s="34"/>
      <c r="DZM366" s="34"/>
      <c r="DZN366" s="36"/>
      <c r="DZO366" s="36"/>
      <c r="DZP366" s="37"/>
      <c r="DZQ366" s="37"/>
      <c r="DZR366" s="38"/>
      <c r="DZS366" s="38"/>
      <c r="DZT366" s="39"/>
      <c r="DZU366" s="34"/>
      <c r="DZV366" s="34"/>
      <c r="DZW366" s="34"/>
      <c r="DZX366" s="35"/>
      <c r="DZY366" s="35"/>
      <c r="DZZ366" s="35"/>
      <c r="EAA366" s="35"/>
      <c r="EAB366" s="35"/>
      <c r="EAC366" s="34"/>
      <c r="EAD366" s="34"/>
      <c r="EAE366" s="36"/>
      <c r="EAF366" s="36"/>
      <c r="EAG366" s="37"/>
      <c r="EAH366" s="37"/>
      <c r="EAI366" s="38"/>
      <c r="EAJ366" s="38"/>
      <c r="EAK366" s="39"/>
      <c r="EAL366" s="34"/>
      <c r="EAM366" s="34"/>
      <c r="EAN366" s="34"/>
      <c r="EAO366" s="35"/>
      <c r="EAP366" s="35"/>
      <c r="EAQ366" s="35"/>
      <c r="EAR366" s="35"/>
      <c r="EAS366" s="35"/>
      <c r="EAT366" s="34"/>
      <c r="EAU366" s="34"/>
      <c r="EAV366" s="36"/>
      <c r="EAW366" s="36"/>
      <c r="EAX366" s="37"/>
      <c r="EAY366" s="37"/>
      <c r="EAZ366" s="38"/>
      <c r="EBA366" s="38"/>
      <c r="EBB366" s="39"/>
      <c r="EBC366" s="34"/>
      <c r="EBD366" s="34"/>
      <c r="EBE366" s="34"/>
      <c r="EBF366" s="35"/>
      <c r="EBG366" s="35"/>
      <c r="EBH366" s="35"/>
      <c r="EBI366" s="35"/>
      <c r="EBJ366" s="35"/>
      <c r="EBK366" s="34"/>
      <c r="EBL366" s="34"/>
      <c r="EBM366" s="36"/>
      <c r="EBN366" s="36"/>
      <c r="EBO366" s="37"/>
      <c r="EBP366" s="37"/>
      <c r="EBQ366" s="38"/>
      <c r="EBR366" s="38"/>
      <c r="EBS366" s="39"/>
      <c r="EBT366" s="34"/>
      <c r="EBU366" s="34"/>
      <c r="EBV366" s="34"/>
      <c r="EBW366" s="35"/>
      <c r="EBX366" s="35"/>
      <c r="EBY366" s="35"/>
      <c r="EBZ366" s="35"/>
      <c r="ECA366" s="35"/>
      <c r="ECB366" s="34"/>
      <c r="ECC366" s="34"/>
      <c r="ECD366" s="36"/>
      <c r="ECE366" s="36"/>
      <c r="ECF366" s="37"/>
      <c r="ECG366" s="37"/>
      <c r="ECH366" s="38"/>
      <c r="ECI366" s="38"/>
      <c r="ECJ366" s="39"/>
      <c r="ECK366" s="34"/>
      <c r="ECL366" s="34"/>
      <c r="ECM366" s="34"/>
      <c r="ECN366" s="35"/>
      <c r="ECO366" s="35"/>
      <c r="ECP366" s="35"/>
      <c r="ECQ366" s="35"/>
      <c r="ECR366" s="35"/>
      <c r="ECS366" s="34"/>
      <c r="ECT366" s="34"/>
      <c r="ECU366" s="36"/>
      <c r="ECV366" s="36"/>
      <c r="ECW366" s="37"/>
      <c r="ECX366" s="37"/>
      <c r="ECY366" s="38"/>
      <c r="ECZ366" s="38"/>
      <c r="EDA366" s="39"/>
      <c r="EDB366" s="34"/>
      <c r="EDC366" s="34"/>
      <c r="EDD366" s="34"/>
      <c r="EDE366" s="35"/>
      <c r="EDF366" s="35"/>
      <c r="EDG366" s="35"/>
      <c r="EDH366" s="35"/>
      <c r="EDI366" s="35"/>
      <c r="EDJ366" s="34"/>
      <c r="EDK366" s="34"/>
      <c r="EDL366" s="36"/>
      <c r="EDM366" s="36"/>
      <c r="EDN366" s="37"/>
      <c r="EDO366" s="37"/>
      <c r="EDP366" s="38"/>
      <c r="EDQ366" s="38"/>
      <c r="EDR366" s="39"/>
      <c r="EDS366" s="34"/>
      <c r="EDT366" s="34"/>
      <c r="EDU366" s="34"/>
      <c r="EDV366" s="35"/>
      <c r="EDW366" s="35"/>
      <c r="EDX366" s="35"/>
      <c r="EDY366" s="35"/>
      <c r="EDZ366" s="35"/>
      <c r="EEA366" s="34"/>
      <c r="EEB366" s="34"/>
      <c r="EEC366" s="36"/>
      <c r="EED366" s="36"/>
      <c r="EEE366" s="37"/>
      <c r="EEF366" s="37"/>
      <c r="EEG366" s="38"/>
      <c r="EEH366" s="38"/>
      <c r="EEI366" s="39"/>
      <c r="EEJ366" s="34"/>
      <c r="EEK366" s="34"/>
      <c r="EEL366" s="34"/>
      <c r="EEM366" s="35"/>
      <c r="EEN366" s="35"/>
      <c r="EEO366" s="35"/>
      <c r="EEP366" s="35"/>
      <c r="EEQ366" s="35"/>
      <c r="EER366" s="34"/>
      <c r="EES366" s="34"/>
      <c r="EET366" s="36"/>
      <c r="EEU366" s="36"/>
      <c r="EEV366" s="37"/>
      <c r="EEW366" s="37"/>
      <c r="EEX366" s="38"/>
      <c r="EEY366" s="38"/>
      <c r="EEZ366" s="39"/>
      <c r="EFA366" s="34"/>
      <c r="EFB366" s="34"/>
      <c r="EFC366" s="34"/>
      <c r="EFD366" s="35"/>
      <c r="EFE366" s="35"/>
      <c r="EFF366" s="35"/>
      <c r="EFG366" s="35"/>
      <c r="EFH366" s="35"/>
      <c r="EFI366" s="34"/>
      <c r="EFJ366" s="34"/>
      <c r="EFK366" s="36"/>
      <c r="EFL366" s="36"/>
      <c r="EFM366" s="37"/>
      <c r="EFN366" s="37"/>
      <c r="EFO366" s="38"/>
      <c r="EFP366" s="38"/>
      <c r="EFQ366" s="39"/>
      <c r="EFR366" s="34"/>
      <c r="EFS366" s="34"/>
      <c r="EFT366" s="34"/>
      <c r="EFU366" s="35"/>
      <c r="EFV366" s="35"/>
      <c r="EFW366" s="35"/>
      <c r="EFX366" s="35"/>
      <c r="EFY366" s="35"/>
      <c r="EFZ366" s="34"/>
      <c r="EGA366" s="34"/>
      <c r="EGB366" s="36"/>
      <c r="EGC366" s="36"/>
      <c r="EGD366" s="37"/>
      <c r="EGE366" s="37"/>
      <c r="EGF366" s="38"/>
      <c r="EGG366" s="38"/>
      <c r="EGH366" s="39"/>
      <c r="EGI366" s="34"/>
      <c r="EGJ366" s="34"/>
      <c r="EGK366" s="34"/>
      <c r="EGL366" s="35"/>
      <c r="EGM366" s="35"/>
      <c r="EGN366" s="35"/>
      <c r="EGO366" s="35"/>
      <c r="EGP366" s="35"/>
      <c r="EGQ366" s="34"/>
      <c r="EGR366" s="34"/>
      <c r="EGS366" s="36"/>
      <c r="EGT366" s="36"/>
      <c r="EGU366" s="37"/>
      <c r="EGV366" s="37"/>
      <c r="EGW366" s="38"/>
      <c r="EGX366" s="38"/>
      <c r="EGY366" s="39"/>
      <c r="EGZ366" s="34"/>
      <c r="EHA366" s="34"/>
      <c r="EHB366" s="34"/>
      <c r="EHC366" s="35"/>
      <c r="EHD366" s="35"/>
      <c r="EHE366" s="35"/>
      <c r="EHF366" s="35"/>
      <c r="EHG366" s="35"/>
      <c r="EHH366" s="34"/>
      <c r="EHI366" s="34"/>
      <c r="EHJ366" s="36"/>
      <c r="EHK366" s="36"/>
      <c r="EHL366" s="37"/>
      <c r="EHM366" s="37"/>
      <c r="EHN366" s="38"/>
      <c r="EHO366" s="38"/>
      <c r="EHP366" s="39"/>
      <c r="EHQ366" s="34"/>
      <c r="EHR366" s="34"/>
      <c r="EHS366" s="34"/>
      <c r="EHT366" s="35"/>
      <c r="EHU366" s="35"/>
      <c r="EHV366" s="35"/>
      <c r="EHW366" s="35"/>
      <c r="EHX366" s="35"/>
      <c r="EHY366" s="34"/>
      <c r="EHZ366" s="34"/>
      <c r="EIA366" s="36"/>
      <c r="EIB366" s="36"/>
      <c r="EIC366" s="37"/>
      <c r="EID366" s="37"/>
      <c r="EIE366" s="38"/>
      <c r="EIF366" s="38"/>
      <c r="EIG366" s="39"/>
      <c r="EIH366" s="34"/>
      <c r="EII366" s="34"/>
      <c r="EIJ366" s="34"/>
      <c r="EIK366" s="35"/>
      <c r="EIL366" s="35"/>
      <c r="EIM366" s="35"/>
      <c r="EIN366" s="35"/>
      <c r="EIO366" s="35"/>
      <c r="EIP366" s="34"/>
      <c r="EIQ366" s="34"/>
      <c r="EIR366" s="36"/>
      <c r="EIS366" s="36"/>
      <c r="EIT366" s="37"/>
      <c r="EIU366" s="37"/>
      <c r="EIV366" s="38"/>
      <c r="EIW366" s="38"/>
      <c r="EIX366" s="39"/>
      <c r="EIY366" s="34"/>
      <c r="EIZ366" s="34"/>
      <c r="EJA366" s="34"/>
      <c r="EJB366" s="35"/>
      <c r="EJC366" s="35"/>
      <c r="EJD366" s="35"/>
      <c r="EJE366" s="35"/>
      <c r="EJF366" s="35"/>
      <c r="EJG366" s="34"/>
      <c r="EJH366" s="34"/>
      <c r="EJI366" s="36"/>
      <c r="EJJ366" s="36"/>
      <c r="EJK366" s="37"/>
      <c r="EJL366" s="37"/>
      <c r="EJM366" s="38"/>
      <c r="EJN366" s="38"/>
      <c r="EJO366" s="39"/>
      <c r="EJP366" s="34"/>
      <c r="EJQ366" s="34"/>
      <c r="EJR366" s="34"/>
      <c r="EJS366" s="35"/>
      <c r="EJT366" s="35"/>
      <c r="EJU366" s="35"/>
      <c r="EJV366" s="35"/>
      <c r="EJW366" s="35"/>
      <c r="EJX366" s="34"/>
      <c r="EJY366" s="34"/>
      <c r="EJZ366" s="36"/>
      <c r="EKA366" s="36"/>
      <c r="EKB366" s="37"/>
      <c r="EKC366" s="37"/>
      <c r="EKD366" s="38"/>
      <c r="EKE366" s="38"/>
      <c r="EKF366" s="39"/>
      <c r="EKG366" s="34"/>
      <c r="EKH366" s="34"/>
      <c r="EKI366" s="34"/>
      <c r="EKJ366" s="35"/>
      <c r="EKK366" s="35"/>
      <c r="EKL366" s="35"/>
      <c r="EKM366" s="35"/>
      <c r="EKN366" s="35"/>
      <c r="EKO366" s="34"/>
      <c r="EKP366" s="34"/>
      <c r="EKQ366" s="36"/>
      <c r="EKR366" s="36"/>
      <c r="EKS366" s="37"/>
      <c r="EKT366" s="37"/>
      <c r="EKU366" s="38"/>
      <c r="EKV366" s="38"/>
      <c r="EKW366" s="39"/>
      <c r="EKX366" s="34"/>
      <c r="EKY366" s="34"/>
      <c r="EKZ366" s="34"/>
      <c r="ELA366" s="35"/>
      <c r="ELB366" s="35"/>
      <c r="ELC366" s="35"/>
      <c r="ELD366" s="35"/>
      <c r="ELE366" s="35"/>
      <c r="ELF366" s="34"/>
      <c r="ELG366" s="34"/>
      <c r="ELH366" s="36"/>
      <c r="ELI366" s="36"/>
      <c r="ELJ366" s="37"/>
      <c r="ELK366" s="37"/>
      <c r="ELL366" s="38"/>
      <c r="ELM366" s="38"/>
      <c r="ELN366" s="39"/>
      <c r="ELO366" s="34"/>
      <c r="ELP366" s="34"/>
      <c r="ELQ366" s="34"/>
      <c r="ELR366" s="35"/>
      <c r="ELS366" s="35"/>
      <c r="ELT366" s="35"/>
      <c r="ELU366" s="35"/>
      <c r="ELV366" s="35"/>
      <c r="ELW366" s="34"/>
      <c r="ELX366" s="34"/>
      <c r="ELY366" s="36"/>
      <c r="ELZ366" s="36"/>
      <c r="EMA366" s="37"/>
      <c r="EMB366" s="37"/>
      <c r="EMC366" s="38"/>
      <c r="EMD366" s="38"/>
      <c r="EME366" s="39"/>
      <c r="EMF366" s="34"/>
      <c r="EMG366" s="34"/>
      <c r="EMH366" s="34"/>
      <c r="EMI366" s="35"/>
      <c r="EMJ366" s="35"/>
      <c r="EMK366" s="35"/>
      <c r="EML366" s="35"/>
      <c r="EMM366" s="35"/>
      <c r="EMN366" s="34"/>
      <c r="EMO366" s="34"/>
      <c r="EMP366" s="36"/>
      <c r="EMQ366" s="36"/>
      <c r="EMR366" s="37"/>
      <c r="EMS366" s="37"/>
      <c r="EMT366" s="38"/>
      <c r="EMU366" s="38"/>
      <c r="EMV366" s="39"/>
      <c r="EMW366" s="34"/>
      <c r="EMX366" s="34"/>
      <c r="EMY366" s="34"/>
      <c r="EMZ366" s="35"/>
      <c r="ENA366" s="35"/>
      <c r="ENB366" s="35"/>
      <c r="ENC366" s="35"/>
      <c r="END366" s="35"/>
      <c r="ENE366" s="34"/>
      <c r="ENF366" s="34"/>
      <c r="ENG366" s="36"/>
      <c r="ENH366" s="36"/>
      <c r="ENI366" s="37"/>
      <c r="ENJ366" s="37"/>
      <c r="ENK366" s="38"/>
      <c r="ENL366" s="38"/>
      <c r="ENM366" s="39"/>
      <c r="ENN366" s="34"/>
      <c r="ENO366" s="34"/>
      <c r="ENP366" s="34"/>
      <c r="ENQ366" s="35"/>
      <c r="ENR366" s="35"/>
      <c r="ENS366" s="35"/>
      <c r="ENT366" s="35"/>
      <c r="ENU366" s="35"/>
      <c r="ENV366" s="34"/>
      <c r="ENW366" s="34"/>
      <c r="ENX366" s="36"/>
      <c r="ENY366" s="36"/>
      <c r="ENZ366" s="37"/>
      <c r="EOA366" s="37"/>
      <c r="EOB366" s="38"/>
      <c r="EOC366" s="38"/>
      <c r="EOD366" s="39"/>
      <c r="EOE366" s="34"/>
      <c r="EOF366" s="34"/>
      <c r="EOG366" s="34"/>
      <c r="EOH366" s="35"/>
      <c r="EOI366" s="35"/>
      <c r="EOJ366" s="35"/>
      <c r="EOK366" s="35"/>
      <c r="EOL366" s="35"/>
      <c r="EOM366" s="34"/>
      <c r="EON366" s="34"/>
      <c r="EOO366" s="36"/>
      <c r="EOP366" s="36"/>
      <c r="EOQ366" s="37"/>
      <c r="EOR366" s="37"/>
      <c r="EOS366" s="38"/>
      <c r="EOT366" s="38"/>
      <c r="EOU366" s="39"/>
      <c r="EOV366" s="34"/>
      <c r="EOW366" s="34"/>
      <c r="EOX366" s="34"/>
      <c r="EOY366" s="35"/>
      <c r="EOZ366" s="35"/>
      <c r="EPA366" s="35"/>
      <c r="EPB366" s="35"/>
      <c r="EPC366" s="35"/>
      <c r="EPD366" s="34"/>
      <c r="EPE366" s="34"/>
      <c r="EPF366" s="36"/>
      <c r="EPG366" s="36"/>
      <c r="EPH366" s="37"/>
      <c r="EPI366" s="37"/>
      <c r="EPJ366" s="38"/>
      <c r="EPK366" s="38"/>
      <c r="EPL366" s="39"/>
      <c r="EPM366" s="34"/>
      <c r="EPN366" s="34"/>
      <c r="EPO366" s="34"/>
      <c r="EPP366" s="35"/>
      <c r="EPQ366" s="35"/>
      <c r="EPR366" s="35"/>
      <c r="EPS366" s="35"/>
      <c r="EPT366" s="35"/>
      <c r="EPU366" s="34"/>
      <c r="EPV366" s="34"/>
      <c r="EPW366" s="36"/>
      <c r="EPX366" s="36"/>
      <c r="EPY366" s="37"/>
      <c r="EPZ366" s="37"/>
      <c r="EQA366" s="38"/>
      <c r="EQB366" s="38"/>
      <c r="EQC366" s="39"/>
      <c r="EQD366" s="34"/>
      <c r="EQE366" s="34"/>
      <c r="EQF366" s="34"/>
      <c r="EQG366" s="35"/>
      <c r="EQH366" s="35"/>
      <c r="EQI366" s="35"/>
      <c r="EQJ366" s="35"/>
      <c r="EQK366" s="35"/>
      <c r="EQL366" s="34"/>
      <c r="EQM366" s="34"/>
      <c r="EQN366" s="36"/>
      <c r="EQO366" s="36"/>
      <c r="EQP366" s="37"/>
      <c r="EQQ366" s="37"/>
      <c r="EQR366" s="38"/>
      <c r="EQS366" s="38"/>
      <c r="EQT366" s="39"/>
      <c r="EQU366" s="34"/>
      <c r="EQV366" s="34"/>
      <c r="EQW366" s="34"/>
      <c r="EQX366" s="35"/>
      <c r="EQY366" s="35"/>
      <c r="EQZ366" s="35"/>
      <c r="ERA366" s="35"/>
      <c r="ERB366" s="35"/>
      <c r="ERC366" s="34"/>
      <c r="ERD366" s="34"/>
      <c r="ERE366" s="36"/>
      <c r="ERF366" s="36"/>
      <c r="ERG366" s="37"/>
      <c r="ERH366" s="37"/>
      <c r="ERI366" s="38"/>
      <c r="ERJ366" s="38"/>
      <c r="ERK366" s="39"/>
      <c r="ERL366" s="34"/>
      <c r="ERM366" s="34"/>
      <c r="ERN366" s="34"/>
      <c r="ERO366" s="35"/>
      <c r="ERP366" s="35"/>
      <c r="ERQ366" s="35"/>
      <c r="ERR366" s="35"/>
      <c r="ERS366" s="35"/>
      <c r="ERT366" s="34"/>
      <c r="ERU366" s="34"/>
      <c r="ERV366" s="36"/>
      <c r="ERW366" s="36"/>
      <c r="ERX366" s="37"/>
      <c r="ERY366" s="37"/>
      <c r="ERZ366" s="38"/>
      <c r="ESA366" s="38"/>
      <c r="ESB366" s="39"/>
      <c r="ESC366" s="34"/>
      <c r="ESD366" s="34"/>
      <c r="ESE366" s="34"/>
      <c r="ESF366" s="35"/>
      <c r="ESG366" s="35"/>
      <c r="ESH366" s="35"/>
      <c r="ESI366" s="35"/>
      <c r="ESJ366" s="35"/>
      <c r="ESK366" s="34"/>
      <c r="ESL366" s="34"/>
      <c r="ESM366" s="36"/>
      <c r="ESN366" s="36"/>
      <c r="ESO366" s="37"/>
      <c r="ESP366" s="37"/>
      <c r="ESQ366" s="38"/>
      <c r="ESR366" s="38"/>
      <c r="ESS366" s="39"/>
      <c r="EST366" s="34"/>
      <c r="ESU366" s="34"/>
      <c r="ESV366" s="34"/>
      <c r="ESW366" s="35"/>
      <c r="ESX366" s="35"/>
      <c r="ESY366" s="35"/>
      <c r="ESZ366" s="35"/>
      <c r="ETA366" s="35"/>
      <c r="ETB366" s="34"/>
      <c r="ETC366" s="34"/>
      <c r="ETD366" s="36"/>
      <c r="ETE366" s="36"/>
      <c r="ETF366" s="37"/>
      <c r="ETG366" s="37"/>
      <c r="ETH366" s="38"/>
      <c r="ETI366" s="38"/>
      <c r="ETJ366" s="39"/>
      <c r="ETK366" s="34"/>
      <c r="ETL366" s="34"/>
      <c r="ETM366" s="34"/>
      <c r="ETN366" s="35"/>
      <c r="ETO366" s="35"/>
      <c r="ETP366" s="35"/>
      <c r="ETQ366" s="35"/>
      <c r="ETR366" s="35"/>
      <c r="ETS366" s="34"/>
      <c r="ETT366" s="34"/>
      <c r="ETU366" s="36"/>
      <c r="ETV366" s="36"/>
      <c r="ETW366" s="37"/>
      <c r="ETX366" s="37"/>
      <c r="ETY366" s="38"/>
      <c r="ETZ366" s="38"/>
      <c r="EUA366" s="39"/>
      <c r="EUB366" s="34"/>
      <c r="EUC366" s="34"/>
      <c r="EUD366" s="34"/>
      <c r="EUE366" s="35"/>
      <c r="EUF366" s="35"/>
      <c r="EUG366" s="35"/>
      <c r="EUH366" s="35"/>
      <c r="EUI366" s="35"/>
      <c r="EUJ366" s="34"/>
      <c r="EUK366" s="34"/>
      <c r="EUL366" s="36"/>
      <c r="EUM366" s="36"/>
      <c r="EUN366" s="37"/>
      <c r="EUO366" s="37"/>
      <c r="EUP366" s="38"/>
      <c r="EUQ366" s="38"/>
      <c r="EUR366" s="39"/>
      <c r="EUS366" s="34"/>
      <c r="EUT366" s="34"/>
      <c r="EUU366" s="34"/>
      <c r="EUV366" s="35"/>
      <c r="EUW366" s="35"/>
      <c r="EUX366" s="35"/>
      <c r="EUY366" s="35"/>
      <c r="EUZ366" s="35"/>
      <c r="EVA366" s="34"/>
      <c r="EVB366" s="34"/>
      <c r="EVC366" s="36"/>
      <c r="EVD366" s="36"/>
      <c r="EVE366" s="37"/>
      <c r="EVF366" s="37"/>
      <c r="EVG366" s="38"/>
      <c r="EVH366" s="38"/>
      <c r="EVI366" s="39"/>
      <c r="EVJ366" s="34"/>
      <c r="EVK366" s="34"/>
      <c r="EVL366" s="34"/>
      <c r="EVM366" s="35"/>
      <c r="EVN366" s="35"/>
      <c r="EVO366" s="35"/>
      <c r="EVP366" s="35"/>
      <c r="EVQ366" s="35"/>
      <c r="EVR366" s="34"/>
      <c r="EVS366" s="34"/>
      <c r="EVT366" s="36"/>
      <c r="EVU366" s="36"/>
      <c r="EVV366" s="37"/>
      <c r="EVW366" s="37"/>
      <c r="EVX366" s="38"/>
      <c r="EVY366" s="38"/>
      <c r="EVZ366" s="39"/>
      <c r="EWA366" s="34"/>
      <c r="EWB366" s="34"/>
      <c r="EWC366" s="34"/>
      <c r="EWD366" s="35"/>
      <c r="EWE366" s="35"/>
      <c r="EWF366" s="35"/>
      <c r="EWG366" s="35"/>
      <c r="EWH366" s="35"/>
      <c r="EWI366" s="34"/>
      <c r="EWJ366" s="34"/>
      <c r="EWK366" s="36"/>
      <c r="EWL366" s="36"/>
      <c r="EWM366" s="37"/>
      <c r="EWN366" s="37"/>
      <c r="EWO366" s="38"/>
      <c r="EWP366" s="38"/>
      <c r="EWQ366" s="39"/>
      <c r="EWR366" s="34"/>
      <c r="EWS366" s="34"/>
      <c r="EWT366" s="34"/>
      <c r="EWU366" s="35"/>
      <c r="EWV366" s="35"/>
      <c r="EWW366" s="35"/>
      <c r="EWX366" s="35"/>
      <c r="EWY366" s="35"/>
      <c r="EWZ366" s="34"/>
      <c r="EXA366" s="34"/>
      <c r="EXB366" s="36"/>
      <c r="EXC366" s="36"/>
      <c r="EXD366" s="37"/>
      <c r="EXE366" s="37"/>
      <c r="EXF366" s="38"/>
      <c r="EXG366" s="38"/>
      <c r="EXH366" s="39"/>
      <c r="EXI366" s="34"/>
      <c r="EXJ366" s="34"/>
      <c r="EXK366" s="34"/>
      <c r="EXL366" s="35"/>
      <c r="EXM366" s="35"/>
      <c r="EXN366" s="35"/>
      <c r="EXO366" s="35"/>
      <c r="EXP366" s="35"/>
      <c r="EXQ366" s="34"/>
      <c r="EXR366" s="34"/>
      <c r="EXS366" s="36"/>
      <c r="EXT366" s="36"/>
      <c r="EXU366" s="37"/>
      <c r="EXV366" s="37"/>
      <c r="EXW366" s="38"/>
      <c r="EXX366" s="38"/>
      <c r="EXY366" s="39"/>
      <c r="EXZ366" s="34"/>
      <c r="EYA366" s="34"/>
      <c r="EYB366" s="34"/>
      <c r="EYC366" s="35"/>
      <c r="EYD366" s="35"/>
      <c r="EYE366" s="35"/>
      <c r="EYF366" s="35"/>
      <c r="EYG366" s="35"/>
      <c r="EYH366" s="34"/>
      <c r="EYI366" s="34"/>
      <c r="EYJ366" s="36"/>
      <c r="EYK366" s="36"/>
      <c r="EYL366" s="37"/>
      <c r="EYM366" s="37"/>
      <c r="EYN366" s="38"/>
      <c r="EYO366" s="38"/>
      <c r="EYP366" s="39"/>
      <c r="EYQ366" s="34"/>
      <c r="EYR366" s="34"/>
      <c r="EYS366" s="34"/>
      <c r="EYT366" s="35"/>
      <c r="EYU366" s="35"/>
      <c r="EYV366" s="35"/>
      <c r="EYW366" s="35"/>
      <c r="EYX366" s="35"/>
      <c r="EYY366" s="34"/>
      <c r="EYZ366" s="34"/>
      <c r="EZA366" s="36"/>
      <c r="EZB366" s="36"/>
      <c r="EZC366" s="37"/>
      <c r="EZD366" s="37"/>
      <c r="EZE366" s="38"/>
      <c r="EZF366" s="38"/>
      <c r="EZG366" s="39"/>
      <c r="EZH366" s="34"/>
      <c r="EZI366" s="34"/>
      <c r="EZJ366" s="34"/>
      <c r="EZK366" s="35"/>
      <c r="EZL366" s="35"/>
      <c r="EZM366" s="35"/>
      <c r="EZN366" s="35"/>
      <c r="EZO366" s="35"/>
      <c r="EZP366" s="34"/>
      <c r="EZQ366" s="34"/>
      <c r="EZR366" s="36"/>
      <c r="EZS366" s="36"/>
      <c r="EZT366" s="37"/>
      <c r="EZU366" s="37"/>
      <c r="EZV366" s="38"/>
      <c r="EZW366" s="38"/>
      <c r="EZX366" s="39"/>
      <c r="EZY366" s="34"/>
      <c r="EZZ366" s="34"/>
      <c r="FAA366" s="34"/>
      <c r="FAB366" s="35"/>
      <c r="FAC366" s="35"/>
      <c r="FAD366" s="35"/>
      <c r="FAE366" s="35"/>
      <c r="FAF366" s="35"/>
      <c r="FAG366" s="34"/>
      <c r="FAH366" s="34"/>
      <c r="FAI366" s="36"/>
      <c r="FAJ366" s="36"/>
      <c r="FAK366" s="37"/>
      <c r="FAL366" s="37"/>
      <c r="FAM366" s="38"/>
      <c r="FAN366" s="38"/>
      <c r="FAO366" s="39"/>
      <c r="FAP366" s="34"/>
      <c r="FAQ366" s="34"/>
      <c r="FAR366" s="34"/>
      <c r="FAS366" s="35"/>
      <c r="FAT366" s="35"/>
      <c r="FAU366" s="35"/>
      <c r="FAV366" s="35"/>
      <c r="FAW366" s="35"/>
      <c r="FAX366" s="34"/>
      <c r="FAY366" s="34"/>
      <c r="FAZ366" s="36"/>
      <c r="FBA366" s="36"/>
      <c r="FBB366" s="37"/>
      <c r="FBC366" s="37"/>
      <c r="FBD366" s="38"/>
      <c r="FBE366" s="38"/>
      <c r="FBF366" s="39"/>
      <c r="FBG366" s="34"/>
      <c r="FBH366" s="34"/>
      <c r="FBI366" s="34"/>
      <c r="FBJ366" s="35"/>
      <c r="FBK366" s="35"/>
      <c r="FBL366" s="35"/>
      <c r="FBM366" s="35"/>
      <c r="FBN366" s="35"/>
      <c r="FBO366" s="34"/>
      <c r="FBP366" s="34"/>
      <c r="FBQ366" s="36"/>
      <c r="FBR366" s="36"/>
      <c r="FBS366" s="37"/>
      <c r="FBT366" s="37"/>
      <c r="FBU366" s="38"/>
      <c r="FBV366" s="38"/>
      <c r="FBW366" s="39"/>
      <c r="FBX366" s="34"/>
      <c r="FBY366" s="34"/>
      <c r="FBZ366" s="34"/>
      <c r="FCA366" s="35"/>
      <c r="FCB366" s="35"/>
      <c r="FCC366" s="35"/>
      <c r="FCD366" s="35"/>
      <c r="FCE366" s="35"/>
      <c r="FCF366" s="34"/>
      <c r="FCG366" s="34"/>
      <c r="FCH366" s="36"/>
      <c r="FCI366" s="36"/>
      <c r="FCJ366" s="37"/>
      <c r="FCK366" s="37"/>
      <c r="FCL366" s="38"/>
      <c r="FCM366" s="38"/>
      <c r="FCN366" s="39"/>
      <c r="FCO366" s="34"/>
      <c r="FCP366" s="34"/>
      <c r="FCQ366" s="34"/>
      <c r="FCR366" s="35"/>
      <c r="FCS366" s="35"/>
      <c r="FCT366" s="35"/>
      <c r="FCU366" s="35"/>
      <c r="FCV366" s="35"/>
      <c r="FCW366" s="34"/>
      <c r="FCX366" s="34"/>
      <c r="FCY366" s="36"/>
      <c r="FCZ366" s="36"/>
      <c r="FDA366" s="37"/>
      <c r="FDB366" s="37"/>
      <c r="FDC366" s="38"/>
      <c r="FDD366" s="38"/>
      <c r="FDE366" s="39"/>
      <c r="FDF366" s="34"/>
      <c r="FDG366" s="34"/>
      <c r="FDH366" s="34"/>
      <c r="FDI366" s="35"/>
      <c r="FDJ366" s="35"/>
      <c r="FDK366" s="35"/>
      <c r="FDL366" s="35"/>
      <c r="FDM366" s="35"/>
      <c r="FDN366" s="34"/>
      <c r="FDO366" s="34"/>
      <c r="FDP366" s="36"/>
      <c r="FDQ366" s="36"/>
      <c r="FDR366" s="37"/>
      <c r="FDS366" s="37"/>
      <c r="FDT366" s="38"/>
      <c r="FDU366" s="38"/>
      <c r="FDV366" s="39"/>
      <c r="FDW366" s="34"/>
      <c r="FDX366" s="34"/>
      <c r="FDY366" s="34"/>
      <c r="FDZ366" s="35"/>
      <c r="FEA366" s="35"/>
      <c r="FEB366" s="35"/>
      <c r="FEC366" s="35"/>
      <c r="FED366" s="35"/>
      <c r="FEE366" s="34"/>
      <c r="FEF366" s="34"/>
      <c r="FEG366" s="36"/>
      <c r="FEH366" s="36"/>
      <c r="FEI366" s="37"/>
      <c r="FEJ366" s="37"/>
      <c r="FEK366" s="38"/>
      <c r="FEL366" s="38"/>
      <c r="FEM366" s="39"/>
      <c r="FEN366" s="34"/>
      <c r="FEO366" s="34"/>
      <c r="FEP366" s="34"/>
      <c r="FEQ366" s="35"/>
      <c r="FER366" s="35"/>
      <c r="FES366" s="35"/>
      <c r="FET366" s="35"/>
      <c r="FEU366" s="35"/>
      <c r="FEV366" s="34"/>
      <c r="FEW366" s="34"/>
      <c r="FEX366" s="36"/>
      <c r="FEY366" s="36"/>
      <c r="FEZ366" s="37"/>
      <c r="FFA366" s="37"/>
      <c r="FFB366" s="38"/>
      <c r="FFC366" s="38"/>
      <c r="FFD366" s="39"/>
      <c r="FFE366" s="34"/>
      <c r="FFF366" s="34"/>
      <c r="FFG366" s="34"/>
      <c r="FFH366" s="35"/>
      <c r="FFI366" s="35"/>
      <c r="FFJ366" s="35"/>
      <c r="FFK366" s="35"/>
      <c r="FFL366" s="35"/>
      <c r="FFM366" s="34"/>
      <c r="FFN366" s="34"/>
      <c r="FFO366" s="36"/>
      <c r="FFP366" s="36"/>
      <c r="FFQ366" s="37"/>
      <c r="FFR366" s="37"/>
      <c r="FFS366" s="38"/>
      <c r="FFT366" s="38"/>
      <c r="FFU366" s="39"/>
      <c r="FFV366" s="34"/>
      <c r="FFW366" s="34"/>
      <c r="FFX366" s="34"/>
      <c r="FFY366" s="35"/>
      <c r="FFZ366" s="35"/>
      <c r="FGA366" s="35"/>
      <c r="FGB366" s="35"/>
      <c r="FGC366" s="35"/>
      <c r="FGD366" s="34"/>
      <c r="FGE366" s="34"/>
      <c r="FGF366" s="36"/>
      <c r="FGG366" s="36"/>
      <c r="FGH366" s="37"/>
      <c r="FGI366" s="37"/>
      <c r="FGJ366" s="38"/>
      <c r="FGK366" s="38"/>
      <c r="FGL366" s="39"/>
      <c r="FGM366" s="34"/>
      <c r="FGN366" s="34"/>
      <c r="FGO366" s="34"/>
      <c r="FGP366" s="35"/>
      <c r="FGQ366" s="35"/>
      <c r="FGR366" s="35"/>
      <c r="FGS366" s="35"/>
      <c r="FGT366" s="35"/>
      <c r="FGU366" s="34"/>
      <c r="FGV366" s="34"/>
      <c r="FGW366" s="36"/>
      <c r="FGX366" s="36"/>
      <c r="FGY366" s="37"/>
      <c r="FGZ366" s="37"/>
      <c r="FHA366" s="38"/>
      <c r="FHB366" s="38"/>
      <c r="FHC366" s="39"/>
      <c r="FHD366" s="34"/>
      <c r="FHE366" s="34"/>
      <c r="FHF366" s="34"/>
      <c r="FHG366" s="35"/>
      <c r="FHH366" s="35"/>
      <c r="FHI366" s="35"/>
      <c r="FHJ366" s="35"/>
      <c r="FHK366" s="35"/>
      <c r="FHL366" s="34"/>
      <c r="FHM366" s="34"/>
      <c r="FHN366" s="36"/>
      <c r="FHO366" s="36"/>
      <c r="FHP366" s="37"/>
      <c r="FHQ366" s="37"/>
      <c r="FHR366" s="38"/>
      <c r="FHS366" s="38"/>
      <c r="FHT366" s="39"/>
      <c r="FHU366" s="34"/>
      <c r="FHV366" s="34"/>
      <c r="FHW366" s="34"/>
      <c r="FHX366" s="35"/>
      <c r="FHY366" s="35"/>
      <c r="FHZ366" s="35"/>
      <c r="FIA366" s="35"/>
      <c r="FIB366" s="35"/>
      <c r="FIC366" s="34"/>
      <c r="FID366" s="34"/>
      <c r="FIE366" s="36"/>
      <c r="FIF366" s="36"/>
      <c r="FIG366" s="37"/>
      <c r="FIH366" s="37"/>
      <c r="FII366" s="38"/>
      <c r="FIJ366" s="38"/>
      <c r="FIK366" s="39"/>
      <c r="FIL366" s="34"/>
      <c r="FIM366" s="34"/>
      <c r="FIN366" s="34"/>
      <c r="FIO366" s="35"/>
      <c r="FIP366" s="35"/>
      <c r="FIQ366" s="35"/>
      <c r="FIR366" s="35"/>
      <c r="FIS366" s="35"/>
      <c r="FIT366" s="34"/>
      <c r="FIU366" s="34"/>
      <c r="FIV366" s="36"/>
      <c r="FIW366" s="36"/>
      <c r="FIX366" s="37"/>
      <c r="FIY366" s="37"/>
      <c r="FIZ366" s="38"/>
      <c r="FJA366" s="38"/>
      <c r="FJB366" s="39"/>
      <c r="FJC366" s="34"/>
      <c r="FJD366" s="34"/>
      <c r="FJE366" s="34"/>
      <c r="FJF366" s="35"/>
      <c r="FJG366" s="35"/>
      <c r="FJH366" s="35"/>
      <c r="FJI366" s="35"/>
      <c r="FJJ366" s="35"/>
      <c r="FJK366" s="34"/>
      <c r="FJL366" s="34"/>
      <c r="FJM366" s="36"/>
      <c r="FJN366" s="36"/>
      <c r="FJO366" s="37"/>
      <c r="FJP366" s="37"/>
      <c r="FJQ366" s="38"/>
      <c r="FJR366" s="38"/>
      <c r="FJS366" s="39"/>
      <c r="FJT366" s="34"/>
      <c r="FJU366" s="34"/>
      <c r="FJV366" s="34"/>
      <c r="FJW366" s="35"/>
      <c r="FJX366" s="35"/>
      <c r="FJY366" s="35"/>
      <c r="FJZ366" s="35"/>
      <c r="FKA366" s="35"/>
      <c r="FKB366" s="34"/>
      <c r="FKC366" s="34"/>
      <c r="FKD366" s="36"/>
      <c r="FKE366" s="36"/>
      <c r="FKF366" s="37"/>
      <c r="FKG366" s="37"/>
      <c r="FKH366" s="38"/>
      <c r="FKI366" s="38"/>
      <c r="FKJ366" s="39"/>
      <c r="FKK366" s="34"/>
      <c r="FKL366" s="34"/>
      <c r="FKM366" s="34"/>
      <c r="FKN366" s="35"/>
      <c r="FKO366" s="35"/>
      <c r="FKP366" s="35"/>
      <c r="FKQ366" s="35"/>
      <c r="FKR366" s="35"/>
      <c r="FKS366" s="34"/>
      <c r="FKT366" s="34"/>
      <c r="FKU366" s="36"/>
      <c r="FKV366" s="36"/>
      <c r="FKW366" s="37"/>
      <c r="FKX366" s="37"/>
      <c r="FKY366" s="38"/>
      <c r="FKZ366" s="38"/>
      <c r="FLA366" s="39"/>
      <c r="FLB366" s="34"/>
      <c r="FLC366" s="34"/>
      <c r="FLD366" s="34"/>
      <c r="FLE366" s="35"/>
      <c r="FLF366" s="35"/>
      <c r="FLG366" s="35"/>
      <c r="FLH366" s="35"/>
      <c r="FLI366" s="35"/>
      <c r="FLJ366" s="34"/>
      <c r="FLK366" s="34"/>
      <c r="FLL366" s="36"/>
      <c r="FLM366" s="36"/>
      <c r="FLN366" s="37"/>
      <c r="FLO366" s="37"/>
      <c r="FLP366" s="38"/>
      <c r="FLQ366" s="38"/>
      <c r="FLR366" s="39"/>
      <c r="FLS366" s="34"/>
      <c r="FLT366" s="34"/>
      <c r="FLU366" s="34"/>
      <c r="FLV366" s="35"/>
      <c r="FLW366" s="35"/>
      <c r="FLX366" s="35"/>
      <c r="FLY366" s="35"/>
      <c r="FLZ366" s="35"/>
      <c r="FMA366" s="34"/>
      <c r="FMB366" s="34"/>
      <c r="FMC366" s="36"/>
      <c r="FMD366" s="36"/>
      <c r="FME366" s="37"/>
      <c r="FMF366" s="37"/>
      <c r="FMG366" s="38"/>
      <c r="FMH366" s="38"/>
      <c r="FMI366" s="39"/>
      <c r="FMJ366" s="34"/>
      <c r="FMK366" s="34"/>
      <c r="FML366" s="34"/>
      <c r="FMM366" s="35"/>
      <c r="FMN366" s="35"/>
      <c r="FMO366" s="35"/>
      <c r="FMP366" s="35"/>
      <c r="FMQ366" s="35"/>
      <c r="FMR366" s="34"/>
      <c r="FMS366" s="34"/>
      <c r="FMT366" s="36"/>
      <c r="FMU366" s="36"/>
      <c r="FMV366" s="37"/>
      <c r="FMW366" s="37"/>
      <c r="FMX366" s="38"/>
      <c r="FMY366" s="38"/>
      <c r="FMZ366" s="39"/>
      <c r="FNA366" s="34"/>
      <c r="FNB366" s="34"/>
      <c r="FNC366" s="34"/>
      <c r="FND366" s="35"/>
      <c r="FNE366" s="35"/>
      <c r="FNF366" s="35"/>
      <c r="FNG366" s="35"/>
      <c r="FNH366" s="35"/>
      <c r="FNI366" s="34"/>
      <c r="FNJ366" s="34"/>
      <c r="FNK366" s="36"/>
      <c r="FNL366" s="36"/>
      <c r="FNM366" s="37"/>
      <c r="FNN366" s="37"/>
      <c r="FNO366" s="38"/>
      <c r="FNP366" s="38"/>
      <c r="FNQ366" s="39"/>
      <c r="FNR366" s="34"/>
      <c r="FNS366" s="34"/>
      <c r="FNT366" s="34"/>
      <c r="FNU366" s="35"/>
      <c r="FNV366" s="35"/>
      <c r="FNW366" s="35"/>
      <c r="FNX366" s="35"/>
      <c r="FNY366" s="35"/>
      <c r="FNZ366" s="34"/>
      <c r="FOA366" s="34"/>
      <c r="FOB366" s="36"/>
      <c r="FOC366" s="36"/>
      <c r="FOD366" s="37"/>
      <c r="FOE366" s="37"/>
      <c r="FOF366" s="38"/>
      <c r="FOG366" s="38"/>
      <c r="FOH366" s="39"/>
      <c r="FOI366" s="34"/>
      <c r="FOJ366" s="34"/>
      <c r="FOK366" s="34"/>
      <c r="FOL366" s="35"/>
      <c r="FOM366" s="35"/>
      <c r="FON366" s="35"/>
      <c r="FOO366" s="35"/>
      <c r="FOP366" s="35"/>
      <c r="FOQ366" s="34"/>
      <c r="FOR366" s="34"/>
      <c r="FOS366" s="36"/>
      <c r="FOT366" s="36"/>
      <c r="FOU366" s="37"/>
      <c r="FOV366" s="37"/>
      <c r="FOW366" s="38"/>
      <c r="FOX366" s="38"/>
      <c r="FOY366" s="39"/>
      <c r="FOZ366" s="34"/>
      <c r="FPA366" s="34"/>
      <c r="FPB366" s="34"/>
      <c r="FPC366" s="35"/>
      <c r="FPD366" s="35"/>
      <c r="FPE366" s="35"/>
      <c r="FPF366" s="35"/>
      <c r="FPG366" s="35"/>
      <c r="FPH366" s="34"/>
      <c r="FPI366" s="34"/>
      <c r="FPJ366" s="36"/>
      <c r="FPK366" s="36"/>
      <c r="FPL366" s="37"/>
      <c r="FPM366" s="37"/>
      <c r="FPN366" s="38"/>
      <c r="FPO366" s="38"/>
      <c r="FPP366" s="39"/>
      <c r="FPQ366" s="34"/>
      <c r="FPR366" s="34"/>
      <c r="FPS366" s="34"/>
      <c r="FPT366" s="35"/>
      <c r="FPU366" s="35"/>
      <c r="FPV366" s="35"/>
      <c r="FPW366" s="35"/>
      <c r="FPX366" s="35"/>
      <c r="FPY366" s="34"/>
      <c r="FPZ366" s="34"/>
      <c r="FQA366" s="36"/>
      <c r="FQB366" s="36"/>
      <c r="FQC366" s="37"/>
      <c r="FQD366" s="37"/>
      <c r="FQE366" s="38"/>
      <c r="FQF366" s="38"/>
      <c r="FQG366" s="39"/>
      <c r="FQH366" s="34"/>
      <c r="FQI366" s="34"/>
      <c r="FQJ366" s="34"/>
      <c r="FQK366" s="35"/>
      <c r="FQL366" s="35"/>
      <c r="FQM366" s="35"/>
      <c r="FQN366" s="35"/>
      <c r="FQO366" s="35"/>
      <c r="FQP366" s="34"/>
      <c r="FQQ366" s="34"/>
      <c r="FQR366" s="36"/>
      <c r="FQS366" s="36"/>
      <c r="FQT366" s="37"/>
      <c r="FQU366" s="37"/>
      <c r="FQV366" s="38"/>
      <c r="FQW366" s="38"/>
      <c r="FQX366" s="39"/>
      <c r="FQY366" s="34"/>
      <c r="FQZ366" s="34"/>
      <c r="FRA366" s="34"/>
      <c r="FRB366" s="35"/>
      <c r="FRC366" s="35"/>
      <c r="FRD366" s="35"/>
      <c r="FRE366" s="35"/>
      <c r="FRF366" s="35"/>
      <c r="FRG366" s="34"/>
      <c r="FRH366" s="34"/>
      <c r="FRI366" s="36"/>
      <c r="FRJ366" s="36"/>
      <c r="FRK366" s="37"/>
      <c r="FRL366" s="37"/>
      <c r="FRM366" s="38"/>
      <c r="FRN366" s="38"/>
      <c r="FRO366" s="39"/>
      <c r="FRP366" s="34"/>
      <c r="FRQ366" s="34"/>
      <c r="FRR366" s="34"/>
      <c r="FRS366" s="35"/>
      <c r="FRT366" s="35"/>
      <c r="FRU366" s="35"/>
      <c r="FRV366" s="35"/>
      <c r="FRW366" s="35"/>
      <c r="FRX366" s="34"/>
      <c r="FRY366" s="34"/>
      <c r="FRZ366" s="36"/>
      <c r="FSA366" s="36"/>
      <c r="FSB366" s="37"/>
      <c r="FSC366" s="37"/>
      <c r="FSD366" s="38"/>
      <c r="FSE366" s="38"/>
      <c r="FSF366" s="39"/>
      <c r="FSG366" s="34"/>
      <c r="FSH366" s="34"/>
      <c r="FSI366" s="34"/>
      <c r="FSJ366" s="35"/>
      <c r="FSK366" s="35"/>
      <c r="FSL366" s="35"/>
      <c r="FSM366" s="35"/>
      <c r="FSN366" s="35"/>
      <c r="FSO366" s="34"/>
      <c r="FSP366" s="34"/>
      <c r="FSQ366" s="36"/>
      <c r="FSR366" s="36"/>
      <c r="FSS366" s="37"/>
      <c r="FST366" s="37"/>
      <c r="FSU366" s="38"/>
      <c r="FSV366" s="38"/>
      <c r="FSW366" s="39"/>
      <c r="FSX366" s="34"/>
      <c r="FSY366" s="34"/>
      <c r="FSZ366" s="34"/>
      <c r="FTA366" s="35"/>
      <c r="FTB366" s="35"/>
      <c r="FTC366" s="35"/>
      <c r="FTD366" s="35"/>
      <c r="FTE366" s="35"/>
      <c r="FTF366" s="34"/>
      <c r="FTG366" s="34"/>
      <c r="FTH366" s="36"/>
      <c r="FTI366" s="36"/>
      <c r="FTJ366" s="37"/>
      <c r="FTK366" s="37"/>
      <c r="FTL366" s="38"/>
      <c r="FTM366" s="38"/>
      <c r="FTN366" s="39"/>
      <c r="FTO366" s="34"/>
      <c r="FTP366" s="34"/>
      <c r="FTQ366" s="34"/>
      <c r="FTR366" s="35"/>
      <c r="FTS366" s="35"/>
      <c r="FTT366" s="35"/>
      <c r="FTU366" s="35"/>
      <c r="FTV366" s="35"/>
      <c r="FTW366" s="34"/>
      <c r="FTX366" s="34"/>
      <c r="FTY366" s="36"/>
      <c r="FTZ366" s="36"/>
      <c r="FUA366" s="37"/>
      <c r="FUB366" s="37"/>
      <c r="FUC366" s="38"/>
      <c r="FUD366" s="38"/>
      <c r="FUE366" s="39"/>
      <c r="FUF366" s="34"/>
      <c r="FUG366" s="34"/>
      <c r="FUH366" s="34"/>
      <c r="FUI366" s="35"/>
      <c r="FUJ366" s="35"/>
      <c r="FUK366" s="35"/>
      <c r="FUL366" s="35"/>
      <c r="FUM366" s="35"/>
      <c r="FUN366" s="34"/>
      <c r="FUO366" s="34"/>
      <c r="FUP366" s="36"/>
      <c r="FUQ366" s="36"/>
      <c r="FUR366" s="37"/>
      <c r="FUS366" s="37"/>
      <c r="FUT366" s="38"/>
      <c r="FUU366" s="38"/>
      <c r="FUV366" s="39"/>
      <c r="FUW366" s="34"/>
      <c r="FUX366" s="34"/>
      <c r="FUY366" s="34"/>
      <c r="FUZ366" s="35"/>
      <c r="FVA366" s="35"/>
      <c r="FVB366" s="35"/>
      <c r="FVC366" s="35"/>
      <c r="FVD366" s="35"/>
      <c r="FVE366" s="34"/>
      <c r="FVF366" s="34"/>
      <c r="FVG366" s="36"/>
      <c r="FVH366" s="36"/>
      <c r="FVI366" s="37"/>
      <c r="FVJ366" s="37"/>
      <c r="FVK366" s="38"/>
      <c r="FVL366" s="38"/>
      <c r="FVM366" s="39"/>
      <c r="FVN366" s="34"/>
      <c r="FVO366" s="34"/>
      <c r="FVP366" s="34"/>
      <c r="FVQ366" s="35"/>
      <c r="FVR366" s="35"/>
      <c r="FVS366" s="35"/>
      <c r="FVT366" s="35"/>
      <c r="FVU366" s="35"/>
      <c r="FVV366" s="34"/>
      <c r="FVW366" s="34"/>
      <c r="FVX366" s="36"/>
      <c r="FVY366" s="36"/>
      <c r="FVZ366" s="37"/>
      <c r="FWA366" s="37"/>
      <c r="FWB366" s="38"/>
      <c r="FWC366" s="38"/>
      <c r="FWD366" s="39"/>
      <c r="FWE366" s="34"/>
      <c r="FWF366" s="34"/>
      <c r="FWG366" s="34"/>
      <c r="FWH366" s="35"/>
      <c r="FWI366" s="35"/>
      <c r="FWJ366" s="35"/>
      <c r="FWK366" s="35"/>
      <c r="FWL366" s="35"/>
      <c r="FWM366" s="34"/>
      <c r="FWN366" s="34"/>
      <c r="FWO366" s="36"/>
      <c r="FWP366" s="36"/>
      <c r="FWQ366" s="37"/>
      <c r="FWR366" s="37"/>
      <c r="FWS366" s="38"/>
      <c r="FWT366" s="38"/>
      <c r="FWU366" s="39"/>
      <c r="FWV366" s="34"/>
      <c r="FWW366" s="34"/>
      <c r="FWX366" s="34"/>
      <c r="FWY366" s="35"/>
      <c r="FWZ366" s="35"/>
      <c r="FXA366" s="35"/>
      <c r="FXB366" s="35"/>
      <c r="FXC366" s="35"/>
      <c r="FXD366" s="34"/>
      <c r="FXE366" s="34"/>
      <c r="FXF366" s="36"/>
      <c r="FXG366" s="36"/>
      <c r="FXH366" s="37"/>
      <c r="FXI366" s="37"/>
      <c r="FXJ366" s="38"/>
      <c r="FXK366" s="38"/>
      <c r="FXL366" s="39"/>
      <c r="FXM366" s="34"/>
      <c r="FXN366" s="34"/>
      <c r="FXO366" s="34"/>
      <c r="FXP366" s="35"/>
      <c r="FXQ366" s="35"/>
      <c r="FXR366" s="35"/>
      <c r="FXS366" s="35"/>
      <c r="FXT366" s="35"/>
      <c r="FXU366" s="34"/>
      <c r="FXV366" s="34"/>
      <c r="FXW366" s="36"/>
      <c r="FXX366" s="36"/>
      <c r="FXY366" s="37"/>
      <c r="FXZ366" s="37"/>
      <c r="FYA366" s="38"/>
      <c r="FYB366" s="38"/>
      <c r="FYC366" s="39"/>
      <c r="FYD366" s="34"/>
      <c r="FYE366" s="34"/>
      <c r="FYF366" s="34"/>
      <c r="FYG366" s="35"/>
      <c r="FYH366" s="35"/>
      <c r="FYI366" s="35"/>
      <c r="FYJ366" s="35"/>
      <c r="FYK366" s="35"/>
      <c r="FYL366" s="34"/>
      <c r="FYM366" s="34"/>
      <c r="FYN366" s="36"/>
      <c r="FYO366" s="36"/>
      <c r="FYP366" s="37"/>
      <c r="FYQ366" s="37"/>
      <c r="FYR366" s="38"/>
      <c r="FYS366" s="38"/>
      <c r="FYT366" s="39"/>
      <c r="FYU366" s="34"/>
      <c r="FYV366" s="34"/>
      <c r="FYW366" s="34"/>
      <c r="FYX366" s="35"/>
      <c r="FYY366" s="35"/>
      <c r="FYZ366" s="35"/>
      <c r="FZA366" s="35"/>
      <c r="FZB366" s="35"/>
      <c r="FZC366" s="34"/>
      <c r="FZD366" s="34"/>
      <c r="FZE366" s="36"/>
      <c r="FZF366" s="36"/>
      <c r="FZG366" s="37"/>
      <c r="FZH366" s="37"/>
      <c r="FZI366" s="38"/>
      <c r="FZJ366" s="38"/>
      <c r="FZK366" s="39"/>
      <c r="FZL366" s="34"/>
      <c r="FZM366" s="34"/>
      <c r="FZN366" s="34"/>
      <c r="FZO366" s="35"/>
      <c r="FZP366" s="35"/>
      <c r="FZQ366" s="35"/>
      <c r="FZR366" s="35"/>
      <c r="FZS366" s="35"/>
      <c r="FZT366" s="34"/>
      <c r="FZU366" s="34"/>
      <c r="FZV366" s="36"/>
      <c r="FZW366" s="36"/>
      <c r="FZX366" s="37"/>
      <c r="FZY366" s="37"/>
      <c r="FZZ366" s="38"/>
      <c r="GAA366" s="38"/>
      <c r="GAB366" s="39"/>
      <c r="GAC366" s="34"/>
      <c r="GAD366" s="34"/>
      <c r="GAE366" s="34"/>
      <c r="GAF366" s="35"/>
      <c r="GAG366" s="35"/>
      <c r="GAH366" s="35"/>
      <c r="GAI366" s="35"/>
      <c r="GAJ366" s="35"/>
      <c r="GAK366" s="34"/>
      <c r="GAL366" s="34"/>
      <c r="GAM366" s="36"/>
      <c r="GAN366" s="36"/>
      <c r="GAO366" s="37"/>
      <c r="GAP366" s="37"/>
      <c r="GAQ366" s="38"/>
      <c r="GAR366" s="38"/>
      <c r="GAS366" s="39"/>
      <c r="GAT366" s="34"/>
      <c r="GAU366" s="34"/>
      <c r="GAV366" s="34"/>
      <c r="GAW366" s="35"/>
      <c r="GAX366" s="35"/>
      <c r="GAY366" s="35"/>
      <c r="GAZ366" s="35"/>
      <c r="GBA366" s="35"/>
      <c r="GBB366" s="34"/>
      <c r="GBC366" s="34"/>
      <c r="GBD366" s="36"/>
      <c r="GBE366" s="36"/>
      <c r="GBF366" s="37"/>
      <c r="GBG366" s="37"/>
      <c r="GBH366" s="38"/>
      <c r="GBI366" s="38"/>
      <c r="GBJ366" s="39"/>
      <c r="GBK366" s="34"/>
      <c r="GBL366" s="34"/>
      <c r="GBM366" s="34"/>
      <c r="GBN366" s="35"/>
      <c r="GBO366" s="35"/>
      <c r="GBP366" s="35"/>
      <c r="GBQ366" s="35"/>
      <c r="GBR366" s="35"/>
      <c r="GBS366" s="34"/>
      <c r="GBT366" s="34"/>
      <c r="GBU366" s="36"/>
      <c r="GBV366" s="36"/>
      <c r="GBW366" s="37"/>
      <c r="GBX366" s="37"/>
      <c r="GBY366" s="38"/>
      <c r="GBZ366" s="38"/>
      <c r="GCA366" s="39"/>
      <c r="GCB366" s="34"/>
      <c r="GCC366" s="34"/>
      <c r="GCD366" s="34"/>
      <c r="GCE366" s="35"/>
      <c r="GCF366" s="35"/>
      <c r="GCG366" s="35"/>
      <c r="GCH366" s="35"/>
      <c r="GCI366" s="35"/>
      <c r="GCJ366" s="34"/>
      <c r="GCK366" s="34"/>
      <c r="GCL366" s="36"/>
      <c r="GCM366" s="36"/>
      <c r="GCN366" s="37"/>
      <c r="GCO366" s="37"/>
      <c r="GCP366" s="38"/>
      <c r="GCQ366" s="38"/>
      <c r="GCR366" s="39"/>
      <c r="GCS366" s="34"/>
      <c r="GCT366" s="34"/>
      <c r="GCU366" s="34"/>
      <c r="GCV366" s="35"/>
      <c r="GCW366" s="35"/>
      <c r="GCX366" s="35"/>
      <c r="GCY366" s="35"/>
      <c r="GCZ366" s="35"/>
      <c r="GDA366" s="34"/>
      <c r="GDB366" s="34"/>
      <c r="GDC366" s="36"/>
      <c r="GDD366" s="36"/>
      <c r="GDE366" s="37"/>
      <c r="GDF366" s="37"/>
      <c r="GDG366" s="38"/>
      <c r="GDH366" s="38"/>
      <c r="GDI366" s="39"/>
      <c r="GDJ366" s="34"/>
      <c r="GDK366" s="34"/>
      <c r="GDL366" s="34"/>
      <c r="GDM366" s="35"/>
      <c r="GDN366" s="35"/>
      <c r="GDO366" s="35"/>
      <c r="GDP366" s="35"/>
      <c r="GDQ366" s="35"/>
      <c r="GDR366" s="34"/>
      <c r="GDS366" s="34"/>
      <c r="GDT366" s="36"/>
      <c r="GDU366" s="36"/>
      <c r="GDV366" s="37"/>
      <c r="GDW366" s="37"/>
      <c r="GDX366" s="38"/>
      <c r="GDY366" s="38"/>
      <c r="GDZ366" s="39"/>
      <c r="GEA366" s="34"/>
      <c r="GEB366" s="34"/>
      <c r="GEC366" s="34"/>
      <c r="GED366" s="35"/>
      <c r="GEE366" s="35"/>
      <c r="GEF366" s="35"/>
      <c r="GEG366" s="35"/>
      <c r="GEH366" s="35"/>
      <c r="GEI366" s="34"/>
      <c r="GEJ366" s="34"/>
      <c r="GEK366" s="36"/>
      <c r="GEL366" s="36"/>
      <c r="GEM366" s="37"/>
      <c r="GEN366" s="37"/>
      <c r="GEO366" s="38"/>
      <c r="GEP366" s="38"/>
      <c r="GEQ366" s="39"/>
      <c r="GER366" s="34"/>
      <c r="GES366" s="34"/>
      <c r="GET366" s="34"/>
      <c r="GEU366" s="35"/>
      <c r="GEV366" s="35"/>
      <c r="GEW366" s="35"/>
      <c r="GEX366" s="35"/>
      <c r="GEY366" s="35"/>
      <c r="GEZ366" s="34"/>
      <c r="GFA366" s="34"/>
      <c r="GFB366" s="36"/>
      <c r="GFC366" s="36"/>
      <c r="GFD366" s="37"/>
      <c r="GFE366" s="37"/>
      <c r="GFF366" s="38"/>
      <c r="GFG366" s="38"/>
      <c r="GFH366" s="39"/>
      <c r="GFI366" s="34"/>
      <c r="GFJ366" s="34"/>
      <c r="GFK366" s="34"/>
      <c r="GFL366" s="35"/>
      <c r="GFM366" s="35"/>
      <c r="GFN366" s="35"/>
      <c r="GFO366" s="35"/>
      <c r="GFP366" s="35"/>
      <c r="GFQ366" s="34"/>
      <c r="GFR366" s="34"/>
      <c r="GFS366" s="36"/>
      <c r="GFT366" s="36"/>
      <c r="GFU366" s="37"/>
      <c r="GFV366" s="37"/>
      <c r="GFW366" s="38"/>
      <c r="GFX366" s="38"/>
      <c r="GFY366" s="39"/>
      <c r="GFZ366" s="34"/>
      <c r="GGA366" s="34"/>
      <c r="GGB366" s="34"/>
      <c r="GGC366" s="35"/>
      <c r="GGD366" s="35"/>
      <c r="GGE366" s="35"/>
      <c r="GGF366" s="35"/>
      <c r="GGG366" s="35"/>
      <c r="GGH366" s="34"/>
      <c r="GGI366" s="34"/>
      <c r="GGJ366" s="36"/>
      <c r="GGK366" s="36"/>
      <c r="GGL366" s="37"/>
      <c r="GGM366" s="37"/>
      <c r="GGN366" s="38"/>
      <c r="GGO366" s="38"/>
      <c r="GGP366" s="39"/>
      <c r="GGQ366" s="34"/>
      <c r="GGR366" s="34"/>
      <c r="GGS366" s="34"/>
      <c r="GGT366" s="35"/>
      <c r="GGU366" s="35"/>
      <c r="GGV366" s="35"/>
      <c r="GGW366" s="35"/>
      <c r="GGX366" s="35"/>
      <c r="GGY366" s="34"/>
      <c r="GGZ366" s="34"/>
      <c r="GHA366" s="36"/>
      <c r="GHB366" s="36"/>
      <c r="GHC366" s="37"/>
      <c r="GHD366" s="37"/>
      <c r="GHE366" s="38"/>
      <c r="GHF366" s="38"/>
      <c r="GHG366" s="39"/>
      <c r="GHH366" s="34"/>
      <c r="GHI366" s="34"/>
      <c r="GHJ366" s="34"/>
      <c r="GHK366" s="35"/>
      <c r="GHL366" s="35"/>
      <c r="GHM366" s="35"/>
      <c r="GHN366" s="35"/>
      <c r="GHO366" s="35"/>
      <c r="GHP366" s="34"/>
      <c r="GHQ366" s="34"/>
      <c r="GHR366" s="36"/>
      <c r="GHS366" s="36"/>
      <c r="GHT366" s="37"/>
      <c r="GHU366" s="37"/>
      <c r="GHV366" s="38"/>
      <c r="GHW366" s="38"/>
      <c r="GHX366" s="39"/>
      <c r="GHY366" s="34"/>
      <c r="GHZ366" s="34"/>
      <c r="GIA366" s="34"/>
      <c r="GIB366" s="35"/>
      <c r="GIC366" s="35"/>
      <c r="GID366" s="35"/>
      <c r="GIE366" s="35"/>
      <c r="GIF366" s="35"/>
      <c r="GIG366" s="34"/>
      <c r="GIH366" s="34"/>
      <c r="GII366" s="36"/>
      <c r="GIJ366" s="36"/>
      <c r="GIK366" s="37"/>
      <c r="GIL366" s="37"/>
      <c r="GIM366" s="38"/>
      <c r="GIN366" s="38"/>
      <c r="GIO366" s="39"/>
      <c r="GIP366" s="34"/>
      <c r="GIQ366" s="34"/>
      <c r="GIR366" s="34"/>
      <c r="GIS366" s="35"/>
      <c r="GIT366" s="35"/>
      <c r="GIU366" s="35"/>
      <c r="GIV366" s="35"/>
      <c r="GIW366" s="35"/>
      <c r="GIX366" s="34"/>
      <c r="GIY366" s="34"/>
      <c r="GIZ366" s="36"/>
      <c r="GJA366" s="36"/>
      <c r="GJB366" s="37"/>
      <c r="GJC366" s="37"/>
      <c r="GJD366" s="38"/>
      <c r="GJE366" s="38"/>
      <c r="GJF366" s="39"/>
      <c r="GJG366" s="34"/>
      <c r="GJH366" s="34"/>
      <c r="GJI366" s="34"/>
      <c r="GJJ366" s="35"/>
      <c r="GJK366" s="35"/>
      <c r="GJL366" s="35"/>
      <c r="GJM366" s="35"/>
      <c r="GJN366" s="35"/>
      <c r="GJO366" s="34"/>
      <c r="GJP366" s="34"/>
      <c r="GJQ366" s="36"/>
      <c r="GJR366" s="36"/>
      <c r="GJS366" s="37"/>
      <c r="GJT366" s="37"/>
      <c r="GJU366" s="38"/>
      <c r="GJV366" s="38"/>
      <c r="GJW366" s="39"/>
      <c r="GJX366" s="34"/>
      <c r="GJY366" s="34"/>
      <c r="GJZ366" s="34"/>
      <c r="GKA366" s="35"/>
      <c r="GKB366" s="35"/>
      <c r="GKC366" s="35"/>
      <c r="GKD366" s="35"/>
      <c r="GKE366" s="35"/>
      <c r="GKF366" s="34"/>
      <c r="GKG366" s="34"/>
      <c r="GKH366" s="36"/>
      <c r="GKI366" s="36"/>
      <c r="GKJ366" s="37"/>
      <c r="GKK366" s="37"/>
      <c r="GKL366" s="38"/>
      <c r="GKM366" s="38"/>
      <c r="GKN366" s="39"/>
      <c r="GKO366" s="34"/>
      <c r="GKP366" s="34"/>
      <c r="GKQ366" s="34"/>
      <c r="GKR366" s="35"/>
      <c r="GKS366" s="35"/>
      <c r="GKT366" s="35"/>
      <c r="GKU366" s="35"/>
      <c r="GKV366" s="35"/>
      <c r="GKW366" s="34"/>
      <c r="GKX366" s="34"/>
      <c r="GKY366" s="36"/>
      <c r="GKZ366" s="36"/>
      <c r="GLA366" s="37"/>
      <c r="GLB366" s="37"/>
      <c r="GLC366" s="38"/>
      <c r="GLD366" s="38"/>
      <c r="GLE366" s="39"/>
      <c r="GLF366" s="34"/>
      <c r="GLG366" s="34"/>
      <c r="GLH366" s="34"/>
      <c r="GLI366" s="35"/>
      <c r="GLJ366" s="35"/>
      <c r="GLK366" s="35"/>
      <c r="GLL366" s="35"/>
      <c r="GLM366" s="35"/>
      <c r="GLN366" s="34"/>
      <c r="GLO366" s="34"/>
      <c r="GLP366" s="36"/>
      <c r="GLQ366" s="36"/>
      <c r="GLR366" s="37"/>
      <c r="GLS366" s="37"/>
      <c r="GLT366" s="38"/>
      <c r="GLU366" s="38"/>
      <c r="GLV366" s="39"/>
      <c r="GLW366" s="34"/>
      <c r="GLX366" s="34"/>
      <c r="GLY366" s="34"/>
      <c r="GLZ366" s="35"/>
      <c r="GMA366" s="35"/>
      <c r="GMB366" s="35"/>
      <c r="GMC366" s="35"/>
      <c r="GMD366" s="35"/>
      <c r="GME366" s="34"/>
      <c r="GMF366" s="34"/>
      <c r="GMG366" s="36"/>
      <c r="GMH366" s="36"/>
      <c r="GMI366" s="37"/>
      <c r="GMJ366" s="37"/>
      <c r="GMK366" s="38"/>
      <c r="GML366" s="38"/>
      <c r="GMM366" s="39"/>
      <c r="GMN366" s="34"/>
      <c r="GMO366" s="34"/>
      <c r="GMP366" s="34"/>
      <c r="GMQ366" s="35"/>
      <c r="GMR366" s="35"/>
      <c r="GMS366" s="35"/>
      <c r="GMT366" s="35"/>
      <c r="GMU366" s="35"/>
      <c r="GMV366" s="34"/>
      <c r="GMW366" s="34"/>
      <c r="GMX366" s="36"/>
      <c r="GMY366" s="36"/>
      <c r="GMZ366" s="37"/>
      <c r="GNA366" s="37"/>
      <c r="GNB366" s="38"/>
      <c r="GNC366" s="38"/>
      <c r="GND366" s="39"/>
      <c r="GNE366" s="34"/>
      <c r="GNF366" s="34"/>
      <c r="GNG366" s="34"/>
      <c r="GNH366" s="35"/>
      <c r="GNI366" s="35"/>
      <c r="GNJ366" s="35"/>
      <c r="GNK366" s="35"/>
      <c r="GNL366" s="35"/>
      <c r="GNM366" s="34"/>
      <c r="GNN366" s="34"/>
      <c r="GNO366" s="36"/>
      <c r="GNP366" s="36"/>
      <c r="GNQ366" s="37"/>
      <c r="GNR366" s="37"/>
      <c r="GNS366" s="38"/>
      <c r="GNT366" s="38"/>
      <c r="GNU366" s="39"/>
      <c r="GNV366" s="34"/>
      <c r="GNW366" s="34"/>
      <c r="GNX366" s="34"/>
      <c r="GNY366" s="35"/>
      <c r="GNZ366" s="35"/>
      <c r="GOA366" s="35"/>
      <c r="GOB366" s="35"/>
      <c r="GOC366" s="35"/>
      <c r="GOD366" s="34"/>
      <c r="GOE366" s="34"/>
      <c r="GOF366" s="36"/>
      <c r="GOG366" s="36"/>
      <c r="GOH366" s="37"/>
      <c r="GOI366" s="37"/>
      <c r="GOJ366" s="38"/>
      <c r="GOK366" s="38"/>
      <c r="GOL366" s="39"/>
      <c r="GOM366" s="34"/>
      <c r="GON366" s="34"/>
      <c r="GOO366" s="34"/>
      <c r="GOP366" s="35"/>
      <c r="GOQ366" s="35"/>
      <c r="GOR366" s="35"/>
      <c r="GOS366" s="35"/>
      <c r="GOT366" s="35"/>
      <c r="GOU366" s="34"/>
      <c r="GOV366" s="34"/>
      <c r="GOW366" s="36"/>
      <c r="GOX366" s="36"/>
      <c r="GOY366" s="37"/>
      <c r="GOZ366" s="37"/>
      <c r="GPA366" s="38"/>
      <c r="GPB366" s="38"/>
      <c r="GPC366" s="39"/>
      <c r="GPD366" s="34"/>
      <c r="GPE366" s="34"/>
      <c r="GPF366" s="34"/>
      <c r="GPG366" s="35"/>
      <c r="GPH366" s="35"/>
      <c r="GPI366" s="35"/>
      <c r="GPJ366" s="35"/>
      <c r="GPK366" s="35"/>
      <c r="GPL366" s="34"/>
      <c r="GPM366" s="34"/>
      <c r="GPN366" s="36"/>
      <c r="GPO366" s="36"/>
      <c r="GPP366" s="37"/>
      <c r="GPQ366" s="37"/>
      <c r="GPR366" s="38"/>
      <c r="GPS366" s="38"/>
      <c r="GPT366" s="39"/>
      <c r="GPU366" s="34"/>
      <c r="GPV366" s="34"/>
      <c r="GPW366" s="34"/>
      <c r="GPX366" s="35"/>
      <c r="GPY366" s="35"/>
      <c r="GPZ366" s="35"/>
      <c r="GQA366" s="35"/>
      <c r="GQB366" s="35"/>
      <c r="GQC366" s="34"/>
      <c r="GQD366" s="34"/>
      <c r="GQE366" s="36"/>
      <c r="GQF366" s="36"/>
      <c r="GQG366" s="37"/>
      <c r="GQH366" s="37"/>
      <c r="GQI366" s="38"/>
      <c r="GQJ366" s="38"/>
      <c r="GQK366" s="39"/>
      <c r="GQL366" s="34"/>
      <c r="GQM366" s="34"/>
      <c r="GQN366" s="34"/>
      <c r="GQO366" s="35"/>
      <c r="GQP366" s="35"/>
      <c r="GQQ366" s="35"/>
      <c r="GQR366" s="35"/>
      <c r="GQS366" s="35"/>
      <c r="GQT366" s="34"/>
      <c r="GQU366" s="34"/>
      <c r="GQV366" s="36"/>
      <c r="GQW366" s="36"/>
      <c r="GQX366" s="37"/>
      <c r="GQY366" s="37"/>
      <c r="GQZ366" s="38"/>
      <c r="GRA366" s="38"/>
      <c r="GRB366" s="39"/>
      <c r="GRC366" s="34"/>
      <c r="GRD366" s="34"/>
      <c r="GRE366" s="34"/>
      <c r="GRF366" s="35"/>
      <c r="GRG366" s="35"/>
      <c r="GRH366" s="35"/>
      <c r="GRI366" s="35"/>
      <c r="GRJ366" s="35"/>
      <c r="GRK366" s="34"/>
      <c r="GRL366" s="34"/>
      <c r="GRM366" s="36"/>
      <c r="GRN366" s="36"/>
      <c r="GRO366" s="37"/>
      <c r="GRP366" s="37"/>
      <c r="GRQ366" s="38"/>
      <c r="GRR366" s="38"/>
      <c r="GRS366" s="39"/>
      <c r="GRT366" s="34"/>
      <c r="GRU366" s="34"/>
      <c r="GRV366" s="34"/>
      <c r="GRW366" s="35"/>
      <c r="GRX366" s="35"/>
      <c r="GRY366" s="35"/>
      <c r="GRZ366" s="35"/>
      <c r="GSA366" s="35"/>
      <c r="GSB366" s="34"/>
      <c r="GSC366" s="34"/>
      <c r="GSD366" s="36"/>
      <c r="GSE366" s="36"/>
      <c r="GSF366" s="37"/>
      <c r="GSG366" s="37"/>
      <c r="GSH366" s="38"/>
      <c r="GSI366" s="38"/>
      <c r="GSJ366" s="39"/>
      <c r="GSK366" s="34"/>
      <c r="GSL366" s="34"/>
      <c r="GSM366" s="34"/>
      <c r="GSN366" s="35"/>
      <c r="GSO366" s="35"/>
      <c r="GSP366" s="35"/>
      <c r="GSQ366" s="35"/>
      <c r="GSR366" s="35"/>
      <c r="GSS366" s="34"/>
      <c r="GST366" s="34"/>
      <c r="GSU366" s="36"/>
      <c r="GSV366" s="36"/>
      <c r="GSW366" s="37"/>
      <c r="GSX366" s="37"/>
      <c r="GSY366" s="38"/>
      <c r="GSZ366" s="38"/>
      <c r="GTA366" s="39"/>
      <c r="GTB366" s="34"/>
      <c r="GTC366" s="34"/>
      <c r="GTD366" s="34"/>
      <c r="GTE366" s="35"/>
      <c r="GTF366" s="35"/>
      <c r="GTG366" s="35"/>
      <c r="GTH366" s="35"/>
      <c r="GTI366" s="35"/>
      <c r="GTJ366" s="34"/>
      <c r="GTK366" s="34"/>
      <c r="GTL366" s="36"/>
      <c r="GTM366" s="36"/>
      <c r="GTN366" s="37"/>
      <c r="GTO366" s="37"/>
      <c r="GTP366" s="38"/>
      <c r="GTQ366" s="38"/>
      <c r="GTR366" s="39"/>
      <c r="GTS366" s="34"/>
      <c r="GTT366" s="34"/>
      <c r="GTU366" s="34"/>
      <c r="GTV366" s="35"/>
      <c r="GTW366" s="35"/>
      <c r="GTX366" s="35"/>
      <c r="GTY366" s="35"/>
      <c r="GTZ366" s="35"/>
      <c r="GUA366" s="34"/>
      <c r="GUB366" s="34"/>
      <c r="GUC366" s="36"/>
      <c r="GUD366" s="36"/>
      <c r="GUE366" s="37"/>
      <c r="GUF366" s="37"/>
      <c r="GUG366" s="38"/>
      <c r="GUH366" s="38"/>
      <c r="GUI366" s="39"/>
      <c r="GUJ366" s="34"/>
      <c r="GUK366" s="34"/>
      <c r="GUL366" s="34"/>
      <c r="GUM366" s="35"/>
      <c r="GUN366" s="35"/>
      <c r="GUO366" s="35"/>
      <c r="GUP366" s="35"/>
      <c r="GUQ366" s="35"/>
      <c r="GUR366" s="34"/>
      <c r="GUS366" s="34"/>
      <c r="GUT366" s="36"/>
      <c r="GUU366" s="36"/>
      <c r="GUV366" s="37"/>
      <c r="GUW366" s="37"/>
      <c r="GUX366" s="38"/>
      <c r="GUY366" s="38"/>
      <c r="GUZ366" s="39"/>
      <c r="GVA366" s="34"/>
      <c r="GVB366" s="34"/>
      <c r="GVC366" s="34"/>
      <c r="GVD366" s="35"/>
      <c r="GVE366" s="35"/>
      <c r="GVF366" s="35"/>
      <c r="GVG366" s="35"/>
      <c r="GVH366" s="35"/>
      <c r="GVI366" s="34"/>
      <c r="GVJ366" s="34"/>
      <c r="GVK366" s="36"/>
      <c r="GVL366" s="36"/>
      <c r="GVM366" s="37"/>
      <c r="GVN366" s="37"/>
      <c r="GVO366" s="38"/>
      <c r="GVP366" s="38"/>
      <c r="GVQ366" s="39"/>
      <c r="GVR366" s="34"/>
      <c r="GVS366" s="34"/>
      <c r="GVT366" s="34"/>
      <c r="GVU366" s="35"/>
      <c r="GVV366" s="35"/>
      <c r="GVW366" s="35"/>
      <c r="GVX366" s="35"/>
      <c r="GVY366" s="35"/>
      <c r="GVZ366" s="34"/>
      <c r="GWA366" s="34"/>
      <c r="GWB366" s="36"/>
      <c r="GWC366" s="36"/>
      <c r="GWD366" s="37"/>
      <c r="GWE366" s="37"/>
      <c r="GWF366" s="38"/>
      <c r="GWG366" s="38"/>
      <c r="GWH366" s="39"/>
      <c r="GWI366" s="34"/>
      <c r="GWJ366" s="34"/>
      <c r="GWK366" s="34"/>
      <c r="GWL366" s="35"/>
      <c r="GWM366" s="35"/>
      <c r="GWN366" s="35"/>
      <c r="GWO366" s="35"/>
      <c r="GWP366" s="35"/>
      <c r="GWQ366" s="34"/>
      <c r="GWR366" s="34"/>
      <c r="GWS366" s="36"/>
      <c r="GWT366" s="36"/>
      <c r="GWU366" s="37"/>
      <c r="GWV366" s="37"/>
      <c r="GWW366" s="38"/>
      <c r="GWX366" s="38"/>
      <c r="GWY366" s="39"/>
      <c r="GWZ366" s="34"/>
      <c r="GXA366" s="34"/>
      <c r="GXB366" s="34"/>
      <c r="GXC366" s="35"/>
      <c r="GXD366" s="35"/>
      <c r="GXE366" s="35"/>
      <c r="GXF366" s="35"/>
      <c r="GXG366" s="35"/>
      <c r="GXH366" s="34"/>
      <c r="GXI366" s="34"/>
      <c r="GXJ366" s="36"/>
      <c r="GXK366" s="36"/>
      <c r="GXL366" s="37"/>
      <c r="GXM366" s="37"/>
      <c r="GXN366" s="38"/>
      <c r="GXO366" s="38"/>
      <c r="GXP366" s="39"/>
      <c r="GXQ366" s="34"/>
      <c r="GXR366" s="34"/>
      <c r="GXS366" s="34"/>
      <c r="GXT366" s="35"/>
      <c r="GXU366" s="35"/>
      <c r="GXV366" s="35"/>
      <c r="GXW366" s="35"/>
      <c r="GXX366" s="35"/>
      <c r="GXY366" s="34"/>
      <c r="GXZ366" s="34"/>
      <c r="GYA366" s="36"/>
      <c r="GYB366" s="36"/>
      <c r="GYC366" s="37"/>
      <c r="GYD366" s="37"/>
      <c r="GYE366" s="38"/>
      <c r="GYF366" s="38"/>
      <c r="GYG366" s="39"/>
      <c r="GYH366" s="34"/>
      <c r="GYI366" s="34"/>
      <c r="GYJ366" s="34"/>
      <c r="GYK366" s="35"/>
      <c r="GYL366" s="35"/>
      <c r="GYM366" s="35"/>
      <c r="GYN366" s="35"/>
      <c r="GYO366" s="35"/>
      <c r="GYP366" s="34"/>
      <c r="GYQ366" s="34"/>
      <c r="GYR366" s="36"/>
      <c r="GYS366" s="36"/>
      <c r="GYT366" s="37"/>
      <c r="GYU366" s="37"/>
      <c r="GYV366" s="38"/>
      <c r="GYW366" s="38"/>
      <c r="GYX366" s="39"/>
      <c r="GYY366" s="34"/>
      <c r="GYZ366" s="34"/>
      <c r="GZA366" s="34"/>
      <c r="GZB366" s="35"/>
      <c r="GZC366" s="35"/>
      <c r="GZD366" s="35"/>
      <c r="GZE366" s="35"/>
      <c r="GZF366" s="35"/>
      <c r="GZG366" s="34"/>
      <c r="GZH366" s="34"/>
      <c r="GZI366" s="36"/>
      <c r="GZJ366" s="36"/>
      <c r="GZK366" s="37"/>
      <c r="GZL366" s="37"/>
      <c r="GZM366" s="38"/>
      <c r="GZN366" s="38"/>
      <c r="GZO366" s="39"/>
      <c r="GZP366" s="34"/>
      <c r="GZQ366" s="34"/>
      <c r="GZR366" s="34"/>
      <c r="GZS366" s="35"/>
      <c r="GZT366" s="35"/>
      <c r="GZU366" s="35"/>
      <c r="GZV366" s="35"/>
      <c r="GZW366" s="35"/>
      <c r="GZX366" s="34"/>
      <c r="GZY366" s="34"/>
      <c r="GZZ366" s="36"/>
      <c r="HAA366" s="36"/>
      <c r="HAB366" s="37"/>
      <c r="HAC366" s="37"/>
      <c r="HAD366" s="38"/>
      <c r="HAE366" s="38"/>
      <c r="HAF366" s="39"/>
      <c r="HAG366" s="34"/>
      <c r="HAH366" s="34"/>
      <c r="HAI366" s="34"/>
      <c r="HAJ366" s="35"/>
      <c r="HAK366" s="35"/>
      <c r="HAL366" s="35"/>
      <c r="HAM366" s="35"/>
      <c r="HAN366" s="35"/>
      <c r="HAO366" s="34"/>
      <c r="HAP366" s="34"/>
      <c r="HAQ366" s="36"/>
      <c r="HAR366" s="36"/>
      <c r="HAS366" s="37"/>
      <c r="HAT366" s="37"/>
      <c r="HAU366" s="38"/>
      <c r="HAV366" s="38"/>
      <c r="HAW366" s="39"/>
      <c r="HAX366" s="34"/>
      <c r="HAY366" s="34"/>
      <c r="HAZ366" s="34"/>
      <c r="HBA366" s="35"/>
      <c r="HBB366" s="35"/>
      <c r="HBC366" s="35"/>
      <c r="HBD366" s="35"/>
      <c r="HBE366" s="35"/>
      <c r="HBF366" s="34"/>
      <c r="HBG366" s="34"/>
      <c r="HBH366" s="36"/>
      <c r="HBI366" s="36"/>
      <c r="HBJ366" s="37"/>
      <c r="HBK366" s="37"/>
      <c r="HBL366" s="38"/>
      <c r="HBM366" s="38"/>
      <c r="HBN366" s="39"/>
      <c r="HBO366" s="34"/>
      <c r="HBP366" s="34"/>
      <c r="HBQ366" s="34"/>
      <c r="HBR366" s="35"/>
      <c r="HBS366" s="35"/>
      <c r="HBT366" s="35"/>
      <c r="HBU366" s="35"/>
      <c r="HBV366" s="35"/>
      <c r="HBW366" s="34"/>
      <c r="HBX366" s="34"/>
      <c r="HBY366" s="36"/>
      <c r="HBZ366" s="36"/>
      <c r="HCA366" s="37"/>
      <c r="HCB366" s="37"/>
      <c r="HCC366" s="38"/>
      <c r="HCD366" s="38"/>
      <c r="HCE366" s="39"/>
      <c r="HCF366" s="34"/>
      <c r="HCG366" s="34"/>
      <c r="HCH366" s="34"/>
      <c r="HCI366" s="35"/>
      <c r="HCJ366" s="35"/>
      <c r="HCK366" s="35"/>
      <c r="HCL366" s="35"/>
      <c r="HCM366" s="35"/>
      <c r="HCN366" s="34"/>
      <c r="HCO366" s="34"/>
      <c r="HCP366" s="36"/>
      <c r="HCQ366" s="36"/>
      <c r="HCR366" s="37"/>
      <c r="HCS366" s="37"/>
      <c r="HCT366" s="38"/>
      <c r="HCU366" s="38"/>
      <c r="HCV366" s="39"/>
      <c r="HCW366" s="34"/>
      <c r="HCX366" s="34"/>
      <c r="HCY366" s="34"/>
      <c r="HCZ366" s="35"/>
      <c r="HDA366" s="35"/>
      <c r="HDB366" s="35"/>
      <c r="HDC366" s="35"/>
      <c r="HDD366" s="35"/>
      <c r="HDE366" s="34"/>
      <c r="HDF366" s="34"/>
      <c r="HDG366" s="36"/>
      <c r="HDH366" s="36"/>
      <c r="HDI366" s="37"/>
      <c r="HDJ366" s="37"/>
      <c r="HDK366" s="38"/>
      <c r="HDL366" s="38"/>
      <c r="HDM366" s="39"/>
      <c r="HDN366" s="34"/>
      <c r="HDO366" s="34"/>
      <c r="HDP366" s="34"/>
      <c r="HDQ366" s="35"/>
      <c r="HDR366" s="35"/>
      <c r="HDS366" s="35"/>
      <c r="HDT366" s="35"/>
      <c r="HDU366" s="35"/>
      <c r="HDV366" s="34"/>
      <c r="HDW366" s="34"/>
      <c r="HDX366" s="36"/>
      <c r="HDY366" s="36"/>
      <c r="HDZ366" s="37"/>
      <c r="HEA366" s="37"/>
      <c r="HEB366" s="38"/>
      <c r="HEC366" s="38"/>
      <c r="HED366" s="39"/>
      <c r="HEE366" s="34"/>
      <c r="HEF366" s="34"/>
      <c r="HEG366" s="34"/>
      <c r="HEH366" s="35"/>
      <c r="HEI366" s="35"/>
      <c r="HEJ366" s="35"/>
      <c r="HEK366" s="35"/>
      <c r="HEL366" s="35"/>
      <c r="HEM366" s="34"/>
      <c r="HEN366" s="34"/>
      <c r="HEO366" s="36"/>
      <c r="HEP366" s="36"/>
      <c r="HEQ366" s="37"/>
      <c r="HER366" s="37"/>
      <c r="HES366" s="38"/>
      <c r="HET366" s="38"/>
      <c r="HEU366" s="39"/>
      <c r="HEV366" s="34"/>
      <c r="HEW366" s="34"/>
      <c r="HEX366" s="34"/>
      <c r="HEY366" s="35"/>
      <c r="HEZ366" s="35"/>
      <c r="HFA366" s="35"/>
      <c r="HFB366" s="35"/>
      <c r="HFC366" s="35"/>
      <c r="HFD366" s="34"/>
      <c r="HFE366" s="34"/>
      <c r="HFF366" s="36"/>
      <c r="HFG366" s="36"/>
      <c r="HFH366" s="37"/>
      <c r="HFI366" s="37"/>
      <c r="HFJ366" s="38"/>
      <c r="HFK366" s="38"/>
      <c r="HFL366" s="39"/>
      <c r="HFM366" s="34"/>
      <c r="HFN366" s="34"/>
      <c r="HFO366" s="34"/>
      <c r="HFP366" s="35"/>
      <c r="HFQ366" s="35"/>
      <c r="HFR366" s="35"/>
      <c r="HFS366" s="35"/>
      <c r="HFT366" s="35"/>
      <c r="HFU366" s="34"/>
      <c r="HFV366" s="34"/>
      <c r="HFW366" s="36"/>
      <c r="HFX366" s="36"/>
      <c r="HFY366" s="37"/>
      <c r="HFZ366" s="37"/>
      <c r="HGA366" s="38"/>
      <c r="HGB366" s="38"/>
      <c r="HGC366" s="39"/>
      <c r="HGD366" s="34"/>
      <c r="HGE366" s="34"/>
      <c r="HGF366" s="34"/>
      <c r="HGG366" s="35"/>
      <c r="HGH366" s="35"/>
      <c r="HGI366" s="35"/>
      <c r="HGJ366" s="35"/>
      <c r="HGK366" s="35"/>
      <c r="HGL366" s="34"/>
      <c r="HGM366" s="34"/>
      <c r="HGN366" s="36"/>
      <c r="HGO366" s="36"/>
      <c r="HGP366" s="37"/>
      <c r="HGQ366" s="37"/>
      <c r="HGR366" s="38"/>
      <c r="HGS366" s="38"/>
      <c r="HGT366" s="39"/>
      <c r="HGU366" s="34"/>
      <c r="HGV366" s="34"/>
      <c r="HGW366" s="34"/>
      <c r="HGX366" s="35"/>
      <c r="HGY366" s="35"/>
      <c r="HGZ366" s="35"/>
      <c r="HHA366" s="35"/>
      <c r="HHB366" s="35"/>
      <c r="HHC366" s="34"/>
      <c r="HHD366" s="34"/>
      <c r="HHE366" s="36"/>
      <c r="HHF366" s="36"/>
      <c r="HHG366" s="37"/>
      <c r="HHH366" s="37"/>
      <c r="HHI366" s="38"/>
      <c r="HHJ366" s="38"/>
      <c r="HHK366" s="39"/>
      <c r="HHL366" s="34"/>
      <c r="HHM366" s="34"/>
      <c r="HHN366" s="34"/>
      <c r="HHO366" s="35"/>
      <c r="HHP366" s="35"/>
      <c r="HHQ366" s="35"/>
      <c r="HHR366" s="35"/>
      <c r="HHS366" s="35"/>
      <c r="HHT366" s="34"/>
      <c r="HHU366" s="34"/>
      <c r="HHV366" s="36"/>
      <c r="HHW366" s="36"/>
      <c r="HHX366" s="37"/>
      <c r="HHY366" s="37"/>
      <c r="HHZ366" s="38"/>
      <c r="HIA366" s="38"/>
      <c r="HIB366" s="39"/>
      <c r="HIC366" s="34"/>
      <c r="HID366" s="34"/>
      <c r="HIE366" s="34"/>
      <c r="HIF366" s="35"/>
      <c r="HIG366" s="35"/>
      <c r="HIH366" s="35"/>
      <c r="HII366" s="35"/>
      <c r="HIJ366" s="35"/>
      <c r="HIK366" s="34"/>
      <c r="HIL366" s="34"/>
      <c r="HIM366" s="36"/>
      <c r="HIN366" s="36"/>
      <c r="HIO366" s="37"/>
      <c r="HIP366" s="37"/>
      <c r="HIQ366" s="38"/>
      <c r="HIR366" s="38"/>
      <c r="HIS366" s="39"/>
      <c r="HIT366" s="34"/>
      <c r="HIU366" s="34"/>
      <c r="HIV366" s="34"/>
      <c r="HIW366" s="35"/>
      <c r="HIX366" s="35"/>
      <c r="HIY366" s="35"/>
      <c r="HIZ366" s="35"/>
      <c r="HJA366" s="35"/>
      <c r="HJB366" s="34"/>
      <c r="HJC366" s="34"/>
      <c r="HJD366" s="36"/>
      <c r="HJE366" s="36"/>
      <c r="HJF366" s="37"/>
      <c r="HJG366" s="37"/>
      <c r="HJH366" s="38"/>
      <c r="HJI366" s="38"/>
      <c r="HJJ366" s="39"/>
      <c r="HJK366" s="34"/>
      <c r="HJL366" s="34"/>
      <c r="HJM366" s="34"/>
      <c r="HJN366" s="35"/>
      <c r="HJO366" s="35"/>
      <c r="HJP366" s="35"/>
      <c r="HJQ366" s="35"/>
      <c r="HJR366" s="35"/>
      <c r="HJS366" s="34"/>
      <c r="HJT366" s="34"/>
      <c r="HJU366" s="36"/>
      <c r="HJV366" s="36"/>
      <c r="HJW366" s="37"/>
      <c r="HJX366" s="37"/>
      <c r="HJY366" s="38"/>
      <c r="HJZ366" s="38"/>
      <c r="HKA366" s="39"/>
      <c r="HKB366" s="34"/>
      <c r="HKC366" s="34"/>
      <c r="HKD366" s="34"/>
      <c r="HKE366" s="35"/>
      <c r="HKF366" s="35"/>
      <c r="HKG366" s="35"/>
      <c r="HKH366" s="35"/>
      <c r="HKI366" s="35"/>
      <c r="HKJ366" s="34"/>
      <c r="HKK366" s="34"/>
      <c r="HKL366" s="36"/>
      <c r="HKM366" s="36"/>
      <c r="HKN366" s="37"/>
      <c r="HKO366" s="37"/>
      <c r="HKP366" s="38"/>
      <c r="HKQ366" s="38"/>
      <c r="HKR366" s="39"/>
      <c r="HKS366" s="34"/>
      <c r="HKT366" s="34"/>
      <c r="HKU366" s="34"/>
      <c r="HKV366" s="35"/>
      <c r="HKW366" s="35"/>
      <c r="HKX366" s="35"/>
      <c r="HKY366" s="35"/>
      <c r="HKZ366" s="35"/>
      <c r="HLA366" s="34"/>
      <c r="HLB366" s="34"/>
      <c r="HLC366" s="36"/>
      <c r="HLD366" s="36"/>
      <c r="HLE366" s="37"/>
      <c r="HLF366" s="37"/>
      <c r="HLG366" s="38"/>
      <c r="HLH366" s="38"/>
      <c r="HLI366" s="39"/>
      <c r="HLJ366" s="34"/>
      <c r="HLK366" s="34"/>
      <c r="HLL366" s="34"/>
      <c r="HLM366" s="35"/>
      <c r="HLN366" s="35"/>
      <c r="HLO366" s="35"/>
      <c r="HLP366" s="35"/>
      <c r="HLQ366" s="35"/>
      <c r="HLR366" s="34"/>
      <c r="HLS366" s="34"/>
      <c r="HLT366" s="36"/>
      <c r="HLU366" s="36"/>
      <c r="HLV366" s="37"/>
      <c r="HLW366" s="37"/>
      <c r="HLX366" s="38"/>
      <c r="HLY366" s="38"/>
      <c r="HLZ366" s="39"/>
      <c r="HMA366" s="34"/>
      <c r="HMB366" s="34"/>
      <c r="HMC366" s="34"/>
      <c r="HMD366" s="35"/>
      <c r="HME366" s="35"/>
      <c r="HMF366" s="35"/>
      <c r="HMG366" s="35"/>
      <c r="HMH366" s="35"/>
      <c r="HMI366" s="34"/>
      <c r="HMJ366" s="34"/>
      <c r="HMK366" s="36"/>
      <c r="HML366" s="36"/>
      <c r="HMM366" s="37"/>
      <c r="HMN366" s="37"/>
      <c r="HMO366" s="38"/>
      <c r="HMP366" s="38"/>
      <c r="HMQ366" s="39"/>
      <c r="HMR366" s="34"/>
      <c r="HMS366" s="34"/>
      <c r="HMT366" s="34"/>
      <c r="HMU366" s="35"/>
      <c r="HMV366" s="35"/>
      <c r="HMW366" s="35"/>
      <c r="HMX366" s="35"/>
      <c r="HMY366" s="35"/>
      <c r="HMZ366" s="34"/>
      <c r="HNA366" s="34"/>
      <c r="HNB366" s="36"/>
      <c r="HNC366" s="36"/>
      <c r="HND366" s="37"/>
      <c r="HNE366" s="37"/>
      <c r="HNF366" s="38"/>
      <c r="HNG366" s="38"/>
      <c r="HNH366" s="39"/>
      <c r="HNI366" s="34"/>
      <c r="HNJ366" s="34"/>
      <c r="HNK366" s="34"/>
      <c r="HNL366" s="35"/>
      <c r="HNM366" s="35"/>
      <c r="HNN366" s="35"/>
      <c r="HNO366" s="35"/>
      <c r="HNP366" s="35"/>
      <c r="HNQ366" s="34"/>
      <c r="HNR366" s="34"/>
      <c r="HNS366" s="36"/>
      <c r="HNT366" s="36"/>
      <c r="HNU366" s="37"/>
      <c r="HNV366" s="37"/>
      <c r="HNW366" s="38"/>
      <c r="HNX366" s="38"/>
      <c r="HNY366" s="39"/>
      <c r="HNZ366" s="34"/>
      <c r="HOA366" s="34"/>
      <c r="HOB366" s="34"/>
      <c r="HOC366" s="35"/>
      <c r="HOD366" s="35"/>
      <c r="HOE366" s="35"/>
      <c r="HOF366" s="35"/>
      <c r="HOG366" s="35"/>
      <c r="HOH366" s="34"/>
      <c r="HOI366" s="34"/>
      <c r="HOJ366" s="36"/>
      <c r="HOK366" s="36"/>
      <c r="HOL366" s="37"/>
      <c r="HOM366" s="37"/>
      <c r="HON366" s="38"/>
      <c r="HOO366" s="38"/>
      <c r="HOP366" s="39"/>
      <c r="HOQ366" s="34"/>
      <c r="HOR366" s="34"/>
      <c r="HOS366" s="34"/>
      <c r="HOT366" s="35"/>
      <c r="HOU366" s="35"/>
      <c r="HOV366" s="35"/>
      <c r="HOW366" s="35"/>
      <c r="HOX366" s="35"/>
      <c r="HOY366" s="34"/>
      <c r="HOZ366" s="34"/>
      <c r="HPA366" s="36"/>
      <c r="HPB366" s="36"/>
      <c r="HPC366" s="37"/>
      <c r="HPD366" s="37"/>
      <c r="HPE366" s="38"/>
      <c r="HPF366" s="38"/>
      <c r="HPG366" s="39"/>
      <c r="HPH366" s="34"/>
      <c r="HPI366" s="34"/>
      <c r="HPJ366" s="34"/>
      <c r="HPK366" s="35"/>
      <c r="HPL366" s="35"/>
      <c r="HPM366" s="35"/>
      <c r="HPN366" s="35"/>
      <c r="HPO366" s="35"/>
      <c r="HPP366" s="34"/>
      <c r="HPQ366" s="34"/>
      <c r="HPR366" s="36"/>
      <c r="HPS366" s="36"/>
      <c r="HPT366" s="37"/>
      <c r="HPU366" s="37"/>
      <c r="HPV366" s="38"/>
      <c r="HPW366" s="38"/>
      <c r="HPX366" s="39"/>
      <c r="HPY366" s="34"/>
      <c r="HPZ366" s="34"/>
      <c r="HQA366" s="34"/>
      <c r="HQB366" s="35"/>
      <c r="HQC366" s="35"/>
      <c r="HQD366" s="35"/>
      <c r="HQE366" s="35"/>
      <c r="HQF366" s="35"/>
      <c r="HQG366" s="34"/>
      <c r="HQH366" s="34"/>
      <c r="HQI366" s="36"/>
      <c r="HQJ366" s="36"/>
      <c r="HQK366" s="37"/>
      <c r="HQL366" s="37"/>
      <c r="HQM366" s="38"/>
      <c r="HQN366" s="38"/>
      <c r="HQO366" s="39"/>
      <c r="HQP366" s="34"/>
      <c r="HQQ366" s="34"/>
      <c r="HQR366" s="34"/>
      <c r="HQS366" s="35"/>
      <c r="HQT366" s="35"/>
      <c r="HQU366" s="35"/>
      <c r="HQV366" s="35"/>
      <c r="HQW366" s="35"/>
      <c r="HQX366" s="34"/>
      <c r="HQY366" s="34"/>
      <c r="HQZ366" s="36"/>
      <c r="HRA366" s="36"/>
      <c r="HRB366" s="37"/>
      <c r="HRC366" s="37"/>
      <c r="HRD366" s="38"/>
      <c r="HRE366" s="38"/>
      <c r="HRF366" s="39"/>
      <c r="HRG366" s="34"/>
      <c r="HRH366" s="34"/>
      <c r="HRI366" s="34"/>
      <c r="HRJ366" s="35"/>
      <c r="HRK366" s="35"/>
      <c r="HRL366" s="35"/>
      <c r="HRM366" s="35"/>
      <c r="HRN366" s="35"/>
      <c r="HRO366" s="34"/>
      <c r="HRP366" s="34"/>
      <c r="HRQ366" s="36"/>
      <c r="HRR366" s="36"/>
      <c r="HRS366" s="37"/>
      <c r="HRT366" s="37"/>
      <c r="HRU366" s="38"/>
      <c r="HRV366" s="38"/>
      <c r="HRW366" s="39"/>
      <c r="HRX366" s="34"/>
      <c r="HRY366" s="34"/>
      <c r="HRZ366" s="34"/>
      <c r="HSA366" s="35"/>
      <c r="HSB366" s="35"/>
      <c r="HSC366" s="35"/>
      <c r="HSD366" s="35"/>
      <c r="HSE366" s="35"/>
      <c r="HSF366" s="34"/>
      <c r="HSG366" s="34"/>
      <c r="HSH366" s="36"/>
      <c r="HSI366" s="36"/>
      <c r="HSJ366" s="37"/>
      <c r="HSK366" s="37"/>
      <c r="HSL366" s="38"/>
      <c r="HSM366" s="38"/>
      <c r="HSN366" s="39"/>
      <c r="HSO366" s="34"/>
      <c r="HSP366" s="34"/>
      <c r="HSQ366" s="34"/>
      <c r="HSR366" s="35"/>
      <c r="HSS366" s="35"/>
      <c r="HST366" s="35"/>
      <c r="HSU366" s="35"/>
      <c r="HSV366" s="35"/>
      <c r="HSW366" s="34"/>
      <c r="HSX366" s="34"/>
      <c r="HSY366" s="36"/>
      <c r="HSZ366" s="36"/>
      <c r="HTA366" s="37"/>
      <c r="HTB366" s="37"/>
      <c r="HTC366" s="38"/>
      <c r="HTD366" s="38"/>
      <c r="HTE366" s="39"/>
      <c r="HTF366" s="34"/>
      <c r="HTG366" s="34"/>
      <c r="HTH366" s="34"/>
      <c r="HTI366" s="35"/>
      <c r="HTJ366" s="35"/>
      <c r="HTK366" s="35"/>
      <c r="HTL366" s="35"/>
      <c r="HTM366" s="35"/>
      <c r="HTN366" s="34"/>
      <c r="HTO366" s="34"/>
      <c r="HTP366" s="36"/>
      <c r="HTQ366" s="36"/>
      <c r="HTR366" s="37"/>
      <c r="HTS366" s="37"/>
      <c r="HTT366" s="38"/>
      <c r="HTU366" s="38"/>
      <c r="HTV366" s="39"/>
      <c r="HTW366" s="34"/>
      <c r="HTX366" s="34"/>
      <c r="HTY366" s="34"/>
      <c r="HTZ366" s="35"/>
      <c r="HUA366" s="35"/>
      <c r="HUB366" s="35"/>
      <c r="HUC366" s="35"/>
      <c r="HUD366" s="35"/>
      <c r="HUE366" s="34"/>
      <c r="HUF366" s="34"/>
      <c r="HUG366" s="36"/>
      <c r="HUH366" s="36"/>
      <c r="HUI366" s="37"/>
      <c r="HUJ366" s="37"/>
      <c r="HUK366" s="38"/>
      <c r="HUL366" s="38"/>
      <c r="HUM366" s="39"/>
      <c r="HUN366" s="34"/>
      <c r="HUO366" s="34"/>
      <c r="HUP366" s="34"/>
      <c r="HUQ366" s="35"/>
      <c r="HUR366" s="35"/>
      <c r="HUS366" s="35"/>
      <c r="HUT366" s="35"/>
      <c r="HUU366" s="35"/>
      <c r="HUV366" s="34"/>
      <c r="HUW366" s="34"/>
      <c r="HUX366" s="36"/>
      <c r="HUY366" s="36"/>
      <c r="HUZ366" s="37"/>
      <c r="HVA366" s="37"/>
      <c r="HVB366" s="38"/>
      <c r="HVC366" s="38"/>
      <c r="HVD366" s="39"/>
      <c r="HVE366" s="34"/>
      <c r="HVF366" s="34"/>
      <c r="HVG366" s="34"/>
      <c r="HVH366" s="35"/>
      <c r="HVI366" s="35"/>
      <c r="HVJ366" s="35"/>
      <c r="HVK366" s="35"/>
      <c r="HVL366" s="35"/>
      <c r="HVM366" s="34"/>
      <c r="HVN366" s="34"/>
      <c r="HVO366" s="36"/>
      <c r="HVP366" s="36"/>
      <c r="HVQ366" s="37"/>
      <c r="HVR366" s="37"/>
      <c r="HVS366" s="38"/>
      <c r="HVT366" s="38"/>
      <c r="HVU366" s="39"/>
      <c r="HVV366" s="34"/>
      <c r="HVW366" s="34"/>
      <c r="HVX366" s="34"/>
      <c r="HVY366" s="35"/>
      <c r="HVZ366" s="35"/>
      <c r="HWA366" s="35"/>
      <c r="HWB366" s="35"/>
      <c r="HWC366" s="35"/>
      <c r="HWD366" s="34"/>
      <c r="HWE366" s="34"/>
      <c r="HWF366" s="36"/>
      <c r="HWG366" s="36"/>
      <c r="HWH366" s="37"/>
      <c r="HWI366" s="37"/>
      <c r="HWJ366" s="38"/>
      <c r="HWK366" s="38"/>
      <c r="HWL366" s="39"/>
      <c r="HWM366" s="34"/>
      <c r="HWN366" s="34"/>
      <c r="HWO366" s="34"/>
      <c r="HWP366" s="35"/>
      <c r="HWQ366" s="35"/>
      <c r="HWR366" s="35"/>
      <c r="HWS366" s="35"/>
      <c r="HWT366" s="35"/>
      <c r="HWU366" s="34"/>
      <c r="HWV366" s="34"/>
      <c r="HWW366" s="36"/>
      <c r="HWX366" s="36"/>
      <c r="HWY366" s="37"/>
      <c r="HWZ366" s="37"/>
      <c r="HXA366" s="38"/>
      <c r="HXB366" s="38"/>
      <c r="HXC366" s="39"/>
      <c r="HXD366" s="34"/>
      <c r="HXE366" s="34"/>
      <c r="HXF366" s="34"/>
      <c r="HXG366" s="35"/>
      <c r="HXH366" s="35"/>
      <c r="HXI366" s="35"/>
      <c r="HXJ366" s="35"/>
      <c r="HXK366" s="35"/>
      <c r="HXL366" s="34"/>
      <c r="HXM366" s="34"/>
      <c r="HXN366" s="36"/>
      <c r="HXO366" s="36"/>
      <c r="HXP366" s="37"/>
      <c r="HXQ366" s="37"/>
      <c r="HXR366" s="38"/>
      <c r="HXS366" s="38"/>
      <c r="HXT366" s="39"/>
      <c r="HXU366" s="34"/>
      <c r="HXV366" s="34"/>
      <c r="HXW366" s="34"/>
      <c r="HXX366" s="35"/>
      <c r="HXY366" s="35"/>
      <c r="HXZ366" s="35"/>
      <c r="HYA366" s="35"/>
      <c r="HYB366" s="35"/>
      <c r="HYC366" s="34"/>
      <c r="HYD366" s="34"/>
      <c r="HYE366" s="36"/>
      <c r="HYF366" s="36"/>
      <c r="HYG366" s="37"/>
      <c r="HYH366" s="37"/>
      <c r="HYI366" s="38"/>
      <c r="HYJ366" s="38"/>
      <c r="HYK366" s="39"/>
      <c r="HYL366" s="34"/>
      <c r="HYM366" s="34"/>
      <c r="HYN366" s="34"/>
      <c r="HYO366" s="35"/>
      <c r="HYP366" s="35"/>
      <c r="HYQ366" s="35"/>
      <c r="HYR366" s="35"/>
      <c r="HYS366" s="35"/>
      <c r="HYT366" s="34"/>
      <c r="HYU366" s="34"/>
      <c r="HYV366" s="36"/>
      <c r="HYW366" s="36"/>
      <c r="HYX366" s="37"/>
      <c r="HYY366" s="37"/>
      <c r="HYZ366" s="38"/>
      <c r="HZA366" s="38"/>
      <c r="HZB366" s="39"/>
      <c r="HZC366" s="34"/>
      <c r="HZD366" s="34"/>
      <c r="HZE366" s="34"/>
      <c r="HZF366" s="35"/>
      <c r="HZG366" s="35"/>
      <c r="HZH366" s="35"/>
      <c r="HZI366" s="35"/>
      <c r="HZJ366" s="35"/>
      <c r="HZK366" s="34"/>
      <c r="HZL366" s="34"/>
      <c r="HZM366" s="36"/>
      <c r="HZN366" s="36"/>
      <c r="HZO366" s="37"/>
      <c r="HZP366" s="37"/>
      <c r="HZQ366" s="38"/>
      <c r="HZR366" s="38"/>
      <c r="HZS366" s="39"/>
      <c r="HZT366" s="34"/>
      <c r="HZU366" s="34"/>
      <c r="HZV366" s="34"/>
      <c r="HZW366" s="35"/>
      <c r="HZX366" s="35"/>
      <c r="HZY366" s="35"/>
      <c r="HZZ366" s="35"/>
      <c r="IAA366" s="35"/>
      <c r="IAB366" s="34"/>
      <c r="IAC366" s="34"/>
      <c r="IAD366" s="36"/>
      <c r="IAE366" s="36"/>
      <c r="IAF366" s="37"/>
      <c r="IAG366" s="37"/>
      <c r="IAH366" s="38"/>
      <c r="IAI366" s="38"/>
      <c r="IAJ366" s="39"/>
      <c r="IAK366" s="34"/>
      <c r="IAL366" s="34"/>
      <c r="IAM366" s="34"/>
      <c r="IAN366" s="35"/>
      <c r="IAO366" s="35"/>
      <c r="IAP366" s="35"/>
      <c r="IAQ366" s="35"/>
      <c r="IAR366" s="35"/>
      <c r="IAS366" s="34"/>
      <c r="IAT366" s="34"/>
      <c r="IAU366" s="36"/>
      <c r="IAV366" s="36"/>
      <c r="IAW366" s="37"/>
      <c r="IAX366" s="37"/>
      <c r="IAY366" s="38"/>
      <c r="IAZ366" s="38"/>
      <c r="IBA366" s="39"/>
      <c r="IBB366" s="34"/>
      <c r="IBC366" s="34"/>
      <c r="IBD366" s="34"/>
      <c r="IBE366" s="35"/>
      <c r="IBF366" s="35"/>
      <c r="IBG366" s="35"/>
      <c r="IBH366" s="35"/>
      <c r="IBI366" s="35"/>
      <c r="IBJ366" s="34"/>
      <c r="IBK366" s="34"/>
      <c r="IBL366" s="36"/>
      <c r="IBM366" s="36"/>
      <c r="IBN366" s="37"/>
      <c r="IBO366" s="37"/>
      <c r="IBP366" s="38"/>
      <c r="IBQ366" s="38"/>
      <c r="IBR366" s="39"/>
      <c r="IBS366" s="34"/>
      <c r="IBT366" s="34"/>
      <c r="IBU366" s="34"/>
      <c r="IBV366" s="35"/>
      <c r="IBW366" s="35"/>
      <c r="IBX366" s="35"/>
      <c r="IBY366" s="35"/>
      <c r="IBZ366" s="35"/>
      <c r="ICA366" s="34"/>
      <c r="ICB366" s="34"/>
      <c r="ICC366" s="36"/>
      <c r="ICD366" s="36"/>
      <c r="ICE366" s="37"/>
      <c r="ICF366" s="37"/>
      <c r="ICG366" s="38"/>
      <c r="ICH366" s="38"/>
      <c r="ICI366" s="39"/>
      <c r="ICJ366" s="34"/>
      <c r="ICK366" s="34"/>
      <c r="ICL366" s="34"/>
      <c r="ICM366" s="35"/>
      <c r="ICN366" s="35"/>
      <c r="ICO366" s="35"/>
      <c r="ICP366" s="35"/>
      <c r="ICQ366" s="35"/>
      <c r="ICR366" s="34"/>
      <c r="ICS366" s="34"/>
      <c r="ICT366" s="36"/>
      <c r="ICU366" s="36"/>
      <c r="ICV366" s="37"/>
      <c r="ICW366" s="37"/>
      <c r="ICX366" s="38"/>
      <c r="ICY366" s="38"/>
      <c r="ICZ366" s="39"/>
      <c r="IDA366" s="34"/>
      <c r="IDB366" s="34"/>
      <c r="IDC366" s="34"/>
      <c r="IDD366" s="35"/>
      <c r="IDE366" s="35"/>
      <c r="IDF366" s="35"/>
      <c r="IDG366" s="35"/>
      <c r="IDH366" s="35"/>
      <c r="IDI366" s="34"/>
      <c r="IDJ366" s="34"/>
      <c r="IDK366" s="36"/>
      <c r="IDL366" s="36"/>
      <c r="IDM366" s="37"/>
      <c r="IDN366" s="37"/>
      <c r="IDO366" s="38"/>
      <c r="IDP366" s="38"/>
      <c r="IDQ366" s="39"/>
      <c r="IDR366" s="34"/>
      <c r="IDS366" s="34"/>
      <c r="IDT366" s="34"/>
      <c r="IDU366" s="35"/>
      <c r="IDV366" s="35"/>
      <c r="IDW366" s="35"/>
      <c r="IDX366" s="35"/>
      <c r="IDY366" s="35"/>
      <c r="IDZ366" s="34"/>
      <c r="IEA366" s="34"/>
      <c r="IEB366" s="36"/>
      <c r="IEC366" s="36"/>
      <c r="IED366" s="37"/>
      <c r="IEE366" s="37"/>
      <c r="IEF366" s="38"/>
      <c r="IEG366" s="38"/>
      <c r="IEH366" s="39"/>
      <c r="IEI366" s="34"/>
      <c r="IEJ366" s="34"/>
      <c r="IEK366" s="34"/>
      <c r="IEL366" s="35"/>
      <c r="IEM366" s="35"/>
      <c r="IEN366" s="35"/>
      <c r="IEO366" s="35"/>
      <c r="IEP366" s="35"/>
      <c r="IEQ366" s="34"/>
      <c r="IER366" s="34"/>
      <c r="IES366" s="36"/>
      <c r="IET366" s="36"/>
      <c r="IEU366" s="37"/>
      <c r="IEV366" s="37"/>
      <c r="IEW366" s="38"/>
      <c r="IEX366" s="38"/>
      <c r="IEY366" s="39"/>
      <c r="IEZ366" s="34"/>
      <c r="IFA366" s="34"/>
      <c r="IFB366" s="34"/>
      <c r="IFC366" s="35"/>
      <c r="IFD366" s="35"/>
      <c r="IFE366" s="35"/>
      <c r="IFF366" s="35"/>
      <c r="IFG366" s="35"/>
      <c r="IFH366" s="34"/>
      <c r="IFI366" s="34"/>
      <c r="IFJ366" s="36"/>
      <c r="IFK366" s="36"/>
      <c r="IFL366" s="37"/>
      <c r="IFM366" s="37"/>
      <c r="IFN366" s="38"/>
      <c r="IFO366" s="38"/>
      <c r="IFP366" s="39"/>
      <c r="IFQ366" s="34"/>
      <c r="IFR366" s="34"/>
      <c r="IFS366" s="34"/>
      <c r="IFT366" s="35"/>
      <c r="IFU366" s="35"/>
      <c r="IFV366" s="35"/>
      <c r="IFW366" s="35"/>
      <c r="IFX366" s="35"/>
      <c r="IFY366" s="34"/>
      <c r="IFZ366" s="34"/>
      <c r="IGA366" s="36"/>
      <c r="IGB366" s="36"/>
      <c r="IGC366" s="37"/>
      <c r="IGD366" s="37"/>
      <c r="IGE366" s="38"/>
      <c r="IGF366" s="38"/>
      <c r="IGG366" s="39"/>
      <c r="IGH366" s="34"/>
      <c r="IGI366" s="34"/>
      <c r="IGJ366" s="34"/>
      <c r="IGK366" s="35"/>
      <c r="IGL366" s="35"/>
      <c r="IGM366" s="35"/>
      <c r="IGN366" s="35"/>
      <c r="IGO366" s="35"/>
      <c r="IGP366" s="34"/>
      <c r="IGQ366" s="34"/>
      <c r="IGR366" s="36"/>
      <c r="IGS366" s="36"/>
      <c r="IGT366" s="37"/>
      <c r="IGU366" s="37"/>
      <c r="IGV366" s="38"/>
      <c r="IGW366" s="38"/>
      <c r="IGX366" s="39"/>
      <c r="IGY366" s="34"/>
      <c r="IGZ366" s="34"/>
      <c r="IHA366" s="34"/>
      <c r="IHB366" s="35"/>
      <c r="IHC366" s="35"/>
      <c r="IHD366" s="35"/>
      <c r="IHE366" s="35"/>
      <c r="IHF366" s="35"/>
      <c r="IHG366" s="34"/>
      <c r="IHH366" s="34"/>
      <c r="IHI366" s="36"/>
      <c r="IHJ366" s="36"/>
      <c r="IHK366" s="37"/>
      <c r="IHL366" s="37"/>
      <c r="IHM366" s="38"/>
      <c r="IHN366" s="38"/>
      <c r="IHO366" s="39"/>
      <c r="IHP366" s="34"/>
      <c r="IHQ366" s="34"/>
      <c r="IHR366" s="34"/>
      <c r="IHS366" s="35"/>
      <c r="IHT366" s="35"/>
      <c r="IHU366" s="35"/>
      <c r="IHV366" s="35"/>
      <c r="IHW366" s="35"/>
      <c r="IHX366" s="34"/>
      <c r="IHY366" s="34"/>
      <c r="IHZ366" s="36"/>
      <c r="IIA366" s="36"/>
      <c r="IIB366" s="37"/>
      <c r="IIC366" s="37"/>
      <c r="IID366" s="38"/>
      <c r="IIE366" s="38"/>
      <c r="IIF366" s="39"/>
      <c r="IIG366" s="34"/>
      <c r="IIH366" s="34"/>
      <c r="III366" s="34"/>
      <c r="IIJ366" s="35"/>
      <c r="IIK366" s="35"/>
      <c r="IIL366" s="35"/>
      <c r="IIM366" s="35"/>
      <c r="IIN366" s="35"/>
      <c r="IIO366" s="34"/>
      <c r="IIP366" s="34"/>
      <c r="IIQ366" s="36"/>
      <c r="IIR366" s="36"/>
      <c r="IIS366" s="37"/>
      <c r="IIT366" s="37"/>
      <c r="IIU366" s="38"/>
      <c r="IIV366" s="38"/>
      <c r="IIW366" s="39"/>
      <c r="IIX366" s="34"/>
      <c r="IIY366" s="34"/>
      <c r="IIZ366" s="34"/>
      <c r="IJA366" s="35"/>
      <c r="IJB366" s="35"/>
      <c r="IJC366" s="35"/>
      <c r="IJD366" s="35"/>
      <c r="IJE366" s="35"/>
      <c r="IJF366" s="34"/>
      <c r="IJG366" s="34"/>
      <c r="IJH366" s="36"/>
      <c r="IJI366" s="36"/>
      <c r="IJJ366" s="37"/>
      <c r="IJK366" s="37"/>
      <c r="IJL366" s="38"/>
      <c r="IJM366" s="38"/>
      <c r="IJN366" s="39"/>
      <c r="IJO366" s="34"/>
      <c r="IJP366" s="34"/>
      <c r="IJQ366" s="34"/>
      <c r="IJR366" s="35"/>
      <c r="IJS366" s="35"/>
      <c r="IJT366" s="35"/>
      <c r="IJU366" s="35"/>
      <c r="IJV366" s="35"/>
      <c r="IJW366" s="34"/>
      <c r="IJX366" s="34"/>
      <c r="IJY366" s="36"/>
      <c r="IJZ366" s="36"/>
      <c r="IKA366" s="37"/>
      <c r="IKB366" s="37"/>
      <c r="IKC366" s="38"/>
      <c r="IKD366" s="38"/>
      <c r="IKE366" s="39"/>
      <c r="IKF366" s="34"/>
      <c r="IKG366" s="34"/>
      <c r="IKH366" s="34"/>
      <c r="IKI366" s="35"/>
      <c r="IKJ366" s="35"/>
      <c r="IKK366" s="35"/>
      <c r="IKL366" s="35"/>
      <c r="IKM366" s="35"/>
      <c r="IKN366" s="34"/>
      <c r="IKO366" s="34"/>
      <c r="IKP366" s="36"/>
      <c r="IKQ366" s="36"/>
      <c r="IKR366" s="37"/>
      <c r="IKS366" s="37"/>
      <c r="IKT366" s="38"/>
      <c r="IKU366" s="38"/>
      <c r="IKV366" s="39"/>
      <c r="IKW366" s="34"/>
      <c r="IKX366" s="34"/>
      <c r="IKY366" s="34"/>
      <c r="IKZ366" s="35"/>
      <c r="ILA366" s="35"/>
      <c r="ILB366" s="35"/>
      <c r="ILC366" s="35"/>
      <c r="ILD366" s="35"/>
      <c r="ILE366" s="34"/>
      <c r="ILF366" s="34"/>
      <c r="ILG366" s="36"/>
      <c r="ILH366" s="36"/>
      <c r="ILI366" s="37"/>
      <c r="ILJ366" s="37"/>
      <c r="ILK366" s="38"/>
      <c r="ILL366" s="38"/>
      <c r="ILM366" s="39"/>
      <c r="ILN366" s="34"/>
      <c r="ILO366" s="34"/>
      <c r="ILP366" s="34"/>
      <c r="ILQ366" s="35"/>
      <c r="ILR366" s="35"/>
      <c r="ILS366" s="35"/>
      <c r="ILT366" s="35"/>
      <c r="ILU366" s="35"/>
      <c r="ILV366" s="34"/>
      <c r="ILW366" s="34"/>
      <c r="ILX366" s="36"/>
      <c r="ILY366" s="36"/>
      <c r="ILZ366" s="37"/>
      <c r="IMA366" s="37"/>
      <c r="IMB366" s="38"/>
      <c r="IMC366" s="38"/>
      <c r="IMD366" s="39"/>
      <c r="IME366" s="34"/>
      <c r="IMF366" s="34"/>
      <c r="IMG366" s="34"/>
      <c r="IMH366" s="35"/>
      <c r="IMI366" s="35"/>
      <c r="IMJ366" s="35"/>
      <c r="IMK366" s="35"/>
      <c r="IML366" s="35"/>
      <c r="IMM366" s="34"/>
      <c r="IMN366" s="34"/>
      <c r="IMO366" s="36"/>
      <c r="IMP366" s="36"/>
      <c r="IMQ366" s="37"/>
      <c r="IMR366" s="37"/>
      <c r="IMS366" s="38"/>
      <c r="IMT366" s="38"/>
      <c r="IMU366" s="39"/>
      <c r="IMV366" s="34"/>
      <c r="IMW366" s="34"/>
      <c r="IMX366" s="34"/>
      <c r="IMY366" s="35"/>
      <c r="IMZ366" s="35"/>
      <c r="INA366" s="35"/>
      <c r="INB366" s="35"/>
      <c r="INC366" s="35"/>
      <c r="IND366" s="34"/>
      <c r="INE366" s="34"/>
      <c r="INF366" s="36"/>
      <c r="ING366" s="36"/>
      <c r="INH366" s="37"/>
      <c r="INI366" s="37"/>
      <c r="INJ366" s="38"/>
      <c r="INK366" s="38"/>
      <c r="INL366" s="39"/>
      <c r="INM366" s="34"/>
      <c r="INN366" s="34"/>
      <c r="INO366" s="34"/>
      <c r="INP366" s="35"/>
      <c r="INQ366" s="35"/>
      <c r="INR366" s="35"/>
      <c r="INS366" s="35"/>
      <c r="INT366" s="35"/>
      <c r="INU366" s="34"/>
      <c r="INV366" s="34"/>
      <c r="INW366" s="36"/>
      <c r="INX366" s="36"/>
      <c r="INY366" s="37"/>
      <c r="INZ366" s="37"/>
      <c r="IOA366" s="38"/>
      <c r="IOB366" s="38"/>
      <c r="IOC366" s="39"/>
      <c r="IOD366" s="34"/>
      <c r="IOE366" s="34"/>
      <c r="IOF366" s="34"/>
      <c r="IOG366" s="35"/>
      <c r="IOH366" s="35"/>
      <c r="IOI366" s="35"/>
      <c r="IOJ366" s="35"/>
      <c r="IOK366" s="35"/>
      <c r="IOL366" s="34"/>
      <c r="IOM366" s="34"/>
      <c r="ION366" s="36"/>
      <c r="IOO366" s="36"/>
      <c r="IOP366" s="37"/>
      <c r="IOQ366" s="37"/>
      <c r="IOR366" s="38"/>
      <c r="IOS366" s="38"/>
      <c r="IOT366" s="39"/>
      <c r="IOU366" s="34"/>
      <c r="IOV366" s="34"/>
      <c r="IOW366" s="34"/>
      <c r="IOX366" s="35"/>
      <c r="IOY366" s="35"/>
      <c r="IOZ366" s="35"/>
      <c r="IPA366" s="35"/>
      <c r="IPB366" s="35"/>
      <c r="IPC366" s="34"/>
      <c r="IPD366" s="34"/>
      <c r="IPE366" s="36"/>
      <c r="IPF366" s="36"/>
      <c r="IPG366" s="37"/>
      <c r="IPH366" s="37"/>
      <c r="IPI366" s="38"/>
      <c r="IPJ366" s="38"/>
      <c r="IPK366" s="39"/>
      <c r="IPL366" s="34"/>
      <c r="IPM366" s="34"/>
      <c r="IPN366" s="34"/>
      <c r="IPO366" s="35"/>
      <c r="IPP366" s="35"/>
      <c r="IPQ366" s="35"/>
      <c r="IPR366" s="35"/>
      <c r="IPS366" s="35"/>
      <c r="IPT366" s="34"/>
      <c r="IPU366" s="34"/>
      <c r="IPV366" s="36"/>
      <c r="IPW366" s="36"/>
      <c r="IPX366" s="37"/>
      <c r="IPY366" s="37"/>
      <c r="IPZ366" s="38"/>
      <c r="IQA366" s="38"/>
      <c r="IQB366" s="39"/>
      <c r="IQC366" s="34"/>
      <c r="IQD366" s="34"/>
      <c r="IQE366" s="34"/>
      <c r="IQF366" s="35"/>
      <c r="IQG366" s="35"/>
      <c r="IQH366" s="35"/>
      <c r="IQI366" s="35"/>
      <c r="IQJ366" s="35"/>
      <c r="IQK366" s="34"/>
      <c r="IQL366" s="34"/>
      <c r="IQM366" s="36"/>
      <c r="IQN366" s="36"/>
      <c r="IQO366" s="37"/>
      <c r="IQP366" s="37"/>
      <c r="IQQ366" s="38"/>
      <c r="IQR366" s="38"/>
      <c r="IQS366" s="39"/>
      <c r="IQT366" s="34"/>
      <c r="IQU366" s="34"/>
      <c r="IQV366" s="34"/>
      <c r="IQW366" s="35"/>
      <c r="IQX366" s="35"/>
      <c r="IQY366" s="35"/>
      <c r="IQZ366" s="35"/>
      <c r="IRA366" s="35"/>
      <c r="IRB366" s="34"/>
      <c r="IRC366" s="34"/>
      <c r="IRD366" s="36"/>
      <c r="IRE366" s="36"/>
      <c r="IRF366" s="37"/>
      <c r="IRG366" s="37"/>
      <c r="IRH366" s="38"/>
      <c r="IRI366" s="38"/>
      <c r="IRJ366" s="39"/>
      <c r="IRK366" s="34"/>
      <c r="IRL366" s="34"/>
      <c r="IRM366" s="34"/>
      <c r="IRN366" s="35"/>
      <c r="IRO366" s="35"/>
      <c r="IRP366" s="35"/>
      <c r="IRQ366" s="35"/>
      <c r="IRR366" s="35"/>
      <c r="IRS366" s="34"/>
      <c r="IRT366" s="34"/>
      <c r="IRU366" s="36"/>
      <c r="IRV366" s="36"/>
      <c r="IRW366" s="37"/>
      <c r="IRX366" s="37"/>
      <c r="IRY366" s="38"/>
      <c r="IRZ366" s="38"/>
      <c r="ISA366" s="39"/>
      <c r="ISB366" s="34"/>
      <c r="ISC366" s="34"/>
      <c r="ISD366" s="34"/>
      <c r="ISE366" s="35"/>
      <c r="ISF366" s="35"/>
      <c r="ISG366" s="35"/>
      <c r="ISH366" s="35"/>
      <c r="ISI366" s="35"/>
      <c r="ISJ366" s="34"/>
      <c r="ISK366" s="34"/>
      <c r="ISL366" s="36"/>
      <c r="ISM366" s="36"/>
      <c r="ISN366" s="37"/>
      <c r="ISO366" s="37"/>
      <c r="ISP366" s="38"/>
      <c r="ISQ366" s="38"/>
      <c r="ISR366" s="39"/>
      <c r="ISS366" s="34"/>
      <c r="IST366" s="34"/>
      <c r="ISU366" s="34"/>
      <c r="ISV366" s="35"/>
      <c r="ISW366" s="35"/>
      <c r="ISX366" s="35"/>
      <c r="ISY366" s="35"/>
      <c r="ISZ366" s="35"/>
      <c r="ITA366" s="34"/>
      <c r="ITB366" s="34"/>
      <c r="ITC366" s="36"/>
      <c r="ITD366" s="36"/>
      <c r="ITE366" s="37"/>
      <c r="ITF366" s="37"/>
      <c r="ITG366" s="38"/>
      <c r="ITH366" s="38"/>
      <c r="ITI366" s="39"/>
      <c r="ITJ366" s="34"/>
      <c r="ITK366" s="34"/>
      <c r="ITL366" s="34"/>
      <c r="ITM366" s="35"/>
      <c r="ITN366" s="35"/>
      <c r="ITO366" s="35"/>
      <c r="ITP366" s="35"/>
      <c r="ITQ366" s="35"/>
      <c r="ITR366" s="34"/>
      <c r="ITS366" s="34"/>
      <c r="ITT366" s="36"/>
      <c r="ITU366" s="36"/>
      <c r="ITV366" s="37"/>
      <c r="ITW366" s="37"/>
      <c r="ITX366" s="38"/>
      <c r="ITY366" s="38"/>
      <c r="ITZ366" s="39"/>
      <c r="IUA366" s="34"/>
      <c r="IUB366" s="34"/>
      <c r="IUC366" s="34"/>
      <c r="IUD366" s="35"/>
      <c r="IUE366" s="35"/>
      <c r="IUF366" s="35"/>
      <c r="IUG366" s="35"/>
      <c r="IUH366" s="35"/>
      <c r="IUI366" s="34"/>
      <c r="IUJ366" s="34"/>
      <c r="IUK366" s="36"/>
      <c r="IUL366" s="36"/>
      <c r="IUM366" s="37"/>
      <c r="IUN366" s="37"/>
      <c r="IUO366" s="38"/>
      <c r="IUP366" s="38"/>
      <c r="IUQ366" s="39"/>
      <c r="IUR366" s="34"/>
      <c r="IUS366" s="34"/>
      <c r="IUT366" s="34"/>
      <c r="IUU366" s="35"/>
      <c r="IUV366" s="35"/>
      <c r="IUW366" s="35"/>
      <c r="IUX366" s="35"/>
      <c r="IUY366" s="35"/>
      <c r="IUZ366" s="34"/>
      <c r="IVA366" s="34"/>
      <c r="IVB366" s="36"/>
      <c r="IVC366" s="36"/>
      <c r="IVD366" s="37"/>
      <c r="IVE366" s="37"/>
      <c r="IVF366" s="38"/>
      <c r="IVG366" s="38"/>
      <c r="IVH366" s="39"/>
      <c r="IVI366" s="34"/>
      <c r="IVJ366" s="34"/>
      <c r="IVK366" s="34"/>
      <c r="IVL366" s="35"/>
      <c r="IVM366" s="35"/>
      <c r="IVN366" s="35"/>
      <c r="IVO366" s="35"/>
      <c r="IVP366" s="35"/>
      <c r="IVQ366" s="34"/>
      <c r="IVR366" s="34"/>
      <c r="IVS366" s="36"/>
      <c r="IVT366" s="36"/>
      <c r="IVU366" s="37"/>
      <c r="IVV366" s="37"/>
      <c r="IVW366" s="38"/>
      <c r="IVX366" s="38"/>
      <c r="IVY366" s="39"/>
      <c r="IVZ366" s="34"/>
      <c r="IWA366" s="34"/>
      <c r="IWB366" s="34"/>
      <c r="IWC366" s="35"/>
      <c r="IWD366" s="35"/>
      <c r="IWE366" s="35"/>
      <c r="IWF366" s="35"/>
      <c r="IWG366" s="35"/>
      <c r="IWH366" s="34"/>
      <c r="IWI366" s="34"/>
      <c r="IWJ366" s="36"/>
      <c r="IWK366" s="36"/>
      <c r="IWL366" s="37"/>
      <c r="IWM366" s="37"/>
      <c r="IWN366" s="38"/>
      <c r="IWO366" s="38"/>
      <c r="IWP366" s="39"/>
      <c r="IWQ366" s="34"/>
      <c r="IWR366" s="34"/>
      <c r="IWS366" s="34"/>
      <c r="IWT366" s="35"/>
      <c r="IWU366" s="35"/>
      <c r="IWV366" s="35"/>
      <c r="IWW366" s="35"/>
      <c r="IWX366" s="35"/>
      <c r="IWY366" s="34"/>
      <c r="IWZ366" s="34"/>
      <c r="IXA366" s="36"/>
      <c r="IXB366" s="36"/>
      <c r="IXC366" s="37"/>
      <c r="IXD366" s="37"/>
      <c r="IXE366" s="38"/>
      <c r="IXF366" s="38"/>
      <c r="IXG366" s="39"/>
      <c r="IXH366" s="34"/>
      <c r="IXI366" s="34"/>
      <c r="IXJ366" s="34"/>
      <c r="IXK366" s="35"/>
      <c r="IXL366" s="35"/>
      <c r="IXM366" s="35"/>
      <c r="IXN366" s="35"/>
      <c r="IXO366" s="35"/>
      <c r="IXP366" s="34"/>
      <c r="IXQ366" s="34"/>
      <c r="IXR366" s="36"/>
      <c r="IXS366" s="36"/>
      <c r="IXT366" s="37"/>
      <c r="IXU366" s="37"/>
      <c r="IXV366" s="38"/>
      <c r="IXW366" s="38"/>
      <c r="IXX366" s="39"/>
      <c r="IXY366" s="34"/>
      <c r="IXZ366" s="34"/>
      <c r="IYA366" s="34"/>
      <c r="IYB366" s="35"/>
      <c r="IYC366" s="35"/>
      <c r="IYD366" s="35"/>
      <c r="IYE366" s="35"/>
      <c r="IYF366" s="35"/>
      <c r="IYG366" s="34"/>
      <c r="IYH366" s="34"/>
      <c r="IYI366" s="36"/>
      <c r="IYJ366" s="36"/>
      <c r="IYK366" s="37"/>
      <c r="IYL366" s="37"/>
      <c r="IYM366" s="38"/>
      <c r="IYN366" s="38"/>
      <c r="IYO366" s="39"/>
      <c r="IYP366" s="34"/>
      <c r="IYQ366" s="34"/>
      <c r="IYR366" s="34"/>
      <c r="IYS366" s="35"/>
      <c r="IYT366" s="35"/>
      <c r="IYU366" s="35"/>
      <c r="IYV366" s="35"/>
      <c r="IYW366" s="35"/>
      <c r="IYX366" s="34"/>
      <c r="IYY366" s="34"/>
      <c r="IYZ366" s="36"/>
      <c r="IZA366" s="36"/>
      <c r="IZB366" s="37"/>
      <c r="IZC366" s="37"/>
      <c r="IZD366" s="38"/>
      <c r="IZE366" s="38"/>
      <c r="IZF366" s="39"/>
      <c r="IZG366" s="34"/>
      <c r="IZH366" s="34"/>
      <c r="IZI366" s="34"/>
      <c r="IZJ366" s="35"/>
      <c r="IZK366" s="35"/>
      <c r="IZL366" s="35"/>
      <c r="IZM366" s="35"/>
      <c r="IZN366" s="35"/>
      <c r="IZO366" s="34"/>
      <c r="IZP366" s="34"/>
      <c r="IZQ366" s="36"/>
      <c r="IZR366" s="36"/>
      <c r="IZS366" s="37"/>
      <c r="IZT366" s="37"/>
      <c r="IZU366" s="38"/>
      <c r="IZV366" s="38"/>
      <c r="IZW366" s="39"/>
      <c r="IZX366" s="34"/>
      <c r="IZY366" s="34"/>
      <c r="IZZ366" s="34"/>
      <c r="JAA366" s="35"/>
      <c r="JAB366" s="35"/>
      <c r="JAC366" s="35"/>
      <c r="JAD366" s="35"/>
      <c r="JAE366" s="35"/>
      <c r="JAF366" s="34"/>
      <c r="JAG366" s="34"/>
      <c r="JAH366" s="36"/>
      <c r="JAI366" s="36"/>
      <c r="JAJ366" s="37"/>
      <c r="JAK366" s="37"/>
      <c r="JAL366" s="38"/>
      <c r="JAM366" s="38"/>
      <c r="JAN366" s="39"/>
      <c r="JAO366" s="34"/>
      <c r="JAP366" s="34"/>
      <c r="JAQ366" s="34"/>
      <c r="JAR366" s="35"/>
      <c r="JAS366" s="35"/>
      <c r="JAT366" s="35"/>
      <c r="JAU366" s="35"/>
      <c r="JAV366" s="35"/>
      <c r="JAW366" s="34"/>
      <c r="JAX366" s="34"/>
      <c r="JAY366" s="36"/>
      <c r="JAZ366" s="36"/>
      <c r="JBA366" s="37"/>
      <c r="JBB366" s="37"/>
      <c r="JBC366" s="38"/>
      <c r="JBD366" s="38"/>
      <c r="JBE366" s="39"/>
      <c r="JBF366" s="34"/>
      <c r="JBG366" s="34"/>
      <c r="JBH366" s="34"/>
      <c r="JBI366" s="35"/>
      <c r="JBJ366" s="35"/>
      <c r="JBK366" s="35"/>
      <c r="JBL366" s="35"/>
      <c r="JBM366" s="35"/>
      <c r="JBN366" s="34"/>
      <c r="JBO366" s="34"/>
      <c r="JBP366" s="36"/>
      <c r="JBQ366" s="36"/>
      <c r="JBR366" s="37"/>
      <c r="JBS366" s="37"/>
      <c r="JBT366" s="38"/>
      <c r="JBU366" s="38"/>
      <c r="JBV366" s="39"/>
      <c r="JBW366" s="34"/>
      <c r="JBX366" s="34"/>
      <c r="JBY366" s="34"/>
      <c r="JBZ366" s="35"/>
      <c r="JCA366" s="35"/>
      <c r="JCB366" s="35"/>
      <c r="JCC366" s="35"/>
      <c r="JCD366" s="35"/>
      <c r="JCE366" s="34"/>
      <c r="JCF366" s="34"/>
      <c r="JCG366" s="36"/>
      <c r="JCH366" s="36"/>
      <c r="JCI366" s="37"/>
      <c r="JCJ366" s="37"/>
      <c r="JCK366" s="38"/>
      <c r="JCL366" s="38"/>
      <c r="JCM366" s="39"/>
      <c r="JCN366" s="34"/>
      <c r="JCO366" s="34"/>
      <c r="JCP366" s="34"/>
      <c r="JCQ366" s="35"/>
      <c r="JCR366" s="35"/>
      <c r="JCS366" s="35"/>
      <c r="JCT366" s="35"/>
      <c r="JCU366" s="35"/>
      <c r="JCV366" s="34"/>
      <c r="JCW366" s="34"/>
      <c r="JCX366" s="36"/>
      <c r="JCY366" s="36"/>
      <c r="JCZ366" s="37"/>
      <c r="JDA366" s="37"/>
      <c r="JDB366" s="38"/>
      <c r="JDC366" s="38"/>
      <c r="JDD366" s="39"/>
      <c r="JDE366" s="34"/>
      <c r="JDF366" s="34"/>
      <c r="JDG366" s="34"/>
      <c r="JDH366" s="35"/>
      <c r="JDI366" s="35"/>
      <c r="JDJ366" s="35"/>
      <c r="JDK366" s="35"/>
      <c r="JDL366" s="35"/>
      <c r="JDM366" s="34"/>
      <c r="JDN366" s="34"/>
      <c r="JDO366" s="36"/>
      <c r="JDP366" s="36"/>
      <c r="JDQ366" s="37"/>
      <c r="JDR366" s="37"/>
      <c r="JDS366" s="38"/>
      <c r="JDT366" s="38"/>
      <c r="JDU366" s="39"/>
      <c r="JDV366" s="34"/>
      <c r="JDW366" s="34"/>
      <c r="JDX366" s="34"/>
      <c r="JDY366" s="35"/>
      <c r="JDZ366" s="35"/>
      <c r="JEA366" s="35"/>
      <c r="JEB366" s="35"/>
      <c r="JEC366" s="35"/>
      <c r="JED366" s="34"/>
      <c r="JEE366" s="34"/>
      <c r="JEF366" s="36"/>
      <c r="JEG366" s="36"/>
      <c r="JEH366" s="37"/>
      <c r="JEI366" s="37"/>
      <c r="JEJ366" s="38"/>
      <c r="JEK366" s="38"/>
      <c r="JEL366" s="39"/>
      <c r="JEM366" s="34"/>
      <c r="JEN366" s="34"/>
      <c r="JEO366" s="34"/>
      <c r="JEP366" s="35"/>
      <c r="JEQ366" s="35"/>
      <c r="JER366" s="35"/>
      <c r="JES366" s="35"/>
      <c r="JET366" s="35"/>
      <c r="JEU366" s="34"/>
      <c r="JEV366" s="34"/>
      <c r="JEW366" s="36"/>
      <c r="JEX366" s="36"/>
      <c r="JEY366" s="37"/>
      <c r="JEZ366" s="37"/>
      <c r="JFA366" s="38"/>
      <c r="JFB366" s="38"/>
      <c r="JFC366" s="39"/>
      <c r="JFD366" s="34"/>
      <c r="JFE366" s="34"/>
      <c r="JFF366" s="34"/>
      <c r="JFG366" s="35"/>
      <c r="JFH366" s="35"/>
      <c r="JFI366" s="35"/>
      <c r="JFJ366" s="35"/>
      <c r="JFK366" s="35"/>
      <c r="JFL366" s="34"/>
      <c r="JFM366" s="34"/>
      <c r="JFN366" s="36"/>
      <c r="JFO366" s="36"/>
      <c r="JFP366" s="37"/>
      <c r="JFQ366" s="37"/>
      <c r="JFR366" s="38"/>
      <c r="JFS366" s="38"/>
      <c r="JFT366" s="39"/>
      <c r="JFU366" s="34"/>
      <c r="JFV366" s="34"/>
      <c r="JFW366" s="34"/>
      <c r="JFX366" s="35"/>
      <c r="JFY366" s="35"/>
      <c r="JFZ366" s="35"/>
      <c r="JGA366" s="35"/>
      <c r="JGB366" s="35"/>
      <c r="JGC366" s="34"/>
      <c r="JGD366" s="34"/>
      <c r="JGE366" s="36"/>
      <c r="JGF366" s="36"/>
      <c r="JGG366" s="37"/>
      <c r="JGH366" s="37"/>
      <c r="JGI366" s="38"/>
      <c r="JGJ366" s="38"/>
      <c r="JGK366" s="39"/>
      <c r="JGL366" s="34"/>
      <c r="JGM366" s="34"/>
      <c r="JGN366" s="34"/>
      <c r="JGO366" s="35"/>
      <c r="JGP366" s="35"/>
      <c r="JGQ366" s="35"/>
      <c r="JGR366" s="35"/>
      <c r="JGS366" s="35"/>
      <c r="JGT366" s="34"/>
      <c r="JGU366" s="34"/>
      <c r="JGV366" s="36"/>
      <c r="JGW366" s="36"/>
      <c r="JGX366" s="37"/>
      <c r="JGY366" s="37"/>
      <c r="JGZ366" s="38"/>
      <c r="JHA366" s="38"/>
      <c r="JHB366" s="39"/>
      <c r="JHC366" s="34"/>
      <c r="JHD366" s="34"/>
      <c r="JHE366" s="34"/>
      <c r="JHF366" s="35"/>
      <c r="JHG366" s="35"/>
      <c r="JHH366" s="35"/>
      <c r="JHI366" s="35"/>
      <c r="JHJ366" s="35"/>
      <c r="JHK366" s="34"/>
      <c r="JHL366" s="34"/>
      <c r="JHM366" s="36"/>
      <c r="JHN366" s="36"/>
      <c r="JHO366" s="37"/>
      <c r="JHP366" s="37"/>
      <c r="JHQ366" s="38"/>
      <c r="JHR366" s="38"/>
      <c r="JHS366" s="39"/>
      <c r="JHT366" s="34"/>
      <c r="JHU366" s="34"/>
      <c r="JHV366" s="34"/>
      <c r="JHW366" s="35"/>
      <c r="JHX366" s="35"/>
      <c r="JHY366" s="35"/>
      <c r="JHZ366" s="35"/>
      <c r="JIA366" s="35"/>
      <c r="JIB366" s="34"/>
      <c r="JIC366" s="34"/>
      <c r="JID366" s="36"/>
      <c r="JIE366" s="36"/>
      <c r="JIF366" s="37"/>
      <c r="JIG366" s="37"/>
      <c r="JIH366" s="38"/>
      <c r="JII366" s="38"/>
      <c r="JIJ366" s="39"/>
      <c r="JIK366" s="34"/>
      <c r="JIL366" s="34"/>
      <c r="JIM366" s="34"/>
      <c r="JIN366" s="35"/>
      <c r="JIO366" s="35"/>
      <c r="JIP366" s="35"/>
      <c r="JIQ366" s="35"/>
      <c r="JIR366" s="35"/>
      <c r="JIS366" s="34"/>
      <c r="JIT366" s="34"/>
      <c r="JIU366" s="36"/>
      <c r="JIV366" s="36"/>
      <c r="JIW366" s="37"/>
      <c r="JIX366" s="37"/>
      <c r="JIY366" s="38"/>
      <c r="JIZ366" s="38"/>
      <c r="JJA366" s="39"/>
      <c r="JJB366" s="34"/>
      <c r="JJC366" s="34"/>
      <c r="JJD366" s="34"/>
      <c r="JJE366" s="35"/>
      <c r="JJF366" s="35"/>
      <c r="JJG366" s="35"/>
      <c r="JJH366" s="35"/>
      <c r="JJI366" s="35"/>
      <c r="JJJ366" s="34"/>
      <c r="JJK366" s="34"/>
      <c r="JJL366" s="36"/>
      <c r="JJM366" s="36"/>
      <c r="JJN366" s="37"/>
      <c r="JJO366" s="37"/>
      <c r="JJP366" s="38"/>
      <c r="JJQ366" s="38"/>
      <c r="JJR366" s="39"/>
      <c r="JJS366" s="34"/>
      <c r="JJT366" s="34"/>
      <c r="JJU366" s="34"/>
      <c r="JJV366" s="35"/>
      <c r="JJW366" s="35"/>
      <c r="JJX366" s="35"/>
      <c r="JJY366" s="35"/>
      <c r="JJZ366" s="35"/>
      <c r="JKA366" s="34"/>
      <c r="JKB366" s="34"/>
      <c r="JKC366" s="36"/>
      <c r="JKD366" s="36"/>
      <c r="JKE366" s="37"/>
      <c r="JKF366" s="37"/>
      <c r="JKG366" s="38"/>
      <c r="JKH366" s="38"/>
      <c r="JKI366" s="39"/>
      <c r="JKJ366" s="34"/>
      <c r="JKK366" s="34"/>
      <c r="JKL366" s="34"/>
      <c r="JKM366" s="35"/>
      <c r="JKN366" s="35"/>
      <c r="JKO366" s="35"/>
      <c r="JKP366" s="35"/>
      <c r="JKQ366" s="35"/>
      <c r="JKR366" s="34"/>
      <c r="JKS366" s="34"/>
      <c r="JKT366" s="36"/>
      <c r="JKU366" s="36"/>
      <c r="JKV366" s="37"/>
      <c r="JKW366" s="37"/>
      <c r="JKX366" s="38"/>
      <c r="JKY366" s="38"/>
      <c r="JKZ366" s="39"/>
      <c r="JLA366" s="34"/>
      <c r="JLB366" s="34"/>
      <c r="JLC366" s="34"/>
      <c r="JLD366" s="35"/>
      <c r="JLE366" s="35"/>
      <c r="JLF366" s="35"/>
      <c r="JLG366" s="35"/>
      <c r="JLH366" s="35"/>
      <c r="JLI366" s="34"/>
      <c r="JLJ366" s="34"/>
      <c r="JLK366" s="36"/>
      <c r="JLL366" s="36"/>
      <c r="JLM366" s="37"/>
      <c r="JLN366" s="37"/>
      <c r="JLO366" s="38"/>
      <c r="JLP366" s="38"/>
      <c r="JLQ366" s="39"/>
      <c r="JLR366" s="34"/>
      <c r="JLS366" s="34"/>
      <c r="JLT366" s="34"/>
      <c r="JLU366" s="35"/>
      <c r="JLV366" s="35"/>
      <c r="JLW366" s="35"/>
      <c r="JLX366" s="35"/>
      <c r="JLY366" s="35"/>
      <c r="JLZ366" s="34"/>
      <c r="JMA366" s="34"/>
      <c r="JMB366" s="36"/>
      <c r="JMC366" s="36"/>
      <c r="JMD366" s="37"/>
      <c r="JME366" s="37"/>
      <c r="JMF366" s="38"/>
      <c r="JMG366" s="38"/>
      <c r="JMH366" s="39"/>
      <c r="JMI366" s="34"/>
      <c r="JMJ366" s="34"/>
      <c r="JMK366" s="34"/>
      <c r="JML366" s="35"/>
      <c r="JMM366" s="35"/>
      <c r="JMN366" s="35"/>
      <c r="JMO366" s="35"/>
      <c r="JMP366" s="35"/>
      <c r="JMQ366" s="34"/>
      <c r="JMR366" s="34"/>
      <c r="JMS366" s="36"/>
      <c r="JMT366" s="36"/>
      <c r="JMU366" s="37"/>
      <c r="JMV366" s="37"/>
      <c r="JMW366" s="38"/>
      <c r="JMX366" s="38"/>
      <c r="JMY366" s="39"/>
      <c r="JMZ366" s="34"/>
      <c r="JNA366" s="34"/>
      <c r="JNB366" s="34"/>
      <c r="JNC366" s="35"/>
      <c r="JND366" s="35"/>
      <c r="JNE366" s="35"/>
      <c r="JNF366" s="35"/>
      <c r="JNG366" s="35"/>
      <c r="JNH366" s="34"/>
      <c r="JNI366" s="34"/>
      <c r="JNJ366" s="36"/>
      <c r="JNK366" s="36"/>
      <c r="JNL366" s="37"/>
      <c r="JNM366" s="37"/>
      <c r="JNN366" s="38"/>
      <c r="JNO366" s="38"/>
      <c r="JNP366" s="39"/>
      <c r="JNQ366" s="34"/>
      <c r="JNR366" s="34"/>
      <c r="JNS366" s="34"/>
      <c r="JNT366" s="35"/>
      <c r="JNU366" s="35"/>
      <c r="JNV366" s="35"/>
      <c r="JNW366" s="35"/>
      <c r="JNX366" s="35"/>
      <c r="JNY366" s="34"/>
      <c r="JNZ366" s="34"/>
      <c r="JOA366" s="36"/>
      <c r="JOB366" s="36"/>
      <c r="JOC366" s="37"/>
      <c r="JOD366" s="37"/>
      <c r="JOE366" s="38"/>
      <c r="JOF366" s="38"/>
      <c r="JOG366" s="39"/>
      <c r="JOH366" s="34"/>
      <c r="JOI366" s="34"/>
      <c r="JOJ366" s="34"/>
      <c r="JOK366" s="35"/>
      <c r="JOL366" s="35"/>
      <c r="JOM366" s="35"/>
      <c r="JON366" s="35"/>
      <c r="JOO366" s="35"/>
      <c r="JOP366" s="34"/>
      <c r="JOQ366" s="34"/>
      <c r="JOR366" s="36"/>
      <c r="JOS366" s="36"/>
      <c r="JOT366" s="37"/>
      <c r="JOU366" s="37"/>
      <c r="JOV366" s="38"/>
      <c r="JOW366" s="38"/>
      <c r="JOX366" s="39"/>
      <c r="JOY366" s="34"/>
      <c r="JOZ366" s="34"/>
      <c r="JPA366" s="34"/>
      <c r="JPB366" s="35"/>
      <c r="JPC366" s="35"/>
      <c r="JPD366" s="35"/>
      <c r="JPE366" s="35"/>
      <c r="JPF366" s="35"/>
      <c r="JPG366" s="34"/>
      <c r="JPH366" s="34"/>
      <c r="JPI366" s="36"/>
      <c r="JPJ366" s="36"/>
      <c r="JPK366" s="37"/>
      <c r="JPL366" s="37"/>
      <c r="JPM366" s="38"/>
      <c r="JPN366" s="38"/>
      <c r="JPO366" s="39"/>
      <c r="JPP366" s="34"/>
      <c r="JPQ366" s="34"/>
      <c r="JPR366" s="34"/>
      <c r="JPS366" s="35"/>
      <c r="JPT366" s="35"/>
      <c r="JPU366" s="35"/>
      <c r="JPV366" s="35"/>
      <c r="JPW366" s="35"/>
      <c r="JPX366" s="34"/>
      <c r="JPY366" s="34"/>
      <c r="JPZ366" s="36"/>
      <c r="JQA366" s="36"/>
      <c r="JQB366" s="37"/>
      <c r="JQC366" s="37"/>
      <c r="JQD366" s="38"/>
      <c r="JQE366" s="38"/>
      <c r="JQF366" s="39"/>
      <c r="JQG366" s="34"/>
      <c r="JQH366" s="34"/>
      <c r="JQI366" s="34"/>
      <c r="JQJ366" s="35"/>
      <c r="JQK366" s="35"/>
      <c r="JQL366" s="35"/>
      <c r="JQM366" s="35"/>
      <c r="JQN366" s="35"/>
      <c r="JQO366" s="34"/>
      <c r="JQP366" s="34"/>
      <c r="JQQ366" s="36"/>
      <c r="JQR366" s="36"/>
      <c r="JQS366" s="37"/>
      <c r="JQT366" s="37"/>
      <c r="JQU366" s="38"/>
      <c r="JQV366" s="38"/>
      <c r="JQW366" s="39"/>
      <c r="JQX366" s="34"/>
      <c r="JQY366" s="34"/>
      <c r="JQZ366" s="34"/>
      <c r="JRA366" s="35"/>
      <c r="JRB366" s="35"/>
      <c r="JRC366" s="35"/>
      <c r="JRD366" s="35"/>
      <c r="JRE366" s="35"/>
      <c r="JRF366" s="34"/>
      <c r="JRG366" s="34"/>
      <c r="JRH366" s="36"/>
      <c r="JRI366" s="36"/>
      <c r="JRJ366" s="37"/>
      <c r="JRK366" s="37"/>
      <c r="JRL366" s="38"/>
      <c r="JRM366" s="38"/>
      <c r="JRN366" s="39"/>
      <c r="JRO366" s="34"/>
      <c r="JRP366" s="34"/>
      <c r="JRQ366" s="34"/>
      <c r="JRR366" s="35"/>
      <c r="JRS366" s="35"/>
      <c r="JRT366" s="35"/>
      <c r="JRU366" s="35"/>
      <c r="JRV366" s="35"/>
      <c r="JRW366" s="34"/>
      <c r="JRX366" s="34"/>
      <c r="JRY366" s="36"/>
      <c r="JRZ366" s="36"/>
      <c r="JSA366" s="37"/>
      <c r="JSB366" s="37"/>
      <c r="JSC366" s="38"/>
      <c r="JSD366" s="38"/>
      <c r="JSE366" s="39"/>
      <c r="JSF366" s="34"/>
      <c r="JSG366" s="34"/>
      <c r="JSH366" s="34"/>
      <c r="JSI366" s="35"/>
      <c r="JSJ366" s="35"/>
      <c r="JSK366" s="35"/>
      <c r="JSL366" s="35"/>
      <c r="JSM366" s="35"/>
      <c r="JSN366" s="34"/>
      <c r="JSO366" s="34"/>
      <c r="JSP366" s="36"/>
      <c r="JSQ366" s="36"/>
      <c r="JSR366" s="37"/>
      <c r="JSS366" s="37"/>
      <c r="JST366" s="38"/>
      <c r="JSU366" s="38"/>
      <c r="JSV366" s="39"/>
      <c r="JSW366" s="34"/>
      <c r="JSX366" s="34"/>
      <c r="JSY366" s="34"/>
      <c r="JSZ366" s="35"/>
      <c r="JTA366" s="35"/>
      <c r="JTB366" s="35"/>
      <c r="JTC366" s="35"/>
      <c r="JTD366" s="35"/>
      <c r="JTE366" s="34"/>
      <c r="JTF366" s="34"/>
      <c r="JTG366" s="36"/>
      <c r="JTH366" s="36"/>
      <c r="JTI366" s="37"/>
      <c r="JTJ366" s="37"/>
      <c r="JTK366" s="38"/>
      <c r="JTL366" s="38"/>
      <c r="JTM366" s="39"/>
      <c r="JTN366" s="34"/>
      <c r="JTO366" s="34"/>
      <c r="JTP366" s="34"/>
      <c r="JTQ366" s="35"/>
      <c r="JTR366" s="35"/>
      <c r="JTS366" s="35"/>
      <c r="JTT366" s="35"/>
      <c r="JTU366" s="35"/>
      <c r="JTV366" s="34"/>
      <c r="JTW366" s="34"/>
      <c r="JTX366" s="36"/>
      <c r="JTY366" s="36"/>
      <c r="JTZ366" s="37"/>
      <c r="JUA366" s="37"/>
      <c r="JUB366" s="38"/>
      <c r="JUC366" s="38"/>
      <c r="JUD366" s="39"/>
      <c r="JUE366" s="34"/>
      <c r="JUF366" s="34"/>
      <c r="JUG366" s="34"/>
      <c r="JUH366" s="35"/>
      <c r="JUI366" s="35"/>
      <c r="JUJ366" s="35"/>
      <c r="JUK366" s="35"/>
      <c r="JUL366" s="35"/>
      <c r="JUM366" s="34"/>
      <c r="JUN366" s="34"/>
      <c r="JUO366" s="36"/>
      <c r="JUP366" s="36"/>
      <c r="JUQ366" s="37"/>
      <c r="JUR366" s="37"/>
      <c r="JUS366" s="38"/>
      <c r="JUT366" s="38"/>
      <c r="JUU366" s="39"/>
      <c r="JUV366" s="34"/>
      <c r="JUW366" s="34"/>
      <c r="JUX366" s="34"/>
      <c r="JUY366" s="35"/>
      <c r="JUZ366" s="35"/>
      <c r="JVA366" s="35"/>
      <c r="JVB366" s="35"/>
      <c r="JVC366" s="35"/>
      <c r="JVD366" s="34"/>
      <c r="JVE366" s="34"/>
      <c r="JVF366" s="36"/>
      <c r="JVG366" s="36"/>
      <c r="JVH366" s="37"/>
      <c r="JVI366" s="37"/>
      <c r="JVJ366" s="38"/>
      <c r="JVK366" s="38"/>
      <c r="JVL366" s="39"/>
      <c r="JVM366" s="34"/>
      <c r="JVN366" s="34"/>
      <c r="JVO366" s="34"/>
      <c r="JVP366" s="35"/>
      <c r="JVQ366" s="35"/>
      <c r="JVR366" s="35"/>
      <c r="JVS366" s="35"/>
      <c r="JVT366" s="35"/>
      <c r="JVU366" s="34"/>
      <c r="JVV366" s="34"/>
      <c r="JVW366" s="36"/>
      <c r="JVX366" s="36"/>
      <c r="JVY366" s="37"/>
      <c r="JVZ366" s="37"/>
      <c r="JWA366" s="38"/>
      <c r="JWB366" s="38"/>
      <c r="JWC366" s="39"/>
      <c r="JWD366" s="34"/>
      <c r="JWE366" s="34"/>
      <c r="JWF366" s="34"/>
      <c r="JWG366" s="35"/>
      <c r="JWH366" s="35"/>
      <c r="JWI366" s="35"/>
      <c r="JWJ366" s="35"/>
      <c r="JWK366" s="35"/>
      <c r="JWL366" s="34"/>
      <c r="JWM366" s="34"/>
      <c r="JWN366" s="36"/>
      <c r="JWO366" s="36"/>
      <c r="JWP366" s="37"/>
      <c r="JWQ366" s="37"/>
      <c r="JWR366" s="38"/>
      <c r="JWS366" s="38"/>
      <c r="JWT366" s="39"/>
      <c r="JWU366" s="34"/>
      <c r="JWV366" s="34"/>
      <c r="JWW366" s="34"/>
      <c r="JWX366" s="35"/>
      <c r="JWY366" s="35"/>
      <c r="JWZ366" s="35"/>
      <c r="JXA366" s="35"/>
      <c r="JXB366" s="35"/>
      <c r="JXC366" s="34"/>
      <c r="JXD366" s="34"/>
      <c r="JXE366" s="36"/>
      <c r="JXF366" s="36"/>
      <c r="JXG366" s="37"/>
      <c r="JXH366" s="37"/>
      <c r="JXI366" s="38"/>
      <c r="JXJ366" s="38"/>
      <c r="JXK366" s="39"/>
      <c r="JXL366" s="34"/>
      <c r="JXM366" s="34"/>
      <c r="JXN366" s="34"/>
      <c r="JXO366" s="35"/>
      <c r="JXP366" s="35"/>
      <c r="JXQ366" s="35"/>
      <c r="JXR366" s="35"/>
      <c r="JXS366" s="35"/>
      <c r="JXT366" s="34"/>
      <c r="JXU366" s="34"/>
      <c r="JXV366" s="36"/>
      <c r="JXW366" s="36"/>
      <c r="JXX366" s="37"/>
      <c r="JXY366" s="37"/>
      <c r="JXZ366" s="38"/>
      <c r="JYA366" s="38"/>
      <c r="JYB366" s="39"/>
      <c r="JYC366" s="34"/>
      <c r="JYD366" s="34"/>
      <c r="JYE366" s="34"/>
      <c r="JYF366" s="35"/>
      <c r="JYG366" s="35"/>
      <c r="JYH366" s="35"/>
      <c r="JYI366" s="35"/>
      <c r="JYJ366" s="35"/>
      <c r="JYK366" s="34"/>
      <c r="JYL366" s="34"/>
      <c r="JYM366" s="36"/>
      <c r="JYN366" s="36"/>
      <c r="JYO366" s="37"/>
      <c r="JYP366" s="37"/>
      <c r="JYQ366" s="38"/>
      <c r="JYR366" s="38"/>
      <c r="JYS366" s="39"/>
      <c r="JYT366" s="34"/>
      <c r="JYU366" s="34"/>
      <c r="JYV366" s="34"/>
      <c r="JYW366" s="35"/>
      <c r="JYX366" s="35"/>
      <c r="JYY366" s="35"/>
      <c r="JYZ366" s="35"/>
      <c r="JZA366" s="35"/>
      <c r="JZB366" s="34"/>
      <c r="JZC366" s="34"/>
      <c r="JZD366" s="36"/>
      <c r="JZE366" s="36"/>
      <c r="JZF366" s="37"/>
      <c r="JZG366" s="37"/>
      <c r="JZH366" s="38"/>
      <c r="JZI366" s="38"/>
      <c r="JZJ366" s="39"/>
      <c r="JZK366" s="34"/>
      <c r="JZL366" s="34"/>
      <c r="JZM366" s="34"/>
      <c r="JZN366" s="35"/>
      <c r="JZO366" s="35"/>
      <c r="JZP366" s="35"/>
      <c r="JZQ366" s="35"/>
      <c r="JZR366" s="35"/>
      <c r="JZS366" s="34"/>
      <c r="JZT366" s="34"/>
      <c r="JZU366" s="36"/>
      <c r="JZV366" s="36"/>
      <c r="JZW366" s="37"/>
      <c r="JZX366" s="37"/>
      <c r="JZY366" s="38"/>
      <c r="JZZ366" s="38"/>
      <c r="KAA366" s="39"/>
      <c r="KAB366" s="34"/>
      <c r="KAC366" s="34"/>
      <c r="KAD366" s="34"/>
      <c r="KAE366" s="35"/>
      <c r="KAF366" s="35"/>
      <c r="KAG366" s="35"/>
      <c r="KAH366" s="35"/>
      <c r="KAI366" s="35"/>
      <c r="KAJ366" s="34"/>
      <c r="KAK366" s="34"/>
      <c r="KAL366" s="36"/>
      <c r="KAM366" s="36"/>
      <c r="KAN366" s="37"/>
      <c r="KAO366" s="37"/>
      <c r="KAP366" s="38"/>
      <c r="KAQ366" s="38"/>
      <c r="KAR366" s="39"/>
      <c r="KAS366" s="34"/>
      <c r="KAT366" s="34"/>
      <c r="KAU366" s="34"/>
      <c r="KAV366" s="35"/>
      <c r="KAW366" s="35"/>
      <c r="KAX366" s="35"/>
      <c r="KAY366" s="35"/>
      <c r="KAZ366" s="35"/>
      <c r="KBA366" s="34"/>
      <c r="KBB366" s="34"/>
      <c r="KBC366" s="36"/>
      <c r="KBD366" s="36"/>
      <c r="KBE366" s="37"/>
      <c r="KBF366" s="37"/>
      <c r="KBG366" s="38"/>
      <c r="KBH366" s="38"/>
      <c r="KBI366" s="39"/>
      <c r="KBJ366" s="34"/>
      <c r="KBK366" s="34"/>
      <c r="KBL366" s="34"/>
      <c r="KBM366" s="35"/>
      <c r="KBN366" s="35"/>
      <c r="KBO366" s="35"/>
      <c r="KBP366" s="35"/>
      <c r="KBQ366" s="35"/>
      <c r="KBR366" s="34"/>
      <c r="KBS366" s="34"/>
      <c r="KBT366" s="36"/>
      <c r="KBU366" s="36"/>
      <c r="KBV366" s="37"/>
      <c r="KBW366" s="37"/>
      <c r="KBX366" s="38"/>
      <c r="KBY366" s="38"/>
      <c r="KBZ366" s="39"/>
      <c r="KCA366" s="34"/>
      <c r="KCB366" s="34"/>
      <c r="KCC366" s="34"/>
      <c r="KCD366" s="35"/>
      <c r="KCE366" s="35"/>
      <c r="KCF366" s="35"/>
      <c r="KCG366" s="35"/>
      <c r="KCH366" s="35"/>
      <c r="KCI366" s="34"/>
      <c r="KCJ366" s="34"/>
      <c r="KCK366" s="36"/>
      <c r="KCL366" s="36"/>
      <c r="KCM366" s="37"/>
      <c r="KCN366" s="37"/>
      <c r="KCO366" s="38"/>
      <c r="KCP366" s="38"/>
      <c r="KCQ366" s="39"/>
      <c r="KCR366" s="34"/>
      <c r="KCS366" s="34"/>
      <c r="KCT366" s="34"/>
      <c r="KCU366" s="35"/>
      <c r="KCV366" s="35"/>
      <c r="KCW366" s="35"/>
      <c r="KCX366" s="35"/>
      <c r="KCY366" s="35"/>
      <c r="KCZ366" s="34"/>
      <c r="KDA366" s="34"/>
      <c r="KDB366" s="36"/>
      <c r="KDC366" s="36"/>
      <c r="KDD366" s="37"/>
      <c r="KDE366" s="37"/>
      <c r="KDF366" s="38"/>
      <c r="KDG366" s="38"/>
      <c r="KDH366" s="39"/>
      <c r="KDI366" s="34"/>
      <c r="KDJ366" s="34"/>
      <c r="KDK366" s="34"/>
      <c r="KDL366" s="35"/>
      <c r="KDM366" s="35"/>
      <c r="KDN366" s="35"/>
      <c r="KDO366" s="35"/>
      <c r="KDP366" s="35"/>
      <c r="KDQ366" s="34"/>
      <c r="KDR366" s="34"/>
      <c r="KDS366" s="36"/>
      <c r="KDT366" s="36"/>
      <c r="KDU366" s="37"/>
      <c r="KDV366" s="37"/>
      <c r="KDW366" s="38"/>
      <c r="KDX366" s="38"/>
      <c r="KDY366" s="39"/>
      <c r="KDZ366" s="34"/>
      <c r="KEA366" s="34"/>
      <c r="KEB366" s="34"/>
      <c r="KEC366" s="35"/>
      <c r="KED366" s="35"/>
      <c r="KEE366" s="35"/>
      <c r="KEF366" s="35"/>
      <c r="KEG366" s="35"/>
      <c r="KEH366" s="34"/>
      <c r="KEI366" s="34"/>
      <c r="KEJ366" s="36"/>
      <c r="KEK366" s="36"/>
      <c r="KEL366" s="37"/>
      <c r="KEM366" s="37"/>
      <c r="KEN366" s="38"/>
      <c r="KEO366" s="38"/>
      <c r="KEP366" s="39"/>
      <c r="KEQ366" s="34"/>
      <c r="KER366" s="34"/>
      <c r="KES366" s="34"/>
      <c r="KET366" s="35"/>
      <c r="KEU366" s="35"/>
      <c r="KEV366" s="35"/>
      <c r="KEW366" s="35"/>
      <c r="KEX366" s="35"/>
      <c r="KEY366" s="34"/>
      <c r="KEZ366" s="34"/>
      <c r="KFA366" s="36"/>
      <c r="KFB366" s="36"/>
      <c r="KFC366" s="37"/>
      <c r="KFD366" s="37"/>
      <c r="KFE366" s="38"/>
      <c r="KFF366" s="38"/>
      <c r="KFG366" s="39"/>
      <c r="KFH366" s="34"/>
      <c r="KFI366" s="34"/>
      <c r="KFJ366" s="34"/>
      <c r="KFK366" s="35"/>
      <c r="KFL366" s="35"/>
      <c r="KFM366" s="35"/>
      <c r="KFN366" s="35"/>
      <c r="KFO366" s="35"/>
      <c r="KFP366" s="34"/>
      <c r="KFQ366" s="34"/>
      <c r="KFR366" s="36"/>
      <c r="KFS366" s="36"/>
      <c r="KFT366" s="37"/>
      <c r="KFU366" s="37"/>
      <c r="KFV366" s="38"/>
      <c r="KFW366" s="38"/>
      <c r="KFX366" s="39"/>
      <c r="KFY366" s="34"/>
      <c r="KFZ366" s="34"/>
      <c r="KGA366" s="34"/>
      <c r="KGB366" s="35"/>
      <c r="KGC366" s="35"/>
      <c r="KGD366" s="35"/>
      <c r="KGE366" s="35"/>
      <c r="KGF366" s="35"/>
      <c r="KGG366" s="34"/>
      <c r="KGH366" s="34"/>
      <c r="KGI366" s="36"/>
      <c r="KGJ366" s="36"/>
      <c r="KGK366" s="37"/>
      <c r="KGL366" s="37"/>
      <c r="KGM366" s="38"/>
      <c r="KGN366" s="38"/>
      <c r="KGO366" s="39"/>
      <c r="KGP366" s="34"/>
      <c r="KGQ366" s="34"/>
      <c r="KGR366" s="34"/>
      <c r="KGS366" s="35"/>
      <c r="KGT366" s="35"/>
      <c r="KGU366" s="35"/>
      <c r="KGV366" s="35"/>
      <c r="KGW366" s="35"/>
      <c r="KGX366" s="34"/>
      <c r="KGY366" s="34"/>
      <c r="KGZ366" s="36"/>
      <c r="KHA366" s="36"/>
      <c r="KHB366" s="37"/>
      <c r="KHC366" s="37"/>
      <c r="KHD366" s="38"/>
      <c r="KHE366" s="38"/>
      <c r="KHF366" s="39"/>
      <c r="KHG366" s="34"/>
      <c r="KHH366" s="34"/>
      <c r="KHI366" s="34"/>
      <c r="KHJ366" s="35"/>
      <c r="KHK366" s="35"/>
      <c r="KHL366" s="35"/>
      <c r="KHM366" s="35"/>
      <c r="KHN366" s="35"/>
      <c r="KHO366" s="34"/>
      <c r="KHP366" s="34"/>
      <c r="KHQ366" s="36"/>
      <c r="KHR366" s="36"/>
      <c r="KHS366" s="37"/>
      <c r="KHT366" s="37"/>
      <c r="KHU366" s="38"/>
      <c r="KHV366" s="38"/>
      <c r="KHW366" s="39"/>
      <c r="KHX366" s="34"/>
      <c r="KHY366" s="34"/>
      <c r="KHZ366" s="34"/>
      <c r="KIA366" s="35"/>
      <c r="KIB366" s="35"/>
      <c r="KIC366" s="35"/>
      <c r="KID366" s="35"/>
      <c r="KIE366" s="35"/>
      <c r="KIF366" s="34"/>
      <c r="KIG366" s="34"/>
      <c r="KIH366" s="36"/>
      <c r="KII366" s="36"/>
      <c r="KIJ366" s="37"/>
      <c r="KIK366" s="37"/>
      <c r="KIL366" s="38"/>
      <c r="KIM366" s="38"/>
      <c r="KIN366" s="39"/>
      <c r="KIO366" s="34"/>
      <c r="KIP366" s="34"/>
      <c r="KIQ366" s="34"/>
      <c r="KIR366" s="35"/>
      <c r="KIS366" s="35"/>
      <c r="KIT366" s="35"/>
      <c r="KIU366" s="35"/>
      <c r="KIV366" s="35"/>
      <c r="KIW366" s="34"/>
      <c r="KIX366" s="34"/>
      <c r="KIY366" s="36"/>
      <c r="KIZ366" s="36"/>
      <c r="KJA366" s="37"/>
      <c r="KJB366" s="37"/>
      <c r="KJC366" s="38"/>
      <c r="KJD366" s="38"/>
      <c r="KJE366" s="39"/>
      <c r="KJF366" s="34"/>
      <c r="KJG366" s="34"/>
      <c r="KJH366" s="34"/>
      <c r="KJI366" s="35"/>
      <c r="KJJ366" s="35"/>
      <c r="KJK366" s="35"/>
      <c r="KJL366" s="35"/>
      <c r="KJM366" s="35"/>
      <c r="KJN366" s="34"/>
      <c r="KJO366" s="34"/>
      <c r="KJP366" s="36"/>
      <c r="KJQ366" s="36"/>
      <c r="KJR366" s="37"/>
      <c r="KJS366" s="37"/>
      <c r="KJT366" s="38"/>
      <c r="KJU366" s="38"/>
      <c r="KJV366" s="39"/>
      <c r="KJW366" s="34"/>
      <c r="KJX366" s="34"/>
      <c r="KJY366" s="34"/>
      <c r="KJZ366" s="35"/>
      <c r="KKA366" s="35"/>
      <c r="KKB366" s="35"/>
      <c r="KKC366" s="35"/>
      <c r="KKD366" s="35"/>
      <c r="KKE366" s="34"/>
      <c r="KKF366" s="34"/>
      <c r="KKG366" s="36"/>
      <c r="KKH366" s="36"/>
      <c r="KKI366" s="37"/>
      <c r="KKJ366" s="37"/>
      <c r="KKK366" s="38"/>
      <c r="KKL366" s="38"/>
      <c r="KKM366" s="39"/>
      <c r="KKN366" s="34"/>
      <c r="KKO366" s="34"/>
      <c r="KKP366" s="34"/>
      <c r="KKQ366" s="35"/>
      <c r="KKR366" s="35"/>
      <c r="KKS366" s="35"/>
      <c r="KKT366" s="35"/>
      <c r="KKU366" s="35"/>
      <c r="KKV366" s="34"/>
      <c r="KKW366" s="34"/>
      <c r="KKX366" s="36"/>
      <c r="KKY366" s="36"/>
      <c r="KKZ366" s="37"/>
      <c r="KLA366" s="37"/>
      <c r="KLB366" s="38"/>
      <c r="KLC366" s="38"/>
      <c r="KLD366" s="39"/>
      <c r="KLE366" s="34"/>
      <c r="KLF366" s="34"/>
      <c r="KLG366" s="34"/>
      <c r="KLH366" s="35"/>
      <c r="KLI366" s="35"/>
      <c r="KLJ366" s="35"/>
      <c r="KLK366" s="35"/>
      <c r="KLL366" s="35"/>
      <c r="KLM366" s="34"/>
      <c r="KLN366" s="34"/>
      <c r="KLO366" s="36"/>
      <c r="KLP366" s="36"/>
      <c r="KLQ366" s="37"/>
      <c r="KLR366" s="37"/>
      <c r="KLS366" s="38"/>
      <c r="KLT366" s="38"/>
      <c r="KLU366" s="39"/>
      <c r="KLV366" s="34"/>
      <c r="KLW366" s="34"/>
      <c r="KLX366" s="34"/>
      <c r="KLY366" s="35"/>
      <c r="KLZ366" s="35"/>
      <c r="KMA366" s="35"/>
      <c r="KMB366" s="35"/>
      <c r="KMC366" s="35"/>
      <c r="KMD366" s="34"/>
      <c r="KME366" s="34"/>
      <c r="KMF366" s="36"/>
      <c r="KMG366" s="36"/>
      <c r="KMH366" s="37"/>
      <c r="KMI366" s="37"/>
      <c r="KMJ366" s="38"/>
      <c r="KMK366" s="38"/>
      <c r="KML366" s="39"/>
      <c r="KMM366" s="34"/>
      <c r="KMN366" s="34"/>
      <c r="KMO366" s="34"/>
      <c r="KMP366" s="35"/>
      <c r="KMQ366" s="35"/>
      <c r="KMR366" s="35"/>
      <c r="KMS366" s="35"/>
      <c r="KMT366" s="35"/>
      <c r="KMU366" s="34"/>
      <c r="KMV366" s="34"/>
      <c r="KMW366" s="36"/>
      <c r="KMX366" s="36"/>
      <c r="KMY366" s="37"/>
      <c r="KMZ366" s="37"/>
      <c r="KNA366" s="38"/>
      <c r="KNB366" s="38"/>
      <c r="KNC366" s="39"/>
      <c r="KND366" s="34"/>
      <c r="KNE366" s="34"/>
      <c r="KNF366" s="34"/>
      <c r="KNG366" s="35"/>
      <c r="KNH366" s="35"/>
      <c r="KNI366" s="35"/>
      <c r="KNJ366" s="35"/>
      <c r="KNK366" s="35"/>
      <c r="KNL366" s="34"/>
      <c r="KNM366" s="34"/>
      <c r="KNN366" s="36"/>
      <c r="KNO366" s="36"/>
      <c r="KNP366" s="37"/>
      <c r="KNQ366" s="37"/>
      <c r="KNR366" s="38"/>
      <c r="KNS366" s="38"/>
      <c r="KNT366" s="39"/>
      <c r="KNU366" s="34"/>
      <c r="KNV366" s="34"/>
      <c r="KNW366" s="34"/>
      <c r="KNX366" s="35"/>
      <c r="KNY366" s="35"/>
      <c r="KNZ366" s="35"/>
      <c r="KOA366" s="35"/>
      <c r="KOB366" s="35"/>
      <c r="KOC366" s="34"/>
      <c r="KOD366" s="34"/>
      <c r="KOE366" s="36"/>
      <c r="KOF366" s="36"/>
      <c r="KOG366" s="37"/>
      <c r="KOH366" s="37"/>
      <c r="KOI366" s="38"/>
      <c r="KOJ366" s="38"/>
      <c r="KOK366" s="39"/>
      <c r="KOL366" s="34"/>
      <c r="KOM366" s="34"/>
      <c r="KON366" s="34"/>
      <c r="KOO366" s="35"/>
      <c r="KOP366" s="35"/>
      <c r="KOQ366" s="35"/>
      <c r="KOR366" s="35"/>
      <c r="KOS366" s="35"/>
      <c r="KOT366" s="34"/>
      <c r="KOU366" s="34"/>
      <c r="KOV366" s="36"/>
      <c r="KOW366" s="36"/>
      <c r="KOX366" s="37"/>
      <c r="KOY366" s="37"/>
      <c r="KOZ366" s="38"/>
      <c r="KPA366" s="38"/>
      <c r="KPB366" s="39"/>
      <c r="KPC366" s="34"/>
      <c r="KPD366" s="34"/>
      <c r="KPE366" s="34"/>
      <c r="KPF366" s="35"/>
      <c r="KPG366" s="35"/>
      <c r="KPH366" s="35"/>
      <c r="KPI366" s="35"/>
      <c r="KPJ366" s="35"/>
      <c r="KPK366" s="34"/>
      <c r="KPL366" s="34"/>
      <c r="KPM366" s="36"/>
      <c r="KPN366" s="36"/>
      <c r="KPO366" s="37"/>
      <c r="KPP366" s="37"/>
      <c r="KPQ366" s="38"/>
      <c r="KPR366" s="38"/>
      <c r="KPS366" s="39"/>
      <c r="KPT366" s="34"/>
      <c r="KPU366" s="34"/>
      <c r="KPV366" s="34"/>
      <c r="KPW366" s="35"/>
      <c r="KPX366" s="35"/>
      <c r="KPY366" s="35"/>
      <c r="KPZ366" s="35"/>
      <c r="KQA366" s="35"/>
      <c r="KQB366" s="34"/>
      <c r="KQC366" s="34"/>
      <c r="KQD366" s="36"/>
      <c r="KQE366" s="36"/>
      <c r="KQF366" s="37"/>
      <c r="KQG366" s="37"/>
      <c r="KQH366" s="38"/>
      <c r="KQI366" s="38"/>
      <c r="KQJ366" s="39"/>
      <c r="KQK366" s="34"/>
      <c r="KQL366" s="34"/>
      <c r="KQM366" s="34"/>
      <c r="KQN366" s="35"/>
      <c r="KQO366" s="35"/>
      <c r="KQP366" s="35"/>
      <c r="KQQ366" s="35"/>
      <c r="KQR366" s="35"/>
      <c r="KQS366" s="34"/>
      <c r="KQT366" s="34"/>
      <c r="KQU366" s="36"/>
      <c r="KQV366" s="36"/>
      <c r="KQW366" s="37"/>
      <c r="KQX366" s="37"/>
      <c r="KQY366" s="38"/>
      <c r="KQZ366" s="38"/>
      <c r="KRA366" s="39"/>
      <c r="KRB366" s="34"/>
      <c r="KRC366" s="34"/>
      <c r="KRD366" s="34"/>
      <c r="KRE366" s="35"/>
      <c r="KRF366" s="35"/>
      <c r="KRG366" s="35"/>
      <c r="KRH366" s="35"/>
      <c r="KRI366" s="35"/>
      <c r="KRJ366" s="34"/>
      <c r="KRK366" s="34"/>
      <c r="KRL366" s="36"/>
      <c r="KRM366" s="36"/>
      <c r="KRN366" s="37"/>
      <c r="KRO366" s="37"/>
      <c r="KRP366" s="38"/>
      <c r="KRQ366" s="38"/>
      <c r="KRR366" s="39"/>
      <c r="KRS366" s="34"/>
      <c r="KRT366" s="34"/>
      <c r="KRU366" s="34"/>
      <c r="KRV366" s="35"/>
      <c r="KRW366" s="35"/>
      <c r="KRX366" s="35"/>
      <c r="KRY366" s="35"/>
      <c r="KRZ366" s="35"/>
      <c r="KSA366" s="34"/>
      <c r="KSB366" s="34"/>
      <c r="KSC366" s="36"/>
      <c r="KSD366" s="36"/>
      <c r="KSE366" s="37"/>
      <c r="KSF366" s="37"/>
      <c r="KSG366" s="38"/>
      <c r="KSH366" s="38"/>
      <c r="KSI366" s="39"/>
      <c r="KSJ366" s="34"/>
      <c r="KSK366" s="34"/>
      <c r="KSL366" s="34"/>
      <c r="KSM366" s="35"/>
      <c r="KSN366" s="35"/>
      <c r="KSO366" s="35"/>
      <c r="KSP366" s="35"/>
      <c r="KSQ366" s="35"/>
      <c r="KSR366" s="34"/>
      <c r="KSS366" s="34"/>
      <c r="KST366" s="36"/>
      <c r="KSU366" s="36"/>
      <c r="KSV366" s="37"/>
      <c r="KSW366" s="37"/>
      <c r="KSX366" s="38"/>
      <c r="KSY366" s="38"/>
      <c r="KSZ366" s="39"/>
      <c r="KTA366" s="34"/>
      <c r="KTB366" s="34"/>
      <c r="KTC366" s="34"/>
      <c r="KTD366" s="35"/>
      <c r="KTE366" s="35"/>
      <c r="KTF366" s="35"/>
      <c r="KTG366" s="35"/>
      <c r="KTH366" s="35"/>
      <c r="KTI366" s="34"/>
      <c r="KTJ366" s="34"/>
      <c r="KTK366" s="36"/>
      <c r="KTL366" s="36"/>
      <c r="KTM366" s="37"/>
      <c r="KTN366" s="37"/>
      <c r="KTO366" s="38"/>
      <c r="KTP366" s="38"/>
      <c r="KTQ366" s="39"/>
      <c r="KTR366" s="34"/>
      <c r="KTS366" s="34"/>
      <c r="KTT366" s="34"/>
      <c r="KTU366" s="35"/>
      <c r="KTV366" s="35"/>
      <c r="KTW366" s="35"/>
      <c r="KTX366" s="35"/>
      <c r="KTY366" s="35"/>
      <c r="KTZ366" s="34"/>
      <c r="KUA366" s="34"/>
      <c r="KUB366" s="36"/>
      <c r="KUC366" s="36"/>
      <c r="KUD366" s="37"/>
      <c r="KUE366" s="37"/>
      <c r="KUF366" s="38"/>
      <c r="KUG366" s="38"/>
      <c r="KUH366" s="39"/>
      <c r="KUI366" s="34"/>
      <c r="KUJ366" s="34"/>
      <c r="KUK366" s="34"/>
      <c r="KUL366" s="35"/>
      <c r="KUM366" s="35"/>
      <c r="KUN366" s="35"/>
      <c r="KUO366" s="35"/>
      <c r="KUP366" s="35"/>
      <c r="KUQ366" s="34"/>
      <c r="KUR366" s="34"/>
      <c r="KUS366" s="36"/>
      <c r="KUT366" s="36"/>
      <c r="KUU366" s="37"/>
      <c r="KUV366" s="37"/>
      <c r="KUW366" s="38"/>
      <c r="KUX366" s="38"/>
      <c r="KUY366" s="39"/>
      <c r="KUZ366" s="34"/>
      <c r="KVA366" s="34"/>
      <c r="KVB366" s="34"/>
      <c r="KVC366" s="35"/>
      <c r="KVD366" s="35"/>
      <c r="KVE366" s="35"/>
      <c r="KVF366" s="35"/>
      <c r="KVG366" s="35"/>
      <c r="KVH366" s="34"/>
      <c r="KVI366" s="34"/>
      <c r="KVJ366" s="36"/>
      <c r="KVK366" s="36"/>
      <c r="KVL366" s="37"/>
      <c r="KVM366" s="37"/>
      <c r="KVN366" s="38"/>
      <c r="KVO366" s="38"/>
      <c r="KVP366" s="39"/>
      <c r="KVQ366" s="34"/>
      <c r="KVR366" s="34"/>
      <c r="KVS366" s="34"/>
      <c r="KVT366" s="35"/>
      <c r="KVU366" s="35"/>
      <c r="KVV366" s="35"/>
      <c r="KVW366" s="35"/>
      <c r="KVX366" s="35"/>
      <c r="KVY366" s="34"/>
      <c r="KVZ366" s="34"/>
      <c r="KWA366" s="36"/>
      <c r="KWB366" s="36"/>
      <c r="KWC366" s="37"/>
      <c r="KWD366" s="37"/>
      <c r="KWE366" s="38"/>
      <c r="KWF366" s="38"/>
      <c r="KWG366" s="39"/>
      <c r="KWH366" s="34"/>
      <c r="KWI366" s="34"/>
      <c r="KWJ366" s="34"/>
      <c r="KWK366" s="35"/>
      <c r="KWL366" s="35"/>
      <c r="KWM366" s="35"/>
      <c r="KWN366" s="35"/>
      <c r="KWO366" s="35"/>
      <c r="KWP366" s="34"/>
      <c r="KWQ366" s="34"/>
      <c r="KWR366" s="36"/>
      <c r="KWS366" s="36"/>
      <c r="KWT366" s="37"/>
      <c r="KWU366" s="37"/>
      <c r="KWV366" s="38"/>
      <c r="KWW366" s="38"/>
      <c r="KWX366" s="39"/>
      <c r="KWY366" s="34"/>
      <c r="KWZ366" s="34"/>
      <c r="KXA366" s="34"/>
      <c r="KXB366" s="35"/>
      <c r="KXC366" s="35"/>
      <c r="KXD366" s="35"/>
      <c r="KXE366" s="35"/>
      <c r="KXF366" s="35"/>
      <c r="KXG366" s="34"/>
      <c r="KXH366" s="34"/>
      <c r="KXI366" s="36"/>
      <c r="KXJ366" s="36"/>
      <c r="KXK366" s="37"/>
      <c r="KXL366" s="37"/>
      <c r="KXM366" s="38"/>
      <c r="KXN366" s="38"/>
      <c r="KXO366" s="39"/>
      <c r="KXP366" s="34"/>
      <c r="KXQ366" s="34"/>
      <c r="KXR366" s="34"/>
      <c r="KXS366" s="35"/>
      <c r="KXT366" s="35"/>
      <c r="KXU366" s="35"/>
      <c r="KXV366" s="35"/>
      <c r="KXW366" s="35"/>
      <c r="KXX366" s="34"/>
      <c r="KXY366" s="34"/>
      <c r="KXZ366" s="36"/>
      <c r="KYA366" s="36"/>
      <c r="KYB366" s="37"/>
      <c r="KYC366" s="37"/>
      <c r="KYD366" s="38"/>
      <c r="KYE366" s="38"/>
      <c r="KYF366" s="39"/>
      <c r="KYG366" s="34"/>
      <c r="KYH366" s="34"/>
      <c r="KYI366" s="34"/>
      <c r="KYJ366" s="35"/>
      <c r="KYK366" s="35"/>
      <c r="KYL366" s="35"/>
      <c r="KYM366" s="35"/>
      <c r="KYN366" s="35"/>
      <c r="KYO366" s="34"/>
      <c r="KYP366" s="34"/>
      <c r="KYQ366" s="36"/>
      <c r="KYR366" s="36"/>
      <c r="KYS366" s="37"/>
      <c r="KYT366" s="37"/>
      <c r="KYU366" s="38"/>
      <c r="KYV366" s="38"/>
      <c r="KYW366" s="39"/>
      <c r="KYX366" s="34"/>
      <c r="KYY366" s="34"/>
      <c r="KYZ366" s="34"/>
      <c r="KZA366" s="35"/>
      <c r="KZB366" s="35"/>
      <c r="KZC366" s="35"/>
      <c r="KZD366" s="35"/>
      <c r="KZE366" s="35"/>
      <c r="KZF366" s="34"/>
      <c r="KZG366" s="34"/>
      <c r="KZH366" s="36"/>
      <c r="KZI366" s="36"/>
      <c r="KZJ366" s="37"/>
      <c r="KZK366" s="37"/>
      <c r="KZL366" s="38"/>
      <c r="KZM366" s="38"/>
      <c r="KZN366" s="39"/>
      <c r="KZO366" s="34"/>
      <c r="KZP366" s="34"/>
      <c r="KZQ366" s="34"/>
      <c r="KZR366" s="35"/>
      <c r="KZS366" s="35"/>
      <c r="KZT366" s="35"/>
      <c r="KZU366" s="35"/>
      <c r="KZV366" s="35"/>
      <c r="KZW366" s="34"/>
      <c r="KZX366" s="34"/>
      <c r="KZY366" s="36"/>
      <c r="KZZ366" s="36"/>
      <c r="LAA366" s="37"/>
      <c r="LAB366" s="37"/>
      <c r="LAC366" s="38"/>
      <c r="LAD366" s="38"/>
      <c r="LAE366" s="39"/>
      <c r="LAF366" s="34"/>
      <c r="LAG366" s="34"/>
      <c r="LAH366" s="34"/>
      <c r="LAI366" s="35"/>
      <c r="LAJ366" s="35"/>
      <c r="LAK366" s="35"/>
      <c r="LAL366" s="35"/>
      <c r="LAM366" s="35"/>
      <c r="LAN366" s="34"/>
      <c r="LAO366" s="34"/>
      <c r="LAP366" s="36"/>
      <c r="LAQ366" s="36"/>
      <c r="LAR366" s="37"/>
      <c r="LAS366" s="37"/>
      <c r="LAT366" s="38"/>
      <c r="LAU366" s="38"/>
      <c r="LAV366" s="39"/>
      <c r="LAW366" s="34"/>
      <c r="LAX366" s="34"/>
      <c r="LAY366" s="34"/>
      <c r="LAZ366" s="35"/>
      <c r="LBA366" s="35"/>
      <c r="LBB366" s="35"/>
      <c r="LBC366" s="35"/>
      <c r="LBD366" s="35"/>
      <c r="LBE366" s="34"/>
      <c r="LBF366" s="34"/>
      <c r="LBG366" s="36"/>
      <c r="LBH366" s="36"/>
      <c r="LBI366" s="37"/>
      <c r="LBJ366" s="37"/>
      <c r="LBK366" s="38"/>
      <c r="LBL366" s="38"/>
      <c r="LBM366" s="39"/>
      <c r="LBN366" s="34"/>
      <c r="LBO366" s="34"/>
      <c r="LBP366" s="34"/>
      <c r="LBQ366" s="35"/>
      <c r="LBR366" s="35"/>
      <c r="LBS366" s="35"/>
      <c r="LBT366" s="35"/>
      <c r="LBU366" s="35"/>
      <c r="LBV366" s="34"/>
      <c r="LBW366" s="34"/>
      <c r="LBX366" s="36"/>
      <c r="LBY366" s="36"/>
      <c r="LBZ366" s="37"/>
      <c r="LCA366" s="37"/>
      <c r="LCB366" s="38"/>
      <c r="LCC366" s="38"/>
      <c r="LCD366" s="39"/>
      <c r="LCE366" s="34"/>
      <c r="LCF366" s="34"/>
      <c r="LCG366" s="34"/>
      <c r="LCH366" s="35"/>
      <c r="LCI366" s="35"/>
      <c r="LCJ366" s="35"/>
      <c r="LCK366" s="35"/>
      <c r="LCL366" s="35"/>
      <c r="LCM366" s="34"/>
      <c r="LCN366" s="34"/>
      <c r="LCO366" s="36"/>
      <c r="LCP366" s="36"/>
      <c r="LCQ366" s="37"/>
      <c r="LCR366" s="37"/>
      <c r="LCS366" s="38"/>
      <c r="LCT366" s="38"/>
      <c r="LCU366" s="39"/>
      <c r="LCV366" s="34"/>
      <c r="LCW366" s="34"/>
      <c r="LCX366" s="34"/>
      <c r="LCY366" s="35"/>
      <c r="LCZ366" s="35"/>
      <c r="LDA366" s="35"/>
      <c r="LDB366" s="35"/>
      <c r="LDC366" s="35"/>
      <c r="LDD366" s="34"/>
      <c r="LDE366" s="34"/>
      <c r="LDF366" s="36"/>
      <c r="LDG366" s="36"/>
      <c r="LDH366" s="37"/>
      <c r="LDI366" s="37"/>
      <c r="LDJ366" s="38"/>
      <c r="LDK366" s="38"/>
      <c r="LDL366" s="39"/>
      <c r="LDM366" s="34"/>
      <c r="LDN366" s="34"/>
      <c r="LDO366" s="34"/>
      <c r="LDP366" s="35"/>
      <c r="LDQ366" s="35"/>
      <c r="LDR366" s="35"/>
      <c r="LDS366" s="35"/>
      <c r="LDT366" s="35"/>
      <c r="LDU366" s="34"/>
      <c r="LDV366" s="34"/>
      <c r="LDW366" s="36"/>
      <c r="LDX366" s="36"/>
      <c r="LDY366" s="37"/>
      <c r="LDZ366" s="37"/>
      <c r="LEA366" s="38"/>
      <c r="LEB366" s="38"/>
      <c r="LEC366" s="39"/>
      <c r="LED366" s="34"/>
      <c r="LEE366" s="34"/>
      <c r="LEF366" s="34"/>
      <c r="LEG366" s="35"/>
      <c r="LEH366" s="35"/>
      <c r="LEI366" s="35"/>
      <c r="LEJ366" s="35"/>
      <c r="LEK366" s="35"/>
      <c r="LEL366" s="34"/>
      <c r="LEM366" s="34"/>
      <c r="LEN366" s="36"/>
      <c r="LEO366" s="36"/>
      <c r="LEP366" s="37"/>
      <c r="LEQ366" s="37"/>
      <c r="LER366" s="38"/>
      <c r="LES366" s="38"/>
      <c r="LET366" s="39"/>
      <c r="LEU366" s="34"/>
      <c r="LEV366" s="34"/>
      <c r="LEW366" s="34"/>
      <c r="LEX366" s="35"/>
      <c r="LEY366" s="35"/>
      <c r="LEZ366" s="35"/>
      <c r="LFA366" s="35"/>
      <c r="LFB366" s="35"/>
      <c r="LFC366" s="34"/>
      <c r="LFD366" s="34"/>
      <c r="LFE366" s="36"/>
      <c r="LFF366" s="36"/>
      <c r="LFG366" s="37"/>
      <c r="LFH366" s="37"/>
      <c r="LFI366" s="38"/>
      <c r="LFJ366" s="38"/>
      <c r="LFK366" s="39"/>
      <c r="LFL366" s="34"/>
      <c r="LFM366" s="34"/>
      <c r="LFN366" s="34"/>
      <c r="LFO366" s="35"/>
      <c r="LFP366" s="35"/>
      <c r="LFQ366" s="35"/>
      <c r="LFR366" s="35"/>
      <c r="LFS366" s="35"/>
      <c r="LFT366" s="34"/>
      <c r="LFU366" s="34"/>
      <c r="LFV366" s="36"/>
      <c r="LFW366" s="36"/>
      <c r="LFX366" s="37"/>
      <c r="LFY366" s="37"/>
      <c r="LFZ366" s="38"/>
      <c r="LGA366" s="38"/>
      <c r="LGB366" s="39"/>
      <c r="LGC366" s="34"/>
      <c r="LGD366" s="34"/>
      <c r="LGE366" s="34"/>
      <c r="LGF366" s="35"/>
      <c r="LGG366" s="35"/>
      <c r="LGH366" s="35"/>
      <c r="LGI366" s="35"/>
      <c r="LGJ366" s="35"/>
      <c r="LGK366" s="34"/>
      <c r="LGL366" s="34"/>
      <c r="LGM366" s="36"/>
      <c r="LGN366" s="36"/>
      <c r="LGO366" s="37"/>
      <c r="LGP366" s="37"/>
      <c r="LGQ366" s="38"/>
      <c r="LGR366" s="38"/>
      <c r="LGS366" s="39"/>
      <c r="LGT366" s="34"/>
      <c r="LGU366" s="34"/>
      <c r="LGV366" s="34"/>
      <c r="LGW366" s="35"/>
      <c r="LGX366" s="35"/>
      <c r="LGY366" s="35"/>
      <c r="LGZ366" s="35"/>
      <c r="LHA366" s="35"/>
      <c r="LHB366" s="34"/>
      <c r="LHC366" s="34"/>
      <c r="LHD366" s="36"/>
      <c r="LHE366" s="36"/>
      <c r="LHF366" s="37"/>
      <c r="LHG366" s="37"/>
      <c r="LHH366" s="38"/>
      <c r="LHI366" s="38"/>
      <c r="LHJ366" s="39"/>
      <c r="LHK366" s="34"/>
      <c r="LHL366" s="34"/>
      <c r="LHM366" s="34"/>
      <c r="LHN366" s="35"/>
      <c r="LHO366" s="35"/>
      <c r="LHP366" s="35"/>
      <c r="LHQ366" s="35"/>
      <c r="LHR366" s="35"/>
      <c r="LHS366" s="34"/>
      <c r="LHT366" s="34"/>
      <c r="LHU366" s="36"/>
      <c r="LHV366" s="36"/>
      <c r="LHW366" s="37"/>
      <c r="LHX366" s="37"/>
      <c r="LHY366" s="38"/>
      <c r="LHZ366" s="38"/>
      <c r="LIA366" s="39"/>
      <c r="LIB366" s="34"/>
      <c r="LIC366" s="34"/>
      <c r="LID366" s="34"/>
      <c r="LIE366" s="35"/>
      <c r="LIF366" s="35"/>
      <c r="LIG366" s="35"/>
      <c r="LIH366" s="35"/>
      <c r="LII366" s="35"/>
      <c r="LIJ366" s="34"/>
      <c r="LIK366" s="34"/>
      <c r="LIL366" s="36"/>
      <c r="LIM366" s="36"/>
      <c r="LIN366" s="37"/>
      <c r="LIO366" s="37"/>
      <c r="LIP366" s="38"/>
      <c r="LIQ366" s="38"/>
      <c r="LIR366" s="39"/>
      <c r="LIS366" s="34"/>
      <c r="LIT366" s="34"/>
      <c r="LIU366" s="34"/>
      <c r="LIV366" s="35"/>
      <c r="LIW366" s="35"/>
      <c r="LIX366" s="35"/>
      <c r="LIY366" s="35"/>
      <c r="LIZ366" s="35"/>
      <c r="LJA366" s="34"/>
      <c r="LJB366" s="34"/>
      <c r="LJC366" s="36"/>
      <c r="LJD366" s="36"/>
      <c r="LJE366" s="37"/>
      <c r="LJF366" s="37"/>
      <c r="LJG366" s="38"/>
      <c r="LJH366" s="38"/>
      <c r="LJI366" s="39"/>
      <c r="LJJ366" s="34"/>
      <c r="LJK366" s="34"/>
      <c r="LJL366" s="34"/>
      <c r="LJM366" s="35"/>
      <c r="LJN366" s="35"/>
      <c r="LJO366" s="35"/>
      <c r="LJP366" s="35"/>
      <c r="LJQ366" s="35"/>
      <c r="LJR366" s="34"/>
      <c r="LJS366" s="34"/>
      <c r="LJT366" s="36"/>
      <c r="LJU366" s="36"/>
      <c r="LJV366" s="37"/>
      <c r="LJW366" s="37"/>
      <c r="LJX366" s="38"/>
      <c r="LJY366" s="38"/>
      <c r="LJZ366" s="39"/>
      <c r="LKA366" s="34"/>
      <c r="LKB366" s="34"/>
      <c r="LKC366" s="34"/>
      <c r="LKD366" s="35"/>
      <c r="LKE366" s="35"/>
      <c r="LKF366" s="35"/>
      <c r="LKG366" s="35"/>
      <c r="LKH366" s="35"/>
      <c r="LKI366" s="34"/>
      <c r="LKJ366" s="34"/>
      <c r="LKK366" s="36"/>
      <c r="LKL366" s="36"/>
      <c r="LKM366" s="37"/>
      <c r="LKN366" s="37"/>
      <c r="LKO366" s="38"/>
      <c r="LKP366" s="38"/>
      <c r="LKQ366" s="39"/>
      <c r="LKR366" s="34"/>
      <c r="LKS366" s="34"/>
      <c r="LKT366" s="34"/>
      <c r="LKU366" s="35"/>
      <c r="LKV366" s="35"/>
      <c r="LKW366" s="35"/>
      <c r="LKX366" s="35"/>
      <c r="LKY366" s="35"/>
      <c r="LKZ366" s="34"/>
      <c r="LLA366" s="34"/>
      <c r="LLB366" s="36"/>
      <c r="LLC366" s="36"/>
      <c r="LLD366" s="37"/>
      <c r="LLE366" s="37"/>
      <c r="LLF366" s="38"/>
      <c r="LLG366" s="38"/>
      <c r="LLH366" s="39"/>
      <c r="LLI366" s="34"/>
      <c r="LLJ366" s="34"/>
      <c r="LLK366" s="34"/>
      <c r="LLL366" s="35"/>
      <c r="LLM366" s="35"/>
      <c r="LLN366" s="35"/>
      <c r="LLO366" s="35"/>
      <c r="LLP366" s="35"/>
      <c r="LLQ366" s="34"/>
      <c r="LLR366" s="34"/>
      <c r="LLS366" s="36"/>
      <c r="LLT366" s="36"/>
      <c r="LLU366" s="37"/>
      <c r="LLV366" s="37"/>
      <c r="LLW366" s="38"/>
      <c r="LLX366" s="38"/>
      <c r="LLY366" s="39"/>
      <c r="LLZ366" s="34"/>
      <c r="LMA366" s="34"/>
      <c r="LMB366" s="34"/>
      <c r="LMC366" s="35"/>
      <c r="LMD366" s="35"/>
      <c r="LME366" s="35"/>
      <c r="LMF366" s="35"/>
      <c r="LMG366" s="35"/>
      <c r="LMH366" s="34"/>
      <c r="LMI366" s="34"/>
      <c r="LMJ366" s="36"/>
      <c r="LMK366" s="36"/>
      <c r="LML366" s="37"/>
      <c r="LMM366" s="37"/>
      <c r="LMN366" s="38"/>
      <c r="LMO366" s="38"/>
      <c r="LMP366" s="39"/>
      <c r="LMQ366" s="34"/>
      <c r="LMR366" s="34"/>
      <c r="LMS366" s="34"/>
      <c r="LMT366" s="35"/>
      <c r="LMU366" s="35"/>
      <c r="LMV366" s="35"/>
      <c r="LMW366" s="35"/>
      <c r="LMX366" s="35"/>
      <c r="LMY366" s="34"/>
      <c r="LMZ366" s="34"/>
      <c r="LNA366" s="36"/>
      <c r="LNB366" s="36"/>
      <c r="LNC366" s="37"/>
      <c r="LND366" s="37"/>
      <c r="LNE366" s="38"/>
      <c r="LNF366" s="38"/>
      <c r="LNG366" s="39"/>
      <c r="LNH366" s="34"/>
      <c r="LNI366" s="34"/>
      <c r="LNJ366" s="34"/>
      <c r="LNK366" s="35"/>
      <c r="LNL366" s="35"/>
      <c r="LNM366" s="35"/>
      <c r="LNN366" s="35"/>
      <c r="LNO366" s="35"/>
      <c r="LNP366" s="34"/>
      <c r="LNQ366" s="34"/>
      <c r="LNR366" s="36"/>
      <c r="LNS366" s="36"/>
      <c r="LNT366" s="37"/>
      <c r="LNU366" s="37"/>
      <c r="LNV366" s="38"/>
      <c r="LNW366" s="38"/>
      <c r="LNX366" s="39"/>
      <c r="LNY366" s="34"/>
      <c r="LNZ366" s="34"/>
      <c r="LOA366" s="34"/>
      <c r="LOB366" s="35"/>
      <c r="LOC366" s="35"/>
      <c r="LOD366" s="35"/>
      <c r="LOE366" s="35"/>
      <c r="LOF366" s="35"/>
      <c r="LOG366" s="34"/>
      <c r="LOH366" s="34"/>
      <c r="LOI366" s="36"/>
      <c r="LOJ366" s="36"/>
      <c r="LOK366" s="37"/>
      <c r="LOL366" s="37"/>
      <c r="LOM366" s="38"/>
      <c r="LON366" s="38"/>
      <c r="LOO366" s="39"/>
      <c r="LOP366" s="34"/>
      <c r="LOQ366" s="34"/>
      <c r="LOR366" s="34"/>
      <c r="LOS366" s="35"/>
      <c r="LOT366" s="35"/>
      <c r="LOU366" s="35"/>
      <c r="LOV366" s="35"/>
      <c r="LOW366" s="35"/>
      <c r="LOX366" s="34"/>
      <c r="LOY366" s="34"/>
      <c r="LOZ366" s="36"/>
      <c r="LPA366" s="36"/>
      <c r="LPB366" s="37"/>
      <c r="LPC366" s="37"/>
      <c r="LPD366" s="38"/>
      <c r="LPE366" s="38"/>
      <c r="LPF366" s="39"/>
      <c r="LPG366" s="34"/>
      <c r="LPH366" s="34"/>
      <c r="LPI366" s="34"/>
      <c r="LPJ366" s="35"/>
      <c r="LPK366" s="35"/>
      <c r="LPL366" s="35"/>
      <c r="LPM366" s="35"/>
      <c r="LPN366" s="35"/>
      <c r="LPO366" s="34"/>
      <c r="LPP366" s="34"/>
      <c r="LPQ366" s="36"/>
      <c r="LPR366" s="36"/>
      <c r="LPS366" s="37"/>
      <c r="LPT366" s="37"/>
      <c r="LPU366" s="38"/>
      <c r="LPV366" s="38"/>
      <c r="LPW366" s="39"/>
      <c r="LPX366" s="34"/>
      <c r="LPY366" s="34"/>
      <c r="LPZ366" s="34"/>
      <c r="LQA366" s="35"/>
      <c r="LQB366" s="35"/>
      <c r="LQC366" s="35"/>
      <c r="LQD366" s="35"/>
      <c r="LQE366" s="35"/>
      <c r="LQF366" s="34"/>
      <c r="LQG366" s="34"/>
      <c r="LQH366" s="36"/>
      <c r="LQI366" s="36"/>
      <c r="LQJ366" s="37"/>
      <c r="LQK366" s="37"/>
      <c r="LQL366" s="38"/>
      <c r="LQM366" s="38"/>
      <c r="LQN366" s="39"/>
      <c r="LQO366" s="34"/>
      <c r="LQP366" s="34"/>
      <c r="LQQ366" s="34"/>
      <c r="LQR366" s="35"/>
      <c r="LQS366" s="35"/>
      <c r="LQT366" s="35"/>
      <c r="LQU366" s="35"/>
      <c r="LQV366" s="35"/>
      <c r="LQW366" s="34"/>
      <c r="LQX366" s="34"/>
      <c r="LQY366" s="36"/>
      <c r="LQZ366" s="36"/>
      <c r="LRA366" s="37"/>
      <c r="LRB366" s="37"/>
      <c r="LRC366" s="38"/>
      <c r="LRD366" s="38"/>
      <c r="LRE366" s="39"/>
      <c r="LRF366" s="34"/>
      <c r="LRG366" s="34"/>
      <c r="LRH366" s="34"/>
      <c r="LRI366" s="35"/>
      <c r="LRJ366" s="35"/>
      <c r="LRK366" s="35"/>
      <c r="LRL366" s="35"/>
      <c r="LRM366" s="35"/>
      <c r="LRN366" s="34"/>
      <c r="LRO366" s="34"/>
      <c r="LRP366" s="36"/>
      <c r="LRQ366" s="36"/>
      <c r="LRR366" s="37"/>
      <c r="LRS366" s="37"/>
      <c r="LRT366" s="38"/>
      <c r="LRU366" s="38"/>
      <c r="LRV366" s="39"/>
      <c r="LRW366" s="34"/>
      <c r="LRX366" s="34"/>
      <c r="LRY366" s="34"/>
      <c r="LRZ366" s="35"/>
      <c r="LSA366" s="35"/>
      <c r="LSB366" s="35"/>
      <c r="LSC366" s="35"/>
      <c r="LSD366" s="35"/>
      <c r="LSE366" s="34"/>
      <c r="LSF366" s="34"/>
      <c r="LSG366" s="36"/>
      <c r="LSH366" s="36"/>
      <c r="LSI366" s="37"/>
      <c r="LSJ366" s="37"/>
      <c r="LSK366" s="38"/>
      <c r="LSL366" s="38"/>
      <c r="LSM366" s="39"/>
      <c r="LSN366" s="34"/>
      <c r="LSO366" s="34"/>
      <c r="LSP366" s="34"/>
      <c r="LSQ366" s="35"/>
      <c r="LSR366" s="35"/>
      <c r="LSS366" s="35"/>
      <c r="LST366" s="35"/>
      <c r="LSU366" s="35"/>
      <c r="LSV366" s="34"/>
      <c r="LSW366" s="34"/>
      <c r="LSX366" s="36"/>
      <c r="LSY366" s="36"/>
      <c r="LSZ366" s="37"/>
      <c r="LTA366" s="37"/>
      <c r="LTB366" s="38"/>
      <c r="LTC366" s="38"/>
      <c r="LTD366" s="39"/>
      <c r="LTE366" s="34"/>
      <c r="LTF366" s="34"/>
      <c r="LTG366" s="34"/>
      <c r="LTH366" s="35"/>
      <c r="LTI366" s="35"/>
      <c r="LTJ366" s="35"/>
      <c r="LTK366" s="35"/>
      <c r="LTL366" s="35"/>
      <c r="LTM366" s="34"/>
      <c r="LTN366" s="34"/>
      <c r="LTO366" s="36"/>
      <c r="LTP366" s="36"/>
      <c r="LTQ366" s="37"/>
      <c r="LTR366" s="37"/>
      <c r="LTS366" s="38"/>
      <c r="LTT366" s="38"/>
      <c r="LTU366" s="39"/>
      <c r="LTV366" s="34"/>
      <c r="LTW366" s="34"/>
      <c r="LTX366" s="34"/>
      <c r="LTY366" s="35"/>
      <c r="LTZ366" s="35"/>
      <c r="LUA366" s="35"/>
      <c r="LUB366" s="35"/>
      <c r="LUC366" s="35"/>
      <c r="LUD366" s="34"/>
      <c r="LUE366" s="34"/>
      <c r="LUF366" s="36"/>
      <c r="LUG366" s="36"/>
      <c r="LUH366" s="37"/>
      <c r="LUI366" s="37"/>
      <c r="LUJ366" s="38"/>
      <c r="LUK366" s="38"/>
      <c r="LUL366" s="39"/>
      <c r="LUM366" s="34"/>
      <c r="LUN366" s="34"/>
      <c r="LUO366" s="34"/>
      <c r="LUP366" s="35"/>
      <c r="LUQ366" s="35"/>
      <c r="LUR366" s="35"/>
      <c r="LUS366" s="35"/>
      <c r="LUT366" s="35"/>
      <c r="LUU366" s="34"/>
      <c r="LUV366" s="34"/>
      <c r="LUW366" s="36"/>
      <c r="LUX366" s="36"/>
      <c r="LUY366" s="37"/>
      <c r="LUZ366" s="37"/>
      <c r="LVA366" s="38"/>
      <c r="LVB366" s="38"/>
      <c r="LVC366" s="39"/>
      <c r="LVD366" s="34"/>
      <c r="LVE366" s="34"/>
      <c r="LVF366" s="34"/>
      <c r="LVG366" s="35"/>
      <c r="LVH366" s="35"/>
      <c r="LVI366" s="35"/>
      <c r="LVJ366" s="35"/>
      <c r="LVK366" s="35"/>
      <c r="LVL366" s="34"/>
      <c r="LVM366" s="34"/>
      <c r="LVN366" s="36"/>
      <c r="LVO366" s="36"/>
      <c r="LVP366" s="37"/>
      <c r="LVQ366" s="37"/>
      <c r="LVR366" s="38"/>
      <c r="LVS366" s="38"/>
      <c r="LVT366" s="39"/>
      <c r="LVU366" s="34"/>
      <c r="LVV366" s="34"/>
      <c r="LVW366" s="34"/>
      <c r="LVX366" s="35"/>
      <c r="LVY366" s="35"/>
      <c r="LVZ366" s="35"/>
      <c r="LWA366" s="35"/>
      <c r="LWB366" s="35"/>
      <c r="LWC366" s="34"/>
      <c r="LWD366" s="34"/>
      <c r="LWE366" s="36"/>
      <c r="LWF366" s="36"/>
      <c r="LWG366" s="37"/>
      <c r="LWH366" s="37"/>
      <c r="LWI366" s="38"/>
      <c r="LWJ366" s="38"/>
      <c r="LWK366" s="39"/>
      <c r="LWL366" s="34"/>
      <c r="LWM366" s="34"/>
      <c r="LWN366" s="34"/>
      <c r="LWO366" s="35"/>
      <c r="LWP366" s="35"/>
      <c r="LWQ366" s="35"/>
      <c r="LWR366" s="35"/>
      <c r="LWS366" s="35"/>
      <c r="LWT366" s="34"/>
      <c r="LWU366" s="34"/>
      <c r="LWV366" s="36"/>
      <c r="LWW366" s="36"/>
      <c r="LWX366" s="37"/>
      <c r="LWY366" s="37"/>
      <c r="LWZ366" s="38"/>
      <c r="LXA366" s="38"/>
      <c r="LXB366" s="39"/>
      <c r="LXC366" s="34"/>
      <c r="LXD366" s="34"/>
      <c r="LXE366" s="34"/>
      <c r="LXF366" s="35"/>
      <c r="LXG366" s="35"/>
      <c r="LXH366" s="35"/>
      <c r="LXI366" s="35"/>
      <c r="LXJ366" s="35"/>
      <c r="LXK366" s="34"/>
      <c r="LXL366" s="34"/>
      <c r="LXM366" s="36"/>
      <c r="LXN366" s="36"/>
      <c r="LXO366" s="37"/>
      <c r="LXP366" s="37"/>
      <c r="LXQ366" s="38"/>
      <c r="LXR366" s="38"/>
      <c r="LXS366" s="39"/>
      <c r="LXT366" s="34"/>
      <c r="LXU366" s="34"/>
      <c r="LXV366" s="34"/>
      <c r="LXW366" s="35"/>
      <c r="LXX366" s="35"/>
      <c r="LXY366" s="35"/>
      <c r="LXZ366" s="35"/>
      <c r="LYA366" s="35"/>
      <c r="LYB366" s="34"/>
      <c r="LYC366" s="34"/>
      <c r="LYD366" s="36"/>
      <c r="LYE366" s="36"/>
      <c r="LYF366" s="37"/>
      <c r="LYG366" s="37"/>
      <c r="LYH366" s="38"/>
      <c r="LYI366" s="38"/>
      <c r="LYJ366" s="39"/>
      <c r="LYK366" s="34"/>
      <c r="LYL366" s="34"/>
      <c r="LYM366" s="34"/>
      <c r="LYN366" s="35"/>
      <c r="LYO366" s="35"/>
      <c r="LYP366" s="35"/>
      <c r="LYQ366" s="35"/>
      <c r="LYR366" s="35"/>
      <c r="LYS366" s="34"/>
      <c r="LYT366" s="34"/>
      <c r="LYU366" s="36"/>
      <c r="LYV366" s="36"/>
      <c r="LYW366" s="37"/>
      <c r="LYX366" s="37"/>
      <c r="LYY366" s="38"/>
      <c r="LYZ366" s="38"/>
      <c r="LZA366" s="39"/>
      <c r="LZB366" s="34"/>
      <c r="LZC366" s="34"/>
      <c r="LZD366" s="34"/>
      <c r="LZE366" s="35"/>
      <c r="LZF366" s="35"/>
      <c r="LZG366" s="35"/>
      <c r="LZH366" s="35"/>
      <c r="LZI366" s="35"/>
      <c r="LZJ366" s="34"/>
      <c r="LZK366" s="34"/>
      <c r="LZL366" s="36"/>
      <c r="LZM366" s="36"/>
      <c r="LZN366" s="37"/>
      <c r="LZO366" s="37"/>
      <c r="LZP366" s="38"/>
      <c r="LZQ366" s="38"/>
      <c r="LZR366" s="39"/>
      <c r="LZS366" s="34"/>
      <c r="LZT366" s="34"/>
      <c r="LZU366" s="34"/>
      <c r="LZV366" s="35"/>
      <c r="LZW366" s="35"/>
      <c r="LZX366" s="35"/>
      <c r="LZY366" s="35"/>
      <c r="LZZ366" s="35"/>
      <c r="MAA366" s="34"/>
      <c r="MAB366" s="34"/>
      <c r="MAC366" s="36"/>
      <c r="MAD366" s="36"/>
      <c r="MAE366" s="37"/>
      <c r="MAF366" s="37"/>
      <c r="MAG366" s="38"/>
      <c r="MAH366" s="38"/>
      <c r="MAI366" s="39"/>
      <c r="MAJ366" s="34"/>
      <c r="MAK366" s="34"/>
      <c r="MAL366" s="34"/>
      <c r="MAM366" s="35"/>
      <c r="MAN366" s="35"/>
      <c r="MAO366" s="35"/>
      <c r="MAP366" s="35"/>
      <c r="MAQ366" s="35"/>
      <c r="MAR366" s="34"/>
      <c r="MAS366" s="34"/>
      <c r="MAT366" s="36"/>
      <c r="MAU366" s="36"/>
      <c r="MAV366" s="37"/>
      <c r="MAW366" s="37"/>
      <c r="MAX366" s="38"/>
      <c r="MAY366" s="38"/>
      <c r="MAZ366" s="39"/>
      <c r="MBA366" s="34"/>
      <c r="MBB366" s="34"/>
      <c r="MBC366" s="34"/>
      <c r="MBD366" s="35"/>
      <c r="MBE366" s="35"/>
      <c r="MBF366" s="35"/>
      <c r="MBG366" s="35"/>
      <c r="MBH366" s="35"/>
      <c r="MBI366" s="34"/>
      <c r="MBJ366" s="34"/>
      <c r="MBK366" s="36"/>
      <c r="MBL366" s="36"/>
      <c r="MBM366" s="37"/>
      <c r="MBN366" s="37"/>
      <c r="MBO366" s="38"/>
      <c r="MBP366" s="38"/>
      <c r="MBQ366" s="39"/>
      <c r="MBR366" s="34"/>
      <c r="MBS366" s="34"/>
      <c r="MBT366" s="34"/>
      <c r="MBU366" s="35"/>
      <c r="MBV366" s="35"/>
      <c r="MBW366" s="35"/>
      <c r="MBX366" s="35"/>
      <c r="MBY366" s="35"/>
      <c r="MBZ366" s="34"/>
      <c r="MCA366" s="34"/>
      <c r="MCB366" s="36"/>
      <c r="MCC366" s="36"/>
      <c r="MCD366" s="37"/>
      <c r="MCE366" s="37"/>
      <c r="MCF366" s="38"/>
      <c r="MCG366" s="38"/>
      <c r="MCH366" s="39"/>
      <c r="MCI366" s="34"/>
      <c r="MCJ366" s="34"/>
      <c r="MCK366" s="34"/>
      <c r="MCL366" s="35"/>
      <c r="MCM366" s="35"/>
      <c r="MCN366" s="35"/>
      <c r="MCO366" s="35"/>
      <c r="MCP366" s="35"/>
      <c r="MCQ366" s="34"/>
      <c r="MCR366" s="34"/>
      <c r="MCS366" s="36"/>
      <c r="MCT366" s="36"/>
      <c r="MCU366" s="37"/>
      <c r="MCV366" s="37"/>
      <c r="MCW366" s="38"/>
      <c r="MCX366" s="38"/>
      <c r="MCY366" s="39"/>
      <c r="MCZ366" s="34"/>
      <c r="MDA366" s="34"/>
      <c r="MDB366" s="34"/>
      <c r="MDC366" s="35"/>
      <c r="MDD366" s="35"/>
      <c r="MDE366" s="35"/>
      <c r="MDF366" s="35"/>
      <c r="MDG366" s="35"/>
      <c r="MDH366" s="34"/>
      <c r="MDI366" s="34"/>
      <c r="MDJ366" s="36"/>
      <c r="MDK366" s="36"/>
      <c r="MDL366" s="37"/>
      <c r="MDM366" s="37"/>
      <c r="MDN366" s="38"/>
      <c r="MDO366" s="38"/>
      <c r="MDP366" s="39"/>
      <c r="MDQ366" s="34"/>
      <c r="MDR366" s="34"/>
      <c r="MDS366" s="34"/>
      <c r="MDT366" s="35"/>
      <c r="MDU366" s="35"/>
      <c r="MDV366" s="35"/>
      <c r="MDW366" s="35"/>
      <c r="MDX366" s="35"/>
      <c r="MDY366" s="34"/>
      <c r="MDZ366" s="34"/>
      <c r="MEA366" s="36"/>
      <c r="MEB366" s="36"/>
      <c r="MEC366" s="37"/>
      <c r="MED366" s="37"/>
      <c r="MEE366" s="38"/>
      <c r="MEF366" s="38"/>
      <c r="MEG366" s="39"/>
      <c r="MEH366" s="34"/>
      <c r="MEI366" s="34"/>
      <c r="MEJ366" s="34"/>
      <c r="MEK366" s="35"/>
      <c r="MEL366" s="35"/>
      <c r="MEM366" s="35"/>
      <c r="MEN366" s="35"/>
      <c r="MEO366" s="35"/>
      <c r="MEP366" s="34"/>
      <c r="MEQ366" s="34"/>
      <c r="MER366" s="36"/>
      <c r="MES366" s="36"/>
      <c r="MET366" s="37"/>
      <c r="MEU366" s="37"/>
      <c r="MEV366" s="38"/>
      <c r="MEW366" s="38"/>
      <c r="MEX366" s="39"/>
      <c r="MEY366" s="34"/>
      <c r="MEZ366" s="34"/>
      <c r="MFA366" s="34"/>
      <c r="MFB366" s="35"/>
      <c r="MFC366" s="35"/>
      <c r="MFD366" s="35"/>
      <c r="MFE366" s="35"/>
      <c r="MFF366" s="35"/>
      <c r="MFG366" s="34"/>
      <c r="MFH366" s="34"/>
      <c r="MFI366" s="36"/>
      <c r="MFJ366" s="36"/>
      <c r="MFK366" s="37"/>
      <c r="MFL366" s="37"/>
      <c r="MFM366" s="38"/>
      <c r="MFN366" s="38"/>
      <c r="MFO366" s="39"/>
      <c r="MFP366" s="34"/>
      <c r="MFQ366" s="34"/>
      <c r="MFR366" s="34"/>
      <c r="MFS366" s="35"/>
      <c r="MFT366" s="35"/>
      <c r="MFU366" s="35"/>
      <c r="MFV366" s="35"/>
      <c r="MFW366" s="35"/>
      <c r="MFX366" s="34"/>
      <c r="MFY366" s="34"/>
      <c r="MFZ366" s="36"/>
      <c r="MGA366" s="36"/>
      <c r="MGB366" s="37"/>
      <c r="MGC366" s="37"/>
      <c r="MGD366" s="38"/>
      <c r="MGE366" s="38"/>
      <c r="MGF366" s="39"/>
      <c r="MGG366" s="34"/>
      <c r="MGH366" s="34"/>
      <c r="MGI366" s="34"/>
      <c r="MGJ366" s="35"/>
      <c r="MGK366" s="35"/>
      <c r="MGL366" s="35"/>
      <c r="MGM366" s="35"/>
      <c r="MGN366" s="35"/>
      <c r="MGO366" s="34"/>
      <c r="MGP366" s="34"/>
      <c r="MGQ366" s="36"/>
      <c r="MGR366" s="36"/>
      <c r="MGS366" s="37"/>
      <c r="MGT366" s="37"/>
      <c r="MGU366" s="38"/>
      <c r="MGV366" s="38"/>
      <c r="MGW366" s="39"/>
      <c r="MGX366" s="34"/>
      <c r="MGY366" s="34"/>
      <c r="MGZ366" s="34"/>
      <c r="MHA366" s="35"/>
      <c r="MHB366" s="35"/>
      <c r="MHC366" s="35"/>
      <c r="MHD366" s="35"/>
      <c r="MHE366" s="35"/>
      <c r="MHF366" s="34"/>
      <c r="MHG366" s="34"/>
      <c r="MHH366" s="36"/>
      <c r="MHI366" s="36"/>
      <c r="MHJ366" s="37"/>
      <c r="MHK366" s="37"/>
      <c r="MHL366" s="38"/>
      <c r="MHM366" s="38"/>
      <c r="MHN366" s="39"/>
      <c r="MHO366" s="34"/>
      <c r="MHP366" s="34"/>
      <c r="MHQ366" s="34"/>
      <c r="MHR366" s="35"/>
      <c r="MHS366" s="35"/>
      <c r="MHT366" s="35"/>
      <c r="MHU366" s="35"/>
      <c r="MHV366" s="35"/>
      <c r="MHW366" s="34"/>
      <c r="MHX366" s="34"/>
      <c r="MHY366" s="36"/>
      <c r="MHZ366" s="36"/>
      <c r="MIA366" s="37"/>
      <c r="MIB366" s="37"/>
      <c r="MIC366" s="38"/>
      <c r="MID366" s="38"/>
      <c r="MIE366" s="39"/>
      <c r="MIF366" s="34"/>
      <c r="MIG366" s="34"/>
      <c r="MIH366" s="34"/>
      <c r="MII366" s="35"/>
      <c r="MIJ366" s="35"/>
      <c r="MIK366" s="35"/>
      <c r="MIL366" s="35"/>
      <c r="MIM366" s="35"/>
      <c r="MIN366" s="34"/>
      <c r="MIO366" s="34"/>
      <c r="MIP366" s="36"/>
      <c r="MIQ366" s="36"/>
      <c r="MIR366" s="37"/>
      <c r="MIS366" s="37"/>
      <c r="MIT366" s="38"/>
      <c r="MIU366" s="38"/>
      <c r="MIV366" s="39"/>
      <c r="MIW366" s="34"/>
      <c r="MIX366" s="34"/>
      <c r="MIY366" s="34"/>
      <c r="MIZ366" s="35"/>
      <c r="MJA366" s="35"/>
      <c r="MJB366" s="35"/>
      <c r="MJC366" s="35"/>
      <c r="MJD366" s="35"/>
      <c r="MJE366" s="34"/>
      <c r="MJF366" s="34"/>
      <c r="MJG366" s="36"/>
      <c r="MJH366" s="36"/>
      <c r="MJI366" s="37"/>
      <c r="MJJ366" s="37"/>
      <c r="MJK366" s="38"/>
      <c r="MJL366" s="38"/>
      <c r="MJM366" s="39"/>
      <c r="MJN366" s="34"/>
      <c r="MJO366" s="34"/>
      <c r="MJP366" s="34"/>
      <c r="MJQ366" s="35"/>
      <c r="MJR366" s="35"/>
      <c r="MJS366" s="35"/>
      <c r="MJT366" s="35"/>
      <c r="MJU366" s="35"/>
      <c r="MJV366" s="34"/>
      <c r="MJW366" s="34"/>
      <c r="MJX366" s="36"/>
      <c r="MJY366" s="36"/>
      <c r="MJZ366" s="37"/>
      <c r="MKA366" s="37"/>
      <c r="MKB366" s="38"/>
      <c r="MKC366" s="38"/>
      <c r="MKD366" s="39"/>
      <c r="MKE366" s="34"/>
      <c r="MKF366" s="34"/>
      <c r="MKG366" s="34"/>
      <c r="MKH366" s="35"/>
      <c r="MKI366" s="35"/>
      <c r="MKJ366" s="35"/>
      <c r="MKK366" s="35"/>
      <c r="MKL366" s="35"/>
      <c r="MKM366" s="34"/>
      <c r="MKN366" s="34"/>
      <c r="MKO366" s="36"/>
      <c r="MKP366" s="36"/>
      <c r="MKQ366" s="37"/>
      <c r="MKR366" s="37"/>
      <c r="MKS366" s="38"/>
      <c r="MKT366" s="38"/>
      <c r="MKU366" s="39"/>
      <c r="MKV366" s="34"/>
      <c r="MKW366" s="34"/>
      <c r="MKX366" s="34"/>
      <c r="MKY366" s="35"/>
      <c r="MKZ366" s="35"/>
      <c r="MLA366" s="35"/>
      <c r="MLB366" s="35"/>
      <c r="MLC366" s="35"/>
      <c r="MLD366" s="34"/>
      <c r="MLE366" s="34"/>
      <c r="MLF366" s="36"/>
      <c r="MLG366" s="36"/>
      <c r="MLH366" s="37"/>
      <c r="MLI366" s="37"/>
      <c r="MLJ366" s="38"/>
      <c r="MLK366" s="38"/>
      <c r="MLL366" s="39"/>
      <c r="MLM366" s="34"/>
      <c r="MLN366" s="34"/>
      <c r="MLO366" s="34"/>
      <c r="MLP366" s="35"/>
      <c r="MLQ366" s="35"/>
      <c r="MLR366" s="35"/>
      <c r="MLS366" s="35"/>
      <c r="MLT366" s="35"/>
      <c r="MLU366" s="34"/>
      <c r="MLV366" s="34"/>
      <c r="MLW366" s="36"/>
      <c r="MLX366" s="36"/>
      <c r="MLY366" s="37"/>
      <c r="MLZ366" s="37"/>
      <c r="MMA366" s="38"/>
      <c r="MMB366" s="38"/>
      <c r="MMC366" s="39"/>
      <c r="MMD366" s="34"/>
      <c r="MME366" s="34"/>
      <c r="MMF366" s="34"/>
      <c r="MMG366" s="35"/>
      <c r="MMH366" s="35"/>
      <c r="MMI366" s="35"/>
      <c r="MMJ366" s="35"/>
      <c r="MMK366" s="35"/>
      <c r="MML366" s="34"/>
      <c r="MMM366" s="34"/>
      <c r="MMN366" s="36"/>
      <c r="MMO366" s="36"/>
      <c r="MMP366" s="37"/>
      <c r="MMQ366" s="37"/>
      <c r="MMR366" s="38"/>
      <c r="MMS366" s="38"/>
      <c r="MMT366" s="39"/>
      <c r="MMU366" s="34"/>
      <c r="MMV366" s="34"/>
      <c r="MMW366" s="34"/>
      <c r="MMX366" s="35"/>
      <c r="MMY366" s="35"/>
      <c r="MMZ366" s="35"/>
      <c r="MNA366" s="35"/>
      <c r="MNB366" s="35"/>
      <c r="MNC366" s="34"/>
      <c r="MND366" s="34"/>
      <c r="MNE366" s="36"/>
      <c r="MNF366" s="36"/>
      <c r="MNG366" s="37"/>
      <c r="MNH366" s="37"/>
      <c r="MNI366" s="38"/>
      <c r="MNJ366" s="38"/>
      <c r="MNK366" s="39"/>
      <c r="MNL366" s="34"/>
      <c r="MNM366" s="34"/>
      <c r="MNN366" s="34"/>
      <c r="MNO366" s="35"/>
      <c r="MNP366" s="35"/>
      <c r="MNQ366" s="35"/>
      <c r="MNR366" s="35"/>
      <c r="MNS366" s="35"/>
      <c r="MNT366" s="34"/>
      <c r="MNU366" s="34"/>
      <c r="MNV366" s="36"/>
      <c r="MNW366" s="36"/>
      <c r="MNX366" s="37"/>
      <c r="MNY366" s="37"/>
      <c r="MNZ366" s="38"/>
      <c r="MOA366" s="38"/>
      <c r="MOB366" s="39"/>
      <c r="MOC366" s="34"/>
      <c r="MOD366" s="34"/>
      <c r="MOE366" s="34"/>
      <c r="MOF366" s="35"/>
      <c r="MOG366" s="35"/>
      <c r="MOH366" s="35"/>
      <c r="MOI366" s="35"/>
      <c r="MOJ366" s="35"/>
      <c r="MOK366" s="34"/>
      <c r="MOL366" s="34"/>
      <c r="MOM366" s="36"/>
      <c r="MON366" s="36"/>
      <c r="MOO366" s="37"/>
      <c r="MOP366" s="37"/>
      <c r="MOQ366" s="38"/>
      <c r="MOR366" s="38"/>
      <c r="MOS366" s="39"/>
      <c r="MOT366" s="34"/>
      <c r="MOU366" s="34"/>
      <c r="MOV366" s="34"/>
      <c r="MOW366" s="35"/>
      <c r="MOX366" s="35"/>
      <c r="MOY366" s="35"/>
      <c r="MOZ366" s="35"/>
      <c r="MPA366" s="35"/>
      <c r="MPB366" s="34"/>
      <c r="MPC366" s="34"/>
      <c r="MPD366" s="36"/>
      <c r="MPE366" s="36"/>
      <c r="MPF366" s="37"/>
      <c r="MPG366" s="37"/>
      <c r="MPH366" s="38"/>
      <c r="MPI366" s="38"/>
      <c r="MPJ366" s="39"/>
      <c r="MPK366" s="34"/>
      <c r="MPL366" s="34"/>
      <c r="MPM366" s="34"/>
      <c r="MPN366" s="35"/>
      <c r="MPO366" s="35"/>
      <c r="MPP366" s="35"/>
      <c r="MPQ366" s="35"/>
      <c r="MPR366" s="35"/>
      <c r="MPS366" s="34"/>
      <c r="MPT366" s="34"/>
      <c r="MPU366" s="36"/>
      <c r="MPV366" s="36"/>
      <c r="MPW366" s="37"/>
      <c r="MPX366" s="37"/>
      <c r="MPY366" s="38"/>
      <c r="MPZ366" s="38"/>
      <c r="MQA366" s="39"/>
      <c r="MQB366" s="34"/>
      <c r="MQC366" s="34"/>
      <c r="MQD366" s="34"/>
      <c r="MQE366" s="35"/>
      <c r="MQF366" s="35"/>
      <c r="MQG366" s="35"/>
      <c r="MQH366" s="35"/>
      <c r="MQI366" s="35"/>
      <c r="MQJ366" s="34"/>
      <c r="MQK366" s="34"/>
      <c r="MQL366" s="36"/>
      <c r="MQM366" s="36"/>
      <c r="MQN366" s="37"/>
      <c r="MQO366" s="37"/>
      <c r="MQP366" s="38"/>
      <c r="MQQ366" s="38"/>
      <c r="MQR366" s="39"/>
      <c r="MQS366" s="34"/>
      <c r="MQT366" s="34"/>
      <c r="MQU366" s="34"/>
      <c r="MQV366" s="35"/>
      <c r="MQW366" s="35"/>
      <c r="MQX366" s="35"/>
      <c r="MQY366" s="35"/>
      <c r="MQZ366" s="35"/>
      <c r="MRA366" s="34"/>
      <c r="MRB366" s="34"/>
      <c r="MRC366" s="36"/>
      <c r="MRD366" s="36"/>
      <c r="MRE366" s="37"/>
      <c r="MRF366" s="37"/>
      <c r="MRG366" s="38"/>
      <c r="MRH366" s="38"/>
      <c r="MRI366" s="39"/>
      <c r="MRJ366" s="34"/>
      <c r="MRK366" s="34"/>
      <c r="MRL366" s="34"/>
      <c r="MRM366" s="35"/>
      <c r="MRN366" s="35"/>
      <c r="MRO366" s="35"/>
      <c r="MRP366" s="35"/>
      <c r="MRQ366" s="35"/>
      <c r="MRR366" s="34"/>
      <c r="MRS366" s="34"/>
      <c r="MRT366" s="36"/>
      <c r="MRU366" s="36"/>
      <c r="MRV366" s="37"/>
      <c r="MRW366" s="37"/>
      <c r="MRX366" s="38"/>
      <c r="MRY366" s="38"/>
      <c r="MRZ366" s="39"/>
      <c r="MSA366" s="34"/>
      <c r="MSB366" s="34"/>
      <c r="MSC366" s="34"/>
      <c r="MSD366" s="35"/>
      <c r="MSE366" s="35"/>
      <c r="MSF366" s="35"/>
      <c r="MSG366" s="35"/>
      <c r="MSH366" s="35"/>
      <c r="MSI366" s="34"/>
      <c r="MSJ366" s="34"/>
      <c r="MSK366" s="36"/>
      <c r="MSL366" s="36"/>
      <c r="MSM366" s="37"/>
      <c r="MSN366" s="37"/>
      <c r="MSO366" s="38"/>
      <c r="MSP366" s="38"/>
      <c r="MSQ366" s="39"/>
      <c r="MSR366" s="34"/>
      <c r="MSS366" s="34"/>
      <c r="MST366" s="34"/>
      <c r="MSU366" s="35"/>
      <c r="MSV366" s="35"/>
      <c r="MSW366" s="35"/>
      <c r="MSX366" s="35"/>
      <c r="MSY366" s="35"/>
      <c r="MSZ366" s="34"/>
      <c r="MTA366" s="34"/>
      <c r="MTB366" s="36"/>
      <c r="MTC366" s="36"/>
      <c r="MTD366" s="37"/>
      <c r="MTE366" s="37"/>
      <c r="MTF366" s="38"/>
      <c r="MTG366" s="38"/>
      <c r="MTH366" s="39"/>
      <c r="MTI366" s="34"/>
      <c r="MTJ366" s="34"/>
      <c r="MTK366" s="34"/>
      <c r="MTL366" s="35"/>
      <c r="MTM366" s="35"/>
      <c r="MTN366" s="35"/>
      <c r="MTO366" s="35"/>
      <c r="MTP366" s="35"/>
      <c r="MTQ366" s="34"/>
      <c r="MTR366" s="34"/>
      <c r="MTS366" s="36"/>
      <c r="MTT366" s="36"/>
      <c r="MTU366" s="37"/>
      <c r="MTV366" s="37"/>
      <c r="MTW366" s="38"/>
      <c r="MTX366" s="38"/>
      <c r="MTY366" s="39"/>
      <c r="MTZ366" s="34"/>
      <c r="MUA366" s="34"/>
      <c r="MUB366" s="34"/>
      <c r="MUC366" s="35"/>
      <c r="MUD366" s="35"/>
      <c r="MUE366" s="35"/>
      <c r="MUF366" s="35"/>
      <c r="MUG366" s="35"/>
      <c r="MUH366" s="34"/>
      <c r="MUI366" s="34"/>
      <c r="MUJ366" s="36"/>
      <c r="MUK366" s="36"/>
      <c r="MUL366" s="37"/>
      <c r="MUM366" s="37"/>
      <c r="MUN366" s="38"/>
      <c r="MUO366" s="38"/>
      <c r="MUP366" s="39"/>
      <c r="MUQ366" s="34"/>
      <c r="MUR366" s="34"/>
      <c r="MUS366" s="34"/>
      <c r="MUT366" s="35"/>
      <c r="MUU366" s="35"/>
      <c r="MUV366" s="35"/>
      <c r="MUW366" s="35"/>
      <c r="MUX366" s="35"/>
      <c r="MUY366" s="34"/>
      <c r="MUZ366" s="34"/>
      <c r="MVA366" s="36"/>
      <c r="MVB366" s="36"/>
      <c r="MVC366" s="37"/>
      <c r="MVD366" s="37"/>
      <c r="MVE366" s="38"/>
      <c r="MVF366" s="38"/>
      <c r="MVG366" s="39"/>
      <c r="MVH366" s="34"/>
      <c r="MVI366" s="34"/>
      <c r="MVJ366" s="34"/>
      <c r="MVK366" s="35"/>
      <c r="MVL366" s="35"/>
      <c r="MVM366" s="35"/>
      <c r="MVN366" s="35"/>
      <c r="MVO366" s="35"/>
      <c r="MVP366" s="34"/>
      <c r="MVQ366" s="34"/>
      <c r="MVR366" s="36"/>
      <c r="MVS366" s="36"/>
      <c r="MVT366" s="37"/>
      <c r="MVU366" s="37"/>
      <c r="MVV366" s="38"/>
      <c r="MVW366" s="38"/>
      <c r="MVX366" s="39"/>
      <c r="MVY366" s="34"/>
      <c r="MVZ366" s="34"/>
      <c r="MWA366" s="34"/>
      <c r="MWB366" s="35"/>
      <c r="MWC366" s="35"/>
      <c r="MWD366" s="35"/>
      <c r="MWE366" s="35"/>
      <c r="MWF366" s="35"/>
      <c r="MWG366" s="34"/>
      <c r="MWH366" s="34"/>
      <c r="MWI366" s="36"/>
      <c r="MWJ366" s="36"/>
      <c r="MWK366" s="37"/>
      <c r="MWL366" s="37"/>
      <c r="MWM366" s="38"/>
      <c r="MWN366" s="38"/>
      <c r="MWO366" s="39"/>
      <c r="MWP366" s="34"/>
      <c r="MWQ366" s="34"/>
      <c r="MWR366" s="34"/>
      <c r="MWS366" s="35"/>
      <c r="MWT366" s="35"/>
      <c r="MWU366" s="35"/>
      <c r="MWV366" s="35"/>
      <c r="MWW366" s="35"/>
      <c r="MWX366" s="34"/>
      <c r="MWY366" s="34"/>
      <c r="MWZ366" s="36"/>
      <c r="MXA366" s="36"/>
      <c r="MXB366" s="37"/>
      <c r="MXC366" s="37"/>
      <c r="MXD366" s="38"/>
      <c r="MXE366" s="38"/>
      <c r="MXF366" s="39"/>
      <c r="MXG366" s="34"/>
      <c r="MXH366" s="34"/>
      <c r="MXI366" s="34"/>
      <c r="MXJ366" s="35"/>
      <c r="MXK366" s="35"/>
      <c r="MXL366" s="35"/>
      <c r="MXM366" s="35"/>
      <c r="MXN366" s="35"/>
      <c r="MXO366" s="34"/>
      <c r="MXP366" s="34"/>
      <c r="MXQ366" s="36"/>
      <c r="MXR366" s="36"/>
      <c r="MXS366" s="37"/>
      <c r="MXT366" s="37"/>
      <c r="MXU366" s="38"/>
      <c r="MXV366" s="38"/>
      <c r="MXW366" s="39"/>
      <c r="MXX366" s="34"/>
      <c r="MXY366" s="34"/>
      <c r="MXZ366" s="34"/>
      <c r="MYA366" s="35"/>
      <c r="MYB366" s="35"/>
      <c r="MYC366" s="35"/>
      <c r="MYD366" s="35"/>
      <c r="MYE366" s="35"/>
      <c r="MYF366" s="34"/>
      <c r="MYG366" s="34"/>
      <c r="MYH366" s="36"/>
      <c r="MYI366" s="36"/>
      <c r="MYJ366" s="37"/>
      <c r="MYK366" s="37"/>
      <c r="MYL366" s="38"/>
      <c r="MYM366" s="38"/>
      <c r="MYN366" s="39"/>
      <c r="MYO366" s="34"/>
      <c r="MYP366" s="34"/>
      <c r="MYQ366" s="34"/>
      <c r="MYR366" s="35"/>
      <c r="MYS366" s="35"/>
      <c r="MYT366" s="35"/>
      <c r="MYU366" s="35"/>
      <c r="MYV366" s="35"/>
      <c r="MYW366" s="34"/>
      <c r="MYX366" s="34"/>
      <c r="MYY366" s="36"/>
      <c r="MYZ366" s="36"/>
      <c r="MZA366" s="37"/>
      <c r="MZB366" s="37"/>
      <c r="MZC366" s="38"/>
      <c r="MZD366" s="38"/>
      <c r="MZE366" s="39"/>
      <c r="MZF366" s="34"/>
      <c r="MZG366" s="34"/>
      <c r="MZH366" s="34"/>
      <c r="MZI366" s="35"/>
      <c r="MZJ366" s="35"/>
      <c r="MZK366" s="35"/>
      <c r="MZL366" s="35"/>
      <c r="MZM366" s="35"/>
      <c r="MZN366" s="34"/>
      <c r="MZO366" s="34"/>
      <c r="MZP366" s="36"/>
      <c r="MZQ366" s="36"/>
      <c r="MZR366" s="37"/>
      <c r="MZS366" s="37"/>
      <c r="MZT366" s="38"/>
      <c r="MZU366" s="38"/>
      <c r="MZV366" s="39"/>
      <c r="MZW366" s="34"/>
      <c r="MZX366" s="34"/>
      <c r="MZY366" s="34"/>
      <c r="MZZ366" s="35"/>
      <c r="NAA366" s="35"/>
      <c r="NAB366" s="35"/>
      <c r="NAC366" s="35"/>
      <c r="NAD366" s="35"/>
      <c r="NAE366" s="34"/>
      <c r="NAF366" s="34"/>
      <c r="NAG366" s="36"/>
      <c r="NAH366" s="36"/>
      <c r="NAI366" s="37"/>
      <c r="NAJ366" s="37"/>
      <c r="NAK366" s="38"/>
      <c r="NAL366" s="38"/>
      <c r="NAM366" s="39"/>
      <c r="NAN366" s="34"/>
      <c r="NAO366" s="34"/>
      <c r="NAP366" s="34"/>
      <c r="NAQ366" s="35"/>
      <c r="NAR366" s="35"/>
      <c r="NAS366" s="35"/>
      <c r="NAT366" s="35"/>
      <c r="NAU366" s="35"/>
      <c r="NAV366" s="34"/>
      <c r="NAW366" s="34"/>
      <c r="NAX366" s="36"/>
      <c r="NAY366" s="36"/>
      <c r="NAZ366" s="37"/>
      <c r="NBA366" s="37"/>
      <c r="NBB366" s="38"/>
      <c r="NBC366" s="38"/>
      <c r="NBD366" s="39"/>
      <c r="NBE366" s="34"/>
      <c r="NBF366" s="34"/>
      <c r="NBG366" s="34"/>
      <c r="NBH366" s="35"/>
      <c r="NBI366" s="35"/>
      <c r="NBJ366" s="35"/>
      <c r="NBK366" s="35"/>
      <c r="NBL366" s="35"/>
      <c r="NBM366" s="34"/>
      <c r="NBN366" s="34"/>
      <c r="NBO366" s="36"/>
      <c r="NBP366" s="36"/>
      <c r="NBQ366" s="37"/>
      <c r="NBR366" s="37"/>
      <c r="NBS366" s="38"/>
      <c r="NBT366" s="38"/>
      <c r="NBU366" s="39"/>
      <c r="NBV366" s="34"/>
      <c r="NBW366" s="34"/>
      <c r="NBX366" s="34"/>
      <c r="NBY366" s="35"/>
      <c r="NBZ366" s="35"/>
      <c r="NCA366" s="35"/>
      <c r="NCB366" s="35"/>
      <c r="NCC366" s="35"/>
      <c r="NCD366" s="34"/>
      <c r="NCE366" s="34"/>
      <c r="NCF366" s="36"/>
      <c r="NCG366" s="36"/>
      <c r="NCH366" s="37"/>
      <c r="NCI366" s="37"/>
      <c r="NCJ366" s="38"/>
      <c r="NCK366" s="38"/>
      <c r="NCL366" s="39"/>
      <c r="NCM366" s="34"/>
      <c r="NCN366" s="34"/>
      <c r="NCO366" s="34"/>
      <c r="NCP366" s="35"/>
      <c r="NCQ366" s="35"/>
      <c r="NCR366" s="35"/>
      <c r="NCS366" s="35"/>
      <c r="NCT366" s="35"/>
      <c r="NCU366" s="34"/>
      <c r="NCV366" s="34"/>
      <c r="NCW366" s="36"/>
      <c r="NCX366" s="36"/>
      <c r="NCY366" s="37"/>
      <c r="NCZ366" s="37"/>
      <c r="NDA366" s="38"/>
      <c r="NDB366" s="38"/>
      <c r="NDC366" s="39"/>
      <c r="NDD366" s="34"/>
      <c r="NDE366" s="34"/>
      <c r="NDF366" s="34"/>
      <c r="NDG366" s="35"/>
      <c r="NDH366" s="35"/>
      <c r="NDI366" s="35"/>
      <c r="NDJ366" s="35"/>
      <c r="NDK366" s="35"/>
      <c r="NDL366" s="34"/>
      <c r="NDM366" s="34"/>
      <c r="NDN366" s="36"/>
      <c r="NDO366" s="36"/>
      <c r="NDP366" s="37"/>
      <c r="NDQ366" s="37"/>
      <c r="NDR366" s="38"/>
      <c r="NDS366" s="38"/>
      <c r="NDT366" s="39"/>
      <c r="NDU366" s="34"/>
      <c r="NDV366" s="34"/>
      <c r="NDW366" s="34"/>
      <c r="NDX366" s="35"/>
      <c r="NDY366" s="35"/>
      <c r="NDZ366" s="35"/>
      <c r="NEA366" s="35"/>
      <c r="NEB366" s="35"/>
      <c r="NEC366" s="34"/>
      <c r="NED366" s="34"/>
      <c r="NEE366" s="36"/>
      <c r="NEF366" s="36"/>
      <c r="NEG366" s="37"/>
      <c r="NEH366" s="37"/>
      <c r="NEI366" s="38"/>
      <c r="NEJ366" s="38"/>
      <c r="NEK366" s="39"/>
      <c r="NEL366" s="34"/>
      <c r="NEM366" s="34"/>
      <c r="NEN366" s="34"/>
      <c r="NEO366" s="35"/>
      <c r="NEP366" s="35"/>
      <c r="NEQ366" s="35"/>
      <c r="NER366" s="35"/>
      <c r="NES366" s="35"/>
      <c r="NET366" s="34"/>
      <c r="NEU366" s="34"/>
      <c r="NEV366" s="36"/>
      <c r="NEW366" s="36"/>
      <c r="NEX366" s="37"/>
      <c r="NEY366" s="37"/>
      <c r="NEZ366" s="38"/>
      <c r="NFA366" s="38"/>
      <c r="NFB366" s="39"/>
      <c r="NFC366" s="34"/>
      <c r="NFD366" s="34"/>
      <c r="NFE366" s="34"/>
      <c r="NFF366" s="35"/>
      <c r="NFG366" s="35"/>
      <c r="NFH366" s="35"/>
      <c r="NFI366" s="35"/>
      <c r="NFJ366" s="35"/>
      <c r="NFK366" s="34"/>
      <c r="NFL366" s="34"/>
      <c r="NFM366" s="36"/>
      <c r="NFN366" s="36"/>
      <c r="NFO366" s="37"/>
      <c r="NFP366" s="37"/>
      <c r="NFQ366" s="38"/>
      <c r="NFR366" s="38"/>
      <c r="NFS366" s="39"/>
      <c r="NFT366" s="34"/>
      <c r="NFU366" s="34"/>
      <c r="NFV366" s="34"/>
      <c r="NFW366" s="35"/>
      <c r="NFX366" s="35"/>
      <c r="NFY366" s="35"/>
      <c r="NFZ366" s="35"/>
      <c r="NGA366" s="35"/>
      <c r="NGB366" s="34"/>
      <c r="NGC366" s="34"/>
      <c r="NGD366" s="36"/>
      <c r="NGE366" s="36"/>
      <c r="NGF366" s="37"/>
      <c r="NGG366" s="37"/>
      <c r="NGH366" s="38"/>
      <c r="NGI366" s="38"/>
      <c r="NGJ366" s="39"/>
      <c r="NGK366" s="34"/>
      <c r="NGL366" s="34"/>
      <c r="NGM366" s="34"/>
      <c r="NGN366" s="35"/>
      <c r="NGO366" s="35"/>
      <c r="NGP366" s="35"/>
      <c r="NGQ366" s="35"/>
      <c r="NGR366" s="35"/>
      <c r="NGS366" s="34"/>
      <c r="NGT366" s="34"/>
      <c r="NGU366" s="36"/>
      <c r="NGV366" s="36"/>
      <c r="NGW366" s="37"/>
      <c r="NGX366" s="37"/>
      <c r="NGY366" s="38"/>
      <c r="NGZ366" s="38"/>
      <c r="NHA366" s="39"/>
      <c r="NHB366" s="34"/>
      <c r="NHC366" s="34"/>
      <c r="NHD366" s="34"/>
      <c r="NHE366" s="35"/>
      <c r="NHF366" s="35"/>
      <c r="NHG366" s="35"/>
      <c r="NHH366" s="35"/>
      <c r="NHI366" s="35"/>
      <c r="NHJ366" s="34"/>
      <c r="NHK366" s="34"/>
      <c r="NHL366" s="36"/>
      <c r="NHM366" s="36"/>
      <c r="NHN366" s="37"/>
      <c r="NHO366" s="37"/>
      <c r="NHP366" s="38"/>
      <c r="NHQ366" s="38"/>
      <c r="NHR366" s="39"/>
      <c r="NHS366" s="34"/>
      <c r="NHT366" s="34"/>
      <c r="NHU366" s="34"/>
      <c r="NHV366" s="35"/>
      <c r="NHW366" s="35"/>
      <c r="NHX366" s="35"/>
      <c r="NHY366" s="35"/>
      <c r="NHZ366" s="35"/>
      <c r="NIA366" s="34"/>
      <c r="NIB366" s="34"/>
      <c r="NIC366" s="36"/>
      <c r="NID366" s="36"/>
      <c r="NIE366" s="37"/>
      <c r="NIF366" s="37"/>
      <c r="NIG366" s="38"/>
      <c r="NIH366" s="38"/>
      <c r="NII366" s="39"/>
      <c r="NIJ366" s="34"/>
      <c r="NIK366" s="34"/>
      <c r="NIL366" s="34"/>
      <c r="NIM366" s="35"/>
      <c r="NIN366" s="35"/>
      <c r="NIO366" s="35"/>
      <c r="NIP366" s="35"/>
      <c r="NIQ366" s="35"/>
      <c r="NIR366" s="34"/>
      <c r="NIS366" s="34"/>
      <c r="NIT366" s="36"/>
      <c r="NIU366" s="36"/>
      <c r="NIV366" s="37"/>
      <c r="NIW366" s="37"/>
      <c r="NIX366" s="38"/>
      <c r="NIY366" s="38"/>
      <c r="NIZ366" s="39"/>
      <c r="NJA366" s="34"/>
      <c r="NJB366" s="34"/>
      <c r="NJC366" s="34"/>
      <c r="NJD366" s="35"/>
      <c r="NJE366" s="35"/>
      <c r="NJF366" s="35"/>
      <c r="NJG366" s="35"/>
      <c r="NJH366" s="35"/>
      <c r="NJI366" s="34"/>
      <c r="NJJ366" s="34"/>
      <c r="NJK366" s="36"/>
      <c r="NJL366" s="36"/>
      <c r="NJM366" s="37"/>
      <c r="NJN366" s="37"/>
      <c r="NJO366" s="38"/>
      <c r="NJP366" s="38"/>
      <c r="NJQ366" s="39"/>
      <c r="NJR366" s="34"/>
      <c r="NJS366" s="34"/>
      <c r="NJT366" s="34"/>
      <c r="NJU366" s="35"/>
      <c r="NJV366" s="35"/>
      <c r="NJW366" s="35"/>
      <c r="NJX366" s="35"/>
      <c r="NJY366" s="35"/>
      <c r="NJZ366" s="34"/>
      <c r="NKA366" s="34"/>
      <c r="NKB366" s="36"/>
      <c r="NKC366" s="36"/>
      <c r="NKD366" s="37"/>
      <c r="NKE366" s="37"/>
      <c r="NKF366" s="38"/>
      <c r="NKG366" s="38"/>
      <c r="NKH366" s="39"/>
      <c r="NKI366" s="34"/>
      <c r="NKJ366" s="34"/>
      <c r="NKK366" s="34"/>
      <c r="NKL366" s="35"/>
      <c r="NKM366" s="35"/>
      <c r="NKN366" s="35"/>
      <c r="NKO366" s="35"/>
      <c r="NKP366" s="35"/>
      <c r="NKQ366" s="34"/>
      <c r="NKR366" s="34"/>
      <c r="NKS366" s="36"/>
      <c r="NKT366" s="36"/>
      <c r="NKU366" s="37"/>
      <c r="NKV366" s="37"/>
      <c r="NKW366" s="38"/>
      <c r="NKX366" s="38"/>
      <c r="NKY366" s="39"/>
      <c r="NKZ366" s="34"/>
      <c r="NLA366" s="34"/>
      <c r="NLB366" s="34"/>
      <c r="NLC366" s="35"/>
      <c r="NLD366" s="35"/>
      <c r="NLE366" s="35"/>
      <c r="NLF366" s="35"/>
      <c r="NLG366" s="35"/>
      <c r="NLH366" s="34"/>
      <c r="NLI366" s="34"/>
      <c r="NLJ366" s="36"/>
      <c r="NLK366" s="36"/>
      <c r="NLL366" s="37"/>
      <c r="NLM366" s="37"/>
      <c r="NLN366" s="38"/>
      <c r="NLO366" s="38"/>
      <c r="NLP366" s="39"/>
      <c r="NLQ366" s="34"/>
      <c r="NLR366" s="34"/>
      <c r="NLS366" s="34"/>
      <c r="NLT366" s="35"/>
      <c r="NLU366" s="35"/>
      <c r="NLV366" s="35"/>
      <c r="NLW366" s="35"/>
      <c r="NLX366" s="35"/>
      <c r="NLY366" s="34"/>
      <c r="NLZ366" s="34"/>
      <c r="NMA366" s="36"/>
      <c r="NMB366" s="36"/>
      <c r="NMC366" s="37"/>
      <c r="NMD366" s="37"/>
      <c r="NME366" s="38"/>
      <c r="NMF366" s="38"/>
      <c r="NMG366" s="39"/>
      <c r="NMH366" s="34"/>
      <c r="NMI366" s="34"/>
      <c r="NMJ366" s="34"/>
      <c r="NMK366" s="35"/>
      <c r="NML366" s="35"/>
      <c r="NMM366" s="35"/>
      <c r="NMN366" s="35"/>
      <c r="NMO366" s="35"/>
      <c r="NMP366" s="34"/>
      <c r="NMQ366" s="34"/>
      <c r="NMR366" s="36"/>
      <c r="NMS366" s="36"/>
      <c r="NMT366" s="37"/>
      <c r="NMU366" s="37"/>
      <c r="NMV366" s="38"/>
      <c r="NMW366" s="38"/>
      <c r="NMX366" s="39"/>
      <c r="NMY366" s="34"/>
      <c r="NMZ366" s="34"/>
      <c r="NNA366" s="34"/>
      <c r="NNB366" s="35"/>
      <c r="NNC366" s="35"/>
      <c r="NND366" s="35"/>
      <c r="NNE366" s="35"/>
      <c r="NNF366" s="35"/>
      <c r="NNG366" s="34"/>
      <c r="NNH366" s="34"/>
      <c r="NNI366" s="36"/>
      <c r="NNJ366" s="36"/>
      <c r="NNK366" s="37"/>
      <c r="NNL366" s="37"/>
      <c r="NNM366" s="38"/>
      <c r="NNN366" s="38"/>
      <c r="NNO366" s="39"/>
      <c r="NNP366" s="34"/>
      <c r="NNQ366" s="34"/>
      <c r="NNR366" s="34"/>
      <c r="NNS366" s="35"/>
      <c r="NNT366" s="35"/>
      <c r="NNU366" s="35"/>
      <c r="NNV366" s="35"/>
      <c r="NNW366" s="35"/>
      <c r="NNX366" s="34"/>
      <c r="NNY366" s="34"/>
      <c r="NNZ366" s="36"/>
      <c r="NOA366" s="36"/>
      <c r="NOB366" s="37"/>
      <c r="NOC366" s="37"/>
      <c r="NOD366" s="38"/>
      <c r="NOE366" s="38"/>
      <c r="NOF366" s="39"/>
      <c r="NOG366" s="34"/>
      <c r="NOH366" s="34"/>
      <c r="NOI366" s="34"/>
      <c r="NOJ366" s="35"/>
      <c r="NOK366" s="35"/>
      <c r="NOL366" s="35"/>
      <c r="NOM366" s="35"/>
      <c r="NON366" s="35"/>
      <c r="NOO366" s="34"/>
      <c r="NOP366" s="34"/>
      <c r="NOQ366" s="36"/>
      <c r="NOR366" s="36"/>
      <c r="NOS366" s="37"/>
      <c r="NOT366" s="37"/>
      <c r="NOU366" s="38"/>
      <c r="NOV366" s="38"/>
      <c r="NOW366" s="39"/>
      <c r="NOX366" s="34"/>
      <c r="NOY366" s="34"/>
      <c r="NOZ366" s="34"/>
      <c r="NPA366" s="35"/>
      <c r="NPB366" s="35"/>
      <c r="NPC366" s="35"/>
      <c r="NPD366" s="35"/>
      <c r="NPE366" s="35"/>
      <c r="NPF366" s="34"/>
      <c r="NPG366" s="34"/>
      <c r="NPH366" s="36"/>
      <c r="NPI366" s="36"/>
      <c r="NPJ366" s="37"/>
      <c r="NPK366" s="37"/>
      <c r="NPL366" s="38"/>
      <c r="NPM366" s="38"/>
      <c r="NPN366" s="39"/>
      <c r="NPO366" s="34"/>
      <c r="NPP366" s="34"/>
      <c r="NPQ366" s="34"/>
      <c r="NPR366" s="35"/>
      <c r="NPS366" s="35"/>
      <c r="NPT366" s="35"/>
      <c r="NPU366" s="35"/>
      <c r="NPV366" s="35"/>
      <c r="NPW366" s="34"/>
      <c r="NPX366" s="34"/>
      <c r="NPY366" s="36"/>
      <c r="NPZ366" s="36"/>
      <c r="NQA366" s="37"/>
      <c r="NQB366" s="37"/>
      <c r="NQC366" s="38"/>
      <c r="NQD366" s="38"/>
      <c r="NQE366" s="39"/>
      <c r="NQF366" s="34"/>
      <c r="NQG366" s="34"/>
      <c r="NQH366" s="34"/>
      <c r="NQI366" s="35"/>
      <c r="NQJ366" s="35"/>
      <c r="NQK366" s="35"/>
      <c r="NQL366" s="35"/>
      <c r="NQM366" s="35"/>
      <c r="NQN366" s="34"/>
      <c r="NQO366" s="34"/>
      <c r="NQP366" s="36"/>
      <c r="NQQ366" s="36"/>
      <c r="NQR366" s="37"/>
      <c r="NQS366" s="37"/>
      <c r="NQT366" s="38"/>
      <c r="NQU366" s="38"/>
      <c r="NQV366" s="39"/>
      <c r="NQW366" s="34"/>
      <c r="NQX366" s="34"/>
      <c r="NQY366" s="34"/>
      <c r="NQZ366" s="35"/>
      <c r="NRA366" s="35"/>
      <c r="NRB366" s="35"/>
      <c r="NRC366" s="35"/>
      <c r="NRD366" s="35"/>
      <c r="NRE366" s="34"/>
      <c r="NRF366" s="34"/>
      <c r="NRG366" s="36"/>
      <c r="NRH366" s="36"/>
      <c r="NRI366" s="37"/>
      <c r="NRJ366" s="37"/>
      <c r="NRK366" s="38"/>
      <c r="NRL366" s="38"/>
      <c r="NRM366" s="39"/>
      <c r="NRN366" s="34"/>
      <c r="NRO366" s="34"/>
      <c r="NRP366" s="34"/>
      <c r="NRQ366" s="35"/>
      <c r="NRR366" s="35"/>
      <c r="NRS366" s="35"/>
      <c r="NRT366" s="35"/>
      <c r="NRU366" s="35"/>
      <c r="NRV366" s="34"/>
      <c r="NRW366" s="34"/>
      <c r="NRX366" s="36"/>
      <c r="NRY366" s="36"/>
      <c r="NRZ366" s="37"/>
      <c r="NSA366" s="37"/>
      <c r="NSB366" s="38"/>
      <c r="NSC366" s="38"/>
      <c r="NSD366" s="39"/>
      <c r="NSE366" s="34"/>
      <c r="NSF366" s="34"/>
      <c r="NSG366" s="34"/>
      <c r="NSH366" s="35"/>
      <c r="NSI366" s="35"/>
      <c r="NSJ366" s="35"/>
      <c r="NSK366" s="35"/>
      <c r="NSL366" s="35"/>
      <c r="NSM366" s="34"/>
      <c r="NSN366" s="34"/>
      <c r="NSO366" s="36"/>
      <c r="NSP366" s="36"/>
      <c r="NSQ366" s="37"/>
      <c r="NSR366" s="37"/>
      <c r="NSS366" s="38"/>
      <c r="NST366" s="38"/>
      <c r="NSU366" s="39"/>
      <c r="NSV366" s="34"/>
      <c r="NSW366" s="34"/>
      <c r="NSX366" s="34"/>
      <c r="NSY366" s="35"/>
      <c r="NSZ366" s="35"/>
      <c r="NTA366" s="35"/>
      <c r="NTB366" s="35"/>
      <c r="NTC366" s="35"/>
      <c r="NTD366" s="34"/>
      <c r="NTE366" s="34"/>
      <c r="NTF366" s="36"/>
      <c r="NTG366" s="36"/>
      <c r="NTH366" s="37"/>
      <c r="NTI366" s="37"/>
      <c r="NTJ366" s="38"/>
      <c r="NTK366" s="38"/>
      <c r="NTL366" s="39"/>
      <c r="NTM366" s="34"/>
      <c r="NTN366" s="34"/>
      <c r="NTO366" s="34"/>
      <c r="NTP366" s="35"/>
      <c r="NTQ366" s="35"/>
      <c r="NTR366" s="35"/>
      <c r="NTS366" s="35"/>
      <c r="NTT366" s="35"/>
      <c r="NTU366" s="34"/>
      <c r="NTV366" s="34"/>
      <c r="NTW366" s="36"/>
      <c r="NTX366" s="36"/>
      <c r="NTY366" s="37"/>
      <c r="NTZ366" s="37"/>
      <c r="NUA366" s="38"/>
      <c r="NUB366" s="38"/>
      <c r="NUC366" s="39"/>
      <c r="NUD366" s="34"/>
      <c r="NUE366" s="34"/>
      <c r="NUF366" s="34"/>
      <c r="NUG366" s="35"/>
      <c r="NUH366" s="35"/>
      <c r="NUI366" s="35"/>
      <c r="NUJ366" s="35"/>
      <c r="NUK366" s="35"/>
      <c r="NUL366" s="34"/>
      <c r="NUM366" s="34"/>
      <c r="NUN366" s="36"/>
      <c r="NUO366" s="36"/>
      <c r="NUP366" s="37"/>
      <c r="NUQ366" s="37"/>
      <c r="NUR366" s="38"/>
      <c r="NUS366" s="38"/>
      <c r="NUT366" s="39"/>
      <c r="NUU366" s="34"/>
      <c r="NUV366" s="34"/>
      <c r="NUW366" s="34"/>
      <c r="NUX366" s="35"/>
      <c r="NUY366" s="35"/>
      <c r="NUZ366" s="35"/>
      <c r="NVA366" s="35"/>
      <c r="NVB366" s="35"/>
      <c r="NVC366" s="34"/>
      <c r="NVD366" s="34"/>
      <c r="NVE366" s="36"/>
      <c r="NVF366" s="36"/>
      <c r="NVG366" s="37"/>
      <c r="NVH366" s="37"/>
      <c r="NVI366" s="38"/>
      <c r="NVJ366" s="38"/>
      <c r="NVK366" s="39"/>
      <c r="NVL366" s="34"/>
      <c r="NVM366" s="34"/>
      <c r="NVN366" s="34"/>
      <c r="NVO366" s="35"/>
      <c r="NVP366" s="35"/>
      <c r="NVQ366" s="35"/>
      <c r="NVR366" s="35"/>
      <c r="NVS366" s="35"/>
      <c r="NVT366" s="34"/>
      <c r="NVU366" s="34"/>
      <c r="NVV366" s="36"/>
      <c r="NVW366" s="36"/>
      <c r="NVX366" s="37"/>
      <c r="NVY366" s="37"/>
      <c r="NVZ366" s="38"/>
      <c r="NWA366" s="38"/>
      <c r="NWB366" s="39"/>
      <c r="NWC366" s="34"/>
      <c r="NWD366" s="34"/>
      <c r="NWE366" s="34"/>
      <c r="NWF366" s="35"/>
      <c r="NWG366" s="35"/>
      <c r="NWH366" s="35"/>
      <c r="NWI366" s="35"/>
      <c r="NWJ366" s="35"/>
      <c r="NWK366" s="34"/>
      <c r="NWL366" s="34"/>
      <c r="NWM366" s="36"/>
      <c r="NWN366" s="36"/>
      <c r="NWO366" s="37"/>
      <c r="NWP366" s="37"/>
      <c r="NWQ366" s="38"/>
      <c r="NWR366" s="38"/>
      <c r="NWS366" s="39"/>
      <c r="NWT366" s="34"/>
      <c r="NWU366" s="34"/>
      <c r="NWV366" s="34"/>
      <c r="NWW366" s="35"/>
      <c r="NWX366" s="35"/>
      <c r="NWY366" s="35"/>
      <c r="NWZ366" s="35"/>
      <c r="NXA366" s="35"/>
      <c r="NXB366" s="34"/>
      <c r="NXC366" s="34"/>
      <c r="NXD366" s="36"/>
      <c r="NXE366" s="36"/>
      <c r="NXF366" s="37"/>
      <c r="NXG366" s="37"/>
      <c r="NXH366" s="38"/>
      <c r="NXI366" s="38"/>
      <c r="NXJ366" s="39"/>
      <c r="NXK366" s="34"/>
      <c r="NXL366" s="34"/>
      <c r="NXM366" s="34"/>
      <c r="NXN366" s="35"/>
      <c r="NXO366" s="35"/>
      <c r="NXP366" s="35"/>
      <c r="NXQ366" s="35"/>
      <c r="NXR366" s="35"/>
      <c r="NXS366" s="34"/>
      <c r="NXT366" s="34"/>
      <c r="NXU366" s="36"/>
      <c r="NXV366" s="36"/>
      <c r="NXW366" s="37"/>
      <c r="NXX366" s="37"/>
      <c r="NXY366" s="38"/>
      <c r="NXZ366" s="38"/>
      <c r="NYA366" s="39"/>
      <c r="NYB366" s="34"/>
      <c r="NYC366" s="34"/>
      <c r="NYD366" s="34"/>
      <c r="NYE366" s="35"/>
      <c r="NYF366" s="35"/>
      <c r="NYG366" s="35"/>
      <c r="NYH366" s="35"/>
      <c r="NYI366" s="35"/>
      <c r="NYJ366" s="34"/>
      <c r="NYK366" s="34"/>
      <c r="NYL366" s="36"/>
      <c r="NYM366" s="36"/>
      <c r="NYN366" s="37"/>
      <c r="NYO366" s="37"/>
      <c r="NYP366" s="38"/>
      <c r="NYQ366" s="38"/>
      <c r="NYR366" s="39"/>
      <c r="NYS366" s="34"/>
      <c r="NYT366" s="34"/>
      <c r="NYU366" s="34"/>
      <c r="NYV366" s="35"/>
      <c r="NYW366" s="35"/>
      <c r="NYX366" s="35"/>
      <c r="NYY366" s="35"/>
      <c r="NYZ366" s="35"/>
      <c r="NZA366" s="34"/>
      <c r="NZB366" s="34"/>
      <c r="NZC366" s="36"/>
      <c r="NZD366" s="36"/>
      <c r="NZE366" s="37"/>
      <c r="NZF366" s="37"/>
      <c r="NZG366" s="38"/>
      <c r="NZH366" s="38"/>
      <c r="NZI366" s="39"/>
      <c r="NZJ366" s="34"/>
      <c r="NZK366" s="34"/>
      <c r="NZL366" s="34"/>
      <c r="NZM366" s="35"/>
      <c r="NZN366" s="35"/>
      <c r="NZO366" s="35"/>
      <c r="NZP366" s="35"/>
      <c r="NZQ366" s="35"/>
      <c r="NZR366" s="34"/>
      <c r="NZS366" s="34"/>
      <c r="NZT366" s="36"/>
      <c r="NZU366" s="36"/>
      <c r="NZV366" s="37"/>
      <c r="NZW366" s="37"/>
      <c r="NZX366" s="38"/>
      <c r="NZY366" s="38"/>
      <c r="NZZ366" s="39"/>
      <c r="OAA366" s="34"/>
      <c r="OAB366" s="34"/>
      <c r="OAC366" s="34"/>
      <c r="OAD366" s="35"/>
      <c r="OAE366" s="35"/>
      <c r="OAF366" s="35"/>
      <c r="OAG366" s="35"/>
      <c r="OAH366" s="35"/>
      <c r="OAI366" s="34"/>
      <c r="OAJ366" s="34"/>
      <c r="OAK366" s="36"/>
      <c r="OAL366" s="36"/>
      <c r="OAM366" s="37"/>
      <c r="OAN366" s="37"/>
      <c r="OAO366" s="38"/>
      <c r="OAP366" s="38"/>
      <c r="OAQ366" s="39"/>
      <c r="OAR366" s="34"/>
      <c r="OAS366" s="34"/>
      <c r="OAT366" s="34"/>
      <c r="OAU366" s="35"/>
      <c r="OAV366" s="35"/>
      <c r="OAW366" s="35"/>
      <c r="OAX366" s="35"/>
      <c r="OAY366" s="35"/>
      <c r="OAZ366" s="34"/>
      <c r="OBA366" s="34"/>
      <c r="OBB366" s="36"/>
      <c r="OBC366" s="36"/>
      <c r="OBD366" s="37"/>
      <c r="OBE366" s="37"/>
      <c r="OBF366" s="38"/>
      <c r="OBG366" s="38"/>
      <c r="OBH366" s="39"/>
      <c r="OBI366" s="34"/>
      <c r="OBJ366" s="34"/>
      <c r="OBK366" s="34"/>
      <c r="OBL366" s="35"/>
      <c r="OBM366" s="35"/>
      <c r="OBN366" s="35"/>
      <c r="OBO366" s="35"/>
      <c r="OBP366" s="35"/>
      <c r="OBQ366" s="34"/>
      <c r="OBR366" s="34"/>
      <c r="OBS366" s="36"/>
      <c r="OBT366" s="36"/>
      <c r="OBU366" s="37"/>
      <c r="OBV366" s="37"/>
      <c r="OBW366" s="38"/>
      <c r="OBX366" s="38"/>
      <c r="OBY366" s="39"/>
      <c r="OBZ366" s="34"/>
      <c r="OCA366" s="34"/>
      <c r="OCB366" s="34"/>
      <c r="OCC366" s="35"/>
      <c r="OCD366" s="35"/>
      <c r="OCE366" s="35"/>
      <c r="OCF366" s="35"/>
      <c r="OCG366" s="35"/>
      <c r="OCH366" s="34"/>
      <c r="OCI366" s="34"/>
      <c r="OCJ366" s="36"/>
      <c r="OCK366" s="36"/>
      <c r="OCL366" s="37"/>
      <c r="OCM366" s="37"/>
      <c r="OCN366" s="38"/>
      <c r="OCO366" s="38"/>
      <c r="OCP366" s="39"/>
      <c r="OCQ366" s="34"/>
      <c r="OCR366" s="34"/>
      <c r="OCS366" s="34"/>
      <c r="OCT366" s="35"/>
      <c r="OCU366" s="35"/>
      <c r="OCV366" s="35"/>
      <c r="OCW366" s="35"/>
      <c r="OCX366" s="35"/>
      <c r="OCY366" s="34"/>
      <c r="OCZ366" s="34"/>
      <c r="ODA366" s="36"/>
      <c r="ODB366" s="36"/>
      <c r="ODC366" s="37"/>
      <c r="ODD366" s="37"/>
      <c r="ODE366" s="38"/>
      <c r="ODF366" s="38"/>
      <c r="ODG366" s="39"/>
      <c r="ODH366" s="34"/>
      <c r="ODI366" s="34"/>
      <c r="ODJ366" s="34"/>
      <c r="ODK366" s="35"/>
      <c r="ODL366" s="35"/>
      <c r="ODM366" s="35"/>
      <c r="ODN366" s="35"/>
      <c r="ODO366" s="35"/>
      <c r="ODP366" s="34"/>
      <c r="ODQ366" s="34"/>
      <c r="ODR366" s="36"/>
      <c r="ODS366" s="36"/>
      <c r="ODT366" s="37"/>
      <c r="ODU366" s="37"/>
      <c r="ODV366" s="38"/>
      <c r="ODW366" s="38"/>
      <c r="ODX366" s="39"/>
      <c r="ODY366" s="34"/>
      <c r="ODZ366" s="34"/>
      <c r="OEA366" s="34"/>
      <c r="OEB366" s="35"/>
      <c r="OEC366" s="35"/>
      <c r="OED366" s="35"/>
      <c r="OEE366" s="35"/>
      <c r="OEF366" s="35"/>
      <c r="OEG366" s="34"/>
      <c r="OEH366" s="34"/>
      <c r="OEI366" s="36"/>
      <c r="OEJ366" s="36"/>
      <c r="OEK366" s="37"/>
      <c r="OEL366" s="37"/>
      <c r="OEM366" s="38"/>
      <c r="OEN366" s="38"/>
      <c r="OEO366" s="39"/>
      <c r="OEP366" s="34"/>
      <c r="OEQ366" s="34"/>
      <c r="OER366" s="34"/>
      <c r="OES366" s="35"/>
      <c r="OET366" s="35"/>
      <c r="OEU366" s="35"/>
      <c r="OEV366" s="35"/>
      <c r="OEW366" s="35"/>
      <c r="OEX366" s="34"/>
      <c r="OEY366" s="34"/>
      <c r="OEZ366" s="36"/>
      <c r="OFA366" s="36"/>
      <c r="OFB366" s="37"/>
      <c r="OFC366" s="37"/>
      <c r="OFD366" s="38"/>
      <c r="OFE366" s="38"/>
      <c r="OFF366" s="39"/>
      <c r="OFG366" s="34"/>
      <c r="OFH366" s="34"/>
      <c r="OFI366" s="34"/>
      <c r="OFJ366" s="35"/>
      <c r="OFK366" s="35"/>
      <c r="OFL366" s="35"/>
      <c r="OFM366" s="35"/>
      <c r="OFN366" s="35"/>
      <c r="OFO366" s="34"/>
      <c r="OFP366" s="34"/>
      <c r="OFQ366" s="36"/>
      <c r="OFR366" s="36"/>
      <c r="OFS366" s="37"/>
      <c r="OFT366" s="37"/>
      <c r="OFU366" s="38"/>
      <c r="OFV366" s="38"/>
      <c r="OFW366" s="39"/>
      <c r="OFX366" s="34"/>
      <c r="OFY366" s="34"/>
      <c r="OFZ366" s="34"/>
      <c r="OGA366" s="35"/>
      <c r="OGB366" s="35"/>
      <c r="OGC366" s="35"/>
      <c r="OGD366" s="35"/>
      <c r="OGE366" s="35"/>
      <c r="OGF366" s="34"/>
      <c r="OGG366" s="34"/>
      <c r="OGH366" s="36"/>
      <c r="OGI366" s="36"/>
      <c r="OGJ366" s="37"/>
      <c r="OGK366" s="37"/>
      <c r="OGL366" s="38"/>
      <c r="OGM366" s="38"/>
      <c r="OGN366" s="39"/>
      <c r="OGO366" s="34"/>
      <c r="OGP366" s="34"/>
      <c r="OGQ366" s="34"/>
      <c r="OGR366" s="35"/>
      <c r="OGS366" s="35"/>
      <c r="OGT366" s="35"/>
      <c r="OGU366" s="35"/>
      <c r="OGV366" s="35"/>
      <c r="OGW366" s="34"/>
      <c r="OGX366" s="34"/>
      <c r="OGY366" s="36"/>
      <c r="OGZ366" s="36"/>
      <c r="OHA366" s="37"/>
      <c r="OHB366" s="37"/>
      <c r="OHC366" s="38"/>
      <c r="OHD366" s="38"/>
      <c r="OHE366" s="39"/>
      <c r="OHF366" s="34"/>
      <c r="OHG366" s="34"/>
      <c r="OHH366" s="34"/>
      <c r="OHI366" s="35"/>
      <c r="OHJ366" s="35"/>
      <c r="OHK366" s="35"/>
      <c r="OHL366" s="35"/>
      <c r="OHM366" s="35"/>
      <c r="OHN366" s="34"/>
      <c r="OHO366" s="34"/>
      <c r="OHP366" s="36"/>
      <c r="OHQ366" s="36"/>
      <c r="OHR366" s="37"/>
      <c r="OHS366" s="37"/>
      <c r="OHT366" s="38"/>
      <c r="OHU366" s="38"/>
      <c r="OHV366" s="39"/>
      <c r="OHW366" s="34"/>
      <c r="OHX366" s="34"/>
      <c r="OHY366" s="34"/>
      <c r="OHZ366" s="35"/>
      <c r="OIA366" s="35"/>
      <c r="OIB366" s="35"/>
      <c r="OIC366" s="35"/>
      <c r="OID366" s="35"/>
      <c r="OIE366" s="34"/>
      <c r="OIF366" s="34"/>
      <c r="OIG366" s="36"/>
      <c r="OIH366" s="36"/>
      <c r="OII366" s="37"/>
      <c r="OIJ366" s="37"/>
      <c r="OIK366" s="38"/>
      <c r="OIL366" s="38"/>
      <c r="OIM366" s="39"/>
      <c r="OIN366" s="34"/>
      <c r="OIO366" s="34"/>
      <c r="OIP366" s="34"/>
      <c r="OIQ366" s="35"/>
      <c r="OIR366" s="35"/>
      <c r="OIS366" s="35"/>
      <c r="OIT366" s="35"/>
      <c r="OIU366" s="35"/>
      <c r="OIV366" s="34"/>
      <c r="OIW366" s="34"/>
      <c r="OIX366" s="36"/>
      <c r="OIY366" s="36"/>
      <c r="OIZ366" s="37"/>
      <c r="OJA366" s="37"/>
      <c r="OJB366" s="38"/>
      <c r="OJC366" s="38"/>
      <c r="OJD366" s="39"/>
      <c r="OJE366" s="34"/>
      <c r="OJF366" s="34"/>
      <c r="OJG366" s="34"/>
      <c r="OJH366" s="35"/>
      <c r="OJI366" s="35"/>
      <c r="OJJ366" s="35"/>
      <c r="OJK366" s="35"/>
      <c r="OJL366" s="35"/>
      <c r="OJM366" s="34"/>
      <c r="OJN366" s="34"/>
      <c r="OJO366" s="36"/>
      <c r="OJP366" s="36"/>
      <c r="OJQ366" s="37"/>
      <c r="OJR366" s="37"/>
      <c r="OJS366" s="38"/>
      <c r="OJT366" s="38"/>
      <c r="OJU366" s="39"/>
      <c r="OJV366" s="34"/>
      <c r="OJW366" s="34"/>
      <c r="OJX366" s="34"/>
      <c r="OJY366" s="35"/>
      <c r="OJZ366" s="35"/>
      <c r="OKA366" s="35"/>
      <c r="OKB366" s="35"/>
      <c r="OKC366" s="35"/>
      <c r="OKD366" s="34"/>
      <c r="OKE366" s="34"/>
      <c r="OKF366" s="36"/>
      <c r="OKG366" s="36"/>
      <c r="OKH366" s="37"/>
      <c r="OKI366" s="37"/>
      <c r="OKJ366" s="38"/>
      <c r="OKK366" s="38"/>
      <c r="OKL366" s="39"/>
      <c r="OKM366" s="34"/>
      <c r="OKN366" s="34"/>
      <c r="OKO366" s="34"/>
      <c r="OKP366" s="35"/>
      <c r="OKQ366" s="35"/>
      <c r="OKR366" s="35"/>
      <c r="OKS366" s="35"/>
      <c r="OKT366" s="35"/>
      <c r="OKU366" s="34"/>
      <c r="OKV366" s="34"/>
      <c r="OKW366" s="36"/>
      <c r="OKX366" s="36"/>
      <c r="OKY366" s="37"/>
      <c r="OKZ366" s="37"/>
      <c r="OLA366" s="38"/>
      <c r="OLB366" s="38"/>
      <c r="OLC366" s="39"/>
      <c r="OLD366" s="34"/>
      <c r="OLE366" s="34"/>
      <c r="OLF366" s="34"/>
      <c r="OLG366" s="35"/>
      <c r="OLH366" s="35"/>
      <c r="OLI366" s="35"/>
      <c r="OLJ366" s="35"/>
      <c r="OLK366" s="35"/>
      <c r="OLL366" s="34"/>
      <c r="OLM366" s="34"/>
      <c r="OLN366" s="36"/>
      <c r="OLO366" s="36"/>
      <c r="OLP366" s="37"/>
      <c r="OLQ366" s="37"/>
      <c r="OLR366" s="38"/>
      <c r="OLS366" s="38"/>
      <c r="OLT366" s="39"/>
      <c r="OLU366" s="34"/>
      <c r="OLV366" s="34"/>
      <c r="OLW366" s="34"/>
      <c r="OLX366" s="35"/>
      <c r="OLY366" s="35"/>
      <c r="OLZ366" s="35"/>
      <c r="OMA366" s="35"/>
      <c r="OMB366" s="35"/>
      <c r="OMC366" s="34"/>
      <c r="OMD366" s="34"/>
      <c r="OME366" s="36"/>
      <c r="OMF366" s="36"/>
      <c r="OMG366" s="37"/>
      <c r="OMH366" s="37"/>
      <c r="OMI366" s="38"/>
      <c r="OMJ366" s="38"/>
      <c r="OMK366" s="39"/>
      <c r="OML366" s="34"/>
      <c r="OMM366" s="34"/>
      <c r="OMN366" s="34"/>
      <c r="OMO366" s="35"/>
      <c r="OMP366" s="35"/>
      <c r="OMQ366" s="35"/>
      <c r="OMR366" s="35"/>
      <c r="OMS366" s="35"/>
      <c r="OMT366" s="34"/>
      <c r="OMU366" s="34"/>
      <c r="OMV366" s="36"/>
      <c r="OMW366" s="36"/>
      <c r="OMX366" s="37"/>
      <c r="OMY366" s="37"/>
      <c r="OMZ366" s="38"/>
      <c r="ONA366" s="38"/>
      <c r="ONB366" s="39"/>
      <c r="ONC366" s="34"/>
      <c r="OND366" s="34"/>
      <c r="ONE366" s="34"/>
      <c r="ONF366" s="35"/>
      <c r="ONG366" s="35"/>
      <c r="ONH366" s="35"/>
      <c r="ONI366" s="35"/>
      <c r="ONJ366" s="35"/>
      <c r="ONK366" s="34"/>
      <c r="ONL366" s="34"/>
      <c r="ONM366" s="36"/>
      <c r="ONN366" s="36"/>
      <c r="ONO366" s="37"/>
      <c r="ONP366" s="37"/>
      <c r="ONQ366" s="38"/>
      <c r="ONR366" s="38"/>
      <c r="ONS366" s="39"/>
      <c r="ONT366" s="34"/>
      <c r="ONU366" s="34"/>
      <c r="ONV366" s="34"/>
      <c r="ONW366" s="35"/>
      <c r="ONX366" s="35"/>
      <c r="ONY366" s="35"/>
      <c r="ONZ366" s="35"/>
      <c r="OOA366" s="35"/>
      <c r="OOB366" s="34"/>
      <c r="OOC366" s="34"/>
      <c r="OOD366" s="36"/>
      <c r="OOE366" s="36"/>
      <c r="OOF366" s="37"/>
      <c r="OOG366" s="37"/>
      <c r="OOH366" s="38"/>
      <c r="OOI366" s="38"/>
      <c r="OOJ366" s="39"/>
      <c r="OOK366" s="34"/>
      <c r="OOL366" s="34"/>
      <c r="OOM366" s="34"/>
      <c r="OON366" s="35"/>
      <c r="OOO366" s="35"/>
      <c r="OOP366" s="35"/>
      <c r="OOQ366" s="35"/>
      <c r="OOR366" s="35"/>
      <c r="OOS366" s="34"/>
      <c r="OOT366" s="34"/>
      <c r="OOU366" s="36"/>
      <c r="OOV366" s="36"/>
      <c r="OOW366" s="37"/>
      <c r="OOX366" s="37"/>
      <c r="OOY366" s="38"/>
      <c r="OOZ366" s="38"/>
      <c r="OPA366" s="39"/>
      <c r="OPB366" s="34"/>
      <c r="OPC366" s="34"/>
      <c r="OPD366" s="34"/>
      <c r="OPE366" s="35"/>
      <c r="OPF366" s="35"/>
      <c r="OPG366" s="35"/>
      <c r="OPH366" s="35"/>
      <c r="OPI366" s="35"/>
      <c r="OPJ366" s="34"/>
      <c r="OPK366" s="34"/>
      <c r="OPL366" s="36"/>
      <c r="OPM366" s="36"/>
      <c r="OPN366" s="37"/>
      <c r="OPO366" s="37"/>
      <c r="OPP366" s="38"/>
      <c r="OPQ366" s="38"/>
      <c r="OPR366" s="39"/>
      <c r="OPS366" s="34"/>
      <c r="OPT366" s="34"/>
      <c r="OPU366" s="34"/>
      <c r="OPV366" s="35"/>
      <c r="OPW366" s="35"/>
      <c r="OPX366" s="35"/>
      <c r="OPY366" s="35"/>
      <c r="OPZ366" s="35"/>
      <c r="OQA366" s="34"/>
      <c r="OQB366" s="34"/>
      <c r="OQC366" s="36"/>
      <c r="OQD366" s="36"/>
      <c r="OQE366" s="37"/>
      <c r="OQF366" s="37"/>
      <c r="OQG366" s="38"/>
      <c r="OQH366" s="38"/>
      <c r="OQI366" s="39"/>
      <c r="OQJ366" s="34"/>
      <c r="OQK366" s="34"/>
      <c r="OQL366" s="34"/>
      <c r="OQM366" s="35"/>
      <c r="OQN366" s="35"/>
      <c r="OQO366" s="35"/>
      <c r="OQP366" s="35"/>
      <c r="OQQ366" s="35"/>
      <c r="OQR366" s="34"/>
      <c r="OQS366" s="34"/>
      <c r="OQT366" s="36"/>
      <c r="OQU366" s="36"/>
      <c r="OQV366" s="37"/>
      <c r="OQW366" s="37"/>
      <c r="OQX366" s="38"/>
      <c r="OQY366" s="38"/>
      <c r="OQZ366" s="39"/>
      <c r="ORA366" s="34"/>
      <c r="ORB366" s="34"/>
      <c r="ORC366" s="34"/>
      <c r="ORD366" s="35"/>
      <c r="ORE366" s="35"/>
      <c r="ORF366" s="35"/>
      <c r="ORG366" s="35"/>
      <c r="ORH366" s="35"/>
      <c r="ORI366" s="34"/>
      <c r="ORJ366" s="34"/>
      <c r="ORK366" s="36"/>
      <c r="ORL366" s="36"/>
      <c r="ORM366" s="37"/>
      <c r="ORN366" s="37"/>
      <c r="ORO366" s="38"/>
      <c r="ORP366" s="38"/>
      <c r="ORQ366" s="39"/>
      <c r="ORR366" s="34"/>
      <c r="ORS366" s="34"/>
      <c r="ORT366" s="34"/>
      <c r="ORU366" s="35"/>
      <c r="ORV366" s="35"/>
      <c r="ORW366" s="35"/>
      <c r="ORX366" s="35"/>
      <c r="ORY366" s="35"/>
      <c r="ORZ366" s="34"/>
      <c r="OSA366" s="34"/>
      <c r="OSB366" s="36"/>
      <c r="OSC366" s="36"/>
      <c r="OSD366" s="37"/>
      <c r="OSE366" s="37"/>
      <c r="OSF366" s="38"/>
      <c r="OSG366" s="38"/>
      <c r="OSH366" s="39"/>
      <c r="OSI366" s="34"/>
      <c r="OSJ366" s="34"/>
      <c r="OSK366" s="34"/>
      <c r="OSL366" s="35"/>
      <c r="OSM366" s="35"/>
      <c r="OSN366" s="35"/>
      <c r="OSO366" s="35"/>
      <c r="OSP366" s="35"/>
      <c r="OSQ366" s="34"/>
      <c r="OSR366" s="34"/>
      <c r="OSS366" s="36"/>
      <c r="OST366" s="36"/>
      <c r="OSU366" s="37"/>
      <c r="OSV366" s="37"/>
      <c r="OSW366" s="38"/>
      <c r="OSX366" s="38"/>
      <c r="OSY366" s="39"/>
      <c r="OSZ366" s="34"/>
      <c r="OTA366" s="34"/>
      <c r="OTB366" s="34"/>
      <c r="OTC366" s="35"/>
      <c r="OTD366" s="35"/>
      <c r="OTE366" s="35"/>
      <c r="OTF366" s="35"/>
      <c r="OTG366" s="35"/>
      <c r="OTH366" s="34"/>
      <c r="OTI366" s="34"/>
      <c r="OTJ366" s="36"/>
      <c r="OTK366" s="36"/>
      <c r="OTL366" s="37"/>
      <c r="OTM366" s="37"/>
      <c r="OTN366" s="38"/>
      <c r="OTO366" s="38"/>
      <c r="OTP366" s="39"/>
      <c r="OTQ366" s="34"/>
      <c r="OTR366" s="34"/>
      <c r="OTS366" s="34"/>
      <c r="OTT366" s="35"/>
      <c r="OTU366" s="35"/>
      <c r="OTV366" s="35"/>
      <c r="OTW366" s="35"/>
      <c r="OTX366" s="35"/>
      <c r="OTY366" s="34"/>
      <c r="OTZ366" s="34"/>
      <c r="OUA366" s="36"/>
      <c r="OUB366" s="36"/>
      <c r="OUC366" s="37"/>
      <c r="OUD366" s="37"/>
      <c r="OUE366" s="38"/>
      <c r="OUF366" s="38"/>
      <c r="OUG366" s="39"/>
      <c r="OUH366" s="34"/>
      <c r="OUI366" s="34"/>
      <c r="OUJ366" s="34"/>
      <c r="OUK366" s="35"/>
      <c r="OUL366" s="35"/>
      <c r="OUM366" s="35"/>
      <c r="OUN366" s="35"/>
      <c r="OUO366" s="35"/>
      <c r="OUP366" s="34"/>
      <c r="OUQ366" s="34"/>
      <c r="OUR366" s="36"/>
      <c r="OUS366" s="36"/>
      <c r="OUT366" s="37"/>
      <c r="OUU366" s="37"/>
      <c r="OUV366" s="38"/>
      <c r="OUW366" s="38"/>
      <c r="OUX366" s="39"/>
      <c r="OUY366" s="34"/>
      <c r="OUZ366" s="34"/>
      <c r="OVA366" s="34"/>
      <c r="OVB366" s="35"/>
      <c r="OVC366" s="35"/>
      <c r="OVD366" s="35"/>
      <c r="OVE366" s="35"/>
      <c r="OVF366" s="35"/>
      <c r="OVG366" s="34"/>
      <c r="OVH366" s="34"/>
      <c r="OVI366" s="36"/>
      <c r="OVJ366" s="36"/>
      <c r="OVK366" s="37"/>
      <c r="OVL366" s="37"/>
      <c r="OVM366" s="38"/>
      <c r="OVN366" s="38"/>
      <c r="OVO366" s="39"/>
      <c r="OVP366" s="34"/>
      <c r="OVQ366" s="34"/>
      <c r="OVR366" s="34"/>
      <c r="OVS366" s="35"/>
      <c r="OVT366" s="35"/>
      <c r="OVU366" s="35"/>
      <c r="OVV366" s="35"/>
      <c r="OVW366" s="35"/>
      <c r="OVX366" s="34"/>
      <c r="OVY366" s="34"/>
      <c r="OVZ366" s="36"/>
      <c r="OWA366" s="36"/>
      <c r="OWB366" s="37"/>
      <c r="OWC366" s="37"/>
      <c r="OWD366" s="38"/>
      <c r="OWE366" s="38"/>
      <c r="OWF366" s="39"/>
      <c r="OWG366" s="34"/>
      <c r="OWH366" s="34"/>
      <c r="OWI366" s="34"/>
      <c r="OWJ366" s="35"/>
      <c r="OWK366" s="35"/>
      <c r="OWL366" s="35"/>
      <c r="OWM366" s="35"/>
      <c r="OWN366" s="35"/>
      <c r="OWO366" s="34"/>
      <c r="OWP366" s="34"/>
      <c r="OWQ366" s="36"/>
      <c r="OWR366" s="36"/>
      <c r="OWS366" s="37"/>
      <c r="OWT366" s="37"/>
      <c r="OWU366" s="38"/>
      <c r="OWV366" s="38"/>
      <c r="OWW366" s="39"/>
      <c r="OWX366" s="34"/>
      <c r="OWY366" s="34"/>
      <c r="OWZ366" s="34"/>
      <c r="OXA366" s="35"/>
      <c r="OXB366" s="35"/>
      <c r="OXC366" s="35"/>
      <c r="OXD366" s="35"/>
      <c r="OXE366" s="35"/>
      <c r="OXF366" s="34"/>
      <c r="OXG366" s="34"/>
      <c r="OXH366" s="36"/>
      <c r="OXI366" s="36"/>
      <c r="OXJ366" s="37"/>
      <c r="OXK366" s="37"/>
      <c r="OXL366" s="38"/>
      <c r="OXM366" s="38"/>
      <c r="OXN366" s="39"/>
      <c r="OXO366" s="34"/>
      <c r="OXP366" s="34"/>
      <c r="OXQ366" s="34"/>
      <c r="OXR366" s="35"/>
      <c r="OXS366" s="35"/>
      <c r="OXT366" s="35"/>
      <c r="OXU366" s="35"/>
      <c r="OXV366" s="35"/>
      <c r="OXW366" s="34"/>
      <c r="OXX366" s="34"/>
      <c r="OXY366" s="36"/>
      <c r="OXZ366" s="36"/>
      <c r="OYA366" s="37"/>
      <c r="OYB366" s="37"/>
      <c r="OYC366" s="38"/>
      <c r="OYD366" s="38"/>
      <c r="OYE366" s="39"/>
      <c r="OYF366" s="34"/>
      <c r="OYG366" s="34"/>
      <c r="OYH366" s="34"/>
      <c r="OYI366" s="35"/>
      <c r="OYJ366" s="35"/>
      <c r="OYK366" s="35"/>
      <c r="OYL366" s="35"/>
      <c r="OYM366" s="35"/>
      <c r="OYN366" s="34"/>
      <c r="OYO366" s="34"/>
      <c r="OYP366" s="36"/>
      <c r="OYQ366" s="36"/>
      <c r="OYR366" s="37"/>
      <c r="OYS366" s="37"/>
      <c r="OYT366" s="38"/>
      <c r="OYU366" s="38"/>
      <c r="OYV366" s="39"/>
      <c r="OYW366" s="34"/>
      <c r="OYX366" s="34"/>
      <c r="OYY366" s="34"/>
      <c r="OYZ366" s="35"/>
      <c r="OZA366" s="35"/>
      <c r="OZB366" s="35"/>
      <c r="OZC366" s="35"/>
      <c r="OZD366" s="35"/>
      <c r="OZE366" s="34"/>
      <c r="OZF366" s="34"/>
      <c r="OZG366" s="36"/>
      <c r="OZH366" s="36"/>
      <c r="OZI366" s="37"/>
      <c r="OZJ366" s="37"/>
      <c r="OZK366" s="38"/>
      <c r="OZL366" s="38"/>
      <c r="OZM366" s="39"/>
      <c r="OZN366" s="34"/>
      <c r="OZO366" s="34"/>
      <c r="OZP366" s="34"/>
      <c r="OZQ366" s="35"/>
      <c r="OZR366" s="35"/>
      <c r="OZS366" s="35"/>
      <c r="OZT366" s="35"/>
      <c r="OZU366" s="35"/>
      <c r="OZV366" s="34"/>
      <c r="OZW366" s="34"/>
      <c r="OZX366" s="36"/>
      <c r="OZY366" s="36"/>
      <c r="OZZ366" s="37"/>
      <c r="PAA366" s="37"/>
      <c r="PAB366" s="38"/>
      <c r="PAC366" s="38"/>
      <c r="PAD366" s="39"/>
      <c r="PAE366" s="34"/>
      <c r="PAF366" s="34"/>
      <c r="PAG366" s="34"/>
      <c r="PAH366" s="35"/>
      <c r="PAI366" s="35"/>
      <c r="PAJ366" s="35"/>
      <c r="PAK366" s="35"/>
      <c r="PAL366" s="35"/>
      <c r="PAM366" s="34"/>
      <c r="PAN366" s="34"/>
      <c r="PAO366" s="36"/>
      <c r="PAP366" s="36"/>
      <c r="PAQ366" s="37"/>
      <c r="PAR366" s="37"/>
      <c r="PAS366" s="38"/>
      <c r="PAT366" s="38"/>
      <c r="PAU366" s="39"/>
      <c r="PAV366" s="34"/>
      <c r="PAW366" s="34"/>
      <c r="PAX366" s="34"/>
      <c r="PAY366" s="35"/>
      <c r="PAZ366" s="35"/>
      <c r="PBA366" s="35"/>
      <c r="PBB366" s="35"/>
      <c r="PBC366" s="35"/>
      <c r="PBD366" s="34"/>
      <c r="PBE366" s="34"/>
      <c r="PBF366" s="36"/>
      <c r="PBG366" s="36"/>
      <c r="PBH366" s="37"/>
      <c r="PBI366" s="37"/>
      <c r="PBJ366" s="38"/>
      <c r="PBK366" s="38"/>
      <c r="PBL366" s="39"/>
      <c r="PBM366" s="34"/>
      <c r="PBN366" s="34"/>
      <c r="PBO366" s="34"/>
      <c r="PBP366" s="35"/>
      <c r="PBQ366" s="35"/>
      <c r="PBR366" s="35"/>
      <c r="PBS366" s="35"/>
      <c r="PBT366" s="35"/>
      <c r="PBU366" s="34"/>
      <c r="PBV366" s="34"/>
      <c r="PBW366" s="36"/>
      <c r="PBX366" s="36"/>
      <c r="PBY366" s="37"/>
      <c r="PBZ366" s="37"/>
      <c r="PCA366" s="38"/>
      <c r="PCB366" s="38"/>
      <c r="PCC366" s="39"/>
      <c r="PCD366" s="34"/>
      <c r="PCE366" s="34"/>
      <c r="PCF366" s="34"/>
      <c r="PCG366" s="35"/>
      <c r="PCH366" s="35"/>
      <c r="PCI366" s="35"/>
      <c r="PCJ366" s="35"/>
      <c r="PCK366" s="35"/>
      <c r="PCL366" s="34"/>
      <c r="PCM366" s="34"/>
      <c r="PCN366" s="36"/>
      <c r="PCO366" s="36"/>
      <c r="PCP366" s="37"/>
      <c r="PCQ366" s="37"/>
      <c r="PCR366" s="38"/>
      <c r="PCS366" s="38"/>
      <c r="PCT366" s="39"/>
      <c r="PCU366" s="34"/>
      <c r="PCV366" s="34"/>
      <c r="PCW366" s="34"/>
      <c r="PCX366" s="35"/>
      <c r="PCY366" s="35"/>
      <c r="PCZ366" s="35"/>
      <c r="PDA366" s="35"/>
      <c r="PDB366" s="35"/>
      <c r="PDC366" s="34"/>
      <c r="PDD366" s="34"/>
      <c r="PDE366" s="36"/>
      <c r="PDF366" s="36"/>
      <c r="PDG366" s="37"/>
      <c r="PDH366" s="37"/>
      <c r="PDI366" s="38"/>
      <c r="PDJ366" s="38"/>
      <c r="PDK366" s="39"/>
      <c r="PDL366" s="34"/>
      <c r="PDM366" s="34"/>
      <c r="PDN366" s="34"/>
      <c r="PDO366" s="35"/>
      <c r="PDP366" s="35"/>
      <c r="PDQ366" s="35"/>
      <c r="PDR366" s="35"/>
      <c r="PDS366" s="35"/>
      <c r="PDT366" s="34"/>
      <c r="PDU366" s="34"/>
      <c r="PDV366" s="36"/>
      <c r="PDW366" s="36"/>
      <c r="PDX366" s="37"/>
      <c r="PDY366" s="37"/>
      <c r="PDZ366" s="38"/>
      <c r="PEA366" s="38"/>
      <c r="PEB366" s="39"/>
      <c r="PEC366" s="34"/>
      <c r="PED366" s="34"/>
      <c r="PEE366" s="34"/>
      <c r="PEF366" s="35"/>
      <c r="PEG366" s="35"/>
      <c r="PEH366" s="35"/>
      <c r="PEI366" s="35"/>
      <c r="PEJ366" s="35"/>
      <c r="PEK366" s="34"/>
      <c r="PEL366" s="34"/>
      <c r="PEM366" s="36"/>
      <c r="PEN366" s="36"/>
      <c r="PEO366" s="37"/>
      <c r="PEP366" s="37"/>
      <c r="PEQ366" s="38"/>
      <c r="PER366" s="38"/>
      <c r="PES366" s="39"/>
      <c r="PET366" s="34"/>
      <c r="PEU366" s="34"/>
      <c r="PEV366" s="34"/>
      <c r="PEW366" s="35"/>
      <c r="PEX366" s="35"/>
      <c r="PEY366" s="35"/>
      <c r="PEZ366" s="35"/>
      <c r="PFA366" s="35"/>
      <c r="PFB366" s="34"/>
      <c r="PFC366" s="34"/>
      <c r="PFD366" s="36"/>
      <c r="PFE366" s="36"/>
      <c r="PFF366" s="37"/>
      <c r="PFG366" s="37"/>
      <c r="PFH366" s="38"/>
      <c r="PFI366" s="38"/>
      <c r="PFJ366" s="39"/>
      <c r="PFK366" s="34"/>
      <c r="PFL366" s="34"/>
      <c r="PFM366" s="34"/>
      <c r="PFN366" s="35"/>
      <c r="PFO366" s="35"/>
      <c r="PFP366" s="35"/>
      <c r="PFQ366" s="35"/>
      <c r="PFR366" s="35"/>
      <c r="PFS366" s="34"/>
      <c r="PFT366" s="34"/>
      <c r="PFU366" s="36"/>
      <c r="PFV366" s="36"/>
      <c r="PFW366" s="37"/>
      <c r="PFX366" s="37"/>
      <c r="PFY366" s="38"/>
      <c r="PFZ366" s="38"/>
      <c r="PGA366" s="39"/>
      <c r="PGB366" s="34"/>
      <c r="PGC366" s="34"/>
      <c r="PGD366" s="34"/>
      <c r="PGE366" s="35"/>
      <c r="PGF366" s="35"/>
      <c r="PGG366" s="35"/>
      <c r="PGH366" s="35"/>
      <c r="PGI366" s="35"/>
      <c r="PGJ366" s="34"/>
      <c r="PGK366" s="34"/>
      <c r="PGL366" s="36"/>
      <c r="PGM366" s="36"/>
      <c r="PGN366" s="37"/>
      <c r="PGO366" s="37"/>
      <c r="PGP366" s="38"/>
      <c r="PGQ366" s="38"/>
      <c r="PGR366" s="39"/>
      <c r="PGS366" s="34"/>
      <c r="PGT366" s="34"/>
      <c r="PGU366" s="34"/>
      <c r="PGV366" s="35"/>
      <c r="PGW366" s="35"/>
      <c r="PGX366" s="35"/>
      <c r="PGY366" s="35"/>
      <c r="PGZ366" s="35"/>
      <c r="PHA366" s="34"/>
      <c r="PHB366" s="34"/>
      <c r="PHC366" s="36"/>
      <c r="PHD366" s="36"/>
      <c r="PHE366" s="37"/>
      <c r="PHF366" s="37"/>
      <c r="PHG366" s="38"/>
      <c r="PHH366" s="38"/>
      <c r="PHI366" s="39"/>
      <c r="PHJ366" s="34"/>
      <c r="PHK366" s="34"/>
      <c r="PHL366" s="34"/>
      <c r="PHM366" s="35"/>
      <c r="PHN366" s="35"/>
      <c r="PHO366" s="35"/>
      <c r="PHP366" s="35"/>
      <c r="PHQ366" s="35"/>
      <c r="PHR366" s="34"/>
      <c r="PHS366" s="34"/>
      <c r="PHT366" s="36"/>
      <c r="PHU366" s="36"/>
      <c r="PHV366" s="37"/>
      <c r="PHW366" s="37"/>
      <c r="PHX366" s="38"/>
      <c r="PHY366" s="38"/>
      <c r="PHZ366" s="39"/>
      <c r="PIA366" s="34"/>
      <c r="PIB366" s="34"/>
      <c r="PIC366" s="34"/>
      <c r="PID366" s="35"/>
      <c r="PIE366" s="35"/>
      <c r="PIF366" s="35"/>
      <c r="PIG366" s="35"/>
      <c r="PIH366" s="35"/>
      <c r="PII366" s="34"/>
      <c r="PIJ366" s="34"/>
      <c r="PIK366" s="36"/>
      <c r="PIL366" s="36"/>
      <c r="PIM366" s="37"/>
      <c r="PIN366" s="37"/>
      <c r="PIO366" s="38"/>
      <c r="PIP366" s="38"/>
      <c r="PIQ366" s="39"/>
      <c r="PIR366" s="34"/>
      <c r="PIS366" s="34"/>
      <c r="PIT366" s="34"/>
      <c r="PIU366" s="35"/>
      <c r="PIV366" s="35"/>
      <c r="PIW366" s="35"/>
      <c r="PIX366" s="35"/>
      <c r="PIY366" s="35"/>
      <c r="PIZ366" s="34"/>
      <c r="PJA366" s="34"/>
      <c r="PJB366" s="36"/>
      <c r="PJC366" s="36"/>
      <c r="PJD366" s="37"/>
      <c r="PJE366" s="37"/>
      <c r="PJF366" s="38"/>
      <c r="PJG366" s="38"/>
      <c r="PJH366" s="39"/>
      <c r="PJI366" s="34"/>
      <c r="PJJ366" s="34"/>
      <c r="PJK366" s="34"/>
      <c r="PJL366" s="35"/>
      <c r="PJM366" s="35"/>
      <c r="PJN366" s="35"/>
      <c r="PJO366" s="35"/>
      <c r="PJP366" s="35"/>
      <c r="PJQ366" s="34"/>
      <c r="PJR366" s="34"/>
      <c r="PJS366" s="36"/>
      <c r="PJT366" s="36"/>
      <c r="PJU366" s="37"/>
      <c r="PJV366" s="37"/>
      <c r="PJW366" s="38"/>
      <c r="PJX366" s="38"/>
      <c r="PJY366" s="39"/>
      <c r="PJZ366" s="34"/>
      <c r="PKA366" s="34"/>
      <c r="PKB366" s="34"/>
      <c r="PKC366" s="35"/>
      <c r="PKD366" s="35"/>
      <c r="PKE366" s="35"/>
      <c r="PKF366" s="35"/>
      <c r="PKG366" s="35"/>
      <c r="PKH366" s="34"/>
      <c r="PKI366" s="34"/>
      <c r="PKJ366" s="36"/>
      <c r="PKK366" s="36"/>
      <c r="PKL366" s="37"/>
      <c r="PKM366" s="37"/>
      <c r="PKN366" s="38"/>
      <c r="PKO366" s="38"/>
      <c r="PKP366" s="39"/>
      <c r="PKQ366" s="34"/>
      <c r="PKR366" s="34"/>
      <c r="PKS366" s="34"/>
      <c r="PKT366" s="35"/>
      <c r="PKU366" s="35"/>
      <c r="PKV366" s="35"/>
      <c r="PKW366" s="35"/>
      <c r="PKX366" s="35"/>
      <c r="PKY366" s="34"/>
      <c r="PKZ366" s="34"/>
      <c r="PLA366" s="36"/>
      <c r="PLB366" s="36"/>
      <c r="PLC366" s="37"/>
      <c r="PLD366" s="37"/>
      <c r="PLE366" s="38"/>
      <c r="PLF366" s="38"/>
      <c r="PLG366" s="39"/>
      <c r="PLH366" s="34"/>
      <c r="PLI366" s="34"/>
      <c r="PLJ366" s="34"/>
      <c r="PLK366" s="35"/>
      <c r="PLL366" s="35"/>
      <c r="PLM366" s="35"/>
      <c r="PLN366" s="35"/>
      <c r="PLO366" s="35"/>
      <c r="PLP366" s="34"/>
      <c r="PLQ366" s="34"/>
      <c r="PLR366" s="36"/>
      <c r="PLS366" s="36"/>
      <c r="PLT366" s="37"/>
      <c r="PLU366" s="37"/>
      <c r="PLV366" s="38"/>
      <c r="PLW366" s="38"/>
      <c r="PLX366" s="39"/>
      <c r="PLY366" s="34"/>
      <c r="PLZ366" s="34"/>
      <c r="PMA366" s="34"/>
      <c r="PMB366" s="35"/>
      <c r="PMC366" s="35"/>
      <c r="PMD366" s="35"/>
      <c r="PME366" s="35"/>
      <c r="PMF366" s="35"/>
      <c r="PMG366" s="34"/>
      <c r="PMH366" s="34"/>
      <c r="PMI366" s="36"/>
      <c r="PMJ366" s="36"/>
      <c r="PMK366" s="37"/>
      <c r="PML366" s="37"/>
      <c r="PMM366" s="38"/>
      <c r="PMN366" s="38"/>
      <c r="PMO366" s="39"/>
      <c r="PMP366" s="34"/>
      <c r="PMQ366" s="34"/>
      <c r="PMR366" s="34"/>
      <c r="PMS366" s="35"/>
      <c r="PMT366" s="35"/>
      <c r="PMU366" s="35"/>
      <c r="PMV366" s="35"/>
      <c r="PMW366" s="35"/>
      <c r="PMX366" s="34"/>
      <c r="PMY366" s="34"/>
      <c r="PMZ366" s="36"/>
      <c r="PNA366" s="36"/>
      <c r="PNB366" s="37"/>
      <c r="PNC366" s="37"/>
      <c r="PND366" s="38"/>
      <c r="PNE366" s="38"/>
      <c r="PNF366" s="39"/>
      <c r="PNG366" s="34"/>
      <c r="PNH366" s="34"/>
      <c r="PNI366" s="34"/>
      <c r="PNJ366" s="35"/>
      <c r="PNK366" s="35"/>
      <c r="PNL366" s="35"/>
      <c r="PNM366" s="35"/>
      <c r="PNN366" s="35"/>
      <c r="PNO366" s="34"/>
      <c r="PNP366" s="34"/>
      <c r="PNQ366" s="36"/>
      <c r="PNR366" s="36"/>
      <c r="PNS366" s="37"/>
      <c r="PNT366" s="37"/>
      <c r="PNU366" s="38"/>
      <c r="PNV366" s="38"/>
      <c r="PNW366" s="39"/>
      <c r="PNX366" s="34"/>
      <c r="PNY366" s="34"/>
      <c r="PNZ366" s="34"/>
      <c r="POA366" s="35"/>
      <c r="POB366" s="35"/>
      <c r="POC366" s="35"/>
      <c r="POD366" s="35"/>
      <c r="POE366" s="35"/>
      <c r="POF366" s="34"/>
      <c r="POG366" s="34"/>
      <c r="POH366" s="36"/>
      <c r="POI366" s="36"/>
      <c r="POJ366" s="37"/>
      <c r="POK366" s="37"/>
      <c r="POL366" s="38"/>
      <c r="POM366" s="38"/>
      <c r="PON366" s="39"/>
      <c r="POO366" s="34"/>
      <c r="POP366" s="34"/>
      <c r="POQ366" s="34"/>
      <c r="POR366" s="35"/>
      <c r="POS366" s="35"/>
      <c r="POT366" s="35"/>
      <c r="POU366" s="35"/>
      <c r="POV366" s="35"/>
      <c r="POW366" s="34"/>
      <c r="POX366" s="34"/>
      <c r="POY366" s="36"/>
      <c r="POZ366" s="36"/>
      <c r="PPA366" s="37"/>
      <c r="PPB366" s="37"/>
      <c r="PPC366" s="38"/>
      <c r="PPD366" s="38"/>
      <c r="PPE366" s="39"/>
      <c r="PPF366" s="34"/>
      <c r="PPG366" s="34"/>
      <c r="PPH366" s="34"/>
      <c r="PPI366" s="35"/>
      <c r="PPJ366" s="35"/>
      <c r="PPK366" s="35"/>
      <c r="PPL366" s="35"/>
      <c r="PPM366" s="35"/>
      <c r="PPN366" s="34"/>
      <c r="PPO366" s="34"/>
      <c r="PPP366" s="36"/>
      <c r="PPQ366" s="36"/>
      <c r="PPR366" s="37"/>
      <c r="PPS366" s="37"/>
      <c r="PPT366" s="38"/>
      <c r="PPU366" s="38"/>
      <c r="PPV366" s="39"/>
      <c r="PPW366" s="34"/>
      <c r="PPX366" s="34"/>
      <c r="PPY366" s="34"/>
      <c r="PPZ366" s="35"/>
      <c r="PQA366" s="35"/>
      <c r="PQB366" s="35"/>
      <c r="PQC366" s="35"/>
      <c r="PQD366" s="35"/>
      <c r="PQE366" s="34"/>
      <c r="PQF366" s="34"/>
      <c r="PQG366" s="36"/>
      <c r="PQH366" s="36"/>
      <c r="PQI366" s="37"/>
      <c r="PQJ366" s="37"/>
      <c r="PQK366" s="38"/>
      <c r="PQL366" s="38"/>
      <c r="PQM366" s="39"/>
      <c r="PQN366" s="34"/>
      <c r="PQO366" s="34"/>
      <c r="PQP366" s="34"/>
      <c r="PQQ366" s="35"/>
      <c r="PQR366" s="35"/>
      <c r="PQS366" s="35"/>
      <c r="PQT366" s="35"/>
      <c r="PQU366" s="35"/>
      <c r="PQV366" s="34"/>
      <c r="PQW366" s="34"/>
      <c r="PQX366" s="36"/>
      <c r="PQY366" s="36"/>
      <c r="PQZ366" s="37"/>
      <c r="PRA366" s="37"/>
      <c r="PRB366" s="38"/>
      <c r="PRC366" s="38"/>
      <c r="PRD366" s="39"/>
      <c r="PRE366" s="34"/>
      <c r="PRF366" s="34"/>
      <c r="PRG366" s="34"/>
      <c r="PRH366" s="35"/>
      <c r="PRI366" s="35"/>
      <c r="PRJ366" s="35"/>
      <c r="PRK366" s="35"/>
      <c r="PRL366" s="35"/>
      <c r="PRM366" s="34"/>
      <c r="PRN366" s="34"/>
      <c r="PRO366" s="36"/>
      <c r="PRP366" s="36"/>
      <c r="PRQ366" s="37"/>
      <c r="PRR366" s="37"/>
      <c r="PRS366" s="38"/>
      <c r="PRT366" s="38"/>
      <c r="PRU366" s="39"/>
      <c r="PRV366" s="34"/>
      <c r="PRW366" s="34"/>
      <c r="PRX366" s="34"/>
      <c r="PRY366" s="35"/>
      <c r="PRZ366" s="35"/>
      <c r="PSA366" s="35"/>
      <c r="PSB366" s="35"/>
      <c r="PSC366" s="35"/>
      <c r="PSD366" s="34"/>
      <c r="PSE366" s="34"/>
      <c r="PSF366" s="36"/>
      <c r="PSG366" s="36"/>
      <c r="PSH366" s="37"/>
      <c r="PSI366" s="37"/>
      <c r="PSJ366" s="38"/>
      <c r="PSK366" s="38"/>
      <c r="PSL366" s="39"/>
      <c r="PSM366" s="34"/>
      <c r="PSN366" s="34"/>
      <c r="PSO366" s="34"/>
      <c r="PSP366" s="35"/>
      <c r="PSQ366" s="35"/>
      <c r="PSR366" s="35"/>
      <c r="PSS366" s="35"/>
      <c r="PST366" s="35"/>
      <c r="PSU366" s="34"/>
      <c r="PSV366" s="34"/>
      <c r="PSW366" s="36"/>
      <c r="PSX366" s="36"/>
      <c r="PSY366" s="37"/>
      <c r="PSZ366" s="37"/>
      <c r="PTA366" s="38"/>
      <c r="PTB366" s="38"/>
      <c r="PTC366" s="39"/>
      <c r="PTD366" s="34"/>
      <c r="PTE366" s="34"/>
      <c r="PTF366" s="34"/>
      <c r="PTG366" s="35"/>
      <c r="PTH366" s="35"/>
      <c r="PTI366" s="35"/>
      <c r="PTJ366" s="35"/>
      <c r="PTK366" s="35"/>
      <c r="PTL366" s="34"/>
      <c r="PTM366" s="34"/>
      <c r="PTN366" s="36"/>
      <c r="PTO366" s="36"/>
      <c r="PTP366" s="37"/>
      <c r="PTQ366" s="37"/>
      <c r="PTR366" s="38"/>
      <c r="PTS366" s="38"/>
      <c r="PTT366" s="39"/>
      <c r="PTU366" s="34"/>
      <c r="PTV366" s="34"/>
      <c r="PTW366" s="34"/>
      <c r="PTX366" s="35"/>
      <c r="PTY366" s="35"/>
      <c r="PTZ366" s="35"/>
      <c r="PUA366" s="35"/>
      <c r="PUB366" s="35"/>
      <c r="PUC366" s="34"/>
      <c r="PUD366" s="34"/>
      <c r="PUE366" s="36"/>
      <c r="PUF366" s="36"/>
      <c r="PUG366" s="37"/>
      <c r="PUH366" s="37"/>
      <c r="PUI366" s="38"/>
      <c r="PUJ366" s="38"/>
      <c r="PUK366" s="39"/>
      <c r="PUL366" s="34"/>
      <c r="PUM366" s="34"/>
      <c r="PUN366" s="34"/>
      <c r="PUO366" s="35"/>
      <c r="PUP366" s="35"/>
      <c r="PUQ366" s="35"/>
      <c r="PUR366" s="35"/>
      <c r="PUS366" s="35"/>
      <c r="PUT366" s="34"/>
      <c r="PUU366" s="34"/>
      <c r="PUV366" s="36"/>
      <c r="PUW366" s="36"/>
      <c r="PUX366" s="37"/>
      <c r="PUY366" s="37"/>
      <c r="PUZ366" s="38"/>
      <c r="PVA366" s="38"/>
      <c r="PVB366" s="39"/>
      <c r="PVC366" s="34"/>
      <c r="PVD366" s="34"/>
      <c r="PVE366" s="34"/>
      <c r="PVF366" s="35"/>
      <c r="PVG366" s="35"/>
      <c r="PVH366" s="35"/>
      <c r="PVI366" s="35"/>
      <c r="PVJ366" s="35"/>
      <c r="PVK366" s="34"/>
      <c r="PVL366" s="34"/>
      <c r="PVM366" s="36"/>
      <c r="PVN366" s="36"/>
      <c r="PVO366" s="37"/>
      <c r="PVP366" s="37"/>
      <c r="PVQ366" s="38"/>
      <c r="PVR366" s="38"/>
      <c r="PVS366" s="39"/>
      <c r="PVT366" s="34"/>
      <c r="PVU366" s="34"/>
      <c r="PVV366" s="34"/>
      <c r="PVW366" s="35"/>
      <c r="PVX366" s="35"/>
      <c r="PVY366" s="35"/>
      <c r="PVZ366" s="35"/>
      <c r="PWA366" s="35"/>
      <c r="PWB366" s="34"/>
      <c r="PWC366" s="34"/>
      <c r="PWD366" s="36"/>
      <c r="PWE366" s="36"/>
      <c r="PWF366" s="37"/>
      <c r="PWG366" s="37"/>
      <c r="PWH366" s="38"/>
      <c r="PWI366" s="38"/>
      <c r="PWJ366" s="39"/>
      <c r="PWK366" s="34"/>
      <c r="PWL366" s="34"/>
      <c r="PWM366" s="34"/>
      <c r="PWN366" s="35"/>
      <c r="PWO366" s="35"/>
      <c r="PWP366" s="35"/>
      <c r="PWQ366" s="35"/>
      <c r="PWR366" s="35"/>
      <c r="PWS366" s="34"/>
      <c r="PWT366" s="34"/>
      <c r="PWU366" s="36"/>
      <c r="PWV366" s="36"/>
      <c r="PWW366" s="37"/>
      <c r="PWX366" s="37"/>
      <c r="PWY366" s="38"/>
      <c r="PWZ366" s="38"/>
      <c r="PXA366" s="39"/>
      <c r="PXB366" s="34"/>
      <c r="PXC366" s="34"/>
      <c r="PXD366" s="34"/>
      <c r="PXE366" s="35"/>
      <c r="PXF366" s="35"/>
      <c r="PXG366" s="35"/>
      <c r="PXH366" s="35"/>
      <c r="PXI366" s="35"/>
      <c r="PXJ366" s="34"/>
      <c r="PXK366" s="34"/>
      <c r="PXL366" s="36"/>
      <c r="PXM366" s="36"/>
      <c r="PXN366" s="37"/>
      <c r="PXO366" s="37"/>
      <c r="PXP366" s="38"/>
      <c r="PXQ366" s="38"/>
      <c r="PXR366" s="39"/>
      <c r="PXS366" s="34"/>
      <c r="PXT366" s="34"/>
      <c r="PXU366" s="34"/>
      <c r="PXV366" s="35"/>
      <c r="PXW366" s="35"/>
      <c r="PXX366" s="35"/>
      <c r="PXY366" s="35"/>
      <c r="PXZ366" s="35"/>
      <c r="PYA366" s="34"/>
      <c r="PYB366" s="34"/>
      <c r="PYC366" s="36"/>
      <c r="PYD366" s="36"/>
      <c r="PYE366" s="37"/>
      <c r="PYF366" s="37"/>
      <c r="PYG366" s="38"/>
      <c r="PYH366" s="38"/>
      <c r="PYI366" s="39"/>
      <c r="PYJ366" s="34"/>
      <c r="PYK366" s="34"/>
      <c r="PYL366" s="34"/>
      <c r="PYM366" s="35"/>
      <c r="PYN366" s="35"/>
      <c r="PYO366" s="35"/>
      <c r="PYP366" s="35"/>
      <c r="PYQ366" s="35"/>
      <c r="PYR366" s="34"/>
      <c r="PYS366" s="34"/>
      <c r="PYT366" s="36"/>
      <c r="PYU366" s="36"/>
      <c r="PYV366" s="37"/>
      <c r="PYW366" s="37"/>
      <c r="PYX366" s="38"/>
      <c r="PYY366" s="38"/>
      <c r="PYZ366" s="39"/>
      <c r="PZA366" s="34"/>
      <c r="PZB366" s="34"/>
      <c r="PZC366" s="34"/>
      <c r="PZD366" s="35"/>
      <c r="PZE366" s="35"/>
      <c r="PZF366" s="35"/>
      <c r="PZG366" s="35"/>
      <c r="PZH366" s="35"/>
      <c r="PZI366" s="34"/>
      <c r="PZJ366" s="34"/>
      <c r="PZK366" s="36"/>
      <c r="PZL366" s="36"/>
      <c r="PZM366" s="37"/>
      <c r="PZN366" s="37"/>
      <c r="PZO366" s="38"/>
      <c r="PZP366" s="38"/>
      <c r="PZQ366" s="39"/>
      <c r="PZR366" s="34"/>
      <c r="PZS366" s="34"/>
      <c r="PZT366" s="34"/>
      <c r="PZU366" s="35"/>
      <c r="PZV366" s="35"/>
      <c r="PZW366" s="35"/>
      <c r="PZX366" s="35"/>
      <c r="PZY366" s="35"/>
      <c r="PZZ366" s="34"/>
      <c r="QAA366" s="34"/>
      <c r="QAB366" s="36"/>
      <c r="QAC366" s="36"/>
      <c r="QAD366" s="37"/>
      <c r="QAE366" s="37"/>
      <c r="QAF366" s="38"/>
      <c r="QAG366" s="38"/>
      <c r="QAH366" s="39"/>
      <c r="QAI366" s="34"/>
      <c r="QAJ366" s="34"/>
      <c r="QAK366" s="34"/>
      <c r="QAL366" s="35"/>
      <c r="QAM366" s="35"/>
      <c r="QAN366" s="35"/>
      <c r="QAO366" s="35"/>
      <c r="QAP366" s="35"/>
      <c r="QAQ366" s="34"/>
      <c r="QAR366" s="34"/>
      <c r="QAS366" s="36"/>
      <c r="QAT366" s="36"/>
      <c r="QAU366" s="37"/>
      <c r="QAV366" s="37"/>
      <c r="QAW366" s="38"/>
      <c r="QAX366" s="38"/>
      <c r="QAY366" s="39"/>
      <c r="QAZ366" s="34"/>
      <c r="QBA366" s="34"/>
      <c r="QBB366" s="34"/>
      <c r="QBC366" s="35"/>
      <c r="QBD366" s="35"/>
      <c r="QBE366" s="35"/>
      <c r="QBF366" s="35"/>
      <c r="QBG366" s="35"/>
      <c r="QBH366" s="34"/>
      <c r="QBI366" s="34"/>
      <c r="QBJ366" s="36"/>
      <c r="QBK366" s="36"/>
      <c r="QBL366" s="37"/>
      <c r="QBM366" s="37"/>
      <c r="QBN366" s="38"/>
      <c r="QBO366" s="38"/>
      <c r="QBP366" s="39"/>
      <c r="QBQ366" s="34"/>
      <c r="QBR366" s="34"/>
      <c r="QBS366" s="34"/>
      <c r="QBT366" s="35"/>
      <c r="QBU366" s="35"/>
      <c r="QBV366" s="35"/>
      <c r="QBW366" s="35"/>
      <c r="QBX366" s="35"/>
      <c r="QBY366" s="34"/>
      <c r="QBZ366" s="34"/>
      <c r="QCA366" s="36"/>
      <c r="QCB366" s="36"/>
      <c r="QCC366" s="37"/>
      <c r="QCD366" s="37"/>
      <c r="QCE366" s="38"/>
      <c r="QCF366" s="38"/>
      <c r="QCG366" s="39"/>
      <c r="QCH366" s="34"/>
      <c r="QCI366" s="34"/>
      <c r="QCJ366" s="34"/>
      <c r="QCK366" s="35"/>
      <c r="QCL366" s="35"/>
      <c r="QCM366" s="35"/>
      <c r="QCN366" s="35"/>
      <c r="QCO366" s="35"/>
      <c r="QCP366" s="34"/>
      <c r="QCQ366" s="34"/>
      <c r="QCR366" s="36"/>
      <c r="QCS366" s="36"/>
      <c r="QCT366" s="37"/>
      <c r="QCU366" s="37"/>
      <c r="QCV366" s="38"/>
      <c r="QCW366" s="38"/>
      <c r="QCX366" s="39"/>
      <c r="QCY366" s="34"/>
      <c r="QCZ366" s="34"/>
      <c r="QDA366" s="34"/>
      <c r="QDB366" s="35"/>
      <c r="QDC366" s="35"/>
      <c r="QDD366" s="35"/>
      <c r="QDE366" s="35"/>
      <c r="QDF366" s="35"/>
      <c r="QDG366" s="34"/>
      <c r="QDH366" s="34"/>
      <c r="QDI366" s="36"/>
      <c r="QDJ366" s="36"/>
      <c r="QDK366" s="37"/>
      <c r="QDL366" s="37"/>
      <c r="QDM366" s="38"/>
      <c r="QDN366" s="38"/>
      <c r="QDO366" s="39"/>
      <c r="QDP366" s="34"/>
      <c r="QDQ366" s="34"/>
      <c r="QDR366" s="34"/>
      <c r="QDS366" s="35"/>
      <c r="QDT366" s="35"/>
      <c r="QDU366" s="35"/>
      <c r="QDV366" s="35"/>
      <c r="QDW366" s="35"/>
      <c r="QDX366" s="34"/>
      <c r="QDY366" s="34"/>
      <c r="QDZ366" s="36"/>
      <c r="QEA366" s="36"/>
      <c r="QEB366" s="37"/>
      <c r="QEC366" s="37"/>
      <c r="QED366" s="38"/>
      <c r="QEE366" s="38"/>
      <c r="QEF366" s="39"/>
      <c r="QEG366" s="34"/>
      <c r="QEH366" s="34"/>
      <c r="QEI366" s="34"/>
      <c r="QEJ366" s="35"/>
      <c r="QEK366" s="35"/>
      <c r="QEL366" s="35"/>
      <c r="QEM366" s="35"/>
      <c r="QEN366" s="35"/>
      <c r="QEO366" s="34"/>
      <c r="QEP366" s="34"/>
      <c r="QEQ366" s="36"/>
      <c r="QER366" s="36"/>
      <c r="QES366" s="37"/>
      <c r="QET366" s="37"/>
      <c r="QEU366" s="38"/>
      <c r="QEV366" s="38"/>
      <c r="QEW366" s="39"/>
      <c r="QEX366" s="34"/>
      <c r="QEY366" s="34"/>
      <c r="QEZ366" s="34"/>
      <c r="QFA366" s="35"/>
      <c r="QFB366" s="35"/>
      <c r="QFC366" s="35"/>
      <c r="QFD366" s="35"/>
      <c r="QFE366" s="35"/>
      <c r="QFF366" s="34"/>
      <c r="QFG366" s="34"/>
      <c r="QFH366" s="36"/>
      <c r="QFI366" s="36"/>
      <c r="QFJ366" s="37"/>
      <c r="QFK366" s="37"/>
      <c r="QFL366" s="38"/>
      <c r="QFM366" s="38"/>
      <c r="QFN366" s="39"/>
      <c r="QFO366" s="34"/>
      <c r="QFP366" s="34"/>
      <c r="QFQ366" s="34"/>
      <c r="QFR366" s="35"/>
      <c r="QFS366" s="35"/>
      <c r="QFT366" s="35"/>
      <c r="QFU366" s="35"/>
      <c r="QFV366" s="35"/>
      <c r="QFW366" s="34"/>
      <c r="QFX366" s="34"/>
      <c r="QFY366" s="36"/>
      <c r="QFZ366" s="36"/>
      <c r="QGA366" s="37"/>
      <c r="QGB366" s="37"/>
      <c r="QGC366" s="38"/>
      <c r="QGD366" s="38"/>
      <c r="QGE366" s="39"/>
      <c r="QGF366" s="34"/>
      <c r="QGG366" s="34"/>
      <c r="QGH366" s="34"/>
      <c r="QGI366" s="35"/>
      <c r="QGJ366" s="35"/>
      <c r="QGK366" s="35"/>
      <c r="QGL366" s="35"/>
      <c r="QGM366" s="35"/>
      <c r="QGN366" s="34"/>
      <c r="QGO366" s="34"/>
      <c r="QGP366" s="36"/>
      <c r="QGQ366" s="36"/>
      <c r="QGR366" s="37"/>
      <c r="QGS366" s="37"/>
      <c r="QGT366" s="38"/>
      <c r="QGU366" s="38"/>
      <c r="QGV366" s="39"/>
      <c r="QGW366" s="34"/>
      <c r="QGX366" s="34"/>
      <c r="QGY366" s="34"/>
      <c r="QGZ366" s="35"/>
      <c r="QHA366" s="35"/>
      <c r="QHB366" s="35"/>
      <c r="QHC366" s="35"/>
      <c r="QHD366" s="35"/>
      <c r="QHE366" s="34"/>
      <c r="QHF366" s="34"/>
      <c r="QHG366" s="36"/>
      <c r="QHH366" s="36"/>
      <c r="QHI366" s="37"/>
      <c r="QHJ366" s="37"/>
      <c r="QHK366" s="38"/>
      <c r="QHL366" s="38"/>
      <c r="QHM366" s="39"/>
      <c r="QHN366" s="34"/>
      <c r="QHO366" s="34"/>
      <c r="QHP366" s="34"/>
      <c r="QHQ366" s="35"/>
      <c r="QHR366" s="35"/>
      <c r="QHS366" s="35"/>
      <c r="QHT366" s="35"/>
      <c r="QHU366" s="35"/>
      <c r="QHV366" s="34"/>
      <c r="QHW366" s="34"/>
      <c r="QHX366" s="36"/>
      <c r="QHY366" s="36"/>
      <c r="QHZ366" s="37"/>
      <c r="QIA366" s="37"/>
      <c r="QIB366" s="38"/>
      <c r="QIC366" s="38"/>
      <c r="QID366" s="39"/>
      <c r="QIE366" s="34"/>
      <c r="QIF366" s="34"/>
      <c r="QIG366" s="34"/>
      <c r="QIH366" s="35"/>
      <c r="QII366" s="35"/>
      <c r="QIJ366" s="35"/>
      <c r="QIK366" s="35"/>
      <c r="QIL366" s="35"/>
      <c r="QIM366" s="34"/>
      <c r="QIN366" s="34"/>
      <c r="QIO366" s="36"/>
      <c r="QIP366" s="36"/>
      <c r="QIQ366" s="37"/>
      <c r="QIR366" s="37"/>
      <c r="QIS366" s="38"/>
      <c r="QIT366" s="38"/>
      <c r="QIU366" s="39"/>
      <c r="QIV366" s="34"/>
      <c r="QIW366" s="34"/>
      <c r="QIX366" s="34"/>
      <c r="QIY366" s="35"/>
      <c r="QIZ366" s="35"/>
      <c r="QJA366" s="35"/>
      <c r="QJB366" s="35"/>
      <c r="QJC366" s="35"/>
      <c r="QJD366" s="34"/>
      <c r="QJE366" s="34"/>
      <c r="QJF366" s="36"/>
      <c r="QJG366" s="36"/>
      <c r="QJH366" s="37"/>
      <c r="QJI366" s="37"/>
      <c r="QJJ366" s="38"/>
      <c r="QJK366" s="38"/>
      <c r="QJL366" s="39"/>
      <c r="QJM366" s="34"/>
      <c r="QJN366" s="34"/>
      <c r="QJO366" s="34"/>
      <c r="QJP366" s="35"/>
      <c r="QJQ366" s="35"/>
      <c r="QJR366" s="35"/>
      <c r="QJS366" s="35"/>
      <c r="QJT366" s="35"/>
      <c r="QJU366" s="34"/>
      <c r="QJV366" s="34"/>
      <c r="QJW366" s="36"/>
      <c r="QJX366" s="36"/>
      <c r="QJY366" s="37"/>
      <c r="QJZ366" s="37"/>
      <c r="QKA366" s="38"/>
      <c r="QKB366" s="38"/>
      <c r="QKC366" s="39"/>
      <c r="QKD366" s="34"/>
      <c r="QKE366" s="34"/>
      <c r="QKF366" s="34"/>
      <c r="QKG366" s="35"/>
      <c r="QKH366" s="35"/>
      <c r="QKI366" s="35"/>
      <c r="QKJ366" s="35"/>
      <c r="QKK366" s="35"/>
      <c r="QKL366" s="34"/>
      <c r="QKM366" s="34"/>
      <c r="QKN366" s="36"/>
      <c r="QKO366" s="36"/>
      <c r="QKP366" s="37"/>
      <c r="QKQ366" s="37"/>
      <c r="QKR366" s="38"/>
      <c r="QKS366" s="38"/>
      <c r="QKT366" s="39"/>
      <c r="QKU366" s="34"/>
      <c r="QKV366" s="34"/>
      <c r="QKW366" s="34"/>
      <c r="QKX366" s="35"/>
      <c r="QKY366" s="35"/>
      <c r="QKZ366" s="35"/>
      <c r="QLA366" s="35"/>
      <c r="QLB366" s="35"/>
      <c r="QLC366" s="34"/>
      <c r="QLD366" s="34"/>
      <c r="QLE366" s="36"/>
      <c r="QLF366" s="36"/>
      <c r="QLG366" s="37"/>
      <c r="QLH366" s="37"/>
      <c r="QLI366" s="38"/>
      <c r="QLJ366" s="38"/>
      <c r="QLK366" s="39"/>
      <c r="QLL366" s="34"/>
      <c r="QLM366" s="34"/>
      <c r="QLN366" s="34"/>
      <c r="QLO366" s="35"/>
      <c r="QLP366" s="35"/>
      <c r="QLQ366" s="35"/>
      <c r="QLR366" s="35"/>
      <c r="QLS366" s="35"/>
      <c r="QLT366" s="34"/>
      <c r="QLU366" s="34"/>
      <c r="QLV366" s="36"/>
      <c r="QLW366" s="36"/>
      <c r="QLX366" s="37"/>
      <c r="QLY366" s="37"/>
      <c r="QLZ366" s="38"/>
      <c r="QMA366" s="38"/>
      <c r="QMB366" s="39"/>
      <c r="QMC366" s="34"/>
      <c r="QMD366" s="34"/>
      <c r="QME366" s="34"/>
      <c r="QMF366" s="35"/>
      <c r="QMG366" s="35"/>
      <c r="QMH366" s="35"/>
      <c r="QMI366" s="35"/>
      <c r="QMJ366" s="35"/>
      <c r="QMK366" s="34"/>
      <c r="QML366" s="34"/>
      <c r="QMM366" s="36"/>
      <c r="QMN366" s="36"/>
      <c r="QMO366" s="37"/>
      <c r="QMP366" s="37"/>
      <c r="QMQ366" s="38"/>
      <c r="QMR366" s="38"/>
      <c r="QMS366" s="39"/>
      <c r="QMT366" s="34"/>
      <c r="QMU366" s="34"/>
      <c r="QMV366" s="34"/>
      <c r="QMW366" s="35"/>
      <c r="QMX366" s="35"/>
      <c r="QMY366" s="35"/>
      <c r="QMZ366" s="35"/>
      <c r="QNA366" s="35"/>
      <c r="QNB366" s="34"/>
      <c r="QNC366" s="34"/>
      <c r="QND366" s="36"/>
      <c r="QNE366" s="36"/>
      <c r="QNF366" s="37"/>
      <c r="QNG366" s="37"/>
      <c r="QNH366" s="38"/>
      <c r="QNI366" s="38"/>
      <c r="QNJ366" s="39"/>
      <c r="QNK366" s="34"/>
      <c r="QNL366" s="34"/>
      <c r="QNM366" s="34"/>
      <c r="QNN366" s="35"/>
      <c r="QNO366" s="35"/>
      <c r="QNP366" s="35"/>
      <c r="QNQ366" s="35"/>
      <c r="QNR366" s="35"/>
      <c r="QNS366" s="34"/>
      <c r="QNT366" s="34"/>
      <c r="QNU366" s="36"/>
      <c r="QNV366" s="36"/>
      <c r="QNW366" s="37"/>
      <c r="QNX366" s="37"/>
      <c r="QNY366" s="38"/>
      <c r="QNZ366" s="38"/>
      <c r="QOA366" s="39"/>
      <c r="QOB366" s="34"/>
      <c r="QOC366" s="34"/>
      <c r="QOD366" s="34"/>
      <c r="QOE366" s="35"/>
      <c r="QOF366" s="35"/>
      <c r="QOG366" s="35"/>
      <c r="QOH366" s="35"/>
      <c r="QOI366" s="35"/>
      <c r="QOJ366" s="34"/>
      <c r="QOK366" s="34"/>
      <c r="QOL366" s="36"/>
      <c r="QOM366" s="36"/>
      <c r="QON366" s="37"/>
      <c r="QOO366" s="37"/>
      <c r="QOP366" s="38"/>
      <c r="QOQ366" s="38"/>
      <c r="QOR366" s="39"/>
      <c r="QOS366" s="34"/>
      <c r="QOT366" s="34"/>
      <c r="QOU366" s="34"/>
      <c r="QOV366" s="35"/>
      <c r="QOW366" s="35"/>
      <c r="QOX366" s="35"/>
      <c r="QOY366" s="35"/>
      <c r="QOZ366" s="35"/>
      <c r="QPA366" s="34"/>
      <c r="QPB366" s="34"/>
      <c r="QPC366" s="36"/>
      <c r="QPD366" s="36"/>
      <c r="QPE366" s="37"/>
      <c r="QPF366" s="37"/>
      <c r="QPG366" s="38"/>
      <c r="QPH366" s="38"/>
      <c r="QPI366" s="39"/>
      <c r="QPJ366" s="34"/>
      <c r="QPK366" s="34"/>
      <c r="QPL366" s="34"/>
      <c r="QPM366" s="35"/>
      <c r="QPN366" s="35"/>
      <c r="QPO366" s="35"/>
      <c r="QPP366" s="35"/>
      <c r="QPQ366" s="35"/>
      <c r="QPR366" s="34"/>
      <c r="QPS366" s="34"/>
      <c r="QPT366" s="36"/>
      <c r="QPU366" s="36"/>
      <c r="QPV366" s="37"/>
      <c r="QPW366" s="37"/>
      <c r="QPX366" s="38"/>
      <c r="QPY366" s="38"/>
      <c r="QPZ366" s="39"/>
      <c r="QQA366" s="34"/>
      <c r="QQB366" s="34"/>
      <c r="QQC366" s="34"/>
      <c r="QQD366" s="35"/>
      <c r="QQE366" s="35"/>
      <c r="QQF366" s="35"/>
      <c r="QQG366" s="35"/>
      <c r="QQH366" s="35"/>
      <c r="QQI366" s="34"/>
      <c r="QQJ366" s="34"/>
      <c r="QQK366" s="36"/>
      <c r="QQL366" s="36"/>
      <c r="QQM366" s="37"/>
      <c r="QQN366" s="37"/>
      <c r="QQO366" s="38"/>
      <c r="QQP366" s="38"/>
      <c r="QQQ366" s="39"/>
      <c r="QQR366" s="34"/>
      <c r="QQS366" s="34"/>
      <c r="QQT366" s="34"/>
      <c r="QQU366" s="35"/>
      <c r="QQV366" s="35"/>
      <c r="QQW366" s="35"/>
      <c r="QQX366" s="35"/>
      <c r="QQY366" s="35"/>
      <c r="QQZ366" s="34"/>
      <c r="QRA366" s="34"/>
      <c r="QRB366" s="36"/>
      <c r="QRC366" s="36"/>
      <c r="QRD366" s="37"/>
      <c r="QRE366" s="37"/>
      <c r="QRF366" s="38"/>
      <c r="QRG366" s="38"/>
      <c r="QRH366" s="39"/>
      <c r="QRI366" s="34"/>
      <c r="QRJ366" s="34"/>
      <c r="QRK366" s="34"/>
      <c r="QRL366" s="35"/>
      <c r="QRM366" s="35"/>
      <c r="QRN366" s="35"/>
      <c r="QRO366" s="35"/>
      <c r="QRP366" s="35"/>
      <c r="QRQ366" s="34"/>
      <c r="QRR366" s="34"/>
      <c r="QRS366" s="36"/>
      <c r="QRT366" s="36"/>
      <c r="QRU366" s="37"/>
      <c r="QRV366" s="37"/>
      <c r="QRW366" s="38"/>
      <c r="QRX366" s="38"/>
      <c r="QRY366" s="39"/>
      <c r="QRZ366" s="34"/>
      <c r="QSA366" s="34"/>
      <c r="QSB366" s="34"/>
      <c r="QSC366" s="35"/>
      <c r="QSD366" s="35"/>
      <c r="QSE366" s="35"/>
      <c r="QSF366" s="35"/>
      <c r="QSG366" s="35"/>
      <c r="QSH366" s="34"/>
      <c r="QSI366" s="34"/>
      <c r="QSJ366" s="36"/>
      <c r="QSK366" s="36"/>
      <c r="QSL366" s="37"/>
      <c r="QSM366" s="37"/>
      <c r="QSN366" s="38"/>
      <c r="QSO366" s="38"/>
      <c r="QSP366" s="39"/>
      <c r="QSQ366" s="34"/>
      <c r="QSR366" s="34"/>
      <c r="QSS366" s="34"/>
      <c r="QST366" s="35"/>
      <c r="QSU366" s="35"/>
      <c r="QSV366" s="35"/>
      <c r="QSW366" s="35"/>
      <c r="QSX366" s="35"/>
      <c r="QSY366" s="34"/>
      <c r="QSZ366" s="34"/>
      <c r="QTA366" s="36"/>
      <c r="QTB366" s="36"/>
      <c r="QTC366" s="37"/>
      <c r="QTD366" s="37"/>
      <c r="QTE366" s="38"/>
      <c r="QTF366" s="38"/>
      <c r="QTG366" s="39"/>
      <c r="QTH366" s="34"/>
      <c r="QTI366" s="34"/>
      <c r="QTJ366" s="34"/>
      <c r="QTK366" s="35"/>
      <c r="QTL366" s="35"/>
      <c r="QTM366" s="35"/>
      <c r="QTN366" s="35"/>
      <c r="QTO366" s="35"/>
      <c r="QTP366" s="34"/>
      <c r="QTQ366" s="34"/>
      <c r="QTR366" s="36"/>
      <c r="QTS366" s="36"/>
      <c r="QTT366" s="37"/>
      <c r="QTU366" s="37"/>
      <c r="QTV366" s="38"/>
      <c r="QTW366" s="38"/>
      <c r="QTX366" s="39"/>
      <c r="QTY366" s="34"/>
      <c r="QTZ366" s="34"/>
      <c r="QUA366" s="34"/>
      <c r="QUB366" s="35"/>
      <c r="QUC366" s="35"/>
      <c r="QUD366" s="35"/>
      <c r="QUE366" s="35"/>
      <c r="QUF366" s="35"/>
      <c r="QUG366" s="34"/>
      <c r="QUH366" s="34"/>
      <c r="QUI366" s="36"/>
      <c r="QUJ366" s="36"/>
      <c r="QUK366" s="37"/>
      <c r="QUL366" s="37"/>
      <c r="QUM366" s="38"/>
      <c r="QUN366" s="38"/>
      <c r="QUO366" s="39"/>
      <c r="QUP366" s="34"/>
      <c r="QUQ366" s="34"/>
      <c r="QUR366" s="34"/>
      <c r="QUS366" s="35"/>
      <c r="QUT366" s="35"/>
      <c r="QUU366" s="35"/>
      <c r="QUV366" s="35"/>
      <c r="QUW366" s="35"/>
      <c r="QUX366" s="34"/>
      <c r="QUY366" s="34"/>
      <c r="QUZ366" s="36"/>
      <c r="QVA366" s="36"/>
      <c r="QVB366" s="37"/>
      <c r="QVC366" s="37"/>
      <c r="QVD366" s="38"/>
      <c r="QVE366" s="38"/>
      <c r="QVF366" s="39"/>
      <c r="QVG366" s="34"/>
      <c r="QVH366" s="34"/>
      <c r="QVI366" s="34"/>
      <c r="QVJ366" s="35"/>
      <c r="QVK366" s="35"/>
      <c r="QVL366" s="35"/>
      <c r="QVM366" s="35"/>
      <c r="QVN366" s="35"/>
      <c r="QVO366" s="34"/>
      <c r="QVP366" s="34"/>
      <c r="QVQ366" s="36"/>
      <c r="QVR366" s="36"/>
      <c r="QVS366" s="37"/>
      <c r="QVT366" s="37"/>
      <c r="QVU366" s="38"/>
      <c r="QVV366" s="38"/>
      <c r="QVW366" s="39"/>
      <c r="QVX366" s="34"/>
      <c r="QVY366" s="34"/>
      <c r="QVZ366" s="34"/>
      <c r="QWA366" s="35"/>
      <c r="QWB366" s="35"/>
      <c r="QWC366" s="35"/>
      <c r="QWD366" s="35"/>
      <c r="QWE366" s="35"/>
      <c r="QWF366" s="34"/>
      <c r="QWG366" s="34"/>
      <c r="QWH366" s="36"/>
      <c r="QWI366" s="36"/>
      <c r="QWJ366" s="37"/>
      <c r="QWK366" s="37"/>
      <c r="QWL366" s="38"/>
      <c r="QWM366" s="38"/>
      <c r="QWN366" s="39"/>
      <c r="QWO366" s="34"/>
      <c r="QWP366" s="34"/>
      <c r="QWQ366" s="34"/>
      <c r="QWR366" s="35"/>
      <c r="QWS366" s="35"/>
      <c r="QWT366" s="35"/>
      <c r="QWU366" s="35"/>
      <c r="QWV366" s="35"/>
      <c r="QWW366" s="34"/>
      <c r="QWX366" s="34"/>
      <c r="QWY366" s="36"/>
      <c r="QWZ366" s="36"/>
      <c r="QXA366" s="37"/>
      <c r="QXB366" s="37"/>
      <c r="QXC366" s="38"/>
      <c r="QXD366" s="38"/>
      <c r="QXE366" s="39"/>
      <c r="QXF366" s="34"/>
      <c r="QXG366" s="34"/>
      <c r="QXH366" s="34"/>
      <c r="QXI366" s="35"/>
      <c r="QXJ366" s="35"/>
      <c r="QXK366" s="35"/>
      <c r="QXL366" s="35"/>
      <c r="QXM366" s="35"/>
      <c r="QXN366" s="34"/>
      <c r="QXO366" s="34"/>
      <c r="QXP366" s="36"/>
      <c r="QXQ366" s="36"/>
      <c r="QXR366" s="37"/>
      <c r="QXS366" s="37"/>
      <c r="QXT366" s="38"/>
      <c r="QXU366" s="38"/>
      <c r="QXV366" s="39"/>
      <c r="QXW366" s="34"/>
      <c r="QXX366" s="34"/>
      <c r="QXY366" s="34"/>
      <c r="QXZ366" s="35"/>
      <c r="QYA366" s="35"/>
      <c r="QYB366" s="35"/>
      <c r="QYC366" s="35"/>
      <c r="QYD366" s="35"/>
      <c r="QYE366" s="34"/>
      <c r="QYF366" s="34"/>
      <c r="QYG366" s="36"/>
      <c r="QYH366" s="36"/>
      <c r="QYI366" s="37"/>
      <c r="QYJ366" s="37"/>
      <c r="QYK366" s="38"/>
      <c r="QYL366" s="38"/>
      <c r="QYM366" s="39"/>
      <c r="QYN366" s="34"/>
      <c r="QYO366" s="34"/>
      <c r="QYP366" s="34"/>
      <c r="QYQ366" s="35"/>
      <c r="QYR366" s="35"/>
      <c r="QYS366" s="35"/>
      <c r="QYT366" s="35"/>
      <c r="QYU366" s="35"/>
      <c r="QYV366" s="34"/>
      <c r="QYW366" s="34"/>
      <c r="QYX366" s="36"/>
      <c r="QYY366" s="36"/>
      <c r="QYZ366" s="37"/>
      <c r="QZA366" s="37"/>
      <c r="QZB366" s="38"/>
      <c r="QZC366" s="38"/>
      <c r="QZD366" s="39"/>
      <c r="QZE366" s="34"/>
      <c r="QZF366" s="34"/>
      <c r="QZG366" s="34"/>
      <c r="QZH366" s="35"/>
      <c r="QZI366" s="35"/>
      <c r="QZJ366" s="35"/>
      <c r="QZK366" s="35"/>
      <c r="QZL366" s="35"/>
      <c r="QZM366" s="34"/>
      <c r="QZN366" s="34"/>
      <c r="QZO366" s="36"/>
      <c r="QZP366" s="36"/>
      <c r="QZQ366" s="37"/>
      <c r="QZR366" s="37"/>
      <c r="QZS366" s="38"/>
      <c r="QZT366" s="38"/>
      <c r="QZU366" s="39"/>
      <c r="QZV366" s="34"/>
      <c r="QZW366" s="34"/>
      <c r="QZX366" s="34"/>
      <c r="QZY366" s="35"/>
      <c r="QZZ366" s="35"/>
      <c r="RAA366" s="35"/>
      <c r="RAB366" s="35"/>
      <c r="RAC366" s="35"/>
      <c r="RAD366" s="34"/>
      <c r="RAE366" s="34"/>
      <c r="RAF366" s="36"/>
      <c r="RAG366" s="36"/>
      <c r="RAH366" s="37"/>
      <c r="RAI366" s="37"/>
      <c r="RAJ366" s="38"/>
      <c r="RAK366" s="38"/>
      <c r="RAL366" s="39"/>
      <c r="RAM366" s="34"/>
      <c r="RAN366" s="34"/>
      <c r="RAO366" s="34"/>
      <c r="RAP366" s="35"/>
      <c r="RAQ366" s="35"/>
      <c r="RAR366" s="35"/>
      <c r="RAS366" s="35"/>
      <c r="RAT366" s="35"/>
      <c r="RAU366" s="34"/>
      <c r="RAV366" s="34"/>
      <c r="RAW366" s="36"/>
      <c r="RAX366" s="36"/>
      <c r="RAY366" s="37"/>
      <c r="RAZ366" s="37"/>
      <c r="RBA366" s="38"/>
      <c r="RBB366" s="38"/>
      <c r="RBC366" s="39"/>
      <c r="RBD366" s="34"/>
      <c r="RBE366" s="34"/>
      <c r="RBF366" s="34"/>
      <c r="RBG366" s="35"/>
      <c r="RBH366" s="35"/>
      <c r="RBI366" s="35"/>
      <c r="RBJ366" s="35"/>
      <c r="RBK366" s="35"/>
      <c r="RBL366" s="34"/>
      <c r="RBM366" s="34"/>
      <c r="RBN366" s="36"/>
      <c r="RBO366" s="36"/>
      <c r="RBP366" s="37"/>
      <c r="RBQ366" s="37"/>
      <c r="RBR366" s="38"/>
      <c r="RBS366" s="38"/>
      <c r="RBT366" s="39"/>
      <c r="RBU366" s="34"/>
      <c r="RBV366" s="34"/>
      <c r="RBW366" s="34"/>
      <c r="RBX366" s="35"/>
      <c r="RBY366" s="35"/>
      <c r="RBZ366" s="35"/>
      <c r="RCA366" s="35"/>
      <c r="RCB366" s="35"/>
      <c r="RCC366" s="34"/>
      <c r="RCD366" s="34"/>
      <c r="RCE366" s="36"/>
      <c r="RCF366" s="36"/>
      <c r="RCG366" s="37"/>
      <c r="RCH366" s="37"/>
      <c r="RCI366" s="38"/>
      <c r="RCJ366" s="38"/>
      <c r="RCK366" s="39"/>
      <c r="RCL366" s="34"/>
      <c r="RCM366" s="34"/>
      <c r="RCN366" s="34"/>
      <c r="RCO366" s="35"/>
      <c r="RCP366" s="35"/>
      <c r="RCQ366" s="35"/>
      <c r="RCR366" s="35"/>
      <c r="RCS366" s="35"/>
      <c r="RCT366" s="34"/>
      <c r="RCU366" s="34"/>
      <c r="RCV366" s="36"/>
      <c r="RCW366" s="36"/>
      <c r="RCX366" s="37"/>
      <c r="RCY366" s="37"/>
      <c r="RCZ366" s="38"/>
      <c r="RDA366" s="38"/>
      <c r="RDB366" s="39"/>
      <c r="RDC366" s="34"/>
      <c r="RDD366" s="34"/>
      <c r="RDE366" s="34"/>
      <c r="RDF366" s="35"/>
      <c r="RDG366" s="35"/>
      <c r="RDH366" s="35"/>
      <c r="RDI366" s="35"/>
      <c r="RDJ366" s="35"/>
      <c r="RDK366" s="34"/>
      <c r="RDL366" s="34"/>
      <c r="RDM366" s="36"/>
      <c r="RDN366" s="36"/>
      <c r="RDO366" s="37"/>
      <c r="RDP366" s="37"/>
      <c r="RDQ366" s="38"/>
      <c r="RDR366" s="38"/>
      <c r="RDS366" s="39"/>
      <c r="RDT366" s="34"/>
      <c r="RDU366" s="34"/>
      <c r="RDV366" s="34"/>
      <c r="RDW366" s="35"/>
      <c r="RDX366" s="35"/>
      <c r="RDY366" s="35"/>
      <c r="RDZ366" s="35"/>
      <c r="REA366" s="35"/>
      <c r="REB366" s="34"/>
      <c r="REC366" s="34"/>
      <c r="RED366" s="36"/>
      <c r="REE366" s="36"/>
      <c r="REF366" s="37"/>
      <c r="REG366" s="37"/>
      <c r="REH366" s="38"/>
      <c r="REI366" s="38"/>
      <c r="REJ366" s="39"/>
      <c r="REK366" s="34"/>
      <c r="REL366" s="34"/>
      <c r="REM366" s="34"/>
      <c r="REN366" s="35"/>
      <c r="REO366" s="35"/>
      <c r="REP366" s="35"/>
      <c r="REQ366" s="35"/>
      <c r="RER366" s="35"/>
      <c r="RES366" s="34"/>
      <c r="RET366" s="34"/>
      <c r="REU366" s="36"/>
      <c r="REV366" s="36"/>
      <c r="REW366" s="37"/>
      <c r="REX366" s="37"/>
      <c r="REY366" s="38"/>
      <c r="REZ366" s="38"/>
      <c r="RFA366" s="39"/>
      <c r="RFB366" s="34"/>
      <c r="RFC366" s="34"/>
      <c r="RFD366" s="34"/>
      <c r="RFE366" s="35"/>
      <c r="RFF366" s="35"/>
      <c r="RFG366" s="35"/>
      <c r="RFH366" s="35"/>
      <c r="RFI366" s="35"/>
      <c r="RFJ366" s="34"/>
      <c r="RFK366" s="34"/>
      <c r="RFL366" s="36"/>
      <c r="RFM366" s="36"/>
      <c r="RFN366" s="37"/>
      <c r="RFO366" s="37"/>
      <c r="RFP366" s="38"/>
      <c r="RFQ366" s="38"/>
      <c r="RFR366" s="39"/>
      <c r="RFS366" s="34"/>
      <c r="RFT366" s="34"/>
      <c r="RFU366" s="34"/>
      <c r="RFV366" s="35"/>
      <c r="RFW366" s="35"/>
      <c r="RFX366" s="35"/>
      <c r="RFY366" s="35"/>
      <c r="RFZ366" s="35"/>
      <c r="RGA366" s="34"/>
      <c r="RGB366" s="34"/>
      <c r="RGC366" s="36"/>
      <c r="RGD366" s="36"/>
      <c r="RGE366" s="37"/>
      <c r="RGF366" s="37"/>
      <c r="RGG366" s="38"/>
      <c r="RGH366" s="38"/>
      <c r="RGI366" s="39"/>
      <c r="RGJ366" s="34"/>
      <c r="RGK366" s="34"/>
      <c r="RGL366" s="34"/>
      <c r="RGM366" s="35"/>
      <c r="RGN366" s="35"/>
      <c r="RGO366" s="35"/>
      <c r="RGP366" s="35"/>
      <c r="RGQ366" s="35"/>
      <c r="RGR366" s="34"/>
      <c r="RGS366" s="34"/>
      <c r="RGT366" s="36"/>
      <c r="RGU366" s="36"/>
      <c r="RGV366" s="37"/>
      <c r="RGW366" s="37"/>
      <c r="RGX366" s="38"/>
      <c r="RGY366" s="38"/>
      <c r="RGZ366" s="39"/>
      <c r="RHA366" s="34"/>
      <c r="RHB366" s="34"/>
      <c r="RHC366" s="34"/>
      <c r="RHD366" s="35"/>
      <c r="RHE366" s="35"/>
      <c r="RHF366" s="35"/>
      <c r="RHG366" s="35"/>
      <c r="RHH366" s="35"/>
      <c r="RHI366" s="34"/>
      <c r="RHJ366" s="34"/>
      <c r="RHK366" s="36"/>
      <c r="RHL366" s="36"/>
      <c r="RHM366" s="37"/>
      <c r="RHN366" s="37"/>
      <c r="RHO366" s="38"/>
      <c r="RHP366" s="38"/>
      <c r="RHQ366" s="39"/>
      <c r="RHR366" s="34"/>
      <c r="RHS366" s="34"/>
      <c r="RHT366" s="34"/>
      <c r="RHU366" s="35"/>
      <c r="RHV366" s="35"/>
      <c r="RHW366" s="35"/>
      <c r="RHX366" s="35"/>
      <c r="RHY366" s="35"/>
      <c r="RHZ366" s="34"/>
      <c r="RIA366" s="34"/>
      <c r="RIB366" s="36"/>
      <c r="RIC366" s="36"/>
      <c r="RID366" s="37"/>
      <c r="RIE366" s="37"/>
      <c r="RIF366" s="38"/>
      <c r="RIG366" s="38"/>
      <c r="RIH366" s="39"/>
      <c r="RII366" s="34"/>
      <c r="RIJ366" s="34"/>
      <c r="RIK366" s="34"/>
      <c r="RIL366" s="35"/>
      <c r="RIM366" s="35"/>
      <c r="RIN366" s="35"/>
      <c r="RIO366" s="35"/>
      <c r="RIP366" s="35"/>
      <c r="RIQ366" s="34"/>
      <c r="RIR366" s="34"/>
      <c r="RIS366" s="36"/>
      <c r="RIT366" s="36"/>
      <c r="RIU366" s="37"/>
      <c r="RIV366" s="37"/>
      <c r="RIW366" s="38"/>
      <c r="RIX366" s="38"/>
      <c r="RIY366" s="39"/>
      <c r="RIZ366" s="34"/>
      <c r="RJA366" s="34"/>
      <c r="RJB366" s="34"/>
      <c r="RJC366" s="35"/>
      <c r="RJD366" s="35"/>
      <c r="RJE366" s="35"/>
      <c r="RJF366" s="35"/>
      <c r="RJG366" s="35"/>
      <c r="RJH366" s="34"/>
      <c r="RJI366" s="34"/>
      <c r="RJJ366" s="36"/>
      <c r="RJK366" s="36"/>
      <c r="RJL366" s="37"/>
      <c r="RJM366" s="37"/>
      <c r="RJN366" s="38"/>
      <c r="RJO366" s="38"/>
      <c r="RJP366" s="39"/>
      <c r="RJQ366" s="34"/>
      <c r="RJR366" s="34"/>
      <c r="RJS366" s="34"/>
      <c r="RJT366" s="35"/>
      <c r="RJU366" s="35"/>
      <c r="RJV366" s="35"/>
      <c r="RJW366" s="35"/>
      <c r="RJX366" s="35"/>
      <c r="RJY366" s="34"/>
      <c r="RJZ366" s="34"/>
      <c r="RKA366" s="36"/>
      <c r="RKB366" s="36"/>
      <c r="RKC366" s="37"/>
      <c r="RKD366" s="37"/>
      <c r="RKE366" s="38"/>
      <c r="RKF366" s="38"/>
      <c r="RKG366" s="39"/>
      <c r="RKH366" s="34"/>
      <c r="RKI366" s="34"/>
      <c r="RKJ366" s="34"/>
      <c r="RKK366" s="35"/>
      <c r="RKL366" s="35"/>
      <c r="RKM366" s="35"/>
      <c r="RKN366" s="35"/>
      <c r="RKO366" s="35"/>
      <c r="RKP366" s="34"/>
      <c r="RKQ366" s="34"/>
      <c r="RKR366" s="36"/>
      <c r="RKS366" s="36"/>
      <c r="RKT366" s="37"/>
      <c r="RKU366" s="37"/>
      <c r="RKV366" s="38"/>
      <c r="RKW366" s="38"/>
      <c r="RKX366" s="39"/>
      <c r="RKY366" s="34"/>
      <c r="RKZ366" s="34"/>
      <c r="RLA366" s="34"/>
      <c r="RLB366" s="35"/>
      <c r="RLC366" s="35"/>
      <c r="RLD366" s="35"/>
      <c r="RLE366" s="35"/>
      <c r="RLF366" s="35"/>
      <c r="RLG366" s="34"/>
      <c r="RLH366" s="34"/>
      <c r="RLI366" s="36"/>
      <c r="RLJ366" s="36"/>
      <c r="RLK366" s="37"/>
      <c r="RLL366" s="37"/>
      <c r="RLM366" s="38"/>
      <c r="RLN366" s="38"/>
      <c r="RLO366" s="39"/>
      <c r="RLP366" s="34"/>
      <c r="RLQ366" s="34"/>
      <c r="RLR366" s="34"/>
      <c r="RLS366" s="35"/>
      <c r="RLT366" s="35"/>
      <c r="RLU366" s="35"/>
      <c r="RLV366" s="35"/>
      <c r="RLW366" s="35"/>
      <c r="RLX366" s="34"/>
      <c r="RLY366" s="34"/>
      <c r="RLZ366" s="36"/>
      <c r="RMA366" s="36"/>
      <c r="RMB366" s="37"/>
      <c r="RMC366" s="37"/>
      <c r="RMD366" s="38"/>
      <c r="RME366" s="38"/>
      <c r="RMF366" s="39"/>
      <c r="RMG366" s="34"/>
      <c r="RMH366" s="34"/>
      <c r="RMI366" s="34"/>
      <c r="RMJ366" s="35"/>
      <c r="RMK366" s="35"/>
      <c r="RML366" s="35"/>
      <c r="RMM366" s="35"/>
      <c r="RMN366" s="35"/>
      <c r="RMO366" s="34"/>
      <c r="RMP366" s="34"/>
      <c r="RMQ366" s="36"/>
      <c r="RMR366" s="36"/>
      <c r="RMS366" s="37"/>
      <c r="RMT366" s="37"/>
      <c r="RMU366" s="38"/>
      <c r="RMV366" s="38"/>
      <c r="RMW366" s="39"/>
      <c r="RMX366" s="34"/>
      <c r="RMY366" s="34"/>
      <c r="RMZ366" s="34"/>
      <c r="RNA366" s="35"/>
      <c r="RNB366" s="35"/>
      <c r="RNC366" s="35"/>
      <c r="RND366" s="35"/>
      <c r="RNE366" s="35"/>
      <c r="RNF366" s="34"/>
      <c r="RNG366" s="34"/>
      <c r="RNH366" s="36"/>
      <c r="RNI366" s="36"/>
      <c r="RNJ366" s="37"/>
      <c r="RNK366" s="37"/>
      <c r="RNL366" s="38"/>
      <c r="RNM366" s="38"/>
      <c r="RNN366" s="39"/>
      <c r="RNO366" s="34"/>
      <c r="RNP366" s="34"/>
      <c r="RNQ366" s="34"/>
      <c r="RNR366" s="35"/>
      <c r="RNS366" s="35"/>
      <c r="RNT366" s="35"/>
      <c r="RNU366" s="35"/>
      <c r="RNV366" s="35"/>
      <c r="RNW366" s="34"/>
      <c r="RNX366" s="34"/>
      <c r="RNY366" s="36"/>
      <c r="RNZ366" s="36"/>
      <c r="ROA366" s="37"/>
      <c r="ROB366" s="37"/>
      <c r="ROC366" s="38"/>
      <c r="ROD366" s="38"/>
      <c r="ROE366" s="39"/>
      <c r="ROF366" s="34"/>
      <c r="ROG366" s="34"/>
      <c r="ROH366" s="34"/>
      <c r="ROI366" s="35"/>
      <c r="ROJ366" s="35"/>
      <c r="ROK366" s="35"/>
      <c r="ROL366" s="35"/>
      <c r="ROM366" s="35"/>
      <c r="RON366" s="34"/>
      <c r="ROO366" s="34"/>
      <c r="ROP366" s="36"/>
      <c r="ROQ366" s="36"/>
      <c r="ROR366" s="37"/>
      <c r="ROS366" s="37"/>
      <c r="ROT366" s="38"/>
      <c r="ROU366" s="38"/>
      <c r="ROV366" s="39"/>
      <c r="ROW366" s="34"/>
      <c r="ROX366" s="34"/>
      <c r="ROY366" s="34"/>
      <c r="ROZ366" s="35"/>
      <c r="RPA366" s="35"/>
      <c r="RPB366" s="35"/>
      <c r="RPC366" s="35"/>
      <c r="RPD366" s="35"/>
      <c r="RPE366" s="34"/>
      <c r="RPF366" s="34"/>
      <c r="RPG366" s="36"/>
      <c r="RPH366" s="36"/>
      <c r="RPI366" s="37"/>
      <c r="RPJ366" s="37"/>
      <c r="RPK366" s="38"/>
      <c r="RPL366" s="38"/>
      <c r="RPM366" s="39"/>
      <c r="RPN366" s="34"/>
      <c r="RPO366" s="34"/>
      <c r="RPP366" s="34"/>
      <c r="RPQ366" s="35"/>
      <c r="RPR366" s="35"/>
      <c r="RPS366" s="35"/>
      <c r="RPT366" s="35"/>
      <c r="RPU366" s="35"/>
      <c r="RPV366" s="34"/>
      <c r="RPW366" s="34"/>
      <c r="RPX366" s="36"/>
      <c r="RPY366" s="36"/>
      <c r="RPZ366" s="37"/>
      <c r="RQA366" s="37"/>
      <c r="RQB366" s="38"/>
      <c r="RQC366" s="38"/>
      <c r="RQD366" s="39"/>
      <c r="RQE366" s="34"/>
      <c r="RQF366" s="34"/>
      <c r="RQG366" s="34"/>
      <c r="RQH366" s="35"/>
      <c r="RQI366" s="35"/>
      <c r="RQJ366" s="35"/>
      <c r="RQK366" s="35"/>
      <c r="RQL366" s="35"/>
      <c r="RQM366" s="34"/>
      <c r="RQN366" s="34"/>
      <c r="RQO366" s="36"/>
      <c r="RQP366" s="36"/>
      <c r="RQQ366" s="37"/>
      <c r="RQR366" s="37"/>
      <c r="RQS366" s="38"/>
      <c r="RQT366" s="38"/>
      <c r="RQU366" s="39"/>
      <c r="RQV366" s="34"/>
      <c r="RQW366" s="34"/>
      <c r="RQX366" s="34"/>
      <c r="RQY366" s="35"/>
      <c r="RQZ366" s="35"/>
      <c r="RRA366" s="35"/>
      <c r="RRB366" s="35"/>
      <c r="RRC366" s="35"/>
      <c r="RRD366" s="34"/>
      <c r="RRE366" s="34"/>
      <c r="RRF366" s="36"/>
      <c r="RRG366" s="36"/>
      <c r="RRH366" s="37"/>
      <c r="RRI366" s="37"/>
      <c r="RRJ366" s="38"/>
      <c r="RRK366" s="38"/>
      <c r="RRL366" s="39"/>
      <c r="RRM366" s="34"/>
      <c r="RRN366" s="34"/>
      <c r="RRO366" s="34"/>
      <c r="RRP366" s="35"/>
      <c r="RRQ366" s="35"/>
      <c r="RRR366" s="35"/>
      <c r="RRS366" s="35"/>
      <c r="RRT366" s="35"/>
      <c r="RRU366" s="34"/>
      <c r="RRV366" s="34"/>
      <c r="RRW366" s="36"/>
      <c r="RRX366" s="36"/>
      <c r="RRY366" s="37"/>
      <c r="RRZ366" s="37"/>
      <c r="RSA366" s="38"/>
      <c r="RSB366" s="38"/>
      <c r="RSC366" s="39"/>
      <c r="RSD366" s="34"/>
      <c r="RSE366" s="34"/>
      <c r="RSF366" s="34"/>
      <c r="RSG366" s="35"/>
      <c r="RSH366" s="35"/>
      <c r="RSI366" s="35"/>
      <c r="RSJ366" s="35"/>
      <c r="RSK366" s="35"/>
      <c r="RSL366" s="34"/>
      <c r="RSM366" s="34"/>
      <c r="RSN366" s="36"/>
      <c r="RSO366" s="36"/>
      <c r="RSP366" s="37"/>
      <c r="RSQ366" s="37"/>
      <c r="RSR366" s="38"/>
      <c r="RSS366" s="38"/>
      <c r="RST366" s="39"/>
      <c r="RSU366" s="34"/>
      <c r="RSV366" s="34"/>
      <c r="RSW366" s="34"/>
      <c r="RSX366" s="35"/>
      <c r="RSY366" s="35"/>
      <c r="RSZ366" s="35"/>
      <c r="RTA366" s="35"/>
      <c r="RTB366" s="35"/>
      <c r="RTC366" s="34"/>
      <c r="RTD366" s="34"/>
      <c r="RTE366" s="36"/>
      <c r="RTF366" s="36"/>
      <c r="RTG366" s="37"/>
      <c r="RTH366" s="37"/>
      <c r="RTI366" s="38"/>
      <c r="RTJ366" s="38"/>
      <c r="RTK366" s="39"/>
      <c r="RTL366" s="34"/>
      <c r="RTM366" s="34"/>
      <c r="RTN366" s="34"/>
      <c r="RTO366" s="35"/>
      <c r="RTP366" s="35"/>
      <c r="RTQ366" s="35"/>
      <c r="RTR366" s="35"/>
      <c r="RTS366" s="35"/>
      <c r="RTT366" s="34"/>
      <c r="RTU366" s="34"/>
      <c r="RTV366" s="36"/>
      <c r="RTW366" s="36"/>
      <c r="RTX366" s="37"/>
      <c r="RTY366" s="37"/>
      <c r="RTZ366" s="38"/>
      <c r="RUA366" s="38"/>
      <c r="RUB366" s="39"/>
      <c r="RUC366" s="34"/>
      <c r="RUD366" s="34"/>
      <c r="RUE366" s="34"/>
      <c r="RUF366" s="35"/>
      <c r="RUG366" s="35"/>
      <c r="RUH366" s="35"/>
      <c r="RUI366" s="35"/>
      <c r="RUJ366" s="35"/>
      <c r="RUK366" s="34"/>
      <c r="RUL366" s="34"/>
      <c r="RUM366" s="36"/>
      <c r="RUN366" s="36"/>
      <c r="RUO366" s="37"/>
      <c r="RUP366" s="37"/>
      <c r="RUQ366" s="38"/>
      <c r="RUR366" s="38"/>
      <c r="RUS366" s="39"/>
      <c r="RUT366" s="34"/>
      <c r="RUU366" s="34"/>
      <c r="RUV366" s="34"/>
      <c r="RUW366" s="35"/>
      <c r="RUX366" s="35"/>
      <c r="RUY366" s="35"/>
      <c r="RUZ366" s="35"/>
      <c r="RVA366" s="35"/>
      <c r="RVB366" s="34"/>
      <c r="RVC366" s="34"/>
      <c r="RVD366" s="36"/>
      <c r="RVE366" s="36"/>
      <c r="RVF366" s="37"/>
      <c r="RVG366" s="37"/>
      <c r="RVH366" s="38"/>
      <c r="RVI366" s="38"/>
      <c r="RVJ366" s="39"/>
      <c r="RVK366" s="34"/>
      <c r="RVL366" s="34"/>
      <c r="RVM366" s="34"/>
      <c r="RVN366" s="35"/>
      <c r="RVO366" s="35"/>
      <c r="RVP366" s="35"/>
      <c r="RVQ366" s="35"/>
      <c r="RVR366" s="35"/>
      <c r="RVS366" s="34"/>
      <c r="RVT366" s="34"/>
      <c r="RVU366" s="36"/>
      <c r="RVV366" s="36"/>
      <c r="RVW366" s="37"/>
      <c r="RVX366" s="37"/>
      <c r="RVY366" s="38"/>
      <c r="RVZ366" s="38"/>
      <c r="RWA366" s="39"/>
      <c r="RWB366" s="34"/>
      <c r="RWC366" s="34"/>
      <c r="RWD366" s="34"/>
      <c r="RWE366" s="35"/>
      <c r="RWF366" s="35"/>
      <c r="RWG366" s="35"/>
      <c r="RWH366" s="35"/>
      <c r="RWI366" s="35"/>
      <c r="RWJ366" s="34"/>
      <c r="RWK366" s="34"/>
      <c r="RWL366" s="36"/>
      <c r="RWM366" s="36"/>
      <c r="RWN366" s="37"/>
      <c r="RWO366" s="37"/>
      <c r="RWP366" s="38"/>
      <c r="RWQ366" s="38"/>
      <c r="RWR366" s="39"/>
      <c r="RWS366" s="34"/>
      <c r="RWT366" s="34"/>
      <c r="RWU366" s="34"/>
      <c r="RWV366" s="35"/>
      <c r="RWW366" s="35"/>
      <c r="RWX366" s="35"/>
      <c r="RWY366" s="35"/>
      <c r="RWZ366" s="35"/>
      <c r="RXA366" s="34"/>
      <c r="RXB366" s="34"/>
      <c r="RXC366" s="36"/>
      <c r="RXD366" s="36"/>
      <c r="RXE366" s="37"/>
      <c r="RXF366" s="37"/>
      <c r="RXG366" s="38"/>
      <c r="RXH366" s="38"/>
      <c r="RXI366" s="39"/>
      <c r="RXJ366" s="34"/>
      <c r="RXK366" s="34"/>
      <c r="RXL366" s="34"/>
      <c r="RXM366" s="35"/>
      <c r="RXN366" s="35"/>
      <c r="RXO366" s="35"/>
      <c r="RXP366" s="35"/>
      <c r="RXQ366" s="35"/>
      <c r="RXR366" s="34"/>
      <c r="RXS366" s="34"/>
      <c r="RXT366" s="36"/>
      <c r="RXU366" s="36"/>
      <c r="RXV366" s="37"/>
      <c r="RXW366" s="37"/>
      <c r="RXX366" s="38"/>
      <c r="RXY366" s="38"/>
      <c r="RXZ366" s="39"/>
      <c r="RYA366" s="34"/>
      <c r="RYB366" s="34"/>
      <c r="RYC366" s="34"/>
      <c r="RYD366" s="35"/>
      <c r="RYE366" s="35"/>
      <c r="RYF366" s="35"/>
      <c r="RYG366" s="35"/>
      <c r="RYH366" s="35"/>
      <c r="RYI366" s="34"/>
      <c r="RYJ366" s="34"/>
      <c r="RYK366" s="36"/>
      <c r="RYL366" s="36"/>
      <c r="RYM366" s="37"/>
      <c r="RYN366" s="37"/>
      <c r="RYO366" s="38"/>
      <c r="RYP366" s="38"/>
      <c r="RYQ366" s="39"/>
      <c r="RYR366" s="34"/>
      <c r="RYS366" s="34"/>
      <c r="RYT366" s="34"/>
      <c r="RYU366" s="35"/>
      <c r="RYV366" s="35"/>
      <c r="RYW366" s="35"/>
      <c r="RYX366" s="35"/>
      <c r="RYY366" s="35"/>
      <c r="RYZ366" s="34"/>
      <c r="RZA366" s="34"/>
      <c r="RZB366" s="36"/>
      <c r="RZC366" s="36"/>
      <c r="RZD366" s="37"/>
      <c r="RZE366" s="37"/>
      <c r="RZF366" s="38"/>
      <c r="RZG366" s="38"/>
      <c r="RZH366" s="39"/>
      <c r="RZI366" s="34"/>
      <c r="RZJ366" s="34"/>
      <c r="RZK366" s="34"/>
      <c r="RZL366" s="35"/>
      <c r="RZM366" s="35"/>
      <c r="RZN366" s="35"/>
      <c r="RZO366" s="35"/>
      <c r="RZP366" s="35"/>
      <c r="RZQ366" s="34"/>
      <c r="RZR366" s="34"/>
      <c r="RZS366" s="36"/>
      <c r="RZT366" s="36"/>
      <c r="RZU366" s="37"/>
      <c r="RZV366" s="37"/>
      <c r="RZW366" s="38"/>
      <c r="RZX366" s="38"/>
      <c r="RZY366" s="39"/>
      <c r="RZZ366" s="34"/>
      <c r="SAA366" s="34"/>
      <c r="SAB366" s="34"/>
      <c r="SAC366" s="35"/>
      <c r="SAD366" s="35"/>
      <c r="SAE366" s="35"/>
      <c r="SAF366" s="35"/>
      <c r="SAG366" s="35"/>
      <c r="SAH366" s="34"/>
      <c r="SAI366" s="34"/>
      <c r="SAJ366" s="36"/>
      <c r="SAK366" s="36"/>
      <c r="SAL366" s="37"/>
      <c r="SAM366" s="37"/>
      <c r="SAN366" s="38"/>
      <c r="SAO366" s="38"/>
      <c r="SAP366" s="39"/>
      <c r="SAQ366" s="34"/>
      <c r="SAR366" s="34"/>
      <c r="SAS366" s="34"/>
      <c r="SAT366" s="35"/>
      <c r="SAU366" s="35"/>
      <c r="SAV366" s="35"/>
      <c r="SAW366" s="35"/>
      <c r="SAX366" s="35"/>
      <c r="SAY366" s="34"/>
      <c r="SAZ366" s="34"/>
      <c r="SBA366" s="36"/>
      <c r="SBB366" s="36"/>
      <c r="SBC366" s="37"/>
      <c r="SBD366" s="37"/>
      <c r="SBE366" s="38"/>
      <c r="SBF366" s="38"/>
      <c r="SBG366" s="39"/>
      <c r="SBH366" s="34"/>
      <c r="SBI366" s="34"/>
      <c r="SBJ366" s="34"/>
      <c r="SBK366" s="35"/>
      <c r="SBL366" s="35"/>
      <c r="SBM366" s="35"/>
      <c r="SBN366" s="35"/>
      <c r="SBO366" s="35"/>
      <c r="SBP366" s="34"/>
      <c r="SBQ366" s="34"/>
      <c r="SBR366" s="36"/>
      <c r="SBS366" s="36"/>
      <c r="SBT366" s="37"/>
      <c r="SBU366" s="37"/>
      <c r="SBV366" s="38"/>
      <c r="SBW366" s="38"/>
      <c r="SBX366" s="39"/>
      <c r="SBY366" s="34"/>
      <c r="SBZ366" s="34"/>
      <c r="SCA366" s="34"/>
      <c r="SCB366" s="35"/>
      <c r="SCC366" s="35"/>
      <c r="SCD366" s="35"/>
      <c r="SCE366" s="35"/>
      <c r="SCF366" s="35"/>
      <c r="SCG366" s="34"/>
      <c r="SCH366" s="34"/>
      <c r="SCI366" s="36"/>
      <c r="SCJ366" s="36"/>
      <c r="SCK366" s="37"/>
      <c r="SCL366" s="37"/>
      <c r="SCM366" s="38"/>
      <c r="SCN366" s="38"/>
      <c r="SCO366" s="39"/>
      <c r="SCP366" s="34"/>
      <c r="SCQ366" s="34"/>
      <c r="SCR366" s="34"/>
      <c r="SCS366" s="35"/>
      <c r="SCT366" s="35"/>
      <c r="SCU366" s="35"/>
      <c r="SCV366" s="35"/>
      <c r="SCW366" s="35"/>
      <c r="SCX366" s="34"/>
      <c r="SCY366" s="34"/>
      <c r="SCZ366" s="36"/>
      <c r="SDA366" s="36"/>
      <c r="SDB366" s="37"/>
      <c r="SDC366" s="37"/>
      <c r="SDD366" s="38"/>
      <c r="SDE366" s="38"/>
      <c r="SDF366" s="39"/>
      <c r="SDG366" s="34"/>
      <c r="SDH366" s="34"/>
      <c r="SDI366" s="34"/>
      <c r="SDJ366" s="35"/>
      <c r="SDK366" s="35"/>
      <c r="SDL366" s="35"/>
      <c r="SDM366" s="35"/>
      <c r="SDN366" s="35"/>
      <c r="SDO366" s="34"/>
      <c r="SDP366" s="34"/>
      <c r="SDQ366" s="36"/>
      <c r="SDR366" s="36"/>
      <c r="SDS366" s="37"/>
      <c r="SDT366" s="37"/>
      <c r="SDU366" s="38"/>
      <c r="SDV366" s="38"/>
      <c r="SDW366" s="39"/>
      <c r="SDX366" s="34"/>
      <c r="SDY366" s="34"/>
      <c r="SDZ366" s="34"/>
      <c r="SEA366" s="35"/>
      <c r="SEB366" s="35"/>
      <c r="SEC366" s="35"/>
      <c r="SED366" s="35"/>
      <c r="SEE366" s="35"/>
      <c r="SEF366" s="34"/>
      <c r="SEG366" s="34"/>
      <c r="SEH366" s="36"/>
      <c r="SEI366" s="36"/>
      <c r="SEJ366" s="37"/>
      <c r="SEK366" s="37"/>
      <c r="SEL366" s="38"/>
      <c r="SEM366" s="38"/>
      <c r="SEN366" s="39"/>
      <c r="SEO366" s="34"/>
      <c r="SEP366" s="34"/>
      <c r="SEQ366" s="34"/>
      <c r="SER366" s="35"/>
      <c r="SES366" s="35"/>
      <c r="SET366" s="35"/>
      <c r="SEU366" s="35"/>
      <c r="SEV366" s="35"/>
      <c r="SEW366" s="34"/>
      <c r="SEX366" s="34"/>
      <c r="SEY366" s="36"/>
      <c r="SEZ366" s="36"/>
      <c r="SFA366" s="37"/>
      <c r="SFB366" s="37"/>
      <c r="SFC366" s="38"/>
      <c r="SFD366" s="38"/>
      <c r="SFE366" s="39"/>
      <c r="SFF366" s="34"/>
      <c r="SFG366" s="34"/>
      <c r="SFH366" s="34"/>
      <c r="SFI366" s="35"/>
      <c r="SFJ366" s="35"/>
      <c r="SFK366" s="35"/>
      <c r="SFL366" s="35"/>
      <c r="SFM366" s="35"/>
      <c r="SFN366" s="34"/>
      <c r="SFO366" s="34"/>
      <c r="SFP366" s="36"/>
      <c r="SFQ366" s="36"/>
      <c r="SFR366" s="37"/>
      <c r="SFS366" s="37"/>
      <c r="SFT366" s="38"/>
      <c r="SFU366" s="38"/>
      <c r="SFV366" s="39"/>
      <c r="SFW366" s="34"/>
      <c r="SFX366" s="34"/>
      <c r="SFY366" s="34"/>
      <c r="SFZ366" s="35"/>
      <c r="SGA366" s="35"/>
      <c r="SGB366" s="35"/>
      <c r="SGC366" s="35"/>
      <c r="SGD366" s="35"/>
      <c r="SGE366" s="34"/>
      <c r="SGF366" s="34"/>
      <c r="SGG366" s="36"/>
      <c r="SGH366" s="36"/>
      <c r="SGI366" s="37"/>
      <c r="SGJ366" s="37"/>
      <c r="SGK366" s="38"/>
      <c r="SGL366" s="38"/>
      <c r="SGM366" s="39"/>
      <c r="SGN366" s="34"/>
      <c r="SGO366" s="34"/>
      <c r="SGP366" s="34"/>
      <c r="SGQ366" s="35"/>
      <c r="SGR366" s="35"/>
      <c r="SGS366" s="35"/>
      <c r="SGT366" s="35"/>
      <c r="SGU366" s="35"/>
      <c r="SGV366" s="34"/>
      <c r="SGW366" s="34"/>
      <c r="SGX366" s="36"/>
      <c r="SGY366" s="36"/>
      <c r="SGZ366" s="37"/>
      <c r="SHA366" s="37"/>
      <c r="SHB366" s="38"/>
      <c r="SHC366" s="38"/>
      <c r="SHD366" s="39"/>
      <c r="SHE366" s="34"/>
      <c r="SHF366" s="34"/>
      <c r="SHG366" s="34"/>
      <c r="SHH366" s="35"/>
      <c r="SHI366" s="35"/>
      <c r="SHJ366" s="35"/>
      <c r="SHK366" s="35"/>
      <c r="SHL366" s="35"/>
      <c r="SHM366" s="34"/>
      <c r="SHN366" s="34"/>
      <c r="SHO366" s="36"/>
      <c r="SHP366" s="36"/>
      <c r="SHQ366" s="37"/>
      <c r="SHR366" s="37"/>
      <c r="SHS366" s="38"/>
      <c r="SHT366" s="38"/>
      <c r="SHU366" s="39"/>
      <c r="SHV366" s="34"/>
      <c r="SHW366" s="34"/>
      <c r="SHX366" s="34"/>
      <c r="SHY366" s="35"/>
      <c r="SHZ366" s="35"/>
      <c r="SIA366" s="35"/>
      <c r="SIB366" s="35"/>
      <c r="SIC366" s="35"/>
      <c r="SID366" s="34"/>
      <c r="SIE366" s="34"/>
      <c r="SIF366" s="36"/>
      <c r="SIG366" s="36"/>
      <c r="SIH366" s="37"/>
      <c r="SII366" s="37"/>
      <c r="SIJ366" s="38"/>
      <c r="SIK366" s="38"/>
      <c r="SIL366" s="39"/>
      <c r="SIM366" s="34"/>
      <c r="SIN366" s="34"/>
      <c r="SIO366" s="34"/>
      <c r="SIP366" s="35"/>
      <c r="SIQ366" s="35"/>
      <c r="SIR366" s="35"/>
      <c r="SIS366" s="35"/>
      <c r="SIT366" s="35"/>
      <c r="SIU366" s="34"/>
      <c r="SIV366" s="34"/>
      <c r="SIW366" s="36"/>
      <c r="SIX366" s="36"/>
      <c r="SIY366" s="37"/>
      <c r="SIZ366" s="37"/>
      <c r="SJA366" s="38"/>
      <c r="SJB366" s="38"/>
      <c r="SJC366" s="39"/>
      <c r="SJD366" s="34"/>
      <c r="SJE366" s="34"/>
      <c r="SJF366" s="34"/>
      <c r="SJG366" s="35"/>
      <c r="SJH366" s="35"/>
      <c r="SJI366" s="35"/>
      <c r="SJJ366" s="35"/>
      <c r="SJK366" s="35"/>
      <c r="SJL366" s="34"/>
      <c r="SJM366" s="34"/>
      <c r="SJN366" s="36"/>
      <c r="SJO366" s="36"/>
      <c r="SJP366" s="37"/>
      <c r="SJQ366" s="37"/>
      <c r="SJR366" s="38"/>
      <c r="SJS366" s="38"/>
      <c r="SJT366" s="39"/>
      <c r="SJU366" s="34"/>
      <c r="SJV366" s="34"/>
      <c r="SJW366" s="34"/>
      <c r="SJX366" s="35"/>
      <c r="SJY366" s="35"/>
      <c r="SJZ366" s="35"/>
      <c r="SKA366" s="35"/>
      <c r="SKB366" s="35"/>
      <c r="SKC366" s="34"/>
      <c r="SKD366" s="34"/>
      <c r="SKE366" s="36"/>
      <c r="SKF366" s="36"/>
      <c r="SKG366" s="37"/>
      <c r="SKH366" s="37"/>
      <c r="SKI366" s="38"/>
      <c r="SKJ366" s="38"/>
      <c r="SKK366" s="39"/>
      <c r="SKL366" s="34"/>
      <c r="SKM366" s="34"/>
      <c r="SKN366" s="34"/>
      <c r="SKO366" s="35"/>
      <c r="SKP366" s="35"/>
      <c r="SKQ366" s="35"/>
      <c r="SKR366" s="35"/>
      <c r="SKS366" s="35"/>
      <c r="SKT366" s="34"/>
      <c r="SKU366" s="34"/>
      <c r="SKV366" s="36"/>
      <c r="SKW366" s="36"/>
      <c r="SKX366" s="37"/>
      <c r="SKY366" s="37"/>
      <c r="SKZ366" s="38"/>
      <c r="SLA366" s="38"/>
      <c r="SLB366" s="39"/>
      <c r="SLC366" s="34"/>
      <c r="SLD366" s="34"/>
      <c r="SLE366" s="34"/>
      <c r="SLF366" s="35"/>
      <c r="SLG366" s="35"/>
      <c r="SLH366" s="35"/>
      <c r="SLI366" s="35"/>
      <c r="SLJ366" s="35"/>
      <c r="SLK366" s="34"/>
      <c r="SLL366" s="34"/>
      <c r="SLM366" s="36"/>
      <c r="SLN366" s="36"/>
      <c r="SLO366" s="37"/>
      <c r="SLP366" s="37"/>
      <c r="SLQ366" s="38"/>
      <c r="SLR366" s="38"/>
      <c r="SLS366" s="39"/>
      <c r="SLT366" s="34"/>
      <c r="SLU366" s="34"/>
      <c r="SLV366" s="34"/>
      <c r="SLW366" s="35"/>
      <c r="SLX366" s="35"/>
      <c r="SLY366" s="35"/>
      <c r="SLZ366" s="35"/>
      <c r="SMA366" s="35"/>
      <c r="SMB366" s="34"/>
      <c r="SMC366" s="34"/>
      <c r="SMD366" s="36"/>
      <c r="SME366" s="36"/>
      <c r="SMF366" s="37"/>
      <c r="SMG366" s="37"/>
      <c r="SMH366" s="38"/>
      <c r="SMI366" s="38"/>
      <c r="SMJ366" s="39"/>
      <c r="SMK366" s="34"/>
      <c r="SML366" s="34"/>
      <c r="SMM366" s="34"/>
      <c r="SMN366" s="35"/>
      <c r="SMO366" s="35"/>
      <c r="SMP366" s="35"/>
      <c r="SMQ366" s="35"/>
      <c r="SMR366" s="35"/>
      <c r="SMS366" s="34"/>
      <c r="SMT366" s="34"/>
      <c r="SMU366" s="36"/>
      <c r="SMV366" s="36"/>
      <c r="SMW366" s="37"/>
      <c r="SMX366" s="37"/>
      <c r="SMY366" s="38"/>
      <c r="SMZ366" s="38"/>
      <c r="SNA366" s="39"/>
      <c r="SNB366" s="34"/>
      <c r="SNC366" s="34"/>
      <c r="SND366" s="34"/>
      <c r="SNE366" s="35"/>
      <c r="SNF366" s="35"/>
      <c r="SNG366" s="35"/>
      <c r="SNH366" s="35"/>
      <c r="SNI366" s="35"/>
      <c r="SNJ366" s="34"/>
      <c r="SNK366" s="34"/>
      <c r="SNL366" s="36"/>
      <c r="SNM366" s="36"/>
      <c r="SNN366" s="37"/>
      <c r="SNO366" s="37"/>
      <c r="SNP366" s="38"/>
      <c r="SNQ366" s="38"/>
      <c r="SNR366" s="39"/>
      <c r="SNS366" s="34"/>
      <c r="SNT366" s="34"/>
      <c r="SNU366" s="34"/>
      <c r="SNV366" s="35"/>
      <c r="SNW366" s="35"/>
      <c r="SNX366" s="35"/>
      <c r="SNY366" s="35"/>
      <c r="SNZ366" s="35"/>
      <c r="SOA366" s="34"/>
      <c r="SOB366" s="34"/>
      <c r="SOC366" s="36"/>
      <c r="SOD366" s="36"/>
      <c r="SOE366" s="37"/>
      <c r="SOF366" s="37"/>
      <c r="SOG366" s="38"/>
      <c r="SOH366" s="38"/>
      <c r="SOI366" s="39"/>
      <c r="SOJ366" s="34"/>
      <c r="SOK366" s="34"/>
      <c r="SOL366" s="34"/>
      <c r="SOM366" s="35"/>
      <c r="SON366" s="35"/>
      <c r="SOO366" s="35"/>
      <c r="SOP366" s="35"/>
      <c r="SOQ366" s="35"/>
      <c r="SOR366" s="34"/>
      <c r="SOS366" s="34"/>
      <c r="SOT366" s="36"/>
      <c r="SOU366" s="36"/>
      <c r="SOV366" s="37"/>
      <c r="SOW366" s="37"/>
      <c r="SOX366" s="38"/>
      <c r="SOY366" s="38"/>
      <c r="SOZ366" s="39"/>
      <c r="SPA366" s="34"/>
      <c r="SPB366" s="34"/>
      <c r="SPC366" s="34"/>
      <c r="SPD366" s="35"/>
      <c r="SPE366" s="35"/>
      <c r="SPF366" s="35"/>
      <c r="SPG366" s="35"/>
      <c r="SPH366" s="35"/>
      <c r="SPI366" s="34"/>
      <c r="SPJ366" s="34"/>
      <c r="SPK366" s="36"/>
      <c r="SPL366" s="36"/>
      <c r="SPM366" s="37"/>
      <c r="SPN366" s="37"/>
      <c r="SPO366" s="38"/>
      <c r="SPP366" s="38"/>
      <c r="SPQ366" s="39"/>
      <c r="SPR366" s="34"/>
      <c r="SPS366" s="34"/>
      <c r="SPT366" s="34"/>
      <c r="SPU366" s="35"/>
      <c r="SPV366" s="35"/>
      <c r="SPW366" s="35"/>
      <c r="SPX366" s="35"/>
      <c r="SPY366" s="35"/>
      <c r="SPZ366" s="34"/>
      <c r="SQA366" s="34"/>
      <c r="SQB366" s="36"/>
      <c r="SQC366" s="36"/>
      <c r="SQD366" s="37"/>
      <c r="SQE366" s="37"/>
      <c r="SQF366" s="38"/>
      <c r="SQG366" s="38"/>
      <c r="SQH366" s="39"/>
      <c r="SQI366" s="34"/>
      <c r="SQJ366" s="34"/>
      <c r="SQK366" s="34"/>
      <c r="SQL366" s="35"/>
      <c r="SQM366" s="35"/>
      <c r="SQN366" s="35"/>
      <c r="SQO366" s="35"/>
      <c r="SQP366" s="35"/>
      <c r="SQQ366" s="34"/>
      <c r="SQR366" s="34"/>
      <c r="SQS366" s="36"/>
      <c r="SQT366" s="36"/>
      <c r="SQU366" s="37"/>
      <c r="SQV366" s="37"/>
      <c r="SQW366" s="38"/>
      <c r="SQX366" s="38"/>
      <c r="SQY366" s="39"/>
      <c r="SQZ366" s="34"/>
      <c r="SRA366" s="34"/>
      <c r="SRB366" s="34"/>
      <c r="SRC366" s="35"/>
      <c r="SRD366" s="35"/>
      <c r="SRE366" s="35"/>
      <c r="SRF366" s="35"/>
      <c r="SRG366" s="35"/>
      <c r="SRH366" s="34"/>
      <c r="SRI366" s="34"/>
      <c r="SRJ366" s="36"/>
      <c r="SRK366" s="36"/>
      <c r="SRL366" s="37"/>
      <c r="SRM366" s="37"/>
      <c r="SRN366" s="38"/>
      <c r="SRO366" s="38"/>
      <c r="SRP366" s="39"/>
      <c r="SRQ366" s="34"/>
      <c r="SRR366" s="34"/>
      <c r="SRS366" s="34"/>
      <c r="SRT366" s="35"/>
      <c r="SRU366" s="35"/>
      <c r="SRV366" s="35"/>
      <c r="SRW366" s="35"/>
      <c r="SRX366" s="35"/>
      <c r="SRY366" s="34"/>
      <c r="SRZ366" s="34"/>
      <c r="SSA366" s="36"/>
      <c r="SSB366" s="36"/>
      <c r="SSC366" s="37"/>
      <c r="SSD366" s="37"/>
      <c r="SSE366" s="38"/>
      <c r="SSF366" s="38"/>
      <c r="SSG366" s="39"/>
      <c r="SSH366" s="34"/>
      <c r="SSI366" s="34"/>
      <c r="SSJ366" s="34"/>
      <c r="SSK366" s="35"/>
      <c r="SSL366" s="35"/>
      <c r="SSM366" s="35"/>
      <c r="SSN366" s="35"/>
      <c r="SSO366" s="35"/>
      <c r="SSP366" s="34"/>
      <c r="SSQ366" s="34"/>
      <c r="SSR366" s="36"/>
      <c r="SSS366" s="36"/>
      <c r="SST366" s="37"/>
      <c r="SSU366" s="37"/>
      <c r="SSV366" s="38"/>
      <c r="SSW366" s="38"/>
      <c r="SSX366" s="39"/>
      <c r="SSY366" s="34"/>
      <c r="SSZ366" s="34"/>
      <c r="STA366" s="34"/>
      <c r="STB366" s="35"/>
      <c r="STC366" s="35"/>
      <c r="STD366" s="35"/>
      <c r="STE366" s="35"/>
      <c r="STF366" s="35"/>
      <c r="STG366" s="34"/>
      <c r="STH366" s="34"/>
      <c r="STI366" s="36"/>
      <c r="STJ366" s="36"/>
      <c r="STK366" s="37"/>
      <c r="STL366" s="37"/>
      <c r="STM366" s="38"/>
      <c r="STN366" s="38"/>
      <c r="STO366" s="39"/>
      <c r="STP366" s="34"/>
      <c r="STQ366" s="34"/>
      <c r="STR366" s="34"/>
      <c r="STS366" s="35"/>
      <c r="STT366" s="35"/>
      <c r="STU366" s="35"/>
      <c r="STV366" s="35"/>
      <c r="STW366" s="35"/>
      <c r="STX366" s="34"/>
      <c r="STY366" s="34"/>
      <c r="STZ366" s="36"/>
      <c r="SUA366" s="36"/>
      <c r="SUB366" s="37"/>
      <c r="SUC366" s="37"/>
      <c r="SUD366" s="38"/>
      <c r="SUE366" s="38"/>
      <c r="SUF366" s="39"/>
      <c r="SUG366" s="34"/>
      <c r="SUH366" s="34"/>
      <c r="SUI366" s="34"/>
      <c r="SUJ366" s="35"/>
      <c r="SUK366" s="35"/>
      <c r="SUL366" s="35"/>
      <c r="SUM366" s="35"/>
      <c r="SUN366" s="35"/>
      <c r="SUO366" s="34"/>
      <c r="SUP366" s="34"/>
      <c r="SUQ366" s="36"/>
      <c r="SUR366" s="36"/>
      <c r="SUS366" s="37"/>
      <c r="SUT366" s="37"/>
      <c r="SUU366" s="38"/>
      <c r="SUV366" s="38"/>
      <c r="SUW366" s="39"/>
      <c r="SUX366" s="34"/>
      <c r="SUY366" s="34"/>
      <c r="SUZ366" s="34"/>
      <c r="SVA366" s="35"/>
      <c r="SVB366" s="35"/>
      <c r="SVC366" s="35"/>
      <c r="SVD366" s="35"/>
      <c r="SVE366" s="35"/>
      <c r="SVF366" s="34"/>
      <c r="SVG366" s="34"/>
      <c r="SVH366" s="36"/>
      <c r="SVI366" s="36"/>
      <c r="SVJ366" s="37"/>
      <c r="SVK366" s="37"/>
      <c r="SVL366" s="38"/>
      <c r="SVM366" s="38"/>
      <c r="SVN366" s="39"/>
      <c r="SVO366" s="34"/>
      <c r="SVP366" s="34"/>
      <c r="SVQ366" s="34"/>
      <c r="SVR366" s="35"/>
      <c r="SVS366" s="35"/>
      <c r="SVT366" s="35"/>
      <c r="SVU366" s="35"/>
      <c r="SVV366" s="35"/>
      <c r="SVW366" s="34"/>
      <c r="SVX366" s="34"/>
      <c r="SVY366" s="36"/>
      <c r="SVZ366" s="36"/>
      <c r="SWA366" s="37"/>
      <c r="SWB366" s="37"/>
      <c r="SWC366" s="38"/>
      <c r="SWD366" s="38"/>
      <c r="SWE366" s="39"/>
      <c r="SWF366" s="34"/>
      <c r="SWG366" s="34"/>
      <c r="SWH366" s="34"/>
      <c r="SWI366" s="35"/>
      <c r="SWJ366" s="35"/>
      <c r="SWK366" s="35"/>
      <c r="SWL366" s="35"/>
      <c r="SWM366" s="35"/>
      <c r="SWN366" s="34"/>
      <c r="SWO366" s="34"/>
      <c r="SWP366" s="36"/>
      <c r="SWQ366" s="36"/>
      <c r="SWR366" s="37"/>
      <c r="SWS366" s="37"/>
      <c r="SWT366" s="38"/>
      <c r="SWU366" s="38"/>
      <c r="SWV366" s="39"/>
      <c r="SWW366" s="34"/>
      <c r="SWX366" s="34"/>
      <c r="SWY366" s="34"/>
      <c r="SWZ366" s="35"/>
      <c r="SXA366" s="35"/>
      <c r="SXB366" s="35"/>
      <c r="SXC366" s="35"/>
      <c r="SXD366" s="35"/>
      <c r="SXE366" s="34"/>
      <c r="SXF366" s="34"/>
      <c r="SXG366" s="36"/>
      <c r="SXH366" s="36"/>
      <c r="SXI366" s="37"/>
      <c r="SXJ366" s="37"/>
      <c r="SXK366" s="38"/>
      <c r="SXL366" s="38"/>
      <c r="SXM366" s="39"/>
      <c r="SXN366" s="34"/>
      <c r="SXO366" s="34"/>
      <c r="SXP366" s="34"/>
      <c r="SXQ366" s="35"/>
      <c r="SXR366" s="35"/>
      <c r="SXS366" s="35"/>
      <c r="SXT366" s="35"/>
      <c r="SXU366" s="35"/>
      <c r="SXV366" s="34"/>
      <c r="SXW366" s="34"/>
      <c r="SXX366" s="36"/>
      <c r="SXY366" s="36"/>
      <c r="SXZ366" s="37"/>
      <c r="SYA366" s="37"/>
      <c r="SYB366" s="38"/>
      <c r="SYC366" s="38"/>
      <c r="SYD366" s="39"/>
      <c r="SYE366" s="34"/>
      <c r="SYF366" s="34"/>
      <c r="SYG366" s="34"/>
      <c r="SYH366" s="35"/>
      <c r="SYI366" s="35"/>
      <c r="SYJ366" s="35"/>
      <c r="SYK366" s="35"/>
      <c r="SYL366" s="35"/>
      <c r="SYM366" s="34"/>
      <c r="SYN366" s="34"/>
      <c r="SYO366" s="36"/>
      <c r="SYP366" s="36"/>
      <c r="SYQ366" s="37"/>
      <c r="SYR366" s="37"/>
      <c r="SYS366" s="38"/>
      <c r="SYT366" s="38"/>
      <c r="SYU366" s="39"/>
      <c r="SYV366" s="34"/>
      <c r="SYW366" s="34"/>
      <c r="SYX366" s="34"/>
      <c r="SYY366" s="35"/>
      <c r="SYZ366" s="35"/>
      <c r="SZA366" s="35"/>
      <c r="SZB366" s="35"/>
      <c r="SZC366" s="35"/>
      <c r="SZD366" s="34"/>
      <c r="SZE366" s="34"/>
      <c r="SZF366" s="36"/>
      <c r="SZG366" s="36"/>
      <c r="SZH366" s="37"/>
      <c r="SZI366" s="37"/>
      <c r="SZJ366" s="38"/>
      <c r="SZK366" s="38"/>
      <c r="SZL366" s="39"/>
      <c r="SZM366" s="34"/>
      <c r="SZN366" s="34"/>
      <c r="SZO366" s="34"/>
      <c r="SZP366" s="35"/>
      <c r="SZQ366" s="35"/>
      <c r="SZR366" s="35"/>
      <c r="SZS366" s="35"/>
      <c r="SZT366" s="35"/>
      <c r="SZU366" s="34"/>
      <c r="SZV366" s="34"/>
      <c r="SZW366" s="36"/>
      <c r="SZX366" s="36"/>
      <c r="SZY366" s="37"/>
      <c r="SZZ366" s="37"/>
      <c r="TAA366" s="38"/>
      <c r="TAB366" s="38"/>
      <c r="TAC366" s="39"/>
      <c r="TAD366" s="34"/>
      <c r="TAE366" s="34"/>
      <c r="TAF366" s="34"/>
      <c r="TAG366" s="35"/>
      <c r="TAH366" s="35"/>
      <c r="TAI366" s="35"/>
      <c r="TAJ366" s="35"/>
      <c r="TAK366" s="35"/>
      <c r="TAL366" s="34"/>
      <c r="TAM366" s="34"/>
      <c r="TAN366" s="36"/>
      <c r="TAO366" s="36"/>
      <c r="TAP366" s="37"/>
      <c r="TAQ366" s="37"/>
      <c r="TAR366" s="38"/>
      <c r="TAS366" s="38"/>
      <c r="TAT366" s="39"/>
      <c r="TAU366" s="34"/>
      <c r="TAV366" s="34"/>
      <c r="TAW366" s="34"/>
      <c r="TAX366" s="35"/>
      <c r="TAY366" s="35"/>
      <c r="TAZ366" s="35"/>
      <c r="TBA366" s="35"/>
      <c r="TBB366" s="35"/>
      <c r="TBC366" s="34"/>
      <c r="TBD366" s="34"/>
      <c r="TBE366" s="36"/>
      <c r="TBF366" s="36"/>
      <c r="TBG366" s="37"/>
      <c r="TBH366" s="37"/>
      <c r="TBI366" s="38"/>
      <c r="TBJ366" s="38"/>
      <c r="TBK366" s="39"/>
      <c r="TBL366" s="34"/>
      <c r="TBM366" s="34"/>
      <c r="TBN366" s="34"/>
      <c r="TBO366" s="35"/>
      <c r="TBP366" s="35"/>
      <c r="TBQ366" s="35"/>
      <c r="TBR366" s="35"/>
      <c r="TBS366" s="35"/>
      <c r="TBT366" s="34"/>
      <c r="TBU366" s="34"/>
      <c r="TBV366" s="36"/>
      <c r="TBW366" s="36"/>
      <c r="TBX366" s="37"/>
      <c r="TBY366" s="37"/>
      <c r="TBZ366" s="38"/>
      <c r="TCA366" s="38"/>
      <c r="TCB366" s="39"/>
      <c r="TCC366" s="34"/>
      <c r="TCD366" s="34"/>
      <c r="TCE366" s="34"/>
      <c r="TCF366" s="35"/>
      <c r="TCG366" s="35"/>
      <c r="TCH366" s="35"/>
      <c r="TCI366" s="35"/>
      <c r="TCJ366" s="35"/>
      <c r="TCK366" s="34"/>
      <c r="TCL366" s="34"/>
      <c r="TCM366" s="36"/>
      <c r="TCN366" s="36"/>
      <c r="TCO366" s="37"/>
      <c r="TCP366" s="37"/>
      <c r="TCQ366" s="38"/>
      <c r="TCR366" s="38"/>
      <c r="TCS366" s="39"/>
      <c r="TCT366" s="34"/>
      <c r="TCU366" s="34"/>
      <c r="TCV366" s="34"/>
      <c r="TCW366" s="35"/>
      <c r="TCX366" s="35"/>
      <c r="TCY366" s="35"/>
      <c r="TCZ366" s="35"/>
      <c r="TDA366" s="35"/>
      <c r="TDB366" s="34"/>
      <c r="TDC366" s="34"/>
      <c r="TDD366" s="36"/>
      <c r="TDE366" s="36"/>
      <c r="TDF366" s="37"/>
      <c r="TDG366" s="37"/>
      <c r="TDH366" s="38"/>
      <c r="TDI366" s="38"/>
      <c r="TDJ366" s="39"/>
      <c r="TDK366" s="34"/>
      <c r="TDL366" s="34"/>
      <c r="TDM366" s="34"/>
      <c r="TDN366" s="35"/>
      <c r="TDO366" s="35"/>
      <c r="TDP366" s="35"/>
      <c r="TDQ366" s="35"/>
      <c r="TDR366" s="35"/>
      <c r="TDS366" s="34"/>
      <c r="TDT366" s="34"/>
      <c r="TDU366" s="36"/>
      <c r="TDV366" s="36"/>
      <c r="TDW366" s="37"/>
      <c r="TDX366" s="37"/>
      <c r="TDY366" s="38"/>
      <c r="TDZ366" s="38"/>
      <c r="TEA366" s="39"/>
      <c r="TEB366" s="34"/>
      <c r="TEC366" s="34"/>
      <c r="TED366" s="34"/>
      <c r="TEE366" s="35"/>
      <c r="TEF366" s="35"/>
      <c r="TEG366" s="35"/>
      <c r="TEH366" s="35"/>
      <c r="TEI366" s="35"/>
      <c r="TEJ366" s="34"/>
      <c r="TEK366" s="34"/>
      <c r="TEL366" s="36"/>
      <c r="TEM366" s="36"/>
      <c r="TEN366" s="37"/>
      <c r="TEO366" s="37"/>
      <c r="TEP366" s="38"/>
      <c r="TEQ366" s="38"/>
      <c r="TER366" s="39"/>
      <c r="TES366" s="34"/>
      <c r="TET366" s="34"/>
      <c r="TEU366" s="34"/>
      <c r="TEV366" s="35"/>
      <c r="TEW366" s="35"/>
      <c r="TEX366" s="35"/>
      <c r="TEY366" s="35"/>
      <c r="TEZ366" s="35"/>
      <c r="TFA366" s="34"/>
      <c r="TFB366" s="34"/>
      <c r="TFC366" s="36"/>
      <c r="TFD366" s="36"/>
      <c r="TFE366" s="37"/>
      <c r="TFF366" s="37"/>
      <c r="TFG366" s="38"/>
      <c r="TFH366" s="38"/>
      <c r="TFI366" s="39"/>
      <c r="TFJ366" s="34"/>
      <c r="TFK366" s="34"/>
      <c r="TFL366" s="34"/>
      <c r="TFM366" s="35"/>
      <c r="TFN366" s="35"/>
      <c r="TFO366" s="35"/>
      <c r="TFP366" s="35"/>
      <c r="TFQ366" s="35"/>
      <c r="TFR366" s="34"/>
      <c r="TFS366" s="34"/>
      <c r="TFT366" s="36"/>
      <c r="TFU366" s="36"/>
      <c r="TFV366" s="37"/>
      <c r="TFW366" s="37"/>
      <c r="TFX366" s="38"/>
      <c r="TFY366" s="38"/>
      <c r="TFZ366" s="39"/>
      <c r="TGA366" s="34"/>
      <c r="TGB366" s="34"/>
      <c r="TGC366" s="34"/>
      <c r="TGD366" s="35"/>
      <c r="TGE366" s="35"/>
      <c r="TGF366" s="35"/>
      <c r="TGG366" s="35"/>
      <c r="TGH366" s="35"/>
      <c r="TGI366" s="34"/>
      <c r="TGJ366" s="34"/>
      <c r="TGK366" s="36"/>
      <c r="TGL366" s="36"/>
      <c r="TGM366" s="37"/>
      <c r="TGN366" s="37"/>
      <c r="TGO366" s="38"/>
      <c r="TGP366" s="38"/>
      <c r="TGQ366" s="39"/>
      <c r="TGR366" s="34"/>
      <c r="TGS366" s="34"/>
      <c r="TGT366" s="34"/>
      <c r="TGU366" s="35"/>
      <c r="TGV366" s="35"/>
      <c r="TGW366" s="35"/>
      <c r="TGX366" s="35"/>
      <c r="TGY366" s="35"/>
      <c r="TGZ366" s="34"/>
      <c r="THA366" s="34"/>
      <c r="THB366" s="36"/>
      <c r="THC366" s="36"/>
      <c r="THD366" s="37"/>
      <c r="THE366" s="37"/>
      <c r="THF366" s="38"/>
      <c r="THG366" s="38"/>
      <c r="THH366" s="39"/>
      <c r="THI366" s="34"/>
      <c r="THJ366" s="34"/>
      <c r="THK366" s="34"/>
      <c r="THL366" s="35"/>
      <c r="THM366" s="35"/>
      <c r="THN366" s="35"/>
      <c r="THO366" s="35"/>
      <c r="THP366" s="35"/>
      <c r="THQ366" s="34"/>
      <c r="THR366" s="34"/>
      <c r="THS366" s="36"/>
      <c r="THT366" s="36"/>
      <c r="THU366" s="37"/>
      <c r="THV366" s="37"/>
      <c r="THW366" s="38"/>
      <c r="THX366" s="38"/>
      <c r="THY366" s="39"/>
      <c r="THZ366" s="34"/>
      <c r="TIA366" s="34"/>
      <c r="TIB366" s="34"/>
      <c r="TIC366" s="35"/>
      <c r="TID366" s="35"/>
      <c r="TIE366" s="35"/>
      <c r="TIF366" s="35"/>
      <c r="TIG366" s="35"/>
      <c r="TIH366" s="34"/>
      <c r="TII366" s="34"/>
      <c r="TIJ366" s="36"/>
      <c r="TIK366" s="36"/>
      <c r="TIL366" s="37"/>
      <c r="TIM366" s="37"/>
      <c r="TIN366" s="38"/>
      <c r="TIO366" s="38"/>
      <c r="TIP366" s="39"/>
      <c r="TIQ366" s="34"/>
      <c r="TIR366" s="34"/>
      <c r="TIS366" s="34"/>
      <c r="TIT366" s="35"/>
      <c r="TIU366" s="35"/>
      <c r="TIV366" s="35"/>
      <c r="TIW366" s="35"/>
      <c r="TIX366" s="35"/>
      <c r="TIY366" s="34"/>
      <c r="TIZ366" s="34"/>
      <c r="TJA366" s="36"/>
      <c r="TJB366" s="36"/>
      <c r="TJC366" s="37"/>
      <c r="TJD366" s="37"/>
      <c r="TJE366" s="38"/>
      <c r="TJF366" s="38"/>
      <c r="TJG366" s="39"/>
      <c r="TJH366" s="34"/>
      <c r="TJI366" s="34"/>
      <c r="TJJ366" s="34"/>
      <c r="TJK366" s="35"/>
      <c r="TJL366" s="35"/>
      <c r="TJM366" s="35"/>
      <c r="TJN366" s="35"/>
      <c r="TJO366" s="35"/>
      <c r="TJP366" s="34"/>
      <c r="TJQ366" s="34"/>
      <c r="TJR366" s="36"/>
      <c r="TJS366" s="36"/>
      <c r="TJT366" s="37"/>
      <c r="TJU366" s="37"/>
      <c r="TJV366" s="38"/>
      <c r="TJW366" s="38"/>
      <c r="TJX366" s="39"/>
      <c r="TJY366" s="34"/>
      <c r="TJZ366" s="34"/>
      <c r="TKA366" s="34"/>
      <c r="TKB366" s="35"/>
      <c r="TKC366" s="35"/>
      <c r="TKD366" s="35"/>
      <c r="TKE366" s="35"/>
      <c r="TKF366" s="35"/>
      <c r="TKG366" s="34"/>
      <c r="TKH366" s="34"/>
      <c r="TKI366" s="36"/>
      <c r="TKJ366" s="36"/>
      <c r="TKK366" s="37"/>
      <c r="TKL366" s="37"/>
      <c r="TKM366" s="38"/>
      <c r="TKN366" s="38"/>
      <c r="TKO366" s="39"/>
      <c r="TKP366" s="34"/>
      <c r="TKQ366" s="34"/>
      <c r="TKR366" s="34"/>
      <c r="TKS366" s="35"/>
      <c r="TKT366" s="35"/>
      <c r="TKU366" s="35"/>
      <c r="TKV366" s="35"/>
      <c r="TKW366" s="35"/>
      <c r="TKX366" s="34"/>
      <c r="TKY366" s="34"/>
      <c r="TKZ366" s="36"/>
      <c r="TLA366" s="36"/>
      <c r="TLB366" s="37"/>
      <c r="TLC366" s="37"/>
      <c r="TLD366" s="38"/>
      <c r="TLE366" s="38"/>
      <c r="TLF366" s="39"/>
      <c r="TLG366" s="34"/>
      <c r="TLH366" s="34"/>
      <c r="TLI366" s="34"/>
      <c r="TLJ366" s="35"/>
      <c r="TLK366" s="35"/>
      <c r="TLL366" s="35"/>
      <c r="TLM366" s="35"/>
      <c r="TLN366" s="35"/>
      <c r="TLO366" s="34"/>
      <c r="TLP366" s="34"/>
      <c r="TLQ366" s="36"/>
      <c r="TLR366" s="36"/>
      <c r="TLS366" s="37"/>
      <c r="TLT366" s="37"/>
      <c r="TLU366" s="38"/>
      <c r="TLV366" s="38"/>
      <c r="TLW366" s="39"/>
      <c r="TLX366" s="34"/>
      <c r="TLY366" s="34"/>
      <c r="TLZ366" s="34"/>
      <c r="TMA366" s="35"/>
      <c r="TMB366" s="35"/>
      <c r="TMC366" s="35"/>
      <c r="TMD366" s="35"/>
      <c r="TME366" s="35"/>
      <c r="TMF366" s="34"/>
      <c r="TMG366" s="34"/>
      <c r="TMH366" s="36"/>
      <c r="TMI366" s="36"/>
      <c r="TMJ366" s="37"/>
      <c r="TMK366" s="37"/>
      <c r="TML366" s="38"/>
      <c r="TMM366" s="38"/>
      <c r="TMN366" s="39"/>
      <c r="TMO366" s="34"/>
      <c r="TMP366" s="34"/>
      <c r="TMQ366" s="34"/>
      <c r="TMR366" s="35"/>
      <c r="TMS366" s="35"/>
      <c r="TMT366" s="35"/>
      <c r="TMU366" s="35"/>
      <c r="TMV366" s="35"/>
      <c r="TMW366" s="34"/>
      <c r="TMX366" s="34"/>
      <c r="TMY366" s="36"/>
      <c r="TMZ366" s="36"/>
      <c r="TNA366" s="37"/>
      <c r="TNB366" s="37"/>
      <c r="TNC366" s="38"/>
      <c r="TND366" s="38"/>
      <c r="TNE366" s="39"/>
      <c r="TNF366" s="34"/>
      <c r="TNG366" s="34"/>
      <c r="TNH366" s="34"/>
      <c r="TNI366" s="35"/>
      <c r="TNJ366" s="35"/>
      <c r="TNK366" s="35"/>
      <c r="TNL366" s="35"/>
      <c r="TNM366" s="35"/>
      <c r="TNN366" s="34"/>
      <c r="TNO366" s="34"/>
      <c r="TNP366" s="36"/>
      <c r="TNQ366" s="36"/>
      <c r="TNR366" s="37"/>
      <c r="TNS366" s="37"/>
      <c r="TNT366" s="38"/>
      <c r="TNU366" s="38"/>
      <c r="TNV366" s="39"/>
      <c r="TNW366" s="34"/>
      <c r="TNX366" s="34"/>
      <c r="TNY366" s="34"/>
      <c r="TNZ366" s="35"/>
      <c r="TOA366" s="35"/>
      <c r="TOB366" s="35"/>
      <c r="TOC366" s="35"/>
      <c r="TOD366" s="35"/>
      <c r="TOE366" s="34"/>
      <c r="TOF366" s="34"/>
      <c r="TOG366" s="36"/>
      <c r="TOH366" s="36"/>
      <c r="TOI366" s="37"/>
      <c r="TOJ366" s="37"/>
      <c r="TOK366" s="38"/>
      <c r="TOL366" s="38"/>
      <c r="TOM366" s="39"/>
      <c r="TON366" s="34"/>
      <c r="TOO366" s="34"/>
      <c r="TOP366" s="34"/>
      <c r="TOQ366" s="35"/>
      <c r="TOR366" s="35"/>
      <c r="TOS366" s="35"/>
      <c r="TOT366" s="35"/>
      <c r="TOU366" s="35"/>
      <c r="TOV366" s="34"/>
      <c r="TOW366" s="34"/>
      <c r="TOX366" s="36"/>
      <c r="TOY366" s="36"/>
      <c r="TOZ366" s="37"/>
      <c r="TPA366" s="37"/>
      <c r="TPB366" s="38"/>
      <c r="TPC366" s="38"/>
      <c r="TPD366" s="39"/>
      <c r="TPE366" s="34"/>
      <c r="TPF366" s="34"/>
      <c r="TPG366" s="34"/>
      <c r="TPH366" s="35"/>
      <c r="TPI366" s="35"/>
      <c r="TPJ366" s="35"/>
      <c r="TPK366" s="35"/>
      <c r="TPL366" s="35"/>
      <c r="TPM366" s="34"/>
      <c r="TPN366" s="34"/>
      <c r="TPO366" s="36"/>
      <c r="TPP366" s="36"/>
      <c r="TPQ366" s="37"/>
      <c r="TPR366" s="37"/>
      <c r="TPS366" s="38"/>
      <c r="TPT366" s="38"/>
      <c r="TPU366" s="39"/>
      <c r="TPV366" s="34"/>
      <c r="TPW366" s="34"/>
      <c r="TPX366" s="34"/>
      <c r="TPY366" s="35"/>
      <c r="TPZ366" s="35"/>
      <c r="TQA366" s="35"/>
      <c r="TQB366" s="35"/>
      <c r="TQC366" s="35"/>
      <c r="TQD366" s="34"/>
      <c r="TQE366" s="34"/>
      <c r="TQF366" s="36"/>
      <c r="TQG366" s="36"/>
      <c r="TQH366" s="37"/>
      <c r="TQI366" s="37"/>
      <c r="TQJ366" s="38"/>
      <c r="TQK366" s="38"/>
      <c r="TQL366" s="39"/>
      <c r="TQM366" s="34"/>
      <c r="TQN366" s="34"/>
      <c r="TQO366" s="34"/>
      <c r="TQP366" s="35"/>
      <c r="TQQ366" s="35"/>
      <c r="TQR366" s="35"/>
      <c r="TQS366" s="35"/>
      <c r="TQT366" s="35"/>
      <c r="TQU366" s="34"/>
      <c r="TQV366" s="34"/>
      <c r="TQW366" s="36"/>
      <c r="TQX366" s="36"/>
      <c r="TQY366" s="37"/>
      <c r="TQZ366" s="37"/>
      <c r="TRA366" s="38"/>
      <c r="TRB366" s="38"/>
      <c r="TRC366" s="39"/>
      <c r="TRD366" s="34"/>
      <c r="TRE366" s="34"/>
      <c r="TRF366" s="34"/>
      <c r="TRG366" s="35"/>
      <c r="TRH366" s="35"/>
      <c r="TRI366" s="35"/>
      <c r="TRJ366" s="35"/>
      <c r="TRK366" s="35"/>
      <c r="TRL366" s="34"/>
      <c r="TRM366" s="34"/>
      <c r="TRN366" s="36"/>
      <c r="TRO366" s="36"/>
      <c r="TRP366" s="37"/>
      <c r="TRQ366" s="37"/>
      <c r="TRR366" s="38"/>
      <c r="TRS366" s="38"/>
      <c r="TRT366" s="39"/>
      <c r="TRU366" s="34"/>
      <c r="TRV366" s="34"/>
      <c r="TRW366" s="34"/>
      <c r="TRX366" s="35"/>
      <c r="TRY366" s="35"/>
      <c r="TRZ366" s="35"/>
      <c r="TSA366" s="35"/>
      <c r="TSB366" s="35"/>
      <c r="TSC366" s="34"/>
      <c r="TSD366" s="34"/>
      <c r="TSE366" s="36"/>
      <c r="TSF366" s="36"/>
      <c r="TSG366" s="37"/>
      <c r="TSH366" s="37"/>
      <c r="TSI366" s="38"/>
      <c r="TSJ366" s="38"/>
      <c r="TSK366" s="39"/>
      <c r="TSL366" s="34"/>
      <c r="TSM366" s="34"/>
      <c r="TSN366" s="34"/>
      <c r="TSO366" s="35"/>
      <c r="TSP366" s="35"/>
      <c r="TSQ366" s="35"/>
      <c r="TSR366" s="35"/>
      <c r="TSS366" s="35"/>
      <c r="TST366" s="34"/>
      <c r="TSU366" s="34"/>
      <c r="TSV366" s="36"/>
      <c r="TSW366" s="36"/>
      <c r="TSX366" s="37"/>
      <c r="TSY366" s="37"/>
      <c r="TSZ366" s="38"/>
      <c r="TTA366" s="38"/>
      <c r="TTB366" s="39"/>
      <c r="TTC366" s="34"/>
      <c r="TTD366" s="34"/>
      <c r="TTE366" s="34"/>
      <c r="TTF366" s="35"/>
      <c r="TTG366" s="35"/>
      <c r="TTH366" s="35"/>
      <c r="TTI366" s="35"/>
      <c r="TTJ366" s="35"/>
      <c r="TTK366" s="34"/>
      <c r="TTL366" s="34"/>
      <c r="TTM366" s="36"/>
      <c r="TTN366" s="36"/>
      <c r="TTO366" s="37"/>
      <c r="TTP366" s="37"/>
      <c r="TTQ366" s="38"/>
      <c r="TTR366" s="38"/>
      <c r="TTS366" s="39"/>
      <c r="TTT366" s="34"/>
      <c r="TTU366" s="34"/>
      <c r="TTV366" s="34"/>
      <c r="TTW366" s="35"/>
      <c r="TTX366" s="35"/>
      <c r="TTY366" s="35"/>
      <c r="TTZ366" s="35"/>
      <c r="TUA366" s="35"/>
      <c r="TUB366" s="34"/>
      <c r="TUC366" s="34"/>
      <c r="TUD366" s="36"/>
      <c r="TUE366" s="36"/>
      <c r="TUF366" s="37"/>
      <c r="TUG366" s="37"/>
      <c r="TUH366" s="38"/>
      <c r="TUI366" s="38"/>
      <c r="TUJ366" s="39"/>
      <c r="TUK366" s="34"/>
      <c r="TUL366" s="34"/>
      <c r="TUM366" s="34"/>
      <c r="TUN366" s="35"/>
      <c r="TUO366" s="35"/>
      <c r="TUP366" s="35"/>
      <c r="TUQ366" s="35"/>
      <c r="TUR366" s="35"/>
      <c r="TUS366" s="34"/>
      <c r="TUT366" s="34"/>
      <c r="TUU366" s="36"/>
      <c r="TUV366" s="36"/>
      <c r="TUW366" s="37"/>
      <c r="TUX366" s="37"/>
      <c r="TUY366" s="38"/>
      <c r="TUZ366" s="38"/>
      <c r="TVA366" s="39"/>
      <c r="TVB366" s="34"/>
      <c r="TVC366" s="34"/>
      <c r="TVD366" s="34"/>
      <c r="TVE366" s="35"/>
      <c r="TVF366" s="35"/>
      <c r="TVG366" s="35"/>
      <c r="TVH366" s="35"/>
      <c r="TVI366" s="35"/>
      <c r="TVJ366" s="34"/>
      <c r="TVK366" s="34"/>
      <c r="TVL366" s="36"/>
      <c r="TVM366" s="36"/>
      <c r="TVN366" s="37"/>
      <c r="TVO366" s="37"/>
      <c r="TVP366" s="38"/>
      <c r="TVQ366" s="38"/>
      <c r="TVR366" s="39"/>
      <c r="TVS366" s="34"/>
      <c r="TVT366" s="34"/>
      <c r="TVU366" s="34"/>
      <c r="TVV366" s="35"/>
      <c r="TVW366" s="35"/>
      <c r="TVX366" s="35"/>
      <c r="TVY366" s="35"/>
      <c r="TVZ366" s="35"/>
      <c r="TWA366" s="34"/>
      <c r="TWB366" s="34"/>
      <c r="TWC366" s="36"/>
      <c r="TWD366" s="36"/>
      <c r="TWE366" s="37"/>
      <c r="TWF366" s="37"/>
      <c r="TWG366" s="38"/>
      <c r="TWH366" s="38"/>
      <c r="TWI366" s="39"/>
      <c r="TWJ366" s="34"/>
      <c r="TWK366" s="34"/>
      <c r="TWL366" s="34"/>
      <c r="TWM366" s="35"/>
      <c r="TWN366" s="35"/>
      <c r="TWO366" s="35"/>
      <c r="TWP366" s="35"/>
      <c r="TWQ366" s="35"/>
      <c r="TWR366" s="34"/>
      <c r="TWS366" s="34"/>
      <c r="TWT366" s="36"/>
      <c r="TWU366" s="36"/>
      <c r="TWV366" s="37"/>
      <c r="TWW366" s="37"/>
      <c r="TWX366" s="38"/>
      <c r="TWY366" s="38"/>
      <c r="TWZ366" s="39"/>
      <c r="TXA366" s="34"/>
      <c r="TXB366" s="34"/>
      <c r="TXC366" s="34"/>
      <c r="TXD366" s="35"/>
      <c r="TXE366" s="35"/>
      <c r="TXF366" s="35"/>
      <c r="TXG366" s="35"/>
      <c r="TXH366" s="35"/>
      <c r="TXI366" s="34"/>
      <c r="TXJ366" s="34"/>
      <c r="TXK366" s="36"/>
      <c r="TXL366" s="36"/>
      <c r="TXM366" s="37"/>
      <c r="TXN366" s="37"/>
      <c r="TXO366" s="38"/>
      <c r="TXP366" s="38"/>
      <c r="TXQ366" s="39"/>
      <c r="TXR366" s="34"/>
      <c r="TXS366" s="34"/>
      <c r="TXT366" s="34"/>
      <c r="TXU366" s="35"/>
      <c r="TXV366" s="35"/>
      <c r="TXW366" s="35"/>
      <c r="TXX366" s="35"/>
      <c r="TXY366" s="35"/>
      <c r="TXZ366" s="34"/>
      <c r="TYA366" s="34"/>
      <c r="TYB366" s="36"/>
      <c r="TYC366" s="36"/>
      <c r="TYD366" s="37"/>
      <c r="TYE366" s="37"/>
      <c r="TYF366" s="38"/>
      <c r="TYG366" s="38"/>
      <c r="TYH366" s="39"/>
      <c r="TYI366" s="34"/>
      <c r="TYJ366" s="34"/>
      <c r="TYK366" s="34"/>
      <c r="TYL366" s="35"/>
      <c r="TYM366" s="35"/>
      <c r="TYN366" s="35"/>
      <c r="TYO366" s="35"/>
      <c r="TYP366" s="35"/>
      <c r="TYQ366" s="34"/>
      <c r="TYR366" s="34"/>
      <c r="TYS366" s="36"/>
      <c r="TYT366" s="36"/>
      <c r="TYU366" s="37"/>
      <c r="TYV366" s="37"/>
      <c r="TYW366" s="38"/>
      <c r="TYX366" s="38"/>
      <c r="TYY366" s="39"/>
      <c r="TYZ366" s="34"/>
      <c r="TZA366" s="34"/>
      <c r="TZB366" s="34"/>
      <c r="TZC366" s="35"/>
      <c r="TZD366" s="35"/>
      <c r="TZE366" s="35"/>
      <c r="TZF366" s="35"/>
      <c r="TZG366" s="35"/>
      <c r="TZH366" s="34"/>
      <c r="TZI366" s="34"/>
      <c r="TZJ366" s="36"/>
      <c r="TZK366" s="36"/>
      <c r="TZL366" s="37"/>
      <c r="TZM366" s="37"/>
      <c r="TZN366" s="38"/>
      <c r="TZO366" s="38"/>
      <c r="TZP366" s="39"/>
      <c r="TZQ366" s="34"/>
      <c r="TZR366" s="34"/>
      <c r="TZS366" s="34"/>
      <c r="TZT366" s="35"/>
      <c r="TZU366" s="35"/>
      <c r="TZV366" s="35"/>
      <c r="TZW366" s="35"/>
      <c r="TZX366" s="35"/>
      <c r="TZY366" s="34"/>
      <c r="TZZ366" s="34"/>
      <c r="UAA366" s="36"/>
      <c r="UAB366" s="36"/>
      <c r="UAC366" s="37"/>
      <c r="UAD366" s="37"/>
      <c r="UAE366" s="38"/>
      <c r="UAF366" s="38"/>
      <c r="UAG366" s="39"/>
      <c r="UAH366" s="34"/>
      <c r="UAI366" s="34"/>
      <c r="UAJ366" s="34"/>
      <c r="UAK366" s="35"/>
      <c r="UAL366" s="35"/>
      <c r="UAM366" s="35"/>
      <c r="UAN366" s="35"/>
      <c r="UAO366" s="35"/>
      <c r="UAP366" s="34"/>
      <c r="UAQ366" s="34"/>
      <c r="UAR366" s="36"/>
      <c r="UAS366" s="36"/>
      <c r="UAT366" s="37"/>
      <c r="UAU366" s="37"/>
      <c r="UAV366" s="38"/>
      <c r="UAW366" s="38"/>
      <c r="UAX366" s="39"/>
      <c r="UAY366" s="34"/>
      <c r="UAZ366" s="34"/>
      <c r="UBA366" s="34"/>
      <c r="UBB366" s="35"/>
      <c r="UBC366" s="35"/>
      <c r="UBD366" s="35"/>
      <c r="UBE366" s="35"/>
      <c r="UBF366" s="35"/>
      <c r="UBG366" s="34"/>
      <c r="UBH366" s="34"/>
      <c r="UBI366" s="36"/>
      <c r="UBJ366" s="36"/>
      <c r="UBK366" s="37"/>
      <c r="UBL366" s="37"/>
      <c r="UBM366" s="38"/>
      <c r="UBN366" s="38"/>
      <c r="UBO366" s="39"/>
      <c r="UBP366" s="34"/>
      <c r="UBQ366" s="34"/>
      <c r="UBR366" s="34"/>
      <c r="UBS366" s="35"/>
      <c r="UBT366" s="35"/>
      <c r="UBU366" s="35"/>
      <c r="UBV366" s="35"/>
      <c r="UBW366" s="35"/>
      <c r="UBX366" s="34"/>
      <c r="UBY366" s="34"/>
      <c r="UBZ366" s="36"/>
      <c r="UCA366" s="36"/>
      <c r="UCB366" s="37"/>
      <c r="UCC366" s="37"/>
      <c r="UCD366" s="38"/>
      <c r="UCE366" s="38"/>
      <c r="UCF366" s="39"/>
      <c r="UCG366" s="34"/>
      <c r="UCH366" s="34"/>
      <c r="UCI366" s="34"/>
      <c r="UCJ366" s="35"/>
      <c r="UCK366" s="35"/>
      <c r="UCL366" s="35"/>
      <c r="UCM366" s="35"/>
      <c r="UCN366" s="35"/>
      <c r="UCO366" s="34"/>
      <c r="UCP366" s="34"/>
      <c r="UCQ366" s="36"/>
      <c r="UCR366" s="36"/>
      <c r="UCS366" s="37"/>
      <c r="UCT366" s="37"/>
      <c r="UCU366" s="38"/>
      <c r="UCV366" s="38"/>
      <c r="UCW366" s="39"/>
      <c r="UCX366" s="34"/>
      <c r="UCY366" s="34"/>
      <c r="UCZ366" s="34"/>
      <c r="UDA366" s="35"/>
      <c r="UDB366" s="35"/>
      <c r="UDC366" s="35"/>
      <c r="UDD366" s="35"/>
      <c r="UDE366" s="35"/>
      <c r="UDF366" s="34"/>
      <c r="UDG366" s="34"/>
      <c r="UDH366" s="36"/>
      <c r="UDI366" s="36"/>
      <c r="UDJ366" s="37"/>
      <c r="UDK366" s="37"/>
      <c r="UDL366" s="38"/>
      <c r="UDM366" s="38"/>
      <c r="UDN366" s="39"/>
      <c r="UDO366" s="34"/>
      <c r="UDP366" s="34"/>
      <c r="UDQ366" s="34"/>
      <c r="UDR366" s="35"/>
      <c r="UDS366" s="35"/>
      <c r="UDT366" s="35"/>
      <c r="UDU366" s="35"/>
      <c r="UDV366" s="35"/>
      <c r="UDW366" s="34"/>
      <c r="UDX366" s="34"/>
      <c r="UDY366" s="36"/>
      <c r="UDZ366" s="36"/>
      <c r="UEA366" s="37"/>
      <c r="UEB366" s="37"/>
      <c r="UEC366" s="38"/>
      <c r="UED366" s="38"/>
      <c r="UEE366" s="39"/>
      <c r="UEF366" s="34"/>
      <c r="UEG366" s="34"/>
      <c r="UEH366" s="34"/>
      <c r="UEI366" s="35"/>
      <c r="UEJ366" s="35"/>
      <c r="UEK366" s="35"/>
      <c r="UEL366" s="35"/>
      <c r="UEM366" s="35"/>
      <c r="UEN366" s="34"/>
      <c r="UEO366" s="34"/>
      <c r="UEP366" s="36"/>
      <c r="UEQ366" s="36"/>
      <c r="UER366" s="37"/>
      <c r="UES366" s="37"/>
      <c r="UET366" s="38"/>
      <c r="UEU366" s="38"/>
      <c r="UEV366" s="39"/>
      <c r="UEW366" s="34"/>
      <c r="UEX366" s="34"/>
      <c r="UEY366" s="34"/>
      <c r="UEZ366" s="35"/>
      <c r="UFA366" s="35"/>
      <c r="UFB366" s="35"/>
      <c r="UFC366" s="35"/>
      <c r="UFD366" s="35"/>
      <c r="UFE366" s="34"/>
      <c r="UFF366" s="34"/>
      <c r="UFG366" s="36"/>
      <c r="UFH366" s="36"/>
      <c r="UFI366" s="37"/>
      <c r="UFJ366" s="37"/>
      <c r="UFK366" s="38"/>
      <c r="UFL366" s="38"/>
      <c r="UFM366" s="39"/>
      <c r="UFN366" s="34"/>
      <c r="UFO366" s="34"/>
      <c r="UFP366" s="34"/>
      <c r="UFQ366" s="35"/>
      <c r="UFR366" s="35"/>
      <c r="UFS366" s="35"/>
      <c r="UFT366" s="35"/>
      <c r="UFU366" s="35"/>
      <c r="UFV366" s="34"/>
      <c r="UFW366" s="34"/>
      <c r="UFX366" s="36"/>
      <c r="UFY366" s="36"/>
      <c r="UFZ366" s="37"/>
      <c r="UGA366" s="37"/>
      <c r="UGB366" s="38"/>
      <c r="UGC366" s="38"/>
      <c r="UGD366" s="39"/>
      <c r="UGE366" s="34"/>
      <c r="UGF366" s="34"/>
      <c r="UGG366" s="34"/>
      <c r="UGH366" s="35"/>
      <c r="UGI366" s="35"/>
      <c r="UGJ366" s="35"/>
      <c r="UGK366" s="35"/>
      <c r="UGL366" s="35"/>
      <c r="UGM366" s="34"/>
      <c r="UGN366" s="34"/>
      <c r="UGO366" s="36"/>
      <c r="UGP366" s="36"/>
      <c r="UGQ366" s="37"/>
      <c r="UGR366" s="37"/>
      <c r="UGS366" s="38"/>
      <c r="UGT366" s="38"/>
      <c r="UGU366" s="39"/>
      <c r="UGV366" s="34"/>
      <c r="UGW366" s="34"/>
      <c r="UGX366" s="34"/>
      <c r="UGY366" s="35"/>
      <c r="UGZ366" s="35"/>
      <c r="UHA366" s="35"/>
      <c r="UHB366" s="35"/>
      <c r="UHC366" s="35"/>
      <c r="UHD366" s="34"/>
      <c r="UHE366" s="34"/>
      <c r="UHF366" s="36"/>
      <c r="UHG366" s="36"/>
      <c r="UHH366" s="37"/>
      <c r="UHI366" s="37"/>
      <c r="UHJ366" s="38"/>
      <c r="UHK366" s="38"/>
      <c r="UHL366" s="39"/>
      <c r="UHM366" s="34"/>
      <c r="UHN366" s="34"/>
      <c r="UHO366" s="34"/>
      <c r="UHP366" s="35"/>
      <c r="UHQ366" s="35"/>
      <c r="UHR366" s="35"/>
      <c r="UHS366" s="35"/>
      <c r="UHT366" s="35"/>
      <c r="UHU366" s="34"/>
      <c r="UHV366" s="34"/>
      <c r="UHW366" s="36"/>
      <c r="UHX366" s="36"/>
      <c r="UHY366" s="37"/>
      <c r="UHZ366" s="37"/>
      <c r="UIA366" s="38"/>
      <c r="UIB366" s="38"/>
      <c r="UIC366" s="39"/>
      <c r="UID366" s="34"/>
      <c r="UIE366" s="34"/>
      <c r="UIF366" s="34"/>
      <c r="UIG366" s="35"/>
      <c r="UIH366" s="35"/>
      <c r="UII366" s="35"/>
      <c r="UIJ366" s="35"/>
      <c r="UIK366" s="35"/>
      <c r="UIL366" s="34"/>
      <c r="UIM366" s="34"/>
      <c r="UIN366" s="36"/>
      <c r="UIO366" s="36"/>
      <c r="UIP366" s="37"/>
      <c r="UIQ366" s="37"/>
      <c r="UIR366" s="38"/>
      <c r="UIS366" s="38"/>
      <c r="UIT366" s="39"/>
      <c r="UIU366" s="34"/>
      <c r="UIV366" s="34"/>
      <c r="UIW366" s="34"/>
      <c r="UIX366" s="35"/>
      <c r="UIY366" s="35"/>
      <c r="UIZ366" s="35"/>
      <c r="UJA366" s="35"/>
      <c r="UJB366" s="35"/>
      <c r="UJC366" s="34"/>
      <c r="UJD366" s="34"/>
      <c r="UJE366" s="36"/>
      <c r="UJF366" s="36"/>
      <c r="UJG366" s="37"/>
      <c r="UJH366" s="37"/>
      <c r="UJI366" s="38"/>
      <c r="UJJ366" s="38"/>
      <c r="UJK366" s="39"/>
      <c r="UJL366" s="34"/>
      <c r="UJM366" s="34"/>
      <c r="UJN366" s="34"/>
      <c r="UJO366" s="35"/>
      <c r="UJP366" s="35"/>
      <c r="UJQ366" s="35"/>
      <c r="UJR366" s="35"/>
      <c r="UJS366" s="35"/>
      <c r="UJT366" s="34"/>
      <c r="UJU366" s="34"/>
      <c r="UJV366" s="36"/>
      <c r="UJW366" s="36"/>
      <c r="UJX366" s="37"/>
      <c r="UJY366" s="37"/>
      <c r="UJZ366" s="38"/>
      <c r="UKA366" s="38"/>
      <c r="UKB366" s="39"/>
      <c r="UKC366" s="34"/>
      <c r="UKD366" s="34"/>
      <c r="UKE366" s="34"/>
      <c r="UKF366" s="35"/>
      <c r="UKG366" s="35"/>
      <c r="UKH366" s="35"/>
      <c r="UKI366" s="35"/>
      <c r="UKJ366" s="35"/>
      <c r="UKK366" s="34"/>
      <c r="UKL366" s="34"/>
      <c r="UKM366" s="36"/>
      <c r="UKN366" s="36"/>
      <c r="UKO366" s="37"/>
      <c r="UKP366" s="37"/>
      <c r="UKQ366" s="38"/>
      <c r="UKR366" s="38"/>
      <c r="UKS366" s="39"/>
      <c r="UKT366" s="34"/>
      <c r="UKU366" s="34"/>
      <c r="UKV366" s="34"/>
      <c r="UKW366" s="35"/>
      <c r="UKX366" s="35"/>
      <c r="UKY366" s="35"/>
      <c r="UKZ366" s="35"/>
      <c r="ULA366" s="35"/>
      <c r="ULB366" s="34"/>
      <c r="ULC366" s="34"/>
      <c r="ULD366" s="36"/>
      <c r="ULE366" s="36"/>
      <c r="ULF366" s="37"/>
      <c r="ULG366" s="37"/>
      <c r="ULH366" s="38"/>
      <c r="ULI366" s="38"/>
      <c r="ULJ366" s="39"/>
      <c r="ULK366" s="34"/>
      <c r="ULL366" s="34"/>
      <c r="ULM366" s="34"/>
      <c r="ULN366" s="35"/>
      <c r="ULO366" s="35"/>
      <c r="ULP366" s="35"/>
      <c r="ULQ366" s="35"/>
      <c r="ULR366" s="35"/>
      <c r="ULS366" s="34"/>
      <c r="ULT366" s="34"/>
      <c r="ULU366" s="36"/>
      <c r="ULV366" s="36"/>
      <c r="ULW366" s="37"/>
      <c r="ULX366" s="37"/>
      <c r="ULY366" s="38"/>
      <c r="ULZ366" s="38"/>
      <c r="UMA366" s="39"/>
      <c r="UMB366" s="34"/>
      <c r="UMC366" s="34"/>
      <c r="UMD366" s="34"/>
      <c r="UME366" s="35"/>
      <c r="UMF366" s="35"/>
      <c r="UMG366" s="35"/>
      <c r="UMH366" s="35"/>
      <c r="UMI366" s="35"/>
      <c r="UMJ366" s="34"/>
      <c r="UMK366" s="34"/>
      <c r="UML366" s="36"/>
      <c r="UMM366" s="36"/>
      <c r="UMN366" s="37"/>
      <c r="UMO366" s="37"/>
      <c r="UMP366" s="38"/>
      <c r="UMQ366" s="38"/>
      <c r="UMR366" s="39"/>
      <c r="UMS366" s="34"/>
      <c r="UMT366" s="34"/>
      <c r="UMU366" s="34"/>
      <c r="UMV366" s="35"/>
      <c r="UMW366" s="35"/>
      <c r="UMX366" s="35"/>
      <c r="UMY366" s="35"/>
      <c r="UMZ366" s="35"/>
      <c r="UNA366" s="34"/>
      <c r="UNB366" s="34"/>
      <c r="UNC366" s="36"/>
      <c r="UND366" s="36"/>
      <c r="UNE366" s="37"/>
      <c r="UNF366" s="37"/>
      <c r="UNG366" s="38"/>
      <c r="UNH366" s="38"/>
      <c r="UNI366" s="39"/>
      <c r="UNJ366" s="34"/>
      <c r="UNK366" s="34"/>
      <c r="UNL366" s="34"/>
      <c r="UNM366" s="35"/>
      <c r="UNN366" s="35"/>
      <c r="UNO366" s="35"/>
      <c r="UNP366" s="35"/>
      <c r="UNQ366" s="35"/>
      <c r="UNR366" s="34"/>
      <c r="UNS366" s="34"/>
      <c r="UNT366" s="36"/>
      <c r="UNU366" s="36"/>
      <c r="UNV366" s="37"/>
      <c r="UNW366" s="37"/>
      <c r="UNX366" s="38"/>
      <c r="UNY366" s="38"/>
      <c r="UNZ366" s="39"/>
      <c r="UOA366" s="34"/>
      <c r="UOB366" s="34"/>
      <c r="UOC366" s="34"/>
      <c r="UOD366" s="35"/>
      <c r="UOE366" s="35"/>
      <c r="UOF366" s="35"/>
      <c r="UOG366" s="35"/>
      <c r="UOH366" s="35"/>
      <c r="UOI366" s="34"/>
      <c r="UOJ366" s="34"/>
      <c r="UOK366" s="36"/>
      <c r="UOL366" s="36"/>
      <c r="UOM366" s="37"/>
      <c r="UON366" s="37"/>
      <c r="UOO366" s="38"/>
      <c r="UOP366" s="38"/>
      <c r="UOQ366" s="39"/>
      <c r="UOR366" s="34"/>
      <c r="UOS366" s="34"/>
      <c r="UOT366" s="34"/>
      <c r="UOU366" s="35"/>
      <c r="UOV366" s="35"/>
      <c r="UOW366" s="35"/>
      <c r="UOX366" s="35"/>
      <c r="UOY366" s="35"/>
      <c r="UOZ366" s="34"/>
      <c r="UPA366" s="34"/>
      <c r="UPB366" s="36"/>
      <c r="UPC366" s="36"/>
      <c r="UPD366" s="37"/>
      <c r="UPE366" s="37"/>
      <c r="UPF366" s="38"/>
      <c r="UPG366" s="38"/>
      <c r="UPH366" s="39"/>
      <c r="UPI366" s="34"/>
      <c r="UPJ366" s="34"/>
      <c r="UPK366" s="34"/>
      <c r="UPL366" s="35"/>
      <c r="UPM366" s="35"/>
      <c r="UPN366" s="35"/>
      <c r="UPO366" s="35"/>
      <c r="UPP366" s="35"/>
      <c r="UPQ366" s="34"/>
      <c r="UPR366" s="34"/>
      <c r="UPS366" s="36"/>
      <c r="UPT366" s="36"/>
      <c r="UPU366" s="37"/>
      <c r="UPV366" s="37"/>
      <c r="UPW366" s="38"/>
      <c r="UPX366" s="38"/>
      <c r="UPY366" s="39"/>
      <c r="UPZ366" s="34"/>
      <c r="UQA366" s="34"/>
      <c r="UQB366" s="34"/>
      <c r="UQC366" s="35"/>
      <c r="UQD366" s="35"/>
      <c r="UQE366" s="35"/>
      <c r="UQF366" s="35"/>
      <c r="UQG366" s="35"/>
      <c r="UQH366" s="34"/>
      <c r="UQI366" s="34"/>
      <c r="UQJ366" s="36"/>
      <c r="UQK366" s="36"/>
      <c r="UQL366" s="37"/>
      <c r="UQM366" s="37"/>
      <c r="UQN366" s="38"/>
      <c r="UQO366" s="38"/>
      <c r="UQP366" s="39"/>
      <c r="UQQ366" s="34"/>
      <c r="UQR366" s="34"/>
      <c r="UQS366" s="34"/>
      <c r="UQT366" s="35"/>
      <c r="UQU366" s="35"/>
      <c r="UQV366" s="35"/>
      <c r="UQW366" s="35"/>
      <c r="UQX366" s="35"/>
      <c r="UQY366" s="34"/>
      <c r="UQZ366" s="34"/>
      <c r="URA366" s="36"/>
      <c r="URB366" s="36"/>
      <c r="URC366" s="37"/>
      <c r="URD366" s="37"/>
      <c r="URE366" s="38"/>
      <c r="URF366" s="38"/>
      <c r="URG366" s="39"/>
      <c r="URH366" s="34"/>
      <c r="URI366" s="34"/>
      <c r="URJ366" s="34"/>
      <c r="URK366" s="35"/>
      <c r="URL366" s="35"/>
      <c r="URM366" s="35"/>
      <c r="URN366" s="35"/>
      <c r="URO366" s="35"/>
      <c r="URP366" s="34"/>
      <c r="URQ366" s="34"/>
      <c r="URR366" s="36"/>
      <c r="URS366" s="36"/>
      <c r="URT366" s="37"/>
      <c r="URU366" s="37"/>
      <c r="URV366" s="38"/>
      <c r="URW366" s="38"/>
      <c r="URX366" s="39"/>
      <c r="URY366" s="34"/>
      <c r="URZ366" s="34"/>
      <c r="USA366" s="34"/>
      <c r="USB366" s="35"/>
      <c r="USC366" s="35"/>
      <c r="USD366" s="35"/>
      <c r="USE366" s="35"/>
      <c r="USF366" s="35"/>
      <c r="USG366" s="34"/>
      <c r="USH366" s="34"/>
      <c r="USI366" s="36"/>
      <c r="USJ366" s="36"/>
      <c r="USK366" s="37"/>
      <c r="USL366" s="37"/>
      <c r="USM366" s="38"/>
      <c r="USN366" s="38"/>
      <c r="USO366" s="39"/>
      <c r="USP366" s="34"/>
      <c r="USQ366" s="34"/>
      <c r="USR366" s="34"/>
      <c r="USS366" s="35"/>
      <c r="UST366" s="35"/>
      <c r="USU366" s="35"/>
      <c r="USV366" s="35"/>
      <c r="USW366" s="35"/>
      <c r="USX366" s="34"/>
      <c r="USY366" s="34"/>
      <c r="USZ366" s="36"/>
      <c r="UTA366" s="36"/>
      <c r="UTB366" s="37"/>
      <c r="UTC366" s="37"/>
      <c r="UTD366" s="38"/>
      <c r="UTE366" s="38"/>
      <c r="UTF366" s="39"/>
      <c r="UTG366" s="34"/>
      <c r="UTH366" s="34"/>
      <c r="UTI366" s="34"/>
      <c r="UTJ366" s="35"/>
      <c r="UTK366" s="35"/>
      <c r="UTL366" s="35"/>
      <c r="UTM366" s="35"/>
      <c r="UTN366" s="35"/>
      <c r="UTO366" s="34"/>
      <c r="UTP366" s="34"/>
      <c r="UTQ366" s="36"/>
      <c r="UTR366" s="36"/>
      <c r="UTS366" s="37"/>
      <c r="UTT366" s="37"/>
      <c r="UTU366" s="38"/>
      <c r="UTV366" s="38"/>
      <c r="UTW366" s="39"/>
      <c r="UTX366" s="34"/>
      <c r="UTY366" s="34"/>
      <c r="UTZ366" s="34"/>
      <c r="UUA366" s="35"/>
      <c r="UUB366" s="35"/>
      <c r="UUC366" s="35"/>
      <c r="UUD366" s="35"/>
      <c r="UUE366" s="35"/>
      <c r="UUF366" s="34"/>
      <c r="UUG366" s="34"/>
      <c r="UUH366" s="36"/>
      <c r="UUI366" s="36"/>
      <c r="UUJ366" s="37"/>
      <c r="UUK366" s="37"/>
      <c r="UUL366" s="38"/>
      <c r="UUM366" s="38"/>
      <c r="UUN366" s="39"/>
      <c r="UUO366" s="34"/>
      <c r="UUP366" s="34"/>
      <c r="UUQ366" s="34"/>
      <c r="UUR366" s="35"/>
      <c r="UUS366" s="35"/>
      <c r="UUT366" s="35"/>
      <c r="UUU366" s="35"/>
      <c r="UUV366" s="35"/>
      <c r="UUW366" s="34"/>
      <c r="UUX366" s="34"/>
      <c r="UUY366" s="36"/>
      <c r="UUZ366" s="36"/>
      <c r="UVA366" s="37"/>
      <c r="UVB366" s="37"/>
      <c r="UVC366" s="38"/>
      <c r="UVD366" s="38"/>
      <c r="UVE366" s="39"/>
      <c r="UVF366" s="34"/>
      <c r="UVG366" s="34"/>
      <c r="UVH366" s="34"/>
      <c r="UVI366" s="35"/>
      <c r="UVJ366" s="35"/>
      <c r="UVK366" s="35"/>
      <c r="UVL366" s="35"/>
      <c r="UVM366" s="35"/>
      <c r="UVN366" s="34"/>
      <c r="UVO366" s="34"/>
      <c r="UVP366" s="36"/>
      <c r="UVQ366" s="36"/>
      <c r="UVR366" s="37"/>
      <c r="UVS366" s="37"/>
      <c r="UVT366" s="38"/>
      <c r="UVU366" s="38"/>
      <c r="UVV366" s="39"/>
      <c r="UVW366" s="34"/>
      <c r="UVX366" s="34"/>
      <c r="UVY366" s="34"/>
      <c r="UVZ366" s="35"/>
      <c r="UWA366" s="35"/>
      <c r="UWB366" s="35"/>
      <c r="UWC366" s="35"/>
      <c r="UWD366" s="35"/>
      <c r="UWE366" s="34"/>
      <c r="UWF366" s="34"/>
      <c r="UWG366" s="36"/>
      <c r="UWH366" s="36"/>
      <c r="UWI366" s="37"/>
      <c r="UWJ366" s="37"/>
      <c r="UWK366" s="38"/>
      <c r="UWL366" s="38"/>
      <c r="UWM366" s="39"/>
      <c r="UWN366" s="34"/>
      <c r="UWO366" s="34"/>
      <c r="UWP366" s="34"/>
      <c r="UWQ366" s="35"/>
      <c r="UWR366" s="35"/>
      <c r="UWS366" s="35"/>
      <c r="UWT366" s="35"/>
      <c r="UWU366" s="35"/>
      <c r="UWV366" s="34"/>
      <c r="UWW366" s="34"/>
      <c r="UWX366" s="36"/>
      <c r="UWY366" s="36"/>
      <c r="UWZ366" s="37"/>
      <c r="UXA366" s="37"/>
      <c r="UXB366" s="38"/>
      <c r="UXC366" s="38"/>
      <c r="UXD366" s="39"/>
      <c r="UXE366" s="34"/>
      <c r="UXF366" s="34"/>
      <c r="UXG366" s="34"/>
      <c r="UXH366" s="35"/>
      <c r="UXI366" s="35"/>
      <c r="UXJ366" s="35"/>
      <c r="UXK366" s="35"/>
      <c r="UXL366" s="35"/>
      <c r="UXM366" s="34"/>
      <c r="UXN366" s="34"/>
      <c r="UXO366" s="36"/>
      <c r="UXP366" s="36"/>
      <c r="UXQ366" s="37"/>
      <c r="UXR366" s="37"/>
      <c r="UXS366" s="38"/>
      <c r="UXT366" s="38"/>
      <c r="UXU366" s="39"/>
      <c r="UXV366" s="34"/>
      <c r="UXW366" s="34"/>
      <c r="UXX366" s="34"/>
      <c r="UXY366" s="35"/>
      <c r="UXZ366" s="35"/>
      <c r="UYA366" s="35"/>
      <c r="UYB366" s="35"/>
      <c r="UYC366" s="35"/>
      <c r="UYD366" s="34"/>
      <c r="UYE366" s="34"/>
      <c r="UYF366" s="36"/>
      <c r="UYG366" s="36"/>
      <c r="UYH366" s="37"/>
      <c r="UYI366" s="37"/>
      <c r="UYJ366" s="38"/>
      <c r="UYK366" s="38"/>
      <c r="UYL366" s="39"/>
      <c r="UYM366" s="34"/>
      <c r="UYN366" s="34"/>
      <c r="UYO366" s="34"/>
      <c r="UYP366" s="35"/>
      <c r="UYQ366" s="35"/>
      <c r="UYR366" s="35"/>
      <c r="UYS366" s="35"/>
      <c r="UYT366" s="35"/>
      <c r="UYU366" s="34"/>
      <c r="UYV366" s="34"/>
      <c r="UYW366" s="36"/>
      <c r="UYX366" s="36"/>
      <c r="UYY366" s="37"/>
      <c r="UYZ366" s="37"/>
      <c r="UZA366" s="38"/>
      <c r="UZB366" s="38"/>
      <c r="UZC366" s="39"/>
      <c r="UZD366" s="34"/>
      <c r="UZE366" s="34"/>
      <c r="UZF366" s="34"/>
      <c r="UZG366" s="35"/>
      <c r="UZH366" s="35"/>
      <c r="UZI366" s="35"/>
      <c r="UZJ366" s="35"/>
      <c r="UZK366" s="35"/>
      <c r="UZL366" s="34"/>
      <c r="UZM366" s="34"/>
      <c r="UZN366" s="36"/>
      <c r="UZO366" s="36"/>
      <c r="UZP366" s="37"/>
      <c r="UZQ366" s="37"/>
      <c r="UZR366" s="38"/>
      <c r="UZS366" s="38"/>
      <c r="UZT366" s="39"/>
      <c r="UZU366" s="34"/>
      <c r="UZV366" s="34"/>
      <c r="UZW366" s="34"/>
      <c r="UZX366" s="35"/>
      <c r="UZY366" s="35"/>
      <c r="UZZ366" s="35"/>
      <c r="VAA366" s="35"/>
      <c r="VAB366" s="35"/>
      <c r="VAC366" s="34"/>
      <c r="VAD366" s="34"/>
      <c r="VAE366" s="36"/>
      <c r="VAF366" s="36"/>
      <c r="VAG366" s="37"/>
      <c r="VAH366" s="37"/>
      <c r="VAI366" s="38"/>
      <c r="VAJ366" s="38"/>
      <c r="VAK366" s="39"/>
      <c r="VAL366" s="34"/>
      <c r="VAM366" s="34"/>
      <c r="VAN366" s="34"/>
      <c r="VAO366" s="35"/>
      <c r="VAP366" s="35"/>
      <c r="VAQ366" s="35"/>
      <c r="VAR366" s="35"/>
      <c r="VAS366" s="35"/>
      <c r="VAT366" s="34"/>
      <c r="VAU366" s="34"/>
      <c r="VAV366" s="36"/>
      <c r="VAW366" s="36"/>
      <c r="VAX366" s="37"/>
      <c r="VAY366" s="37"/>
      <c r="VAZ366" s="38"/>
      <c r="VBA366" s="38"/>
      <c r="VBB366" s="39"/>
      <c r="VBC366" s="34"/>
      <c r="VBD366" s="34"/>
      <c r="VBE366" s="34"/>
      <c r="VBF366" s="35"/>
      <c r="VBG366" s="35"/>
      <c r="VBH366" s="35"/>
      <c r="VBI366" s="35"/>
      <c r="VBJ366" s="35"/>
      <c r="VBK366" s="34"/>
      <c r="VBL366" s="34"/>
      <c r="VBM366" s="36"/>
      <c r="VBN366" s="36"/>
      <c r="VBO366" s="37"/>
      <c r="VBP366" s="37"/>
      <c r="VBQ366" s="38"/>
      <c r="VBR366" s="38"/>
      <c r="VBS366" s="39"/>
      <c r="VBT366" s="34"/>
      <c r="VBU366" s="34"/>
      <c r="VBV366" s="34"/>
      <c r="VBW366" s="35"/>
      <c r="VBX366" s="35"/>
      <c r="VBY366" s="35"/>
      <c r="VBZ366" s="35"/>
      <c r="VCA366" s="35"/>
      <c r="VCB366" s="34"/>
      <c r="VCC366" s="34"/>
      <c r="VCD366" s="36"/>
      <c r="VCE366" s="36"/>
      <c r="VCF366" s="37"/>
      <c r="VCG366" s="37"/>
      <c r="VCH366" s="38"/>
      <c r="VCI366" s="38"/>
      <c r="VCJ366" s="39"/>
      <c r="VCK366" s="34"/>
      <c r="VCL366" s="34"/>
      <c r="VCM366" s="34"/>
      <c r="VCN366" s="35"/>
      <c r="VCO366" s="35"/>
      <c r="VCP366" s="35"/>
      <c r="VCQ366" s="35"/>
      <c r="VCR366" s="35"/>
      <c r="VCS366" s="34"/>
      <c r="VCT366" s="34"/>
      <c r="VCU366" s="36"/>
      <c r="VCV366" s="36"/>
      <c r="VCW366" s="37"/>
      <c r="VCX366" s="37"/>
      <c r="VCY366" s="38"/>
      <c r="VCZ366" s="38"/>
      <c r="VDA366" s="39"/>
      <c r="VDB366" s="34"/>
      <c r="VDC366" s="34"/>
      <c r="VDD366" s="34"/>
      <c r="VDE366" s="35"/>
      <c r="VDF366" s="35"/>
      <c r="VDG366" s="35"/>
      <c r="VDH366" s="35"/>
      <c r="VDI366" s="35"/>
      <c r="VDJ366" s="34"/>
      <c r="VDK366" s="34"/>
      <c r="VDL366" s="36"/>
      <c r="VDM366" s="36"/>
      <c r="VDN366" s="37"/>
      <c r="VDO366" s="37"/>
      <c r="VDP366" s="38"/>
      <c r="VDQ366" s="38"/>
      <c r="VDR366" s="39"/>
      <c r="VDS366" s="34"/>
      <c r="VDT366" s="34"/>
      <c r="VDU366" s="34"/>
      <c r="VDV366" s="35"/>
      <c r="VDW366" s="35"/>
      <c r="VDX366" s="35"/>
      <c r="VDY366" s="35"/>
      <c r="VDZ366" s="35"/>
      <c r="VEA366" s="34"/>
      <c r="VEB366" s="34"/>
      <c r="VEC366" s="36"/>
      <c r="VED366" s="36"/>
      <c r="VEE366" s="37"/>
      <c r="VEF366" s="37"/>
      <c r="VEG366" s="38"/>
      <c r="VEH366" s="38"/>
      <c r="VEI366" s="39"/>
      <c r="VEJ366" s="34"/>
      <c r="VEK366" s="34"/>
      <c r="VEL366" s="34"/>
      <c r="VEM366" s="35"/>
      <c r="VEN366" s="35"/>
      <c r="VEO366" s="35"/>
      <c r="VEP366" s="35"/>
      <c r="VEQ366" s="35"/>
      <c r="VER366" s="34"/>
      <c r="VES366" s="34"/>
      <c r="VET366" s="36"/>
      <c r="VEU366" s="36"/>
      <c r="VEV366" s="37"/>
      <c r="VEW366" s="37"/>
      <c r="VEX366" s="38"/>
      <c r="VEY366" s="38"/>
      <c r="VEZ366" s="39"/>
      <c r="VFA366" s="34"/>
      <c r="VFB366" s="34"/>
      <c r="VFC366" s="34"/>
      <c r="VFD366" s="35"/>
      <c r="VFE366" s="35"/>
      <c r="VFF366" s="35"/>
      <c r="VFG366" s="35"/>
      <c r="VFH366" s="35"/>
      <c r="VFI366" s="34"/>
      <c r="VFJ366" s="34"/>
      <c r="VFK366" s="36"/>
      <c r="VFL366" s="36"/>
      <c r="VFM366" s="37"/>
      <c r="VFN366" s="37"/>
      <c r="VFO366" s="38"/>
      <c r="VFP366" s="38"/>
      <c r="VFQ366" s="39"/>
      <c r="VFR366" s="34"/>
      <c r="VFS366" s="34"/>
      <c r="VFT366" s="34"/>
      <c r="VFU366" s="35"/>
      <c r="VFV366" s="35"/>
      <c r="VFW366" s="35"/>
      <c r="VFX366" s="35"/>
      <c r="VFY366" s="35"/>
      <c r="VFZ366" s="34"/>
      <c r="VGA366" s="34"/>
      <c r="VGB366" s="36"/>
      <c r="VGC366" s="36"/>
      <c r="VGD366" s="37"/>
      <c r="VGE366" s="37"/>
      <c r="VGF366" s="38"/>
      <c r="VGG366" s="38"/>
      <c r="VGH366" s="39"/>
      <c r="VGI366" s="34"/>
      <c r="VGJ366" s="34"/>
      <c r="VGK366" s="34"/>
      <c r="VGL366" s="35"/>
      <c r="VGM366" s="35"/>
      <c r="VGN366" s="35"/>
      <c r="VGO366" s="35"/>
      <c r="VGP366" s="35"/>
      <c r="VGQ366" s="34"/>
      <c r="VGR366" s="34"/>
      <c r="VGS366" s="36"/>
      <c r="VGT366" s="36"/>
      <c r="VGU366" s="37"/>
      <c r="VGV366" s="37"/>
      <c r="VGW366" s="38"/>
      <c r="VGX366" s="38"/>
      <c r="VGY366" s="39"/>
      <c r="VGZ366" s="34"/>
      <c r="VHA366" s="34"/>
      <c r="VHB366" s="34"/>
      <c r="VHC366" s="35"/>
      <c r="VHD366" s="35"/>
      <c r="VHE366" s="35"/>
      <c r="VHF366" s="35"/>
      <c r="VHG366" s="35"/>
      <c r="VHH366" s="34"/>
      <c r="VHI366" s="34"/>
      <c r="VHJ366" s="36"/>
      <c r="VHK366" s="36"/>
      <c r="VHL366" s="37"/>
      <c r="VHM366" s="37"/>
      <c r="VHN366" s="38"/>
      <c r="VHO366" s="38"/>
      <c r="VHP366" s="39"/>
      <c r="VHQ366" s="34"/>
      <c r="VHR366" s="34"/>
      <c r="VHS366" s="34"/>
      <c r="VHT366" s="35"/>
      <c r="VHU366" s="35"/>
      <c r="VHV366" s="35"/>
      <c r="VHW366" s="35"/>
      <c r="VHX366" s="35"/>
      <c r="VHY366" s="34"/>
      <c r="VHZ366" s="34"/>
      <c r="VIA366" s="36"/>
      <c r="VIB366" s="36"/>
      <c r="VIC366" s="37"/>
      <c r="VID366" s="37"/>
      <c r="VIE366" s="38"/>
      <c r="VIF366" s="38"/>
      <c r="VIG366" s="39"/>
      <c r="VIH366" s="34"/>
      <c r="VII366" s="34"/>
      <c r="VIJ366" s="34"/>
      <c r="VIK366" s="35"/>
      <c r="VIL366" s="35"/>
      <c r="VIM366" s="35"/>
      <c r="VIN366" s="35"/>
      <c r="VIO366" s="35"/>
      <c r="VIP366" s="34"/>
      <c r="VIQ366" s="34"/>
      <c r="VIR366" s="36"/>
      <c r="VIS366" s="36"/>
      <c r="VIT366" s="37"/>
      <c r="VIU366" s="37"/>
      <c r="VIV366" s="38"/>
      <c r="VIW366" s="38"/>
      <c r="VIX366" s="39"/>
      <c r="VIY366" s="34"/>
      <c r="VIZ366" s="34"/>
      <c r="VJA366" s="34"/>
      <c r="VJB366" s="35"/>
      <c r="VJC366" s="35"/>
      <c r="VJD366" s="35"/>
      <c r="VJE366" s="35"/>
      <c r="VJF366" s="35"/>
      <c r="VJG366" s="34"/>
      <c r="VJH366" s="34"/>
      <c r="VJI366" s="36"/>
      <c r="VJJ366" s="36"/>
      <c r="VJK366" s="37"/>
      <c r="VJL366" s="37"/>
      <c r="VJM366" s="38"/>
      <c r="VJN366" s="38"/>
      <c r="VJO366" s="39"/>
      <c r="VJP366" s="34"/>
      <c r="VJQ366" s="34"/>
      <c r="VJR366" s="34"/>
      <c r="VJS366" s="35"/>
      <c r="VJT366" s="35"/>
      <c r="VJU366" s="35"/>
      <c r="VJV366" s="35"/>
      <c r="VJW366" s="35"/>
      <c r="VJX366" s="34"/>
      <c r="VJY366" s="34"/>
      <c r="VJZ366" s="36"/>
      <c r="VKA366" s="36"/>
      <c r="VKB366" s="37"/>
      <c r="VKC366" s="37"/>
      <c r="VKD366" s="38"/>
      <c r="VKE366" s="38"/>
      <c r="VKF366" s="39"/>
      <c r="VKG366" s="34"/>
      <c r="VKH366" s="34"/>
      <c r="VKI366" s="34"/>
      <c r="VKJ366" s="35"/>
      <c r="VKK366" s="35"/>
      <c r="VKL366" s="35"/>
      <c r="VKM366" s="35"/>
      <c r="VKN366" s="35"/>
      <c r="VKO366" s="34"/>
      <c r="VKP366" s="34"/>
      <c r="VKQ366" s="36"/>
      <c r="VKR366" s="36"/>
      <c r="VKS366" s="37"/>
      <c r="VKT366" s="37"/>
      <c r="VKU366" s="38"/>
      <c r="VKV366" s="38"/>
      <c r="VKW366" s="39"/>
      <c r="VKX366" s="34"/>
      <c r="VKY366" s="34"/>
      <c r="VKZ366" s="34"/>
      <c r="VLA366" s="35"/>
      <c r="VLB366" s="35"/>
      <c r="VLC366" s="35"/>
      <c r="VLD366" s="35"/>
      <c r="VLE366" s="35"/>
      <c r="VLF366" s="34"/>
      <c r="VLG366" s="34"/>
      <c r="VLH366" s="36"/>
      <c r="VLI366" s="36"/>
      <c r="VLJ366" s="37"/>
      <c r="VLK366" s="37"/>
      <c r="VLL366" s="38"/>
      <c r="VLM366" s="38"/>
      <c r="VLN366" s="39"/>
      <c r="VLO366" s="34"/>
      <c r="VLP366" s="34"/>
      <c r="VLQ366" s="34"/>
      <c r="VLR366" s="35"/>
      <c r="VLS366" s="35"/>
      <c r="VLT366" s="35"/>
      <c r="VLU366" s="35"/>
      <c r="VLV366" s="35"/>
      <c r="VLW366" s="34"/>
      <c r="VLX366" s="34"/>
      <c r="VLY366" s="36"/>
      <c r="VLZ366" s="36"/>
      <c r="VMA366" s="37"/>
      <c r="VMB366" s="37"/>
      <c r="VMC366" s="38"/>
      <c r="VMD366" s="38"/>
      <c r="VME366" s="39"/>
      <c r="VMF366" s="34"/>
      <c r="VMG366" s="34"/>
      <c r="VMH366" s="34"/>
      <c r="VMI366" s="35"/>
      <c r="VMJ366" s="35"/>
      <c r="VMK366" s="35"/>
      <c r="VML366" s="35"/>
      <c r="VMM366" s="35"/>
      <c r="VMN366" s="34"/>
      <c r="VMO366" s="34"/>
      <c r="VMP366" s="36"/>
      <c r="VMQ366" s="36"/>
      <c r="VMR366" s="37"/>
      <c r="VMS366" s="37"/>
      <c r="VMT366" s="38"/>
      <c r="VMU366" s="38"/>
      <c r="VMV366" s="39"/>
      <c r="VMW366" s="34"/>
      <c r="VMX366" s="34"/>
      <c r="VMY366" s="34"/>
      <c r="VMZ366" s="35"/>
      <c r="VNA366" s="35"/>
      <c r="VNB366" s="35"/>
      <c r="VNC366" s="35"/>
      <c r="VND366" s="35"/>
      <c r="VNE366" s="34"/>
      <c r="VNF366" s="34"/>
      <c r="VNG366" s="36"/>
      <c r="VNH366" s="36"/>
      <c r="VNI366" s="37"/>
      <c r="VNJ366" s="37"/>
      <c r="VNK366" s="38"/>
      <c r="VNL366" s="38"/>
      <c r="VNM366" s="39"/>
      <c r="VNN366" s="34"/>
      <c r="VNO366" s="34"/>
      <c r="VNP366" s="34"/>
      <c r="VNQ366" s="35"/>
      <c r="VNR366" s="35"/>
      <c r="VNS366" s="35"/>
      <c r="VNT366" s="35"/>
      <c r="VNU366" s="35"/>
      <c r="VNV366" s="34"/>
      <c r="VNW366" s="34"/>
      <c r="VNX366" s="36"/>
      <c r="VNY366" s="36"/>
      <c r="VNZ366" s="37"/>
      <c r="VOA366" s="37"/>
      <c r="VOB366" s="38"/>
      <c r="VOC366" s="38"/>
      <c r="VOD366" s="39"/>
      <c r="VOE366" s="34"/>
      <c r="VOF366" s="34"/>
      <c r="VOG366" s="34"/>
      <c r="VOH366" s="35"/>
      <c r="VOI366" s="35"/>
      <c r="VOJ366" s="35"/>
      <c r="VOK366" s="35"/>
      <c r="VOL366" s="35"/>
      <c r="VOM366" s="34"/>
      <c r="VON366" s="34"/>
      <c r="VOO366" s="36"/>
      <c r="VOP366" s="36"/>
      <c r="VOQ366" s="37"/>
      <c r="VOR366" s="37"/>
      <c r="VOS366" s="38"/>
      <c r="VOT366" s="38"/>
      <c r="VOU366" s="39"/>
      <c r="VOV366" s="34"/>
      <c r="VOW366" s="34"/>
      <c r="VOX366" s="34"/>
      <c r="VOY366" s="35"/>
      <c r="VOZ366" s="35"/>
      <c r="VPA366" s="35"/>
      <c r="VPB366" s="35"/>
      <c r="VPC366" s="35"/>
      <c r="VPD366" s="34"/>
      <c r="VPE366" s="34"/>
      <c r="VPF366" s="36"/>
      <c r="VPG366" s="36"/>
      <c r="VPH366" s="37"/>
      <c r="VPI366" s="37"/>
      <c r="VPJ366" s="38"/>
      <c r="VPK366" s="38"/>
      <c r="VPL366" s="39"/>
      <c r="VPM366" s="34"/>
      <c r="VPN366" s="34"/>
      <c r="VPO366" s="34"/>
      <c r="VPP366" s="35"/>
      <c r="VPQ366" s="35"/>
      <c r="VPR366" s="35"/>
      <c r="VPS366" s="35"/>
      <c r="VPT366" s="35"/>
      <c r="VPU366" s="34"/>
      <c r="VPV366" s="34"/>
      <c r="VPW366" s="36"/>
      <c r="VPX366" s="36"/>
      <c r="VPY366" s="37"/>
      <c r="VPZ366" s="37"/>
      <c r="VQA366" s="38"/>
      <c r="VQB366" s="38"/>
      <c r="VQC366" s="39"/>
      <c r="VQD366" s="34"/>
      <c r="VQE366" s="34"/>
      <c r="VQF366" s="34"/>
      <c r="VQG366" s="35"/>
      <c r="VQH366" s="35"/>
      <c r="VQI366" s="35"/>
      <c r="VQJ366" s="35"/>
      <c r="VQK366" s="35"/>
      <c r="VQL366" s="34"/>
      <c r="VQM366" s="34"/>
      <c r="VQN366" s="36"/>
      <c r="VQO366" s="36"/>
      <c r="VQP366" s="37"/>
      <c r="VQQ366" s="37"/>
      <c r="VQR366" s="38"/>
      <c r="VQS366" s="38"/>
      <c r="VQT366" s="39"/>
      <c r="VQU366" s="34"/>
      <c r="VQV366" s="34"/>
      <c r="VQW366" s="34"/>
      <c r="VQX366" s="35"/>
      <c r="VQY366" s="35"/>
      <c r="VQZ366" s="35"/>
      <c r="VRA366" s="35"/>
      <c r="VRB366" s="35"/>
      <c r="VRC366" s="34"/>
      <c r="VRD366" s="34"/>
      <c r="VRE366" s="36"/>
      <c r="VRF366" s="36"/>
      <c r="VRG366" s="37"/>
      <c r="VRH366" s="37"/>
      <c r="VRI366" s="38"/>
      <c r="VRJ366" s="38"/>
      <c r="VRK366" s="39"/>
      <c r="VRL366" s="34"/>
      <c r="VRM366" s="34"/>
      <c r="VRN366" s="34"/>
      <c r="VRO366" s="35"/>
      <c r="VRP366" s="35"/>
      <c r="VRQ366" s="35"/>
      <c r="VRR366" s="35"/>
      <c r="VRS366" s="35"/>
      <c r="VRT366" s="34"/>
      <c r="VRU366" s="34"/>
      <c r="VRV366" s="36"/>
      <c r="VRW366" s="36"/>
      <c r="VRX366" s="37"/>
      <c r="VRY366" s="37"/>
      <c r="VRZ366" s="38"/>
      <c r="VSA366" s="38"/>
      <c r="VSB366" s="39"/>
      <c r="VSC366" s="34"/>
      <c r="VSD366" s="34"/>
      <c r="VSE366" s="34"/>
      <c r="VSF366" s="35"/>
      <c r="VSG366" s="35"/>
      <c r="VSH366" s="35"/>
      <c r="VSI366" s="35"/>
      <c r="VSJ366" s="35"/>
      <c r="VSK366" s="34"/>
      <c r="VSL366" s="34"/>
      <c r="VSM366" s="36"/>
      <c r="VSN366" s="36"/>
      <c r="VSO366" s="37"/>
      <c r="VSP366" s="37"/>
      <c r="VSQ366" s="38"/>
      <c r="VSR366" s="38"/>
      <c r="VSS366" s="39"/>
      <c r="VST366" s="34"/>
      <c r="VSU366" s="34"/>
      <c r="VSV366" s="34"/>
      <c r="VSW366" s="35"/>
      <c r="VSX366" s="35"/>
      <c r="VSY366" s="35"/>
      <c r="VSZ366" s="35"/>
      <c r="VTA366" s="35"/>
      <c r="VTB366" s="34"/>
      <c r="VTC366" s="34"/>
      <c r="VTD366" s="36"/>
      <c r="VTE366" s="36"/>
      <c r="VTF366" s="37"/>
      <c r="VTG366" s="37"/>
      <c r="VTH366" s="38"/>
      <c r="VTI366" s="38"/>
      <c r="VTJ366" s="39"/>
      <c r="VTK366" s="34"/>
      <c r="VTL366" s="34"/>
      <c r="VTM366" s="34"/>
      <c r="VTN366" s="35"/>
      <c r="VTO366" s="35"/>
      <c r="VTP366" s="35"/>
      <c r="VTQ366" s="35"/>
      <c r="VTR366" s="35"/>
      <c r="VTS366" s="34"/>
      <c r="VTT366" s="34"/>
      <c r="VTU366" s="36"/>
      <c r="VTV366" s="36"/>
      <c r="VTW366" s="37"/>
      <c r="VTX366" s="37"/>
      <c r="VTY366" s="38"/>
      <c r="VTZ366" s="38"/>
      <c r="VUA366" s="39"/>
      <c r="VUB366" s="34"/>
      <c r="VUC366" s="34"/>
      <c r="VUD366" s="34"/>
      <c r="VUE366" s="35"/>
      <c r="VUF366" s="35"/>
      <c r="VUG366" s="35"/>
      <c r="VUH366" s="35"/>
      <c r="VUI366" s="35"/>
      <c r="VUJ366" s="34"/>
      <c r="VUK366" s="34"/>
      <c r="VUL366" s="36"/>
      <c r="VUM366" s="36"/>
      <c r="VUN366" s="37"/>
      <c r="VUO366" s="37"/>
      <c r="VUP366" s="38"/>
      <c r="VUQ366" s="38"/>
      <c r="VUR366" s="39"/>
      <c r="VUS366" s="34"/>
      <c r="VUT366" s="34"/>
      <c r="VUU366" s="34"/>
      <c r="VUV366" s="35"/>
      <c r="VUW366" s="35"/>
      <c r="VUX366" s="35"/>
      <c r="VUY366" s="35"/>
      <c r="VUZ366" s="35"/>
      <c r="VVA366" s="34"/>
      <c r="VVB366" s="34"/>
      <c r="VVC366" s="36"/>
      <c r="VVD366" s="36"/>
      <c r="VVE366" s="37"/>
      <c r="VVF366" s="37"/>
      <c r="VVG366" s="38"/>
      <c r="VVH366" s="38"/>
      <c r="VVI366" s="39"/>
      <c r="VVJ366" s="34"/>
      <c r="VVK366" s="34"/>
      <c r="VVL366" s="34"/>
      <c r="VVM366" s="35"/>
      <c r="VVN366" s="35"/>
      <c r="VVO366" s="35"/>
      <c r="VVP366" s="35"/>
      <c r="VVQ366" s="35"/>
      <c r="VVR366" s="34"/>
      <c r="VVS366" s="34"/>
      <c r="VVT366" s="36"/>
      <c r="VVU366" s="36"/>
      <c r="VVV366" s="37"/>
      <c r="VVW366" s="37"/>
      <c r="VVX366" s="38"/>
      <c r="VVY366" s="38"/>
      <c r="VVZ366" s="39"/>
      <c r="VWA366" s="34"/>
      <c r="VWB366" s="34"/>
      <c r="VWC366" s="34"/>
      <c r="VWD366" s="35"/>
      <c r="VWE366" s="35"/>
      <c r="VWF366" s="35"/>
      <c r="VWG366" s="35"/>
      <c r="VWH366" s="35"/>
      <c r="VWI366" s="34"/>
      <c r="VWJ366" s="34"/>
      <c r="VWK366" s="36"/>
      <c r="VWL366" s="36"/>
      <c r="VWM366" s="37"/>
      <c r="VWN366" s="37"/>
      <c r="VWO366" s="38"/>
      <c r="VWP366" s="38"/>
      <c r="VWQ366" s="39"/>
      <c r="VWR366" s="34"/>
      <c r="VWS366" s="34"/>
      <c r="VWT366" s="34"/>
      <c r="VWU366" s="35"/>
      <c r="VWV366" s="35"/>
      <c r="VWW366" s="35"/>
      <c r="VWX366" s="35"/>
      <c r="VWY366" s="35"/>
      <c r="VWZ366" s="34"/>
      <c r="VXA366" s="34"/>
      <c r="VXB366" s="36"/>
      <c r="VXC366" s="36"/>
      <c r="VXD366" s="37"/>
      <c r="VXE366" s="37"/>
      <c r="VXF366" s="38"/>
      <c r="VXG366" s="38"/>
      <c r="VXH366" s="39"/>
      <c r="VXI366" s="34"/>
      <c r="VXJ366" s="34"/>
      <c r="VXK366" s="34"/>
      <c r="VXL366" s="35"/>
      <c r="VXM366" s="35"/>
      <c r="VXN366" s="35"/>
      <c r="VXO366" s="35"/>
      <c r="VXP366" s="35"/>
      <c r="VXQ366" s="34"/>
      <c r="VXR366" s="34"/>
      <c r="VXS366" s="36"/>
      <c r="VXT366" s="36"/>
      <c r="VXU366" s="37"/>
      <c r="VXV366" s="37"/>
      <c r="VXW366" s="38"/>
      <c r="VXX366" s="38"/>
      <c r="VXY366" s="39"/>
      <c r="VXZ366" s="34"/>
      <c r="VYA366" s="34"/>
      <c r="VYB366" s="34"/>
      <c r="VYC366" s="35"/>
      <c r="VYD366" s="35"/>
      <c r="VYE366" s="35"/>
      <c r="VYF366" s="35"/>
      <c r="VYG366" s="35"/>
      <c r="VYH366" s="34"/>
      <c r="VYI366" s="34"/>
      <c r="VYJ366" s="36"/>
      <c r="VYK366" s="36"/>
      <c r="VYL366" s="37"/>
      <c r="VYM366" s="37"/>
      <c r="VYN366" s="38"/>
      <c r="VYO366" s="38"/>
      <c r="VYP366" s="39"/>
      <c r="VYQ366" s="34"/>
      <c r="VYR366" s="34"/>
      <c r="VYS366" s="34"/>
      <c r="VYT366" s="35"/>
      <c r="VYU366" s="35"/>
      <c r="VYV366" s="35"/>
      <c r="VYW366" s="35"/>
      <c r="VYX366" s="35"/>
      <c r="VYY366" s="34"/>
      <c r="VYZ366" s="34"/>
      <c r="VZA366" s="36"/>
      <c r="VZB366" s="36"/>
      <c r="VZC366" s="37"/>
      <c r="VZD366" s="37"/>
      <c r="VZE366" s="38"/>
      <c r="VZF366" s="38"/>
      <c r="VZG366" s="39"/>
      <c r="VZH366" s="34"/>
      <c r="VZI366" s="34"/>
      <c r="VZJ366" s="34"/>
      <c r="VZK366" s="35"/>
      <c r="VZL366" s="35"/>
      <c r="VZM366" s="35"/>
      <c r="VZN366" s="35"/>
      <c r="VZO366" s="35"/>
      <c r="VZP366" s="34"/>
      <c r="VZQ366" s="34"/>
      <c r="VZR366" s="36"/>
      <c r="VZS366" s="36"/>
      <c r="VZT366" s="37"/>
      <c r="VZU366" s="37"/>
      <c r="VZV366" s="38"/>
      <c r="VZW366" s="38"/>
      <c r="VZX366" s="39"/>
      <c r="VZY366" s="34"/>
      <c r="VZZ366" s="34"/>
      <c r="WAA366" s="34"/>
      <c r="WAB366" s="35"/>
      <c r="WAC366" s="35"/>
      <c r="WAD366" s="35"/>
      <c r="WAE366" s="35"/>
      <c r="WAF366" s="35"/>
      <c r="WAG366" s="34"/>
      <c r="WAH366" s="34"/>
      <c r="WAI366" s="36"/>
      <c r="WAJ366" s="36"/>
      <c r="WAK366" s="37"/>
      <c r="WAL366" s="37"/>
      <c r="WAM366" s="38"/>
      <c r="WAN366" s="38"/>
      <c r="WAO366" s="39"/>
      <c r="WAP366" s="34"/>
      <c r="WAQ366" s="34"/>
      <c r="WAR366" s="34"/>
      <c r="WAS366" s="35"/>
      <c r="WAT366" s="35"/>
      <c r="WAU366" s="35"/>
      <c r="WAV366" s="35"/>
      <c r="WAW366" s="35"/>
      <c r="WAX366" s="34"/>
      <c r="WAY366" s="34"/>
      <c r="WAZ366" s="36"/>
      <c r="WBA366" s="36"/>
      <c r="WBB366" s="37"/>
      <c r="WBC366" s="37"/>
      <c r="WBD366" s="38"/>
      <c r="WBE366" s="38"/>
      <c r="WBF366" s="39"/>
      <c r="WBG366" s="34"/>
      <c r="WBH366" s="34"/>
      <c r="WBI366" s="34"/>
      <c r="WBJ366" s="35"/>
      <c r="WBK366" s="35"/>
      <c r="WBL366" s="35"/>
      <c r="WBM366" s="35"/>
      <c r="WBN366" s="35"/>
      <c r="WBO366" s="34"/>
      <c r="WBP366" s="34"/>
      <c r="WBQ366" s="36"/>
      <c r="WBR366" s="36"/>
      <c r="WBS366" s="37"/>
      <c r="WBT366" s="37"/>
      <c r="WBU366" s="38"/>
      <c r="WBV366" s="38"/>
      <c r="WBW366" s="39"/>
      <c r="WBX366" s="34"/>
      <c r="WBY366" s="34"/>
      <c r="WBZ366" s="34"/>
      <c r="WCA366" s="35"/>
      <c r="WCB366" s="35"/>
      <c r="WCC366" s="35"/>
      <c r="WCD366" s="35"/>
      <c r="WCE366" s="35"/>
      <c r="WCF366" s="34"/>
      <c r="WCG366" s="34"/>
      <c r="WCH366" s="36"/>
      <c r="WCI366" s="36"/>
      <c r="WCJ366" s="37"/>
      <c r="WCK366" s="37"/>
      <c r="WCL366" s="38"/>
      <c r="WCM366" s="38"/>
      <c r="WCN366" s="39"/>
      <c r="WCO366" s="34"/>
      <c r="WCP366" s="34"/>
      <c r="WCQ366" s="34"/>
      <c r="WCR366" s="35"/>
      <c r="WCS366" s="35"/>
      <c r="WCT366" s="35"/>
      <c r="WCU366" s="35"/>
      <c r="WCV366" s="35"/>
      <c r="WCW366" s="34"/>
      <c r="WCX366" s="34"/>
      <c r="WCY366" s="36"/>
      <c r="WCZ366" s="36"/>
      <c r="WDA366" s="37"/>
      <c r="WDB366" s="37"/>
      <c r="WDC366" s="38"/>
      <c r="WDD366" s="38"/>
      <c r="WDE366" s="39"/>
      <c r="WDF366" s="34"/>
      <c r="WDG366" s="34"/>
      <c r="WDH366" s="34"/>
      <c r="WDI366" s="35"/>
      <c r="WDJ366" s="35"/>
      <c r="WDK366" s="35"/>
      <c r="WDL366" s="35"/>
      <c r="WDM366" s="35"/>
      <c r="WDN366" s="34"/>
      <c r="WDO366" s="34"/>
      <c r="WDP366" s="36"/>
      <c r="WDQ366" s="36"/>
      <c r="WDR366" s="37"/>
      <c r="WDS366" s="37"/>
      <c r="WDT366" s="38"/>
      <c r="WDU366" s="38"/>
      <c r="WDV366" s="39"/>
      <c r="WDW366" s="34"/>
      <c r="WDX366" s="34"/>
      <c r="WDY366" s="34"/>
      <c r="WDZ366" s="35"/>
      <c r="WEA366" s="35"/>
      <c r="WEB366" s="35"/>
      <c r="WEC366" s="35"/>
      <c r="WED366" s="35"/>
      <c r="WEE366" s="34"/>
      <c r="WEF366" s="34"/>
      <c r="WEG366" s="36"/>
      <c r="WEH366" s="36"/>
      <c r="WEI366" s="37"/>
      <c r="WEJ366" s="37"/>
      <c r="WEK366" s="38"/>
      <c r="WEL366" s="38"/>
      <c r="WEM366" s="39"/>
      <c r="WEN366" s="34"/>
      <c r="WEO366" s="34"/>
      <c r="WEP366" s="34"/>
      <c r="WEQ366" s="35"/>
      <c r="WER366" s="35"/>
      <c r="WES366" s="35"/>
      <c r="WET366" s="35"/>
      <c r="WEU366" s="35"/>
      <c r="WEV366" s="34"/>
      <c r="WEW366" s="34"/>
      <c r="WEX366" s="36"/>
      <c r="WEY366" s="36"/>
      <c r="WEZ366" s="37"/>
      <c r="WFA366" s="37"/>
      <c r="WFB366" s="38"/>
      <c r="WFC366" s="38"/>
      <c r="WFD366" s="39"/>
      <c r="WFE366" s="34"/>
      <c r="WFF366" s="34"/>
      <c r="WFG366" s="34"/>
      <c r="WFH366" s="35"/>
      <c r="WFI366" s="35"/>
      <c r="WFJ366" s="35"/>
      <c r="WFK366" s="35"/>
      <c r="WFL366" s="35"/>
      <c r="WFM366" s="34"/>
      <c r="WFN366" s="34"/>
      <c r="WFO366" s="36"/>
      <c r="WFP366" s="36"/>
      <c r="WFQ366" s="37"/>
      <c r="WFR366" s="37"/>
      <c r="WFS366" s="38"/>
      <c r="WFT366" s="38"/>
      <c r="WFU366" s="39"/>
      <c r="WFV366" s="34"/>
      <c r="WFW366" s="34"/>
      <c r="WFX366" s="34"/>
      <c r="WFY366" s="35"/>
      <c r="WFZ366" s="35"/>
      <c r="WGA366" s="35"/>
      <c r="WGB366" s="35"/>
      <c r="WGC366" s="35"/>
      <c r="WGD366" s="34"/>
      <c r="WGE366" s="34"/>
      <c r="WGF366" s="36"/>
      <c r="WGG366" s="36"/>
      <c r="WGH366" s="37"/>
      <c r="WGI366" s="37"/>
      <c r="WGJ366" s="38"/>
      <c r="WGK366" s="38"/>
      <c r="WGL366" s="39"/>
      <c r="WGM366" s="34"/>
      <c r="WGN366" s="34"/>
      <c r="WGO366" s="34"/>
      <c r="WGP366" s="35"/>
      <c r="WGQ366" s="35"/>
      <c r="WGR366" s="35"/>
      <c r="WGS366" s="35"/>
      <c r="WGT366" s="35"/>
      <c r="WGU366" s="34"/>
      <c r="WGV366" s="34"/>
      <c r="WGW366" s="36"/>
      <c r="WGX366" s="36"/>
      <c r="WGY366" s="37"/>
      <c r="WGZ366" s="37"/>
      <c r="WHA366" s="38"/>
      <c r="WHB366" s="38"/>
      <c r="WHC366" s="39"/>
      <c r="WHD366" s="34"/>
      <c r="WHE366" s="34"/>
      <c r="WHF366" s="34"/>
      <c r="WHG366" s="35"/>
      <c r="WHH366" s="35"/>
      <c r="WHI366" s="35"/>
      <c r="WHJ366" s="35"/>
      <c r="WHK366" s="35"/>
      <c r="WHL366" s="34"/>
      <c r="WHM366" s="34"/>
      <c r="WHN366" s="36"/>
      <c r="WHO366" s="36"/>
      <c r="WHP366" s="37"/>
      <c r="WHQ366" s="37"/>
      <c r="WHR366" s="38"/>
      <c r="WHS366" s="38"/>
      <c r="WHT366" s="39"/>
      <c r="WHU366" s="34"/>
      <c r="WHV366" s="34"/>
      <c r="WHW366" s="34"/>
      <c r="WHX366" s="35"/>
      <c r="WHY366" s="35"/>
      <c r="WHZ366" s="35"/>
      <c r="WIA366" s="35"/>
      <c r="WIB366" s="35"/>
      <c r="WIC366" s="34"/>
      <c r="WID366" s="34"/>
      <c r="WIE366" s="36"/>
      <c r="WIF366" s="36"/>
      <c r="WIG366" s="37"/>
      <c r="WIH366" s="37"/>
      <c r="WII366" s="38"/>
      <c r="WIJ366" s="38"/>
      <c r="WIK366" s="39"/>
      <c r="WIL366" s="34"/>
      <c r="WIM366" s="34"/>
      <c r="WIN366" s="34"/>
      <c r="WIO366" s="35"/>
      <c r="WIP366" s="35"/>
      <c r="WIQ366" s="35"/>
      <c r="WIR366" s="35"/>
      <c r="WIS366" s="35"/>
      <c r="WIT366" s="34"/>
      <c r="WIU366" s="34"/>
      <c r="WIV366" s="36"/>
      <c r="WIW366" s="36"/>
      <c r="WIX366" s="37"/>
      <c r="WIY366" s="37"/>
      <c r="WIZ366" s="38"/>
      <c r="WJA366" s="38"/>
      <c r="WJB366" s="39"/>
      <c r="WJC366" s="34"/>
      <c r="WJD366" s="34"/>
      <c r="WJE366" s="34"/>
      <c r="WJF366" s="35"/>
      <c r="WJG366" s="35"/>
      <c r="WJH366" s="35"/>
      <c r="WJI366" s="35"/>
      <c r="WJJ366" s="35"/>
      <c r="WJK366" s="34"/>
      <c r="WJL366" s="34"/>
      <c r="WJM366" s="36"/>
      <c r="WJN366" s="36"/>
      <c r="WJO366" s="37"/>
      <c r="WJP366" s="37"/>
      <c r="WJQ366" s="38"/>
      <c r="WJR366" s="38"/>
      <c r="WJS366" s="39"/>
      <c r="WJT366" s="34"/>
      <c r="WJU366" s="34"/>
      <c r="WJV366" s="34"/>
      <c r="WJW366" s="35"/>
      <c r="WJX366" s="35"/>
      <c r="WJY366" s="35"/>
      <c r="WJZ366" s="35"/>
      <c r="WKA366" s="35"/>
      <c r="WKB366" s="34"/>
      <c r="WKC366" s="34"/>
      <c r="WKD366" s="36"/>
      <c r="WKE366" s="36"/>
      <c r="WKF366" s="37"/>
      <c r="WKG366" s="37"/>
      <c r="WKH366" s="38"/>
      <c r="WKI366" s="38"/>
      <c r="WKJ366" s="39"/>
      <c r="WKK366" s="34"/>
      <c r="WKL366" s="34"/>
      <c r="WKM366" s="34"/>
      <c r="WKN366" s="35"/>
      <c r="WKO366" s="35"/>
      <c r="WKP366" s="35"/>
      <c r="WKQ366" s="35"/>
      <c r="WKR366" s="35"/>
      <c r="WKS366" s="34"/>
      <c r="WKT366" s="34"/>
      <c r="WKU366" s="36"/>
      <c r="WKV366" s="36"/>
      <c r="WKW366" s="37"/>
      <c r="WKX366" s="37"/>
      <c r="WKY366" s="38"/>
      <c r="WKZ366" s="38"/>
      <c r="WLA366" s="39"/>
      <c r="WLB366" s="34"/>
      <c r="WLC366" s="34"/>
      <c r="WLD366" s="34"/>
      <c r="WLE366" s="35"/>
      <c r="WLF366" s="35"/>
      <c r="WLG366" s="35"/>
      <c r="WLH366" s="35"/>
      <c r="WLI366" s="35"/>
      <c r="WLJ366" s="34"/>
      <c r="WLK366" s="34"/>
      <c r="WLL366" s="36"/>
      <c r="WLM366" s="36"/>
      <c r="WLN366" s="37"/>
      <c r="WLO366" s="37"/>
      <c r="WLP366" s="38"/>
      <c r="WLQ366" s="38"/>
      <c r="WLR366" s="39"/>
      <c r="WLS366" s="34"/>
      <c r="WLT366" s="34"/>
      <c r="WLU366" s="34"/>
      <c r="WLV366" s="35"/>
      <c r="WLW366" s="35"/>
      <c r="WLX366" s="35"/>
      <c r="WLY366" s="35"/>
      <c r="WLZ366" s="35"/>
      <c r="WMA366" s="34"/>
      <c r="WMB366" s="34"/>
      <c r="WMC366" s="36"/>
      <c r="WMD366" s="36"/>
      <c r="WME366" s="37"/>
      <c r="WMF366" s="37"/>
      <c r="WMG366" s="38"/>
      <c r="WMH366" s="38"/>
      <c r="WMI366" s="39"/>
      <c r="WMJ366" s="34"/>
      <c r="WMK366" s="34"/>
      <c r="WML366" s="34"/>
      <c r="WMM366" s="35"/>
      <c r="WMN366" s="35"/>
      <c r="WMO366" s="35"/>
      <c r="WMP366" s="35"/>
      <c r="WMQ366" s="35"/>
      <c r="WMR366" s="34"/>
      <c r="WMS366" s="34"/>
      <c r="WMT366" s="36"/>
      <c r="WMU366" s="36"/>
      <c r="WMV366" s="37"/>
      <c r="WMW366" s="37"/>
      <c r="WMX366" s="38"/>
      <c r="WMY366" s="38"/>
      <c r="WMZ366" s="39"/>
      <c r="WNA366" s="34"/>
      <c r="WNB366" s="34"/>
      <c r="WNC366" s="34"/>
      <c r="WND366" s="35"/>
      <c r="WNE366" s="35"/>
      <c r="WNF366" s="35"/>
      <c r="WNG366" s="35"/>
      <c r="WNH366" s="35"/>
      <c r="WNI366" s="34"/>
      <c r="WNJ366" s="34"/>
      <c r="WNK366" s="36"/>
      <c r="WNL366" s="36"/>
      <c r="WNM366" s="37"/>
      <c r="WNN366" s="37"/>
      <c r="WNO366" s="38"/>
      <c r="WNP366" s="38"/>
      <c r="WNQ366" s="39"/>
      <c r="WNR366" s="34"/>
      <c r="WNS366" s="34"/>
      <c r="WNT366" s="34"/>
      <c r="WNU366" s="35"/>
      <c r="WNV366" s="35"/>
      <c r="WNW366" s="35"/>
      <c r="WNX366" s="35"/>
      <c r="WNY366" s="35"/>
      <c r="WNZ366" s="34"/>
      <c r="WOA366" s="34"/>
      <c r="WOB366" s="36"/>
      <c r="WOC366" s="36"/>
      <c r="WOD366" s="37"/>
      <c r="WOE366" s="37"/>
      <c r="WOF366" s="38"/>
      <c r="WOG366" s="38"/>
      <c r="WOH366" s="39"/>
      <c r="WOI366" s="34"/>
      <c r="WOJ366" s="34"/>
      <c r="WOK366" s="34"/>
      <c r="WOL366" s="35"/>
      <c r="WOM366" s="35"/>
      <c r="WON366" s="35"/>
      <c r="WOO366" s="35"/>
      <c r="WOP366" s="35"/>
      <c r="WOQ366" s="34"/>
      <c r="WOR366" s="34"/>
      <c r="WOS366" s="36"/>
      <c r="WOT366" s="36"/>
      <c r="WOU366" s="37"/>
      <c r="WOV366" s="37"/>
      <c r="WOW366" s="38"/>
      <c r="WOX366" s="38"/>
      <c r="WOY366" s="39"/>
      <c r="WOZ366" s="34"/>
      <c r="WPA366" s="34"/>
      <c r="WPB366" s="34"/>
      <c r="WPC366" s="35"/>
      <c r="WPD366" s="35"/>
      <c r="WPE366" s="35"/>
      <c r="WPF366" s="35"/>
      <c r="WPG366" s="35"/>
      <c r="WPH366" s="34"/>
      <c r="WPI366" s="34"/>
      <c r="WPJ366" s="36"/>
      <c r="WPK366" s="36"/>
      <c r="WPL366" s="37"/>
      <c r="WPM366" s="37"/>
      <c r="WPN366" s="38"/>
      <c r="WPO366" s="38"/>
      <c r="WPP366" s="39"/>
      <c r="WPQ366" s="34"/>
      <c r="WPR366" s="34"/>
      <c r="WPS366" s="34"/>
      <c r="WPT366" s="35"/>
      <c r="WPU366" s="35"/>
      <c r="WPV366" s="35"/>
      <c r="WPW366" s="35"/>
      <c r="WPX366" s="35"/>
      <c r="WPY366" s="34"/>
      <c r="WPZ366" s="34"/>
      <c r="WQA366" s="36"/>
      <c r="WQB366" s="36"/>
      <c r="WQC366" s="37"/>
      <c r="WQD366" s="37"/>
      <c r="WQE366" s="38"/>
      <c r="WQF366" s="38"/>
      <c r="WQG366" s="39"/>
      <c r="WQH366" s="34"/>
      <c r="WQI366" s="34"/>
      <c r="WQJ366" s="34"/>
      <c r="WQK366" s="35"/>
      <c r="WQL366" s="35"/>
      <c r="WQM366" s="35"/>
      <c r="WQN366" s="35"/>
      <c r="WQO366" s="35"/>
      <c r="WQP366" s="34"/>
      <c r="WQQ366" s="34"/>
      <c r="WQR366" s="36"/>
      <c r="WQS366" s="36"/>
      <c r="WQT366" s="37"/>
      <c r="WQU366" s="37"/>
      <c r="WQV366" s="38"/>
      <c r="WQW366" s="38"/>
      <c r="WQX366" s="39"/>
      <c r="WQY366" s="34"/>
      <c r="WQZ366" s="34"/>
      <c r="WRA366" s="34"/>
      <c r="WRB366" s="35"/>
      <c r="WRC366" s="35"/>
      <c r="WRD366" s="35"/>
      <c r="WRE366" s="35"/>
      <c r="WRF366" s="35"/>
      <c r="WRG366" s="34"/>
      <c r="WRH366" s="34"/>
      <c r="WRI366" s="36"/>
      <c r="WRJ366" s="36"/>
      <c r="WRK366" s="37"/>
      <c r="WRL366" s="37"/>
      <c r="WRM366" s="38"/>
      <c r="WRN366" s="38"/>
      <c r="WRO366" s="39"/>
      <c r="WRP366" s="34"/>
      <c r="WRQ366" s="34"/>
      <c r="WRR366" s="34"/>
      <c r="WRS366" s="35"/>
      <c r="WRT366" s="35"/>
      <c r="WRU366" s="35"/>
      <c r="WRV366" s="35"/>
      <c r="WRW366" s="35"/>
      <c r="WRX366" s="34"/>
      <c r="WRY366" s="34"/>
      <c r="WRZ366" s="36"/>
      <c r="WSA366" s="36"/>
      <c r="WSB366" s="37"/>
      <c r="WSC366" s="37"/>
      <c r="WSD366" s="38"/>
      <c r="WSE366" s="38"/>
      <c r="WSF366" s="39"/>
      <c r="WSG366" s="34"/>
      <c r="WSH366" s="34"/>
      <c r="WSI366" s="34"/>
      <c r="WSJ366" s="35"/>
      <c r="WSK366" s="35"/>
      <c r="WSL366" s="35"/>
      <c r="WSM366" s="35"/>
      <c r="WSN366" s="35"/>
      <c r="WSO366" s="34"/>
      <c r="WSP366" s="34"/>
      <c r="WSQ366" s="36"/>
      <c r="WSR366" s="36"/>
      <c r="WSS366" s="37"/>
      <c r="WST366" s="37"/>
      <c r="WSU366" s="38"/>
      <c r="WSV366" s="38"/>
      <c r="WSW366" s="39"/>
      <c r="WSX366" s="34"/>
      <c r="WSY366" s="34"/>
      <c r="WSZ366" s="34"/>
      <c r="WTA366" s="35"/>
      <c r="WTB366" s="35"/>
      <c r="WTC366" s="35"/>
      <c r="WTD366" s="35"/>
      <c r="WTE366" s="35"/>
      <c r="WTF366" s="34"/>
      <c r="WTG366" s="34"/>
      <c r="WTH366" s="36"/>
      <c r="WTI366" s="36"/>
      <c r="WTJ366" s="37"/>
      <c r="WTK366" s="37"/>
      <c r="WTL366" s="38"/>
      <c r="WTM366" s="38"/>
      <c r="WTN366" s="39"/>
      <c r="WTO366" s="34"/>
      <c r="WTP366" s="34"/>
      <c r="WTQ366" s="34"/>
      <c r="WTR366" s="35"/>
      <c r="WTS366" s="35"/>
      <c r="WTT366" s="35"/>
      <c r="WTU366" s="35"/>
      <c r="WTV366" s="35"/>
      <c r="WTW366" s="34"/>
      <c r="WTX366" s="34"/>
      <c r="WTY366" s="36"/>
      <c r="WTZ366" s="36"/>
      <c r="WUA366" s="37"/>
      <c r="WUB366" s="37"/>
      <c r="WUC366" s="38"/>
      <c r="WUD366" s="38"/>
      <c r="WUE366" s="39"/>
      <c r="WUF366" s="34"/>
      <c r="WUG366" s="34"/>
      <c r="WUH366" s="34"/>
      <c r="WUI366" s="35"/>
      <c r="WUJ366" s="35"/>
      <c r="WUK366" s="35"/>
      <c r="WUL366" s="35"/>
      <c r="WUM366" s="35"/>
      <c r="WUN366" s="34"/>
      <c r="WUO366" s="34"/>
      <c r="WUP366" s="36"/>
      <c r="WUQ366" s="36"/>
      <c r="WUR366" s="37"/>
      <c r="WUS366" s="37"/>
      <c r="WUT366" s="38"/>
      <c r="WUU366" s="38"/>
      <c r="WUV366" s="39"/>
      <c r="WUW366" s="34"/>
      <c r="WUX366" s="34"/>
      <c r="WUY366" s="34"/>
      <c r="WUZ366" s="35"/>
      <c r="WVA366" s="35"/>
      <c r="WVB366" s="35"/>
      <c r="WVC366" s="35"/>
      <c r="WVD366" s="35"/>
      <c r="WVE366" s="34"/>
      <c r="WVF366" s="34"/>
      <c r="WVG366" s="36"/>
      <c r="WVH366" s="36"/>
      <c r="WVI366" s="37"/>
      <c r="WVJ366" s="37"/>
      <c r="WVK366" s="38"/>
      <c r="WVL366" s="38"/>
      <c r="WVM366" s="39"/>
      <c r="WVN366" s="34"/>
      <c r="WVO366" s="34"/>
      <c r="WVP366" s="34"/>
      <c r="WVQ366" s="35"/>
      <c r="WVR366" s="35"/>
      <c r="WVS366" s="35"/>
      <c r="WVT366" s="35"/>
      <c r="WVU366" s="35"/>
      <c r="WVV366" s="34"/>
      <c r="WVW366" s="34"/>
      <c r="WVX366" s="36"/>
      <c r="WVY366" s="36"/>
      <c r="WVZ366" s="37"/>
      <c r="WWA366" s="37"/>
      <c r="WWB366" s="38"/>
      <c r="WWC366" s="38"/>
      <c r="WWD366" s="39"/>
      <c r="WWE366" s="34"/>
      <c r="WWF366" s="34"/>
      <c r="WWG366" s="34"/>
      <c r="WWH366" s="35"/>
      <c r="WWI366" s="35"/>
      <c r="WWJ366" s="35"/>
      <c r="WWK366" s="35"/>
      <c r="WWL366" s="35"/>
      <c r="WWM366" s="34"/>
      <c r="WWN366" s="34"/>
      <c r="WWO366" s="36"/>
      <c r="WWP366" s="36"/>
      <c r="WWQ366" s="37"/>
      <c r="WWR366" s="37"/>
      <c r="WWS366" s="38"/>
      <c r="WWT366" s="38"/>
      <c r="WWU366" s="39"/>
      <c r="WWV366" s="34"/>
      <c r="WWW366" s="34"/>
      <c r="WWX366" s="34"/>
      <c r="WWY366" s="35"/>
      <c r="WWZ366" s="35"/>
      <c r="WXA366" s="35"/>
      <c r="WXB366" s="35"/>
      <c r="WXC366" s="35"/>
      <c r="WXD366" s="34"/>
      <c r="WXE366" s="34"/>
      <c r="WXF366" s="36"/>
      <c r="WXG366" s="36"/>
      <c r="WXH366" s="37"/>
      <c r="WXI366" s="37"/>
      <c r="WXJ366" s="38"/>
      <c r="WXK366" s="38"/>
      <c r="WXL366" s="39"/>
      <c r="WXM366" s="34"/>
      <c r="WXN366" s="34"/>
      <c r="WXO366" s="34"/>
      <c r="WXP366" s="35"/>
      <c r="WXQ366" s="35"/>
      <c r="WXR366" s="35"/>
      <c r="WXS366" s="35"/>
      <c r="WXT366" s="35"/>
      <c r="WXU366" s="34"/>
      <c r="WXV366" s="34"/>
      <c r="WXW366" s="36"/>
      <c r="WXX366" s="36"/>
      <c r="WXY366" s="37"/>
      <c r="WXZ366" s="37"/>
      <c r="WYA366" s="38"/>
      <c r="WYB366" s="38"/>
      <c r="WYC366" s="39"/>
      <c r="WYD366" s="34"/>
      <c r="WYE366" s="34"/>
      <c r="WYF366" s="34"/>
      <c r="WYG366" s="35"/>
      <c r="WYH366" s="35"/>
      <c r="WYI366" s="35"/>
      <c r="WYJ366" s="35"/>
      <c r="WYK366" s="35"/>
      <c r="WYL366" s="34"/>
      <c r="WYM366" s="34"/>
      <c r="WYN366" s="36"/>
      <c r="WYO366" s="36"/>
      <c r="WYP366" s="37"/>
      <c r="WYQ366" s="37"/>
      <c r="WYR366" s="38"/>
      <c r="WYS366" s="38"/>
      <c r="WYT366" s="39"/>
      <c r="WYU366" s="34"/>
      <c r="WYV366" s="34"/>
      <c r="WYW366" s="34"/>
      <c r="WYX366" s="35"/>
      <c r="WYY366" s="35"/>
      <c r="WYZ366" s="35"/>
      <c r="WZA366" s="35"/>
      <c r="WZB366" s="35"/>
      <c r="WZC366" s="34"/>
      <c r="WZD366" s="34"/>
      <c r="WZE366" s="36"/>
      <c r="WZF366" s="36"/>
      <c r="WZG366" s="37"/>
      <c r="WZH366" s="37"/>
      <c r="WZI366" s="38"/>
      <c r="WZJ366" s="38"/>
      <c r="WZK366" s="39"/>
      <c r="WZL366" s="34"/>
      <c r="WZM366" s="34"/>
      <c r="WZN366" s="34"/>
      <c r="WZO366" s="35"/>
      <c r="WZP366" s="35"/>
      <c r="WZQ366" s="35"/>
      <c r="WZR366" s="35"/>
      <c r="WZS366" s="35"/>
      <c r="WZT366" s="34"/>
      <c r="WZU366" s="34"/>
      <c r="WZV366" s="36"/>
      <c r="WZW366" s="36"/>
      <c r="WZX366" s="37"/>
      <c r="WZY366" s="37"/>
      <c r="WZZ366" s="38"/>
      <c r="XAA366" s="38"/>
      <c r="XAB366" s="39"/>
      <c r="XAC366" s="34"/>
      <c r="XAD366" s="34"/>
      <c r="XAE366" s="34"/>
      <c r="XAF366" s="35"/>
      <c r="XAG366" s="35"/>
      <c r="XAH366" s="35"/>
      <c r="XAI366" s="35"/>
      <c r="XAJ366" s="35"/>
      <c r="XAK366" s="34"/>
      <c r="XAL366" s="34"/>
      <c r="XAM366" s="36"/>
      <c r="XAN366" s="36"/>
      <c r="XAO366" s="37"/>
      <c r="XAP366" s="37"/>
      <c r="XAQ366" s="38"/>
      <c r="XAR366" s="38"/>
      <c r="XAS366" s="39"/>
      <c r="XAT366" s="34"/>
      <c r="XAU366" s="34"/>
      <c r="XAV366" s="34"/>
      <c r="XAW366" s="35"/>
      <c r="XAX366" s="35"/>
      <c r="XAY366" s="35"/>
      <c r="XAZ366" s="35"/>
      <c r="XBA366" s="35"/>
      <c r="XBB366" s="34"/>
      <c r="XBC366" s="34"/>
      <c r="XBD366" s="36"/>
      <c r="XBE366" s="36"/>
      <c r="XBF366" s="37"/>
      <c r="XBG366" s="37"/>
      <c r="XBH366" s="38"/>
      <c r="XBI366" s="38"/>
      <c r="XBJ366" s="39"/>
      <c r="XBK366" s="34"/>
      <c r="XBL366" s="34"/>
      <c r="XBM366" s="34"/>
      <c r="XBN366" s="35"/>
      <c r="XBO366" s="35"/>
      <c r="XBP366" s="35"/>
      <c r="XBQ366" s="35"/>
      <c r="XBR366" s="35"/>
      <c r="XBS366" s="34"/>
      <c r="XBT366" s="34"/>
      <c r="XBU366" s="36"/>
      <c r="XBV366" s="36"/>
      <c r="XBW366" s="37"/>
      <c r="XBX366" s="37"/>
      <c r="XBY366" s="38"/>
      <c r="XBZ366" s="38"/>
      <c r="XCA366" s="39"/>
      <c r="XCB366" s="34"/>
      <c r="XCC366" s="34"/>
      <c r="XCD366" s="34"/>
      <c r="XCE366" s="35"/>
      <c r="XCF366" s="35"/>
      <c r="XCG366" s="35"/>
      <c r="XCH366" s="35"/>
      <c r="XCI366" s="35"/>
      <c r="XCJ366" s="34"/>
      <c r="XCK366" s="34"/>
      <c r="XCL366" s="36"/>
      <c r="XCM366" s="36"/>
      <c r="XCN366" s="37"/>
      <c r="XCO366" s="37"/>
      <c r="XCP366" s="38"/>
      <c r="XCQ366" s="38"/>
      <c r="XCR366" s="39"/>
      <c r="XCS366" s="34"/>
      <c r="XCT366" s="34"/>
      <c r="XCU366" s="34"/>
      <c r="XCV366" s="35"/>
      <c r="XCW366" s="35"/>
      <c r="XCX366" s="35"/>
      <c r="XCY366" s="35"/>
      <c r="XCZ366" s="35"/>
      <c r="XDA366" s="34"/>
      <c r="XDB366" s="34"/>
      <c r="XDC366" s="36"/>
      <c r="XDD366" s="36"/>
      <c r="XDE366" s="37"/>
      <c r="XDF366" s="37"/>
      <c r="XDG366" s="38"/>
      <c r="XDH366" s="38"/>
      <c r="XDI366" s="39"/>
      <c r="XDJ366" s="34"/>
      <c r="XDK366" s="34"/>
      <c r="XDL366" s="34"/>
      <c r="XDM366" s="35"/>
      <c r="XDN366" s="35"/>
      <c r="XDO366" s="35"/>
      <c r="XDP366" s="35"/>
      <c r="XDQ366" s="35"/>
      <c r="XDR366" s="34"/>
      <c r="XDS366" s="34"/>
      <c r="XDT366" s="36"/>
      <c r="XDU366" s="36"/>
      <c r="XDV366" s="37"/>
      <c r="XDW366" s="37"/>
      <c r="XDX366" s="38"/>
      <c r="XDY366" s="38"/>
      <c r="XDZ366" s="39"/>
      <c r="XEA366" s="34"/>
      <c r="XEB366" s="34"/>
      <c r="XEC366" s="34"/>
      <c r="XED366" s="35"/>
      <c r="XEE366" s="35"/>
      <c r="XEF366" s="35"/>
      <c r="XEG366" s="35"/>
      <c r="XEH366" s="35"/>
      <c r="XEI366" s="34"/>
      <c r="XEJ366" s="34"/>
      <c r="XEK366" s="36"/>
      <c r="XEL366" s="36"/>
      <c r="XEM366" s="37"/>
      <c r="XEN366" s="37"/>
      <c r="XEO366" s="38"/>
      <c r="XEP366" s="38"/>
      <c r="XEQ366" s="39"/>
      <c r="XER366" s="34"/>
      <c r="XES366" s="34"/>
      <c r="XET366" s="34"/>
      <c r="XEU366" s="35"/>
      <c r="XEV366" s="35"/>
      <c r="XEW366" s="35"/>
      <c r="XEX366" s="35"/>
      <c r="XEY366" s="35"/>
      <c r="XEZ366" s="34"/>
      <c r="XFA366" s="34"/>
      <c r="XFB366" s="36"/>
      <c r="XFC366" s="36"/>
      <c r="XFD366" s="37"/>
    </row>
    <row r="367" spans="1:16384" s="2" customFormat="1" ht="14.25" customHeight="1" x14ac:dyDescent="0.25">
      <c r="A367" s="47">
        <v>1</v>
      </c>
      <c r="B367" s="47">
        <v>2</v>
      </c>
      <c r="C367" s="47">
        <v>5</v>
      </c>
      <c r="D367" s="48" t="s">
        <v>779</v>
      </c>
      <c r="E367" s="48" t="s">
        <v>776</v>
      </c>
      <c r="F367" s="48" t="s">
        <v>1010</v>
      </c>
      <c r="G367" s="48" t="s">
        <v>191</v>
      </c>
      <c r="H367" s="48" t="s">
        <v>355</v>
      </c>
      <c r="I367" s="47" t="s">
        <v>1011</v>
      </c>
      <c r="J367" s="47">
        <v>99</v>
      </c>
      <c r="K367" s="49" t="s">
        <v>716</v>
      </c>
      <c r="L367" s="49" t="s">
        <v>698</v>
      </c>
      <c r="M367" s="50" t="s">
        <v>1430</v>
      </c>
      <c r="N367" s="50" t="s">
        <v>1739</v>
      </c>
      <c r="O367" s="51"/>
      <c r="P367" s="51"/>
      <c r="Q367" s="48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0</v>
      </c>
      <c r="AJ367" s="1"/>
    </row>
    <row r="368" spans="1:16384" s="2" customFormat="1" ht="14.25" customHeight="1" x14ac:dyDescent="0.25">
      <c r="A368" s="15">
        <v>0</v>
      </c>
      <c r="B368" s="15">
        <v>2</v>
      </c>
      <c r="C368" s="15">
        <v>5</v>
      </c>
      <c r="D368" s="16" t="s">
        <v>920</v>
      </c>
      <c r="E368" s="16" t="s">
        <v>915</v>
      </c>
      <c r="F368" s="16" t="s">
        <v>933</v>
      </c>
      <c r="G368" s="16" t="s">
        <v>1354</v>
      </c>
      <c r="H368" s="16" t="s">
        <v>355</v>
      </c>
      <c r="I368" s="15" t="s">
        <v>774</v>
      </c>
      <c r="J368" s="15">
        <v>99</v>
      </c>
      <c r="K368" s="10" t="s">
        <v>707</v>
      </c>
      <c r="L368" s="10">
        <v>20</v>
      </c>
      <c r="M368" s="19" t="s">
        <v>1431</v>
      </c>
      <c r="N368" s="19"/>
      <c r="O368" s="1"/>
      <c r="P368" s="1"/>
      <c r="Q368" s="16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0</v>
      </c>
      <c r="AF368" s="1">
        <f t="shared" si="151"/>
        <v>0</v>
      </c>
      <c r="AG368" s="1">
        <f t="shared" si="152"/>
        <v>0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52">
        <v>0</v>
      </c>
      <c r="B369" s="52">
        <v>2</v>
      </c>
      <c r="C369" s="52">
        <v>5</v>
      </c>
      <c r="D369" s="58" t="s">
        <v>1794</v>
      </c>
      <c r="E369" s="53" t="s">
        <v>168</v>
      </c>
      <c r="F369" s="53" t="s">
        <v>1772</v>
      </c>
      <c r="G369" s="53"/>
      <c r="H369" s="53" t="s">
        <v>355</v>
      </c>
      <c r="I369" s="52" t="s">
        <v>1773</v>
      </c>
      <c r="J369" s="52"/>
      <c r="K369" s="54" t="s">
        <v>707</v>
      </c>
      <c r="L369" s="54">
        <v>30</v>
      </c>
      <c r="M369" s="55" t="s">
        <v>1774</v>
      </c>
      <c r="N369" s="55" t="s">
        <v>1752</v>
      </c>
      <c r="O369" s="56">
        <v>1</v>
      </c>
      <c r="P369" s="56"/>
      <c r="Q369" s="53"/>
      <c r="S369" s="1">
        <f t="shared" si="155"/>
        <v>0</v>
      </c>
      <c r="T369" s="1">
        <f t="shared" si="156"/>
        <v>0</v>
      </c>
      <c r="U369" s="1">
        <f t="shared" si="157"/>
        <v>0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0</v>
      </c>
      <c r="AE369" s="1">
        <f t="shared" si="166"/>
        <v>1</v>
      </c>
      <c r="AF369" s="1">
        <f t="shared" si="151"/>
        <v>0</v>
      </c>
      <c r="AG369" s="1">
        <f t="shared" si="152"/>
        <v>1</v>
      </c>
      <c r="AH369" s="1">
        <f t="shared" si="153"/>
        <v>0</v>
      </c>
      <c r="AI369" s="1">
        <f t="shared" si="154"/>
        <v>1</v>
      </c>
    </row>
    <row r="370" spans="1:35" ht="14.25" customHeight="1" x14ac:dyDescent="0.25">
      <c r="A370" s="34"/>
      <c r="B370" s="34">
        <v>2</v>
      </c>
      <c r="C370" s="34">
        <v>5</v>
      </c>
      <c r="D370" s="35" t="s">
        <v>1925</v>
      </c>
      <c r="E370" s="35"/>
      <c r="F370" s="35" t="s">
        <v>1926</v>
      </c>
      <c r="G370" s="35" t="s">
        <v>209</v>
      </c>
      <c r="H370" s="35" t="s">
        <v>355</v>
      </c>
      <c r="I370" s="34" t="s">
        <v>1927</v>
      </c>
      <c r="J370" s="34">
        <v>3</v>
      </c>
      <c r="K370" s="36" t="s">
        <v>707</v>
      </c>
      <c r="L370" s="36"/>
      <c r="M370" s="37"/>
      <c r="N370" s="37" t="s">
        <v>1731</v>
      </c>
      <c r="O370" s="38">
        <v>1</v>
      </c>
      <c r="P370" s="38">
        <v>1</v>
      </c>
      <c r="Q370" s="35" t="s">
        <v>1928</v>
      </c>
      <c r="S370" s="1">
        <f t="shared" si="155"/>
        <v>0</v>
      </c>
      <c r="T370" s="1">
        <f t="shared" si="156"/>
        <v>0</v>
      </c>
      <c r="U370" s="1">
        <f t="shared" si="157"/>
        <v>1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0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1274</v>
      </c>
      <c r="E371" s="35" t="s">
        <v>1275</v>
      </c>
      <c r="F371" s="35" t="s">
        <v>1276</v>
      </c>
      <c r="G371" s="35" t="s">
        <v>221</v>
      </c>
      <c r="H371" s="35" t="s">
        <v>355</v>
      </c>
      <c r="I371" s="34" t="s">
        <v>1727</v>
      </c>
      <c r="J371" s="34">
        <v>8</v>
      </c>
      <c r="K371" s="36" t="s">
        <v>717</v>
      </c>
      <c r="L371" s="36" t="s">
        <v>39</v>
      </c>
      <c r="M371" s="37" t="s">
        <v>39</v>
      </c>
      <c r="N371" s="37" t="s">
        <v>1731</v>
      </c>
      <c r="O371" s="38">
        <v>1</v>
      </c>
      <c r="P371" s="38">
        <v>1</v>
      </c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1</v>
      </c>
      <c r="AA371" s="1">
        <f t="shared" si="163"/>
        <v>0</v>
      </c>
      <c r="AB371" s="1">
        <f t="shared" si="164"/>
        <v>0</v>
      </c>
      <c r="AD371" s="1">
        <f t="shared" si="165"/>
        <v>1</v>
      </c>
      <c r="AE371" s="1">
        <f t="shared" si="166"/>
        <v>0</v>
      </c>
      <c r="AF371" s="1">
        <f t="shared" si="151"/>
        <v>1</v>
      </c>
      <c r="AG371" s="1">
        <f t="shared" si="152"/>
        <v>0</v>
      </c>
      <c r="AH371" s="1">
        <f t="shared" si="153"/>
        <v>1</v>
      </c>
      <c r="AI371" s="1">
        <f t="shared" si="154"/>
        <v>0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1086</v>
      </c>
      <c r="E372" s="35" t="s">
        <v>156</v>
      </c>
      <c r="F372" s="35" t="s">
        <v>1070</v>
      </c>
      <c r="G372" s="35" t="s">
        <v>322</v>
      </c>
      <c r="H372" s="35" t="s">
        <v>355</v>
      </c>
      <c r="I372" s="34" t="s">
        <v>1071</v>
      </c>
      <c r="J372" s="34">
        <v>99</v>
      </c>
      <c r="K372" s="36" t="s">
        <v>717</v>
      </c>
      <c r="L372" s="36" t="s">
        <v>698</v>
      </c>
      <c r="M372" s="37" t="s">
        <v>1432</v>
      </c>
      <c r="N372" s="37" t="s">
        <v>1760</v>
      </c>
      <c r="O372" s="38">
        <v>1</v>
      </c>
      <c r="P372" s="38"/>
      <c r="Q372" s="35"/>
      <c r="S372" s="1">
        <f t="shared" si="155"/>
        <v>0</v>
      </c>
      <c r="T372" s="1">
        <f t="shared" si="156"/>
        <v>0</v>
      </c>
      <c r="U372" s="1">
        <f t="shared" si="157"/>
        <v>0</v>
      </c>
      <c r="V372" s="1">
        <f t="shared" si="158"/>
        <v>0</v>
      </c>
      <c r="W372" s="1">
        <f t="shared" si="159"/>
        <v>0</v>
      </c>
      <c r="X372" s="1">
        <f t="shared" si="160"/>
        <v>0</v>
      </c>
      <c r="Y372" s="1">
        <f t="shared" si="161"/>
        <v>0</v>
      </c>
      <c r="Z372" s="1">
        <f t="shared" si="162"/>
        <v>0</v>
      </c>
      <c r="AA372" s="1">
        <f t="shared" si="163"/>
        <v>0</v>
      </c>
      <c r="AB372" s="1">
        <f t="shared" si="164"/>
        <v>0</v>
      </c>
      <c r="AD372" s="1">
        <f t="shared" si="165"/>
        <v>0</v>
      </c>
      <c r="AE372" s="1">
        <f t="shared" si="166"/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34">
        <v>0</v>
      </c>
      <c r="B373" s="34">
        <v>2</v>
      </c>
      <c r="C373" s="34">
        <v>5</v>
      </c>
      <c r="D373" s="35" t="s">
        <v>800</v>
      </c>
      <c r="E373" s="35" t="s">
        <v>776</v>
      </c>
      <c r="F373" s="35" t="s">
        <v>936</v>
      </c>
      <c r="G373" s="35" t="s">
        <v>221</v>
      </c>
      <c r="H373" s="35" t="s">
        <v>355</v>
      </c>
      <c r="I373" s="34" t="s">
        <v>801</v>
      </c>
      <c r="J373" s="34">
        <v>8</v>
      </c>
      <c r="K373" s="36" t="s">
        <v>707</v>
      </c>
      <c r="L373" s="36">
        <v>20</v>
      </c>
      <c r="M373" s="37" t="s">
        <v>1423</v>
      </c>
      <c r="N373" s="37" t="s">
        <v>1829</v>
      </c>
      <c r="O373" s="38">
        <v>1</v>
      </c>
      <c r="P373" s="38"/>
      <c r="Q373" s="35"/>
      <c r="S373" s="1">
        <f t="shared" ref="S373:S375" si="173">IF(J373=$S$7,1,0)</f>
        <v>0</v>
      </c>
      <c r="T373" s="1">
        <f t="shared" ref="T373:T375" si="174">IF(J373=$T$7,1,0)</f>
        <v>0</v>
      </c>
      <c r="U373" s="1">
        <f t="shared" ref="U373:U375" si="175">IF(J373=$U$7,1,0)</f>
        <v>0</v>
      </c>
      <c r="V373" s="1">
        <f t="shared" ref="V373:V375" si="176">IF(J373=$V$7,1,0)</f>
        <v>0</v>
      </c>
      <c r="W373" s="1">
        <f t="shared" ref="W373:W375" si="177">IF(J373=$W$7,1,0)</f>
        <v>0</v>
      </c>
      <c r="X373" s="1">
        <f t="shared" ref="X373:X375" si="178">IF(J373=$X$7,1,0)</f>
        <v>0</v>
      </c>
      <c r="Y373" s="1">
        <f t="shared" ref="Y373:Y375" si="179">IF(J373=$Y$7,1,0)</f>
        <v>0</v>
      </c>
      <c r="Z373" s="1">
        <f t="shared" ref="Z373:Z375" si="180">IF(J373=$Z$7,1,0)</f>
        <v>1</v>
      </c>
      <c r="AA373" s="1">
        <f t="shared" ref="AA373:AA375" si="181">IF(J373=$AA$7,1,0)</f>
        <v>0</v>
      </c>
      <c r="AB373" s="1">
        <f t="shared" ref="AB373:AB375" si="182">IF(J373=$AB$7,1,0)</f>
        <v>0</v>
      </c>
      <c r="AD373" s="1">
        <f t="shared" ref="AD373:AD375" si="183">+O373*P373</f>
        <v>0</v>
      </c>
      <c r="AE373" s="1">
        <f t="shared" ref="AE373:AE375" si="184">O373*(1-P373)</f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52">
        <v>0</v>
      </c>
      <c r="B374" s="52">
        <v>2</v>
      </c>
      <c r="C374" s="52">
        <v>5</v>
      </c>
      <c r="D374" s="53" t="s">
        <v>79</v>
      </c>
      <c r="E374" s="53" t="s">
        <v>160</v>
      </c>
      <c r="F374" s="53" t="s">
        <v>269</v>
      </c>
      <c r="G374" s="53" t="s">
        <v>214</v>
      </c>
      <c r="H374" s="53" t="s">
        <v>355</v>
      </c>
      <c r="I374" s="52" t="s">
        <v>426</v>
      </c>
      <c r="J374" s="52">
        <v>1</v>
      </c>
      <c r="K374" s="54" t="s">
        <v>959</v>
      </c>
      <c r="L374" s="54" t="s">
        <v>708</v>
      </c>
      <c r="M374" s="55" t="s">
        <v>731</v>
      </c>
      <c r="N374" s="55" t="s">
        <v>1747</v>
      </c>
      <c r="O374" s="56">
        <v>1</v>
      </c>
      <c r="P374" s="56"/>
      <c r="Q374" s="53"/>
      <c r="S374" s="1">
        <f t="shared" si="173"/>
        <v>1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1646</v>
      </c>
      <c r="E375" s="35" t="s">
        <v>1658</v>
      </c>
      <c r="F375" s="35" t="s">
        <v>1555</v>
      </c>
      <c r="G375" s="35" t="s">
        <v>263</v>
      </c>
      <c r="H375" s="35" t="s">
        <v>355</v>
      </c>
      <c r="I375" s="34" t="s">
        <v>1556</v>
      </c>
      <c r="J375" s="34">
        <v>99</v>
      </c>
      <c r="K375" s="36" t="s">
        <v>959</v>
      </c>
      <c r="L375" s="36">
        <v>40</v>
      </c>
      <c r="M375" s="37" t="s">
        <v>39</v>
      </c>
      <c r="N375" s="37" t="s">
        <v>1829</v>
      </c>
      <c r="O375" s="38">
        <v>1</v>
      </c>
      <c r="P375" s="38"/>
      <c r="Q375" s="35"/>
      <c r="S375" s="1">
        <f t="shared" si="173"/>
        <v>0</v>
      </c>
      <c r="T375" s="1">
        <f t="shared" si="174"/>
        <v>0</v>
      </c>
      <c r="U375" s="1">
        <f t="shared" si="175"/>
        <v>0</v>
      </c>
      <c r="V375" s="1">
        <f t="shared" si="176"/>
        <v>0</v>
      </c>
      <c r="W375" s="1">
        <f t="shared" si="177"/>
        <v>0</v>
      </c>
      <c r="X375" s="1">
        <f t="shared" si="178"/>
        <v>0</v>
      </c>
      <c r="Y375" s="1">
        <f t="shared" si="179"/>
        <v>0</v>
      </c>
      <c r="Z375" s="1">
        <f t="shared" si="180"/>
        <v>0</v>
      </c>
      <c r="AA375" s="1">
        <f t="shared" si="181"/>
        <v>0</v>
      </c>
      <c r="AB375" s="1">
        <f t="shared" si="182"/>
        <v>0</v>
      </c>
      <c r="AD375" s="1">
        <f t="shared" si="183"/>
        <v>0</v>
      </c>
      <c r="AE375" s="1">
        <f t="shared" si="184"/>
        <v>1</v>
      </c>
      <c r="AF375" s="1">
        <f t="shared" si="151"/>
        <v>0</v>
      </c>
      <c r="AG375" s="1">
        <f t="shared" si="152"/>
        <v>1</v>
      </c>
      <c r="AH375" s="1">
        <f t="shared" si="153"/>
        <v>0</v>
      </c>
      <c r="AI375" s="1">
        <f t="shared" si="154"/>
        <v>1</v>
      </c>
    </row>
    <row r="376" spans="1:35" ht="14.25" customHeight="1" x14ac:dyDescent="0.25">
      <c r="A376" s="34">
        <v>0</v>
      </c>
      <c r="B376" s="34">
        <v>2</v>
      </c>
      <c r="C376" s="34">
        <v>5</v>
      </c>
      <c r="D376" s="35" t="s">
        <v>1301</v>
      </c>
      <c r="E376" s="35" t="s">
        <v>27</v>
      </c>
      <c r="F376" s="35" t="s">
        <v>1302</v>
      </c>
      <c r="G376" s="35" t="s">
        <v>1303</v>
      </c>
      <c r="H376" s="35" t="s">
        <v>355</v>
      </c>
      <c r="I376" s="34" t="s">
        <v>1304</v>
      </c>
      <c r="J376" s="34">
        <v>99</v>
      </c>
      <c r="K376" s="36" t="s">
        <v>959</v>
      </c>
      <c r="L376" s="36" t="s">
        <v>39</v>
      </c>
      <c r="M376" s="37" t="s">
        <v>39</v>
      </c>
      <c r="N376" s="37" t="s">
        <v>1731</v>
      </c>
      <c r="O376" s="38">
        <v>1</v>
      </c>
      <c r="P376" s="38">
        <v>1</v>
      </c>
      <c r="Q376" s="39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1</v>
      </c>
      <c r="AE376" s="1">
        <f t="shared" si="166"/>
        <v>0</v>
      </c>
      <c r="AF376" s="1">
        <f t="shared" si="151"/>
        <v>1</v>
      </c>
      <c r="AG376" s="1">
        <f t="shared" si="152"/>
        <v>0</v>
      </c>
      <c r="AH376" s="1">
        <f t="shared" si="153"/>
        <v>1</v>
      </c>
      <c r="AI376" s="1">
        <f t="shared" si="154"/>
        <v>0</v>
      </c>
    </row>
    <row r="377" spans="1:35" ht="14.25" customHeight="1" x14ac:dyDescent="0.25">
      <c r="A377" s="47">
        <v>0</v>
      </c>
      <c r="B377" s="47">
        <v>2</v>
      </c>
      <c r="C377" s="47">
        <v>5</v>
      </c>
      <c r="D377" s="48" t="s">
        <v>1607</v>
      </c>
      <c r="E377" s="48" t="s">
        <v>160</v>
      </c>
      <c r="F377" s="48" t="s">
        <v>1679</v>
      </c>
      <c r="G377" s="48" t="s">
        <v>1472</v>
      </c>
      <c r="H377" s="48" t="s">
        <v>355</v>
      </c>
      <c r="I377" s="47" t="s">
        <v>1473</v>
      </c>
      <c r="J377" s="47">
        <v>99</v>
      </c>
      <c r="K377" s="49" t="s">
        <v>717</v>
      </c>
      <c r="L377" s="49" t="s">
        <v>700</v>
      </c>
      <c r="M377" s="50" t="s">
        <v>1474</v>
      </c>
      <c r="N377" s="50" t="s">
        <v>1751</v>
      </c>
      <c r="O377" s="51"/>
      <c r="P377" s="51"/>
      <c r="Q377" s="48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0</v>
      </c>
      <c r="AF377" s="1">
        <f t="shared" si="151"/>
        <v>0</v>
      </c>
      <c r="AG377" s="1">
        <f t="shared" si="152"/>
        <v>0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34">
        <v>0</v>
      </c>
      <c r="B378" s="34">
        <v>2</v>
      </c>
      <c r="C378" s="34">
        <v>5</v>
      </c>
      <c r="D378" s="35" t="s">
        <v>1782</v>
      </c>
      <c r="E378" s="35" t="s">
        <v>156</v>
      </c>
      <c r="F378" s="35" t="s">
        <v>1783</v>
      </c>
      <c r="G378" s="35" t="s">
        <v>659</v>
      </c>
      <c r="H378" s="35" t="s">
        <v>355</v>
      </c>
      <c r="I378" s="34" t="s">
        <v>1784</v>
      </c>
      <c r="J378" s="34"/>
      <c r="K378" s="36" t="s">
        <v>707</v>
      </c>
      <c r="L378" s="36">
        <v>40</v>
      </c>
      <c r="M378" s="37" t="s">
        <v>1785</v>
      </c>
      <c r="N378" s="37" t="s">
        <v>1747</v>
      </c>
      <c r="O378" s="38">
        <v>1</v>
      </c>
      <c r="P378" s="38"/>
      <c r="Q378" s="35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0</v>
      </c>
      <c r="AD378" s="1">
        <f t="shared" si="165"/>
        <v>0</v>
      </c>
      <c r="AE378" s="1">
        <f t="shared" si="166"/>
        <v>1</v>
      </c>
      <c r="AF378" s="1">
        <f t="shared" si="151"/>
        <v>0</v>
      </c>
      <c r="AG378" s="1">
        <f t="shared" si="152"/>
        <v>1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47">
        <v>0</v>
      </c>
      <c r="B379" s="47">
        <v>2</v>
      </c>
      <c r="C379" s="47">
        <v>5</v>
      </c>
      <c r="D379" s="48" t="s">
        <v>841</v>
      </c>
      <c r="E379" s="48" t="s">
        <v>835</v>
      </c>
      <c r="F379" s="48" t="s">
        <v>945</v>
      </c>
      <c r="G379" s="48" t="s">
        <v>181</v>
      </c>
      <c r="H379" s="48" t="s">
        <v>355</v>
      </c>
      <c r="I379" s="47" t="s">
        <v>1113</v>
      </c>
      <c r="J379" s="47">
        <v>10</v>
      </c>
      <c r="K379" s="49" t="s">
        <v>716</v>
      </c>
      <c r="L379" s="49" t="s">
        <v>697</v>
      </c>
      <c r="M379" s="50" t="s">
        <v>1433</v>
      </c>
      <c r="N379" s="50" t="s">
        <v>1745</v>
      </c>
      <c r="O379" s="51"/>
      <c r="P379" s="51"/>
      <c r="Q379" s="48"/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0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1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60">
        <v>0</v>
      </c>
      <c r="B380" s="60">
        <v>2</v>
      </c>
      <c r="C380" s="60">
        <v>6</v>
      </c>
      <c r="D380" s="61" t="s">
        <v>1547</v>
      </c>
      <c r="E380" s="61" t="s">
        <v>27</v>
      </c>
      <c r="F380" s="61" t="s">
        <v>1549</v>
      </c>
      <c r="G380" s="61" t="s">
        <v>1538</v>
      </c>
      <c r="H380" s="61" t="s">
        <v>355</v>
      </c>
      <c r="I380" s="60" t="s">
        <v>1548</v>
      </c>
      <c r="J380" s="60">
        <v>5</v>
      </c>
      <c r="K380" s="62" t="s">
        <v>959</v>
      </c>
      <c r="L380" s="62" t="s">
        <v>39</v>
      </c>
      <c r="M380" s="63" t="s">
        <v>39</v>
      </c>
      <c r="N380" s="64"/>
      <c r="O380" s="65"/>
      <c r="P380" s="65"/>
      <c r="Q380" s="69" t="s">
        <v>1904</v>
      </c>
      <c r="S380" s="1">
        <f t="shared" si="155"/>
        <v>0</v>
      </c>
      <c r="T380" s="1">
        <f t="shared" si="156"/>
        <v>0</v>
      </c>
      <c r="U380" s="1">
        <f t="shared" si="157"/>
        <v>0</v>
      </c>
      <c r="V380" s="1">
        <f t="shared" si="158"/>
        <v>0</v>
      </c>
      <c r="W380" s="1">
        <f t="shared" si="159"/>
        <v>1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47">
        <v>0</v>
      </c>
      <c r="B381" s="47">
        <v>2</v>
      </c>
      <c r="C381" s="47">
        <v>6</v>
      </c>
      <c r="D381" s="48" t="s">
        <v>521</v>
      </c>
      <c r="E381" s="48" t="s">
        <v>31</v>
      </c>
      <c r="F381" s="48" t="s">
        <v>675</v>
      </c>
      <c r="G381" s="48" t="s">
        <v>201</v>
      </c>
      <c r="H381" s="48" t="s">
        <v>355</v>
      </c>
      <c r="I381" s="47" t="s">
        <v>522</v>
      </c>
      <c r="J381" s="47">
        <v>2</v>
      </c>
      <c r="K381" s="49" t="s">
        <v>958</v>
      </c>
      <c r="L381" s="49" t="s">
        <v>698</v>
      </c>
      <c r="M381" s="50" t="s">
        <v>1434</v>
      </c>
      <c r="N381" s="50" t="s">
        <v>1739</v>
      </c>
      <c r="O381" s="51"/>
      <c r="P381" s="51"/>
      <c r="Q381" s="48"/>
      <c r="S381" s="1">
        <f t="shared" si="155"/>
        <v>0</v>
      </c>
      <c r="T381" s="1">
        <f t="shared" si="156"/>
        <v>1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0</v>
      </c>
      <c r="AF381" s="1">
        <f t="shared" si="151"/>
        <v>0</v>
      </c>
      <c r="AG381" s="1">
        <f t="shared" si="152"/>
        <v>0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34">
        <v>0</v>
      </c>
      <c r="B382" s="34">
        <v>2</v>
      </c>
      <c r="C382" s="34">
        <v>6</v>
      </c>
      <c r="D382" s="35" t="s">
        <v>53</v>
      </c>
      <c r="E382" s="35" t="s">
        <v>31</v>
      </c>
      <c r="F382" s="35" t="s">
        <v>211</v>
      </c>
      <c r="G382" s="35" t="s">
        <v>212</v>
      </c>
      <c r="H382" s="35" t="s">
        <v>355</v>
      </c>
      <c r="I382" s="34" t="s">
        <v>393</v>
      </c>
      <c r="J382" s="34">
        <v>1</v>
      </c>
      <c r="K382" s="36" t="s">
        <v>716</v>
      </c>
      <c r="L382" s="36" t="s">
        <v>708</v>
      </c>
      <c r="M382" s="37" t="s">
        <v>732</v>
      </c>
      <c r="N382" s="37" t="s">
        <v>1747</v>
      </c>
      <c r="O382" s="38">
        <v>1</v>
      </c>
      <c r="P382" s="38"/>
      <c r="Q382" s="35"/>
      <c r="S382" s="1">
        <f t="shared" si="155"/>
        <v>1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1</v>
      </c>
      <c r="AF382" s="1">
        <f t="shared" si="151"/>
        <v>0</v>
      </c>
      <c r="AG382" s="1">
        <f t="shared" si="152"/>
        <v>1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1866</v>
      </c>
      <c r="E383" s="16" t="s">
        <v>1867</v>
      </c>
      <c r="F383" s="20" t="s">
        <v>1868</v>
      </c>
      <c r="G383" s="16"/>
      <c r="H383" s="20" t="s">
        <v>355</v>
      </c>
      <c r="I383" s="21" t="s">
        <v>1869</v>
      </c>
      <c r="J383" s="15">
        <v>99</v>
      </c>
      <c r="K383" s="10" t="s">
        <v>707</v>
      </c>
      <c r="L383" s="10">
        <v>25</v>
      </c>
      <c r="M383" s="19" t="s">
        <v>1870</v>
      </c>
      <c r="N383" s="19"/>
      <c r="Q383" s="20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15">
        <v>0</v>
      </c>
      <c r="B384" s="15">
        <v>2</v>
      </c>
      <c r="C384" s="15">
        <v>6</v>
      </c>
      <c r="D384" s="16" t="s">
        <v>80</v>
      </c>
      <c r="E384" s="16" t="s">
        <v>31</v>
      </c>
      <c r="F384" s="16" t="s">
        <v>271</v>
      </c>
      <c r="G384" s="16" t="s">
        <v>225</v>
      </c>
      <c r="H384" s="16" t="s">
        <v>355</v>
      </c>
      <c r="I384" s="15" t="s">
        <v>681</v>
      </c>
      <c r="J384" s="15">
        <v>99</v>
      </c>
      <c r="K384" s="10" t="s">
        <v>959</v>
      </c>
      <c r="L384" s="10" t="s">
        <v>698</v>
      </c>
      <c r="M384" s="19" t="s">
        <v>1435</v>
      </c>
      <c r="N384" s="19"/>
      <c r="Q384" s="16"/>
      <c r="S384" s="1">
        <f t="shared" si="155"/>
        <v>0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641</v>
      </c>
      <c r="E385" s="48" t="s">
        <v>31</v>
      </c>
      <c r="F385" s="48" t="s">
        <v>642</v>
      </c>
      <c r="G385" s="48" t="s">
        <v>241</v>
      </c>
      <c r="H385" s="48" t="s">
        <v>355</v>
      </c>
      <c r="I385" s="47" t="s">
        <v>643</v>
      </c>
      <c r="J385" s="47">
        <v>1</v>
      </c>
      <c r="K385" s="49" t="s">
        <v>717</v>
      </c>
      <c r="L385" s="49" t="s">
        <v>698</v>
      </c>
      <c r="M385" s="50" t="s">
        <v>1436</v>
      </c>
      <c r="N385" s="50" t="s">
        <v>1739</v>
      </c>
      <c r="O385" s="51"/>
      <c r="P385" s="51"/>
      <c r="Q385" s="48"/>
      <c r="S385" s="1">
        <f t="shared" si="155"/>
        <v>1</v>
      </c>
      <c r="T385" s="1">
        <f t="shared" si="156"/>
        <v>0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1139</v>
      </c>
      <c r="E386" s="48" t="s">
        <v>31</v>
      </c>
      <c r="F386" s="48" t="s">
        <v>675</v>
      </c>
      <c r="G386" s="48" t="s">
        <v>201</v>
      </c>
      <c r="H386" s="48" t="s">
        <v>355</v>
      </c>
      <c r="I386" s="47" t="s">
        <v>522</v>
      </c>
      <c r="J386" s="47">
        <v>2</v>
      </c>
      <c r="K386" s="49" t="s">
        <v>716</v>
      </c>
      <c r="L386" s="49" t="s">
        <v>698</v>
      </c>
      <c r="M386" s="50" t="s">
        <v>732</v>
      </c>
      <c r="N386" s="50" t="s">
        <v>1739</v>
      </c>
      <c r="O386" s="51"/>
      <c r="P386" s="51"/>
      <c r="Q386" s="48"/>
      <c r="S386" s="1">
        <f t="shared" si="155"/>
        <v>0</v>
      </c>
      <c r="T386" s="1">
        <f t="shared" si="156"/>
        <v>1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47">
        <v>0</v>
      </c>
      <c r="B387" s="47">
        <v>2</v>
      </c>
      <c r="C387" s="47">
        <v>6</v>
      </c>
      <c r="D387" s="48" t="s">
        <v>1087</v>
      </c>
      <c r="E387" s="48" t="s">
        <v>160</v>
      </c>
      <c r="F387" s="48" t="s">
        <v>199</v>
      </c>
      <c r="G387" s="48" t="s">
        <v>200</v>
      </c>
      <c r="H387" s="48" t="s">
        <v>355</v>
      </c>
      <c r="I387" s="47" t="s">
        <v>389</v>
      </c>
      <c r="J387" s="47">
        <v>99</v>
      </c>
      <c r="K387" s="49" t="s">
        <v>716</v>
      </c>
      <c r="L387" s="49" t="s">
        <v>720</v>
      </c>
      <c r="M387" s="50" t="s">
        <v>734</v>
      </c>
      <c r="N387" s="50" t="s">
        <v>1738</v>
      </c>
      <c r="O387" s="51"/>
      <c r="P387" s="51"/>
      <c r="Q387" s="48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0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0</v>
      </c>
      <c r="AE387" s="1">
        <f t="shared" si="166"/>
        <v>0</v>
      </c>
      <c r="AF387" s="1">
        <f t="shared" si="151"/>
        <v>0</v>
      </c>
      <c r="AG387" s="1">
        <f t="shared" si="152"/>
        <v>0</v>
      </c>
      <c r="AH387" s="1">
        <f t="shared" si="153"/>
        <v>0</v>
      </c>
      <c r="AI387" s="1">
        <f t="shared" si="154"/>
        <v>1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511</v>
      </c>
      <c r="E388" s="35" t="s">
        <v>157</v>
      </c>
      <c r="F388" s="35" t="s">
        <v>512</v>
      </c>
      <c r="G388" s="35" t="s">
        <v>39</v>
      </c>
      <c r="H388" s="35" t="s">
        <v>355</v>
      </c>
      <c r="I388" s="34" t="s">
        <v>946</v>
      </c>
      <c r="J388" s="34">
        <v>7</v>
      </c>
      <c r="K388" s="36" t="s">
        <v>959</v>
      </c>
      <c r="L388" s="36" t="s">
        <v>39</v>
      </c>
      <c r="M388" s="37" t="s">
        <v>39</v>
      </c>
      <c r="N388" s="37" t="s">
        <v>1731</v>
      </c>
      <c r="O388" s="38">
        <v>1</v>
      </c>
      <c r="P388" s="38">
        <v>1</v>
      </c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1</v>
      </c>
      <c r="Z388" s="1">
        <f t="shared" si="162"/>
        <v>0</v>
      </c>
      <c r="AA388" s="1">
        <f t="shared" si="163"/>
        <v>0</v>
      </c>
      <c r="AB388" s="1">
        <f t="shared" si="164"/>
        <v>0</v>
      </c>
      <c r="AD388" s="1">
        <f t="shared" si="165"/>
        <v>1</v>
      </c>
      <c r="AE388" s="1">
        <f t="shared" si="166"/>
        <v>0</v>
      </c>
      <c r="AF388" s="1">
        <f t="shared" si="151"/>
        <v>1</v>
      </c>
      <c r="AG388" s="1">
        <f t="shared" si="152"/>
        <v>0</v>
      </c>
      <c r="AH388" s="1">
        <f t="shared" si="153"/>
        <v>1</v>
      </c>
      <c r="AI388" s="1">
        <f t="shared" si="154"/>
        <v>0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70</v>
      </c>
      <c r="E389" s="35" t="s">
        <v>28</v>
      </c>
      <c r="F389" s="35" t="s">
        <v>676</v>
      </c>
      <c r="G389" s="35" t="s">
        <v>259</v>
      </c>
      <c r="H389" s="35" t="s">
        <v>355</v>
      </c>
      <c r="I389" s="34" t="s">
        <v>418</v>
      </c>
      <c r="J389" s="34">
        <v>8</v>
      </c>
      <c r="K389" s="36" t="s">
        <v>717</v>
      </c>
      <c r="L389" s="36" t="s">
        <v>717</v>
      </c>
      <c r="M389" s="37" t="s">
        <v>735</v>
      </c>
      <c r="N389" s="37" t="s">
        <v>1747</v>
      </c>
      <c r="O389" s="38">
        <v>1</v>
      </c>
      <c r="P389" s="38"/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0</v>
      </c>
      <c r="Z389" s="1">
        <f t="shared" si="162"/>
        <v>1</v>
      </c>
      <c r="AA389" s="1">
        <f t="shared" si="163"/>
        <v>0</v>
      </c>
      <c r="AB389" s="1">
        <f t="shared" si="164"/>
        <v>0</v>
      </c>
      <c r="AD389" s="1">
        <f t="shared" si="165"/>
        <v>0</v>
      </c>
      <c r="AE389" s="1">
        <f t="shared" si="166"/>
        <v>1</v>
      </c>
      <c r="AF389" s="1">
        <f t="shared" si="151"/>
        <v>0</v>
      </c>
      <c r="AG389" s="1">
        <f t="shared" si="152"/>
        <v>1</v>
      </c>
      <c r="AH389" s="1">
        <f t="shared" si="153"/>
        <v>0</v>
      </c>
      <c r="AI389" s="1">
        <f t="shared" si="154"/>
        <v>1</v>
      </c>
    </row>
    <row r="390" spans="1:35" ht="14.25" customHeight="1" x14ac:dyDescent="0.25">
      <c r="A390" s="34">
        <v>0</v>
      </c>
      <c r="B390" s="34">
        <v>2</v>
      </c>
      <c r="C390" s="34">
        <v>7</v>
      </c>
      <c r="D390" s="35" t="s">
        <v>656</v>
      </c>
      <c r="E390" s="35" t="s">
        <v>157</v>
      </c>
      <c r="F390" s="35" t="s">
        <v>587</v>
      </c>
      <c r="G390" s="35" t="s">
        <v>250</v>
      </c>
      <c r="H390" s="35" t="s">
        <v>355</v>
      </c>
      <c r="I390" s="34" t="s">
        <v>682</v>
      </c>
      <c r="J390" s="34">
        <v>7</v>
      </c>
      <c r="K390" s="36" t="s">
        <v>959</v>
      </c>
      <c r="L390" s="36" t="s">
        <v>39</v>
      </c>
      <c r="M390" s="37" t="s">
        <v>39</v>
      </c>
      <c r="N390" s="37" t="s">
        <v>1731</v>
      </c>
      <c r="O390" s="38">
        <v>1</v>
      </c>
      <c r="P390" s="38">
        <v>1</v>
      </c>
      <c r="Q390" s="35"/>
      <c r="S390" s="1">
        <f t="shared" si="155"/>
        <v>0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1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1</v>
      </c>
      <c r="AE390" s="1">
        <f t="shared" si="166"/>
        <v>0</v>
      </c>
      <c r="AF390" s="1">
        <f t="shared" si="151"/>
        <v>1</v>
      </c>
      <c r="AG390" s="1">
        <f t="shared" si="152"/>
        <v>0</v>
      </c>
      <c r="AH390" s="1">
        <f t="shared" si="153"/>
        <v>1</v>
      </c>
      <c r="AI390" s="1">
        <f t="shared" si="154"/>
        <v>0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1638</v>
      </c>
      <c r="E391" s="48" t="s">
        <v>157</v>
      </c>
      <c r="F391" s="48" t="s">
        <v>1661</v>
      </c>
      <c r="G391" s="48" t="s">
        <v>214</v>
      </c>
      <c r="H391" s="48" t="s">
        <v>355</v>
      </c>
      <c r="I391" s="47" t="s">
        <v>596</v>
      </c>
      <c r="J391" s="47">
        <v>1</v>
      </c>
      <c r="K391" s="49" t="s">
        <v>716</v>
      </c>
      <c r="L391" s="49" t="s">
        <v>726</v>
      </c>
      <c r="M391" s="50" t="s">
        <v>1437</v>
      </c>
      <c r="N391" s="50" t="s">
        <v>1739</v>
      </c>
      <c r="O391" s="51"/>
      <c r="P391" s="51"/>
      <c r="Q391" s="48"/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47">
        <v>0</v>
      </c>
      <c r="B392" s="47">
        <v>2</v>
      </c>
      <c r="C392" s="47">
        <v>7</v>
      </c>
      <c r="D392" s="48" t="s">
        <v>1074</v>
      </c>
      <c r="E392" s="48" t="s">
        <v>1050</v>
      </c>
      <c r="F392" s="48" t="s">
        <v>1075</v>
      </c>
      <c r="G392" s="48" t="s">
        <v>214</v>
      </c>
      <c r="H392" s="48" t="s">
        <v>355</v>
      </c>
      <c r="I392" s="47" t="s">
        <v>1076</v>
      </c>
      <c r="J392" s="47">
        <v>1</v>
      </c>
      <c r="K392" s="49" t="s">
        <v>959</v>
      </c>
      <c r="L392" s="49" t="s">
        <v>726</v>
      </c>
      <c r="M392" s="50" t="s">
        <v>1438</v>
      </c>
      <c r="N392" s="50" t="s">
        <v>1739</v>
      </c>
      <c r="O392" s="51"/>
      <c r="P392" s="51"/>
      <c r="Q392" s="48" t="s">
        <v>1922</v>
      </c>
      <c r="S392" s="1">
        <f t="shared" si="155"/>
        <v>1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0</v>
      </c>
      <c r="AF392" s="1">
        <f t="shared" si="151"/>
        <v>0</v>
      </c>
      <c r="AG392" s="1">
        <f t="shared" si="152"/>
        <v>0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1021</v>
      </c>
      <c r="E393" s="35" t="s">
        <v>157</v>
      </c>
      <c r="F393" s="35" t="s">
        <v>1092</v>
      </c>
      <c r="G393" s="35" t="s">
        <v>1102</v>
      </c>
      <c r="H393" s="35" t="s">
        <v>355</v>
      </c>
      <c r="I393" s="34" t="s">
        <v>1022</v>
      </c>
      <c r="J393" s="34">
        <v>99</v>
      </c>
      <c r="K393" s="36" t="s">
        <v>717</v>
      </c>
      <c r="L393" s="36" t="s">
        <v>726</v>
      </c>
      <c r="M393" s="37" t="s">
        <v>1438</v>
      </c>
      <c r="N393" s="37" t="s">
        <v>1752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1209</v>
      </c>
      <c r="E394" s="35" t="s">
        <v>1336</v>
      </c>
      <c r="F394" s="35" t="s">
        <v>1210</v>
      </c>
      <c r="G394" s="35" t="s">
        <v>39</v>
      </c>
      <c r="H394" s="35" t="s">
        <v>355</v>
      </c>
      <c r="I394" s="34" t="s">
        <v>1689</v>
      </c>
      <c r="J394" s="34">
        <v>99</v>
      </c>
      <c r="K394" s="36" t="s">
        <v>959</v>
      </c>
      <c r="L394" s="36" t="s">
        <v>733</v>
      </c>
      <c r="M394" s="37" t="s">
        <v>1439</v>
      </c>
      <c r="N394" s="37" t="s">
        <v>1752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0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0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646</v>
      </c>
      <c r="G395" s="35" t="s">
        <v>537</v>
      </c>
      <c r="H395" s="35" t="s">
        <v>355</v>
      </c>
      <c r="I395" s="34" t="s">
        <v>395</v>
      </c>
      <c r="J395" s="34">
        <v>6</v>
      </c>
      <c r="K395" s="36" t="s">
        <v>716</v>
      </c>
      <c r="L395" s="36" t="s">
        <v>717</v>
      </c>
      <c r="M395" s="37" t="s">
        <v>735</v>
      </c>
      <c r="N395" s="37" t="s">
        <v>1765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1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si="151"/>
        <v>0</v>
      </c>
      <c r="AG395" s="1">
        <f t="shared" si="152"/>
        <v>1</v>
      </c>
      <c r="AH395" s="1">
        <f t="shared" si="153"/>
        <v>0</v>
      </c>
      <c r="AI395" s="1">
        <f t="shared" si="154"/>
        <v>1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217</v>
      </c>
      <c r="G396" s="35" t="s">
        <v>39</v>
      </c>
      <c r="H396" s="35" t="s">
        <v>355</v>
      </c>
      <c r="I396" s="34" t="s">
        <v>30</v>
      </c>
      <c r="J396" s="34">
        <v>99</v>
      </c>
      <c r="K396" s="36" t="s">
        <v>716</v>
      </c>
      <c r="L396" s="36" t="s">
        <v>717</v>
      </c>
      <c r="M396" s="37" t="s">
        <v>735</v>
      </c>
      <c r="N396" s="37" t="s">
        <v>1765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ref="AF396:AF459" si="185">+O396*P396*(1-A396)</f>
        <v>0</v>
      </c>
      <c r="AG396" s="1">
        <f t="shared" ref="AG396:AG459" si="186">O396*(1-P396)*(1-A396)</f>
        <v>0</v>
      </c>
      <c r="AH396" s="1">
        <f t="shared" ref="AH396:AH459" si="187">+P396*(1-A396)</f>
        <v>0</v>
      </c>
      <c r="AI396" s="1">
        <f t="shared" ref="AI396:AI459" si="188">+(1-A396)*(1-P396)</f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216</v>
      </c>
      <c r="G397" s="35" t="s">
        <v>39</v>
      </c>
      <c r="H397" s="35" t="s">
        <v>355</v>
      </c>
      <c r="I397" s="34" t="s">
        <v>395</v>
      </c>
      <c r="J397" s="34">
        <v>99</v>
      </c>
      <c r="K397" s="36" t="s">
        <v>716</v>
      </c>
      <c r="L397" s="36" t="s">
        <v>717</v>
      </c>
      <c r="M397" s="37" t="s">
        <v>735</v>
      </c>
      <c r="N397" s="37" t="s">
        <v>1765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34">
        <v>1</v>
      </c>
      <c r="B398" s="34">
        <v>2</v>
      </c>
      <c r="C398" s="34">
        <v>7</v>
      </c>
      <c r="D398" s="35" t="s">
        <v>55</v>
      </c>
      <c r="E398" s="35" t="s">
        <v>28</v>
      </c>
      <c r="F398" s="35" t="s">
        <v>218</v>
      </c>
      <c r="G398" s="35" t="s">
        <v>219</v>
      </c>
      <c r="H398" s="35" t="s">
        <v>355</v>
      </c>
      <c r="I398" s="34" t="s">
        <v>396</v>
      </c>
      <c r="J398" s="34">
        <v>99</v>
      </c>
      <c r="K398" s="36" t="s">
        <v>716</v>
      </c>
      <c r="L398" s="36" t="s">
        <v>717</v>
      </c>
      <c r="M398" s="37" t="s">
        <v>735</v>
      </c>
      <c r="N398" s="37" t="s">
        <v>1765</v>
      </c>
      <c r="O398" s="38">
        <v>1</v>
      </c>
      <c r="P398" s="38"/>
      <c r="Q398" s="35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1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0</v>
      </c>
    </row>
    <row r="399" spans="1:35" ht="14.25" customHeight="1" x14ac:dyDescent="0.25">
      <c r="A399" s="47">
        <v>0</v>
      </c>
      <c r="B399" s="47">
        <v>2</v>
      </c>
      <c r="C399" s="47">
        <v>7</v>
      </c>
      <c r="D399" s="48" t="s">
        <v>68</v>
      </c>
      <c r="E399" s="48" t="s">
        <v>28</v>
      </c>
      <c r="F399" s="48" t="s">
        <v>254</v>
      </c>
      <c r="G399" s="48" t="s">
        <v>255</v>
      </c>
      <c r="H399" s="48" t="s">
        <v>355</v>
      </c>
      <c r="I399" s="47" t="s">
        <v>415</v>
      </c>
      <c r="J399" s="47">
        <v>99</v>
      </c>
      <c r="K399" s="49" t="s">
        <v>717</v>
      </c>
      <c r="L399" s="49" t="s">
        <v>717</v>
      </c>
      <c r="M399" s="50" t="s">
        <v>735</v>
      </c>
      <c r="N399" s="50" t="s">
        <v>1806</v>
      </c>
      <c r="O399" s="51"/>
      <c r="P399" s="51"/>
      <c r="Q399" s="48"/>
      <c r="S399" s="1">
        <f t="shared" si="155"/>
        <v>0</v>
      </c>
      <c r="T399" s="1">
        <f t="shared" si="156"/>
        <v>0</v>
      </c>
      <c r="U399" s="1">
        <f t="shared" si="157"/>
        <v>0</v>
      </c>
      <c r="V399" s="1">
        <f t="shared" si="158"/>
        <v>0</v>
      </c>
      <c r="W399" s="1">
        <f t="shared" si="159"/>
        <v>0</v>
      </c>
      <c r="X399" s="1">
        <f t="shared" si="160"/>
        <v>0</v>
      </c>
      <c r="Y399" s="1">
        <f t="shared" si="161"/>
        <v>0</v>
      </c>
      <c r="Z399" s="1">
        <f t="shared" si="162"/>
        <v>0</v>
      </c>
      <c r="AA399" s="1">
        <f t="shared" si="163"/>
        <v>0</v>
      </c>
      <c r="AB399" s="1">
        <f t="shared" si="164"/>
        <v>0</v>
      </c>
      <c r="AD399" s="1">
        <f t="shared" si="165"/>
        <v>0</v>
      </c>
      <c r="AE399" s="1">
        <f t="shared" si="166"/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0</v>
      </c>
      <c r="B400" s="15">
        <v>2</v>
      </c>
      <c r="C400" s="15">
        <v>7</v>
      </c>
      <c r="D400" s="16" t="s">
        <v>69</v>
      </c>
      <c r="E400" s="16" t="s">
        <v>28</v>
      </c>
      <c r="F400" s="16" t="s">
        <v>256</v>
      </c>
      <c r="G400" s="16" t="s">
        <v>208</v>
      </c>
      <c r="H400" s="16" t="s">
        <v>355</v>
      </c>
      <c r="I400" s="15" t="s">
        <v>416</v>
      </c>
      <c r="J400" s="15">
        <v>99</v>
      </c>
      <c r="K400" s="10" t="s">
        <v>959</v>
      </c>
      <c r="L400" s="10" t="s">
        <v>717</v>
      </c>
      <c r="M400" s="19" t="s">
        <v>735</v>
      </c>
      <c r="N400" s="17"/>
      <c r="Q400" s="16"/>
      <c r="S400" s="1">
        <f t="shared" ref="S400:S466" si="189">IF(J400=$S$7,1,0)</f>
        <v>0</v>
      </c>
      <c r="T400" s="1">
        <f t="shared" ref="T400:T466" si="190">IF(J400=$T$7,1,0)</f>
        <v>0</v>
      </c>
      <c r="U400" s="1">
        <f t="shared" ref="U400:U466" si="191">IF(J400=$U$7,1,0)</f>
        <v>0</v>
      </c>
      <c r="V400" s="1">
        <f t="shared" ref="V400:V466" si="192">IF(J400=$V$7,1,0)</f>
        <v>0</v>
      </c>
      <c r="W400" s="1">
        <f t="shared" ref="W400:W466" si="193">IF(J400=$W$7,1,0)</f>
        <v>0</v>
      </c>
      <c r="X400" s="1">
        <f t="shared" ref="X400:X466" si="194">IF(J400=$X$7,1,0)</f>
        <v>0</v>
      </c>
      <c r="Y400" s="1">
        <f t="shared" ref="Y400:Y466" si="195">IF(J400=$Y$7,1,0)</f>
        <v>0</v>
      </c>
      <c r="Z400" s="1">
        <f t="shared" ref="Z400:Z466" si="196">IF(J400=$Z$7,1,0)</f>
        <v>0</v>
      </c>
      <c r="AA400" s="1">
        <f t="shared" ref="AA400:AA466" si="197">IF(J400=$AA$7,1,0)</f>
        <v>0</v>
      </c>
      <c r="AB400" s="1">
        <f t="shared" ref="AB400:AB466" si="198">IF(J400=$AB$7,1,0)</f>
        <v>0</v>
      </c>
      <c r="AD400" s="1">
        <f t="shared" ref="AD400:AD466" si="199">+O400*P400</f>
        <v>0</v>
      </c>
      <c r="AE400" s="1">
        <f t="shared" ref="AE400:AE466" si="200">O400*(1-P400)</f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1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20" t="s">
        <v>1878</v>
      </c>
      <c r="G401" s="16" t="s">
        <v>257</v>
      </c>
      <c r="H401" s="16" t="s">
        <v>355</v>
      </c>
      <c r="I401" s="15" t="s">
        <v>417</v>
      </c>
      <c r="J401" s="15">
        <v>99</v>
      </c>
      <c r="K401" s="10" t="s">
        <v>959</v>
      </c>
      <c r="L401" s="10" t="s">
        <v>717</v>
      </c>
      <c r="M401" s="19" t="s">
        <v>735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15">
        <v>1</v>
      </c>
      <c r="B402" s="15">
        <v>2</v>
      </c>
      <c r="C402" s="15">
        <v>7</v>
      </c>
      <c r="D402" s="16" t="s">
        <v>69</v>
      </c>
      <c r="E402" s="16" t="s">
        <v>28</v>
      </c>
      <c r="F402" s="16" t="s">
        <v>572</v>
      </c>
      <c r="G402" s="16" t="s">
        <v>573</v>
      </c>
      <c r="H402" s="16" t="s">
        <v>355</v>
      </c>
      <c r="I402" s="15" t="s">
        <v>582</v>
      </c>
      <c r="J402" s="15">
        <v>99</v>
      </c>
      <c r="K402" s="10" t="s">
        <v>959</v>
      </c>
      <c r="L402" s="10" t="s">
        <v>717</v>
      </c>
      <c r="M402" s="19" t="s">
        <v>735</v>
      </c>
      <c r="N402" s="17"/>
      <c r="Q402" s="16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0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71</v>
      </c>
      <c r="E403" s="48" t="s">
        <v>28</v>
      </c>
      <c r="F403" s="48" t="s">
        <v>1353</v>
      </c>
      <c r="G403" s="48" t="s">
        <v>260</v>
      </c>
      <c r="H403" s="48" t="s">
        <v>355</v>
      </c>
      <c r="I403" s="47" t="s">
        <v>419</v>
      </c>
      <c r="J403" s="47">
        <v>99</v>
      </c>
      <c r="K403" s="49" t="s">
        <v>717</v>
      </c>
      <c r="L403" s="49" t="s">
        <v>717</v>
      </c>
      <c r="M403" s="50" t="s">
        <v>735</v>
      </c>
      <c r="N403" s="50" t="s">
        <v>1806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47">
        <v>0</v>
      </c>
      <c r="B404" s="47">
        <v>2</v>
      </c>
      <c r="C404" s="47">
        <v>7</v>
      </c>
      <c r="D404" s="48" t="s">
        <v>1066</v>
      </c>
      <c r="E404" s="48" t="s">
        <v>28</v>
      </c>
      <c r="F404" s="48" t="s">
        <v>1067</v>
      </c>
      <c r="G404" s="48" t="s">
        <v>1068</v>
      </c>
      <c r="H404" s="48" t="s">
        <v>355</v>
      </c>
      <c r="I404" s="47" t="s">
        <v>1069</v>
      </c>
      <c r="J404" s="47">
        <v>99</v>
      </c>
      <c r="K404" s="49" t="s">
        <v>717</v>
      </c>
      <c r="L404" s="49" t="s">
        <v>717</v>
      </c>
      <c r="M404" s="50" t="s">
        <v>735</v>
      </c>
      <c r="N404" s="50" t="s">
        <v>1806</v>
      </c>
      <c r="O404" s="51"/>
      <c r="P404" s="51"/>
      <c r="Q404" s="48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0</v>
      </c>
      <c r="AE404" s="1">
        <f t="shared" si="200"/>
        <v>0</v>
      </c>
      <c r="AF404" s="1">
        <f t="shared" si="185"/>
        <v>0</v>
      </c>
      <c r="AG404" s="1">
        <f t="shared" si="186"/>
        <v>0</v>
      </c>
      <c r="AH404" s="1">
        <f t="shared" si="187"/>
        <v>0</v>
      </c>
      <c r="AI404" s="1">
        <f t="shared" si="188"/>
        <v>1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1810</v>
      </c>
      <c r="E405" s="35" t="s">
        <v>157</v>
      </c>
      <c r="F405" s="35" t="s">
        <v>1811</v>
      </c>
      <c r="G405" s="35"/>
      <c r="H405" s="35" t="s">
        <v>355</v>
      </c>
      <c r="I405" s="34" t="s">
        <v>1812</v>
      </c>
      <c r="J405" s="34">
        <v>99</v>
      </c>
      <c r="K405" s="36" t="s">
        <v>707</v>
      </c>
      <c r="L405" s="36"/>
      <c r="M405" s="37"/>
      <c r="N405" s="37" t="s">
        <v>1731</v>
      </c>
      <c r="O405" s="38">
        <v>1</v>
      </c>
      <c r="P405" s="38">
        <v>1</v>
      </c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1</v>
      </c>
      <c r="AE405" s="1">
        <f t="shared" si="200"/>
        <v>0</v>
      </c>
      <c r="AF405" s="1">
        <f t="shared" si="185"/>
        <v>1</v>
      </c>
      <c r="AG405" s="1">
        <f t="shared" si="186"/>
        <v>0</v>
      </c>
      <c r="AH405" s="1">
        <f t="shared" si="187"/>
        <v>1</v>
      </c>
      <c r="AI405" s="1">
        <f t="shared" si="188"/>
        <v>0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1182</v>
      </c>
      <c r="E406" s="35" t="s">
        <v>157</v>
      </c>
      <c r="F406" s="35" t="s">
        <v>1183</v>
      </c>
      <c r="G406" s="35" t="s">
        <v>294</v>
      </c>
      <c r="H406" s="35" t="s">
        <v>355</v>
      </c>
      <c r="I406" s="34" t="s">
        <v>1184</v>
      </c>
      <c r="J406" s="34">
        <v>99</v>
      </c>
      <c r="K406" s="36" t="s">
        <v>717</v>
      </c>
      <c r="L406" s="36" t="s">
        <v>726</v>
      </c>
      <c r="M406" s="37" t="s">
        <v>1438</v>
      </c>
      <c r="N406" s="37" t="s">
        <v>1752</v>
      </c>
      <c r="O406" s="38">
        <v>1</v>
      </c>
      <c r="P406" s="38"/>
      <c r="Q406" s="35"/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1157</v>
      </c>
      <c r="E407" s="35" t="s">
        <v>1158</v>
      </c>
      <c r="F407" s="39" t="s">
        <v>1882</v>
      </c>
      <c r="G407" s="35" t="s">
        <v>630</v>
      </c>
      <c r="H407" s="35" t="s">
        <v>355</v>
      </c>
      <c r="I407" s="34" t="s">
        <v>1159</v>
      </c>
      <c r="J407" s="34">
        <v>99</v>
      </c>
      <c r="K407" s="36" t="s">
        <v>717</v>
      </c>
      <c r="L407" s="36" t="s">
        <v>717</v>
      </c>
      <c r="M407" s="37" t="s">
        <v>735</v>
      </c>
      <c r="N407" s="37" t="s">
        <v>1747</v>
      </c>
      <c r="O407" s="38">
        <v>1</v>
      </c>
      <c r="P407" s="38"/>
      <c r="Q407" s="39" t="s">
        <v>1902</v>
      </c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34">
        <v>0</v>
      </c>
      <c r="B408" s="34">
        <v>2</v>
      </c>
      <c r="C408" s="34">
        <v>7</v>
      </c>
      <c r="D408" s="35" t="s">
        <v>544</v>
      </c>
      <c r="E408" s="35" t="s">
        <v>159</v>
      </c>
      <c r="F408" s="35" t="s">
        <v>196</v>
      </c>
      <c r="G408" s="35" t="s">
        <v>197</v>
      </c>
      <c r="H408" s="35" t="s">
        <v>355</v>
      </c>
      <c r="I408" s="34" t="s">
        <v>552</v>
      </c>
      <c r="J408" s="34">
        <v>99</v>
      </c>
      <c r="K408" s="36" t="s">
        <v>959</v>
      </c>
      <c r="L408" s="36" t="s">
        <v>700</v>
      </c>
      <c r="M408" s="37" t="s">
        <v>1440</v>
      </c>
      <c r="N408" s="37" t="s">
        <v>1752</v>
      </c>
      <c r="O408" s="38">
        <v>1</v>
      </c>
      <c r="P408" s="38"/>
      <c r="Q408" s="35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0</v>
      </c>
      <c r="AD408" s="1">
        <f t="shared" si="199"/>
        <v>0</v>
      </c>
      <c r="AE408" s="1">
        <f t="shared" si="200"/>
        <v>1</v>
      </c>
      <c r="AF408" s="1">
        <f t="shared" si="185"/>
        <v>0</v>
      </c>
      <c r="AG408" s="1">
        <f t="shared" si="186"/>
        <v>1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15">
        <v>0</v>
      </c>
      <c r="B409" s="15">
        <v>2</v>
      </c>
      <c r="C409" s="15">
        <v>7</v>
      </c>
      <c r="D409" s="16" t="s">
        <v>46</v>
      </c>
      <c r="E409" s="16" t="s">
        <v>157</v>
      </c>
      <c r="F409" s="16" t="s">
        <v>184</v>
      </c>
      <c r="G409" s="16" t="s">
        <v>180</v>
      </c>
      <c r="H409" s="16" t="s">
        <v>355</v>
      </c>
      <c r="I409" s="15" t="s">
        <v>383</v>
      </c>
      <c r="J409" s="15">
        <v>10</v>
      </c>
      <c r="K409" s="10" t="s">
        <v>959</v>
      </c>
      <c r="L409" s="10" t="s">
        <v>726</v>
      </c>
      <c r="M409" s="19" t="s">
        <v>1438</v>
      </c>
      <c r="N409" s="19"/>
      <c r="Q409" s="16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0</v>
      </c>
      <c r="Z409" s="1">
        <f t="shared" si="196"/>
        <v>0</v>
      </c>
      <c r="AA409" s="1">
        <f t="shared" si="197"/>
        <v>0</v>
      </c>
      <c r="AB409" s="1">
        <f t="shared" si="198"/>
        <v>1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0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249</v>
      </c>
      <c r="G410" s="48" t="s">
        <v>250</v>
      </c>
      <c r="H410" s="48" t="s">
        <v>355</v>
      </c>
      <c r="I410" s="47" t="s">
        <v>412</v>
      </c>
      <c r="J410" s="47">
        <v>7</v>
      </c>
      <c r="K410" s="49" t="s">
        <v>717</v>
      </c>
      <c r="L410" s="49" t="s">
        <v>717</v>
      </c>
      <c r="M410" s="50" t="s">
        <v>735</v>
      </c>
      <c r="N410" s="50" t="s">
        <v>1738</v>
      </c>
      <c r="O410" s="51"/>
      <c r="P410" s="51"/>
      <c r="Q410" s="48"/>
      <c r="S410" s="1">
        <f t="shared" si="189"/>
        <v>0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1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1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1043</v>
      </c>
      <c r="G411" s="48" t="s">
        <v>541</v>
      </c>
      <c r="H411" s="48" t="s">
        <v>355</v>
      </c>
      <c r="I411" s="47" t="s">
        <v>30</v>
      </c>
      <c r="J411" s="47">
        <v>1</v>
      </c>
      <c r="K411" s="49" t="s">
        <v>717</v>
      </c>
      <c r="L411" s="49" t="s">
        <v>717</v>
      </c>
      <c r="M411" s="50" t="s">
        <v>735</v>
      </c>
      <c r="N411" s="50" t="s">
        <v>1738</v>
      </c>
      <c r="O411" s="51"/>
      <c r="P411" s="51"/>
      <c r="Q411" s="48"/>
      <c r="S411" s="1">
        <f t="shared" si="189"/>
        <v>1</v>
      </c>
      <c r="T411" s="1">
        <f t="shared" si="190"/>
        <v>0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251</v>
      </c>
      <c r="G412" s="48" t="s">
        <v>201</v>
      </c>
      <c r="H412" s="48" t="s">
        <v>355</v>
      </c>
      <c r="I412" s="47" t="s">
        <v>413</v>
      </c>
      <c r="J412" s="47">
        <v>2</v>
      </c>
      <c r="K412" s="49" t="s">
        <v>717</v>
      </c>
      <c r="L412" s="49" t="s">
        <v>717</v>
      </c>
      <c r="M412" s="50" t="s">
        <v>735</v>
      </c>
      <c r="N412" s="50" t="s">
        <v>1738</v>
      </c>
      <c r="O412" s="51"/>
      <c r="P412" s="51"/>
      <c r="Q412" s="48"/>
      <c r="S412" s="1">
        <f t="shared" si="189"/>
        <v>0</v>
      </c>
      <c r="T412" s="1">
        <f t="shared" si="190"/>
        <v>1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248</v>
      </c>
      <c r="G413" s="48" t="s">
        <v>1355</v>
      </c>
      <c r="H413" s="48" t="s">
        <v>355</v>
      </c>
      <c r="I413" s="47" t="s">
        <v>30</v>
      </c>
      <c r="J413" s="47">
        <v>1</v>
      </c>
      <c r="K413" s="49" t="s">
        <v>717</v>
      </c>
      <c r="L413" s="49" t="s">
        <v>717</v>
      </c>
      <c r="M413" s="50" t="s">
        <v>735</v>
      </c>
      <c r="N413" s="50" t="s">
        <v>1738</v>
      </c>
      <c r="O413" s="51"/>
      <c r="P413" s="51"/>
      <c r="Q413" s="48" t="s">
        <v>1921</v>
      </c>
      <c r="S413" s="1">
        <f t="shared" si="189"/>
        <v>1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0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1</v>
      </c>
      <c r="B414" s="47">
        <v>2</v>
      </c>
      <c r="C414" s="47">
        <v>7</v>
      </c>
      <c r="D414" s="48" t="s">
        <v>67</v>
      </c>
      <c r="E414" s="48" t="s">
        <v>28</v>
      </c>
      <c r="F414" s="48" t="s">
        <v>253</v>
      </c>
      <c r="G414" s="48" t="s">
        <v>195</v>
      </c>
      <c r="H414" s="48" t="s">
        <v>355</v>
      </c>
      <c r="I414" s="47" t="s">
        <v>414</v>
      </c>
      <c r="J414" s="47">
        <v>9</v>
      </c>
      <c r="K414" s="49" t="s">
        <v>717</v>
      </c>
      <c r="L414" s="49" t="s">
        <v>717</v>
      </c>
      <c r="M414" s="50" t="s">
        <v>735</v>
      </c>
      <c r="N414" s="50" t="s">
        <v>1738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0</v>
      </c>
    </row>
    <row r="415" spans="1:35" ht="14.25" customHeight="1" x14ac:dyDescent="0.25">
      <c r="A415" s="47">
        <v>0</v>
      </c>
      <c r="B415" s="47">
        <v>2</v>
      </c>
      <c r="C415" s="47">
        <v>7</v>
      </c>
      <c r="D415" s="48" t="s">
        <v>1027</v>
      </c>
      <c r="E415" s="48" t="s">
        <v>28</v>
      </c>
      <c r="F415" s="48" t="s">
        <v>1028</v>
      </c>
      <c r="G415" s="48" t="s">
        <v>195</v>
      </c>
      <c r="H415" s="48" t="s">
        <v>355</v>
      </c>
      <c r="I415" s="47" t="s">
        <v>1029</v>
      </c>
      <c r="J415" s="47">
        <v>9</v>
      </c>
      <c r="K415" s="49" t="s">
        <v>716</v>
      </c>
      <c r="L415" s="49" t="s">
        <v>717</v>
      </c>
      <c r="M415" s="50" t="s">
        <v>735</v>
      </c>
      <c r="N415" s="50" t="s">
        <v>1739</v>
      </c>
      <c r="O415" s="51"/>
      <c r="P415" s="51"/>
      <c r="Q415" s="48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1</v>
      </c>
      <c r="AB415" s="1">
        <f t="shared" si="198"/>
        <v>0</v>
      </c>
      <c r="AD415" s="1">
        <f t="shared" si="199"/>
        <v>0</v>
      </c>
      <c r="AE415" s="1">
        <f t="shared" si="200"/>
        <v>0</v>
      </c>
      <c r="AF415" s="1">
        <f t="shared" si="185"/>
        <v>0</v>
      </c>
      <c r="AG415" s="1">
        <f t="shared" si="186"/>
        <v>0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34">
        <v>0</v>
      </c>
      <c r="B416" s="34">
        <v>2</v>
      </c>
      <c r="C416" s="34">
        <v>7</v>
      </c>
      <c r="D416" s="35" t="s">
        <v>1837</v>
      </c>
      <c r="E416" s="35" t="s">
        <v>1838</v>
      </c>
      <c r="F416" s="35" t="s">
        <v>1839</v>
      </c>
      <c r="G416" s="35" t="s">
        <v>208</v>
      </c>
      <c r="H416" s="35" t="s">
        <v>355</v>
      </c>
      <c r="I416" s="34" t="s">
        <v>30</v>
      </c>
      <c r="J416" s="34"/>
      <c r="K416" s="36" t="s">
        <v>707</v>
      </c>
      <c r="L416" s="36">
        <v>20</v>
      </c>
      <c r="M416" s="37" t="s">
        <v>1840</v>
      </c>
      <c r="N416" s="37" t="s">
        <v>1747</v>
      </c>
      <c r="O416" s="38">
        <v>1</v>
      </c>
      <c r="P416" s="38"/>
      <c r="Q416" s="35"/>
      <c r="S416" s="1">
        <f t="shared" si="189"/>
        <v>0</v>
      </c>
      <c r="T416" s="1">
        <f t="shared" si="190"/>
        <v>0</v>
      </c>
      <c r="U416" s="1">
        <f t="shared" si="191"/>
        <v>0</v>
      </c>
      <c r="V416" s="1">
        <f t="shared" si="192"/>
        <v>0</v>
      </c>
      <c r="W416" s="1">
        <f t="shared" si="193"/>
        <v>0</v>
      </c>
      <c r="X416" s="1">
        <f t="shared" si="194"/>
        <v>0</v>
      </c>
      <c r="Y416" s="1">
        <f t="shared" si="195"/>
        <v>0</v>
      </c>
      <c r="Z416" s="1">
        <f t="shared" si="196"/>
        <v>0</v>
      </c>
      <c r="AA416" s="1">
        <f t="shared" si="197"/>
        <v>0</v>
      </c>
      <c r="AB416" s="1">
        <f t="shared" si="198"/>
        <v>0</v>
      </c>
      <c r="AD416" s="1">
        <f t="shared" si="199"/>
        <v>0</v>
      </c>
      <c r="AE416" s="1">
        <f t="shared" si="200"/>
        <v>1</v>
      </c>
      <c r="AF416" s="1">
        <f t="shared" si="185"/>
        <v>0</v>
      </c>
      <c r="AG416" s="1">
        <f t="shared" si="186"/>
        <v>1</v>
      </c>
      <c r="AH416" s="1">
        <f t="shared" si="187"/>
        <v>0</v>
      </c>
      <c r="AI416" s="1">
        <f t="shared" si="188"/>
        <v>1</v>
      </c>
    </row>
    <row r="417" spans="1:35" ht="14.25" customHeight="1" x14ac:dyDescent="0.25">
      <c r="A417" s="52">
        <v>0</v>
      </c>
      <c r="B417" s="52">
        <v>2</v>
      </c>
      <c r="C417" s="52">
        <v>7</v>
      </c>
      <c r="D417" s="53" t="s">
        <v>1083</v>
      </c>
      <c r="E417" s="53" t="s">
        <v>546</v>
      </c>
      <c r="F417" s="53" t="s">
        <v>1064</v>
      </c>
      <c r="G417" s="53" t="s">
        <v>239</v>
      </c>
      <c r="H417" s="53" t="s">
        <v>355</v>
      </c>
      <c r="I417" s="52" t="s">
        <v>1065</v>
      </c>
      <c r="J417" s="52">
        <v>99</v>
      </c>
      <c r="K417" s="54" t="s">
        <v>959</v>
      </c>
      <c r="L417" s="54" t="s">
        <v>726</v>
      </c>
      <c r="M417" s="55" t="s">
        <v>1441</v>
      </c>
      <c r="N417" s="55" t="s">
        <v>1747</v>
      </c>
      <c r="O417" s="56">
        <v>1</v>
      </c>
      <c r="P417" s="56"/>
      <c r="Q417" s="53"/>
      <c r="S417" s="1">
        <f t="shared" ref="S417:S421" si="201">IF(J417=$S$7,1,0)</f>
        <v>0</v>
      </c>
      <c r="T417" s="1">
        <f t="shared" ref="T417:T421" si="202">IF(J417=$T$7,1,0)</f>
        <v>0</v>
      </c>
      <c r="U417" s="1">
        <f t="shared" ref="U417:U421" si="203">IF(J417=$U$7,1,0)</f>
        <v>0</v>
      </c>
      <c r="V417" s="1">
        <f t="shared" ref="V417:V421" si="204">IF(J417=$V$7,1,0)</f>
        <v>0</v>
      </c>
      <c r="W417" s="1">
        <f t="shared" ref="W417:W421" si="205">IF(J417=$W$7,1,0)</f>
        <v>0</v>
      </c>
      <c r="X417" s="1">
        <f t="shared" ref="X417:X421" si="206">IF(J417=$X$7,1,0)</f>
        <v>0</v>
      </c>
      <c r="Y417" s="1">
        <f t="shared" ref="Y417:Y421" si="207">IF(J417=$Y$7,1,0)</f>
        <v>0</v>
      </c>
      <c r="Z417" s="1">
        <f t="shared" ref="Z417:Z421" si="208">IF(J417=$Z$7,1,0)</f>
        <v>0</v>
      </c>
      <c r="AA417" s="1">
        <f t="shared" ref="AA417:AA421" si="209">IF(J417=$AA$7,1,0)</f>
        <v>0</v>
      </c>
      <c r="AB417" s="1">
        <f t="shared" ref="AB417:AB421" si="210">IF(J417=$AB$7,1,0)</f>
        <v>0</v>
      </c>
      <c r="AD417" s="1">
        <f t="shared" ref="AD417:AD421" si="211">+O417*P417</f>
        <v>0</v>
      </c>
      <c r="AE417" s="1">
        <f t="shared" ref="AE417:AE421" si="212">O417*(1-P417)</f>
        <v>1</v>
      </c>
      <c r="AF417" s="1">
        <f t="shared" ref="AF417:AF421" si="213">+O417*P417*(1-A417)</f>
        <v>0</v>
      </c>
      <c r="AG417" s="1">
        <f t="shared" ref="AG417:AG421" si="214">O417*(1-P417)*(1-A417)</f>
        <v>1</v>
      </c>
      <c r="AH417" s="1">
        <f t="shared" ref="AH417:AH421" si="215">+P417*(1-A417)</f>
        <v>0</v>
      </c>
      <c r="AI417" s="1">
        <f t="shared" ref="AI417:AI421" si="216">+(1-A417)*(1-P417)</f>
        <v>1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5" t="s">
        <v>1230</v>
      </c>
      <c r="E418" s="35" t="s">
        <v>157</v>
      </c>
      <c r="F418" s="35" t="s">
        <v>1231</v>
      </c>
      <c r="G418" s="35" t="s">
        <v>252</v>
      </c>
      <c r="H418" s="35" t="s">
        <v>355</v>
      </c>
      <c r="I418" s="34" t="s">
        <v>1232</v>
      </c>
      <c r="J418" s="34">
        <v>99</v>
      </c>
      <c r="K418" s="36" t="s">
        <v>717</v>
      </c>
      <c r="L418" s="36">
        <v>10</v>
      </c>
      <c r="M418" s="37" t="s">
        <v>1750</v>
      </c>
      <c r="N418" s="37" t="s">
        <v>1731</v>
      </c>
      <c r="O418" s="38">
        <v>1</v>
      </c>
      <c r="P418" s="38">
        <v>1</v>
      </c>
      <c r="Q418" s="35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0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34">
        <v>0</v>
      </c>
      <c r="B419" s="34">
        <v>2</v>
      </c>
      <c r="C419" s="34">
        <v>7</v>
      </c>
      <c r="D419" s="39" t="s">
        <v>1807</v>
      </c>
      <c r="E419" s="39" t="s">
        <v>28</v>
      </c>
      <c r="F419" s="39" t="s">
        <v>1808</v>
      </c>
      <c r="G419" s="39" t="s">
        <v>181</v>
      </c>
      <c r="H419" s="39" t="s">
        <v>355</v>
      </c>
      <c r="I419" s="40" t="s">
        <v>1809</v>
      </c>
      <c r="J419" s="34">
        <v>10</v>
      </c>
      <c r="K419" s="36" t="s">
        <v>707</v>
      </c>
      <c r="L419" s="36">
        <v>10</v>
      </c>
      <c r="M419" s="37"/>
      <c r="N419" s="37" t="s">
        <v>1731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1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0">
        <v>0</v>
      </c>
      <c r="B420" s="40">
        <v>2</v>
      </c>
      <c r="C420" s="40">
        <v>7</v>
      </c>
      <c r="D420" s="39" t="s">
        <v>1589</v>
      </c>
      <c r="E420" s="39" t="s">
        <v>1655</v>
      </c>
      <c r="F420" s="39" t="s">
        <v>1590</v>
      </c>
      <c r="G420" s="39" t="s">
        <v>659</v>
      </c>
      <c r="H420" s="39" t="s">
        <v>355</v>
      </c>
      <c r="I420" s="40" t="s">
        <v>1591</v>
      </c>
      <c r="J420" s="40">
        <v>99</v>
      </c>
      <c r="K420" s="36" t="s">
        <v>717</v>
      </c>
      <c r="L420" s="36" t="s">
        <v>39</v>
      </c>
      <c r="M420" s="37" t="s">
        <v>39</v>
      </c>
      <c r="N420" s="37" t="s">
        <v>1731</v>
      </c>
      <c r="O420" s="38">
        <v>1</v>
      </c>
      <c r="P420" s="38">
        <v>1</v>
      </c>
      <c r="Q420" s="39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1</v>
      </c>
      <c r="AE420" s="1">
        <f t="shared" si="212"/>
        <v>0</v>
      </c>
      <c r="AF420" s="1">
        <f t="shared" si="213"/>
        <v>1</v>
      </c>
      <c r="AG420" s="1">
        <f t="shared" si="214"/>
        <v>0</v>
      </c>
      <c r="AH420" s="1">
        <f t="shared" si="215"/>
        <v>1</v>
      </c>
      <c r="AI420" s="1">
        <f t="shared" si="216"/>
        <v>0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1541</v>
      </c>
      <c r="E421" s="48" t="s">
        <v>28</v>
      </c>
      <c r="F421" s="48" t="s">
        <v>1666</v>
      </c>
      <c r="G421" s="48" t="s">
        <v>288</v>
      </c>
      <c r="H421" s="48" t="s">
        <v>355</v>
      </c>
      <c r="I421" s="47" t="s">
        <v>1692</v>
      </c>
      <c r="J421" s="47">
        <v>99</v>
      </c>
      <c r="K421" s="49" t="s">
        <v>717</v>
      </c>
      <c r="L421" s="49" t="s">
        <v>717</v>
      </c>
      <c r="M421" s="50" t="s">
        <v>735</v>
      </c>
      <c r="N421" s="50" t="s">
        <v>1739</v>
      </c>
      <c r="O421" s="51"/>
      <c r="P421" s="51"/>
      <c r="Q421" s="48"/>
      <c r="S421" s="1">
        <f t="shared" si="201"/>
        <v>0</v>
      </c>
      <c r="T421" s="1">
        <f t="shared" si="202"/>
        <v>0</v>
      </c>
      <c r="U421" s="1">
        <f t="shared" si="203"/>
        <v>0</v>
      </c>
      <c r="V421" s="1">
        <f t="shared" si="204"/>
        <v>0</v>
      </c>
      <c r="W421" s="1">
        <f t="shared" si="205"/>
        <v>0</v>
      </c>
      <c r="X421" s="1">
        <f t="shared" si="206"/>
        <v>0</v>
      </c>
      <c r="Y421" s="1">
        <f t="shared" si="207"/>
        <v>0</v>
      </c>
      <c r="Z421" s="1">
        <f t="shared" si="208"/>
        <v>0</v>
      </c>
      <c r="AA421" s="1">
        <f t="shared" si="209"/>
        <v>0</v>
      </c>
      <c r="AB421" s="1">
        <f t="shared" si="210"/>
        <v>0</v>
      </c>
      <c r="AD421" s="1">
        <f t="shared" si="211"/>
        <v>0</v>
      </c>
      <c r="AE421" s="1">
        <f t="shared" si="212"/>
        <v>0</v>
      </c>
      <c r="AF421" s="1">
        <f t="shared" si="213"/>
        <v>0</v>
      </c>
      <c r="AG421" s="1">
        <f t="shared" si="214"/>
        <v>0</v>
      </c>
      <c r="AH421" s="1">
        <f t="shared" si="215"/>
        <v>0</v>
      </c>
      <c r="AI421" s="1">
        <f t="shared" si="216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1332</v>
      </c>
      <c r="E422" s="48" t="s">
        <v>28</v>
      </c>
      <c r="F422" s="48" t="s">
        <v>574</v>
      </c>
      <c r="G422" s="48" t="s">
        <v>182</v>
      </c>
      <c r="H422" s="48" t="s">
        <v>355</v>
      </c>
      <c r="I422" s="47" t="s">
        <v>431</v>
      </c>
      <c r="J422" s="47">
        <v>7</v>
      </c>
      <c r="K422" s="49" t="s">
        <v>716</v>
      </c>
      <c r="L422" s="49" t="s">
        <v>717</v>
      </c>
      <c r="M422" s="50" t="s">
        <v>735</v>
      </c>
      <c r="N422" s="50" t="s">
        <v>1739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1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0</v>
      </c>
      <c r="B423" s="47">
        <v>2</v>
      </c>
      <c r="C423" s="47">
        <v>7</v>
      </c>
      <c r="D423" s="48" t="s">
        <v>72</v>
      </c>
      <c r="E423" s="48" t="s">
        <v>28</v>
      </c>
      <c r="F423" s="68" t="s">
        <v>1879</v>
      </c>
      <c r="G423" s="48" t="s">
        <v>236</v>
      </c>
      <c r="H423" s="48" t="s">
        <v>355</v>
      </c>
      <c r="I423" s="47" t="s">
        <v>683</v>
      </c>
      <c r="J423" s="47">
        <v>99</v>
      </c>
      <c r="K423" s="49" t="s">
        <v>717</v>
      </c>
      <c r="L423" s="49" t="s">
        <v>717</v>
      </c>
      <c r="M423" s="50" t="s">
        <v>735</v>
      </c>
      <c r="N423" s="50" t="s">
        <v>1739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0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1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262</v>
      </c>
      <c r="G424" s="48" t="s">
        <v>221</v>
      </c>
      <c r="H424" s="48" t="s">
        <v>355</v>
      </c>
      <c r="I424" s="47" t="s">
        <v>421</v>
      </c>
      <c r="J424" s="47">
        <v>8</v>
      </c>
      <c r="K424" s="49" t="s">
        <v>717</v>
      </c>
      <c r="L424" s="49" t="s">
        <v>717</v>
      </c>
      <c r="M424" s="50" t="s">
        <v>735</v>
      </c>
      <c r="N424" s="50" t="s">
        <v>1739</v>
      </c>
      <c r="O424" s="51"/>
      <c r="P424" s="51"/>
      <c r="Q424" s="48"/>
      <c r="S424" s="1">
        <f t="shared" si="189"/>
        <v>0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1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47">
        <v>1</v>
      </c>
      <c r="B425" s="47">
        <v>2</v>
      </c>
      <c r="C425" s="47">
        <v>7</v>
      </c>
      <c r="D425" s="48" t="s">
        <v>72</v>
      </c>
      <c r="E425" s="48" t="s">
        <v>28</v>
      </c>
      <c r="F425" s="48" t="s">
        <v>261</v>
      </c>
      <c r="G425" s="48" t="s">
        <v>179</v>
      </c>
      <c r="H425" s="48" t="s">
        <v>355</v>
      </c>
      <c r="I425" s="47" t="s">
        <v>420</v>
      </c>
      <c r="J425" s="47">
        <v>1</v>
      </c>
      <c r="K425" s="49" t="s">
        <v>717</v>
      </c>
      <c r="L425" s="49" t="s">
        <v>717</v>
      </c>
      <c r="M425" s="50" t="s">
        <v>735</v>
      </c>
      <c r="N425" s="50" t="s">
        <v>1739</v>
      </c>
      <c r="O425" s="51"/>
      <c r="P425" s="51"/>
      <c r="Q425" s="48"/>
      <c r="S425" s="1">
        <f t="shared" si="189"/>
        <v>1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0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782</v>
      </c>
      <c r="E426" s="16" t="s">
        <v>28</v>
      </c>
      <c r="F426" s="16" t="s">
        <v>783</v>
      </c>
      <c r="G426" s="16" t="s">
        <v>280</v>
      </c>
      <c r="H426" s="16" t="s">
        <v>355</v>
      </c>
      <c r="I426" s="15" t="s">
        <v>784</v>
      </c>
      <c r="J426" s="15">
        <v>99</v>
      </c>
      <c r="K426" s="10" t="s">
        <v>717</v>
      </c>
      <c r="L426" s="10" t="s">
        <v>717</v>
      </c>
      <c r="M426" s="19" t="s">
        <v>735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15">
        <v>0</v>
      </c>
      <c r="B427" s="15">
        <v>2</v>
      </c>
      <c r="C427" s="15">
        <v>7</v>
      </c>
      <c r="D427" s="16" t="s">
        <v>85</v>
      </c>
      <c r="E427" s="16" t="s">
        <v>28</v>
      </c>
      <c r="F427" s="16" t="s">
        <v>279</v>
      </c>
      <c r="G427" s="16" t="s">
        <v>280</v>
      </c>
      <c r="H427" s="16" t="s">
        <v>355</v>
      </c>
      <c r="I427" s="15" t="s">
        <v>435</v>
      </c>
      <c r="J427" s="15">
        <v>99</v>
      </c>
      <c r="K427" s="10" t="s">
        <v>717</v>
      </c>
      <c r="L427" s="10" t="s">
        <v>717</v>
      </c>
      <c r="M427" s="19" t="s">
        <v>735</v>
      </c>
      <c r="N427" s="17"/>
      <c r="Q427" s="16"/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0</v>
      </c>
      <c r="AF427" s="1">
        <f t="shared" si="185"/>
        <v>0</v>
      </c>
      <c r="AG427" s="1">
        <f t="shared" si="186"/>
        <v>0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0">
        <v>0</v>
      </c>
      <c r="B428" s="40">
        <v>2</v>
      </c>
      <c r="C428" s="40">
        <v>7</v>
      </c>
      <c r="D428" s="39" t="s">
        <v>1941</v>
      </c>
      <c r="E428" s="39" t="s">
        <v>28</v>
      </c>
      <c r="F428" s="39" t="s">
        <v>1942</v>
      </c>
      <c r="G428" s="39" t="s">
        <v>186</v>
      </c>
      <c r="H428" s="39" t="s">
        <v>355</v>
      </c>
      <c r="I428" s="40" t="s">
        <v>1943</v>
      </c>
      <c r="J428" s="40">
        <v>99</v>
      </c>
      <c r="K428" s="36" t="s">
        <v>707</v>
      </c>
      <c r="L428" s="36">
        <v>4</v>
      </c>
      <c r="M428" s="37" t="s">
        <v>735</v>
      </c>
      <c r="N428" s="37" t="s">
        <v>1747</v>
      </c>
      <c r="O428" s="38">
        <v>1</v>
      </c>
      <c r="P428" s="38"/>
      <c r="Q428" s="39" t="s">
        <v>1944</v>
      </c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1</v>
      </c>
      <c r="AF428" s="1">
        <f t="shared" si="185"/>
        <v>0</v>
      </c>
      <c r="AG428" s="1">
        <f t="shared" si="186"/>
        <v>1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0</v>
      </c>
      <c r="B429" s="47">
        <v>2</v>
      </c>
      <c r="C429" s="47">
        <v>7</v>
      </c>
      <c r="D429" s="48" t="s">
        <v>555</v>
      </c>
      <c r="E429" s="48" t="s">
        <v>28</v>
      </c>
      <c r="F429" s="68" t="s">
        <v>1880</v>
      </c>
      <c r="G429" s="48" t="s">
        <v>558</v>
      </c>
      <c r="H429" s="48" t="s">
        <v>355</v>
      </c>
      <c r="I429" s="47" t="s">
        <v>559</v>
      </c>
      <c r="J429" s="47">
        <v>99</v>
      </c>
      <c r="K429" s="49" t="s">
        <v>717</v>
      </c>
      <c r="L429" s="49" t="s">
        <v>717</v>
      </c>
      <c r="M429" s="50" t="s">
        <v>735</v>
      </c>
      <c r="N429" s="50" t="s">
        <v>1806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1</v>
      </c>
    </row>
    <row r="430" spans="1:35" ht="14.25" customHeight="1" x14ac:dyDescent="0.25">
      <c r="A430" s="47">
        <v>1</v>
      </c>
      <c r="B430" s="47">
        <v>2</v>
      </c>
      <c r="C430" s="47">
        <v>7</v>
      </c>
      <c r="D430" s="48" t="s">
        <v>555</v>
      </c>
      <c r="E430" s="48" t="s">
        <v>28</v>
      </c>
      <c r="F430" s="68" t="s">
        <v>1881</v>
      </c>
      <c r="G430" s="48" t="s">
        <v>556</v>
      </c>
      <c r="H430" s="48" t="s">
        <v>355</v>
      </c>
      <c r="I430" s="47" t="s">
        <v>557</v>
      </c>
      <c r="J430" s="47">
        <v>99</v>
      </c>
      <c r="K430" s="49" t="s">
        <v>717</v>
      </c>
      <c r="L430" s="49" t="s">
        <v>717</v>
      </c>
      <c r="M430" s="50" t="s">
        <v>735</v>
      </c>
      <c r="N430" s="50" t="s">
        <v>1806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0</v>
      </c>
    </row>
    <row r="431" spans="1:35" ht="14.25" customHeight="1" x14ac:dyDescent="0.25">
      <c r="A431" s="47">
        <v>0</v>
      </c>
      <c r="B431" s="47">
        <v>2</v>
      </c>
      <c r="C431" s="47">
        <v>7</v>
      </c>
      <c r="D431" s="48" t="s">
        <v>1189</v>
      </c>
      <c r="E431" s="48" t="s">
        <v>28</v>
      </c>
      <c r="F431" s="48" t="s">
        <v>1682</v>
      </c>
      <c r="G431" s="48" t="s">
        <v>236</v>
      </c>
      <c r="H431" s="48" t="s">
        <v>355</v>
      </c>
      <c r="I431" s="47" t="s">
        <v>1370</v>
      </c>
      <c r="J431" s="47">
        <v>99</v>
      </c>
      <c r="K431" s="49" t="s">
        <v>716</v>
      </c>
      <c r="L431" s="49" t="s">
        <v>717</v>
      </c>
      <c r="M431" s="50" t="s">
        <v>735</v>
      </c>
      <c r="N431" s="50" t="s">
        <v>1739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1</v>
      </c>
    </row>
    <row r="432" spans="1:35" ht="14.25" customHeight="1" x14ac:dyDescent="0.25">
      <c r="A432" s="47">
        <v>1</v>
      </c>
      <c r="B432" s="47">
        <v>2</v>
      </c>
      <c r="C432" s="47">
        <v>7</v>
      </c>
      <c r="D432" s="48" t="s">
        <v>1189</v>
      </c>
      <c r="E432" s="48" t="s">
        <v>28</v>
      </c>
      <c r="F432" s="48" t="s">
        <v>1683</v>
      </c>
      <c r="G432" s="48" t="s">
        <v>1356</v>
      </c>
      <c r="H432" s="48" t="s">
        <v>355</v>
      </c>
      <c r="I432" s="47" t="s">
        <v>1371</v>
      </c>
      <c r="J432" s="47">
        <v>99</v>
      </c>
      <c r="K432" s="49" t="s">
        <v>716</v>
      </c>
      <c r="L432" s="49" t="s">
        <v>717</v>
      </c>
      <c r="M432" s="50" t="s">
        <v>735</v>
      </c>
      <c r="N432" s="50" t="s">
        <v>1739</v>
      </c>
      <c r="O432" s="51"/>
      <c r="P432" s="51"/>
      <c r="Q432" s="48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0</v>
      </c>
      <c r="AF432" s="1">
        <f t="shared" si="185"/>
        <v>0</v>
      </c>
      <c r="AG432" s="1">
        <f t="shared" si="186"/>
        <v>0</v>
      </c>
      <c r="AH432" s="1">
        <f t="shared" si="187"/>
        <v>0</v>
      </c>
      <c r="AI432" s="1">
        <f t="shared" si="188"/>
        <v>0</v>
      </c>
    </row>
    <row r="433" spans="1:35" ht="14.25" customHeight="1" x14ac:dyDescent="0.25">
      <c r="A433" s="34">
        <v>0</v>
      </c>
      <c r="B433" s="34">
        <v>2</v>
      </c>
      <c r="C433" s="34">
        <v>7</v>
      </c>
      <c r="D433" s="35" t="s">
        <v>1257</v>
      </c>
      <c r="E433" s="35" t="s">
        <v>28</v>
      </c>
      <c r="F433" s="35" t="s">
        <v>1256</v>
      </c>
      <c r="G433" s="35" t="s">
        <v>1241</v>
      </c>
      <c r="H433" s="35" t="s">
        <v>355</v>
      </c>
      <c r="I433" s="34" t="s">
        <v>1258</v>
      </c>
      <c r="J433" s="34">
        <v>99</v>
      </c>
      <c r="K433" s="36" t="s">
        <v>707</v>
      </c>
      <c r="L433" s="36" t="s">
        <v>717</v>
      </c>
      <c r="M433" s="37" t="s">
        <v>735</v>
      </c>
      <c r="N433" s="37" t="s">
        <v>1747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0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1</v>
      </c>
      <c r="AH433" s="1">
        <f t="shared" si="187"/>
        <v>0</v>
      </c>
      <c r="AI433" s="1">
        <f t="shared" si="188"/>
        <v>1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1257</v>
      </c>
      <c r="E434" s="35" t="s">
        <v>28</v>
      </c>
      <c r="F434" s="35" t="s">
        <v>1255</v>
      </c>
      <c r="G434" s="35" t="s">
        <v>39</v>
      </c>
      <c r="H434" s="35" t="s">
        <v>355</v>
      </c>
      <c r="I434" s="34" t="s">
        <v>1259</v>
      </c>
      <c r="J434" s="34">
        <v>9</v>
      </c>
      <c r="K434" s="36" t="s">
        <v>707</v>
      </c>
      <c r="L434" s="36" t="s">
        <v>717</v>
      </c>
      <c r="M434" s="37" t="s">
        <v>735</v>
      </c>
      <c r="N434" s="37" t="s">
        <v>1747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0</v>
      </c>
      <c r="AA434" s="1">
        <f t="shared" si="197"/>
        <v>1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1</v>
      </c>
      <c r="B435" s="34">
        <v>2</v>
      </c>
      <c r="C435" s="34">
        <v>7</v>
      </c>
      <c r="D435" s="35" t="s">
        <v>1257</v>
      </c>
      <c r="E435" s="35" t="s">
        <v>28</v>
      </c>
      <c r="F435" s="39" t="s">
        <v>1828</v>
      </c>
      <c r="G435" s="39" t="s">
        <v>259</v>
      </c>
      <c r="H435" s="35" t="s">
        <v>355</v>
      </c>
      <c r="I435" s="40" t="s">
        <v>30</v>
      </c>
      <c r="J435" s="34">
        <v>8</v>
      </c>
      <c r="K435" s="36" t="s">
        <v>707</v>
      </c>
      <c r="L435" s="36" t="s">
        <v>717</v>
      </c>
      <c r="M435" s="37" t="s">
        <v>735</v>
      </c>
      <c r="N435" s="37" t="s">
        <v>1747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1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0</v>
      </c>
      <c r="AH435" s="1">
        <f t="shared" si="187"/>
        <v>0</v>
      </c>
      <c r="AI435" s="1">
        <f t="shared" si="188"/>
        <v>0</v>
      </c>
    </row>
    <row r="436" spans="1:35" ht="14.25" customHeight="1" x14ac:dyDescent="0.25">
      <c r="A436" s="34">
        <v>0</v>
      </c>
      <c r="B436" s="34">
        <v>2</v>
      </c>
      <c r="C436" s="34">
        <v>7</v>
      </c>
      <c r="D436" s="35" t="s">
        <v>51</v>
      </c>
      <c r="E436" s="35" t="s">
        <v>28</v>
      </c>
      <c r="F436" s="35" t="s">
        <v>677</v>
      </c>
      <c r="G436" s="35" t="s">
        <v>186</v>
      </c>
      <c r="H436" s="35" t="s">
        <v>355</v>
      </c>
      <c r="I436" s="34" t="s">
        <v>391</v>
      </c>
      <c r="J436" s="34">
        <v>99</v>
      </c>
      <c r="K436" s="36" t="s">
        <v>716</v>
      </c>
      <c r="L436" s="36" t="s">
        <v>717</v>
      </c>
      <c r="M436" s="37" t="s">
        <v>735</v>
      </c>
      <c r="N436" s="37" t="s">
        <v>1753</v>
      </c>
      <c r="O436" s="38">
        <v>1</v>
      </c>
      <c r="P436" s="38"/>
      <c r="Q436" s="35"/>
      <c r="S436" s="1">
        <f t="shared" si="189"/>
        <v>0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1</v>
      </c>
      <c r="AF436" s="1">
        <f t="shared" si="185"/>
        <v>0</v>
      </c>
      <c r="AG436" s="1">
        <f t="shared" si="186"/>
        <v>1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1085</v>
      </c>
      <c r="E437" s="48" t="s">
        <v>28</v>
      </c>
      <c r="F437" s="48" t="s">
        <v>1002</v>
      </c>
      <c r="G437" s="48" t="s">
        <v>241</v>
      </c>
      <c r="H437" s="48" t="s">
        <v>355</v>
      </c>
      <c r="I437" s="47" t="s">
        <v>1110</v>
      </c>
      <c r="J437" s="47">
        <v>1</v>
      </c>
      <c r="K437" s="49" t="s">
        <v>716</v>
      </c>
      <c r="L437" s="49" t="s">
        <v>717</v>
      </c>
      <c r="M437" s="50" t="s">
        <v>735</v>
      </c>
      <c r="N437" s="50" t="s">
        <v>1739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1</v>
      </c>
    </row>
    <row r="438" spans="1:35" ht="14.25" customHeight="1" x14ac:dyDescent="0.25">
      <c r="A438" s="47">
        <v>1</v>
      </c>
      <c r="B438" s="47">
        <v>2</v>
      </c>
      <c r="C438" s="47">
        <v>7</v>
      </c>
      <c r="D438" s="48" t="s">
        <v>1085</v>
      </c>
      <c r="E438" s="48" t="s">
        <v>28</v>
      </c>
      <c r="F438" s="48" t="s">
        <v>1003</v>
      </c>
      <c r="G438" s="48" t="s">
        <v>1103</v>
      </c>
      <c r="H438" s="48" t="s">
        <v>355</v>
      </c>
      <c r="I438" s="47" t="s">
        <v>1111</v>
      </c>
      <c r="J438" s="47">
        <v>1</v>
      </c>
      <c r="K438" s="49" t="s">
        <v>716</v>
      </c>
      <c r="L438" s="49" t="s">
        <v>717</v>
      </c>
      <c r="M438" s="50" t="s">
        <v>735</v>
      </c>
      <c r="N438" s="50" t="s">
        <v>1739</v>
      </c>
      <c r="O438" s="51"/>
      <c r="P438" s="51"/>
      <c r="Q438" s="48"/>
      <c r="S438" s="1">
        <f t="shared" si="189"/>
        <v>1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0</v>
      </c>
      <c r="AF438" s="1">
        <f t="shared" si="185"/>
        <v>0</v>
      </c>
      <c r="AG438" s="1">
        <f t="shared" si="186"/>
        <v>0</v>
      </c>
      <c r="AH438" s="1">
        <f t="shared" si="187"/>
        <v>0</v>
      </c>
      <c r="AI438" s="1">
        <f t="shared" si="188"/>
        <v>0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1642</v>
      </c>
      <c r="E439" s="35" t="s">
        <v>157</v>
      </c>
      <c r="F439" s="35" t="s">
        <v>1495</v>
      </c>
      <c r="G439" s="35" t="s">
        <v>1496</v>
      </c>
      <c r="H439" s="35" t="s">
        <v>355</v>
      </c>
      <c r="I439" s="34" t="s">
        <v>1497</v>
      </c>
      <c r="J439" s="34">
        <v>99</v>
      </c>
      <c r="K439" s="36" t="s">
        <v>959</v>
      </c>
      <c r="L439" s="36" t="s">
        <v>726</v>
      </c>
      <c r="M439" s="37" t="s">
        <v>736</v>
      </c>
      <c r="N439" s="37" t="s">
        <v>1752</v>
      </c>
      <c r="O439" s="38">
        <v>1</v>
      </c>
      <c r="P439" s="38"/>
      <c r="Q439" s="35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0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1</v>
      </c>
      <c r="AF439" s="1">
        <f t="shared" si="185"/>
        <v>0</v>
      </c>
      <c r="AG439" s="1">
        <f t="shared" si="186"/>
        <v>1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82</v>
      </c>
      <c r="E440" s="48" t="s">
        <v>28</v>
      </c>
      <c r="F440" s="48" t="s">
        <v>275</v>
      </c>
      <c r="G440" s="48" t="s">
        <v>276</v>
      </c>
      <c r="H440" s="48" t="s">
        <v>355</v>
      </c>
      <c r="I440" s="47" t="s">
        <v>430</v>
      </c>
      <c r="J440" s="47">
        <v>7</v>
      </c>
      <c r="K440" s="49" t="s">
        <v>959</v>
      </c>
      <c r="L440" s="49" t="s">
        <v>958</v>
      </c>
      <c r="M440" s="50" t="s">
        <v>972</v>
      </c>
      <c r="N440" s="50" t="s">
        <v>1813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1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47">
        <v>0</v>
      </c>
      <c r="B441" s="47">
        <v>2</v>
      </c>
      <c r="C441" s="47">
        <v>7</v>
      </c>
      <c r="D441" s="48" t="s">
        <v>76</v>
      </c>
      <c r="E441" s="48" t="s">
        <v>28</v>
      </c>
      <c r="F441" s="48" t="s">
        <v>1685</v>
      </c>
      <c r="G441" s="48" t="s">
        <v>191</v>
      </c>
      <c r="H441" s="48" t="s">
        <v>355</v>
      </c>
      <c r="I441" s="47" t="s">
        <v>424</v>
      </c>
      <c r="J441" s="47">
        <v>99</v>
      </c>
      <c r="K441" s="49" t="s">
        <v>958</v>
      </c>
      <c r="L441" s="49" t="s">
        <v>717</v>
      </c>
      <c r="M441" s="50" t="s">
        <v>735</v>
      </c>
      <c r="N441" s="50" t="s">
        <v>1739</v>
      </c>
      <c r="O441" s="51"/>
      <c r="P441" s="51"/>
      <c r="Q441" s="48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0</v>
      </c>
      <c r="AE441" s="1">
        <f t="shared" si="200"/>
        <v>0</v>
      </c>
      <c r="AF441" s="1">
        <f t="shared" si="185"/>
        <v>0</v>
      </c>
      <c r="AG441" s="1">
        <f t="shared" si="186"/>
        <v>0</v>
      </c>
      <c r="AH441" s="1">
        <f t="shared" si="187"/>
        <v>0</v>
      </c>
      <c r="AI441" s="1">
        <f t="shared" si="188"/>
        <v>1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1644</v>
      </c>
      <c r="E442" s="35" t="s">
        <v>164</v>
      </c>
      <c r="F442" s="35" t="s">
        <v>245</v>
      </c>
      <c r="G442" s="35" t="s">
        <v>219</v>
      </c>
      <c r="H442" s="35" t="s">
        <v>355</v>
      </c>
      <c r="I442" s="34" t="s">
        <v>409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1731</v>
      </c>
      <c r="O442" s="38">
        <v>1</v>
      </c>
      <c r="P442" s="38">
        <v>1</v>
      </c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1</v>
      </c>
      <c r="AE442" s="1">
        <f t="shared" si="200"/>
        <v>0</v>
      </c>
      <c r="AF442" s="1">
        <f t="shared" si="185"/>
        <v>1</v>
      </c>
      <c r="AG442" s="1">
        <f t="shared" si="186"/>
        <v>0</v>
      </c>
      <c r="AH442" s="1">
        <f t="shared" si="187"/>
        <v>1</v>
      </c>
      <c r="AI442" s="1">
        <f t="shared" si="188"/>
        <v>0</v>
      </c>
    </row>
    <row r="443" spans="1:35" ht="14.25" customHeight="1" x14ac:dyDescent="0.25">
      <c r="A443" s="34">
        <v>0</v>
      </c>
      <c r="B443" s="34">
        <v>2</v>
      </c>
      <c r="C443" s="34">
        <v>7</v>
      </c>
      <c r="D443" s="35" t="s">
        <v>1542</v>
      </c>
      <c r="E443" s="35" t="s">
        <v>157</v>
      </c>
      <c r="F443" s="35" t="s">
        <v>1543</v>
      </c>
      <c r="G443" s="35" t="s">
        <v>39</v>
      </c>
      <c r="H443" s="35" t="s">
        <v>355</v>
      </c>
      <c r="I443" s="34" t="s">
        <v>1544</v>
      </c>
      <c r="J443" s="34">
        <v>99</v>
      </c>
      <c r="K443" s="36" t="s">
        <v>717</v>
      </c>
      <c r="L443" s="36" t="s">
        <v>726</v>
      </c>
      <c r="M443" s="37" t="s">
        <v>736</v>
      </c>
      <c r="N443" s="37" t="s">
        <v>1752</v>
      </c>
      <c r="O443" s="38">
        <v>1</v>
      </c>
      <c r="P443" s="38"/>
      <c r="Q443" s="35"/>
      <c r="S443" s="1">
        <f t="shared" si="189"/>
        <v>0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1</v>
      </c>
      <c r="AF443" s="1">
        <f t="shared" si="185"/>
        <v>0</v>
      </c>
      <c r="AG443" s="1">
        <f t="shared" si="186"/>
        <v>1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47">
        <v>0</v>
      </c>
      <c r="B444" s="47">
        <v>2</v>
      </c>
      <c r="C444" s="47">
        <v>7</v>
      </c>
      <c r="D444" s="48" t="s">
        <v>1266</v>
      </c>
      <c r="E444" s="48" t="s">
        <v>1528</v>
      </c>
      <c r="F444" s="48" t="s">
        <v>1359</v>
      </c>
      <c r="G444" s="48" t="s">
        <v>187</v>
      </c>
      <c r="H444" s="48" t="s">
        <v>355</v>
      </c>
      <c r="I444" s="47" t="s">
        <v>1372</v>
      </c>
      <c r="J444" s="47">
        <v>1</v>
      </c>
      <c r="K444" s="49" t="s">
        <v>717</v>
      </c>
      <c r="L444" s="49" t="s">
        <v>720</v>
      </c>
      <c r="M444" s="50" t="s">
        <v>1442</v>
      </c>
      <c r="N444" s="50" t="s">
        <v>1739</v>
      </c>
      <c r="O444" s="51"/>
      <c r="P444" s="51"/>
      <c r="Q444" s="48"/>
      <c r="S444" s="1">
        <f t="shared" si="189"/>
        <v>1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0</v>
      </c>
      <c r="AF444" s="1">
        <f t="shared" si="185"/>
        <v>0</v>
      </c>
      <c r="AG444" s="1">
        <f t="shared" si="186"/>
        <v>0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0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978</v>
      </c>
      <c r="G445" s="35" t="s">
        <v>1105</v>
      </c>
      <c r="H445" s="35" t="s">
        <v>355</v>
      </c>
      <c r="I445" s="34" t="s">
        <v>1112</v>
      </c>
      <c r="J445" s="34">
        <v>99</v>
      </c>
      <c r="K445" s="36" t="s">
        <v>717</v>
      </c>
      <c r="L445" s="36" t="s">
        <v>717</v>
      </c>
      <c r="M445" s="37" t="s">
        <v>735</v>
      </c>
      <c r="N445" s="37" t="s">
        <v>1747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1</v>
      </c>
      <c r="AH445" s="1">
        <f t="shared" si="187"/>
        <v>0</v>
      </c>
      <c r="AI445" s="1">
        <f t="shared" si="188"/>
        <v>1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225</v>
      </c>
      <c r="H446" s="35" t="s">
        <v>355</v>
      </c>
      <c r="I446" s="34" t="s">
        <v>410</v>
      </c>
      <c r="J446" s="34">
        <v>99</v>
      </c>
      <c r="K446" s="36" t="s">
        <v>717</v>
      </c>
      <c r="L446" s="36" t="s">
        <v>717</v>
      </c>
      <c r="M446" s="37" t="s">
        <v>735</v>
      </c>
      <c r="N446" s="37" t="s">
        <v>1747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0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247</v>
      </c>
      <c r="G447" s="35" t="s">
        <v>221</v>
      </c>
      <c r="H447" s="35" t="s">
        <v>355</v>
      </c>
      <c r="I447" s="34" t="s">
        <v>411</v>
      </c>
      <c r="J447" s="34">
        <v>8</v>
      </c>
      <c r="K447" s="36" t="s">
        <v>717</v>
      </c>
      <c r="L447" s="36" t="s">
        <v>717</v>
      </c>
      <c r="M447" s="37" t="s">
        <v>735</v>
      </c>
      <c r="N447" s="37" t="s">
        <v>1747</v>
      </c>
      <c r="O447" s="38">
        <v>1</v>
      </c>
      <c r="P447" s="38"/>
      <c r="Q447" s="35"/>
      <c r="S447" s="1">
        <f t="shared" si="189"/>
        <v>0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1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1038</v>
      </c>
      <c r="G448" s="35" t="s">
        <v>39</v>
      </c>
      <c r="H448" s="35" t="s">
        <v>355</v>
      </c>
      <c r="I448" s="34" t="s">
        <v>1039</v>
      </c>
      <c r="J448" s="34">
        <v>1</v>
      </c>
      <c r="K448" s="36" t="s">
        <v>717</v>
      </c>
      <c r="L448" s="36" t="s">
        <v>717</v>
      </c>
      <c r="M448" s="37" t="s">
        <v>735</v>
      </c>
      <c r="N448" s="37" t="s">
        <v>1747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si="199"/>
        <v>0</v>
      </c>
      <c r="AE448" s="1">
        <f t="shared" si="200"/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5" ht="14.25" customHeight="1" x14ac:dyDescent="0.25">
      <c r="A449" s="34">
        <v>1</v>
      </c>
      <c r="B449" s="34">
        <v>2</v>
      </c>
      <c r="C449" s="34">
        <v>7</v>
      </c>
      <c r="D449" s="35" t="s">
        <v>66</v>
      </c>
      <c r="E449" s="35" t="s">
        <v>28</v>
      </c>
      <c r="F449" s="35" t="s">
        <v>1040</v>
      </c>
      <c r="G449" s="35" t="s">
        <v>303</v>
      </c>
      <c r="H449" s="35" t="s">
        <v>355</v>
      </c>
      <c r="I449" s="34" t="s">
        <v>1041</v>
      </c>
      <c r="J449" s="34">
        <v>1</v>
      </c>
      <c r="K449" s="36" t="s">
        <v>717</v>
      </c>
      <c r="L449" s="36" t="s">
        <v>717</v>
      </c>
      <c r="M449" s="37" t="s">
        <v>735</v>
      </c>
      <c r="N449" s="37" t="s">
        <v>1747</v>
      </c>
      <c r="O449" s="38">
        <v>1</v>
      </c>
      <c r="P449" s="38"/>
      <c r="Q449" s="35"/>
      <c r="S449" s="1">
        <f t="shared" si="189"/>
        <v>1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ref="AD449:AD450" si="217">+O449*P449</f>
        <v>0</v>
      </c>
      <c r="AE449" s="1">
        <f t="shared" ref="AE449:AE450" si="218">O449*(1-P449)</f>
        <v>1</v>
      </c>
      <c r="AF449" s="1">
        <f t="shared" si="185"/>
        <v>0</v>
      </c>
      <c r="AG449" s="1">
        <f t="shared" si="186"/>
        <v>0</v>
      </c>
      <c r="AH449" s="1">
        <f t="shared" si="187"/>
        <v>0</v>
      </c>
      <c r="AI449" s="1">
        <f t="shared" si="188"/>
        <v>0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1577</v>
      </c>
      <c r="E450" s="35" t="s">
        <v>157</v>
      </c>
      <c r="F450" s="35" t="s">
        <v>1578</v>
      </c>
      <c r="G450" s="35" t="s">
        <v>208</v>
      </c>
      <c r="H450" s="35" t="s">
        <v>355</v>
      </c>
      <c r="I450" s="34" t="s">
        <v>1579</v>
      </c>
      <c r="J450" s="34">
        <v>99</v>
      </c>
      <c r="K450" s="36" t="s">
        <v>716</v>
      </c>
      <c r="L450" s="36" t="s">
        <v>726</v>
      </c>
      <c r="M450" s="37" t="s">
        <v>736</v>
      </c>
      <c r="N450" s="37" t="s">
        <v>1950</v>
      </c>
      <c r="O450" s="38">
        <v>1</v>
      </c>
      <c r="P450" s="38"/>
      <c r="Q450" s="35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0</v>
      </c>
      <c r="AA450" s="1">
        <f t="shared" si="197"/>
        <v>0</v>
      </c>
      <c r="AB450" s="1">
        <f t="shared" si="198"/>
        <v>0</v>
      </c>
      <c r="AD450" s="1">
        <f t="shared" si="217"/>
        <v>0</v>
      </c>
      <c r="AE450" s="1">
        <f t="shared" si="218"/>
        <v>1</v>
      </c>
      <c r="AF450" s="1">
        <f t="shared" si="185"/>
        <v>0</v>
      </c>
      <c r="AG450" s="1">
        <f t="shared" si="186"/>
        <v>1</v>
      </c>
      <c r="AH450" s="1">
        <f t="shared" si="187"/>
        <v>0</v>
      </c>
      <c r="AI450" s="1">
        <f t="shared" si="188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1136</v>
      </c>
      <c r="E451" s="48" t="s">
        <v>28</v>
      </c>
      <c r="F451" s="48" t="s">
        <v>1137</v>
      </c>
      <c r="G451" s="48" t="s">
        <v>221</v>
      </c>
      <c r="H451" s="48" t="s">
        <v>355</v>
      </c>
      <c r="I451" s="47" t="s">
        <v>1138</v>
      </c>
      <c r="J451" s="47">
        <v>8</v>
      </c>
      <c r="K451" s="49" t="s">
        <v>959</v>
      </c>
      <c r="L451" s="49" t="s">
        <v>717</v>
      </c>
      <c r="M451" s="50" t="s">
        <v>735</v>
      </c>
      <c r="N451" s="50" t="s">
        <v>1806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1</v>
      </c>
      <c r="AA451" s="1">
        <f t="shared" si="197"/>
        <v>0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5" ht="14.25" customHeight="1" x14ac:dyDescent="0.25">
      <c r="A452" s="47">
        <v>0</v>
      </c>
      <c r="B452" s="47">
        <v>2</v>
      </c>
      <c r="C452" s="47">
        <v>7</v>
      </c>
      <c r="D452" s="48" t="s">
        <v>73</v>
      </c>
      <c r="E452" s="48" t="s">
        <v>28</v>
      </c>
      <c r="F452" s="48" t="s">
        <v>265</v>
      </c>
      <c r="G452" s="48" t="s">
        <v>195</v>
      </c>
      <c r="H452" s="48" t="s">
        <v>355</v>
      </c>
      <c r="I452" s="47" t="s">
        <v>422</v>
      </c>
      <c r="J452" s="47">
        <v>9</v>
      </c>
      <c r="K452" s="49" t="s">
        <v>716</v>
      </c>
      <c r="L452" s="49" t="s">
        <v>717</v>
      </c>
      <c r="M452" s="50" t="s">
        <v>735</v>
      </c>
      <c r="N452" s="50" t="s">
        <v>1739</v>
      </c>
      <c r="O452" s="51"/>
      <c r="P452" s="51"/>
      <c r="Q452" s="48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1</v>
      </c>
      <c r="AB452" s="1">
        <f t="shared" si="198"/>
        <v>0</v>
      </c>
      <c r="AD452" s="1">
        <f t="shared" si="199"/>
        <v>0</v>
      </c>
      <c r="AE452" s="1">
        <f t="shared" si="200"/>
        <v>0</v>
      </c>
      <c r="AF452" s="1">
        <f t="shared" si="185"/>
        <v>0</v>
      </c>
      <c r="AG452" s="1">
        <f t="shared" si="186"/>
        <v>0</v>
      </c>
      <c r="AH452" s="1">
        <f t="shared" si="187"/>
        <v>0</v>
      </c>
      <c r="AI452" s="1">
        <f t="shared" si="188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59</v>
      </c>
      <c r="E453" s="35" t="s">
        <v>164</v>
      </c>
      <c r="F453" s="35" t="s">
        <v>226</v>
      </c>
      <c r="G453" s="35" t="s">
        <v>227</v>
      </c>
      <c r="H453" s="35" t="s">
        <v>355</v>
      </c>
      <c r="I453" s="34" t="s">
        <v>399</v>
      </c>
      <c r="J453" s="34">
        <v>99</v>
      </c>
      <c r="K453" s="36" t="s">
        <v>717</v>
      </c>
      <c r="L453" s="36" t="s">
        <v>726</v>
      </c>
      <c r="M453" s="37" t="s">
        <v>736</v>
      </c>
      <c r="N453" s="37" t="s">
        <v>1754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0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1079</v>
      </c>
      <c r="E454" s="35" t="s">
        <v>157</v>
      </c>
      <c r="F454" s="35" t="s">
        <v>1080</v>
      </c>
      <c r="G454" s="35" t="s">
        <v>221</v>
      </c>
      <c r="H454" s="35" t="s">
        <v>355</v>
      </c>
      <c r="I454" s="34" t="s">
        <v>1081</v>
      </c>
      <c r="J454" s="34">
        <v>8</v>
      </c>
      <c r="K454" s="36" t="s">
        <v>716</v>
      </c>
      <c r="L454" s="36" t="s">
        <v>726</v>
      </c>
      <c r="M454" s="37" t="s">
        <v>736</v>
      </c>
      <c r="N454" s="37" t="s">
        <v>1752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1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5" ht="14.25" customHeight="1" x14ac:dyDescent="0.25">
      <c r="A455" s="34">
        <v>0</v>
      </c>
      <c r="B455" s="34">
        <v>2</v>
      </c>
      <c r="C455" s="34">
        <v>7</v>
      </c>
      <c r="D455" s="35" t="s">
        <v>81</v>
      </c>
      <c r="E455" s="35" t="s">
        <v>157</v>
      </c>
      <c r="F455" s="35" t="s">
        <v>274</v>
      </c>
      <c r="G455" s="35" t="s">
        <v>255</v>
      </c>
      <c r="H455" s="35" t="s">
        <v>355</v>
      </c>
      <c r="I455" s="34" t="s">
        <v>429</v>
      </c>
      <c r="J455" s="34">
        <v>99</v>
      </c>
      <c r="K455" s="36" t="s">
        <v>717</v>
      </c>
      <c r="L455" s="36" t="s">
        <v>737</v>
      </c>
      <c r="M455" s="37" t="s">
        <v>738</v>
      </c>
      <c r="N455" s="37" t="s">
        <v>1760</v>
      </c>
      <c r="O455" s="38">
        <v>1</v>
      </c>
      <c r="P455" s="38"/>
      <c r="Q455" s="35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0</v>
      </c>
      <c r="AE455" s="1">
        <f t="shared" si="200"/>
        <v>1</v>
      </c>
      <c r="AF455" s="1">
        <f t="shared" si="185"/>
        <v>0</v>
      </c>
      <c r="AG455" s="1">
        <f t="shared" si="186"/>
        <v>1</v>
      </c>
      <c r="AH455" s="1">
        <f t="shared" si="187"/>
        <v>0</v>
      </c>
      <c r="AI455" s="1">
        <f t="shared" si="188"/>
        <v>1</v>
      </c>
    </row>
    <row r="456" spans="1:35" ht="14.25" customHeight="1" x14ac:dyDescent="0.25">
      <c r="A456" s="40">
        <v>0</v>
      </c>
      <c r="B456" s="40">
        <v>2</v>
      </c>
      <c r="C456" s="40">
        <v>7</v>
      </c>
      <c r="D456" s="39" t="s">
        <v>1779</v>
      </c>
      <c r="E456" s="39" t="s">
        <v>1780</v>
      </c>
      <c r="F456" s="39" t="s">
        <v>1781</v>
      </c>
      <c r="G456" s="39" t="s">
        <v>191</v>
      </c>
      <c r="H456" s="39" t="s">
        <v>355</v>
      </c>
      <c r="I456" s="40"/>
      <c r="J456" s="40"/>
      <c r="K456" s="36" t="s">
        <v>707</v>
      </c>
      <c r="L456" s="36"/>
      <c r="M456" s="37"/>
      <c r="N456" s="37" t="s">
        <v>1731</v>
      </c>
      <c r="O456" s="38">
        <v>1</v>
      </c>
      <c r="P456" s="38">
        <v>1</v>
      </c>
      <c r="Q456" s="39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1</v>
      </c>
      <c r="AE456" s="1">
        <f t="shared" si="200"/>
        <v>0</v>
      </c>
      <c r="AF456" s="1">
        <f t="shared" si="185"/>
        <v>1</v>
      </c>
      <c r="AG456" s="1">
        <f t="shared" si="186"/>
        <v>0</v>
      </c>
      <c r="AH456" s="1">
        <f t="shared" si="187"/>
        <v>1</v>
      </c>
      <c r="AI456" s="1">
        <f t="shared" si="188"/>
        <v>0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516</v>
      </c>
      <c r="E457" s="48" t="s">
        <v>157</v>
      </c>
      <c r="F457" s="48" t="s">
        <v>576</v>
      </c>
      <c r="G457" s="48" t="s">
        <v>322</v>
      </c>
      <c r="H457" s="48" t="s">
        <v>355</v>
      </c>
      <c r="I457" s="47" t="s">
        <v>583</v>
      </c>
      <c r="J457" s="47">
        <v>99</v>
      </c>
      <c r="K457" s="49" t="s">
        <v>958</v>
      </c>
      <c r="L457" s="49" t="s">
        <v>726</v>
      </c>
      <c r="M457" s="50" t="s">
        <v>736</v>
      </c>
      <c r="N457" s="50" t="s">
        <v>1742</v>
      </c>
      <c r="O457" s="51"/>
      <c r="P457" s="51"/>
      <c r="Q457" s="48"/>
      <c r="S457" s="1">
        <f t="shared" si="189"/>
        <v>0</v>
      </c>
      <c r="T457" s="1">
        <f t="shared" si="190"/>
        <v>0</v>
      </c>
      <c r="U457" s="1">
        <f t="shared" si="191"/>
        <v>0</v>
      </c>
      <c r="V457" s="1">
        <f t="shared" si="192"/>
        <v>0</v>
      </c>
      <c r="W457" s="1">
        <f t="shared" si="193"/>
        <v>0</v>
      </c>
      <c r="X457" s="1">
        <f t="shared" si="194"/>
        <v>0</v>
      </c>
      <c r="Y457" s="1">
        <f t="shared" si="195"/>
        <v>0</v>
      </c>
      <c r="Z457" s="1">
        <f t="shared" si="196"/>
        <v>0</v>
      </c>
      <c r="AA457" s="1">
        <f t="shared" si="197"/>
        <v>0</v>
      </c>
      <c r="AB457" s="1">
        <f t="shared" si="198"/>
        <v>0</v>
      </c>
      <c r="AD457" s="1">
        <f t="shared" si="199"/>
        <v>0</v>
      </c>
      <c r="AE457" s="1">
        <f t="shared" si="200"/>
        <v>0</v>
      </c>
      <c r="AF457" s="1">
        <f t="shared" si="185"/>
        <v>0</v>
      </c>
      <c r="AG457" s="1">
        <f t="shared" si="186"/>
        <v>0</v>
      </c>
      <c r="AH457" s="1">
        <f t="shared" si="187"/>
        <v>0</v>
      </c>
      <c r="AI457" s="1">
        <f t="shared" si="188"/>
        <v>1</v>
      </c>
    </row>
    <row r="458" spans="1:35" ht="14.25" customHeight="1" x14ac:dyDescent="0.25">
      <c r="A458" s="47">
        <v>0</v>
      </c>
      <c r="B458" s="47">
        <v>2</v>
      </c>
      <c r="C458" s="47">
        <v>7</v>
      </c>
      <c r="D458" s="48" t="s">
        <v>74</v>
      </c>
      <c r="E458" s="48" t="s">
        <v>157</v>
      </c>
      <c r="F458" s="48" t="s">
        <v>678</v>
      </c>
      <c r="G458" s="48" t="s">
        <v>266</v>
      </c>
      <c r="H458" s="48" t="s">
        <v>355</v>
      </c>
      <c r="I458" s="47" t="s">
        <v>423</v>
      </c>
      <c r="J458" s="47">
        <v>99</v>
      </c>
      <c r="K458" s="49" t="s">
        <v>716</v>
      </c>
      <c r="L458" s="49" t="s">
        <v>733</v>
      </c>
      <c r="M458" s="50" t="s">
        <v>736</v>
      </c>
      <c r="N458" s="50" t="s">
        <v>1739</v>
      </c>
      <c r="O458" s="51"/>
      <c r="P458" s="51"/>
      <c r="Q458" s="48"/>
      <c r="S458" s="1">
        <f t="shared" si="189"/>
        <v>0</v>
      </c>
      <c r="T458" s="1">
        <f t="shared" si="190"/>
        <v>0</v>
      </c>
      <c r="U458" s="1">
        <f t="shared" si="191"/>
        <v>0</v>
      </c>
      <c r="V458" s="1">
        <f t="shared" si="192"/>
        <v>0</v>
      </c>
      <c r="W458" s="1">
        <f t="shared" si="193"/>
        <v>0</v>
      </c>
      <c r="X458" s="1">
        <f t="shared" si="194"/>
        <v>0</v>
      </c>
      <c r="Y458" s="1">
        <f t="shared" si="195"/>
        <v>0</v>
      </c>
      <c r="Z458" s="1">
        <f t="shared" si="196"/>
        <v>0</v>
      </c>
      <c r="AA458" s="1">
        <f t="shared" si="197"/>
        <v>0</v>
      </c>
      <c r="AB458" s="1">
        <f t="shared" si="198"/>
        <v>0</v>
      </c>
      <c r="AD458" s="1">
        <f t="shared" ref="AD458:AD461" si="219">+O458*P458</f>
        <v>0</v>
      </c>
      <c r="AE458" s="1">
        <f t="shared" ref="AE458:AE461" si="220">O458*(1-P458)</f>
        <v>0</v>
      </c>
      <c r="AF458" s="1">
        <f t="shared" si="185"/>
        <v>0</v>
      </c>
      <c r="AG458" s="1">
        <f t="shared" si="186"/>
        <v>0</v>
      </c>
      <c r="AH458" s="1">
        <f t="shared" si="187"/>
        <v>0</v>
      </c>
      <c r="AI458" s="1">
        <f t="shared" si="188"/>
        <v>1</v>
      </c>
    </row>
    <row r="459" spans="1:35" ht="14.25" customHeight="1" x14ac:dyDescent="0.25">
      <c r="A459" s="15">
        <v>0</v>
      </c>
      <c r="B459" s="15">
        <v>2</v>
      </c>
      <c r="C459" s="15">
        <v>7</v>
      </c>
      <c r="D459" s="20" t="s">
        <v>1862</v>
      </c>
      <c r="E459" s="16" t="s">
        <v>157</v>
      </c>
      <c r="F459" s="20" t="s">
        <v>1863</v>
      </c>
      <c r="G459" s="20" t="s">
        <v>284</v>
      </c>
      <c r="H459" s="20" t="s">
        <v>355</v>
      </c>
      <c r="I459" s="21" t="s">
        <v>1864</v>
      </c>
      <c r="J459" s="15">
        <v>99</v>
      </c>
      <c r="K459" s="10" t="s">
        <v>707</v>
      </c>
      <c r="L459" s="10" t="s">
        <v>726</v>
      </c>
      <c r="M459" s="19" t="s">
        <v>736</v>
      </c>
      <c r="N459" s="19"/>
      <c r="Q459" s="20"/>
      <c r="S459" s="1">
        <f t="shared" si="189"/>
        <v>0</v>
      </c>
      <c r="T459" s="1">
        <f t="shared" si="190"/>
        <v>0</v>
      </c>
      <c r="U459" s="1">
        <f t="shared" si="191"/>
        <v>0</v>
      </c>
      <c r="V459" s="1">
        <f t="shared" si="192"/>
        <v>0</v>
      </c>
      <c r="W459" s="1">
        <f t="shared" si="193"/>
        <v>0</v>
      </c>
      <c r="X459" s="1">
        <f t="shared" si="194"/>
        <v>0</v>
      </c>
      <c r="Y459" s="1">
        <f t="shared" si="195"/>
        <v>0</v>
      </c>
      <c r="Z459" s="1">
        <f t="shared" si="196"/>
        <v>0</v>
      </c>
      <c r="AA459" s="1">
        <f t="shared" si="197"/>
        <v>0</v>
      </c>
      <c r="AB459" s="1">
        <f t="shared" si="198"/>
        <v>0</v>
      </c>
      <c r="AD459" s="1">
        <f t="shared" si="219"/>
        <v>0</v>
      </c>
      <c r="AE459" s="1">
        <f t="shared" si="220"/>
        <v>0</v>
      </c>
      <c r="AF459" s="1">
        <f t="shared" si="185"/>
        <v>0</v>
      </c>
      <c r="AG459" s="1">
        <f t="shared" si="186"/>
        <v>0</v>
      </c>
      <c r="AH459" s="1">
        <f t="shared" si="187"/>
        <v>0</v>
      </c>
      <c r="AI459" s="1">
        <f t="shared" si="188"/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60</v>
      </c>
      <c r="E460" s="35" t="s">
        <v>164</v>
      </c>
      <c r="F460" s="35" t="s">
        <v>228</v>
      </c>
      <c r="G460" s="35" t="s">
        <v>191</v>
      </c>
      <c r="H460" s="35" t="s">
        <v>355</v>
      </c>
      <c r="I460" s="34" t="s">
        <v>400</v>
      </c>
      <c r="J460" s="34">
        <v>99</v>
      </c>
      <c r="K460" s="36" t="s">
        <v>717</v>
      </c>
      <c r="L460" s="36" t="s">
        <v>726</v>
      </c>
      <c r="M460" s="37" t="s">
        <v>736</v>
      </c>
      <c r="N460" s="37" t="s">
        <v>1752</v>
      </c>
      <c r="O460" s="38">
        <v>1</v>
      </c>
      <c r="P460" s="38"/>
      <c r="Q460" s="35"/>
      <c r="S460" s="1">
        <f t="shared" si="189"/>
        <v>0</v>
      </c>
      <c r="T460" s="1">
        <f t="shared" si="190"/>
        <v>0</v>
      </c>
      <c r="U460" s="1">
        <f t="shared" si="191"/>
        <v>0</v>
      </c>
      <c r="V460" s="1">
        <f t="shared" si="192"/>
        <v>0</v>
      </c>
      <c r="W460" s="1">
        <f t="shared" si="193"/>
        <v>0</v>
      </c>
      <c r="X460" s="1">
        <f t="shared" si="194"/>
        <v>0</v>
      </c>
      <c r="Y460" s="1">
        <f t="shared" si="195"/>
        <v>0</v>
      </c>
      <c r="Z460" s="1">
        <f t="shared" si="196"/>
        <v>0</v>
      </c>
      <c r="AA460" s="1">
        <f t="shared" si="197"/>
        <v>0</v>
      </c>
      <c r="AB460" s="1">
        <f t="shared" si="198"/>
        <v>0</v>
      </c>
      <c r="AD460" s="1">
        <f t="shared" si="219"/>
        <v>0</v>
      </c>
      <c r="AE460" s="1">
        <f t="shared" si="220"/>
        <v>1</v>
      </c>
      <c r="AF460" s="1">
        <f t="shared" ref="AF460:AF477" si="221">+O460*P460*(1-A460)</f>
        <v>0</v>
      </c>
      <c r="AG460" s="1">
        <f t="shared" ref="AG460:AG477" si="222">O460*(1-P460)*(1-A460)</f>
        <v>1</v>
      </c>
      <c r="AH460" s="1">
        <f t="shared" ref="AH460:AH477" si="223">+P460*(1-A460)</f>
        <v>0</v>
      </c>
      <c r="AI460" s="1">
        <f t="shared" ref="AI460:AI477" si="224">+(1-A460)*(1-P460)</f>
        <v>1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1333</v>
      </c>
      <c r="E461" s="35" t="s">
        <v>157</v>
      </c>
      <c r="F461" s="35" t="s">
        <v>1147</v>
      </c>
      <c r="G461" s="35" t="s">
        <v>193</v>
      </c>
      <c r="H461" s="35" t="s">
        <v>355</v>
      </c>
      <c r="I461" s="34" t="s">
        <v>1373</v>
      </c>
      <c r="J461" s="34">
        <v>99</v>
      </c>
      <c r="K461" s="36" t="s">
        <v>716</v>
      </c>
      <c r="L461" s="36" t="s">
        <v>39</v>
      </c>
      <c r="M461" s="37" t="s">
        <v>39</v>
      </c>
      <c r="N461" s="37" t="s">
        <v>1731</v>
      </c>
      <c r="O461" s="38">
        <v>1</v>
      </c>
      <c r="P461" s="38">
        <v>1</v>
      </c>
      <c r="Q461" s="35"/>
      <c r="S461" s="1">
        <f t="shared" si="189"/>
        <v>0</v>
      </c>
      <c r="T461" s="1">
        <f t="shared" si="190"/>
        <v>0</v>
      </c>
      <c r="U461" s="1">
        <f t="shared" si="191"/>
        <v>0</v>
      </c>
      <c r="V461" s="1">
        <f t="shared" si="192"/>
        <v>0</v>
      </c>
      <c r="W461" s="1">
        <f t="shared" si="193"/>
        <v>0</v>
      </c>
      <c r="X461" s="1">
        <f t="shared" si="194"/>
        <v>0</v>
      </c>
      <c r="Y461" s="1">
        <f t="shared" si="195"/>
        <v>0</v>
      </c>
      <c r="Z461" s="1">
        <f t="shared" si="196"/>
        <v>0</v>
      </c>
      <c r="AA461" s="1">
        <f t="shared" si="197"/>
        <v>0</v>
      </c>
      <c r="AB461" s="1">
        <f t="shared" si="198"/>
        <v>0</v>
      </c>
      <c r="AD461" s="1">
        <f t="shared" si="219"/>
        <v>1</v>
      </c>
      <c r="AE461" s="1">
        <f t="shared" si="220"/>
        <v>0</v>
      </c>
      <c r="AF461" s="1">
        <f t="shared" si="221"/>
        <v>1</v>
      </c>
      <c r="AG461" s="1">
        <f t="shared" si="222"/>
        <v>0</v>
      </c>
      <c r="AH461" s="1">
        <f t="shared" si="223"/>
        <v>1</v>
      </c>
      <c r="AI461" s="1">
        <f t="shared" si="224"/>
        <v>0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591</v>
      </c>
      <c r="E462" s="35" t="s">
        <v>1341</v>
      </c>
      <c r="F462" s="35" t="s">
        <v>679</v>
      </c>
      <c r="G462" s="35" t="s">
        <v>241</v>
      </c>
      <c r="H462" s="35" t="s">
        <v>355</v>
      </c>
      <c r="I462" s="34" t="s">
        <v>406</v>
      </c>
      <c r="J462" s="34">
        <v>1</v>
      </c>
      <c r="K462" s="36" t="s">
        <v>717</v>
      </c>
      <c r="L462" s="36" t="s">
        <v>1715</v>
      </c>
      <c r="M462" s="37" t="s">
        <v>1443</v>
      </c>
      <c r="N462" s="37" t="s">
        <v>1752</v>
      </c>
      <c r="O462" s="38">
        <v>1</v>
      </c>
      <c r="P462" s="38"/>
      <c r="Q462" s="35"/>
      <c r="S462" s="1">
        <f t="shared" si="189"/>
        <v>1</v>
      </c>
      <c r="T462" s="1">
        <f t="shared" si="190"/>
        <v>0</v>
      </c>
      <c r="U462" s="1">
        <f t="shared" si="191"/>
        <v>0</v>
      </c>
      <c r="V462" s="1">
        <f t="shared" si="192"/>
        <v>0</v>
      </c>
      <c r="W462" s="1">
        <f t="shared" si="193"/>
        <v>0</v>
      </c>
      <c r="X462" s="1">
        <f t="shared" si="194"/>
        <v>0</v>
      </c>
      <c r="Y462" s="1">
        <f t="shared" si="195"/>
        <v>0</v>
      </c>
      <c r="Z462" s="1">
        <f t="shared" si="196"/>
        <v>0</v>
      </c>
      <c r="AA462" s="1">
        <f t="shared" si="197"/>
        <v>0</v>
      </c>
      <c r="AB462" s="1">
        <f t="shared" si="198"/>
        <v>0</v>
      </c>
      <c r="AD462" s="1">
        <f t="shared" ref="AD462" si="225">+O462*P462</f>
        <v>0</v>
      </c>
      <c r="AE462" s="1">
        <f t="shared" ref="AE462" si="226">O462*(1-P462)</f>
        <v>1</v>
      </c>
      <c r="AF462" s="1">
        <f t="shared" si="221"/>
        <v>0</v>
      </c>
      <c r="AG462" s="1">
        <f t="shared" si="222"/>
        <v>1</v>
      </c>
      <c r="AH462" s="1">
        <f t="shared" si="223"/>
        <v>0</v>
      </c>
      <c r="AI462" s="1">
        <f t="shared" si="224"/>
        <v>1</v>
      </c>
    </row>
    <row r="463" spans="1:35" ht="14.25" customHeight="1" x14ac:dyDescent="0.25">
      <c r="A463" s="34">
        <v>1</v>
      </c>
      <c r="B463" s="34">
        <v>2</v>
      </c>
      <c r="C463" s="34">
        <v>7</v>
      </c>
      <c r="D463" s="35" t="s">
        <v>591</v>
      </c>
      <c r="E463" s="35" t="s">
        <v>1341</v>
      </c>
      <c r="F463" s="35" t="s">
        <v>240</v>
      </c>
      <c r="G463" s="35" t="s">
        <v>179</v>
      </c>
      <c r="H463" s="35" t="s">
        <v>355</v>
      </c>
      <c r="I463" s="34" t="s">
        <v>405</v>
      </c>
      <c r="J463" s="34">
        <v>1</v>
      </c>
      <c r="K463" s="36" t="s">
        <v>717</v>
      </c>
      <c r="L463" s="36" t="s">
        <v>1715</v>
      </c>
      <c r="M463" s="37" t="s">
        <v>1443</v>
      </c>
      <c r="N463" s="37" t="s">
        <v>1752</v>
      </c>
      <c r="O463" s="38">
        <v>1</v>
      </c>
      <c r="P463" s="38"/>
      <c r="Q463" s="39" t="s">
        <v>1915</v>
      </c>
      <c r="S463" s="1">
        <f t="shared" si="189"/>
        <v>1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0</v>
      </c>
      <c r="AA463" s="1">
        <f t="shared" si="197"/>
        <v>0</v>
      </c>
      <c r="AB463" s="1">
        <f t="shared" si="198"/>
        <v>0</v>
      </c>
      <c r="AD463" s="1">
        <f t="shared" si="199"/>
        <v>0</v>
      </c>
      <c r="AE463" s="1">
        <f t="shared" si="200"/>
        <v>1</v>
      </c>
      <c r="AF463" s="1">
        <f t="shared" si="221"/>
        <v>0</v>
      </c>
      <c r="AG463" s="1">
        <f t="shared" si="222"/>
        <v>0</v>
      </c>
      <c r="AH463" s="1">
        <f t="shared" si="223"/>
        <v>0</v>
      </c>
      <c r="AI463" s="1">
        <f t="shared" si="224"/>
        <v>0</v>
      </c>
    </row>
    <row r="464" spans="1:35" ht="14.25" customHeight="1" x14ac:dyDescent="0.25">
      <c r="A464" s="34">
        <v>0</v>
      </c>
      <c r="B464" s="34">
        <v>2</v>
      </c>
      <c r="C464" s="34">
        <v>7</v>
      </c>
      <c r="D464" s="35" t="s">
        <v>1334</v>
      </c>
      <c r="E464" s="35" t="s">
        <v>157</v>
      </c>
      <c r="F464" s="35" t="s">
        <v>1360</v>
      </c>
      <c r="G464" s="35" t="s">
        <v>259</v>
      </c>
      <c r="H464" s="35" t="s">
        <v>355</v>
      </c>
      <c r="I464" s="34" t="s">
        <v>1243</v>
      </c>
      <c r="J464" s="34">
        <v>8</v>
      </c>
      <c r="K464" s="36" t="s">
        <v>959</v>
      </c>
      <c r="L464" s="36" t="s">
        <v>726</v>
      </c>
      <c r="M464" s="37" t="s">
        <v>736</v>
      </c>
      <c r="N464" s="37" t="s">
        <v>1752</v>
      </c>
      <c r="O464" s="38">
        <v>1</v>
      </c>
      <c r="P464" s="38"/>
      <c r="Q464" s="35"/>
      <c r="S464" s="1">
        <f t="shared" si="189"/>
        <v>0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1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21"/>
        <v>0</v>
      </c>
      <c r="AG464" s="1">
        <f t="shared" si="222"/>
        <v>1</v>
      </c>
      <c r="AH464" s="1">
        <f t="shared" si="223"/>
        <v>0</v>
      </c>
      <c r="AI464" s="1">
        <f t="shared" si="224"/>
        <v>1</v>
      </c>
    </row>
    <row r="465" spans="1:35" ht="14.25" customHeight="1" x14ac:dyDescent="0.25">
      <c r="A465" s="34">
        <v>1</v>
      </c>
      <c r="B465" s="34">
        <v>2</v>
      </c>
      <c r="C465" s="34">
        <v>7</v>
      </c>
      <c r="D465" s="35" t="s">
        <v>1334</v>
      </c>
      <c r="E465" s="35" t="s">
        <v>157</v>
      </c>
      <c r="F465" s="35" t="s">
        <v>1222</v>
      </c>
      <c r="G465" s="35" t="s">
        <v>219</v>
      </c>
      <c r="H465" s="35" t="s">
        <v>355</v>
      </c>
      <c r="I465" s="34" t="s">
        <v>1243</v>
      </c>
      <c r="J465" s="34">
        <v>99</v>
      </c>
      <c r="K465" s="36" t="s">
        <v>959</v>
      </c>
      <c r="L465" s="36" t="s">
        <v>726</v>
      </c>
      <c r="M465" s="37" t="s">
        <v>736</v>
      </c>
      <c r="N465" s="37" t="s">
        <v>1752</v>
      </c>
      <c r="O465" s="38">
        <v>1</v>
      </c>
      <c r="P465" s="38"/>
      <c r="Q465" s="35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0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1</v>
      </c>
      <c r="AF465" s="1">
        <f t="shared" si="221"/>
        <v>0</v>
      </c>
      <c r="AG465" s="1">
        <f t="shared" si="222"/>
        <v>0</v>
      </c>
      <c r="AH465" s="1">
        <f t="shared" si="223"/>
        <v>0</v>
      </c>
      <c r="AI465" s="1">
        <f t="shared" si="224"/>
        <v>0</v>
      </c>
    </row>
    <row r="466" spans="1:35" ht="14.25" customHeight="1" x14ac:dyDescent="0.25">
      <c r="A466" s="47">
        <v>0</v>
      </c>
      <c r="B466" s="47">
        <v>2</v>
      </c>
      <c r="C466" s="47">
        <v>7</v>
      </c>
      <c r="D466" s="48" t="s">
        <v>1252</v>
      </c>
      <c r="E466" s="48" t="s">
        <v>157</v>
      </c>
      <c r="F466" s="48" t="s">
        <v>1254</v>
      </c>
      <c r="G466" s="48" t="s">
        <v>221</v>
      </c>
      <c r="H466" s="48" t="s">
        <v>355</v>
      </c>
      <c r="I466" s="47" t="s">
        <v>1374</v>
      </c>
      <c r="J466" s="47">
        <v>8</v>
      </c>
      <c r="K466" s="49" t="s">
        <v>958</v>
      </c>
      <c r="L466" s="49" t="s">
        <v>726</v>
      </c>
      <c r="M466" s="50" t="s">
        <v>736</v>
      </c>
      <c r="N466" s="50" t="s">
        <v>1739</v>
      </c>
      <c r="O466" s="51"/>
      <c r="P466" s="51"/>
      <c r="Q466" s="48"/>
      <c r="S466" s="1">
        <f t="shared" si="189"/>
        <v>0</v>
      </c>
      <c r="T466" s="1">
        <f t="shared" si="190"/>
        <v>0</v>
      </c>
      <c r="U466" s="1">
        <f t="shared" si="191"/>
        <v>0</v>
      </c>
      <c r="V466" s="1">
        <f t="shared" si="192"/>
        <v>0</v>
      </c>
      <c r="W466" s="1">
        <f t="shared" si="193"/>
        <v>0</v>
      </c>
      <c r="X466" s="1">
        <f t="shared" si="194"/>
        <v>0</v>
      </c>
      <c r="Y466" s="1">
        <f t="shared" si="195"/>
        <v>0</v>
      </c>
      <c r="Z466" s="1">
        <f t="shared" si="196"/>
        <v>1</v>
      </c>
      <c r="AA466" s="1">
        <f t="shared" si="197"/>
        <v>0</v>
      </c>
      <c r="AB466" s="1">
        <f t="shared" si="198"/>
        <v>0</v>
      </c>
      <c r="AD466" s="1">
        <f t="shared" si="199"/>
        <v>0</v>
      </c>
      <c r="AE466" s="1">
        <f t="shared" si="200"/>
        <v>0</v>
      </c>
      <c r="AF466" s="1">
        <f t="shared" si="221"/>
        <v>0</v>
      </c>
      <c r="AG466" s="1">
        <f t="shared" si="222"/>
        <v>0</v>
      </c>
      <c r="AH466" s="1">
        <f t="shared" si="223"/>
        <v>0</v>
      </c>
      <c r="AI466" s="1">
        <f t="shared" si="224"/>
        <v>1</v>
      </c>
    </row>
    <row r="467" spans="1:35" ht="14.25" customHeight="1" x14ac:dyDescent="0.25">
      <c r="A467" s="47">
        <v>1</v>
      </c>
      <c r="B467" s="47">
        <v>2</v>
      </c>
      <c r="C467" s="47">
        <v>7</v>
      </c>
      <c r="D467" s="48" t="s">
        <v>1252</v>
      </c>
      <c r="E467" s="48" t="s">
        <v>157</v>
      </c>
      <c r="F467" s="48" t="s">
        <v>1361</v>
      </c>
      <c r="G467" s="48" t="s">
        <v>39</v>
      </c>
      <c r="H467" s="48" t="s">
        <v>356</v>
      </c>
      <c r="I467" s="47" t="s">
        <v>1253</v>
      </c>
      <c r="J467" s="47">
        <v>99</v>
      </c>
      <c r="K467" s="49" t="s">
        <v>958</v>
      </c>
      <c r="L467" s="49" t="s">
        <v>726</v>
      </c>
      <c r="M467" s="50" t="s">
        <v>736</v>
      </c>
      <c r="N467" s="50" t="s">
        <v>1739</v>
      </c>
      <c r="O467" s="51"/>
      <c r="P467" s="51"/>
      <c r="Q467" s="68" t="s">
        <v>1908</v>
      </c>
      <c r="S467" s="1">
        <f t="shared" ref="S467:S477" si="227">IF(J467=$S$7,1,0)</f>
        <v>0</v>
      </c>
      <c r="T467" s="1">
        <f t="shared" ref="T467:T477" si="228">IF(J467=$T$7,1,0)</f>
        <v>0</v>
      </c>
      <c r="U467" s="1">
        <f t="shared" ref="U467:U477" si="229">IF(J467=$U$7,1,0)</f>
        <v>0</v>
      </c>
      <c r="V467" s="1">
        <f t="shared" ref="V467:V477" si="230">IF(J467=$V$7,1,0)</f>
        <v>0</v>
      </c>
      <c r="W467" s="1">
        <f t="shared" ref="W467:W477" si="231">IF(J467=$W$7,1,0)</f>
        <v>0</v>
      </c>
      <c r="X467" s="1">
        <f t="shared" ref="X467:X477" si="232">IF(J467=$X$7,1,0)</f>
        <v>0</v>
      </c>
      <c r="Y467" s="1">
        <f t="shared" ref="Y467:Y477" si="233">IF(J467=$Y$7,1,0)</f>
        <v>0</v>
      </c>
      <c r="Z467" s="1">
        <f t="shared" ref="Z467:Z477" si="234">IF(J467=$Z$7,1,0)</f>
        <v>0</v>
      </c>
      <c r="AA467" s="1">
        <f t="shared" ref="AA467:AA477" si="235">IF(J467=$AA$7,1,0)</f>
        <v>0</v>
      </c>
      <c r="AB467" s="1">
        <f t="shared" ref="AB467:AB477" si="236">IF(J467=$AB$7,1,0)</f>
        <v>0</v>
      </c>
      <c r="AD467" s="1">
        <f>+O467*P467</f>
        <v>0</v>
      </c>
      <c r="AE467" s="1">
        <f>O467*(1-P467)</f>
        <v>0</v>
      </c>
      <c r="AF467" s="1">
        <f t="shared" si="221"/>
        <v>0</v>
      </c>
      <c r="AG467" s="1">
        <f t="shared" si="222"/>
        <v>0</v>
      </c>
      <c r="AH467" s="1">
        <f t="shared" si="223"/>
        <v>0</v>
      </c>
      <c r="AI467" s="1">
        <f t="shared" si="224"/>
        <v>0</v>
      </c>
    </row>
    <row r="468" spans="1:35" ht="14.25" customHeight="1" x14ac:dyDescent="0.25">
      <c r="A468" s="47">
        <v>1</v>
      </c>
      <c r="B468" s="47">
        <v>2</v>
      </c>
      <c r="C468" s="47">
        <v>7</v>
      </c>
      <c r="D468" s="48" t="s">
        <v>1252</v>
      </c>
      <c r="E468" s="48" t="s">
        <v>157</v>
      </c>
      <c r="F468" s="48" t="s">
        <v>1527</v>
      </c>
      <c r="G468" s="48" t="s">
        <v>236</v>
      </c>
      <c r="H468" s="48" t="s">
        <v>355</v>
      </c>
      <c r="I468" s="47" t="s">
        <v>1695</v>
      </c>
      <c r="J468" s="47">
        <v>99</v>
      </c>
      <c r="K468" s="49" t="s">
        <v>958</v>
      </c>
      <c r="L468" s="49" t="s">
        <v>726</v>
      </c>
      <c r="M468" s="50" t="s">
        <v>736</v>
      </c>
      <c r="N468" s="50" t="s">
        <v>1739</v>
      </c>
      <c r="O468" s="51"/>
      <c r="P468" s="51"/>
      <c r="Q468" s="48"/>
      <c r="S468" s="1">
        <f t="shared" si="227"/>
        <v>0</v>
      </c>
      <c r="T468" s="1">
        <f t="shared" si="228"/>
        <v>0</v>
      </c>
      <c r="U468" s="1">
        <f t="shared" si="229"/>
        <v>0</v>
      </c>
      <c r="V468" s="1">
        <f t="shared" si="230"/>
        <v>0</v>
      </c>
      <c r="W468" s="1">
        <f t="shared" si="231"/>
        <v>0</v>
      </c>
      <c r="X468" s="1">
        <f t="shared" si="232"/>
        <v>0</v>
      </c>
      <c r="Y468" s="1">
        <f t="shared" si="233"/>
        <v>0</v>
      </c>
      <c r="Z468" s="1">
        <f t="shared" si="234"/>
        <v>0</v>
      </c>
      <c r="AA468" s="1">
        <f t="shared" si="235"/>
        <v>0</v>
      </c>
      <c r="AB468" s="1">
        <f t="shared" si="236"/>
        <v>0</v>
      </c>
      <c r="AD468" s="1">
        <f>+O468*P468</f>
        <v>0</v>
      </c>
      <c r="AE468" s="1">
        <f>O468*(1-P468)</f>
        <v>0</v>
      </c>
      <c r="AF468" s="1">
        <f t="shared" si="221"/>
        <v>0</v>
      </c>
      <c r="AG468" s="1">
        <f t="shared" si="222"/>
        <v>0</v>
      </c>
      <c r="AH468" s="1">
        <f t="shared" si="223"/>
        <v>0</v>
      </c>
      <c r="AI468" s="1">
        <f t="shared" si="224"/>
        <v>0</v>
      </c>
    </row>
    <row r="469" spans="1:35" ht="14.25" customHeight="1" x14ac:dyDescent="0.25">
      <c r="A469" s="34">
        <v>0</v>
      </c>
      <c r="B469" s="34">
        <v>2</v>
      </c>
      <c r="C469" s="34">
        <v>7</v>
      </c>
      <c r="D469" s="35" t="s">
        <v>1854</v>
      </c>
      <c r="E469" s="35" t="s">
        <v>1855</v>
      </c>
      <c r="F469" s="35" t="s">
        <v>1856</v>
      </c>
      <c r="G469" s="35" t="s">
        <v>266</v>
      </c>
      <c r="H469" s="35" t="s">
        <v>355</v>
      </c>
      <c r="I469" s="34" t="s">
        <v>1857</v>
      </c>
      <c r="J469" s="34">
        <v>99</v>
      </c>
      <c r="K469" s="36" t="s">
        <v>707</v>
      </c>
      <c r="L469" s="36"/>
      <c r="M469" s="37"/>
      <c r="N469" s="37" t="s">
        <v>1731</v>
      </c>
      <c r="O469" s="38">
        <v>1</v>
      </c>
      <c r="P469" s="38">
        <v>1</v>
      </c>
      <c r="Q469" s="35"/>
      <c r="S469" s="1">
        <f t="shared" si="227"/>
        <v>0</v>
      </c>
      <c r="T469" s="1">
        <f t="shared" si="228"/>
        <v>0</v>
      </c>
      <c r="U469" s="1">
        <f t="shared" si="229"/>
        <v>0</v>
      </c>
      <c r="V469" s="1">
        <f t="shared" si="230"/>
        <v>0</v>
      </c>
      <c r="W469" s="1">
        <f t="shared" si="231"/>
        <v>0</v>
      </c>
      <c r="X469" s="1">
        <f t="shared" si="232"/>
        <v>0</v>
      </c>
      <c r="Y469" s="1">
        <f t="shared" si="233"/>
        <v>0</v>
      </c>
      <c r="Z469" s="1">
        <f t="shared" si="234"/>
        <v>0</v>
      </c>
      <c r="AA469" s="1">
        <f t="shared" si="235"/>
        <v>0</v>
      </c>
      <c r="AB469" s="1">
        <f t="shared" si="236"/>
        <v>0</v>
      </c>
      <c r="AD469" s="1">
        <f>+O469*P469</f>
        <v>1</v>
      </c>
      <c r="AE469" s="1">
        <f>O469*(1-P469)</f>
        <v>0</v>
      </c>
      <c r="AF469" s="1">
        <f t="shared" si="221"/>
        <v>1</v>
      </c>
      <c r="AG469" s="1">
        <f t="shared" si="222"/>
        <v>0</v>
      </c>
      <c r="AH469" s="1">
        <f t="shared" si="223"/>
        <v>1</v>
      </c>
      <c r="AI469" s="1">
        <f t="shared" si="224"/>
        <v>0</v>
      </c>
    </row>
    <row r="470" spans="1:35" ht="14.25" customHeight="1" x14ac:dyDescent="0.25">
      <c r="A470" s="47">
        <v>0</v>
      </c>
      <c r="B470" s="47">
        <v>2</v>
      </c>
      <c r="C470" s="47">
        <v>7</v>
      </c>
      <c r="D470" s="48" t="s">
        <v>1247</v>
      </c>
      <c r="E470" s="48" t="s">
        <v>28</v>
      </c>
      <c r="F470" s="48" t="s">
        <v>1240</v>
      </c>
      <c r="G470" s="48" t="s">
        <v>1241</v>
      </c>
      <c r="H470" s="48" t="s">
        <v>355</v>
      </c>
      <c r="I470" s="47" t="s">
        <v>1242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1739</v>
      </c>
      <c r="O470" s="51"/>
      <c r="P470" s="51"/>
      <c r="Q470" s="48"/>
      <c r="S470" s="1">
        <f t="shared" si="227"/>
        <v>0</v>
      </c>
      <c r="T470" s="1">
        <f t="shared" si="228"/>
        <v>0</v>
      </c>
      <c r="U470" s="1">
        <f t="shared" si="229"/>
        <v>0</v>
      </c>
      <c r="V470" s="1">
        <f t="shared" si="230"/>
        <v>0</v>
      </c>
      <c r="W470" s="1">
        <f t="shared" si="231"/>
        <v>0</v>
      </c>
      <c r="X470" s="1">
        <f t="shared" si="232"/>
        <v>0</v>
      </c>
      <c r="Y470" s="1">
        <f t="shared" si="233"/>
        <v>0</v>
      </c>
      <c r="Z470" s="1">
        <f t="shared" si="234"/>
        <v>0</v>
      </c>
      <c r="AA470" s="1">
        <f t="shared" si="235"/>
        <v>0</v>
      </c>
      <c r="AB470" s="1">
        <f t="shared" si="236"/>
        <v>0</v>
      </c>
      <c r="AD470" s="1">
        <f t="shared" ref="AD470:AD477" si="237">+O470*P470</f>
        <v>0</v>
      </c>
      <c r="AE470" s="1">
        <f t="shared" ref="AE470:AE477" si="238">O470*(1-P470)</f>
        <v>0</v>
      </c>
      <c r="AF470" s="1">
        <f t="shared" si="221"/>
        <v>0</v>
      </c>
      <c r="AG470" s="1">
        <f t="shared" si="222"/>
        <v>0</v>
      </c>
      <c r="AH470" s="1">
        <f t="shared" si="223"/>
        <v>0</v>
      </c>
      <c r="AI470" s="1">
        <f t="shared" si="224"/>
        <v>1</v>
      </c>
    </row>
    <row r="471" spans="1:35" ht="14.25" customHeight="1" x14ac:dyDescent="0.25">
      <c r="A471" s="47">
        <v>1</v>
      </c>
      <c r="B471" s="47">
        <v>2</v>
      </c>
      <c r="C471" s="47">
        <v>7</v>
      </c>
      <c r="D471" s="48" t="s">
        <v>1244</v>
      </c>
      <c r="E471" s="48" t="s">
        <v>28</v>
      </c>
      <c r="F471" s="48" t="s">
        <v>1245</v>
      </c>
      <c r="G471" s="48" t="s">
        <v>525</v>
      </c>
      <c r="H471" s="48" t="s">
        <v>355</v>
      </c>
      <c r="I471" s="47" t="s">
        <v>1246</v>
      </c>
      <c r="J471" s="47">
        <v>99</v>
      </c>
      <c r="K471" s="49" t="s">
        <v>716</v>
      </c>
      <c r="L471" s="49" t="s">
        <v>717</v>
      </c>
      <c r="M471" s="50" t="s">
        <v>735</v>
      </c>
      <c r="N471" s="50" t="s">
        <v>1739</v>
      </c>
      <c r="O471" s="51"/>
      <c r="P471" s="51"/>
      <c r="Q471" s="48"/>
      <c r="S471" s="1">
        <f t="shared" si="227"/>
        <v>0</v>
      </c>
      <c r="T471" s="1">
        <f t="shared" si="228"/>
        <v>0</v>
      </c>
      <c r="U471" s="1">
        <f t="shared" si="229"/>
        <v>0</v>
      </c>
      <c r="V471" s="1">
        <f t="shared" si="230"/>
        <v>0</v>
      </c>
      <c r="W471" s="1">
        <f t="shared" si="231"/>
        <v>0</v>
      </c>
      <c r="X471" s="1">
        <f t="shared" si="232"/>
        <v>0</v>
      </c>
      <c r="Y471" s="1">
        <f t="shared" si="233"/>
        <v>0</v>
      </c>
      <c r="Z471" s="1">
        <f t="shared" si="234"/>
        <v>0</v>
      </c>
      <c r="AA471" s="1">
        <f t="shared" si="235"/>
        <v>0</v>
      </c>
      <c r="AB471" s="1">
        <f t="shared" si="236"/>
        <v>0</v>
      </c>
      <c r="AD471" s="1">
        <f t="shared" si="237"/>
        <v>0</v>
      </c>
      <c r="AE471" s="1">
        <f t="shared" si="238"/>
        <v>0</v>
      </c>
      <c r="AF471" s="1">
        <f t="shared" si="221"/>
        <v>0</v>
      </c>
      <c r="AG471" s="1">
        <f t="shared" si="222"/>
        <v>0</v>
      </c>
      <c r="AH471" s="1">
        <f t="shared" si="223"/>
        <v>0</v>
      </c>
      <c r="AI471" s="1">
        <f t="shared" si="224"/>
        <v>0</v>
      </c>
    </row>
    <row r="472" spans="1:35" ht="14.25" customHeight="1" x14ac:dyDescent="0.25">
      <c r="A472" s="34">
        <v>0</v>
      </c>
      <c r="B472" s="34">
        <v>2</v>
      </c>
      <c r="C472" s="34">
        <v>7</v>
      </c>
      <c r="D472" s="35" t="s">
        <v>1850</v>
      </c>
      <c r="E472" s="35" t="s">
        <v>1172</v>
      </c>
      <c r="F472" s="35" t="s">
        <v>1851</v>
      </c>
      <c r="G472" s="35"/>
      <c r="H472" s="35" t="s">
        <v>355</v>
      </c>
      <c r="I472" s="34" t="s">
        <v>1852</v>
      </c>
      <c r="J472" s="34">
        <v>6</v>
      </c>
      <c r="K472" s="36" t="s">
        <v>707</v>
      </c>
      <c r="L472" s="36"/>
      <c r="M472" s="37"/>
      <c r="N472" s="37" t="s">
        <v>1752</v>
      </c>
      <c r="O472" s="38">
        <v>1</v>
      </c>
      <c r="P472" s="38"/>
      <c r="Q472" s="35"/>
      <c r="S472" s="1">
        <f t="shared" si="227"/>
        <v>0</v>
      </c>
      <c r="T472" s="1">
        <f t="shared" si="228"/>
        <v>0</v>
      </c>
      <c r="U472" s="1">
        <f t="shared" si="229"/>
        <v>0</v>
      </c>
      <c r="V472" s="1">
        <f t="shared" si="230"/>
        <v>0</v>
      </c>
      <c r="W472" s="1">
        <f t="shared" si="231"/>
        <v>0</v>
      </c>
      <c r="X472" s="1">
        <f t="shared" si="232"/>
        <v>1</v>
      </c>
      <c r="Y472" s="1">
        <f t="shared" si="233"/>
        <v>0</v>
      </c>
      <c r="Z472" s="1">
        <f t="shared" si="234"/>
        <v>0</v>
      </c>
      <c r="AA472" s="1">
        <f t="shared" si="235"/>
        <v>0</v>
      </c>
      <c r="AB472" s="1">
        <f t="shared" si="236"/>
        <v>0</v>
      </c>
      <c r="AD472" s="1">
        <f t="shared" si="237"/>
        <v>0</v>
      </c>
      <c r="AE472" s="1">
        <f t="shared" si="238"/>
        <v>1</v>
      </c>
      <c r="AF472" s="1">
        <f t="shared" si="221"/>
        <v>0</v>
      </c>
      <c r="AG472" s="1">
        <f t="shared" si="222"/>
        <v>1</v>
      </c>
      <c r="AH472" s="1">
        <f t="shared" si="223"/>
        <v>0</v>
      </c>
      <c r="AI472" s="1">
        <f t="shared" si="224"/>
        <v>1</v>
      </c>
    </row>
    <row r="473" spans="1:35" ht="14.25" customHeight="1" x14ac:dyDescent="0.25">
      <c r="A473" s="47">
        <v>0</v>
      </c>
      <c r="B473" s="47">
        <v>2</v>
      </c>
      <c r="C473" s="47">
        <v>7</v>
      </c>
      <c r="D473" s="48" t="s">
        <v>1462</v>
      </c>
      <c r="E473" s="48" t="s">
        <v>28</v>
      </c>
      <c r="F473" s="48" t="s">
        <v>1463</v>
      </c>
      <c r="G473" s="48" t="s">
        <v>1464</v>
      </c>
      <c r="H473" s="48" t="s">
        <v>355</v>
      </c>
      <c r="I473" s="47" t="s">
        <v>1465</v>
      </c>
      <c r="J473" s="47">
        <v>99</v>
      </c>
      <c r="K473" s="49" t="s">
        <v>716</v>
      </c>
      <c r="L473" s="49" t="s">
        <v>717</v>
      </c>
      <c r="M473" s="50" t="s">
        <v>735</v>
      </c>
      <c r="N473" s="50" t="s">
        <v>1739</v>
      </c>
      <c r="O473" s="51"/>
      <c r="P473" s="51"/>
      <c r="Q473" s="48" t="s">
        <v>1935</v>
      </c>
      <c r="S473" s="1">
        <f t="shared" si="227"/>
        <v>0</v>
      </c>
      <c r="T473" s="1">
        <f t="shared" si="228"/>
        <v>0</v>
      </c>
      <c r="U473" s="1">
        <f t="shared" si="229"/>
        <v>0</v>
      </c>
      <c r="V473" s="1">
        <f t="shared" si="230"/>
        <v>0</v>
      </c>
      <c r="W473" s="1">
        <f t="shared" si="231"/>
        <v>0</v>
      </c>
      <c r="X473" s="1">
        <f t="shared" si="232"/>
        <v>0</v>
      </c>
      <c r="Y473" s="1">
        <f t="shared" si="233"/>
        <v>0</v>
      </c>
      <c r="Z473" s="1">
        <f t="shared" si="234"/>
        <v>0</v>
      </c>
      <c r="AA473" s="1">
        <f t="shared" si="235"/>
        <v>0</v>
      </c>
      <c r="AB473" s="1">
        <f t="shared" si="236"/>
        <v>0</v>
      </c>
      <c r="AD473" s="1">
        <f t="shared" si="237"/>
        <v>0</v>
      </c>
      <c r="AE473" s="1">
        <f t="shared" si="238"/>
        <v>0</v>
      </c>
      <c r="AF473" s="1">
        <f t="shared" si="221"/>
        <v>0</v>
      </c>
      <c r="AG473" s="1">
        <f t="shared" si="222"/>
        <v>0</v>
      </c>
      <c r="AH473" s="1">
        <f t="shared" si="223"/>
        <v>0</v>
      </c>
      <c r="AI473" s="1">
        <f t="shared" si="224"/>
        <v>1</v>
      </c>
    </row>
    <row r="474" spans="1:35" ht="14.25" customHeight="1" x14ac:dyDescent="0.25">
      <c r="A474" s="34">
        <v>0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577</v>
      </c>
      <c r="G474" s="35" t="s">
        <v>236</v>
      </c>
      <c r="H474" s="35" t="s">
        <v>355</v>
      </c>
      <c r="I474" s="34" t="s">
        <v>584</v>
      </c>
      <c r="J474" s="34">
        <v>99</v>
      </c>
      <c r="K474" s="36" t="s">
        <v>716</v>
      </c>
      <c r="L474" s="36" t="s">
        <v>733</v>
      </c>
      <c r="M474" s="37" t="s">
        <v>1444</v>
      </c>
      <c r="N474" s="37" t="s">
        <v>1752</v>
      </c>
      <c r="O474" s="38">
        <v>1</v>
      </c>
      <c r="P474" s="38"/>
      <c r="Q474" s="35"/>
      <c r="S474" s="1">
        <f t="shared" si="227"/>
        <v>0</v>
      </c>
      <c r="T474" s="1">
        <f t="shared" si="228"/>
        <v>0</v>
      </c>
      <c r="U474" s="1">
        <f t="shared" si="229"/>
        <v>0</v>
      </c>
      <c r="V474" s="1">
        <f t="shared" si="230"/>
        <v>0</v>
      </c>
      <c r="W474" s="1">
        <f t="shared" si="231"/>
        <v>0</v>
      </c>
      <c r="X474" s="1">
        <f t="shared" si="232"/>
        <v>0</v>
      </c>
      <c r="Y474" s="1">
        <f t="shared" si="233"/>
        <v>0</v>
      </c>
      <c r="Z474" s="1">
        <f t="shared" si="234"/>
        <v>0</v>
      </c>
      <c r="AA474" s="1">
        <f t="shared" si="235"/>
        <v>0</v>
      </c>
      <c r="AB474" s="1">
        <f t="shared" si="236"/>
        <v>0</v>
      </c>
      <c r="AD474" s="1">
        <f t="shared" si="237"/>
        <v>0</v>
      </c>
      <c r="AE474" s="1">
        <f t="shared" si="238"/>
        <v>1</v>
      </c>
      <c r="AF474" s="1">
        <f t="shared" si="221"/>
        <v>0</v>
      </c>
      <c r="AG474" s="1">
        <f t="shared" si="222"/>
        <v>1</v>
      </c>
      <c r="AH474" s="1">
        <f t="shared" si="223"/>
        <v>0</v>
      </c>
      <c r="AI474" s="1">
        <f t="shared" si="224"/>
        <v>1</v>
      </c>
    </row>
    <row r="475" spans="1:35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543</v>
      </c>
      <c r="F475" s="35" t="s">
        <v>272</v>
      </c>
      <c r="G475" s="35" t="s">
        <v>181</v>
      </c>
      <c r="H475" s="35" t="s">
        <v>355</v>
      </c>
      <c r="I475" s="34" t="s">
        <v>427</v>
      </c>
      <c r="J475" s="34">
        <v>10</v>
      </c>
      <c r="K475" s="36" t="s">
        <v>716</v>
      </c>
      <c r="L475" s="36" t="s">
        <v>733</v>
      </c>
      <c r="M475" s="37" t="s">
        <v>1444</v>
      </c>
      <c r="N475" s="37" t="s">
        <v>1752</v>
      </c>
      <c r="O475" s="38">
        <v>1</v>
      </c>
      <c r="P475" s="38"/>
      <c r="Q475" s="35"/>
      <c r="S475" s="1">
        <f t="shared" si="227"/>
        <v>0</v>
      </c>
      <c r="T475" s="1">
        <f t="shared" si="228"/>
        <v>0</v>
      </c>
      <c r="U475" s="1">
        <f t="shared" si="229"/>
        <v>0</v>
      </c>
      <c r="V475" s="1">
        <f t="shared" si="230"/>
        <v>0</v>
      </c>
      <c r="W475" s="1">
        <f t="shared" si="231"/>
        <v>0</v>
      </c>
      <c r="X475" s="1">
        <f t="shared" si="232"/>
        <v>0</v>
      </c>
      <c r="Y475" s="1">
        <f t="shared" si="233"/>
        <v>0</v>
      </c>
      <c r="Z475" s="1">
        <f t="shared" si="234"/>
        <v>0</v>
      </c>
      <c r="AA475" s="1">
        <f t="shared" si="235"/>
        <v>0</v>
      </c>
      <c r="AB475" s="1">
        <f t="shared" si="236"/>
        <v>1</v>
      </c>
      <c r="AD475" s="1">
        <f t="shared" si="237"/>
        <v>0</v>
      </c>
      <c r="AE475" s="1">
        <f t="shared" si="238"/>
        <v>1</v>
      </c>
      <c r="AF475" s="1">
        <f t="shared" si="221"/>
        <v>0</v>
      </c>
      <c r="AG475" s="1">
        <f t="shared" si="222"/>
        <v>0</v>
      </c>
      <c r="AH475" s="1">
        <f t="shared" si="223"/>
        <v>0</v>
      </c>
      <c r="AI475" s="1">
        <f t="shared" si="224"/>
        <v>0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543</v>
      </c>
      <c r="F476" s="35" t="s">
        <v>273</v>
      </c>
      <c r="G476" s="35" t="s">
        <v>39</v>
      </c>
      <c r="H476" s="35" t="s">
        <v>355</v>
      </c>
      <c r="I476" s="34" t="s">
        <v>428</v>
      </c>
      <c r="J476" s="34">
        <v>5</v>
      </c>
      <c r="K476" s="36" t="s">
        <v>716</v>
      </c>
      <c r="L476" s="36" t="s">
        <v>733</v>
      </c>
      <c r="M476" s="37" t="s">
        <v>1444</v>
      </c>
      <c r="N476" s="37" t="s">
        <v>1752</v>
      </c>
      <c r="O476" s="38">
        <v>1</v>
      </c>
      <c r="P476" s="38"/>
      <c r="Q476" s="35"/>
      <c r="S476" s="1">
        <f t="shared" si="227"/>
        <v>0</v>
      </c>
      <c r="T476" s="1">
        <f t="shared" si="228"/>
        <v>0</v>
      </c>
      <c r="U476" s="1">
        <f t="shared" si="229"/>
        <v>0</v>
      </c>
      <c r="V476" s="1">
        <f t="shared" si="230"/>
        <v>0</v>
      </c>
      <c r="W476" s="1">
        <f t="shared" si="231"/>
        <v>1</v>
      </c>
      <c r="X476" s="1">
        <f t="shared" si="232"/>
        <v>0</v>
      </c>
      <c r="Y476" s="1">
        <f t="shared" si="233"/>
        <v>0</v>
      </c>
      <c r="Z476" s="1">
        <f t="shared" si="234"/>
        <v>0</v>
      </c>
      <c r="AA476" s="1">
        <f t="shared" si="235"/>
        <v>0</v>
      </c>
      <c r="AB476" s="1">
        <f t="shared" si="236"/>
        <v>0</v>
      </c>
      <c r="AD476" s="1">
        <f t="shared" si="237"/>
        <v>0</v>
      </c>
      <c r="AE476" s="1">
        <f t="shared" si="238"/>
        <v>1</v>
      </c>
      <c r="AF476" s="1">
        <f t="shared" si="221"/>
        <v>0</v>
      </c>
      <c r="AG476" s="1">
        <f t="shared" si="222"/>
        <v>0</v>
      </c>
      <c r="AH476" s="1">
        <f t="shared" si="223"/>
        <v>0</v>
      </c>
      <c r="AI476" s="1">
        <f t="shared" si="224"/>
        <v>0</v>
      </c>
    </row>
    <row r="477" spans="1:35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543</v>
      </c>
      <c r="F477" s="35" t="s">
        <v>277</v>
      </c>
      <c r="G477" s="35" t="s">
        <v>195</v>
      </c>
      <c r="H477" s="35" t="s">
        <v>355</v>
      </c>
      <c r="I477" s="34" t="s">
        <v>432</v>
      </c>
      <c r="J477" s="34">
        <v>9</v>
      </c>
      <c r="K477" s="36" t="s">
        <v>716</v>
      </c>
      <c r="L477" s="36" t="s">
        <v>733</v>
      </c>
      <c r="M477" s="37" t="s">
        <v>1444</v>
      </c>
      <c r="N477" s="37" t="s">
        <v>1752</v>
      </c>
      <c r="O477" s="38">
        <v>1</v>
      </c>
      <c r="P477" s="38"/>
      <c r="Q477" s="35"/>
      <c r="S477" s="1">
        <f t="shared" si="227"/>
        <v>0</v>
      </c>
      <c r="T477" s="1">
        <f t="shared" si="228"/>
        <v>0</v>
      </c>
      <c r="U477" s="1">
        <f t="shared" si="229"/>
        <v>0</v>
      </c>
      <c r="V477" s="1">
        <f t="shared" si="230"/>
        <v>0</v>
      </c>
      <c r="W477" s="1">
        <f t="shared" si="231"/>
        <v>0</v>
      </c>
      <c r="X477" s="1">
        <f t="shared" si="232"/>
        <v>0</v>
      </c>
      <c r="Y477" s="1">
        <f t="shared" si="233"/>
        <v>0</v>
      </c>
      <c r="Z477" s="1">
        <f t="shared" si="234"/>
        <v>0</v>
      </c>
      <c r="AA477" s="1">
        <f t="shared" si="235"/>
        <v>1</v>
      </c>
      <c r="AB477" s="1">
        <f t="shared" si="236"/>
        <v>0</v>
      </c>
      <c r="AD477" s="1">
        <f t="shared" si="237"/>
        <v>0</v>
      </c>
      <c r="AE477" s="1">
        <f t="shared" si="238"/>
        <v>1</v>
      </c>
      <c r="AF477" s="1">
        <f t="shared" si="221"/>
        <v>0</v>
      </c>
      <c r="AG477" s="1">
        <f t="shared" si="222"/>
        <v>0</v>
      </c>
      <c r="AH477" s="1">
        <f t="shared" si="223"/>
        <v>0</v>
      </c>
      <c r="AI477" s="1">
        <f t="shared" si="224"/>
        <v>0</v>
      </c>
    </row>
    <row r="478" spans="1:35" ht="14.25" customHeight="1" x14ac:dyDescent="0.25">
      <c r="A478" s="47">
        <v>0</v>
      </c>
      <c r="B478" s="47">
        <v>2</v>
      </c>
      <c r="C478" s="47">
        <v>7</v>
      </c>
      <c r="D478" s="48" t="s">
        <v>1565</v>
      </c>
      <c r="E478" s="48" t="s">
        <v>28</v>
      </c>
      <c r="F478" s="48" t="s">
        <v>1566</v>
      </c>
      <c r="G478" s="48" t="s">
        <v>239</v>
      </c>
      <c r="H478" s="48" t="s">
        <v>355</v>
      </c>
      <c r="I478" s="47" t="s">
        <v>1699</v>
      </c>
      <c r="J478" s="47">
        <v>4</v>
      </c>
      <c r="K478" s="49" t="s">
        <v>717</v>
      </c>
      <c r="L478" s="49" t="s">
        <v>717</v>
      </c>
      <c r="M478" s="50" t="s">
        <v>735</v>
      </c>
      <c r="N478" s="50" t="s">
        <v>1739</v>
      </c>
      <c r="O478" s="51"/>
      <c r="P478" s="51"/>
      <c r="Q478" s="48"/>
      <c r="S478" s="1">
        <f t="shared" ref="S478:S479" si="239">IF(J478=$S$7,1,0)</f>
        <v>0</v>
      </c>
      <c r="T478" s="1">
        <f t="shared" ref="T478:T479" si="240">IF(J478=$T$7,1,0)</f>
        <v>0</v>
      </c>
      <c r="U478" s="1">
        <f t="shared" ref="U478:U479" si="241">IF(J478=$U$7,1,0)</f>
        <v>0</v>
      </c>
      <c r="V478" s="1">
        <f t="shared" ref="V478:V479" si="242">IF(J478=$V$7,1,0)</f>
        <v>1</v>
      </c>
      <c r="W478" s="1">
        <f t="shared" ref="W478:W479" si="243">IF(J478=$W$7,1,0)</f>
        <v>0</v>
      </c>
      <c r="X478" s="1">
        <f t="shared" ref="X478:X479" si="244">IF(J478=$X$7,1,0)</f>
        <v>0</v>
      </c>
      <c r="Y478" s="1">
        <f t="shared" ref="Y478:Y479" si="245">IF(J478=$Y$7,1,0)</f>
        <v>0</v>
      </c>
      <c r="Z478" s="1">
        <f t="shared" ref="Z478:Z479" si="246">IF(J478=$Z$7,1,0)</f>
        <v>0</v>
      </c>
      <c r="AA478" s="1">
        <f t="shared" ref="AA478:AA479" si="247">IF(J478=$AA$7,1,0)</f>
        <v>0</v>
      </c>
      <c r="AB478" s="1">
        <f t="shared" ref="AB478:AB479" si="248">IF(J478=$AB$7,1,0)</f>
        <v>0</v>
      </c>
      <c r="AD478" s="1">
        <f t="shared" ref="AD478:AD479" si="249">+O478*P478</f>
        <v>0</v>
      </c>
      <c r="AE478" s="1">
        <f t="shared" ref="AE478:AE479" si="250">O478*(1-P478)</f>
        <v>0</v>
      </c>
      <c r="AF478" s="1">
        <f t="shared" ref="AF478:AF479" si="251">+O478*P478*(1-A478)</f>
        <v>0</v>
      </c>
      <c r="AG478" s="1">
        <f t="shared" ref="AG478:AG479" si="252">O478*(1-P478)*(1-A478)</f>
        <v>0</v>
      </c>
      <c r="AH478" s="1">
        <f t="shared" ref="AH478:AH479" si="253">+P478*(1-A478)</f>
        <v>0</v>
      </c>
      <c r="AI478" s="1">
        <f t="shared" ref="AI478:AI479" si="254">+(1-A478)*(1-P478)</f>
        <v>1</v>
      </c>
    </row>
    <row r="479" spans="1:35" ht="14.25" customHeight="1" x14ac:dyDescent="0.25">
      <c r="A479" s="47">
        <v>0</v>
      </c>
      <c r="B479" s="47">
        <v>2</v>
      </c>
      <c r="C479" s="47">
        <v>7</v>
      </c>
      <c r="D479" s="48" t="s">
        <v>63</v>
      </c>
      <c r="E479" s="48" t="s">
        <v>44</v>
      </c>
      <c r="F479" s="48" t="s">
        <v>237</v>
      </c>
      <c r="G479" s="48" t="s">
        <v>201</v>
      </c>
      <c r="H479" s="48" t="s">
        <v>355</v>
      </c>
      <c r="I479" s="47" t="s">
        <v>403</v>
      </c>
      <c r="J479" s="47">
        <v>2</v>
      </c>
      <c r="K479" s="49" t="s">
        <v>717</v>
      </c>
      <c r="L479" s="49" t="s">
        <v>726</v>
      </c>
      <c r="M479" s="50" t="s">
        <v>739</v>
      </c>
      <c r="N479" s="50" t="s">
        <v>1739</v>
      </c>
      <c r="O479" s="51"/>
      <c r="P479" s="51"/>
      <c r="Q479" s="48"/>
      <c r="S479" s="1">
        <f t="shared" si="239"/>
        <v>0</v>
      </c>
      <c r="T479" s="1">
        <f t="shared" si="240"/>
        <v>1</v>
      </c>
      <c r="U479" s="1">
        <f t="shared" si="241"/>
        <v>0</v>
      </c>
      <c r="V479" s="1">
        <f t="shared" si="242"/>
        <v>0</v>
      </c>
      <c r="W479" s="1">
        <f t="shared" si="243"/>
        <v>0</v>
      </c>
      <c r="X479" s="1">
        <f t="shared" si="244"/>
        <v>0</v>
      </c>
      <c r="Y479" s="1">
        <f t="shared" si="245"/>
        <v>0</v>
      </c>
      <c r="Z479" s="1">
        <f t="shared" si="246"/>
        <v>0</v>
      </c>
      <c r="AA479" s="1">
        <f t="shared" si="247"/>
        <v>0</v>
      </c>
      <c r="AB479" s="1">
        <f t="shared" si="248"/>
        <v>0</v>
      </c>
      <c r="AD479" s="1">
        <f t="shared" si="249"/>
        <v>0</v>
      </c>
      <c r="AE479" s="1">
        <f t="shared" si="250"/>
        <v>0</v>
      </c>
      <c r="AF479" s="1">
        <f t="shared" si="251"/>
        <v>0</v>
      </c>
      <c r="AG479" s="1">
        <f t="shared" si="252"/>
        <v>0</v>
      </c>
      <c r="AH479" s="1">
        <f t="shared" si="253"/>
        <v>0</v>
      </c>
      <c r="AI479" s="1">
        <f t="shared" si="254"/>
        <v>1</v>
      </c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</sheetData>
  <autoFilter ref="A7:Q479" xr:uid="{AEE30112-88BB-441D-AEFC-A7A733AB1798}">
    <sortState xmlns:xlrd2="http://schemas.microsoft.com/office/spreadsheetml/2017/richdata2" ref="A8:Q455">
      <sortCondition ref="B8:B455"/>
      <sortCondition ref="C8:C455"/>
      <sortCondition ref="D8:D455"/>
      <sortCondition ref="A8:A455"/>
    </sortState>
  </autoFilter>
  <sortState xmlns:xlrd2="http://schemas.microsoft.com/office/spreadsheetml/2017/richdata2" ref="A8:Q479">
    <sortCondition ref="B8:B479"/>
    <sortCondition ref="C8:C479"/>
    <sortCondition ref="D8:D479"/>
    <sortCondition ref="A8:A47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2026-06-09T20:53:04Z</dcterms:modified>
</cp:coreProperties>
</file>