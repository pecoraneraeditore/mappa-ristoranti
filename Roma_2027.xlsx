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CAE397B-CC1A-442F-964D-3E4BC0B4EDA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golose'!$A$7:$Q$490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04" i="6" l="1"/>
  <c r="AE404" i="6"/>
  <c r="AF404" i="6"/>
  <c r="AG404" i="6"/>
  <c r="S404" i="6"/>
  <c r="T404" i="6"/>
  <c r="U404" i="6"/>
  <c r="V404" i="6"/>
  <c r="W404" i="6"/>
  <c r="X404" i="6"/>
  <c r="Y404" i="6"/>
  <c r="Z404" i="6"/>
  <c r="AA404" i="6"/>
  <c r="AB404" i="6"/>
  <c r="AH404" i="6"/>
  <c r="AI404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S450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8" i="6"/>
  <c r="S487" i="6"/>
  <c r="S486" i="6"/>
  <c r="S485" i="6"/>
  <c r="S484" i="6"/>
  <c r="S483" i="6"/>
  <c r="S482" i="6"/>
  <c r="S481" i="6"/>
  <c r="AD191" i="6"/>
  <c r="AE191" i="6"/>
  <c r="AF191" i="6"/>
  <c r="AD192" i="6"/>
  <c r="AE192" i="6"/>
  <c r="AF192" i="6"/>
  <c r="S192" i="6"/>
  <c r="AG192" i="6"/>
  <c r="AH192" i="6"/>
  <c r="AI192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8" i="6"/>
  <c r="AE458" i="6"/>
  <c r="AD459" i="6"/>
  <c r="AE459" i="6"/>
  <c r="S458" i="6"/>
  <c r="AF458" i="6"/>
  <c r="AG458" i="6"/>
  <c r="AH458" i="6"/>
  <c r="AI458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3" i="6"/>
  <c r="AE473" i="6"/>
  <c r="S473" i="6"/>
  <c r="AF473" i="6"/>
  <c r="AG473" i="6"/>
  <c r="AH473" i="6"/>
  <c r="AI473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1" i="6"/>
  <c r="S452" i="6"/>
  <c r="S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5" i="6" s="1"/>
  <c r="T384" i="6" l="1"/>
  <c r="T383" i="6"/>
  <c r="T382" i="6"/>
  <c r="T381" i="6"/>
  <c r="T159" i="6"/>
  <c r="T158" i="6"/>
  <c r="T157" i="6"/>
  <c r="T156" i="6"/>
  <c r="T155" i="6"/>
  <c r="T450" i="6"/>
  <c r="T359" i="6"/>
  <c r="T266" i="6"/>
  <c r="T267" i="6"/>
  <c r="T411" i="6"/>
  <c r="T410" i="6"/>
  <c r="T409" i="6"/>
  <c r="T408" i="6"/>
  <c r="T407" i="6"/>
  <c r="T406" i="6"/>
  <c r="T405" i="6"/>
  <c r="T73" i="6"/>
  <c r="T472" i="6"/>
  <c r="T471" i="6"/>
  <c r="T470" i="6"/>
  <c r="T469" i="6"/>
  <c r="T468" i="6"/>
  <c r="T467" i="6"/>
  <c r="T53" i="6"/>
  <c r="T52" i="6"/>
  <c r="T51" i="6"/>
  <c r="T187" i="6"/>
  <c r="T483" i="6"/>
  <c r="T488" i="6"/>
  <c r="T485" i="6"/>
  <c r="T487" i="6"/>
  <c r="T484" i="6"/>
  <c r="T486" i="6"/>
  <c r="T490" i="6"/>
  <c r="T489" i="6"/>
  <c r="T482" i="6"/>
  <c r="T481" i="6"/>
  <c r="T192" i="6"/>
  <c r="T429" i="6"/>
  <c r="T428" i="6"/>
  <c r="T427" i="6"/>
  <c r="T426" i="6"/>
  <c r="T425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8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3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7" i="6"/>
  <c r="T374" i="6"/>
  <c r="T473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9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4" i="6"/>
  <c r="T414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2" i="6"/>
  <c r="AD6" i="6"/>
  <c r="F3" i="6" s="1"/>
  <c r="T417" i="6"/>
  <c r="T415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4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6" i="6"/>
  <c r="T449" i="6"/>
  <c r="T433" i="6"/>
  <c r="T477" i="6"/>
  <c r="T457" i="6"/>
  <c r="T440" i="6"/>
  <c r="T423" i="6"/>
  <c r="T397" i="6"/>
  <c r="T364" i="6"/>
  <c r="T464" i="6"/>
  <c r="T447" i="6"/>
  <c r="T431" i="6"/>
  <c r="T351" i="6"/>
  <c r="T475" i="6"/>
  <c r="T455" i="6"/>
  <c r="T438" i="6"/>
  <c r="T421" i="6"/>
  <c r="T401" i="6"/>
  <c r="T367" i="6"/>
  <c r="T462" i="6"/>
  <c r="T445" i="6"/>
  <c r="T419" i="6"/>
  <c r="T453" i="6"/>
  <c r="T436" i="6"/>
  <c r="T388" i="6"/>
  <c r="T371" i="6"/>
  <c r="T480" i="6"/>
  <c r="T460" i="6"/>
  <c r="T443" i="6"/>
  <c r="T451" i="6"/>
  <c r="T434" i="6"/>
  <c r="T392" i="6"/>
  <c r="T375" i="6"/>
  <c r="T357" i="6"/>
  <c r="T478" i="6"/>
  <c r="T459" i="6"/>
  <c r="T441" i="6"/>
  <c r="T424" i="6"/>
  <c r="T412" i="6"/>
  <c r="T465" i="6"/>
  <c r="T448" i="6"/>
  <c r="T432" i="6"/>
  <c r="T396" i="6"/>
  <c r="T380" i="6"/>
  <c r="T362" i="6"/>
  <c r="T476" i="6"/>
  <c r="T456" i="6"/>
  <c r="T439" i="6"/>
  <c r="T422" i="6"/>
  <c r="T463" i="6"/>
  <c r="T446" i="6"/>
  <c r="T430" i="6"/>
  <c r="T420" i="6"/>
  <c r="T416" i="6"/>
  <c r="T400" i="6"/>
  <c r="T385" i="6"/>
  <c r="T366" i="6"/>
  <c r="T418" i="6"/>
  <c r="T334" i="6"/>
  <c r="T461" i="6"/>
  <c r="T444" i="6"/>
  <c r="T389" i="6"/>
  <c r="T370" i="6"/>
  <c r="T452" i="6"/>
  <c r="U381" i="6" l="1"/>
  <c r="U382" i="6"/>
  <c r="U383" i="6"/>
  <c r="U384" i="6"/>
  <c r="U155" i="6"/>
  <c r="U156" i="6"/>
  <c r="U157" i="6"/>
  <c r="U158" i="6"/>
  <c r="U159" i="6"/>
  <c r="U359" i="6"/>
  <c r="U450" i="6"/>
  <c r="U267" i="6"/>
  <c r="U266" i="6"/>
  <c r="U73" i="6"/>
  <c r="U405" i="6"/>
  <c r="U406" i="6"/>
  <c r="U407" i="6"/>
  <c r="U408" i="6"/>
  <c r="U409" i="6"/>
  <c r="U410" i="6"/>
  <c r="U411" i="6"/>
  <c r="U467" i="6"/>
  <c r="U468" i="6"/>
  <c r="U469" i="6"/>
  <c r="U470" i="6"/>
  <c r="U471" i="6"/>
  <c r="U472" i="6"/>
  <c r="U187" i="6"/>
  <c r="U51" i="6"/>
  <c r="U52" i="6"/>
  <c r="U53" i="6"/>
  <c r="U483" i="6"/>
  <c r="U489" i="6"/>
  <c r="U490" i="6"/>
  <c r="U486" i="6"/>
  <c r="U484" i="6"/>
  <c r="U487" i="6"/>
  <c r="U485" i="6"/>
  <c r="U488" i="6"/>
  <c r="U192" i="6"/>
  <c r="U481" i="6"/>
  <c r="U482" i="6"/>
  <c r="U425" i="6"/>
  <c r="U426" i="6"/>
  <c r="U427" i="6"/>
  <c r="U428" i="6"/>
  <c r="U429" i="6"/>
  <c r="U325" i="6"/>
  <c r="U97" i="6"/>
  <c r="U98" i="6"/>
  <c r="U99" i="6"/>
  <c r="U13" i="6"/>
  <c r="U363" i="6"/>
  <c r="U336" i="6"/>
  <c r="U458" i="6"/>
  <c r="U377" i="6"/>
  <c r="U378" i="6"/>
  <c r="U379" i="6"/>
  <c r="U92" i="6"/>
  <c r="U93" i="6"/>
  <c r="U94" i="6"/>
  <c r="U143" i="6"/>
  <c r="U108" i="6"/>
  <c r="U293" i="6"/>
  <c r="U182" i="6"/>
  <c r="U456" i="6"/>
  <c r="U419" i="6"/>
  <c r="U460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5" i="6"/>
  <c r="U480" i="6"/>
  <c r="U463" i="6"/>
  <c r="U20" i="6"/>
  <c r="U447" i="6"/>
  <c r="U324" i="6"/>
  <c r="U70" i="6"/>
  <c r="U462" i="6"/>
  <c r="U454" i="6"/>
  <c r="U236" i="6"/>
  <c r="U152" i="6"/>
  <c r="U316" i="6"/>
  <c r="U240" i="6"/>
  <c r="U230" i="6"/>
  <c r="U111" i="6"/>
  <c r="U200" i="6"/>
  <c r="U232" i="6"/>
  <c r="V7" i="6"/>
  <c r="U27" i="6"/>
  <c r="U465" i="6"/>
  <c r="U247" i="6"/>
  <c r="U445" i="6"/>
  <c r="U21" i="6"/>
  <c r="U110" i="6"/>
  <c r="U19" i="6"/>
  <c r="U68" i="6"/>
  <c r="U416" i="6"/>
  <c r="U138" i="6"/>
  <c r="U344" i="6"/>
  <c r="U216" i="6"/>
  <c r="U352" i="6"/>
  <c r="U78" i="6"/>
  <c r="U268" i="6"/>
  <c r="U206" i="6"/>
  <c r="U284" i="6"/>
  <c r="U453" i="6"/>
  <c r="U464" i="6"/>
  <c r="U56" i="6"/>
  <c r="U34" i="6"/>
  <c r="U105" i="6"/>
  <c r="U72" i="6"/>
  <c r="U140" i="6"/>
  <c r="U131" i="6"/>
  <c r="U133" i="6"/>
  <c r="U335" i="6"/>
  <c r="U176" i="6"/>
  <c r="U272" i="6"/>
  <c r="U442" i="6"/>
  <c r="U9" i="6"/>
  <c r="U67" i="6"/>
  <c r="U172" i="6"/>
  <c r="U151" i="6"/>
  <c r="U107" i="6"/>
  <c r="U11" i="6"/>
  <c r="U290" i="6"/>
  <c r="U353" i="6"/>
  <c r="U191" i="6"/>
  <c r="U440" i="6"/>
  <c r="U194" i="6"/>
  <c r="U76" i="6"/>
  <c r="U292" i="6"/>
  <c r="U433" i="6"/>
  <c r="U275" i="6"/>
  <c r="U180" i="6"/>
  <c r="U30" i="6"/>
  <c r="U446" i="6"/>
  <c r="U434" i="6"/>
  <c r="U476" i="6"/>
  <c r="U420" i="6"/>
  <c r="U142" i="6"/>
  <c r="U436" i="6"/>
  <c r="U10" i="6"/>
  <c r="U112" i="6"/>
  <c r="U23" i="6"/>
  <c r="U417" i="6"/>
  <c r="U474" i="6"/>
  <c r="U103" i="6"/>
  <c r="U274" i="6"/>
  <c r="U75" i="6"/>
  <c r="U238" i="6"/>
  <c r="U160" i="6"/>
  <c r="U414" i="6"/>
  <c r="U84" i="6"/>
  <c r="U135" i="6"/>
  <c r="U424" i="6"/>
  <c r="U118" i="6"/>
  <c r="U149" i="6"/>
  <c r="U25" i="6"/>
  <c r="U306" i="6"/>
  <c r="U421" i="6"/>
  <c r="U208" i="6"/>
  <c r="U210" i="6"/>
  <c r="U311" i="6"/>
  <c r="U177" i="6"/>
  <c r="U314" i="6"/>
  <c r="U209" i="6"/>
  <c r="U58" i="6"/>
  <c r="U478" i="6"/>
  <c r="U124" i="6"/>
  <c r="U61" i="6"/>
  <c r="U8" i="6"/>
  <c r="U437" i="6"/>
  <c r="U354" i="6"/>
  <c r="U39" i="6"/>
  <c r="U222" i="6"/>
  <c r="U452" i="6"/>
  <c r="U87" i="6"/>
  <c r="U85" i="6"/>
  <c r="U423" i="6"/>
  <c r="U50" i="6"/>
  <c r="U89" i="6"/>
  <c r="U415" i="6"/>
  <c r="U102" i="6"/>
  <c r="U422" i="6"/>
  <c r="U254" i="6"/>
  <c r="U185" i="6"/>
  <c r="U169" i="6"/>
  <c r="U40" i="6"/>
  <c r="U165" i="6"/>
  <c r="U224" i="6"/>
  <c r="U457" i="6"/>
  <c r="U226" i="6"/>
  <c r="U256" i="6"/>
  <c r="U202" i="6"/>
  <c r="U369" i="6"/>
  <c r="U174" i="6"/>
  <c r="U412" i="6"/>
  <c r="U246" i="6"/>
  <c r="U81" i="6"/>
  <c r="U431" i="6"/>
  <c r="U451" i="6"/>
  <c r="U42" i="6"/>
  <c r="U37" i="6"/>
  <c r="U59" i="6"/>
  <c r="U54" i="6"/>
  <c r="U164" i="6"/>
  <c r="U479" i="6"/>
  <c r="U461" i="6"/>
  <c r="U127" i="6"/>
  <c r="U439" i="6"/>
  <c r="U219" i="6"/>
  <c r="U443" i="6"/>
  <c r="U188" i="6"/>
  <c r="U74" i="6"/>
  <c r="U477" i="6"/>
  <c r="U260" i="6"/>
  <c r="U400" i="6"/>
  <c r="U234" i="6"/>
  <c r="U277" i="6"/>
  <c r="U16" i="6"/>
  <c r="U211" i="6"/>
  <c r="U448" i="6"/>
  <c r="U29" i="6"/>
  <c r="U166" i="6"/>
  <c r="U435" i="6"/>
  <c r="U95" i="6"/>
  <c r="U444" i="6"/>
  <c r="U18" i="6"/>
  <c r="U441" i="6"/>
  <c r="U203" i="6"/>
  <c r="U134" i="6"/>
  <c r="U57" i="6"/>
  <c r="U438" i="6"/>
  <c r="U351" i="6"/>
  <c r="U250" i="6"/>
  <c r="U345" i="6"/>
  <c r="U229" i="6"/>
  <c r="U15" i="6"/>
  <c r="U430" i="6"/>
  <c r="U153" i="6"/>
  <c r="U432" i="6"/>
  <c r="U459" i="6"/>
  <c r="U128" i="6"/>
  <c r="U205" i="6"/>
  <c r="U90" i="6"/>
  <c r="U455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8" i="6"/>
  <c r="U283" i="6"/>
  <c r="U366" i="6"/>
  <c r="U244" i="6"/>
  <c r="U385" i="6"/>
  <c r="U255" i="6"/>
  <c r="U343" i="6"/>
  <c r="U449" i="6"/>
  <c r="U466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3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3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381" i="6" l="1"/>
  <c r="V382" i="6"/>
  <c r="V383" i="6"/>
  <c r="V384" i="6"/>
  <c r="V155" i="6"/>
  <c r="V156" i="6"/>
  <c r="V157" i="6"/>
  <c r="V158" i="6"/>
  <c r="V159" i="6"/>
  <c r="V359" i="6"/>
  <c r="V450" i="6"/>
  <c r="V266" i="6"/>
  <c r="V267" i="6"/>
  <c r="V73" i="6"/>
  <c r="V405" i="6"/>
  <c r="V406" i="6"/>
  <c r="V407" i="6"/>
  <c r="V408" i="6"/>
  <c r="V409" i="6"/>
  <c r="V410" i="6"/>
  <c r="V411" i="6"/>
  <c r="V313" i="6"/>
  <c r="V467" i="6"/>
  <c r="V468" i="6"/>
  <c r="V469" i="6"/>
  <c r="V470" i="6"/>
  <c r="V471" i="6"/>
  <c r="V472" i="6"/>
  <c r="V51" i="6"/>
  <c r="V52" i="6"/>
  <c r="V53" i="6"/>
  <c r="V140" i="6"/>
  <c r="V187" i="6"/>
  <c r="V473" i="6"/>
  <c r="V483" i="6"/>
  <c r="V489" i="6"/>
  <c r="V490" i="6"/>
  <c r="V486" i="6"/>
  <c r="V484" i="6"/>
  <c r="V487" i="6"/>
  <c r="V485" i="6"/>
  <c r="V488" i="6"/>
  <c r="V380" i="6"/>
  <c r="V189" i="6"/>
  <c r="V355" i="6"/>
  <c r="V238" i="6"/>
  <c r="V192" i="6"/>
  <c r="V481" i="6"/>
  <c r="V482" i="6"/>
  <c r="V425" i="6"/>
  <c r="V426" i="6"/>
  <c r="V427" i="6"/>
  <c r="V428" i="6"/>
  <c r="V429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1" i="6"/>
  <c r="V182" i="6"/>
  <c r="V458" i="6"/>
  <c r="V377" i="6"/>
  <c r="V378" i="6"/>
  <c r="V379" i="6"/>
  <c r="V92" i="6"/>
  <c r="V93" i="6"/>
  <c r="V94" i="6"/>
  <c r="V153" i="6"/>
  <c r="V421" i="6"/>
  <c r="V204" i="6"/>
  <c r="V475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3" i="6"/>
  <c r="V195" i="6"/>
  <c r="V292" i="6"/>
  <c r="V33" i="6"/>
  <c r="V249" i="6"/>
  <c r="V32" i="6"/>
  <c r="V394" i="6"/>
  <c r="V124" i="6"/>
  <c r="V443" i="6"/>
  <c r="V357" i="6"/>
  <c r="V64" i="6"/>
  <c r="V460" i="6"/>
  <c r="V348" i="6"/>
  <c r="V34" i="6"/>
  <c r="V373" i="6"/>
  <c r="V118" i="6"/>
  <c r="V234" i="6"/>
  <c r="V442" i="6"/>
  <c r="V183" i="6"/>
  <c r="V147" i="6"/>
  <c r="V263" i="6"/>
  <c r="V476" i="6"/>
  <c r="V214" i="6"/>
  <c r="V326" i="6"/>
  <c r="V19" i="6"/>
  <c r="V260" i="6"/>
  <c r="V436" i="6"/>
  <c r="V177" i="6"/>
  <c r="V276" i="6"/>
  <c r="V396" i="6"/>
  <c r="V139" i="6"/>
  <c r="V239" i="6"/>
  <c r="V268" i="6"/>
  <c r="V455" i="6"/>
  <c r="V302" i="6"/>
  <c r="V480" i="6"/>
  <c r="V9" i="6"/>
  <c r="V247" i="6"/>
  <c r="V88" i="6"/>
  <c r="V431" i="6"/>
  <c r="V319" i="6"/>
  <c r="V65" i="6"/>
  <c r="V356" i="6"/>
  <c r="V102" i="6"/>
  <c r="V218" i="6"/>
  <c r="V171" i="6"/>
  <c r="V388" i="6"/>
  <c r="V131" i="6"/>
  <c r="V80" i="6"/>
  <c r="V456" i="6"/>
  <c r="V198" i="6"/>
  <c r="V311" i="6"/>
  <c r="V79" i="6"/>
  <c r="V244" i="6"/>
  <c r="W7" i="6"/>
  <c r="V91" i="6"/>
  <c r="V258" i="6"/>
  <c r="V123" i="6"/>
  <c r="V223" i="6"/>
  <c r="V479" i="6"/>
  <c r="V209" i="6"/>
  <c r="V447" i="6"/>
  <c r="V364" i="6"/>
  <c r="V168" i="6"/>
  <c r="V464" i="6"/>
  <c r="V415" i="6"/>
  <c r="V303" i="6"/>
  <c r="V66" i="6"/>
  <c r="V349" i="6"/>
  <c r="V31" i="6"/>
  <c r="V202" i="6"/>
  <c r="V338" i="6"/>
  <c r="V81" i="6"/>
  <c r="V370" i="6"/>
  <c r="V115" i="6"/>
  <c r="V231" i="6"/>
  <c r="V439" i="6"/>
  <c r="V180" i="6"/>
  <c r="V295" i="6"/>
  <c r="V39" i="6"/>
  <c r="V228" i="6"/>
  <c r="V418" i="6"/>
  <c r="V242" i="6"/>
  <c r="V362" i="6"/>
  <c r="V107" i="6"/>
  <c r="V207" i="6"/>
  <c r="V451" i="6"/>
  <c r="V253" i="6"/>
  <c r="V172" i="6"/>
  <c r="V367" i="6"/>
  <c r="V308" i="6"/>
  <c r="V137" i="6"/>
  <c r="V10" i="6"/>
  <c r="V272" i="6"/>
  <c r="V42" i="6"/>
  <c r="V433" i="6"/>
  <c r="V320" i="6"/>
  <c r="V287" i="6"/>
  <c r="V24" i="6"/>
  <c r="V317" i="6"/>
  <c r="V85" i="6"/>
  <c r="V184" i="6"/>
  <c r="V148" i="6"/>
  <c r="V343" i="6"/>
  <c r="V78" i="6"/>
  <c r="V215" i="6"/>
  <c r="V422" i="6"/>
  <c r="V90" i="6"/>
  <c r="V279" i="6"/>
  <c r="V474" i="6"/>
  <c r="V212" i="6"/>
  <c r="V399" i="6"/>
  <c r="V142" i="6"/>
  <c r="V226" i="6"/>
  <c r="V347" i="6"/>
  <c r="V40" i="6"/>
  <c r="V190" i="6"/>
  <c r="V76" i="6"/>
  <c r="V307" i="6"/>
  <c r="V449" i="6"/>
  <c r="V376" i="6"/>
  <c r="V186" i="6"/>
  <c r="V466" i="6"/>
  <c r="V417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4" i="6"/>
  <c r="V196" i="6"/>
  <c r="V126" i="6"/>
  <c r="V210" i="6"/>
  <c r="V257" i="6"/>
  <c r="V96" i="6"/>
  <c r="V59" i="6"/>
  <c r="V75" i="6"/>
  <c r="V222" i="6"/>
  <c r="V354" i="6"/>
  <c r="V286" i="6"/>
  <c r="V108" i="6"/>
  <c r="V435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7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4" i="6"/>
  <c r="V154" i="6"/>
  <c r="V26" i="6"/>
  <c r="V291" i="6"/>
  <c r="V121" i="6"/>
  <c r="V440" i="6"/>
  <c r="V330" i="6"/>
  <c r="V57" i="6"/>
  <c r="V420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2" i="6"/>
  <c r="V206" i="6"/>
  <c r="V477" i="6"/>
  <c r="V11" i="6"/>
  <c r="V250" i="6"/>
  <c r="V71" i="6"/>
  <c r="V463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3" i="6"/>
  <c r="V135" i="6"/>
  <c r="V445" i="6"/>
  <c r="V360" i="6"/>
  <c r="V462" i="6"/>
  <c r="V446" i="6"/>
  <c r="V188" i="6"/>
  <c r="V419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8" i="6"/>
  <c r="V120" i="6"/>
  <c r="V424" i="6"/>
  <c r="V246" i="6"/>
  <c r="V87" i="6"/>
  <c r="V457" i="6"/>
  <c r="V397" i="6"/>
  <c r="V353" i="6"/>
  <c r="V8" i="6"/>
  <c r="V270" i="6"/>
  <c r="V36" i="6"/>
  <c r="V432" i="6"/>
  <c r="V430" i="6"/>
  <c r="V169" i="6"/>
  <c r="V461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8" i="6"/>
  <c r="V374" i="6"/>
  <c r="V175" i="6"/>
  <c r="V465" i="6"/>
  <c r="V416" i="6"/>
  <c r="V337" i="6"/>
  <c r="V444" i="6"/>
  <c r="V185" i="6"/>
  <c r="V316" i="6"/>
  <c r="V68" i="6"/>
  <c r="V265" i="6"/>
  <c r="V478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3" i="6"/>
  <c r="V220" i="6"/>
  <c r="V339" i="6"/>
  <c r="V275" i="6"/>
  <c r="V105" i="6"/>
  <c r="V434" i="6"/>
  <c r="V256" i="6"/>
  <c r="V412" i="6"/>
  <c r="V152" i="6"/>
  <c r="V77" i="6"/>
  <c r="V300" i="6"/>
  <c r="V49" i="6"/>
  <c r="V173" i="6"/>
  <c r="V459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381" i="6" l="1"/>
  <c r="W382" i="6"/>
  <c r="W383" i="6"/>
  <c r="W384" i="6"/>
  <c r="W155" i="6"/>
  <c r="W156" i="6"/>
  <c r="W157" i="6"/>
  <c r="W158" i="6"/>
  <c r="W159" i="6"/>
  <c r="W359" i="6"/>
  <c r="W450" i="6"/>
  <c r="W267" i="6"/>
  <c r="W266" i="6"/>
  <c r="W73" i="6"/>
  <c r="W405" i="6"/>
  <c r="W406" i="6"/>
  <c r="W407" i="6"/>
  <c r="W408" i="6"/>
  <c r="W409" i="6"/>
  <c r="W410" i="6"/>
  <c r="W411" i="6"/>
  <c r="W467" i="6"/>
  <c r="W468" i="6"/>
  <c r="W469" i="6"/>
  <c r="W470" i="6"/>
  <c r="W471" i="6"/>
  <c r="W472" i="6"/>
  <c r="W187" i="6"/>
  <c r="W51" i="6"/>
  <c r="W52" i="6"/>
  <c r="W53" i="6"/>
  <c r="W34" i="6"/>
  <c r="W488" i="6"/>
  <c r="W483" i="6"/>
  <c r="W489" i="6"/>
  <c r="W490" i="6"/>
  <c r="W486" i="6"/>
  <c r="W484" i="6"/>
  <c r="W487" i="6"/>
  <c r="W485" i="6"/>
  <c r="W192" i="6"/>
  <c r="W481" i="6"/>
  <c r="W482" i="6"/>
  <c r="W425" i="6"/>
  <c r="W426" i="6"/>
  <c r="W427" i="6"/>
  <c r="W428" i="6"/>
  <c r="W429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4" i="6"/>
  <c r="W12" i="6"/>
  <c r="W36" i="6"/>
  <c r="W147" i="6"/>
  <c r="W319" i="6"/>
  <c r="W363" i="6"/>
  <c r="W355" i="6"/>
  <c r="W59" i="6"/>
  <c r="W435" i="6"/>
  <c r="W199" i="6"/>
  <c r="W8" i="6"/>
  <c r="W479" i="6"/>
  <c r="W423" i="6"/>
  <c r="W61" i="6"/>
  <c r="W66" i="6"/>
  <c r="W32" i="6"/>
  <c r="W458" i="6"/>
  <c r="W377" i="6"/>
  <c r="W378" i="6"/>
  <c r="W379" i="6"/>
  <c r="W303" i="6"/>
  <c r="W92" i="6"/>
  <c r="W93" i="6"/>
  <c r="W94" i="6"/>
  <c r="V5" i="6"/>
  <c r="W380" i="6"/>
  <c r="W403" i="6"/>
  <c r="W415" i="6"/>
  <c r="W475" i="6"/>
  <c r="W455" i="6"/>
  <c r="W438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2" i="6"/>
  <c r="W436" i="6"/>
  <c r="W254" i="6"/>
  <c r="W474" i="6"/>
  <c r="W454" i="6"/>
  <c r="W29" i="6"/>
  <c r="W56" i="6"/>
  <c r="W81" i="6"/>
  <c r="W116" i="6"/>
  <c r="W143" i="6"/>
  <c r="W164" i="6"/>
  <c r="W335" i="6"/>
  <c r="W27" i="6"/>
  <c r="W222" i="6"/>
  <c r="W446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6" i="6"/>
  <c r="W476" i="6"/>
  <c r="W452" i="6"/>
  <c r="W465" i="6"/>
  <c r="W437" i="6"/>
  <c r="W28" i="6"/>
  <c r="W80" i="6"/>
  <c r="W115" i="6"/>
  <c r="W140" i="6"/>
  <c r="W313" i="6"/>
  <c r="W461" i="6"/>
  <c r="W247" i="6"/>
  <c r="W417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6" i="6"/>
  <c r="W466" i="6"/>
  <c r="W432" i="6"/>
  <c r="W480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8" i="6"/>
  <c r="W449" i="6"/>
  <c r="W477" i="6"/>
  <c r="W457" i="6"/>
  <c r="W24" i="6"/>
  <c r="W47" i="6"/>
  <c r="W78" i="6"/>
  <c r="W281" i="6"/>
  <c r="W434" i="6"/>
  <c r="W253" i="6"/>
  <c r="W389" i="6"/>
  <c r="W110" i="6"/>
  <c r="W224" i="6"/>
  <c r="W37" i="6"/>
  <c r="W241" i="6"/>
  <c r="W272" i="6"/>
  <c r="W424" i="6"/>
  <c r="W178" i="6"/>
  <c r="W473" i="6"/>
  <c r="W273" i="6"/>
  <c r="W270" i="6"/>
  <c r="W299" i="6"/>
  <c r="W216" i="6"/>
  <c r="W329" i="6"/>
  <c r="W322" i="6"/>
  <c r="W255" i="6"/>
  <c r="W366" i="6"/>
  <c r="W394" i="6"/>
  <c r="W392" i="6"/>
  <c r="W419" i="6"/>
  <c r="W440" i="6"/>
  <c r="W447" i="6"/>
  <c r="W21" i="6"/>
  <c r="W46" i="6"/>
  <c r="W263" i="6"/>
  <c r="W464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3" i="6"/>
  <c r="W451" i="6"/>
  <c r="W444" i="6"/>
  <c r="W19" i="6"/>
  <c r="W175" i="6"/>
  <c r="W144" i="6"/>
  <c r="W327" i="6"/>
  <c r="W71" i="6"/>
  <c r="W292" i="6"/>
  <c r="W478" i="6"/>
  <c r="W204" i="6"/>
  <c r="W242" i="6"/>
  <c r="W453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2" i="6"/>
  <c r="W193" i="6"/>
  <c r="W341" i="6"/>
  <c r="W128" i="6"/>
  <c r="W331" i="6"/>
  <c r="W55" i="6"/>
  <c r="W276" i="6"/>
  <c r="W448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3" i="6"/>
  <c r="W421" i="6"/>
  <c r="W231" i="6"/>
  <c r="W391" i="6"/>
  <c r="W112" i="6"/>
  <c r="W232" i="6"/>
  <c r="W38" i="6"/>
  <c r="W258" i="6"/>
  <c r="W439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3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3" i="6"/>
  <c r="W356" i="6"/>
  <c r="W74" i="6"/>
  <c r="W293" i="6"/>
  <c r="W431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2" i="6"/>
  <c r="W169" i="6"/>
  <c r="W386" i="6"/>
  <c r="W107" i="6"/>
  <c r="W121" i="6"/>
  <c r="W328" i="6"/>
  <c r="W65" i="6"/>
  <c r="W445" i="6"/>
  <c r="W441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30" i="6"/>
  <c r="W368" i="6"/>
  <c r="W85" i="6"/>
  <c r="W105" i="6"/>
  <c r="W323" i="6"/>
  <c r="W48" i="6"/>
  <c r="W412" i="6"/>
  <c r="W459" i="6"/>
  <c r="W354" i="6"/>
  <c r="W420" i="6"/>
  <c r="W460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381" i="6" l="1"/>
  <c r="X382" i="6"/>
  <c r="X383" i="6"/>
  <c r="X384" i="6"/>
  <c r="X155" i="6"/>
  <c r="X156" i="6"/>
  <c r="X157" i="6"/>
  <c r="X158" i="6"/>
  <c r="X159" i="6"/>
  <c r="X359" i="6"/>
  <c r="X450" i="6"/>
  <c r="X267" i="6"/>
  <c r="X266" i="6"/>
  <c r="X73" i="6"/>
  <c r="X405" i="6"/>
  <c r="X406" i="6"/>
  <c r="X407" i="6"/>
  <c r="X408" i="6"/>
  <c r="X409" i="6"/>
  <c r="X410" i="6"/>
  <c r="X411" i="6"/>
  <c r="X467" i="6"/>
  <c r="X468" i="6"/>
  <c r="X469" i="6"/>
  <c r="X470" i="6"/>
  <c r="X471" i="6"/>
  <c r="X472" i="6"/>
  <c r="X187" i="6"/>
  <c r="X51" i="6"/>
  <c r="X52" i="6"/>
  <c r="X53" i="6"/>
  <c r="X488" i="6"/>
  <c r="X483" i="6"/>
  <c r="X489" i="6"/>
  <c r="X490" i="6"/>
  <c r="X486" i="6"/>
  <c r="X484" i="6"/>
  <c r="X487" i="6"/>
  <c r="X485" i="6"/>
  <c r="X192" i="6"/>
  <c r="X481" i="6"/>
  <c r="X482" i="6"/>
  <c r="X425" i="6"/>
  <c r="X426" i="6"/>
  <c r="X427" i="6"/>
  <c r="X428" i="6"/>
  <c r="X429" i="6"/>
  <c r="X325" i="6"/>
  <c r="X97" i="6"/>
  <c r="X98" i="6"/>
  <c r="X99" i="6"/>
  <c r="X272" i="6"/>
  <c r="X363" i="6"/>
  <c r="X387" i="6"/>
  <c r="X297" i="6"/>
  <c r="X166" i="6"/>
  <c r="X476" i="6"/>
  <c r="X322" i="6"/>
  <c r="X71" i="6"/>
  <c r="X377" i="6"/>
  <c r="X378" i="6"/>
  <c r="X379" i="6"/>
  <c r="X271" i="6"/>
  <c r="X287" i="6"/>
  <c r="X447" i="6"/>
  <c r="X418" i="6"/>
  <c r="X78" i="6"/>
  <c r="X66" i="6"/>
  <c r="X13" i="6"/>
  <c r="X28" i="6"/>
  <c r="X458" i="6"/>
  <c r="X433" i="6"/>
  <c r="X80" i="6"/>
  <c r="X165" i="6"/>
  <c r="X26" i="6"/>
  <c r="X320" i="6"/>
  <c r="X249" i="6"/>
  <c r="X218" i="6"/>
  <c r="X451" i="6"/>
  <c r="X311" i="6"/>
  <c r="X81" i="6"/>
  <c r="X435" i="6"/>
  <c r="X421" i="6"/>
  <c r="X369" i="6"/>
  <c r="X225" i="6"/>
  <c r="X448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5" i="6"/>
  <c r="X288" i="6"/>
  <c r="X168" i="6"/>
  <c r="X88" i="6"/>
  <c r="W5" i="6"/>
  <c r="X477" i="6"/>
  <c r="X430" i="6"/>
  <c r="X101" i="6"/>
  <c r="X350" i="6"/>
  <c r="X10" i="6"/>
  <c r="X438" i="6"/>
  <c r="X264" i="6"/>
  <c r="X330" i="6"/>
  <c r="X245" i="6"/>
  <c r="X177" i="6"/>
  <c r="X42" i="6"/>
  <c r="X237" i="6"/>
  <c r="X233" i="6"/>
  <c r="X227" i="6"/>
  <c r="X439" i="6"/>
  <c r="X188" i="6"/>
  <c r="X210" i="6"/>
  <c r="X399" i="6"/>
  <c r="X136" i="6"/>
  <c r="X151" i="6"/>
  <c r="X414" i="6"/>
  <c r="X148" i="6"/>
  <c r="X336" i="6"/>
  <c r="X50" i="6"/>
  <c r="X48" i="6"/>
  <c r="X47" i="6"/>
  <c r="X45" i="6"/>
  <c r="X76" i="6"/>
  <c r="X308" i="6"/>
  <c r="X422" i="6"/>
  <c r="X189" i="6"/>
  <c r="X22" i="6"/>
  <c r="X242" i="6"/>
  <c r="X135" i="6"/>
  <c r="X25" i="6"/>
  <c r="X24" i="6"/>
  <c r="X75" i="6"/>
  <c r="X464" i="6"/>
  <c r="X392" i="6"/>
  <c r="X184" i="6"/>
  <c r="X351" i="6"/>
  <c r="X380" i="6"/>
  <c r="Y7" i="6"/>
  <c r="X185" i="6"/>
  <c r="X212" i="6"/>
  <c r="X290" i="6"/>
  <c r="X196" i="6"/>
  <c r="X186" i="6"/>
  <c r="X178" i="6"/>
  <c r="X420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60" i="6"/>
  <c r="X304" i="6"/>
  <c r="X257" i="6"/>
  <c r="X402" i="6"/>
  <c r="X449" i="6"/>
  <c r="X118" i="6"/>
  <c r="X181" i="6"/>
  <c r="X274" i="6"/>
  <c r="X474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3" i="6"/>
  <c r="X416" i="6"/>
  <c r="X331" i="6"/>
  <c r="X415" i="6"/>
  <c r="X479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4" i="6"/>
  <c r="X298" i="6"/>
  <c r="X216" i="6"/>
  <c r="X397" i="6"/>
  <c r="X431" i="6"/>
  <c r="X84" i="6"/>
  <c r="X180" i="6"/>
  <c r="X480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6" i="6"/>
  <c r="X134" i="6"/>
  <c r="X306" i="6"/>
  <c r="X238" i="6"/>
  <c r="X390" i="6"/>
  <c r="X201" i="6"/>
  <c r="X362" i="6"/>
  <c r="X442" i="6"/>
  <c r="X167" i="6"/>
  <c r="X337" i="6"/>
  <c r="X372" i="6"/>
  <c r="X446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5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1" i="6"/>
  <c r="X215" i="6"/>
  <c r="X207" i="6"/>
  <c r="X199" i="6"/>
  <c r="X190" i="6"/>
  <c r="X18" i="6"/>
  <c r="X419" i="6"/>
  <c r="X364" i="6"/>
  <c r="X434" i="6"/>
  <c r="X309" i="6"/>
  <c r="X357" i="6"/>
  <c r="X456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5" i="6"/>
  <c r="X244" i="6"/>
  <c r="X240" i="6"/>
  <c r="X236" i="6"/>
  <c r="X232" i="6"/>
  <c r="X63" i="6"/>
  <c r="X395" i="6"/>
  <c r="X329" i="6"/>
  <c r="X432" i="6"/>
  <c r="X231" i="6"/>
  <c r="X200" i="6"/>
  <c r="X8" i="6"/>
  <c r="X440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4" i="6"/>
  <c r="X461" i="6"/>
  <c r="X307" i="6"/>
  <c r="X342" i="6"/>
  <c r="X403" i="6"/>
  <c r="X466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7" i="6"/>
  <c r="X457" i="6"/>
  <c r="X253" i="6"/>
  <c r="X335" i="6"/>
  <c r="X338" i="6"/>
  <c r="X452" i="6"/>
  <c r="X315" i="6"/>
  <c r="X43" i="6"/>
  <c r="X142" i="6"/>
  <c r="X349" i="6"/>
  <c r="X62" i="6"/>
  <c r="X61" i="6"/>
  <c r="X60" i="6"/>
  <c r="X270" i="6"/>
  <c r="X285" i="6"/>
  <c r="X444" i="6"/>
  <c r="X243" i="6"/>
  <c r="X209" i="6"/>
  <c r="X32" i="6"/>
  <c r="X183" i="6"/>
  <c r="X413" i="6"/>
  <c r="X147" i="6"/>
  <c r="X146" i="6"/>
  <c r="X145" i="6"/>
  <c r="X144" i="6"/>
  <c r="X15" i="6"/>
  <c r="X437" i="6"/>
  <c r="X317" i="6"/>
  <c r="X423" i="6"/>
  <c r="X310" i="6"/>
  <c r="X391" i="6"/>
  <c r="X443" i="6"/>
  <c r="X459" i="6"/>
  <c r="X303" i="6"/>
  <c r="X344" i="6"/>
  <c r="X398" i="6"/>
  <c r="X463" i="6"/>
  <c r="X175" i="6"/>
  <c r="X23" i="6"/>
  <c r="X126" i="6"/>
  <c r="X321" i="6"/>
  <c r="X41" i="6"/>
  <c r="X40" i="6"/>
  <c r="X39" i="6"/>
  <c r="X219" i="6"/>
  <c r="X269" i="6"/>
  <c r="X465" i="6"/>
  <c r="X202" i="6"/>
  <c r="X239" i="6"/>
  <c r="X478" i="6"/>
  <c r="X223" i="6"/>
  <c r="X394" i="6"/>
  <c r="X131" i="6"/>
  <c r="X130" i="6"/>
  <c r="X129" i="6"/>
  <c r="X128" i="6"/>
  <c r="X44" i="6"/>
  <c r="X171" i="6"/>
  <c r="X235" i="6"/>
  <c r="X281" i="6"/>
  <c r="X348" i="6"/>
  <c r="X412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3" i="6"/>
  <c r="X77" i="6"/>
  <c r="X194" i="6"/>
  <c r="X462" i="6"/>
  <c r="X254" i="6"/>
  <c r="X376" i="6"/>
  <c r="X115" i="6"/>
  <c r="X114" i="6"/>
  <c r="X113" i="6"/>
  <c r="X112" i="6"/>
  <c r="Y381" i="6" l="1"/>
  <c r="Y382" i="6"/>
  <c r="Y383" i="6"/>
  <c r="Y384" i="6"/>
  <c r="Y155" i="6"/>
  <c r="Y156" i="6"/>
  <c r="Y157" i="6"/>
  <c r="Y158" i="6"/>
  <c r="Y159" i="6"/>
  <c r="Y359" i="6"/>
  <c r="Y450" i="6"/>
  <c r="Y267" i="6"/>
  <c r="Y266" i="6"/>
  <c r="Y73" i="6"/>
  <c r="Y405" i="6"/>
  <c r="Y406" i="6"/>
  <c r="Y407" i="6"/>
  <c r="Y408" i="6"/>
  <c r="Y409" i="6"/>
  <c r="Y410" i="6"/>
  <c r="Y411" i="6"/>
  <c r="Y467" i="6"/>
  <c r="Y468" i="6"/>
  <c r="Y469" i="6"/>
  <c r="Y470" i="6"/>
  <c r="Y471" i="6"/>
  <c r="Y472" i="6"/>
  <c r="Y187" i="6"/>
  <c r="Y51" i="6"/>
  <c r="Y52" i="6"/>
  <c r="Y53" i="6"/>
  <c r="Y485" i="6"/>
  <c r="Y488" i="6"/>
  <c r="Y483" i="6"/>
  <c r="Y489" i="6"/>
  <c r="Y490" i="6"/>
  <c r="Y486" i="6"/>
  <c r="Y484" i="6"/>
  <c r="Y487" i="6"/>
  <c r="Y481" i="6"/>
  <c r="Y482" i="6"/>
  <c r="Y101" i="6"/>
  <c r="Y367" i="6"/>
  <c r="Y135" i="6"/>
  <c r="Y192" i="6"/>
  <c r="Y474" i="6"/>
  <c r="Y402" i="6"/>
  <c r="Y399" i="6"/>
  <c r="Y144" i="6"/>
  <c r="Y41" i="6"/>
  <c r="Y74" i="6"/>
  <c r="Y121" i="6"/>
  <c r="Y198" i="6"/>
  <c r="Y425" i="6"/>
  <c r="Y426" i="6"/>
  <c r="Y427" i="6"/>
  <c r="Y428" i="6"/>
  <c r="Y429" i="6"/>
  <c r="Y269" i="6"/>
  <c r="Y215" i="6"/>
  <c r="Y33" i="6"/>
  <c r="Y175" i="6"/>
  <c r="Y127" i="6"/>
  <c r="Y77" i="6"/>
  <c r="Y56" i="6"/>
  <c r="Y365" i="6"/>
  <c r="Y204" i="6"/>
  <c r="Y14" i="6"/>
  <c r="Y282" i="6"/>
  <c r="Y434" i="6"/>
  <c r="Y276" i="6"/>
  <c r="Y423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2" i="6"/>
  <c r="Y81" i="6"/>
  <c r="Y314" i="6"/>
  <c r="Y185" i="6"/>
  <c r="Y460" i="6"/>
  <c r="Y146" i="6"/>
  <c r="Y102" i="6"/>
  <c r="Y355" i="6"/>
  <c r="Y346" i="6"/>
  <c r="Y252" i="6"/>
  <c r="Y12" i="6"/>
  <c r="Y117" i="6"/>
  <c r="Y229" i="6"/>
  <c r="Y363" i="6"/>
  <c r="Y449" i="6"/>
  <c r="Y130" i="6"/>
  <c r="Y328" i="6"/>
  <c r="Y201" i="6"/>
  <c r="Y132" i="6"/>
  <c r="Y435" i="6"/>
  <c r="Y419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7" i="6"/>
  <c r="Y390" i="6"/>
  <c r="Y47" i="6"/>
  <c r="Y123" i="6"/>
  <c r="Y68" i="6"/>
  <c r="Y120" i="6"/>
  <c r="Y445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8" i="6"/>
  <c r="Y24" i="6"/>
  <c r="Y36" i="6"/>
  <c r="Y84" i="6"/>
  <c r="Y46" i="6"/>
  <c r="Y75" i="6"/>
  <c r="Y225" i="6"/>
  <c r="Y380" i="6"/>
  <c r="Y418" i="6"/>
  <c r="Y22" i="6"/>
  <c r="Y386" i="6"/>
  <c r="Y54" i="6"/>
  <c r="Y302" i="6"/>
  <c r="Y42" i="6"/>
  <c r="Y442" i="6"/>
  <c r="Y441" i="6"/>
  <c r="Y438" i="6"/>
  <c r="Y376" i="6"/>
  <c r="Y50" i="6"/>
  <c r="Y473" i="6"/>
  <c r="Y345" i="6"/>
  <c r="Y310" i="6"/>
  <c r="Y43" i="6"/>
  <c r="Y351" i="6"/>
  <c r="Y250" i="6"/>
  <c r="Y307" i="6"/>
  <c r="Y464" i="6"/>
  <c r="Y234" i="6"/>
  <c r="Y337" i="6"/>
  <c r="Y372" i="6"/>
  <c r="Y313" i="6"/>
  <c r="Y15" i="6"/>
  <c r="Y296" i="6"/>
  <c r="Y439" i="6"/>
  <c r="Y107" i="6"/>
  <c r="Y309" i="6"/>
  <c r="Y440" i="6"/>
  <c r="Y131" i="6"/>
  <c r="Y199" i="6"/>
  <c r="Y243" i="6"/>
  <c r="Y354" i="6"/>
  <c r="Y480" i="6"/>
  <c r="Y479" i="6"/>
  <c r="Y368" i="6"/>
  <c r="Y20" i="6"/>
  <c r="Y335" i="6"/>
  <c r="Y299" i="6"/>
  <c r="Y291" i="6"/>
  <c r="Y396" i="6"/>
  <c r="Y265" i="6"/>
  <c r="Y421" i="6"/>
  <c r="Y403" i="6"/>
  <c r="Y34" i="6"/>
  <c r="Y447" i="6"/>
  <c r="Y433" i="6"/>
  <c r="Y362" i="6"/>
  <c r="Y459" i="6"/>
  <c r="Y222" i="6"/>
  <c r="Y414" i="6"/>
  <c r="Y462" i="6"/>
  <c r="Y109" i="6"/>
  <c r="Y294" i="6"/>
  <c r="Y452" i="6"/>
  <c r="Y373" i="6"/>
  <c r="Y305" i="6"/>
  <c r="Y289" i="6"/>
  <c r="Y283" i="6"/>
  <c r="Y308" i="6"/>
  <c r="Y341" i="6"/>
  <c r="Y358" i="6"/>
  <c r="Y288" i="6"/>
  <c r="Y431" i="6"/>
  <c r="Y391" i="6"/>
  <c r="Y422" i="6"/>
  <c r="Y350" i="6"/>
  <c r="Y262" i="6"/>
  <c r="Y444" i="6"/>
  <c r="Y67" i="6"/>
  <c r="Y463" i="6"/>
  <c r="Y443" i="6"/>
  <c r="Y301" i="6"/>
  <c r="Y392" i="6"/>
  <c r="Y196" i="6"/>
  <c r="Y454" i="6"/>
  <c r="Y211" i="6"/>
  <c r="Y153" i="6"/>
  <c r="Y224" i="6"/>
  <c r="Y78" i="6"/>
  <c r="Y129" i="6"/>
  <c r="Y168" i="6"/>
  <c r="Y219" i="6"/>
  <c r="Y316" i="6"/>
  <c r="Y477" i="6"/>
  <c r="Y188" i="6"/>
  <c r="Y232" i="6"/>
  <c r="Y311" i="6"/>
  <c r="Y303" i="6"/>
  <c r="Y295" i="6"/>
  <c r="Y271" i="6"/>
  <c r="Y322" i="6"/>
  <c r="Y465" i="6"/>
  <c r="Y278" i="6"/>
  <c r="Y116" i="6"/>
  <c r="Y25" i="6"/>
  <c r="Y176" i="6"/>
  <c r="Y10" i="6"/>
  <c r="Y66" i="6"/>
  <c r="Y466" i="6"/>
  <c r="Y31" i="6"/>
  <c r="Y11" i="6"/>
  <c r="Y430" i="6"/>
  <c r="Y420" i="6"/>
  <c r="Y279" i="6"/>
  <c r="Y329" i="6"/>
  <c r="Y174" i="6"/>
  <c r="Y239" i="6"/>
  <c r="Y264" i="6"/>
  <c r="Y349" i="6"/>
  <c r="Y374" i="6"/>
  <c r="Y275" i="6"/>
  <c r="Y200" i="6"/>
  <c r="Y415" i="6"/>
  <c r="Y247" i="6"/>
  <c r="Y40" i="6"/>
  <c r="Y263" i="6"/>
  <c r="Y32" i="6"/>
  <c r="Y105" i="6"/>
  <c r="Y151" i="6"/>
  <c r="Y195" i="6"/>
  <c r="Y338" i="6"/>
  <c r="Y317" i="6"/>
  <c r="Y343" i="6"/>
  <c r="Y451" i="6"/>
  <c r="Y91" i="6"/>
  <c r="Y209" i="6"/>
  <c r="Y255" i="6"/>
  <c r="Y233" i="6"/>
  <c r="Y227" i="6"/>
  <c r="Y207" i="6"/>
  <c r="Y297" i="6"/>
  <c r="Y453" i="6"/>
  <c r="Y448" i="6"/>
  <c r="Y323" i="6"/>
  <c r="Y90" i="6"/>
  <c r="Y142" i="6"/>
  <c r="Y249" i="6"/>
  <c r="Y446" i="6"/>
  <c r="Y238" i="6"/>
  <c r="Y169" i="6"/>
  <c r="Y260" i="6"/>
  <c r="Y206" i="6"/>
  <c r="Y461" i="6"/>
  <c r="Y28" i="6"/>
  <c r="Y119" i="6"/>
  <c r="Y167" i="6"/>
  <c r="Y416" i="6"/>
  <c r="Y23" i="6"/>
  <c r="Y326" i="6"/>
  <c r="Y437" i="6"/>
  <c r="Y476" i="6"/>
  <c r="Y393" i="6"/>
  <c r="Y128" i="6"/>
  <c r="Y235" i="6"/>
  <c r="Y270" i="6"/>
  <c r="Y183" i="6"/>
  <c r="Y208" i="6"/>
  <c r="Y205" i="6"/>
  <c r="Y190" i="6"/>
  <c r="Y353" i="6"/>
  <c r="Y436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7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3" i="6"/>
  <c r="Y86" i="6"/>
  <c r="Y172" i="6"/>
  <c r="Y352" i="6"/>
  <c r="Y306" i="6"/>
  <c r="Y344" i="6"/>
  <c r="Y331" i="6"/>
  <c r="Y287" i="6"/>
  <c r="Y55" i="6"/>
  <c r="Y152" i="6"/>
  <c r="Y221" i="6"/>
  <c r="Y334" i="6"/>
  <c r="Y456" i="6"/>
  <c r="Y285" i="6"/>
  <c r="Y44" i="6"/>
  <c r="Y88" i="6"/>
  <c r="Y173" i="6"/>
  <c r="Y293" i="6"/>
  <c r="Y38" i="6"/>
  <c r="Y114" i="6"/>
  <c r="Y181" i="6"/>
  <c r="Y246" i="6"/>
  <c r="Y332" i="6"/>
  <c r="Y455" i="6"/>
  <c r="Y138" i="6"/>
  <c r="Y248" i="6"/>
  <c r="Y458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5" i="6"/>
  <c r="Y124" i="6"/>
  <c r="Y281" i="6"/>
  <c r="Y387" i="6"/>
  <c r="Y118" i="6"/>
  <c r="Y179" i="6"/>
  <c r="X5" i="6"/>
  <c r="Y62" i="6"/>
  <c r="Y92" i="6"/>
  <c r="Y93" i="6"/>
  <c r="Y94" i="6"/>
  <c r="Y424" i="6"/>
  <c r="Y96" i="6"/>
  <c r="Y284" i="6"/>
  <c r="Y21" i="6"/>
  <c r="Y184" i="6"/>
  <c r="Y432" i="6"/>
  <c r="Y63" i="6"/>
  <c r="Y149" i="6"/>
  <c r="Y268" i="6"/>
  <c r="Y19" i="6"/>
  <c r="Y230" i="6"/>
  <c r="Y79" i="6"/>
  <c r="Y324" i="6"/>
  <c r="Y214" i="6"/>
  <c r="Y315" i="6"/>
  <c r="Z381" i="6" l="1"/>
  <c r="Z382" i="6"/>
  <c r="Z383" i="6"/>
  <c r="Z384" i="6"/>
  <c r="Z155" i="6"/>
  <c r="Z156" i="6"/>
  <c r="Z157" i="6"/>
  <c r="Z158" i="6"/>
  <c r="Z159" i="6"/>
  <c r="Z359" i="6"/>
  <c r="Z450" i="6"/>
  <c r="Z267" i="6"/>
  <c r="Z266" i="6"/>
  <c r="Z73" i="6"/>
  <c r="Z405" i="6"/>
  <c r="Z406" i="6"/>
  <c r="Z407" i="6"/>
  <c r="Z408" i="6"/>
  <c r="Z409" i="6"/>
  <c r="Z410" i="6"/>
  <c r="Z411" i="6"/>
  <c r="Z467" i="6"/>
  <c r="Z468" i="6"/>
  <c r="Z469" i="6"/>
  <c r="Z470" i="6"/>
  <c r="Z471" i="6"/>
  <c r="Z472" i="6"/>
  <c r="Z187" i="6"/>
  <c r="Z51" i="6"/>
  <c r="Z52" i="6"/>
  <c r="Z53" i="6"/>
  <c r="Z485" i="6"/>
  <c r="Z488" i="6"/>
  <c r="Z483" i="6"/>
  <c r="Z489" i="6"/>
  <c r="Z490" i="6"/>
  <c r="Z486" i="6"/>
  <c r="Z484" i="6"/>
  <c r="Z487" i="6"/>
  <c r="Z192" i="6"/>
  <c r="Z481" i="6"/>
  <c r="Z482" i="6"/>
  <c r="Z199" i="6"/>
  <c r="Z181" i="6"/>
  <c r="Z366" i="6"/>
  <c r="Z425" i="6"/>
  <c r="Z426" i="6"/>
  <c r="Z427" i="6"/>
  <c r="Z428" i="6"/>
  <c r="Z429" i="6"/>
  <c r="Z133" i="6"/>
  <c r="Z325" i="6"/>
  <c r="Z97" i="6"/>
  <c r="Z98" i="6"/>
  <c r="Z99" i="6"/>
  <c r="Z166" i="6"/>
  <c r="Z32" i="6"/>
  <c r="Z12" i="6"/>
  <c r="Z363" i="6"/>
  <c r="Z75" i="6"/>
  <c r="Z344" i="6"/>
  <c r="Z309" i="6"/>
  <c r="Z449" i="6"/>
  <c r="Z302" i="6"/>
  <c r="Z13" i="6"/>
  <c r="Z345" i="6"/>
  <c r="Z452" i="6"/>
  <c r="Z431" i="6"/>
  <c r="Z272" i="6"/>
  <c r="Z443" i="6"/>
  <c r="Z142" i="6"/>
  <c r="Z473" i="6"/>
  <c r="Z135" i="6"/>
  <c r="Z41" i="6"/>
  <c r="Z152" i="6"/>
  <c r="Z126" i="6"/>
  <c r="Z60" i="6"/>
  <c r="Z385" i="6"/>
  <c r="Z23" i="6"/>
  <c r="Z82" i="6"/>
  <c r="Z8" i="6"/>
  <c r="Z462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3" i="6"/>
  <c r="Z260" i="6"/>
  <c r="Z209" i="6"/>
  <c r="Z394" i="6"/>
  <c r="Z351" i="6"/>
  <c r="Z255" i="6"/>
  <c r="Z273" i="6"/>
  <c r="Z343" i="6"/>
  <c r="Z236" i="6"/>
  <c r="Z415" i="6"/>
  <c r="Z132" i="6"/>
  <c r="Z375" i="6"/>
  <c r="Z116" i="6"/>
  <c r="Z275" i="6"/>
  <c r="Z84" i="6"/>
  <c r="Z327" i="6"/>
  <c r="Z330" i="6"/>
  <c r="Z336" i="6"/>
  <c r="Z248" i="6"/>
  <c r="Z252" i="6"/>
  <c r="Z477" i="6"/>
  <c r="Z433" i="6"/>
  <c r="Z119" i="6"/>
  <c r="Z36" i="6"/>
  <c r="Z141" i="6"/>
  <c r="Z455" i="6"/>
  <c r="Z235" i="6"/>
  <c r="Z367" i="6"/>
  <c r="Z334" i="6"/>
  <c r="Z242" i="6"/>
  <c r="Z358" i="6"/>
  <c r="Z312" i="6"/>
  <c r="Z112" i="6"/>
  <c r="Z61" i="6"/>
  <c r="Z294" i="6"/>
  <c r="Z398" i="6"/>
  <c r="Z480" i="6"/>
  <c r="Z42" i="6"/>
  <c r="Z341" i="6"/>
  <c r="Z376" i="6"/>
  <c r="Z201" i="6"/>
  <c r="Z340" i="6"/>
  <c r="Z460" i="6"/>
  <c r="Z25" i="6"/>
  <c r="Z259" i="6"/>
  <c r="Z50" i="6"/>
  <c r="Z360" i="6"/>
  <c r="Z446" i="6"/>
  <c r="Z285" i="6"/>
  <c r="Z211" i="6"/>
  <c r="Z436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40" i="6"/>
  <c r="Z69" i="6"/>
  <c r="Z313" i="6"/>
  <c r="Z399" i="6"/>
  <c r="Z194" i="6"/>
  <c r="Z421" i="6"/>
  <c r="Z29" i="6"/>
  <c r="Z276" i="6"/>
  <c r="Z335" i="6"/>
  <c r="Z368" i="6"/>
  <c r="Z193" i="6"/>
  <c r="Z318" i="6"/>
  <c r="Z91" i="6"/>
  <c r="Z80" i="6"/>
  <c r="Z323" i="6"/>
  <c r="Z322" i="6"/>
  <c r="Z414" i="6"/>
  <c r="Z186" i="6"/>
  <c r="Z185" i="6"/>
  <c r="Z182" i="6"/>
  <c r="Z434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9" i="6"/>
  <c r="Z162" i="6"/>
  <c r="Z347" i="6"/>
  <c r="Z416" i="6"/>
  <c r="Z202" i="6"/>
  <c r="Z430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6" i="6"/>
  <c r="Z154" i="6"/>
  <c r="Z153" i="6"/>
  <c r="Z150" i="6"/>
  <c r="Z296" i="6"/>
  <c r="Z90" i="6"/>
  <c r="Z320" i="6"/>
  <c r="Z393" i="6"/>
  <c r="Z213" i="6"/>
  <c r="AA7" i="6"/>
  <c r="Z88" i="6"/>
  <c r="Z337" i="6"/>
  <c r="Z474" i="6"/>
  <c r="Z136" i="6"/>
  <c r="Z262" i="6"/>
  <c r="Z184" i="6"/>
  <c r="Z243" i="6"/>
  <c r="Z453" i="6"/>
  <c r="Z102" i="6"/>
  <c r="Z244" i="6"/>
  <c r="Z461" i="6"/>
  <c r="Z143" i="6"/>
  <c r="Z303" i="6"/>
  <c r="Z295" i="6"/>
  <c r="Z277" i="6"/>
  <c r="Z206" i="6"/>
  <c r="Z205" i="6"/>
  <c r="Z456" i="6"/>
  <c r="Z138" i="6"/>
  <c r="Z137" i="6"/>
  <c r="Z134" i="6"/>
  <c r="Z329" i="6"/>
  <c r="Z251" i="6"/>
  <c r="Z386" i="6"/>
  <c r="Z197" i="6"/>
  <c r="Z17" i="6"/>
  <c r="Z128" i="6"/>
  <c r="Z372" i="6"/>
  <c r="Z226" i="6"/>
  <c r="Z437" i="6"/>
  <c r="Z263" i="6"/>
  <c r="Z177" i="6"/>
  <c r="Z19" i="6"/>
  <c r="Z228" i="6"/>
  <c r="Z444" i="6"/>
  <c r="Z127" i="6"/>
  <c r="Z274" i="6"/>
  <c r="Z264" i="6"/>
  <c r="Z364" i="6"/>
  <c r="Z189" i="6"/>
  <c r="Z188" i="6"/>
  <c r="Z439" i="6"/>
  <c r="Z122" i="6"/>
  <c r="Z121" i="6"/>
  <c r="Z118" i="6"/>
  <c r="Z297" i="6"/>
  <c r="Z34" i="6"/>
  <c r="Z74" i="6"/>
  <c r="Z417" i="6"/>
  <c r="Z179" i="6"/>
  <c r="Z14" i="6"/>
  <c r="Z402" i="6"/>
  <c r="Z479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2" i="6"/>
  <c r="Z105" i="6"/>
  <c r="Z104" i="6"/>
  <c r="Z101" i="6"/>
  <c r="Z268" i="6"/>
  <c r="Z16" i="6"/>
  <c r="Z230" i="6"/>
  <c r="Z418" i="6"/>
  <c r="Z164" i="6"/>
  <c r="Z458" i="6"/>
  <c r="Z377" i="6"/>
  <c r="Z378" i="6"/>
  <c r="Z379" i="6"/>
  <c r="Z227" i="6"/>
  <c r="Z457" i="6"/>
  <c r="Z195" i="6"/>
  <c r="Z284" i="6"/>
  <c r="Z66" i="6"/>
  <c r="Z240" i="6"/>
  <c r="Z239" i="6"/>
  <c r="Z478" i="6"/>
  <c r="Z412" i="6"/>
  <c r="Z65" i="6"/>
  <c r="Z338" i="6"/>
  <c r="Z214" i="6"/>
  <c r="Z465" i="6"/>
  <c r="Z147" i="6"/>
  <c r="Z67" i="6"/>
  <c r="Z78" i="6"/>
  <c r="Z423" i="6"/>
  <c r="Z89" i="6"/>
  <c r="Z442" i="6"/>
  <c r="Z10" i="6"/>
  <c r="Z299" i="6"/>
  <c r="Z234" i="6"/>
  <c r="Z403" i="6"/>
  <c r="Z178" i="6"/>
  <c r="Z328" i="6"/>
  <c r="Z45" i="6"/>
  <c r="Z224" i="6"/>
  <c r="Z223" i="6"/>
  <c r="Z459" i="6"/>
  <c r="Z140" i="6"/>
  <c r="Z139" i="6"/>
  <c r="Z291" i="6"/>
  <c r="Z59" i="6"/>
  <c r="Z58" i="6"/>
  <c r="Z54" i="6"/>
  <c r="Z250" i="6"/>
  <c r="Z390" i="6"/>
  <c r="Z198" i="6"/>
  <c r="Z448" i="6"/>
  <c r="Z131" i="6"/>
  <c r="Z56" i="6"/>
  <c r="Z94" i="6"/>
  <c r="Z373" i="6"/>
  <c r="Z463" i="6"/>
  <c r="Z79" i="6"/>
  <c r="Z30" i="6"/>
  <c r="Z196" i="6"/>
  <c r="Z96" i="6"/>
  <c r="Z47" i="6"/>
  <c r="Z163" i="6"/>
  <c r="Z28" i="6"/>
  <c r="Z207" i="6"/>
  <c r="Z441" i="6"/>
  <c r="Z124" i="6"/>
  <c r="Z123" i="6"/>
  <c r="Z331" i="6"/>
  <c r="Z40" i="6"/>
  <c r="Z38" i="6"/>
  <c r="Z35" i="6"/>
  <c r="Z9" i="6"/>
  <c r="Z180" i="6"/>
  <c r="Z432" i="6"/>
  <c r="Z115" i="6"/>
  <c r="Z39" i="6"/>
  <c r="Z339" i="6"/>
  <c r="Z203" i="6"/>
  <c r="Z451" i="6"/>
  <c r="Z306" i="6"/>
  <c r="Z332" i="6"/>
  <c r="Z374" i="6"/>
  <c r="Z353" i="6"/>
  <c r="Z475" i="6"/>
  <c r="Z144" i="6"/>
  <c r="Z304" i="6"/>
  <c r="Z380" i="6"/>
  <c r="Z70" i="6"/>
  <c r="Z454" i="6"/>
  <c r="Z103" i="6"/>
  <c r="Z464" i="6"/>
  <c r="Z146" i="6"/>
  <c r="Z333" i="6"/>
  <c r="Z371" i="6"/>
  <c r="Z191" i="6"/>
  <c r="Z190" i="6"/>
  <c r="Z424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5" i="6"/>
  <c r="Z316" i="6"/>
  <c r="Z361" i="6"/>
  <c r="Z169" i="6"/>
  <c r="Z286" i="6"/>
  <c r="Z208" i="6"/>
  <c r="Z445" i="6"/>
  <c r="Z315" i="6"/>
  <c r="Z218" i="6"/>
  <c r="Z438" i="6"/>
  <c r="Z305" i="6"/>
  <c r="Z395" i="6"/>
  <c r="Z183" i="6"/>
  <c r="Z420" i="6"/>
  <c r="Z20" i="6"/>
  <c r="Z447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6" i="6"/>
  <c r="Z148" i="6"/>
  <c r="Z280" i="6"/>
  <c r="Z63" i="6"/>
  <c r="Z76" i="6"/>
  <c r="AA381" i="6" l="1"/>
  <c r="AA382" i="6"/>
  <c r="AA383" i="6"/>
  <c r="AA384" i="6"/>
  <c r="AA155" i="6"/>
  <c r="AA156" i="6"/>
  <c r="AA157" i="6"/>
  <c r="AA158" i="6"/>
  <c r="AA159" i="6"/>
  <c r="AA359" i="6"/>
  <c r="AA450" i="6"/>
  <c r="AA267" i="6"/>
  <c r="AA266" i="6"/>
  <c r="AA73" i="6"/>
  <c r="AA405" i="6"/>
  <c r="AA406" i="6"/>
  <c r="AA407" i="6"/>
  <c r="AA408" i="6"/>
  <c r="AA409" i="6"/>
  <c r="AA410" i="6"/>
  <c r="AA411" i="6"/>
  <c r="AA467" i="6"/>
  <c r="AA468" i="6"/>
  <c r="AA469" i="6"/>
  <c r="AA470" i="6"/>
  <c r="AA471" i="6"/>
  <c r="AA472" i="6"/>
  <c r="AA187" i="6"/>
  <c r="AA51" i="6"/>
  <c r="AA52" i="6"/>
  <c r="AA53" i="6"/>
  <c r="AA485" i="6"/>
  <c r="AA488" i="6"/>
  <c r="AA483" i="6"/>
  <c r="AA489" i="6"/>
  <c r="AA490" i="6"/>
  <c r="AA486" i="6"/>
  <c r="AA484" i="6"/>
  <c r="AA487" i="6"/>
  <c r="AA192" i="6"/>
  <c r="AA482" i="6"/>
  <c r="AA481" i="6"/>
  <c r="AA425" i="6"/>
  <c r="AA426" i="6"/>
  <c r="AA427" i="6"/>
  <c r="AA428" i="6"/>
  <c r="AA429" i="6"/>
  <c r="AA325" i="6"/>
  <c r="AA98" i="6"/>
  <c r="AA99" i="6"/>
  <c r="AA97" i="6"/>
  <c r="AA396" i="6"/>
  <c r="AA269" i="6"/>
  <c r="AA363" i="6"/>
  <c r="AA344" i="6"/>
  <c r="AA137" i="6"/>
  <c r="AA54" i="6"/>
  <c r="AA436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2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8" i="6"/>
  <c r="AA358" i="6"/>
  <c r="AA148" i="6"/>
  <c r="AA403" i="6"/>
  <c r="AA412" i="6"/>
  <c r="AA119" i="6"/>
  <c r="AA28" i="6"/>
  <c r="AA69" i="6"/>
  <c r="AA360" i="6"/>
  <c r="AA225" i="6"/>
  <c r="AA92" i="6"/>
  <c r="AA180" i="6"/>
  <c r="AA74" i="6"/>
  <c r="AA201" i="6"/>
  <c r="AA271" i="6"/>
  <c r="AA437" i="6"/>
  <c r="AA357" i="6"/>
  <c r="AA181" i="6"/>
  <c r="AA314" i="6"/>
  <c r="AA206" i="6"/>
  <c r="Z5" i="6"/>
  <c r="AA458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6" i="6"/>
  <c r="AA291" i="6"/>
  <c r="AA160" i="6"/>
  <c r="AA17" i="6"/>
  <c r="AA394" i="6"/>
  <c r="AA218" i="6"/>
  <c r="AA278" i="6"/>
  <c r="AA57" i="6"/>
  <c r="AA215" i="6"/>
  <c r="AA445" i="6"/>
  <c r="AA141" i="6"/>
  <c r="AA461" i="6"/>
  <c r="AA43" i="6"/>
  <c r="AA275" i="6"/>
  <c r="AA369" i="6"/>
  <c r="AA134" i="6"/>
  <c r="AA282" i="6"/>
  <c r="AA330" i="6"/>
  <c r="AA459" i="6"/>
  <c r="AA399" i="6"/>
  <c r="AA37" i="6"/>
  <c r="AA36" i="6"/>
  <c r="AA256" i="6"/>
  <c r="AA309" i="6"/>
  <c r="AA300" i="6"/>
  <c r="AA424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5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5" i="6"/>
  <c r="AA463" i="6"/>
  <c r="AA140" i="6"/>
  <c r="AA77" i="6"/>
  <c r="AA194" i="6"/>
  <c r="AA274" i="6"/>
  <c r="AA349" i="6"/>
  <c r="AA434" i="6"/>
  <c r="AA480" i="6"/>
  <c r="AA375" i="6"/>
  <c r="AA91" i="6"/>
  <c r="AA229" i="6"/>
  <c r="AA234" i="6"/>
  <c r="AA292" i="6"/>
  <c r="AA423" i="6"/>
  <c r="AA299" i="6"/>
  <c r="AA21" i="6"/>
  <c r="AA221" i="6"/>
  <c r="AA455" i="6"/>
  <c r="AA138" i="6"/>
  <c r="AA340" i="6"/>
  <c r="AA419" i="6"/>
  <c r="AA109" i="6"/>
  <c r="AA127" i="6"/>
  <c r="AA348" i="6"/>
  <c r="AA49" i="6"/>
  <c r="AA355" i="6"/>
  <c r="AA246" i="6"/>
  <c r="AA370" i="6"/>
  <c r="AA456" i="6"/>
  <c r="AA62" i="6"/>
  <c r="AA231" i="6"/>
  <c r="AA354" i="6"/>
  <c r="AA315" i="6"/>
  <c r="AA466" i="6"/>
  <c r="AA199" i="6"/>
  <c r="AA111" i="6"/>
  <c r="AA438" i="6"/>
  <c r="AA175" i="6"/>
  <c r="AA123" i="6"/>
  <c r="AA464" i="6"/>
  <c r="AA135" i="6"/>
  <c r="AA149" i="6"/>
  <c r="AA323" i="6"/>
  <c r="AA33" i="6"/>
  <c r="AA272" i="6"/>
  <c r="AA451" i="6"/>
  <c r="AA310" i="6"/>
  <c r="AA32" i="6"/>
  <c r="AA227" i="6"/>
  <c r="AA332" i="6"/>
  <c r="AA421" i="6"/>
  <c r="AA59" i="6"/>
  <c r="AA209" i="6"/>
  <c r="AA447" i="6"/>
  <c r="AA128" i="6"/>
  <c r="AA311" i="6"/>
  <c r="AA18" i="6"/>
  <c r="AA12" i="6"/>
  <c r="AA224" i="6"/>
  <c r="AA339" i="6"/>
  <c r="AA444" i="6"/>
  <c r="AA107" i="6"/>
  <c r="AA168" i="6"/>
  <c r="AA345" i="6"/>
  <c r="AA66" i="6"/>
  <c r="AA226" i="6"/>
  <c r="AA46" i="6"/>
  <c r="AA336" i="6"/>
  <c r="AA415" i="6"/>
  <c r="AA414" i="6"/>
  <c r="AA172" i="6"/>
  <c r="AA433" i="6"/>
  <c r="AA173" i="6"/>
  <c r="AA443" i="6"/>
  <c r="AA416" i="6"/>
  <c r="AA400" i="6"/>
  <c r="AA401" i="6"/>
  <c r="AA184" i="6"/>
  <c r="AA366" i="6"/>
  <c r="AA389" i="6"/>
  <c r="AA124" i="6"/>
  <c r="AA284" i="6"/>
  <c r="AA422" i="6"/>
  <c r="AA142" i="6"/>
  <c r="AA154" i="6"/>
  <c r="AA9" i="6"/>
  <c r="AA243" i="6"/>
  <c r="AA431" i="6"/>
  <c r="AA136" i="6"/>
  <c r="AA84" i="6"/>
  <c r="AA298" i="6"/>
  <c r="AA76" i="6"/>
  <c r="AA441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40" i="6"/>
  <c r="AB7" i="6"/>
  <c r="AA465" i="6"/>
  <c r="AA144" i="6"/>
  <c r="AA230" i="6"/>
  <c r="AA333" i="6"/>
  <c r="AA479" i="6"/>
  <c r="AA89" i="6"/>
  <c r="AA248" i="6"/>
  <c r="AA42" i="6"/>
  <c r="AA477" i="6"/>
  <c r="AA239" i="6"/>
  <c r="AA351" i="6"/>
  <c r="AA290" i="6"/>
  <c r="AA321" i="6"/>
  <c r="AA442" i="6"/>
  <c r="AA71" i="6"/>
  <c r="AA162" i="6"/>
  <c r="AA204" i="6"/>
  <c r="AA303" i="6"/>
  <c r="AA302" i="6"/>
  <c r="AA454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3" i="6"/>
  <c r="AA26" i="6"/>
  <c r="AA102" i="6"/>
  <c r="AA264" i="6"/>
  <c r="AA132" i="6"/>
  <c r="AA260" i="6"/>
  <c r="AA88" i="6"/>
  <c r="AA210" i="6"/>
  <c r="AA45" i="6"/>
  <c r="AA195" i="6"/>
  <c r="AA420" i="6"/>
  <c r="AA342" i="6"/>
  <c r="AA41" i="6"/>
  <c r="AA164" i="6"/>
  <c r="AA113" i="6"/>
  <c r="AA319" i="6"/>
  <c r="AA432" i="6"/>
  <c r="AA31" i="6"/>
  <c r="AA86" i="6"/>
  <c r="AA104" i="6"/>
  <c r="AA219" i="6"/>
  <c r="AA313" i="6"/>
  <c r="AA105" i="6"/>
  <c r="AA95" i="6"/>
  <c r="AA273" i="6"/>
  <c r="AA417" i="6"/>
  <c r="AA188" i="6"/>
  <c r="AA327" i="6"/>
  <c r="AA68" i="6"/>
  <c r="AA50" i="6"/>
  <c r="AA189" i="6"/>
  <c r="AA457" i="6"/>
  <c r="AA387" i="6"/>
  <c r="AA476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3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8" i="6"/>
  <c r="AA397" i="6"/>
  <c r="AA145" i="6"/>
  <c r="AA478" i="6"/>
  <c r="AA367" i="6"/>
  <c r="AA125" i="6"/>
  <c r="AA265" i="6"/>
  <c r="AA15" i="6"/>
  <c r="AA305" i="6"/>
  <c r="AA460" i="6"/>
  <c r="AA402" i="6"/>
  <c r="AA70" i="6"/>
  <c r="AA146" i="6"/>
  <c r="AA196" i="6"/>
  <c r="AA214" i="6"/>
  <c r="AA452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9" i="6"/>
  <c r="AA297" i="6"/>
  <c r="AA301" i="6"/>
  <c r="AA126" i="6"/>
  <c r="AA258" i="6"/>
  <c r="AA439" i="6"/>
  <c r="AA39" i="6"/>
  <c r="AA255" i="6"/>
  <c r="AA186" i="6"/>
  <c r="AA237" i="6"/>
  <c r="AA430" i="6"/>
  <c r="AA474" i="6"/>
  <c r="AA393" i="6"/>
  <c r="AA81" i="6"/>
  <c r="AA257" i="6"/>
  <c r="AA211" i="6"/>
  <c r="AA82" i="6"/>
  <c r="AA44" i="6"/>
  <c r="AA317" i="6"/>
  <c r="AA453" i="6"/>
  <c r="AA122" i="6"/>
  <c r="AA352" i="6"/>
  <c r="AA20" i="6"/>
  <c r="AA283" i="6"/>
  <c r="AA236" i="6"/>
  <c r="AA93" i="6"/>
  <c r="AB381" i="6" l="1"/>
  <c r="AB384" i="6"/>
  <c r="AB382" i="6"/>
  <c r="AB383" i="6"/>
  <c r="AB155" i="6"/>
  <c r="AB156" i="6"/>
  <c r="AB157" i="6"/>
  <c r="AB158" i="6"/>
  <c r="AB159" i="6"/>
  <c r="AB359" i="6"/>
  <c r="AB450" i="6"/>
  <c r="AB266" i="6"/>
  <c r="AB267" i="6"/>
  <c r="AB73" i="6"/>
  <c r="AB405" i="6"/>
  <c r="AB406" i="6"/>
  <c r="AB407" i="6"/>
  <c r="AB408" i="6"/>
  <c r="AB409" i="6"/>
  <c r="AB410" i="6"/>
  <c r="AB411" i="6"/>
  <c r="AB467" i="6"/>
  <c r="AB468" i="6"/>
  <c r="AB469" i="6"/>
  <c r="AB470" i="6"/>
  <c r="AB471" i="6"/>
  <c r="AB472" i="6"/>
  <c r="AB187" i="6"/>
  <c r="AB51" i="6"/>
  <c r="AB52" i="6"/>
  <c r="AB53" i="6"/>
  <c r="AB485" i="6"/>
  <c r="AB488" i="6"/>
  <c r="AB483" i="6"/>
  <c r="AB489" i="6"/>
  <c r="AB490" i="6"/>
  <c r="AB486" i="6"/>
  <c r="AB484" i="6"/>
  <c r="AB487" i="6"/>
  <c r="AB192" i="6"/>
  <c r="AB482" i="6"/>
  <c r="AB481" i="6"/>
  <c r="AB321" i="6"/>
  <c r="AB428" i="6"/>
  <c r="AB427" i="6"/>
  <c r="AB425" i="6"/>
  <c r="AB426" i="6"/>
  <c r="AB429" i="6"/>
  <c r="AB440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4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6" i="6"/>
  <c r="AB479" i="6"/>
  <c r="AB353" i="6"/>
  <c r="AB113" i="6"/>
  <c r="AB417" i="6"/>
  <c r="AB128" i="6"/>
  <c r="AB251" i="6"/>
  <c r="AB119" i="6"/>
  <c r="AB282" i="6"/>
  <c r="AB369" i="6"/>
  <c r="AB264" i="6"/>
  <c r="AB85" i="6"/>
  <c r="AB331" i="6"/>
  <c r="AB162" i="6"/>
  <c r="AB68" i="6"/>
  <c r="AB478" i="6"/>
  <c r="AB24" i="6"/>
  <c r="AB421" i="6"/>
  <c r="AB451" i="6"/>
  <c r="AB402" i="6"/>
  <c r="AB352" i="6"/>
  <c r="AB324" i="6"/>
  <c r="AB349" i="6"/>
  <c r="AB438" i="6"/>
  <c r="AB310" i="6"/>
  <c r="AB101" i="6"/>
  <c r="AB435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20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4" i="6"/>
  <c r="AB29" i="6"/>
  <c r="AB104" i="6"/>
  <c r="AB372" i="6"/>
  <c r="AB70" i="6"/>
  <c r="AB419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3" i="6"/>
  <c r="AB202" i="6"/>
  <c r="AB11" i="6"/>
  <c r="AB248" i="6"/>
  <c r="AB462" i="6"/>
  <c r="AB334" i="6"/>
  <c r="AB75" i="6"/>
  <c r="AB399" i="6"/>
  <c r="AB77" i="6"/>
  <c r="AB59" i="6"/>
  <c r="AB418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4" i="6"/>
  <c r="AB232" i="6"/>
  <c r="AB400" i="6"/>
  <c r="AB79" i="6"/>
  <c r="AB448" i="6"/>
  <c r="AB477" i="6"/>
  <c r="AB230" i="6"/>
  <c r="AB9" i="6"/>
  <c r="AB107" i="6"/>
  <c r="AB54" i="6"/>
  <c r="AB189" i="6"/>
  <c r="AB457" i="6"/>
  <c r="AB474" i="6"/>
  <c r="AB256" i="6"/>
  <c r="AB371" i="6"/>
  <c r="AB299" i="6"/>
  <c r="AB106" i="6"/>
  <c r="AB291" i="6"/>
  <c r="AB66" i="6"/>
  <c r="AB41" i="6"/>
  <c r="AB441" i="6"/>
  <c r="AB188" i="6"/>
  <c r="AB216" i="6"/>
  <c r="AB62" i="6"/>
  <c r="AB127" i="6"/>
  <c r="AB102" i="6"/>
  <c r="AB166" i="6"/>
  <c r="AB161" i="6"/>
  <c r="AB262" i="6"/>
  <c r="AB150" i="6"/>
  <c r="AB21" i="6"/>
  <c r="AB200" i="6"/>
  <c r="AB445" i="6"/>
  <c r="AB45" i="6"/>
  <c r="AB254" i="6"/>
  <c r="AB263" i="6"/>
  <c r="AB12" i="6"/>
  <c r="AB480" i="6"/>
  <c r="AB215" i="6"/>
  <c r="AB373" i="6"/>
  <c r="AB208" i="6"/>
  <c r="AB42" i="6"/>
  <c r="AB422" i="6"/>
  <c r="AB348" i="6"/>
  <c r="AB365" i="6"/>
  <c r="AB90" i="6"/>
  <c r="AB89" i="6"/>
  <c r="AB145" i="6"/>
  <c r="AB342" i="6"/>
  <c r="AB10" i="6"/>
  <c r="AB249" i="6"/>
  <c r="AB120" i="6"/>
  <c r="AB412" i="6"/>
  <c r="AB30" i="6"/>
  <c r="AB343" i="6"/>
  <c r="AB238" i="6"/>
  <c r="AB82" i="6"/>
  <c r="AB280" i="6"/>
  <c r="AB146" i="6"/>
  <c r="AB415" i="6"/>
  <c r="AB18" i="6"/>
  <c r="AB198" i="6"/>
  <c r="AB413" i="6"/>
  <c r="AB27" i="6"/>
  <c r="AB332" i="6"/>
  <c r="AB443" i="6"/>
  <c r="AB361" i="6"/>
  <c r="AB72" i="6"/>
  <c r="AB163" i="6"/>
  <c r="AB261" i="6"/>
  <c r="AB430" i="6"/>
  <c r="AB233" i="6"/>
  <c r="AB84" i="6"/>
  <c r="AB351" i="6"/>
  <c r="AB14" i="6"/>
  <c r="AB290" i="6"/>
  <c r="AB190" i="6"/>
  <c r="AB439" i="6"/>
  <c r="AB370" i="6"/>
  <c r="AB103" i="6"/>
  <c r="AB431" i="6"/>
  <c r="AB335" i="6"/>
  <c r="AB65" i="6"/>
  <c r="AB446" i="6"/>
  <c r="AB317" i="6"/>
  <c r="AB374" i="6"/>
  <c r="AB56" i="6"/>
  <c r="AB137" i="6"/>
  <c r="AB217" i="6"/>
  <c r="AB360" i="6"/>
  <c r="AB389" i="6"/>
  <c r="AB284" i="6"/>
  <c r="AB416" i="6"/>
  <c r="AB385" i="6"/>
  <c r="AB449" i="6"/>
  <c r="AB301" i="6"/>
  <c r="AB461" i="6"/>
  <c r="AB460" i="6"/>
  <c r="AB39" i="6"/>
  <c r="AB252" i="6"/>
  <c r="AB160" i="6"/>
  <c r="AB341" i="6"/>
  <c r="AB201" i="6"/>
  <c r="AB447" i="6"/>
  <c r="AB320" i="6"/>
  <c r="AB394" i="6"/>
  <c r="AB319" i="6"/>
  <c r="AB333" i="6"/>
  <c r="AB35" i="6"/>
  <c r="AB19" i="6"/>
  <c r="AB229" i="6"/>
  <c r="AB244" i="6"/>
  <c r="AB303" i="6"/>
  <c r="AB318" i="6"/>
  <c r="AB473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4" i="6"/>
  <c r="AB181" i="6"/>
  <c r="AB116" i="6"/>
  <c r="AB134" i="6"/>
  <c r="AB91" i="6"/>
  <c r="AB257" i="6"/>
  <c r="AB118" i="6"/>
  <c r="AB74" i="6"/>
  <c r="AB171" i="6"/>
  <c r="AB437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2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5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9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5" i="6"/>
  <c r="AB33" i="6"/>
  <c r="AB224" i="6"/>
  <c r="AB453" i="6"/>
  <c r="AB209" i="6"/>
  <c r="AB298" i="6"/>
  <c r="AB367" i="6"/>
  <c r="AB221" i="6"/>
  <c r="AB434" i="6"/>
  <c r="AB88" i="6"/>
  <c r="AB279" i="6"/>
  <c r="AB173" i="6"/>
  <c r="AB234" i="6"/>
  <c r="AB259" i="6"/>
  <c r="AB258" i="6"/>
  <c r="AB476" i="6"/>
  <c r="AB391" i="6"/>
  <c r="AB80" i="6"/>
  <c r="AB96" i="6"/>
  <c r="AB458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6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2" i="6"/>
  <c r="AB176" i="6"/>
  <c r="AB185" i="6"/>
  <c r="AB357" i="6"/>
  <c r="AB143" i="6"/>
  <c r="AB112" i="6"/>
  <c r="AB83" i="6"/>
  <c r="AB275" i="6"/>
  <c r="AB463" i="6"/>
  <c r="AB330" i="6"/>
  <c r="AB180" i="6"/>
  <c r="AB423" i="6"/>
  <c r="AB174" i="6"/>
  <c r="AB466" i="6"/>
  <c r="AB193" i="6"/>
  <c r="AB314" i="6"/>
  <c r="AB40" i="6"/>
  <c r="AB122" i="6"/>
  <c r="AB356" i="6"/>
  <c r="AB236" i="6"/>
  <c r="AB432" i="6"/>
  <c r="AB144" i="6"/>
  <c r="AB455" i="6"/>
  <c r="AB414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<sst xmlns="http://schemas.openxmlformats.org/spreadsheetml/2006/main" count="4688" uniqueCount="2058">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</sst>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9"/>
  <sheetViews>
    <sheetView tabSelected="1" zoomScaleNormal="100" workbookViewId="0">
      <pane ySplit="7" topLeftCell="A390" activePane="bottomLeft" state="frozen"/>
      <selection pane="bottomLeft" activeCell="AI404" sqref="AI404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156</v>
      </c>
      <c r="G4" s="7">
        <f>+AG6</f>
        <v>139</v>
      </c>
      <c r="H4" s="5">
        <f>+E4-G4</f>
        <v>187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443</v>
      </c>
      <c r="F5" s="8">
        <f>+F3+F4</f>
        <v>255</v>
      </c>
      <c r="G5" s="8">
        <f>+G3+G4</f>
        <v>233</v>
      </c>
      <c r="H5" s="8">
        <f>+H3+H4</f>
        <v>210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SUM(S8:S2432)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SUM(AD8:AD1701)</f>
        <v>99</v>
      </c>
      <c r="AE6" s="1">
        <f t="shared" si="1"/>
        <v>156</v>
      </c>
      <c r="AF6" s="1">
        <f t="shared" si="1"/>
        <v>94</v>
      </c>
      <c r="AG6" s="1">
        <f t="shared" si="1"/>
        <v>139</v>
      </c>
      <c r="AH6" s="1">
        <f t="shared" si="1"/>
        <v>117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50</v>
      </c>
      <c r="E181" s="32" t="s">
        <v>772</v>
      </c>
      <c r="F181" s="32" t="s">
        <v>193</v>
      </c>
      <c r="G181" s="32" t="s">
        <v>194</v>
      </c>
      <c r="H181" s="32" t="s">
        <v>354</v>
      </c>
      <c r="I181" s="31" t="s">
        <v>387</v>
      </c>
      <c r="J181" s="31">
        <v>9</v>
      </c>
      <c r="K181" s="33" t="s">
        <v>956</v>
      </c>
      <c r="L181" s="33" t="s">
        <v>694</v>
      </c>
      <c r="M181" s="34" t="s">
        <v>969</v>
      </c>
      <c r="N181" s="34" t="s">
        <v>1801</v>
      </c>
      <c r="O181" s="35">
        <v>1</v>
      </c>
      <c r="P181" s="35"/>
      <c r="Q181" s="32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1</v>
      </c>
      <c r="AF181" s="1">
        <f t="shared" si="97"/>
        <v>0</v>
      </c>
      <c r="AG181" s="1">
        <f t="shared" si="98"/>
        <v>1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1276</v>
      </c>
      <c r="E220" s="32" t="s">
        <v>167</v>
      </c>
      <c r="F220" s="32" t="s">
        <v>1148</v>
      </c>
      <c r="G220" s="32" t="s">
        <v>1342</v>
      </c>
      <c r="H220" s="32" t="s">
        <v>354</v>
      </c>
      <c r="I220" s="31" t="s">
        <v>1149</v>
      </c>
      <c r="J220" s="31">
        <v>99</v>
      </c>
      <c r="K220" s="33" t="s">
        <v>702</v>
      </c>
      <c r="L220" s="33">
        <v>45</v>
      </c>
      <c r="M220" s="34" t="s">
        <v>39</v>
      </c>
      <c r="N220" s="34" t="s">
        <v>1743</v>
      </c>
      <c r="O220" s="35">
        <v>1</v>
      </c>
      <c r="P220" s="35"/>
      <c r="Q220" s="32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1</v>
      </c>
      <c r="AF220" s="1">
        <f t="shared" si="135"/>
        <v>0</v>
      </c>
      <c r="AG220" s="1">
        <f t="shared" si="136"/>
        <v>1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1080</v>
      </c>
      <c r="E298" s="32" t="s">
        <v>1334</v>
      </c>
      <c r="F298" s="32" t="s">
        <v>1663</v>
      </c>
      <c r="G298" s="32" t="s">
        <v>190</v>
      </c>
      <c r="H298" s="32" t="s">
        <v>354</v>
      </c>
      <c r="I298" s="31" t="s">
        <v>1861</v>
      </c>
      <c r="J298" s="31">
        <v>99</v>
      </c>
      <c r="K298" s="33" t="s">
        <v>712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1</v>
      </c>
      <c r="AF298" s="1">
        <f t="shared" si="173"/>
        <v>0</v>
      </c>
      <c r="AG298" s="1">
        <f t="shared" si="174"/>
        <v>1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1130</v>
      </c>
      <c r="E303" s="32" t="s">
        <v>561</v>
      </c>
      <c r="F303" s="32" t="s">
        <v>1354</v>
      </c>
      <c r="G303" s="32" t="s">
        <v>265</v>
      </c>
      <c r="H303" s="32" t="s">
        <v>354</v>
      </c>
      <c r="I303" s="31" t="s">
        <v>1131</v>
      </c>
      <c r="J303" s="31">
        <v>8</v>
      </c>
      <c r="K303" s="33" t="s">
        <v>712</v>
      </c>
      <c r="L303" s="33" t="s">
        <v>1709</v>
      </c>
      <c r="M303" s="34" t="s">
        <v>714</v>
      </c>
      <c r="N303" s="34" t="s">
        <v>1748</v>
      </c>
      <c r="O303" s="35">
        <v>1</v>
      </c>
      <c r="P303" s="35"/>
      <c r="Q303" s="32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73</v>
      </c>
      <c r="E306" s="32" t="s">
        <v>561</v>
      </c>
      <c r="F306" s="32" t="s">
        <v>1050</v>
      </c>
      <c r="G306" s="32" t="s">
        <v>190</v>
      </c>
      <c r="H306" s="32" t="s">
        <v>354</v>
      </c>
      <c r="I306" s="31" t="s">
        <v>421</v>
      </c>
      <c r="J306" s="31">
        <v>99</v>
      </c>
      <c r="K306" s="33" t="s">
        <v>954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1</v>
      </c>
      <c r="AF306" s="1">
        <f t="shared" si="173"/>
        <v>0</v>
      </c>
      <c r="AG306" s="1">
        <f t="shared" si="174"/>
        <v>1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4" si="193">IF(J340=$S$7,1,0)</f>
        <v>0</v>
      </c>
      <c r="T340" s="1">
        <f t="shared" ref="T340:T404" si="194">IF(J340=$T$7,1,0)</f>
        <v>0</v>
      </c>
      <c r="U340" s="1">
        <f t="shared" ref="U340:U404" si="195">IF(J340=$U$7,1,0)</f>
        <v>0</v>
      </c>
      <c r="V340" s="1">
        <f t="shared" ref="V340:V404" si="196">IF(J340=$V$7,1,0)</f>
        <v>0</v>
      </c>
      <c r="W340" s="1">
        <f t="shared" ref="W340:W404" si="197">IF(J340=$W$7,1,0)</f>
        <v>0</v>
      </c>
      <c r="X340" s="1">
        <f t="shared" ref="X340:X404" si="198">IF(J340=$X$7,1,0)</f>
        <v>0</v>
      </c>
      <c r="Y340" s="1">
        <f t="shared" ref="Y340:Y404" si="199">IF(J340=$Y$7,1,0)</f>
        <v>0</v>
      </c>
      <c r="Z340" s="1">
        <f t="shared" ref="Z340:Z404" si="200">IF(J340=$Z$7,1,0)</f>
        <v>0</v>
      </c>
      <c r="AA340" s="1">
        <f t="shared" ref="AA340:AA404" si="201">IF(J340=$AA$7,1,0)</f>
        <v>0</v>
      </c>
      <c r="AB340" s="1">
        <f t="shared" ref="AB340:AB404" si="202">IF(J340=$AB$7,1,0)</f>
        <v>0</v>
      </c>
      <c r="AD340" s="1">
        <f t="shared" ref="AD340:AD404" si="203">+O340*P340</f>
        <v>0</v>
      </c>
      <c r="AE340" s="1">
        <f t="shared" ref="AE340:AE404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2" t="s">
        <v>1790</v>
      </c>
      <c r="E373" s="32" t="s">
        <v>167</v>
      </c>
      <c r="F373" s="32" t="s">
        <v>1768</v>
      </c>
      <c r="G373" s="32"/>
      <c r="H373" s="32" t="s">
        <v>354</v>
      </c>
      <c r="I373" s="31" t="s">
        <v>1769</v>
      </c>
      <c r="J373" s="31"/>
      <c r="K373" s="33" t="s">
        <v>703</v>
      </c>
      <c r="L373" s="33">
        <v>30</v>
      </c>
      <c r="M373" s="34" t="s">
        <v>1770</v>
      </c>
      <c r="N373" s="34" t="s">
        <v>1748</v>
      </c>
      <c r="O373" s="35">
        <v>1</v>
      </c>
      <c r="P373" s="35"/>
      <c r="Q373" s="32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s="1" customFormat="1" ht="14.25" customHeight="1" x14ac:dyDescent="0.25">
      <c r="A374" s="31">
        <v>0</v>
      </c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6" si="245">+O401*P401*(1-A401)</f>
        <v>0</v>
      </c>
      <c r="AG401" s="1">
        <f t="shared" ref="AG401:AG466" si="246">O401*(1-P401)*(1-A401)</f>
        <v>0</v>
      </c>
      <c r="AH401" s="1">
        <f t="shared" ref="AH401:AH466" si="247">+P401*(1-A401)</f>
        <v>0</v>
      </c>
      <c r="AI401" s="1">
        <f t="shared" ref="AI401:AI466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s="1" customFormat="1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6" t="s">
        <v>2054</v>
      </c>
      <c r="E404" s="36" t="s">
        <v>156</v>
      </c>
      <c r="F404" s="36" t="s">
        <v>2055</v>
      </c>
      <c r="G404" s="36" t="s">
        <v>220</v>
      </c>
      <c r="H404" s="36" t="s">
        <v>354</v>
      </c>
      <c r="I404" s="37" t="s">
        <v>2056</v>
      </c>
      <c r="J404" s="31">
        <v>99</v>
      </c>
      <c r="K404" s="33" t="s">
        <v>703</v>
      </c>
      <c r="L404" s="33">
        <v>10</v>
      </c>
      <c r="M404" s="34" t="s">
        <v>2057</v>
      </c>
      <c r="N404" s="34" t="s">
        <v>1748</v>
      </c>
      <c r="O404" s="35">
        <v>1</v>
      </c>
      <c r="P404" s="35"/>
      <c r="Q404" s="32"/>
      <c r="S404" s="1">
        <f t="shared" si="193"/>
        <v>0</v>
      </c>
      <c r="T404" s="1">
        <f t="shared" si="194"/>
        <v>0</v>
      </c>
      <c r="U404" s="1">
        <f t="shared" si="195"/>
        <v>0</v>
      </c>
      <c r="V404" s="1">
        <f t="shared" si="196"/>
        <v>0</v>
      </c>
      <c r="W404" s="1">
        <f t="shared" si="197"/>
        <v>0</v>
      </c>
      <c r="X404" s="1">
        <f t="shared" si="198"/>
        <v>0</v>
      </c>
      <c r="Y404" s="1">
        <f t="shared" si="199"/>
        <v>0</v>
      </c>
      <c r="Z404" s="1">
        <f t="shared" si="200"/>
        <v>0</v>
      </c>
      <c r="AA404" s="1">
        <f t="shared" si="201"/>
        <v>0</v>
      </c>
      <c r="AB404" s="1">
        <f t="shared" si="202"/>
        <v>0</v>
      </c>
      <c r="AD404" s="1">
        <f t="shared" si="203"/>
        <v>0</v>
      </c>
      <c r="AE404" s="1">
        <f t="shared" si="204"/>
        <v>1</v>
      </c>
      <c r="AF404" s="1">
        <f t="shared" si="245"/>
        <v>0</v>
      </c>
      <c r="AG404" s="1">
        <f t="shared" si="246"/>
        <v>1</v>
      </c>
      <c r="AH404" s="1">
        <f t="shared" si="247"/>
        <v>0</v>
      </c>
      <c r="AI404" s="1">
        <f t="shared" si="248"/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7</v>
      </c>
      <c r="D405" s="45" t="s">
        <v>68</v>
      </c>
      <c r="E405" s="45" t="s">
        <v>28</v>
      </c>
      <c r="F405" s="45" t="s">
        <v>253</v>
      </c>
      <c r="G405" s="45" t="s">
        <v>254</v>
      </c>
      <c r="H405" s="45" t="s">
        <v>354</v>
      </c>
      <c r="I405" s="44" t="s">
        <v>414</v>
      </c>
      <c r="J405" s="44">
        <v>99</v>
      </c>
      <c r="K405" s="46" t="s">
        <v>713</v>
      </c>
      <c r="L405" s="46" t="s">
        <v>713</v>
      </c>
      <c r="M405" s="47" t="s">
        <v>731</v>
      </c>
      <c r="N405" s="47" t="s">
        <v>1802</v>
      </c>
      <c r="O405" s="48"/>
      <c r="P405" s="48"/>
      <c r="Q405" s="45"/>
      <c r="S405" s="1">
        <f t="shared" ref="S405:S411" si="249">IF(J405=$S$7,1,0)</f>
        <v>0</v>
      </c>
      <c r="T405" s="1">
        <f t="shared" ref="T405:T411" si="250">IF(J405=$T$7,1,0)</f>
        <v>0</v>
      </c>
      <c r="U405" s="1">
        <f t="shared" ref="U405:U411" si="251">IF(J405=$U$7,1,0)</f>
        <v>0</v>
      </c>
      <c r="V405" s="1">
        <f t="shared" ref="V405:V411" si="252">IF(J405=$V$7,1,0)</f>
        <v>0</v>
      </c>
      <c r="W405" s="1">
        <f t="shared" ref="W405:W411" si="253">IF(J405=$W$7,1,0)</f>
        <v>0</v>
      </c>
      <c r="X405" s="1">
        <f t="shared" ref="X405:X411" si="254">IF(J405=$X$7,1,0)</f>
        <v>0</v>
      </c>
      <c r="Y405" s="1">
        <f t="shared" ref="Y405:Y411" si="255">IF(J405=$Y$7,1,0)</f>
        <v>0</v>
      </c>
      <c r="Z405" s="1">
        <f t="shared" ref="Z405:Z411" si="256">IF(J405=$Z$7,1,0)</f>
        <v>0</v>
      </c>
      <c r="AA405" s="1">
        <f t="shared" ref="AA405:AA411" si="257">IF(J405=$AA$7,1,0)</f>
        <v>0</v>
      </c>
      <c r="AB405" s="1">
        <f t="shared" ref="AB405:AB411" si="258">IF(J405=$AB$7,1,0)</f>
        <v>0</v>
      </c>
      <c r="AD405" s="1">
        <f t="shared" ref="AD405:AD411" si="259">+O405*P405</f>
        <v>0</v>
      </c>
      <c r="AE405" s="1">
        <f t="shared" ref="AE405:AE411" si="260">O405*(1-P405)</f>
        <v>0</v>
      </c>
      <c r="AF405" s="1">
        <f t="shared" ref="AF405:AF411" si="261">+O405*P405*(1-A405)</f>
        <v>0</v>
      </c>
      <c r="AG405" s="1">
        <f t="shared" ref="AG405:AG411" si="262">O405*(1-P405)*(1-A405)</f>
        <v>0</v>
      </c>
      <c r="AH405" s="1">
        <f t="shared" ref="AH405:AH411" si="263">+P405*(1-A405)</f>
        <v>0</v>
      </c>
      <c r="AI405" s="1">
        <f t="shared" ref="AI405:AI411" si="264">+(1-A405)*(1-P405)</f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2020</v>
      </c>
      <c r="G406" s="32" t="s">
        <v>1104</v>
      </c>
      <c r="H406" s="32" t="s">
        <v>354</v>
      </c>
      <c r="I406" s="31" t="s">
        <v>2021</v>
      </c>
      <c r="J406" s="31">
        <v>1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2023</v>
      </c>
      <c r="S406" s="1">
        <f t="shared" si="249"/>
        <v>1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0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1</v>
      </c>
      <c r="AG406" s="1">
        <f t="shared" si="262"/>
        <v>0</v>
      </c>
      <c r="AH406" s="1">
        <f t="shared" si="263"/>
        <v>1</v>
      </c>
      <c r="AI406" s="1">
        <f t="shared" si="264"/>
        <v>0</v>
      </c>
    </row>
    <row r="407" spans="1:35" s="1" customFormat="1" ht="14.25" customHeight="1" x14ac:dyDescent="0.25">
      <c r="A407" s="31">
        <v>1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2019</v>
      </c>
      <c r="G407" s="36" t="s">
        <v>2025</v>
      </c>
      <c r="H407" s="32" t="s">
        <v>354</v>
      </c>
      <c r="I407" s="31" t="s">
        <v>2022</v>
      </c>
      <c r="J407" s="31">
        <v>8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2024</v>
      </c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1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0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255</v>
      </c>
      <c r="G408" s="36" t="s">
        <v>207</v>
      </c>
      <c r="H408" s="32" t="s">
        <v>354</v>
      </c>
      <c r="I408" s="31" t="s">
        <v>415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1</v>
      </c>
      <c r="AG408" s="1">
        <f t="shared" si="262"/>
        <v>0</v>
      </c>
      <c r="AH408" s="1">
        <f t="shared" si="263"/>
        <v>1</v>
      </c>
      <c r="AI408" s="1">
        <f t="shared" si="264"/>
        <v>0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1874</v>
      </c>
      <c r="G409" s="36" t="s">
        <v>256</v>
      </c>
      <c r="H409" s="32" t="s">
        <v>354</v>
      </c>
      <c r="I409" s="31" t="s">
        <v>416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570</v>
      </c>
      <c r="G410" s="36" t="s">
        <v>571</v>
      </c>
      <c r="H410" s="32" t="s">
        <v>354</v>
      </c>
      <c r="I410" s="31" t="s">
        <v>580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1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0</v>
      </c>
    </row>
    <row r="411" spans="1:35" s="1" customFormat="1" ht="14.25" customHeight="1" x14ac:dyDescent="0.25">
      <c r="A411" s="44">
        <v>0</v>
      </c>
      <c r="B411" s="44">
        <v>2</v>
      </c>
      <c r="C411" s="44">
        <v>7</v>
      </c>
      <c r="D411" s="45" t="s">
        <v>71</v>
      </c>
      <c r="E411" s="45" t="s">
        <v>28</v>
      </c>
      <c r="F411" s="45" t="s">
        <v>1349</v>
      </c>
      <c r="G411" s="45" t="s">
        <v>259</v>
      </c>
      <c r="H411" s="45" t="s">
        <v>354</v>
      </c>
      <c r="I411" s="44" t="s">
        <v>418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si="249"/>
        <v>0</v>
      </c>
      <c r="T411" s="1">
        <f t="shared" si="250"/>
        <v>0</v>
      </c>
      <c r="U411" s="1">
        <f t="shared" si="251"/>
        <v>0</v>
      </c>
      <c r="V411" s="1">
        <f t="shared" si="252"/>
        <v>0</v>
      </c>
      <c r="W411" s="1">
        <f t="shared" si="253"/>
        <v>0</v>
      </c>
      <c r="X411" s="1">
        <f t="shared" si="254"/>
        <v>0</v>
      </c>
      <c r="Y411" s="1">
        <f t="shared" si="255"/>
        <v>0</v>
      </c>
      <c r="Z411" s="1">
        <f t="shared" si="256"/>
        <v>0</v>
      </c>
      <c r="AA411" s="1">
        <f t="shared" si="257"/>
        <v>0</v>
      </c>
      <c r="AB411" s="1">
        <f t="shared" si="258"/>
        <v>0</v>
      </c>
      <c r="AD411" s="1">
        <f t="shared" si="259"/>
        <v>0</v>
      </c>
      <c r="AE411" s="1">
        <f t="shared" si="260"/>
        <v>0</v>
      </c>
      <c r="AF411" s="1">
        <f t="shared" si="261"/>
        <v>0</v>
      </c>
      <c r="AG411" s="1">
        <f t="shared" si="262"/>
        <v>0</v>
      </c>
      <c r="AH411" s="1">
        <f t="shared" si="263"/>
        <v>0</v>
      </c>
      <c r="AI411" s="1">
        <f t="shared" si="264"/>
        <v>1</v>
      </c>
    </row>
    <row r="412" spans="1:35" s="1" customFormat="1" ht="14.25" customHeight="1" x14ac:dyDescent="0.25">
      <c r="A412" s="44">
        <v>0</v>
      </c>
      <c r="B412" s="44">
        <v>2</v>
      </c>
      <c r="C412" s="44">
        <v>7</v>
      </c>
      <c r="D412" s="45" t="s">
        <v>1062</v>
      </c>
      <c r="E412" s="45" t="s">
        <v>28</v>
      </c>
      <c r="F412" s="45" t="s">
        <v>1063</v>
      </c>
      <c r="G412" s="45" t="s">
        <v>1064</v>
      </c>
      <c r="H412" s="45" t="s">
        <v>354</v>
      </c>
      <c r="I412" s="44" t="s">
        <v>1065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77" si="265">IF(J412=$S$7,1,0)</f>
        <v>0</v>
      </c>
      <c r="T412" s="1">
        <f t="shared" ref="T412:T477" si="266">IF(J412=$T$7,1,0)</f>
        <v>0</v>
      </c>
      <c r="U412" s="1">
        <f t="shared" ref="U412:U477" si="267">IF(J412=$U$7,1,0)</f>
        <v>0</v>
      </c>
      <c r="V412" s="1">
        <f t="shared" ref="V412:V477" si="268">IF(J412=$V$7,1,0)</f>
        <v>0</v>
      </c>
      <c r="W412" s="1">
        <f t="shared" ref="W412:W477" si="269">IF(J412=$W$7,1,0)</f>
        <v>0</v>
      </c>
      <c r="X412" s="1">
        <f t="shared" ref="X412:X477" si="270">IF(J412=$X$7,1,0)</f>
        <v>0</v>
      </c>
      <c r="Y412" s="1">
        <f t="shared" ref="Y412:Y477" si="271">IF(J412=$Y$7,1,0)</f>
        <v>0</v>
      </c>
      <c r="Z412" s="1">
        <f t="shared" ref="Z412:Z477" si="272">IF(J412=$Z$7,1,0)</f>
        <v>0</v>
      </c>
      <c r="AA412" s="1">
        <f t="shared" ref="AA412:AA477" si="273">IF(J412=$AA$7,1,0)</f>
        <v>0</v>
      </c>
      <c r="AB412" s="1">
        <f t="shared" ref="AB412:AB477" si="274">IF(J412=$AB$7,1,0)</f>
        <v>0</v>
      </c>
      <c r="AD412" s="1">
        <f t="shared" ref="AD412:AD477" si="275">+O412*P412</f>
        <v>0</v>
      </c>
      <c r="AE412" s="1">
        <f t="shared" ref="AE412:AE477" si="276">O412*(1-P412)</f>
        <v>0</v>
      </c>
      <c r="AF412" s="1">
        <f t="shared" si="245"/>
        <v>0</v>
      </c>
      <c r="AG412" s="1">
        <f t="shared" si="246"/>
        <v>0</v>
      </c>
      <c r="AH412" s="1">
        <f t="shared" si="247"/>
        <v>0</v>
      </c>
      <c r="AI412" s="1">
        <f t="shared" si="248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1806</v>
      </c>
      <c r="E413" s="32" t="s">
        <v>156</v>
      </c>
      <c r="F413" s="32" t="s">
        <v>1807</v>
      </c>
      <c r="G413" s="32"/>
      <c r="H413" s="32" t="s">
        <v>354</v>
      </c>
      <c r="I413" s="31" t="s">
        <v>1808</v>
      </c>
      <c r="J413" s="31">
        <v>99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1</v>
      </c>
      <c r="AE413" s="1">
        <f t="shared" si="276"/>
        <v>0</v>
      </c>
      <c r="AF413" s="1">
        <f t="shared" si="245"/>
        <v>1</v>
      </c>
      <c r="AG413" s="1">
        <f t="shared" si="246"/>
        <v>0</v>
      </c>
      <c r="AH413" s="1">
        <f t="shared" si="247"/>
        <v>1</v>
      </c>
      <c r="AI413" s="1">
        <f t="shared" si="248"/>
        <v>0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1178</v>
      </c>
      <c r="E414" s="32" t="s">
        <v>156</v>
      </c>
      <c r="F414" s="32" t="s">
        <v>1179</v>
      </c>
      <c r="G414" s="32" t="s">
        <v>293</v>
      </c>
      <c r="H414" s="32" t="s">
        <v>354</v>
      </c>
      <c r="I414" s="31" t="s">
        <v>1180</v>
      </c>
      <c r="J414" s="31">
        <v>99</v>
      </c>
      <c r="K414" s="33" t="s">
        <v>713</v>
      </c>
      <c r="L414" s="33" t="s">
        <v>722</v>
      </c>
      <c r="M414" s="34" t="s">
        <v>1434</v>
      </c>
      <c r="N414" s="34" t="s">
        <v>1748</v>
      </c>
      <c r="O414" s="35">
        <v>1</v>
      </c>
      <c r="P414" s="35"/>
      <c r="Q414" s="32"/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1153</v>
      </c>
      <c r="E415" s="32" t="s">
        <v>1154</v>
      </c>
      <c r="F415" s="36" t="s">
        <v>1878</v>
      </c>
      <c r="G415" s="32" t="s">
        <v>628</v>
      </c>
      <c r="H415" s="32" t="s">
        <v>354</v>
      </c>
      <c r="I415" s="31" t="s">
        <v>1155</v>
      </c>
      <c r="J415" s="31">
        <v>99</v>
      </c>
      <c r="K415" s="33" t="s">
        <v>713</v>
      </c>
      <c r="L415" s="33" t="s">
        <v>713</v>
      </c>
      <c r="M415" s="34" t="s">
        <v>731</v>
      </c>
      <c r="N415" s="34" t="s">
        <v>1743</v>
      </c>
      <c r="O415" s="35">
        <v>1</v>
      </c>
      <c r="P415" s="35"/>
      <c r="Q415" s="36" t="s">
        <v>1898</v>
      </c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542</v>
      </c>
      <c r="E416" s="32" t="s">
        <v>158</v>
      </c>
      <c r="F416" s="32" t="s">
        <v>195</v>
      </c>
      <c r="G416" s="32" t="s">
        <v>196</v>
      </c>
      <c r="H416" s="32" t="s">
        <v>354</v>
      </c>
      <c r="I416" s="31" t="s">
        <v>550</v>
      </c>
      <c r="J416" s="31">
        <v>99</v>
      </c>
      <c r="K416" s="33" t="s">
        <v>955</v>
      </c>
      <c r="L416" s="33" t="s">
        <v>696</v>
      </c>
      <c r="M416" s="34" t="s">
        <v>1436</v>
      </c>
      <c r="N416" s="34" t="s">
        <v>1748</v>
      </c>
      <c r="O416" s="35">
        <v>1</v>
      </c>
      <c r="P416" s="35"/>
      <c r="Q416" s="32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0</v>
      </c>
      <c r="AD416" s="1">
        <f t="shared" si="275"/>
        <v>0</v>
      </c>
      <c r="AE416" s="1">
        <f t="shared" si="276"/>
        <v>1</v>
      </c>
      <c r="AF416" s="1">
        <f t="shared" si="245"/>
        <v>0</v>
      </c>
      <c r="AG416" s="1">
        <f t="shared" si="246"/>
        <v>1</v>
      </c>
      <c r="AH416" s="1">
        <f t="shared" si="247"/>
        <v>0</v>
      </c>
      <c r="AI416" s="1">
        <f t="shared" si="248"/>
        <v>1</v>
      </c>
    </row>
    <row r="417" spans="1:35" s="1" customFormat="1" ht="14.25" customHeight="1" x14ac:dyDescent="0.25">
      <c r="A417" s="15">
        <v>0</v>
      </c>
      <c r="B417" s="15">
        <v>2</v>
      </c>
      <c r="C417" s="15">
        <v>7</v>
      </c>
      <c r="D417" s="16" t="s">
        <v>46</v>
      </c>
      <c r="E417" s="16" t="s">
        <v>156</v>
      </c>
      <c r="F417" s="16" t="s">
        <v>183</v>
      </c>
      <c r="G417" s="16" t="s">
        <v>179</v>
      </c>
      <c r="H417" s="16" t="s">
        <v>354</v>
      </c>
      <c r="I417" s="15" t="s">
        <v>382</v>
      </c>
      <c r="J417" s="15">
        <v>10</v>
      </c>
      <c r="K417" s="10" t="s">
        <v>955</v>
      </c>
      <c r="L417" s="10" t="s">
        <v>722</v>
      </c>
      <c r="M417" s="19" t="s">
        <v>1434</v>
      </c>
      <c r="N417" s="19"/>
      <c r="Q417" s="16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0</v>
      </c>
      <c r="Z417" s="1">
        <f t="shared" si="272"/>
        <v>0</v>
      </c>
      <c r="AA417" s="1">
        <f t="shared" si="273"/>
        <v>0</v>
      </c>
      <c r="AB417" s="1">
        <f t="shared" si="274"/>
        <v>1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248</v>
      </c>
      <c r="G418" s="45" t="s">
        <v>249</v>
      </c>
      <c r="H418" s="45" t="s">
        <v>354</v>
      </c>
      <c r="I418" s="44" t="s">
        <v>411</v>
      </c>
      <c r="J418" s="44">
        <v>7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0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1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1</v>
      </c>
    </row>
    <row r="419" spans="1:35" s="1" customFormat="1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1039</v>
      </c>
      <c r="G419" s="45" t="s">
        <v>539</v>
      </c>
      <c r="H419" s="45" t="s">
        <v>354</v>
      </c>
      <c r="I419" s="44" t="s">
        <v>30</v>
      </c>
      <c r="J419" s="44">
        <v>1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1</v>
      </c>
      <c r="T419" s="1">
        <f t="shared" si="266"/>
        <v>0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s="1" customFormat="1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250</v>
      </c>
      <c r="G420" s="45" t="s">
        <v>200</v>
      </c>
      <c r="H420" s="45" t="s">
        <v>354</v>
      </c>
      <c r="I420" s="44" t="s">
        <v>412</v>
      </c>
      <c r="J420" s="44">
        <v>2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65"/>
        <v>0</v>
      </c>
      <c r="T420" s="1">
        <f t="shared" si="266"/>
        <v>1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s="1" customFormat="1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247</v>
      </c>
      <c r="G421" s="45" t="s">
        <v>1351</v>
      </c>
      <c r="H421" s="45" t="s">
        <v>354</v>
      </c>
      <c r="I421" s="44" t="s">
        <v>30</v>
      </c>
      <c r="J421" s="44">
        <v>1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 t="s">
        <v>1917</v>
      </c>
      <c r="S421" s="1">
        <f t="shared" si="265"/>
        <v>1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0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s="1" customFormat="1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252</v>
      </c>
      <c r="G422" s="45" t="s">
        <v>194</v>
      </c>
      <c r="H422" s="45" t="s">
        <v>354</v>
      </c>
      <c r="I422" s="44" t="s">
        <v>413</v>
      </c>
      <c r="J422" s="44">
        <v>9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0</v>
      </c>
    </row>
    <row r="423" spans="1:35" s="1" customFormat="1" ht="14.25" customHeight="1" x14ac:dyDescent="0.25">
      <c r="A423" s="44">
        <v>0</v>
      </c>
      <c r="B423" s="44">
        <v>2</v>
      </c>
      <c r="C423" s="44">
        <v>7</v>
      </c>
      <c r="D423" s="45" t="s">
        <v>1023</v>
      </c>
      <c r="E423" s="45" t="s">
        <v>28</v>
      </c>
      <c r="F423" s="45" t="s">
        <v>1024</v>
      </c>
      <c r="G423" s="45" t="s">
        <v>194</v>
      </c>
      <c r="H423" s="45" t="s">
        <v>354</v>
      </c>
      <c r="I423" s="44" t="s">
        <v>1025</v>
      </c>
      <c r="J423" s="44">
        <v>9</v>
      </c>
      <c r="K423" s="46" t="s">
        <v>712</v>
      </c>
      <c r="L423" s="46" t="s">
        <v>713</v>
      </c>
      <c r="M423" s="47" t="s">
        <v>731</v>
      </c>
      <c r="N423" s="47" t="s">
        <v>1735</v>
      </c>
      <c r="O423" s="48"/>
      <c r="P423" s="48"/>
      <c r="Q423" s="45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1</v>
      </c>
      <c r="AB423" s="1">
        <f t="shared" si="274"/>
        <v>0</v>
      </c>
      <c r="AD423" s="1">
        <f t="shared" si="275"/>
        <v>0</v>
      </c>
      <c r="AE423" s="1">
        <f t="shared" si="276"/>
        <v>0</v>
      </c>
      <c r="AF423" s="1">
        <f t="shared" si="245"/>
        <v>0</v>
      </c>
      <c r="AG423" s="1">
        <f t="shared" si="246"/>
        <v>0</v>
      </c>
      <c r="AH423" s="1">
        <f t="shared" si="247"/>
        <v>0</v>
      </c>
      <c r="AI423" s="1">
        <f t="shared" si="248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1833</v>
      </c>
      <c r="E424" s="32" t="s">
        <v>1834</v>
      </c>
      <c r="F424" s="32" t="s">
        <v>1835</v>
      </c>
      <c r="G424" s="32" t="s">
        <v>207</v>
      </c>
      <c r="H424" s="32" t="s">
        <v>354</v>
      </c>
      <c r="I424" s="31" t="s">
        <v>30</v>
      </c>
      <c r="J424" s="31"/>
      <c r="K424" s="33" t="s">
        <v>703</v>
      </c>
      <c r="L424" s="33">
        <v>20</v>
      </c>
      <c r="M424" s="34" t="s">
        <v>1836</v>
      </c>
      <c r="N424" s="34" t="s">
        <v>1743</v>
      </c>
      <c r="O424" s="35">
        <v>1</v>
      </c>
      <c r="P424" s="35"/>
      <c r="Q424" s="32"/>
      <c r="S424" s="1">
        <f t="shared" si="265"/>
        <v>0</v>
      </c>
      <c r="T424" s="1">
        <f t="shared" si="266"/>
        <v>0</v>
      </c>
      <c r="U424" s="1">
        <f t="shared" si="267"/>
        <v>0</v>
      </c>
      <c r="V424" s="1">
        <f t="shared" si="268"/>
        <v>0</v>
      </c>
      <c r="W424" s="1">
        <f t="shared" si="269"/>
        <v>0</v>
      </c>
      <c r="X424" s="1">
        <f t="shared" si="270"/>
        <v>0</v>
      </c>
      <c r="Y424" s="1">
        <f t="shared" si="271"/>
        <v>0</v>
      </c>
      <c r="Z424" s="1">
        <f t="shared" si="272"/>
        <v>0</v>
      </c>
      <c r="AA424" s="1">
        <f t="shared" si="273"/>
        <v>0</v>
      </c>
      <c r="AB424" s="1">
        <f t="shared" si="274"/>
        <v>0</v>
      </c>
      <c r="AD424" s="1">
        <f t="shared" si="275"/>
        <v>0</v>
      </c>
      <c r="AE424" s="1">
        <f t="shared" si="276"/>
        <v>1</v>
      </c>
      <c r="AF424" s="1">
        <f t="shared" si="245"/>
        <v>0</v>
      </c>
      <c r="AG424" s="1">
        <f t="shared" si="246"/>
        <v>1</v>
      </c>
      <c r="AH424" s="1">
        <f t="shared" si="247"/>
        <v>0</v>
      </c>
      <c r="AI424" s="1">
        <f t="shared" si="248"/>
        <v>1</v>
      </c>
    </row>
    <row r="425" spans="1:35" s="1" customFormat="1" ht="14.25" customHeight="1" x14ac:dyDescent="0.25">
      <c r="A425" s="49">
        <v>0</v>
      </c>
      <c r="B425" s="49">
        <v>2</v>
      </c>
      <c r="C425" s="49">
        <v>7</v>
      </c>
      <c r="D425" s="50" t="s">
        <v>1079</v>
      </c>
      <c r="E425" s="50" t="s">
        <v>544</v>
      </c>
      <c r="F425" s="50" t="s">
        <v>1060</v>
      </c>
      <c r="G425" s="50" t="s">
        <v>238</v>
      </c>
      <c r="H425" s="50" t="s">
        <v>354</v>
      </c>
      <c r="I425" s="49" t="s">
        <v>1061</v>
      </c>
      <c r="J425" s="49">
        <v>99</v>
      </c>
      <c r="K425" s="51" t="s">
        <v>955</v>
      </c>
      <c r="L425" s="51" t="s">
        <v>722</v>
      </c>
      <c r="M425" s="52" t="s">
        <v>1437</v>
      </c>
      <c r="N425" s="52" t="s">
        <v>1743</v>
      </c>
      <c r="O425" s="53">
        <v>1</v>
      </c>
      <c r="P425" s="53"/>
      <c r="Q425" s="50"/>
      <c r="S425" s="1">
        <f t="shared" ref="S425:S429" si="277">IF(J425=$S$7,1,0)</f>
        <v>0</v>
      </c>
      <c r="T425" s="1">
        <f t="shared" ref="T425:T429" si="278">IF(J425=$T$7,1,0)</f>
        <v>0</v>
      </c>
      <c r="U425" s="1">
        <f t="shared" ref="U425:U429" si="279">IF(J425=$U$7,1,0)</f>
        <v>0</v>
      </c>
      <c r="V425" s="1">
        <f t="shared" ref="V425:V429" si="280">IF(J425=$V$7,1,0)</f>
        <v>0</v>
      </c>
      <c r="W425" s="1">
        <f t="shared" ref="W425:W429" si="281">IF(J425=$W$7,1,0)</f>
        <v>0</v>
      </c>
      <c r="X425" s="1">
        <f t="shared" ref="X425:X429" si="282">IF(J425=$X$7,1,0)</f>
        <v>0</v>
      </c>
      <c r="Y425" s="1">
        <f t="shared" ref="Y425:Y429" si="283">IF(J425=$Y$7,1,0)</f>
        <v>0</v>
      </c>
      <c r="Z425" s="1">
        <f t="shared" ref="Z425:Z429" si="284">IF(J425=$Z$7,1,0)</f>
        <v>0</v>
      </c>
      <c r="AA425" s="1">
        <f t="shared" ref="AA425:AA429" si="285">IF(J425=$AA$7,1,0)</f>
        <v>0</v>
      </c>
      <c r="AB425" s="1">
        <f t="shared" ref="AB425:AB429" si="286">IF(J425=$AB$7,1,0)</f>
        <v>0</v>
      </c>
      <c r="AD425" s="1">
        <f t="shared" ref="AD425:AD429" si="287">+O425*P425</f>
        <v>0</v>
      </c>
      <c r="AE425" s="1">
        <f t="shared" ref="AE425:AE429" si="288">O425*(1-P425)</f>
        <v>1</v>
      </c>
      <c r="AF425" s="1">
        <f t="shared" ref="AF425:AF429" si="289">+O425*P425*(1-A425)</f>
        <v>0</v>
      </c>
      <c r="AG425" s="1">
        <f t="shared" ref="AG425:AG429" si="290">O425*(1-P425)*(1-A425)</f>
        <v>1</v>
      </c>
      <c r="AH425" s="1">
        <f t="shared" ref="AH425:AH429" si="291">+P425*(1-A425)</f>
        <v>0</v>
      </c>
      <c r="AI425" s="1">
        <f t="shared" ref="AI425:AI429" si="292">+(1-A425)*(1-P425)</f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1226</v>
      </c>
      <c r="E426" s="32" t="s">
        <v>156</v>
      </c>
      <c r="F426" s="32" t="s">
        <v>1227</v>
      </c>
      <c r="G426" s="32" t="s">
        <v>251</v>
      </c>
      <c r="H426" s="32" t="s">
        <v>354</v>
      </c>
      <c r="I426" s="31" t="s">
        <v>1228</v>
      </c>
      <c r="J426" s="31">
        <v>99</v>
      </c>
      <c r="K426" s="33" t="s">
        <v>713</v>
      </c>
      <c r="L426" s="33">
        <v>10</v>
      </c>
      <c r="M426" s="34" t="s">
        <v>1746</v>
      </c>
      <c r="N426" s="34" t="s">
        <v>1727</v>
      </c>
      <c r="O426" s="35">
        <v>1</v>
      </c>
      <c r="P426" s="35">
        <v>1</v>
      </c>
      <c r="Q426" s="32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0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6" t="s">
        <v>1803</v>
      </c>
      <c r="E427" s="36" t="s">
        <v>28</v>
      </c>
      <c r="F427" s="36" t="s">
        <v>1804</v>
      </c>
      <c r="G427" s="36" t="s">
        <v>180</v>
      </c>
      <c r="H427" s="36" t="s">
        <v>354</v>
      </c>
      <c r="I427" s="37" t="s">
        <v>1805</v>
      </c>
      <c r="J427" s="31">
        <v>10</v>
      </c>
      <c r="K427" s="33" t="s">
        <v>703</v>
      </c>
      <c r="L427" s="33">
        <v>10</v>
      </c>
      <c r="M427" s="34"/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1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s="1" customFormat="1" ht="14.25" customHeight="1" x14ac:dyDescent="0.25">
      <c r="A428" s="37">
        <v>0</v>
      </c>
      <c r="B428" s="37">
        <v>2</v>
      </c>
      <c r="C428" s="37">
        <v>7</v>
      </c>
      <c r="D428" s="36" t="s">
        <v>1585</v>
      </c>
      <c r="E428" s="36" t="s">
        <v>1651</v>
      </c>
      <c r="F428" s="36" t="s">
        <v>1586</v>
      </c>
      <c r="G428" s="36" t="s">
        <v>656</v>
      </c>
      <c r="H428" s="36" t="s">
        <v>354</v>
      </c>
      <c r="I428" s="37" t="s">
        <v>1587</v>
      </c>
      <c r="J428" s="37">
        <v>99</v>
      </c>
      <c r="K428" s="33" t="s">
        <v>713</v>
      </c>
      <c r="L428" s="33" t="s">
        <v>39</v>
      </c>
      <c r="M428" s="34" t="s">
        <v>39</v>
      </c>
      <c r="N428" s="34" t="s">
        <v>1727</v>
      </c>
      <c r="O428" s="35">
        <v>1</v>
      </c>
      <c r="P428" s="35">
        <v>1</v>
      </c>
      <c r="Q428" s="36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1</v>
      </c>
      <c r="AE428" s="1">
        <f t="shared" si="288"/>
        <v>0</v>
      </c>
      <c r="AF428" s="1">
        <f t="shared" si="289"/>
        <v>1</v>
      </c>
      <c r="AG428" s="1">
        <f t="shared" si="290"/>
        <v>0</v>
      </c>
      <c r="AH428" s="1">
        <f t="shared" si="291"/>
        <v>1</v>
      </c>
      <c r="AI428" s="1">
        <f t="shared" si="292"/>
        <v>0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1537</v>
      </c>
      <c r="E429" s="45" t="s">
        <v>28</v>
      </c>
      <c r="F429" s="45" t="s">
        <v>1662</v>
      </c>
      <c r="G429" s="45" t="s">
        <v>287</v>
      </c>
      <c r="H429" s="45" t="s">
        <v>354</v>
      </c>
      <c r="I429" s="44" t="s">
        <v>1688</v>
      </c>
      <c r="J429" s="44">
        <v>99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77"/>
        <v>0</v>
      </c>
      <c r="T429" s="1">
        <f t="shared" si="278"/>
        <v>0</v>
      </c>
      <c r="U429" s="1">
        <f t="shared" si="279"/>
        <v>0</v>
      </c>
      <c r="V429" s="1">
        <f t="shared" si="280"/>
        <v>0</v>
      </c>
      <c r="W429" s="1">
        <f t="shared" si="281"/>
        <v>0</v>
      </c>
      <c r="X429" s="1">
        <f t="shared" si="282"/>
        <v>0</v>
      </c>
      <c r="Y429" s="1">
        <f t="shared" si="283"/>
        <v>0</v>
      </c>
      <c r="Z429" s="1">
        <f t="shared" si="284"/>
        <v>0</v>
      </c>
      <c r="AA429" s="1">
        <f t="shared" si="285"/>
        <v>0</v>
      </c>
      <c r="AB429" s="1">
        <f t="shared" si="286"/>
        <v>0</v>
      </c>
      <c r="AD429" s="1">
        <f t="shared" si="287"/>
        <v>0</v>
      </c>
      <c r="AE429" s="1">
        <f t="shared" si="288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1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1328</v>
      </c>
      <c r="E430" s="45" t="s">
        <v>28</v>
      </c>
      <c r="F430" s="45" t="s">
        <v>572</v>
      </c>
      <c r="G430" s="45" t="s">
        <v>181</v>
      </c>
      <c r="H430" s="45" t="s">
        <v>354</v>
      </c>
      <c r="I430" s="44" t="s">
        <v>430</v>
      </c>
      <c r="J430" s="44">
        <v>7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1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72</v>
      </c>
      <c r="E431" s="45" t="s">
        <v>28</v>
      </c>
      <c r="F431" s="65" t="s">
        <v>1875</v>
      </c>
      <c r="G431" s="45" t="s">
        <v>235</v>
      </c>
      <c r="H431" s="45" t="s">
        <v>354</v>
      </c>
      <c r="I431" s="44" t="s">
        <v>680</v>
      </c>
      <c r="J431" s="44">
        <v>99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0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1</v>
      </c>
    </row>
    <row r="432" spans="1:35" s="1" customFormat="1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261</v>
      </c>
      <c r="G432" s="45" t="s">
        <v>220</v>
      </c>
      <c r="H432" s="45" t="s">
        <v>354</v>
      </c>
      <c r="I432" s="44" t="s">
        <v>420</v>
      </c>
      <c r="J432" s="44">
        <v>8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0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1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s="1" customFormat="1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260</v>
      </c>
      <c r="G433" s="45" t="s">
        <v>178</v>
      </c>
      <c r="H433" s="45" t="s">
        <v>354</v>
      </c>
      <c r="I433" s="44" t="s">
        <v>419</v>
      </c>
      <c r="J433" s="44">
        <v>1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65"/>
        <v>1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0</v>
      </c>
    </row>
    <row r="434" spans="1:35" s="1" customFormat="1" ht="14.25" customHeight="1" x14ac:dyDescent="0.25">
      <c r="A434" s="15">
        <v>0</v>
      </c>
      <c r="B434" s="15">
        <v>2</v>
      </c>
      <c r="C434" s="15">
        <v>7</v>
      </c>
      <c r="D434" s="16" t="s">
        <v>778</v>
      </c>
      <c r="E434" s="16" t="s">
        <v>28</v>
      </c>
      <c r="F434" s="16" t="s">
        <v>779</v>
      </c>
      <c r="G434" s="16" t="s">
        <v>279</v>
      </c>
      <c r="H434" s="16" t="s">
        <v>354</v>
      </c>
      <c r="I434" s="15" t="s">
        <v>780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s="1" customFormat="1" ht="14.25" customHeight="1" x14ac:dyDescent="0.25">
      <c r="A435" s="15">
        <v>0</v>
      </c>
      <c r="B435" s="15">
        <v>2</v>
      </c>
      <c r="C435" s="15">
        <v>7</v>
      </c>
      <c r="D435" s="16" t="s">
        <v>85</v>
      </c>
      <c r="E435" s="16" t="s">
        <v>28</v>
      </c>
      <c r="F435" s="16" t="s">
        <v>278</v>
      </c>
      <c r="G435" s="16" t="s">
        <v>279</v>
      </c>
      <c r="H435" s="16" t="s">
        <v>354</v>
      </c>
      <c r="I435" s="15" t="s">
        <v>434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0</v>
      </c>
      <c r="AF435" s="1">
        <f t="shared" si="245"/>
        <v>0</v>
      </c>
      <c r="AG435" s="1">
        <f t="shared" si="246"/>
        <v>0</v>
      </c>
      <c r="AH435" s="1">
        <f t="shared" si="247"/>
        <v>0</v>
      </c>
      <c r="AI435" s="1">
        <f t="shared" si="248"/>
        <v>1</v>
      </c>
    </row>
    <row r="436" spans="1:35" s="1" customFormat="1" ht="14.25" customHeight="1" x14ac:dyDescent="0.25">
      <c r="A436" s="37">
        <v>0</v>
      </c>
      <c r="B436" s="37">
        <v>2</v>
      </c>
      <c r="C436" s="37">
        <v>7</v>
      </c>
      <c r="D436" s="36" t="s">
        <v>1937</v>
      </c>
      <c r="E436" s="36" t="s">
        <v>28</v>
      </c>
      <c r="F436" s="36" t="s">
        <v>1938</v>
      </c>
      <c r="G436" s="36" t="s">
        <v>185</v>
      </c>
      <c r="H436" s="36" t="s">
        <v>354</v>
      </c>
      <c r="I436" s="37" t="s">
        <v>1939</v>
      </c>
      <c r="J436" s="37">
        <v>99</v>
      </c>
      <c r="K436" s="33" t="s">
        <v>703</v>
      </c>
      <c r="L436" s="33">
        <v>4</v>
      </c>
      <c r="M436" s="34" t="s">
        <v>731</v>
      </c>
      <c r="N436" s="34" t="s">
        <v>1743</v>
      </c>
      <c r="O436" s="35">
        <v>1</v>
      </c>
      <c r="P436" s="35"/>
      <c r="Q436" s="36" t="s">
        <v>1940</v>
      </c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1</v>
      </c>
      <c r="AF436" s="1">
        <f t="shared" si="245"/>
        <v>0</v>
      </c>
      <c r="AG436" s="1">
        <f t="shared" si="246"/>
        <v>1</v>
      </c>
      <c r="AH436" s="1">
        <f t="shared" si="247"/>
        <v>0</v>
      </c>
      <c r="AI436" s="1">
        <f t="shared" si="248"/>
        <v>1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1876</v>
      </c>
      <c r="G437" s="45" t="s">
        <v>556</v>
      </c>
      <c r="H437" s="45" t="s">
        <v>354</v>
      </c>
      <c r="I437" s="44" t="s">
        <v>557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1</v>
      </c>
    </row>
    <row r="438" spans="1:35" s="1" customFormat="1" ht="14.25" customHeight="1" x14ac:dyDescent="0.25">
      <c r="A438" s="44">
        <v>1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1877</v>
      </c>
      <c r="G438" s="45" t="s">
        <v>554</v>
      </c>
      <c r="H438" s="45" t="s">
        <v>354</v>
      </c>
      <c r="I438" s="44" t="s">
        <v>555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0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1678</v>
      </c>
      <c r="G439" s="45" t="s">
        <v>235</v>
      </c>
      <c r="H439" s="45" t="s">
        <v>354</v>
      </c>
      <c r="I439" s="44" t="s">
        <v>1366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1</v>
      </c>
    </row>
    <row r="440" spans="1:35" s="1" customFormat="1" ht="14.25" customHeight="1" x14ac:dyDescent="0.25">
      <c r="A440" s="44">
        <v>1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1679</v>
      </c>
      <c r="G440" s="45" t="s">
        <v>1352</v>
      </c>
      <c r="H440" s="45" t="s">
        <v>354</v>
      </c>
      <c r="I440" s="44" t="s">
        <v>1367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0</v>
      </c>
      <c r="AF440" s="1">
        <f t="shared" si="245"/>
        <v>0</v>
      </c>
      <c r="AG440" s="1">
        <f t="shared" si="246"/>
        <v>0</v>
      </c>
      <c r="AH440" s="1">
        <f t="shared" si="247"/>
        <v>0</v>
      </c>
      <c r="AI440" s="1">
        <f t="shared" si="248"/>
        <v>0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1252</v>
      </c>
      <c r="G441" s="32" t="s">
        <v>1237</v>
      </c>
      <c r="H441" s="32" t="s">
        <v>354</v>
      </c>
      <c r="I441" s="31" t="s">
        <v>1254</v>
      </c>
      <c r="J441" s="31">
        <v>99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0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1</v>
      </c>
      <c r="AH441" s="1">
        <f t="shared" si="247"/>
        <v>0</v>
      </c>
      <c r="AI441" s="1">
        <f t="shared" si="248"/>
        <v>1</v>
      </c>
    </row>
    <row r="442" spans="1:35" s="1" customFormat="1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1251</v>
      </c>
      <c r="G442" s="32" t="s">
        <v>39</v>
      </c>
      <c r="H442" s="32" t="s">
        <v>354</v>
      </c>
      <c r="I442" s="31" t="s">
        <v>1255</v>
      </c>
      <c r="J442" s="31">
        <v>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0</v>
      </c>
      <c r="AA442" s="1">
        <f t="shared" si="273"/>
        <v>1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6" t="s">
        <v>1824</v>
      </c>
      <c r="G443" s="36" t="s">
        <v>258</v>
      </c>
      <c r="H443" s="32" t="s">
        <v>354</v>
      </c>
      <c r="I443" s="37" t="s">
        <v>30</v>
      </c>
      <c r="J443" s="31">
        <v>8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1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0</v>
      </c>
      <c r="AH443" s="1">
        <f t="shared" si="247"/>
        <v>0</v>
      </c>
      <c r="AI443" s="1">
        <f t="shared" si="248"/>
        <v>0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51</v>
      </c>
      <c r="E444" s="32" t="s">
        <v>28</v>
      </c>
      <c r="F444" s="32" t="s">
        <v>674</v>
      </c>
      <c r="G444" s="32" t="s">
        <v>185</v>
      </c>
      <c r="H444" s="32" t="s">
        <v>354</v>
      </c>
      <c r="I444" s="31" t="s">
        <v>390</v>
      </c>
      <c r="J444" s="31">
        <v>99</v>
      </c>
      <c r="K444" s="33" t="s">
        <v>712</v>
      </c>
      <c r="L444" s="33" t="s">
        <v>713</v>
      </c>
      <c r="M444" s="34" t="s">
        <v>731</v>
      </c>
      <c r="N444" s="34" t="s">
        <v>1749</v>
      </c>
      <c r="O444" s="35">
        <v>1</v>
      </c>
      <c r="P444" s="35"/>
      <c r="Q444" s="32"/>
      <c r="S444" s="1">
        <f t="shared" si="265"/>
        <v>0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1</v>
      </c>
      <c r="AF444" s="1">
        <f t="shared" si="245"/>
        <v>0</v>
      </c>
      <c r="AG444" s="1">
        <f t="shared" si="246"/>
        <v>1</v>
      </c>
      <c r="AH444" s="1">
        <f t="shared" si="247"/>
        <v>0</v>
      </c>
      <c r="AI444" s="1">
        <f t="shared" si="248"/>
        <v>1</v>
      </c>
    </row>
    <row r="445" spans="1:35" s="1" customFormat="1" ht="14.25" customHeight="1" x14ac:dyDescent="0.25">
      <c r="A445" s="44">
        <v>0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998</v>
      </c>
      <c r="G445" s="45" t="s">
        <v>240</v>
      </c>
      <c r="H445" s="45" t="s">
        <v>354</v>
      </c>
      <c r="I445" s="44" t="s">
        <v>1106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1</v>
      </c>
    </row>
    <row r="446" spans="1:35" s="1" customFormat="1" ht="14.25" customHeight="1" x14ac:dyDescent="0.25">
      <c r="A446" s="44">
        <v>1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999</v>
      </c>
      <c r="G446" s="45" t="s">
        <v>1099</v>
      </c>
      <c r="H446" s="45" t="s">
        <v>354</v>
      </c>
      <c r="I446" s="44" t="s">
        <v>1107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65"/>
        <v>1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0</v>
      </c>
      <c r="AF446" s="1">
        <f t="shared" si="245"/>
        <v>0</v>
      </c>
      <c r="AG446" s="1">
        <f t="shared" si="246"/>
        <v>0</v>
      </c>
      <c r="AH446" s="1">
        <f t="shared" si="247"/>
        <v>0</v>
      </c>
      <c r="AI446" s="1">
        <f t="shared" si="248"/>
        <v>0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1638</v>
      </c>
      <c r="E447" s="32" t="s">
        <v>156</v>
      </c>
      <c r="F447" s="32" t="s">
        <v>1491</v>
      </c>
      <c r="G447" s="32" t="s">
        <v>1492</v>
      </c>
      <c r="H447" s="32" t="s">
        <v>354</v>
      </c>
      <c r="I447" s="31" t="s">
        <v>1493</v>
      </c>
      <c r="J447" s="31">
        <v>99</v>
      </c>
      <c r="K447" s="33" t="s">
        <v>955</v>
      </c>
      <c r="L447" s="33" t="s">
        <v>722</v>
      </c>
      <c r="M447" s="34" t="s">
        <v>732</v>
      </c>
      <c r="N447" s="34" t="s">
        <v>1748</v>
      </c>
      <c r="O447" s="35">
        <v>1</v>
      </c>
      <c r="P447" s="35"/>
      <c r="Q447" s="32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0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1</v>
      </c>
      <c r="AF447" s="1">
        <f t="shared" si="245"/>
        <v>0</v>
      </c>
      <c r="AG447" s="1">
        <f t="shared" si="246"/>
        <v>1</v>
      </c>
      <c r="AH447" s="1">
        <f t="shared" si="247"/>
        <v>0</v>
      </c>
      <c r="AI447" s="1">
        <f t="shared" si="248"/>
        <v>1</v>
      </c>
    </row>
    <row r="448" spans="1:35" s="1" customFormat="1" ht="14.25" customHeight="1" x14ac:dyDescent="0.25">
      <c r="A448" s="44">
        <v>0</v>
      </c>
      <c r="B448" s="44">
        <v>2</v>
      </c>
      <c r="C448" s="44">
        <v>7</v>
      </c>
      <c r="D448" s="45" t="s">
        <v>82</v>
      </c>
      <c r="E448" s="45" t="s">
        <v>28</v>
      </c>
      <c r="F448" s="45" t="s">
        <v>274</v>
      </c>
      <c r="G448" s="45" t="s">
        <v>275</v>
      </c>
      <c r="H448" s="45" t="s">
        <v>354</v>
      </c>
      <c r="I448" s="44" t="s">
        <v>429</v>
      </c>
      <c r="J448" s="44">
        <v>7</v>
      </c>
      <c r="K448" s="46" t="s">
        <v>955</v>
      </c>
      <c r="L448" s="46" t="s">
        <v>954</v>
      </c>
      <c r="M448" s="47" t="s">
        <v>968</v>
      </c>
      <c r="N448" s="47" t="s">
        <v>1809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1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s="1" customFormat="1" ht="14.25" customHeight="1" x14ac:dyDescent="0.25">
      <c r="A449" s="44">
        <v>0</v>
      </c>
      <c r="B449" s="44">
        <v>2</v>
      </c>
      <c r="C449" s="44">
        <v>7</v>
      </c>
      <c r="D449" s="45" t="s">
        <v>76</v>
      </c>
      <c r="E449" s="45" t="s">
        <v>28</v>
      </c>
      <c r="F449" s="45" t="s">
        <v>1681</v>
      </c>
      <c r="G449" s="45" t="s">
        <v>190</v>
      </c>
      <c r="H449" s="45" t="s">
        <v>354</v>
      </c>
      <c r="I449" s="44" t="s">
        <v>423</v>
      </c>
      <c r="J449" s="44">
        <v>99</v>
      </c>
      <c r="K449" s="46" t="s">
        <v>954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si="275"/>
        <v>0</v>
      </c>
      <c r="AE449" s="1">
        <f t="shared" si="276"/>
        <v>0</v>
      </c>
      <c r="AF449" s="1">
        <f t="shared" si="245"/>
        <v>0</v>
      </c>
      <c r="AG449" s="1">
        <f t="shared" si="246"/>
        <v>0</v>
      </c>
      <c r="AH449" s="1">
        <f t="shared" si="247"/>
        <v>0</v>
      </c>
      <c r="AI449" s="1">
        <f t="shared" si="248"/>
        <v>1</v>
      </c>
    </row>
    <row r="450" spans="1:35" s="1" customFormat="1" ht="14.25" customHeight="1" x14ac:dyDescent="0.25">
      <c r="A450" s="15">
        <v>0</v>
      </c>
      <c r="B450" s="15">
        <v>2</v>
      </c>
      <c r="C450" s="15">
        <v>7</v>
      </c>
      <c r="D450" s="20" t="s">
        <v>2034</v>
      </c>
      <c r="E450" s="16" t="s">
        <v>2038</v>
      </c>
      <c r="F450" s="20" t="s">
        <v>2035</v>
      </c>
      <c r="G450" s="20" t="s">
        <v>2036</v>
      </c>
      <c r="H450" s="20" t="s">
        <v>354</v>
      </c>
      <c r="I450" s="21" t="s">
        <v>2037</v>
      </c>
      <c r="J450" s="15">
        <v>99</v>
      </c>
      <c r="K450" s="10" t="s">
        <v>703</v>
      </c>
      <c r="L450" s="10">
        <v>20</v>
      </c>
      <c r="M450" s="19" t="s">
        <v>2040</v>
      </c>
      <c r="N450" s="19"/>
      <c r="Q450" s="20" t="s">
        <v>2039</v>
      </c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ref="AD450:AD453" si="293">+O450*P450</f>
        <v>0</v>
      </c>
      <c r="AE450" s="1">
        <f t="shared" ref="AE450:AE453" si="294">O450*(1-P450)</f>
        <v>0</v>
      </c>
      <c r="AF450" s="1">
        <f t="shared" ref="AF450:AF453" si="295">+O450*P450*(1-A450)</f>
        <v>0</v>
      </c>
      <c r="AG450" s="1">
        <f t="shared" ref="AG450:AG453" si="296">O450*(1-P450)*(1-A450)</f>
        <v>0</v>
      </c>
      <c r="AH450" s="1">
        <f t="shared" ref="AH450:AH453" si="297">+P450*(1-A450)</f>
        <v>0</v>
      </c>
      <c r="AI450" s="1">
        <f t="shared" ref="AI450:AI453" si="298">+(1-A450)*(1-P450)</f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1640</v>
      </c>
      <c r="E451" s="32" t="s">
        <v>163</v>
      </c>
      <c r="F451" s="32" t="s">
        <v>244</v>
      </c>
      <c r="G451" s="32" t="s">
        <v>218</v>
      </c>
      <c r="H451" s="32" t="s">
        <v>354</v>
      </c>
      <c r="I451" s="31" t="s">
        <v>408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1727</v>
      </c>
      <c r="O451" s="35">
        <v>1</v>
      </c>
      <c r="P451" s="35">
        <v>1</v>
      </c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1</v>
      </c>
      <c r="AE451" s="1">
        <f t="shared" si="294"/>
        <v>0</v>
      </c>
      <c r="AF451" s="1">
        <f t="shared" si="295"/>
        <v>1</v>
      </c>
      <c r="AG451" s="1">
        <f t="shared" si="296"/>
        <v>0</v>
      </c>
      <c r="AH451" s="1">
        <f t="shared" si="297"/>
        <v>1</v>
      </c>
      <c r="AI451" s="1">
        <f t="shared" si="298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1538</v>
      </c>
      <c r="E452" s="32" t="s">
        <v>156</v>
      </c>
      <c r="F452" s="32" t="s">
        <v>1539</v>
      </c>
      <c r="G452" s="32" t="s">
        <v>39</v>
      </c>
      <c r="H452" s="32" t="s">
        <v>354</v>
      </c>
      <c r="I452" s="31" t="s">
        <v>1540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265"/>
        <v>0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1</v>
      </c>
      <c r="AF452" s="1">
        <f t="shared" si="295"/>
        <v>0</v>
      </c>
      <c r="AG452" s="1">
        <f t="shared" si="296"/>
        <v>1</v>
      </c>
      <c r="AH452" s="1">
        <f t="shared" si="297"/>
        <v>0</v>
      </c>
      <c r="AI452" s="1">
        <f t="shared" si="298"/>
        <v>1</v>
      </c>
    </row>
    <row r="453" spans="1:35" s="1" customFormat="1" ht="14.25" customHeight="1" x14ac:dyDescent="0.25">
      <c r="A453" s="44">
        <v>0</v>
      </c>
      <c r="B453" s="44">
        <v>2</v>
      </c>
      <c r="C453" s="44">
        <v>7</v>
      </c>
      <c r="D453" s="45" t="s">
        <v>1262</v>
      </c>
      <c r="E453" s="45" t="s">
        <v>1524</v>
      </c>
      <c r="F453" s="45" t="s">
        <v>1355</v>
      </c>
      <c r="G453" s="45" t="s">
        <v>186</v>
      </c>
      <c r="H453" s="45" t="s">
        <v>354</v>
      </c>
      <c r="I453" s="44" t="s">
        <v>1368</v>
      </c>
      <c r="J453" s="44">
        <v>1</v>
      </c>
      <c r="K453" s="46" t="s">
        <v>713</v>
      </c>
      <c r="L453" s="46" t="s">
        <v>716</v>
      </c>
      <c r="M453" s="47" t="s">
        <v>1438</v>
      </c>
      <c r="N453" s="47" t="s">
        <v>1735</v>
      </c>
      <c r="O453" s="48"/>
      <c r="P453" s="48"/>
      <c r="Q453" s="45"/>
      <c r="S453" s="1">
        <f t="shared" si="265"/>
        <v>1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93"/>
        <v>0</v>
      </c>
      <c r="AE453" s="1">
        <f t="shared" si="294"/>
        <v>0</v>
      </c>
      <c r="AF453" s="1">
        <f t="shared" si="295"/>
        <v>0</v>
      </c>
      <c r="AG453" s="1">
        <f t="shared" si="296"/>
        <v>0</v>
      </c>
      <c r="AH453" s="1">
        <f t="shared" si="297"/>
        <v>0</v>
      </c>
      <c r="AI453" s="1">
        <f t="shared" si="298"/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974</v>
      </c>
      <c r="G454" s="32" t="s">
        <v>1101</v>
      </c>
      <c r="H454" s="32" t="s">
        <v>354</v>
      </c>
      <c r="I454" s="31" t="s">
        <v>1108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1</v>
      </c>
      <c r="AH454" s="1">
        <f t="shared" si="247"/>
        <v>0</v>
      </c>
      <c r="AI454" s="1">
        <f t="shared" si="248"/>
        <v>1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245</v>
      </c>
      <c r="G455" s="32" t="s">
        <v>224</v>
      </c>
      <c r="H455" s="32" t="s">
        <v>354</v>
      </c>
      <c r="I455" s="31" t="s">
        <v>409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0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246</v>
      </c>
      <c r="G456" s="32" t="s">
        <v>220</v>
      </c>
      <c r="H456" s="32" t="s">
        <v>354</v>
      </c>
      <c r="I456" s="31" t="s">
        <v>410</v>
      </c>
      <c r="J456" s="31">
        <v>8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 t="s">
        <v>2017</v>
      </c>
      <c r="S456" s="1">
        <f t="shared" si="265"/>
        <v>0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1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1034</v>
      </c>
      <c r="G457" s="32" t="s">
        <v>39</v>
      </c>
      <c r="H457" s="32" t="s">
        <v>354</v>
      </c>
      <c r="I457" s="31" t="s">
        <v>1035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si="275"/>
        <v>0</v>
      </c>
      <c r="AE457" s="1">
        <f t="shared" si="276"/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1036</v>
      </c>
      <c r="G458" s="32" t="s">
        <v>302</v>
      </c>
      <c r="H458" s="32" t="s">
        <v>354</v>
      </c>
      <c r="I458" s="31" t="s">
        <v>1037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65"/>
        <v>1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ref="AD458:AD459" si="299">+O458*P458</f>
        <v>0</v>
      </c>
      <c r="AE458" s="1">
        <f t="shared" ref="AE458:AE459" si="300">O458*(1-P458)</f>
        <v>1</v>
      </c>
      <c r="AF458" s="1">
        <f t="shared" si="245"/>
        <v>0</v>
      </c>
      <c r="AG458" s="1">
        <f t="shared" si="246"/>
        <v>0</v>
      </c>
      <c r="AH458" s="1">
        <f t="shared" si="247"/>
        <v>0</v>
      </c>
      <c r="AI458" s="1">
        <f t="shared" si="248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1573</v>
      </c>
      <c r="E459" s="32" t="s">
        <v>156</v>
      </c>
      <c r="F459" s="32" t="s">
        <v>1574</v>
      </c>
      <c r="G459" s="32" t="s">
        <v>207</v>
      </c>
      <c r="H459" s="32" t="s">
        <v>354</v>
      </c>
      <c r="I459" s="31" t="s">
        <v>1575</v>
      </c>
      <c r="J459" s="31">
        <v>99</v>
      </c>
      <c r="K459" s="33" t="s">
        <v>712</v>
      </c>
      <c r="L459" s="33" t="s">
        <v>722</v>
      </c>
      <c r="M459" s="34" t="s">
        <v>732</v>
      </c>
      <c r="N459" s="34" t="s">
        <v>1946</v>
      </c>
      <c r="O459" s="35">
        <v>1</v>
      </c>
      <c r="P459" s="35"/>
      <c r="Q459" s="32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0</v>
      </c>
      <c r="AA459" s="1">
        <f t="shared" si="273"/>
        <v>0</v>
      </c>
      <c r="AB459" s="1">
        <f t="shared" si="274"/>
        <v>0</v>
      </c>
      <c r="AD459" s="1">
        <f t="shared" si="299"/>
        <v>0</v>
      </c>
      <c r="AE459" s="1">
        <f t="shared" si="300"/>
        <v>1</v>
      </c>
      <c r="AF459" s="1">
        <f t="shared" si="245"/>
        <v>0</v>
      </c>
      <c r="AG459" s="1">
        <f t="shared" si="246"/>
        <v>1</v>
      </c>
      <c r="AH459" s="1">
        <f t="shared" si="247"/>
        <v>0</v>
      </c>
      <c r="AI459" s="1">
        <f t="shared" si="248"/>
        <v>1</v>
      </c>
    </row>
    <row r="460" spans="1:35" s="1" customFormat="1" ht="14.25" customHeight="1" x14ac:dyDescent="0.25">
      <c r="A460" s="44">
        <v>0</v>
      </c>
      <c r="B460" s="44">
        <v>2</v>
      </c>
      <c r="C460" s="44">
        <v>7</v>
      </c>
      <c r="D460" s="45" t="s">
        <v>1132</v>
      </c>
      <c r="E460" s="45" t="s">
        <v>28</v>
      </c>
      <c r="F460" s="45" t="s">
        <v>1133</v>
      </c>
      <c r="G460" s="45" t="s">
        <v>220</v>
      </c>
      <c r="H460" s="45" t="s">
        <v>354</v>
      </c>
      <c r="I460" s="44" t="s">
        <v>1134</v>
      </c>
      <c r="J460" s="44">
        <v>8</v>
      </c>
      <c r="K460" s="46" t="s">
        <v>955</v>
      </c>
      <c r="L460" s="46" t="s">
        <v>713</v>
      </c>
      <c r="M460" s="47" t="s">
        <v>731</v>
      </c>
      <c r="N460" s="47" t="s">
        <v>1802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1</v>
      </c>
      <c r="AA460" s="1">
        <f t="shared" si="273"/>
        <v>0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s="1" customFormat="1" ht="14.25" customHeight="1" x14ac:dyDescent="0.25">
      <c r="A461" s="44">
        <v>0</v>
      </c>
      <c r="B461" s="44">
        <v>2</v>
      </c>
      <c r="C461" s="44">
        <v>7</v>
      </c>
      <c r="D461" s="45" t="s">
        <v>73</v>
      </c>
      <c r="E461" s="45" t="s">
        <v>28</v>
      </c>
      <c r="F461" s="45" t="s">
        <v>264</v>
      </c>
      <c r="G461" s="45" t="s">
        <v>194</v>
      </c>
      <c r="H461" s="45" t="s">
        <v>354</v>
      </c>
      <c r="I461" s="44" t="s">
        <v>421</v>
      </c>
      <c r="J461" s="44">
        <v>9</v>
      </c>
      <c r="K461" s="46" t="s">
        <v>712</v>
      </c>
      <c r="L461" s="46" t="s">
        <v>713</v>
      </c>
      <c r="M461" s="47" t="s">
        <v>731</v>
      </c>
      <c r="N461" s="47" t="s">
        <v>1735</v>
      </c>
      <c r="O461" s="48"/>
      <c r="P461" s="48"/>
      <c r="Q461" s="45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1</v>
      </c>
      <c r="AB461" s="1">
        <f t="shared" si="274"/>
        <v>0</v>
      </c>
      <c r="AD461" s="1">
        <f t="shared" si="275"/>
        <v>0</v>
      </c>
      <c r="AE461" s="1">
        <f t="shared" si="276"/>
        <v>0</v>
      </c>
      <c r="AF461" s="1">
        <f t="shared" si="245"/>
        <v>0</v>
      </c>
      <c r="AG461" s="1">
        <f t="shared" si="246"/>
        <v>0</v>
      </c>
      <c r="AH461" s="1">
        <f t="shared" si="247"/>
        <v>0</v>
      </c>
      <c r="AI461" s="1">
        <f t="shared" si="248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59</v>
      </c>
      <c r="E462" s="32" t="s">
        <v>163</v>
      </c>
      <c r="F462" s="32" t="s">
        <v>225</v>
      </c>
      <c r="G462" s="32" t="s">
        <v>226</v>
      </c>
      <c r="H462" s="32" t="s">
        <v>354</v>
      </c>
      <c r="I462" s="31" t="s">
        <v>398</v>
      </c>
      <c r="J462" s="31">
        <v>99</v>
      </c>
      <c r="K462" s="33" t="s">
        <v>713</v>
      </c>
      <c r="L462" s="33" t="s">
        <v>722</v>
      </c>
      <c r="M462" s="34" t="s">
        <v>732</v>
      </c>
      <c r="N462" s="34" t="s">
        <v>1750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0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1075</v>
      </c>
      <c r="E463" s="32" t="s">
        <v>156</v>
      </c>
      <c r="F463" s="32" t="s">
        <v>1076</v>
      </c>
      <c r="G463" s="32" t="s">
        <v>220</v>
      </c>
      <c r="H463" s="32" t="s">
        <v>354</v>
      </c>
      <c r="I463" s="31" t="s">
        <v>1077</v>
      </c>
      <c r="J463" s="31">
        <v>8</v>
      </c>
      <c r="K463" s="33" t="s">
        <v>712</v>
      </c>
      <c r="L463" s="33" t="s">
        <v>722</v>
      </c>
      <c r="M463" s="34" t="s">
        <v>732</v>
      </c>
      <c r="N463" s="34" t="s">
        <v>1748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1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81</v>
      </c>
      <c r="E464" s="32" t="s">
        <v>156</v>
      </c>
      <c r="F464" s="32" t="s">
        <v>273</v>
      </c>
      <c r="G464" s="32" t="s">
        <v>254</v>
      </c>
      <c r="H464" s="32" t="s">
        <v>354</v>
      </c>
      <c r="I464" s="31" t="s">
        <v>428</v>
      </c>
      <c r="J464" s="31">
        <v>99</v>
      </c>
      <c r="K464" s="33" t="s">
        <v>713</v>
      </c>
      <c r="L464" s="33" t="s">
        <v>733</v>
      </c>
      <c r="M464" s="34" t="s">
        <v>734</v>
      </c>
      <c r="N464" s="34" t="s">
        <v>1756</v>
      </c>
      <c r="O464" s="35">
        <v>1</v>
      </c>
      <c r="P464" s="35"/>
      <c r="Q464" s="32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0</v>
      </c>
      <c r="AE464" s="1">
        <f t="shared" si="276"/>
        <v>1</v>
      </c>
      <c r="AF464" s="1">
        <f t="shared" si="245"/>
        <v>0</v>
      </c>
      <c r="AG464" s="1">
        <f t="shared" si="246"/>
        <v>1</v>
      </c>
      <c r="AH464" s="1">
        <f t="shared" si="247"/>
        <v>0</v>
      </c>
      <c r="AI464" s="1">
        <f t="shared" si="248"/>
        <v>1</v>
      </c>
    </row>
    <row r="465" spans="1:35" s="1" customFormat="1" ht="14.25" customHeight="1" x14ac:dyDescent="0.25">
      <c r="A465" s="37">
        <v>0</v>
      </c>
      <c r="B465" s="37">
        <v>2</v>
      </c>
      <c r="C465" s="37">
        <v>7</v>
      </c>
      <c r="D465" s="36" t="s">
        <v>1775</v>
      </c>
      <c r="E465" s="36" t="s">
        <v>1776</v>
      </c>
      <c r="F465" s="36" t="s">
        <v>1777</v>
      </c>
      <c r="G465" s="36" t="s">
        <v>190</v>
      </c>
      <c r="H465" s="36" t="s">
        <v>354</v>
      </c>
      <c r="I465" s="37"/>
      <c r="J465" s="37"/>
      <c r="K465" s="33" t="s">
        <v>703</v>
      </c>
      <c r="L465" s="33"/>
      <c r="M465" s="34"/>
      <c r="N465" s="34" t="s">
        <v>1727</v>
      </c>
      <c r="O465" s="35">
        <v>1</v>
      </c>
      <c r="P465" s="35">
        <v>1</v>
      </c>
      <c r="Q465" s="36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1</v>
      </c>
      <c r="AE465" s="1">
        <f t="shared" si="276"/>
        <v>0</v>
      </c>
      <c r="AF465" s="1">
        <f t="shared" si="245"/>
        <v>1</v>
      </c>
      <c r="AG465" s="1">
        <f t="shared" si="246"/>
        <v>0</v>
      </c>
      <c r="AH465" s="1">
        <f t="shared" si="247"/>
        <v>1</v>
      </c>
      <c r="AI465" s="1">
        <f t="shared" si="248"/>
        <v>0</v>
      </c>
    </row>
    <row r="466" spans="1:35" s="1" customFormat="1" ht="14.25" customHeight="1" x14ac:dyDescent="0.25">
      <c r="A466" s="44">
        <v>0</v>
      </c>
      <c r="B466" s="44">
        <v>2</v>
      </c>
      <c r="C466" s="44">
        <v>7</v>
      </c>
      <c r="D466" s="45" t="s">
        <v>514</v>
      </c>
      <c r="E466" s="45" t="s">
        <v>156</v>
      </c>
      <c r="F466" s="45" t="s">
        <v>574</v>
      </c>
      <c r="G466" s="45" t="s">
        <v>321</v>
      </c>
      <c r="H466" s="45" t="s">
        <v>354</v>
      </c>
      <c r="I466" s="44" t="s">
        <v>581</v>
      </c>
      <c r="J466" s="44">
        <v>99</v>
      </c>
      <c r="K466" s="46" t="s">
        <v>954</v>
      </c>
      <c r="L466" s="46" t="s">
        <v>722</v>
      </c>
      <c r="M466" s="47" t="s">
        <v>732</v>
      </c>
      <c r="N466" s="47" t="s">
        <v>1738</v>
      </c>
      <c r="O466" s="48"/>
      <c r="P466" s="48"/>
      <c r="Q466" s="45"/>
      <c r="S466" s="1">
        <f t="shared" si="265"/>
        <v>0</v>
      </c>
      <c r="T466" s="1">
        <f t="shared" si="266"/>
        <v>0</v>
      </c>
      <c r="U466" s="1">
        <f t="shared" si="267"/>
        <v>0</v>
      </c>
      <c r="V466" s="1">
        <f t="shared" si="268"/>
        <v>0</v>
      </c>
      <c r="W466" s="1">
        <f t="shared" si="269"/>
        <v>0</v>
      </c>
      <c r="X466" s="1">
        <f t="shared" si="270"/>
        <v>0</v>
      </c>
      <c r="Y466" s="1">
        <f t="shared" si="271"/>
        <v>0</v>
      </c>
      <c r="Z466" s="1">
        <f t="shared" si="272"/>
        <v>0</v>
      </c>
      <c r="AA466" s="1">
        <f t="shared" si="273"/>
        <v>0</v>
      </c>
      <c r="AB466" s="1">
        <f t="shared" si="274"/>
        <v>0</v>
      </c>
      <c r="AD466" s="1">
        <f t="shared" si="275"/>
        <v>0</v>
      </c>
      <c r="AE466" s="1">
        <f t="shared" si="276"/>
        <v>0</v>
      </c>
      <c r="AF466" s="1">
        <f t="shared" si="245"/>
        <v>0</v>
      </c>
      <c r="AG466" s="1">
        <f t="shared" si="246"/>
        <v>0</v>
      </c>
      <c r="AH466" s="1">
        <f t="shared" si="247"/>
        <v>0</v>
      </c>
      <c r="AI466" s="1">
        <f t="shared" si="248"/>
        <v>1</v>
      </c>
    </row>
    <row r="467" spans="1:35" s="1" customFormat="1" ht="14.25" customHeight="1" x14ac:dyDescent="0.25">
      <c r="A467" s="44">
        <v>0</v>
      </c>
      <c r="B467" s="44">
        <v>2</v>
      </c>
      <c r="C467" s="44">
        <v>7</v>
      </c>
      <c r="D467" s="45" t="s">
        <v>74</v>
      </c>
      <c r="E467" s="45" t="s">
        <v>156</v>
      </c>
      <c r="F467" s="45" t="s">
        <v>675</v>
      </c>
      <c r="G467" s="45" t="s">
        <v>265</v>
      </c>
      <c r="H467" s="45" t="s">
        <v>354</v>
      </c>
      <c r="I467" s="44" t="s">
        <v>422</v>
      </c>
      <c r="J467" s="44">
        <v>99</v>
      </c>
      <c r="K467" s="46" t="s">
        <v>712</v>
      </c>
      <c r="L467" s="46" t="s">
        <v>729</v>
      </c>
      <c r="M467" s="47" t="s">
        <v>732</v>
      </c>
      <c r="N467" s="47" t="s">
        <v>1735</v>
      </c>
      <c r="O467" s="48"/>
      <c r="P467" s="48"/>
      <c r="Q467" s="45"/>
      <c r="S467" s="1">
        <f t="shared" ref="S467:S472" si="301">IF(J467=$S$7,1,0)</f>
        <v>0</v>
      </c>
      <c r="T467" s="1">
        <f t="shared" ref="T467:T472" si="302">IF(J467=$T$7,1,0)</f>
        <v>0</v>
      </c>
      <c r="U467" s="1">
        <f t="shared" ref="U467:U472" si="303">IF(J467=$U$7,1,0)</f>
        <v>0</v>
      </c>
      <c r="V467" s="1">
        <f t="shared" ref="V467:V472" si="304">IF(J467=$V$7,1,0)</f>
        <v>0</v>
      </c>
      <c r="W467" s="1">
        <f t="shared" ref="W467:W472" si="305">IF(J467=$W$7,1,0)</f>
        <v>0</v>
      </c>
      <c r="X467" s="1">
        <f t="shared" ref="X467:X472" si="306">IF(J467=$X$7,1,0)</f>
        <v>0</v>
      </c>
      <c r="Y467" s="1">
        <f t="shared" ref="Y467:Y472" si="307">IF(J467=$Y$7,1,0)</f>
        <v>0</v>
      </c>
      <c r="Z467" s="1">
        <f t="shared" ref="Z467:Z472" si="308">IF(J467=$Z$7,1,0)</f>
        <v>0</v>
      </c>
      <c r="AA467" s="1">
        <f t="shared" ref="AA467:AA472" si="309">IF(J467=$AA$7,1,0)</f>
        <v>0</v>
      </c>
      <c r="AB467" s="1">
        <f t="shared" ref="AB467:AB472" si="310">IF(J467=$AB$7,1,0)</f>
        <v>0</v>
      </c>
      <c r="AD467" s="1">
        <f t="shared" ref="AD467:AD472" si="311">+O467*P467</f>
        <v>0</v>
      </c>
      <c r="AE467" s="1">
        <f t="shared" ref="AE467:AE472" si="312">O467*(1-P467)</f>
        <v>0</v>
      </c>
      <c r="AF467" s="1">
        <f t="shared" ref="AF467:AF472" si="313">+O467*P467*(1-A467)</f>
        <v>0</v>
      </c>
      <c r="AG467" s="1">
        <f t="shared" ref="AG467:AG472" si="314">O467*(1-P467)*(1-A467)</f>
        <v>0</v>
      </c>
      <c r="AH467" s="1">
        <f t="shared" ref="AH467:AH472" si="315">+P467*(1-A467)</f>
        <v>0</v>
      </c>
      <c r="AI467" s="1">
        <f t="shared" ref="AI467:AI472" si="316">+(1-A467)*(1-P467)</f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2008</v>
      </c>
      <c r="G468" s="32" t="s">
        <v>283</v>
      </c>
      <c r="H468" s="32" t="s">
        <v>354</v>
      </c>
      <c r="I468" s="31" t="s">
        <v>2009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1</v>
      </c>
      <c r="AG468" s="1">
        <f t="shared" si="314"/>
        <v>0</v>
      </c>
      <c r="AH468" s="1">
        <f t="shared" si="315"/>
        <v>1</v>
      </c>
      <c r="AI468" s="1">
        <f t="shared" si="316"/>
        <v>0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2010</v>
      </c>
      <c r="G469" s="32" t="s">
        <v>2011</v>
      </c>
      <c r="H469" s="32" t="s">
        <v>354</v>
      </c>
      <c r="I469" s="31" t="s">
        <v>2012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1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0</v>
      </c>
    </row>
    <row r="470" spans="1:35" s="1" customFormat="1" ht="14.25" customHeight="1" x14ac:dyDescent="0.25">
      <c r="A470" s="15">
        <v>0</v>
      </c>
      <c r="B470" s="15">
        <v>2</v>
      </c>
      <c r="C470" s="15">
        <v>7</v>
      </c>
      <c r="D470" s="20" t="s">
        <v>1858</v>
      </c>
      <c r="E470" s="16" t="s">
        <v>156</v>
      </c>
      <c r="F470" s="20" t="s">
        <v>1859</v>
      </c>
      <c r="G470" s="20" t="s">
        <v>283</v>
      </c>
      <c r="H470" s="20" t="s">
        <v>354</v>
      </c>
      <c r="I470" s="21" t="s">
        <v>1860</v>
      </c>
      <c r="J470" s="15">
        <v>99</v>
      </c>
      <c r="K470" s="10" t="s">
        <v>703</v>
      </c>
      <c r="L470" s="10" t="s">
        <v>722</v>
      </c>
      <c r="M470" s="19" t="s">
        <v>732</v>
      </c>
      <c r="N470" s="19"/>
      <c r="Q470" s="20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0</v>
      </c>
      <c r="AF470" s="1">
        <f t="shared" si="313"/>
        <v>0</v>
      </c>
      <c r="AG470" s="1">
        <f t="shared" si="314"/>
        <v>0</v>
      </c>
      <c r="AH470" s="1">
        <f t="shared" si="315"/>
        <v>0</v>
      </c>
      <c r="AI470" s="1">
        <f t="shared" si="316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60</v>
      </c>
      <c r="E471" s="32" t="s">
        <v>163</v>
      </c>
      <c r="F471" s="32" t="s">
        <v>227</v>
      </c>
      <c r="G471" s="32" t="s">
        <v>190</v>
      </c>
      <c r="H471" s="32" t="s">
        <v>354</v>
      </c>
      <c r="I471" s="31" t="s">
        <v>399</v>
      </c>
      <c r="J471" s="31">
        <v>99</v>
      </c>
      <c r="K471" s="33" t="s">
        <v>713</v>
      </c>
      <c r="L471" s="33" t="s">
        <v>722</v>
      </c>
      <c r="M471" s="34" t="s">
        <v>732</v>
      </c>
      <c r="N471" s="34" t="s">
        <v>1748</v>
      </c>
      <c r="O471" s="35">
        <v>1</v>
      </c>
      <c r="P471" s="35"/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0</v>
      </c>
      <c r="AE471" s="1">
        <f t="shared" si="312"/>
        <v>1</v>
      </c>
      <c r="AF471" s="1">
        <f t="shared" si="313"/>
        <v>0</v>
      </c>
      <c r="AG471" s="1">
        <f t="shared" si="314"/>
        <v>1</v>
      </c>
      <c r="AH471" s="1">
        <f t="shared" si="315"/>
        <v>0</v>
      </c>
      <c r="AI471" s="1">
        <f t="shared" si="316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1329</v>
      </c>
      <c r="E472" s="32" t="s">
        <v>156</v>
      </c>
      <c r="F472" s="32" t="s">
        <v>1143</v>
      </c>
      <c r="G472" s="32" t="s">
        <v>192</v>
      </c>
      <c r="H472" s="32" t="s">
        <v>354</v>
      </c>
      <c r="I472" s="31" t="s">
        <v>1369</v>
      </c>
      <c r="J472" s="31">
        <v>99</v>
      </c>
      <c r="K472" s="33" t="s">
        <v>712</v>
      </c>
      <c r="L472" s="33" t="s">
        <v>39</v>
      </c>
      <c r="M472" s="34" t="s">
        <v>39</v>
      </c>
      <c r="N472" s="34" t="s">
        <v>1727</v>
      </c>
      <c r="O472" s="35">
        <v>1</v>
      </c>
      <c r="P472" s="35">
        <v>1</v>
      </c>
      <c r="Q472" s="32"/>
      <c r="S472" s="1">
        <f t="shared" si="301"/>
        <v>0</v>
      </c>
      <c r="T472" s="1">
        <f t="shared" si="302"/>
        <v>0</v>
      </c>
      <c r="U472" s="1">
        <f t="shared" si="303"/>
        <v>0</v>
      </c>
      <c r="V472" s="1">
        <f t="shared" si="304"/>
        <v>0</v>
      </c>
      <c r="W472" s="1">
        <f t="shared" si="305"/>
        <v>0</v>
      </c>
      <c r="X472" s="1">
        <f t="shared" si="306"/>
        <v>0</v>
      </c>
      <c r="Y472" s="1">
        <f t="shared" si="307"/>
        <v>0</v>
      </c>
      <c r="Z472" s="1">
        <f t="shared" si="308"/>
        <v>0</v>
      </c>
      <c r="AA472" s="1">
        <f t="shared" si="309"/>
        <v>0</v>
      </c>
      <c r="AB472" s="1">
        <f t="shared" si="310"/>
        <v>0</v>
      </c>
      <c r="AD472" s="1">
        <f t="shared" si="311"/>
        <v>1</v>
      </c>
      <c r="AE472" s="1">
        <f t="shared" si="312"/>
        <v>0</v>
      </c>
      <c r="AF472" s="1">
        <f t="shared" si="313"/>
        <v>1</v>
      </c>
      <c r="AG472" s="1">
        <f t="shared" si="314"/>
        <v>0</v>
      </c>
      <c r="AH472" s="1">
        <f t="shared" si="315"/>
        <v>1</v>
      </c>
      <c r="AI472" s="1">
        <f t="shared" si="316"/>
        <v>0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676</v>
      </c>
      <c r="G473" s="32" t="s">
        <v>240</v>
      </c>
      <c r="H473" s="32" t="s">
        <v>354</v>
      </c>
      <c r="I473" s="31" t="s">
        <v>405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2"/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ref="AD473" si="317">+O473*P473</f>
        <v>0</v>
      </c>
      <c r="AE473" s="1">
        <f t="shared" ref="AE473" si="318">O473*(1-P473)</f>
        <v>1</v>
      </c>
      <c r="AF473" s="1">
        <f t="shared" ref="AF473:AF488" si="319">+O473*P473*(1-A473)</f>
        <v>0</v>
      </c>
      <c r="AG473" s="1">
        <f t="shared" ref="AG473:AG488" si="320">O473*(1-P473)*(1-A473)</f>
        <v>1</v>
      </c>
      <c r="AH473" s="1">
        <f t="shared" ref="AH473:AH488" si="321">+P473*(1-A473)</f>
        <v>0</v>
      </c>
      <c r="AI473" s="1">
        <f t="shared" ref="AI473:AI488" si="322">+(1-A473)*(1-P473)</f>
        <v>1</v>
      </c>
    </row>
    <row r="474" spans="1:35" s="1" customFormat="1" ht="14.25" customHeight="1" x14ac:dyDescent="0.25">
      <c r="A474" s="31">
        <v>1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239</v>
      </c>
      <c r="G474" s="32" t="s">
        <v>178</v>
      </c>
      <c r="H474" s="32" t="s">
        <v>354</v>
      </c>
      <c r="I474" s="31" t="s">
        <v>404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6" t="s">
        <v>1911</v>
      </c>
      <c r="S474" s="1">
        <f t="shared" si="265"/>
        <v>1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0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0</v>
      </c>
      <c r="AH474" s="1">
        <f t="shared" si="321"/>
        <v>0</v>
      </c>
      <c r="AI474" s="1">
        <f t="shared" si="322"/>
        <v>0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1356</v>
      </c>
      <c r="G475" s="32" t="s">
        <v>258</v>
      </c>
      <c r="H475" s="32" t="s">
        <v>354</v>
      </c>
      <c r="I475" s="31" t="s">
        <v>1239</v>
      </c>
      <c r="J475" s="31">
        <v>8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1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1</v>
      </c>
      <c r="AH475" s="1">
        <f t="shared" si="321"/>
        <v>0</v>
      </c>
      <c r="AI475" s="1">
        <f t="shared" si="322"/>
        <v>1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1218</v>
      </c>
      <c r="G476" s="32" t="s">
        <v>218</v>
      </c>
      <c r="H476" s="32" t="s">
        <v>354</v>
      </c>
      <c r="I476" s="31" t="s">
        <v>1239</v>
      </c>
      <c r="J476" s="31">
        <v>99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0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1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0</v>
      </c>
    </row>
    <row r="477" spans="1:35" s="1" customFormat="1" ht="14.25" customHeight="1" x14ac:dyDescent="0.25">
      <c r="A477" s="44">
        <v>0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1250</v>
      </c>
      <c r="G477" s="45" t="s">
        <v>220</v>
      </c>
      <c r="H477" s="45" t="s">
        <v>354</v>
      </c>
      <c r="I477" s="44" t="s">
        <v>1370</v>
      </c>
      <c r="J477" s="44">
        <v>8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45"/>
      <c r="S477" s="1">
        <f t="shared" si="265"/>
        <v>0</v>
      </c>
      <c r="T477" s="1">
        <f t="shared" si="266"/>
        <v>0</v>
      </c>
      <c r="U477" s="1">
        <f t="shared" si="267"/>
        <v>0</v>
      </c>
      <c r="V477" s="1">
        <f t="shared" si="268"/>
        <v>0</v>
      </c>
      <c r="W477" s="1">
        <f t="shared" si="269"/>
        <v>0</v>
      </c>
      <c r="X477" s="1">
        <f t="shared" si="270"/>
        <v>0</v>
      </c>
      <c r="Y477" s="1">
        <f t="shared" si="271"/>
        <v>0</v>
      </c>
      <c r="Z477" s="1">
        <f t="shared" si="272"/>
        <v>1</v>
      </c>
      <c r="AA477" s="1">
        <f t="shared" si="273"/>
        <v>0</v>
      </c>
      <c r="AB477" s="1">
        <f t="shared" si="274"/>
        <v>0</v>
      </c>
      <c r="AD477" s="1">
        <f t="shared" si="275"/>
        <v>0</v>
      </c>
      <c r="AE477" s="1">
        <f t="shared" si="276"/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1</v>
      </c>
    </row>
    <row r="478" spans="1:35" s="1" customFormat="1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1357</v>
      </c>
      <c r="G478" s="45" t="s">
        <v>39</v>
      </c>
      <c r="H478" s="45" t="s">
        <v>355</v>
      </c>
      <c r="I478" s="44" t="s">
        <v>1249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65" t="s">
        <v>1904</v>
      </c>
      <c r="S478" s="1">
        <f t="shared" ref="S478:S488" si="323">IF(J478=$S$7,1,0)</f>
        <v>0</v>
      </c>
      <c r="T478" s="1">
        <f t="shared" ref="T478:T488" si="324">IF(J478=$T$7,1,0)</f>
        <v>0</v>
      </c>
      <c r="U478" s="1">
        <f t="shared" ref="U478:U488" si="325">IF(J478=$U$7,1,0)</f>
        <v>0</v>
      </c>
      <c r="V478" s="1">
        <f t="shared" ref="V478:V488" si="326">IF(J478=$V$7,1,0)</f>
        <v>0</v>
      </c>
      <c r="W478" s="1">
        <f t="shared" ref="W478:W488" si="327">IF(J478=$W$7,1,0)</f>
        <v>0</v>
      </c>
      <c r="X478" s="1">
        <f t="shared" ref="X478:X488" si="328">IF(J478=$X$7,1,0)</f>
        <v>0</v>
      </c>
      <c r="Y478" s="1">
        <f t="shared" ref="Y478:Y488" si="329">IF(J478=$Y$7,1,0)</f>
        <v>0</v>
      </c>
      <c r="Z478" s="1">
        <f t="shared" ref="Z478:Z488" si="330">IF(J478=$Z$7,1,0)</f>
        <v>0</v>
      </c>
      <c r="AA478" s="1">
        <f t="shared" ref="AA478:AA488" si="331">IF(J478=$AA$7,1,0)</f>
        <v>0</v>
      </c>
      <c r="AB478" s="1">
        <f t="shared" ref="AB478:AB488" si="332">IF(J478=$AB$7,1,0)</f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s="1" customFormat="1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1523</v>
      </c>
      <c r="G479" s="45" t="s">
        <v>235</v>
      </c>
      <c r="H479" s="45" t="s">
        <v>354</v>
      </c>
      <c r="I479" s="44" t="s">
        <v>1691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45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0</v>
      </c>
      <c r="AE479" s="1">
        <f>O479*(1-P479)</f>
        <v>0</v>
      </c>
      <c r="AF479" s="1">
        <f t="shared" si="319"/>
        <v>0</v>
      </c>
      <c r="AG479" s="1">
        <f t="shared" si="320"/>
        <v>0</v>
      </c>
      <c r="AH479" s="1">
        <f t="shared" si="321"/>
        <v>0</v>
      </c>
      <c r="AI479" s="1">
        <f t="shared" si="322"/>
        <v>0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1850</v>
      </c>
      <c r="E480" s="32" t="s">
        <v>1851</v>
      </c>
      <c r="F480" s="32" t="s">
        <v>1852</v>
      </c>
      <c r="G480" s="32" t="s">
        <v>265</v>
      </c>
      <c r="H480" s="32" t="s">
        <v>354</v>
      </c>
      <c r="I480" s="31" t="s">
        <v>1853</v>
      </c>
      <c r="J480" s="31">
        <v>99</v>
      </c>
      <c r="K480" s="33" t="s">
        <v>703</v>
      </c>
      <c r="L480" s="33"/>
      <c r="M480" s="34"/>
      <c r="N480" s="34" t="s">
        <v>1727</v>
      </c>
      <c r="O480" s="35">
        <v>1</v>
      </c>
      <c r="P480" s="35">
        <v>1</v>
      </c>
      <c r="Q480" s="32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>+O480*P480</f>
        <v>1</v>
      </c>
      <c r="AE480" s="1">
        <f>O480*(1-P480)</f>
        <v>0</v>
      </c>
      <c r="AF480" s="1">
        <f t="shared" si="319"/>
        <v>1</v>
      </c>
      <c r="AG480" s="1">
        <f t="shared" si="320"/>
        <v>0</v>
      </c>
      <c r="AH480" s="1">
        <f t="shared" si="321"/>
        <v>1</v>
      </c>
      <c r="AI480" s="1">
        <f t="shared" si="322"/>
        <v>0</v>
      </c>
    </row>
    <row r="481" spans="1:35" s="1" customFormat="1" ht="14.25" customHeight="1" x14ac:dyDescent="0.25">
      <c r="A481" s="44">
        <v>0</v>
      </c>
      <c r="B481" s="44">
        <v>2</v>
      </c>
      <c r="C481" s="44">
        <v>7</v>
      </c>
      <c r="D481" s="45" t="s">
        <v>1243</v>
      </c>
      <c r="E481" s="45" t="s">
        <v>28</v>
      </c>
      <c r="F481" s="45" t="s">
        <v>1236</v>
      </c>
      <c r="G481" s="45" t="s">
        <v>1237</v>
      </c>
      <c r="H481" s="45" t="s">
        <v>354</v>
      </c>
      <c r="I481" s="44" t="s">
        <v>1238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ref="AD481:AD488" si="333">+O481*P481</f>
        <v>0</v>
      </c>
      <c r="AE481" s="1">
        <f t="shared" ref="AE481:AE488" si="334">O481*(1-P481)</f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1</v>
      </c>
    </row>
    <row r="482" spans="1:35" s="1" customFormat="1" ht="14.25" customHeight="1" x14ac:dyDescent="0.25">
      <c r="A482" s="44">
        <v>1</v>
      </c>
      <c r="B482" s="44">
        <v>2</v>
      </c>
      <c r="C482" s="44">
        <v>7</v>
      </c>
      <c r="D482" s="45" t="s">
        <v>1240</v>
      </c>
      <c r="E482" s="45" t="s">
        <v>28</v>
      </c>
      <c r="F482" s="45" t="s">
        <v>1241</v>
      </c>
      <c r="G482" s="45" t="s">
        <v>523</v>
      </c>
      <c r="H482" s="45" t="s">
        <v>354</v>
      </c>
      <c r="I482" s="44" t="s">
        <v>1242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0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0</v>
      </c>
      <c r="AF482" s="1">
        <f t="shared" si="319"/>
        <v>0</v>
      </c>
      <c r="AG482" s="1">
        <f t="shared" si="320"/>
        <v>0</v>
      </c>
      <c r="AH482" s="1">
        <f t="shared" si="321"/>
        <v>0</v>
      </c>
      <c r="AI482" s="1">
        <f t="shared" si="322"/>
        <v>0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1846</v>
      </c>
      <c r="E483" s="32" t="s">
        <v>1168</v>
      </c>
      <c r="F483" s="32" t="s">
        <v>1847</v>
      </c>
      <c r="G483" s="32"/>
      <c r="H483" s="32" t="s">
        <v>354</v>
      </c>
      <c r="I483" s="31" t="s">
        <v>1848</v>
      </c>
      <c r="J483" s="31">
        <v>6</v>
      </c>
      <c r="K483" s="33" t="s">
        <v>703</v>
      </c>
      <c r="L483" s="33"/>
      <c r="M483" s="34"/>
      <c r="N483" s="34" t="s">
        <v>1748</v>
      </c>
      <c r="O483" s="35">
        <v>1</v>
      </c>
      <c r="P483" s="35"/>
      <c r="Q483" s="32"/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1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1</v>
      </c>
      <c r="AF483" s="1">
        <f t="shared" si="319"/>
        <v>0</v>
      </c>
      <c r="AG483" s="1">
        <f t="shared" si="320"/>
        <v>1</v>
      </c>
      <c r="AH483" s="1">
        <f t="shared" si="321"/>
        <v>0</v>
      </c>
      <c r="AI483" s="1">
        <f t="shared" si="322"/>
        <v>1</v>
      </c>
    </row>
    <row r="484" spans="1:35" s="1" customFormat="1" ht="14.25" customHeight="1" x14ac:dyDescent="0.25">
      <c r="A484" s="44">
        <v>0</v>
      </c>
      <c r="B484" s="44">
        <v>2</v>
      </c>
      <c r="C484" s="44">
        <v>7</v>
      </c>
      <c r="D484" s="45" t="s">
        <v>1458</v>
      </c>
      <c r="E484" s="45" t="s">
        <v>28</v>
      </c>
      <c r="F484" s="45" t="s">
        <v>1459</v>
      </c>
      <c r="G484" s="45" t="s">
        <v>1460</v>
      </c>
      <c r="H484" s="45" t="s">
        <v>354</v>
      </c>
      <c r="I484" s="44" t="s">
        <v>1461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 t="s">
        <v>1931</v>
      </c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0</v>
      </c>
      <c r="AF484" s="1">
        <f t="shared" si="319"/>
        <v>0</v>
      </c>
      <c r="AG484" s="1">
        <f t="shared" si="320"/>
        <v>0</v>
      </c>
      <c r="AH484" s="1">
        <f t="shared" si="321"/>
        <v>0</v>
      </c>
      <c r="AI484" s="1">
        <f t="shared" si="322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575</v>
      </c>
      <c r="G485" s="32" t="s">
        <v>235</v>
      </c>
      <c r="H485" s="32" t="s">
        <v>354</v>
      </c>
      <c r="I485" s="31" t="s">
        <v>582</v>
      </c>
      <c r="J485" s="31">
        <v>99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0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1</v>
      </c>
      <c r="AH485" s="1">
        <f t="shared" si="321"/>
        <v>0</v>
      </c>
      <c r="AI485" s="1">
        <f t="shared" si="322"/>
        <v>1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271</v>
      </c>
      <c r="G486" s="32" t="s">
        <v>180</v>
      </c>
      <c r="H486" s="32" t="s">
        <v>354</v>
      </c>
      <c r="I486" s="31" t="s">
        <v>426</v>
      </c>
      <c r="J486" s="31">
        <v>10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0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1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s="1" customFormat="1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272</v>
      </c>
      <c r="G487" s="32" t="s">
        <v>39</v>
      </c>
      <c r="H487" s="32" t="s">
        <v>354</v>
      </c>
      <c r="I487" s="31" t="s">
        <v>427</v>
      </c>
      <c r="J487" s="31">
        <v>5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1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0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s="1" customFormat="1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276</v>
      </c>
      <c r="G488" s="32" t="s">
        <v>194</v>
      </c>
      <c r="H488" s="32" t="s">
        <v>354</v>
      </c>
      <c r="I488" s="31" t="s">
        <v>431</v>
      </c>
      <c r="J488" s="31">
        <v>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23"/>
        <v>0</v>
      </c>
      <c r="T488" s="1">
        <f t="shared" si="324"/>
        <v>0</v>
      </c>
      <c r="U488" s="1">
        <f t="shared" si="325"/>
        <v>0</v>
      </c>
      <c r="V488" s="1">
        <f t="shared" si="326"/>
        <v>0</v>
      </c>
      <c r="W488" s="1">
        <f t="shared" si="327"/>
        <v>0</v>
      </c>
      <c r="X488" s="1">
        <f t="shared" si="328"/>
        <v>0</v>
      </c>
      <c r="Y488" s="1">
        <f t="shared" si="329"/>
        <v>0</v>
      </c>
      <c r="Z488" s="1">
        <f t="shared" si="330"/>
        <v>0</v>
      </c>
      <c r="AA488" s="1">
        <f t="shared" si="331"/>
        <v>1</v>
      </c>
      <c r="AB488" s="1">
        <f t="shared" si="332"/>
        <v>0</v>
      </c>
      <c r="AD488" s="1">
        <f t="shared" si="333"/>
        <v>0</v>
      </c>
      <c r="AE488" s="1">
        <f t="shared" si="334"/>
        <v>1</v>
      </c>
      <c r="AF488" s="1">
        <f t="shared" si="319"/>
        <v>0</v>
      </c>
      <c r="AG488" s="1">
        <f t="shared" si="320"/>
        <v>0</v>
      </c>
      <c r="AH488" s="1">
        <f t="shared" si="321"/>
        <v>0</v>
      </c>
      <c r="AI488" s="1">
        <f t="shared" si="322"/>
        <v>0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1561</v>
      </c>
      <c r="E489" s="45" t="s">
        <v>28</v>
      </c>
      <c r="F489" s="45" t="s">
        <v>1562</v>
      </c>
      <c r="G489" s="45" t="s">
        <v>238</v>
      </c>
      <c r="H489" s="45" t="s">
        <v>354</v>
      </c>
      <c r="I489" s="44" t="s">
        <v>1695</v>
      </c>
      <c r="J489" s="44">
        <v>4</v>
      </c>
      <c r="K489" s="46" t="s">
        <v>713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ref="S489:S490" si="335">IF(J489=$S$7,1,0)</f>
        <v>0</v>
      </c>
      <c r="T489" s="1">
        <f t="shared" ref="T489:T490" si="336">IF(J489=$T$7,1,0)</f>
        <v>0</v>
      </c>
      <c r="U489" s="1">
        <f t="shared" ref="U489:U490" si="337">IF(J489=$U$7,1,0)</f>
        <v>0</v>
      </c>
      <c r="V489" s="1">
        <f t="shared" ref="V489:V490" si="338">IF(J489=$V$7,1,0)</f>
        <v>1</v>
      </c>
      <c r="W489" s="1">
        <f t="shared" ref="W489:W490" si="339">IF(J489=$W$7,1,0)</f>
        <v>0</v>
      </c>
      <c r="X489" s="1">
        <f t="shared" ref="X489:X490" si="340">IF(J489=$X$7,1,0)</f>
        <v>0</v>
      </c>
      <c r="Y489" s="1">
        <f t="shared" ref="Y489:Y490" si="341">IF(J489=$Y$7,1,0)</f>
        <v>0</v>
      </c>
      <c r="Z489" s="1">
        <f t="shared" ref="Z489:Z490" si="342">IF(J489=$Z$7,1,0)</f>
        <v>0</v>
      </c>
      <c r="AA489" s="1">
        <f t="shared" ref="AA489:AA490" si="343">IF(J489=$AA$7,1,0)</f>
        <v>0</v>
      </c>
      <c r="AB489" s="1">
        <f t="shared" ref="AB489:AB490" si="344">IF(J489=$AB$7,1,0)</f>
        <v>0</v>
      </c>
      <c r="AD489" s="1">
        <f t="shared" ref="AD489:AD490" si="345">+O489*P489</f>
        <v>0</v>
      </c>
      <c r="AE489" s="1">
        <f t="shared" ref="AE489:AE490" si="346">O489*(1-P489)</f>
        <v>0</v>
      </c>
      <c r="AF489" s="1">
        <f t="shared" ref="AF489:AF490" si="347">+O489*P489*(1-A489)</f>
        <v>0</v>
      </c>
      <c r="AG489" s="1">
        <f t="shared" ref="AG489:AG490" si="348">O489*(1-P489)*(1-A489)</f>
        <v>0</v>
      </c>
      <c r="AH489" s="1">
        <f t="shared" ref="AH489:AH490" si="349">+P489*(1-A489)</f>
        <v>0</v>
      </c>
      <c r="AI489" s="1">
        <f t="shared" ref="AI489:AI490" si="350">+(1-A489)*(1-P489)</f>
        <v>1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63</v>
      </c>
      <c r="E490" s="45" t="s">
        <v>44</v>
      </c>
      <c r="F490" s="45" t="s">
        <v>236</v>
      </c>
      <c r="G490" s="45" t="s">
        <v>200</v>
      </c>
      <c r="H490" s="45" t="s">
        <v>354</v>
      </c>
      <c r="I490" s="44" t="s">
        <v>402</v>
      </c>
      <c r="J490" s="44">
        <v>2</v>
      </c>
      <c r="K490" s="46" t="s">
        <v>713</v>
      </c>
      <c r="L490" s="46" t="s">
        <v>722</v>
      </c>
      <c r="M490" s="47" t="s">
        <v>735</v>
      </c>
      <c r="N490" s="47" t="s">
        <v>1735</v>
      </c>
      <c r="O490" s="48"/>
      <c r="P490" s="48"/>
      <c r="Q490" s="45"/>
      <c r="S490" s="1">
        <f t="shared" si="335"/>
        <v>0</v>
      </c>
      <c r="T490" s="1">
        <f t="shared" si="336"/>
        <v>1</v>
      </c>
      <c r="U490" s="1">
        <f t="shared" si="337"/>
        <v>0</v>
      </c>
      <c r="V490" s="1">
        <f t="shared" si="338"/>
        <v>0</v>
      </c>
      <c r="W490" s="1">
        <f t="shared" si="339"/>
        <v>0</v>
      </c>
      <c r="X490" s="1">
        <f t="shared" si="340"/>
        <v>0</v>
      </c>
      <c r="Y490" s="1">
        <f t="shared" si="341"/>
        <v>0</v>
      </c>
      <c r="Z490" s="1">
        <f t="shared" si="342"/>
        <v>0</v>
      </c>
      <c r="AA490" s="1">
        <f t="shared" si="343"/>
        <v>0</v>
      </c>
      <c r="AB490" s="1">
        <f t="shared" si="344"/>
        <v>0</v>
      </c>
      <c r="AD490" s="1">
        <f t="shared" si="345"/>
        <v>0</v>
      </c>
      <c r="AE490" s="1">
        <f t="shared" si="346"/>
        <v>0</v>
      </c>
      <c r="AF490" s="1">
        <f t="shared" si="347"/>
        <v>0</v>
      </c>
      <c r="AG490" s="1">
        <f t="shared" si="348"/>
        <v>0</v>
      </c>
      <c r="AH490" s="1">
        <f t="shared" si="349"/>
        <v>0</v>
      </c>
      <c r="AI490" s="1">
        <f t="shared" si="350"/>
        <v>1</v>
      </c>
    </row>
    <row r="491" spans="1:35" s="1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Q491" s="20"/>
    </row>
    <row r="492" spans="1:35" s="1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Q492" s="20"/>
    </row>
    <row r="493" spans="1:35" s="1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9"/>
      <c r="N782" s="17"/>
      <c r="Q782" s="16"/>
    </row>
    <row r="783" spans="1:17" s="1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9"/>
      <c r="N783" s="17"/>
      <c r="Q783" s="16"/>
    </row>
    <row r="784" spans="1:17" s="1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9"/>
      <c r="N784" s="17"/>
      <c r="Q784" s="16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9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7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7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7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7"/>
      <c r="N789" s="17"/>
      <c r="Q789" s="16"/>
    </row>
  </sheetData>
  <autoFilter ref="A7:Q490" xr:uid="{AEE30112-88BB-441D-AEFC-A7A733AB1798}">
    <sortState xmlns:xlrd2="http://schemas.microsoft.com/office/spreadsheetml/2017/richdata2" ref="A8:Q464">
      <sortCondition ref="B8:B464"/>
      <sortCondition ref="C8:C464"/>
      <sortCondition ref="D8:D464"/>
      <sortCondition ref="A8:A464"/>
    </sortState>
  </autoFilter>
  <sortState xmlns:xlrd2="http://schemas.microsoft.com/office/spreadsheetml/2017/richdata2" ref="A8:Q490">
    <sortCondition ref="B8:B490"/>
    <sortCondition ref="C8:C490"/>
    <sortCondition ref="D8:D490"/>
    <sortCondition ref="A8:A49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2026-07-01T07:21:30Z</dcterms:modified>
</cp:coreProperties>
</file>