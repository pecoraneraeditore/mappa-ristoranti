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334D8A6-E7FF-4709-A3B8-D2AC92343130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golose'!$A$7:$Q$492</definedName>
    <definedName name="_xlnm.Print_Area" localSheetId="0">'Tavole e pause golose'!$D$7:$I$177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2" i="6" l="1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AD406" i="6"/>
  <c r="AE406" i="6"/>
  <c r="AF406" i="6"/>
  <c r="AG406" i="6"/>
  <c r="S406" i="6"/>
  <c r="AH406" i="6"/>
  <c r="AI406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AD452" i="6"/>
  <c r="AE452" i="6"/>
  <c r="AF452" i="6"/>
  <c r="AG452" i="6"/>
  <c r="AH452" i="6"/>
  <c r="AI45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2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S361" i="6"/>
  <c r="AI269" i="6"/>
  <c r="AH269" i="6"/>
  <c r="AG269" i="6"/>
  <c r="AF269" i="6"/>
  <c r="AE269" i="6"/>
  <c r="AD269" i="6"/>
  <c r="S269" i="6"/>
  <c r="AI268" i="6"/>
  <c r="AH268" i="6"/>
  <c r="AG268" i="6"/>
  <c r="AF268" i="6"/>
  <c r="AE268" i="6"/>
  <c r="AD268" i="6"/>
  <c r="S268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7" i="6"/>
  <c r="AE187" i="6"/>
  <c r="AF187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S189" i="6"/>
  <c r="AG189" i="6"/>
  <c r="AH189" i="6"/>
  <c r="AI189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264" i="6"/>
  <c r="AH264" i="6"/>
  <c r="AG264" i="6"/>
  <c r="AF264" i="6"/>
  <c r="AE264" i="6"/>
  <c r="AD264" i="6"/>
  <c r="AI263" i="6"/>
  <c r="AH263" i="6"/>
  <c r="AG263" i="6"/>
  <c r="AF263" i="6"/>
  <c r="AE263" i="6"/>
  <c r="AD263" i="6"/>
  <c r="S490" i="6"/>
  <c r="S489" i="6"/>
  <c r="S488" i="6"/>
  <c r="S487" i="6"/>
  <c r="S486" i="6"/>
  <c r="S485" i="6"/>
  <c r="S484" i="6"/>
  <c r="S483" i="6"/>
  <c r="AD193" i="6"/>
  <c r="AE193" i="6"/>
  <c r="AF193" i="6"/>
  <c r="AD194" i="6"/>
  <c r="AE194" i="6"/>
  <c r="AF194" i="6"/>
  <c r="S194" i="6"/>
  <c r="AG194" i="6"/>
  <c r="AH194" i="6"/>
  <c r="AI194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327" i="6"/>
  <c r="AD327" i="6"/>
  <c r="AE327" i="6"/>
  <c r="AF327" i="6"/>
  <c r="AG327" i="6"/>
  <c r="AH327" i="6"/>
  <c r="AI327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5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AD460" i="6"/>
  <c r="AE460" i="6"/>
  <c r="AD461" i="6"/>
  <c r="AE461" i="6"/>
  <c r="S460" i="6"/>
  <c r="AF460" i="6"/>
  <c r="AG460" i="6"/>
  <c r="AH460" i="6"/>
  <c r="AI460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AD475" i="6"/>
  <c r="AE475" i="6"/>
  <c r="S475" i="6"/>
  <c r="AF475" i="6"/>
  <c r="AG475" i="6"/>
  <c r="AH475" i="6"/>
  <c r="AI4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G187" i="6"/>
  <c r="AH187" i="6"/>
  <c r="AI187" i="6"/>
  <c r="S188" i="6"/>
  <c r="AG188" i="6"/>
  <c r="AH188" i="6"/>
  <c r="AI188" i="6"/>
  <c r="S190" i="6"/>
  <c r="AG190" i="6"/>
  <c r="AH190" i="6"/>
  <c r="AI190" i="6"/>
  <c r="S191" i="6"/>
  <c r="AG191" i="6"/>
  <c r="AH191" i="6"/>
  <c r="AI191" i="6"/>
  <c r="S192" i="6"/>
  <c r="AD192" i="6"/>
  <c r="AE192" i="6"/>
  <c r="AF192" i="6"/>
  <c r="AG192" i="6"/>
  <c r="AH192" i="6"/>
  <c r="AI192" i="6"/>
  <c r="S193" i="6"/>
  <c r="AG193" i="6"/>
  <c r="AH193" i="6"/>
  <c r="AI193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S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S362" i="6"/>
  <c r="S363" i="6"/>
  <c r="AD363" i="6"/>
  <c r="AE363" i="6"/>
  <c r="AF363" i="6"/>
  <c r="AG363" i="6"/>
  <c r="AH363" i="6"/>
  <c r="AI363" i="6"/>
  <c r="S364" i="6"/>
  <c r="S366" i="6"/>
  <c r="S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82" i="6"/>
  <c r="AD382" i="6"/>
  <c r="AE382" i="6"/>
  <c r="AF382" i="6"/>
  <c r="AG382" i="6"/>
  <c r="AH382" i="6"/>
  <c r="AI382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3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7" i="6" s="1"/>
  <c r="T170" i="6" l="1"/>
  <c r="T169" i="6"/>
  <c r="T406" i="6"/>
  <c r="T386" i="6"/>
  <c r="T385" i="6"/>
  <c r="T384" i="6"/>
  <c r="T383" i="6"/>
  <c r="T160" i="6"/>
  <c r="T159" i="6"/>
  <c r="T158" i="6"/>
  <c r="T157" i="6"/>
  <c r="T156" i="6"/>
  <c r="T452" i="6"/>
  <c r="T361" i="6"/>
  <c r="T268" i="6"/>
  <c r="T269" i="6"/>
  <c r="T413" i="6"/>
  <c r="T412" i="6"/>
  <c r="T411" i="6"/>
  <c r="T410" i="6"/>
  <c r="T409" i="6"/>
  <c r="T408" i="6"/>
  <c r="T407" i="6"/>
  <c r="T74" i="6"/>
  <c r="T474" i="6"/>
  <c r="T473" i="6"/>
  <c r="T472" i="6"/>
  <c r="T471" i="6"/>
  <c r="T470" i="6"/>
  <c r="T469" i="6"/>
  <c r="T54" i="6"/>
  <c r="T53" i="6"/>
  <c r="T52" i="6"/>
  <c r="T189" i="6"/>
  <c r="T485" i="6"/>
  <c r="T490" i="6"/>
  <c r="T487" i="6"/>
  <c r="T489" i="6"/>
  <c r="T486" i="6"/>
  <c r="T488" i="6"/>
  <c r="T492" i="6"/>
  <c r="T491" i="6"/>
  <c r="T484" i="6"/>
  <c r="T483" i="6"/>
  <c r="T194" i="6"/>
  <c r="T431" i="6"/>
  <c r="T430" i="6"/>
  <c r="T429" i="6"/>
  <c r="T428" i="6"/>
  <c r="T427" i="6"/>
  <c r="T100" i="6"/>
  <c r="T99" i="6"/>
  <c r="T98" i="6"/>
  <c r="T327" i="6"/>
  <c r="T365" i="6"/>
  <c r="T88" i="6"/>
  <c r="T339" i="6"/>
  <c r="T370" i="6"/>
  <c r="T301" i="6"/>
  <c r="T190" i="6"/>
  <c r="T188" i="6"/>
  <c r="T65" i="6"/>
  <c r="T381" i="6"/>
  <c r="T380" i="6"/>
  <c r="T379" i="6"/>
  <c r="T460" i="6"/>
  <c r="T273" i="6"/>
  <c r="T242" i="6"/>
  <c r="T274" i="6"/>
  <c r="T220" i="6"/>
  <c r="T219" i="6"/>
  <c r="T357" i="6"/>
  <c r="T343" i="6"/>
  <c r="T142" i="6"/>
  <c r="T166" i="6"/>
  <c r="T105" i="6"/>
  <c r="T143" i="6"/>
  <c r="T323" i="6"/>
  <c r="T104" i="6"/>
  <c r="T95" i="6"/>
  <c r="T94" i="6"/>
  <c r="T93" i="6"/>
  <c r="T298" i="6"/>
  <c r="T243" i="6"/>
  <c r="T374" i="6"/>
  <c r="T358" i="6"/>
  <c r="T322" i="6"/>
  <c r="T294" i="6"/>
  <c r="T271" i="6"/>
  <c r="T241" i="6"/>
  <c r="T218" i="6"/>
  <c r="T186" i="6"/>
  <c r="T71" i="6"/>
  <c r="T141" i="6"/>
  <c r="T101" i="6"/>
  <c r="T378" i="6"/>
  <c r="T345" i="6"/>
  <c r="T321" i="6"/>
  <c r="T293" i="6"/>
  <c r="T270" i="6"/>
  <c r="T240" i="6"/>
  <c r="T215" i="6"/>
  <c r="T185" i="6"/>
  <c r="T133" i="6"/>
  <c r="T66" i="6"/>
  <c r="T292" i="6"/>
  <c r="T184" i="6"/>
  <c r="T210" i="6"/>
  <c r="T396" i="6"/>
  <c r="T69" i="6"/>
  <c r="T208" i="6"/>
  <c r="T367" i="6"/>
  <c r="T404" i="6"/>
  <c r="T333" i="6"/>
  <c r="T310" i="6"/>
  <c r="T287" i="6"/>
  <c r="T81" i="6"/>
  <c r="T234" i="6"/>
  <c r="T207" i="6"/>
  <c r="T91" i="6"/>
  <c r="T125" i="6"/>
  <c r="T90" i="6"/>
  <c r="T128" i="6"/>
  <c r="T236" i="6"/>
  <c r="T349" i="6"/>
  <c r="T371" i="6"/>
  <c r="T415" i="6"/>
  <c r="T255" i="6"/>
  <c r="T309" i="6"/>
  <c r="T286" i="6"/>
  <c r="T249" i="6"/>
  <c r="T231" i="6"/>
  <c r="T206" i="6"/>
  <c r="T172" i="6"/>
  <c r="T124" i="6"/>
  <c r="T49" i="6"/>
  <c r="T331" i="6"/>
  <c r="T129" i="6"/>
  <c r="T264" i="6"/>
  <c r="T332" i="6"/>
  <c r="T260" i="6"/>
  <c r="T177" i="6"/>
  <c r="T400" i="6"/>
  <c r="T308" i="6"/>
  <c r="T250" i="6"/>
  <c r="T227" i="6"/>
  <c r="T204" i="6"/>
  <c r="T164" i="6"/>
  <c r="T154" i="6"/>
  <c r="T122" i="6"/>
  <c r="T48" i="6"/>
  <c r="T267" i="6"/>
  <c r="T61" i="6"/>
  <c r="T238" i="6"/>
  <c r="T290" i="6"/>
  <c r="T175" i="6"/>
  <c r="T375" i="6"/>
  <c r="T334" i="6"/>
  <c r="T285" i="6"/>
  <c r="T253" i="6"/>
  <c r="T307" i="6"/>
  <c r="T282" i="6"/>
  <c r="T251" i="6"/>
  <c r="T226" i="6"/>
  <c r="T203" i="6"/>
  <c r="T173" i="6"/>
  <c r="T153" i="6"/>
  <c r="T121" i="6"/>
  <c r="T46" i="6"/>
  <c r="T319" i="6"/>
  <c r="T85" i="6"/>
  <c r="T388" i="6"/>
  <c r="T291" i="6"/>
  <c r="T68" i="6"/>
  <c r="T317" i="6"/>
  <c r="T127" i="6"/>
  <c r="T126" i="6"/>
  <c r="T340" i="6"/>
  <c r="T341" i="6"/>
  <c r="T351" i="6"/>
  <c r="T306" i="6"/>
  <c r="T278" i="6"/>
  <c r="T174" i="6"/>
  <c r="T225" i="6"/>
  <c r="T195" i="6"/>
  <c r="T70" i="6"/>
  <c r="T152" i="6"/>
  <c r="T117" i="6"/>
  <c r="T45" i="6"/>
  <c r="T239" i="6"/>
  <c r="T348" i="6"/>
  <c r="T181" i="6"/>
  <c r="T209" i="6"/>
  <c r="T363" i="6"/>
  <c r="T314" i="6"/>
  <c r="T235" i="6"/>
  <c r="T168" i="6"/>
  <c r="T59" i="6"/>
  <c r="T328" i="6"/>
  <c r="T305" i="6"/>
  <c r="T165" i="6"/>
  <c r="T193" i="6"/>
  <c r="T149" i="6"/>
  <c r="T397" i="6"/>
  <c r="T258" i="6"/>
  <c r="T303" i="6"/>
  <c r="T276" i="6"/>
  <c r="T176" i="6"/>
  <c r="T223" i="6"/>
  <c r="T192" i="6"/>
  <c r="T92" i="6"/>
  <c r="T145" i="6"/>
  <c r="T108" i="6"/>
  <c r="T41" i="6"/>
  <c r="T211" i="6"/>
  <c r="T318" i="6"/>
  <c r="T86" i="6"/>
  <c r="T289" i="6"/>
  <c r="T393" i="6"/>
  <c r="T257" i="6"/>
  <c r="T277" i="6"/>
  <c r="T224" i="6"/>
  <c r="T60" i="6"/>
  <c r="T113" i="6"/>
  <c r="T43" i="6"/>
  <c r="T401" i="6"/>
  <c r="T342" i="6"/>
  <c r="T259" i="6"/>
  <c r="T302" i="6"/>
  <c r="T275" i="6"/>
  <c r="T247" i="6"/>
  <c r="T222" i="6"/>
  <c r="T191" i="6"/>
  <c r="T75" i="6"/>
  <c r="T144" i="6"/>
  <c r="T106" i="6"/>
  <c r="T38" i="6"/>
  <c r="T62" i="6"/>
  <c r="T56" i="6"/>
  <c r="T140" i="6"/>
  <c r="T112" i="6"/>
  <c r="T80" i="6"/>
  <c r="T31" i="6"/>
  <c r="T202" i="6"/>
  <c r="T162" i="6"/>
  <c r="T138" i="6"/>
  <c r="T111" i="6"/>
  <c r="T64" i="6"/>
  <c r="T30" i="6"/>
  <c r="T199" i="6"/>
  <c r="T171" i="6"/>
  <c r="T161" i="6"/>
  <c r="T137" i="6"/>
  <c r="T110" i="6"/>
  <c r="T55" i="6"/>
  <c r="T29" i="6"/>
  <c r="T136" i="6"/>
  <c r="T109" i="6"/>
  <c r="T50" i="6"/>
  <c r="T27" i="6"/>
  <c r="T26" i="6"/>
  <c r="T25" i="6"/>
  <c r="T47" i="6"/>
  <c r="T17" i="6"/>
  <c r="T16" i="6"/>
  <c r="T15" i="6"/>
  <c r="T14" i="6"/>
  <c r="T42" i="6"/>
  <c r="T9" i="6"/>
  <c r="T11" i="6"/>
  <c r="T120" i="6"/>
  <c r="T83" i="6"/>
  <c r="T22" i="6"/>
  <c r="T18" i="6"/>
  <c r="T13" i="6"/>
  <c r="U7" i="6"/>
  <c r="T439" i="6"/>
  <c r="T376" i="6"/>
  <c r="T475" i="6"/>
  <c r="T389" i="6"/>
  <c r="T392" i="6"/>
  <c r="T254" i="6"/>
  <c r="T350" i="6"/>
  <c r="T320" i="6"/>
  <c r="T304" i="6"/>
  <c r="T288" i="6"/>
  <c r="T272" i="6"/>
  <c r="T252" i="6"/>
  <c r="T237" i="6"/>
  <c r="T221" i="6"/>
  <c r="T205" i="6"/>
  <c r="T187" i="6"/>
  <c r="T84" i="6"/>
  <c r="T58" i="6"/>
  <c r="T155" i="6"/>
  <c r="T139" i="6"/>
  <c r="T123" i="6"/>
  <c r="T107" i="6"/>
  <c r="T96" i="6"/>
  <c r="T44" i="6"/>
  <c r="T28" i="6"/>
  <c r="T12" i="6"/>
  <c r="T481" i="6"/>
  <c r="T405" i="6"/>
  <c r="T344" i="6"/>
  <c r="T335" i="6"/>
  <c r="T316" i="6"/>
  <c r="T300" i="6"/>
  <c r="T284" i="6"/>
  <c r="T266" i="6"/>
  <c r="T167" i="6"/>
  <c r="T233" i="6"/>
  <c r="T217" i="6"/>
  <c r="T201" i="6"/>
  <c r="T183" i="6"/>
  <c r="T97" i="6"/>
  <c r="T151" i="6"/>
  <c r="T135" i="6"/>
  <c r="T119" i="6"/>
  <c r="T103" i="6"/>
  <c r="T57" i="6"/>
  <c r="T40" i="6"/>
  <c r="T24" i="6"/>
  <c r="T10" i="6"/>
  <c r="T476" i="6"/>
  <c r="T416" i="6"/>
  <c r="T329" i="6"/>
  <c r="T256" i="6"/>
  <c r="T315" i="6"/>
  <c r="T299" i="6"/>
  <c r="T283" i="6"/>
  <c r="T265" i="6"/>
  <c r="T248" i="6"/>
  <c r="T232" i="6"/>
  <c r="T216" i="6"/>
  <c r="T200" i="6"/>
  <c r="T182" i="6"/>
  <c r="T87" i="6"/>
  <c r="T82" i="6"/>
  <c r="T150" i="6"/>
  <c r="T134" i="6"/>
  <c r="T118" i="6"/>
  <c r="T102" i="6"/>
  <c r="T73" i="6"/>
  <c r="T39" i="6"/>
  <c r="T23" i="6"/>
  <c r="T355" i="6"/>
  <c r="T395" i="6"/>
  <c r="T444" i="6"/>
  <c r="AD6" i="6"/>
  <c r="F3" i="6" s="1"/>
  <c r="T419" i="6"/>
  <c r="T417" i="6"/>
  <c r="T354" i="6"/>
  <c r="T346" i="6"/>
  <c r="T326" i="6"/>
  <c r="T313" i="6"/>
  <c r="T297" i="6"/>
  <c r="T281" i="6"/>
  <c r="T263" i="6"/>
  <c r="T246" i="6"/>
  <c r="T230" i="6"/>
  <c r="T214" i="6"/>
  <c r="T198" i="6"/>
  <c r="T180" i="6"/>
  <c r="T67" i="6"/>
  <c r="T79" i="6"/>
  <c r="T148" i="6"/>
  <c r="T132" i="6"/>
  <c r="T116" i="6"/>
  <c r="T89" i="6"/>
  <c r="T37" i="6"/>
  <c r="T21" i="6"/>
  <c r="T456" i="6"/>
  <c r="T360" i="6"/>
  <c r="T337" i="6"/>
  <c r="T338" i="6"/>
  <c r="T330" i="6"/>
  <c r="T325" i="6"/>
  <c r="T312" i="6"/>
  <c r="T296" i="6"/>
  <c r="T280" i="6"/>
  <c r="T262" i="6"/>
  <c r="T245" i="6"/>
  <c r="T229" i="6"/>
  <c r="T213" i="6"/>
  <c r="T197" i="6"/>
  <c r="T179" i="6"/>
  <c r="T63" i="6"/>
  <c r="T147" i="6"/>
  <c r="T131" i="6"/>
  <c r="T115" i="6"/>
  <c r="T36" i="6"/>
  <c r="T20" i="6"/>
  <c r="T352" i="6"/>
  <c r="T362" i="6"/>
  <c r="T356" i="6"/>
  <c r="T347" i="6"/>
  <c r="T324" i="6"/>
  <c r="T311" i="6"/>
  <c r="T295" i="6"/>
  <c r="T279" i="6"/>
  <c r="T261" i="6"/>
  <c r="T244" i="6"/>
  <c r="T228" i="6"/>
  <c r="T212" i="6"/>
  <c r="T196" i="6"/>
  <c r="T178" i="6"/>
  <c r="T78" i="6"/>
  <c r="T163" i="6"/>
  <c r="T146" i="6"/>
  <c r="T130" i="6"/>
  <c r="T114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8" i="6"/>
  <c r="T451" i="6"/>
  <c r="T435" i="6"/>
  <c r="T479" i="6"/>
  <c r="T459" i="6"/>
  <c r="T442" i="6"/>
  <c r="T425" i="6"/>
  <c r="T399" i="6"/>
  <c r="T366" i="6"/>
  <c r="T466" i="6"/>
  <c r="T449" i="6"/>
  <c r="T433" i="6"/>
  <c r="T353" i="6"/>
  <c r="T477" i="6"/>
  <c r="T457" i="6"/>
  <c r="T440" i="6"/>
  <c r="T423" i="6"/>
  <c r="T403" i="6"/>
  <c r="T369" i="6"/>
  <c r="T464" i="6"/>
  <c r="T447" i="6"/>
  <c r="T421" i="6"/>
  <c r="T455" i="6"/>
  <c r="T438" i="6"/>
  <c r="T390" i="6"/>
  <c r="T373" i="6"/>
  <c r="T482" i="6"/>
  <c r="T462" i="6"/>
  <c r="T445" i="6"/>
  <c r="T453" i="6"/>
  <c r="T436" i="6"/>
  <c r="T394" i="6"/>
  <c r="T377" i="6"/>
  <c r="T359" i="6"/>
  <c r="T480" i="6"/>
  <c r="T461" i="6"/>
  <c r="T443" i="6"/>
  <c r="T426" i="6"/>
  <c r="T414" i="6"/>
  <c r="T467" i="6"/>
  <c r="T450" i="6"/>
  <c r="T434" i="6"/>
  <c r="T398" i="6"/>
  <c r="T382" i="6"/>
  <c r="T364" i="6"/>
  <c r="T478" i="6"/>
  <c r="T458" i="6"/>
  <c r="T441" i="6"/>
  <c r="T424" i="6"/>
  <c r="T465" i="6"/>
  <c r="T448" i="6"/>
  <c r="T432" i="6"/>
  <c r="T422" i="6"/>
  <c r="T418" i="6"/>
  <c r="T402" i="6"/>
  <c r="T387" i="6"/>
  <c r="T368" i="6"/>
  <c r="T420" i="6"/>
  <c r="T336" i="6"/>
  <c r="T463" i="6"/>
  <c r="T446" i="6"/>
  <c r="T391" i="6"/>
  <c r="T372" i="6"/>
  <c r="T454" i="6"/>
  <c r="U406" i="6" l="1"/>
  <c r="U169" i="6"/>
  <c r="U170" i="6"/>
  <c r="U383" i="6"/>
  <c r="U384" i="6"/>
  <c r="U385" i="6"/>
  <c r="U386" i="6"/>
  <c r="U156" i="6"/>
  <c r="U157" i="6"/>
  <c r="U158" i="6"/>
  <c r="U159" i="6"/>
  <c r="U160" i="6"/>
  <c r="U361" i="6"/>
  <c r="U452" i="6"/>
  <c r="U269" i="6"/>
  <c r="U268" i="6"/>
  <c r="U74" i="6"/>
  <c r="U407" i="6"/>
  <c r="U408" i="6"/>
  <c r="U409" i="6"/>
  <c r="U410" i="6"/>
  <c r="U411" i="6"/>
  <c r="U412" i="6"/>
  <c r="U413" i="6"/>
  <c r="U469" i="6"/>
  <c r="U470" i="6"/>
  <c r="U471" i="6"/>
  <c r="U472" i="6"/>
  <c r="U473" i="6"/>
  <c r="U474" i="6"/>
  <c r="U189" i="6"/>
  <c r="U52" i="6"/>
  <c r="U53" i="6"/>
  <c r="U54" i="6"/>
  <c r="U485" i="6"/>
  <c r="U491" i="6"/>
  <c r="U492" i="6"/>
  <c r="U488" i="6"/>
  <c r="U486" i="6"/>
  <c r="U489" i="6"/>
  <c r="U487" i="6"/>
  <c r="U490" i="6"/>
  <c r="U194" i="6"/>
  <c r="U483" i="6"/>
  <c r="U484" i="6"/>
  <c r="U427" i="6"/>
  <c r="U428" i="6"/>
  <c r="U429" i="6"/>
  <c r="U430" i="6"/>
  <c r="U431" i="6"/>
  <c r="U327" i="6"/>
  <c r="U98" i="6"/>
  <c r="U99" i="6"/>
  <c r="U100" i="6"/>
  <c r="U13" i="6"/>
  <c r="U365" i="6"/>
  <c r="U338" i="6"/>
  <c r="U460" i="6"/>
  <c r="U379" i="6"/>
  <c r="U380" i="6"/>
  <c r="U381" i="6"/>
  <c r="U93" i="6"/>
  <c r="U94" i="6"/>
  <c r="U95" i="6"/>
  <c r="U144" i="6"/>
  <c r="U109" i="6"/>
  <c r="U295" i="6"/>
  <c r="U184" i="6"/>
  <c r="U458" i="6"/>
  <c r="U421" i="6"/>
  <c r="U462" i="6"/>
  <c r="U296" i="6"/>
  <c r="U223" i="6"/>
  <c r="U233" i="6"/>
  <c r="U314" i="6"/>
  <c r="U175" i="6"/>
  <c r="U133" i="6"/>
  <c r="U278" i="6"/>
  <c r="U148" i="6"/>
  <c r="U281" i="6"/>
  <c r="U102" i="6"/>
  <c r="U336" i="6"/>
  <c r="U324" i="6"/>
  <c r="U78" i="6"/>
  <c r="U300" i="6"/>
  <c r="U164" i="6"/>
  <c r="U389" i="6"/>
  <c r="U110" i="6"/>
  <c r="U107" i="6"/>
  <c r="U335" i="6"/>
  <c r="U177" i="6"/>
  <c r="U209" i="6"/>
  <c r="U120" i="6"/>
  <c r="U329" i="6"/>
  <c r="U203" i="6"/>
  <c r="U298" i="6"/>
  <c r="U180" i="6"/>
  <c r="U45" i="6"/>
  <c r="U22" i="6"/>
  <c r="U191" i="6"/>
  <c r="U36" i="6"/>
  <c r="U24" i="6"/>
  <c r="U302" i="6"/>
  <c r="U123" i="6"/>
  <c r="U230" i="6"/>
  <c r="U206" i="6"/>
  <c r="U477" i="6"/>
  <c r="U482" i="6"/>
  <c r="U465" i="6"/>
  <c r="U20" i="6"/>
  <c r="U449" i="6"/>
  <c r="U326" i="6"/>
  <c r="U71" i="6"/>
  <c r="U464" i="6"/>
  <c r="U456" i="6"/>
  <c r="U238" i="6"/>
  <c r="U153" i="6"/>
  <c r="U318" i="6"/>
  <c r="U242" i="6"/>
  <c r="U232" i="6"/>
  <c r="U112" i="6"/>
  <c r="U202" i="6"/>
  <c r="U234" i="6"/>
  <c r="V7" i="6"/>
  <c r="U27" i="6"/>
  <c r="U467" i="6"/>
  <c r="U249" i="6"/>
  <c r="U447" i="6"/>
  <c r="U21" i="6"/>
  <c r="U111" i="6"/>
  <c r="U19" i="6"/>
  <c r="U69" i="6"/>
  <c r="U418" i="6"/>
  <c r="U139" i="6"/>
  <c r="U346" i="6"/>
  <c r="U218" i="6"/>
  <c r="U354" i="6"/>
  <c r="U79" i="6"/>
  <c r="U270" i="6"/>
  <c r="U208" i="6"/>
  <c r="U286" i="6"/>
  <c r="U455" i="6"/>
  <c r="U466" i="6"/>
  <c r="U57" i="6"/>
  <c r="U106" i="6"/>
  <c r="U73" i="6"/>
  <c r="U141" i="6"/>
  <c r="U132" i="6"/>
  <c r="U134" i="6"/>
  <c r="U337" i="6"/>
  <c r="U178" i="6"/>
  <c r="U274" i="6"/>
  <c r="U444" i="6"/>
  <c r="U9" i="6"/>
  <c r="U68" i="6"/>
  <c r="U174" i="6"/>
  <c r="U152" i="6"/>
  <c r="U108" i="6"/>
  <c r="U11" i="6"/>
  <c r="U292" i="6"/>
  <c r="U355" i="6"/>
  <c r="U193" i="6"/>
  <c r="U442" i="6"/>
  <c r="U196" i="6"/>
  <c r="U77" i="6"/>
  <c r="U294" i="6"/>
  <c r="U435" i="6"/>
  <c r="U277" i="6"/>
  <c r="U182" i="6"/>
  <c r="U30" i="6"/>
  <c r="U448" i="6"/>
  <c r="U436" i="6"/>
  <c r="U478" i="6"/>
  <c r="U422" i="6"/>
  <c r="U143" i="6"/>
  <c r="U438" i="6"/>
  <c r="U10" i="6"/>
  <c r="U113" i="6"/>
  <c r="U23" i="6"/>
  <c r="U419" i="6"/>
  <c r="U476" i="6"/>
  <c r="U104" i="6"/>
  <c r="U276" i="6"/>
  <c r="U76" i="6"/>
  <c r="U240" i="6"/>
  <c r="U161" i="6"/>
  <c r="U416" i="6"/>
  <c r="U85" i="6"/>
  <c r="U136" i="6"/>
  <c r="U426" i="6"/>
  <c r="U119" i="6"/>
  <c r="U150" i="6"/>
  <c r="U25" i="6"/>
  <c r="U308" i="6"/>
  <c r="U423" i="6"/>
  <c r="U210" i="6"/>
  <c r="U212" i="6"/>
  <c r="U313" i="6"/>
  <c r="U179" i="6"/>
  <c r="U316" i="6"/>
  <c r="U211" i="6"/>
  <c r="U59" i="6"/>
  <c r="U480" i="6"/>
  <c r="U125" i="6"/>
  <c r="U62" i="6"/>
  <c r="U8" i="6"/>
  <c r="U439" i="6"/>
  <c r="U356" i="6"/>
  <c r="U40" i="6"/>
  <c r="U224" i="6"/>
  <c r="U454" i="6"/>
  <c r="U88" i="6"/>
  <c r="U86" i="6"/>
  <c r="U425" i="6"/>
  <c r="U51" i="6"/>
  <c r="U90" i="6"/>
  <c r="U417" i="6"/>
  <c r="U103" i="6"/>
  <c r="U424" i="6"/>
  <c r="U256" i="6"/>
  <c r="U187" i="6"/>
  <c r="U171" i="6"/>
  <c r="U41" i="6"/>
  <c r="U166" i="6"/>
  <c r="U226" i="6"/>
  <c r="U459" i="6"/>
  <c r="U228" i="6"/>
  <c r="U258" i="6"/>
  <c r="U204" i="6"/>
  <c r="U371" i="6"/>
  <c r="U176" i="6"/>
  <c r="U414" i="6"/>
  <c r="U248" i="6"/>
  <c r="U82" i="6"/>
  <c r="U433" i="6"/>
  <c r="U453" i="6"/>
  <c r="U43" i="6"/>
  <c r="U38" i="6"/>
  <c r="U60" i="6"/>
  <c r="U55" i="6"/>
  <c r="U165" i="6"/>
  <c r="U481" i="6"/>
  <c r="U463" i="6"/>
  <c r="U128" i="6"/>
  <c r="U441" i="6"/>
  <c r="U221" i="6"/>
  <c r="U445" i="6"/>
  <c r="U190" i="6"/>
  <c r="U75" i="6"/>
  <c r="U479" i="6"/>
  <c r="U262" i="6"/>
  <c r="U402" i="6"/>
  <c r="U236" i="6"/>
  <c r="U279" i="6"/>
  <c r="U16" i="6"/>
  <c r="U213" i="6"/>
  <c r="U450" i="6"/>
  <c r="U29" i="6"/>
  <c r="U167" i="6"/>
  <c r="U437" i="6"/>
  <c r="U96" i="6"/>
  <c r="U446" i="6"/>
  <c r="U18" i="6"/>
  <c r="U443" i="6"/>
  <c r="U205" i="6"/>
  <c r="U135" i="6"/>
  <c r="U58" i="6"/>
  <c r="U440" i="6"/>
  <c r="U353" i="6"/>
  <c r="U252" i="6"/>
  <c r="U347" i="6"/>
  <c r="U231" i="6"/>
  <c r="U15" i="6"/>
  <c r="U432" i="6"/>
  <c r="U154" i="6"/>
  <c r="U434" i="6"/>
  <c r="U461" i="6"/>
  <c r="U129" i="6"/>
  <c r="U207" i="6"/>
  <c r="U91" i="6"/>
  <c r="U457" i="6"/>
  <c r="U280" i="6"/>
  <c r="U80" i="6"/>
  <c r="U275" i="6"/>
  <c r="U405" i="6"/>
  <c r="U183" i="6"/>
  <c r="U49" i="6"/>
  <c r="U89" i="6"/>
  <c r="U118" i="6"/>
  <c r="U299" i="6"/>
  <c r="U373" i="6"/>
  <c r="U121" i="6"/>
  <c r="U130" i="6"/>
  <c r="U297" i="6"/>
  <c r="U317" i="6"/>
  <c r="U391" i="6"/>
  <c r="U319" i="6"/>
  <c r="U192" i="6"/>
  <c r="U369" i="6"/>
  <c r="U315" i="6"/>
  <c r="U352" i="6"/>
  <c r="U420" i="6"/>
  <c r="U285" i="6"/>
  <c r="U368" i="6"/>
  <c r="U246" i="6"/>
  <c r="U387" i="6"/>
  <c r="U257" i="6"/>
  <c r="U345" i="6"/>
  <c r="U451" i="6"/>
  <c r="U468" i="6"/>
  <c r="U305" i="6"/>
  <c r="U403" i="6"/>
  <c r="U330" i="6"/>
  <c r="U372" i="6"/>
  <c r="U323" i="6"/>
  <c r="U44" i="6"/>
  <c r="U341" i="6"/>
  <c r="U388" i="6"/>
  <c r="U390" i="6"/>
  <c r="U350" i="6"/>
  <c r="U42" i="6"/>
  <c r="U328" i="6"/>
  <c r="U72" i="6"/>
  <c r="U370" i="6"/>
  <c r="U47" i="6"/>
  <c r="U14" i="6"/>
  <c r="U360" i="6"/>
  <c r="U70" i="6"/>
  <c r="U12" i="6"/>
  <c r="U105" i="6"/>
  <c r="U404" i="6"/>
  <c r="U181" i="6"/>
  <c r="U48" i="6"/>
  <c r="U339" i="6"/>
  <c r="U377" i="6"/>
  <c r="U172" i="6"/>
  <c r="U46" i="6"/>
  <c r="U244" i="6"/>
  <c r="U81" i="6"/>
  <c r="U114" i="6"/>
  <c r="U395" i="6"/>
  <c r="U340" i="6"/>
  <c r="U122" i="6"/>
  <c r="U214" i="6"/>
  <c r="U251" i="6"/>
  <c r="U289" i="6"/>
  <c r="U235" i="6"/>
  <c r="U358" i="6"/>
  <c r="U254" i="6"/>
  <c r="U215" i="6"/>
  <c r="U243" i="6"/>
  <c r="U50" i="6"/>
  <c r="U163" i="6"/>
  <c r="U219" i="6"/>
  <c r="U261" i="6"/>
  <c r="U293" i="6"/>
  <c r="U247" i="6"/>
  <c r="U363" i="6"/>
  <c r="U394" i="6"/>
  <c r="U115" i="6"/>
  <c r="U397" i="6"/>
  <c r="U198" i="6"/>
  <c r="U97" i="6"/>
  <c r="U146" i="6"/>
  <c r="U475" i="6"/>
  <c r="U101" i="6"/>
  <c r="U168" i="6"/>
  <c r="U220" i="6"/>
  <c r="U263" i="6"/>
  <c r="U301" i="6"/>
  <c r="U259" i="6"/>
  <c r="U364" i="6"/>
  <c r="U396" i="6"/>
  <c r="U127" i="6"/>
  <c r="U265" i="6"/>
  <c r="U124" i="6"/>
  <c r="U83" i="6"/>
  <c r="U312" i="6"/>
  <c r="U92" i="6"/>
  <c r="U322" i="6"/>
  <c r="U250" i="6"/>
  <c r="U342" i="6"/>
  <c r="U39" i="6"/>
  <c r="U291" i="6"/>
  <c r="U56" i="6"/>
  <c r="U222" i="6"/>
  <c r="U303" i="6"/>
  <c r="U366" i="6"/>
  <c r="U283" i="6"/>
  <c r="U288" i="6"/>
  <c r="U216" i="6"/>
  <c r="U61" i="6"/>
  <c r="U116" i="6"/>
  <c r="U151" i="6"/>
  <c r="U225" i="6"/>
  <c r="U266" i="6"/>
  <c r="U304" i="6"/>
  <c r="U351" i="6"/>
  <c r="U398" i="6"/>
  <c r="U147" i="6"/>
  <c r="U357" i="6"/>
  <c r="U393" i="6"/>
  <c r="U63" i="6"/>
  <c r="U117" i="6"/>
  <c r="U185" i="6"/>
  <c r="U227" i="6"/>
  <c r="U267" i="6"/>
  <c r="U306" i="6"/>
  <c r="U325" i="6"/>
  <c r="U367" i="6"/>
  <c r="U399" i="6"/>
  <c r="U229" i="6"/>
  <c r="U334" i="6"/>
  <c r="U374" i="6"/>
  <c r="U137" i="6"/>
  <c r="U255" i="6"/>
  <c r="U37" i="6"/>
  <c r="U64" i="6"/>
  <c r="U126" i="6"/>
  <c r="U186" i="6"/>
  <c r="U271" i="6"/>
  <c r="U307" i="6"/>
  <c r="U400" i="6"/>
  <c r="U272" i="6"/>
  <c r="U375" i="6"/>
  <c r="U138" i="6"/>
  <c r="U65" i="6"/>
  <c r="U142" i="6"/>
  <c r="U188" i="6"/>
  <c r="U309" i="6"/>
  <c r="U401" i="6"/>
  <c r="U140" i="6"/>
  <c r="U245" i="6"/>
  <c r="U362" i="6"/>
  <c r="U17" i="6"/>
  <c r="U66" i="6"/>
  <c r="U173" i="6"/>
  <c r="U195" i="6"/>
  <c r="U145" i="6"/>
  <c r="U273" i="6"/>
  <c r="U310" i="6"/>
  <c r="U333" i="6"/>
  <c r="U376" i="6"/>
  <c r="U282" i="6"/>
  <c r="U311" i="6"/>
  <c r="U378" i="6"/>
  <c r="U201" i="6"/>
  <c r="U392" i="6"/>
  <c r="U26" i="6"/>
  <c r="U67" i="6"/>
  <c r="U131" i="6"/>
  <c r="U197" i="6"/>
  <c r="U162" i="6"/>
  <c r="U349" i="6"/>
  <c r="U28" i="6"/>
  <c r="U332" i="6"/>
  <c r="U344" i="6"/>
  <c r="U290" i="6"/>
  <c r="U31" i="6"/>
  <c r="U84" i="6"/>
  <c r="U155" i="6"/>
  <c r="U199" i="6"/>
  <c r="U237" i="6"/>
  <c r="U284" i="6"/>
  <c r="U320" i="6"/>
  <c r="U348" i="6"/>
  <c r="U415" i="6"/>
  <c r="U239" i="6"/>
  <c r="U260" i="6"/>
  <c r="U87" i="6"/>
  <c r="U149" i="6"/>
  <c r="U200" i="6"/>
  <c r="U241" i="6"/>
  <c r="U287" i="6"/>
  <c r="U321" i="6"/>
  <c r="U331" i="6"/>
  <c r="U382" i="6"/>
  <c r="U343" i="6"/>
  <c r="U359" i="6"/>
  <c r="U217" i="6"/>
  <c r="U253" i="6"/>
  <c r="U264" i="6"/>
  <c r="F5" i="6"/>
  <c r="G5" i="6"/>
  <c r="E5" i="6"/>
  <c r="H4" i="6"/>
  <c r="H3" i="6"/>
  <c r="T5" i="6"/>
  <c r="V406" i="6" l="1"/>
  <c r="V169" i="6"/>
  <c r="V170" i="6"/>
  <c r="V383" i="6"/>
  <c r="V384" i="6"/>
  <c r="V385" i="6"/>
  <c r="V386" i="6"/>
  <c r="V156" i="6"/>
  <c r="V157" i="6"/>
  <c r="V158" i="6"/>
  <c r="V159" i="6"/>
  <c r="V160" i="6"/>
  <c r="V361" i="6"/>
  <c r="V452" i="6"/>
  <c r="V268" i="6"/>
  <c r="V269" i="6"/>
  <c r="V74" i="6"/>
  <c r="V407" i="6"/>
  <c r="V408" i="6"/>
  <c r="V409" i="6"/>
  <c r="V410" i="6"/>
  <c r="V411" i="6"/>
  <c r="V412" i="6"/>
  <c r="V413" i="6"/>
  <c r="V315" i="6"/>
  <c r="V469" i="6"/>
  <c r="V470" i="6"/>
  <c r="V471" i="6"/>
  <c r="V472" i="6"/>
  <c r="V473" i="6"/>
  <c r="V474" i="6"/>
  <c r="V52" i="6"/>
  <c r="V53" i="6"/>
  <c r="V54" i="6"/>
  <c r="V141" i="6"/>
  <c r="V189" i="6"/>
  <c r="V475" i="6"/>
  <c r="V485" i="6"/>
  <c r="V491" i="6"/>
  <c r="V492" i="6"/>
  <c r="V488" i="6"/>
  <c r="V486" i="6"/>
  <c r="V489" i="6"/>
  <c r="V487" i="6"/>
  <c r="V490" i="6"/>
  <c r="V382" i="6"/>
  <c r="V191" i="6"/>
  <c r="V357" i="6"/>
  <c r="V240" i="6"/>
  <c r="V194" i="6"/>
  <c r="V483" i="6"/>
  <c r="V484" i="6"/>
  <c r="V427" i="6"/>
  <c r="V428" i="6"/>
  <c r="V429" i="6"/>
  <c r="V430" i="6"/>
  <c r="V431" i="6"/>
  <c r="V98" i="6"/>
  <c r="V99" i="6"/>
  <c r="V100" i="6"/>
  <c r="V365" i="6"/>
  <c r="V327" i="6"/>
  <c r="V96" i="6"/>
  <c r="V312" i="6"/>
  <c r="V387" i="6"/>
  <c r="V38" i="6"/>
  <c r="V264" i="6"/>
  <c r="V129" i="6"/>
  <c r="V320" i="6"/>
  <c r="V395" i="6"/>
  <c r="V13" i="6"/>
  <c r="V68" i="6"/>
  <c r="V137" i="6"/>
  <c r="V354" i="6"/>
  <c r="V168" i="6"/>
  <c r="V286" i="6"/>
  <c r="V291" i="6"/>
  <c r="V229" i="6"/>
  <c r="V324" i="6"/>
  <c r="V28" i="6"/>
  <c r="V18" i="6"/>
  <c r="V235" i="6"/>
  <c r="V443" i="6"/>
  <c r="V184" i="6"/>
  <c r="V460" i="6"/>
  <c r="V379" i="6"/>
  <c r="V380" i="6"/>
  <c r="V381" i="6"/>
  <c r="V93" i="6"/>
  <c r="V94" i="6"/>
  <c r="V95" i="6"/>
  <c r="V154" i="6"/>
  <c r="V423" i="6"/>
  <c r="V206" i="6"/>
  <c r="V477" i="6"/>
  <c r="V253" i="6"/>
  <c r="V73" i="6"/>
  <c r="V360" i="6"/>
  <c r="V105" i="6"/>
  <c r="V393" i="6"/>
  <c r="V135" i="6"/>
  <c r="V254" i="6"/>
  <c r="V203" i="6"/>
  <c r="V256" i="6"/>
  <c r="V56" i="6"/>
  <c r="V283" i="6"/>
  <c r="V12" i="6"/>
  <c r="V232" i="6"/>
  <c r="V347" i="6"/>
  <c r="V51" i="6"/>
  <c r="V280" i="6"/>
  <c r="V455" i="6"/>
  <c r="V197" i="6"/>
  <c r="V294" i="6"/>
  <c r="V251" i="6"/>
  <c r="V396" i="6"/>
  <c r="V125" i="6"/>
  <c r="V445" i="6"/>
  <c r="V359" i="6"/>
  <c r="V65" i="6"/>
  <c r="V462" i="6"/>
  <c r="V350" i="6"/>
  <c r="V375" i="6"/>
  <c r="V119" i="6"/>
  <c r="V236" i="6"/>
  <c r="V444" i="6"/>
  <c r="V185" i="6"/>
  <c r="V148" i="6"/>
  <c r="V265" i="6"/>
  <c r="V478" i="6"/>
  <c r="V216" i="6"/>
  <c r="V328" i="6"/>
  <c r="V19" i="6"/>
  <c r="V262" i="6"/>
  <c r="V438" i="6"/>
  <c r="V179" i="6"/>
  <c r="V278" i="6"/>
  <c r="V398" i="6"/>
  <c r="V140" i="6"/>
  <c r="V241" i="6"/>
  <c r="V270" i="6"/>
  <c r="V457" i="6"/>
  <c r="V304" i="6"/>
  <c r="V482" i="6"/>
  <c r="V9" i="6"/>
  <c r="V249" i="6"/>
  <c r="V89" i="6"/>
  <c r="V433" i="6"/>
  <c r="V321" i="6"/>
  <c r="V66" i="6"/>
  <c r="V358" i="6"/>
  <c r="V103" i="6"/>
  <c r="V220" i="6"/>
  <c r="V173" i="6"/>
  <c r="V390" i="6"/>
  <c r="V132" i="6"/>
  <c r="V81" i="6"/>
  <c r="V458" i="6"/>
  <c r="V200" i="6"/>
  <c r="V313" i="6"/>
  <c r="V80" i="6"/>
  <c r="V246" i="6"/>
  <c r="W7" i="6"/>
  <c r="V92" i="6"/>
  <c r="V260" i="6"/>
  <c r="V124" i="6"/>
  <c r="V225" i="6"/>
  <c r="V481" i="6"/>
  <c r="V211" i="6"/>
  <c r="V449" i="6"/>
  <c r="V366" i="6"/>
  <c r="V466" i="6"/>
  <c r="V417" i="6"/>
  <c r="V305" i="6"/>
  <c r="V67" i="6"/>
  <c r="V351" i="6"/>
  <c r="V31" i="6"/>
  <c r="V204" i="6"/>
  <c r="V340" i="6"/>
  <c r="V82" i="6"/>
  <c r="V372" i="6"/>
  <c r="V116" i="6"/>
  <c r="V233" i="6"/>
  <c r="V441" i="6"/>
  <c r="V182" i="6"/>
  <c r="V297" i="6"/>
  <c r="V40" i="6"/>
  <c r="V230" i="6"/>
  <c r="V420" i="6"/>
  <c r="V244" i="6"/>
  <c r="V364" i="6"/>
  <c r="V108" i="6"/>
  <c r="V209" i="6"/>
  <c r="V453" i="6"/>
  <c r="V255" i="6"/>
  <c r="V174" i="6"/>
  <c r="V369" i="6"/>
  <c r="V310" i="6"/>
  <c r="V138" i="6"/>
  <c r="V10" i="6"/>
  <c r="V274" i="6"/>
  <c r="V43" i="6"/>
  <c r="V435" i="6"/>
  <c r="V322" i="6"/>
  <c r="V289" i="6"/>
  <c r="V24" i="6"/>
  <c r="V319" i="6"/>
  <c r="V86" i="6"/>
  <c r="V186" i="6"/>
  <c r="V149" i="6"/>
  <c r="V345" i="6"/>
  <c r="V79" i="6"/>
  <c r="V217" i="6"/>
  <c r="V424" i="6"/>
  <c r="V91" i="6"/>
  <c r="V281" i="6"/>
  <c r="V476" i="6"/>
  <c r="V214" i="6"/>
  <c r="V401" i="6"/>
  <c r="V143" i="6"/>
  <c r="V228" i="6"/>
  <c r="V349" i="6"/>
  <c r="V41" i="6"/>
  <c r="V192" i="6"/>
  <c r="V77" i="6"/>
  <c r="V309" i="6"/>
  <c r="V451" i="6"/>
  <c r="V378" i="6"/>
  <c r="V188" i="6"/>
  <c r="V468" i="6"/>
  <c r="V419" i="6"/>
  <c r="V238" i="6"/>
  <c r="V273" i="6"/>
  <c r="V104" i="6"/>
  <c r="V303" i="6"/>
  <c r="V172" i="6"/>
  <c r="V391" i="6"/>
  <c r="V133" i="6"/>
  <c r="V336" i="6"/>
  <c r="V25" i="6"/>
  <c r="V201" i="6"/>
  <c r="V342" i="6"/>
  <c r="V163" i="6"/>
  <c r="V263" i="6"/>
  <c r="V456" i="6"/>
  <c r="V198" i="6"/>
  <c r="V127" i="6"/>
  <c r="V212" i="6"/>
  <c r="V259" i="6"/>
  <c r="V97" i="6"/>
  <c r="V60" i="6"/>
  <c r="V76" i="6"/>
  <c r="V224" i="6"/>
  <c r="V356" i="6"/>
  <c r="V288" i="6"/>
  <c r="V109" i="6"/>
  <c r="V437" i="6"/>
  <c r="V334" i="6"/>
  <c r="V167" i="6"/>
  <c r="V287" i="6"/>
  <c r="V20" i="6"/>
  <c r="V373" i="6"/>
  <c r="V117" i="6"/>
  <c r="V316" i="6"/>
  <c r="V59" i="6"/>
  <c r="V183" i="6"/>
  <c r="V404" i="6"/>
  <c r="V146" i="6"/>
  <c r="V247" i="6"/>
  <c r="V439" i="6"/>
  <c r="V180" i="6"/>
  <c r="V367" i="6"/>
  <c r="V111" i="6"/>
  <c r="V196" i="6"/>
  <c r="V308" i="6"/>
  <c r="V30" i="6"/>
  <c r="V71" i="6"/>
  <c r="V152" i="6"/>
  <c r="V394" i="6"/>
  <c r="V195" i="6"/>
  <c r="V243" i="6"/>
  <c r="V70" i="6"/>
  <c r="V239" i="6"/>
  <c r="V61" i="6"/>
  <c r="V271" i="6"/>
  <c r="V150" i="6"/>
  <c r="V329" i="6"/>
  <c r="V101" i="6"/>
  <c r="V300" i="6"/>
  <c r="V46" i="6"/>
  <c r="V165" i="6"/>
  <c r="V388" i="6"/>
  <c r="V130" i="6"/>
  <c r="V231" i="6"/>
  <c r="V338" i="6"/>
  <c r="V62" i="6"/>
  <c r="V257" i="6"/>
  <c r="V47" i="6"/>
  <c r="V178" i="6"/>
  <c r="V292" i="6"/>
  <c r="V416" i="6"/>
  <c r="V155" i="6"/>
  <c r="V26" i="6"/>
  <c r="V293" i="6"/>
  <c r="V122" i="6"/>
  <c r="V442" i="6"/>
  <c r="V332" i="6"/>
  <c r="V58" i="6"/>
  <c r="V422" i="6"/>
  <c r="V223" i="6"/>
  <c r="V55" i="6"/>
  <c r="V176" i="6"/>
  <c r="V392" i="6"/>
  <c r="V134" i="6"/>
  <c r="V352" i="6"/>
  <c r="V27" i="6"/>
  <c r="V284" i="6"/>
  <c r="V14" i="6"/>
  <c r="V164" i="6"/>
  <c r="V370" i="6"/>
  <c r="V114" i="6"/>
  <c r="V215" i="6"/>
  <c r="V343" i="6"/>
  <c r="V161" i="6"/>
  <c r="V325" i="6"/>
  <c r="V15" i="6"/>
  <c r="V75" i="6"/>
  <c r="V276" i="6"/>
  <c r="V397" i="6"/>
  <c r="V139" i="6"/>
  <c r="V454" i="6"/>
  <c r="V208" i="6"/>
  <c r="V479" i="6"/>
  <c r="V11" i="6"/>
  <c r="V252" i="6"/>
  <c r="V72" i="6"/>
  <c r="V465" i="6"/>
  <c r="V207" i="6"/>
  <c r="V22" i="6"/>
  <c r="V237" i="6"/>
  <c r="V374" i="6"/>
  <c r="V118" i="6"/>
  <c r="V317" i="6"/>
  <c r="V83" i="6"/>
  <c r="V266" i="6"/>
  <c r="V405" i="6"/>
  <c r="V147" i="6"/>
  <c r="V330" i="6"/>
  <c r="V199" i="6"/>
  <c r="V402" i="6"/>
  <c r="V144" i="6"/>
  <c r="V311" i="6"/>
  <c r="V64" i="6"/>
  <c r="V250" i="6"/>
  <c r="V123" i="6"/>
  <c r="V290" i="6"/>
  <c r="V85" i="6"/>
  <c r="V151" i="6"/>
  <c r="V299" i="6"/>
  <c r="V113" i="6"/>
  <c r="V57" i="6"/>
  <c r="V425" i="6"/>
  <c r="V136" i="6"/>
  <c r="V447" i="6"/>
  <c r="V362" i="6"/>
  <c r="V464" i="6"/>
  <c r="V448" i="6"/>
  <c r="V190" i="6"/>
  <c r="V421" i="6"/>
  <c r="V221" i="6"/>
  <c r="V344" i="6"/>
  <c r="V102" i="6"/>
  <c r="V301" i="6"/>
  <c r="V48" i="6"/>
  <c r="V166" i="6"/>
  <c r="V389" i="6"/>
  <c r="V131" i="6"/>
  <c r="V337" i="6"/>
  <c r="V21" i="6"/>
  <c r="V181" i="6"/>
  <c r="V128" i="6"/>
  <c r="V295" i="6"/>
  <c r="V36" i="6"/>
  <c r="V142" i="6"/>
  <c r="V242" i="6"/>
  <c r="V363" i="6"/>
  <c r="V107" i="6"/>
  <c r="V227" i="6"/>
  <c r="V440" i="6"/>
  <c r="V121" i="6"/>
  <c r="V426" i="6"/>
  <c r="V248" i="6"/>
  <c r="V88" i="6"/>
  <c r="V459" i="6"/>
  <c r="V399" i="6"/>
  <c r="V355" i="6"/>
  <c r="V8" i="6"/>
  <c r="V272" i="6"/>
  <c r="V37" i="6"/>
  <c r="V434" i="6"/>
  <c r="V432" i="6"/>
  <c r="V171" i="6"/>
  <c r="V463" i="6"/>
  <c r="V205" i="6"/>
  <c r="V335" i="6"/>
  <c r="V29" i="6"/>
  <c r="V285" i="6"/>
  <c r="V16" i="6"/>
  <c r="V234" i="6"/>
  <c r="V371" i="6"/>
  <c r="V115" i="6"/>
  <c r="V314" i="6"/>
  <c r="V90" i="6"/>
  <c r="V84" i="6"/>
  <c r="V368" i="6"/>
  <c r="V112" i="6"/>
  <c r="V279" i="6"/>
  <c r="V400" i="6"/>
  <c r="V126" i="6"/>
  <c r="V226" i="6"/>
  <c r="V333" i="6"/>
  <c r="V39" i="6"/>
  <c r="V306" i="6"/>
  <c r="V450" i="6"/>
  <c r="V376" i="6"/>
  <c r="V177" i="6"/>
  <c r="V467" i="6"/>
  <c r="V418" i="6"/>
  <c r="V339" i="6"/>
  <c r="V446" i="6"/>
  <c r="V187" i="6"/>
  <c r="V318" i="6"/>
  <c r="V69" i="6"/>
  <c r="V267" i="6"/>
  <c r="V480" i="6"/>
  <c r="V218" i="6"/>
  <c r="V346" i="6"/>
  <c r="V63" i="6"/>
  <c r="V298" i="6"/>
  <c r="V42" i="6"/>
  <c r="V162" i="6"/>
  <c r="V331" i="6"/>
  <c r="V49" i="6"/>
  <c r="V261" i="6"/>
  <c r="V110" i="6"/>
  <c r="V210" i="6"/>
  <c r="V323" i="6"/>
  <c r="V120" i="6"/>
  <c r="V377" i="6"/>
  <c r="V219" i="6"/>
  <c r="V44" i="6"/>
  <c r="V296" i="6"/>
  <c r="V213" i="6"/>
  <c r="V275" i="6"/>
  <c r="V415" i="6"/>
  <c r="V222" i="6"/>
  <c r="V341" i="6"/>
  <c r="V277" i="6"/>
  <c r="V106" i="6"/>
  <c r="V436" i="6"/>
  <c r="V258" i="6"/>
  <c r="V414" i="6"/>
  <c r="V153" i="6"/>
  <c r="V78" i="6"/>
  <c r="V302" i="6"/>
  <c r="V50" i="6"/>
  <c r="V175" i="6"/>
  <c r="V461" i="6"/>
  <c r="V202" i="6"/>
  <c r="V353" i="6"/>
  <c r="V23" i="6"/>
  <c r="V282" i="6"/>
  <c r="V403" i="6"/>
  <c r="V145" i="6"/>
  <c r="V326" i="6"/>
  <c r="V17" i="6"/>
  <c r="V245" i="6"/>
  <c r="V348" i="6"/>
  <c r="V45" i="6"/>
  <c r="V193" i="6"/>
  <c r="V307" i="6"/>
  <c r="V87" i="6"/>
  <c r="U5" i="6"/>
  <c r="H5" i="6"/>
  <c r="W406" i="6" l="1"/>
  <c r="W169" i="6"/>
  <c r="W170" i="6"/>
  <c r="W383" i="6"/>
  <c r="W384" i="6"/>
  <c r="W385" i="6"/>
  <c r="W386" i="6"/>
  <c r="W156" i="6"/>
  <c r="W157" i="6"/>
  <c r="W158" i="6"/>
  <c r="W159" i="6"/>
  <c r="W160" i="6"/>
  <c r="W361" i="6"/>
  <c r="W452" i="6"/>
  <c r="W269" i="6"/>
  <c r="W268" i="6"/>
  <c r="W74" i="6"/>
  <c r="W407" i="6"/>
  <c r="W408" i="6"/>
  <c r="W409" i="6"/>
  <c r="W410" i="6"/>
  <c r="W411" i="6"/>
  <c r="W412" i="6"/>
  <c r="W413" i="6"/>
  <c r="W469" i="6"/>
  <c r="W470" i="6"/>
  <c r="W471" i="6"/>
  <c r="W472" i="6"/>
  <c r="W473" i="6"/>
  <c r="W474" i="6"/>
  <c r="W189" i="6"/>
  <c r="W52" i="6"/>
  <c r="W53" i="6"/>
  <c r="W54" i="6"/>
  <c r="W490" i="6"/>
  <c r="W485" i="6"/>
  <c r="W491" i="6"/>
  <c r="W492" i="6"/>
  <c r="W488" i="6"/>
  <c r="W486" i="6"/>
  <c r="W489" i="6"/>
  <c r="W487" i="6"/>
  <c r="W194" i="6"/>
  <c r="W483" i="6"/>
  <c r="W484" i="6"/>
  <c r="W427" i="6"/>
  <c r="W428" i="6"/>
  <c r="W429" i="6"/>
  <c r="W430" i="6"/>
  <c r="W431" i="6"/>
  <c r="W126" i="6"/>
  <c r="W98" i="6"/>
  <c r="W99" i="6"/>
  <c r="W100" i="6"/>
  <c r="W360" i="6"/>
  <c r="W327" i="6"/>
  <c r="W61" i="6"/>
  <c r="W119" i="6"/>
  <c r="W87" i="6"/>
  <c r="W252" i="6"/>
  <c r="W187" i="6"/>
  <c r="W281" i="6"/>
  <c r="W17" i="6"/>
  <c r="W416" i="6"/>
  <c r="W12" i="6"/>
  <c r="W37" i="6"/>
  <c r="W148" i="6"/>
  <c r="W321" i="6"/>
  <c r="W365" i="6"/>
  <c r="W357" i="6"/>
  <c r="W60" i="6"/>
  <c r="W437" i="6"/>
  <c r="W201" i="6"/>
  <c r="W8" i="6"/>
  <c r="W481" i="6"/>
  <c r="W425" i="6"/>
  <c r="W62" i="6"/>
  <c r="W67" i="6"/>
  <c r="W460" i="6"/>
  <c r="W379" i="6"/>
  <c r="W380" i="6"/>
  <c r="W381" i="6"/>
  <c r="W305" i="6"/>
  <c r="W93" i="6"/>
  <c r="W94" i="6"/>
  <c r="W95" i="6"/>
  <c r="V5" i="6"/>
  <c r="W382" i="6"/>
  <c r="W405" i="6"/>
  <c r="W417" i="6"/>
  <c r="W477" i="6"/>
  <c r="W457" i="6"/>
  <c r="W440" i="6"/>
  <c r="W31" i="6"/>
  <c r="W30" i="6"/>
  <c r="W59" i="6"/>
  <c r="W85" i="6"/>
  <c r="W118" i="6"/>
  <c r="W146" i="6"/>
  <c r="W164" i="6"/>
  <c r="W245" i="6"/>
  <c r="W181" i="6"/>
  <c r="W43" i="6"/>
  <c r="W263" i="6"/>
  <c r="W390" i="6"/>
  <c r="W110" i="6"/>
  <c r="W210" i="6"/>
  <c r="W36" i="6"/>
  <c r="W50" i="6"/>
  <c r="W289" i="6"/>
  <c r="W345" i="6"/>
  <c r="W403" i="6"/>
  <c r="W339" i="6"/>
  <c r="W424" i="6"/>
  <c r="W438" i="6"/>
  <c r="W256" i="6"/>
  <c r="W476" i="6"/>
  <c r="W456" i="6"/>
  <c r="W29" i="6"/>
  <c r="W57" i="6"/>
  <c r="W82" i="6"/>
  <c r="W117" i="6"/>
  <c r="W144" i="6"/>
  <c r="W165" i="6"/>
  <c r="W337" i="6"/>
  <c r="W27" i="6"/>
  <c r="W224" i="6"/>
  <c r="W448" i="6"/>
  <c r="W372" i="6"/>
  <c r="W88" i="6"/>
  <c r="W308" i="6"/>
  <c r="W20" i="6"/>
  <c r="W273" i="6"/>
  <c r="W77" i="6"/>
  <c r="W190" i="6"/>
  <c r="W231" i="6"/>
  <c r="W346" i="6"/>
  <c r="W378" i="6"/>
  <c r="W402" i="6"/>
  <c r="W322" i="6"/>
  <c r="W418" i="6"/>
  <c r="W478" i="6"/>
  <c r="W454" i="6"/>
  <c r="W467" i="6"/>
  <c r="W439" i="6"/>
  <c r="W28" i="6"/>
  <c r="W81" i="6"/>
  <c r="W116" i="6"/>
  <c r="W141" i="6"/>
  <c r="W315" i="6"/>
  <c r="W463" i="6"/>
  <c r="W249" i="6"/>
  <c r="W419" i="6"/>
  <c r="W143" i="6"/>
  <c r="W323" i="6"/>
  <c r="W71" i="6"/>
  <c r="W292" i="6"/>
  <c r="W306" i="6"/>
  <c r="W18" i="6"/>
  <c r="W229" i="6"/>
  <c r="W76" i="6"/>
  <c r="W353" i="6"/>
  <c r="W354" i="6"/>
  <c r="W207" i="6"/>
  <c r="W376" i="6"/>
  <c r="W400" i="6"/>
  <c r="W399" i="6"/>
  <c r="W398" i="6"/>
  <c r="W328" i="6"/>
  <c r="W458" i="6"/>
  <c r="W468" i="6"/>
  <c r="W434" i="6"/>
  <c r="W482" i="6"/>
  <c r="W26" i="6"/>
  <c r="W51" i="6"/>
  <c r="W80" i="6"/>
  <c r="W114" i="6"/>
  <c r="W299" i="6"/>
  <c r="W217" i="6"/>
  <c r="W127" i="6"/>
  <c r="W350" i="6"/>
  <c r="W55" i="6"/>
  <c r="W276" i="6"/>
  <c r="W290" i="6"/>
  <c r="X7" i="6"/>
  <c r="W240" i="6"/>
  <c r="W303" i="6"/>
  <c r="W302" i="6"/>
  <c r="W258" i="6"/>
  <c r="W347" i="6"/>
  <c r="W374" i="6"/>
  <c r="W371" i="6"/>
  <c r="W369" i="6"/>
  <c r="W397" i="6"/>
  <c r="W420" i="6"/>
  <c r="W451" i="6"/>
  <c r="W479" i="6"/>
  <c r="W459" i="6"/>
  <c r="W24" i="6"/>
  <c r="W48" i="6"/>
  <c r="W79" i="6"/>
  <c r="W283" i="6"/>
  <c r="W436" i="6"/>
  <c r="W255" i="6"/>
  <c r="W391" i="6"/>
  <c r="W111" i="6"/>
  <c r="W226" i="6"/>
  <c r="W38" i="6"/>
  <c r="W243" i="6"/>
  <c r="W274" i="6"/>
  <c r="W426" i="6"/>
  <c r="W180" i="6"/>
  <c r="W475" i="6"/>
  <c r="W275" i="6"/>
  <c r="W272" i="6"/>
  <c r="W301" i="6"/>
  <c r="W218" i="6"/>
  <c r="W331" i="6"/>
  <c r="W324" i="6"/>
  <c r="W257" i="6"/>
  <c r="W368" i="6"/>
  <c r="W396" i="6"/>
  <c r="W394" i="6"/>
  <c r="W421" i="6"/>
  <c r="W442" i="6"/>
  <c r="W449" i="6"/>
  <c r="W21" i="6"/>
  <c r="W47" i="6"/>
  <c r="W265" i="6"/>
  <c r="W466" i="6"/>
  <c r="W162" i="6"/>
  <c r="W373" i="6"/>
  <c r="W89" i="6"/>
  <c r="W310" i="6"/>
  <c r="W22" i="6"/>
  <c r="W182" i="6"/>
  <c r="W235" i="6"/>
  <c r="W10" i="6"/>
  <c r="W176" i="6"/>
  <c r="W216" i="6"/>
  <c r="W191" i="6"/>
  <c r="W271" i="6"/>
  <c r="W300" i="6"/>
  <c r="W202" i="6"/>
  <c r="W193" i="6"/>
  <c r="W259" i="6"/>
  <c r="W348" i="6"/>
  <c r="W349" i="6"/>
  <c r="W366" i="6"/>
  <c r="W392" i="6"/>
  <c r="W355" i="6"/>
  <c r="W465" i="6"/>
  <c r="W453" i="6"/>
  <c r="W446" i="6"/>
  <c r="W19" i="6"/>
  <c r="W177" i="6"/>
  <c r="W145" i="6"/>
  <c r="W329" i="6"/>
  <c r="W72" i="6"/>
  <c r="W294" i="6"/>
  <c r="W480" i="6"/>
  <c r="W206" i="6"/>
  <c r="W244" i="6"/>
  <c r="W455" i="6"/>
  <c r="W174" i="6"/>
  <c r="W232" i="6"/>
  <c r="W92" i="6"/>
  <c r="W237" i="6"/>
  <c r="W225" i="6"/>
  <c r="W248" i="6"/>
  <c r="W270" i="6"/>
  <c r="W298" i="6"/>
  <c r="W296" i="6"/>
  <c r="W293" i="6"/>
  <c r="W179" i="6"/>
  <c r="W318" i="6"/>
  <c r="W334" i="6"/>
  <c r="W364" i="6"/>
  <c r="W389" i="6"/>
  <c r="W340" i="6"/>
  <c r="W9" i="6"/>
  <c r="W464" i="6"/>
  <c r="W195" i="6"/>
  <c r="W343" i="6"/>
  <c r="W129" i="6"/>
  <c r="W333" i="6"/>
  <c r="W56" i="6"/>
  <c r="W278" i="6"/>
  <c r="W450" i="6"/>
  <c r="W178" i="6"/>
  <c r="W188" i="6"/>
  <c r="W242" i="6"/>
  <c r="W153" i="6"/>
  <c r="W304" i="6"/>
  <c r="W241" i="6"/>
  <c r="W139" i="6"/>
  <c r="W175" i="6"/>
  <c r="W166" i="6"/>
  <c r="W209" i="6"/>
  <c r="W236" i="6"/>
  <c r="W267" i="6"/>
  <c r="W266" i="6"/>
  <c r="W264" i="6"/>
  <c r="W291" i="6"/>
  <c r="W288" i="6"/>
  <c r="W317" i="6"/>
  <c r="W351" i="6"/>
  <c r="W363" i="6"/>
  <c r="W387" i="6"/>
  <c r="W341" i="6"/>
  <c r="W415" i="6"/>
  <c r="W423" i="6"/>
  <c r="W233" i="6"/>
  <c r="W393" i="6"/>
  <c r="W113" i="6"/>
  <c r="W234" i="6"/>
  <c r="W39" i="6"/>
  <c r="W260" i="6"/>
  <c r="W441" i="6"/>
  <c r="W172" i="6"/>
  <c r="W253" i="6"/>
  <c r="W223" i="6"/>
  <c r="W137" i="6"/>
  <c r="W277" i="6"/>
  <c r="W112" i="6"/>
  <c r="W136" i="6"/>
  <c r="W135" i="6"/>
  <c r="W183" i="6"/>
  <c r="W227" i="6"/>
  <c r="W219" i="6"/>
  <c r="W211" i="6"/>
  <c r="W262" i="6"/>
  <c r="W247" i="6"/>
  <c r="W287" i="6"/>
  <c r="W316" i="6"/>
  <c r="W335" i="6"/>
  <c r="W362" i="6"/>
  <c r="W246" i="6"/>
  <c r="W445" i="6"/>
  <c r="W196" i="6"/>
  <c r="W375" i="6"/>
  <c r="W91" i="6"/>
  <c r="W311" i="6"/>
  <c r="W23" i="6"/>
  <c r="W200" i="6"/>
  <c r="W238" i="6"/>
  <c r="W173" i="6"/>
  <c r="W401" i="6"/>
  <c r="W121" i="6"/>
  <c r="W78" i="6"/>
  <c r="W109" i="6"/>
  <c r="W107" i="6"/>
  <c r="W134" i="6"/>
  <c r="W163" i="6"/>
  <c r="W167" i="6"/>
  <c r="W254" i="6"/>
  <c r="W228" i="6"/>
  <c r="W203" i="6"/>
  <c r="W185" i="6"/>
  <c r="W239" i="6"/>
  <c r="W286" i="6"/>
  <c r="W314" i="6"/>
  <c r="W215" i="6"/>
  <c r="W359" i="6"/>
  <c r="W435" i="6"/>
  <c r="W358" i="6"/>
  <c r="W75" i="6"/>
  <c r="W295" i="6"/>
  <c r="W433" i="6"/>
  <c r="W222" i="6"/>
  <c r="W11" i="6"/>
  <c r="W140" i="6"/>
  <c r="W154" i="6"/>
  <c r="W105" i="6"/>
  <c r="W46" i="6"/>
  <c r="W45" i="6"/>
  <c r="W73" i="6"/>
  <c r="W104" i="6"/>
  <c r="W133" i="6"/>
  <c r="W161" i="6"/>
  <c r="W155" i="6"/>
  <c r="W220" i="6"/>
  <c r="W212" i="6"/>
  <c r="W250" i="6"/>
  <c r="W221" i="6"/>
  <c r="W285" i="6"/>
  <c r="W312" i="6"/>
  <c r="W352" i="6"/>
  <c r="W344" i="6"/>
  <c r="W326" i="6"/>
  <c r="W147" i="6"/>
  <c r="W332" i="6"/>
  <c r="W58" i="6"/>
  <c r="W279" i="6"/>
  <c r="W319" i="6"/>
  <c r="W192" i="6"/>
  <c r="W404" i="6"/>
  <c r="W124" i="6"/>
  <c r="W138" i="6"/>
  <c r="W367" i="6"/>
  <c r="W83" i="6"/>
  <c r="W16" i="6"/>
  <c r="W15" i="6"/>
  <c r="W44" i="6"/>
  <c r="W70" i="6"/>
  <c r="W103" i="6"/>
  <c r="W132" i="6"/>
  <c r="W130" i="6"/>
  <c r="W128" i="6"/>
  <c r="W152" i="6"/>
  <c r="W151" i="6"/>
  <c r="W204" i="6"/>
  <c r="W214" i="6"/>
  <c r="W213" i="6"/>
  <c r="W284" i="6"/>
  <c r="W309" i="6"/>
  <c r="W336" i="6"/>
  <c r="W199" i="6"/>
  <c r="W131" i="6"/>
  <c r="W338" i="6"/>
  <c r="W41" i="6"/>
  <c r="W261" i="6"/>
  <c r="W444" i="6"/>
  <c r="W171" i="6"/>
  <c r="W388" i="6"/>
  <c r="W108" i="6"/>
  <c r="W122" i="6"/>
  <c r="W330" i="6"/>
  <c r="W66" i="6"/>
  <c r="W447" i="6"/>
  <c r="W443" i="6"/>
  <c r="W14" i="6"/>
  <c r="W42" i="6"/>
  <c r="W68" i="6"/>
  <c r="W102" i="6"/>
  <c r="W101" i="6"/>
  <c r="W125" i="6"/>
  <c r="W123" i="6"/>
  <c r="W150" i="6"/>
  <c r="W186" i="6"/>
  <c r="W198" i="6"/>
  <c r="W205" i="6"/>
  <c r="W282" i="6"/>
  <c r="W307" i="6"/>
  <c r="W395" i="6"/>
  <c r="W115" i="6"/>
  <c r="W313" i="6"/>
  <c r="W25" i="6"/>
  <c r="W208" i="6"/>
  <c r="W432" i="6"/>
  <c r="W370" i="6"/>
  <c r="W86" i="6"/>
  <c r="W106" i="6"/>
  <c r="W325" i="6"/>
  <c r="W49" i="6"/>
  <c r="W414" i="6"/>
  <c r="W461" i="6"/>
  <c r="W356" i="6"/>
  <c r="W422" i="6"/>
  <c r="W462" i="6"/>
  <c r="W13" i="6"/>
  <c r="W40" i="6"/>
  <c r="W65" i="6"/>
  <c r="W64" i="6"/>
  <c r="W63" i="6"/>
  <c r="W97" i="6"/>
  <c r="W90" i="6"/>
  <c r="W120" i="6"/>
  <c r="W149" i="6"/>
  <c r="W168" i="6"/>
  <c r="W251" i="6"/>
  <c r="W197" i="6"/>
  <c r="W280" i="6"/>
  <c r="W377" i="6"/>
  <c r="W96" i="6"/>
  <c r="W297" i="6"/>
  <c r="W230" i="6"/>
  <c r="W342" i="6"/>
  <c r="W142" i="6"/>
  <c r="W320" i="6"/>
  <c r="W69" i="6"/>
  <c r="W84" i="6"/>
  <c r="W184" i="6"/>
  <c r="X406" i="6" l="1"/>
  <c r="X169" i="6"/>
  <c r="X170" i="6"/>
  <c r="X383" i="6"/>
  <c r="X384" i="6"/>
  <c r="X385" i="6"/>
  <c r="X386" i="6"/>
  <c r="X156" i="6"/>
  <c r="X157" i="6"/>
  <c r="X158" i="6"/>
  <c r="X159" i="6"/>
  <c r="X160" i="6"/>
  <c r="X361" i="6"/>
  <c r="X452" i="6"/>
  <c r="X269" i="6"/>
  <c r="X268" i="6"/>
  <c r="X74" i="6"/>
  <c r="X407" i="6"/>
  <c r="X408" i="6"/>
  <c r="X409" i="6"/>
  <c r="X410" i="6"/>
  <c r="X411" i="6"/>
  <c r="X412" i="6"/>
  <c r="X413" i="6"/>
  <c r="X469" i="6"/>
  <c r="X470" i="6"/>
  <c r="X471" i="6"/>
  <c r="X472" i="6"/>
  <c r="X473" i="6"/>
  <c r="X474" i="6"/>
  <c r="X189" i="6"/>
  <c r="X52" i="6"/>
  <c r="X53" i="6"/>
  <c r="X54" i="6"/>
  <c r="X490" i="6"/>
  <c r="X485" i="6"/>
  <c r="X491" i="6"/>
  <c r="X492" i="6"/>
  <c r="X488" i="6"/>
  <c r="X486" i="6"/>
  <c r="X489" i="6"/>
  <c r="X487" i="6"/>
  <c r="X194" i="6"/>
  <c r="X483" i="6"/>
  <c r="X484" i="6"/>
  <c r="X427" i="6"/>
  <c r="X428" i="6"/>
  <c r="X429" i="6"/>
  <c r="X430" i="6"/>
  <c r="X431" i="6"/>
  <c r="X327" i="6"/>
  <c r="X98" i="6"/>
  <c r="X99" i="6"/>
  <c r="X100" i="6"/>
  <c r="X274" i="6"/>
  <c r="X365" i="6"/>
  <c r="X389" i="6"/>
  <c r="X299" i="6"/>
  <c r="X167" i="6"/>
  <c r="X478" i="6"/>
  <c r="X324" i="6"/>
  <c r="X72" i="6"/>
  <c r="X379" i="6"/>
  <c r="X380" i="6"/>
  <c r="X381" i="6"/>
  <c r="X273" i="6"/>
  <c r="X289" i="6"/>
  <c r="X449" i="6"/>
  <c r="X420" i="6"/>
  <c r="X79" i="6"/>
  <c r="X67" i="6"/>
  <c r="X13" i="6"/>
  <c r="X28" i="6"/>
  <c r="X460" i="6"/>
  <c r="X435" i="6"/>
  <c r="X81" i="6"/>
  <c r="X166" i="6"/>
  <c r="X26" i="6"/>
  <c r="X322" i="6"/>
  <c r="X251" i="6"/>
  <c r="X220" i="6"/>
  <c r="X453" i="6"/>
  <c r="X313" i="6"/>
  <c r="X82" i="6"/>
  <c r="X437" i="6"/>
  <c r="X423" i="6"/>
  <c r="X371" i="6"/>
  <c r="X227" i="6"/>
  <c r="X450" i="6"/>
  <c r="X252" i="6"/>
  <c r="X315" i="6"/>
  <c r="X329" i="6"/>
  <c r="X181" i="6"/>
  <c r="X87" i="6"/>
  <c r="X133" i="6"/>
  <c r="X398" i="6"/>
  <c r="X362" i="6"/>
  <c r="X150" i="6"/>
  <c r="X348" i="6"/>
  <c r="X293" i="6"/>
  <c r="X277" i="6"/>
  <c r="X195" i="6"/>
  <c r="X334" i="6"/>
  <c r="X356" i="6"/>
  <c r="X29" i="6"/>
  <c r="X93" i="6"/>
  <c r="X94" i="6"/>
  <c r="X95" i="6"/>
  <c r="X360" i="6"/>
  <c r="X171" i="6"/>
  <c r="X291" i="6"/>
  <c r="X92" i="6"/>
  <c r="X65" i="6"/>
  <c r="X70" i="6"/>
  <c r="X341" i="6"/>
  <c r="X153" i="6"/>
  <c r="X27" i="6"/>
  <c r="X275" i="6"/>
  <c r="X84" i="6"/>
  <c r="X477" i="6"/>
  <c r="X290" i="6"/>
  <c r="X89" i="6"/>
  <c r="W5" i="6"/>
  <c r="X479" i="6"/>
  <c r="X432" i="6"/>
  <c r="X102" i="6"/>
  <c r="X352" i="6"/>
  <c r="X10" i="6"/>
  <c r="X440" i="6"/>
  <c r="X266" i="6"/>
  <c r="X332" i="6"/>
  <c r="X247" i="6"/>
  <c r="X179" i="6"/>
  <c r="X43" i="6"/>
  <c r="X239" i="6"/>
  <c r="X235" i="6"/>
  <c r="X229" i="6"/>
  <c r="X441" i="6"/>
  <c r="X190" i="6"/>
  <c r="X212" i="6"/>
  <c r="X401" i="6"/>
  <c r="X137" i="6"/>
  <c r="X152" i="6"/>
  <c r="X416" i="6"/>
  <c r="X149" i="6"/>
  <c r="X338" i="6"/>
  <c r="X51" i="6"/>
  <c r="X49" i="6"/>
  <c r="X48" i="6"/>
  <c r="X46" i="6"/>
  <c r="X77" i="6"/>
  <c r="X310" i="6"/>
  <c r="X424" i="6"/>
  <c r="X191" i="6"/>
  <c r="X22" i="6"/>
  <c r="X244" i="6"/>
  <c r="X136" i="6"/>
  <c r="X25" i="6"/>
  <c r="X24" i="6"/>
  <c r="X76" i="6"/>
  <c r="X466" i="6"/>
  <c r="X394" i="6"/>
  <c r="X186" i="6"/>
  <c r="X353" i="6"/>
  <c r="X382" i="6"/>
  <c r="Y7" i="6"/>
  <c r="X187" i="6"/>
  <c r="X214" i="6"/>
  <c r="X292" i="6"/>
  <c r="X198" i="6"/>
  <c r="X188" i="6"/>
  <c r="X180" i="6"/>
  <c r="X422" i="6"/>
  <c r="X155" i="6"/>
  <c r="X172" i="6"/>
  <c r="X367" i="6"/>
  <c r="X105" i="6"/>
  <c r="X120" i="6"/>
  <c r="X117" i="6"/>
  <c r="X297" i="6"/>
  <c r="X296" i="6"/>
  <c r="X295" i="6"/>
  <c r="X294" i="6"/>
  <c r="X9" i="6"/>
  <c r="X368" i="6"/>
  <c r="X462" i="6"/>
  <c r="X306" i="6"/>
  <c r="X259" i="6"/>
  <c r="X404" i="6"/>
  <c r="X451" i="6"/>
  <c r="X119" i="6"/>
  <c r="X183" i="6"/>
  <c r="X276" i="6"/>
  <c r="X476" i="6"/>
  <c r="X253" i="6"/>
  <c r="X254" i="6"/>
  <c r="X228" i="6"/>
  <c r="X403" i="6"/>
  <c r="X139" i="6"/>
  <c r="X154" i="6"/>
  <c r="X347" i="6"/>
  <c r="X80" i="6"/>
  <c r="X104" i="6"/>
  <c r="X363" i="6"/>
  <c r="X101" i="6"/>
  <c r="X281" i="6"/>
  <c r="X280" i="6"/>
  <c r="X279" i="6"/>
  <c r="X278" i="6"/>
  <c r="X36" i="6"/>
  <c r="X475" i="6"/>
  <c r="X418" i="6"/>
  <c r="X333" i="6"/>
  <c r="X417" i="6"/>
  <c r="X481" i="6"/>
  <c r="X75" i="6"/>
  <c r="X258" i="6"/>
  <c r="X377" i="6"/>
  <c r="X11" i="6"/>
  <c r="X231" i="6"/>
  <c r="X243" i="6"/>
  <c r="X215" i="6"/>
  <c r="X207" i="6"/>
  <c r="X199" i="6"/>
  <c r="X387" i="6"/>
  <c r="X123" i="6"/>
  <c r="X138" i="6"/>
  <c r="X336" i="6"/>
  <c r="X58" i="6"/>
  <c r="X57" i="6"/>
  <c r="X193" i="6"/>
  <c r="X91" i="6"/>
  <c r="X263" i="6"/>
  <c r="X262" i="6"/>
  <c r="X261" i="6"/>
  <c r="X260" i="6"/>
  <c r="X20" i="6"/>
  <c r="X402" i="6"/>
  <c r="X316" i="6"/>
  <c r="X391" i="6"/>
  <c r="X343" i="6"/>
  <c r="X426" i="6"/>
  <c r="X300" i="6"/>
  <c r="X218" i="6"/>
  <c r="X399" i="6"/>
  <c r="X433" i="6"/>
  <c r="X85" i="6"/>
  <c r="X182" i="6"/>
  <c r="X482" i="6"/>
  <c r="X176" i="6"/>
  <c r="X175" i="6"/>
  <c r="X174" i="6"/>
  <c r="X369" i="6"/>
  <c r="X107" i="6"/>
  <c r="X122" i="6"/>
  <c r="X318" i="6"/>
  <c r="X37" i="6"/>
  <c r="X354" i="6"/>
  <c r="X224" i="6"/>
  <c r="X216" i="6"/>
  <c r="X208" i="6"/>
  <c r="X200" i="6"/>
  <c r="X50" i="6"/>
  <c r="X438" i="6"/>
  <c r="X135" i="6"/>
  <c r="X308" i="6"/>
  <c r="X240" i="6"/>
  <c r="X392" i="6"/>
  <c r="X203" i="6"/>
  <c r="X364" i="6"/>
  <c r="X444" i="6"/>
  <c r="X168" i="6"/>
  <c r="X339" i="6"/>
  <c r="X374" i="6"/>
  <c r="X448" i="6"/>
  <c r="X161" i="6"/>
  <c r="X206" i="6"/>
  <c r="X342" i="6"/>
  <c r="X330" i="6"/>
  <c r="X83" i="6"/>
  <c r="X106" i="6"/>
  <c r="X302" i="6"/>
  <c r="X12" i="6"/>
  <c r="X97" i="6"/>
  <c r="X314" i="6"/>
  <c r="X30" i="6"/>
  <c r="X249" i="6"/>
  <c r="X250" i="6"/>
  <c r="X230" i="6"/>
  <c r="X222" i="6"/>
  <c r="X358" i="6"/>
  <c r="X121" i="6"/>
  <c r="X376" i="6"/>
  <c r="X103" i="6"/>
  <c r="X325" i="6"/>
  <c r="X388" i="6"/>
  <c r="X357" i="6"/>
  <c r="X457" i="6"/>
  <c r="X284" i="6"/>
  <c r="X257" i="6"/>
  <c r="X184" i="6"/>
  <c r="X144" i="6"/>
  <c r="X178" i="6"/>
  <c r="X142" i="6"/>
  <c r="X141" i="6"/>
  <c r="X140" i="6"/>
  <c r="X226" i="6"/>
  <c r="X60" i="6"/>
  <c r="X90" i="6"/>
  <c r="X286" i="6"/>
  <c r="X301" i="6"/>
  <c r="X56" i="6"/>
  <c r="X298" i="6"/>
  <c r="X443" i="6"/>
  <c r="X217" i="6"/>
  <c r="X209" i="6"/>
  <c r="X201" i="6"/>
  <c r="X192" i="6"/>
  <c r="X18" i="6"/>
  <c r="X421" i="6"/>
  <c r="X366" i="6"/>
  <c r="X436" i="6"/>
  <c r="X311" i="6"/>
  <c r="X359" i="6"/>
  <c r="X458" i="6"/>
  <c r="X151" i="6"/>
  <c r="X321" i="6"/>
  <c r="X395" i="6"/>
  <c r="X128" i="6"/>
  <c r="X223" i="6"/>
  <c r="X390" i="6"/>
  <c r="X126" i="6"/>
  <c r="X125" i="6"/>
  <c r="X124" i="6"/>
  <c r="X320" i="6"/>
  <c r="X39" i="6"/>
  <c r="X59" i="6"/>
  <c r="X270" i="6"/>
  <c r="X285" i="6"/>
  <c r="X282" i="6"/>
  <c r="X447" i="6"/>
  <c r="X246" i="6"/>
  <c r="X242" i="6"/>
  <c r="X238" i="6"/>
  <c r="X234" i="6"/>
  <c r="X64" i="6"/>
  <c r="X397" i="6"/>
  <c r="X331" i="6"/>
  <c r="X434" i="6"/>
  <c r="X233" i="6"/>
  <c r="X202" i="6"/>
  <c r="X8" i="6"/>
  <c r="X442" i="6"/>
  <c r="X265" i="6"/>
  <c r="X370" i="6"/>
  <c r="X112" i="6"/>
  <c r="X68" i="6"/>
  <c r="X372" i="6"/>
  <c r="X110" i="6"/>
  <c r="X109" i="6"/>
  <c r="X108" i="6"/>
  <c r="X304" i="6"/>
  <c r="X16" i="6"/>
  <c r="X38" i="6"/>
  <c r="X205" i="6"/>
  <c r="X267" i="6"/>
  <c r="X73" i="6"/>
  <c r="X264" i="6"/>
  <c r="X88" i="6"/>
  <c r="X71" i="6"/>
  <c r="X47" i="6"/>
  <c r="X335" i="6"/>
  <c r="X456" i="6"/>
  <c r="X463" i="6"/>
  <c r="X309" i="6"/>
  <c r="X344" i="6"/>
  <c r="X405" i="6"/>
  <c r="X468" i="6"/>
  <c r="X134" i="6"/>
  <c r="X349" i="6"/>
  <c r="X66" i="6"/>
  <c r="X345" i="6"/>
  <c r="X86" i="6"/>
  <c r="X69" i="6"/>
  <c r="X96" i="6"/>
  <c r="X288" i="6"/>
  <c r="X303" i="6"/>
  <c r="X14" i="6"/>
  <c r="X219" i="6"/>
  <c r="X197" i="6"/>
  <c r="X55" i="6"/>
  <c r="X232" i="6"/>
  <c r="X210" i="6"/>
  <c r="X165" i="6"/>
  <c r="X164" i="6"/>
  <c r="X163" i="6"/>
  <c r="X162" i="6"/>
  <c r="X31" i="6"/>
  <c r="X248" i="6"/>
  <c r="X326" i="6"/>
  <c r="X419" i="6"/>
  <c r="X459" i="6"/>
  <c r="X255" i="6"/>
  <c r="X337" i="6"/>
  <c r="X340" i="6"/>
  <c r="X454" i="6"/>
  <c r="X317" i="6"/>
  <c r="X44" i="6"/>
  <c r="X143" i="6"/>
  <c r="X351" i="6"/>
  <c r="X63" i="6"/>
  <c r="X62" i="6"/>
  <c r="X61" i="6"/>
  <c r="X272" i="6"/>
  <c r="X287" i="6"/>
  <c r="X446" i="6"/>
  <c r="X245" i="6"/>
  <c r="X211" i="6"/>
  <c r="X185" i="6"/>
  <c r="X415" i="6"/>
  <c r="X148" i="6"/>
  <c r="X147" i="6"/>
  <c r="X146" i="6"/>
  <c r="X145" i="6"/>
  <c r="X15" i="6"/>
  <c r="X439" i="6"/>
  <c r="X319" i="6"/>
  <c r="X425" i="6"/>
  <c r="X312" i="6"/>
  <c r="X393" i="6"/>
  <c r="X445" i="6"/>
  <c r="X461" i="6"/>
  <c r="X305" i="6"/>
  <c r="X346" i="6"/>
  <c r="X400" i="6"/>
  <c r="X465" i="6"/>
  <c r="X177" i="6"/>
  <c r="X23" i="6"/>
  <c r="X127" i="6"/>
  <c r="X323" i="6"/>
  <c r="X42" i="6"/>
  <c r="X41" i="6"/>
  <c r="X40" i="6"/>
  <c r="X221" i="6"/>
  <c r="X271" i="6"/>
  <c r="X467" i="6"/>
  <c r="X204" i="6"/>
  <c r="X241" i="6"/>
  <c r="X480" i="6"/>
  <c r="X225" i="6"/>
  <c r="X396" i="6"/>
  <c r="X132" i="6"/>
  <c r="X131" i="6"/>
  <c r="X130" i="6"/>
  <c r="X129" i="6"/>
  <c r="X45" i="6"/>
  <c r="X173" i="6"/>
  <c r="X237" i="6"/>
  <c r="X283" i="6"/>
  <c r="X350" i="6"/>
  <c r="X414" i="6"/>
  <c r="X355" i="6"/>
  <c r="X375" i="6"/>
  <c r="X328" i="6"/>
  <c r="X118" i="6"/>
  <c r="X373" i="6"/>
  <c r="X111" i="6"/>
  <c r="X307" i="6"/>
  <c r="X21" i="6"/>
  <c r="X19" i="6"/>
  <c r="X17" i="6"/>
  <c r="X236" i="6"/>
  <c r="X213" i="6"/>
  <c r="X455" i="6"/>
  <c r="X78" i="6"/>
  <c r="X196" i="6"/>
  <c r="X464" i="6"/>
  <c r="X256" i="6"/>
  <c r="X378" i="6"/>
  <c r="X116" i="6"/>
  <c r="X115" i="6"/>
  <c r="X114" i="6"/>
  <c r="X113" i="6"/>
  <c r="Y406" i="6" l="1"/>
  <c r="Y169" i="6"/>
  <c r="Y170" i="6"/>
  <c r="Y383" i="6"/>
  <c r="Y384" i="6"/>
  <c r="Y385" i="6"/>
  <c r="Y386" i="6"/>
  <c r="Y156" i="6"/>
  <c r="Y157" i="6"/>
  <c r="Y158" i="6"/>
  <c r="Y159" i="6"/>
  <c r="Y160" i="6"/>
  <c r="Y361" i="6"/>
  <c r="Y452" i="6"/>
  <c r="Y269" i="6"/>
  <c r="Y268" i="6"/>
  <c r="Y74" i="6"/>
  <c r="Y407" i="6"/>
  <c r="Y408" i="6"/>
  <c r="Y409" i="6"/>
  <c r="Y410" i="6"/>
  <c r="Y411" i="6"/>
  <c r="Y412" i="6"/>
  <c r="Y413" i="6"/>
  <c r="Y469" i="6"/>
  <c r="Y470" i="6"/>
  <c r="Y471" i="6"/>
  <c r="Y472" i="6"/>
  <c r="Y473" i="6"/>
  <c r="Y474" i="6"/>
  <c r="Y189" i="6"/>
  <c r="Y52" i="6"/>
  <c r="Y53" i="6"/>
  <c r="Y54" i="6"/>
  <c r="Y487" i="6"/>
  <c r="Y490" i="6"/>
  <c r="Y485" i="6"/>
  <c r="Y491" i="6"/>
  <c r="Y492" i="6"/>
  <c r="Y488" i="6"/>
  <c r="Y486" i="6"/>
  <c r="Y489" i="6"/>
  <c r="Y483" i="6"/>
  <c r="Y484" i="6"/>
  <c r="Y102" i="6"/>
  <c r="Y369" i="6"/>
  <c r="Y136" i="6"/>
  <c r="Y194" i="6"/>
  <c r="Y476" i="6"/>
  <c r="Y404" i="6"/>
  <c r="Y401" i="6"/>
  <c r="Y145" i="6"/>
  <c r="Y42" i="6"/>
  <c r="Y75" i="6"/>
  <c r="Y122" i="6"/>
  <c r="Y200" i="6"/>
  <c r="Y427" i="6"/>
  <c r="Y428" i="6"/>
  <c r="Y429" i="6"/>
  <c r="Y430" i="6"/>
  <c r="Y431" i="6"/>
  <c r="Y271" i="6"/>
  <c r="Y217" i="6"/>
  <c r="Y177" i="6"/>
  <c r="Y128" i="6"/>
  <c r="Y78" i="6"/>
  <c r="Y57" i="6"/>
  <c r="Y367" i="6"/>
  <c r="Y206" i="6"/>
  <c r="Y14" i="6"/>
  <c r="Y284" i="6"/>
  <c r="Y436" i="6"/>
  <c r="Y278" i="6"/>
  <c r="Y425" i="6"/>
  <c r="Y27" i="6"/>
  <c r="Y292" i="6"/>
  <c r="Y144" i="6"/>
  <c r="Y65" i="6"/>
  <c r="Y104" i="6"/>
  <c r="Y18" i="6"/>
  <c r="Y222" i="6"/>
  <c r="Y109" i="6"/>
  <c r="Y242" i="6"/>
  <c r="Y179" i="6"/>
  <c r="Y148" i="6"/>
  <c r="Y86" i="6"/>
  <c r="Y220" i="6"/>
  <c r="Y72" i="6"/>
  <c r="Y61" i="6"/>
  <c r="Y123" i="6"/>
  <c r="Y350" i="6"/>
  <c r="Y274" i="6"/>
  <c r="Y399" i="6"/>
  <c r="Y306" i="6"/>
  <c r="Y218" i="6"/>
  <c r="Y114" i="6"/>
  <c r="Y327" i="6"/>
  <c r="Y98" i="6"/>
  <c r="Y99" i="6"/>
  <c r="Y100" i="6"/>
  <c r="Y341" i="6"/>
  <c r="Y173" i="6"/>
  <c r="Y233" i="6"/>
  <c r="Y84" i="6"/>
  <c r="Y62" i="6"/>
  <c r="Y414" i="6"/>
  <c r="Y82" i="6"/>
  <c r="Y316" i="6"/>
  <c r="Y187" i="6"/>
  <c r="Y462" i="6"/>
  <c r="Y147" i="6"/>
  <c r="Y103" i="6"/>
  <c r="Y357" i="6"/>
  <c r="Y348" i="6"/>
  <c r="Y254" i="6"/>
  <c r="Y12" i="6"/>
  <c r="Y118" i="6"/>
  <c r="Y231" i="6"/>
  <c r="Y365" i="6"/>
  <c r="Y451" i="6"/>
  <c r="Y131" i="6"/>
  <c r="Y330" i="6"/>
  <c r="Y203" i="6"/>
  <c r="Y133" i="6"/>
  <c r="Y437" i="6"/>
  <c r="Y421" i="6"/>
  <c r="Y396" i="6"/>
  <c r="Y49" i="6"/>
  <c r="Y126" i="6"/>
  <c r="Y195" i="6"/>
  <c r="Y193" i="6"/>
  <c r="Y214" i="6"/>
  <c r="Y314" i="6"/>
  <c r="Y16" i="6"/>
  <c r="Y38" i="6"/>
  <c r="Y60" i="6"/>
  <c r="Y9" i="6"/>
  <c r="Y112" i="6"/>
  <c r="Y188" i="6"/>
  <c r="Y204" i="6"/>
  <c r="Y182" i="6"/>
  <c r="Y46" i="6"/>
  <c r="Y260" i="6"/>
  <c r="Y329" i="6"/>
  <c r="Y238" i="6"/>
  <c r="Y17" i="6"/>
  <c r="Y111" i="6"/>
  <c r="Y372" i="6"/>
  <c r="Y397" i="6"/>
  <c r="Y26" i="6"/>
  <c r="Y101" i="6"/>
  <c r="Y165" i="6"/>
  <c r="Y88" i="6"/>
  <c r="Y191" i="6"/>
  <c r="Y363" i="6"/>
  <c r="Y279" i="6"/>
  <c r="Y13" i="6"/>
  <c r="Y36" i="6"/>
  <c r="Y400" i="6"/>
  <c r="Y73" i="6"/>
  <c r="Y172" i="6"/>
  <c r="Y155" i="6"/>
  <c r="Y166" i="6"/>
  <c r="Y30" i="6"/>
  <c r="Y391" i="6"/>
  <c r="Y276" i="6"/>
  <c r="Y8" i="6"/>
  <c r="Y58" i="6"/>
  <c r="Y247" i="6"/>
  <c r="Y368" i="6"/>
  <c r="Y459" i="6"/>
  <c r="Y392" i="6"/>
  <c r="Y48" i="6"/>
  <c r="Y124" i="6"/>
  <c r="Y69" i="6"/>
  <c r="Y121" i="6"/>
  <c r="Y447" i="6"/>
  <c r="Y342" i="6"/>
  <c r="Y344" i="6"/>
  <c r="Y366" i="6"/>
  <c r="Y358" i="6"/>
  <c r="Y40" i="6"/>
  <c r="Y70" i="6"/>
  <c r="Y107" i="6"/>
  <c r="Y81" i="6"/>
  <c r="Y77" i="6"/>
  <c r="Y258" i="6"/>
  <c r="Y96" i="6"/>
  <c r="Y261" i="6"/>
  <c r="Y377" i="6"/>
  <c r="Y480" i="6"/>
  <c r="Y24" i="6"/>
  <c r="Y37" i="6"/>
  <c r="Y85" i="6"/>
  <c r="Y47" i="6"/>
  <c r="Y76" i="6"/>
  <c r="Y227" i="6"/>
  <c r="Y382" i="6"/>
  <c r="Y420" i="6"/>
  <c r="Y22" i="6"/>
  <c r="Y388" i="6"/>
  <c r="Y55" i="6"/>
  <c r="Y304" i="6"/>
  <c r="Y43" i="6"/>
  <c r="Y444" i="6"/>
  <c r="Y443" i="6"/>
  <c r="Y440" i="6"/>
  <c r="Y378" i="6"/>
  <c r="Y51" i="6"/>
  <c r="Y475" i="6"/>
  <c r="Y347" i="6"/>
  <c r="Y312" i="6"/>
  <c r="Y44" i="6"/>
  <c r="Y353" i="6"/>
  <c r="Y252" i="6"/>
  <c r="Y309" i="6"/>
  <c r="Y466" i="6"/>
  <c r="Y236" i="6"/>
  <c r="Y339" i="6"/>
  <c r="Y374" i="6"/>
  <c r="Y315" i="6"/>
  <c r="Y15" i="6"/>
  <c r="Y298" i="6"/>
  <c r="Y441" i="6"/>
  <c r="Y108" i="6"/>
  <c r="Y311" i="6"/>
  <c r="Y442" i="6"/>
  <c r="Y132" i="6"/>
  <c r="Y201" i="6"/>
  <c r="Y245" i="6"/>
  <c r="Y356" i="6"/>
  <c r="Y482" i="6"/>
  <c r="Y481" i="6"/>
  <c r="Y370" i="6"/>
  <c r="Y20" i="6"/>
  <c r="Y337" i="6"/>
  <c r="Y301" i="6"/>
  <c r="Y293" i="6"/>
  <c r="Y398" i="6"/>
  <c r="Y267" i="6"/>
  <c r="Y423" i="6"/>
  <c r="Y405" i="6"/>
  <c r="Y449" i="6"/>
  <c r="Y435" i="6"/>
  <c r="Y364" i="6"/>
  <c r="Y461" i="6"/>
  <c r="Y224" i="6"/>
  <c r="Y416" i="6"/>
  <c r="Y464" i="6"/>
  <c r="Y110" i="6"/>
  <c r="Y296" i="6"/>
  <c r="Y454" i="6"/>
  <c r="Y375" i="6"/>
  <c r="Y307" i="6"/>
  <c r="Y291" i="6"/>
  <c r="Y285" i="6"/>
  <c r="Y310" i="6"/>
  <c r="Y343" i="6"/>
  <c r="Y360" i="6"/>
  <c r="Y290" i="6"/>
  <c r="Y433" i="6"/>
  <c r="Y393" i="6"/>
  <c r="Y424" i="6"/>
  <c r="Y352" i="6"/>
  <c r="Y264" i="6"/>
  <c r="Y446" i="6"/>
  <c r="Y68" i="6"/>
  <c r="Y465" i="6"/>
  <c r="Y445" i="6"/>
  <c r="Y303" i="6"/>
  <c r="Y394" i="6"/>
  <c r="Y198" i="6"/>
  <c r="Y456" i="6"/>
  <c r="Y213" i="6"/>
  <c r="Y154" i="6"/>
  <c r="Y226" i="6"/>
  <c r="Y79" i="6"/>
  <c r="Y130" i="6"/>
  <c r="Y221" i="6"/>
  <c r="Y318" i="6"/>
  <c r="Y479" i="6"/>
  <c r="Y190" i="6"/>
  <c r="Y234" i="6"/>
  <c r="Y313" i="6"/>
  <c r="Y305" i="6"/>
  <c r="Y297" i="6"/>
  <c r="Y273" i="6"/>
  <c r="Y324" i="6"/>
  <c r="Y467" i="6"/>
  <c r="Y280" i="6"/>
  <c r="Y117" i="6"/>
  <c r="Y25" i="6"/>
  <c r="Y178" i="6"/>
  <c r="Y10" i="6"/>
  <c r="Y67" i="6"/>
  <c r="Y468" i="6"/>
  <c r="Y31" i="6"/>
  <c r="Y11" i="6"/>
  <c r="Y432" i="6"/>
  <c r="Y422" i="6"/>
  <c r="Y281" i="6"/>
  <c r="Y331" i="6"/>
  <c r="Y176" i="6"/>
  <c r="Y241" i="6"/>
  <c r="Y266" i="6"/>
  <c r="Y351" i="6"/>
  <c r="Y376" i="6"/>
  <c r="Y277" i="6"/>
  <c r="Y202" i="6"/>
  <c r="Y417" i="6"/>
  <c r="Y249" i="6"/>
  <c r="Y41" i="6"/>
  <c r="Y265" i="6"/>
  <c r="Y106" i="6"/>
  <c r="Y152" i="6"/>
  <c r="Y197" i="6"/>
  <c r="Y340" i="6"/>
  <c r="Y319" i="6"/>
  <c r="Y345" i="6"/>
  <c r="Y453" i="6"/>
  <c r="Y92" i="6"/>
  <c r="Y211" i="6"/>
  <c r="Y257" i="6"/>
  <c r="Y235" i="6"/>
  <c r="Y229" i="6"/>
  <c r="Y209" i="6"/>
  <c r="Y299" i="6"/>
  <c r="Y455" i="6"/>
  <c r="Y450" i="6"/>
  <c r="Y325" i="6"/>
  <c r="Y91" i="6"/>
  <c r="Y143" i="6"/>
  <c r="Y251" i="6"/>
  <c r="Y448" i="6"/>
  <c r="Y240" i="6"/>
  <c r="Y171" i="6"/>
  <c r="Y262" i="6"/>
  <c r="Y208" i="6"/>
  <c r="Y463" i="6"/>
  <c r="Y28" i="6"/>
  <c r="Y120" i="6"/>
  <c r="Y168" i="6"/>
  <c r="Y418" i="6"/>
  <c r="Y23" i="6"/>
  <c r="Y328" i="6"/>
  <c r="Y439" i="6"/>
  <c r="Y478" i="6"/>
  <c r="Y395" i="6"/>
  <c r="Y129" i="6"/>
  <c r="Y237" i="6"/>
  <c r="Y272" i="6"/>
  <c r="Y185" i="6"/>
  <c r="Y210" i="6"/>
  <c r="Y207" i="6"/>
  <c r="Y192" i="6"/>
  <c r="Y355" i="6"/>
  <c r="Y438" i="6"/>
  <c r="Y390" i="6"/>
  <c r="Y263" i="6"/>
  <c r="Y371" i="6"/>
  <c r="Y212" i="6"/>
  <c r="Y228" i="6"/>
  <c r="Y105" i="6"/>
  <c r="Y149" i="6"/>
  <c r="Y219" i="6"/>
  <c r="Y302" i="6"/>
  <c r="Y294" i="6"/>
  <c r="Y259" i="6"/>
  <c r="Y140" i="6"/>
  <c r="Y184" i="6"/>
  <c r="Y162" i="6"/>
  <c r="Y180" i="6"/>
  <c r="Y167" i="6"/>
  <c r="Y320" i="6"/>
  <c r="Y321" i="6"/>
  <c r="Y142" i="6"/>
  <c r="Y246" i="6"/>
  <c r="Y29" i="6"/>
  <c r="Y205" i="6"/>
  <c r="Y419" i="6"/>
  <c r="Y373" i="6"/>
  <c r="Y50" i="6"/>
  <c r="Y127" i="6"/>
  <c r="Y196" i="6"/>
  <c r="Y322" i="6"/>
  <c r="Y300" i="6"/>
  <c r="Y349" i="6"/>
  <c r="Y90" i="6"/>
  <c r="Y116" i="6"/>
  <c r="Y138" i="6"/>
  <c r="Y137" i="6"/>
  <c r="Y161" i="6"/>
  <c r="Y256" i="6"/>
  <c r="Y244" i="6"/>
  <c r="Y288" i="6"/>
  <c r="Y134" i="6"/>
  <c r="Y335" i="6"/>
  <c r="Y338" i="6"/>
  <c r="Y163" i="6"/>
  <c r="Y230" i="6"/>
  <c r="Y275" i="6"/>
  <c r="Y359" i="6"/>
  <c r="Y415" i="6"/>
  <c r="Y87" i="6"/>
  <c r="Y174" i="6"/>
  <c r="Y354" i="6"/>
  <c r="Y308" i="6"/>
  <c r="Y346" i="6"/>
  <c r="Y333" i="6"/>
  <c r="Y289" i="6"/>
  <c r="Y56" i="6"/>
  <c r="Y153" i="6"/>
  <c r="Y223" i="6"/>
  <c r="Y336" i="6"/>
  <c r="Y458" i="6"/>
  <c r="Y287" i="6"/>
  <c r="Y45" i="6"/>
  <c r="Y89" i="6"/>
  <c r="Y175" i="6"/>
  <c r="Y295" i="6"/>
  <c r="Y39" i="6"/>
  <c r="Y115" i="6"/>
  <c r="Y183" i="6"/>
  <c r="Y248" i="6"/>
  <c r="Y334" i="6"/>
  <c r="Y457" i="6"/>
  <c r="Y139" i="6"/>
  <c r="Y250" i="6"/>
  <c r="Y460" i="6"/>
  <c r="Y379" i="6"/>
  <c r="Y380" i="6"/>
  <c r="Y381" i="6"/>
  <c r="Y113" i="6"/>
  <c r="Y243" i="6"/>
  <c r="Y282" i="6"/>
  <c r="Y323" i="6"/>
  <c r="Y387" i="6"/>
  <c r="Y151" i="6"/>
  <c r="Y215" i="6"/>
  <c r="Y83" i="6"/>
  <c r="Y253" i="6"/>
  <c r="Y403" i="6"/>
  <c r="Y141" i="6"/>
  <c r="Y332" i="6"/>
  <c r="Y362" i="6"/>
  <c r="Y135" i="6"/>
  <c r="Y199" i="6"/>
  <c r="Y71" i="6"/>
  <c r="Y146" i="6"/>
  <c r="Y255" i="6"/>
  <c r="Y66" i="6"/>
  <c r="Y164" i="6"/>
  <c r="Y239" i="6"/>
  <c r="Y402" i="6"/>
  <c r="Z7" i="6"/>
  <c r="Y59" i="6"/>
  <c r="Y225" i="6"/>
  <c r="Y477" i="6"/>
  <c r="Y125" i="6"/>
  <c r="Y283" i="6"/>
  <c r="Y389" i="6"/>
  <c r="Y119" i="6"/>
  <c r="Y181" i="6"/>
  <c r="X5" i="6"/>
  <c r="Y63" i="6"/>
  <c r="Y93" i="6"/>
  <c r="Y94" i="6"/>
  <c r="Y95" i="6"/>
  <c r="Y426" i="6"/>
  <c r="Y97" i="6"/>
  <c r="Y286" i="6"/>
  <c r="Y21" i="6"/>
  <c r="Y186" i="6"/>
  <c r="Y434" i="6"/>
  <c r="Y64" i="6"/>
  <c r="Y150" i="6"/>
  <c r="Y270" i="6"/>
  <c r="Y19" i="6"/>
  <c r="Y232" i="6"/>
  <c r="Y80" i="6"/>
  <c r="Y326" i="6"/>
  <c r="Y216" i="6"/>
  <c r="Y317" i="6"/>
  <c r="Z406" i="6" l="1"/>
  <c r="Z169" i="6"/>
  <c r="Z170" i="6"/>
  <c r="Z383" i="6"/>
  <c r="Z384" i="6"/>
  <c r="Z385" i="6"/>
  <c r="Z386" i="6"/>
  <c r="Z156" i="6"/>
  <c r="Z157" i="6"/>
  <c r="Z158" i="6"/>
  <c r="Z159" i="6"/>
  <c r="Z160" i="6"/>
  <c r="Z361" i="6"/>
  <c r="Z452" i="6"/>
  <c r="Z269" i="6"/>
  <c r="Z268" i="6"/>
  <c r="Z74" i="6"/>
  <c r="Z407" i="6"/>
  <c r="Z408" i="6"/>
  <c r="Z409" i="6"/>
  <c r="Z410" i="6"/>
  <c r="Z411" i="6"/>
  <c r="Z412" i="6"/>
  <c r="Z413" i="6"/>
  <c r="Z469" i="6"/>
  <c r="Z470" i="6"/>
  <c r="Z471" i="6"/>
  <c r="Z472" i="6"/>
  <c r="Z473" i="6"/>
  <c r="Z474" i="6"/>
  <c r="Z189" i="6"/>
  <c r="Z52" i="6"/>
  <c r="Z53" i="6"/>
  <c r="Z54" i="6"/>
  <c r="Z487" i="6"/>
  <c r="Z490" i="6"/>
  <c r="Z485" i="6"/>
  <c r="Z491" i="6"/>
  <c r="Z492" i="6"/>
  <c r="Z488" i="6"/>
  <c r="Z486" i="6"/>
  <c r="Z489" i="6"/>
  <c r="Z194" i="6"/>
  <c r="Z483" i="6"/>
  <c r="Z484" i="6"/>
  <c r="Z201" i="6"/>
  <c r="Z183" i="6"/>
  <c r="Z368" i="6"/>
  <c r="Z427" i="6"/>
  <c r="Z428" i="6"/>
  <c r="Z429" i="6"/>
  <c r="Z430" i="6"/>
  <c r="Z431" i="6"/>
  <c r="Z134" i="6"/>
  <c r="Z327" i="6"/>
  <c r="Z98" i="6"/>
  <c r="Z99" i="6"/>
  <c r="Z100" i="6"/>
  <c r="Z167" i="6"/>
  <c r="Z12" i="6"/>
  <c r="Z365" i="6"/>
  <c r="Z76" i="6"/>
  <c r="Z346" i="6"/>
  <c r="Z311" i="6"/>
  <c r="Z451" i="6"/>
  <c r="Z304" i="6"/>
  <c r="Z13" i="6"/>
  <c r="Z347" i="6"/>
  <c r="Z454" i="6"/>
  <c r="Z433" i="6"/>
  <c r="Z274" i="6"/>
  <c r="Z445" i="6"/>
  <c r="Z143" i="6"/>
  <c r="Z475" i="6"/>
  <c r="Z136" i="6"/>
  <c r="Z42" i="6"/>
  <c r="Z153" i="6"/>
  <c r="Z127" i="6"/>
  <c r="Z61" i="6"/>
  <c r="Z387" i="6"/>
  <c r="Z23" i="6"/>
  <c r="Z83" i="6"/>
  <c r="Z8" i="6"/>
  <c r="Z464" i="6"/>
  <c r="Z357" i="6"/>
  <c r="Z319" i="6"/>
  <c r="Y5" i="6"/>
  <c r="Z394" i="6"/>
  <c r="Z248" i="6"/>
  <c r="Z50" i="6"/>
  <c r="Z115" i="6"/>
  <c r="Z350" i="6"/>
  <c r="Z65" i="6"/>
  <c r="Z294" i="6"/>
  <c r="Z63" i="6"/>
  <c r="Z87" i="6"/>
  <c r="Z348" i="6"/>
  <c r="Z300" i="6"/>
  <c r="Z126" i="6"/>
  <c r="Z146" i="6"/>
  <c r="Z284" i="6"/>
  <c r="Z251" i="6"/>
  <c r="Z352" i="6"/>
  <c r="Z88" i="6"/>
  <c r="Z243" i="6"/>
  <c r="Z234" i="6"/>
  <c r="Z283" i="6"/>
  <c r="Z258" i="6"/>
  <c r="Z309" i="6"/>
  <c r="Z415" i="6"/>
  <c r="Z262" i="6"/>
  <c r="Z211" i="6"/>
  <c r="Z396" i="6"/>
  <c r="Z353" i="6"/>
  <c r="Z257" i="6"/>
  <c r="Z275" i="6"/>
  <c r="Z345" i="6"/>
  <c r="Z238" i="6"/>
  <c r="Z417" i="6"/>
  <c r="Z133" i="6"/>
  <c r="Z377" i="6"/>
  <c r="Z117" i="6"/>
  <c r="Z277" i="6"/>
  <c r="Z85" i="6"/>
  <c r="Z329" i="6"/>
  <c r="Z332" i="6"/>
  <c r="Z338" i="6"/>
  <c r="Z250" i="6"/>
  <c r="Z254" i="6"/>
  <c r="Z479" i="6"/>
  <c r="Z435" i="6"/>
  <c r="Z120" i="6"/>
  <c r="Z37" i="6"/>
  <c r="Z142" i="6"/>
  <c r="Z457" i="6"/>
  <c r="Z237" i="6"/>
  <c r="Z369" i="6"/>
  <c r="Z336" i="6"/>
  <c r="Z244" i="6"/>
  <c r="Z360" i="6"/>
  <c r="Z314" i="6"/>
  <c r="Z113" i="6"/>
  <c r="Z62" i="6"/>
  <c r="Z296" i="6"/>
  <c r="Z400" i="6"/>
  <c r="Z482" i="6"/>
  <c r="Z43" i="6"/>
  <c r="Z343" i="6"/>
  <c r="Z378" i="6"/>
  <c r="Z203" i="6"/>
  <c r="Z342" i="6"/>
  <c r="Z462" i="6"/>
  <c r="Z25" i="6"/>
  <c r="Z261" i="6"/>
  <c r="Z51" i="6"/>
  <c r="Z362" i="6"/>
  <c r="Z448" i="6"/>
  <c r="Z287" i="6"/>
  <c r="Z213" i="6"/>
  <c r="Z438" i="6"/>
  <c r="Z56" i="6"/>
  <c r="Z351" i="6"/>
  <c r="Z367" i="6"/>
  <c r="Z178" i="6"/>
  <c r="Z402" i="6"/>
  <c r="Z312" i="6"/>
  <c r="Z31" i="6"/>
  <c r="Z227" i="6"/>
  <c r="Z111" i="6"/>
  <c r="Z110" i="6"/>
  <c r="Z289" i="6"/>
  <c r="Z281" i="6"/>
  <c r="Z323" i="6"/>
  <c r="Z222" i="6"/>
  <c r="Z221" i="6"/>
  <c r="Z218" i="6"/>
  <c r="Z150" i="6"/>
  <c r="Z290" i="6"/>
  <c r="Z73" i="6"/>
  <c r="Z316" i="6"/>
  <c r="Z108" i="6"/>
  <c r="Z442" i="6"/>
  <c r="Z70" i="6"/>
  <c r="Z315" i="6"/>
  <c r="Z401" i="6"/>
  <c r="Z196" i="6"/>
  <c r="Z423" i="6"/>
  <c r="Z29" i="6"/>
  <c r="Z278" i="6"/>
  <c r="Z337" i="6"/>
  <c r="Z370" i="6"/>
  <c r="Z195" i="6"/>
  <c r="Z320" i="6"/>
  <c r="Z92" i="6"/>
  <c r="Z81" i="6"/>
  <c r="Z325" i="6"/>
  <c r="Z324" i="6"/>
  <c r="Z416" i="6"/>
  <c r="Z188" i="6"/>
  <c r="Z187" i="6"/>
  <c r="Z184" i="6"/>
  <c r="Z436" i="6"/>
  <c r="Z118" i="6"/>
  <c r="Z291" i="6"/>
  <c r="Z247" i="6"/>
  <c r="Z84" i="6"/>
  <c r="Z94" i="6"/>
  <c r="Z96" i="6"/>
  <c r="Z206" i="6"/>
  <c r="Z202" i="6"/>
  <c r="Z285" i="6"/>
  <c r="Z393" i="6"/>
  <c r="Z177" i="6"/>
  <c r="Z45" i="6"/>
  <c r="Z44" i="6"/>
  <c r="Z240" i="6"/>
  <c r="Z239" i="6"/>
  <c r="Z371" i="6"/>
  <c r="Z173" i="6"/>
  <c r="Z172" i="6"/>
  <c r="Z168" i="6"/>
  <c r="Z398" i="6"/>
  <c r="Z101" i="6"/>
  <c r="Z260" i="6"/>
  <c r="Z15" i="6"/>
  <c r="Z231" i="6"/>
  <c r="Z49" i="6"/>
  <c r="Z93" i="6"/>
  <c r="Z72" i="6"/>
  <c r="Z249" i="6"/>
  <c r="Z235" i="6"/>
  <c r="Z280" i="6"/>
  <c r="Z421" i="6"/>
  <c r="Z163" i="6"/>
  <c r="Z349" i="6"/>
  <c r="Z418" i="6"/>
  <c r="Z204" i="6"/>
  <c r="Z432" i="6"/>
  <c r="Z47" i="6"/>
  <c r="Z302" i="6"/>
  <c r="Z358" i="6"/>
  <c r="Z255" i="6"/>
  <c r="Z271" i="6"/>
  <c r="Z161" i="6"/>
  <c r="Z321" i="6"/>
  <c r="Z27" i="6"/>
  <c r="Z26" i="6"/>
  <c r="Z224" i="6"/>
  <c r="Z223" i="6"/>
  <c r="Z478" i="6"/>
  <c r="Z155" i="6"/>
  <c r="Z154" i="6"/>
  <c r="Z151" i="6"/>
  <c r="Z298" i="6"/>
  <c r="Z91" i="6"/>
  <c r="Z322" i="6"/>
  <c r="Z395" i="6"/>
  <c r="Z215" i="6"/>
  <c r="AA7" i="6"/>
  <c r="Z89" i="6"/>
  <c r="Z339" i="6"/>
  <c r="Z476" i="6"/>
  <c r="Z137" i="6"/>
  <c r="Z264" i="6"/>
  <c r="Z186" i="6"/>
  <c r="Z245" i="6"/>
  <c r="Z455" i="6"/>
  <c r="Z103" i="6"/>
  <c r="Z246" i="6"/>
  <c r="Z463" i="6"/>
  <c r="Z144" i="6"/>
  <c r="Z305" i="6"/>
  <c r="Z297" i="6"/>
  <c r="Z279" i="6"/>
  <c r="Z208" i="6"/>
  <c r="Z207" i="6"/>
  <c r="Z458" i="6"/>
  <c r="Z139" i="6"/>
  <c r="Z138" i="6"/>
  <c r="Z135" i="6"/>
  <c r="Z331" i="6"/>
  <c r="Z253" i="6"/>
  <c r="Z388" i="6"/>
  <c r="Z199" i="6"/>
  <c r="Z17" i="6"/>
  <c r="Z129" i="6"/>
  <c r="Z374" i="6"/>
  <c r="Z228" i="6"/>
  <c r="Z439" i="6"/>
  <c r="Z265" i="6"/>
  <c r="Z179" i="6"/>
  <c r="Z19" i="6"/>
  <c r="Z230" i="6"/>
  <c r="Z446" i="6"/>
  <c r="Z128" i="6"/>
  <c r="Z276" i="6"/>
  <c r="Z266" i="6"/>
  <c r="Z366" i="6"/>
  <c r="Z191" i="6"/>
  <c r="Z190" i="6"/>
  <c r="Z441" i="6"/>
  <c r="Z123" i="6"/>
  <c r="Z122" i="6"/>
  <c r="Z119" i="6"/>
  <c r="Z299" i="6"/>
  <c r="Z75" i="6"/>
  <c r="Z419" i="6"/>
  <c r="Z181" i="6"/>
  <c r="Z14" i="6"/>
  <c r="Z404" i="6"/>
  <c r="Z481" i="6"/>
  <c r="Z219" i="6"/>
  <c r="Z58" i="6"/>
  <c r="Z121" i="6"/>
  <c r="Z162" i="6"/>
  <c r="Z152" i="6"/>
  <c r="Z344" i="6"/>
  <c r="Z256" i="6"/>
  <c r="Z38" i="6"/>
  <c r="Z114" i="6"/>
  <c r="Z267" i="6"/>
  <c r="Z391" i="6"/>
  <c r="Z214" i="6"/>
  <c r="Z112" i="6"/>
  <c r="Z328" i="6"/>
  <c r="Z326" i="6"/>
  <c r="Z295" i="6"/>
  <c r="Z175" i="6"/>
  <c r="Z174" i="6"/>
  <c r="Z424" i="6"/>
  <c r="Z106" i="6"/>
  <c r="Z105" i="6"/>
  <c r="Z102" i="6"/>
  <c r="Z270" i="6"/>
  <c r="Z16" i="6"/>
  <c r="Z232" i="6"/>
  <c r="Z420" i="6"/>
  <c r="Z165" i="6"/>
  <c r="Z460" i="6"/>
  <c r="Z379" i="6"/>
  <c r="Z380" i="6"/>
  <c r="Z381" i="6"/>
  <c r="Z229" i="6"/>
  <c r="Z459" i="6"/>
  <c r="Z197" i="6"/>
  <c r="Z286" i="6"/>
  <c r="Z67" i="6"/>
  <c r="Z242" i="6"/>
  <c r="Z241" i="6"/>
  <c r="Z480" i="6"/>
  <c r="Z414" i="6"/>
  <c r="Z66" i="6"/>
  <c r="Z340" i="6"/>
  <c r="Z216" i="6"/>
  <c r="Z467" i="6"/>
  <c r="Z148" i="6"/>
  <c r="Z68" i="6"/>
  <c r="Z79" i="6"/>
  <c r="Z425" i="6"/>
  <c r="Z90" i="6"/>
  <c r="Z444" i="6"/>
  <c r="Z10" i="6"/>
  <c r="Z301" i="6"/>
  <c r="Z236" i="6"/>
  <c r="Z405" i="6"/>
  <c r="Z180" i="6"/>
  <c r="Z330" i="6"/>
  <c r="Z46" i="6"/>
  <c r="Z226" i="6"/>
  <c r="Z225" i="6"/>
  <c r="Z461" i="6"/>
  <c r="Z141" i="6"/>
  <c r="Z140" i="6"/>
  <c r="Z293" i="6"/>
  <c r="Z60" i="6"/>
  <c r="Z59" i="6"/>
  <c r="Z55" i="6"/>
  <c r="Z252" i="6"/>
  <c r="Z392" i="6"/>
  <c r="Z200" i="6"/>
  <c r="Z450" i="6"/>
  <c r="Z132" i="6"/>
  <c r="Z57" i="6"/>
  <c r="Z95" i="6"/>
  <c r="Z375" i="6"/>
  <c r="Z465" i="6"/>
  <c r="Z80" i="6"/>
  <c r="Z30" i="6"/>
  <c r="Z198" i="6"/>
  <c r="Z97" i="6"/>
  <c r="Z48" i="6"/>
  <c r="Z164" i="6"/>
  <c r="Z28" i="6"/>
  <c r="Z209" i="6"/>
  <c r="Z443" i="6"/>
  <c r="Z125" i="6"/>
  <c r="Z124" i="6"/>
  <c r="Z333" i="6"/>
  <c r="Z41" i="6"/>
  <c r="Z39" i="6"/>
  <c r="Z36" i="6"/>
  <c r="Z9" i="6"/>
  <c r="Z182" i="6"/>
  <c r="Z434" i="6"/>
  <c r="Z116" i="6"/>
  <c r="Z40" i="6"/>
  <c r="Z341" i="6"/>
  <c r="Z205" i="6"/>
  <c r="Z453" i="6"/>
  <c r="Z308" i="6"/>
  <c r="Z334" i="6"/>
  <c r="Z376" i="6"/>
  <c r="Z355" i="6"/>
  <c r="Z477" i="6"/>
  <c r="Z145" i="6"/>
  <c r="Z306" i="6"/>
  <c r="Z382" i="6"/>
  <c r="Z71" i="6"/>
  <c r="Z456" i="6"/>
  <c r="Z104" i="6"/>
  <c r="Z466" i="6"/>
  <c r="Z147" i="6"/>
  <c r="Z335" i="6"/>
  <c r="Z373" i="6"/>
  <c r="Z193" i="6"/>
  <c r="Z192" i="6"/>
  <c r="Z426" i="6"/>
  <c r="Z109" i="6"/>
  <c r="Z107" i="6"/>
  <c r="Z310" i="6"/>
  <c r="Z22" i="6"/>
  <c r="Z21" i="6"/>
  <c r="Z18" i="6"/>
  <c r="Z233" i="6"/>
  <c r="Z259" i="6"/>
  <c r="Z166" i="6"/>
  <c r="Z390" i="6"/>
  <c r="Z82" i="6"/>
  <c r="Z24" i="6"/>
  <c r="Z354" i="6"/>
  <c r="Z303" i="6"/>
  <c r="Z372" i="6"/>
  <c r="Z399" i="6"/>
  <c r="Z364" i="6"/>
  <c r="Z292" i="6"/>
  <c r="Z130" i="6"/>
  <c r="Z272" i="6"/>
  <c r="Z11" i="6"/>
  <c r="Z212" i="6"/>
  <c r="Z437" i="6"/>
  <c r="Z318" i="6"/>
  <c r="Z363" i="6"/>
  <c r="Z171" i="6"/>
  <c r="Z288" i="6"/>
  <c r="Z210" i="6"/>
  <c r="Z447" i="6"/>
  <c r="Z317" i="6"/>
  <c r="Z220" i="6"/>
  <c r="Z440" i="6"/>
  <c r="Z307" i="6"/>
  <c r="Z397" i="6"/>
  <c r="Z185" i="6"/>
  <c r="Z422" i="6"/>
  <c r="Z20" i="6"/>
  <c r="Z449" i="6"/>
  <c r="Z131" i="6"/>
  <c r="Z313" i="6"/>
  <c r="Z389" i="6"/>
  <c r="Z176" i="6"/>
  <c r="Z78" i="6"/>
  <c r="Z359" i="6"/>
  <c r="Z86" i="6"/>
  <c r="Z69" i="6"/>
  <c r="Z273" i="6"/>
  <c r="Z263" i="6"/>
  <c r="Z356" i="6"/>
  <c r="Z403" i="6"/>
  <c r="Z217" i="6"/>
  <c r="Z468" i="6"/>
  <c r="Z149" i="6"/>
  <c r="Z282" i="6"/>
  <c r="Z64" i="6"/>
  <c r="Z77" i="6"/>
  <c r="AA406" i="6" l="1"/>
  <c r="AA169" i="6"/>
  <c r="AA170" i="6"/>
  <c r="AA383" i="6"/>
  <c r="AA384" i="6"/>
  <c r="AA385" i="6"/>
  <c r="AA386" i="6"/>
  <c r="AA156" i="6"/>
  <c r="AA157" i="6"/>
  <c r="AA158" i="6"/>
  <c r="AA159" i="6"/>
  <c r="AA160" i="6"/>
  <c r="AA361" i="6"/>
  <c r="AA452" i="6"/>
  <c r="AA269" i="6"/>
  <c r="AA268" i="6"/>
  <c r="AA74" i="6"/>
  <c r="AA407" i="6"/>
  <c r="AA408" i="6"/>
  <c r="AA409" i="6"/>
  <c r="AA410" i="6"/>
  <c r="AA411" i="6"/>
  <c r="AA412" i="6"/>
  <c r="AA413" i="6"/>
  <c r="AA469" i="6"/>
  <c r="AA470" i="6"/>
  <c r="AA471" i="6"/>
  <c r="AA472" i="6"/>
  <c r="AA473" i="6"/>
  <c r="AA474" i="6"/>
  <c r="AA189" i="6"/>
  <c r="AA52" i="6"/>
  <c r="AA53" i="6"/>
  <c r="AA54" i="6"/>
  <c r="AA487" i="6"/>
  <c r="AA490" i="6"/>
  <c r="AA485" i="6"/>
  <c r="AA491" i="6"/>
  <c r="AA492" i="6"/>
  <c r="AA488" i="6"/>
  <c r="AA486" i="6"/>
  <c r="AA489" i="6"/>
  <c r="AA194" i="6"/>
  <c r="AA484" i="6"/>
  <c r="AA483" i="6"/>
  <c r="AA427" i="6"/>
  <c r="AA428" i="6"/>
  <c r="AA429" i="6"/>
  <c r="AA430" i="6"/>
  <c r="AA431" i="6"/>
  <c r="AA327" i="6"/>
  <c r="AA99" i="6"/>
  <c r="AA100" i="6"/>
  <c r="AA98" i="6"/>
  <c r="AA398" i="6"/>
  <c r="AA271" i="6"/>
  <c r="AA365" i="6"/>
  <c r="AA346" i="6"/>
  <c r="AA138" i="6"/>
  <c r="AA55" i="6"/>
  <c r="AA438" i="6"/>
  <c r="AA39" i="6"/>
  <c r="AA382" i="6"/>
  <c r="AA131" i="6"/>
  <c r="AA366" i="6"/>
  <c r="AA295" i="6"/>
  <c r="AA119" i="6"/>
  <c r="AA23" i="6"/>
  <c r="AA330" i="6"/>
  <c r="AA11" i="6"/>
  <c r="AA97" i="6"/>
  <c r="AA109" i="6"/>
  <c r="AA218" i="6"/>
  <c r="AA322" i="6"/>
  <c r="AA140" i="6"/>
  <c r="AA164" i="6"/>
  <c r="AA91" i="6"/>
  <c r="AA279" i="6"/>
  <c r="AA289" i="6"/>
  <c r="AA252" i="6"/>
  <c r="AA310" i="6"/>
  <c r="AA348" i="6"/>
  <c r="AA66" i="6"/>
  <c r="AA314" i="6"/>
  <c r="AA185" i="6"/>
  <c r="AA200" i="6"/>
  <c r="AA153" i="6"/>
  <c r="AA237" i="6"/>
  <c r="AA272" i="6"/>
  <c r="AA290" i="6"/>
  <c r="AA178" i="6"/>
  <c r="AA81" i="6"/>
  <c r="AA107" i="6"/>
  <c r="AA283" i="6"/>
  <c r="AA49" i="6"/>
  <c r="AA88" i="6"/>
  <c r="AA336" i="6"/>
  <c r="AA29" i="6"/>
  <c r="AA464" i="6"/>
  <c r="AA132" i="6"/>
  <c r="AA205" i="6"/>
  <c r="AA104" i="6"/>
  <c r="AA13" i="6"/>
  <c r="AA363" i="6"/>
  <c r="AA130" i="6"/>
  <c r="AA195" i="6"/>
  <c r="AA394" i="6"/>
  <c r="AA374" i="6"/>
  <c r="AA387" i="6"/>
  <c r="AA253" i="6"/>
  <c r="AA151" i="6"/>
  <c r="AA400" i="6"/>
  <c r="AA101" i="6"/>
  <c r="AA148" i="6"/>
  <c r="AA450" i="6"/>
  <c r="AA360" i="6"/>
  <c r="AA149" i="6"/>
  <c r="AA405" i="6"/>
  <c r="AA414" i="6"/>
  <c r="AA120" i="6"/>
  <c r="AA28" i="6"/>
  <c r="AA70" i="6"/>
  <c r="AA362" i="6"/>
  <c r="AA227" i="6"/>
  <c r="AA93" i="6"/>
  <c r="AA182" i="6"/>
  <c r="AA75" i="6"/>
  <c r="AA203" i="6"/>
  <c r="AA273" i="6"/>
  <c r="AA439" i="6"/>
  <c r="AA359" i="6"/>
  <c r="AA183" i="6"/>
  <c r="AA316" i="6"/>
  <c r="AA208" i="6"/>
  <c r="Z5" i="6"/>
  <c r="AA460" i="6"/>
  <c r="AA379" i="6"/>
  <c r="AA380" i="6"/>
  <c r="AA381" i="6"/>
  <c r="AA240" i="6"/>
  <c r="AA331" i="6"/>
  <c r="AA337" i="6"/>
  <c r="AA390" i="6"/>
  <c r="AA309" i="6"/>
  <c r="AA392" i="6"/>
  <c r="AA65" i="6"/>
  <c r="AA64" i="6"/>
  <c r="AA180" i="6"/>
  <c r="AA281" i="6"/>
  <c r="AA349" i="6"/>
  <c r="AA448" i="6"/>
  <c r="AA293" i="6"/>
  <c r="AA161" i="6"/>
  <c r="AA17" i="6"/>
  <c r="AA396" i="6"/>
  <c r="AA220" i="6"/>
  <c r="AA280" i="6"/>
  <c r="AA58" i="6"/>
  <c r="AA217" i="6"/>
  <c r="AA447" i="6"/>
  <c r="AA142" i="6"/>
  <c r="AA463" i="6"/>
  <c r="AA44" i="6"/>
  <c r="AA277" i="6"/>
  <c r="AA371" i="6"/>
  <c r="AA135" i="6"/>
  <c r="AA284" i="6"/>
  <c r="AA332" i="6"/>
  <c r="AA461" i="6"/>
  <c r="AA401" i="6"/>
  <c r="AA38" i="6"/>
  <c r="AA37" i="6"/>
  <c r="AA258" i="6"/>
  <c r="AA311" i="6"/>
  <c r="AA302" i="6"/>
  <c r="AA426" i="6"/>
  <c r="AA358" i="6"/>
  <c r="AA22" i="6"/>
  <c r="AA176" i="6"/>
  <c r="AA30" i="6"/>
  <c r="AA320" i="6"/>
  <c r="AA207" i="6"/>
  <c r="AA235" i="6"/>
  <c r="AA41" i="6"/>
  <c r="AA225" i="6"/>
  <c r="AA242" i="6"/>
  <c r="AA121" i="6"/>
  <c r="AA215" i="6"/>
  <c r="AA255" i="6"/>
  <c r="AA291" i="6"/>
  <c r="AA59" i="6"/>
  <c r="AA187" i="6"/>
  <c r="AA251" i="6"/>
  <c r="AA184" i="6"/>
  <c r="AA370" i="6"/>
  <c r="AA8" i="6"/>
  <c r="AA113" i="6"/>
  <c r="AA152" i="6"/>
  <c r="AA168" i="6"/>
  <c r="AA265" i="6"/>
  <c r="AA437" i="6"/>
  <c r="AA10" i="6"/>
  <c r="AA388" i="6"/>
  <c r="AA373" i="6"/>
  <c r="AA122" i="6"/>
  <c r="AA249" i="6"/>
  <c r="AA355" i="6"/>
  <c r="AA328" i="6"/>
  <c r="AA306" i="6"/>
  <c r="AA80" i="6"/>
  <c r="AA14" i="6"/>
  <c r="AA282" i="6"/>
  <c r="AA171" i="6"/>
  <c r="AA247" i="6"/>
  <c r="AA25" i="6"/>
  <c r="AA246" i="6"/>
  <c r="AA376" i="6"/>
  <c r="AA84" i="6"/>
  <c r="AA222" i="6"/>
  <c r="AA477" i="6"/>
  <c r="AA465" i="6"/>
  <c r="AA141" i="6"/>
  <c r="AA78" i="6"/>
  <c r="AA196" i="6"/>
  <c r="AA276" i="6"/>
  <c r="AA351" i="6"/>
  <c r="AA436" i="6"/>
  <c r="AA482" i="6"/>
  <c r="AA377" i="6"/>
  <c r="AA92" i="6"/>
  <c r="AA231" i="6"/>
  <c r="AA236" i="6"/>
  <c r="AA294" i="6"/>
  <c r="AA425" i="6"/>
  <c r="AA301" i="6"/>
  <c r="AA21" i="6"/>
  <c r="AA223" i="6"/>
  <c r="AA457" i="6"/>
  <c r="AA139" i="6"/>
  <c r="AA342" i="6"/>
  <c r="AA421" i="6"/>
  <c r="AA110" i="6"/>
  <c r="AA128" i="6"/>
  <c r="AA350" i="6"/>
  <c r="AA50" i="6"/>
  <c r="AA357" i="6"/>
  <c r="AA248" i="6"/>
  <c r="AA372" i="6"/>
  <c r="AA458" i="6"/>
  <c r="AA63" i="6"/>
  <c r="AA233" i="6"/>
  <c r="AA356" i="6"/>
  <c r="AA317" i="6"/>
  <c r="AA468" i="6"/>
  <c r="AA201" i="6"/>
  <c r="AA112" i="6"/>
  <c r="AA440" i="6"/>
  <c r="AA177" i="6"/>
  <c r="AA124" i="6"/>
  <c r="AA466" i="6"/>
  <c r="AA136" i="6"/>
  <c r="AA150" i="6"/>
  <c r="AA325" i="6"/>
  <c r="AA274" i="6"/>
  <c r="AA453" i="6"/>
  <c r="AA312" i="6"/>
  <c r="AA229" i="6"/>
  <c r="AA334" i="6"/>
  <c r="AA423" i="6"/>
  <c r="AA60" i="6"/>
  <c r="AA211" i="6"/>
  <c r="AA449" i="6"/>
  <c r="AA129" i="6"/>
  <c r="AA313" i="6"/>
  <c r="AA18" i="6"/>
  <c r="AA12" i="6"/>
  <c r="AA226" i="6"/>
  <c r="AA341" i="6"/>
  <c r="AA446" i="6"/>
  <c r="AA108" i="6"/>
  <c r="AA347" i="6"/>
  <c r="AA67" i="6"/>
  <c r="AA228" i="6"/>
  <c r="AA47" i="6"/>
  <c r="AA338" i="6"/>
  <c r="AA417" i="6"/>
  <c r="AA416" i="6"/>
  <c r="AA174" i="6"/>
  <c r="AA435" i="6"/>
  <c r="AA175" i="6"/>
  <c r="AA445" i="6"/>
  <c r="AA418" i="6"/>
  <c r="AA402" i="6"/>
  <c r="AA403" i="6"/>
  <c r="AA186" i="6"/>
  <c r="AA368" i="6"/>
  <c r="AA391" i="6"/>
  <c r="AA125" i="6"/>
  <c r="AA286" i="6"/>
  <c r="AA424" i="6"/>
  <c r="AA143" i="6"/>
  <c r="AA155" i="6"/>
  <c r="AA9" i="6"/>
  <c r="AA245" i="6"/>
  <c r="AA433" i="6"/>
  <c r="AA137" i="6"/>
  <c r="AA85" i="6"/>
  <c r="AA300" i="6"/>
  <c r="AA77" i="6"/>
  <c r="AA443" i="6"/>
  <c r="AA324" i="6"/>
  <c r="AA193" i="6"/>
  <c r="AA339" i="6"/>
  <c r="AA264" i="6"/>
  <c r="AA199" i="6"/>
  <c r="AA57" i="6"/>
  <c r="AA308" i="6"/>
  <c r="AA16" i="6"/>
  <c r="AA214" i="6"/>
  <c r="AA393" i="6"/>
  <c r="AA181" i="6"/>
  <c r="AA234" i="6"/>
  <c r="AA318" i="6"/>
  <c r="AA442" i="6"/>
  <c r="AB7" i="6"/>
  <c r="AA467" i="6"/>
  <c r="AA145" i="6"/>
  <c r="AA232" i="6"/>
  <c r="AA335" i="6"/>
  <c r="AA481" i="6"/>
  <c r="AA90" i="6"/>
  <c r="AA250" i="6"/>
  <c r="AA43" i="6"/>
  <c r="AA479" i="6"/>
  <c r="AA241" i="6"/>
  <c r="AA353" i="6"/>
  <c r="AA292" i="6"/>
  <c r="AA323" i="6"/>
  <c r="AA444" i="6"/>
  <c r="AA72" i="6"/>
  <c r="AA163" i="6"/>
  <c r="AA206" i="6"/>
  <c r="AA305" i="6"/>
  <c r="AA304" i="6"/>
  <c r="AA456" i="6"/>
  <c r="AA378" i="6"/>
  <c r="AA61" i="6"/>
  <c r="AA118" i="6"/>
  <c r="AA254" i="6"/>
  <c r="AA340" i="6"/>
  <c r="AA298" i="6"/>
  <c r="AA172" i="6"/>
  <c r="AA179" i="6"/>
  <c r="AA296" i="6"/>
  <c r="AA27" i="6"/>
  <c r="AA204" i="6"/>
  <c r="AA86" i="6"/>
  <c r="AA68" i="6"/>
  <c r="AA261" i="6"/>
  <c r="AA76" i="6"/>
  <c r="AA397" i="6"/>
  <c r="AA48" i="6"/>
  <c r="AA263" i="6"/>
  <c r="AA415" i="6"/>
  <c r="AA26" i="6"/>
  <c r="AA103" i="6"/>
  <c r="AA266" i="6"/>
  <c r="AA133" i="6"/>
  <c r="AA262" i="6"/>
  <c r="AA89" i="6"/>
  <c r="AA212" i="6"/>
  <c r="AA46" i="6"/>
  <c r="AA197" i="6"/>
  <c r="AA422" i="6"/>
  <c r="AA344" i="6"/>
  <c r="AA42" i="6"/>
  <c r="AA165" i="6"/>
  <c r="AA114" i="6"/>
  <c r="AA321" i="6"/>
  <c r="AA434" i="6"/>
  <c r="AA31" i="6"/>
  <c r="AA87" i="6"/>
  <c r="AA105" i="6"/>
  <c r="AA221" i="6"/>
  <c r="AA315" i="6"/>
  <c r="AA106" i="6"/>
  <c r="AA96" i="6"/>
  <c r="AA275" i="6"/>
  <c r="AA419" i="6"/>
  <c r="AA190" i="6"/>
  <c r="AA329" i="6"/>
  <c r="AA69" i="6"/>
  <c r="AA51" i="6"/>
  <c r="AA191" i="6"/>
  <c r="AA459" i="6"/>
  <c r="AA389" i="6"/>
  <c r="AA478" i="6"/>
  <c r="AA345" i="6"/>
  <c r="AA224" i="6"/>
  <c r="AA297" i="6"/>
  <c r="AA364" i="6"/>
  <c r="AA343" i="6"/>
  <c r="AA56" i="6"/>
  <c r="AA115" i="6"/>
  <c r="AA219" i="6"/>
  <c r="AA278" i="6"/>
  <c r="AA134" i="6"/>
  <c r="AA79" i="6"/>
  <c r="AA270" i="6"/>
  <c r="AA210" i="6"/>
  <c r="AA154" i="6"/>
  <c r="AA333" i="6"/>
  <c r="AA230" i="6"/>
  <c r="AA475" i="6"/>
  <c r="AA287" i="6"/>
  <c r="AA117" i="6"/>
  <c r="AA166" i="6"/>
  <c r="AA288" i="6"/>
  <c r="AA62" i="6"/>
  <c r="AA209" i="6"/>
  <c r="AA167" i="6"/>
  <c r="AA111" i="6"/>
  <c r="AA256" i="6"/>
  <c r="AA243" i="6"/>
  <c r="AA244" i="6"/>
  <c r="AA73" i="6"/>
  <c r="AA375" i="6"/>
  <c r="AA144" i="6"/>
  <c r="AA420" i="6"/>
  <c r="AA399" i="6"/>
  <c r="AA146" i="6"/>
  <c r="AA480" i="6"/>
  <c r="AA369" i="6"/>
  <c r="AA126" i="6"/>
  <c r="AA267" i="6"/>
  <c r="AA15" i="6"/>
  <c r="AA307" i="6"/>
  <c r="AA462" i="6"/>
  <c r="AA404" i="6"/>
  <c r="AA71" i="6"/>
  <c r="AA147" i="6"/>
  <c r="AA198" i="6"/>
  <c r="AA216" i="6"/>
  <c r="AA454" i="6"/>
  <c r="AA367" i="6"/>
  <c r="AA24" i="6"/>
  <c r="AA102" i="6"/>
  <c r="AA192" i="6"/>
  <c r="AA326" i="6"/>
  <c r="AA116" i="6"/>
  <c r="AA202" i="6"/>
  <c r="AA173" i="6"/>
  <c r="AA352" i="6"/>
  <c r="AA36" i="6"/>
  <c r="AA19" i="6"/>
  <c r="AA95" i="6"/>
  <c r="AA162" i="6"/>
  <c r="AA451" i="6"/>
  <c r="AA299" i="6"/>
  <c r="AA303" i="6"/>
  <c r="AA127" i="6"/>
  <c r="AA260" i="6"/>
  <c r="AA441" i="6"/>
  <c r="AA40" i="6"/>
  <c r="AA257" i="6"/>
  <c r="AA188" i="6"/>
  <c r="AA239" i="6"/>
  <c r="AA432" i="6"/>
  <c r="AA476" i="6"/>
  <c r="AA395" i="6"/>
  <c r="AA82" i="6"/>
  <c r="AA259" i="6"/>
  <c r="AA213" i="6"/>
  <c r="AA83" i="6"/>
  <c r="AA45" i="6"/>
  <c r="AA319" i="6"/>
  <c r="AA455" i="6"/>
  <c r="AA123" i="6"/>
  <c r="AA354" i="6"/>
  <c r="AA20" i="6"/>
  <c r="AA285" i="6"/>
  <c r="AA238" i="6"/>
  <c r="AA94" i="6"/>
  <c r="AB406" i="6" l="1"/>
  <c r="AB169" i="6"/>
  <c r="AB170" i="6"/>
  <c r="AB383" i="6"/>
  <c r="AB386" i="6"/>
  <c r="AB384" i="6"/>
  <c r="AB385" i="6"/>
  <c r="AB156" i="6"/>
  <c r="AB157" i="6"/>
  <c r="AB158" i="6"/>
  <c r="AB159" i="6"/>
  <c r="AB160" i="6"/>
  <c r="AB361" i="6"/>
  <c r="AB452" i="6"/>
  <c r="AB268" i="6"/>
  <c r="AB269" i="6"/>
  <c r="AB74" i="6"/>
  <c r="AB407" i="6"/>
  <c r="AB408" i="6"/>
  <c r="AB409" i="6"/>
  <c r="AB410" i="6"/>
  <c r="AB411" i="6"/>
  <c r="AB412" i="6"/>
  <c r="AB413" i="6"/>
  <c r="AB469" i="6"/>
  <c r="AB470" i="6"/>
  <c r="AB471" i="6"/>
  <c r="AB472" i="6"/>
  <c r="AB473" i="6"/>
  <c r="AB474" i="6"/>
  <c r="AB189" i="6"/>
  <c r="AB52" i="6"/>
  <c r="AB53" i="6"/>
  <c r="AB54" i="6"/>
  <c r="AB487" i="6"/>
  <c r="AB490" i="6"/>
  <c r="AB485" i="6"/>
  <c r="AB491" i="6"/>
  <c r="AB492" i="6"/>
  <c r="AB488" i="6"/>
  <c r="AB486" i="6"/>
  <c r="AB489" i="6"/>
  <c r="AB194" i="6"/>
  <c r="AB484" i="6"/>
  <c r="AB483" i="6"/>
  <c r="AB323" i="6"/>
  <c r="AB430" i="6"/>
  <c r="AB429" i="6"/>
  <c r="AB427" i="6"/>
  <c r="AB428" i="6"/>
  <c r="AB431" i="6"/>
  <c r="AB442" i="6"/>
  <c r="AB327" i="6"/>
  <c r="AB98" i="6"/>
  <c r="AB99" i="6"/>
  <c r="AB100" i="6"/>
  <c r="AB127" i="6"/>
  <c r="AB165" i="6"/>
  <c r="AB365" i="6"/>
  <c r="AB366" i="6"/>
  <c r="AB222" i="6"/>
  <c r="AB168" i="6"/>
  <c r="AB306" i="6"/>
  <c r="AB307" i="6"/>
  <c r="AB317" i="6"/>
  <c r="AB241" i="6"/>
  <c r="AB64" i="6"/>
  <c r="AB426" i="6"/>
  <c r="AB56" i="6"/>
  <c r="AB47" i="6"/>
  <c r="AB72" i="6"/>
  <c r="AB370" i="6"/>
  <c r="AB39" i="6"/>
  <c r="AB31" i="6"/>
  <c r="AB111" i="6"/>
  <c r="AB237" i="6"/>
  <c r="AB133" i="6"/>
  <c r="AB185" i="6"/>
  <c r="AB287" i="6"/>
  <c r="AB271" i="6"/>
  <c r="AB17" i="6"/>
  <c r="AB349" i="6"/>
  <c r="AB221" i="6"/>
  <c r="AB438" i="6"/>
  <c r="AB481" i="6"/>
  <c r="AB355" i="6"/>
  <c r="AB114" i="6"/>
  <c r="AB419" i="6"/>
  <c r="AB129" i="6"/>
  <c r="AB253" i="6"/>
  <c r="AB120" i="6"/>
  <c r="AB284" i="6"/>
  <c r="AB371" i="6"/>
  <c r="AB266" i="6"/>
  <c r="AB86" i="6"/>
  <c r="AB333" i="6"/>
  <c r="AB163" i="6"/>
  <c r="AB69" i="6"/>
  <c r="AB480" i="6"/>
  <c r="AB24" i="6"/>
  <c r="AB423" i="6"/>
  <c r="AB453" i="6"/>
  <c r="AB404" i="6"/>
  <c r="AB354" i="6"/>
  <c r="AB326" i="6"/>
  <c r="AB351" i="6"/>
  <c r="AB440" i="6"/>
  <c r="AB312" i="6"/>
  <c r="AB102" i="6"/>
  <c r="AB437" i="6"/>
  <c r="AB220" i="6"/>
  <c r="AB309" i="6"/>
  <c r="AB171" i="6"/>
  <c r="AB346" i="6"/>
  <c r="AB79" i="6"/>
  <c r="AB109" i="6"/>
  <c r="AB330" i="6"/>
  <c r="AB186" i="6"/>
  <c r="AB62" i="6"/>
  <c r="AB405" i="6"/>
  <c r="AB270" i="6"/>
  <c r="AB249" i="6"/>
  <c r="AB308" i="6"/>
  <c r="AB422" i="6"/>
  <c r="AB155" i="6"/>
  <c r="AB115" i="6"/>
  <c r="AB315" i="6"/>
  <c r="AB392" i="6"/>
  <c r="AB23" i="6"/>
  <c r="AB205" i="6"/>
  <c r="AB137" i="6"/>
  <c r="AB172" i="6"/>
  <c r="AB45" i="6"/>
  <c r="AB242" i="6"/>
  <c r="AB143" i="6"/>
  <c r="AB177" i="6"/>
  <c r="AB131" i="6"/>
  <c r="AB299" i="6"/>
  <c r="AB112" i="6"/>
  <c r="AB360" i="6"/>
  <c r="AB88" i="6"/>
  <c r="AB110" i="6"/>
  <c r="AB106" i="6"/>
  <c r="AB446" i="6"/>
  <c r="AB29" i="6"/>
  <c r="AB105" i="6"/>
  <c r="AB374" i="6"/>
  <c r="AB71" i="6"/>
  <c r="AB421" i="6"/>
  <c r="AB136" i="6"/>
  <c r="AB134" i="6"/>
  <c r="AB388" i="6"/>
  <c r="AB13" i="6"/>
  <c r="AB283" i="6"/>
  <c r="AB340" i="6"/>
  <c r="AB61" i="6"/>
  <c r="AB329" i="6"/>
  <c r="AB352" i="6"/>
  <c r="AB77" i="6"/>
  <c r="AB101" i="6"/>
  <c r="AB193" i="6"/>
  <c r="AB247" i="6"/>
  <c r="AB150" i="6"/>
  <c r="AB216" i="6"/>
  <c r="AB248" i="6"/>
  <c r="AB225" i="6"/>
  <c r="AB44" i="6"/>
  <c r="AB224" i="6"/>
  <c r="AB154" i="6"/>
  <c r="AB314" i="6"/>
  <c r="AB435" i="6"/>
  <c r="AB204" i="6"/>
  <c r="AB11" i="6"/>
  <c r="AB250" i="6"/>
  <c r="AB464" i="6"/>
  <c r="AB336" i="6"/>
  <c r="AB76" i="6"/>
  <c r="AB401" i="6"/>
  <c r="AB78" i="6"/>
  <c r="AB60" i="6"/>
  <c r="AB420" i="6"/>
  <c r="AB356" i="6"/>
  <c r="AB201" i="6"/>
  <c r="AB59" i="6"/>
  <c r="AB49" i="6"/>
  <c r="AB318" i="6"/>
  <c r="AB390" i="6"/>
  <c r="AB28" i="6"/>
  <c r="AB208" i="6"/>
  <c r="AB207" i="6"/>
  <c r="AB298" i="6"/>
  <c r="AB364" i="6"/>
  <c r="AB87" i="6"/>
  <c r="AB456" i="6"/>
  <c r="AB234" i="6"/>
  <c r="AB402" i="6"/>
  <c r="AB80" i="6"/>
  <c r="AB450" i="6"/>
  <c r="AB479" i="6"/>
  <c r="AB232" i="6"/>
  <c r="AB9" i="6"/>
  <c r="AB108" i="6"/>
  <c r="AB55" i="6"/>
  <c r="AB191" i="6"/>
  <c r="AB459" i="6"/>
  <c r="AB476" i="6"/>
  <c r="AB258" i="6"/>
  <c r="AB373" i="6"/>
  <c r="AB301" i="6"/>
  <c r="AB107" i="6"/>
  <c r="AB293" i="6"/>
  <c r="AB67" i="6"/>
  <c r="AB42" i="6"/>
  <c r="AB443" i="6"/>
  <c r="AB190" i="6"/>
  <c r="AB218" i="6"/>
  <c r="AB63" i="6"/>
  <c r="AB128" i="6"/>
  <c r="AB103" i="6"/>
  <c r="AB167" i="6"/>
  <c r="AB162" i="6"/>
  <c r="AB264" i="6"/>
  <c r="AB151" i="6"/>
  <c r="AB21" i="6"/>
  <c r="AB202" i="6"/>
  <c r="AB447" i="6"/>
  <c r="AB46" i="6"/>
  <c r="AB256" i="6"/>
  <c r="AB265" i="6"/>
  <c r="AB12" i="6"/>
  <c r="AB482" i="6"/>
  <c r="AB217" i="6"/>
  <c r="AB375" i="6"/>
  <c r="AB210" i="6"/>
  <c r="AB43" i="6"/>
  <c r="AB424" i="6"/>
  <c r="AB350" i="6"/>
  <c r="AB367" i="6"/>
  <c r="AB91" i="6"/>
  <c r="AB90" i="6"/>
  <c r="AB146" i="6"/>
  <c r="AB344" i="6"/>
  <c r="AB10" i="6"/>
  <c r="AB251" i="6"/>
  <c r="AB121" i="6"/>
  <c r="AB414" i="6"/>
  <c r="AB30" i="6"/>
  <c r="AB345" i="6"/>
  <c r="AB240" i="6"/>
  <c r="AB83" i="6"/>
  <c r="AB282" i="6"/>
  <c r="AB147" i="6"/>
  <c r="AB417" i="6"/>
  <c r="AB18" i="6"/>
  <c r="AB200" i="6"/>
  <c r="AB415" i="6"/>
  <c r="AB27" i="6"/>
  <c r="AB334" i="6"/>
  <c r="AB445" i="6"/>
  <c r="AB363" i="6"/>
  <c r="AB73" i="6"/>
  <c r="AB164" i="6"/>
  <c r="AB263" i="6"/>
  <c r="AB432" i="6"/>
  <c r="AB235" i="6"/>
  <c r="AB85" i="6"/>
  <c r="AB353" i="6"/>
  <c r="AB14" i="6"/>
  <c r="AB292" i="6"/>
  <c r="AB192" i="6"/>
  <c r="AB441" i="6"/>
  <c r="AB372" i="6"/>
  <c r="AB104" i="6"/>
  <c r="AB433" i="6"/>
  <c r="AB337" i="6"/>
  <c r="AB66" i="6"/>
  <c r="AB448" i="6"/>
  <c r="AB319" i="6"/>
  <c r="AB376" i="6"/>
  <c r="AB57" i="6"/>
  <c r="AB138" i="6"/>
  <c r="AB219" i="6"/>
  <c r="AB362" i="6"/>
  <c r="AB391" i="6"/>
  <c r="AB286" i="6"/>
  <c r="AB418" i="6"/>
  <c r="AB387" i="6"/>
  <c r="AB451" i="6"/>
  <c r="AB303" i="6"/>
  <c r="AB463" i="6"/>
  <c r="AB462" i="6"/>
  <c r="AB40" i="6"/>
  <c r="AB254" i="6"/>
  <c r="AB161" i="6"/>
  <c r="AB343" i="6"/>
  <c r="AB203" i="6"/>
  <c r="AB449" i="6"/>
  <c r="AB322" i="6"/>
  <c r="AB396" i="6"/>
  <c r="AB321" i="6"/>
  <c r="AB335" i="6"/>
  <c r="AB36" i="6"/>
  <c r="AB19" i="6"/>
  <c r="AB231" i="6"/>
  <c r="AB246" i="6"/>
  <c r="AB305" i="6"/>
  <c r="AB320" i="6"/>
  <c r="AB475" i="6"/>
  <c r="AB296" i="6"/>
  <c r="AB342" i="6"/>
  <c r="AB20" i="6"/>
  <c r="AB403" i="6"/>
  <c r="AB215" i="6"/>
  <c r="AB230" i="6"/>
  <c r="AB289" i="6"/>
  <c r="AB304" i="6"/>
  <c r="AB38" i="6"/>
  <c r="AB325" i="6"/>
  <c r="AB199" i="6"/>
  <c r="AB273" i="6"/>
  <c r="AB288" i="6"/>
  <c r="AB466" i="6"/>
  <c r="AB183" i="6"/>
  <c r="AB117" i="6"/>
  <c r="AB135" i="6"/>
  <c r="AB92" i="6"/>
  <c r="AB259" i="6"/>
  <c r="AB119" i="6"/>
  <c r="AB75" i="6"/>
  <c r="AB173" i="6"/>
  <c r="AB439" i="6"/>
  <c r="AB206" i="6"/>
  <c r="AB328" i="6"/>
  <c r="AB22" i="6"/>
  <c r="AB130" i="6"/>
  <c r="AB311" i="6"/>
  <c r="AB397" i="6"/>
  <c r="AB181" i="6"/>
  <c r="AB198" i="6"/>
  <c r="AB132" i="6"/>
  <c r="AB272" i="6"/>
  <c r="AB214" i="6"/>
  <c r="AB285" i="6"/>
  <c r="AB454" i="6"/>
  <c r="AB233" i="6"/>
  <c r="AB26" i="6"/>
  <c r="AB347" i="6"/>
  <c r="AB58" i="6"/>
  <c r="AB255" i="6"/>
  <c r="AB368" i="6"/>
  <c r="AB188" i="6"/>
  <c r="AB313" i="6"/>
  <c r="AB357" i="6"/>
  <c r="AB152" i="6"/>
  <c r="AB295" i="6"/>
  <c r="AB294" i="6"/>
  <c r="AB467" i="6"/>
  <c r="AB180" i="6"/>
  <c r="AB197" i="6"/>
  <c r="AB124" i="6"/>
  <c r="AA5" i="6"/>
  <c r="AB348" i="6"/>
  <c r="AB339" i="6"/>
  <c r="AB50" i="6"/>
  <c r="AB302" i="6"/>
  <c r="AB243" i="6"/>
  <c r="AB139" i="6"/>
  <c r="AB276" i="6"/>
  <c r="AB267" i="6"/>
  <c r="AB382" i="6"/>
  <c r="AB116" i="6"/>
  <c r="AB125" i="6"/>
  <c r="AB378" i="6"/>
  <c r="AB227" i="6"/>
  <c r="AB331" i="6"/>
  <c r="AB25" i="6"/>
  <c r="AB239" i="6"/>
  <c r="AB461" i="6"/>
  <c r="AB153" i="6"/>
  <c r="AB297" i="6"/>
  <c r="AB280" i="6"/>
  <c r="AB252" i="6"/>
  <c r="AB279" i="6"/>
  <c r="AB278" i="6"/>
  <c r="AB82" i="6"/>
  <c r="AB179" i="6"/>
  <c r="AB141" i="6"/>
  <c r="AB262" i="6"/>
  <c r="AB377" i="6"/>
  <c r="AB209" i="6"/>
  <c r="AB142" i="6"/>
  <c r="AB257" i="6"/>
  <c r="AB477" i="6"/>
  <c r="AB226" i="6"/>
  <c r="AB455" i="6"/>
  <c r="AB211" i="6"/>
  <c r="AB300" i="6"/>
  <c r="AB369" i="6"/>
  <c r="AB223" i="6"/>
  <c r="AB436" i="6"/>
  <c r="AB89" i="6"/>
  <c r="AB281" i="6"/>
  <c r="AB175" i="6"/>
  <c r="AB236" i="6"/>
  <c r="AB261" i="6"/>
  <c r="AB260" i="6"/>
  <c r="AB478" i="6"/>
  <c r="AB393" i="6"/>
  <c r="AB81" i="6"/>
  <c r="AB97" i="6"/>
  <c r="AB460" i="6"/>
  <c r="AB379" i="6"/>
  <c r="AB380" i="6"/>
  <c r="AB381" i="6"/>
  <c r="AB184" i="6"/>
  <c r="AB338" i="6"/>
  <c r="AB65" i="6"/>
  <c r="AB290" i="6"/>
  <c r="AB15" i="6"/>
  <c r="AB149" i="6"/>
  <c r="AB244" i="6"/>
  <c r="AB95" i="6"/>
  <c r="AB48" i="6"/>
  <c r="AB274" i="6"/>
  <c r="AB395" i="6"/>
  <c r="AB174" i="6"/>
  <c r="AB458" i="6"/>
  <c r="AB228" i="6"/>
  <c r="AB94" i="6"/>
  <c r="AB140" i="6"/>
  <c r="AB400" i="6"/>
  <c r="AB118" i="6"/>
  <c r="AB394" i="6"/>
  <c r="AB212" i="6"/>
  <c r="AB93" i="6"/>
  <c r="AB70" i="6"/>
  <c r="AB122" i="6"/>
  <c r="AB341" i="6"/>
  <c r="AB68" i="6"/>
  <c r="AB291" i="6"/>
  <c r="AB16" i="6"/>
  <c r="AB389" i="6"/>
  <c r="AB245" i="6"/>
  <c r="AB196" i="6"/>
  <c r="AB37" i="6"/>
  <c r="AB324" i="6"/>
  <c r="AB51" i="6"/>
  <c r="AB275" i="6"/>
  <c r="AB399" i="6"/>
  <c r="AB229" i="6"/>
  <c r="AB444" i="6"/>
  <c r="AB178" i="6"/>
  <c r="AB187" i="6"/>
  <c r="AB359" i="6"/>
  <c r="AB144" i="6"/>
  <c r="AB113" i="6"/>
  <c r="AB84" i="6"/>
  <c r="AB277" i="6"/>
  <c r="AB465" i="6"/>
  <c r="AB332" i="6"/>
  <c r="AB182" i="6"/>
  <c r="AB425" i="6"/>
  <c r="AB176" i="6"/>
  <c r="AB468" i="6"/>
  <c r="AB195" i="6"/>
  <c r="AB316" i="6"/>
  <c r="AB41" i="6"/>
  <c r="AB123" i="6"/>
  <c r="AB358" i="6"/>
  <c r="AB238" i="6"/>
  <c r="AB434" i="6"/>
  <c r="AB145" i="6"/>
  <c r="AB457" i="6"/>
  <c r="AB416" i="6"/>
  <c r="AB166" i="6"/>
  <c r="AB310" i="6"/>
  <c r="AB148" i="6"/>
  <c r="AB8" i="6"/>
  <c r="AB126" i="6"/>
  <c r="AB398" i="6"/>
  <c r="AB213" i="6"/>
  <c r="AB96" i="6"/>
  <c r="AB5" i="6" l="1"/>
</calcChain>
</file>

<file path=xl/sharedStrings.xml><?xml version="1.0" encoding="utf-8"?>
<sst xmlns="http://schemas.openxmlformats.org/spreadsheetml/2006/main" count="4713" uniqueCount="2066">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</sst>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1"/>
  <sheetViews>
    <sheetView tabSelected="1" zoomScaleNormal="100" workbookViewId="0">
      <pane ySplit="7" topLeftCell="A30" activePane="bottomLeft" state="frozen"/>
      <selection pane="bottomLeft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119</v>
      </c>
      <c r="F3" s="5">
        <f>+AD6</f>
        <v>103</v>
      </c>
      <c r="G3" s="5">
        <f>+AF6</f>
        <v>98</v>
      </c>
      <c r="H3" s="5">
        <f>+E3-G3</f>
        <v>21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326</v>
      </c>
      <c r="F4" s="7">
        <f>+AE6</f>
        <v>160</v>
      </c>
      <c r="G4" s="7">
        <f>+AG6</f>
        <v>143</v>
      </c>
      <c r="H4" s="5">
        <f>+E4-G4</f>
        <v>183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445</v>
      </c>
      <c r="F5" s="8">
        <f>+F3+F4</f>
        <v>263</v>
      </c>
      <c r="G5" s="8">
        <f>+G3+G4</f>
        <v>241</v>
      </c>
      <c r="H5" s="8">
        <f>+H3+H4</f>
        <v>204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SUM(S8:S2434)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SUM(AD8:AD1703)</f>
        <v>103</v>
      </c>
      <c r="AE6" s="1">
        <f t="shared" si="1"/>
        <v>160</v>
      </c>
      <c r="AF6" s="1">
        <f t="shared" si="1"/>
        <v>98</v>
      </c>
      <c r="AG6" s="1">
        <f t="shared" si="1"/>
        <v>143</v>
      </c>
      <c r="AH6" s="1">
        <f t="shared" si="1"/>
        <v>119</v>
      </c>
      <c r="AI6" s="1">
        <f t="shared" si="1"/>
        <v>326</v>
      </c>
    </row>
    <row r="7" spans="1:35" s="69" customFormat="1" ht="14.25" customHeight="1" x14ac:dyDescent="0.3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s="1" customFormat="1" ht="14.25" customHeight="1" x14ac:dyDescent="0.3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s="1" customFormat="1" ht="14.25" customHeight="1" x14ac:dyDescent="0.3">
      <c r="A33" s="31">
        <v>0</v>
      </c>
      <c r="B33" s="31">
        <v>1</v>
      </c>
      <c r="C33" s="31">
        <v>2</v>
      </c>
      <c r="D33" s="36" t="s">
        <v>2062</v>
      </c>
      <c r="E33" s="36" t="s">
        <v>170</v>
      </c>
      <c r="F33" s="36" t="s">
        <v>2063</v>
      </c>
      <c r="G33" s="36" t="s">
        <v>1534</v>
      </c>
      <c r="H33" s="36" t="s">
        <v>354</v>
      </c>
      <c r="I33" s="37" t="s">
        <v>2064</v>
      </c>
      <c r="J33" s="31">
        <v>5</v>
      </c>
      <c r="K33" s="33" t="s">
        <v>703</v>
      </c>
      <c r="L33" s="33"/>
      <c r="M33" s="34"/>
      <c r="N33" s="34" t="s">
        <v>1727</v>
      </c>
      <c r="O33" s="35">
        <v>1</v>
      </c>
      <c r="P33" s="35">
        <v>1</v>
      </c>
      <c r="Q33" s="36" t="s">
        <v>2065</v>
      </c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1</v>
      </c>
      <c r="X33" s="1">
        <f t="shared" si="24"/>
        <v>0</v>
      </c>
      <c r="Y33" s="1">
        <f t="shared" si="25"/>
        <v>0</v>
      </c>
      <c r="Z33" s="1">
        <f t="shared" si="26"/>
        <v>0</v>
      </c>
      <c r="AA33" s="1">
        <f t="shared" si="27"/>
        <v>0</v>
      </c>
      <c r="AB33" s="1">
        <f t="shared" si="28"/>
        <v>0</v>
      </c>
      <c r="AD33" s="1">
        <f t="shared" si="29"/>
        <v>1</v>
      </c>
      <c r="AE33" s="1">
        <f t="shared" si="30"/>
        <v>0</v>
      </c>
      <c r="AF33" s="1">
        <f t="shared" si="31"/>
        <v>1</v>
      </c>
      <c r="AG33" s="1">
        <f t="shared" si="32"/>
        <v>0</v>
      </c>
      <c r="AH33" s="1">
        <f t="shared" si="33"/>
        <v>1</v>
      </c>
      <c r="AI33" s="1">
        <f t="shared" si="34"/>
        <v>0</v>
      </c>
    </row>
    <row r="34" spans="1:35" s="1" customFormat="1" ht="14.25" customHeight="1" x14ac:dyDescent="0.3">
      <c r="A34" s="31">
        <v>0</v>
      </c>
      <c r="B34" s="31">
        <v>1</v>
      </c>
      <c r="C34" s="31">
        <v>2</v>
      </c>
      <c r="D34" s="36" t="s">
        <v>1549</v>
      </c>
      <c r="E34" s="36" t="s">
        <v>1246</v>
      </c>
      <c r="F34" s="36" t="s">
        <v>1550</v>
      </c>
      <c r="G34" s="36" t="s">
        <v>258</v>
      </c>
      <c r="H34" s="36" t="s">
        <v>354</v>
      </c>
      <c r="I34" s="37" t="s">
        <v>473</v>
      </c>
      <c r="J34" s="31">
        <v>8</v>
      </c>
      <c r="K34" s="33" t="s">
        <v>702</v>
      </c>
      <c r="L34" s="33" t="s">
        <v>689</v>
      </c>
      <c r="M34" s="34" t="s">
        <v>690</v>
      </c>
      <c r="N34" s="34" t="s">
        <v>1789</v>
      </c>
      <c r="O34" s="35">
        <v>1</v>
      </c>
      <c r="P34" s="35"/>
      <c r="Q34" s="36"/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1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1</v>
      </c>
      <c r="AF34" s="1">
        <f t="shared" si="31"/>
        <v>0</v>
      </c>
      <c r="AG34" s="1">
        <f t="shared" si="32"/>
        <v>1</v>
      </c>
      <c r="AH34" s="1">
        <f t="shared" si="33"/>
        <v>0</v>
      </c>
      <c r="AI34" s="1">
        <f t="shared" si="34"/>
        <v>1</v>
      </c>
    </row>
    <row r="35" spans="1:35" s="1" customFormat="1" ht="14.25" customHeight="1" x14ac:dyDescent="0.3">
      <c r="A35" s="38">
        <v>0</v>
      </c>
      <c r="B35" s="38">
        <v>1</v>
      </c>
      <c r="C35" s="38">
        <v>2</v>
      </c>
      <c r="D35" s="39" t="s">
        <v>1462</v>
      </c>
      <c r="E35" s="39" t="s">
        <v>1464</v>
      </c>
      <c r="F35" s="39" t="s">
        <v>1463</v>
      </c>
      <c r="G35" s="39"/>
      <c r="H35" s="39" t="s">
        <v>1138</v>
      </c>
      <c r="I35" s="38" t="s">
        <v>1465</v>
      </c>
      <c r="J35" s="38">
        <v>99</v>
      </c>
      <c r="K35" s="40" t="s">
        <v>703</v>
      </c>
      <c r="L35" s="40"/>
      <c r="M35" s="41"/>
      <c r="N35" s="42"/>
      <c r="O35" s="43"/>
      <c r="P35" s="43">
        <v>1</v>
      </c>
      <c r="Q35" s="54" t="s">
        <v>1920</v>
      </c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1</v>
      </c>
      <c r="AI35" s="1">
        <f t="shared" si="34"/>
        <v>0</v>
      </c>
    </row>
    <row r="36" spans="1:35" s="1" customFormat="1" ht="14.25" customHeight="1" x14ac:dyDescent="0.3">
      <c r="A36" s="44">
        <v>0</v>
      </c>
      <c r="B36" s="44">
        <v>1</v>
      </c>
      <c r="C36" s="44">
        <v>2</v>
      </c>
      <c r="D36" s="45" t="s">
        <v>596</v>
      </c>
      <c r="E36" s="45" t="s">
        <v>175</v>
      </c>
      <c r="F36" s="45" t="s">
        <v>597</v>
      </c>
      <c r="G36" s="45" t="s">
        <v>251</v>
      </c>
      <c r="H36" s="45" t="s">
        <v>354</v>
      </c>
      <c r="I36" s="44" t="s">
        <v>598</v>
      </c>
      <c r="J36" s="44">
        <v>99</v>
      </c>
      <c r="K36" s="46" t="s">
        <v>956</v>
      </c>
      <c r="L36" s="46" t="s">
        <v>689</v>
      </c>
      <c r="M36" s="47" t="s">
        <v>1383</v>
      </c>
      <c r="N36" s="47" t="s">
        <v>1747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s="1" customFormat="1" ht="14.25" customHeight="1" x14ac:dyDescent="0.3">
      <c r="A37" s="44">
        <v>0</v>
      </c>
      <c r="B37" s="44">
        <v>1</v>
      </c>
      <c r="C37" s="44">
        <v>2</v>
      </c>
      <c r="D37" s="45" t="s">
        <v>113</v>
      </c>
      <c r="E37" s="45" t="s">
        <v>175</v>
      </c>
      <c r="F37" s="65" t="s">
        <v>1868</v>
      </c>
      <c r="G37" s="45" t="s">
        <v>312</v>
      </c>
      <c r="H37" s="45" t="s">
        <v>354</v>
      </c>
      <c r="I37" s="44" t="s">
        <v>461</v>
      </c>
      <c r="J37" s="44">
        <v>99</v>
      </c>
      <c r="K37" s="46" t="s">
        <v>702</v>
      </c>
      <c r="L37" s="46" t="s">
        <v>689</v>
      </c>
      <c r="M37" s="47" t="s">
        <v>691</v>
      </c>
      <c r="N37" s="47" t="s">
        <v>1802</v>
      </c>
      <c r="O37" s="48"/>
      <c r="P37" s="48"/>
      <c r="Q37" s="45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s="1" customFormat="1" ht="14.25" customHeight="1" x14ac:dyDescent="0.3">
      <c r="A38" s="31">
        <v>0</v>
      </c>
      <c r="B38" s="31">
        <v>1</v>
      </c>
      <c r="C38" s="31">
        <v>2</v>
      </c>
      <c r="D38" s="36" t="s">
        <v>1762</v>
      </c>
      <c r="E38" s="36" t="s">
        <v>155</v>
      </c>
      <c r="F38" s="36" t="s">
        <v>1763</v>
      </c>
      <c r="G38" s="36"/>
      <c r="H38" s="36" t="s">
        <v>1764</v>
      </c>
      <c r="I38" s="37" t="s">
        <v>1765</v>
      </c>
      <c r="J38" s="31">
        <v>18</v>
      </c>
      <c r="K38" s="33" t="s">
        <v>703</v>
      </c>
      <c r="L38" s="33">
        <v>55</v>
      </c>
      <c r="M38" s="34" t="s">
        <v>1477</v>
      </c>
      <c r="N38" s="34" t="s">
        <v>1733</v>
      </c>
      <c r="O38" s="35">
        <v>1</v>
      </c>
      <c r="P38" s="35">
        <v>1</v>
      </c>
      <c r="Q38" s="36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s="1" customFormat="1" ht="14.25" customHeight="1" x14ac:dyDescent="0.3">
      <c r="A39" s="31">
        <v>0</v>
      </c>
      <c r="B39" s="31">
        <v>1</v>
      </c>
      <c r="C39" s="31">
        <v>2</v>
      </c>
      <c r="D39" s="36" t="s">
        <v>599</v>
      </c>
      <c r="E39" s="36" t="s">
        <v>175</v>
      </c>
      <c r="F39" s="36" t="s">
        <v>600</v>
      </c>
      <c r="G39" s="36" t="s">
        <v>573</v>
      </c>
      <c r="H39" s="36" t="s">
        <v>354</v>
      </c>
      <c r="I39" s="37" t="s">
        <v>601</v>
      </c>
      <c r="J39" s="31">
        <v>1</v>
      </c>
      <c r="K39" s="33" t="s">
        <v>956</v>
      </c>
      <c r="L39" s="33" t="s">
        <v>1703</v>
      </c>
      <c r="M39" s="34" t="s">
        <v>1382</v>
      </c>
      <c r="N39" s="34" t="s">
        <v>1748</v>
      </c>
      <c r="O39" s="35">
        <v>1</v>
      </c>
      <c r="P39" s="35"/>
      <c r="Q39" s="36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s="1" customFormat="1" ht="14.25" customHeight="1" x14ac:dyDescent="0.3">
      <c r="A40" s="31">
        <v>0</v>
      </c>
      <c r="B40" s="31">
        <v>1</v>
      </c>
      <c r="C40" s="31">
        <v>2</v>
      </c>
      <c r="D40" s="36" t="s">
        <v>1751</v>
      </c>
      <c r="E40" s="36" t="s">
        <v>1752</v>
      </c>
      <c r="F40" s="36" t="s">
        <v>1753</v>
      </c>
      <c r="G40" s="36" t="s">
        <v>321</v>
      </c>
      <c r="H40" s="36" t="s">
        <v>354</v>
      </c>
      <c r="I40" s="37" t="s">
        <v>1754</v>
      </c>
      <c r="J40" s="31">
        <v>99</v>
      </c>
      <c r="K40" s="33" t="s">
        <v>703</v>
      </c>
      <c r="L40" s="33"/>
      <c r="M40" s="34"/>
      <c r="N40" s="34" t="s">
        <v>1733</v>
      </c>
      <c r="O40" s="35">
        <v>1</v>
      </c>
      <c r="P40" s="35">
        <v>1</v>
      </c>
      <c r="Q40" s="36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s="1" customFormat="1" ht="14.25" customHeight="1" x14ac:dyDescent="0.3">
      <c r="A41" s="44">
        <v>0</v>
      </c>
      <c r="B41" s="44">
        <v>1</v>
      </c>
      <c r="C41" s="44">
        <v>2</v>
      </c>
      <c r="D41" s="45" t="s">
        <v>642</v>
      </c>
      <c r="E41" s="45" t="s">
        <v>175</v>
      </c>
      <c r="F41" s="45" t="s">
        <v>643</v>
      </c>
      <c r="G41" s="45" t="s">
        <v>220</v>
      </c>
      <c r="H41" s="45" t="s">
        <v>354</v>
      </c>
      <c r="I41" s="44" t="s">
        <v>1111</v>
      </c>
      <c r="J41" s="44">
        <v>8</v>
      </c>
      <c r="K41" s="46" t="s">
        <v>956</v>
      </c>
      <c r="L41" s="46" t="s">
        <v>1700</v>
      </c>
      <c r="M41" s="47" t="s">
        <v>1377</v>
      </c>
      <c r="N41" s="47" t="s">
        <v>1737</v>
      </c>
      <c r="O41" s="48"/>
      <c r="P41" s="48"/>
      <c r="Q41" s="45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s="1" customFormat="1" ht="14.25" customHeight="1" x14ac:dyDescent="0.3">
      <c r="A42" s="31">
        <v>0</v>
      </c>
      <c r="B42" s="31">
        <v>1</v>
      </c>
      <c r="C42" s="31">
        <v>2</v>
      </c>
      <c r="D42" s="36" t="s">
        <v>1512</v>
      </c>
      <c r="E42" s="36" t="s">
        <v>175</v>
      </c>
      <c r="F42" s="36" t="s">
        <v>1660</v>
      </c>
      <c r="G42" s="36" t="s">
        <v>1514</v>
      </c>
      <c r="H42" s="36" t="s">
        <v>354</v>
      </c>
      <c r="I42" s="37" t="s">
        <v>1513</v>
      </c>
      <c r="J42" s="31">
        <v>99</v>
      </c>
      <c r="K42" s="33" t="s">
        <v>957</v>
      </c>
      <c r="L42" s="33" t="s">
        <v>39</v>
      </c>
      <c r="M42" s="34" t="s">
        <v>39</v>
      </c>
      <c r="N42" s="34" t="s">
        <v>1727</v>
      </c>
      <c r="O42" s="35">
        <v>1</v>
      </c>
      <c r="P42" s="35">
        <v>1</v>
      </c>
      <c r="Q42" s="36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s="1" customFormat="1" ht="14.25" customHeight="1" x14ac:dyDescent="0.3">
      <c r="A43" s="31">
        <v>0</v>
      </c>
      <c r="B43" s="31">
        <v>1</v>
      </c>
      <c r="C43" s="31">
        <v>2</v>
      </c>
      <c r="D43" s="32" t="s">
        <v>880</v>
      </c>
      <c r="E43" s="32" t="s">
        <v>174</v>
      </c>
      <c r="F43" s="32" t="s">
        <v>881</v>
      </c>
      <c r="G43" s="32" t="s">
        <v>39</v>
      </c>
      <c r="H43" s="32" t="s">
        <v>375</v>
      </c>
      <c r="I43" s="31" t="s">
        <v>882</v>
      </c>
      <c r="J43" s="31">
        <v>12</v>
      </c>
      <c r="K43" s="33" t="s">
        <v>702</v>
      </c>
      <c r="L43" s="33" t="s">
        <v>1704</v>
      </c>
      <c r="M43" s="34" t="s">
        <v>1384</v>
      </c>
      <c r="N43" s="34" t="s">
        <v>1825</v>
      </c>
      <c r="O43" s="35">
        <v>1</v>
      </c>
      <c r="P43" s="35"/>
      <c r="Q43" s="32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s="1" customFormat="1" ht="14.25" customHeight="1" x14ac:dyDescent="0.3">
      <c r="A44" s="44">
        <v>0</v>
      </c>
      <c r="B44" s="44">
        <v>1</v>
      </c>
      <c r="C44" s="44">
        <v>2</v>
      </c>
      <c r="D44" s="45" t="s">
        <v>1815</v>
      </c>
      <c r="E44" s="45" t="s">
        <v>175</v>
      </c>
      <c r="F44" s="45" t="s">
        <v>1816</v>
      </c>
      <c r="G44" s="45" t="s">
        <v>194</v>
      </c>
      <c r="H44" s="45" t="s">
        <v>354</v>
      </c>
      <c r="I44" s="44" t="s">
        <v>1817</v>
      </c>
      <c r="J44" s="44">
        <v>9</v>
      </c>
      <c r="K44" s="46" t="s">
        <v>703</v>
      </c>
      <c r="L44" s="46">
        <v>60</v>
      </c>
      <c r="M44" s="47" t="s">
        <v>1818</v>
      </c>
      <c r="N44" s="47" t="s">
        <v>1809</v>
      </c>
      <c r="O44" s="48"/>
      <c r="P44" s="48"/>
      <c r="Q44" s="45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s="1" customFormat="1" ht="14.25" customHeight="1" x14ac:dyDescent="0.3">
      <c r="A45" s="44">
        <v>0</v>
      </c>
      <c r="B45" s="44">
        <v>1</v>
      </c>
      <c r="C45" s="44">
        <v>2</v>
      </c>
      <c r="D45" s="45" t="s">
        <v>139</v>
      </c>
      <c r="E45" s="45" t="s">
        <v>175</v>
      </c>
      <c r="F45" s="65" t="s">
        <v>1879</v>
      </c>
      <c r="G45" s="45" t="s">
        <v>200</v>
      </c>
      <c r="H45" s="45" t="s">
        <v>354</v>
      </c>
      <c r="I45" s="44" t="s">
        <v>487</v>
      </c>
      <c r="J45" s="44">
        <v>2</v>
      </c>
      <c r="K45" s="46" t="s">
        <v>956</v>
      </c>
      <c r="L45" s="46" t="s">
        <v>693</v>
      </c>
      <c r="M45" s="47" t="s">
        <v>691</v>
      </c>
      <c r="N45" s="47" t="s">
        <v>1738</v>
      </c>
      <c r="O45" s="48"/>
      <c r="P45" s="48"/>
      <c r="Q45" s="65" t="s">
        <v>1907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s="1" customFormat="1" ht="14.25" customHeight="1" x14ac:dyDescent="0.3">
      <c r="A46" s="31">
        <v>0</v>
      </c>
      <c r="B46" s="31">
        <v>1</v>
      </c>
      <c r="C46" s="31">
        <v>2</v>
      </c>
      <c r="D46" s="32" t="s">
        <v>838</v>
      </c>
      <c r="E46" s="32" t="s">
        <v>175</v>
      </c>
      <c r="F46" s="32" t="s">
        <v>840</v>
      </c>
      <c r="G46" s="32" t="s">
        <v>39</v>
      </c>
      <c r="H46" s="32" t="s">
        <v>354</v>
      </c>
      <c r="I46" s="31" t="s">
        <v>839</v>
      </c>
      <c r="J46" s="31">
        <v>99</v>
      </c>
      <c r="K46" s="33" t="s">
        <v>962</v>
      </c>
      <c r="L46" s="33" t="s">
        <v>39</v>
      </c>
      <c r="M46" s="34" t="s">
        <v>39</v>
      </c>
      <c r="N46" s="34" t="s">
        <v>1733</v>
      </c>
      <c r="O46" s="35">
        <v>1</v>
      </c>
      <c r="P46" s="35">
        <v>1</v>
      </c>
      <c r="Q46" s="32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s="1" customFormat="1" ht="14.25" customHeight="1" x14ac:dyDescent="0.3">
      <c r="A47" s="44">
        <v>0</v>
      </c>
      <c r="B47" s="44">
        <v>1</v>
      </c>
      <c r="C47" s="44">
        <v>2</v>
      </c>
      <c r="D47" s="45" t="s">
        <v>915</v>
      </c>
      <c r="E47" s="45" t="s">
        <v>175</v>
      </c>
      <c r="F47" s="45" t="s">
        <v>783</v>
      </c>
      <c r="G47" s="45" t="s">
        <v>39</v>
      </c>
      <c r="H47" s="45" t="s">
        <v>375</v>
      </c>
      <c r="I47" s="44" t="s">
        <v>784</v>
      </c>
      <c r="J47" s="44">
        <v>12</v>
      </c>
      <c r="K47" s="46" t="s">
        <v>722</v>
      </c>
      <c r="L47" s="46" t="s">
        <v>1699</v>
      </c>
      <c r="M47" s="47" t="s">
        <v>1119</v>
      </c>
      <c r="N47" s="47" t="s">
        <v>1802</v>
      </c>
      <c r="O47" s="48"/>
      <c r="P47" s="48"/>
      <c r="Q47" s="45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s="1" customFormat="1" ht="14.25" customHeight="1" x14ac:dyDescent="0.3">
      <c r="A48" s="38">
        <v>0</v>
      </c>
      <c r="B48" s="38">
        <v>1</v>
      </c>
      <c r="C48" s="38">
        <v>2</v>
      </c>
      <c r="D48" s="39" t="s">
        <v>1635</v>
      </c>
      <c r="E48" s="39" t="s">
        <v>174</v>
      </c>
      <c r="F48" s="39" t="s">
        <v>1661</v>
      </c>
      <c r="G48" s="39" t="s">
        <v>251</v>
      </c>
      <c r="H48" s="39" t="s">
        <v>354</v>
      </c>
      <c r="I48" s="38" t="s">
        <v>1563</v>
      </c>
      <c r="J48" s="38">
        <v>99</v>
      </c>
      <c r="K48" s="40" t="s">
        <v>957</v>
      </c>
      <c r="L48" s="40" t="s">
        <v>39</v>
      </c>
      <c r="M48" s="41" t="s">
        <v>39</v>
      </c>
      <c r="N48" s="42"/>
      <c r="O48" s="43"/>
      <c r="P48" s="43">
        <v>1</v>
      </c>
      <c r="Q48" s="39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s="1" customFormat="1" ht="14.25" customHeight="1" x14ac:dyDescent="0.3">
      <c r="A49" s="31">
        <v>0</v>
      </c>
      <c r="B49" s="31">
        <v>1</v>
      </c>
      <c r="C49" s="31">
        <v>2</v>
      </c>
      <c r="D49" s="32" t="s">
        <v>1531</v>
      </c>
      <c r="E49" s="32" t="s">
        <v>1649</v>
      </c>
      <c r="F49" s="32" t="s">
        <v>1532</v>
      </c>
      <c r="G49" s="32" t="s">
        <v>200</v>
      </c>
      <c r="H49" s="32" t="s">
        <v>354</v>
      </c>
      <c r="I49" s="31" t="s">
        <v>1533</v>
      </c>
      <c r="J49" s="31">
        <v>2</v>
      </c>
      <c r="K49" s="33" t="s">
        <v>956</v>
      </c>
      <c r="L49" s="33">
        <v>70</v>
      </c>
      <c r="M49" s="34" t="s">
        <v>39</v>
      </c>
      <c r="N49" s="34" t="s">
        <v>1789</v>
      </c>
      <c r="O49" s="35">
        <v>1</v>
      </c>
      <c r="P49" s="35"/>
      <c r="Q49" s="32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1</v>
      </c>
      <c r="AF49" s="1">
        <f t="shared" si="3"/>
        <v>0</v>
      </c>
      <c r="AG49" s="1">
        <f t="shared" si="4"/>
        <v>1</v>
      </c>
      <c r="AH49" s="1">
        <f t="shared" si="5"/>
        <v>0</v>
      </c>
      <c r="AI49" s="1">
        <f t="shared" si="6"/>
        <v>1</v>
      </c>
    </row>
    <row r="50" spans="1:35" s="1" customFormat="1" ht="14.25" customHeight="1" x14ac:dyDescent="0.3">
      <c r="A50" s="44">
        <v>0</v>
      </c>
      <c r="B50" s="44">
        <v>1</v>
      </c>
      <c r="C50" s="44">
        <v>2</v>
      </c>
      <c r="D50" s="45" t="s">
        <v>1467</v>
      </c>
      <c r="E50" s="45" t="s">
        <v>1650</v>
      </c>
      <c r="F50" s="45" t="s">
        <v>1466</v>
      </c>
      <c r="G50" s="45" t="s">
        <v>220</v>
      </c>
      <c r="H50" s="45" t="s">
        <v>354</v>
      </c>
      <c r="I50" s="44" t="s">
        <v>1687</v>
      </c>
      <c r="J50" s="44">
        <v>8</v>
      </c>
      <c r="K50" s="46" t="s">
        <v>702</v>
      </c>
      <c r="L50" s="46">
        <v>70</v>
      </c>
      <c r="M50" s="47" t="s">
        <v>39</v>
      </c>
      <c r="N50" s="47" t="s">
        <v>1737</v>
      </c>
      <c r="O50" s="48"/>
      <c r="P50" s="48"/>
      <c r="Q50" s="4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s="1" customFormat="1" ht="14.25" customHeight="1" x14ac:dyDescent="0.3">
      <c r="A51" s="31">
        <v>0</v>
      </c>
      <c r="B51" s="31">
        <v>1</v>
      </c>
      <c r="C51" s="31">
        <v>2</v>
      </c>
      <c r="D51" s="32" t="s">
        <v>811</v>
      </c>
      <c r="E51" s="32" t="s">
        <v>175</v>
      </c>
      <c r="F51" s="32" t="s">
        <v>812</v>
      </c>
      <c r="G51" s="32" t="s">
        <v>39</v>
      </c>
      <c r="H51" s="32" t="s">
        <v>813</v>
      </c>
      <c r="I51" s="31" t="s">
        <v>814</v>
      </c>
      <c r="J51" s="31">
        <v>11</v>
      </c>
      <c r="K51" s="33" t="s">
        <v>703</v>
      </c>
      <c r="L51" s="33">
        <v>50</v>
      </c>
      <c r="M51" s="34" t="s">
        <v>1119</v>
      </c>
      <c r="N51" s="34" t="s">
        <v>1946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s="1" customFormat="1" ht="14.25" customHeight="1" x14ac:dyDescent="0.3">
      <c r="A52" s="31">
        <v>0</v>
      </c>
      <c r="B52" s="31">
        <v>1</v>
      </c>
      <c r="C52" s="31">
        <v>2</v>
      </c>
      <c r="D52" s="32" t="s">
        <v>1471</v>
      </c>
      <c r="E52" s="32"/>
      <c r="F52" s="32" t="s">
        <v>1472</v>
      </c>
      <c r="G52" s="32" t="s">
        <v>1473</v>
      </c>
      <c r="H52" s="32" t="s">
        <v>354</v>
      </c>
      <c r="I52" s="31" t="s">
        <v>1474</v>
      </c>
      <c r="J52" s="31">
        <v>99</v>
      </c>
      <c r="K52" s="33" t="s">
        <v>703</v>
      </c>
      <c r="L52" s="33">
        <v>35</v>
      </c>
      <c r="M52" s="34" t="s">
        <v>1479</v>
      </c>
      <c r="N52" s="34" t="s">
        <v>1748</v>
      </c>
      <c r="O52" s="35">
        <v>1</v>
      </c>
      <c r="P52" s="35"/>
      <c r="Q52" s="32"/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0</v>
      </c>
      <c r="AE52" s="1">
        <f t="shared" ref="AE52:AE54" si="46">O52*(1-P52)</f>
        <v>1</v>
      </c>
      <c r="AF52" s="1">
        <f t="shared" ref="AF52:AF54" si="47">+O52*P52*(1-A52)</f>
        <v>0</v>
      </c>
      <c r="AG52" s="1">
        <f t="shared" ref="AG52:AG54" si="48">O52*(1-P52)*(1-A52)</f>
        <v>1</v>
      </c>
      <c r="AH52" s="1">
        <f t="shared" ref="AH52:AH54" si="49">+P52*(1-A52)</f>
        <v>0</v>
      </c>
      <c r="AI52" s="1">
        <f t="shared" ref="AI52:AI54" si="50">+(1-A52)*(1-P52)</f>
        <v>1</v>
      </c>
    </row>
    <row r="53" spans="1:35" s="1" customFormat="1" ht="14.25" customHeight="1" x14ac:dyDescent="0.3">
      <c r="A53" s="31">
        <v>0</v>
      </c>
      <c r="B53" s="31">
        <v>1</v>
      </c>
      <c r="C53" s="31">
        <v>2</v>
      </c>
      <c r="D53" s="32" t="s">
        <v>2002</v>
      </c>
      <c r="E53" s="32" t="s">
        <v>175</v>
      </c>
      <c r="F53" s="32" t="s">
        <v>2003</v>
      </c>
      <c r="G53" s="32" t="s">
        <v>2004</v>
      </c>
      <c r="H53" s="32" t="s">
        <v>354</v>
      </c>
      <c r="I53" s="31" t="s">
        <v>2005</v>
      </c>
      <c r="J53" s="31">
        <v>99</v>
      </c>
      <c r="K53" s="33" t="s">
        <v>703</v>
      </c>
      <c r="L53" s="33"/>
      <c r="M53" s="34"/>
      <c r="N53" s="34" t="s">
        <v>1733</v>
      </c>
      <c r="O53" s="35">
        <v>1</v>
      </c>
      <c r="P53" s="35">
        <v>1</v>
      </c>
      <c r="Q53" s="32" t="s">
        <v>2006</v>
      </c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1</v>
      </c>
      <c r="AE53" s="1">
        <f t="shared" si="46"/>
        <v>0</v>
      </c>
      <c r="AF53" s="1">
        <f t="shared" si="47"/>
        <v>1</v>
      </c>
      <c r="AG53" s="1">
        <f t="shared" si="48"/>
        <v>0</v>
      </c>
      <c r="AH53" s="1">
        <f t="shared" si="49"/>
        <v>1</v>
      </c>
      <c r="AI53" s="1">
        <f t="shared" si="50"/>
        <v>0</v>
      </c>
    </row>
    <row r="54" spans="1:35" s="1" customFormat="1" ht="14.25" customHeight="1" x14ac:dyDescent="0.3">
      <c r="A54" s="44">
        <v>0</v>
      </c>
      <c r="B54" s="44">
        <v>1</v>
      </c>
      <c r="C54" s="44">
        <v>2</v>
      </c>
      <c r="D54" s="45" t="s">
        <v>122</v>
      </c>
      <c r="E54" s="45" t="s">
        <v>175</v>
      </c>
      <c r="F54" s="45" t="s">
        <v>655</v>
      </c>
      <c r="G54" s="45" t="s">
        <v>39</v>
      </c>
      <c r="H54" s="45" t="s">
        <v>371</v>
      </c>
      <c r="I54" s="44" t="s">
        <v>469</v>
      </c>
      <c r="J54" s="44">
        <v>11</v>
      </c>
      <c r="K54" s="46" t="s">
        <v>703</v>
      </c>
      <c r="L54" s="46">
        <v>40</v>
      </c>
      <c r="M54" s="47" t="s">
        <v>691</v>
      </c>
      <c r="N54" s="47" t="s">
        <v>1802</v>
      </c>
      <c r="O54" s="48"/>
      <c r="P54" s="48"/>
      <c r="Q54" s="45"/>
      <c r="S54" s="1">
        <f t="shared" si="35"/>
        <v>0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0</v>
      </c>
      <c r="AF54" s="1">
        <f t="shared" si="47"/>
        <v>0</v>
      </c>
      <c r="AG54" s="1">
        <f t="shared" si="48"/>
        <v>0</v>
      </c>
      <c r="AH54" s="1">
        <f t="shared" si="49"/>
        <v>0</v>
      </c>
      <c r="AI54" s="1">
        <f t="shared" si="50"/>
        <v>1</v>
      </c>
    </row>
    <row r="55" spans="1:35" s="1" customFormat="1" ht="14.25" customHeight="1" x14ac:dyDescent="0.3">
      <c r="A55" s="31">
        <v>0</v>
      </c>
      <c r="B55" s="31">
        <v>1</v>
      </c>
      <c r="C55" s="31">
        <v>2</v>
      </c>
      <c r="D55" s="32" t="s">
        <v>1054</v>
      </c>
      <c r="E55" s="32" t="s">
        <v>175</v>
      </c>
      <c r="F55" s="32" t="s">
        <v>1055</v>
      </c>
      <c r="G55" s="32" t="s">
        <v>1056</v>
      </c>
      <c r="H55" s="32" t="s">
        <v>354</v>
      </c>
      <c r="I55" s="31" t="s">
        <v>1057</v>
      </c>
      <c r="J55" s="31">
        <v>1</v>
      </c>
      <c r="K55" s="33" t="s">
        <v>722</v>
      </c>
      <c r="L55" s="33" t="s">
        <v>687</v>
      </c>
      <c r="M55" s="34" t="s">
        <v>1119</v>
      </c>
      <c r="N55" s="34" t="s">
        <v>1789</v>
      </c>
      <c r="O55" s="35">
        <v>1</v>
      </c>
      <c r="P55" s="35"/>
      <c r="Q55" s="32" t="s">
        <v>1910</v>
      </c>
      <c r="S55" s="1">
        <f t="shared" si="7"/>
        <v>1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s="1" customFormat="1" ht="14.25" customHeight="1" x14ac:dyDescent="0.3">
      <c r="A56" s="31">
        <v>0</v>
      </c>
      <c r="B56" s="31">
        <v>1</v>
      </c>
      <c r="C56" s="31">
        <v>2</v>
      </c>
      <c r="D56" s="32" t="s">
        <v>1639</v>
      </c>
      <c r="E56" s="32" t="s">
        <v>175</v>
      </c>
      <c r="F56" s="32" t="s">
        <v>1665</v>
      </c>
      <c r="G56" s="32" t="s">
        <v>1666</v>
      </c>
      <c r="H56" s="32" t="s">
        <v>354</v>
      </c>
      <c r="I56" s="31" t="s">
        <v>1478</v>
      </c>
      <c r="J56" s="31">
        <v>99</v>
      </c>
      <c r="K56" s="33" t="s">
        <v>702</v>
      </c>
      <c r="L56" s="33">
        <v>45</v>
      </c>
      <c r="M56" s="34" t="s">
        <v>39</v>
      </c>
      <c r="N56" s="34" t="s">
        <v>1755</v>
      </c>
      <c r="O56" s="35">
        <v>1</v>
      </c>
      <c r="P56" s="35"/>
      <c r="Q56" s="32" t="s">
        <v>2053</v>
      </c>
      <c r="S56" s="1">
        <f t="shared" si="7"/>
        <v>0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1</v>
      </c>
      <c r="AF56" s="1">
        <f t="shared" si="3"/>
        <v>0</v>
      </c>
      <c r="AG56" s="1">
        <f t="shared" si="4"/>
        <v>1</v>
      </c>
      <c r="AH56" s="1">
        <f t="shared" si="5"/>
        <v>0</v>
      </c>
      <c r="AI56" s="1">
        <f t="shared" si="6"/>
        <v>1</v>
      </c>
    </row>
    <row r="57" spans="1:35" s="1" customFormat="1" ht="14.25" customHeight="1" x14ac:dyDescent="0.3">
      <c r="A57" s="44">
        <v>0</v>
      </c>
      <c r="B57" s="44">
        <v>1</v>
      </c>
      <c r="C57" s="44">
        <v>2</v>
      </c>
      <c r="D57" s="45" t="s">
        <v>647</v>
      </c>
      <c r="E57" s="45" t="s">
        <v>175</v>
      </c>
      <c r="F57" s="45" t="s">
        <v>602</v>
      </c>
      <c r="G57" s="45" t="s">
        <v>595</v>
      </c>
      <c r="H57" s="45" t="s">
        <v>354</v>
      </c>
      <c r="I57" s="44" t="s">
        <v>677</v>
      </c>
      <c r="J57" s="44">
        <v>1</v>
      </c>
      <c r="K57" s="46" t="s">
        <v>702</v>
      </c>
      <c r="L57" s="46" t="s">
        <v>1700</v>
      </c>
      <c r="M57" s="47" t="s">
        <v>1385</v>
      </c>
      <c r="N57" s="47" t="s">
        <v>1735</v>
      </c>
      <c r="O57" s="48"/>
      <c r="P57" s="48"/>
      <c r="Q57" s="45"/>
      <c r="S57" s="1">
        <f t="shared" si="7"/>
        <v>1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s="1" customFormat="1" ht="14.25" customHeight="1" x14ac:dyDescent="0.3">
      <c r="A58" s="15">
        <v>0</v>
      </c>
      <c r="B58" s="15">
        <v>1</v>
      </c>
      <c r="C58" s="15">
        <v>2</v>
      </c>
      <c r="D58" s="16" t="s">
        <v>1190</v>
      </c>
      <c r="E58" s="16" t="s">
        <v>174</v>
      </c>
      <c r="F58" s="16" t="s">
        <v>1191</v>
      </c>
      <c r="G58" s="16" t="s">
        <v>39</v>
      </c>
      <c r="H58" s="16" t="s">
        <v>1193</v>
      </c>
      <c r="I58" s="15" t="s">
        <v>1192</v>
      </c>
      <c r="J58" s="15">
        <v>17</v>
      </c>
      <c r="K58" s="10" t="s">
        <v>703</v>
      </c>
      <c r="L58" s="10" t="s">
        <v>1386</v>
      </c>
      <c r="M58" s="19" t="s">
        <v>1387</v>
      </c>
      <c r="N58" s="17"/>
      <c r="Q58" s="16" t="s">
        <v>1886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s="1" customFormat="1" ht="14.25" customHeight="1" x14ac:dyDescent="0.3">
      <c r="A59" s="15">
        <v>0</v>
      </c>
      <c r="B59" s="15">
        <v>1</v>
      </c>
      <c r="C59" s="15">
        <v>2</v>
      </c>
      <c r="D59" s="16" t="s">
        <v>1201</v>
      </c>
      <c r="E59" s="16" t="s">
        <v>174</v>
      </c>
      <c r="F59" s="16" t="s">
        <v>1202</v>
      </c>
      <c r="G59" s="16" t="s">
        <v>39</v>
      </c>
      <c r="H59" s="16" t="s">
        <v>1203</v>
      </c>
      <c r="I59" s="15" t="s">
        <v>1204</v>
      </c>
      <c r="J59" s="15">
        <v>18</v>
      </c>
      <c r="K59" s="10" t="s">
        <v>957</v>
      </c>
      <c r="L59" s="10" t="s">
        <v>695</v>
      </c>
      <c r="M59" s="19" t="s">
        <v>970</v>
      </c>
      <c r="N59" s="17"/>
      <c r="Q59" s="16" t="s">
        <v>1885</v>
      </c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s="1" customFormat="1" ht="14.25" customHeight="1" x14ac:dyDescent="0.3">
      <c r="A60" s="15">
        <v>0</v>
      </c>
      <c r="B60" s="15">
        <v>1</v>
      </c>
      <c r="C60" s="15">
        <v>2</v>
      </c>
      <c r="D60" s="16" t="s">
        <v>1029</v>
      </c>
      <c r="E60" s="16" t="s">
        <v>175</v>
      </c>
      <c r="F60" s="16" t="s">
        <v>1031</v>
      </c>
      <c r="G60" s="16" t="s">
        <v>39</v>
      </c>
      <c r="H60" s="16" t="s">
        <v>365</v>
      </c>
      <c r="I60" s="15" t="s">
        <v>1030</v>
      </c>
      <c r="J60" s="15">
        <v>18</v>
      </c>
      <c r="K60" s="10" t="s">
        <v>702</v>
      </c>
      <c r="L60" s="10" t="s">
        <v>1141</v>
      </c>
      <c r="M60" s="19" t="s">
        <v>691</v>
      </c>
      <c r="N60" s="17"/>
      <c r="Q60" s="16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0</v>
      </c>
      <c r="AE60" s="1">
        <f t="shared" si="18"/>
        <v>0</v>
      </c>
      <c r="AF60" s="1">
        <f t="shared" si="3"/>
        <v>0</v>
      </c>
      <c r="AG60" s="1">
        <f t="shared" si="4"/>
        <v>0</v>
      </c>
      <c r="AH60" s="1">
        <f t="shared" si="5"/>
        <v>0</v>
      </c>
      <c r="AI60" s="1">
        <f t="shared" si="6"/>
        <v>1</v>
      </c>
    </row>
    <row r="61" spans="1:35" s="1" customFormat="1" ht="14.25" customHeight="1" x14ac:dyDescent="0.3">
      <c r="A61" s="31">
        <v>0</v>
      </c>
      <c r="B61" s="31">
        <v>1</v>
      </c>
      <c r="C61" s="31">
        <v>2</v>
      </c>
      <c r="D61" s="32" t="s">
        <v>1592</v>
      </c>
      <c r="E61" s="32" t="s">
        <v>175</v>
      </c>
      <c r="F61" s="32" t="s">
        <v>1593</v>
      </c>
      <c r="G61" s="32" t="s">
        <v>1594</v>
      </c>
      <c r="H61" s="32" t="s">
        <v>354</v>
      </c>
      <c r="I61" s="31" t="s">
        <v>1487</v>
      </c>
      <c r="J61" s="31">
        <v>99</v>
      </c>
      <c r="K61" s="33" t="s">
        <v>702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2"/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s="1" customFormat="1" ht="14.25" customHeight="1" x14ac:dyDescent="0.3">
      <c r="A62" s="31">
        <v>0</v>
      </c>
      <c r="B62" s="31">
        <v>1</v>
      </c>
      <c r="C62" s="31">
        <v>2</v>
      </c>
      <c r="D62" s="32" t="s">
        <v>1620</v>
      </c>
      <c r="E62" s="32" t="s">
        <v>170</v>
      </c>
      <c r="F62" s="32" t="s">
        <v>1621</v>
      </c>
      <c r="G62" s="32" t="s">
        <v>39</v>
      </c>
      <c r="H62" s="32" t="s">
        <v>355</v>
      </c>
      <c r="I62" s="31" t="s">
        <v>1622</v>
      </c>
      <c r="J62" s="31">
        <v>11</v>
      </c>
      <c r="K62" s="33" t="s">
        <v>957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6" t="s">
        <v>1905</v>
      </c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s="1" customFormat="1" ht="14.25" customHeight="1" x14ac:dyDescent="0.3">
      <c r="A63" s="31">
        <v>0</v>
      </c>
      <c r="B63" s="31">
        <v>1</v>
      </c>
      <c r="C63" s="31">
        <v>2</v>
      </c>
      <c r="D63" s="32" t="s">
        <v>1617</v>
      </c>
      <c r="E63" s="32" t="s">
        <v>174</v>
      </c>
      <c r="F63" s="32" t="s">
        <v>1618</v>
      </c>
      <c r="G63" s="32" t="s">
        <v>1483</v>
      </c>
      <c r="H63" s="32" t="s">
        <v>354</v>
      </c>
      <c r="I63" s="31" t="s">
        <v>1619</v>
      </c>
      <c r="J63" s="31">
        <v>99</v>
      </c>
      <c r="K63" s="33" t="s">
        <v>962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s="1" customFormat="1" ht="14.25" customHeight="1" x14ac:dyDescent="0.3">
      <c r="A64" s="31">
        <v>0</v>
      </c>
      <c r="B64" s="31">
        <v>1</v>
      </c>
      <c r="C64" s="31">
        <v>2</v>
      </c>
      <c r="D64" s="32" t="s">
        <v>569</v>
      </c>
      <c r="E64" s="32" t="s">
        <v>579</v>
      </c>
      <c r="F64" s="32" t="s">
        <v>558</v>
      </c>
      <c r="G64" s="32" t="s">
        <v>262</v>
      </c>
      <c r="H64" s="32" t="s">
        <v>354</v>
      </c>
      <c r="I64" s="31" t="s">
        <v>559</v>
      </c>
      <c r="J64" s="31">
        <v>99</v>
      </c>
      <c r="K64" s="33" t="s">
        <v>956</v>
      </c>
      <c r="L64" s="33" t="s">
        <v>39</v>
      </c>
      <c r="M64" s="34" t="s">
        <v>39</v>
      </c>
      <c r="N64" s="34" t="s">
        <v>1727</v>
      </c>
      <c r="O64" s="35">
        <v>1</v>
      </c>
      <c r="P64" s="35">
        <v>1</v>
      </c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1</v>
      </c>
      <c r="AE64" s="1">
        <f t="shared" si="18"/>
        <v>0</v>
      </c>
      <c r="AF64" s="1">
        <f t="shared" si="3"/>
        <v>1</v>
      </c>
      <c r="AG64" s="1">
        <f t="shared" si="4"/>
        <v>0</v>
      </c>
      <c r="AH64" s="1">
        <f t="shared" si="5"/>
        <v>1</v>
      </c>
      <c r="AI64" s="1">
        <f t="shared" si="6"/>
        <v>0</v>
      </c>
    </row>
    <row r="65" spans="1:35" s="1" customFormat="1" ht="14.25" customHeight="1" x14ac:dyDescent="0.3">
      <c r="A65" s="31">
        <v>0</v>
      </c>
      <c r="B65" s="31">
        <v>1</v>
      </c>
      <c r="C65" s="31">
        <v>2</v>
      </c>
      <c r="D65" s="32" t="s">
        <v>799</v>
      </c>
      <c r="E65" s="32" t="s">
        <v>174</v>
      </c>
      <c r="F65" s="32" t="s">
        <v>801</v>
      </c>
      <c r="G65" s="32" t="s">
        <v>39</v>
      </c>
      <c r="H65" s="32" t="s">
        <v>800</v>
      </c>
      <c r="I65" s="31" t="s">
        <v>802</v>
      </c>
      <c r="J65" s="31">
        <v>14</v>
      </c>
      <c r="K65" s="33" t="s">
        <v>964</v>
      </c>
      <c r="L65" s="33" t="s">
        <v>1706</v>
      </c>
      <c r="M65" s="34" t="s">
        <v>1379</v>
      </c>
      <c r="N65" s="34" t="s">
        <v>1749</v>
      </c>
      <c r="O65" s="35">
        <v>1</v>
      </c>
      <c r="P65" s="35"/>
      <c r="Q65" s="32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1</v>
      </c>
      <c r="AF65" s="1">
        <f t="shared" si="3"/>
        <v>0</v>
      </c>
      <c r="AG65" s="1">
        <f t="shared" si="4"/>
        <v>1</v>
      </c>
      <c r="AH65" s="1">
        <f t="shared" si="5"/>
        <v>0</v>
      </c>
      <c r="AI65" s="1">
        <f t="shared" si="6"/>
        <v>1</v>
      </c>
    </row>
    <row r="66" spans="1:35" s="1" customFormat="1" ht="14.25" customHeight="1" x14ac:dyDescent="0.3">
      <c r="A66" s="15">
        <v>0</v>
      </c>
      <c r="B66" s="15">
        <v>1</v>
      </c>
      <c r="C66" s="15">
        <v>2</v>
      </c>
      <c r="D66" s="16" t="s">
        <v>1322</v>
      </c>
      <c r="E66" s="16" t="s">
        <v>175</v>
      </c>
      <c r="F66" s="16" t="s">
        <v>1346</v>
      </c>
      <c r="G66" s="16" t="s">
        <v>39</v>
      </c>
      <c r="H66" s="16" t="s">
        <v>363</v>
      </c>
      <c r="I66" s="15" t="s">
        <v>1142</v>
      </c>
      <c r="J66" s="15">
        <v>14</v>
      </c>
      <c r="K66" s="10" t="s">
        <v>722</v>
      </c>
      <c r="L66" s="10" t="s">
        <v>1699</v>
      </c>
      <c r="M66" s="19" t="s">
        <v>972</v>
      </c>
      <c r="N66" s="17"/>
      <c r="Q66" s="16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s="1" customFormat="1" ht="14.25" customHeight="1" x14ac:dyDescent="0.3">
      <c r="A67" s="44">
        <v>0</v>
      </c>
      <c r="B67" s="44">
        <v>1</v>
      </c>
      <c r="C67" s="44">
        <v>2</v>
      </c>
      <c r="D67" s="45" t="s">
        <v>1515</v>
      </c>
      <c r="E67" s="45" t="s">
        <v>170</v>
      </c>
      <c r="F67" s="45" t="s">
        <v>1517</v>
      </c>
      <c r="G67" s="45" t="s">
        <v>1165</v>
      </c>
      <c r="H67" s="45" t="s">
        <v>354</v>
      </c>
      <c r="I67" s="44" t="s">
        <v>1516</v>
      </c>
      <c r="J67" s="44">
        <v>11</v>
      </c>
      <c r="K67" s="46" t="s">
        <v>722</v>
      </c>
      <c r="L67" s="46">
        <v>50</v>
      </c>
      <c r="M67" s="47" t="s">
        <v>39</v>
      </c>
      <c r="N67" s="47" t="s">
        <v>1809</v>
      </c>
      <c r="O67" s="48"/>
      <c r="P67" s="48"/>
      <c r="Q67" s="4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s="1" customFormat="1" ht="14.25" customHeight="1" x14ac:dyDescent="0.3">
      <c r="A68" s="31">
        <v>0</v>
      </c>
      <c r="B68" s="31">
        <v>1</v>
      </c>
      <c r="C68" s="31">
        <v>2</v>
      </c>
      <c r="D68" s="32" t="s">
        <v>1137</v>
      </c>
      <c r="E68" s="32" t="s">
        <v>175</v>
      </c>
      <c r="F68" s="32" t="s">
        <v>1140</v>
      </c>
      <c r="G68" s="32" t="s">
        <v>39</v>
      </c>
      <c r="H68" s="32" t="s">
        <v>1138</v>
      </c>
      <c r="I68" s="31" t="s">
        <v>1139</v>
      </c>
      <c r="J68" s="31">
        <v>12</v>
      </c>
      <c r="K68" s="33" t="s">
        <v>703</v>
      </c>
      <c r="L68" s="33">
        <v>50</v>
      </c>
      <c r="M68" s="34" t="s">
        <v>39</v>
      </c>
      <c r="N68" s="34" t="s">
        <v>1749</v>
      </c>
      <c r="O68" s="35">
        <v>1</v>
      </c>
      <c r="P68" s="35"/>
      <c r="Q68" s="32"/>
      <c r="S68" s="1">
        <f t="shared" si="7"/>
        <v>0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1</v>
      </c>
      <c r="AF68" s="1">
        <f t="shared" si="3"/>
        <v>0</v>
      </c>
      <c r="AG68" s="1">
        <f t="shared" si="4"/>
        <v>1</v>
      </c>
      <c r="AH68" s="1">
        <f t="shared" si="5"/>
        <v>0</v>
      </c>
      <c r="AI68" s="1">
        <f t="shared" si="6"/>
        <v>1</v>
      </c>
    </row>
    <row r="69" spans="1:35" s="1" customFormat="1" ht="14.25" customHeight="1" x14ac:dyDescent="0.3">
      <c r="A69" s="57">
        <v>0</v>
      </c>
      <c r="B69" s="57">
        <v>1</v>
      </c>
      <c r="C69" s="57">
        <v>2</v>
      </c>
      <c r="D69" s="58" t="s">
        <v>154</v>
      </c>
      <c r="E69" s="58" t="s">
        <v>171</v>
      </c>
      <c r="F69" s="58" t="s">
        <v>935</v>
      </c>
      <c r="G69" s="58" t="s">
        <v>186</v>
      </c>
      <c r="H69" s="58" t="s">
        <v>354</v>
      </c>
      <c r="I69" s="57" t="s">
        <v>501</v>
      </c>
      <c r="J69" s="57">
        <v>1</v>
      </c>
      <c r="K69" s="59" t="s">
        <v>960</v>
      </c>
      <c r="L69" s="59" t="s">
        <v>39</v>
      </c>
      <c r="M69" s="60" t="s">
        <v>39</v>
      </c>
      <c r="N69" s="61"/>
      <c r="O69" s="62"/>
      <c r="P69" s="62">
        <v>1</v>
      </c>
      <c r="Q69" s="58"/>
      <c r="S69" s="1">
        <f t="shared" si="7"/>
        <v>1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0</v>
      </c>
      <c r="AE69" s="1">
        <f t="shared" si="18"/>
        <v>0</v>
      </c>
      <c r="AF69" s="1">
        <f t="shared" si="3"/>
        <v>0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s="1" customFormat="1" ht="14.25" customHeight="1" x14ac:dyDescent="0.3">
      <c r="A70" s="31">
        <v>0</v>
      </c>
      <c r="B70" s="31">
        <v>1</v>
      </c>
      <c r="C70" s="31">
        <v>2</v>
      </c>
      <c r="D70" s="32" t="s">
        <v>1447</v>
      </c>
      <c r="E70" s="32" t="s">
        <v>175</v>
      </c>
      <c r="F70" s="32" t="s">
        <v>1444</v>
      </c>
      <c r="G70" s="32" t="s">
        <v>39</v>
      </c>
      <c r="H70" s="32" t="s">
        <v>354</v>
      </c>
      <c r="I70" s="31" t="s">
        <v>1445</v>
      </c>
      <c r="J70" s="31">
        <v>99</v>
      </c>
      <c r="K70" s="33" t="s">
        <v>702</v>
      </c>
      <c r="L70" s="33" t="s">
        <v>689</v>
      </c>
      <c r="M70" s="34" t="s">
        <v>1446</v>
      </c>
      <c r="N70" s="34" t="s">
        <v>1727</v>
      </c>
      <c r="O70" s="35">
        <v>1</v>
      </c>
      <c r="P70" s="35">
        <v>1</v>
      </c>
      <c r="Q70" s="32"/>
      <c r="S70" s="1">
        <f t="shared" si="7"/>
        <v>0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1</v>
      </c>
      <c r="AE70" s="1">
        <f t="shared" si="18"/>
        <v>0</v>
      </c>
      <c r="AF70" s="1">
        <f t="shared" si="3"/>
        <v>1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s="1" customFormat="1" ht="14.25" customHeight="1" x14ac:dyDescent="0.3">
      <c r="A71" s="38">
        <v>0</v>
      </c>
      <c r="B71" s="38">
        <v>1</v>
      </c>
      <c r="C71" s="38">
        <v>2</v>
      </c>
      <c r="D71" s="54" t="s">
        <v>815</v>
      </c>
      <c r="E71" s="39" t="s">
        <v>175</v>
      </c>
      <c r="F71" s="39" t="s">
        <v>936</v>
      </c>
      <c r="G71" s="39" t="s">
        <v>213</v>
      </c>
      <c r="H71" s="39" t="s">
        <v>354</v>
      </c>
      <c r="I71" s="38" t="s">
        <v>816</v>
      </c>
      <c r="J71" s="38">
        <v>1</v>
      </c>
      <c r="K71" s="40" t="s">
        <v>956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7"/>
        <v>1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s="1" customFormat="1" ht="14.25" customHeight="1" x14ac:dyDescent="0.3">
      <c r="A72" s="31">
        <v>0</v>
      </c>
      <c r="B72" s="31">
        <v>1</v>
      </c>
      <c r="C72" s="31">
        <v>2</v>
      </c>
      <c r="D72" s="32" t="s">
        <v>1323</v>
      </c>
      <c r="E72" s="32" t="s">
        <v>175</v>
      </c>
      <c r="F72" s="32" t="s">
        <v>1126</v>
      </c>
      <c r="G72" s="32" t="s">
        <v>39</v>
      </c>
      <c r="H72" s="32" t="s">
        <v>1125</v>
      </c>
      <c r="I72" s="31" t="s">
        <v>1124</v>
      </c>
      <c r="J72" s="31">
        <v>15</v>
      </c>
      <c r="K72" s="33" t="s">
        <v>957</v>
      </c>
      <c r="L72" s="33">
        <v>75</v>
      </c>
      <c r="M72" s="34" t="s">
        <v>1388</v>
      </c>
      <c r="N72" s="34" t="s">
        <v>1733</v>
      </c>
      <c r="O72" s="35">
        <v>1</v>
      </c>
      <c r="P72" s="35">
        <v>1</v>
      </c>
      <c r="Q72" s="32" t="s">
        <v>1987</v>
      </c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s="1" customFormat="1" ht="14.25" customHeight="1" x14ac:dyDescent="0.3">
      <c r="A73" s="31">
        <v>0</v>
      </c>
      <c r="B73" s="31">
        <v>1</v>
      </c>
      <c r="C73" s="31">
        <v>2</v>
      </c>
      <c r="D73" s="32" t="s">
        <v>1047</v>
      </c>
      <c r="E73" s="32" t="s">
        <v>174</v>
      </c>
      <c r="F73" s="32" t="s">
        <v>1048</v>
      </c>
      <c r="G73" s="32" t="s">
        <v>628</v>
      </c>
      <c r="H73" s="32" t="s">
        <v>354</v>
      </c>
      <c r="I73" s="31" t="s">
        <v>1049</v>
      </c>
      <c r="J73" s="31">
        <v>99</v>
      </c>
      <c r="K73" s="33" t="s">
        <v>702</v>
      </c>
      <c r="L73" s="33" t="s">
        <v>39</v>
      </c>
      <c r="M73" s="34" t="s">
        <v>39</v>
      </c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s="1" customFormat="1" ht="14.25" customHeight="1" x14ac:dyDescent="0.3">
      <c r="A74" s="31">
        <v>0</v>
      </c>
      <c r="B74" s="31">
        <v>1</v>
      </c>
      <c r="C74" s="31">
        <v>2</v>
      </c>
      <c r="D74" s="32" t="s">
        <v>2058</v>
      </c>
      <c r="E74" s="32" t="s">
        <v>1983</v>
      </c>
      <c r="F74" s="32" t="s">
        <v>2059</v>
      </c>
      <c r="G74" s="32" t="s">
        <v>285</v>
      </c>
      <c r="H74" s="32" t="s">
        <v>354</v>
      </c>
      <c r="I74" s="31" t="s">
        <v>2060</v>
      </c>
      <c r="J74" s="31">
        <v>10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6" t="s">
        <v>2061</v>
      </c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1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s="1" customFormat="1" ht="14.25" customHeight="1" x14ac:dyDescent="0.3">
      <c r="A75" s="31">
        <v>0</v>
      </c>
      <c r="B75" s="31">
        <v>1</v>
      </c>
      <c r="C75" s="31">
        <v>2</v>
      </c>
      <c r="D75" s="36" t="s">
        <v>2014</v>
      </c>
      <c r="E75" s="32" t="s">
        <v>175</v>
      </c>
      <c r="F75" s="36" t="s">
        <v>2015</v>
      </c>
      <c r="G75" s="36" t="s">
        <v>220</v>
      </c>
      <c r="H75" s="36" t="s">
        <v>354</v>
      </c>
      <c r="I75" s="37" t="s">
        <v>2016</v>
      </c>
      <c r="J75" s="31">
        <v>8</v>
      </c>
      <c r="K75" s="33" t="s">
        <v>703</v>
      </c>
      <c r="L75" s="33"/>
      <c r="M75" s="34"/>
      <c r="N75" s="34" t="s">
        <v>1733</v>
      </c>
      <c r="O75" s="35">
        <v>1</v>
      </c>
      <c r="P75" s="35">
        <v>1</v>
      </c>
      <c r="Q75" s="32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1</v>
      </c>
      <c r="AA75" s="1">
        <f t="shared" si="15"/>
        <v>0</v>
      </c>
      <c r="AB75" s="1">
        <f t="shared" si="16"/>
        <v>0</v>
      </c>
      <c r="AD75" s="1">
        <f t="shared" si="51"/>
        <v>1</v>
      </c>
      <c r="AE75" s="1">
        <f t="shared" si="52"/>
        <v>0</v>
      </c>
      <c r="AF75" s="1">
        <f t="shared" si="53"/>
        <v>1</v>
      </c>
      <c r="AG75" s="1">
        <f t="shared" si="54"/>
        <v>0</v>
      </c>
      <c r="AH75" s="1">
        <f t="shared" si="55"/>
        <v>1</v>
      </c>
      <c r="AI75" s="1">
        <f t="shared" si="56"/>
        <v>0</v>
      </c>
    </row>
    <row r="76" spans="1:35" s="1" customFormat="1" ht="14.25" customHeight="1" x14ac:dyDescent="0.3">
      <c r="A76" s="44">
        <v>0</v>
      </c>
      <c r="B76" s="44">
        <v>1</v>
      </c>
      <c r="C76" s="44">
        <v>2</v>
      </c>
      <c r="D76" s="45" t="s">
        <v>584</v>
      </c>
      <c r="E76" s="45" t="s">
        <v>174</v>
      </c>
      <c r="F76" s="45" t="s">
        <v>586</v>
      </c>
      <c r="G76" s="45" t="s">
        <v>39</v>
      </c>
      <c r="H76" s="45" t="s">
        <v>587</v>
      </c>
      <c r="I76" s="44" t="s">
        <v>588</v>
      </c>
      <c r="J76" s="44">
        <v>12</v>
      </c>
      <c r="K76" s="46" t="s">
        <v>960</v>
      </c>
      <c r="L76" s="46" t="s">
        <v>1712</v>
      </c>
      <c r="M76" s="47" t="s">
        <v>1379</v>
      </c>
      <c r="N76" s="47" t="s">
        <v>1738</v>
      </c>
      <c r="O76" s="48"/>
      <c r="P76" s="48"/>
      <c r="Q76" s="45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0</v>
      </c>
      <c r="AF76" s="1">
        <f t="shared" ref="AF76:AF138" si="69">+O76*P76*(1-A76)</f>
        <v>0</v>
      </c>
      <c r="AG76" s="1">
        <f t="shared" ref="AG76:AG138" si="70">O76*(1-P76)*(1-A76)</f>
        <v>0</v>
      </c>
      <c r="AH76" s="1">
        <f t="shared" ref="AH76:AH138" si="71">+P76*(1-A76)</f>
        <v>0</v>
      </c>
      <c r="AI76" s="1">
        <f t="shared" ref="AI76:AI138" si="72">+(1-A76)*(1-P76)</f>
        <v>1</v>
      </c>
    </row>
    <row r="77" spans="1:35" s="1" customFormat="1" ht="14.25" customHeight="1" x14ac:dyDescent="0.3">
      <c r="A77" s="31">
        <v>0</v>
      </c>
      <c r="B77" s="31">
        <v>1</v>
      </c>
      <c r="C77" s="31">
        <v>2</v>
      </c>
      <c r="D77" s="32" t="s">
        <v>1842</v>
      </c>
      <c r="E77" s="32" t="s">
        <v>174</v>
      </c>
      <c r="F77" s="32" t="s">
        <v>1843</v>
      </c>
      <c r="G77" s="32"/>
      <c r="H77" s="32" t="s">
        <v>1844</v>
      </c>
      <c r="I77" s="31" t="s">
        <v>1845</v>
      </c>
      <c r="J77" s="31">
        <v>14</v>
      </c>
      <c r="K77" s="33" t="s">
        <v>703</v>
      </c>
      <c r="L77" s="33">
        <v>75</v>
      </c>
      <c r="M77" s="34" t="s">
        <v>971</v>
      </c>
      <c r="N77" s="34" t="s">
        <v>1743</v>
      </c>
      <c r="O77" s="35">
        <v>1</v>
      </c>
      <c r="P77" s="35"/>
      <c r="Q77" s="32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0</v>
      </c>
      <c r="AE77" s="1">
        <f t="shared" si="68"/>
        <v>1</v>
      </c>
      <c r="AF77" s="1">
        <f t="shared" si="69"/>
        <v>0</v>
      </c>
      <c r="AG77" s="1">
        <f t="shared" si="70"/>
        <v>1</v>
      </c>
      <c r="AH77" s="1">
        <f t="shared" si="71"/>
        <v>0</v>
      </c>
      <c r="AI77" s="1">
        <f t="shared" si="72"/>
        <v>1</v>
      </c>
    </row>
    <row r="78" spans="1:35" s="1" customFormat="1" ht="14.25" customHeight="1" x14ac:dyDescent="0.3">
      <c r="A78" s="31">
        <v>0</v>
      </c>
      <c r="B78" s="31">
        <v>1</v>
      </c>
      <c r="C78" s="31">
        <v>2</v>
      </c>
      <c r="D78" s="36" t="s">
        <v>1724</v>
      </c>
      <c r="E78" s="32" t="s">
        <v>175</v>
      </c>
      <c r="F78" s="36" t="s">
        <v>1725</v>
      </c>
      <c r="G78" s="36" t="s">
        <v>207</v>
      </c>
      <c r="H78" s="36" t="s">
        <v>354</v>
      </c>
      <c r="I78" s="37" t="s">
        <v>1726</v>
      </c>
      <c r="J78" s="31"/>
      <c r="K78" s="33" t="s">
        <v>703</v>
      </c>
      <c r="L78" s="33"/>
      <c r="M78" s="34"/>
      <c r="N78" s="34" t="s">
        <v>1727</v>
      </c>
      <c r="O78" s="35">
        <v>1</v>
      </c>
      <c r="P78" s="35">
        <v>1</v>
      </c>
      <c r="Q78" s="36"/>
      <c r="S78" s="1">
        <f t="shared" ref="S78:S143" si="73">IF(J78=$S$7,1,0)</f>
        <v>0</v>
      </c>
      <c r="T78" s="1">
        <f t="shared" ref="T78:T143" si="74">IF(J78=$T$7,1,0)</f>
        <v>0</v>
      </c>
      <c r="U78" s="1">
        <f t="shared" ref="U78:U143" si="75">IF(J78=$U$7,1,0)</f>
        <v>0</v>
      </c>
      <c r="V78" s="1">
        <f t="shared" ref="V78:V143" si="76">IF(J78=$V$7,1,0)</f>
        <v>0</v>
      </c>
      <c r="W78" s="1">
        <f t="shared" ref="W78:W143" si="77">IF(J78=$W$7,1,0)</f>
        <v>0</v>
      </c>
      <c r="X78" s="1">
        <f t="shared" ref="X78:X143" si="78">IF(J78=$X$7,1,0)</f>
        <v>0</v>
      </c>
      <c r="Y78" s="1">
        <f t="shared" ref="Y78:Y143" si="79">IF(J78=$Y$7,1,0)</f>
        <v>0</v>
      </c>
      <c r="Z78" s="1">
        <f t="shared" ref="Z78:Z143" si="80">IF(J78=$Z$7,1,0)</f>
        <v>0</v>
      </c>
      <c r="AA78" s="1">
        <f t="shared" ref="AA78:AA143" si="81">IF(J78=$AA$7,1,0)</f>
        <v>0</v>
      </c>
      <c r="AB78" s="1">
        <f t="shared" ref="AB78:AB143" si="82">IF(J78=$AB$7,1,0)</f>
        <v>0</v>
      </c>
      <c r="AD78" s="1">
        <f t="shared" ref="AD78:AD143" si="83">+O78*P78</f>
        <v>1</v>
      </c>
      <c r="AE78" s="1">
        <f t="shared" ref="AE78:AE143" si="84">O78*(1-P78)</f>
        <v>0</v>
      </c>
      <c r="AF78" s="1">
        <f t="shared" si="69"/>
        <v>1</v>
      </c>
      <c r="AG78" s="1">
        <f t="shared" si="70"/>
        <v>0</v>
      </c>
      <c r="AH78" s="1">
        <f t="shared" si="71"/>
        <v>1</v>
      </c>
      <c r="AI78" s="1">
        <f t="shared" si="72"/>
        <v>0</v>
      </c>
    </row>
    <row r="79" spans="1:35" s="1" customFormat="1" ht="14.25" customHeight="1" x14ac:dyDescent="0.3">
      <c r="A79" s="31">
        <v>0</v>
      </c>
      <c r="B79" s="31">
        <v>1</v>
      </c>
      <c r="C79" s="31">
        <v>2</v>
      </c>
      <c r="D79" s="36" t="s">
        <v>1058</v>
      </c>
      <c r="E79" s="32" t="s">
        <v>175</v>
      </c>
      <c r="F79" s="36" t="s">
        <v>1097</v>
      </c>
      <c r="G79" s="36" t="s">
        <v>39</v>
      </c>
      <c r="H79" s="36" t="s">
        <v>1059</v>
      </c>
      <c r="I79" s="37" t="s">
        <v>1161</v>
      </c>
      <c r="J79" s="31">
        <v>13</v>
      </c>
      <c r="K79" s="33" t="s">
        <v>702</v>
      </c>
      <c r="L79" s="33" t="s">
        <v>689</v>
      </c>
      <c r="M79" s="34" t="s">
        <v>1441</v>
      </c>
      <c r="N79" s="34" t="s">
        <v>1749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s="1" customFormat="1" ht="14.25" customHeight="1" x14ac:dyDescent="0.3">
      <c r="A80" s="31">
        <v>0</v>
      </c>
      <c r="B80" s="31">
        <v>1</v>
      </c>
      <c r="C80" s="31">
        <v>2</v>
      </c>
      <c r="D80" s="36" t="s">
        <v>1595</v>
      </c>
      <c r="E80" s="32" t="s">
        <v>175</v>
      </c>
      <c r="F80" s="36" t="s">
        <v>1596</v>
      </c>
      <c r="G80" s="36" t="s">
        <v>235</v>
      </c>
      <c r="H80" s="36" t="s">
        <v>354</v>
      </c>
      <c r="I80" s="37" t="s">
        <v>1597</v>
      </c>
      <c r="J80" s="31">
        <v>99</v>
      </c>
      <c r="K80" s="33" t="s">
        <v>956</v>
      </c>
      <c r="L80" s="33">
        <v>45</v>
      </c>
      <c r="M80" s="34" t="s">
        <v>39</v>
      </c>
      <c r="N80" s="34" t="s">
        <v>1789</v>
      </c>
      <c r="O80" s="35">
        <v>1</v>
      </c>
      <c r="P80" s="35"/>
      <c r="Q80" s="36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1</v>
      </c>
      <c r="AF80" s="1">
        <f t="shared" si="69"/>
        <v>0</v>
      </c>
      <c r="AG80" s="1">
        <f t="shared" si="70"/>
        <v>1</v>
      </c>
      <c r="AH80" s="1">
        <f t="shared" si="71"/>
        <v>0</v>
      </c>
      <c r="AI80" s="1">
        <f t="shared" si="72"/>
        <v>1</v>
      </c>
    </row>
    <row r="81" spans="1:35" s="1" customFormat="1" ht="14.25" customHeight="1" x14ac:dyDescent="0.3">
      <c r="A81" s="38">
        <v>0</v>
      </c>
      <c r="B81" s="38">
        <v>1</v>
      </c>
      <c r="C81" s="38">
        <v>2</v>
      </c>
      <c r="D81" s="54" t="s">
        <v>1325</v>
      </c>
      <c r="E81" s="39" t="s">
        <v>174</v>
      </c>
      <c r="F81" s="39" t="s">
        <v>1268</v>
      </c>
      <c r="G81" s="39" t="s">
        <v>207</v>
      </c>
      <c r="H81" s="39" t="s">
        <v>354</v>
      </c>
      <c r="I81" s="38" t="s">
        <v>1269</v>
      </c>
      <c r="J81" s="38">
        <v>99</v>
      </c>
      <c r="K81" s="40" t="s">
        <v>962</v>
      </c>
      <c r="L81" s="40" t="s">
        <v>39</v>
      </c>
      <c r="M81" s="41" t="s">
        <v>39</v>
      </c>
      <c r="N81" s="42"/>
      <c r="O81" s="43"/>
      <c r="P81" s="43">
        <v>1</v>
      </c>
      <c r="Q81" s="39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0</v>
      </c>
      <c r="AE81" s="1">
        <f t="shared" si="84"/>
        <v>0</v>
      </c>
      <c r="AF81" s="1">
        <f t="shared" si="69"/>
        <v>0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s="1" customFormat="1" ht="14.25" customHeight="1" x14ac:dyDescent="0.3">
      <c r="A82" s="31">
        <v>0</v>
      </c>
      <c r="B82" s="31">
        <v>1</v>
      </c>
      <c r="C82" s="31">
        <v>3</v>
      </c>
      <c r="D82" s="36" t="s">
        <v>1799</v>
      </c>
      <c r="E82" s="32" t="s">
        <v>170</v>
      </c>
      <c r="F82" s="36" t="s">
        <v>1797</v>
      </c>
      <c r="G82" s="36" t="s">
        <v>232</v>
      </c>
      <c r="H82" s="36" t="s">
        <v>354</v>
      </c>
      <c r="I82" s="37" t="s">
        <v>1798</v>
      </c>
      <c r="J82" s="31">
        <v>99</v>
      </c>
      <c r="K82" s="33" t="s">
        <v>703</v>
      </c>
      <c r="L82" s="33"/>
      <c r="M82" s="34"/>
      <c r="N82" s="34" t="s">
        <v>1727</v>
      </c>
      <c r="O82" s="35">
        <v>1</v>
      </c>
      <c r="P82" s="35">
        <v>1</v>
      </c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1</v>
      </c>
      <c r="AE82" s="1">
        <f t="shared" si="84"/>
        <v>0</v>
      </c>
      <c r="AF82" s="1">
        <f t="shared" si="69"/>
        <v>1</v>
      </c>
      <c r="AG82" s="1">
        <f t="shared" si="70"/>
        <v>0</v>
      </c>
      <c r="AH82" s="1">
        <f t="shared" si="71"/>
        <v>1</v>
      </c>
      <c r="AI82" s="1">
        <f t="shared" si="72"/>
        <v>0</v>
      </c>
    </row>
    <row r="83" spans="1:35" s="1" customFormat="1" ht="14.25" customHeight="1" x14ac:dyDescent="0.3">
      <c r="A83" s="31">
        <v>0</v>
      </c>
      <c r="B83" s="31">
        <v>1</v>
      </c>
      <c r="C83" s="31">
        <v>3</v>
      </c>
      <c r="D83" s="36" t="s">
        <v>1158</v>
      </c>
      <c r="E83" s="32" t="s">
        <v>170</v>
      </c>
      <c r="F83" s="36" t="s">
        <v>1159</v>
      </c>
      <c r="G83" s="36" t="s">
        <v>39</v>
      </c>
      <c r="H83" s="36" t="s">
        <v>1359</v>
      </c>
      <c r="I83" s="37" t="s">
        <v>1160</v>
      </c>
      <c r="J83" s="31">
        <v>11</v>
      </c>
      <c r="K83" s="33" t="s">
        <v>702</v>
      </c>
      <c r="L83" s="33" t="s">
        <v>1699</v>
      </c>
      <c r="M83" s="34" t="s">
        <v>1389</v>
      </c>
      <c r="N83" s="34" t="s">
        <v>1749</v>
      </c>
      <c r="O83" s="35">
        <v>1</v>
      </c>
      <c r="P83" s="35"/>
      <c r="Q83" s="36"/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s="1" customFormat="1" ht="14.25" customHeight="1" x14ac:dyDescent="0.3">
      <c r="A84" s="31">
        <v>0</v>
      </c>
      <c r="B84" s="31">
        <v>1</v>
      </c>
      <c r="C84" s="31">
        <v>3</v>
      </c>
      <c r="D84" s="36" t="s">
        <v>124</v>
      </c>
      <c r="E84" s="32" t="s">
        <v>170</v>
      </c>
      <c r="F84" s="36" t="s">
        <v>576</v>
      </c>
      <c r="G84" s="36" t="s">
        <v>39</v>
      </c>
      <c r="H84" s="36" t="s">
        <v>373</v>
      </c>
      <c r="I84" s="37" t="s">
        <v>471</v>
      </c>
      <c r="J84" s="31">
        <v>18</v>
      </c>
      <c r="K84" s="33" t="s">
        <v>703</v>
      </c>
      <c r="L84" s="33" t="s">
        <v>695</v>
      </c>
      <c r="M84" s="34" t="s">
        <v>691</v>
      </c>
      <c r="N84" s="34" t="s">
        <v>1825</v>
      </c>
      <c r="O84" s="35">
        <v>1</v>
      </c>
      <c r="P84" s="35"/>
      <c r="Q84" s="36" t="s">
        <v>1882</v>
      </c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0</v>
      </c>
      <c r="AE84" s="1">
        <f t="shared" si="84"/>
        <v>1</v>
      </c>
      <c r="AF84" s="1">
        <f t="shared" si="69"/>
        <v>0</v>
      </c>
      <c r="AG84" s="1">
        <f t="shared" si="70"/>
        <v>1</v>
      </c>
      <c r="AH84" s="1">
        <f t="shared" si="71"/>
        <v>0</v>
      </c>
      <c r="AI84" s="1">
        <f t="shared" si="72"/>
        <v>1</v>
      </c>
    </row>
    <row r="85" spans="1:35" s="1" customFormat="1" ht="14.25" customHeight="1" x14ac:dyDescent="0.3">
      <c r="A85" s="31">
        <v>0</v>
      </c>
      <c r="B85" s="31">
        <v>1</v>
      </c>
      <c r="C85" s="31">
        <v>3</v>
      </c>
      <c r="D85" s="36" t="s">
        <v>1010</v>
      </c>
      <c r="E85" s="32" t="s">
        <v>172</v>
      </c>
      <c r="F85" s="36" t="s">
        <v>1011</v>
      </c>
      <c r="G85" s="36" t="s">
        <v>1012</v>
      </c>
      <c r="H85" s="36" t="s">
        <v>354</v>
      </c>
      <c r="I85" s="37" t="s">
        <v>1013</v>
      </c>
      <c r="J85" s="31">
        <v>99</v>
      </c>
      <c r="K85" s="33" t="s">
        <v>956</v>
      </c>
      <c r="L85" s="33" t="s">
        <v>39</v>
      </c>
      <c r="M85" s="34" t="s">
        <v>39</v>
      </c>
      <c r="N85" s="34" t="s">
        <v>1733</v>
      </c>
      <c r="O85" s="35">
        <v>1</v>
      </c>
      <c r="P85" s="35">
        <v>1</v>
      </c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0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1</v>
      </c>
      <c r="AE85" s="1">
        <f t="shared" si="84"/>
        <v>0</v>
      </c>
      <c r="AF85" s="1">
        <f t="shared" si="69"/>
        <v>1</v>
      </c>
      <c r="AG85" s="1">
        <f t="shared" si="70"/>
        <v>0</v>
      </c>
      <c r="AH85" s="1">
        <f t="shared" si="71"/>
        <v>1</v>
      </c>
      <c r="AI85" s="1">
        <f t="shared" si="72"/>
        <v>0</v>
      </c>
    </row>
    <row r="86" spans="1:35" s="1" customFormat="1" ht="14.25" customHeight="1" x14ac:dyDescent="0.3">
      <c r="A86" s="31">
        <v>0</v>
      </c>
      <c r="B86" s="31">
        <v>1</v>
      </c>
      <c r="C86" s="31">
        <v>3</v>
      </c>
      <c r="D86" s="36" t="s">
        <v>143</v>
      </c>
      <c r="E86" s="32" t="s">
        <v>175</v>
      </c>
      <c r="F86" s="36" t="s">
        <v>344</v>
      </c>
      <c r="G86" s="36" t="s">
        <v>345</v>
      </c>
      <c r="H86" s="36" t="s">
        <v>354</v>
      </c>
      <c r="I86" s="37" t="s">
        <v>491</v>
      </c>
      <c r="J86" s="31">
        <v>6</v>
      </c>
      <c r="K86" s="33" t="s">
        <v>957</v>
      </c>
      <c r="L86" s="33" t="s">
        <v>687</v>
      </c>
      <c r="M86" s="34" t="s">
        <v>691</v>
      </c>
      <c r="N86" s="34" t="s">
        <v>1743</v>
      </c>
      <c r="O86" s="35">
        <v>1</v>
      </c>
      <c r="P86" s="35"/>
      <c r="Q86" s="36"/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1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1</v>
      </c>
      <c r="AF86" s="1">
        <f t="shared" si="69"/>
        <v>0</v>
      </c>
      <c r="AG86" s="1">
        <f t="shared" si="70"/>
        <v>1</v>
      </c>
      <c r="AH86" s="1">
        <f t="shared" si="71"/>
        <v>0</v>
      </c>
      <c r="AI86" s="1">
        <f t="shared" si="72"/>
        <v>1</v>
      </c>
    </row>
    <row r="87" spans="1:35" s="1" customFormat="1" ht="14.25" customHeight="1" x14ac:dyDescent="0.3">
      <c r="A87" s="15">
        <v>0</v>
      </c>
      <c r="B87" s="15">
        <v>1</v>
      </c>
      <c r="C87" s="15">
        <v>3</v>
      </c>
      <c r="D87" s="16" t="s">
        <v>1786</v>
      </c>
      <c r="E87" s="16" t="s">
        <v>172</v>
      </c>
      <c r="F87" s="16" t="s">
        <v>1788</v>
      </c>
      <c r="G87" s="16"/>
      <c r="H87" s="16" t="s">
        <v>364</v>
      </c>
      <c r="I87" s="15" t="s">
        <v>1787</v>
      </c>
      <c r="J87" s="15">
        <v>17</v>
      </c>
      <c r="K87" s="10" t="s">
        <v>703</v>
      </c>
      <c r="L87" s="10" t="s">
        <v>1742</v>
      </c>
      <c r="M87" s="19" t="s">
        <v>691</v>
      </c>
      <c r="N87" s="17"/>
      <c r="Q87" s="20" t="s">
        <v>1914</v>
      </c>
      <c r="S87" s="1">
        <f t="shared" si="73"/>
        <v>0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0</v>
      </c>
      <c r="AF87" s="1">
        <f t="shared" si="69"/>
        <v>0</v>
      </c>
      <c r="AG87" s="1">
        <f t="shared" si="70"/>
        <v>0</v>
      </c>
      <c r="AH87" s="1">
        <f t="shared" si="71"/>
        <v>0</v>
      </c>
      <c r="AI87" s="1">
        <f t="shared" si="72"/>
        <v>1</v>
      </c>
    </row>
    <row r="88" spans="1:35" s="1" customFormat="1" ht="14.25" customHeight="1" x14ac:dyDescent="0.3">
      <c r="A88" s="31">
        <v>0</v>
      </c>
      <c r="B88" s="31">
        <v>1</v>
      </c>
      <c r="C88" s="31">
        <v>3</v>
      </c>
      <c r="D88" s="32" t="s">
        <v>1810</v>
      </c>
      <c r="E88" s="32" t="s">
        <v>172</v>
      </c>
      <c r="F88" s="32" t="s">
        <v>1811</v>
      </c>
      <c r="G88" s="32" t="s">
        <v>1812</v>
      </c>
      <c r="H88" s="32" t="s">
        <v>354</v>
      </c>
      <c r="I88" s="31" t="s">
        <v>1813</v>
      </c>
      <c r="J88" s="31">
        <v>1</v>
      </c>
      <c r="K88" s="33" t="s">
        <v>703</v>
      </c>
      <c r="L88" s="33">
        <v>60</v>
      </c>
      <c r="M88" s="34" t="s">
        <v>1814</v>
      </c>
      <c r="N88" s="34" t="s">
        <v>1849</v>
      </c>
      <c r="O88" s="35">
        <v>1</v>
      </c>
      <c r="P88" s="35"/>
      <c r="Q88" s="32"/>
      <c r="S88" s="1">
        <f t="shared" si="73"/>
        <v>1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0</v>
      </c>
      <c r="AA88" s="1">
        <f t="shared" si="81"/>
        <v>0</v>
      </c>
      <c r="AB88" s="1">
        <f t="shared" si="82"/>
        <v>0</v>
      </c>
      <c r="AD88" s="1">
        <f t="shared" si="83"/>
        <v>0</v>
      </c>
      <c r="AE88" s="1">
        <f t="shared" si="84"/>
        <v>1</v>
      </c>
      <c r="AF88" s="1">
        <f t="shared" si="69"/>
        <v>0</v>
      </c>
      <c r="AG88" s="1">
        <f t="shared" si="70"/>
        <v>1</v>
      </c>
      <c r="AH88" s="1">
        <f t="shared" si="71"/>
        <v>0</v>
      </c>
      <c r="AI88" s="1">
        <f t="shared" si="72"/>
        <v>1</v>
      </c>
    </row>
    <row r="89" spans="1:35" s="1" customFormat="1" ht="14.25" customHeight="1" x14ac:dyDescent="0.3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s="1" customFormat="1" ht="14.25" customHeight="1" x14ac:dyDescent="0.3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s="1" customFormat="1" ht="14.25" customHeight="1" x14ac:dyDescent="0.3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s="1" customFormat="1" ht="14.25" customHeight="1" x14ac:dyDescent="0.3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s="1" customFormat="1" ht="14.25" customHeight="1" x14ac:dyDescent="0.3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ref="S93:S95" si="85">IF(J93=$S$7,1,0)</f>
        <v>0</v>
      </c>
      <c r="T93" s="1">
        <f t="shared" ref="T93:T95" si="86">IF(J93=$T$7,1,0)</f>
        <v>0</v>
      </c>
      <c r="U93" s="1">
        <f t="shared" ref="U93:U95" si="87">IF(J93=$U$7,1,0)</f>
        <v>0</v>
      </c>
      <c r="V93" s="1">
        <f t="shared" ref="V93:V95" si="88">IF(J93=$V$7,1,0)</f>
        <v>0</v>
      </c>
      <c r="W93" s="1">
        <f t="shared" ref="W93:W95" si="89">IF(J93=$W$7,1,0)</f>
        <v>0</v>
      </c>
      <c r="X93" s="1">
        <f t="shared" ref="X93:X95" si="90">IF(J93=$X$7,1,0)</f>
        <v>0</v>
      </c>
      <c r="Y93" s="1">
        <f t="shared" ref="Y93:Y95" si="91">IF(J93=$Y$7,1,0)</f>
        <v>0</v>
      </c>
      <c r="Z93" s="1">
        <f t="shared" ref="Z93:Z95" si="92">IF(J93=$Z$7,1,0)</f>
        <v>0</v>
      </c>
      <c r="AA93" s="1">
        <f t="shared" ref="AA93:AA95" si="93">IF(J93=$AA$7,1,0)</f>
        <v>0</v>
      </c>
      <c r="AB93" s="1">
        <f t="shared" ref="AB93:AB95" si="94">IF(J93=$AB$7,1,0)</f>
        <v>0</v>
      </c>
      <c r="AD93" s="1">
        <f t="shared" ref="AD93:AD95" si="95">+O93*P93</f>
        <v>0</v>
      </c>
      <c r="AE93" s="1">
        <f t="shared" ref="AE93:AE95" si="96">O93*(1-P93)</f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s="1" customFormat="1" ht="14.25" customHeight="1" x14ac:dyDescent="0.3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si="85"/>
        <v>0</v>
      </c>
      <c r="T94" s="1">
        <f t="shared" si="86"/>
        <v>0</v>
      </c>
      <c r="U94" s="1">
        <f t="shared" si="87"/>
        <v>0</v>
      </c>
      <c r="V94" s="1">
        <f t="shared" si="88"/>
        <v>0</v>
      </c>
      <c r="W94" s="1">
        <f t="shared" si="89"/>
        <v>0</v>
      </c>
      <c r="X94" s="1">
        <f t="shared" si="90"/>
        <v>0</v>
      </c>
      <c r="Y94" s="1">
        <f t="shared" si="91"/>
        <v>0</v>
      </c>
      <c r="Z94" s="1">
        <f t="shared" si="92"/>
        <v>0</v>
      </c>
      <c r="AA94" s="1">
        <f t="shared" si="93"/>
        <v>0</v>
      </c>
      <c r="AB94" s="1">
        <f t="shared" si="94"/>
        <v>0</v>
      </c>
      <c r="AD94" s="1">
        <f t="shared" si="95"/>
        <v>1</v>
      </c>
      <c r="AE94" s="1">
        <f t="shared" si="96"/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s="1" customFormat="1" ht="14.25" customHeight="1" x14ac:dyDescent="0.3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s="1" customFormat="1" ht="14.25" customHeight="1" x14ac:dyDescent="0.3">
      <c r="A96" s="15">
        <v>0</v>
      </c>
      <c r="B96" s="15">
        <v>1</v>
      </c>
      <c r="C96" s="15">
        <v>3</v>
      </c>
      <c r="D96" s="16" t="s">
        <v>736</v>
      </c>
      <c r="E96" s="16" t="s">
        <v>1331</v>
      </c>
      <c r="F96" s="16" t="s">
        <v>1658</v>
      </c>
      <c r="G96" s="16" t="s">
        <v>39</v>
      </c>
      <c r="H96" s="16" t="s">
        <v>737</v>
      </c>
      <c r="I96" s="15" t="s">
        <v>738</v>
      </c>
      <c r="J96" s="15">
        <v>18</v>
      </c>
      <c r="K96" s="10" t="s">
        <v>702</v>
      </c>
      <c r="L96" s="10" t="s">
        <v>688</v>
      </c>
      <c r="M96" s="19" t="s">
        <v>970</v>
      </c>
      <c r="N96" s="17"/>
      <c r="Q96" s="16"/>
      <c r="S96" s="1">
        <f t="shared" si="73"/>
        <v>0</v>
      </c>
      <c r="T96" s="1">
        <f t="shared" si="74"/>
        <v>0</v>
      </c>
      <c r="U96" s="1">
        <f t="shared" si="75"/>
        <v>0</v>
      </c>
      <c r="V96" s="1">
        <f t="shared" si="76"/>
        <v>0</v>
      </c>
      <c r="W96" s="1">
        <f t="shared" si="77"/>
        <v>0</v>
      </c>
      <c r="X96" s="1">
        <f t="shared" si="78"/>
        <v>0</v>
      </c>
      <c r="Y96" s="1">
        <f t="shared" si="79"/>
        <v>0</v>
      </c>
      <c r="Z96" s="1">
        <f t="shared" si="80"/>
        <v>0</v>
      </c>
      <c r="AA96" s="1">
        <f t="shared" si="81"/>
        <v>0</v>
      </c>
      <c r="AB96" s="1">
        <f t="shared" si="82"/>
        <v>0</v>
      </c>
      <c r="AD96" s="1">
        <f t="shared" si="83"/>
        <v>0</v>
      </c>
      <c r="AE96" s="1">
        <f t="shared" si="84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s="1" customFormat="1" ht="14.25" customHeight="1" x14ac:dyDescent="0.3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s="1" customFormat="1" ht="14.25" customHeight="1" x14ac:dyDescent="0.3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ref="S98:S100" si="97">IF(J98=$S$7,1,0)</f>
        <v>0</v>
      </c>
      <c r="T98" s="1">
        <f t="shared" ref="T98:T100" si="98">IF(J98=$T$7,1,0)</f>
        <v>0</v>
      </c>
      <c r="U98" s="1">
        <f t="shared" ref="U98:U100" si="99">IF(J98=$U$7,1,0)</f>
        <v>0</v>
      </c>
      <c r="V98" s="1">
        <f t="shared" ref="V98:V100" si="100">IF(J98=$V$7,1,0)</f>
        <v>0</v>
      </c>
      <c r="W98" s="1">
        <f t="shared" ref="W98:W100" si="101">IF(J98=$W$7,1,0)</f>
        <v>0</v>
      </c>
      <c r="X98" s="1">
        <f t="shared" ref="X98:X100" si="102">IF(J98=$X$7,1,0)</f>
        <v>0</v>
      </c>
      <c r="Y98" s="1">
        <f t="shared" ref="Y98:Y100" si="103">IF(J98=$Y$7,1,0)</f>
        <v>0</v>
      </c>
      <c r="Z98" s="1">
        <f t="shared" ref="Z98:Z100" si="104">IF(J98=$Z$7,1,0)</f>
        <v>0</v>
      </c>
      <c r="AA98" s="1">
        <f t="shared" ref="AA98:AA100" si="105">IF(J98=$AA$7,1,0)</f>
        <v>0</v>
      </c>
      <c r="AB98" s="1">
        <f t="shared" ref="AB98:AB100" si="106">IF(J98=$AB$7,1,0)</f>
        <v>0</v>
      </c>
      <c r="AD98" s="1">
        <f t="shared" ref="AD98:AD100" si="107">+O98*P98</f>
        <v>0</v>
      </c>
      <c r="AE98" s="1">
        <f t="shared" ref="AE98:AE100" si="108">O98*(1-P98)</f>
        <v>1</v>
      </c>
      <c r="AF98" s="1">
        <f t="shared" ref="AF98:AF100" si="109">+O98*P98*(1-A98)</f>
        <v>0</v>
      </c>
      <c r="AG98" s="1">
        <f t="shared" ref="AG98:AG100" si="110">O98*(1-P98)*(1-A98)</f>
        <v>1</v>
      </c>
      <c r="AH98" s="1">
        <f t="shared" ref="AH98:AH100" si="111">+P98*(1-A98)</f>
        <v>0</v>
      </c>
      <c r="AI98" s="1">
        <f t="shared" ref="AI98:AI100" si="112">+(1-A98)*(1-P98)</f>
        <v>1</v>
      </c>
    </row>
    <row r="99" spans="1:35" s="1" customFormat="1" ht="14.25" customHeight="1" x14ac:dyDescent="0.3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si="97"/>
        <v>0</v>
      </c>
      <c r="T99" s="1">
        <f t="shared" si="98"/>
        <v>0</v>
      </c>
      <c r="U99" s="1">
        <f t="shared" si="99"/>
        <v>0</v>
      </c>
      <c r="V99" s="1">
        <f t="shared" si="100"/>
        <v>0</v>
      </c>
      <c r="W99" s="1">
        <f t="shared" si="101"/>
        <v>0</v>
      </c>
      <c r="X99" s="1">
        <f t="shared" si="102"/>
        <v>0</v>
      </c>
      <c r="Y99" s="1">
        <f t="shared" si="103"/>
        <v>1</v>
      </c>
      <c r="Z99" s="1">
        <f t="shared" si="104"/>
        <v>0</v>
      </c>
      <c r="AA99" s="1">
        <f t="shared" si="105"/>
        <v>0</v>
      </c>
      <c r="AB99" s="1">
        <f t="shared" si="106"/>
        <v>0</v>
      </c>
      <c r="AD99" s="1">
        <f t="shared" si="107"/>
        <v>1</v>
      </c>
      <c r="AE99" s="1">
        <f t="shared" si="108"/>
        <v>0</v>
      </c>
      <c r="AF99" s="1">
        <f t="shared" si="109"/>
        <v>1</v>
      </c>
      <c r="AG99" s="1">
        <f t="shared" si="110"/>
        <v>0</v>
      </c>
      <c r="AH99" s="1">
        <f t="shared" si="111"/>
        <v>1</v>
      </c>
      <c r="AI99" s="1">
        <f t="shared" si="112"/>
        <v>0</v>
      </c>
    </row>
    <row r="100" spans="1:35" s="1" customFormat="1" ht="14.25" customHeight="1" x14ac:dyDescent="0.3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s="1" customFormat="1" ht="14.25" customHeight="1" x14ac:dyDescent="0.3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73"/>
        <v>0</v>
      </c>
      <c r="T101" s="1">
        <f t="shared" si="74"/>
        <v>0</v>
      </c>
      <c r="U101" s="1">
        <f t="shared" si="75"/>
        <v>0</v>
      </c>
      <c r="V101" s="1">
        <f t="shared" si="76"/>
        <v>0</v>
      </c>
      <c r="W101" s="1">
        <f t="shared" si="77"/>
        <v>0</v>
      </c>
      <c r="X101" s="1">
        <f t="shared" si="78"/>
        <v>0</v>
      </c>
      <c r="Y101" s="1">
        <f t="shared" si="79"/>
        <v>0</v>
      </c>
      <c r="Z101" s="1">
        <f t="shared" si="80"/>
        <v>0</v>
      </c>
      <c r="AA101" s="1">
        <f t="shared" si="81"/>
        <v>0</v>
      </c>
      <c r="AB101" s="1">
        <f t="shared" si="82"/>
        <v>0</v>
      </c>
      <c r="AD101" s="1">
        <f t="shared" si="83"/>
        <v>0</v>
      </c>
      <c r="AE101" s="1">
        <f t="shared" si="84"/>
        <v>0</v>
      </c>
      <c r="AF101" s="1">
        <f t="shared" si="69"/>
        <v>0</v>
      </c>
      <c r="AG101" s="1">
        <f t="shared" si="70"/>
        <v>0</v>
      </c>
      <c r="AH101" s="1">
        <f t="shared" si="71"/>
        <v>0</v>
      </c>
      <c r="AI101" s="1">
        <f t="shared" si="72"/>
        <v>1</v>
      </c>
    </row>
    <row r="102" spans="1:35" s="1" customFormat="1" ht="14.25" customHeight="1" x14ac:dyDescent="0.3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s="1" customFormat="1" ht="14.25" customHeight="1" x14ac:dyDescent="0.3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s="1" customFormat="1" ht="14.25" customHeight="1" x14ac:dyDescent="0.3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s="1" customFormat="1" ht="14.25" customHeight="1" x14ac:dyDescent="0.3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s="1" customFormat="1" ht="14.25" customHeight="1" x14ac:dyDescent="0.3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s="1" customFormat="1" ht="14.25" customHeight="1" x14ac:dyDescent="0.3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s="1" customFormat="1" ht="14.25" customHeight="1" x14ac:dyDescent="0.3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s="1" customFormat="1" ht="14.25" customHeight="1" x14ac:dyDescent="0.3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s="1" customFormat="1" ht="14.25" customHeight="1" x14ac:dyDescent="0.3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s="1" customFormat="1" ht="14.25" customHeight="1" x14ac:dyDescent="0.3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s="1" customFormat="1" ht="14.25" customHeight="1" x14ac:dyDescent="0.3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s="1" customFormat="1" ht="14.25" customHeight="1" x14ac:dyDescent="0.3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s="1" customFormat="1" ht="14.25" customHeight="1" x14ac:dyDescent="0.3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s="1" customFormat="1" ht="14.25" customHeight="1" x14ac:dyDescent="0.3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s="1" customFormat="1" ht="14.25" customHeight="1" x14ac:dyDescent="0.3">
      <c r="A116" s="44">
        <v>0</v>
      </c>
      <c r="B116" s="44">
        <v>1</v>
      </c>
      <c r="C116" s="44">
        <v>3</v>
      </c>
      <c r="D116" s="45" t="s">
        <v>994</v>
      </c>
      <c r="E116" s="45" t="s">
        <v>170</v>
      </c>
      <c r="F116" s="45" t="s">
        <v>1093</v>
      </c>
      <c r="G116" s="45" t="s">
        <v>232</v>
      </c>
      <c r="H116" s="45" t="s">
        <v>354</v>
      </c>
      <c r="I116" s="44" t="s">
        <v>995</v>
      </c>
      <c r="J116" s="44">
        <v>99</v>
      </c>
      <c r="K116" s="46" t="s">
        <v>956</v>
      </c>
      <c r="L116" s="46">
        <v>40</v>
      </c>
      <c r="M116" s="47" t="s">
        <v>39</v>
      </c>
      <c r="N116" s="47" t="s">
        <v>1747</v>
      </c>
      <c r="O116" s="48"/>
      <c r="P116" s="48"/>
      <c r="Q116" s="45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0</v>
      </c>
      <c r="AF116" s="1">
        <f t="shared" si="69"/>
        <v>0</v>
      </c>
      <c r="AG116" s="1">
        <f t="shared" si="70"/>
        <v>0</v>
      </c>
      <c r="AH116" s="1">
        <f t="shared" si="71"/>
        <v>0</v>
      </c>
      <c r="AI116" s="1">
        <f t="shared" si="72"/>
        <v>1</v>
      </c>
    </row>
    <row r="117" spans="1:35" s="1" customFormat="1" ht="14.25" customHeight="1" x14ac:dyDescent="0.3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2041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s="1" customFormat="1" ht="14.25" customHeight="1" x14ac:dyDescent="0.3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s="1" customFormat="1" ht="14.25" customHeight="1" x14ac:dyDescent="0.3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s="1" customFormat="1" ht="14.25" customHeight="1" x14ac:dyDescent="0.3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s="1" customFormat="1" ht="14.25" customHeight="1" x14ac:dyDescent="0.3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s="1" customFormat="1" ht="14.25" customHeight="1" x14ac:dyDescent="0.3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s="1" customFormat="1" ht="14.25" customHeight="1" x14ac:dyDescent="0.3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s="1" customFormat="1" ht="14.25" customHeight="1" x14ac:dyDescent="0.3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s="1" customFormat="1" ht="14.25" customHeight="1" x14ac:dyDescent="0.3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s="1" customFormat="1" ht="14.25" customHeight="1" x14ac:dyDescent="0.3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s="1" customFormat="1" ht="14.25" customHeight="1" x14ac:dyDescent="0.3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s="1" customFormat="1" ht="14.25" customHeight="1" x14ac:dyDescent="0.3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s="1" customFormat="1" ht="14.25" customHeight="1" x14ac:dyDescent="0.3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s="1" customFormat="1" ht="14.25" customHeight="1" x14ac:dyDescent="0.3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s="1" customFormat="1" ht="14.25" customHeight="1" x14ac:dyDescent="0.3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s="1" customFormat="1" ht="14.25" customHeight="1" x14ac:dyDescent="0.3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s="1" customFormat="1" ht="14.25" customHeight="1" x14ac:dyDescent="0.3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s="1" customFormat="1" ht="14.25" customHeight="1" x14ac:dyDescent="0.3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s="1" customFormat="1" ht="14.25" customHeight="1" x14ac:dyDescent="0.3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s="1" customFormat="1" ht="14.25" customHeight="1" x14ac:dyDescent="0.3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s="1" customFormat="1" ht="14.25" customHeight="1" x14ac:dyDescent="0.3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s="1" customFormat="1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s="1" customFormat="1" ht="14.25" customHeight="1" x14ac:dyDescent="0.3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ref="AF139:AF206" si="113">+O139*P139*(1-A139)</f>
        <v>0</v>
      </c>
      <c r="AG139" s="1">
        <f t="shared" ref="AG139:AG206" si="114">O139*(1-P139)*(1-A139)</f>
        <v>0</v>
      </c>
      <c r="AH139" s="1">
        <f t="shared" ref="AH139:AH206" si="115">+P139*(1-A139)</f>
        <v>0</v>
      </c>
      <c r="AI139" s="1">
        <f t="shared" ref="AI139:AI206" si="116">+(1-A139)*(1-P139)</f>
        <v>1</v>
      </c>
    </row>
    <row r="140" spans="1:35" s="1" customFormat="1" ht="14.25" customHeight="1" x14ac:dyDescent="0.3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si="113"/>
        <v>1</v>
      </c>
      <c r="AG140" s="1">
        <f t="shared" si="114"/>
        <v>0</v>
      </c>
      <c r="AH140" s="1">
        <f t="shared" si="115"/>
        <v>1</v>
      </c>
      <c r="AI140" s="1">
        <f t="shared" si="116"/>
        <v>0</v>
      </c>
    </row>
    <row r="141" spans="1:35" s="1" customFormat="1" ht="14.25" customHeight="1" x14ac:dyDescent="0.3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s="1" customFormat="1" ht="14.25" customHeight="1" x14ac:dyDescent="0.3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s="1" customFormat="1" ht="14.25" customHeight="1" x14ac:dyDescent="0.3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s="1" customFormat="1" ht="14.25" customHeight="1" x14ac:dyDescent="0.3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ref="S144:S211" si="117">IF(J144=$S$7,1,0)</f>
        <v>0</v>
      </c>
      <c r="T144" s="1">
        <f t="shared" ref="T144:T211" si="118">IF(J144=$T$7,1,0)</f>
        <v>0</v>
      </c>
      <c r="U144" s="1">
        <f t="shared" ref="U144:U211" si="119">IF(J144=$U$7,1,0)</f>
        <v>0</v>
      </c>
      <c r="V144" s="1">
        <f t="shared" ref="V144:V211" si="120">IF(J144=$V$7,1,0)</f>
        <v>0</v>
      </c>
      <c r="W144" s="1">
        <f t="shared" ref="W144:W211" si="121">IF(J144=$W$7,1,0)</f>
        <v>0</v>
      </c>
      <c r="X144" s="1">
        <f t="shared" ref="X144:X211" si="122">IF(J144=$X$7,1,0)</f>
        <v>0</v>
      </c>
      <c r="Y144" s="1">
        <f t="shared" ref="Y144:Y211" si="123">IF(J144=$Y$7,1,0)</f>
        <v>0</v>
      </c>
      <c r="Z144" s="1">
        <f t="shared" ref="Z144:Z211" si="124">IF(J144=$Z$7,1,0)</f>
        <v>0</v>
      </c>
      <c r="AA144" s="1">
        <f t="shared" ref="AA144:AA211" si="125">IF(J144=$AA$7,1,0)</f>
        <v>0</v>
      </c>
      <c r="AB144" s="1">
        <f t="shared" ref="AB144:AB211" si="126">IF(J144=$AB$7,1,0)</f>
        <v>0</v>
      </c>
      <c r="AD144" s="1">
        <f t="shared" ref="AD144:AD211" si="127">+O144*P144</f>
        <v>0</v>
      </c>
      <c r="AE144" s="1">
        <f t="shared" ref="AE144:AE211" si="128">O144*(1-P144)</f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s="1" customFormat="1" ht="14.25" customHeight="1" x14ac:dyDescent="0.3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si="117"/>
        <v>0</v>
      </c>
      <c r="T145" s="1">
        <f t="shared" si="118"/>
        <v>0</v>
      </c>
      <c r="U145" s="1">
        <f t="shared" si="119"/>
        <v>0</v>
      </c>
      <c r="V145" s="1">
        <f t="shared" si="120"/>
        <v>0</v>
      </c>
      <c r="W145" s="1">
        <f t="shared" si="121"/>
        <v>0</v>
      </c>
      <c r="X145" s="1">
        <f t="shared" si="122"/>
        <v>0</v>
      </c>
      <c r="Y145" s="1">
        <f t="shared" si="123"/>
        <v>0</v>
      </c>
      <c r="Z145" s="1">
        <f t="shared" si="124"/>
        <v>0</v>
      </c>
      <c r="AA145" s="1">
        <f t="shared" si="125"/>
        <v>0</v>
      </c>
      <c r="AB145" s="1">
        <f t="shared" si="126"/>
        <v>0</v>
      </c>
      <c r="AD145" s="1">
        <f t="shared" si="127"/>
        <v>0</v>
      </c>
      <c r="AE145" s="1">
        <f t="shared" si="128"/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s="1" customFormat="1" ht="14.25" customHeight="1" x14ac:dyDescent="0.3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s="1" customFormat="1" ht="14.25" customHeight="1" x14ac:dyDescent="0.3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s="1" customFormat="1" ht="14.25" customHeight="1" x14ac:dyDescent="0.3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s="1" customFormat="1" ht="14.25" customHeight="1" x14ac:dyDescent="0.3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s="1" customFormat="1" ht="14.25" customHeight="1" x14ac:dyDescent="0.3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s="1" customFormat="1" ht="14.25" customHeight="1" x14ac:dyDescent="0.3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s="1" customFormat="1" ht="14.25" customHeight="1" x14ac:dyDescent="0.3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s="1" customFormat="1" ht="14.25" customHeight="1" x14ac:dyDescent="0.3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s="1" customFormat="1" ht="14.25" customHeight="1" x14ac:dyDescent="0.3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s="1" customFormat="1" ht="14.25" customHeight="1" x14ac:dyDescent="0.3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s="1" customFormat="1" ht="14.25" customHeight="1" x14ac:dyDescent="0.3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ref="S156:S160" si="129">IF(J156=$S$7,1,0)</f>
        <v>0</v>
      </c>
      <c r="T156" s="1">
        <f t="shared" ref="T156:T160" si="130">IF(J156=$T$7,1,0)</f>
        <v>0</v>
      </c>
      <c r="U156" s="1">
        <f t="shared" ref="U156:U160" si="131">IF(J156=$U$7,1,0)</f>
        <v>0</v>
      </c>
      <c r="V156" s="1">
        <f t="shared" ref="V156:V160" si="132">IF(J156=$V$7,1,0)</f>
        <v>0</v>
      </c>
      <c r="W156" s="1">
        <f t="shared" ref="W156:W160" si="133">IF(J156=$W$7,1,0)</f>
        <v>0</v>
      </c>
      <c r="X156" s="1">
        <f t="shared" ref="X156:X160" si="134">IF(J156=$X$7,1,0)</f>
        <v>0</v>
      </c>
      <c r="Y156" s="1">
        <f t="shared" ref="Y156:Y160" si="135">IF(J156=$Y$7,1,0)</f>
        <v>0</v>
      </c>
      <c r="Z156" s="1">
        <f t="shared" ref="Z156:Z160" si="136">IF(J156=$Z$7,1,0)</f>
        <v>0</v>
      </c>
      <c r="AA156" s="1">
        <f t="shared" ref="AA156:AA160" si="137">IF(J156=$AA$7,1,0)</f>
        <v>0</v>
      </c>
      <c r="AB156" s="1">
        <f t="shared" ref="AB156:AB160" si="138">IF(J156=$AB$7,1,0)</f>
        <v>0</v>
      </c>
      <c r="AD156" s="1">
        <f t="shared" ref="AD156:AD160" si="139">+O156*P156</f>
        <v>0</v>
      </c>
      <c r="AE156" s="1">
        <f t="shared" ref="AE156:AE160" si="140">O156*(1-P156)</f>
        <v>0</v>
      </c>
      <c r="AF156" s="1">
        <f t="shared" ref="AF156:AF160" si="141">+O156*P156*(1-A156)</f>
        <v>0</v>
      </c>
      <c r="AG156" s="1">
        <f t="shared" ref="AG156:AG160" si="142">O156*(1-P156)*(1-A156)</f>
        <v>0</v>
      </c>
      <c r="AH156" s="1">
        <f t="shared" ref="AH156:AH160" si="143">+P156*(1-A156)</f>
        <v>0</v>
      </c>
      <c r="AI156" s="1">
        <f t="shared" ref="AI156:AI160" si="144">+(1-A156)*(1-P156)</f>
        <v>1</v>
      </c>
    </row>
    <row r="157" spans="1:35" s="1" customFormat="1" ht="14.25" customHeight="1" x14ac:dyDescent="0.3">
      <c r="A157" s="44">
        <v>0</v>
      </c>
      <c r="B157" s="44">
        <v>1</v>
      </c>
      <c r="C157" s="44">
        <v>3</v>
      </c>
      <c r="D157" s="45" t="s">
        <v>123</v>
      </c>
      <c r="E157" s="45" t="s">
        <v>175</v>
      </c>
      <c r="F157" s="45" t="s">
        <v>324</v>
      </c>
      <c r="G157" s="45" t="s">
        <v>39</v>
      </c>
      <c r="H157" s="45" t="s">
        <v>363</v>
      </c>
      <c r="I157" s="44" t="s">
        <v>470</v>
      </c>
      <c r="J157" s="44">
        <v>14</v>
      </c>
      <c r="K157" s="46" t="s">
        <v>722</v>
      </c>
      <c r="L157" s="46" t="s">
        <v>693</v>
      </c>
      <c r="M157" s="47" t="s">
        <v>1379</v>
      </c>
      <c r="N157" s="47" t="s">
        <v>1809</v>
      </c>
      <c r="O157" s="48"/>
      <c r="P157" s="48"/>
      <c r="Q157" s="45"/>
      <c r="S157" s="1">
        <f t="shared" si="129"/>
        <v>0</v>
      </c>
      <c r="T157" s="1">
        <f t="shared" si="130"/>
        <v>0</v>
      </c>
      <c r="U157" s="1">
        <f t="shared" si="131"/>
        <v>0</v>
      </c>
      <c r="V157" s="1">
        <f t="shared" si="132"/>
        <v>0</v>
      </c>
      <c r="W157" s="1">
        <f t="shared" si="133"/>
        <v>0</v>
      </c>
      <c r="X157" s="1">
        <f t="shared" si="134"/>
        <v>0</v>
      </c>
      <c r="Y157" s="1">
        <f t="shared" si="135"/>
        <v>0</v>
      </c>
      <c r="Z157" s="1">
        <f t="shared" si="136"/>
        <v>0</v>
      </c>
      <c r="AA157" s="1">
        <f t="shared" si="137"/>
        <v>0</v>
      </c>
      <c r="AB157" s="1">
        <f t="shared" si="138"/>
        <v>0</v>
      </c>
      <c r="AD157" s="1">
        <f t="shared" si="139"/>
        <v>0</v>
      </c>
      <c r="AE157" s="1">
        <f t="shared" si="140"/>
        <v>0</v>
      </c>
      <c r="AF157" s="1">
        <f t="shared" si="141"/>
        <v>0</v>
      </c>
      <c r="AG157" s="1">
        <f t="shared" si="142"/>
        <v>0</v>
      </c>
      <c r="AH157" s="1">
        <f t="shared" si="143"/>
        <v>0</v>
      </c>
      <c r="AI157" s="1">
        <f t="shared" si="144"/>
        <v>1</v>
      </c>
    </row>
    <row r="158" spans="1:35" s="1" customFormat="1" ht="14.25" customHeight="1" x14ac:dyDescent="0.3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s="1" customFormat="1" ht="14.25" customHeight="1" x14ac:dyDescent="0.3">
      <c r="A159" s="31">
        <v>0</v>
      </c>
      <c r="B159" s="31">
        <v>1</v>
      </c>
      <c r="C159" s="31">
        <v>3</v>
      </c>
      <c r="D159" s="32" t="s">
        <v>2042</v>
      </c>
      <c r="E159" s="32" t="s">
        <v>172</v>
      </c>
      <c r="F159" s="32" t="s">
        <v>2043</v>
      </c>
      <c r="G159" s="32"/>
      <c r="H159" s="32" t="s">
        <v>354</v>
      </c>
      <c r="I159" s="31" t="s">
        <v>2044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2045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s="1" customFormat="1" ht="14.25" customHeight="1" x14ac:dyDescent="0.3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s="1" customFormat="1" ht="14.25" customHeight="1" x14ac:dyDescent="0.3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17"/>
        <v>0</v>
      </c>
      <c r="T161" s="1">
        <f t="shared" si="118"/>
        <v>0</v>
      </c>
      <c r="U161" s="1">
        <f t="shared" si="119"/>
        <v>0</v>
      </c>
      <c r="V161" s="1">
        <f t="shared" si="120"/>
        <v>0</v>
      </c>
      <c r="W161" s="1">
        <f t="shared" si="121"/>
        <v>0</v>
      </c>
      <c r="X161" s="1">
        <f t="shared" si="122"/>
        <v>0</v>
      </c>
      <c r="Y161" s="1">
        <f t="shared" si="123"/>
        <v>0</v>
      </c>
      <c r="Z161" s="1">
        <f t="shared" si="124"/>
        <v>0</v>
      </c>
      <c r="AA161" s="1">
        <f t="shared" si="125"/>
        <v>0</v>
      </c>
      <c r="AB161" s="1">
        <f t="shared" si="126"/>
        <v>0</v>
      </c>
      <c r="AD161" s="1">
        <f t="shared" si="127"/>
        <v>0</v>
      </c>
      <c r="AE161" s="1">
        <f t="shared" si="128"/>
        <v>0</v>
      </c>
      <c r="AF161" s="1">
        <f t="shared" si="113"/>
        <v>0</v>
      </c>
      <c r="AG161" s="1">
        <f t="shared" si="114"/>
        <v>0</v>
      </c>
      <c r="AH161" s="1">
        <f t="shared" si="115"/>
        <v>0</v>
      </c>
      <c r="AI161" s="1">
        <f t="shared" si="116"/>
        <v>1</v>
      </c>
    </row>
    <row r="162" spans="1:35" s="1" customFormat="1" ht="14.25" customHeight="1" x14ac:dyDescent="0.3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s="1" customFormat="1" ht="14.25" customHeight="1" x14ac:dyDescent="0.3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s="1" customFormat="1" ht="14.25" customHeight="1" x14ac:dyDescent="0.3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s="1" customFormat="1" ht="14.25" customHeight="1" x14ac:dyDescent="0.3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s="1" customFormat="1" ht="14.25" customHeight="1" x14ac:dyDescent="0.3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s="1" customFormat="1" ht="14.25" customHeight="1" x14ac:dyDescent="0.3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s="1" customFormat="1" ht="14.25" customHeight="1" x14ac:dyDescent="0.3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s="1" customFormat="1" ht="14.25" customHeight="1" x14ac:dyDescent="0.3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ref="S169:S170" si="145">IF(J169=$S$7,1,0)</f>
        <v>0</v>
      </c>
      <c r="T169" s="1">
        <f t="shared" ref="T169:T170" si="146">IF(J169=$T$7,1,0)</f>
        <v>0</v>
      </c>
      <c r="U169" s="1">
        <f t="shared" ref="U169:U170" si="147">IF(J169=$U$7,1,0)</f>
        <v>0</v>
      </c>
      <c r="V169" s="1">
        <f t="shared" ref="V169:V170" si="148">IF(J169=$V$7,1,0)</f>
        <v>0</v>
      </c>
      <c r="W169" s="1">
        <f t="shared" ref="W169:W170" si="149">IF(J169=$W$7,1,0)</f>
        <v>0</v>
      </c>
      <c r="X169" s="1">
        <f t="shared" ref="X169:X170" si="150">IF(J169=$X$7,1,0)</f>
        <v>0</v>
      </c>
      <c r="Y169" s="1">
        <f t="shared" ref="Y169:Y170" si="151">IF(J169=$Y$7,1,0)</f>
        <v>0</v>
      </c>
      <c r="Z169" s="1">
        <f t="shared" ref="Z169:Z170" si="152">IF(J169=$Z$7,1,0)</f>
        <v>0</v>
      </c>
      <c r="AA169" s="1">
        <f t="shared" ref="AA169:AA170" si="153">IF(J169=$AA$7,1,0)</f>
        <v>0</v>
      </c>
      <c r="AB169" s="1">
        <f t="shared" ref="AB169:AB170" si="154">IF(J169=$AB$7,1,0)</f>
        <v>0</v>
      </c>
      <c r="AD169" s="1">
        <f t="shared" ref="AD169:AD170" si="155">+O169*P169</f>
        <v>0</v>
      </c>
      <c r="AE169" s="1">
        <f t="shared" ref="AE169:AE170" si="156">O169*(1-P169)</f>
        <v>0</v>
      </c>
      <c r="AF169" s="1">
        <f t="shared" ref="AF169:AF170" si="157">+O169*P169*(1-A169)</f>
        <v>0</v>
      </c>
      <c r="AG169" s="1">
        <f t="shared" ref="AG169:AG170" si="158">O169*(1-P169)*(1-A169)</f>
        <v>0</v>
      </c>
      <c r="AH169" s="1">
        <f t="shared" ref="AH169:AH170" si="159">+P169*(1-A169)</f>
        <v>0</v>
      </c>
      <c r="AI169" s="1">
        <f t="shared" ref="AI169:AI170" si="160">+(1-A169)*(1-P169)</f>
        <v>1</v>
      </c>
    </row>
    <row r="170" spans="1:35" s="1" customFormat="1" ht="14.25" customHeight="1" x14ac:dyDescent="0.3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s="1" customFormat="1" ht="14.25" customHeight="1" x14ac:dyDescent="0.3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17"/>
        <v>0</v>
      </c>
      <c r="T171" s="1">
        <f t="shared" si="118"/>
        <v>0</v>
      </c>
      <c r="U171" s="1">
        <f t="shared" si="119"/>
        <v>0</v>
      </c>
      <c r="V171" s="1">
        <f t="shared" si="120"/>
        <v>0</v>
      </c>
      <c r="W171" s="1">
        <f t="shared" si="121"/>
        <v>0</v>
      </c>
      <c r="X171" s="1">
        <f t="shared" si="122"/>
        <v>0</v>
      </c>
      <c r="Y171" s="1">
        <f t="shared" si="123"/>
        <v>0</v>
      </c>
      <c r="Z171" s="1">
        <f t="shared" si="124"/>
        <v>0</v>
      </c>
      <c r="AA171" s="1">
        <f t="shared" si="125"/>
        <v>0</v>
      </c>
      <c r="AB171" s="1">
        <f t="shared" si="126"/>
        <v>0</v>
      </c>
      <c r="AD171" s="1">
        <f t="shared" si="127"/>
        <v>1</v>
      </c>
      <c r="AE171" s="1">
        <f t="shared" si="128"/>
        <v>0</v>
      </c>
      <c r="AF171" s="1">
        <f t="shared" si="113"/>
        <v>1</v>
      </c>
      <c r="AG171" s="1">
        <f t="shared" si="114"/>
        <v>0</v>
      </c>
      <c r="AH171" s="1">
        <f t="shared" si="115"/>
        <v>1</v>
      </c>
      <c r="AI171" s="1">
        <f t="shared" si="116"/>
        <v>0</v>
      </c>
    </row>
    <row r="172" spans="1:35" s="1" customFormat="1" ht="14.25" customHeight="1" x14ac:dyDescent="0.3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s="1" customFormat="1" ht="14.25" customHeight="1" x14ac:dyDescent="0.3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s="1" customFormat="1" ht="14.25" customHeight="1" x14ac:dyDescent="0.3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s="1" customFormat="1" ht="14.25" customHeight="1" x14ac:dyDescent="0.3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s="1" customFormat="1" ht="14.25" customHeight="1" x14ac:dyDescent="0.3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s="1" customFormat="1" ht="14.25" customHeight="1" x14ac:dyDescent="0.3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s="1" customFormat="1" ht="14.25" customHeight="1" x14ac:dyDescent="0.3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s="1" customFormat="1" ht="14.25" customHeight="1" x14ac:dyDescent="0.3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s="1" customFormat="1" ht="14.25" customHeight="1" x14ac:dyDescent="0.3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s="1" customFormat="1" ht="14.25" customHeight="1" x14ac:dyDescent="0.3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s="1" customFormat="1" ht="14.25" customHeight="1" x14ac:dyDescent="0.3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s="1" customFormat="1" ht="14.25" customHeight="1" x14ac:dyDescent="0.3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s="1" customFormat="1" ht="14.25" customHeight="1" x14ac:dyDescent="0.3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s="1" customFormat="1" ht="14.25" customHeight="1" x14ac:dyDescent="0.3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s="1" customFormat="1" ht="14.25" customHeight="1" x14ac:dyDescent="0.3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s="1" customFormat="1" ht="14.25" customHeight="1" x14ac:dyDescent="0.3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ref="AD187:AD191" si="161">+O187*P187</f>
        <v>1</v>
      </c>
      <c r="AE187" s="1">
        <f t="shared" ref="AE187:AE191" si="162">O187*(1-P187)</f>
        <v>0</v>
      </c>
      <c r="AF187" s="1">
        <f t="shared" ref="AF187:AF191" si="163">+O187*P187*(1-A187)</f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s="1" customFormat="1" ht="14.25" customHeight="1" x14ac:dyDescent="0.3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si="161"/>
        <v>0</v>
      </c>
      <c r="AE188" s="1">
        <f t="shared" si="162"/>
        <v>0</v>
      </c>
      <c r="AF188" s="1">
        <f t="shared" si="16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s="1" customFormat="1" ht="14.25" customHeight="1" x14ac:dyDescent="0.3">
      <c r="A189" s="31">
        <v>0</v>
      </c>
      <c r="B189" s="31">
        <v>1</v>
      </c>
      <c r="C189" s="31">
        <v>5</v>
      </c>
      <c r="D189" s="32" t="s">
        <v>1997</v>
      </c>
      <c r="E189" s="32" t="s">
        <v>166</v>
      </c>
      <c r="F189" s="32" t="s">
        <v>1998</v>
      </c>
      <c r="G189" s="32" t="s">
        <v>2001</v>
      </c>
      <c r="H189" s="32" t="s">
        <v>354</v>
      </c>
      <c r="I189" s="31" t="s">
        <v>1999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2000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s="1" customFormat="1" ht="14.25" customHeight="1" x14ac:dyDescent="0.3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s="1" customFormat="1" ht="13.95" customHeight="1" x14ac:dyDescent="0.3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s="1" customFormat="1" ht="14.25" customHeight="1" x14ac:dyDescent="0.3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27"/>
        <v>0</v>
      </c>
      <c r="AE192" s="1">
        <f t="shared" si="128"/>
        <v>0</v>
      </c>
      <c r="AF192" s="1">
        <f t="shared" si="11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s="1" customFormat="1" ht="14.25" customHeight="1" x14ac:dyDescent="0.3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ref="AD193:AD194" si="164">+O193*P193</f>
        <v>0</v>
      </c>
      <c r="AE193" s="1">
        <f t="shared" ref="AE193:AE194" si="165">O193*(1-P193)</f>
        <v>0</v>
      </c>
      <c r="AF193" s="1">
        <f t="shared" ref="AF193:AF194" si="166">+O193*P193*(1-A193)</f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s="1" customFormat="1" ht="14.25" customHeight="1" x14ac:dyDescent="0.3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si="164"/>
        <v>0</v>
      </c>
      <c r="AE194" s="1">
        <f t="shared" si="165"/>
        <v>0</v>
      </c>
      <c r="AF194" s="1">
        <f t="shared" si="166"/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s="1" customFormat="1" ht="14.25" customHeight="1" x14ac:dyDescent="0.3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27"/>
        <v>1</v>
      </c>
      <c r="AE195" s="1">
        <f t="shared" si="128"/>
        <v>0</v>
      </c>
      <c r="AF195" s="1">
        <f t="shared" si="113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s="1" customFormat="1" ht="14.25" customHeight="1" x14ac:dyDescent="0.3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s="1" customFormat="1" ht="14.25" customHeight="1" x14ac:dyDescent="0.3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s="1" customFormat="1" ht="14.25" customHeight="1" x14ac:dyDescent="0.3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s="1" customFormat="1" ht="14.25" customHeight="1" x14ac:dyDescent="0.3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s="1" customFormat="1" ht="14.25" customHeight="1" x14ac:dyDescent="0.3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s="1" customFormat="1" ht="14.25" customHeight="1" x14ac:dyDescent="0.3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s="1" customFormat="1" ht="14.25" customHeight="1" x14ac:dyDescent="0.3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s="1" customFormat="1" ht="14.25" customHeight="1" x14ac:dyDescent="0.3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s="1" customFormat="1" ht="14.25" customHeight="1" x14ac:dyDescent="0.3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s="1" customFormat="1" ht="14.25" customHeight="1" x14ac:dyDescent="0.3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s="1" customFormat="1" ht="14.25" customHeight="1" x14ac:dyDescent="0.3">
      <c r="A206" s="15">
        <v>0</v>
      </c>
      <c r="B206" s="15">
        <v>1</v>
      </c>
      <c r="C206" s="15">
        <v>5</v>
      </c>
      <c r="D206" s="16" t="s">
        <v>111</v>
      </c>
      <c r="E206" s="16" t="s">
        <v>172</v>
      </c>
      <c r="F206" s="16" t="s">
        <v>310</v>
      </c>
      <c r="G206" s="16" t="s">
        <v>39</v>
      </c>
      <c r="H206" s="16" t="s">
        <v>364</v>
      </c>
      <c r="I206" s="15" t="s">
        <v>459</v>
      </c>
      <c r="J206" s="15">
        <v>17</v>
      </c>
      <c r="K206" s="10" t="s">
        <v>703</v>
      </c>
      <c r="L206" s="10" t="s">
        <v>697</v>
      </c>
      <c r="M206" s="19" t="s">
        <v>691</v>
      </c>
      <c r="N206" s="17"/>
      <c r="Q206" s="20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s="1" customFormat="1" ht="14.25" customHeight="1" x14ac:dyDescent="0.3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ref="AF207:AF272" si="167">+O207*P207*(1-A207)</f>
        <v>1</v>
      </c>
      <c r="AG207" s="1">
        <f t="shared" ref="AG207:AG272" si="168">O207*(1-P207)*(1-A207)</f>
        <v>0</v>
      </c>
      <c r="AH207" s="1">
        <f t="shared" ref="AH207:AH272" si="169">+P207*(1-A207)</f>
        <v>1</v>
      </c>
      <c r="AI207" s="1">
        <f t="shared" ref="AI207:AI272" si="170">+(1-A207)*(1-P207)</f>
        <v>0</v>
      </c>
    </row>
    <row r="208" spans="1:35" s="1" customFormat="1" ht="14.25" customHeight="1" x14ac:dyDescent="0.3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si="167"/>
        <v>1</v>
      </c>
      <c r="AG208" s="1">
        <f t="shared" si="168"/>
        <v>0</v>
      </c>
      <c r="AH208" s="1">
        <f t="shared" si="169"/>
        <v>1</v>
      </c>
      <c r="AI208" s="1">
        <f t="shared" si="170"/>
        <v>0</v>
      </c>
    </row>
    <row r="209" spans="1:35" s="1" customFormat="1" ht="14.25" customHeight="1" x14ac:dyDescent="0.3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s="1" customFormat="1" ht="14.25" customHeight="1" x14ac:dyDescent="0.3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s="1" customFormat="1" ht="14.25" customHeight="1" x14ac:dyDescent="0.3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s="1" customFormat="1" ht="14.25" customHeight="1" x14ac:dyDescent="0.3">
      <c r="A212" s="38">
        <v>0</v>
      </c>
      <c r="B212" s="38">
        <v>1</v>
      </c>
      <c r="C212" s="38">
        <v>5</v>
      </c>
      <c r="D212" s="39" t="s">
        <v>147</v>
      </c>
      <c r="E212" s="39" t="s">
        <v>545</v>
      </c>
      <c r="F212" s="39" t="s">
        <v>1599</v>
      </c>
      <c r="G212" s="39" t="s">
        <v>1673</v>
      </c>
      <c r="H212" s="39" t="s">
        <v>354</v>
      </c>
      <c r="I212" s="38" t="s">
        <v>494</v>
      </c>
      <c r="J212" s="38">
        <v>99</v>
      </c>
      <c r="K212" s="40" t="s">
        <v>702</v>
      </c>
      <c r="L212" s="40" t="s">
        <v>689</v>
      </c>
      <c r="M212" s="41" t="s">
        <v>970</v>
      </c>
      <c r="N212" s="42"/>
      <c r="O212" s="43"/>
      <c r="P212" s="43">
        <v>1</v>
      </c>
      <c r="Q212" s="39"/>
      <c r="S212" s="1">
        <f t="shared" ref="S212:S276" si="171">IF(J212=$S$7,1,0)</f>
        <v>0</v>
      </c>
      <c r="T212" s="1">
        <f t="shared" ref="T212:T276" si="172">IF(J212=$T$7,1,0)</f>
        <v>0</v>
      </c>
      <c r="U212" s="1">
        <f t="shared" ref="U212:U276" si="173">IF(J212=$U$7,1,0)</f>
        <v>0</v>
      </c>
      <c r="V212" s="1">
        <f t="shared" ref="V212:V276" si="174">IF(J212=$V$7,1,0)</f>
        <v>0</v>
      </c>
      <c r="W212" s="1">
        <f t="shared" ref="W212:W276" si="175">IF(J212=$W$7,1,0)</f>
        <v>0</v>
      </c>
      <c r="X212" s="1">
        <f t="shared" ref="X212:X276" si="176">IF(J212=$X$7,1,0)</f>
        <v>0</v>
      </c>
      <c r="Y212" s="1">
        <f t="shared" ref="Y212:Y276" si="177">IF(J212=$Y$7,1,0)</f>
        <v>0</v>
      </c>
      <c r="Z212" s="1">
        <f t="shared" ref="Z212:Z276" si="178">IF(J212=$Z$7,1,0)</f>
        <v>0</v>
      </c>
      <c r="AA212" s="1">
        <f t="shared" ref="AA212:AA276" si="179">IF(J212=$AA$7,1,0)</f>
        <v>0</v>
      </c>
      <c r="AB212" s="1">
        <f t="shared" ref="AB212:AB276" si="180">IF(J212=$AB$7,1,0)</f>
        <v>0</v>
      </c>
      <c r="AD212" s="1">
        <f t="shared" ref="AD212:AD276" si="181">+O212*P212</f>
        <v>0</v>
      </c>
      <c r="AE212" s="1">
        <f t="shared" ref="AE212:AE276" si="182">O212*(1-P212)</f>
        <v>0</v>
      </c>
      <c r="AF212" s="1">
        <f t="shared" si="167"/>
        <v>0</v>
      </c>
      <c r="AG212" s="1">
        <f t="shared" si="168"/>
        <v>0</v>
      </c>
      <c r="AH212" s="1">
        <f t="shared" si="169"/>
        <v>1</v>
      </c>
      <c r="AI212" s="1">
        <f t="shared" si="170"/>
        <v>0</v>
      </c>
    </row>
    <row r="213" spans="1:35" s="1" customFormat="1" ht="14.25" customHeight="1" x14ac:dyDescent="0.3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si="171"/>
        <v>0</v>
      </c>
      <c r="T213" s="1">
        <f t="shared" si="172"/>
        <v>0</v>
      </c>
      <c r="U213" s="1">
        <f t="shared" si="173"/>
        <v>0</v>
      </c>
      <c r="V213" s="1">
        <f t="shared" si="174"/>
        <v>0</v>
      </c>
      <c r="W213" s="1">
        <f t="shared" si="175"/>
        <v>0</v>
      </c>
      <c r="X213" s="1">
        <f t="shared" si="176"/>
        <v>0</v>
      </c>
      <c r="Y213" s="1">
        <f t="shared" si="177"/>
        <v>0</v>
      </c>
      <c r="Z213" s="1">
        <f t="shared" si="178"/>
        <v>0</v>
      </c>
      <c r="AA213" s="1">
        <f t="shared" si="179"/>
        <v>0</v>
      </c>
      <c r="AB213" s="1">
        <f t="shared" si="180"/>
        <v>0</v>
      </c>
      <c r="AD213" s="1">
        <f t="shared" si="181"/>
        <v>0</v>
      </c>
      <c r="AE213" s="1">
        <f t="shared" si="182"/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s="1" customFormat="1" ht="14.25" customHeight="1" x14ac:dyDescent="0.3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s="1" customFormat="1" ht="14.25" customHeight="1" x14ac:dyDescent="0.3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s="1" customFormat="1" ht="14.25" customHeight="1" x14ac:dyDescent="0.3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s="1" customFormat="1" ht="14.25" customHeight="1" x14ac:dyDescent="0.3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s="1" customFormat="1" ht="14.25" customHeight="1" x14ac:dyDescent="0.3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s="1" customFormat="1" ht="14.25" customHeight="1" x14ac:dyDescent="0.3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s="1" customFormat="1" ht="14.25" customHeight="1" x14ac:dyDescent="0.3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s="1" customFormat="1" ht="14.25" customHeight="1" x14ac:dyDescent="0.3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s="1" customFormat="1" ht="14.25" customHeight="1" x14ac:dyDescent="0.3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s="1" customFormat="1" ht="14.25" customHeight="1" x14ac:dyDescent="0.3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s="1" customFormat="1" ht="14.25" customHeight="1" x14ac:dyDescent="0.3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s="1" customFormat="1" ht="14.25" customHeight="1" x14ac:dyDescent="0.3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s="1" customFormat="1" ht="14.25" customHeight="1" x14ac:dyDescent="0.3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s="1" customFormat="1" ht="14.25" customHeight="1" x14ac:dyDescent="0.3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s="1" customFormat="1" ht="14.25" customHeight="1" x14ac:dyDescent="0.3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s="1" customFormat="1" ht="14.25" customHeight="1" x14ac:dyDescent="0.3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R229" s="15"/>
      <c r="S229" s="15">
        <f t="shared" si="171"/>
        <v>0</v>
      </c>
      <c r="T229" s="15">
        <f t="shared" si="172"/>
        <v>0</v>
      </c>
      <c r="U229" s="15">
        <f t="shared" si="173"/>
        <v>0</v>
      </c>
      <c r="V229" s="15">
        <f t="shared" si="174"/>
        <v>0</v>
      </c>
      <c r="W229" s="15">
        <f t="shared" si="175"/>
        <v>0</v>
      </c>
      <c r="X229" s="15">
        <f t="shared" si="176"/>
        <v>0</v>
      </c>
      <c r="Y229" s="15">
        <f t="shared" si="177"/>
        <v>0</v>
      </c>
      <c r="Z229" s="15">
        <f t="shared" si="178"/>
        <v>0</v>
      </c>
      <c r="AA229" s="15">
        <f t="shared" si="179"/>
        <v>0</v>
      </c>
      <c r="AB229" s="10">
        <f t="shared" si="180"/>
        <v>1</v>
      </c>
      <c r="AC229" s="10"/>
      <c r="AD229" s="21">
        <f t="shared" si="181"/>
        <v>0</v>
      </c>
      <c r="AE229" s="21">
        <f t="shared" si="182"/>
        <v>1</v>
      </c>
      <c r="AF229" s="1">
        <f t="shared" si="167"/>
        <v>0</v>
      </c>
      <c r="AG229" s="1">
        <f t="shared" si="168"/>
        <v>1</v>
      </c>
      <c r="AH229" s="21">
        <f t="shared" si="169"/>
        <v>0</v>
      </c>
      <c r="AI229" s="15">
        <f t="shared" si="170"/>
        <v>1</v>
      </c>
      <c r="AJ229" s="15"/>
      <c r="AK229" s="15"/>
      <c r="AL229" s="15"/>
      <c r="AM229" s="15"/>
      <c r="AN229" s="15"/>
      <c r="AO229" s="15"/>
      <c r="AP229" s="15"/>
      <c r="AQ229" s="15"/>
      <c r="AR229" s="15"/>
      <c r="AS229" s="10"/>
      <c r="AT229" s="10"/>
      <c r="AU229" s="21"/>
      <c r="AV229" s="21"/>
      <c r="AY229" s="21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0"/>
      <c r="BK229" s="10"/>
      <c r="BL229" s="21"/>
      <c r="BM229" s="21"/>
      <c r="BP229" s="21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0"/>
      <c r="CB229" s="10"/>
      <c r="CC229" s="21"/>
      <c r="CD229" s="21"/>
      <c r="CG229" s="21"/>
      <c r="CH229" s="15"/>
      <c r="CI229" s="15"/>
      <c r="CJ229" s="15"/>
      <c r="CK229" s="15"/>
      <c r="CL229" s="15"/>
      <c r="CM229" s="15"/>
      <c r="CN229" s="15"/>
      <c r="CO229" s="15"/>
      <c r="CP229" s="15"/>
      <c r="CQ229" s="15"/>
      <c r="CR229" s="10"/>
      <c r="CS229" s="10"/>
      <c r="CT229" s="21"/>
      <c r="CU229" s="21"/>
      <c r="CX229" s="21"/>
      <c r="CY229" s="15"/>
      <c r="CZ229" s="15"/>
      <c r="DA229" s="15"/>
      <c r="DB229" s="15"/>
      <c r="DC229" s="15"/>
      <c r="DD229" s="15"/>
      <c r="DE229" s="15"/>
      <c r="DF229" s="15"/>
      <c r="DG229" s="15"/>
      <c r="DH229" s="15"/>
      <c r="DI229" s="10"/>
      <c r="DJ229" s="10"/>
      <c r="DK229" s="21"/>
      <c r="DL229" s="21"/>
      <c r="DO229" s="21"/>
      <c r="DP229" s="15"/>
      <c r="DQ229" s="15"/>
      <c r="DR229" s="15"/>
      <c r="DS229" s="15"/>
      <c r="DT229" s="15"/>
      <c r="DU229" s="15"/>
      <c r="DV229" s="15"/>
      <c r="DW229" s="15"/>
      <c r="DX229" s="15"/>
      <c r="DY229" s="15"/>
      <c r="DZ229" s="10"/>
      <c r="EA229" s="10"/>
      <c r="EB229" s="21"/>
      <c r="EC229" s="21"/>
      <c r="EF229" s="21"/>
      <c r="EG229" s="15"/>
      <c r="EH229" s="15"/>
      <c r="EI229" s="15"/>
      <c r="EJ229" s="15"/>
      <c r="EK229" s="15"/>
      <c r="EL229" s="15"/>
      <c r="EM229" s="15"/>
      <c r="EN229" s="15"/>
      <c r="EO229" s="15"/>
      <c r="EP229" s="15"/>
      <c r="EQ229" s="10"/>
      <c r="ER229" s="10"/>
      <c r="ES229" s="21"/>
      <c r="ET229" s="21"/>
      <c r="EW229" s="21"/>
      <c r="EX229" s="15"/>
      <c r="EY229" s="15"/>
      <c r="EZ229" s="15"/>
      <c r="FA229" s="15"/>
      <c r="FB229" s="15"/>
      <c r="FC229" s="15"/>
      <c r="FD229" s="15"/>
      <c r="FE229" s="15"/>
      <c r="FF229" s="15"/>
      <c r="FG229" s="15"/>
      <c r="FH229" s="10"/>
      <c r="FI229" s="10"/>
      <c r="FJ229" s="21"/>
      <c r="FK229" s="21"/>
      <c r="FN229" s="21"/>
      <c r="FO229" s="15"/>
      <c r="FP229" s="15"/>
      <c r="FQ229" s="15"/>
      <c r="FR229" s="15"/>
      <c r="FS229" s="15"/>
      <c r="FT229" s="15"/>
      <c r="FU229" s="15"/>
      <c r="FV229" s="15"/>
      <c r="FW229" s="15"/>
      <c r="FX229" s="15"/>
      <c r="FY229" s="10"/>
      <c r="FZ229" s="10"/>
      <c r="GA229" s="21"/>
      <c r="GB229" s="21"/>
      <c r="GE229" s="21"/>
      <c r="GF229" s="15"/>
      <c r="GG229" s="15"/>
      <c r="GH229" s="15"/>
      <c r="GI229" s="15"/>
      <c r="GJ229" s="15"/>
      <c r="GK229" s="15"/>
      <c r="GL229" s="15"/>
      <c r="GM229" s="15"/>
      <c r="GN229" s="15"/>
      <c r="GO229" s="15"/>
      <c r="GP229" s="10"/>
      <c r="GQ229" s="10"/>
      <c r="GR229" s="21"/>
      <c r="GS229" s="21"/>
      <c r="GV229" s="21"/>
      <c r="GW229" s="15"/>
      <c r="GX229" s="15"/>
      <c r="GY229" s="15"/>
      <c r="GZ229" s="15"/>
      <c r="HA229" s="15"/>
      <c r="HB229" s="15"/>
      <c r="HC229" s="15"/>
      <c r="HD229" s="15"/>
      <c r="HE229" s="15"/>
      <c r="HF229" s="15"/>
      <c r="HG229" s="10"/>
      <c r="HH229" s="10"/>
      <c r="HI229" s="21"/>
      <c r="HJ229" s="21"/>
      <c r="HM229" s="21"/>
      <c r="HN229" s="15"/>
      <c r="HO229" s="15"/>
      <c r="HP229" s="15"/>
      <c r="HQ229" s="15"/>
      <c r="HR229" s="15"/>
      <c r="HS229" s="15"/>
      <c r="HT229" s="15"/>
      <c r="HU229" s="15"/>
      <c r="HV229" s="15"/>
      <c r="HW229" s="15"/>
      <c r="HX229" s="10"/>
      <c r="HY229" s="10"/>
      <c r="HZ229" s="21"/>
      <c r="IA229" s="21"/>
      <c r="ID229" s="21"/>
      <c r="IE229" s="15"/>
      <c r="IF229" s="15"/>
      <c r="IG229" s="15"/>
      <c r="IH229" s="15"/>
      <c r="II229" s="15"/>
      <c r="IJ229" s="15"/>
      <c r="IK229" s="15"/>
      <c r="IL229" s="15"/>
      <c r="IM229" s="15"/>
      <c r="IN229" s="15"/>
      <c r="IO229" s="10"/>
      <c r="IP229" s="10"/>
      <c r="IQ229" s="21"/>
      <c r="IR229" s="21"/>
      <c r="IU229" s="21"/>
      <c r="IV229" s="15"/>
      <c r="IW229" s="15"/>
      <c r="IX229" s="15"/>
      <c r="IY229" s="15"/>
      <c r="IZ229" s="15"/>
      <c r="JA229" s="15"/>
      <c r="JB229" s="15"/>
      <c r="JC229" s="15"/>
      <c r="JD229" s="15"/>
      <c r="JE229" s="15"/>
      <c r="JF229" s="10"/>
      <c r="JG229" s="10"/>
      <c r="JH229" s="21"/>
      <c r="JI229" s="21"/>
      <c r="JL229" s="21"/>
      <c r="JM229" s="15"/>
      <c r="JN229" s="15"/>
      <c r="JO229" s="15"/>
      <c r="JP229" s="15"/>
      <c r="JQ229" s="15"/>
      <c r="JR229" s="15"/>
      <c r="JS229" s="15"/>
      <c r="JT229" s="15"/>
      <c r="JU229" s="15"/>
      <c r="JV229" s="15"/>
      <c r="JW229" s="10"/>
      <c r="JX229" s="10"/>
      <c r="JY229" s="21"/>
      <c r="JZ229" s="21"/>
      <c r="KC229" s="21"/>
      <c r="KD229" s="15"/>
      <c r="KE229" s="15"/>
      <c r="KF229" s="15"/>
      <c r="KG229" s="15"/>
      <c r="KH229" s="15"/>
      <c r="KI229" s="15"/>
      <c r="KJ229" s="15"/>
      <c r="KK229" s="15"/>
      <c r="KL229" s="15"/>
      <c r="KM229" s="15"/>
      <c r="KN229" s="10"/>
      <c r="KO229" s="10"/>
      <c r="KP229" s="21"/>
      <c r="KQ229" s="21"/>
      <c r="KT229" s="21"/>
      <c r="KU229" s="15"/>
      <c r="KV229" s="15"/>
      <c r="KW229" s="15"/>
      <c r="KX229" s="15"/>
      <c r="KY229" s="15"/>
      <c r="KZ229" s="15"/>
      <c r="LA229" s="15"/>
      <c r="LB229" s="15"/>
      <c r="LC229" s="15"/>
      <c r="LD229" s="15"/>
      <c r="LE229" s="10"/>
      <c r="LF229" s="10"/>
      <c r="LG229" s="21"/>
      <c r="LH229" s="21"/>
      <c r="LK229" s="21"/>
      <c r="LL229" s="15"/>
      <c r="LM229" s="15"/>
      <c r="LN229" s="15"/>
      <c r="LO229" s="15"/>
      <c r="LP229" s="15"/>
      <c r="LQ229" s="15"/>
      <c r="LR229" s="15"/>
      <c r="LS229" s="15"/>
      <c r="LT229" s="15"/>
      <c r="LU229" s="15"/>
      <c r="LV229" s="10"/>
      <c r="LW229" s="10"/>
      <c r="LX229" s="21"/>
      <c r="LY229" s="21"/>
      <c r="MB229" s="21"/>
      <c r="MC229" s="15"/>
      <c r="MD229" s="15"/>
      <c r="ME229" s="15"/>
      <c r="MF229" s="15"/>
      <c r="MG229" s="15"/>
      <c r="MH229" s="15"/>
      <c r="MI229" s="15"/>
      <c r="MJ229" s="15"/>
      <c r="MK229" s="15"/>
      <c r="ML229" s="15"/>
      <c r="MM229" s="10"/>
      <c r="MN229" s="10"/>
      <c r="MO229" s="21"/>
      <c r="MP229" s="21"/>
      <c r="MS229" s="21"/>
      <c r="MT229" s="15"/>
      <c r="MU229" s="15"/>
      <c r="MV229" s="15"/>
      <c r="MW229" s="15"/>
      <c r="MX229" s="15"/>
      <c r="MY229" s="15"/>
      <c r="MZ229" s="15"/>
      <c r="NA229" s="15"/>
      <c r="NB229" s="15"/>
      <c r="NC229" s="15"/>
      <c r="ND229" s="10"/>
      <c r="NE229" s="10"/>
      <c r="NF229" s="21"/>
      <c r="NG229" s="21"/>
      <c r="NJ229" s="21"/>
      <c r="NK229" s="15"/>
      <c r="NL229" s="15"/>
      <c r="NM229" s="15"/>
      <c r="NN229" s="15"/>
      <c r="NO229" s="15"/>
      <c r="NP229" s="15"/>
      <c r="NQ229" s="15"/>
      <c r="NR229" s="15"/>
      <c r="NS229" s="15"/>
      <c r="NT229" s="15"/>
      <c r="NU229" s="10"/>
      <c r="NV229" s="10"/>
      <c r="NW229" s="21"/>
      <c r="NX229" s="21"/>
      <c r="OA229" s="21"/>
      <c r="OB229" s="15"/>
      <c r="OC229" s="15"/>
      <c r="OD229" s="15"/>
      <c r="OE229" s="15"/>
      <c r="OF229" s="15"/>
      <c r="OG229" s="15"/>
      <c r="OH229" s="15"/>
      <c r="OI229" s="15"/>
      <c r="OJ229" s="15"/>
      <c r="OK229" s="15"/>
      <c r="OL229" s="10"/>
      <c r="OM229" s="10"/>
      <c r="ON229" s="21"/>
      <c r="OO229" s="21"/>
      <c r="OR229" s="21"/>
      <c r="OS229" s="15"/>
      <c r="OT229" s="15"/>
      <c r="OU229" s="15"/>
      <c r="OV229" s="15"/>
      <c r="OW229" s="15"/>
      <c r="OX229" s="15"/>
      <c r="OY229" s="15"/>
      <c r="OZ229" s="15"/>
      <c r="PA229" s="15"/>
      <c r="PB229" s="15"/>
      <c r="PC229" s="10"/>
      <c r="PD229" s="10"/>
      <c r="PE229" s="21"/>
      <c r="PF229" s="21"/>
      <c r="PI229" s="21"/>
      <c r="PJ229" s="15"/>
      <c r="PK229" s="15"/>
      <c r="PL229" s="15"/>
      <c r="PM229" s="15"/>
      <c r="PN229" s="15"/>
      <c r="PO229" s="15"/>
      <c r="PP229" s="15"/>
      <c r="PQ229" s="15"/>
      <c r="PR229" s="15"/>
      <c r="PS229" s="15"/>
      <c r="PT229" s="10"/>
      <c r="PU229" s="10"/>
      <c r="PV229" s="21"/>
      <c r="PW229" s="21"/>
      <c r="PZ229" s="21"/>
      <c r="QA229" s="15"/>
      <c r="QB229" s="15"/>
      <c r="QC229" s="15"/>
      <c r="QD229" s="15"/>
      <c r="QE229" s="15"/>
      <c r="QF229" s="15"/>
      <c r="QG229" s="15"/>
      <c r="QH229" s="15"/>
      <c r="QI229" s="15"/>
      <c r="QJ229" s="15"/>
      <c r="QK229" s="10"/>
      <c r="QL229" s="10"/>
      <c r="QM229" s="21"/>
      <c r="QN229" s="21"/>
      <c r="QQ229" s="21"/>
      <c r="QR229" s="15"/>
      <c r="QS229" s="15"/>
      <c r="QT229" s="15"/>
      <c r="QU229" s="15"/>
      <c r="QV229" s="15"/>
      <c r="QW229" s="15"/>
      <c r="QX229" s="15"/>
      <c r="QY229" s="15"/>
      <c r="QZ229" s="15"/>
      <c r="RA229" s="15"/>
      <c r="RB229" s="10"/>
      <c r="RC229" s="10"/>
      <c r="RD229" s="21"/>
      <c r="RE229" s="21"/>
      <c r="RH229" s="21"/>
      <c r="RI229" s="15"/>
      <c r="RJ229" s="15"/>
      <c r="RK229" s="15"/>
      <c r="RL229" s="15"/>
      <c r="RM229" s="15"/>
      <c r="RN229" s="15"/>
      <c r="RO229" s="15"/>
      <c r="RP229" s="15"/>
      <c r="RQ229" s="15"/>
      <c r="RR229" s="15"/>
      <c r="RS229" s="10"/>
      <c r="RT229" s="10"/>
      <c r="RU229" s="21"/>
      <c r="RV229" s="21"/>
      <c r="RY229" s="21"/>
      <c r="RZ229" s="15"/>
      <c r="SA229" s="15"/>
      <c r="SB229" s="15"/>
      <c r="SC229" s="15"/>
      <c r="SD229" s="15"/>
      <c r="SE229" s="15"/>
      <c r="SF229" s="15"/>
      <c r="SG229" s="15"/>
      <c r="SH229" s="15"/>
      <c r="SI229" s="15"/>
      <c r="SJ229" s="10"/>
      <c r="SK229" s="10"/>
      <c r="SL229" s="21"/>
      <c r="SM229" s="21"/>
      <c r="SP229" s="21"/>
      <c r="SQ229" s="15"/>
      <c r="SR229" s="15"/>
      <c r="SS229" s="15"/>
      <c r="ST229" s="15"/>
      <c r="SU229" s="15"/>
      <c r="SV229" s="15"/>
      <c r="SW229" s="15"/>
      <c r="SX229" s="15"/>
      <c r="SY229" s="15"/>
      <c r="SZ229" s="15"/>
      <c r="TA229" s="10"/>
      <c r="TB229" s="10"/>
      <c r="TC229" s="21"/>
      <c r="TD229" s="21"/>
      <c r="TG229" s="21"/>
      <c r="TH229" s="15"/>
      <c r="TI229" s="15"/>
      <c r="TJ229" s="15"/>
      <c r="TK229" s="15"/>
      <c r="TL229" s="15"/>
      <c r="TM229" s="15"/>
      <c r="TN229" s="15"/>
      <c r="TO229" s="15"/>
      <c r="TP229" s="15"/>
      <c r="TQ229" s="15"/>
      <c r="TR229" s="10"/>
      <c r="TS229" s="10"/>
      <c r="TT229" s="21"/>
      <c r="TU229" s="21"/>
      <c r="TX229" s="21"/>
      <c r="TY229" s="15"/>
      <c r="TZ229" s="15"/>
      <c r="UA229" s="15"/>
      <c r="UB229" s="15"/>
      <c r="UC229" s="15"/>
      <c r="UD229" s="15"/>
      <c r="UE229" s="15"/>
      <c r="UF229" s="15"/>
      <c r="UG229" s="15"/>
      <c r="UH229" s="15"/>
      <c r="UI229" s="10"/>
      <c r="UJ229" s="10"/>
      <c r="UK229" s="21"/>
      <c r="UL229" s="21"/>
      <c r="UO229" s="21"/>
      <c r="UP229" s="15"/>
      <c r="UQ229" s="15"/>
      <c r="UR229" s="15"/>
      <c r="US229" s="15"/>
      <c r="UT229" s="15"/>
      <c r="UU229" s="15"/>
      <c r="UV229" s="15"/>
      <c r="UW229" s="15"/>
      <c r="UX229" s="15"/>
      <c r="UY229" s="15"/>
      <c r="UZ229" s="10"/>
      <c r="VA229" s="10"/>
      <c r="VB229" s="21"/>
      <c r="VC229" s="21"/>
      <c r="VF229" s="21"/>
      <c r="VG229" s="15"/>
      <c r="VH229" s="15"/>
      <c r="VI229" s="15"/>
      <c r="VJ229" s="15"/>
      <c r="VK229" s="15"/>
      <c r="VL229" s="15"/>
      <c r="VM229" s="15"/>
      <c r="VN229" s="15"/>
      <c r="VO229" s="15"/>
      <c r="VP229" s="15"/>
      <c r="VQ229" s="10"/>
      <c r="VR229" s="10"/>
      <c r="VS229" s="21"/>
      <c r="VT229" s="21"/>
      <c r="VW229" s="21"/>
      <c r="VX229" s="15"/>
      <c r="VY229" s="15"/>
      <c r="VZ229" s="15"/>
      <c r="WA229" s="15"/>
      <c r="WB229" s="15"/>
      <c r="WC229" s="15"/>
      <c r="WD229" s="15"/>
      <c r="WE229" s="15"/>
      <c r="WF229" s="15"/>
      <c r="WG229" s="15"/>
      <c r="WH229" s="10"/>
      <c r="WI229" s="10"/>
      <c r="WJ229" s="21"/>
      <c r="WK229" s="21"/>
      <c r="WN229" s="21"/>
      <c r="WO229" s="15"/>
      <c r="WP229" s="15"/>
      <c r="WQ229" s="15"/>
      <c r="WR229" s="15"/>
      <c r="WS229" s="15"/>
      <c r="WT229" s="15"/>
      <c r="WU229" s="15"/>
      <c r="WV229" s="15"/>
      <c r="WW229" s="15"/>
      <c r="WX229" s="15"/>
      <c r="WY229" s="10"/>
      <c r="WZ229" s="10"/>
      <c r="XA229" s="21"/>
      <c r="XB229" s="21"/>
      <c r="XE229" s="21"/>
      <c r="XF229" s="15"/>
      <c r="XG229" s="15"/>
      <c r="XH229" s="15"/>
      <c r="XI229" s="15"/>
      <c r="XJ229" s="15"/>
      <c r="XK229" s="15"/>
      <c r="XL229" s="15"/>
      <c r="XM229" s="15"/>
      <c r="XN229" s="15"/>
      <c r="XO229" s="15"/>
      <c r="XP229" s="10"/>
      <c r="XQ229" s="10"/>
      <c r="XR229" s="21"/>
      <c r="XS229" s="21"/>
      <c r="XV229" s="21"/>
      <c r="XW229" s="15"/>
      <c r="XX229" s="15"/>
      <c r="XY229" s="15"/>
      <c r="XZ229" s="15"/>
      <c r="YA229" s="15"/>
      <c r="YB229" s="15"/>
      <c r="YC229" s="15"/>
      <c r="YD229" s="15"/>
      <c r="YE229" s="15"/>
      <c r="YF229" s="15"/>
      <c r="YG229" s="10"/>
      <c r="YH229" s="10"/>
      <c r="YI229" s="21"/>
      <c r="YJ229" s="21"/>
      <c r="YM229" s="21"/>
      <c r="YN229" s="15"/>
      <c r="YO229" s="15"/>
      <c r="YP229" s="15"/>
      <c r="YQ229" s="15"/>
      <c r="YR229" s="15"/>
      <c r="YS229" s="15"/>
      <c r="YT229" s="15"/>
      <c r="YU229" s="15"/>
      <c r="YV229" s="15"/>
      <c r="YW229" s="15"/>
      <c r="YX229" s="10"/>
      <c r="YY229" s="10"/>
      <c r="YZ229" s="21"/>
      <c r="ZA229" s="21"/>
      <c r="ZD229" s="21"/>
      <c r="ZE229" s="15"/>
      <c r="ZF229" s="15"/>
      <c r="ZG229" s="15"/>
      <c r="ZH229" s="15"/>
      <c r="ZI229" s="15"/>
      <c r="ZJ229" s="15"/>
      <c r="ZK229" s="15"/>
      <c r="ZL229" s="15"/>
      <c r="ZM229" s="15"/>
      <c r="ZN229" s="15"/>
      <c r="ZO229" s="10"/>
      <c r="ZP229" s="10"/>
      <c r="ZQ229" s="21"/>
      <c r="ZR229" s="21"/>
      <c r="ZU229" s="21"/>
      <c r="ZV229" s="15"/>
      <c r="ZW229" s="15"/>
      <c r="ZX229" s="15"/>
      <c r="ZY229" s="15"/>
      <c r="ZZ229" s="15"/>
      <c r="AAA229" s="15"/>
      <c r="AAB229" s="15"/>
      <c r="AAC229" s="15"/>
      <c r="AAD229" s="15"/>
      <c r="AAE229" s="15"/>
      <c r="AAF229" s="10"/>
      <c r="AAG229" s="10"/>
      <c r="AAH229" s="21"/>
      <c r="AAI229" s="21"/>
      <c r="AAL229" s="21"/>
      <c r="AAM229" s="15"/>
      <c r="AAN229" s="15"/>
      <c r="AAO229" s="15"/>
      <c r="AAP229" s="15"/>
      <c r="AAQ229" s="15"/>
      <c r="AAR229" s="15"/>
      <c r="AAS229" s="15"/>
      <c r="AAT229" s="15"/>
      <c r="AAU229" s="15"/>
      <c r="AAV229" s="15"/>
      <c r="AAW229" s="10"/>
      <c r="AAX229" s="10"/>
      <c r="AAY229" s="21"/>
      <c r="AAZ229" s="21"/>
      <c r="ABC229" s="21"/>
      <c r="ABD229" s="15"/>
      <c r="ABE229" s="15"/>
      <c r="ABF229" s="15"/>
      <c r="ABG229" s="15"/>
      <c r="ABH229" s="15"/>
      <c r="ABI229" s="15"/>
      <c r="ABJ229" s="15"/>
      <c r="ABK229" s="15"/>
      <c r="ABL229" s="15"/>
      <c r="ABM229" s="15"/>
      <c r="ABN229" s="10"/>
      <c r="ABO229" s="10"/>
      <c r="ABP229" s="21"/>
      <c r="ABQ229" s="21"/>
      <c r="ABT229" s="21"/>
      <c r="ABU229" s="15"/>
      <c r="ABV229" s="15"/>
      <c r="ABW229" s="15"/>
      <c r="ABX229" s="15"/>
      <c r="ABY229" s="15"/>
      <c r="ABZ229" s="15"/>
      <c r="ACA229" s="15"/>
      <c r="ACB229" s="15"/>
      <c r="ACC229" s="15"/>
      <c r="ACD229" s="15"/>
      <c r="ACE229" s="10"/>
      <c r="ACF229" s="10"/>
      <c r="ACG229" s="21"/>
      <c r="ACH229" s="21"/>
      <c r="ACK229" s="21"/>
      <c r="ACL229" s="15"/>
      <c r="ACM229" s="15"/>
      <c r="ACN229" s="15"/>
      <c r="ACO229" s="15"/>
      <c r="ACP229" s="15"/>
      <c r="ACQ229" s="15"/>
      <c r="ACR229" s="15"/>
      <c r="ACS229" s="15"/>
      <c r="ACT229" s="15"/>
      <c r="ACU229" s="15"/>
      <c r="ACV229" s="10"/>
      <c r="ACW229" s="10"/>
      <c r="ACX229" s="21"/>
      <c r="ACY229" s="21"/>
      <c r="ADB229" s="21"/>
      <c r="ADC229" s="15"/>
      <c r="ADD229" s="15"/>
      <c r="ADE229" s="15"/>
      <c r="ADF229" s="15"/>
      <c r="ADG229" s="15"/>
      <c r="ADH229" s="15"/>
      <c r="ADI229" s="15"/>
      <c r="ADJ229" s="15"/>
      <c r="ADK229" s="15"/>
      <c r="ADL229" s="15"/>
      <c r="ADM229" s="10"/>
      <c r="ADN229" s="10"/>
      <c r="ADO229" s="21"/>
      <c r="ADP229" s="21"/>
      <c r="ADS229" s="21"/>
      <c r="ADT229" s="15"/>
      <c r="ADU229" s="15"/>
      <c r="ADV229" s="15"/>
      <c r="ADW229" s="15"/>
      <c r="ADX229" s="15"/>
      <c r="ADY229" s="15"/>
      <c r="ADZ229" s="15"/>
      <c r="AEA229" s="15"/>
      <c r="AEB229" s="15"/>
      <c r="AEC229" s="15"/>
      <c r="AED229" s="10"/>
      <c r="AEE229" s="10"/>
      <c r="AEF229" s="21"/>
      <c r="AEG229" s="21"/>
      <c r="AEJ229" s="21"/>
      <c r="AEK229" s="15"/>
      <c r="AEL229" s="15"/>
      <c r="AEM229" s="15"/>
      <c r="AEN229" s="15"/>
      <c r="AEO229" s="15"/>
      <c r="AEP229" s="15"/>
      <c r="AEQ229" s="15"/>
      <c r="AER229" s="15"/>
      <c r="AES229" s="15"/>
      <c r="AET229" s="15"/>
      <c r="AEU229" s="10"/>
      <c r="AEV229" s="10"/>
      <c r="AEW229" s="21"/>
      <c r="AEX229" s="21"/>
      <c r="AFA229" s="21"/>
      <c r="AFB229" s="15"/>
      <c r="AFC229" s="15"/>
      <c r="AFD229" s="15"/>
      <c r="AFE229" s="15"/>
      <c r="AFF229" s="15"/>
      <c r="AFG229" s="15"/>
      <c r="AFH229" s="15"/>
      <c r="AFI229" s="15"/>
      <c r="AFJ229" s="15"/>
      <c r="AFK229" s="15"/>
      <c r="AFL229" s="10"/>
      <c r="AFM229" s="10"/>
      <c r="AFN229" s="21"/>
      <c r="AFO229" s="21"/>
      <c r="AFR229" s="21"/>
      <c r="AFS229" s="15"/>
      <c r="AFT229" s="15"/>
      <c r="AFU229" s="15"/>
      <c r="AFV229" s="15"/>
      <c r="AFW229" s="15"/>
      <c r="AFX229" s="15"/>
      <c r="AFY229" s="15"/>
      <c r="AFZ229" s="15"/>
      <c r="AGA229" s="15"/>
      <c r="AGB229" s="15"/>
      <c r="AGC229" s="10"/>
      <c r="AGD229" s="10"/>
      <c r="AGE229" s="21"/>
      <c r="AGF229" s="21"/>
      <c r="AGI229" s="21"/>
      <c r="AGJ229" s="15"/>
      <c r="AGK229" s="15"/>
      <c r="AGL229" s="15"/>
      <c r="AGM229" s="15"/>
      <c r="AGN229" s="15"/>
      <c r="AGO229" s="15"/>
      <c r="AGP229" s="15"/>
      <c r="AGQ229" s="15"/>
      <c r="AGR229" s="15"/>
      <c r="AGS229" s="15"/>
      <c r="AGT229" s="10"/>
      <c r="AGU229" s="10"/>
      <c r="AGV229" s="21"/>
      <c r="AGW229" s="21"/>
      <c r="AGZ229" s="21"/>
      <c r="AHA229" s="15"/>
      <c r="AHB229" s="15"/>
      <c r="AHC229" s="15"/>
      <c r="AHD229" s="15"/>
      <c r="AHE229" s="15"/>
      <c r="AHF229" s="15"/>
      <c r="AHG229" s="15"/>
      <c r="AHH229" s="15"/>
      <c r="AHI229" s="15"/>
      <c r="AHJ229" s="15"/>
      <c r="AHK229" s="10"/>
      <c r="AHL229" s="10"/>
      <c r="AHM229" s="21"/>
      <c r="AHN229" s="21"/>
      <c r="AHQ229" s="21"/>
      <c r="AHR229" s="15"/>
      <c r="AHS229" s="15"/>
      <c r="AHT229" s="15"/>
      <c r="AHU229" s="15"/>
      <c r="AHV229" s="15"/>
      <c r="AHW229" s="15"/>
      <c r="AHX229" s="15"/>
      <c r="AHY229" s="15"/>
      <c r="AHZ229" s="15"/>
      <c r="AIA229" s="15"/>
      <c r="AIB229" s="10"/>
      <c r="AIC229" s="10"/>
      <c r="AID229" s="21"/>
      <c r="AIE229" s="21"/>
      <c r="AIH229" s="21"/>
      <c r="AII229" s="15"/>
      <c r="AIJ229" s="15"/>
      <c r="AIK229" s="15"/>
      <c r="AIL229" s="15"/>
      <c r="AIM229" s="15"/>
      <c r="AIN229" s="15"/>
      <c r="AIO229" s="15"/>
      <c r="AIP229" s="15"/>
      <c r="AIQ229" s="15"/>
      <c r="AIR229" s="15"/>
      <c r="AIS229" s="10"/>
      <c r="AIT229" s="10"/>
      <c r="AIU229" s="21"/>
      <c r="AIV229" s="21"/>
      <c r="AIY229" s="21"/>
      <c r="AIZ229" s="15"/>
      <c r="AJA229" s="15"/>
      <c r="AJB229" s="15"/>
      <c r="AJC229" s="15"/>
      <c r="AJD229" s="15"/>
      <c r="AJE229" s="15"/>
      <c r="AJF229" s="15"/>
      <c r="AJG229" s="15"/>
      <c r="AJH229" s="15"/>
      <c r="AJI229" s="15"/>
      <c r="AJJ229" s="10"/>
      <c r="AJK229" s="10"/>
      <c r="AJL229" s="21"/>
      <c r="AJM229" s="21"/>
      <c r="AJP229" s="21"/>
      <c r="AJQ229" s="15"/>
      <c r="AJR229" s="15"/>
      <c r="AJS229" s="15"/>
      <c r="AJT229" s="15"/>
      <c r="AJU229" s="15"/>
      <c r="AJV229" s="15"/>
      <c r="AJW229" s="15"/>
      <c r="AJX229" s="15"/>
      <c r="AJY229" s="15"/>
      <c r="AJZ229" s="15"/>
      <c r="AKA229" s="10"/>
      <c r="AKB229" s="10"/>
      <c r="AKC229" s="21"/>
      <c r="AKD229" s="21"/>
      <c r="AKG229" s="21"/>
      <c r="AKH229" s="15"/>
      <c r="AKI229" s="15"/>
      <c r="AKJ229" s="15"/>
      <c r="AKK229" s="15"/>
      <c r="AKL229" s="15"/>
      <c r="AKM229" s="15"/>
      <c r="AKN229" s="15"/>
      <c r="AKO229" s="15"/>
      <c r="AKP229" s="15"/>
      <c r="AKQ229" s="15"/>
      <c r="AKR229" s="10"/>
      <c r="AKS229" s="10"/>
      <c r="AKT229" s="21"/>
      <c r="AKU229" s="21"/>
      <c r="AKX229" s="21"/>
      <c r="AKY229" s="15"/>
      <c r="AKZ229" s="15"/>
      <c r="ALA229" s="15"/>
      <c r="ALB229" s="15"/>
      <c r="ALC229" s="15"/>
      <c r="ALD229" s="15"/>
      <c r="ALE229" s="15"/>
      <c r="ALF229" s="15"/>
      <c r="ALG229" s="15"/>
      <c r="ALH229" s="15"/>
      <c r="ALI229" s="10"/>
      <c r="ALJ229" s="10"/>
      <c r="ALK229" s="21"/>
      <c r="ALL229" s="21"/>
      <c r="ALO229" s="21"/>
      <c r="ALP229" s="15"/>
      <c r="ALQ229" s="15"/>
      <c r="ALR229" s="15"/>
      <c r="ALS229" s="15"/>
      <c r="ALT229" s="15"/>
      <c r="ALU229" s="15"/>
      <c r="ALV229" s="15"/>
      <c r="ALW229" s="15"/>
      <c r="ALX229" s="15"/>
      <c r="ALY229" s="15"/>
      <c r="ALZ229" s="10"/>
      <c r="AMA229" s="10"/>
      <c r="AMB229" s="21"/>
      <c r="AMC229" s="21"/>
      <c r="AMF229" s="21"/>
      <c r="AMG229" s="15"/>
      <c r="AMH229" s="15"/>
      <c r="AMI229" s="15"/>
      <c r="AMJ229" s="15"/>
      <c r="AMK229" s="15"/>
      <c r="AML229" s="15"/>
      <c r="AMM229" s="15"/>
      <c r="AMN229" s="15"/>
      <c r="AMO229" s="15"/>
      <c r="AMP229" s="15"/>
      <c r="AMQ229" s="10"/>
      <c r="AMR229" s="10"/>
      <c r="AMS229" s="21"/>
      <c r="AMT229" s="21"/>
      <c r="AMW229" s="21"/>
      <c r="AMX229" s="15"/>
      <c r="AMY229" s="15"/>
      <c r="AMZ229" s="15"/>
      <c r="ANA229" s="15"/>
      <c r="ANB229" s="15"/>
      <c r="ANC229" s="15"/>
      <c r="AND229" s="15"/>
      <c r="ANE229" s="15"/>
      <c r="ANF229" s="15"/>
      <c r="ANG229" s="15"/>
      <c r="ANH229" s="10"/>
      <c r="ANI229" s="10"/>
      <c r="ANJ229" s="21"/>
      <c r="ANK229" s="21"/>
      <c r="ANN229" s="21"/>
      <c r="ANO229" s="15"/>
      <c r="ANP229" s="15"/>
      <c r="ANQ229" s="15"/>
      <c r="ANR229" s="15"/>
      <c r="ANS229" s="15"/>
      <c r="ANT229" s="15"/>
      <c r="ANU229" s="15"/>
      <c r="ANV229" s="15"/>
      <c r="ANW229" s="15"/>
      <c r="ANX229" s="15"/>
      <c r="ANY229" s="10"/>
      <c r="ANZ229" s="10"/>
      <c r="AOA229" s="21"/>
      <c r="AOB229" s="21"/>
      <c r="AOE229" s="21"/>
      <c r="AOF229" s="15"/>
      <c r="AOG229" s="15"/>
      <c r="AOH229" s="15"/>
      <c r="AOI229" s="15"/>
      <c r="AOJ229" s="15"/>
      <c r="AOK229" s="15"/>
      <c r="AOL229" s="15"/>
      <c r="AOM229" s="15"/>
      <c r="AON229" s="15"/>
      <c r="AOO229" s="15"/>
      <c r="AOP229" s="10"/>
      <c r="AOQ229" s="10"/>
      <c r="AOR229" s="21"/>
      <c r="AOS229" s="21"/>
      <c r="AOV229" s="21"/>
      <c r="AOW229" s="15"/>
      <c r="AOX229" s="15"/>
      <c r="AOY229" s="15"/>
      <c r="AOZ229" s="15"/>
      <c r="APA229" s="15"/>
      <c r="APB229" s="15"/>
      <c r="APC229" s="15"/>
      <c r="APD229" s="15"/>
      <c r="APE229" s="15"/>
      <c r="APF229" s="15"/>
      <c r="APG229" s="10"/>
      <c r="APH229" s="10"/>
      <c r="API229" s="21"/>
      <c r="APJ229" s="21"/>
      <c r="APM229" s="21"/>
      <c r="APN229" s="15"/>
      <c r="APO229" s="15"/>
      <c r="APP229" s="15"/>
      <c r="APQ229" s="15"/>
      <c r="APR229" s="15"/>
      <c r="APS229" s="15"/>
      <c r="APT229" s="15"/>
      <c r="APU229" s="15"/>
      <c r="APV229" s="15"/>
      <c r="APW229" s="15"/>
      <c r="APX229" s="10"/>
      <c r="APY229" s="10"/>
      <c r="APZ229" s="21"/>
      <c r="AQA229" s="21"/>
      <c r="AQD229" s="21"/>
      <c r="AQE229" s="15"/>
      <c r="AQF229" s="15"/>
      <c r="AQG229" s="15"/>
      <c r="AQH229" s="15"/>
      <c r="AQI229" s="15"/>
      <c r="AQJ229" s="15"/>
      <c r="AQK229" s="15"/>
      <c r="AQL229" s="15"/>
      <c r="AQM229" s="15"/>
      <c r="AQN229" s="15"/>
      <c r="AQO229" s="10"/>
      <c r="AQP229" s="10"/>
      <c r="AQQ229" s="21"/>
      <c r="AQR229" s="21"/>
      <c r="AQU229" s="21"/>
      <c r="AQV229" s="15"/>
      <c r="AQW229" s="15"/>
      <c r="AQX229" s="15"/>
      <c r="AQY229" s="15"/>
      <c r="AQZ229" s="15"/>
      <c r="ARA229" s="15"/>
      <c r="ARB229" s="15"/>
      <c r="ARC229" s="15"/>
      <c r="ARD229" s="15"/>
      <c r="ARE229" s="15"/>
      <c r="ARF229" s="10"/>
      <c r="ARG229" s="10"/>
      <c r="ARH229" s="21"/>
      <c r="ARI229" s="21"/>
      <c r="ARL229" s="21"/>
      <c r="ARM229" s="15"/>
      <c r="ARN229" s="15"/>
      <c r="ARO229" s="15"/>
      <c r="ARP229" s="15"/>
      <c r="ARQ229" s="15"/>
      <c r="ARR229" s="15"/>
      <c r="ARS229" s="15"/>
      <c r="ART229" s="15"/>
      <c r="ARU229" s="15"/>
      <c r="ARV229" s="15"/>
      <c r="ARW229" s="10"/>
      <c r="ARX229" s="10"/>
      <c r="ARY229" s="21"/>
      <c r="ARZ229" s="21"/>
      <c r="ASC229" s="21"/>
      <c r="ASD229" s="15"/>
      <c r="ASE229" s="15"/>
      <c r="ASF229" s="15"/>
      <c r="ASG229" s="15"/>
      <c r="ASH229" s="15"/>
      <c r="ASI229" s="15"/>
      <c r="ASJ229" s="15"/>
      <c r="ASK229" s="15"/>
      <c r="ASL229" s="15"/>
      <c r="ASM229" s="15"/>
      <c r="ASN229" s="10"/>
      <c r="ASO229" s="10"/>
      <c r="ASP229" s="21"/>
      <c r="ASQ229" s="21"/>
      <c r="AST229" s="21"/>
      <c r="ASU229" s="15"/>
      <c r="ASV229" s="15"/>
      <c r="ASW229" s="15"/>
      <c r="ASX229" s="15"/>
      <c r="ASY229" s="15"/>
      <c r="ASZ229" s="15"/>
      <c r="ATA229" s="15"/>
      <c r="ATB229" s="15"/>
      <c r="ATC229" s="15"/>
      <c r="ATD229" s="15"/>
      <c r="ATE229" s="10"/>
      <c r="ATF229" s="10"/>
      <c r="ATG229" s="21"/>
      <c r="ATH229" s="21"/>
      <c r="ATK229" s="21"/>
      <c r="ATL229" s="15"/>
      <c r="ATM229" s="15"/>
      <c r="ATN229" s="15"/>
      <c r="ATO229" s="15"/>
      <c r="ATP229" s="15"/>
      <c r="ATQ229" s="15"/>
      <c r="ATR229" s="15"/>
      <c r="ATS229" s="15"/>
      <c r="ATT229" s="15"/>
      <c r="ATU229" s="15"/>
      <c r="ATV229" s="10"/>
      <c r="ATW229" s="10"/>
      <c r="ATX229" s="21"/>
      <c r="ATY229" s="21"/>
      <c r="AUB229" s="21"/>
      <c r="AUC229" s="15"/>
      <c r="AUD229" s="15"/>
      <c r="AUE229" s="15"/>
      <c r="AUF229" s="15"/>
      <c r="AUG229" s="15"/>
      <c r="AUH229" s="15"/>
      <c r="AUI229" s="15"/>
      <c r="AUJ229" s="15"/>
      <c r="AUK229" s="15"/>
      <c r="AUL229" s="15"/>
      <c r="AUM229" s="10"/>
      <c r="AUN229" s="10"/>
      <c r="AUO229" s="21"/>
      <c r="AUP229" s="21"/>
      <c r="AUS229" s="21"/>
      <c r="AUT229" s="15"/>
      <c r="AUU229" s="15"/>
      <c r="AUV229" s="15"/>
      <c r="AUW229" s="15"/>
      <c r="AUX229" s="15"/>
      <c r="AUY229" s="15"/>
      <c r="AUZ229" s="15"/>
      <c r="AVA229" s="15"/>
      <c r="AVB229" s="15"/>
      <c r="AVC229" s="15"/>
      <c r="AVD229" s="10"/>
      <c r="AVE229" s="10"/>
      <c r="AVF229" s="21"/>
      <c r="AVG229" s="21"/>
      <c r="AVJ229" s="21"/>
      <c r="AVK229" s="15"/>
      <c r="AVL229" s="15"/>
      <c r="AVM229" s="15"/>
      <c r="AVN229" s="15"/>
      <c r="AVO229" s="15"/>
      <c r="AVP229" s="15"/>
      <c r="AVQ229" s="15"/>
      <c r="AVR229" s="15"/>
      <c r="AVS229" s="15"/>
      <c r="AVT229" s="15"/>
      <c r="AVU229" s="10"/>
      <c r="AVV229" s="10"/>
      <c r="AVW229" s="21"/>
      <c r="AVX229" s="21"/>
      <c r="AWA229" s="21"/>
      <c r="AWB229" s="15"/>
      <c r="AWC229" s="15"/>
      <c r="AWD229" s="15"/>
      <c r="AWE229" s="15"/>
      <c r="AWF229" s="15"/>
      <c r="AWG229" s="15"/>
      <c r="AWH229" s="15"/>
      <c r="AWI229" s="15"/>
      <c r="AWJ229" s="15"/>
      <c r="AWK229" s="15"/>
      <c r="AWL229" s="10"/>
      <c r="AWM229" s="10"/>
      <c r="AWN229" s="21"/>
      <c r="AWO229" s="21"/>
      <c r="AWR229" s="21"/>
      <c r="AWS229" s="15"/>
      <c r="AWT229" s="15"/>
      <c r="AWU229" s="15"/>
      <c r="AWV229" s="15"/>
      <c r="AWW229" s="15"/>
      <c r="AWX229" s="15"/>
      <c r="AWY229" s="15"/>
      <c r="AWZ229" s="15"/>
      <c r="AXA229" s="15"/>
      <c r="AXB229" s="15"/>
      <c r="AXC229" s="10"/>
      <c r="AXD229" s="10"/>
      <c r="AXE229" s="21"/>
      <c r="AXF229" s="21"/>
      <c r="AXI229" s="21"/>
      <c r="AXJ229" s="15"/>
      <c r="AXK229" s="15"/>
      <c r="AXL229" s="15"/>
      <c r="AXM229" s="15"/>
      <c r="AXN229" s="15"/>
      <c r="AXO229" s="15"/>
      <c r="AXP229" s="15"/>
      <c r="AXQ229" s="15"/>
      <c r="AXR229" s="15"/>
      <c r="AXS229" s="15"/>
      <c r="AXT229" s="10"/>
      <c r="AXU229" s="10"/>
      <c r="AXV229" s="21"/>
      <c r="AXW229" s="21"/>
      <c r="AXZ229" s="21"/>
      <c r="AYA229" s="15"/>
      <c r="AYB229" s="15"/>
      <c r="AYC229" s="15"/>
      <c r="AYD229" s="15"/>
      <c r="AYE229" s="15"/>
      <c r="AYF229" s="15"/>
      <c r="AYG229" s="15"/>
      <c r="AYH229" s="15"/>
      <c r="AYI229" s="15"/>
      <c r="AYJ229" s="15"/>
      <c r="AYK229" s="10"/>
      <c r="AYL229" s="10"/>
      <c r="AYM229" s="21"/>
      <c r="AYN229" s="21"/>
      <c r="AYQ229" s="21"/>
      <c r="AYR229" s="15"/>
      <c r="AYS229" s="15"/>
      <c r="AYT229" s="15"/>
      <c r="AYU229" s="15"/>
      <c r="AYV229" s="15"/>
      <c r="AYW229" s="15"/>
      <c r="AYX229" s="15"/>
      <c r="AYY229" s="15"/>
      <c r="AYZ229" s="15"/>
      <c r="AZA229" s="15"/>
      <c r="AZB229" s="10"/>
      <c r="AZC229" s="10"/>
      <c r="AZD229" s="21"/>
      <c r="AZE229" s="21"/>
      <c r="AZH229" s="21"/>
      <c r="AZI229" s="15"/>
      <c r="AZJ229" s="15"/>
      <c r="AZK229" s="15"/>
      <c r="AZL229" s="15"/>
      <c r="AZM229" s="15"/>
      <c r="AZN229" s="15"/>
      <c r="AZO229" s="15"/>
      <c r="AZP229" s="15"/>
      <c r="AZQ229" s="15"/>
      <c r="AZR229" s="15"/>
      <c r="AZS229" s="10"/>
      <c r="AZT229" s="10"/>
      <c r="AZU229" s="21"/>
      <c r="AZV229" s="21"/>
      <c r="AZY229" s="21"/>
      <c r="AZZ229" s="15"/>
      <c r="BAA229" s="15"/>
      <c r="BAB229" s="15"/>
      <c r="BAC229" s="15"/>
      <c r="BAD229" s="15"/>
      <c r="BAE229" s="15"/>
      <c r="BAF229" s="15"/>
      <c r="BAG229" s="15"/>
      <c r="BAH229" s="15"/>
      <c r="BAI229" s="15"/>
      <c r="BAJ229" s="10"/>
      <c r="BAK229" s="10"/>
      <c r="BAL229" s="21"/>
      <c r="BAM229" s="21"/>
      <c r="BAP229" s="21"/>
      <c r="BAQ229" s="15"/>
      <c r="BAR229" s="15"/>
      <c r="BAS229" s="15"/>
      <c r="BAT229" s="15"/>
      <c r="BAU229" s="15"/>
      <c r="BAV229" s="15"/>
      <c r="BAW229" s="15"/>
      <c r="BAX229" s="15"/>
      <c r="BAY229" s="15"/>
      <c r="BAZ229" s="15"/>
      <c r="BBA229" s="10"/>
      <c r="BBB229" s="10"/>
      <c r="BBC229" s="21"/>
      <c r="BBD229" s="21"/>
      <c r="BBG229" s="21"/>
      <c r="BBH229" s="15"/>
      <c r="BBI229" s="15"/>
      <c r="BBJ229" s="15"/>
      <c r="BBK229" s="15"/>
      <c r="BBL229" s="15"/>
      <c r="BBM229" s="15"/>
      <c r="BBN229" s="15"/>
      <c r="BBO229" s="15"/>
      <c r="BBP229" s="15"/>
      <c r="BBQ229" s="15"/>
      <c r="BBR229" s="10"/>
      <c r="BBS229" s="10"/>
      <c r="BBT229" s="21"/>
      <c r="BBU229" s="21"/>
      <c r="BBX229" s="21"/>
      <c r="BBY229" s="15"/>
      <c r="BBZ229" s="15"/>
      <c r="BCA229" s="15"/>
      <c r="BCB229" s="15"/>
      <c r="BCC229" s="15"/>
      <c r="BCD229" s="15"/>
      <c r="BCE229" s="15"/>
      <c r="BCF229" s="15"/>
      <c r="BCG229" s="15"/>
      <c r="BCH229" s="15"/>
      <c r="BCI229" s="10"/>
      <c r="BCJ229" s="10"/>
      <c r="BCK229" s="21"/>
      <c r="BCL229" s="21"/>
      <c r="BCO229" s="21"/>
      <c r="BCP229" s="15"/>
      <c r="BCQ229" s="15"/>
      <c r="BCR229" s="15"/>
      <c r="BCS229" s="15"/>
      <c r="BCT229" s="15"/>
      <c r="BCU229" s="15"/>
      <c r="BCV229" s="15"/>
      <c r="BCW229" s="15"/>
      <c r="BCX229" s="15"/>
      <c r="BCY229" s="15"/>
      <c r="BCZ229" s="10"/>
      <c r="BDA229" s="10"/>
      <c r="BDB229" s="21"/>
      <c r="BDC229" s="21"/>
      <c r="BDF229" s="21"/>
      <c r="BDG229" s="15"/>
      <c r="BDH229" s="15"/>
      <c r="BDI229" s="15"/>
      <c r="BDJ229" s="15"/>
      <c r="BDK229" s="15"/>
      <c r="BDL229" s="15"/>
      <c r="BDM229" s="15"/>
      <c r="BDN229" s="15"/>
      <c r="BDO229" s="15"/>
      <c r="BDP229" s="15"/>
      <c r="BDQ229" s="10"/>
      <c r="BDR229" s="10"/>
      <c r="BDS229" s="21"/>
      <c r="BDT229" s="21"/>
      <c r="BDW229" s="21"/>
      <c r="BDX229" s="15"/>
      <c r="BDY229" s="15"/>
      <c r="BDZ229" s="15"/>
      <c r="BEA229" s="15"/>
      <c r="BEB229" s="15"/>
      <c r="BEC229" s="15"/>
      <c r="BED229" s="15"/>
      <c r="BEE229" s="15"/>
      <c r="BEF229" s="15"/>
      <c r="BEG229" s="15"/>
      <c r="BEH229" s="10"/>
      <c r="BEI229" s="10"/>
      <c r="BEJ229" s="21"/>
      <c r="BEK229" s="21"/>
      <c r="BEN229" s="21"/>
      <c r="BEO229" s="15"/>
      <c r="BEP229" s="15"/>
      <c r="BEQ229" s="15"/>
      <c r="BER229" s="15"/>
      <c r="BES229" s="15"/>
      <c r="BET229" s="15"/>
      <c r="BEU229" s="15"/>
      <c r="BEV229" s="15"/>
      <c r="BEW229" s="15"/>
      <c r="BEX229" s="15"/>
      <c r="BEY229" s="10"/>
      <c r="BEZ229" s="10"/>
      <c r="BFA229" s="21"/>
      <c r="BFB229" s="21"/>
      <c r="BFE229" s="21"/>
      <c r="BFF229" s="15"/>
      <c r="BFG229" s="15"/>
      <c r="BFH229" s="15"/>
      <c r="BFI229" s="15"/>
      <c r="BFJ229" s="15"/>
      <c r="BFK229" s="15"/>
      <c r="BFL229" s="15"/>
      <c r="BFM229" s="15"/>
      <c r="BFN229" s="15"/>
      <c r="BFO229" s="15"/>
      <c r="BFP229" s="10"/>
      <c r="BFQ229" s="10"/>
      <c r="BFR229" s="21"/>
      <c r="BFS229" s="21"/>
      <c r="BFV229" s="21"/>
      <c r="BFW229" s="15"/>
      <c r="BFX229" s="15"/>
      <c r="BFY229" s="15"/>
      <c r="BFZ229" s="15"/>
      <c r="BGA229" s="15"/>
      <c r="BGB229" s="15"/>
      <c r="BGC229" s="15"/>
      <c r="BGD229" s="15"/>
      <c r="BGE229" s="15"/>
      <c r="BGF229" s="15"/>
      <c r="BGG229" s="10"/>
      <c r="BGH229" s="10"/>
      <c r="BGI229" s="21"/>
      <c r="BGJ229" s="21"/>
      <c r="BGM229" s="21"/>
      <c r="BGN229" s="15"/>
      <c r="BGO229" s="15"/>
      <c r="BGP229" s="15"/>
      <c r="BGQ229" s="15"/>
      <c r="BGR229" s="15"/>
      <c r="BGS229" s="15"/>
      <c r="BGT229" s="15"/>
      <c r="BGU229" s="15"/>
      <c r="BGV229" s="15"/>
      <c r="BGW229" s="15"/>
      <c r="BGX229" s="10"/>
      <c r="BGY229" s="10"/>
      <c r="BGZ229" s="21"/>
      <c r="BHA229" s="21"/>
      <c r="BHD229" s="21"/>
      <c r="BHE229" s="15"/>
      <c r="BHF229" s="15"/>
      <c r="BHG229" s="15"/>
      <c r="BHH229" s="15"/>
      <c r="BHI229" s="15"/>
      <c r="BHJ229" s="15"/>
      <c r="BHK229" s="15"/>
      <c r="BHL229" s="15"/>
      <c r="BHM229" s="15"/>
      <c r="BHN229" s="15"/>
      <c r="BHO229" s="10"/>
      <c r="BHP229" s="10"/>
      <c r="BHQ229" s="21"/>
      <c r="BHR229" s="21"/>
      <c r="BHU229" s="21"/>
      <c r="BHV229" s="15"/>
      <c r="BHW229" s="15"/>
      <c r="BHX229" s="15"/>
      <c r="BHY229" s="15"/>
      <c r="BHZ229" s="15"/>
      <c r="BIA229" s="15"/>
      <c r="BIB229" s="15"/>
      <c r="BIC229" s="15"/>
      <c r="BID229" s="15"/>
      <c r="BIE229" s="15"/>
      <c r="BIF229" s="10"/>
      <c r="BIG229" s="10"/>
      <c r="BIH229" s="21"/>
      <c r="BII229" s="21"/>
      <c r="BIL229" s="21"/>
      <c r="BIM229" s="15"/>
      <c r="BIN229" s="15"/>
      <c r="BIO229" s="15"/>
      <c r="BIP229" s="15"/>
      <c r="BIQ229" s="15"/>
      <c r="BIR229" s="15"/>
      <c r="BIS229" s="15"/>
      <c r="BIT229" s="15"/>
      <c r="BIU229" s="15"/>
      <c r="BIV229" s="15"/>
      <c r="BIW229" s="10"/>
      <c r="BIX229" s="10"/>
      <c r="BIY229" s="21"/>
      <c r="BIZ229" s="21"/>
      <c r="BJC229" s="21"/>
      <c r="BJD229" s="15"/>
      <c r="BJE229" s="15"/>
      <c r="BJF229" s="15"/>
      <c r="BJG229" s="15"/>
      <c r="BJH229" s="15"/>
      <c r="BJI229" s="15"/>
      <c r="BJJ229" s="15"/>
      <c r="BJK229" s="15"/>
      <c r="BJL229" s="15"/>
      <c r="BJM229" s="15"/>
      <c r="BJN229" s="10"/>
      <c r="BJO229" s="10"/>
      <c r="BJP229" s="21"/>
      <c r="BJQ229" s="21"/>
      <c r="BJT229" s="21"/>
      <c r="BJU229" s="15"/>
      <c r="BJV229" s="15"/>
      <c r="BJW229" s="15"/>
      <c r="BJX229" s="15"/>
      <c r="BJY229" s="15"/>
      <c r="BJZ229" s="15"/>
      <c r="BKA229" s="15"/>
      <c r="BKB229" s="15"/>
      <c r="BKC229" s="15"/>
      <c r="BKD229" s="15"/>
      <c r="BKE229" s="10"/>
      <c r="BKF229" s="10"/>
      <c r="BKG229" s="21"/>
      <c r="BKH229" s="21"/>
      <c r="BKK229" s="21"/>
      <c r="BKL229" s="15"/>
      <c r="BKM229" s="15"/>
      <c r="BKN229" s="15"/>
      <c r="BKO229" s="15"/>
      <c r="BKP229" s="15"/>
      <c r="BKQ229" s="15"/>
      <c r="BKR229" s="15"/>
      <c r="BKS229" s="15"/>
      <c r="BKT229" s="15"/>
      <c r="BKU229" s="15"/>
      <c r="BKV229" s="10"/>
      <c r="BKW229" s="10"/>
      <c r="BKX229" s="21"/>
      <c r="BKY229" s="21"/>
      <c r="BLB229" s="21"/>
      <c r="BLC229" s="15"/>
      <c r="BLD229" s="15"/>
      <c r="BLE229" s="15"/>
      <c r="BLF229" s="15"/>
      <c r="BLG229" s="15"/>
      <c r="BLH229" s="15"/>
      <c r="BLI229" s="15"/>
      <c r="BLJ229" s="15"/>
      <c r="BLK229" s="15"/>
      <c r="BLL229" s="15"/>
      <c r="BLM229" s="10"/>
      <c r="BLN229" s="10"/>
      <c r="BLO229" s="21"/>
      <c r="BLP229" s="21"/>
      <c r="BLS229" s="21"/>
      <c r="BLT229" s="15"/>
      <c r="BLU229" s="15"/>
      <c r="BLV229" s="15"/>
      <c r="BLW229" s="15"/>
      <c r="BLX229" s="15"/>
      <c r="BLY229" s="15"/>
      <c r="BLZ229" s="15"/>
      <c r="BMA229" s="15"/>
      <c r="BMB229" s="15"/>
      <c r="BMC229" s="15"/>
      <c r="BMD229" s="10"/>
      <c r="BME229" s="10"/>
      <c r="BMF229" s="21"/>
      <c r="BMG229" s="21"/>
      <c r="BMJ229" s="21"/>
      <c r="BMK229" s="15"/>
      <c r="BML229" s="15"/>
      <c r="BMM229" s="15"/>
      <c r="BMN229" s="15"/>
      <c r="BMO229" s="15"/>
      <c r="BMP229" s="15"/>
      <c r="BMQ229" s="15"/>
      <c r="BMR229" s="15"/>
      <c r="BMS229" s="15"/>
      <c r="BMT229" s="15"/>
      <c r="BMU229" s="10"/>
      <c r="BMV229" s="10"/>
      <c r="BMW229" s="21"/>
      <c r="BMX229" s="21"/>
      <c r="BNA229" s="21"/>
      <c r="BNB229" s="15"/>
      <c r="BNC229" s="15"/>
      <c r="BND229" s="15"/>
      <c r="BNE229" s="15"/>
      <c r="BNF229" s="15"/>
      <c r="BNG229" s="15"/>
      <c r="BNH229" s="15"/>
      <c r="BNI229" s="15"/>
      <c r="BNJ229" s="15"/>
      <c r="BNK229" s="15"/>
      <c r="BNL229" s="10"/>
      <c r="BNM229" s="10"/>
      <c r="BNN229" s="21"/>
      <c r="BNO229" s="21"/>
      <c r="BNR229" s="21"/>
      <c r="BNS229" s="15"/>
      <c r="BNT229" s="15"/>
      <c r="BNU229" s="15"/>
      <c r="BNV229" s="15"/>
      <c r="BNW229" s="15"/>
      <c r="BNX229" s="15"/>
      <c r="BNY229" s="15"/>
      <c r="BNZ229" s="15"/>
      <c r="BOA229" s="15"/>
      <c r="BOB229" s="15"/>
      <c r="BOC229" s="10"/>
      <c r="BOD229" s="10"/>
      <c r="BOE229" s="21"/>
      <c r="BOF229" s="21"/>
      <c r="BOI229" s="21"/>
      <c r="BOJ229" s="15"/>
      <c r="BOK229" s="15"/>
      <c r="BOL229" s="15"/>
      <c r="BOM229" s="15"/>
      <c r="BON229" s="15"/>
      <c r="BOO229" s="15"/>
      <c r="BOP229" s="15"/>
      <c r="BOQ229" s="15"/>
      <c r="BOR229" s="15"/>
      <c r="BOS229" s="15"/>
      <c r="BOT229" s="10"/>
      <c r="BOU229" s="10"/>
      <c r="BOV229" s="21"/>
      <c r="BOW229" s="21"/>
      <c r="BOZ229" s="21"/>
      <c r="BPA229" s="15"/>
      <c r="BPB229" s="15"/>
      <c r="BPC229" s="15"/>
      <c r="BPD229" s="15"/>
      <c r="BPE229" s="15"/>
      <c r="BPF229" s="15"/>
      <c r="BPG229" s="15"/>
      <c r="BPH229" s="15"/>
      <c r="BPI229" s="15"/>
      <c r="BPJ229" s="15"/>
      <c r="BPK229" s="10"/>
      <c r="BPL229" s="10"/>
      <c r="BPM229" s="21"/>
      <c r="BPN229" s="21"/>
      <c r="BPQ229" s="21"/>
      <c r="BPR229" s="15"/>
      <c r="BPS229" s="15"/>
      <c r="BPT229" s="15"/>
      <c r="BPU229" s="15"/>
      <c r="BPV229" s="15"/>
      <c r="BPW229" s="15"/>
      <c r="BPX229" s="15"/>
      <c r="BPY229" s="15"/>
      <c r="BPZ229" s="15"/>
      <c r="BQA229" s="15"/>
      <c r="BQB229" s="10"/>
      <c r="BQC229" s="10"/>
      <c r="BQD229" s="21"/>
      <c r="BQE229" s="21"/>
      <c r="BQH229" s="21"/>
      <c r="BQI229" s="15"/>
      <c r="BQJ229" s="15"/>
      <c r="BQK229" s="15"/>
      <c r="BQL229" s="15"/>
      <c r="BQM229" s="15"/>
      <c r="BQN229" s="15"/>
      <c r="BQO229" s="15"/>
      <c r="BQP229" s="15"/>
      <c r="BQQ229" s="15"/>
      <c r="BQR229" s="15"/>
      <c r="BQS229" s="10"/>
      <c r="BQT229" s="10"/>
      <c r="BQU229" s="21"/>
      <c r="BQV229" s="21"/>
      <c r="BQY229" s="21"/>
      <c r="BQZ229" s="15"/>
      <c r="BRA229" s="15"/>
      <c r="BRB229" s="15"/>
      <c r="BRC229" s="15"/>
      <c r="BRD229" s="15"/>
      <c r="BRE229" s="15"/>
      <c r="BRF229" s="15"/>
      <c r="BRG229" s="15"/>
      <c r="BRH229" s="15"/>
      <c r="BRI229" s="15"/>
      <c r="BRJ229" s="10"/>
      <c r="BRK229" s="10"/>
      <c r="BRL229" s="21"/>
      <c r="BRM229" s="21"/>
      <c r="BRP229" s="21"/>
      <c r="BRQ229" s="15"/>
      <c r="BRR229" s="15"/>
      <c r="BRS229" s="15"/>
      <c r="BRT229" s="15"/>
      <c r="BRU229" s="15"/>
      <c r="BRV229" s="15"/>
      <c r="BRW229" s="15"/>
      <c r="BRX229" s="15"/>
      <c r="BRY229" s="15"/>
      <c r="BRZ229" s="15"/>
      <c r="BSA229" s="10"/>
      <c r="BSB229" s="10"/>
      <c r="BSC229" s="21"/>
      <c r="BSD229" s="21"/>
      <c r="BSG229" s="21"/>
      <c r="BSH229" s="15"/>
      <c r="BSI229" s="15"/>
      <c r="BSJ229" s="15"/>
      <c r="BSK229" s="15"/>
      <c r="BSL229" s="15"/>
      <c r="BSM229" s="15"/>
      <c r="BSN229" s="15"/>
      <c r="BSO229" s="15"/>
      <c r="BSP229" s="15"/>
      <c r="BSQ229" s="15"/>
      <c r="BSR229" s="10"/>
      <c r="BSS229" s="10"/>
      <c r="BST229" s="21"/>
      <c r="BSU229" s="21"/>
      <c r="BSX229" s="21"/>
      <c r="BSY229" s="15"/>
      <c r="BSZ229" s="15"/>
      <c r="BTA229" s="15"/>
      <c r="BTB229" s="15"/>
      <c r="BTC229" s="15"/>
      <c r="BTD229" s="15"/>
      <c r="BTE229" s="15"/>
      <c r="BTF229" s="15"/>
      <c r="BTG229" s="15"/>
      <c r="BTH229" s="15"/>
      <c r="BTI229" s="10"/>
      <c r="BTJ229" s="10"/>
      <c r="BTK229" s="21"/>
      <c r="BTL229" s="21"/>
      <c r="BTO229" s="21"/>
      <c r="BTP229" s="15"/>
      <c r="BTQ229" s="15"/>
      <c r="BTR229" s="15"/>
      <c r="BTS229" s="15"/>
      <c r="BTT229" s="15"/>
      <c r="BTU229" s="15"/>
      <c r="BTV229" s="15"/>
      <c r="BTW229" s="15"/>
      <c r="BTX229" s="15"/>
      <c r="BTY229" s="15"/>
      <c r="BTZ229" s="10"/>
      <c r="BUA229" s="10"/>
      <c r="BUB229" s="21"/>
      <c r="BUC229" s="21"/>
      <c r="BUF229" s="21"/>
      <c r="BUG229" s="15"/>
      <c r="BUH229" s="15"/>
      <c r="BUI229" s="15"/>
      <c r="BUJ229" s="15"/>
      <c r="BUK229" s="15"/>
      <c r="BUL229" s="15"/>
      <c r="BUM229" s="15"/>
      <c r="BUN229" s="15"/>
      <c r="BUO229" s="15"/>
      <c r="BUP229" s="15"/>
      <c r="BUQ229" s="10"/>
      <c r="BUR229" s="10"/>
      <c r="BUS229" s="21"/>
      <c r="BUT229" s="21"/>
      <c r="BUW229" s="21"/>
      <c r="BUX229" s="15"/>
      <c r="BUY229" s="15"/>
      <c r="BUZ229" s="15"/>
      <c r="BVA229" s="15"/>
      <c r="BVB229" s="15"/>
      <c r="BVC229" s="15"/>
      <c r="BVD229" s="15"/>
      <c r="BVE229" s="15"/>
      <c r="BVF229" s="15"/>
      <c r="BVG229" s="15"/>
      <c r="BVH229" s="10"/>
      <c r="BVI229" s="10"/>
      <c r="BVJ229" s="21"/>
      <c r="BVK229" s="21"/>
      <c r="BVN229" s="21"/>
      <c r="BVO229" s="15"/>
      <c r="BVP229" s="15"/>
      <c r="BVQ229" s="15"/>
      <c r="BVR229" s="15"/>
      <c r="BVS229" s="15"/>
      <c r="BVT229" s="15"/>
      <c r="BVU229" s="15"/>
      <c r="BVV229" s="15"/>
      <c r="BVW229" s="15"/>
      <c r="BVX229" s="15"/>
      <c r="BVY229" s="10"/>
      <c r="BVZ229" s="10"/>
      <c r="BWA229" s="21"/>
      <c r="BWB229" s="21"/>
      <c r="BWE229" s="21"/>
      <c r="BWF229" s="15"/>
      <c r="BWG229" s="15"/>
      <c r="BWH229" s="15"/>
      <c r="BWI229" s="15"/>
      <c r="BWJ229" s="15"/>
      <c r="BWK229" s="15"/>
      <c r="BWL229" s="15"/>
      <c r="BWM229" s="15"/>
      <c r="BWN229" s="15"/>
      <c r="BWO229" s="15"/>
      <c r="BWP229" s="10"/>
      <c r="BWQ229" s="10"/>
      <c r="BWR229" s="21"/>
      <c r="BWS229" s="21"/>
      <c r="BWV229" s="21"/>
      <c r="BWW229" s="15"/>
      <c r="BWX229" s="15"/>
      <c r="BWY229" s="15"/>
      <c r="BWZ229" s="15"/>
      <c r="BXA229" s="15"/>
      <c r="BXB229" s="15"/>
      <c r="BXC229" s="15"/>
      <c r="BXD229" s="15"/>
      <c r="BXE229" s="15"/>
      <c r="BXF229" s="15"/>
      <c r="BXG229" s="10"/>
      <c r="BXH229" s="10"/>
      <c r="BXI229" s="21"/>
      <c r="BXJ229" s="21"/>
      <c r="BXM229" s="21"/>
      <c r="BXN229" s="15"/>
      <c r="BXO229" s="15"/>
      <c r="BXP229" s="15"/>
      <c r="BXQ229" s="15"/>
      <c r="BXR229" s="15"/>
      <c r="BXS229" s="15"/>
      <c r="BXT229" s="15"/>
      <c r="BXU229" s="15"/>
      <c r="BXV229" s="15"/>
      <c r="BXW229" s="15"/>
      <c r="BXX229" s="10"/>
      <c r="BXY229" s="10"/>
      <c r="BXZ229" s="21"/>
      <c r="BYA229" s="21"/>
      <c r="BYD229" s="21"/>
      <c r="BYE229" s="15"/>
      <c r="BYF229" s="15"/>
      <c r="BYG229" s="15"/>
      <c r="BYH229" s="15"/>
      <c r="BYI229" s="15"/>
      <c r="BYJ229" s="15"/>
      <c r="BYK229" s="15"/>
      <c r="BYL229" s="15"/>
      <c r="BYM229" s="15"/>
      <c r="BYN229" s="15"/>
      <c r="BYO229" s="10"/>
      <c r="BYP229" s="10"/>
      <c r="BYQ229" s="21"/>
      <c r="BYR229" s="21"/>
      <c r="BYU229" s="21"/>
      <c r="BYV229" s="15"/>
      <c r="BYW229" s="15"/>
      <c r="BYX229" s="15"/>
      <c r="BYY229" s="15"/>
      <c r="BYZ229" s="15"/>
      <c r="BZA229" s="15"/>
      <c r="BZB229" s="15"/>
      <c r="BZC229" s="15"/>
      <c r="BZD229" s="15"/>
      <c r="BZE229" s="15"/>
      <c r="BZF229" s="10"/>
      <c r="BZG229" s="10"/>
      <c r="BZH229" s="21"/>
      <c r="BZI229" s="21"/>
      <c r="BZL229" s="21"/>
      <c r="BZM229" s="15"/>
      <c r="BZN229" s="15"/>
      <c r="BZO229" s="15"/>
      <c r="BZP229" s="15"/>
      <c r="BZQ229" s="15"/>
      <c r="BZR229" s="15"/>
      <c r="BZS229" s="15"/>
      <c r="BZT229" s="15"/>
      <c r="BZU229" s="15"/>
      <c r="BZV229" s="15"/>
      <c r="BZW229" s="10"/>
      <c r="BZX229" s="10"/>
      <c r="BZY229" s="21"/>
      <c r="BZZ229" s="21"/>
      <c r="CAC229" s="21"/>
      <c r="CAD229" s="15"/>
      <c r="CAE229" s="15"/>
      <c r="CAF229" s="15"/>
      <c r="CAG229" s="15"/>
      <c r="CAH229" s="15"/>
      <c r="CAI229" s="15"/>
      <c r="CAJ229" s="15"/>
      <c r="CAK229" s="15"/>
      <c r="CAL229" s="15"/>
      <c r="CAM229" s="15"/>
      <c r="CAN229" s="10"/>
      <c r="CAO229" s="10"/>
      <c r="CAP229" s="21"/>
      <c r="CAQ229" s="21"/>
      <c r="CAT229" s="21"/>
      <c r="CAU229" s="15"/>
      <c r="CAV229" s="15"/>
      <c r="CAW229" s="15"/>
      <c r="CAX229" s="15"/>
      <c r="CAY229" s="15"/>
      <c r="CAZ229" s="15"/>
      <c r="CBA229" s="15"/>
      <c r="CBB229" s="15"/>
      <c r="CBC229" s="15"/>
      <c r="CBD229" s="15"/>
      <c r="CBE229" s="10"/>
      <c r="CBF229" s="10"/>
      <c r="CBG229" s="21"/>
      <c r="CBH229" s="21"/>
      <c r="CBK229" s="21"/>
      <c r="CBL229" s="15"/>
      <c r="CBM229" s="15"/>
      <c r="CBN229" s="15"/>
      <c r="CBO229" s="15"/>
      <c r="CBP229" s="15"/>
      <c r="CBQ229" s="15"/>
      <c r="CBR229" s="15"/>
      <c r="CBS229" s="15"/>
      <c r="CBT229" s="15"/>
      <c r="CBU229" s="15"/>
      <c r="CBV229" s="10"/>
      <c r="CBW229" s="10"/>
      <c r="CBX229" s="21"/>
      <c r="CBY229" s="21"/>
      <c r="CCB229" s="21"/>
      <c r="CCC229" s="15"/>
      <c r="CCD229" s="15"/>
      <c r="CCE229" s="15"/>
      <c r="CCF229" s="15"/>
      <c r="CCG229" s="15"/>
      <c r="CCH229" s="15"/>
      <c r="CCI229" s="15"/>
      <c r="CCJ229" s="15"/>
      <c r="CCK229" s="15"/>
      <c r="CCL229" s="15"/>
      <c r="CCM229" s="10"/>
      <c r="CCN229" s="10"/>
      <c r="CCO229" s="21"/>
      <c r="CCP229" s="21"/>
      <c r="CCS229" s="21"/>
      <c r="CCT229" s="15"/>
      <c r="CCU229" s="15"/>
      <c r="CCV229" s="15"/>
      <c r="CCW229" s="15"/>
      <c r="CCX229" s="15"/>
      <c r="CCY229" s="15"/>
      <c r="CCZ229" s="15"/>
      <c r="CDA229" s="15"/>
      <c r="CDB229" s="15"/>
      <c r="CDC229" s="15"/>
      <c r="CDD229" s="10"/>
      <c r="CDE229" s="10"/>
      <c r="CDF229" s="21"/>
      <c r="CDG229" s="21"/>
      <c r="CDJ229" s="21"/>
      <c r="CDK229" s="15"/>
      <c r="CDL229" s="15"/>
      <c r="CDM229" s="15"/>
      <c r="CDN229" s="15"/>
      <c r="CDO229" s="15"/>
      <c r="CDP229" s="15"/>
      <c r="CDQ229" s="15"/>
      <c r="CDR229" s="15"/>
      <c r="CDS229" s="15"/>
      <c r="CDT229" s="15"/>
      <c r="CDU229" s="10"/>
      <c r="CDV229" s="10"/>
      <c r="CDW229" s="21"/>
      <c r="CDX229" s="21"/>
      <c r="CEA229" s="21"/>
      <c r="CEB229" s="15"/>
      <c r="CEC229" s="15"/>
      <c r="CED229" s="15"/>
      <c r="CEE229" s="15"/>
      <c r="CEF229" s="15"/>
      <c r="CEG229" s="15"/>
      <c r="CEH229" s="15"/>
      <c r="CEI229" s="15"/>
      <c r="CEJ229" s="15"/>
      <c r="CEK229" s="15"/>
      <c r="CEL229" s="10"/>
      <c r="CEM229" s="10"/>
      <c r="CEN229" s="21"/>
      <c r="CEO229" s="21"/>
      <c r="CER229" s="21"/>
      <c r="CES229" s="15"/>
      <c r="CET229" s="15"/>
      <c r="CEU229" s="15"/>
      <c r="CEV229" s="15"/>
      <c r="CEW229" s="15"/>
      <c r="CEX229" s="15"/>
      <c r="CEY229" s="15"/>
      <c r="CEZ229" s="15"/>
      <c r="CFA229" s="15"/>
      <c r="CFB229" s="15"/>
      <c r="CFC229" s="10"/>
      <c r="CFD229" s="10"/>
      <c r="CFE229" s="21"/>
      <c r="CFF229" s="21"/>
      <c r="CFI229" s="21"/>
      <c r="CFJ229" s="15"/>
      <c r="CFK229" s="15"/>
      <c r="CFL229" s="15"/>
      <c r="CFM229" s="15"/>
      <c r="CFN229" s="15"/>
      <c r="CFO229" s="15"/>
      <c r="CFP229" s="15"/>
      <c r="CFQ229" s="15"/>
      <c r="CFR229" s="15"/>
      <c r="CFS229" s="15"/>
      <c r="CFT229" s="10"/>
      <c r="CFU229" s="10"/>
      <c r="CFV229" s="21"/>
      <c r="CFW229" s="21"/>
      <c r="CFZ229" s="21"/>
      <c r="CGA229" s="15"/>
      <c r="CGB229" s="15"/>
      <c r="CGC229" s="15"/>
      <c r="CGD229" s="15"/>
      <c r="CGE229" s="15"/>
      <c r="CGF229" s="15"/>
      <c r="CGG229" s="15"/>
      <c r="CGH229" s="15"/>
      <c r="CGI229" s="15"/>
      <c r="CGJ229" s="15"/>
      <c r="CGK229" s="10"/>
      <c r="CGL229" s="10"/>
      <c r="CGM229" s="21"/>
      <c r="CGN229" s="21"/>
      <c r="CGQ229" s="21"/>
      <c r="CGR229" s="15"/>
      <c r="CGS229" s="15"/>
      <c r="CGT229" s="15"/>
      <c r="CGU229" s="15"/>
      <c r="CGV229" s="15"/>
      <c r="CGW229" s="15"/>
      <c r="CGX229" s="15"/>
      <c r="CGY229" s="15"/>
      <c r="CGZ229" s="15"/>
      <c r="CHA229" s="15"/>
      <c r="CHB229" s="10"/>
      <c r="CHC229" s="10"/>
      <c r="CHD229" s="21"/>
      <c r="CHE229" s="21"/>
      <c r="CHH229" s="21"/>
      <c r="CHI229" s="15"/>
      <c r="CHJ229" s="15"/>
      <c r="CHK229" s="15"/>
      <c r="CHL229" s="15"/>
      <c r="CHM229" s="15"/>
      <c r="CHN229" s="15"/>
      <c r="CHO229" s="15"/>
      <c r="CHP229" s="15"/>
      <c r="CHQ229" s="15"/>
      <c r="CHR229" s="15"/>
      <c r="CHS229" s="10"/>
      <c r="CHT229" s="10"/>
      <c r="CHU229" s="21"/>
      <c r="CHV229" s="21"/>
      <c r="CHY229" s="21"/>
      <c r="CHZ229" s="15"/>
      <c r="CIA229" s="15"/>
      <c r="CIB229" s="15"/>
      <c r="CIC229" s="15"/>
      <c r="CID229" s="15"/>
      <c r="CIE229" s="15"/>
      <c r="CIF229" s="15"/>
      <c r="CIG229" s="15"/>
      <c r="CIH229" s="15"/>
      <c r="CII229" s="15"/>
      <c r="CIJ229" s="10"/>
      <c r="CIK229" s="10"/>
      <c r="CIL229" s="21"/>
      <c r="CIM229" s="21"/>
      <c r="CIP229" s="21"/>
      <c r="CIQ229" s="15"/>
      <c r="CIR229" s="15"/>
      <c r="CIS229" s="15"/>
      <c r="CIT229" s="15"/>
      <c r="CIU229" s="15"/>
      <c r="CIV229" s="15"/>
      <c r="CIW229" s="15"/>
      <c r="CIX229" s="15"/>
      <c r="CIY229" s="15"/>
      <c r="CIZ229" s="15"/>
      <c r="CJA229" s="10"/>
      <c r="CJB229" s="10"/>
      <c r="CJC229" s="21"/>
      <c r="CJD229" s="21"/>
      <c r="CJG229" s="21"/>
      <c r="CJH229" s="15"/>
      <c r="CJI229" s="15"/>
      <c r="CJJ229" s="15"/>
      <c r="CJK229" s="15"/>
      <c r="CJL229" s="15"/>
      <c r="CJM229" s="15"/>
      <c r="CJN229" s="15"/>
      <c r="CJO229" s="15"/>
      <c r="CJP229" s="15"/>
      <c r="CJQ229" s="15"/>
      <c r="CJR229" s="10"/>
      <c r="CJS229" s="10"/>
      <c r="CJT229" s="21"/>
      <c r="CJU229" s="21"/>
      <c r="CJX229" s="21"/>
      <c r="CJY229" s="15"/>
      <c r="CJZ229" s="15"/>
      <c r="CKA229" s="15"/>
      <c r="CKB229" s="15"/>
      <c r="CKC229" s="15"/>
      <c r="CKD229" s="15"/>
      <c r="CKE229" s="15"/>
      <c r="CKF229" s="15"/>
      <c r="CKG229" s="15"/>
      <c r="CKH229" s="15"/>
      <c r="CKI229" s="10"/>
      <c r="CKJ229" s="10"/>
      <c r="CKK229" s="21"/>
      <c r="CKL229" s="21"/>
      <c r="CKO229" s="21"/>
      <c r="CKP229" s="15"/>
      <c r="CKQ229" s="15"/>
      <c r="CKR229" s="15"/>
      <c r="CKS229" s="15"/>
      <c r="CKT229" s="15"/>
      <c r="CKU229" s="15"/>
      <c r="CKV229" s="15"/>
      <c r="CKW229" s="15"/>
      <c r="CKX229" s="15"/>
      <c r="CKY229" s="15"/>
      <c r="CKZ229" s="10"/>
      <c r="CLA229" s="10"/>
      <c r="CLB229" s="21"/>
      <c r="CLC229" s="21"/>
      <c r="CLF229" s="21"/>
      <c r="CLG229" s="15"/>
      <c r="CLH229" s="15"/>
      <c r="CLI229" s="15"/>
      <c r="CLJ229" s="15"/>
      <c r="CLK229" s="15"/>
      <c r="CLL229" s="15"/>
      <c r="CLM229" s="15"/>
      <c r="CLN229" s="15"/>
      <c r="CLO229" s="15"/>
      <c r="CLP229" s="15"/>
      <c r="CLQ229" s="10"/>
      <c r="CLR229" s="10"/>
      <c r="CLS229" s="21"/>
      <c r="CLT229" s="21"/>
      <c r="CLW229" s="21"/>
      <c r="CLX229" s="15"/>
      <c r="CLY229" s="15"/>
      <c r="CLZ229" s="15"/>
      <c r="CMA229" s="15"/>
      <c r="CMB229" s="15"/>
      <c r="CMC229" s="15"/>
      <c r="CMD229" s="15"/>
      <c r="CME229" s="15"/>
      <c r="CMF229" s="15"/>
      <c r="CMG229" s="15"/>
      <c r="CMH229" s="10"/>
      <c r="CMI229" s="10"/>
      <c r="CMJ229" s="21"/>
      <c r="CMK229" s="21"/>
      <c r="CMN229" s="21"/>
      <c r="CMO229" s="15"/>
      <c r="CMP229" s="15"/>
      <c r="CMQ229" s="15"/>
      <c r="CMR229" s="15"/>
      <c r="CMS229" s="15"/>
      <c r="CMT229" s="15"/>
      <c r="CMU229" s="15"/>
      <c r="CMV229" s="15"/>
      <c r="CMW229" s="15"/>
      <c r="CMX229" s="15"/>
      <c r="CMY229" s="10"/>
      <c r="CMZ229" s="10"/>
      <c r="CNA229" s="21"/>
      <c r="CNB229" s="21"/>
      <c r="CNE229" s="21"/>
      <c r="CNF229" s="15"/>
      <c r="CNG229" s="15"/>
      <c r="CNH229" s="15"/>
      <c r="CNI229" s="15"/>
      <c r="CNJ229" s="15"/>
      <c r="CNK229" s="15"/>
      <c r="CNL229" s="15"/>
      <c r="CNM229" s="15"/>
      <c r="CNN229" s="15"/>
      <c r="CNO229" s="15"/>
      <c r="CNP229" s="10"/>
      <c r="CNQ229" s="10"/>
      <c r="CNR229" s="21"/>
      <c r="CNS229" s="21"/>
      <c r="CNV229" s="21"/>
      <c r="CNW229" s="15"/>
      <c r="CNX229" s="15"/>
      <c r="CNY229" s="15"/>
      <c r="CNZ229" s="15"/>
      <c r="COA229" s="15"/>
      <c r="COB229" s="15"/>
      <c r="COC229" s="15"/>
      <c r="COD229" s="15"/>
      <c r="COE229" s="15"/>
      <c r="COF229" s="15"/>
      <c r="COG229" s="10"/>
      <c r="COH229" s="10"/>
      <c r="COI229" s="21"/>
      <c r="COJ229" s="21"/>
      <c r="COM229" s="21"/>
      <c r="CON229" s="15"/>
      <c r="COO229" s="15"/>
      <c r="COP229" s="15"/>
      <c r="COQ229" s="15"/>
      <c r="COR229" s="15"/>
      <c r="COS229" s="15"/>
      <c r="COT229" s="15"/>
      <c r="COU229" s="15"/>
      <c r="COV229" s="15"/>
      <c r="COW229" s="15"/>
      <c r="COX229" s="10"/>
      <c r="COY229" s="10"/>
      <c r="COZ229" s="21"/>
      <c r="CPA229" s="21"/>
      <c r="CPD229" s="21"/>
      <c r="CPE229" s="15"/>
      <c r="CPF229" s="15"/>
      <c r="CPG229" s="15"/>
      <c r="CPH229" s="15"/>
      <c r="CPI229" s="15"/>
      <c r="CPJ229" s="15"/>
      <c r="CPK229" s="15"/>
      <c r="CPL229" s="15"/>
      <c r="CPM229" s="15"/>
      <c r="CPN229" s="15"/>
      <c r="CPO229" s="10"/>
      <c r="CPP229" s="10"/>
      <c r="CPQ229" s="21"/>
      <c r="CPR229" s="21"/>
      <c r="CPU229" s="21"/>
      <c r="CPV229" s="15"/>
      <c r="CPW229" s="15"/>
      <c r="CPX229" s="15"/>
      <c r="CPY229" s="15"/>
      <c r="CPZ229" s="15"/>
      <c r="CQA229" s="15"/>
      <c r="CQB229" s="15"/>
      <c r="CQC229" s="15"/>
      <c r="CQD229" s="15"/>
      <c r="CQE229" s="15"/>
      <c r="CQF229" s="10"/>
      <c r="CQG229" s="10"/>
      <c r="CQH229" s="21"/>
      <c r="CQI229" s="21"/>
      <c r="CQL229" s="21"/>
      <c r="CQM229" s="15"/>
      <c r="CQN229" s="15"/>
      <c r="CQO229" s="15"/>
      <c r="CQP229" s="15"/>
      <c r="CQQ229" s="15"/>
      <c r="CQR229" s="15"/>
      <c r="CQS229" s="15"/>
      <c r="CQT229" s="15"/>
      <c r="CQU229" s="15"/>
      <c r="CQV229" s="15"/>
      <c r="CQW229" s="10"/>
      <c r="CQX229" s="10"/>
      <c r="CQY229" s="21"/>
      <c r="CQZ229" s="21"/>
      <c r="CRC229" s="21"/>
      <c r="CRD229" s="15"/>
      <c r="CRE229" s="15"/>
      <c r="CRF229" s="15"/>
      <c r="CRG229" s="15"/>
      <c r="CRH229" s="15"/>
      <c r="CRI229" s="15"/>
      <c r="CRJ229" s="15"/>
      <c r="CRK229" s="15"/>
      <c r="CRL229" s="15"/>
      <c r="CRM229" s="15"/>
      <c r="CRN229" s="10"/>
      <c r="CRO229" s="10"/>
      <c r="CRP229" s="21"/>
      <c r="CRQ229" s="21"/>
      <c r="CRT229" s="21"/>
      <c r="CRU229" s="15"/>
      <c r="CRV229" s="15"/>
      <c r="CRW229" s="15"/>
      <c r="CRX229" s="15"/>
      <c r="CRY229" s="15"/>
      <c r="CRZ229" s="15"/>
      <c r="CSA229" s="15"/>
      <c r="CSB229" s="15"/>
      <c r="CSC229" s="15"/>
      <c r="CSD229" s="15"/>
      <c r="CSE229" s="10"/>
      <c r="CSF229" s="10"/>
      <c r="CSG229" s="21"/>
      <c r="CSH229" s="21"/>
      <c r="CSK229" s="21"/>
      <c r="CSL229" s="15"/>
      <c r="CSM229" s="15"/>
      <c r="CSN229" s="15"/>
      <c r="CSO229" s="15"/>
      <c r="CSP229" s="15"/>
      <c r="CSQ229" s="15"/>
      <c r="CSR229" s="15"/>
      <c r="CSS229" s="15"/>
      <c r="CST229" s="15"/>
      <c r="CSU229" s="15"/>
      <c r="CSV229" s="10"/>
      <c r="CSW229" s="10"/>
      <c r="CSX229" s="21"/>
      <c r="CSY229" s="21"/>
      <c r="CTB229" s="21"/>
      <c r="CTC229" s="15"/>
      <c r="CTD229" s="15"/>
      <c r="CTE229" s="15"/>
      <c r="CTF229" s="15"/>
      <c r="CTG229" s="15"/>
      <c r="CTH229" s="15"/>
      <c r="CTI229" s="15"/>
      <c r="CTJ229" s="15"/>
      <c r="CTK229" s="15"/>
      <c r="CTL229" s="15"/>
      <c r="CTM229" s="10"/>
      <c r="CTN229" s="10"/>
      <c r="CTO229" s="21"/>
      <c r="CTP229" s="21"/>
      <c r="CTS229" s="21"/>
      <c r="CTT229" s="15"/>
      <c r="CTU229" s="15"/>
      <c r="CTV229" s="15"/>
      <c r="CTW229" s="15"/>
      <c r="CTX229" s="15"/>
      <c r="CTY229" s="15"/>
      <c r="CTZ229" s="15"/>
      <c r="CUA229" s="15"/>
      <c r="CUB229" s="15"/>
      <c r="CUC229" s="15"/>
      <c r="CUD229" s="10"/>
      <c r="CUE229" s="10"/>
      <c r="CUF229" s="21"/>
      <c r="CUG229" s="21"/>
      <c r="CUJ229" s="21"/>
      <c r="CUK229" s="15"/>
      <c r="CUL229" s="15"/>
      <c r="CUM229" s="15"/>
      <c r="CUN229" s="15"/>
      <c r="CUO229" s="15"/>
      <c r="CUP229" s="15"/>
      <c r="CUQ229" s="15"/>
      <c r="CUR229" s="15"/>
      <c r="CUS229" s="15"/>
      <c r="CUT229" s="15"/>
      <c r="CUU229" s="10"/>
      <c r="CUV229" s="10"/>
      <c r="CUW229" s="21"/>
      <c r="CUX229" s="21"/>
      <c r="CVA229" s="21"/>
      <c r="CVB229" s="15"/>
      <c r="CVC229" s="15"/>
      <c r="CVD229" s="15"/>
      <c r="CVE229" s="15"/>
      <c r="CVF229" s="15"/>
      <c r="CVG229" s="15"/>
      <c r="CVH229" s="15"/>
      <c r="CVI229" s="15"/>
      <c r="CVJ229" s="15"/>
      <c r="CVK229" s="15"/>
      <c r="CVL229" s="10"/>
      <c r="CVM229" s="10"/>
      <c r="CVN229" s="21"/>
      <c r="CVO229" s="21"/>
      <c r="CVR229" s="21"/>
      <c r="CVS229" s="15"/>
      <c r="CVT229" s="15"/>
      <c r="CVU229" s="15"/>
      <c r="CVV229" s="15"/>
      <c r="CVW229" s="15"/>
      <c r="CVX229" s="15"/>
      <c r="CVY229" s="15"/>
      <c r="CVZ229" s="15"/>
      <c r="CWA229" s="15"/>
      <c r="CWB229" s="15"/>
      <c r="CWC229" s="10"/>
      <c r="CWD229" s="10"/>
      <c r="CWE229" s="21"/>
      <c r="CWF229" s="21"/>
      <c r="CWI229" s="21"/>
      <c r="CWJ229" s="15"/>
      <c r="CWK229" s="15"/>
      <c r="CWL229" s="15"/>
      <c r="CWM229" s="15"/>
      <c r="CWN229" s="15"/>
      <c r="CWO229" s="15"/>
      <c r="CWP229" s="15"/>
      <c r="CWQ229" s="15"/>
      <c r="CWR229" s="15"/>
      <c r="CWS229" s="15"/>
      <c r="CWT229" s="10"/>
      <c r="CWU229" s="10"/>
      <c r="CWV229" s="21"/>
      <c r="CWW229" s="21"/>
      <c r="CWZ229" s="21"/>
      <c r="CXA229" s="15"/>
      <c r="CXB229" s="15"/>
      <c r="CXC229" s="15"/>
      <c r="CXD229" s="15"/>
      <c r="CXE229" s="15"/>
      <c r="CXF229" s="15"/>
      <c r="CXG229" s="15"/>
      <c r="CXH229" s="15"/>
      <c r="CXI229" s="15"/>
      <c r="CXJ229" s="15"/>
      <c r="CXK229" s="10"/>
      <c r="CXL229" s="10"/>
      <c r="CXM229" s="21"/>
      <c r="CXN229" s="21"/>
      <c r="CXQ229" s="21"/>
      <c r="CXR229" s="15"/>
      <c r="CXS229" s="15"/>
      <c r="CXT229" s="15"/>
      <c r="CXU229" s="15"/>
      <c r="CXV229" s="15"/>
      <c r="CXW229" s="15"/>
      <c r="CXX229" s="15"/>
      <c r="CXY229" s="15"/>
      <c r="CXZ229" s="15"/>
      <c r="CYA229" s="15"/>
      <c r="CYB229" s="10"/>
      <c r="CYC229" s="10"/>
      <c r="CYD229" s="21"/>
      <c r="CYE229" s="21"/>
      <c r="CYH229" s="21"/>
      <c r="CYI229" s="15"/>
      <c r="CYJ229" s="15"/>
      <c r="CYK229" s="15"/>
      <c r="CYL229" s="15"/>
      <c r="CYM229" s="15"/>
      <c r="CYN229" s="15"/>
      <c r="CYO229" s="15"/>
      <c r="CYP229" s="15"/>
      <c r="CYQ229" s="15"/>
      <c r="CYR229" s="15"/>
      <c r="CYS229" s="10"/>
      <c r="CYT229" s="10"/>
      <c r="CYU229" s="21"/>
      <c r="CYV229" s="21"/>
      <c r="CYY229" s="21"/>
      <c r="CYZ229" s="15"/>
      <c r="CZA229" s="15"/>
      <c r="CZB229" s="15"/>
      <c r="CZC229" s="15"/>
      <c r="CZD229" s="15"/>
      <c r="CZE229" s="15"/>
      <c r="CZF229" s="15"/>
      <c r="CZG229" s="15"/>
      <c r="CZH229" s="15"/>
      <c r="CZI229" s="15"/>
      <c r="CZJ229" s="10"/>
      <c r="CZK229" s="10"/>
      <c r="CZL229" s="21"/>
      <c r="CZM229" s="21"/>
      <c r="CZP229" s="21"/>
      <c r="CZQ229" s="15"/>
      <c r="CZR229" s="15"/>
      <c r="CZS229" s="15"/>
      <c r="CZT229" s="15"/>
      <c r="CZU229" s="15"/>
      <c r="CZV229" s="15"/>
      <c r="CZW229" s="15"/>
      <c r="CZX229" s="15"/>
      <c r="CZY229" s="15"/>
      <c r="CZZ229" s="15"/>
      <c r="DAA229" s="10"/>
      <c r="DAB229" s="10"/>
      <c r="DAC229" s="21"/>
      <c r="DAD229" s="21"/>
      <c r="DAG229" s="21"/>
      <c r="DAH229" s="15"/>
      <c r="DAI229" s="15"/>
      <c r="DAJ229" s="15"/>
      <c r="DAK229" s="15"/>
      <c r="DAL229" s="15"/>
      <c r="DAM229" s="15"/>
      <c r="DAN229" s="15"/>
      <c r="DAO229" s="15"/>
      <c r="DAP229" s="15"/>
      <c r="DAQ229" s="15"/>
      <c r="DAR229" s="10"/>
      <c r="DAS229" s="10"/>
      <c r="DAT229" s="21"/>
      <c r="DAU229" s="21"/>
      <c r="DAX229" s="21"/>
      <c r="DAY229" s="15"/>
      <c r="DAZ229" s="15"/>
      <c r="DBA229" s="15"/>
      <c r="DBB229" s="15"/>
      <c r="DBC229" s="15"/>
      <c r="DBD229" s="15"/>
      <c r="DBE229" s="15"/>
      <c r="DBF229" s="15"/>
      <c r="DBG229" s="15"/>
      <c r="DBH229" s="15"/>
      <c r="DBI229" s="10"/>
      <c r="DBJ229" s="10"/>
      <c r="DBK229" s="21"/>
      <c r="DBL229" s="21"/>
      <c r="DBO229" s="21"/>
      <c r="DBP229" s="15"/>
      <c r="DBQ229" s="15"/>
      <c r="DBR229" s="15"/>
      <c r="DBS229" s="15"/>
      <c r="DBT229" s="15"/>
      <c r="DBU229" s="15"/>
      <c r="DBV229" s="15"/>
      <c r="DBW229" s="15"/>
      <c r="DBX229" s="15"/>
      <c r="DBY229" s="15"/>
      <c r="DBZ229" s="10"/>
      <c r="DCA229" s="10"/>
      <c r="DCB229" s="21"/>
      <c r="DCC229" s="21"/>
      <c r="DCF229" s="21"/>
      <c r="DCG229" s="15"/>
      <c r="DCH229" s="15"/>
      <c r="DCI229" s="15"/>
      <c r="DCJ229" s="15"/>
      <c r="DCK229" s="15"/>
      <c r="DCL229" s="15"/>
      <c r="DCM229" s="15"/>
      <c r="DCN229" s="15"/>
      <c r="DCO229" s="15"/>
      <c r="DCP229" s="15"/>
      <c r="DCQ229" s="10"/>
      <c r="DCR229" s="10"/>
      <c r="DCS229" s="21"/>
      <c r="DCT229" s="21"/>
      <c r="DCW229" s="21"/>
      <c r="DCX229" s="15"/>
      <c r="DCY229" s="15"/>
      <c r="DCZ229" s="15"/>
      <c r="DDA229" s="15"/>
      <c r="DDB229" s="15"/>
      <c r="DDC229" s="15"/>
      <c r="DDD229" s="15"/>
      <c r="DDE229" s="15"/>
      <c r="DDF229" s="15"/>
      <c r="DDG229" s="15"/>
      <c r="DDH229" s="10"/>
      <c r="DDI229" s="10"/>
      <c r="DDJ229" s="21"/>
      <c r="DDK229" s="21"/>
      <c r="DDN229" s="21"/>
      <c r="DDO229" s="15"/>
      <c r="DDP229" s="15"/>
      <c r="DDQ229" s="15"/>
      <c r="DDR229" s="15"/>
      <c r="DDS229" s="15"/>
      <c r="DDT229" s="15"/>
      <c r="DDU229" s="15"/>
      <c r="DDV229" s="15"/>
      <c r="DDW229" s="15"/>
      <c r="DDX229" s="15"/>
      <c r="DDY229" s="10"/>
      <c r="DDZ229" s="10"/>
      <c r="DEA229" s="21"/>
      <c r="DEB229" s="21"/>
      <c r="DEE229" s="21"/>
      <c r="DEF229" s="15"/>
      <c r="DEG229" s="15"/>
      <c r="DEH229" s="15"/>
      <c r="DEI229" s="15"/>
      <c r="DEJ229" s="15"/>
      <c r="DEK229" s="15"/>
      <c r="DEL229" s="15"/>
      <c r="DEM229" s="15"/>
      <c r="DEN229" s="15"/>
      <c r="DEO229" s="15"/>
      <c r="DEP229" s="10"/>
      <c r="DEQ229" s="10"/>
      <c r="DER229" s="21"/>
      <c r="DES229" s="21"/>
      <c r="DEV229" s="21"/>
      <c r="DEW229" s="15"/>
      <c r="DEX229" s="15"/>
      <c r="DEY229" s="15"/>
      <c r="DEZ229" s="15"/>
      <c r="DFA229" s="15"/>
      <c r="DFB229" s="15"/>
      <c r="DFC229" s="15"/>
      <c r="DFD229" s="15"/>
      <c r="DFE229" s="15"/>
      <c r="DFF229" s="15"/>
      <c r="DFG229" s="10"/>
      <c r="DFH229" s="10"/>
      <c r="DFI229" s="21"/>
      <c r="DFJ229" s="21"/>
      <c r="DFM229" s="21"/>
      <c r="DFN229" s="15"/>
      <c r="DFO229" s="15"/>
      <c r="DFP229" s="15"/>
      <c r="DFQ229" s="15"/>
      <c r="DFR229" s="15"/>
      <c r="DFS229" s="15"/>
      <c r="DFT229" s="15"/>
      <c r="DFU229" s="15"/>
      <c r="DFV229" s="15"/>
      <c r="DFW229" s="15"/>
      <c r="DFX229" s="10"/>
      <c r="DFY229" s="10"/>
      <c r="DFZ229" s="21"/>
      <c r="DGA229" s="21"/>
      <c r="DGD229" s="21"/>
      <c r="DGE229" s="15"/>
      <c r="DGF229" s="15"/>
      <c r="DGG229" s="15"/>
      <c r="DGH229" s="15"/>
      <c r="DGI229" s="15"/>
      <c r="DGJ229" s="15"/>
      <c r="DGK229" s="15"/>
      <c r="DGL229" s="15"/>
      <c r="DGM229" s="15"/>
      <c r="DGN229" s="15"/>
      <c r="DGO229" s="10"/>
      <c r="DGP229" s="10"/>
      <c r="DGQ229" s="21"/>
      <c r="DGR229" s="21"/>
      <c r="DGU229" s="21"/>
      <c r="DGV229" s="15"/>
      <c r="DGW229" s="15"/>
      <c r="DGX229" s="15"/>
      <c r="DGY229" s="15"/>
      <c r="DGZ229" s="15"/>
      <c r="DHA229" s="15"/>
      <c r="DHB229" s="15"/>
      <c r="DHC229" s="15"/>
      <c r="DHD229" s="15"/>
      <c r="DHE229" s="15"/>
      <c r="DHF229" s="10"/>
      <c r="DHG229" s="10"/>
      <c r="DHH229" s="21"/>
      <c r="DHI229" s="21"/>
      <c r="DHL229" s="21"/>
      <c r="DHM229" s="15"/>
      <c r="DHN229" s="15"/>
      <c r="DHO229" s="15"/>
      <c r="DHP229" s="15"/>
      <c r="DHQ229" s="15"/>
      <c r="DHR229" s="15"/>
      <c r="DHS229" s="15"/>
      <c r="DHT229" s="15"/>
      <c r="DHU229" s="15"/>
      <c r="DHV229" s="15"/>
      <c r="DHW229" s="10"/>
      <c r="DHX229" s="10"/>
      <c r="DHY229" s="21"/>
      <c r="DHZ229" s="21"/>
      <c r="DIC229" s="21"/>
      <c r="DID229" s="15"/>
      <c r="DIE229" s="15"/>
      <c r="DIF229" s="15"/>
      <c r="DIG229" s="15"/>
      <c r="DIH229" s="15"/>
      <c r="DII229" s="15"/>
      <c r="DIJ229" s="15"/>
      <c r="DIK229" s="15"/>
      <c r="DIL229" s="15"/>
      <c r="DIM229" s="15"/>
      <c r="DIN229" s="10"/>
      <c r="DIO229" s="10"/>
      <c r="DIP229" s="21"/>
      <c r="DIQ229" s="21"/>
      <c r="DIT229" s="21"/>
      <c r="DIU229" s="15"/>
      <c r="DIV229" s="15"/>
      <c r="DIW229" s="15"/>
      <c r="DIX229" s="15"/>
      <c r="DIY229" s="15"/>
      <c r="DIZ229" s="15"/>
      <c r="DJA229" s="15"/>
      <c r="DJB229" s="15"/>
      <c r="DJC229" s="15"/>
      <c r="DJD229" s="15"/>
      <c r="DJE229" s="10"/>
      <c r="DJF229" s="10"/>
      <c r="DJG229" s="21"/>
      <c r="DJH229" s="21"/>
      <c r="DJK229" s="21"/>
      <c r="DJL229" s="15"/>
      <c r="DJM229" s="15"/>
      <c r="DJN229" s="15"/>
      <c r="DJO229" s="15"/>
      <c r="DJP229" s="15"/>
      <c r="DJQ229" s="15"/>
      <c r="DJR229" s="15"/>
      <c r="DJS229" s="15"/>
      <c r="DJT229" s="15"/>
      <c r="DJU229" s="15"/>
      <c r="DJV229" s="10"/>
      <c r="DJW229" s="10"/>
      <c r="DJX229" s="21"/>
      <c r="DJY229" s="21"/>
      <c r="DKB229" s="21"/>
      <c r="DKC229" s="15"/>
      <c r="DKD229" s="15"/>
      <c r="DKE229" s="15"/>
      <c r="DKF229" s="15"/>
      <c r="DKG229" s="15"/>
      <c r="DKH229" s="15"/>
      <c r="DKI229" s="15"/>
      <c r="DKJ229" s="15"/>
      <c r="DKK229" s="15"/>
      <c r="DKL229" s="15"/>
      <c r="DKM229" s="10"/>
      <c r="DKN229" s="10"/>
      <c r="DKO229" s="21"/>
      <c r="DKP229" s="21"/>
      <c r="DKS229" s="21"/>
      <c r="DKT229" s="15"/>
      <c r="DKU229" s="15"/>
      <c r="DKV229" s="15"/>
      <c r="DKW229" s="15"/>
      <c r="DKX229" s="15"/>
      <c r="DKY229" s="15"/>
      <c r="DKZ229" s="15"/>
      <c r="DLA229" s="15"/>
      <c r="DLB229" s="15"/>
      <c r="DLC229" s="15"/>
      <c r="DLD229" s="10"/>
      <c r="DLE229" s="10"/>
      <c r="DLF229" s="21"/>
      <c r="DLG229" s="21"/>
      <c r="DLJ229" s="21"/>
      <c r="DLK229" s="15"/>
      <c r="DLL229" s="15"/>
      <c r="DLM229" s="15"/>
      <c r="DLN229" s="15"/>
      <c r="DLO229" s="15"/>
      <c r="DLP229" s="15"/>
      <c r="DLQ229" s="15"/>
      <c r="DLR229" s="15"/>
      <c r="DLS229" s="15"/>
      <c r="DLT229" s="15"/>
      <c r="DLU229" s="10"/>
      <c r="DLV229" s="10"/>
      <c r="DLW229" s="21"/>
      <c r="DLX229" s="21"/>
      <c r="DMA229" s="21"/>
      <c r="DMB229" s="15"/>
      <c r="DMC229" s="15"/>
      <c r="DMD229" s="15"/>
      <c r="DME229" s="15"/>
      <c r="DMF229" s="15"/>
      <c r="DMG229" s="15"/>
      <c r="DMH229" s="15"/>
      <c r="DMI229" s="15"/>
      <c r="DMJ229" s="15"/>
      <c r="DMK229" s="15"/>
      <c r="DML229" s="10"/>
      <c r="DMM229" s="10"/>
      <c r="DMN229" s="21"/>
      <c r="DMO229" s="21"/>
      <c r="DMR229" s="21"/>
      <c r="DMS229" s="15"/>
      <c r="DMT229" s="15"/>
      <c r="DMU229" s="15"/>
      <c r="DMV229" s="15"/>
      <c r="DMW229" s="15"/>
      <c r="DMX229" s="15"/>
      <c r="DMY229" s="15"/>
      <c r="DMZ229" s="15"/>
      <c r="DNA229" s="15"/>
      <c r="DNB229" s="15"/>
      <c r="DNC229" s="10"/>
      <c r="DND229" s="10"/>
      <c r="DNE229" s="21"/>
      <c r="DNF229" s="21"/>
      <c r="DNI229" s="21"/>
      <c r="DNJ229" s="15"/>
      <c r="DNK229" s="15"/>
      <c r="DNL229" s="15"/>
      <c r="DNM229" s="15"/>
      <c r="DNN229" s="15"/>
      <c r="DNO229" s="15"/>
      <c r="DNP229" s="15"/>
      <c r="DNQ229" s="15"/>
      <c r="DNR229" s="15"/>
      <c r="DNS229" s="15"/>
      <c r="DNT229" s="10"/>
      <c r="DNU229" s="10"/>
      <c r="DNV229" s="21"/>
      <c r="DNW229" s="21"/>
      <c r="DNZ229" s="21"/>
      <c r="DOA229" s="15"/>
      <c r="DOB229" s="15"/>
      <c r="DOC229" s="15"/>
      <c r="DOD229" s="15"/>
      <c r="DOE229" s="15"/>
      <c r="DOF229" s="15"/>
      <c r="DOG229" s="15"/>
      <c r="DOH229" s="15"/>
      <c r="DOI229" s="15"/>
      <c r="DOJ229" s="15"/>
      <c r="DOK229" s="10"/>
      <c r="DOL229" s="10"/>
      <c r="DOM229" s="21"/>
      <c r="DON229" s="21"/>
      <c r="DOQ229" s="21"/>
      <c r="DOR229" s="15"/>
      <c r="DOS229" s="15"/>
      <c r="DOT229" s="15"/>
      <c r="DOU229" s="15"/>
      <c r="DOV229" s="15"/>
      <c r="DOW229" s="15"/>
      <c r="DOX229" s="15"/>
      <c r="DOY229" s="15"/>
      <c r="DOZ229" s="15"/>
      <c r="DPA229" s="15"/>
      <c r="DPB229" s="10"/>
      <c r="DPC229" s="10"/>
      <c r="DPD229" s="21"/>
      <c r="DPE229" s="21"/>
      <c r="DPH229" s="21"/>
      <c r="DPI229" s="15"/>
      <c r="DPJ229" s="15"/>
      <c r="DPK229" s="15"/>
      <c r="DPL229" s="15"/>
      <c r="DPM229" s="15"/>
      <c r="DPN229" s="15"/>
      <c r="DPO229" s="15"/>
      <c r="DPP229" s="15"/>
      <c r="DPQ229" s="15"/>
      <c r="DPR229" s="15"/>
      <c r="DPS229" s="10"/>
      <c r="DPT229" s="10"/>
      <c r="DPU229" s="21"/>
      <c r="DPV229" s="21"/>
      <c r="DPY229" s="21"/>
      <c r="DPZ229" s="15"/>
      <c r="DQA229" s="15"/>
      <c r="DQB229" s="15"/>
      <c r="DQC229" s="15"/>
      <c r="DQD229" s="15"/>
      <c r="DQE229" s="15"/>
      <c r="DQF229" s="15"/>
      <c r="DQG229" s="15"/>
      <c r="DQH229" s="15"/>
      <c r="DQI229" s="15"/>
      <c r="DQJ229" s="10"/>
      <c r="DQK229" s="10"/>
      <c r="DQL229" s="21"/>
      <c r="DQM229" s="21"/>
      <c r="DQP229" s="21"/>
      <c r="DQQ229" s="15"/>
      <c r="DQR229" s="15"/>
      <c r="DQS229" s="15"/>
      <c r="DQT229" s="15"/>
      <c r="DQU229" s="15"/>
      <c r="DQV229" s="15"/>
      <c r="DQW229" s="15"/>
      <c r="DQX229" s="15"/>
      <c r="DQY229" s="15"/>
      <c r="DQZ229" s="15"/>
      <c r="DRA229" s="10"/>
      <c r="DRB229" s="10"/>
      <c r="DRC229" s="21"/>
      <c r="DRD229" s="21"/>
      <c r="DRG229" s="21"/>
      <c r="DRH229" s="15"/>
      <c r="DRI229" s="15"/>
      <c r="DRJ229" s="15"/>
      <c r="DRK229" s="15"/>
      <c r="DRL229" s="15"/>
      <c r="DRM229" s="15"/>
      <c r="DRN229" s="15"/>
      <c r="DRO229" s="15"/>
      <c r="DRP229" s="15"/>
      <c r="DRQ229" s="15"/>
      <c r="DRR229" s="10"/>
      <c r="DRS229" s="10"/>
      <c r="DRT229" s="21"/>
      <c r="DRU229" s="21"/>
      <c r="DRX229" s="21"/>
      <c r="DRY229" s="15"/>
      <c r="DRZ229" s="15"/>
      <c r="DSA229" s="15"/>
      <c r="DSB229" s="15"/>
      <c r="DSC229" s="15"/>
      <c r="DSD229" s="15"/>
      <c r="DSE229" s="15"/>
      <c r="DSF229" s="15"/>
      <c r="DSG229" s="15"/>
      <c r="DSH229" s="15"/>
      <c r="DSI229" s="10"/>
      <c r="DSJ229" s="10"/>
      <c r="DSK229" s="21"/>
      <c r="DSL229" s="21"/>
      <c r="DSO229" s="21"/>
      <c r="DSP229" s="15"/>
      <c r="DSQ229" s="15"/>
      <c r="DSR229" s="15"/>
      <c r="DSS229" s="15"/>
      <c r="DST229" s="15"/>
      <c r="DSU229" s="15"/>
      <c r="DSV229" s="15"/>
      <c r="DSW229" s="15"/>
      <c r="DSX229" s="15"/>
      <c r="DSY229" s="15"/>
      <c r="DSZ229" s="10"/>
      <c r="DTA229" s="10"/>
      <c r="DTB229" s="21"/>
      <c r="DTC229" s="21"/>
      <c r="DTF229" s="21"/>
      <c r="DTG229" s="15"/>
      <c r="DTH229" s="15"/>
      <c r="DTI229" s="15"/>
      <c r="DTJ229" s="15"/>
      <c r="DTK229" s="15"/>
      <c r="DTL229" s="15"/>
      <c r="DTM229" s="15"/>
      <c r="DTN229" s="15"/>
      <c r="DTO229" s="15"/>
      <c r="DTP229" s="15"/>
      <c r="DTQ229" s="10"/>
      <c r="DTR229" s="10"/>
      <c r="DTS229" s="21"/>
      <c r="DTT229" s="21"/>
      <c r="DTW229" s="21"/>
      <c r="DTX229" s="15"/>
      <c r="DTY229" s="15"/>
      <c r="DTZ229" s="15"/>
      <c r="DUA229" s="15"/>
      <c r="DUB229" s="15"/>
      <c r="DUC229" s="15"/>
      <c r="DUD229" s="15"/>
      <c r="DUE229" s="15"/>
      <c r="DUF229" s="15"/>
      <c r="DUG229" s="15"/>
      <c r="DUH229" s="10"/>
      <c r="DUI229" s="10"/>
      <c r="DUJ229" s="21"/>
      <c r="DUK229" s="21"/>
      <c r="DUN229" s="21"/>
      <c r="DUO229" s="15"/>
      <c r="DUP229" s="15"/>
      <c r="DUQ229" s="15"/>
      <c r="DUR229" s="15"/>
      <c r="DUS229" s="15"/>
      <c r="DUT229" s="15"/>
      <c r="DUU229" s="15"/>
      <c r="DUV229" s="15"/>
      <c r="DUW229" s="15"/>
      <c r="DUX229" s="15"/>
      <c r="DUY229" s="10"/>
      <c r="DUZ229" s="10"/>
      <c r="DVA229" s="21"/>
      <c r="DVB229" s="21"/>
      <c r="DVE229" s="21"/>
      <c r="DVF229" s="15"/>
      <c r="DVG229" s="15"/>
      <c r="DVH229" s="15"/>
      <c r="DVI229" s="15"/>
      <c r="DVJ229" s="15"/>
      <c r="DVK229" s="15"/>
      <c r="DVL229" s="15"/>
      <c r="DVM229" s="15"/>
      <c r="DVN229" s="15"/>
      <c r="DVO229" s="15"/>
      <c r="DVP229" s="10"/>
      <c r="DVQ229" s="10"/>
      <c r="DVR229" s="21"/>
      <c r="DVS229" s="21"/>
      <c r="DVV229" s="21"/>
      <c r="DVW229" s="15"/>
      <c r="DVX229" s="15"/>
      <c r="DVY229" s="15"/>
      <c r="DVZ229" s="15"/>
      <c r="DWA229" s="15"/>
      <c r="DWB229" s="15"/>
      <c r="DWC229" s="15"/>
      <c r="DWD229" s="15"/>
      <c r="DWE229" s="15"/>
      <c r="DWF229" s="15"/>
      <c r="DWG229" s="10"/>
      <c r="DWH229" s="10"/>
      <c r="DWI229" s="21"/>
      <c r="DWJ229" s="21"/>
      <c r="DWM229" s="21"/>
      <c r="DWN229" s="15"/>
      <c r="DWO229" s="15"/>
      <c r="DWP229" s="15"/>
      <c r="DWQ229" s="15"/>
      <c r="DWR229" s="15"/>
      <c r="DWS229" s="15"/>
      <c r="DWT229" s="15"/>
      <c r="DWU229" s="15"/>
      <c r="DWV229" s="15"/>
      <c r="DWW229" s="15"/>
      <c r="DWX229" s="10"/>
      <c r="DWY229" s="10"/>
      <c r="DWZ229" s="21"/>
      <c r="DXA229" s="21"/>
      <c r="DXD229" s="21"/>
      <c r="DXE229" s="15"/>
      <c r="DXF229" s="15"/>
      <c r="DXG229" s="15"/>
      <c r="DXH229" s="15"/>
      <c r="DXI229" s="15"/>
      <c r="DXJ229" s="15"/>
      <c r="DXK229" s="15"/>
      <c r="DXL229" s="15"/>
      <c r="DXM229" s="15"/>
      <c r="DXN229" s="15"/>
      <c r="DXO229" s="10"/>
      <c r="DXP229" s="10"/>
      <c r="DXQ229" s="21"/>
      <c r="DXR229" s="21"/>
      <c r="DXU229" s="21"/>
      <c r="DXV229" s="15"/>
      <c r="DXW229" s="15"/>
      <c r="DXX229" s="15"/>
      <c r="DXY229" s="15"/>
      <c r="DXZ229" s="15"/>
      <c r="DYA229" s="15"/>
      <c r="DYB229" s="15"/>
      <c r="DYC229" s="15"/>
      <c r="DYD229" s="15"/>
      <c r="DYE229" s="15"/>
      <c r="DYF229" s="10"/>
      <c r="DYG229" s="10"/>
      <c r="DYH229" s="21"/>
      <c r="DYI229" s="21"/>
      <c r="DYL229" s="21"/>
      <c r="DYM229" s="15"/>
      <c r="DYN229" s="15"/>
      <c r="DYO229" s="15"/>
      <c r="DYP229" s="15"/>
      <c r="DYQ229" s="15"/>
      <c r="DYR229" s="15"/>
      <c r="DYS229" s="15"/>
      <c r="DYT229" s="15"/>
      <c r="DYU229" s="15"/>
      <c r="DYV229" s="15"/>
      <c r="DYW229" s="10"/>
      <c r="DYX229" s="10"/>
      <c r="DYY229" s="21"/>
      <c r="DYZ229" s="21"/>
      <c r="DZC229" s="21"/>
      <c r="DZD229" s="15"/>
      <c r="DZE229" s="15"/>
      <c r="DZF229" s="15"/>
      <c r="DZG229" s="15"/>
      <c r="DZH229" s="15"/>
      <c r="DZI229" s="15"/>
      <c r="DZJ229" s="15"/>
      <c r="DZK229" s="15"/>
      <c r="DZL229" s="15"/>
      <c r="DZM229" s="15"/>
      <c r="DZN229" s="10"/>
      <c r="DZO229" s="10"/>
      <c r="DZP229" s="21"/>
      <c r="DZQ229" s="21"/>
      <c r="DZT229" s="21"/>
      <c r="DZU229" s="15"/>
      <c r="DZV229" s="15"/>
      <c r="DZW229" s="15"/>
      <c r="DZX229" s="15"/>
      <c r="DZY229" s="15"/>
      <c r="DZZ229" s="15"/>
      <c r="EAA229" s="15"/>
      <c r="EAB229" s="15"/>
      <c r="EAC229" s="15"/>
      <c r="EAD229" s="15"/>
      <c r="EAE229" s="10"/>
      <c r="EAF229" s="10"/>
      <c r="EAG229" s="21"/>
      <c r="EAH229" s="21"/>
      <c r="EAK229" s="21"/>
      <c r="EAL229" s="15"/>
      <c r="EAM229" s="15"/>
      <c r="EAN229" s="15"/>
      <c r="EAO229" s="15"/>
      <c r="EAP229" s="15"/>
      <c r="EAQ229" s="15"/>
      <c r="EAR229" s="15"/>
      <c r="EAS229" s="15"/>
      <c r="EAT229" s="15"/>
      <c r="EAU229" s="15"/>
      <c r="EAV229" s="10"/>
      <c r="EAW229" s="10"/>
      <c r="EAX229" s="21"/>
      <c r="EAY229" s="21"/>
      <c r="EBB229" s="21"/>
      <c r="EBC229" s="15"/>
      <c r="EBD229" s="15"/>
      <c r="EBE229" s="15"/>
      <c r="EBF229" s="15"/>
      <c r="EBG229" s="15"/>
      <c r="EBH229" s="15"/>
      <c r="EBI229" s="15"/>
      <c r="EBJ229" s="15"/>
      <c r="EBK229" s="15"/>
      <c r="EBL229" s="15"/>
      <c r="EBM229" s="10"/>
      <c r="EBN229" s="10"/>
      <c r="EBO229" s="21"/>
      <c r="EBP229" s="21"/>
      <c r="EBS229" s="21"/>
      <c r="EBT229" s="15"/>
      <c r="EBU229" s="15"/>
      <c r="EBV229" s="15"/>
      <c r="EBW229" s="15"/>
      <c r="EBX229" s="15"/>
      <c r="EBY229" s="15"/>
      <c r="EBZ229" s="15"/>
      <c r="ECA229" s="15"/>
      <c r="ECB229" s="15"/>
      <c r="ECC229" s="15"/>
      <c r="ECD229" s="10"/>
      <c r="ECE229" s="10"/>
      <c r="ECF229" s="21"/>
      <c r="ECG229" s="21"/>
      <c r="ECJ229" s="21"/>
      <c r="ECK229" s="15"/>
      <c r="ECL229" s="15"/>
      <c r="ECM229" s="15"/>
      <c r="ECN229" s="15"/>
      <c r="ECO229" s="15"/>
      <c r="ECP229" s="15"/>
      <c r="ECQ229" s="15"/>
      <c r="ECR229" s="15"/>
      <c r="ECS229" s="15"/>
      <c r="ECT229" s="15"/>
      <c r="ECU229" s="10"/>
      <c r="ECV229" s="10"/>
      <c r="ECW229" s="21"/>
      <c r="ECX229" s="21"/>
      <c r="EDA229" s="21"/>
      <c r="EDB229" s="15"/>
      <c r="EDC229" s="15"/>
      <c r="EDD229" s="15"/>
      <c r="EDE229" s="15"/>
      <c r="EDF229" s="15"/>
      <c r="EDG229" s="15"/>
      <c r="EDH229" s="15"/>
      <c r="EDI229" s="15"/>
      <c r="EDJ229" s="15"/>
      <c r="EDK229" s="15"/>
      <c r="EDL229" s="10"/>
      <c r="EDM229" s="10"/>
      <c r="EDN229" s="21"/>
      <c r="EDO229" s="21"/>
      <c r="EDR229" s="21"/>
      <c r="EDS229" s="15"/>
      <c r="EDT229" s="15"/>
      <c r="EDU229" s="15"/>
      <c r="EDV229" s="15"/>
      <c r="EDW229" s="15"/>
      <c r="EDX229" s="15"/>
      <c r="EDY229" s="15"/>
      <c r="EDZ229" s="15"/>
      <c r="EEA229" s="15"/>
      <c r="EEB229" s="15"/>
      <c r="EEC229" s="10"/>
      <c r="EED229" s="10"/>
      <c r="EEE229" s="21"/>
      <c r="EEF229" s="21"/>
      <c r="EEI229" s="21"/>
      <c r="EEJ229" s="15"/>
      <c r="EEK229" s="15"/>
      <c r="EEL229" s="15"/>
      <c r="EEM229" s="15"/>
      <c r="EEN229" s="15"/>
      <c r="EEO229" s="15"/>
      <c r="EEP229" s="15"/>
      <c r="EEQ229" s="15"/>
      <c r="EER229" s="15"/>
      <c r="EES229" s="15"/>
      <c r="EET229" s="10"/>
      <c r="EEU229" s="10"/>
      <c r="EEV229" s="21"/>
      <c r="EEW229" s="21"/>
      <c r="EEZ229" s="21"/>
      <c r="EFA229" s="15"/>
      <c r="EFB229" s="15"/>
      <c r="EFC229" s="15"/>
      <c r="EFD229" s="15"/>
      <c r="EFE229" s="15"/>
      <c r="EFF229" s="15"/>
      <c r="EFG229" s="15"/>
      <c r="EFH229" s="15"/>
      <c r="EFI229" s="15"/>
      <c r="EFJ229" s="15"/>
      <c r="EFK229" s="10"/>
      <c r="EFL229" s="10"/>
      <c r="EFM229" s="21"/>
      <c r="EFN229" s="21"/>
      <c r="EFQ229" s="21"/>
      <c r="EFR229" s="15"/>
      <c r="EFS229" s="15"/>
      <c r="EFT229" s="15"/>
      <c r="EFU229" s="15"/>
      <c r="EFV229" s="15"/>
      <c r="EFW229" s="15"/>
      <c r="EFX229" s="15"/>
      <c r="EFY229" s="15"/>
      <c r="EFZ229" s="15"/>
      <c r="EGA229" s="15"/>
      <c r="EGB229" s="10"/>
      <c r="EGC229" s="10"/>
      <c r="EGD229" s="21"/>
      <c r="EGE229" s="21"/>
      <c r="EGH229" s="21"/>
      <c r="EGI229" s="15"/>
      <c r="EGJ229" s="15"/>
      <c r="EGK229" s="15"/>
      <c r="EGL229" s="15"/>
      <c r="EGM229" s="15"/>
      <c r="EGN229" s="15"/>
      <c r="EGO229" s="15"/>
      <c r="EGP229" s="15"/>
      <c r="EGQ229" s="15"/>
      <c r="EGR229" s="15"/>
      <c r="EGS229" s="10"/>
      <c r="EGT229" s="10"/>
      <c r="EGU229" s="21"/>
      <c r="EGV229" s="21"/>
      <c r="EGY229" s="21"/>
      <c r="EGZ229" s="15"/>
      <c r="EHA229" s="15"/>
      <c r="EHB229" s="15"/>
      <c r="EHC229" s="15"/>
      <c r="EHD229" s="15"/>
      <c r="EHE229" s="15"/>
      <c r="EHF229" s="15"/>
      <c r="EHG229" s="15"/>
      <c r="EHH229" s="15"/>
      <c r="EHI229" s="15"/>
      <c r="EHJ229" s="10"/>
      <c r="EHK229" s="10"/>
      <c r="EHL229" s="21"/>
      <c r="EHM229" s="21"/>
      <c r="EHP229" s="21"/>
      <c r="EHQ229" s="15"/>
      <c r="EHR229" s="15"/>
      <c r="EHS229" s="15"/>
      <c r="EHT229" s="15"/>
      <c r="EHU229" s="15"/>
      <c r="EHV229" s="15"/>
      <c r="EHW229" s="15"/>
      <c r="EHX229" s="15"/>
      <c r="EHY229" s="15"/>
      <c r="EHZ229" s="15"/>
      <c r="EIA229" s="10"/>
      <c r="EIB229" s="10"/>
      <c r="EIC229" s="21"/>
      <c r="EID229" s="21"/>
      <c r="EIG229" s="21"/>
      <c r="EIH229" s="15"/>
      <c r="EII229" s="15"/>
      <c r="EIJ229" s="15"/>
      <c r="EIK229" s="15"/>
      <c r="EIL229" s="15"/>
      <c r="EIM229" s="15"/>
      <c r="EIN229" s="15"/>
      <c r="EIO229" s="15"/>
      <c r="EIP229" s="15"/>
      <c r="EIQ229" s="15"/>
      <c r="EIR229" s="10"/>
      <c r="EIS229" s="10"/>
      <c r="EIT229" s="21"/>
      <c r="EIU229" s="21"/>
      <c r="EIX229" s="21"/>
      <c r="EIY229" s="15"/>
      <c r="EIZ229" s="15"/>
      <c r="EJA229" s="15"/>
      <c r="EJB229" s="15"/>
      <c r="EJC229" s="15"/>
      <c r="EJD229" s="15"/>
      <c r="EJE229" s="15"/>
      <c r="EJF229" s="15"/>
      <c r="EJG229" s="15"/>
      <c r="EJH229" s="15"/>
      <c r="EJI229" s="10"/>
      <c r="EJJ229" s="10"/>
      <c r="EJK229" s="21"/>
      <c r="EJL229" s="21"/>
      <c r="EJO229" s="21"/>
      <c r="EJP229" s="15"/>
      <c r="EJQ229" s="15"/>
      <c r="EJR229" s="15"/>
      <c r="EJS229" s="15"/>
      <c r="EJT229" s="15"/>
      <c r="EJU229" s="15"/>
      <c r="EJV229" s="15"/>
      <c r="EJW229" s="15"/>
      <c r="EJX229" s="15"/>
      <c r="EJY229" s="15"/>
      <c r="EJZ229" s="10"/>
      <c r="EKA229" s="10"/>
      <c r="EKB229" s="21"/>
      <c r="EKC229" s="21"/>
      <c r="EKF229" s="21"/>
      <c r="EKG229" s="15"/>
      <c r="EKH229" s="15"/>
      <c r="EKI229" s="15"/>
      <c r="EKJ229" s="15"/>
      <c r="EKK229" s="15"/>
      <c r="EKL229" s="15"/>
      <c r="EKM229" s="15"/>
      <c r="EKN229" s="15"/>
      <c r="EKO229" s="15"/>
      <c r="EKP229" s="15"/>
      <c r="EKQ229" s="10"/>
      <c r="EKR229" s="10"/>
      <c r="EKS229" s="21"/>
      <c r="EKT229" s="21"/>
      <c r="EKW229" s="21"/>
      <c r="EKX229" s="15"/>
      <c r="EKY229" s="15"/>
      <c r="EKZ229" s="15"/>
      <c r="ELA229" s="15"/>
      <c r="ELB229" s="15"/>
      <c r="ELC229" s="15"/>
      <c r="ELD229" s="15"/>
      <c r="ELE229" s="15"/>
      <c r="ELF229" s="15"/>
      <c r="ELG229" s="15"/>
      <c r="ELH229" s="10"/>
      <c r="ELI229" s="10"/>
      <c r="ELJ229" s="21"/>
      <c r="ELK229" s="21"/>
      <c r="ELN229" s="21"/>
      <c r="ELO229" s="15"/>
      <c r="ELP229" s="15"/>
      <c r="ELQ229" s="15"/>
      <c r="ELR229" s="15"/>
      <c r="ELS229" s="15"/>
      <c r="ELT229" s="15"/>
      <c r="ELU229" s="15"/>
      <c r="ELV229" s="15"/>
      <c r="ELW229" s="15"/>
      <c r="ELX229" s="15"/>
      <c r="ELY229" s="10"/>
      <c r="ELZ229" s="10"/>
      <c r="EMA229" s="21"/>
      <c r="EMB229" s="21"/>
      <c r="EME229" s="21"/>
      <c r="EMF229" s="15"/>
      <c r="EMG229" s="15"/>
      <c r="EMH229" s="15"/>
      <c r="EMI229" s="15"/>
      <c r="EMJ229" s="15"/>
      <c r="EMK229" s="15"/>
      <c r="EML229" s="15"/>
      <c r="EMM229" s="15"/>
      <c r="EMN229" s="15"/>
      <c r="EMO229" s="15"/>
      <c r="EMP229" s="10"/>
      <c r="EMQ229" s="10"/>
      <c r="EMR229" s="21"/>
      <c r="EMS229" s="21"/>
      <c r="EMV229" s="21"/>
      <c r="EMW229" s="15"/>
      <c r="EMX229" s="15"/>
      <c r="EMY229" s="15"/>
      <c r="EMZ229" s="15"/>
      <c r="ENA229" s="15"/>
      <c r="ENB229" s="15"/>
      <c r="ENC229" s="15"/>
      <c r="END229" s="15"/>
      <c r="ENE229" s="15"/>
      <c r="ENF229" s="15"/>
      <c r="ENG229" s="10"/>
      <c r="ENH229" s="10"/>
      <c r="ENI229" s="21"/>
      <c r="ENJ229" s="21"/>
      <c r="ENM229" s="21"/>
      <c r="ENN229" s="15"/>
      <c r="ENO229" s="15"/>
      <c r="ENP229" s="15"/>
      <c r="ENQ229" s="15"/>
      <c r="ENR229" s="15"/>
      <c r="ENS229" s="15"/>
      <c r="ENT229" s="15"/>
      <c r="ENU229" s="15"/>
      <c r="ENV229" s="15"/>
      <c r="ENW229" s="15"/>
      <c r="ENX229" s="10"/>
      <c r="ENY229" s="10"/>
      <c r="ENZ229" s="21"/>
      <c r="EOA229" s="21"/>
      <c r="EOD229" s="21"/>
      <c r="EOE229" s="15"/>
      <c r="EOF229" s="15"/>
      <c r="EOG229" s="15"/>
      <c r="EOH229" s="15"/>
      <c r="EOI229" s="15"/>
      <c r="EOJ229" s="15"/>
      <c r="EOK229" s="15"/>
      <c r="EOL229" s="15"/>
      <c r="EOM229" s="15"/>
      <c r="EON229" s="15"/>
      <c r="EOO229" s="10"/>
      <c r="EOP229" s="10"/>
      <c r="EOQ229" s="21"/>
      <c r="EOR229" s="21"/>
      <c r="EOU229" s="21"/>
      <c r="EOV229" s="15"/>
      <c r="EOW229" s="15"/>
      <c r="EOX229" s="15"/>
      <c r="EOY229" s="15"/>
      <c r="EOZ229" s="15"/>
      <c r="EPA229" s="15"/>
      <c r="EPB229" s="15"/>
      <c r="EPC229" s="15"/>
      <c r="EPD229" s="15"/>
      <c r="EPE229" s="15"/>
      <c r="EPF229" s="10"/>
      <c r="EPG229" s="10"/>
      <c r="EPH229" s="21"/>
      <c r="EPI229" s="21"/>
      <c r="EPL229" s="21"/>
      <c r="EPM229" s="15"/>
      <c r="EPN229" s="15"/>
      <c r="EPO229" s="15"/>
      <c r="EPP229" s="15"/>
      <c r="EPQ229" s="15"/>
      <c r="EPR229" s="15"/>
      <c r="EPS229" s="15"/>
      <c r="EPT229" s="15"/>
      <c r="EPU229" s="15"/>
      <c r="EPV229" s="15"/>
      <c r="EPW229" s="10"/>
      <c r="EPX229" s="10"/>
      <c r="EPY229" s="21"/>
      <c r="EPZ229" s="21"/>
      <c r="EQC229" s="21"/>
      <c r="EQD229" s="15"/>
      <c r="EQE229" s="15"/>
      <c r="EQF229" s="15"/>
      <c r="EQG229" s="15"/>
      <c r="EQH229" s="15"/>
      <c r="EQI229" s="15"/>
      <c r="EQJ229" s="15"/>
      <c r="EQK229" s="15"/>
      <c r="EQL229" s="15"/>
      <c r="EQM229" s="15"/>
      <c r="EQN229" s="10"/>
      <c r="EQO229" s="10"/>
      <c r="EQP229" s="21"/>
      <c r="EQQ229" s="21"/>
      <c r="EQT229" s="21"/>
      <c r="EQU229" s="15"/>
      <c r="EQV229" s="15"/>
      <c r="EQW229" s="15"/>
      <c r="EQX229" s="15"/>
      <c r="EQY229" s="15"/>
      <c r="EQZ229" s="15"/>
      <c r="ERA229" s="15"/>
      <c r="ERB229" s="15"/>
      <c r="ERC229" s="15"/>
      <c r="ERD229" s="15"/>
      <c r="ERE229" s="10"/>
      <c r="ERF229" s="10"/>
      <c r="ERG229" s="21"/>
      <c r="ERH229" s="21"/>
      <c r="ERK229" s="21"/>
      <c r="ERL229" s="15"/>
      <c r="ERM229" s="15"/>
      <c r="ERN229" s="15"/>
      <c r="ERO229" s="15"/>
      <c r="ERP229" s="15"/>
      <c r="ERQ229" s="15"/>
      <c r="ERR229" s="15"/>
      <c r="ERS229" s="15"/>
      <c r="ERT229" s="15"/>
      <c r="ERU229" s="15"/>
      <c r="ERV229" s="10"/>
      <c r="ERW229" s="10"/>
      <c r="ERX229" s="21"/>
      <c r="ERY229" s="21"/>
      <c r="ESB229" s="21"/>
      <c r="ESC229" s="15"/>
      <c r="ESD229" s="15"/>
      <c r="ESE229" s="15"/>
      <c r="ESF229" s="15"/>
      <c r="ESG229" s="15"/>
      <c r="ESH229" s="15"/>
      <c r="ESI229" s="15"/>
      <c r="ESJ229" s="15"/>
      <c r="ESK229" s="15"/>
      <c r="ESL229" s="15"/>
      <c r="ESM229" s="10"/>
      <c r="ESN229" s="10"/>
      <c r="ESO229" s="21"/>
      <c r="ESP229" s="21"/>
      <c r="ESS229" s="21"/>
      <c r="EST229" s="15"/>
      <c r="ESU229" s="15"/>
      <c r="ESV229" s="15"/>
      <c r="ESW229" s="15"/>
      <c r="ESX229" s="15"/>
      <c r="ESY229" s="15"/>
      <c r="ESZ229" s="15"/>
      <c r="ETA229" s="15"/>
      <c r="ETB229" s="15"/>
      <c r="ETC229" s="15"/>
      <c r="ETD229" s="10"/>
      <c r="ETE229" s="10"/>
      <c r="ETF229" s="21"/>
      <c r="ETG229" s="21"/>
      <c r="ETJ229" s="21"/>
      <c r="ETK229" s="15"/>
      <c r="ETL229" s="15"/>
      <c r="ETM229" s="15"/>
      <c r="ETN229" s="15"/>
      <c r="ETO229" s="15"/>
      <c r="ETP229" s="15"/>
      <c r="ETQ229" s="15"/>
      <c r="ETR229" s="15"/>
      <c r="ETS229" s="15"/>
      <c r="ETT229" s="15"/>
      <c r="ETU229" s="10"/>
      <c r="ETV229" s="10"/>
      <c r="ETW229" s="21"/>
      <c r="ETX229" s="21"/>
      <c r="EUA229" s="21"/>
      <c r="EUB229" s="15"/>
      <c r="EUC229" s="15"/>
      <c r="EUD229" s="15"/>
      <c r="EUE229" s="15"/>
      <c r="EUF229" s="15"/>
      <c r="EUG229" s="15"/>
      <c r="EUH229" s="15"/>
      <c r="EUI229" s="15"/>
      <c r="EUJ229" s="15"/>
      <c r="EUK229" s="15"/>
      <c r="EUL229" s="10"/>
      <c r="EUM229" s="10"/>
      <c r="EUN229" s="21"/>
      <c r="EUO229" s="21"/>
      <c r="EUR229" s="21"/>
      <c r="EUS229" s="15"/>
      <c r="EUT229" s="15"/>
      <c r="EUU229" s="15"/>
      <c r="EUV229" s="15"/>
      <c r="EUW229" s="15"/>
      <c r="EUX229" s="15"/>
      <c r="EUY229" s="15"/>
      <c r="EUZ229" s="15"/>
      <c r="EVA229" s="15"/>
      <c r="EVB229" s="15"/>
      <c r="EVC229" s="10"/>
      <c r="EVD229" s="10"/>
      <c r="EVE229" s="21"/>
      <c r="EVF229" s="21"/>
      <c r="EVI229" s="21"/>
      <c r="EVJ229" s="15"/>
      <c r="EVK229" s="15"/>
      <c r="EVL229" s="15"/>
      <c r="EVM229" s="15"/>
      <c r="EVN229" s="15"/>
      <c r="EVO229" s="15"/>
      <c r="EVP229" s="15"/>
      <c r="EVQ229" s="15"/>
      <c r="EVR229" s="15"/>
      <c r="EVS229" s="15"/>
      <c r="EVT229" s="10"/>
      <c r="EVU229" s="10"/>
      <c r="EVV229" s="21"/>
      <c r="EVW229" s="21"/>
      <c r="EVZ229" s="21"/>
      <c r="EWA229" s="15"/>
      <c r="EWB229" s="15"/>
      <c r="EWC229" s="15"/>
      <c r="EWD229" s="15"/>
      <c r="EWE229" s="15"/>
      <c r="EWF229" s="15"/>
      <c r="EWG229" s="15"/>
      <c r="EWH229" s="15"/>
      <c r="EWI229" s="15"/>
      <c r="EWJ229" s="15"/>
      <c r="EWK229" s="10"/>
      <c r="EWL229" s="10"/>
      <c r="EWM229" s="21"/>
      <c r="EWN229" s="21"/>
      <c r="EWQ229" s="21"/>
      <c r="EWR229" s="15"/>
      <c r="EWS229" s="15"/>
      <c r="EWT229" s="15"/>
      <c r="EWU229" s="15"/>
      <c r="EWV229" s="15"/>
      <c r="EWW229" s="15"/>
      <c r="EWX229" s="15"/>
      <c r="EWY229" s="15"/>
      <c r="EWZ229" s="15"/>
      <c r="EXA229" s="15"/>
      <c r="EXB229" s="10"/>
      <c r="EXC229" s="10"/>
      <c r="EXD229" s="21"/>
      <c r="EXE229" s="21"/>
      <c r="EXH229" s="21"/>
      <c r="EXI229" s="15"/>
      <c r="EXJ229" s="15"/>
      <c r="EXK229" s="15"/>
      <c r="EXL229" s="15"/>
      <c r="EXM229" s="15"/>
      <c r="EXN229" s="15"/>
      <c r="EXO229" s="15"/>
      <c r="EXP229" s="15"/>
      <c r="EXQ229" s="15"/>
      <c r="EXR229" s="15"/>
      <c r="EXS229" s="10"/>
      <c r="EXT229" s="10"/>
      <c r="EXU229" s="21"/>
      <c r="EXV229" s="21"/>
      <c r="EXY229" s="21"/>
      <c r="EXZ229" s="15"/>
      <c r="EYA229" s="15"/>
      <c r="EYB229" s="15"/>
      <c r="EYC229" s="15"/>
      <c r="EYD229" s="15"/>
      <c r="EYE229" s="15"/>
      <c r="EYF229" s="15"/>
      <c r="EYG229" s="15"/>
      <c r="EYH229" s="15"/>
      <c r="EYI229" s="15"/>
      <c r="EYJ229" s="10"/>
      <c r="EYK229" s="10"/>
      <c r="EYL229" s="21"/>
      <c r="EYM229" s="21"/>
      <c r="EYP229" s="21"/>
      <c r="EYQ229" s="15"/>
      <c r="EYR229" s="15"/>
      <c r="EYS229" s="15"/>
      <c r="EYT229" s="15"/>
      <c r="EYU229" s="15"/>
      <c r="EYV229" s="15"/>
      <c r="EYW229" s="15"/>
      <c r="EYX229" s="15"/>
      <c r="EYY229" s="15"/>
      <c r="EYZ229" s="15"/>
      <c r="EZA229" s="10"/>
      <c r="EZB229" s="10"/>
      <c r="EZC229" s="21"/>
      <c r="EZD229" s="21"/>
      <c r="EZG229" s="21"/>
      <c r="EZH229" s="15"/>
      <c r="EZI229" s="15"/>
      <c r="EZJ229" s="15"/>
      <c r="EZK229" s="15"/>
      <c r="EZL229" s="15"/>
      <c r="EZM229" s="15"/>
      <c r="EZN229" s="15"/>
      <c r="EZO229" s="15"/>
      <c r="EZP229" s="15"/>
      <c r="EZQ229" s="15"/>
      <c r="EZR229" s="10"/>
      <c r="EZS229" s="10"/>
      <c r="EZT229" s="21"/>
      <c r="EZU229" s="21"/>
      <c r="EZX229" s="21"/>
      <c r="EZY229" s="15"/>
      <c r="EZZ229" s="15"/>
      <c r="FAA229" s="15"/>
      <c r="FAB229" s="15"/>
      <c r="FAC229" s="15"/>
      <c r="FAD229" s="15"/>
      <c r="FAE229" s="15"/>
      <c r="FAF229" s="15"/>
      <c r="FAG229" s="15"/>
      <c r="FAH229" s="15"/>
      <c r="FAI229" s="10"/>
      <c r="FAJ229" s="10"/>
      <c r="FAK229" s="21"/>
      <c r="FAL229" s="21"/>
      <c r="FAO229" s="21"/>
      <c r="FAP229" s="15"/>
      <c r="FAQ229" s="15"/>
      <c r="FAR229" s="15"/>
      <c r="FAS229" s="15"/>
      <c r="FAT229" s="15"/>
      <c r="FAU229" s="15"/>
      <c r="FAV229" s="15"/>
      <c r="FAW229" s="15"/>
      <c r="FAX229" s="15"/>
      <c r="FAY229" s="15"/>
      <c r="FAZ229" s="10"/>
      <c r="FBA229" s="10"/>
      <c r="FBB229" s="21"/>
      <c r="FBC229" s="21"/>
      <c r="FBF229" s="21"/>
      <c r="FBG229" s="15"/>
      <c r="FBH229" s="15"/>
      <c r="FBI229" s="15"/>
      <c r="FBJ229" s="15"/>
      <c r="FBK229" s="15"/>
      <c r="FBL229" s="15"/>
      <c r="FBM229" s="15"/>
      <c r="FBN229" s="15"/>
      <c r="FBO229" s="15"/>
      <c r="FBP229" s="15"/>
      <c r="FBQ229" s="10"/>
      <c r="FBR229" s="10"/>
      <c r="FBS229" s="21"/>
      <c r="FBT229" s="21"/>
      <c r="FBW229" s="21"/>
      <c r="FBX229" s="15"/>
      <c r="FBY229" s="15"/>
      <c r="FBZ229" s="15"/>
      <c r="FCA229" s="15"/>
      <c r="FCB229" s="15"/>
      <c r="FCC229" s="15"/>
      <c r="FCD229" s="15"/>
      <c r="FCE229" s="15"/>
      <c r="FCF229" s="15"/>
      <c r="FCG229" s="15"/>
      <c r="FCH229" s="10"/>
      <c r="FCI229" s="10"/>
      <c r="FCJ229" s="21"/>
      <c r="FCK229" s="21"/>
      <c r="FCN229" s="21"/>
      <c r="FCO229" s="15"/>
      <c r="FCP229" s="15"/>
      <c r="FCQ229" s="15"/>
      <c r="FCR229" s="15"/>
      <c r="FCS229" s="15"/>
      <c r="FCT229" s="15"/>
      <c r="FCU229" s="15"/>
      <c r="FCV229" s="15"/>
      <c r="FCW229" s="15"/>
      <c r="FCX229" s="15"/>
      <c r="FCY229" s="10"/>
      <c r="FCZ229" s="10"/>
      <c r="FDA229" s="21"/>
      <c r="FDB229" s="21"/>
      <c r="FDE229" s="21"/>
      <c r="FDF229" s="15"/>
      <c r="FDG229" s="15"/>
      <c r="FDH229" s="15"/>
      <c r="FDI229" s="15"/>
      <c r="FDJ229" s="15"/>
      <c r="FDK229" s="15"/>
      <c r="FDL229" s="15"/>
      <c r="FDM229" s="15"/>
      <c r="FDN229" s="15"/>
      <c r="FDO229" s="15"/>
      <c r="FDP229" s="10"/>
      <c r="FDQ229" s="10"/>
      <c r="FDR229" s="21"/>
      <c r="FDS229" s="21"/>
      <c r="FDV229" s="21"/>
      <c r="FDW229" s="15"/>
      <c r="FDX229" s="15"/>
      <c r="FDY229" s="15"/>
      <c r="FDZ229" s="15"/>
      <c r="FEA229" s="15"/>
      <c r="FEB229" s="15"/>
      <c r="FEC229" s="15"/>
      <c r="FED229" s="15"/>
      <c r="FEE229" s="15"/>
      <c r="FEF229" s="15"/>
      <c r="FEG229" s="10"/>
      <c r="FEH229" s="10"/>
      <c r="FEI229" s="21"/>
      <c r="FEJ229" s="21"/>
      <c r="FEM229" s="21"/>
      <c r="FEN229" s="15"/>
      <c r="FEO229" s="15"/>
      <c r="FEP229" s="15"/>
      <c r="FEQ229" s="15"/>
      <c r="FER229" s="15"/>
      <c r="FES229" s="15"/>
      <c r="FET229" s="15"/>
      <c r="FEU229" s="15"/>
      <c r="FEV229" s="15"/>
      <c r="FEW229" s="15"/>
      <c r="FEX229" s="10"/>
      <c r="FEY229" s="10"/>
      <c r="FEZ229" s="21"/>
      <c r="FFA229" s="21"/>
      <c r="FFD229" s="21"/>
      <c r="FFE229" s="15"/>
      <c r="FFF229" s="15"/>
      <c r="FFG229" s="15"/>
      <c r="FFH229" s="15"/>
      <c r="FFI229" s="15"/>
      <c r="FFJ229" s="15"/>
      <c r="FFK229" s="15"/>
      <c r="FFL229" s="15"/>
      <c r="FFM229" s="15"/>
      <c r="FFN229" s="15"/>
      <c r="FFO229" s="10"/>
      <c r="FFP229" s="10"/>
      <c r="FFQ229" s="21"/>
      <c r="FFR229" s="21"/>
      <c r="FFU229" s="21"/>
      <c r="FFV229" s="15"/>
      <c r="FFW229" s="15"/>
      <c r="FFX229" s="15"/>
      <c r="FFY229" s="15"/>
      <c r="FFZ229" s="15"/>
      <c r="FGA229" s="15"/>
      <c r="FGB229" s="15"/>
      <c r="FGC229" s="15"/>
      <c r="FGD229" s="15"/>
      <c r="FGE229" s="15"/>
      <c r="FGF229" s="10"/>
      <c r="FGG229" s="10"/>
      <c r="FGH229" s="21"/>
      <c r="FGI229" s="21"/>
      <c r="FGL229" s="21"/>
      <c r="FGM229" s="15"/>
      <c r="FGN229" s="15"/>
      <c r="FGO229" s="15"/>
      <c r="FGP229" s="15"/>
      <c r="FGQ229" s="15"/>
      <c r="FGR229" s="15"/>
      <c r="FGS229" s="15"/>
      <c r="FGT229" s="15"/>
      <c r="FGU229" s="15"/>
      <c r="FGV229" s="15"/>
      <c r="FGW229" s="10"/>
      <c r="FGX229" s="10"/>
      <c r="FGY229" s="21"/>
      <c r="FGZ229" s="21"/>
      <c r="FHC229" s="21"/>
      <c r="FHD229" s="15"/>
      <c r="FHE229" s="15"/>
      <c r="FHF229" s="15"/>
      <c r="FHG229" s="15"/>
      <c r="FHH229" s="15"/>
      <c r="FHI229" s="15"/>
      <c r="FHJ229" s="15"/>
      <c r="FHK229" s="15"/>
      <c r="FHL229" s="15"/>
      <c r="FHM229" s="15"/>
      <c r="FHN229" s="10"/>
      <c r="FHO229" s="10"/>
      <c r="FHP229" s="21"/>
      <c r="FHQ229" s="21"/>
      <c r="FHT229" s="21"/>
      <c r="FHU229" s="15"/>
      <c r="FHV229" s="15"/>
      <c r="FHW229" s="15"/>
      <c r="FHX229" s="15"/>
      <c r="FHY229" s="15"/>
      <c r="FHZ229" s="15"/>
      <c r="FIA229" s="15"/>
      <c r="FIB229" s="15"/>
      <c r="FIC229" s="15"/>
      <c r="FID229" s="15"/>
      <c r="FIE229" s="10"/>
      <c r="FIF229" s="10"/>
      <c r="FIG229" s="21"/>
      <c r="FIH229" s="21"/>
      <c r="FIK229" s="21"/>
      <c r="FIL229" s="15"/>
      <c r="FIM229" s="15"/>
      <c r="FIN229" s="15"/>
      <c r="FIO229" s="15"/>
      <c r="FIP229" s="15"/>
      <c r="FIQ229" s="15"/>
      <c r="FIR229" s="15"/>
      <c r="FIS229" s="15"/>
      <c r="FIT229" s="15"/>
      <c r="FIU229" s="15"/>
      <c r="FIV229" s="10"/>
      <c r="FIW229" s="10"/>
      <c r="FIX229" s="21"/>
      <c r="FIY229" s="21"/>
      <c r="FJB229" s="21"/>
      <c r="FJC229" s="15"/>
      <c r="FJD229" s="15"/>
      <c r="FJE229" s="15"/>
      <c r="FJF229" s="15"/>
      <c r="FJG229" s="15"/>
      <c r="FJH229" s="15"/>
      <c r="FJI229" s="15"/>
      <c r="FJJ229" s="15"/>
      <c r="FJK229" s="15"/>
      <c r="FJL229" s="15"/>
      <c r="FJM229" s="10"/>
      <c r="FJN229" s="10"/>
      <c r="FJO229" s="21"/>
      <c r="FJP229" s="21"/>
      <c r="FJS229" s="21"/>
      <c r="FJT229" s="15"/>
      <c r="FJU229" s="15"/>
      <c r="FJV229" s="15"/>
      <c r="FJW229" s="15"/>
      <c r="FJX229" s="15"/>
      <c r="FJY229" s="15"/>
      <c r="FJZ229" s="15"/>
      <c r="FKA229" s="15"/>
      <c r="FKB229" s="15"/>
      <c r="FKC229" s="15"/>
      <c r="FKD229" s="10"/>
      <c r="FKE229" s="10"/>
      <c r="FKF229" s="21"/>
      <c r="FKG229" s="21"/>
      <c r="FKJ229" s="21"/>
      <c r="FKK229" s="15"/>
      <c r="FKL229" s="15"/>
      <c r="FKM229" s="15"/>
      <c r="FKN229" s="15"/>
      <c r="FKO229" s="15"/>
      <c r="FKP229" s="15"/>
      <c r="FKQ229" s="15"/>
      <c r="FKR229" s="15"/>
      <c r="FKS229" s="15"/>
      <c r="FKT229" s="15"/>
      <c r="FKU229" s="10"/>
      <c r="FKV229" s="10"/>
      <c r="FKW229" s="21"/>
      <c r="FKX229" s="21"/>
      <c r="FLA229" s="21"/>
      <c r="FLB229" s="15"/>
      <c r="FLC229" s="15"/>
      <c r="FLD229" s="15"/>
      <c r="FLE229" s="15"/>
      <c r="FLF229" s="15"/>
      <c r="FLG229" s="15"/>
      <c r="FLH229" s="15"/>
      <c r="FLI229" s="15"/>
      <c r="FLJ229" s="15"/>
      <c r="FLK229" s="15"/>
      <c r="FLL229" s="10"/>
      <c r="FLM229" s="10"/>
      <c r="FLN229" s="21"/>
      <c r="FLO229" s="21"/>
      <c r="FLR229" s="21"/>
      <c r="FLS229" s="15"/>
      <c r="FLT229" s="15"/>
      <c r="FLU229" s="15"/>
      <c r="FLV229" s="15"/>
      <c r="FLW229" s="15"/>
      <c r="FLX229" s="15"/>
      <c r="FLY229" s="15"/>
      <c r="FLZ229" s="15"/>
      <c r="FMA229" s="15"/>
      <c r="FMB229" s="15"/>
      <c r="FMC229" s="10"/>
      <c r="FMD229" s="10"/>
      <c r="FME229" s="21"/>
      <c r="FMF229" s="21"/>
      <c r="FMI229" s="21"/>
      <c r="FMJ229" s="15"/>
      <c r="FMK229" s="15"/>
      <c r="FML229" s="15"/>
      <c r="FMM229" s="15"/>
      <c r="FMN229" s="15"/>
      <c r="FMO229" s="15"/>
      <c r="FMP229" s="15"/>
      <c r="FMQ229" s="15"/>
      <c r="FMR229" s="15"/>
      <c r="FMS229" s="15"/>
      <c r="FMT229" s="10"/>
      <c r="FMU229" s="10"/>
      <c r="FMV229" s="21"/>
      <c r="FMW229" s="21"/>
      <c r="FMZ229" s="21"/>
      <c r="FNA229" s="15"/>
      <c r="FNB229" s="15"/>
      <c r="FNC229" s="15"/>
      <c r="FND229" s="15"/>
      <c r="FNE229" s="15"/>
      <c r="FNF229" s="15"/>
      <c r="FNG229" s="15"/>
      <c r="FNH229" s="15"/>
      <c r="FNI229" s="15"/>
      <c r="FNJ229" s="15"/>
      <c r="FNK229" s="10"/>
      <c r="FNL229" s="10"/>
      <c r="FNM229" s="21"/>
      <c r="FNN229" s="21"/>
      <c r="FNQ229" s="21"/>
      <c r="FNR229" s="15"/>
      <c r="FNS229" s="15"/>
      <c r="FNT229" s="15"/>
      <c r="FNU229" s="15"/>
      <c r="FNV229" s="15"/>
      <c r="FNW229" s="15"/>
      <c r="FNX229" s="15"/>
      <c r="FNY229" s="15"/>
      <c r="FNZ229" s="15"/>
      <c r="FOA229" s="15"/>
      <c r="FOB229" s="10"/>
      <c r="FOC229" s="10"/>
      <c r="FOD229" s="21"/>
      <c r="FOE229" s="21"/>
      <c r="FOH229" s="21"/>
      <c r="FOI229" s="15"/>
      <c r="FOJ229" s="15"/>
      <c r="FOK229" s="15"/>
      <c r="FOL229" s="15"/>
      <c r="FOM229" s="15"/>
      <c r="FON229" s="15"/>
      <c r="FOO229" s="15"/>
      <c r="FOP229" s="15"/>
      <c r="FOQ229" s="15"/>
      <c r="FOR229" s="15"/>
      <c r="FOS229" s="10"/>
      <c r="FOT229" s="10"/>
      <c r="FOU229" s="21"/>
      <c r="FOV229" s="21"/>
      <c r="FOY229" s="21"/>
      <c r="FOZ229" s="15"/>
      <c r="FPA229" s="15"/>
      <c r="FPB229" s="15"/>
      <c r="FPC229" s="15"/>
      <c r="FPD229" s="15"/>
      <c r="FPE229" s="15"/>
      <c r="FPF229" s="15"/>
      <c r="FPG229" s="15"/>
      <c r="FPH229" s="15"/>
      <c r="FPI229" s="15"/>
      <c r="FPJ229" s="10"/>
      <c r="FPK229" s="10"/>
      <c r="FPL229" s="21"/>
      <c r="FPM229" s="21"/>
      <c r="FPP229" s="21"/>
      <c r="FPQ229" s="15"/>
      <c r="FPR229" s="15"/>
      <c r="FPS229" s="15"/>
      <c r="FPT229" s="15"/>
      <c r="FPU229" s="15"/>
      <c r="FPV229" s="15"/>
      <c r="FPW229" s="15"/>
      <c r="FPX229" s="15"/>
      <c r="FPY229" s="15"/>
      <c r="FPZ229" s="15"/>
      <c r="FQA229" s="10"/>
      <c r="FQB229" s="10"/>
      <c r="FQC229" s="21"/>
      <c r="FQD229" s="21"/>
      <c r="FQG229" s="21"/>
      <c r="FQH229" s="15"/>
      <c r="FQI229" s="15"/>
      <c r="FQJ229" s="15"/>
      <c r="FQK229" s="15"/>
      <c r="FQL229" s="15"/>
      <c r="FQM229" s="15"/>
      <c r="FQN229" s="15"/>
      <c r="FQO229" s="15"/>
      <c r="FQP229" s="15"/>
      <c r="FQQ229" s="15"/>
      <c r="FQR229" s="10"/>
      <c r="FQS229" s="10"/>
      <c r="FQT229" s="21"/>
      <c r="FQU229" s="21"/>
      <c r="FQX229" s="21"/>
      <c r="FQY229" s="15"/>
      <c r="FQZ229" s="15"/>
      <c r="FRA229" s="15"/>
      <c r="FRB229" s="15"/>
      <c r="FRC229" s="15"/>
      <c r="FRD229" s="15"/>
      <c r="FRE229" s="15"/>
      <c r="FRF229" s="15"/>
      <c r="FRG229" s="15"/>
      <c r="FRH229" s="15"/>
      <c r="FRI229" s="10"/>
      <c r="FRJ229" s="10"/>
      <c r="FRK229" s="21"/>
      <c r="FRL229" s="21"/>
      <c r="FRO229" s="21"/>
      <c r="FRP229" s="15"/>
      <c r="FRQ229" s="15"/>
      <c r="FRR229" s="15"/>
      <c r="FRS229" s="15"/>
      <c r="FRT229" s="15"/>
      <c r="FRU229" s="15"/>
      <c r="FRV229" s="15"/>
      <c r="FRW229" s="15"/>
      <c r="FRX229" s="15"/>
      <c r="FRY229" s="15"/>
      <c r="FRZ229" s="10"/>
      <c r="FSA229" s="10"/>
      <c r="FSB229" s="21"/>
      <c r="FSC229" s="21"/>
      <c r="FSF229" s="21"/>
      <c r="FSG229" s="15"/>
      <c r="FSH229" s="15"/>
      <c r="FSI229" s="15"/>
      <c r="FSJ229" s="15"/>
      <c r="FSK229" s="15"/>
      <c r="FSL229" s="15"/>
      <c r="FSM229" s="15"/>
      <c r="FSN229" s="15"/>
      <c r="FSO229" s="15"/>
      <c r="FSP229" s="15"/>
      <c r="FSQ229" s="10"/>
      <c r="FSR229" s="10"/>
      <c r="FSS229" s="21"/>
      <c r="FST229" s="21"/>
      <c r="FSW229" s="21"/>
      <c r="FSX229" s="15"/>
      <c r="FSY229" s="15"/>
      <c r="FSZ229" s="15"/>
      <c r="FTA229" s="15"/>
      <c r="FTB229" s="15"/>
      <c r="FTC229" s="15"/>
      <c r="FTD229" s="15"/>
      <c r="FTE229" s="15"/>
      <c r="FTF229" s="15"/>
      <c r="FTG229" s="15"/>
      <c r="FTH229" s="10"/>
      <c r="FTI229" s="10"/>
      <c r="FTJ229" s="21"/>
      <c r="FTK229" s="21"/>
      <c r="FTN229" s="21"/>
      <c r="FTO229" s="15"/>
      <c r="FTP229" s="15"/>
      <c r="FTQ229" s="15"/>
      <c r="FTR229" s="15"/>
      <c r="FTS229" s="15"/>
      <c r="FTT229" s="15"/>
      <c r="FTU229" s="15"/>
      <c r="FTV229" s="15"/>
      <c r="FTW229" s="15"/>
      <c r="FTX229" s="15"/>
      <c r="FTY229" s="10"/>
      <c r="FTZ229" s="10"/>
      <c r="FUA229" s="21"/>
      <c r="FUB229" s="21"/>
      <c r="FUE229" s="21"/>
      <c r="FUF229" s="15"/>
      <c r="FUG229" s="15"/>
      <c r="FUH229" s="15"/>
      <c r="FUI229" s="15"/>
      <c r="FUJ229" s="15"/>
      <c r="FUK229" s="15"/>
      <c r="FUL229" s="15"/>
      <c r="FUM229" s="15"/>
      <c r="FUN229" s="15"/>
      <c r="FUO229" s="15"/>
      <c r="FUP229" s="10"/>
      <c r="FUQ229" s="10"/>
      <c r="FUR229" s="21"/>
      <c r="FUS229" s="21"/>
      <c r="FUV229" s="21"/>
      <c r="FUW229" s="15"/>
      <c r="FUX229" s="15"/>
      <c r="FUY229" s="15"/>
      <c r="FUZ229" s="15"/>
      <c r="FVA229" s="15"/>
      <c r="FVB229" s="15"/>
      <c r="FVC229" s="15"/>
      <c r="FVD229" s="15"/>
      <c r="FVE229" s="15"/>
      <c r="FVF229" s="15"/>
      <c r="FVG229" s="10"/>
      <c r="FVH229" s="10"/>
      <c r="FVI229" s="21"/>
      <c r="FVJ229" s="21"/>
      <c r="FVM229" s="21"/>
      <c r="FVN229" s="15"/>
      <c r="FVO229" s="15"/>
      <c r="FVP229" s="15"/>
      <c r="FVQ229" s="15"/>
      <c r="FVR229" s="15"/>
      <c r="FVS229" s="15"/>
      <c r="FVT229" s="15"/>
      <c r="FVU229" s="15"/>
      <c r="FVV229" s="15"/>
      <c r="FVW229" s="15"/>
      <c r="FVX229" s="10"/>
      <c r="FVY229" s="10"/>
      <c r="FVZ229" s="21"/>
      <c r="FWA229" s="21"/>
      <c r="FWD229" s="21"/>
      <c r="FWE229" s="15"/>
      <c r="FWF229" s="15"/>
      <c r="FWG229" s="15"/>
      <c r="FWH229" s="15"/>
      <c r="FWI229" s="15"/>
      <c r="FWJ229" s="15"/>
      <c r="FWK229" s="15"/>
      <c r="FWL229" s="15"/>
      <c r="FWM229" s="15"/>
      <c r="FWN229" s="15"/>
      <c r="FWO229" s="10"/>
      <c r="FWP229" s="10"/>
      <c r="FWQ229" s="21"/>
      <c r="FWR229" s="21"/>
      <c r="FWU229" s="21"/>
      <c r="FWV229" s="15"/>
      <c r="FWW229" s="15"/>
      <c r="FWX229" s="15"/>
      <c r="FWY229" s="15"/>
      <c r="FWZ229" s="15"/>
      <c r="FXA229" s="15"/>
      <c r="FXB229" s="15"/>
      <c r="FXC229" s="15"/>
      <c r="FXD229" s="15"/>
      <c r="FXE229" s="15"/>
      <c r="FXF229" s="10"/>
      <c r="FXG229" s="10"/>
      <c r="FXH229" s="21"/>
      <c r="FXI229" s="21"/>
      <c r="FXL229" s="21"/>
      <c r="FXM229" s="15"/>
      <c r="FXN229" s="15"/>
      <c r="FXO229" s="15"/>
      <c r="FXP229" s="15"/>
      <c r="FXQ229" s="15"/>
      <c r="FXR229" s="15"/>
      <c r="FXS229" s="15"/>
      <c r="FXT229" s="15"/>
      <c r="FXU229" s="15"/>
      <c r="FXV229" s="15"/>
      <c r="FXW229" s="10"/>
      <c r="FXX229" s="10"/>
      <c r="FXY229" s="21"/>
      <c r="FXZ229" s="21"/>
      <c r="FYC229" s="21"/>
      <c r="FYD229" s="15"/>
      <c r="FYE229" s="15"/>
      <c r="FYF229" s="15"/>
      <c r="FYG229" s="15"/>
      <c r="FYH229" s="15"/>
      <c r="FYI229" s="15"/>
      <c r="FYJ229" s="15"/>
      <c r="FYK229" s="15"/>
      <c r="FYL229" s="15"/>
      <c r="FYM229" s="15"/>
      <c r="FYN229" s="10"/>
      <c r="FYO229" s="10"/>
      <c r="FYP229" s="21"/>
      <c r="FYQ229" s="21"/>
      <c r="FYT229" s="21"/>
      <c r="FYU229" s="15"/>
      <c r="FYV229" s="15"/>
      <c r="FYW229" s="15"/>
      <c r="FYX229" s="15"/>
      <c r="FYY229" s="15"/>
      <c r="FYZ229" s="15"/>
      <c r="FZA229" s="15"/>
      <c r="FZB229" s="15"/>
      <c r="FZC229" s="15"/>
      <c r="FZD229" s="15"/>
      <c r="FZE229" s="10"/>
      <c r="FZF229" s="10"/>
      <c r="FZG229" s="21"/>
      <c r="FZH229" s="21"/>
      <c r="FZK229" s="21"/>
      <c r="FZL229" s="15"/>
      <c r="FZM229" s="15"/>
      <c r="FZN229" s="15"/>
      <c r="FZO229" s="15"/>
      <c r="FZP229" s="15"/>
      <c r="FZQ229" s="15"/>
      <c r="FZR229" s="15"/>
      <c r="FZS229" s="15"/>
      <c r="FZT229" s="15"/>
      <c r="FZU229" s="15"/>
      <c r="FZV229" s="10"/>
      <c r="FZW229" s="10"/>
      <c r="FZX229" s="21"/>
      <c r="FZY229" s="21"/>
      <c r="GAB229" s="21"/>
      <c r="GAC229" s="15"/>
      <c r="GAD229" s="15"/>
      <c r="GAE229" s="15"/>
      <c r="GAF229" s="15"/>
      <c r="GAG229" s="15"/>
      <c r="GAH229" s="15"/>
      <c r="GAI229" s="15"/>
      <c r="GAJ229" s="15"/>
      <c r="GAK229" s="15"/>
      <c r="GAL229" s="15"/>
      <c r="GAM229" s="10"/>
      <c r="GAN229" s="10"/>
      <c r="GAO229" s="21"/>
      <c r="GAP229" s="21"/>
      <c r="GAS229" s="21"/>
      <c r="GAT229" s="15"/>
      <c r="GAU229" s="15"/>
      <c r="GAV229" s="15"/>
      <c r="GAW229" s="15"/>
      <c r="GAX229" s="15"/>
      <c r="GAY229" s="15"/>
      <c r="GAZ229" s="15"/>
      <c r="GBA229" s="15"/>
      <c r="GBB229" s="15"/>
      <c r="GBC229" s="15"/>
      <c r="GBD229" s="10"/>
      <c r="GBE229" s="10"/>
      <c r="GBF229" s="21"/>
      <c r="GBG229" s="21"/>
      <c r="GBJ229" s="21"/>
      <c r="GBK229" s="15"/>
      <c r="GBL229" s="15"/>
      <c r="GBM229" s="15"/>
      <c r="GBN229" s="15"/>
      <c r="GBO229" s="15"/>
      <c r="GBP229" s="15"/>
      <c r="GBQ229" s="15"/>
      <c r="GBR229" s="15"/>
      <c r="GBS229" s="15"/>
      <c r="GBT229" s="15"/>
      <c r="GBU229" s="10"/>
      <c r="GBV229" s="10"/>
      <c r="GBW229" s="21"/>
      <c r="GBX229" s="21"/>
      <c r="GCA229" s="21"/>
      <c r="GCB229" s="15"/>
      <c r="GCC229" s="15"/>
      <c r="GCD229" s="15"/>
      <c r="GCE229" s="15"/>
      <c r="GCF229" s="15"/>
      <c r="GCG229" s="15"/>
      <c r="GCH229" s="15"/>
      <c r="GCI229" s="15"/>
      <c r="GCJ229" s="15"/>
      <c r="GCK229" s="15"/>
      <c r="GCL229" s="10"/>
      <c r="GCM229" s="10"/>
      <c r="GCN229" s="21"/>
      <c r="GCO229" s="21"/>
      <c r="GCR229" s="21"/>
      <c r="GCS229" s="15"/>
      <c r="GCT229" s="15"/>
      <c r="GCU229" s="15"/>
      <c r="GCV229" s="15"/>
      <c r="GCW229" s="15"/>
      <c r="GCX229" s="15"/>
      <c r="GCY229" s="15"/>
      <c r="GCZ229" s="15"/>
      <c r="GDA229" s="15"/>
      <c r="GDB229" s="15"/>
      <c r="GDC229" s="10"/>
      <c r="GDD229" s="10"/>
      <c r="GDE229" s="21"/>
      <c r="GDF229" s="21"/>
      <c r="GDI229" s="21"/>
      <c r="GDJ229" s="15"/>
      <c r="GDK229" s="15"/>
      <c r="GDL229" s="15"/>
      <c r="GDM229" s="15"/>
      <c r="GDN229" s="15"/>
      <c r="GDO229" s="15"/>
      <c r="GDP229" s="15"/>
      <c r="GDQ229" s="15"/>
      <c r="GDR229" s="15"/>
      <c r="GDS229" s="15"/>
      <c r="GDT229" s="10"/>
      <c r="GDU229" s="10"/>
      <c r="GDV229" s="21"/>
      <c r="GDW229" s="21"/>
      <c r="GDZ229" s="21"/>
      <c r="GEA229" s="15"/>
      <c r="GEB229" s="15"/>
      <c r="GEC229" s="15"/>
      <c r="GED229" s="15"/>
      <c r="GEE229" s="15"/>
      <c r="GEF229" s="15"/>
      <c r="GEG229" s="15"/>
      <c r="GEH229" s="15"/>
      <c r="GEI229" s="15"/>
      <c r="GEJ229" s="15"/>
      <c r="GEK229" s="10"/>
      <c r="GEL229" s="10"/>
      <c r="GEM229" s="21"/>
      <c r="GEN229" s="21"/>
      <c r="GEQ229" s="21"/>
      <c r="GER229" s="15"/>
      <c r="GES229" s="15"/>
      <c r="GET229" s="15"/>
      <c r="GEU229" s="15"/>
      <c r="GEV229" s="15"/>
      <c r="GEW229" s="15"/>
      <c r="GEX229" s="15"/>
      <c r="GEY229" s="15"/>
      <c r="GEZ229" s="15"/>
      <c r="GFA229" s="15"/>
      <c r="GFB229" s="10"/>
      <c r="GFC229" s="10"/>
      <c r="GFD229" s="21"/>
      <c r="GFE229" s="21"/>
      <c r="GFH229" s="21"/>
      <c r="GFI229" s="15"/>
      <c r="GFJ229" s="15"/>
      <c r="GFK229" s="15"/>
      <c r="GFL229" s="15"/>
      <c r="GFM229" s="15"/>
      <c r="GFN229" s="15"/>
      <c r="GFO229" s="15"/>
      <c r="GFP229" s="15"/>
      <c r="GFQ229" s="15"/>
      <c r="GFR229" s="15"/>
      <c r="GFS229" s="10"/>
      <c r="GFT229" s="10"/>
      <c r="GFU229" s="21"/>
      <c r="GFV229" s="21"/>
      <c r="GFY229" s="21"/>
      <c r="GFZ229" s="15"/>
      <c r="GGA229" s="15"/>
      <c r="GGB229" s="15"/>
      <c r="GGC229" s="15"/>
      <c r="GGD229" s="15"/>
      <c r="GGE229" s="15"/>
      <c r="GGF229" s="15"/>
      <c r="GGG229" s="15"/>
      <c r="GGH229" s="15"/>
      <c r="GGI229" s="15"/>
      <c r="GGJ229" s="10"/>
      <c r="GGK229" s="10"/>
      <c r="GGL229" s="21"/>
      <c r="GGM229" s="21"/>
      <c r="GGP229" s="21"/>
      <c r="GGQ229" s="15"/>
      <c r="GGR229" s="15"/>
      <c r="GGS229" s="15"/>
      <c r="GGT229" s="15"/>
      <c r="GGU229" s="15"/>
      <c r="GGV229" s="15"/>
      <c r="GGW229" s="15"/>
      <c r="GGX229" s="15"/>
      <c r="GGY229" s="15"/>
      <c r="GGZ229" s="15"/>
      <c r="GHA229" s="10"/>
      <c r="GHB229" s="10"/>
      <c r="GHC229" s="21"/>
      <c r="GHD229" s="21"/>
      <c r="GHG229" s="21"/>
      <c r="GHH229" s="15"/>
      <c r="GHI229" s="15"/>
      <c r="GHJ229" s="15"/>
      <c r="GHK229" s="15"/>
      <c r="GHL229" s="15"/>
      <c r="GHM229" s="15"/>
      <c r="GHN229" s="15"/>
      <c r="GHO229" s="15"/>
      <c r="GHP229" s="15"/>
      <c r="GHQ229" s="15"/>
      <c r="GHR229" s="10"/>
      <c r="GHS229" s="10"/>
      <c r="GHT229" s="21"/>
      <c r="GHU229" s="21"/>
      <c r="GHX229" s="21"/>
      <c r="GHY229" s="15"/>
      <c r="GHZ229" s="15"/>
      <c r="GIA229" s="15"/>
      <c r="GIB229" s="15"/>
      <c r="GIC229" s="15"/>
      <c r="GID229" s="15"/>
      <c r="GIE229" s="15"/>
      <c r="GIF229" s="15"/>
      <c r="GIG229" s="15"/>
      <c r="GIH229" s="15"/>
      <c r="GII229" s="10"/>
      <c r="GIJ229" s="10"/>
      <c r="GIK229" s="21"/>
      <c r="GIL229" s="21"/>
      <c r="GIO229" s="21"/>
      <c r="GIP229" s="15"/>
      <c r="GIQ229" s="15"/>
      <c r="GIR229" s="15"/>
      <c r="GIS229" s="15"/>
      <c r="GIT229" s="15"/>
      <c r="GIU229" s="15"/>
      <c r="GIV229" s="15"/>
      <c r="GIW229" s="15"/>
      <c r="GIX229" s="15"/>
      <c r="GIY229" s="15"/>
      <c r="GIZ229" s="10"/>
      <c r="GJA229" s="10"/>
      <c r="GJB229" s="21"/>
      <c r="GJC229" s="21"/>
      <c r="GJF229" s="21"/>
      <c r="GJG229" s="15"/>
      <c r="GJH229" s="15"/>
      <c r="GJI229" s="15"/>
      <c r="GJJ229" s="15"/>
      <c r="GJK229" s="15"/>
      <c r="GJL229" s="15"/>
      <c r="GJM229" s="15"/>
      <c r="GJN229" s="15"/>
      <c r="GJO229" s="15"/>
      <c r="GJP229" s="15"/>
      <c r="GJQ229" s="10"/>
      <c r="GJR229" s="10"/>
      <c r="GJS229" s="21"/>
      <c r="GJT229" s="21"/>
      <c r="GJW229" s="21"/>
      <c r="GJX229" s="15"/>
      <c r="GJY229" s="15"/>
      <c r="GJZ229" s="15"/>
      <c r="GKA229" s="15"/>
      <c r="GKB229" s="15"/>
      <c r="GKC229" s="15"/>
      <c r="GKD229" s="15"/>
      <c r="GKE229" s="15"/>
      <c r="GKF229" s="15"/>
      <c r="GKG229" s="15"/>
      <c r="GKH229" s="10"/>
      <c r="GKI229" s="10"/>
      <c r="GKJ229" s="21"/>
      <c r="GKK229" s="21"/>
      <c r="GKN229" s="21"/>
      <c r="GKO229" s="15"/>
      <c r="GKP229" s="15"/>
      <c r="GKQ229" s="15"/>
      <c r="GKR229" s="15"/>
      <c r="GKS229" s="15"/>
      <c r="GKT229" s="15"/>
      <c r="GKU229" s="15"/>
      <c r="GKV229" s="15"/>
      <c r="GKW229" s="15"/>
      <c r="GKX229" s="15"/>
      <c r="GKY229" s="10"/>
      <c r="GKZ229" s="10"/>
      <c r="GLA229" s="21"/>
      <c r="GLB229" s="21"/>
      <c r="GLE229" s="21"/>
      <c r="GLF229" s="15"/>
      <c r="GLG229" s="15"/>
      <c r="GLH229" s="15"/>
      <c r="GLI229" s="15"/>
      <c r="GLJ229" s="15"/>
      <c r="GLK229" s="15"/>
      <c r="GLL229" s="15"/>
      <c r="GLM229" s="15"/>
      <c r="GLN229" s="15"/>
      <c r="GLO229" s="15"/>
      <c r="GLP229" s="10"/>
      <c r="GLQ229" s="10"/>
      <c r="GLR229" s="21"/>
      <c r="GLS229" s="21"/>
      <c r="GLV229" s="21"/>
      <c r="GLW229" s="15"/>
      <c r="GLX229" s="15"/>
      <c r="GLY229" s="15"/>
      <c r="GLZ229" s="15"/>
      <c r="GMA229" s="15"/>
      <c r="GMB229" s="15"/>
      <c r="GMC229" s="15"/>
      <c r="GMD229" s="15"/>
      <c r="GME229" s="15"/>
      <c r="GMF229" s="15"/>
      <c r="GMG229" s="10"/>
      <c r="GMH229" s="10"/>
      <c r="GMI229" s="21"/>
      <c r="GMJ229" s="21"/>
      <c r="GMM229" s="21"/>
      <c r="GMN229" s="15"/>
      <c r="GMO229" s="15"/>
      <c r="GMP229" s="15"/>
      <c r="GMQ229" s="15"/>
      <c r="GMR229" s="15"/>
      <c r="GMS229" s="15"/>
      <c r="GMT229" s="15"/>
      <c r="GMU229" s="15"/>
      <c r="GMV229" s="15"/>
      <c r="GMW229" s="15"/>
      <c r="GMX229" s="10"/>
      <c r="GMY229" s="10"/>
      <c r="GMZ229" s="21"/>
      <c r="GNA229" s="21"/>
      <c r="GND229" s="21"/>
      <c r="GNE229" s="15"/>
      <c r="GNF229" s="15"/>
      <c r="GNG229" s="15"/>
      <c r="GNH229" s="15"/>
      <c r="GNI229" s="15"/>
      <c r="GNJ229" s="15"/>
      <c r="GNK229" s="15"/>
      <c r="GNL229" s="15"/>
      <c r="GNM229" s="15"/>
      <c r="GNN229" s="15"/>
      <c r="GNO229" s="10"/>
      <c r="GNP229" s="10"/>
      <c r="GNQ229" s="21"/>
      <c r="GNR229" s="21"/>
      <c r="GNU229" s="21"/>
      <c r="GNV229" s="15"/>
      <c r="GNW229" s="15"/>
      <c r="GNX229" s="15"/>
      <c r="GNY229" s="15"/>
      <c r="GNZ229" s="15"/>
      <c r="GOA229" s="15"/>
      <c r="GOB229" s="15"/>
      <c r="GOC229" s="15"/>
      <c r="GOD229" s="15"/>
      <c r="GOE229" s="15"/>
      <c r="GOF229" s="10"/>
      <c r="GOG229" s="10"/>
      <c r="GOH229" s="21"/>
      <c r="GOI229" s="21"/>
      <c r="GOL229" s="21"/>
      <c r="GOM229" s="15"/>
      <c r="GON229" s="15"/>
      <c r="GOO229" s="15"/>
      <c r="GOP229" s="15"/>
      <c r="GOQ229" s="15"/>
      <c r="GOR229" s="15"/>
      <c r="GOS229" s="15"/>
      <c r="GOT229" s="15"/>
      <c r="GOU229" s="15"/>
      <c r="GOV229" s="15"/>
      <c r="GOW229" s="10"/>
      <c r="GOX229" s="10"/>
      <c r="GOY229" s="21"/>
      <c r="GOZ229" s="21"/>
      <c r="GPC229" s="21"/>
      <c r="GPD229" s="15"/>
      <c r="GPE229" s="15"/>
      <c r="GPF229" s="15"/>
      <c r="GPG229" s="15"/>
      <c r="GPH229" s="15"/>
      <c r="GPI229" s="15"/>
      <c r="GPJ229" s="15"/>
      <c r="GPK229" s="15"/>
      <c r="GPL229" s="15"/>
      <c r="GPM229" s="15"/>
      <c r="GPN229" s="10"/>
      <c r="GPO229" s="10"/>
      <c r="GPP229" s="21"/>
      <c r="GPQ229" s="21"/>
      <c r="GPT229" s="21"/>
      <c r="GPU229" s="15"/>
      <c r="GPV229" s="15"/>
      <c r="GPW229" s="15"/>
      <c r="GPX229" s="15"/>
      <c r="GPY229" s="15"/>
      <c r="GPZ229" s="15"/>
      <c r="GQA229" s="15"/>
      <c r="GQB229" s="15"/>
      <c r="GQC229" s="15"/>
      <c r="GQD229" s="15"/>
      <c r="GQE229" s="10"/>
      <c r="GQF229" s="10"/>
      <c r="GQG229" s="21"/>
      <c r="GQH229" s="21"/>
      <c r="GQK229" s="21"/>
      <c r="GQL229" s="15"/>
      <c r="GQM229" s="15"/>
      <c r="GQN229" s="15"/>
      <c r="GQO229" s="15"/>
      <c r="GQP229" s="15"/>
      <c r="GQQ229" s="15"/>
      <c r="GQR229" s="15"/>
      <c r="GQS229" s="15"/>
      <c r="GQT229" s="15"/>
      <c r="GQU229" s="15"/>
      <c r="GQV229" s="10"/>
      <c r="GQW229" s="10"/>
      <c r="GQX229" s="21"/>
      <c r="GQY229" s="21"/>
      <c r="GRB229" s="21"/>
      <c r="GRC229" s="15"/>
      <c r="GRD229" s="15"/>
      <c r="GRE229" s="15"/>
      <c r="GRF229" s="15"/>
      <c r="GRG229" s="15"/>
      <c r="GRH229" s="15"/>
      <c r="GRI229" s="15"/>
      <c r="GRJ229" s="15"/>
      <c r="GRK229" s="15"/>
      <c r="GRL229" s="15"/>
      <c r="GRM229" s="10"/>
      <c r="GRN229" s="10"/>
      <c r="GRO229" s="21"/>
      <c r="GRP229" s="21"/>
      <c r="GRS229" s="21"/>
      <c r="GRT229" s="15"/>
      <c r="GRU229" s="15"/>
      <c r="GRV229" s="15"/>
      <c r="GRW229" s="15"/>
      <c r="GRX229" s="15"/>
      <c r="GRY229" s="15"/>
      <c r="GRZ229" s="15"/>
      <c r="GSA229" s="15"/>
      <c r="GSB229" s="15"/>
      <c r="GSC229" s="15"/>
      <c r="GSD229" s="10"/>
      <c r="GSE229" s="10"/>
      <c r="GSF229" s="21"/>
      <c r="GSG229" s="21"/>
      <c r="GSJ229" s="21"/>
      <c r="GSK229" s="15"/>
      <c r="GSL229" s="15"/>
      <c r="GSM229" s="15"/>
      <c r="GSN229" s="15"/>
      <c r="GSO229" s="15"/>
      <c r="GSP229" s="15"/>
      <c r="GSQ229" s="15"/>
      <c r="GSR229" s="15"/>
      <c r="GSS229" s="15"/>
      <c r="GST229" s="15"/>
      <c r="GSU229" s="10"/>
      <c r="GSV229" s="10"/>
      <c r="GSW229" s="21"/>
      <c r="GSX229" s="21"/>
      <c r="GTA229" s="21"/>
      <c r="GTB229" s="15"/>
      <c r="GTC229" s="15"/>
      <c r="GTD229" s="15"/>
      <c r="GTE229" s="15"/>
      <c r="GTF229" s="15"/>
      <c r="GTG229" s="15"/>
      <c r="GTH229" s="15"/>
      <c r="GTI229" s="15"/>
      <c r="GTJ229" s="15"/>
      <c r="GTK229" s="15"/>
      <c r="GTL229" s="10"/>
      <c r="GTM229" s="10"/>
      <c r="GTN229" s="21"/>
      <c r="GTO229" s="21"/>
      <c r="GTR229" s="21"/>
      <c r="GTS229" s="15"/>
      <c r="GTT229" s="15"/>
      <c r="GTU229" s="15"/>
      <c r="GTV229" s="15"/>
      <c r="GTW229" s="15"/>
      <c r="GTX229" s="15"/>
      <c r="GTY229" s="15"/>
      <c r="GTZ229" s="15"/>
      <c r="GUA229" s="15"/>
      <c r="GUB229" s="15"/>
      <c r="GUC229" s="10"/>
      <c r="GUD229" s="10"/>
      <c r="GUE229" s="21"/>
      <c r="GUF229" s="21"/>
      <c r="GUI229" s="21"/>
      <c r="GUJ229" s="15"/>
      <c r="GUK229" s="15"/>
      <c r="GUL229" s="15"/>
      <c r="GUM229" s="15"/>
      <c r="GUN229" s="15"/>
      <c r="GUO229" s="15"/>
      <c r="GUP229" s="15"/>
      <c r="GUQ229" s="15"/>
      <c r="GUR229" s="15"/>
      <c r="GUS229" s="15"/>
      <c r="GUT229" s="10"/>
      <c r="GUU229" s="10"/>
      <c r="GUV229" s="21"/>
      <c r="GUW229" s="21"/>
      <c r="GUZ229" s="21"/>
      <c r="GVA229" s="15"/>
      <c r="GVB229" s="15"/>
      <c r="GVC229" s="15"/>
      <c r="GVD229" s="15"/>
      <c r="GVE229" s="15"/>
      <c r="GVF229" s="15"/>
      <c r="GVG229" s="15"/>
      <c r="GVH229" s="15"/>
      <c r="GVI229" s="15"/>
      <c r="GVJ229" s="15"/>
      <c r="GVK229" s="10"/>
      <c r="GVL229" s="10"/>
      <c r="GVM229" s="21"/>
      <c r="GVN229" s="21"/>
      <c r="GVQ229" s="21"/>
      <c r="GVR229" s="15"/>
      <c r="GVS229" s="15"/>
      <c r="GVT229" s="15"/>
      <c r="GVU229" s="15"/>
      <c r="GVV229" s="15"/>
      <c r="GVW229" s="15"/>
      <c r="GVX229" s="15"/>
      <c r="GVY229" s="15"/>
      <c r="GVZ229" s="15"/>
      <c r="GWA229" s="15"/>
      <c r="GWB229" s="10"/>
      <c r="GWC229" s="10"/>
      <c r="GWD229" s="21"/>
      <c r="GWE229" s="21"/>
      <c r="GWH229" s="21"/>
      <c r="GWI229" s="15"/>
      <c r="GWJ229" s="15"/>
      <c r="GWK229" s="15"/>
      <c r="GWL229" s="15"/>
      <c r="GWM229" s="15"/>
      <c r="GWN229" s="15"/>
      <c r="GWO229" s="15"/>
      <c r="GWP229" s="15"/>
      <c r="GWQ229" s="15"/>
      <c r="GWR229" s="15"/>
      <c r="GWS229" s="10"/>
      <c r="GWT229" s="10"/>
      <c r="GWU229" s="21"/>
      <c r="GWV229" s="21"/>
      <c r="GWY229" s="21"/>
      <c r="GWZ229" s="15"/>
      <c r="GXA229" s="15"/>
      <c r="GXB229" s="15"/>
      <c r="GXC229" s="15"/>
      <c r="GXD229" s="15"/>
      <c r="GXE229" s="15"/>
      <c r="GXF229" s="15"/>
      <c r="GXG229" s="15"/>
      <c r="GXH229" s="15"/>
      <c r="GXI229" s="15"/>
      <c r="GXJ229" s="10"/>
      <c r="GXK229" s="10"/>
      <c r="GXL229" s="21"/>
      <c r="GXM229" s="21"/>
      <c r="GXP229" s="21"/>
      <c r="GXQ229" s="15"/>
      <c r="GXR229" s="15"/>
      <c r="GXS229" s="15"/>
      <c r="GXT229" s="15"/>
      <c r="GXU229" s="15"/>
      <c r="GXV229" s="15"/>
      <c r="GXW229" s="15"/>
      <c r="GXX229" s="15"/>
      <c r="GXY229" s="15"/>
      <c r="GXZ229" s="15"/>
      <c r="GYA229" s="10"/>
      <c r="GYB229" s="10"/>
      <c r="GYC229" s="21"/>
      <c r="GYD229" s="21"/>
      <c r="GYG229" s="21"/>
      <c r="GYH229" s="15"/>
      <c r="GYI229" s="15"/>
      <c r="GYJ229" s="15"/>
      <c r="GYK229" s="15"/>
      <c r="GYL229" s="15"/>
      <c r="GYM229" s="15"/>
      <c r="GYN229" s="15"/>
      <c r="GYO229" s="15"/>
      <c r="GYP229" s="15"/>
      <c r="GYQ229" s="15"/>
      <c r="GYR229" s="10"/>
      <c r="GYS229" s="10"/>
      <c r="GYT229" s="21"/>
      <c r="GYU229" s="21"/>
      <c r="GYX229" s="21"/>
      <c r="GYY229" s="15"/>
      <c r="GYZ229" s="15"/>
      <c r="GZA229" s="15"/>
      <c r="GZB229" s="15"/>
      <c r="GZC229" s="15"/>
      <c r="GZD229" s="15"/>
      <c r="GZE229" s="15"/>
      <c r="GZF229" s="15"/>
      <c r="GZG229" s="15"/>
      <c r="GZH229" s="15"/>
      <c r="GZI229" s="10"/>
      <c r="GZJ229" s="10"/>
      <c r="GZK229" s="21"/>
      <c r="GZL229" s="21"/>
      <c r="GZO229" s="21"/>
      <c r="GZP229" s="15"/>
      <c r="GZQ229" s="15"/>
      <c r="GZR229" s="15"/>
      <c r="GZS229" s="15"/>
      <c r="GZT229" s="15"/>
      <c r="GZU229" s="15"/>
      <c r="GZV229" s="15"/>
      <c r="GZW229" s="15"/>
      <c r="GZX229" s="15"/>
      <c r="GZY229" s="15"/>
      <c r="GZZ229" s="10"/>
      <c r="HAA229" s="10"/>
      <c r="HAB229" s="21"/>
      <c r="HAC229" s="21"/>
      <c r="HAF229" s="21"/>
      <c r="HAG229" s="15"/>
      <c r="HAH229" s="15"/>
      <c r="HAI229" s="15"/>
      <c r="HAJ229" s="15"/>
      <c r="HAK229" s="15"/>
      <c r="HAL229" s="15"/>
      <c r="HAM229" s="15"/>
      <c r="HAN229" s="15"/>
      <c r="HAO229" s="15"/>
      <c r="HAP229" s="15"/>
      <c r="HAQ229" s="10"/>
      <c r="HAR229" s="10"/>
      <c r="HAS229" s="21"/>
      <c r="HAT229" s="21"/>
      <c r="HAW229" s="21"/>
      <c r="HAX229" s="15"/>
      <c r="HAY229" s="15"/>
      <c r="HAZ229" s="15"/>
      <c r="HBA229" s="15"/>
      <c r="HBB229" s="15"/>
      <c r="HBC229" s="15"/>
      <c r="HBD229" s="15"/>
      <c r="HBE229" s="15"/>
      <c r="HBF229" s="15"/>
      <c r="HBG229" s="15"/>
      <c r="HBH229" s="10"/>
      <c r="HBI229" s="10"/>
      <c r="HBJ229" s="21"/>
      <c r="HBK229" s="21"/>
      <c r="HBN229" s="21"/>
      <c r="HBO229" s="15"/>
      <c r="HBP229" s="15"/>
      <c r="HBQ229" s="15"/>
      <c r="HBR229" s="15"/>
      <c r="HBS229" s="15"/>
      <c r="HBT229" s="15"/>
      <c r="HBU229" s="15"/>
      <c r="HBV229" s="15"/>
      <c r="HBW229" s="15"/>
      <c r="HBX229" s="15"/>
      <c r="HBY229" s="10"/>
      <c r="HBZ229" s="10"/>
      <c r="HCA229" s="21"/>
      <c r="HCB229" s="21"/>
      <c r="HCE229" s="21"/>
      <c r="HCF229" s="15"/>
      <c r="HCG229" s="15"/>
      <c r="HCH229" s="15"/>
      <c r="HCI229" s="15"/>
      <c r="HCJ229" s="15"/>
      <c r="HCK229" s="15"/>
      <c r="HCL229" s="15"/>
      <c r="HCM229" s="15"/>
      <c r="HCN229" s="15"/>
      <c r="HCO229" s="15"/>
      <c r="HCP229" s="10"/>
      <c r="HCQ229" s="10"/>
      <c r="HCR229" s="21"/>
      <c r="HCS229" s="21"/>
      <c r="HCV229" s="21"/>
      <c r="HCW229" s="15"/>
      <c r="HCX229" s="15"/>
      <c r="HCY229" s="15"/>
      <c r="HCZ229" s="15"/>
      <c r="HDA229" s="15"/>
      <c r="HDB229" s="15"/>
      <c r="HDC229" s="15"/>
      <c r="HDD229" s="15"/>
      <c r="HDE229" s="15"/>
      <c r="HDF229" s="15"/>
      <c r="HDG229" s="10"/>
      <c r="HDH229" s="10"/>
      <c r="HDI229" s="21"/>
      <c r="HDJ229" s="21"/>
      <c r="HDM229" s="21"/>
      <c r="HDN229" s="15"/>
      <c r="HDO229" s="15"/>
      <c r="HDP229" s="15"/>
      <c r="HDQ229" s="15"/>
      <c r="HDR229" s="15"/>
      <c r="HDS229" s="15"/>
      <c r="HDT229" s="15"/>
      <c r="HDU229" s="15"/>
      <c r="HDV229" s="15"/>
      <c r="HDW229" s="15"/>
      <c r="HDX229" s="10"/>
      <c r="HDY229" s="10"/>
      <c r="HDZ229" s="21"/>
      <c r="HEA229" s="21"/>
      <c r="HED229" s="21"/>
      <c r="HEE229" s="15"/>
      <c r="HEF229" s="15"/>
      <c r="HEG229" s="15"/>
      <c r="HEH229" s="15"/>
      <c r="HEI229" s="15"/>
      <c r="HEJ229" s="15"/>
      <c r="HEK229" s="15"/>
      <c r="HEL229" s="15"/>
      <c r="HEM229" s="15"/>
      <c r="HEN229" s="15"/>
      <c r="HEO229" s="10"/>
      <c r="HEP229" s="10"/>
      <c r="HEQ229" s="21"/>
      <c r="HER229" s="21"/>
      <c r="HEU229" s="21"/>
      <c r="HEV229" s="15"/>
      <c r="HEW229" s="15"/>
      <c r="HEX229" s="15"/>
      <c r="HEY229" s="15"/>
      <c r="HEZ229" s="15"/>
      <c r="HFA229" s="15"/>
      <c r="HFB229" s="15"/>
      <c r="HFC229" s="15"/>
      <c r="HFD229" s="15"/>
      <c r="HFE229" s="15"/>
      <c r="HFF229" s="10"/>
      <c r="HFG229" s="10"/>
      <c r="HFH229" s="21"/>
      <c r="HFI229" s="21"/>
      <c r="HFL229" s="21"/>
      <c r="HFM229" s="15"/>
      <c r="HFN229" s="15"/>
      <c r="HFO229" s="15"/>
      <c r="HFP229" s="15"/>
      <c r="HFQ229" s="15"/>
      <c r="HFR229" s="15"/>
      <c r="HFS229" s="15"/>
      <c r="HFT229" s="15"/>
      <c r="HFU229" s="15"/>
      <c r="HFV229" s="15"/>
      <c r="HFW229" s="10"/>
      <c r="HFX229" s="10"/>
      <c r="HFY229" s="21"/>
      <c r="HFZ229" s="21"/>
      <c r="HGC229" s="21"/>
      <c r="HGD229" s="15"/>
      <c r="HGE229" s="15"/>
      <c r="HGF229" s="15"/>
      <c r="HGG229" s="15"/>
      <c r="HGH229" s="15"/>
      <c r="HGI229" s="15"/>
      <c r="HGJ229" s="15"/>
      <c r="HGK229" s="15"/>
      <c r="HGL229" s="15"/>
      <c r="HGM229" s="15"/>
      <c r="HGN229" s="10"/>
      <c r="HGO229" s="10"/>
      <c r="HGP229" s="21"/>
      <c r="HGQ229" s="21"/>
      <c r="HGT229" s="21"/>
      <c r="HGU229" s="15"/>
      <c r="HGV229" s="15"/>
      <c r="HGW229" s="15"/>
      <c r="HGX229" s="15"/>
      <c r="HGY229" s="15"/>
      <c r="HGZ229" s="15"/>
      <c r="HHA229" s="15"/>
      <c r="HHB229" s="15"/>
      <c r="HHC229" s="15"/>
      <c r="HHD229" s="15"/>
      <c r="HHE229" s="10"/>
      <c r="HHF229" s="10"/>
      <c r="HHG229" s="21"/>
      <c r="HHH229" s="21"/>
      <c r="HHK229" s="21"/>
      <c r="HHL229" s="15"/>
      <c r="HHM229" s="15"/>
      <c r="HHN229" s="15"/>
      <c r="HHO229" s="15"/>
      <c r="HHP229" s="15"/>
      <c r="HHQ229" s="15"/>
      <c r="HHR229" s="15"/>
      <c r="HHS229" s="15"/>
      <c r="HHT229" s="15"/>
      <c r="HHU229" s="15"/>
      <c r="HHV229" s="10"/>
      <c r="HHW229" s="10"/>
      <c r="HHX229" s="21"/>
      <c r="HHY229" s="21"/>
      <c r="HIB229" s="21"/>
      <c r="HIC229" s="15"/>
      <c r="HID229" s="15"/>
      <c r="HIE229" s="15"/>
      <c r="HIF229" s="15"/>
      <c r="HIG229" s="15"/>
      <c r="HIH229" s="15"/>
      <c r="HII229" s="15"/>
      <c r="HIJ229" s="15"/>
      <c r="HIK229" s="15"/>
      <c r="HIL229" s="15"/>
      <c r="HIM229" s="10"/>
      <c r="HIN229" s="10"/>
      <c r="HIO229" s="21"/>
      <c r="HIP229" s="21"/>
      <c r="HIS229" s="21"/>
      <c r="HIT229" s="15"/>
      <c r="HIU229" s="15"/>
      <c r="HIV229" s="15"/>
      <c r="HIW229" s="15"/>
      <c r="HIX229" s="15"/>
      <c r="HIY229" s="15"/>
      <c r="HIZ229" s="15"/>
      <c r="HJA229" s="15"/>
      <c r="HJB229" s="15"/>
      <c r="HJC229" s="15"/>
      <c r="HJD229" s="10"/>
      <c r="HJE229" s="10"/>
      <c r="HJF229" s="21"/>
      <c r="HJG229" s="21"/>
      <c r="HJJ229" s="21"/>
      <c r="HJK229" s="15"/>
      <c r="HJL229" s="15"/>
      <c r="HJM229" s="15"/>
      <c r="HJN229" s="15"/>
      <c r="HJO229" s="15"/>
      <c r="HJP229" s="15"/>
      <c r="HJQ229" s="15"/>
      <c r="HJR229" s="15"/>
      <c r="HJS229" s="15"/>
      <c r="HJT229" s="15"/>
      <c r="HJU229" s="10"/>
      <c r="HJV229" s="10"/>
      <c r="HJW229" s="21"/>
      <c r="HJX229" s="21"/>
      <c r="HKA229" s="21"/>
      <c r="HKB229" s="15"/>
      <c r="HKC229" s="15"/>
      <c r="HKD229" s="15"/>
      <c r="HKE229" s="15"/>
      <c r="HKF229" s="15"/>
      <c r="HKG229" s="15"/>
      <c r="HKH229" s="15"/>
      <c r="HKI229" s="15"/>
      <c r="HKJ229" s="15"/>
      <c r="HKK229" s="15"/>
      <c r="HKL229" s="10"/>
      <c r="HKM229" s="10"/>
      <c r="HKN229" s="21"/>
      <c r="HKO229" s="21"/>
      <c r="HKR229" s="21"/>
      <c r="HKS229" s="15"/>
      <c r="HKT229" s="15"/>
      <c r="HKU229" s="15"/>
      <c r="HKV229" s="15"/>
      <c r="HKW229" s="15"/>
      <c r="HKX229" s="15"/>
      <c r="HKY229" s="15"/>
      <c r="HKZ229" s="15"/>
      <c r="HLA229" s="15"/>
      <c r="HLB229" s="15"/>
      <c r="HLC229" s="10"/>
      <c r="HLD229" s="10"/>
      <c r="HLE229" s="21"/>
      <c r="HLF229" s="21"/>
      <c r="HLI229" s="21"/>
      <c r="HLJ229" s="15"/>
      <c r="HLK229" s="15"/>
      <c r="HLL229" s="15"/>
      <c r="HLM229" s="15"/>
      <c r="HLN229" s="15"/>
      <c r="HLO229" s="15"/>
      <c r="HLP229" s="15"/>
      <c r="HLQ229" s="15"/>
      <c r="HLR229" s="15"/>
      <c r="HLS229" s="15"/>
      <c r="HLT229" s="10"/>
      <c r="HLU229" s="10"/>
      <c r="HLV229" s="21"/>
      <c r="HLW229" s="21"/>
      <c r="HLZ229" s="21"/>
      <c r="HMA229" s="15"/>
      <c r="HMB229" s="15"/>
      <c r="HMC229" s="15"/>
      <c r="HMD229" s="15"/>
      <c r="HME229" s="15"/>
      <c r="HMF229" s="15"/>
      <c r="HMG229" s="15"/>
      <c r="HMH229" s="15"/>
      <c r="HMI229" s="15"/>
      <c r="HMJ229" s="15"/>
      <c r="HMK229" s="10"/>
      <c r="HML229" s="10"/>
      <c r="HMM229" s="21"/>
      <c r="HMN229" s="21"/>
      <c r="HMQ229" s="21"/>
      <c r="HMR229" s="15"/>
      <c r="HMS229" s="15"/>
      <c r="HMT229" s="15"/>
      <c r="HMU229" s="15"/>
      <c r="HMV229" s="15"/>
      <c r="HMW229" s="15"/>
      <c r="HMX229" s="15"/>
      <c r="HMY229" s="15"/>
      <c r="HMZ229" s="15"/>
      <c r="HNA229" s="15"/>
      <c r="HNB229" s="10"/>
      <c r="HNC229" s="10"/>
      <c r="HND229" s="21"/>
      <c r="HNE229" s="21"/>
      <c r="HNH229" s="21"/>
      <c r="HNI229" s="15"/>
      <c r="HNJ229" s="15"/>
      <c r="HNK229" s="15"/>
      <c r="HNL229" s="15"/>
      <c r="HNM229" s="15"/>
      <c r="HNN229" s="15"/>
      <c r="HNO229" s="15"/>
      <c r="HNP229" s="15"/>
      <c r="HNQ229" s="15"/>
      <c r="HNR229" s="15"/>
      <c r="HNS229" s="10"/>
      <c r="HNT229" s="10"/>
      <c r="HNU229" s="21"/>
      <c r="HNV229" s="21"/>
      <c r="HNY229" s="21"/>
      <c r="HNZ229" s="15"/>
      <c r="HOA229" s="15"/>
      <c r="HOB229" s="15"/>
      <c r="HOC229" s="15"/>
      <c r="HOD229" s="15"/>
      <c r="HOE229" s="15"/>
      <c r="HOF229" s="15"/>
      <c r="HOG229" s="15"/>
      <c r="HOH229" s="15"/>
      <c r="HOI229" s="15"/>
      <c r="HOJ229" s="10"/>
      <c r="HOK229" s="10"/>
      <c r="HOL229" s="21"/>
      <c r="HOM229" s="21"/>
      <c r="HOP229" s="21"/>
      <c r="HOQ229" s="15"/>
      <c r="HOR229" s="15"/>
      <c r="HOS229" s="15"/>
      <c r="HOT229" s="15"/>
      <c r="HOU229" s="15"/>
      <c r="HOV229" s="15"/>
      <c r="HOW229" s="15"/>
      <c r="HOX229" s="15"/>
      <c r="HOY229" s="15"/>
      <c r="HOZ229" s="15"/>
      <c r="HPA229" s="10"/>
      <c r="HPB229" s="10"/>
      <c r="HPC229" s="21"/>
      <c r="HPD229" s="21"/>
      <c r="HPG229" s="21"/>
      <c r="HPH229" s="15"/>
      <c r="HPI229" s="15"/>
      <c r="HPJ229" s="15"/>
      <c r="HPK229" s="15"/>
      <c r="HPL229" s="15"/>
      <c r="HPM229" s="15"/>
      <c r="HPN229" s="15"/>
      <c r="HPO229" s="15"/>
      <c r="HPP229" s="15"/>
      <c r="HPQ229" s="15"/>
      <c r="HPR229" s="10"/>
      <c r="HPS229" s="10"/>
      <c r="HPT229" s="21"/>
      <c r="HPU229" s="21"/>
      <c r="HPX229" s="21"/>
      <c r="HPY229" s="15"/>
      <c r="HPZ229" s="15"/>
      <c r="HQA229" s="15"/>
      <c r="HQB229" s="15"/>
      <c r="HQC229" s="15"/>
      <c r="HQD229" s="15"/>
      <c r="HQE229" s="15"/>
      <c r="HQF229" s="15"/>
      <c r="HQG229" s="15"/>
      <c r="HQH229" s="15"/>
      <c r="HQI229" s="10"/>
      <c r="HQJ229" s="10"/>
      <c r="HQK229" s="21"/>
      <c r="HQL229" s="21"/>
      <c r="HQO229" s="21"/>
      <c r="HQP229" s="15"/>
      <c r="HQQ229" s="15"/>
      <c r="HQR229" s="15"/>
      <c r="HQS229" s="15"/>
      <c r="HQT229" s="15"/>
      <c r="HQU229" s="15"/>
      <c r="HQV229" s="15"/>
      <c r="HQW229" s="15"/>
      <c r="HQX229" s="15"/>
      <c r="HQY229" s="15"/>
      <c r="HQZ229" s="10"/>
      <c r="HRA229" s="10"/>
      <c r="HRB229" s="21"/>
      <c r="HRC229" s="21"/>
      <c r="HRF229" s="21"/>
      <c r="HRG229" s="15"/>
      <c r="HRH229" s="15"/>
      <c r="HRI229" s="15"/>
      <c r="HRJ229" s="15"/>
      <c r="HRK229" s="15"/>
      <c r="HRL229" s="15"/>
      <c r="HRM229" s="15"/>
      <c r="HRN229" s="15"/>
      <c r="HRO229" s="15"/>
      <c r="HRP229" s="15"/>
      <c r="HRQ229" s="10"/>
      <c r="HRR229" s="10"/>
      <c r="HRS229" s="21"/>
      <c r="HRT229" s="21"/>
      <c r="HRW229" s="21"/>
      <c r="HRX229" s="15"/>
      <c r="HRY229" s="15"/>
      <c r="HRZ229" s="15"/>
      <c r="HSA229" s="15"/>
      <c r="HSB229" s="15"/>
      <c r="HSC229" s="15"/>
      <c r="HSD229" s="15"/>
      <c r="HSE229" s="15"/>
      <c r="HSF229" s="15"/>
      <c r="HSG229" s="15"/>
      <c r="HSH229" s="10"/>
      <c r="HSI229" s="10"/>
      <c r="HSJ229" s="21"/>
      <c r="HSK229" s="21"/>
      <c r="HSN229" s="21"/>
      <c r="HSO229" s="15"/>
      <c r="HSP229" s="15"/>
      <c r="HSQ229" s="15"/>
      <c r="HSR229" s="15"/>
      <c r="HSS229" s="15"/>
      <c r="HST229" s="15"/>
      <c r="HSU229" s="15"/>
      <c r="HSV229" s="15"/>
      <c r="HSW229" s="15"/>
      <c r="HSX229" s="15"/>
      <c r="HSY229" s="10"/>
      <c r="HSZ229" s="10"/>
      <c r="HTA229" s="21"/>
      <c r="HTB229" s="21"/>
      <c r="HTE229" s="21"/>
      <c r="HTF229" s="15"/>
      <c r="HTG229" s="15"/>
      <c r="HTH229" s="15"/>
      <c r="HTI229" s="15"/>
      <c r="HTJ229" s="15"/>
      <c r="HTK229" s="15"/>
      <c r="HTL229" s="15"/>
      <c r="HTM229" s="15"/>
      <c r="HTN229" s="15"/>
      <c r="HTO229" s="15"/>
      <c r="HTP229" s="10"/>
      <c r="HTQ229" s="10"/>
      <c r="HTR229" s="21"/>
      <c r="HTS229" s="21"/>
      <c r="HTV229" s="21"/>
      <c r="HTW229" s="15"/>
      <c r="HTX229" s="15"/>
      <c r="HTY229" s="15"/>
      <c r="HTZ229" s="15"/>
      <c r="HUA229" s="15"/>
      <c r="HUB229" s="15"/>
      <c r="HUC229" s="15"/>
      <c r="HUD229" s="15"/>
      <c r="HUE229" s="15"/>
      <c r="HUF229" s="15"/>
      <c r="HUG229" s="10"/>
      <c r="HUH229" s="10"/>
      <c r="HUI229" s="21"/>
      <c r="HUJ229" s="21"/>
      <c r="HUM229" s="21"/>
      <c r="HUN229" s="15"/>
      <c r="HUO229" s="15"/>
      <c r="HUP229" s="15"/>
      <c r="HUQ229" s="15"/>
      <c r="HUR229" s="15"/>
      <c r="HUS229" s="15"/>
      <c r="HUT229" s="15"/>
      <c r="HUU229" s="15"/>
      <c r="HUV229" s="15"/>
      <c r="HUW229" s="15"/>
      <c r="HUX229" s="10"/>
      <c r="HUY229" s="10"/>
      <c r="HUZ229" s="21"/>
      <c r="HVA229" s="21"/>
      <c r="HVD229" s="21"/>
      <c r="HVE229" s="15"/>
      <c r="HVF229" s="15"/>
      <c r="HVG229" s="15"/>
      <c r="HVH229" s="15"/>
      <c r="HVI229" s="15"/>
      <c r="HVJ229" s="15"/>
      <c r="HVK229" s="15"/>
      <c r="HVL229" s="15"/>
      <c r="HVM229" s="15"/>
      <c r="HVN229" s="15"/>
      <c r="HVO229" s="10"/>
      <c r="HVP229" s="10"/>
      <c r="HVQ229" s="21"/>
      <c r="HVR229" s="21"/>
      <c r="HVU229" s="21"/>
      <c r="HVV229" s="15"/>
      <c r="HVW229" s="15"/>
      <c r="HVX229" s="15"/>
      <c r="HVY229" s="15"/>
      <c r="HVZ229" s="15"/>
      <c r="HWA229" s="15"/>
      <c r="HWB229" s="15"/>
      <c r="HWC229" s="15"/>
      <c r="HWD229" s="15"/>
      <c r="HWE229" s="15"/>
      <c r="HWF229" s="10"/>
      <c r="HWG229" s="10"/>
      <c r="HWH229" s="21"/>
      <c r="HWI229" s="21"/>
      <c r="HWL229" s="21"/>
      <c r="HWM229" s="15"/>
      <c r="HWN229" s="15"/>
      <c r="HWO229" s="15"/>
      <c r="HWP229" s="15"/>
      <c r="HWQ229" s="15"/>
      <c r="HWR229" s="15"/>
      <c r="HWS229" s="15"/>
      <c r="HWT229" s="15"/>
      <c r="HWU229" s="15"/>
      <c r="HWV229" s="15"/>
      <c r="HWW229" s="10"/>
      <c r="HWX229" s="10"/>
      <c r="HWY229" s="21"/>
      <c r="HWZ229" s="21"/>
      <c r="HXC229" s="21"/>
      <c r="HXD229" s="15"/>
      <c r="HXE229" s="15"/>
      <c r="HXF229" s="15"/>
      <c r="HXG229" s="15"/>
      <c r="HXH229" s="15"/>
      <c r="HXI229" s="15"/>
      <c r="HXJ229" s="15"/>
      <c r="HXK229" s="15"/>
      <c r="HXL229" s="15"/>
      <c r="HXM229" s="15"/>
      <c r="HXN229" s="10"/>
      <c r="HXO229" s="10"/>
      <c r="HXP229" s="21"/>
      <c r="HXQ229" s="21"/>
      <c r="HXT229" s="21"/>
      <c r="HXU229" s="15"/>
      <c r="HXV229" s="15"/>
      <c r="HXW229" s="15"/>
      <c r="HXX229" s="15"/>
      <c r="HXY229" s="15"/>
      <c r="HXZ229" s="15"/>
      <c r="HYA229" s="15"/>
      <c r="HYB229" s="15"/>
      <c r="HYC229" s="15"/>
      <c r="HYD229" s="15"/>
      <c r="HYE229" s="10"/>
      <c r="HYF229" s="10"/>
      <c r="HYG229" s="21"/>
      <c r="HYH229" s="21"/>
      <c r="HYK229" s="21"/>
      <c r="HYL229" s="15"/>
      <c r="HYM229" s="15"/>
      <c r="HYN229" s="15"/>
      <c r="HYO229" s="15"/>
      <c r="HYP229" s="15"/>
      <c r="HYQ229" s="15"/>
      <c r="HYR229" s="15"/>
      <c r="HYS229" s="15"/>
      <c r="HYT229" s="15"/>
      <c r="HYU229" s="15"/>
      <c r="HYV229" s="10"/>
      <c r="HYW229" s="10"/>
      <c r="HYX229" s="21"/>
      <c r="HYY229" s="21"/>
      <c r="HZB229" s="21"/>
      <c r="HZC229" s="15"/>
      <c r="HZD229" s="15"/>
      <c r="HZE229" s="15"/>
      <c r="HZF229" s="15"/>
      <c r="HZG229" s="15"/>
      <c r="HZH229" s="15"/>
      <c r="HZI229" s="15"/>
      <c r="HZJ229" s="15"/>
      <c r="HZK229" s="15"/>
      <c r="HZL229" s="15"/>
      <c r="HZM229" s="10"/>
      <c r="HZN229" s="10"/>
      <c r="HZO229" s="21"/>
      <c r="HZP229" s="21"/>
      <c r="HZS229" s="21"/>
      <c r="HZT229" s="15"/>
      <c r="HZU229" s="15"/>
      <c r="HZV229" s="15"/>
      <c r="HZW229" s="15"/>
      <c r="HZX229" s="15"/>
      <c r="HZY229" s="15"/>
      <c r="HZZ229" s="15"/>
      <c r="IAA229" s="15"/>
      <c r="IAB229" s="15"/>
      <c r="IAC229" s="15"/>
      <c r="IAD229" s="10"/>
      <c r="IAE229" s="10"/>
      <c r="IAF229" s="21"/>
      <c r="IAG229" s="21"/>
      <c r="IAJ229" s="21"/>
      <c r="IAK229" s="15"/>
      <c r="IAL229" s="15"/>
      <c r="IAM229" s="15"/>
      <c r="IAN229" s="15"/>
      <c r="IAO229" s="15"/>
      <c r="IAP229" s="15"/>
      <c r="IAQ229" s="15"/>
      <c r="IAR229" s="15"/>
      <c r="IAS229" s="15"/>
      <c r="IAT229" s="15"/>
      <c r="IAU229" s="10"/>
      <c r="IAV229" s="10"/>
      <c r="IAW229" s="21"/>
      <c r="IAX229" s="21"/>
      <c r="IBA229" s="21"/>
      <c r="IBB229" s="15"/>
      <c r="IBC229" s="15"/>
      <c r="IBD229" s="15"/>
      <c r="IBE229" s="15"/>
      <c r="IBF229" s="15"/>
      <c r="IBG229" s="15"/>
      <c r="IBH229" s="15"/>
      <c r="IBI229" s="15"/>
      <c r="IBJ229" s="15"/>
      <c r="IBK229" s="15"/>
      <c r="IBL229" s="10"/>
      <c r="IBM229" s="10"/>
      <c r="IBN229" s="21"/>
      <c r="IBO229" s="21"/>
      <c r="IBR229" s="21"/>
      <c r="IBS229" s="15"/>
      <c r="IBT229" s="15"/>
      <c r="IBU229" s="15"/>
      <c r="IBV229" s="15"/>
      <c r="IBW229" s="15"/>
      <c r="IBX229" s="15"/>
      <c r="IBY229" s="15"/>
      <c r="IBZ229" s="15"/>
      <c r="ICA229" s="15"/>
      <c r="ICB229" s="15"/>
      <c r="ICC229" s="10"/>
      <c r="ICD229" s="10"/>
      <c r="ICE229" s="21"/>
      <c r="ICF229" s="21"/>
      <c r="ICI229" s="21"/>
      <c r="ICJ229" s="15"/>
      <c r="ICK229" s="15"/>
      <c r="ICL229" s="15"/>
      <c r="ICM229" s="15"/>
      <c r="ICN229" s="15"/>
      <c r="ICO229" s="15"/>
      <c r="ICP229" s="15"/>
      <c r="ICQ229" s="15"/>
      <c r="ICR229" s="15"/>
      <c r="ICS229" s="15"/>
      <c r="ICT229" s="10"/>
      <c r="ICU229" s="10"/>
      <c r="ICV229" s="21"/>
      <c r="ICW229" s="21"/>
      <c r="ICZ229" s="21"/>
      <c r="IDA229" s="15"/>
      <c r="IDB229" s="15"/>
      <c r="IDC229" s="15"/>
      <c r="IDD229" s="15"/>
      <c r="IDE229" s="15"/>
      <c r="IDF229" s="15"/>
      <c r="IDG229" s="15"/>
      <c r="IDH229" s="15"/>
      <c r="IDI229" s="15"/>
      <c r="IDJ229" s="15"/>
      <c r="IDK229" s="10"/>
      <c r="IDL229" s="10"/>
      <c r="IDM229" s="21"/>
      <c r="IDN229" s="21"/>
      <c r="IDQ229" s="21"/>
      <c r="IDR229" s="15"/>
      <c r="IDS229" s="15"/>
      <c r="IDT229" s="15"/>
      <c r="IDU229" s="15"/>
      <c r="IDV229" s="15"/>
      <c r="IDW229" s="15"/>
      <c r="IDX229" s="15"/>
      <c r="IDY229" s="15"/>
      <c r="IDZ229" s="15"/>
      <c r="IEA229" s="15"/>
      <c r="IEB229" s="10"/>
      <c r="IEC229" s="10"/>
      <c r="IED229" s="21"/>
      <c r="IEE229" s="21"/>
      <c r="IEH229" s="21"/>
      <c r="IEI229" s="15"/>
      <c r="IEJ229" s="15"/>
      <c r="IEK229" s="15"/>
      <c r="IEL229" s="15"/>
      <c r="IEM229" s="15"/>
      <c r="IEN229" s="15"/>
      <c r="IEO229" s="15"/>
      <c r="IEP229" s="15"/>
      <c r="IEQ229" s="15"/>
      <c r="IER229" s="15"/>
      <c r="IES229" s="10"/>
      <c r="IET229" s="10"/>
      <c r="IEU229" s="21"/>
      <c r="IEV229" s="21"/>
      <c r="IEY229" s="21"/>
      <c r="IEZ229" s="15"/>
      <c r="IFA229" s="15"/>
      <c r="IFB229" s="15"/>
      <c r="IFC229" s="15"/>
      <c r="IFD229" s="15"/>
      <c r="IFE229" s="15"/>
      <c r="IFF229" s="15"/>
      <c r="IFG229" s="15"/>
      <c r="IFH229" s="15"/>
      <c r="IFI229" s="15"/>
      <c r="IFJ229" s="10"/>
      <c r="IFK229" s="10"/>
      <c r="IFL229" s="21"/>
      <c r="IFM229" s="21"/>
      <c r="IFP229" s="21"/>
      <c r="IFQ229" s="15"/>
      <c r="IFR229" s="15"/>
      <c r="IFS229" s="15"/>
      <c r="IFT229" s="15"/>
      <c r="IFU229" s="15"/>
      <c r="IFV229" s="15"/>
      <c r="IFW229" s="15"/>
      <c r="IFX229" s="15"/>
      <c r="IFY229" s="15"/>
      <c r="IFZ229" s="15"/>
      <c r="IGA229" s="10"/>
      <c r="IGB229" s="10"/>
      <c r="IGC229" s="21"/>
      <c r="IGD229" s="21"/>
      <c r="IGG229" s="21"/>
      <c r="IGH229" s="15"/>
      <c r="IGI229" s="15"/>
      <c r="IGJ229" s="15"/>
      <c r="IGK229" s="15"/>
      <c r="IGL229" s="15"/>
      <c r="IGM229" s="15"/>
      <c r="IGN229" s="15"/>
      <c r="IGO229" s="15"/>
      <c r="IGP229" s="15"/>
      <c r="IGQ229" s="15"/>
      <c r="IGR229" s="10"/>
      <c r="IGS229" s="10"/>
      <c r="IGT229" s="21"/>
      <c r="IGU229" s="21"/>
      <c r="IGX229" s="21"/>
      <c r="IGY229" s="15"/>
      <c r="IGZ229" s="15"/>
      <c r="IHA229" s="15"/>
      <c r="IHB229" s="15"/>
      <c r="IHC229" s="15"/>
      <c r="IHD229" s="15"/>
      <c r="IHE229" s="15"/>
      <c r="IHF229" s="15"/>
      <c r="IHG229" s="15"/>
      <c r="IHH229" s="15"/>
      <c r="IHI229" s="10"/>
      <c r="IHJ229" s="10"/>
      <c r="IHK229" s="21"/>
      <c r="IHL229" s="21"/>
      <c r="IHO229" s="21"/>
      <c r="IHP229" s="15"/>
      <c r="IHQ229" s="15"/>
      <c r="IHR229" s="15"/>
      <c r="IHS229" s="15"/>
      <c r="IHT229" s="15"/>
      <c r="IHU229" s="15"/>
      <c r="IHV229" s="15"/>
      <c r="IHW229" s="15"/>
      <c r="IHX229" s="15"/>
      <c r="IHY229" s="15"/>
      <c r="IHZ229" s="10"/>
      <c r="IIA229" s="10"/>
      <c r="IIB229" s="21"/>
      <c r="IIC229" s="21"/>
      <c r="IIF229" s="21"/>
      <c r="IIG229" s="15"/>
      <c r="IIH229" s="15"/>
      <c r="III229" s="15"/>
      <c r="IIJ229" s="15"/>
      <c r="IIK229" s="15"/>
      <c r="IIL229" s="15"/>
      <c r="IIM229" s="15"/>
      <c r="IIN229" s="15"/>
      <c r="IIO229" s="15"/>
      <c r="IIP229" s="15"/>
      <c r="IIQ229" s="10"/>
      <c r="IIR229" s="10"/>
      <c r="IIS229" s="21"/>
      <c r="IIT229" s="21"/>
      <c r="IIW229" s="21"/>
      <c r="IIX229" s="15"/>
      <c r="IIY229" s="15"/>
      <c r="IIZ229" s="15"/>
      <c r="IJA229" s="15"/>
      <c r="IJB229" s="15"/>
      <c r="IJC229" s="15"/>
      <c r="IJD229" s="15"/>
      <c r="IJE229" s="15"/>
      <c r="IJF229" s="15"/>
      <c r="IJG229" s="15"/>
      <c r="IJH229" s="10"/>
      <c r="IJI229" s="10"/>
      <c r="IJJ229" s="21"/>
      <c r="IJK229" s="21"/>
      <c r="IJN229" s="21"/>
      <c r="IJO229" s="15"/>
      <c r="IJP229" s="15"/>
      <c r="IJQ229" s="15"/>
      <c r="IJR229" s="15"/>
      <c r="IJS229" s="15"/>
      <c r="IJT229" s="15"/>
      <c r="IJU229" s="15"/>
      <c r="IJV229" s="15"/>
      <c r="IJW229" s="15"/>
      <c r="IJX229" s="15"/>
      <c r="IJY229" s="10"/>
      <c r="IJZ229" s="10"/>
      <c r="IKA229" s="21"/>
      <c r="IKB229" s="21"/>
      <c r="IKE229" s="21"/>
      <c r="IKF229" s="15"/>
      <c r="IKG229" s="15"/>
      <c r="IKH229" s="15"/>
      <c r="IKI229" s="15"/>
      <c r="IKJ229" s="15"/>
      <c r="IKK229" s="15"/>
      <c r="IKL229" s="15"/>
      <c r="IKM229" s="15"/>
      <c r="IKN229" s="15"/>
      <c r="IKO229" s="15"/>
      <c r="IKP229" s="10"/>
      <c r="IKQ229" s="10"/>
      <c r="IKR229" s="21"/>
      <c r="IKS229" s="21"/>
      <c r="IKV229" s="21"/>
      <c r="IKW229" s="15"/>
      <c r="IKX229" s="15"/>
      <c r="IKY229" s="15"/>
      <c r="IKZ229" s="15"/>
      <c r="ILA229" s="15"/>
      <c r="ILB229" s="15"/>
      <c r="ILC229" s="15"/>
      <c r="ILD229" s="15"/>
      <c r="ILE229" s="15"/>
      <c r="ILF229" s="15"/>
      <c r="ILG229" s="10"/>
      <c r="ILH229" s="10"/>
      <c r="ILI229" s="21"/>
      <c r="ILJ229" s="21"/>
      <c r="ILM229" s="21"/>
      <c r="ILN229" s="15"/>
      <c r="ILO229" s="15"/>
      <c r="ILP229" s="15"/>
      <c r="ILQ229" s="15"/>
      <c r="ILR229" s="15"/>
      <c r="ILS229" s="15"/>
      <c r="ILT229" s="15"/>
      <c r="ILU229" s="15"/>
      <c r="ILV229" s="15"/>
      <c r="ILW229" s="15"/>
      <c r="ILX229" s="10"/>
      <c r="ILY229" s="10"/>
      <c r="ILZ229" s="21"/>
      <c r="IMA229" s="21"/>
      <c r="IMD229" s="21"/>
      <c r="IME229" s="15"/>
      <c r="IMF229" s="15"/>
      <c r="IMG229" s="15"/>
      <c r="IMH229" s="15"/>
      <c r="IMI229" s="15"/>
      <c r="IMJ229" s="15"/>
      <c r="IMK229" s="15"/>
      <c r="IML229" s="15"/>
      <c r="IMM229" s="15"/>
      <c r="IMN229" s="15"/>
      <c r="IMO229" s="10"/>
      <c r="IMP229" s="10"/>
      <c r="IMQ229" s="21"/>
      <c r="IMR229" s="21"/>
      <c r="IMU229" s="21"/>
      <c r="IMV229" s="15"/>
      <c r="IMW229" s="15"/>
      <c r="IMX229" s="15"/>
      <c r="IMY229" s="15"/>
      <c r="IMZ229" s="15"/>
      <c r="INA229" s="15"/>
      <c r="INB229" s="15"/>
      <c r="INC229" s="15"/>
      <c r="IND229" s="15"/>
      <c r="INE229" s="15"/>
      <c r="INF229" s="10"/>
      <c r="ING229" s="10"/>
      <c r="INH229" s="21"/>
      <c r="INI229" s="21"/>
      <c r="INL229" s="21"/>
      <c r="INM229" s="15"/>
      <c r="INN229" s="15"/>
      <c r="INO229" s="15"/>
      <c r="INP229" s="15"/>
      <c r="INQ229" s="15"/>
      <c r="INR229" s="15"/>
      <c r="INS229" s="15"/>
      <c r="INT229" s="15"/>
      <c r="INU229" s="15"/>
      <c r="INV229" s="15"/>
      <c r="INW229" s="10"/>
      <c r="INX229" s="10"/>
      <c r="INY229" s="21"/>
      <c r="INZ229" s="21"/>
      <c r="IOC229" s="21"/>
      <c r="IOD229" s="15"/>
      <c r="IOE229" s="15"/>
      <c r="IOF229" s="15"/>
      <c r="IOG229" s="15"/>
      <c r="IOH229" s="15"/>
      <c r="IOI229" s="15"/>
      <c r="IOJ229" s="15"/>
      <c r="IOK229" s="15"/>
      <c r="IOL229" s="15"/>
      <c r="IOM229" s="15"/>
      <c r="ION229" s="10"/>
      <c r="IOO229" s="10"/>
      <c r="IOP229" s="21"/>
      <c r="IOQ229" s="21"/>
      <c r="IOT229" s="21"/>
      <c r="IOU229" s="15"/>
      <c r="IOV229" s="15"/>
      <c r="IOW229" s="15"/>
      <c r="IOX229" s="15"/>
      <c r="IOY229" s="15"/>
      <c r="IOZ229" s="15"/>
      <c r="IPA229" s="15"/>
      <c r="IPB229" s="15"/>
      <c r="IPC229" s="15"/>
      <c r="IPD229" s="15"/>
      <c r="IPE229" s="10"/>
      <c r="IPF229" s="10"/>
      <c r="IPG229" s="21"/>
      <c r="IPH229" s="21"/>
      <c r="IPK229" s="21"/>
      <c r="IPL229" s="15"/>
      <c r="IPM229" s="15"/>
      <c r="IPN229" s="15"/>
      <c r="IPO229" s="15"/>
      <c r="IPP229" s="15"/>
      <c r="IPQ229" s="15"/>
      <c r="IPR229" s="15"/>
      <c r="IPS229" s="15"/>
      <c r="IPT229" s="15"/>
      <c r="IPU229" s="15"/>
      <c r="IPV229" s="10"/>
      <c r="IPW229" s="10"/>
      <c r="IPX229" s="21"/>
      <c r="IPY229" s="21"/>
      <c r="IQB229" s="21"/>
      <c r="IQC229" s="15"/>
      <c r="IQD229" s="15"/>
      <c r="IQE229" s="15"/>
      <c r="IQF229" s="15"/>
      <c r="IQG229" s="15"/>
      <c r="IQH229" s="15"/>
      <c r="IQI229" s="15"/>
      <c r="IQJ229" s="15"/>
      <c r="IQK229" s="15"/>
      <c r="IQL229" s="15"/>
      <c r="IQM229" s="10"/>
      <c r="IQN229" s="10"/>
      <c r="IQO229" s="21"/>
      <c r="IQP229" s="21"/>
      <c r="IQS229" s="21"/>
      <c r="IQT229" s="15"/>
      <c r="IQU229" s="15"/>
      <c r="IQV229" s="15"/>
      <c r="IQW229" s="15"/>
      <c r="IQX229" s="15"/>
      <c r="IQY229" s="15"/>
      <c r="IQZ229" s="15"/>
      <c r="IRA229" s="15"/>
      <c r="IRB229" s="15"/>
      <c r="IRC229" s="15"/>
      <c r="IRD229" s="10"/>
      <c r="IRE229" s="10"/>
      <c r="IRF229" s="21"/>
      <c r="IRG229" s="21"/>
      <c r="IRJ229" s="21"/>
      <c r="IRK229" s="15"/>
      <c r="IRL229" s="15"/>
      <c r="IRM229" s="15"/>
      <c r="IRN229" s="15"/>
      <c r="IRO229" s="15"/>
      <c r="IRP229" s="15"/>
      <c r="IRQ229" s="15"/>
      <c r="IRR229" s="15"/>
      <c r="IRS229" s="15"/>
      <c r="IRT229" s="15"/>
      <c r="IRU229" s="10"/>
      <c r="IRV229" s="10"/>
      <c r="IRW229" s="21"/>
      <c r="IRX229" s="21"/>
      <c r="ISA229" s="21"/>
      <c r="ISB229" s="15"/>
      <c r="ISC229" s="15"/>
      <c r="ISD229" s="15"/>
      <c r="ISE229" s="15"/>
      <c r="ISF229" s="15"/>
      <c r="ISG229" s="15"/>
      <c r="ISH229" s="15"/>
      <c r="ISI229" s="15"/>
      <c r="ISJ229" s="15"/>
      <c r="ISK229" s="15"/>
      <c r="ISL229" s="10"/>
      <c r="ISM229" s="10"/>
      <c r="ISN229" s="21"/>
      <c r="ISO229" s="21"/>
      <c r="ISR229" s="21"/>
      <c r="ISS229" s="15"/>
      <c r="IST229" s="15"/>
      <c r="ISU229" s="15"/>
      <c r="ISV229" s="15"/>
      <c r="ISW229" s="15"/>
      <c r="ISX229" s="15"/>
      <c r="ISY229" s="15"/>
      <c r="ISZ229" s="15"/>
      <c r="ITA229" s="15"/>
      <c r="ITB229" s="15"/>
      <c r="ITC229" s="10"/>
      <c r="ITD229" s="10"/>
      <c r="ITE229" s="21"/>
      <c r="ITF229" s="21"/>
      <c r="ITI229" s="21"/>
      <c r="ITJ229" s="15"/>
      <c r="ITK229" s="15"/>
      <c r="ITL229" s="15"/>
      <c r="ITM229" s="15"/>
      <c r="ITN229" s="15"/>
      <c r="ITO229" s="15"/>
      <c r="ITP229" s="15"/>
      <c r="ITQ229" s="15"/>
      <c r="ITR229" s="15"/>
      <c r="ITS229" s="15"/>
      <c r="ITT229" s="10"/>
      <c r="ITU229" s="10"/>
      <c r="ITV229" s="21"/>
      <c r="ITW229" s="21"/>
      <c r="ITZ229" s="21"/>
      <c r="IUA229" s="15"/>
      <c r="IUB229" s="15"/>
      <c r="IUC229" s="15"/>
      <c r="IUD229" s="15"/>
      <c r="IUE229" s="15"/>
      <c r="IUF229" s="15"/>
      <c r="IUG229" s="15"/>
      <c r="IUH229" s="15"/>
      <c r="IUI229" s="15"/>
      <c r="IUJ229" s="15"/>
      <c r="IUK229" s="10"/>
      <c r="IUL229" s="10"/>
      <c r="IUM229" s="21"/>
      <c r="IUN229" s="21"/>
      <c r="IUQ229" s="21"/>
      <c r="IUR229" s="15"/>
      <c r="IUS229" s="15"/>
      <c r="IUT229" s="15"/>
      <c r="IUU229" s="15"/>
      <c r="IUV229" s="15"/>
      <c r="IUW229" s="15"/>
      <c r="IUX229" s="15"/>
      <c r="IUY229" s="15"/>
      <c r="IUZ229" s="15"/>
      <c r="IVA229" s="15"/>
      <c r="IVB229" s="10"/>
      <c r="IVC229" s="10"/>
      <c r="IVD229" s="21"/>
      <c r="IVE229" s="21"/>
      <c r="IVH229" s="21"/>
      <c r="IVI229" s="15"/>
      <c r="IVJ229" s="15"/>
      <c r="IVK229" s="15"/>
      <c r="IVL229" s="15"/>
      <c r="IVM229" s="15"/>
      <c r="IVN229" s="15"/>
      <c r="IVO229" s="15"/>
      <c r="IVP229" s="15"/>
      <c r="IVQ229" s="15"/>
      <c r="IVR229" s="15"/>
      <c r="IVS229" s="10"/>
      <c r="IVT229" s="10"/>
      <c r="IVU229" s="21"/>
      <c r="IVV229" s="21"/>
      <c r="IVY229" s="21"/>
      <c r="IVZ229" s="15"/>
      <c r="IWA229" s="15"/>
      <c r="IWB229" s="15"/>
      <c r="IWC229" s="15"/>
      <c r="IWD229" s="15"/>
      <c r="IWE229" s="15"/>
      <c r="IWF229" s="15"/>
      <c r="IWG229" s="15"/>
      <c r="IWH229" s="15"/>
      <c r="IWI229" s="15"/>
      <c r="IWJ229" s="10"/>
      <c r="IWK229" s="10"/>
      <c r="IWL229" s="21"/>
      <c r="IWM229" s="21"/>
      <c r="IWP229" s="21"/>
      <c r="IWQ229" s="15"/>
      <c r="IWR229" s="15"/>
      <c r="IWS229" s="15"/>
      <c r="IWT229" s="15"/>
      <c r="IWU229" s="15"/>
      <c r="IWV229" s="15"/>
      <c r="IWW229" s="15"/>
      <c r="IWX229" s="15"/>
      <c r="IWY229" s="15"/>
      <c r="IWZ229" s="15"/>
      <c r="IXA229" s="10"/>
      <c r="IXB229" s="10"/>
      <c r="IXC229" s="21"/>
      <c r="IXD229" s="21"/>
      <c r="IXG229" s="21"/>
      <c r="IXH229" s="15"/>
      <c r="IXI229" s="15"/>
      <c r="IXJ229" s="15"/>
      <c r="IXK229" s="15"/>
      <c r="IXL229" s="15"/>
      <c r="IXM229" s="15"/>
      <c r="IXN229" s="15"/>
      <c r="IXO229" s="15"/>
      <c r="IXP229" s="15"/>
      <c r="IXQ229" s="15"/>
      <c r="IXR229" s="10"/>
      <c r="IXS229" s="10"/>
      <c r="IXT229" s="21"/>
      <c r="IXU229" s="21"/>
      <c r="IXX229" s="21"/>
      <c r="IXY229" s="15"/>
      <c r="IXZ229" s="15"/>
      <c r="IYA229" s="15"/>
      <c r="IYB229" s="15"/>
      <c r="IYC229" s="15"/>
      <c r="IYD229" s="15"/>
      <c r="IYE229" s="15"/>
      <c r="IYF229" s="15"/>
      <c r="IYG229" s="15"/>
      <c r="IYH229" s="15"/>
      <c r="IYI229" s="10"/>
      <c r="IYJ229" s="10"/>
      <c r="IYK229" s="21"/>
      <c r="IYL229" s="21"/>
      <c r="IYO229" s="21"/>
      <c r="IYP229" s="15"/>
      <c r="IYQ229" s="15"/>
      <c r="IYR229" s="15"/>
      <c r="IYS229" s="15"/>
      <c r="IYT229" s="15"/>
      <c r="IYU229" s="15"/>
      <c r="IYV229" s="15"/>
      <c r="IYW229" s="15"/>
      <c r="IYX229" s="15"/>
      <c r="IYY229" s="15"/>
      <c r="IYZ229" s="10"/>
      <c r="IZA229" s="10"/>
      <c r="IZB229" s="21"/>
      <c r="IZC229" s="21"/>
      <c r="IZF229" s="21"/>
      <c r="IZG229" s="15"/>
      <c r="IZH229" s="15"/>
      <c r="IZI229" s="15"/>
      <c r="IZJ229" s="15"/>
      <c r="IZK229" s="15"/>
      <c r="IZL229" s="15"/>
      <c r="IZM229" s="15"/>
      <c r="IZN229" s="15"/>
      <c r="IZO229" s="15"/>
      <c r="IZP229" s="15"/>
      <c r="IZQ229" s="10"/>
      <c r="IZR229" s="10"/>
      <c r="IZS229" s="21"/>
      <c r="IZT229" s="21"/>
      <c r="IZW229" s="21"/>
      <c r="IZX229" s="15"/>
      <c r="IZY229" s="15"/>
      <c r="IZZ229" s="15"/>
      <c r="JAA229" s="15"/>
      <c r="JAB229" s="15"/>
      <c r="JAC229" s="15"/>
      <c r="JAD229" s="15"/>
      <c r="JAE229" s="15"/>
      <c r="JAF229" s="15"/>
      <c r="JAG229" s="15"/>
      <c r="JAH229" s="10"/>
      <c r="JAI229" s="10"/>
      <c r="JAJ229" s="21"/>
      <c r="JAK229" s="21"/>
      <c r="JAN229" s="21"/>
      <c r="JAO229" s="15"/>
      <c r="JAP229" s="15"/>
      <c r="JAQ229" s="15"/>
      <c r="JAR229" s="15"/>
      <c r="JAS229" s="15"/>
      <c r="JAT229" s="15"/>
      <c r="JAU229" s="15"/>
      <c r="JAV229" s="15"/>
      <c r="JAW229" s="15"/>
      <c r="JAX229" s="15"/>
      <c r="JAY229" s="10"/>
      <c r="JAZ229" s="10"/>
      <c r="JBA229" s="21"/>
      <c r="JBB229" s="21"/>
      <c r="JBE229" s="21"/>
      <c r="JBF229" s="15"/>
      <c r="JBG229" s="15"/>
      <c r="JBH229" s="15"/>
      <c r="JBI229" s="15"/>
      <c r="JBJ229" s="15"/>
      <c r="JBK229" s="15"/>
      <c r="JBL229" s="15"/>
      <c r="JBM229" s="15"/>
      <c r="JBN229" s="15"/>
      <c r="JBO229" s="15"/>
      <c r="JBP229" s="10"/>
      <c r="JBQ229" s="10"/>
      <c r="JBR229" s="21"/>
      <c r="JBS229" s="21"/>
      <c r="JBV229" s="21"/>
      <c r="JBW229" s="15"/>
      <c r="JBX229" s="15"/>
      <c r="JBY229" s="15"/>
      <c r="JBZ229" s="15"/>
      <c r="JCA229" s="15"/>
      <c r="JCB229" s="15"/>
      <c r="JCC229" s="15"/>
      <c r="JCD229" s="15"/>
      <c r="JCE229" s="15"/>
      <c r="JCF229" s="15"/>
      <c r="JCG229" s="10"/>
      <c r="JCH229" s="10"/>
      <c r="JCI229" s="21"/>
      <c r="JCJ229" s="21"/>
      <c r="JCM229" s="21"/>
      <c r="JCN229" s="15"/>
      <c r="JCO229" s="15"/>
      <c r="JCP229" s="15"/>
      <c r="JCQ229" s="15"/>
      <c r="JCR229" s="15"/>
      <c r="JCS229" s="15"/>
      <c r="JCT229" s="15"/>
      <c r="JCU229" s="15"/>
      <c r="JCV229" s="15"/>
      <c r="JCW229" s="15"/>
      <c r="JCX229" s="10"/>
      <c r="JCY229" s="10"/>
      <c r="JCZ229" s="21"/>
      <c r="JDA229" s="21"/>
      <c r="JDD229" s="21"/>
      <c r="JDE229" s="15"/>
      <c r="JDF229" s="15"/>
      <c r="JDG229" s="15"/>
      <c r="JDH229" s="15"/>
      <c r="JDI229" s="15"/>
      <c r="JDJ229" s="15"/>
      <c r="JDK229" s="15"/>
      <c r="JDL229" s="15"/>
      <c r="JDM229" s="15"/>
      <c r="JDN229" s="15"/>
      <c r="JDO229" s="10"/>
      <c r="JDP229" s="10"/>
      <c r="JDQ229" s="21"/>
      <c r="JDR229" s="21"/>
      <c r="JDU229" s="21"/>
      <c r="JDV229" s="15"/>
      <c r="JDW229" s="15"/>
      <c r="JDX229" s="15"/>
      <c r="JDY229" s="15"/>
      <c r="JDZ229" s="15"/>
      <c r="JEA229" s="15"/>
      <c r="JEB229" s="15"/>
      <c r="JEC229" s="15"/>
      <c r="JED229" s="15"/>
      <c r="JEE229" s="15"/>
      <c r="JEF229" s="10"/>
      <c r="JEG229" s="10"/>
      <c r="JEH229" s="21"/>
      <c r="JEI229" s="21"/>
      <c r="JEL229" s="21"/>
      <c r="JEM229" s="15"/>
      <c r="JEN229" s="15"/>
      <c r="JEO229" s="15"/>
      <c r="JEP229" s="15"/>
      <c r="JEQ229" s="15"/>
      <c r="JER229" s="15"/>
      <c r="JES229" s="15"/>
      <c r="JET229" s="15"/>
      <c r="JEU229" s="15"/>
      <c r="JEV229" s="15"/>
      <c r="JEW229" s="10"/>
      <c r="JEX229" s="10"/>
      <c r="JEY229" s="21"/>
      <c r="JEZ229" s="21"/>
      <c r="JFC229" s="21"/>
      <c r="JFD229" s="15"/>
      <c r="JFE229" s="15"/>
      <c r="JFF229" s="15"/>
      <c r="JFG229" s="15"/>
      <c r="JFH229" s="15"/>
      <c r="JFI229" s="15"/>
      <c r="JFJ229" s="15"/>
      <c r="JFK229" s="15"/>
      <c r="JFL229" s="15"/>
      <c r="JFM229" s="15"/>
      <c r="JFN229" s="10"/>
      <c r="JFO229" s="10"/>
      <c r="JFP229" s="21"/>
      <c r="JFQ229" s="21"/>
      <c r="JFT229" s="21"/>
      <c r="JFU229" s="15"/>
      <c r="JFV229" s="15"/>
      <c r="JFW229" s="15"/>
      <c r="JFX229" s="15"/>
      <c r="JFY229" s="15"/>
      <c r="JFZ229" s="15"/>
      <c r="JGA229" s="15"/>
      <c r="JGB229" s="15"/>
      <c r="JGC229" s="15"/>
      <c r="JGD229" s="15"/>
      <c r="JGE229" s="10"/>
      <c r="JGF229" s="10"/>
      <c r="JGG229" s="21"/>
      <c r="JGH229" s="21"/>
      <c r="JGK229" s="21"/>
      <c r="JGL229" s="15"/>
      <c r="JGM229" s="15"/>
      <c r="JGN229" s="15"/>
      <c r="JGO229" s="15"/>
      <c r="JGP229" s="15"/>
      <c r="JGQ229" s="15"/>
      <c r="JGR229" s="15"/>
      <c r="JGS229" s="15"/>
      <c r="JGT229" s="15"/>
      <c r="JGU229" s="15"/>
      <c r="JGV229" s="10"/>
      <c r="JGW229" s="10"/>
      <c r="JGX229" s="21"/>
      <c r="JGY229" s="21"/>
      <c r="JHB229" s="21"/>
      <c r="JHC229" s="15"/>
      <c r="JHD229" s="15"/>
      <c r="JHE229" s="15"/>
      <c r="JHF229" s="15"/>
      <c r="JHG229" s="15"/>
      <c r="JHH229" s="15"/>
      <c r="JHI229" s="15"/>
      <c r="JHJ229" s="15"/>
      <c r="JHK229" s="15"/>
      <c r="JHL229" s="15"/>
      <c r="JHM229" s="10"/>
      <c r="JHN229" s="10"/>
      <c r="JHO229" s="21"/>
      <c r="JHP229" s="21"/>
      <c r="JHS229" s="21"/>
      <c r="JHT229" s="15"/>
      <c r="JHU229" s="15"/>
      <c r="JHV229" s="15"/>
      <c r="JHW229" s="15"/>
      <c r="JHX229" s="15"/>
      <c r="JHY229" s="15"/>
      <c r="JHZ229" s="15"/>
      <c r="JIA229" s="15"/>
      <c r="JIB229" s="15"/>
      <c r="JIC229" s="15"/>
      <c r="JID229" s="10"/>
      <c r="JIE229" s="10"/>
      <c r="JIF229" s="21"/>
      <c r="JIG229" s="21"/>
      <c r="JIJ229" s="21"/>
      <c r="JIK229" s="15"/>
      <c r="JIL229" s="15"/>
      <c r="JIM229" s="15"/>
      <c r="JIN229" s="15"/>
      <c r="JIO229" s="15"/>
      <c r="JIP229" s="15"/>
      <c r="JIQ229" s="15"/>
      <c r="JIR229" s="15"/>
      <c r="JIS229" s="15"/>
      <c r="JIT229" s="15"/>
      <c r="JIU229" s="10"/>
      <c r="JIV229" s="10"/>
      <c r="JIW229" s="21"/>
      <c r="JIX229" s="21"/>
      <c r="JJA229" s="21"/>
      <c r="JJB229" s="15"/>
      <c r="JJC229" s="15"/>
      <c r="JJD229" s="15"/>
      <c r="JJE229" s="15"/>
      <c r="JJF229" s="15"/>
      <c r="JJG229" s="15"/>
      <c r="JJH229" s="15"/>
      <c r="JJI229" s="15"/>
      <c r="JJJ229" s="15"/>
      <c r="JJK229" s="15"/>
      <c r="JJL229" s="10"/>
      <c r="JJM229" s="10"/>
      <c r="JJN229" s="21"/>
      <c r="JJO229" s="21"/>
      <c r="JJR229" s="21"/>
      <c r="JJS229" s="15"/>
      <c r="JJT229" s="15"/>
      <c r="JJU229" s="15"/>
      <c r="JJV229" s="15"/>
      <c r="JJW229" s="15"/>
      <c r="JJX229" s="15"/>
      <c r="JJY229" s="15"/>
      <c r="JJZ229" s="15"/>
      <c r="JKA229" s="15"/>
      <c r="JKB229" s="15"/>
      <c r="JKC229" s="10"/>
      <c r="JKD229" s="10"/>
      <c r="JKE229" s="21"/>
      <c r="JKF229" s="21"/>
      <c r="JKI229" s="21"/>
      <c r="JKJ229" s="15"/>
      <c r="JKK229" s="15"/>
      <c r="JKL229" s="15"/>
      <c r="JKM229" s="15"/>
      <c r="JKN229" s="15"/>
      <c r="JKO229" s="15"/>
      <c r="JKP229" s="15"/>
      <c r="JKQ229" s="15"/>
      <c r="JKR229" s="15"/>
      <c r="JKS229" s="15"/>
      <c r="JKT229" s="10"/>
      <c r="JKU229" s="10"/>
      <c r="JKV229" s="21"/>
      <c r="JKW229" s="21"/>
      <c r="JKZ229" s="21"/>
      <c r="JLA229" s="15"/>
      <c r="JLB229" s="15"/>
      <c r="JLC229" s="15"/>
      <c r="JLD229" s="15"/>
      <c r="JLE229" s="15"/>
      <c r="JLF229" s="15"/>
      <c r="JLG229" s="15"/>
      <c r="JLH229" s="15"/>
      <c r="JLI229" s="15"/>
      <c r="JLJ229" s="15"/>
      <c r="JLK229" s="10"/>
      <c r="JLL229" s="10"/>
      <c r="JLM229" s="21"/>
      <c r="JLN229" s="21"/>
      <c r="JLQ229" s="21"/>
      <c r="JLR229" s="15"/>
      <c r="JLS229" s="15"/>
      <c r="JLT229" s="15"/>
      <c r="JLU229" s="15"/>
      <c r="JLV229" s="15"/>
      <c r="JLW229" s="15"/>
      <c r="JLX229" s="15"/>
      <c r="JLY229" s="15"/>
      <c r="JLZ229" s="15"/>
      <c r="JMA229" s="15"/>
      <c r="JMB229" s="10"/>
      <c r="JMC229" s="10"/>
      <c r="JMD229" s="21"/>
      <c r="JME229" s="21"/>
      <c r="JMH229" s="21"/>
      <c r="JMI229" s="15"/>
      <c r="JMJ229" s="15"/>
      <c r="JMK229" s="15"/>
      <c r="JML229" s="15"/>
      <c r="JMM229" s="15"/>
      <c r="JMN229" s="15"/>
      <c r="JMO229" s="15"/>
      <c r="JMP229" s="15"/>
      <c r="JMQ229" s="15"/>
      <c r="JMR229" s="15"/>
      <c r="JMS229" s="10"/>
      <c r="JMT229" s="10"/>
      <c r="JMU229" s="21"/>
      <c r="JMV229" s="21"/>
      <c r="JMY229" s="21"/>
      <c r="JMZ229" s="15"/>
      <c r="JNA229" s="15"/>
      <c r="JNB229" s="15"/>
      <c r="JNC229" s="15"/>
      <c r="JND229" s="15"/>
      <c r="JNE229" s="15"/>
      <c r="JNF229" s="15"/>
      <c r="JNG229" s="15"/>
      <c r="JNH229" s="15"/>
      <c r="JNI229" s="15"/>
      <c r="JNJ229" s="10"/>
      <c r="JNK229" s="10"/>
      <c r="JNL229" s="21"/>
      <c r="JNM229" s="21"/>
      <c r="JNP229" s="21"/>
      <c r="JNQ229" s="15"/>
      <c r="JNR229" s="15"/>
      <c r="JNS229" s="15"/>
      <c r="JNT229" s="15"/>
      <c r="JNU229" s="15"/>
      <c r="JNV229" s="15"/>
      <c r="JNW229" s="15"/>
      <c r="JNX229" s="15"/>
      <c r="JNY229" s="15"/>
      <c r="JNZ229" s="15"/>
      <c r="JOA229" s="10"/>
      <c r="JOB229" s="10"/>
      <c r="JOC229" s="21"/>
      <c r="JOD229" s="21"/>
      <c r="JOG229" s="21"/>
      <c r="JOH229" s="15"/>
      <c r="JOI229" s="15"/>
      <c r="JOJ229" s="15"/>
      <c r="JOK229" s="15"/>
      <c r="JOL229" s="15"/>
      <c r="JOM229" s="15"/>
      <c r="JON229" s="15"/>
      <c r="JOO229" s="15"/>
      <c r="JOP229" s="15"/>
      <c r="JOQ229" s="15"/>
      <c r="JOR229" s="10"/>
      <c r="JOS229" s="10"/>
      <c r="JOT229" s="21"/>
      <c r="JOU229" s="21"/>
      <c r="JOX229" s="21"/>
      <c r="JOY229" s="15"/>
      <c r="JOZ229" s="15"/>
      <c r="JPA229" s="15"/>
      <c r="JPB229" s="15"/>
      <c r="JPC229" s="15"/>
      <c r="JPD229" s="15"/>
      <c r="JPE229" s="15"/>
      <c r="JPF229" s="15"/>
      <c r="JPG229" s="15"/>
      <c r="JPH229" s="15"/>
      <c r="JPI229" s="10"/>
      <c r="JPJ229" s="10"/>
      <c r="JPK229" s="21"/>
      <c r="JPL229" s="21"/>
      <c r="JPO229" s="21"/>
      <c r="JPP229" s="15"/>
      <c r="JPQ229" s="15"/>
      <c r="JPR229" s="15"/>
      <c r="JPS229" s="15"/>
      <c r="JPT229" s="15"/>
      <c r="JPU229" s="15"/>
      <c r="JPV229" s="15"/>
      <c r="JPW229" s="15"/>
      <c r="JPX229" s="15"/>
      <c r="JPY229" s="15"/>
      <c r="JPZ229" s="10"/>
      <c r="JQA229" s="10"/>
      <c r="JQB229" s="21"/>
      <c r="JQC229" s="21"/>
      <c r="JQF229" s="21"/>
      <c r="JQG229" s="15"/>
      <c r="JQH229" s="15"/>
      <c r="JQI229" s="15"/>
      <c r="JQJ229" s="15"/>
      <c r="JQK229" s="15"/>
      <c r="JQL229" s="15"/>
      <c r="JQM229" s="15"/>
      <c r="JQN229" s="15"/>
      <c r="JQO229" s="15"/>
      <c r="JQP229" s="15"/>
      <c r="JQQ229" s="10"/>
      <c r="JQR229" s="10"/>
      <c r="JQS229" s="21"/>
      <c r="JQT229" s="21"/>
      <c r="JQW229" s="21"/>
      <c r="JQX229" s="15"/>
      <c r="JQY229" s="15"/>
      <c r="JQZ229" s="15"/>
      <c r="JRA229" s="15"/>
      <c r="JRB229" s="15"/>
      <c r="JRC229" s="15"/>
      <c r="JRD229" s="15"/>
      <c r="JRE229" s="15"/>
      <c r="JRF229" s="15"/>
      <c r="JRG229" s="15"/>
      <c r="JRH229" s="10"/>
      <c r="JRI229" s="10"/>
      <c r="JRJ229" s="21"/>
      <c r="JRK229" s="21"/>
      <c r="JRN229" s="21"/>
      <c r="JRO229" s="15"/>
      <c r="JRP229" s="15"/>
      <c r="JRQ229" s="15"/>
      <c r="JRR229" s="15"/>
      <c r="JRS229" s="15"/>
      <c r="JRT229" s="15"/>
      <c r="JRU229" s="15"/>
      <c r="JRV229" s="15"/>
      <c r="JRW229" s="15"/>
      <c r="JRX229" s="15"/>
      <c r="JRY229" s="10"/>
      <c r="JRZ229" s="10"/>
      <c r="JSA229" s="21"/>
      <c r="JSB229" s="21"/>
      <c r="JSE229" s="21"/>
      <c r="JSF229" s="15"/>
      <c r="JSG229" s="15"/>
      <c r="JSH229" s="15"/>
      <c r="JSI229" s="15"/>
      <c r="JSJ229" s="15"/>
      <c r="JSK229" s="15"/>
      <c r="JSL229" s="15"/>
      <c r="JSM229" s="15"/>
      <c r="JSN229" s="15"/>
      <c r="JSO229" s="15"/>
      <c r="JSP229" s="10"/>
      <c r="JSQ229" s="10"/>
      <c r="JSR229" s="21"/>
      <c r="JSS229" s="21"/>
      <c r="JSV229" s="21"/>
      <c r="JSW229" s="15"/>
      <c r="JSX229" s="15"/>
      <c r="JSY229" s="15"/>
      <c r="JSZ229" s="15"/>
      <c r="JTA229" s="15"/>
      <c r="JTB229" s="15"/>
      <c r="JTC229" s="15"/>
      <c r="JTD229" s="15"/>
      <c r="JTE229" s="15"/>
      <c r="JTF229" s="15"/>
      <c r="JTG229" s="10"/>
      <c r="JTH229" s="10"/>
      <c r="JTI229" s="21"/>
      <c r="JTJ229" s="21"/>
      <c r="JTM229" s="21"/>
      <c r="JTN229" s="15"/>
      <c r="JTO229" s="15"/>
      <c r="JTP229" s="15"/>
      <c r="JTQ229" s="15"/>
      <c r="JTR229" s="15"/>
      <c r="JTS229" s="15"/>
      <c r="JTT229" s="15"/>
      <c r="JTU229" s="15"/>
      <c r="JTV229" s="15"/>
      <c r="JTW229" s="15"/>
      <c r="JTX229" s="10"/>
      <c r="JTY229" s="10"/>
      <c r="JTZ229" s="21"/>
      <c r="JUA229" s="21"/>
      <c r="JUD229" s="21"/>
      <c r="JUE229" s="15"/>
      <c r="JUF229" s="15"/>
      <c r="JUG229" s="15"/>
      <c r="JUH229" s="15"/>
      <c r="JUI229" s="15"/>
      <c r="JUJ229" s="15"/>
      <c r="JUK229" s="15"/>
      <c r="JUL229" s="15"/>
      <c r="JUM229" s="15"/>
      <c r="JUN229" s="15"/>
      <c r="JUO229" s="10"/>
      <c r="JUP229" s="10"/>
      <c r="JUQ229" s="21"/>
      <c r="JUR229" s="21"/>
      <c r="JUU229" s="21"/>
      <c r="JUV229" s="15"/>
      <c r="JUW229" s="15"/>
      <c r="JUX229" s="15"/>
      <c r="JUY229" s="15"/>
      <c r="JUZ229" s="15"/>
      <c r="JVA229" s="15"/>
      <c r="JVB229" s="15"/>
      <c r="JVC229" s="15"/>
      <c r="JVD229" s="15"/>
      <c r="JVE229" s="15"/>
      <c r="JVF229" s="10"/>
      <c r="JVG229" s="10"/>
      <c r="JVH229" s="21"/>
      <c r="JVI229" s="21"/>
      <c r="JVL229" s="21"/>
      <c r="JVM229" s="15"/>
      <c r="JVN229" s="15"/>
      <c r="JVO229" s="15"/>
      <c r="JVP229" s="15"/>
      <c r="JVQ229" s="15"/>
      <c r="JVR229" s="15"/>
      <c r="JVS229" s="15"/>
      <c r="JVT229" s="15"/>
      <c r="JVU229" s="15"/>
      <c r="JVV229" s="15"/>
      <c r="JVW229" s="10"/>
      <c r="JVX229" s="10"/>
      <c r="JVY229" s="21"/>
      <c r="JVZ229" s="21"/>
      <c r="JWC229" s="21"/>
      <c r="JWD229" s="15"/>
      <c r="JWE229" s="15"/>
      <c r="JWF229" s="15"/>
      <c r="JWG229" s="15"/>
      <c r="JWH229" s="15"/>
      <c r="JWI229" s="15"/>
      <c r="JWJ229" s="15"/>
      <c r="JWK229" s="15"/>
      <c r="JWL229" s="15"/>
      <c r="JWM229" s="15"/>
      <c r="JWN229" s="10"/>
      <c r="JWO229" s="10"/>
      <c r="JWP229" s="21"/>
      <c r="JWQ229" s="21"/>
      <c r="JWT229" s="21"/>
      <c r="JWU229" s="15"/>
      <c r="JWV229" s="15"/>
      <c r="JWW229" s="15"/>
      <c r="JWX229" s="15"/>
      <c r="JWY229" s="15"/>
      <c r="JWZ229" s="15"/>
      <c r="JXA229" s="15"/>
      <c r="JXB229" s="15"/>
      <c r="JXC229" s="15"/>
      <c r="JXD229" s="15"/>
      <c r="JXE229" s="10"/>
      <c r="JXF229" s="10"/>
      <c r="JXG229" s="21"/>
      <c r="JXH229" s="21"/>
      <c r="JXK229" s="21"/>
      <c r="JXL229" s="15"/>
      <c r="JXM229" s="15"/>
      <c r="JXN229" s="15"/>
      <c r="JXO229" s="15"/>
      <c r="JXP229" s="15"/>
      <c r="JXQ229" s="15"/>
      <c r="JXR229" s="15"/>
      <c r="JXS229" s="15"/>
      <c r="JXT229" s="15"/>
      <c r="JXU229" s="15"/>
      <c r="JXV229" s="10"/>
      <c r="JXW229" s="10"/>
      <c r="JXX229" s="21"/>
      <c r="JXY229" s="21"/>
      <c r="JYB229" s="21"/>
      <c r="JYC229" s="15"/>
      <c r="JYD229" s="15"/>
      <c r="JYE229" s="15"/>
      <c r="JYF229" s="15"/>
      <c r="JYG229" s="15"/>
      <c r="JYH229" s="15"/>
      <c r="JYI229" s="15"/>
      <c r="JYJ229" s="15"/>
      <c r="JYK229" s="15"/>
      <c r="JYL229" s="15"/>
      <c r="JYM229" s="10"/>
      <c r="JYN229" s="10"/>
      <c r="JYO229" s="21"/>
      <c r="JYP229" s="21"/>
      <c r="JYS229" s="21"/>
      <c r="JYT229" s="15"/>
      <c r="JYU229" s="15"/>
      <c r="JYV229" s="15"/>
      <c r="JYW229" s="15"/>
      <c r="JYX229" s="15"/>
      <c r="JYY229" s="15"/>
      <c r="JYZ229" s="15"/>
      <c r="JZA229" s="15"/>
      <c r="JZB229" s="15"/>
      <c r="JZC229" s="15"/>
      <c r="JZD229" s="10"/>
      <c r="JZE229" s="10"/>
      <c r="JZF229" s="21"/>
      <c r="JZG229" s="21"/>
      <c r="JZJ229" s="21"/>
      <c r="JZK229" s="15"/>
      <c r="JZL229" s="15"/>
      <c r="JZM229" s="15"/>
      <c r="JZN229" s="15"/>
      <c r="JZO229" s="15"/>
      <c r="JZP229" s="15"/>
      <c r="JZQ229" s="15"/>
      <c r="JZR229" s="15"/>
      <c r="JZS229" s="15"/>
      <c r="JZT229" s="15"/>
      <c r="JZU229" s="10"/>
      <c r="JZV229" s="10"/>
      <c r="JZW229" s="21"/>
      <c r="JZX229" s="21"/>
      <c r="KAA229" s="21"/>
      <c r="KAB229" s="15"/>
      <c r="KAC229" s="15"/>
      <c r="KAD229" s="15"/>
      <c r="KAE229" s="15"/>
      <c r="KAF229" s="15"/>
      <c r="KAG229" s="15"/>
      <c r="KAH229" s="15"/>
      <c r="KAI229" s="15"/>
      <c r="KAJ229" s="15"/>
      <c r="KAK229" s="15"/>
      <c r="KAL229" s="10"/>
      <c r="KAM229" s="10"/>
      <c r="KAN229" s="21"/>
      <c r="KAO229" s="21"/>
      <c r="KAR229" s="21"/>
      <c r="KAS229" s="15"/>
      <c r="KAT229" s="15"/>
      <c r="KAU229" s="15"/>
      <c r="KAV229" s="15"/>
      <c r="KAW229" s="15"/>
      <c r="KAX229" s="15"/>
      <c r="KAY229" s="15"/>
      <c r="KAZ229" s="15"/>
      <c r="KBA229" s="15"/>
      <c r="KBB229" s="15"/>
      <c r="KBC229" s="10"/>
      <c r="KBD229" s="10"/>
      <c r="KBE229" s="21"/>
      <c r="KBF229" s="21"/>
      <c r="KBI229" s="21"/>
      <c r="KBJ229" s="15"/>
      <c r="KBK229" s="15"/>
      <c r="KBL229" s="15"/>
      <c r="KBM229" s="15"/>
      <c r="KBN229" s="15"/>
      <c r="KBO229" s="15"/>
      <c r="KBP229" s="15"/>
      <c r="KBQ229" s="15"/>
      <c r="KBR229" s="15"/>
      <c r="KBS229" s="15"/>
      <c r="KBT229" s="10"/>
      <c r="KBU229" s="10"/>
      <c r="KBV229" s="21"/>
      <c r="KBW229" s="21"/>
      <c r="KBZ229" s="21"/>
      <c r="KCA229" s="15"/>
      <c r="KCB229" s="15"/>
      <c r="KCC229" s="15"/>
      <c r="KCD229" s="15"/>
      <c r="KCE229" s="15"/>
      <c r="KCF229" s="15"/>
      <c r="KCG229" s="15"/>
      <c r="KCH229" s="15"/>
      <c r="KCI229" s="15"/>
      <c r="KCJ229" s="15"/>
      <c r="KCK229" s="10"/>
      <c r="KCL229" s="10"/>
      <c r="KCM229" s="21"/>
      <c r="KCN229" s="21"/>
      <c r="KCQ229" s="21"/>
      <c r="KCR229" s="15"/>
      <c r="KCS229" s="15"/>
      <c r="KCT229" s="15"/>
      <c r="KCU229" s="15"/>
      <c r="KCV229" s="15"/>
      <c r="KCW229" s="15"/>
      <c r="KCX229" s="15"/>
      <c r="KCY229" s="15"/>
      <c r="KCZ229" s="15"/>
      <c r="KDA229" s="15"/>
      <c r="KDB229" s="10"/>
      <c r="KDC229" s="10"/>
      <c r="KDD229" s="21"/>
      <c r="KDE229" s="21"/>
      <c r="KDH229" s="21"/>
      <c r="KDI229" s="15"/>
      <c r="KDJ229" s="15"/>
      <c r="KDK229" s="15"/>
      <c r="KDL229" s="15"/>
      <c r="KDM229" s="15"/>
      <c r="KDN229" s="15"/>
      <c r="KDO229" s="15"/>
      <c r="KDP229" s="15"/>
      <c r="KDQ229" s="15"/>
      <c r="KDR229" s="15"/>
      <c r="KDS229" s="10"/>
      <c r="KDT229" s="10"/>
      <c r="KDU229" s="21"/>
      <c r="KDV229" s="21"/>
      <c r="KDY229" s="21"/>
      <c r="KDZ229" s="15"/>
      <c r="KEA229" s="15"/>
      <c r="KEB229" s="15"/>
      <c r="KEC229" s="15"/>
      <c r="KED229" s="15"/>
      <c r="KEE229" s="15"/>
      <c r="KEF229" s="15"/>
      <c r="KEG229" s="15"/>
      <c r="KEH229" s="15"/>
      <c r="KEI229" s="15"/>
      <c r="KEJ229" s="10"/>
      <c r="KEK229" s="10"/>
      <c r="KEL229" s="21"/>
      <c r="KEM229" s="21"/>
      <c r="KEP229" s="21"/>
      <c r="KEQ229" s="15"/>
      <c r="KER229" s="15"/>
      <c r="KES229" s="15"/>
      <c r="KET229" s="15"/>
      <c r="KEU229" s="15"/>
      <c r="KEV229" s="15"/>
      <c r="KEW229" s="15"/>
      <c r="KEX229" s="15"/>
      <c r="KEY229" s="15"/>
      <c r="KEZ229" s="15"/>
      <c r="KFA229" s="10"/>
      <c r="KFB229" s="10"/>
      <c r="KFC229" s="21"/>
      <c r="KFD229" s="21"/>
      <c r="KFG229" s="21"/>
      <c r="KFH229" s="15"/>
      <c r="KFI229" s="15"/>
      <c r="KFJ229" s="15"/>
      <c r="KFK229" s="15"/>
      <c r="KFL229" s="15"/>
      <c r="KFM229" s="15"/>
      <c r="KFN229" s="15"/>
      <c r="KFO229" s="15"/>
      <c r="KFP229" s="15"/>
      <c r="KFQ229" s="15"/>
      <c r="KFR229" s="10"/>
      <c r="KFS229" s="10"/>
      <c r="KFT229" s="21"/>
      <c r="KFU229" s="21"/>
      <c r="KFX229" s="21"/>
      <c r="KFY229" s="15"/>
      <c r="KFZ229" s="15"/>
      <c r="KGA229" s="15"/>
      <c r="KGB229" s="15"/>
      <c r="KGC229" s="15"/>
      <c r="KGD229" s="15"/>
      <c r="KGE229" s="15"/>
      <c r="KGF229" s="15"/>
      <c r="KGG229" s="15"/>
      <c r="KGH229" s="15"/>
      <c r="KGI229" s="10"/>
      <c r="KGJ229" s="10"/>
      <c r="KGK229" s="21"/>
      <c r="KGL229" s="21"/>
      <c r="KGO229" s="21"/>
      <c r="KGP229" s="15"/>
      <c r="KGQ229" s="15"/>
      <c r="KGR229" s="15"/>
      <c r="KGS229" s="15"/>
      <c r="KGT229" s="15"/>
      <c r="KGU229" s="15"/>
      <c r="KGV229" s="15"/>
      <c r="KGW229" s="15"/>
      <c r="KGX229" s="15"/>
      <c r="KGY229" s="15"/>
      <c r="KGZ229" s="10"/>
      <c r="KHA229" s="10"/>
      <c r="KHB229" s="21"/>
      <c r="KHC229" s="21"/>
      <c r="KHF229" s="21"/>
      <c r="KHG229" s="15"/>
      <c r="KHH229" s="15"/>
      <c r="KHI229" s="15"/>
      <c r="KHJ229" s="15"/>
      <c r="KHK229" s="15"/>
      <c r="KHL229" s="15"/>
      <c r="KHM229" s="15"/>
      <c r="KHN229" s="15"/>
      <c r="KHO229" s="15"/>
      <c r="KHP229" s="15"/>
      <c r="KHQ229" s="10"/>
      <c r="KHR229" s="10"/>
      <c r="KHS229" s="21"/>
      <c r="KHT229" s="21"/>
      <c r="KHW229" s="21"/>
      <c r="KHX229" s="15"/>
      <c r="KHY229" s="15"/>
      <c r="KHZ229" s="15"/>
      <c r="KIA229" s="15"/>
      <c r="KIB229" s="15"/>
      <c r="KIC229" s="15"/>
      <c r="KID229" s="15"/>
      <c r="KIE229" s="15"/>
      <c r="KIF229" s="15"/>
      <c r="KIG229" s="15"/>
      <c r="KIH229" s="10"/>
      <c r="KII229" s="10"/>
      <c r="KIJ229" s="21"/>
      <c r="KIK229" s="21"/>
      <c r="KIN229" s="21"/>
      <c r="KIO229" s="15"/>
      <c r="KIP229" s="15"/>
      <c r="KIQ229" s="15"/>
      <c r="KIR229" s="15"/>
      <c r="KIS229" s="15"/>
      <c r="KIT229" s="15"/>
      <c r="KIU229" s="15"/>
      <c r="KIV229" s="15"/>
      <c r="KIW229" s="15"/>
      <c r="KIX229" s="15"/>
      <c r="KIY229" s="10"/>
      <c r="KIZ229" s="10"/>
      <c r="KJA229" s="21"/>
      <c r="KJB229" s="21"/>
      <c r="KJE229" s="21"/>
      <c r="KJF229" s="15"/>
      <c r="KJG229" s="15"/>
      <c r="KJH229" s="15"/>
      <c r="KJI229" s="15"/>
      <c r="KJJ229" s="15"/>
      <c r="KJK229" s="15"/>
      <c r="KJL229" s="15"/>
      <c r="KJM229" s="15"/>
      <c r="KJN229" s="15"/>
      <c r="KJO229" s="15"/>
      <c r="KJP229" s="10"/>
      <c r="KJQ229" s="10"/>
      <c r="KJR229" s="21"/>
      <c r="KJS229" s="21"/>
      <c r="KJV229" s="21"/>
      <c r="KJW229" s="15"/>
      <c r="KJX229" s="15"/>
      <c r="KJY229" s="15"/>
      <c r="KJZ229" s="15"/>
      <c r="KKA229" s="15"/>
      <c r="KKB229" s="15"/>
      <c r="KKC229" s="15"/>
      <c r="KKD229" s="15"/>
      <c r="KKE229" s="15"/>
      <c r="KKF229" s="15"/>
      <c r="KKG229" s="10"/>
      <c r="KKH229" s="10"/>
      <c r="KKI229" s="21"/>
      <c r="KKJ229" s="21"/>
      <c r="KKM229" s="21"/>
      <c r="KKN229" s="15"/>
      <c r="KKO229" s="15"/>
      <c r="KKP229" s="15"/>
      <c r="KKQ229" s="15"/>
      <c r="KKR229" s="15"/>
      <c r="KKS229" s="15"/>
      <c r="KKT229" s="15"/>
      <c r="KKU229" s="15"/>
      <c r="KKV229" s="15"/>
      <c r="KKW229" s="15"/>
      <c r="KKX229" s="10"/>
      <c r="KKY229" s="10"/>
      <c r="KKZ229" s="21"/>
      <c r="KLA229" s="21"/>
      <c r="KLD229" s="21"/>
      <c r="KLE229" s="15"/>
      <c r="KLF229" s="15"/>
      <c r="KLG229" s="15"/>
      <c r="KLH229" s="15"/>
      <c r="KLI229" s="15"/>
      <c r="KLJ229" s="15"/>
      <c r="KLK229" s="15"/>
      <c r="KLL229" s="15"/>
      <c r="KLM229" s="15"/>
      <c r="KLN229" s="15"/>
      <c r="KLO229" s="10"/>
      <c r="KLP229" s="10"/>
      <c r="KLQ229" s="21"/>
      <c r="KLR229" s="21"/>
      <c r="KLU229" s="21"/>
      <c r="KLV229" s="15"/>
      <c r="KLW229" s="15"/>
      <c r="KLX229" s="15"/>
      <c r="KLY229" s="15"/>
      <c r="KLZ229" s="15"/>
      <c r="KMA229" s="15"/>
      <c r="KMB229" s="15"/>
      <c r="KMC229" s="15"/>
      <c r="KMD229" s="15"/>
      <c r="KME229" s="15"/>
      <c r="KMF229" s="10"/>
      <c r="KMG229" s="10"/>
      <c r="KMH229" s="21"/>
      <c r="KMI229" s="21"/>
      <c r="KML229" s="21"/>
      <c r="KMM229" s="15"/>
      <c r="KMN229" s="15"/>
      <c r="KMO229" s="15"/>
      <c r="KMP229" s="15"/>
      <c r="KMQ229" s="15"/>
      <c r="KMR229" s="15"/>
      <c r="KMS229" s="15"/>
      <c r="KMT229" s="15"/>
      <c r="KMU229" s="15"/>
      <c r="KMV229" s="15"/>
      <c r="KMW229" s="10"/>
      <c r="KMX229" s="10"/>
      <c r="KMY229" s="21"/>
      <c r="KMZ229" s="21"/>
      <c r="KNC229" s="21"/>
      <c r="KND229" s="15"/>
      <c r="KNE229" s="15"/>
      <c r="KNF229" s="15"/>
      <c r="KNG229" s="15"/>
      <c r="KNH229" s="15"/>
      <c r="KNI229" s="15"/>
      <c r="KNJ229" s="15"/>
      <c r="KNK229" s="15"/>
      <c r="KNL229" s="15"/>
      <c r="KNM229" s="15"/>
      <c r="KNN229" s="10"/>
      <c r="KNO229" s="10"/>
      <c r="KNP229" s="21"/>
      <c r="KNQ229" s="21"/>
      <c r="KNT229" s="21"/>
      <c r="KNU229" s="15"/>
      <c r="KNV229" s="15"/>
      <c r="KNW229" s="15"/>
      <c r="KNX229" s="15"/>
      <c r="KNY229" s="15"/>
      <c r="KNZ229" s="15"/>
      <c r="KOA229" s="15"/>
      <c r="KOB229" s="15"/>
      <c r="KOC229" s="15"/>
      <c r="KOD229" s="15"/>
      <c r="KOE229" s="10"/>
      <c r="KOF229" s="10"/>
      <c r="KOG229" s="21"/>
      <c r="KOH229" s="21"/>
      <c r="KOK229" s="21"/>
      <c r="KOL229" s="15"/>
      <c r="KOM229" s="15"/>
      <c r="KON229" s="15"/>
      <c r="KOO229" s="15"/>
      <c r="KOP229" s="15"/>
      <c r="KOQ229" s="15"/>
      <c r="KOR229" s="15"/>
      <c r="KOS229" s="15"/>
      <c r="KOT229" s="15"/>
      <c r="KOU229" s="15"/>
      <c r="KOV229" s="10"/>
      <c r="KOW229" s="10"/>
      <c r="KOX229" s="21"/>
      <c r="KOY229" s="21"/>
      <c r="KPB229" s="21"/>
      <c r="KPC229" s="15"/>
      <c r="KPD229" s="15"/>
      <c r="KPE229" s="15"/>
      <c r="KPF229" s="15"/>
      <c r="KPG229" s="15"/>
      <c r="KPH229" s="15"/>
      <c r="KPI229" s="15"/>
      <c r="KPJ229" s="15"/>
      <c r="KPK229" s="15"/>
      <c r="KPL229" s="15"/>
      <c r="KPM229" s="10"/>
      <c r="KPN229" s="10"/>
      <c r="KPO229" s="21"/>
      <c r="KPP229" s="21"/>
      <c r="KPS229" s="21"/>
      <c r="KPT229" s="15"/>
      <c r="KPU229" s="15"/>
      <c r="KPV229" s="15"/>
      <c r="KPW229" s="15"/>
      <c r="KPX229" s="15"/>
      <c r="KPY229" s="15"/>
      <c r="KPZ229" s="15"/>
      <c r="KQA229" s="15"/>
      <c r="KQB229" s="15"/>
      <c r="KQC229" s="15"/>
      <c r="KQD229" s="10"/>
      <c r="KQE229" s="10"/>
      <c r="KQF229" s="21"/>
      <c r="KQG229" s="21"/>
      <c r="KQJ229" s="21"/>
      <c r="KQK229" s="15"/>
      <c r="KQL229" s="15"/>
      <c r="KQM229" s="15"/>
      <c r="KQN229" s="15"/>
      <c r="KQO229" s="15"/>
      <c r="KQP229" s="15"/>
      <c r="KQQ229" s="15"/>
      <c r="KQR229" s="15"/>
      <c r="KQS229" s="15"/>
      <c r="KQT229" s="15"/>
      <c r="KQU229" s="10"/>
      <c r="KQV229" s="10"/>
      <c r="KQW229" s="21"/>
      <c r="KQX229" s="21"/>
      <c r="KRA229" s="21"/>
      <c r="KRB229" s="15"/>
      <c r="KRC229" s="15"/>
      <c r="KRD229" s="15"/>
      <c r="KRE229" s="15"/>
      <c r="KRF229" s="15"/>
      <c r="KRG229" s="15"/>
      <c r="KRH229" s="15"/>
      <c r="KRI229" s="15"/>
      <c r="KRJ229" s="15"/>
      <c r="KRK229" s="15"/>
      <c r="KRL229" s="10"/>
      <c r="KRM229" s="10"/>
      <c r="KRN229" s="21"/>
      <c r="KRO229" s="21"/>
      <c r="KRR229" s="21"/>
      <c r="KRS229" s="15"/>
      <c r="KRT229" s="15"/>
      <c r="KRU229" s="15"/>
      <c r="KRV229" s="15"/>
      <c r="KRW229" s="15"/>
      <c r="KRX229" s="15"/>
      <c r="KRY229" s="15"/>
      <c r="KRZ229" s="15"/>
      <c r="KSA229" s="15"/>
      <c r="KSB229" s="15"/>
      <c r="KSC229" s="10"/>
      <c r="KSD229" s="10"/>
      <c r="KSE229" s="21"/>
      <c r="KSF229" s="21"/>
      <c r="KSI229" s="21"/>
      <c r="KSJ229" s="15"/>
      <c r="KSK229" s="15"/>
      <c r="KSL229" s="15"/>
      <c r="KSM229" s="15"/>
      <c r="KSN229" s="15"/>
      <c r="KSO229" s="15"/>
      <c r="KSP229" s="15"/>
      <c r="KSQ229" s="15"/>
      <c r="KSR229" s="15"/>
      <c r="KSS229" s="15"/>
      <c r="KST229" s="10"/>
      <c r="KSU229" s="10"/>
      <c r="KSV229" s="21"/>
      <c r="KSW229" s="21"/>
      <c r="KSZ229" s="21"/>
      <c r="KTA229" s="15"/>
      <c r="KTB229" s="15"/>
      <c r="KTC229" s="15"/>
      <c r="KTD229" s="15"/>
      <c r="KTE229" s="15"/>
      <c r="KTF229" s="15"/>
      <c r="KTG229" s="15"/>
      <c r="KTH229" s="15"/>
      <c r="KTI229" s="15"/>
      <c r="KTJ229" s="15"/>
      <c r="KTK229" s="10"/>
      <c r="KTL229" s="10"/>
      <c r="KTM229" s="21"/>
      <c r="KTN229" s="21"/>
      <c r="KTQ229" s="21"/>
      <c r="KTR229" s="15"/>
      <c r="KTS229" s="15"/>
      <c r="KTT229" s="15"/>
      <c r="KTU229" s="15"/>
      <c r="KTV229" s="15"/>
      <c r="KTW229" s="15"/>
      <c r="KTX229" s="15"/>
      <c r="KTY229" s="15"/>
      <c r="KTZ229" s="15"/>
      <c r="KUA229" s="15"/>
      <c r="KUB229" s="10"/>
      <c r="KUC229" s="10"/>
      <c r="KUD229" s="21"/>
      <c r="KUE229" s="21"/>
      <c r="KUH229" s="21"/>
      <c r="KUI229" s="15"/>
      <c r="KUJ229" s="15"/>
      <c r="KUK229" s="15"/>
      <c r="KUL229" s="15"/>
      <c r="KUM229" s="15"/>
      <c r="KUN229" s="15"/>
      <c r="KUO229" s="15"/>
      <c r="KUP229" s="15"/>
      <c r="KUQ229" s="15"/>
      <c r="KUR229" s="15"/>
      <c r="KUS229" s="10"/>
      <c r="KUT229" s="10"/>
      <c r="KUU229" s="21"/>
      <c r="KUV229" s="21"/>
      <c r="KUY229" s="21"/>
      <c r="KUZ229" s="15"/>
      <c r="KVA229" s="15"/>
      <c r="KVB229" s="15"/>
      <c r="KVC229" s="15"/>
      <c r="KVD229" s="15"/>
      <c r="KVE229" s="15"/>
      <c r="KVF229" s="15"/>
      <c r="KVG229" s="15"/>
      <c r="KVH229" s="15"/>
      <c r="KVI229" s="15"/>
      <c r="KVJ229" s="10"/>
      <c r="KVK229" s="10"/>
      <c r="KVL229" s="21"/>
      <c r="KVM229" s="21"/>
      <c r="KVP229" s="21"/>
      <c r="KVQ229" s="15"/>
      <c r="KVR229" s="15"/>
      <c r="KVS229" s="15"/>
      <c r="KVT229" s="15"/>
      <c r="KVU229" s="15"/>
      <c r="KVV229" s="15"/>
      <c r="KVW229" s="15"/>
      <c r="KVX229" s="15"/>
      <c r="KVY229" s="15"/>
      <c r="KVZ229" s="15"/>
      <c r="KWA229" s="10"/>
      <c r="KWB229" s="10"/>
      <c r="KWC229" s="21"/>
      <c r="KWD229" s="21"/>
      <c r="KWG229" s="21"/>
      <c r="KWH229" s="15"/>
      <c r="KWI229" s="15"/>
      <c r="KWJ229" s="15"/>
      <c r="KWK229" s="15"/>
      <c r="KWL229" s="15"/>
      <c r="KWM229" s="15"/>
      <c r="KWN229" s="15"/>
      <c r="KWO229" s="15"/>
      <c r="KWP229" s="15"/>
      <c r="KWQ229" s="15"/>
      <c r="KWR229" s="10"/>
      <c r="KWS229" s="10"/>
      <c r="KWT229" s="21"/>
      <c r="KWU229" s="21"/>
      <c r="KWX229" s="21"/>
      <c r="KWY229" s="15"/>
      <c r="KWZ229" s="15"/>
      <c r="KXA229" s="15"/>
      <c r="KXB229" s="15"/>
      <c r="KXC229" s="15"/>
      <c r="KXD229" s="15"/>
      <c r="KXE229" s="15"/>
      <c r="KXF229" s="15"/>
      <c r="KXG229" s="15"/>
      <c r="KXH229" s="15"/>
      <c r="KXI229" s="10"/>
      <c r="KXJ229" s="10"/>
      <c r="KXK229" s="21"/>
      <c r="KXL229" s="21"/>
      <c r="KXO229" s="21"/>
      <c r="KXP229" s="15"/>
      <c r="KXQ229" s="15"/>
      <c r="KXR229" s="15"/>
      <c r="KXS229" s="15"/>
      <c r="KXT229" s="15"/>
      <c r="KXU229" s="15"/>
      <c r="KXV229" s="15"/>
      <c r="KXW229" s="15"/>
      <c r="KXX229" s="15"/>
      <c r="KXY229" s="15"/>
      <c r="KXZ229" s="10"/>
      <c r="KYA229" s="10"/>
      <c r="KYB229" s="21"/>
      <c r="KYC229" s="21"/>
      <c r="KYF229" s="21"/>
      <c r="KYG229" s="15"/>
      <c r="KYH229" s="15"/>
      <c r="KYI229" s="15"/>
      <c r="KYJ229" s="15"/>
      <c r="KYK229" s="15"/>
      <c r="KYL229" s="15"/>
      <c r="KYM229" s="15"/>
      <c r="KYN229" s="15"/>
      <c r="KYO229" s="15"/>
      <c r="KYP229" s="15"/>
      <c r="KYQ229" s="10"/>
      <c r="KYR229" s="10"/>
      <c r="KYS229" s="21"/>
      <c r="KYT229" s="21"/>
      <c r="KYW229" s="21"/>
      <c r="KYX229" s="15"/>
      <c r="KYY229" s="15"/>
      <c r="KYZ229" s="15"/>
      <c r="KZA229" s="15"/>
      <c r="KZB229" s="15"/>
      <c r="KZC229" s="15"/>
      <c r="KZD229" s="15"/>
      <c r="KZE229" s="15"/>
      <c r="KZF229" s="15"/>
      <c r="KZG229" s="15"/>
      <c r="KZH229" s="10"/>
      <c r="KZI229" s="10"/>
      <c r="KZJ229" s="21"/>
      <c r="KZK229" s="21"/>
      <c r="KZN229" s="21"/>
      <c r="KZO229" s="15"/>
      <c r="KZP229" s="15"/>
      <c r="KZQ229" s="15"/>
      <c r="KZR229" s="15"/>
      <c r="KZS229" s="15"/>
      <c r="KZT229" s="15"/>
      <c r="KZU229" s="15"/>
      <c r="KZV229" s="15"/>
      <c r="KZW229" s="15"/>
      <c r="KZX229" s="15"/>
      <c r="KZY229" s="10"/>
      <c r="KZZ229" s="10"/>
      <c r="LAA229" s="21"/>
      <c r="LAB229" s="21"/>
      <c r="LAE229" s="21"/>
      <c r="LAF229" s="15"/>
      <c r="LAG229" s="15"/>
      <c r="LAH229" s="15"/>
      <c r="LAI229" s="15"/>
      <c r="LAJ229" s="15"/>
      <c r="LAK229" s="15"/>
      <c r="LAL229" s="15"/>
      <c r="LAM229" s="15"/>
      <c r="LAN229" s="15"/>
      <c r="LAO229" s="15"/>
      <c r="LAP229" s="10"/>
      <c r="LAQ229" s="10"/>
      <c r="LAR229" s="21"/>
      <c r="LAS229" s="21"/>
      <c r="LAV229" s="21"/>
      <c r="LAW229" s="15"/>
      <c r="LAX229" s="15"/>
      <c r="LAY229" s="15"/>
      <c r="LAZ229" s="15"/>
      <c r="LBA229" s="15"/>
      <c r="LBB229" s="15"/>
      <c r="LBC229" s="15"/>
      <c r="LBD229" s="15"/>
      <c r="LBE229" s="15"/>
      <c r="LBF229" s="15"/>
      <c r="LBG229" s="10"/>
      <c r="LBH229" s="10"/>
      <c r="LBI229" s="21"/>
      <c r="LBJ229" s="21"/>
      <c r="LBM229" s="21"/>
      <c r="LBN229" s="15"/>
      <c r="LBO229" s="15"/>
      <c r="LBP229" s="15"/>
      <c r="LBQ229" s="15"/>
      <c r="LBR229" s="15"/>
      <c r="LBS229" s="15"/>
      <c r="LBT229" s="15"/>
      <c r="LBU229" s="15"/>
      <c r="LBV229" s="15"/>
      <c r="LBW229" s="15"/>
      <c r="LBX229" s="10"/>
      <c r="LBY229" s="10"/>
      <c r="LBZ229" s="21"/>
      <c r="LCA229" s="21"/>
      <c r="LCD229" s="21"/>
      <c r="LCE229" s="15"/>
      <c r="LCF229" s="15"/>
      <c r="LCG229" s="15"/>
      <c r="LCH229" s="15"/>
      <c r="LCI229" s="15"/>
      <c r="LCJ229" s="15"/>
      <c r="LCK229" s="15"/>
      <c r="LCL229" s="15"/>
      <c r="LCM229" s="15"/>
      <c r="LCN229" s="15"/>
      <c r="LCO229" s="10"/>
      <c r="LCP229" s="10"/>
      <c r="LCQ229" s="21"/>
      <c r="LCR229" s="21"/>
      <c r="LCU229" s="21"/>
      <c r="LCV229" s="15"/>
      <c r="LCW229" s="15"/>
      <c r="LCX229" s="15"/>
      <c r="LCY229" s="15"/>
      <c r="LCZ229" s="15"/>
      <c r="LDA229" s="15"/>
      <c r="LDB229" s="15"/>
      <c r="LDC229" s="15"/>
      <c r="LDD229" s="15"/>
      <c r="LDE229" s="15"/>
      <c r="LDF229" s="10"/>
      <c r="LDG229" s="10"/>
      <c r="LDH229" s="21"/>
      <c r="LDI229" s="21"/>
      <c r="LDL229" s="21"/>
      <c r="LDM229" s="15"/>
      <c r="LDN229" s="15"/>
      <c r="LDO229" s="15"/>
      <c r="LDP229" s="15"/>
      <c r="LDQ229" s="15"/>
      <c r="LDR229" s="15"/>
      <c r="LDS229" s="15"/>
      <c r="LDT229" s="15"/>
      <c r="LDU229" s="15"/>
      <c r="LDV229" s="15"/>
      <c r="LDW229" s="10"/>
      <c r="LDX229" s="10"/>
      <c r="LDY229" s="21"/>
      <c r="LDZ229" s="21"/>
      <c r="LEC229" s="21"/>
      <c r="LED229" s="15"/>
      <c r="LEE229" s="15"/>
      <c r="LEF229" s="15"/>
      <c r="LEG229" s="15"/>
      <c r="LEH229" s="15"/>
      <c r="LEI229" s="15"/>
      <c r="LEJ229" s="15"/>
      <c r="LEK229" s="15"/>
      <c r="LEL229" s="15"/>
      <c r="LEM229" s="15"/>
      <c r="LEN229" s="10"/>
      <c r="LEO229" s="10"/>
      <c r="LEP229" s="21"/>
      <c r="LEQ229" s="21"/>
      <c r="LET229" s="21"/>
      <c r="LEU229" s="15"/>
      <c r="LEV229" s="15"/>
      <c r="LEW229" s="15"/>
      <c r="LEX229" s="15"/>
      <c r="LEY229" s="15"/>
      <c r="LEZ229" s="15"/>
      <c r="LFA229" s="15"/>
      <c r="LFB229" s="15"/>
      <c r="LFC229" s="15"/>
      <c r="LFD229" s="15"/>
      <c r="LFE229" s="10"/>
      <c r="LFF229" s="10"/>
      <c r="LFG229" s="21"/>
      <c r="LFH229" s="21"/>
      <c r="LFK229" s="21"/>
      <c r="LFL229" s="15"/>
      <c r="LFM229" s="15"/>
      <c r="LFN229" s="15"/>
      <c r="LFO229" s="15"/>
      <c r="LFP229" s="15"/>
      <c r="LFQ229" s="15"/>
      <c r="LFR229" s="15"/>
      <c r="LFS229" s="15"/>
      <c r="LFT229" s="15"/>
      <c r="LFU229" s="15"/>
      <c r="LFV229" s="10"/>
      <c r="LFW229" s="10"/>
      <c r="LFX229" s="21"/>
      <c r="LFY229" s="21"/>
      <c r="LGB229" s="21"/>
      <c r="LGC229" s="15"/>
      <c r="LGD229" s="15"/>
      <c r="LGE229" s="15"/>
      <c r="LGF229" s="15"/>
      <c r="LGG229" s="15"/>
      <c r="LGH229" s="15"/>
      <c r="LGI229" s="15"/>
      <c r="LGJ229" s="15"/>
      <c r="LGK229" s="15"/>
      <c r="LGL229" s="15"/>
      <c r="LGM229" s="10"/>
      <c r="LGN229" s="10"/>
      <c r="LGO229" s="21"/>
      <c r="LGP229" s="21"/>
      <c r="LGS229" s="21"/>
      <c r="LGT229" s="15"/>
      <c r="LGU229" s="15"/>
      <c r="LGV229" s="15"/>
      <c r="LGW229" s="15"/>
      <c r="LGX229" s="15"/>
      <c r="LGY229" s="15"/>
      <c r="LGZ229" s="15"/>
      <c r="LHA229" s="15"/>
      <c r="LHB229" s="15"/>
      <c r="LHC229" s="15"/>
      <c r="LHD229" s="10"/>
      <c r="LHE229" s="10"/>
      <c r="LHF229" s="21"/>
      <c r="LHG229" s="21"/>
      <c r="LHJ229" s="21"/>
      <c r="LHK229" s="15"/>
      <c r="LHL229" s="15"/>
      <c r="LHM229" s="15"/>
      <c r="LHN229" s="15"/>
      <c r="LHO229" s="15"/>
      <c r="LHP229" s="15"/>
      <c r="LHQ229" s="15"/>
      <c r="LHR229" s="15"/>
      <c r="LHS229" s="15"/>
      <c r="LHT229" s="15"/>
      <c r="LHU229" s="10"/>
      <c r="LHV229" s="10"/>
      <c r="LHW229" s="21"/>
      <c r="LHX229" s="21"/>
      <c r="LIA229" s="21"/>
      <c r="LIB229" s="15"/>
      <c r="LIC229" s="15"/>
      <c r="LID229" s="15"/>
      <c r="LIE229" s="15"/>
      <c r="LIF229" s="15"/>
      <c r="LIG229" s="15"/>
      <c r="LIH229" s="15"/>
      <c r="LII229" s="15"/>
      <c r="LIJ229" s="15"/>
      <c r="LIK229" s="15"/>
      <c r="LIL229" s="10"/>
      <c r="LIM229" s="10"/>
      <c r="LIN229" s="21"/>
      <c r="LIO229" s="21"/>
      <c r="LIR229" s="21"/>
      <c r="LIS229" s="15"/>
      <c r="LIT229" s="15"/>
      <c r="LIU229" s="15"/>
      <c r="LIV229" s="15"/>
      <c r="LIW229" s="15"/>
      <c r="LIX229" s="15"/>
      <c r="LIY229" s="15"/>
      <c r="LIZ229" s="15"/>
      <c r="LJA229" s="15"/>
      <c r="LJB229" s="15"/>
      <c r="LJC229" s="10"/>
      <c r="LJD229" s="10"/>
      <c r="LJE229" s="21"/>
      <c r="LJF229" s="21"/>
      <c r="LJI229" s="21"/>
      <c r="LJJ229" s="15"/>
      <c r="LJK229" s="15"/>
      <c r="LJL229" s="15"/>
      <c r="LJM229" s="15"/>
      <c r="LJN229" s="15"/>
      <c r="LJO229" s="15"/>
      <c r="LJP229" s="15"/>
      <c r="LJQ229" s="15"/>
      <c r="LJR229" s="15"/>
      <c r="LJS229" s="15"/>
      <c r="LJT229" s="10"/>
      <c r="LJU229" s="10"/>
      <c r="LJV229" s="21"/>
      <c r="LJW229" s="21"/>
      <c r="LJZ229" s="21"/>
      <c r="LKA229" s="15"/>
      <c r="LKB229" s="15"/>
      <c r="LKC229" s="15"/>
      <c r="LKD229" s="15"/>
      <c r="LKE229" s="15"/>
      <c r="LKF229" s="15"/>
      <c r="LKG229" s="15"/>
      <c r="LKH229" s="15"/>
      <c r="LKI229" s="15"/>
      <c r="LKJ229" s="15"/>
      <c r="LKK229" s="10"/>
      <c r="LKL229" s="10"/>
      <c r="LKM229" s="21"/>
      <c r="LKN229" s="21"/>
      <c r="LKQ229" s="21"/>
      <c r="LKR229" s="15"/>
      <c r="LKS229" s="15"/>
      <c r="LKT229" s="15"/>
      <c r="LKU229" s="15"/>
      <c r="LKV229" s="15"/>
      <c r="LKW229" s="15"/>
      <c r="LKX229" s="15"/>
      <c r="LKY229" s="15"/>
      <c r="LKZ229" s="15"/>
      <c r="LLA229" s="15"/>
      <c r="LLB229" s="10"/>
      <c r="LLC229" s="10"/>
      <c r="LLD229" s="21"/>
      <c r="LLE229" s="21"/>
      <c r="LLH229" s="21"/>
      <c r="LLI229" s="15"/>
      <c r="LLJ229" s="15"/>
      <c r="LLK229" s="15"/>
      <c r="LLL229" s="15"/>
      <c r="LLM229" s="15"/>
      <c r="LLN229" s="15"/>
      <c r="LLO229" s="15"/>
      <c r="LLP229" s="15"/>
      <c r="LLQ229" s="15"/>
      <c r="LLR229" s="15"/>
      <c r="LLS229" s="10"/>
      <c r="LLT229" s="10"/>
      <c r="LLU229" s="21"/>
      <c r="LLV229" s="21"/>
      <c r="LLY229" s="21"/>
      <c r="LLZ229" s="15"/>
      <c r="LMA229" s="15"/>
      <c r="LMB229" s="15"/>
      <c r="LMC229" s="15"/>
      <c r="LMD229" s="15"/>
      <c r="LME229" s="15"/>
      <c r="LMF229" s="15"/>
      <c r="LMG229" s="15"/>
      <c r="LMH229" s="15"/>
      <c r="LMI229" s="15"/>
      <c r="LMJ229" s="10"/>
      <c r="LMK229" s="10"/>
      <c r="LML229" s="21"/>
      <c r="LMM229" s="21"/>
      <c r="LMP229" s="21"/>
      <c r="LMQ229" s="15"/>
      <c r="LMR229" s="15"/>
      <c r="LMS229" s="15"/>
      <c r="LMT229" s="15"/>
      <c r="LMU229" s="15"/>
      <c r="LMV229" s="15"/>
      <c r="LMW229" s="15"/>
      <c r="LMX229" s="15"/>
      <c r="LMY229" s="15"/>
      <c r="LMZ229" s="15"/>
      <c r="LNA229" s="10"/>
      <c r="LNB229" s="10"/>
      <c r="LNC229" s="21"/>
      <c r="LND229" s="21"/>
      <c r="LNG229" s="21"/>
      <c r="LNH229" s="15"/>
      <c r="LNI229" s="15"/>
      <c r="LNJ229" s="15"/>
      <c r="LNK229" s="15"/>
      <c r="LNL229" s="15"/>
      <c r="LNM229" s="15"/>
      <c r="LNN229" s="15"/>
      <c r="LNO229" s="15"/>
      <c r="LNP229" s="15"/>
      <c r="LNQ229" s="15"/>
      <c r="LNR229" s="10"/>
      <c r="LNS229" s="10"/>
      <c r="LNT229" s="21"/>
      <c r="LNU229" s="21"/>
      <c r="LNX229" s="21"/>
      <c r="LNY229" s="15"/>
      <c r="LNZ229" s="15"/>
      <c r="LOA229" s="15"/>
      <c r="LOB229" s="15"/>
      <c r="LOC229" s="15"/>
      <c r="LOD229" s="15"/>
      <c r="LOE229" s="15"/>
      <c r="LOF229" s="15"/>
      <c r="LOG229" s="15"/>
      <c r="LOH229" s="15"/>
      <c r="LOI229" s="10"/>
      <c r="LOJ229" s="10"/>
      <c r="LOK229" s="21"/>
      <c r="LOL229" s="21"/>
      <c r="LOO229" s="21"/>
      <c r="LOP229" s="15"/>
      <c r="LOQ229" s="15"/>
      <c r="LOR229" s="15"/>
      <c r="LOS229" s="15"/>
      <c r="LOT229" s="15"/>
      <c r="LOU229" s="15"/>
      <c r="LOV229" s="15"/>
      <c r="LOW229" s="15"/>
      <c r="LOX229" s="15"/>
      <c r="LOY229" s="15"/>
      <c r="LOZ229" s="10"/>
      <c r="LPA229" s="10"/>
      <c r="LPB229" s="21"/>
      <c r="LPC229" s="21"/>
      <c r="LPF229" s="21"/>
      <c r="LPG229" s="15"/>
      <c r="LPH229" s="15"/>
      <c r="LPI229" s="15"/>
      <c r="LPJ229" s="15"/>
      <c r="LPK229" s="15"/>
      <c r="LPL229" s="15"/>
      <c r="LPM229" s="15"/>
      <c r="LPN229" s="15"/>
      <c r="LPO229" s="15"/>
      <c r="LPP229" s="15"/>
      <c r="LPQ229" s="10"/>
      <c r="LPR229" s="10"/>
      <c r="LPS229" s="21"/>
      <c r="LPT229" s="21"/>
      <c r="LPW229" s="21"/>
      <c r="LPX229" s="15"/>
      <c r="LPY229" s="15"/>
      <c r="LPZ229" s="15"/>
      <c r="LQA229" s="15"/>
      <c r="LQB229" s="15"/>
      <c r="LQC229" s="15"/>
      <c r="LQD229" s="15"/>
      <c r="LQE229" s="15"/>
      <c r="LQF229" s="15"/>
      <c r="LQG229" s="15"/>
      <c r="LQH229" s="10"/>
      <c r="LQI229" s="10"/>
      <c r="LQJ229" s="21"/>
      <c r="LQK229" s="21"/>
      <c r="LQN229" s="21"/>
      <c r="LQO229" s="15"/>
      <c r="LQP229" s="15"/>
      <c r="LQQ229" s="15"/>
      <c r="LQR229" s="15"/>
      <c r="LQS229" s="15"/>
      <c r="LQT229" s="15"/>
      <c r="LQU229" s="15"/>
      <c r="LQV229" s="15"/>
      <c r="LQW229" s="15"/>
      <c r="LQX229" s="15"/>
      <c r="LQY229" s="10"/>
      <c r="LQZ229" s="10"/>
      <c r="LRA229" s="21"/>
      <c r="LRB229" s="21"/>
      <c r="LRE229" s="21"/>
      <c r="LRF229" s="15"/>
      <c r="LRG229" s="15"/>
      <c r="LRH229" s="15"/>
      <c r="LRI229" s="15"/>
      <c r="LRJ229" s="15"/>
      <c r="LRK229" s="15"/>
      <c r="LRL229" s="15"/>
      <c r="LRM229" s="15"/>
      <c r="LRN229" s="15"/>
      <c r="LRO229" s="15"/>
      <c r="LRP229" s="10"/>
      <c r="LRQ229" s="10"/>
      <c r="LRR229" s="21"/>
      <c r="LRS229" s="21"/>
      <c r="LRV229" s="21"/>
      <c r="LRW229" s="15"/>
      <c r="LRX229" s="15"/>
      <c r="LRY229" s="15"/>
      <c r="LRZ229" s="15"/>
      <c r="LSA229" s="15"/>
      <c r="LSB229" s="15"/>
      <c r="LSC229" s="15"/>
      <c r="LSD229" s="15"/>
      <c r="LSE229" s="15"/>
      <c r="LSF229" s="15"/>
      <c r="LSG229" s="10"/>
      <c r="LSH229" s="10"/>
      <c r="LSI229" s="21"/>
      <c r="LSJ229" s="21"/>
      <c r="LSM229" s="21"/>
      <c r="LSN229" s="15"/>
      <c r="LSO229" s="15"/>
      <c r="LSP229" s="15"/>
      <c r="LSQ229" s="15"/>
      <c r="LSR229" s="15"/>
      <c r="LSS229" s="15"/>
      <c r="LST229" s="15"/>
      <c r="LSU229" s="15"/>
      <c r="LSV229" s="15"/>
      <c r="LSW229" s="15"/>
      <c r="LSX229" s="10"/>
      <c r="LSY229" s="10"/>
      <c r="LSZ229" s="21"/>
      <c r="LTA229" s="21"/>
      <c r="LTD229" s="21"/>
      <c r="LTE229" s="15"/>
      <c r="LTF229" s="15"/>
      <c r="LTG229" s="15"/>
      <c r="LTH229" s="15"/>
      <c r="LTI229" s="15"/>
      <c r="LTJ229" s="15"/>
      <c r="LTK229" s="15"/>
      <c r="LTL229" s="15"/>
      <c r="LTM229" s="15"/>
      <c r="LTN229" s="15"/>
      <c r="LTO229" s="10"/>
      <c r="LTP229" s="10"/>
      <c r="LTQ229" s="21"/>
      <c r="LTR229" s="21"/>
      <c r="LTU229" s="21"/>
      <c r="LTV229" s="15"/>
      <c r="LTW229" s="15"/>
      <c r="LTX229" s="15"/>
      <c r="LTY229" s="15"/>
      <c r="LTZ229" s="15"/>
      <c r="LUA229" s="15"/>
      <c r="LUB229" s="15"/>
      <c r="LUC229" s="15"/>
      <c r="LUD229" s="15"/>
      <c r="LUE229" s="15"/>
      <c r="LUF229" s="10"/>
      <c r="LUG229" s="10"/>
      <c r="LUH229" s="21"/>
      <c r="LUI229" s="21"/>
      <c r="LUL229" s="21"/>
      <c r="LUM229" s="15"/>
      <c r="LUN229" s="15"/>
      <c r="LUO229" s="15"/>
      <c r="LUP229" s="15"/>
      <c r="LUQ229" s="15"/>
      <c r="LUR229" s="15"/>
      <c r="LUS229" s="15"/>
      <c r="LUT229" s="15"/>
      <c r="LUU229" s="15"/>
      <c r="LUV229" s="15"/>
      <c r="LUW229" s="10"/>
      <c r="LUX229" s="10"/>
      <c r="LUY229" s="21"/>
      <c r="LUZ229" s="21"/>
      <c r="LVC229" s="21"/>
      <c r="LVD229" s="15"/>
      <c r="LVE229" s="15"/>
      <c r="LVF229" s="15"/>
      <c r="LVG229" s="15"/>
      <c r="LVH229" s="15"/>
      <c r="LVI229" s="15"/>
      <c r="LVJ229" s="15"/>
      <c r="LVK229" s="15"/>
      <c r="LVL229" s="15"/>
      <c r="LVM229" s="15"/>
      <c r="LVN229" s="10"/>
      <c r="LVO229" s="10"/>
      <c r="LVP229" s="21"/>
      <c r="LVQ229" s="21"/>
      <c r="LVT229" s="21"/>
      <c r="LVU229" s="15"/>
      <c r="LVV229" s="15"/>
      <c r="LVW229" s="15"/>
      <c r="LVX229" s="15"/>
      <c r="LVY229" s="15"/>
      <c r="LVZ229" s="15"/>
      <c r="LWA229" s="15"/>
      <c r="LWB229" s="15"/>
      <c r="LWC229" s="15"/>
      <c r="LWD229" s="15"/>
      <c r="LWE229" s="10"/>
      <c r="LWF229" s="10"/>
      <c r="LWG229" s="21"/>
      <c r="LWH229" s="21"/>
      <c r="LWK229" s="21"/>
      <c r="LWL229" s="15"/>
      <c r="LWM229" s="15"/>
      <c r="LWN229" s="15"/>
      <c r="LWO229" s="15"/>
      <c r="LWP229" s="15"/>
      <c r="LWQ229" s="15"/>
      <c r="LWR229" s="15"/>
      <c r="LWS229" s="15"/>
      <c r="LWT229" s="15"/>
      <c r="LWU229" s="15"/>
      <c r="LWV229" s="10"/>
      <c r="LWW229" s="10"/>
      <c r="LWX229" s="21"/>
      <c r="LWY229" s="21"/>
      <c r="LXB229" s="21"/>
      <c r="LXC229" s="15"/>
      <c r="LXD229" s="15"/>
      <c r="LXE229" s="15"/>
      <c r="LXF229" s="15"/>
      <c r="LXG229" s="15"/>
      <c r="LXH229" s="15"/>
      <c r="LXI229" s="15"/>
      <c r="LXJ229" s="15"/>
      <c r="LXK229" s="15"/>
      <c r="LXL229" s="15"/>
      <c r="LXM229" s="10"/>
      <c r="LXN229" s="10"/>
      <c r="LXO229" s="21"/>
      <c r="LXP229" s="21"/>
      <c r="LXS229" s="21"/>
      <c r="LXT229" s="15"/>
      <c r="LXU229" s="15"/>
      <c r="LXV229" s="15"/>
      <c r="LXW229" s="15"/>
      <c r="LXX229" s="15"/>
      <c r="LXY229" s="15"/>
      <c r="LXZ229" s="15"/>
      <c r="LYA229" s="15"/>
      <c r="LYB229" s="15"/>
      <c r="LYC229" s="15"/>
      <c r="LYD229" s="10"/>
      <c r="LYE229" s="10"/>
      <c r="LYF229" s="21"/>
      <c r="LYG229" s="21"/>
      <c r="LYJ229" s="21"/>
      <c r="LYK229" s="15"/>
      <c r="LYL229" s="15"/>
      <c r="LYM229" s="15"/>
      <c r="LYN229" s="15"/>
      <c r="LYO229" s="15"/>
      <c r="LYP229" s="15"/>
      <c r="LYQ229" s="15"/>
      <c r="LYR229" s="15"/>
      <c r="LYS229" s="15"/>
      <c r="LYT229" s="15"/>
      <c r="LYU229" s="10"/>
      <c r="LYV229" s="10"/>
      <c r="LYW229" s="21"/>
      <c r="LYX229" s="21"/>
      <c r="LZA229" s="21"/>
      <c r="LZB229" s="15"/>
      <c r="LZC229" s="15"/>
      <c r="LZD229" s="15"/>
      <c r="LZE229" s="15"/>
      <c r="LZF229" s="15"/>
      <c r="LZG229" s="15"/>
      <c r="LZH229" s="15"/>
      <c r="LZI229" s="15"/>
      <c r="LZJ229" s="15"/>
      <c r="LZK229" s="15"/>
      <c r="LZL229" s="10"/>
      <c r="LZM229" s="10"/>
      <c r="LZN229" s="21"/>
      <c r="LZO229" s="21"/>
      <c r="LZR229" s="21"/>
      <c r="LZS229" s="15"/>
      <c r="LZT229" s="15"/>
      <c r="LZU229" s="15"/>
      <c r="LZV229" s="15"/>
      <c r="LZW229" s="15"/>
      <c r="LZX229" s="15"/>
      <c r="LZY229" s="15"/>
      <c r="LZZ229" s="15"/>
      <c r="MAA229" s="15"/>
      <c r="MAB229" s="15"/>
      <c r="MAC229" s="10"/>
      <c r="MAD229" s="10"/>
      <c r="MAE229" s="21"/>
      <c r="MAF229" s="21"/>
      <c r="MAI229" s="21"/>
      <c r="MAJ229" s="15"/>
      <c r="MAK229" s="15"/>
      <c r="MAL229" s="15"/>
      <c r="MAM229" s="15"/>
      <c r="MAN229" s="15"/>
      <c r="MAO229" s="15"/>
      <c r="MAP229" s="15"/>
      <c r="MAQ229" s="15"/>
      <c r="MAR229" s="15"/>
      <c r="MAS229" s="15"/>
      <c r="MAT229" s="10"/>
      <c r="MAU229" s="10"/>
      <c r="MAV229" s="21"/>
      <c r="MAW229" s="21"/>
      <c r="MAZ229" s="21"/>
      <c r="MBA229" s="15"/>
      <c r="MBB229" s="15"/>
      <c r="MBC229" s="15"/>
      <c r="MBD229" s="15"/>
      <c r="MBE229" s="15"/>
      <c r="MBF229" s="15"/>
      <c r="MBG229" s="15"/>
      <c r="MBH229" s="15"/>
      <c r="MBI229" s="15"/>
      <c r="MBJ229" s="15"/>
      <c r="MBK229" s="10"/>
      <c r="MBL229" s="10"/>
      <c r="MBM229" s="21"/>
      <c r="MBN229" s="21"/>
      <c r="MBQ229" s="21"/>
      <c r="MBR229" s="15"/>
      <c r="MBS229" s="15"/>
      <c r="MBT229" s="15"/>
      <c r="MBU229" s="15"/>
      <c r="MBV229" s="15"/>
      <c r="MBW229" s="15"/>
      <c r="MBX229" s="15"/>
      <c r="MBY229" s="15"/>
      <c r="MBZ229" s="15"/>
      <c r="MCA229" s="15"/>
      <c r="MCB229" s="10"/>
      <c r="MCC229" s="10"/>
      <c r="MCD229" s="21"/>
      <c r="MCE229" s="21"/>
      <c r="MCH229" s="21"/>
      <c r="MCI229" s="15"/>
      <c r="MCJ229" s="15"/>
      <c r="MCK229" s="15"/>
      <c r="MCL229" s="15"/>
      <c r="MCM229" s="15"/>
      <c r="MCN229" s="15"/>
      <c r="MCO229" s="15"/>
      <c r="MCP229" s="15"/>
      <c r="MCQ229" s="15"/>
      <c r="MCR229" s="15"/>
      <c r="MCS229" s="10"/>
      <c r="MCT229" s="10"/>
      <c r="MCU229" s="21"/>
      <c r="MCV229" s="21"/>
      <c r="MCY229" s="21"/>
      <c r="MCZ229" s="15"/>
      <c r="MDA229" s="15"/>
      <c r="MDB229" s="15"/>
      <c r="MDC229" s="15"/>
      <c r="MDD229" s="15"/>
      <c r="MDE229" s="15"/>
      <c r="MDF229" s="15"/>
      <c r="MDG229" s="15"/>
      <c r="MDH229" s="15"/>
      <c r="MDI229" s="15"/>
      <c r="MDJ229" s="10"/>
      <c r="MDK229" s="10"/>
      <c r="MDL229" s="21"/>
      <c r="MDM229" s="21"/>
      <c r="MDP229" s="21"/>
      <c r="MDQ229" s="15"/>
      <c r="MDR229" s="15"/>
      <c r="MDS229" s="15"/>
      <c r="MDT229" s="15"/>
      <c r="MDU229" s="15"/>
      <c r="MDV229" s="15"/>
      <c r="MDW229" s="15"/>
      <c r="MDX229" s="15"/>
      <c r="MDY229" s="15"/>
      <c r="MDZ229" s="15"/>
      <c r="MEA229" s="10"/>
      <c r="MEB229" s="10"/>
      <c r="MEC229" s="21"/>
      <c r="MED229" s="21"/>
      <c r="MEG229" s="21"/>
      <c r="MEH229" s="15"/>
      <c r="MEI229" s="15"/>
      <c r="MEJ229" s="15"/>
      <c r="MEK229" s="15"/>
      <c r="MEL229" s="15"/>
      <c r="MEM229" s="15"/>
      <c r="MEN229" s="15"/>
      <c r="MEO229" s="15"/>
      <c r="MEP229" s="15"/>
      <c r="MEQ229" s="15"/>
      <c r="MER229" s="10"/>
      <c r="MES229" s="10"/>
      <c r="MET229" s="21"/>
      <c r="MEU229" s="21"/>
      <c r="MEX229" s="21"/>
      <c r="MEY229" s="15"/>
      <c r="MEZ229" s="15"/>
      <c r="MFA229" s="15"/>
      <c r="MFB229" s="15"/>
      <c r="MFC229" s="15"/>
      <c r="MFD229" s="15"/>
      <c r="MFE229" s="15"/>
      <c r="MFF229" s="15"/>
      <c r="MFG229" s="15"/>
      <c r="MFH229" s="15"/>
      <c r="MFI229" s="10"/>
      <c r="MFJ229" s="10"/>
      <c r="MFK229" s="21"/>
      <c r="MFL229" s="21"/>
      <c r="MFO229" s="21"/>
      <c r="MFP229" s="15"/>
      <c r="MFQ229" s="15"/>
      <c r="MFR229" s="15"/>
      <c r="MFS229" s="15"/>
      <c r="MFT229" s="15"/>
      <c r="MFU229" s="15"/>
      <c r="MFV229" s="15"/>
      <c r="MFW229" s="15"/>
      <c r="MFX229" s="15"/>
      <c r="MFY229" s="15"/>
      <c r="MFZ229" s="10"/>
      <c r="MGA229" s="10"/>
      <c r="MGB229" s="21"/>
      <c r="MGC229" s="21"/>
      <c r="MGF229" s="21"/>
      <c r="MGG229" s="15"/>
      <c r="MGH229" s="15"/>
      <c r="MGI229" s="15"/>
      <c r="MGJ229" s="15"/>
      <c r="MGK229" s="15"/>
      <c r="MGL229" s="15"/>
      <c r="MGM229" s="15"/>
      <c r="MGN229" s="15"/>
      <c r="MGO229" s="15"/>
      <c r="MGP229" s="15"/>
      <c r="MGQ229" s="10"/>
      <c r="MGR229" s="10"/>
      <c r="MGS229" s="21"/>
      <c r="MGT229" s="21"/>
      <c r="MGW229" s="21"/>
      <c r="MGX229" s="15"/>
      <c r="MGY229" s="15"/>
      <c r="MGZ229" s="15"/>
      <c r="MHA229" s="15"/>
      <c r="MHB229" s="15"/>
      <c r="MHC229" s="15"/>
      <c r="MHD229" s="15"/>
      <c r="MHE229" s="15"/>
      <c r="MHF229" s="15"/>
      <c r="MHG229" s="15"/>
      <c r="MHH229" s="10"/>
      <c r="MHI229" s="10"/>
      <c r="MHJ229" s="21"/>
      <c r="MHK229" s="21"/>
      <c r="MHN229" s="21"/>
      <c r="MHO229" s="15"/>
      <c r="MHP229" s="15"/>
      <c r="MHQ229" s="15"/>
      <c r="MHR229" s="15"/>
      <c r="MHS229" s="15"/>
      <c r="MHT229" s="15"/>
      <c r="MHU229" s="15"/>
      <c r="MHV229" s="15"/>
      <c r="MHW229" s="15"/>
      <c r="MHX229" s="15"/>
      <c r="MHY229" s="10"/>
      <c r="MHZ229" s="10"/>
      <c r="MIA229" s="21"/>
      <c r="MIB229" s="21"/>
      <c r="MIE229" s="21"/>
      <c r="MIF229" s="15"/>
      <c r="MIG229" s="15"/>
      <c r="MIH229" s="15"/>
      <c r="MII229" s="15"/>
      <c r="MIJ229" s="15"/>
      <c r="MIK229" s="15"/>
      <c r="MIL229" s="15"/>
      <c r="MIM229" s="15"/>
      <c r="MIN229" s="15"/>
      <c r="MIO229" s="15"/>
      <c r="MIP229" s="10"/>
      <c r="MIQ229" s="10"/>
      <c r="MIR229" s="21"/>
      <c r="MIS229" s="21"/>
      <c r="MIV229" s="21"/>
      <c r="MIW229" s="15"/>
      <c r="MIX229" s="15"/>
      <c r="MIY229" s="15"/>
      <c r="MIZ229" s="15"/>
      <c r="MJA229" s="15"/>
      <c r="MJB229" s="15"/>
      <c r="MJC229" s="15"/>
      <c r="MJD229" s="15"/>
      <c r="MJE229" s="15"/>
      <c r="MJF229" s="15"/>
      <c r="MJG229" s="10"/>
      <c r="MJH229" s="10"/>
      <c r="MJI229" s="21"/>
      <c r="MJJ229" s="21"/>
      <c r="MJM229" s="21"/>
      <c r="MJN229" s="15"/>
      <c r="MJO229" s="15"/>
      <c r="MJP229" s="15"/>
      <c r="MJQ229" s="15"/>
      <c r="MJR229" s="15"/>
      <c r="MJS229" s="15"/>
      <c r="MJT229" s="15"/>
      <c r="MJU229" s="15"/>
      <c r="MJV229" s="15"/>
      <c r="MJW229" s="15"/>
      <c r="MJX229" s="10"/>
      <c r="MJY229" s="10"/>
      <c r="MJZ229" s="21"/>
      <c r="MKA229" s="21"/>
      <c r="MKD229" s="21"/>
      <c r="MKE229" s="15"/>
      <c r="MKF229" s="15"/>
      <c r="MKG229" s="15"/>
      <c r="MKH229" s="15"/>
      <c r="MKI229" s="15"/>
      <c r="MKJ229" s="15"/>
      <c r="MKK229" s="15"/>
      <c r="MKL229" s="15"/>
      <c r="MKM229" s="15"/>
      <c r="MKN229" s="15"/>
      <c r="MKO229" s="10"/>
      <c r="MKP229" s="10"/>
      <c r="MKQ229" s="21"/>
      <c r="MKR229" s="21"/>
      <c r="MKU229" s="21"/>
      <c r="MKV229" s="15"/>
      <c r="MKW229" s="15"/>
      <c r="MKX229" s="15"/>
      <c r="MKY229" s="15"/>
      <c r="MKZ229" s="15"/>
      <c r="MLA229" s="15"/>
      <c r="MLB229" s="15"/>
      <c r="MLC229" s="15"/>
      <c r="MLD229" s="15"/>
      <c r="MLE229" s="15"/>
      <c r="MLF229" s="10"/>
      <c r="MLG229" s="10"/>
      <c r="MLH229" s="21"/>
      <c r="MLI229" s="21"/>
      <c r="MLL229" s="21"/>
      <c r="MLM229" s="15"/>
      <c r="MLN229" s="15"/>
      <c r="MLO229" s="15"/>
      <c r="MLP229" s="15"/>
      <c r="MLQ229" s="15"/>
      <c r="MLR229" s="15"/>
      <c r="MLS229" s="15"/>
      <c r="MLT229" s="15"/>
      <c r="MLU229" s="15"/>
      <c r="MLV229" s="15"/>
      <c r="MLW229" s="10"/>
      <c r="MLX229" s="10"/>
      <c r="MLY229" s="21"/>
      <c r="MLZ229" s="21"/>
      <c r="MMC229" s="21"/>
      <c r="MMD229" s="15"/>
      <c r="MME229" s="15"/>
      <c r="MMF229" s="15"/>
      <c r="MMG229" s="15"/>
      <c r="MMH229" s="15"/>
      <c r="MMI229" s="15"/>
      <c r="MMJ229" s="15"/>
      <c r="MMK229" s="15"/>
      <c r="MML229" s="15"/>
      <c r="MMM229" s="15"/>
      <c r="MMN229" s="10"/>
      <c r="MMO229" s="10"/>
      <c r="MMP229" s="21"/>
      <c r="MMQ229" s="21"/>
      <c r="MMT229" s="21"/>
      <c r="MMU229" s="15"/>
      <c r="MMV229" s="15"/>
      <c r="MMW229" s="15"/>
      <c r="MMX229" s="15"/>
      <c r="MMY229" s="15"/>
      <c r="MMZ229" s="15"/>
      <c r="MNA229" s="15"/>
      <c r="MNB229" s="15"/>
      <c r="MNC229" s="15"/>
      <c r="MND229" s="15"/>
      <c r="MNE229" s="10"/>
      <c r="MNF229" s="10"/>
      <c r="MNG229" s="21"/>
      <c r="MNH229" s="21"/>
      <c r="MNK229" s="21"/>
      <c r="MNL229" s="15"/>
      <c r="MNM229" s="15"/>
      <c r="MNN229" s="15"/>
      <c r="MNO229" s="15"/>
      <c r="MNP229" s="15"/>
      <c r="MNQ229" s="15"/>
      <c r="MNR229" s="15"/>
      <c r="MNS229" s="15"/>
      <c r="MNT229" s="15"/>
      <c r="MNU229" s="15"/>
      <c r="MNV229" s="10"/>
      <c r="MNW229" s="10"/>
      <c r="MNX229" s="21"/>
      <c r="MNY229" s="21"/>
      <c r="MOB229" s="21"/>
      <c r="MOC229" s="15"/>
      <c r="MOD229" s="15"/>
      <c r="MOE229" s="15"/>
      <c r="MOF229" s="15"/>
      <c r="MOG229" s="15"/>
      <c r="MOH229" s="15"/>
      <c r="MOI229" s="15"/>
      <c r="MOJ229" s="15"/>
      <c r="MOK229" s="15"/>
      <c r="MOL229" s="15"/>
      <c r="MOM229" s="10"/>
      <c r="MON229" s="10"/>
      <c r="MOO229" s="21"/>
      <c r="MOP229" s="21"/>
      <c r="MOS229" s="21"/>
      <c r="MOT229" s="15"/>
      <c r="MOU229" s="15"/>
      <c r="MOV229" s="15"/>
      <c r="MOW229" s="15"/>
      <c r="MOX229" s="15"/>
      <c r="MOY229" s="15"/>
      <c r="MOZ229" s="15"/>
      <c r="MPA229" s="15"/>
      <c r="MPB229" s="15"/>
      <c r="MPC229" s="15"/>
      <c r="MPD229" s="10"/>
      <c r="MPE229" s="10"/>
      <c r="MPF229" s="21"/>
      <c r="MPG229" s="21"/>
      <c r="MPJ229" s="21"/>
      <c r="MPK229" s="15"/>
      <c r="MPL229" s="15"/>
      <c r="MPM229" s="15"/>
      <c r="MPN229" s="15"/>
      <c r="MPO229" s="15"/>
      <c r="MPP229" s="15"/>
      <c r="MPQ229" s="15"/>
      <c r="MPR229" s="15"/>
      <c r="MPS229" s="15"/>
      <c r="MPT229" s="15"/>
      <c r="MPU229" s="10"/>
      <c r="MPV229" s="10"/>
      <c r="MPW229" s="21"/>
      <c r="MPX229" s="21"/>
      <c r="MQA229" s="21"/>
      <c r="MQB229" s="15"/>
      <c r="MQC229" s="15"/>
      <c r="MQD229" s="15"/>
      <c r="MQE229" s="15"/>
      <c r="MQF229" s="15"/>
      <c r="MQG229" s="15"/>
      <c r="MQH229" s="15"/>
      <c r="MQI229" s="15"/>
      <c r="MQJ229" s="15"/>
      <c r="MQK229" s="15"/>
      <c r="MQL229" s="10"/>
      <c r="MQM229" s="10"/>
      <c r="MQN229" s="21"/>
      <c r="MQO229" s="21"/>
      <c r="MQR229" s="21"/>
      <c r="MQS229" s="15"/>
      <c r="MQT229" s="15"/>
      <c r="MQU229" s="15"/>
      <c r="MQV229" s="15"/>
      <c r="MQW229" s="15"/>
      <c r="MQX229" s="15"/>
      <c r="MQY229" s="15"/>
      <c r="MQZ229" s="15"/>
      <c r="MRA229" s="15"/>
      <c r="MRB229" s="15"/>
      <c r="MRC229" s="10"/>
      <c r="MRD229" s="10"/>
      <c r="MRE229" s="21"/>
      <c r="MRF229" s="21"/>
      <c r="MRI229" s="21"/>
      <c r="MRJ229" s="15"/>
      <c r="MRK229" s="15"/>
      <c r="MRL229" s="15"/>
      <c r="MRM229" s="15"/>
      <c r="MRN229" s="15"/>
      <c r="MRO229" s="15"/>
      <c r="MRP229" s="15"/>
      <c r="MRQ229" s="15"/>
      <c r="MRR229" s="15"/>
      <c r="MRS229" s="15"/>
      <c r="MRT229" s="10"/>
      <c r="MRU229" s="10"/>
      <c r="MRV229" s="21"/>
      <c r="MRW229" s="21"/>
      <c r="MRZ229" s="21"/>
      <c r="MSA229" s="15"/>
      <c r="MSB229" s="15"/>
      <c r="MSC229" s="15"/>
      <c r="MSD229" s="15"/>
      <c r="MSE229" s="15"/>
      <c r="MSF229" s="15"/>
      <c r="MSG229" s="15"/>
      <c r="MSH229" s="15"/>
      <c r="MSI229" s="15"/>
      <c r="MSJ229" s="15"/>
      <c r="MSK229" s="10"/>
      <c r="MSL229" s="10"/>
      <c r="MSM229" s="21"/>
      <c r="MSN229" s="21"/>
      <c r="MSQ229" s="21"/>
      <c r="MSR229" s="15"/>
      <c r="MSS229" s="15"/>
      <c r="MST229" s="15"/>
      <c r="MSU229" s="15"/>
      <c r="MSV229" s="15"/>
      <c r="MSW229" s="15"/>
      <c r="MSX229" s="15"/>
      <c r="MSY229" s="15"/>
      <c r="MSZ229" s="15"/>
      <c r="MTA229" s="15"/>
      <c r="MTB229" s="10"/>
      <c r="MTC229" s="10"/>
      <c r="MTD229" s="21"/>
      <c r="MTE229" s="21"/>
      <c r="MTH229" s="21"/>
      <c r="MTI229" s="15"/>
      <c r="MTJ229" s="15"/>
      <c r="MTK229" s="15"/>
      <c r="MTL229" s="15"/>
      <c r="MTM229" s="15"/>
      <c r="MTN229" s="15"/>
      <c r="MTO229" s="15"/>
      <c r="MTP229" s="15"/>
      <c r="MTQ229" s="15"/>
      <c r="MTR229" s="15"/>
      <c r="MTS229" s="10"/>
      <c r="MTT229" s="10"/>
      <c r="MTU229" s="21"/>
      <c r="MTV229" s="21"/>
      <c r="MTY229" s="21"/>
      <c r="MTZ229" s="15"/>
      <c r="MUA229" s="15"/>
      <c r="MUB229" s="15"/>
      <c r="MUC229" s="15"/>
      <c r="MUD229" s="15"/>
      <c r="MUE229" s="15"/>
      <c r="MUF229" s="15"/>
      <c r="MUG229" s="15"/>
      <c r="MUH229" s="15"/>
      <c r="MUI229" s="15"/>
      <c r="MUJ229" s="10"/>
      <c r="MUK229" s="10"/>
      <c r="MUL229" s="21"/>
      <c r="MUM229" s="21"/>
      <c r="MUP229" s="21"/>
      <c r="MUQ229" s="15"/>
      <c r="MUR229" s="15"/>
      <c r="MUS229" s="15"/>
      <c r="MUT229" s="15"/>
      <c r="MUU229" s="15"/>
      <c r="MUV229" s="15"/>
      <c r="MUW229" s="15"/>
      <c r="MUX229" s="15"/>
      <c r="MUY229" s="15"/>
      <c r="MUZ229" s="15"/>
      <c r="MVA229" s="10"/>
      <c r="MVB229" s="10"/>
      <c r="MVC229" s="21"/>
      <c r="MVD229" s="21"/>
      <c r="MVG229" s="21"/>
      <c r="MVH229" s="15"/>
      <c r="MVI229" s="15"/>
      <c r="MVJ229" s="15"/>
      <c r="MVK229" s="15"/>
      <c r="MVL229" s="15"/>
      <c r="MVM229" s="15"/>
      <c r="MVN229" s="15"/>
      <c r="MVO229" s="15"/>
      <c r="MVP229" s="15"/>
      <c r="MVQ229" s="15"/>
      <c r="MVR229" s="10"/>
      <c r="MVS229" s="10"/>
      <c r="MVT229" s="21"/>
      <c r="MVU229" s="21"/>
      <c r="MVX229" s="21"/>
      <c r="MVY229" s="15"/>
      <c r="MVZ229" s="15"/>
      <c r="MWA229" s="15"/>
      <c r="MWB229" s="15"/>
      <c r="MWC229" s="15"/>
      <c r="MWD229" s="15"/>
      <c r="MWE229" s="15"/>
      <c r="MWF229" s="15"/>
      <c r="MWG229" s="15"/>
      <c r="MWH229" s="15"/>
      <c r="MWI229" s="10"/>
      <c r="MWJ229" s="10"/>
      <c r="MWK229" s="21"/>
      <c r="MWL229" s="21"/>
      <c r="MWO229" s="21"/>
      <c r="MWP229" s="15"/>
      <c r="MWQ229" s="15"/>
      <c r="MWR229" s="15"/>
      <c r="MWS229" s="15"/>
      <c r="MWT229" s="15"/>
      <c r="MWU229" s="15"/>
      <c r="MWV229" s="15"/>
      <c r="MWW229" s="15"/>
      <c r="MWX229" s="15"/>
      <c r="MWY229" s="15"/>
      <c r="MWZ229" s="10"/>
      <c r="MXA229" s="10"/>
      <c r="MXB229" s="21"/>
      <c r="MXC229" s="21"/>
      <c r="MXF229" s="21"/>
      <c r="MXG229" s="15"/>
      <c r="MXH229" s="15"/>
      <c r="MXI229" s="15"/>
      <c r="MXJ229" s="15"/>
      <c r="MXK229" s="15"/>
      <c r="MXL229" s="15"/>
      <c r="MXM229" s="15"/>
      <c r="MXN229" s="15"/>
      <c r="MXO229" s="15"/>
      <c r="MXP229" s="15"/>
      <c r="MXQ229" s="10"/>
      <c r="MXR229" s="10"/>
      <c r="MXS229" s="21"/>
      <c r="MXT229" s="21"/>
      <c r="MXW229" s="21"/>
      <c r="MXX229" s="15"/>
      <c r="MXY229" s="15"/>
      <c r="MXZ229" s="15"/>
      <c r="MYA229" s="15"/>
      <c r="MYB229" s="15"/>
      <c r="MYC229" s="15"/>
      <c r="MYD229" s="15"/>
      <c r="MYE229" s="15"/>
      <c r="MYF229" s="15"/>
      <c r="MYG229" s="15"/>
      <c r="MYH229" s="10"/>
      <c r="MYI229" s="10"/>
      <c r="MYJ229" s="21"/>
      <c r="MYK229" s="21"/>
      <c r="MYN229" s="21"/>
      <c r="MYO229" s="15"/>
      <c r="MYP229" s="15"/>
      <c r="MYQ229" s="15"/>
      <c r="MYR229" s="15"/>
      <c r="MYS229" s="15"/>
      <c r="MYT229" s="15"/>
      <c r="MYU229" s="15"/>
      <c r="MYV229" s="15"/>
      <c r="MYW229" s="15"/>
      <c r="MYX229" s="15"/>
      <c r="MYY229" s="10"/>
      <c r="MYZ229" s="10"/>
      <c r="MZA229" s="21"/>
      <c r="MZB229" s="21"/>
      <c r="MZE229" s="21"/>
      <c r="MZF229" s="15"/>
      <c r="MZG229" s="15"/>
      <c r="MZH229" s="15"/>
      <c r="MZI229" s="15"/>
      <c r="MZJ229" s="15"/>
      <c r="MZK229" s="15"/>
      <c r="MZL229" s="15"/>
      <c r="MZM229" s="15"/>
      <c r="MZN229" s="15"/>
      <c r="MZO229" s="15"/>
      <c r="MZP229" s="10"/>
      <c r="MZQ229" s="10"/>
      <c r="MZR229" s="21"/>
      <c r="MZS229" s="21"/>
      <c r="MZV229" s="21"/>
      <c r="MZW229" s="15"/>
      <c r="MZX229" s="15"/>
      <c r="MZY229" s="15"/>
      <c r="MZZ229" s="15"/>
      <c r="NAA229" s="15"/>
      <c r="NAB229" s="15"/>
      <c r="NAC229" s="15"/>
      <c r="NAD229" s="15"/>
      <c r="NAE229" s="15"/>
      <c r="NAF229" s="15"/>
      <c r="NAG229" s="10"/>
      <c r="NAH229" s="10"/>
      <c r="NAI229" s="21"/>
      <c r="NAJ229" s="21"/>
      <c r="NAM229" s="21"/>
      <c r="NAN229" s="15"/>
      <c r="NAO229" s="15"/>
      <c r="NAP229" s="15"/>
      <c r="NAQ229" s="15"/>
      <c r="NAR229" s="15"/>
      <c r="NAS229" s="15"/>
      <c r="NAT229" s="15"/>
      <c r="NAU229" s="15"/>
      <c r="NAV229" s="15"/>
      <c r="NAW229" s="15"/>
      <c r="NAX229" s="10"/>
      <c r="NAY229" s="10"/>
      <c r="NAZ229" s="21"/>
      <c r="NBA229" s="21"/>
      <c r="NBD229" s="21"/>
      <c r="NBE229" s="15"/>
      <c r="NBF229" s="15"/>
      <c r="NBG229" s="15"/>
      <c r="NBH229" s="15"/>
      <c r="NBI229" s="15"/>
      <c r="NBJ229" s="15"/>
      <c r="NBK229" s="15"/>
      <c r="NBL229" s="15"/>
      <c r="NBM229" s="15"/>
      <c r="NBN229" s="15"/>
      <c r="NBO229" s="10"/>
      <c r="NBP229" s="10"/>
      <c r="NBQ229" s="21"/>
      <c r="NBR229" s="21"/>
      <c r="NBU229" s="21"/>
      <c r="NBV229" s="15"/>
      <c r="NBW229" s="15"/>
      <c r="NBX229" s="15"/>
      <c r="NBY229" s="15"/>
      <c r="NBZ229" s="15"/>
      <c r="NCA229" s="15"/>
      <c r="NCB229" s="15"/>
      <c r="NCC229" s="15"/>
      <c r="NCD229" s="15"/>
      <c r="NCE229" s="15"/>
      <c r="NCF229" s="10"/>
      <c r="NCG229" s="10"/>
      <c r="NCH229" s="21"/>
      <c r="NCI229" s="21"/>
      <c r="NCL229" s="21"/>
      <c r="NCM229" s="15"/>
      <c r="NCN229" s="15"/>
      <c r="NCO229" s="15"/>
      <c r="NCP229" s="15"/>
      <c r="NCQ229" s="15"/>
      <c r="NCR229" s="15"/>
      <c r="NCS229" s="15"/>
      <c r="NCT229" s="15"/>
      <c r="NCU229" s="15"/>
      <c r="NCV229" s="15"/>
      <c r="NCW229" s="10"/>
      <c r="NCX229" s="10"/>
      <c r="NCY229" s="21"/>
      <c r="NCZ229" s="21"/>
      <c r="NDC229" s="21"/>
      <c r="NDD229" s="15"/>
      <c r="NDE229" s="15"/>
      <c r="NDF229" s="15"/>
      <c r="NDG229" s="15"/>
      <c r="NDH229" s="15"/>
      <c r="NDI229" s="15"/>
      <c r="NDJ229" s="15"/>
      <c r="NDK229" s="15"/>
      <c r="NDL229" s="15"/>
      <c r="NDM229" s="15"/>
      <c r="NDN229" s="10"/>
      <c r="NDO229" s="10"/>
      <c r="NDP229" s="21"/>
      <c r="NDQ229" s="21"/>
      <c r="NDT229" s="21"/>
      <c r="NDU229" s="15"/>
      <c r="NDV229" s="15"/>
      <c r="NDW229" s="15"/>
      <c r="NDX229" s="15"/>
      <c r="NDY229" s="15"/>
      <c r="NDZ229" s="15"/>
      <c r="NEA229" s="15"/>
      <c r="NEB229" s="15"/>
      <c r="NEC229" s="15"/>
      <c r="NED229" s="15"/>
      <c r="NEE229" s="10"/>
      <c r="NEF229" s="10"/>
      <c r="NEG229" s="21"/>
      <c r="NEH229" s="21"/>
      <c r="NEK229" s="21"/>
      <c r="NEL229" s="15"/>
      <c r="NEM229" s="15"/>
      <c r="NEN229" s="15"/>
      <c r="NEO229" s="15"/>
      <c r="NEP229" s="15"/>
      <c r="NEQ229" s="15"/>
      <c r="NER229" s="15"/>
      <c r="NES229" s="15"/>
      <c r="NET229" s="15"/>
      <c r="NEU229" s="15"/>
      <c r="NEV229" s="10"/>
      <c r="NEW229" s="10"/>
      <c r="NEX229" s="21"/>
      <c r="NEY229" s="21"/>
      <c r="NFB229" s="21"/>
      <c r="NFC229" s="15"/>
      <c r="NFD229" s="15"/>
      <c r="NFE229" s="15"/>
      <c r="NFF229" s="15"/>
      <c r="NFG229" s="15"/>
      <c r="NFH229" s="15"/>
      <c r="NFI229" s="15"/>
      <c r="NFJ229" s="15"/>
      <c r="NFK229" s="15"/>
      <c r="NFL229" s="15"/>
      <c r="NFM229" s="10"/>
      <c r="NFN229" s="10"/>
      <c r="NFO229" s="21"/>
      <c r="NFP229" s="21"/>
      <c r="NFS229" s="21"/>
      <c r="NFT229" s="15"/>
      <c r="NFU229" s="15"/>
      <c r="NFV229" s="15"/>
      <c r="NFW229" s="15"/>
      <c r="NFX229" s="15"/>
      <c r="NFY229" s="15"/>
      <c r="NFZ229" s="15"/>
      <c r="NGA229" s="15"/>
      <c r="NGB229" s="15"/>
      <c r="NGC229" s="15"/>
      <c r="NGD229" s="10"/>
      <c r="NGE229" s="10"/>
      <c r="NGF229" s="21"/>
      <c r="NGG229" s="21"/>
      <c r="NGJ229" s="21"/>
      <c r="NGK229" s="15"/>
      <c r="NGL229" s="15"/>
      <c r="NGM229" s="15"/>
      <c r="NGN229" s="15"/>
      <c r="NGO229" s="15"/>
      <c r="NGP229" s="15"/>
      <c r="NGQ229" s="15"/>
      <c r="NGR229" s="15"/>
      <c r="NGS229" s="15"/>
      <c r="NGT229" s="15"/>
      <c r="NGU229" s="10"/>
      <c r="NGV229" s="10"/>
      <c r="NGW229" s="21"/>
      <c r="NGX229" s="21"/>
      <c r="NHA229" s="21"/>
      <c r="NHB229" s="15"/>
      <c r="NHC229" s="15"/>
      <c r="NHD229" s="15"/>
      <c r="NHE229" s="15"/>
      <c r="NHF229" s="15"/>
      <c r="NHG229" s="15"/>
      <c r="NHH229" s="15"/>
      <c r="NHI229" s="15"/>
      <c r="NHJ229" s="15"/>
      <c r="NHK229" s="15"/>
      <c r="NHL229" s="10"/>
      <c r="NHM229" s="10"/>
      <c r="NHN229" s="21"/>
      <c r="NHO229" s="21"/>
      <c r="NHR229" s="21"/>
      <c r="NHS229" s="15"/>
      <c r="NHT229" s="15"/>
      <c r="NHU229" s="15"/>
      <c r="NHV229" s="15"/>
      <c r="NHW229" s="15"/>
      <c r="NHX229" s="15"/>
      <c r="NHY229" s="15"/>
      <c r="NHZ229" s="15"/>
      <c r="NIA229" s="15"/>
      <c r="NIB229" s="15"/>
      <c r="NIC229" s="10"/>
      <c r="NID229" s="10"/>
      <c r="NIE229" s="21"/>
      <c r="NIF229" s="21"/>
      <c r="NII229" s="21"/>
      <c r="NIJ229" s="15"/>
      <c r="NIK229" s="15"/>
      <c r="NIL229" s="15"/>
      <c r="NIM229" s="15"/>
      <c r="NIN229" s="15"/>
      <c r="NIO229" s="15"/>
      <c r="NIP229" s="15"/>
      <c r="NIQ229" s="15"/>
      <c r="NIR229" s="15"/>
      <c r="NIS229" s="15"/>
      <c r="NIT229" s="10"/>
      <c r="NIU229" s="10"/>
      <c r="NIV229" s="21"/>
      <c r="NIW229" s="21"/>
      <c r="NIZ229" s="21"/>
      <c r="NJA229" s="15"/>
      <c r="NJB229" s="15"/>
      <c r="NJC229" s="15"/>
      <c r="NJD229" s="15"/>
      <c r="NJE229" s="15"/>
      <c r="NJF229" s="15"/>
      <c r="NJG229" s="15"/>
      <c r="NJH229" s="15"/>
      <c r="NJI229" s="15"/>
      <c r="NJJ229" s="15"/>
      <c r="NJK229" s="10"/>
      <c r="NJL229" s="10"/>
      <c r="NJM229" s="21"/>
      <c r="NJN229" s="21"/>
      <c r="NJQ229" s="21"/>
      <c r="NJR229" s="15"/>
      <c r="NJS229" s="15"/>
      <c r="NJT229" s="15"/>
      <c r="NJU229" s="15"/>
      <c r="NJV229" s="15"/>
      <c r="NJW229" s="15"/>
      <c r="NJX229" s="15"/>
      <c r="NJY229" s="15"/>
      <c r="NJZ229" s="15"/>
      <c r="NKA229" s="15"/>
      <c r="NKB229" s="10"/>
      <c r="NKC229" s="10"/>
      <c r="NKD229" s="21"/>
      <c r="NKE229" s="21"/>
      <c r="NKH229" s="21"/>
      <c r="NKI229" s="15"/>
      <c r="NKJ229" s="15"/>
      <c r="NKK229" s="15"/>
      <c r="NKL229" s="15"/>
      <c r="NKM229" s="15"/>
      <c r="NKN229" s="15"/>
      <c r="NKO229" s="15"/>
      <c r="NKP229" s="15"/>
      <c r="NKQ229" s="15"/>
      <c r="NKR229" s="15"/>
      <c r="NKS229" s="10"/>
      <c r="NKT229" s="10"/>
      <c r="NKU229" s="21"/>
      <c r="NKV229" s="21"/>
      <c r="NKY229" s="21"/>
      <c r="NKZ229" s="15"/>
      <c r="NLA229" s="15"/>
      <c r="NLB229" s="15"/>
      <c r="NLC229" s="15"/>
      <c r="NLD229" s="15"/>
      <c r="NLE229" s="15"/>
      <c r="NLF229" s="15"/>
      <c r="NLG229" s="15"/>
      <c r="NLH229" s="15"/>
      <c r="NLI229" s="15"/>
      <c r="NLJ229" s="10"/>
      <c r="NLK229" s="10"/>
      <c r="NLL229" s="21"/>
      <c r="NLM229" s="21"/>
      <c r="NLP229" s="21"/>
      <c r="NLQ229" s="15"/>
      <c r="NLR229" s="15"/>
      <c r="NLS229" s="15"/>
      <c r="NLT229" s="15"/>
      <c r="NLU229" s="15"/>
      <c r="NLV229" s="15"/>
      <c r="NLW229" s="15"/>
      <c r="NLX229" s="15"/>
      <c r="NLY229" s="15"/>
      <c r="NLZ229" s="15"/>
      <c r="NMA229" s="10"/>
      <c r="NMB229" s="10"/>
      <c r="NMC229" s="21"/>
      <c r="NMD229" s="21"/>
      <c r="NMG229" s="21"/>
      <c r="NMH229" s="15"/>
      <c r="NMI229" s="15"/>
      <c r="NMJ229" s="15"/>
      <c r="NMK229" s="15"/>
      <c r="NML229" s="15"/>
      <c r="NMM229" s="15"/>
      <c r="NMN229" s="15"/>
      <c r="NMO229" s="15"/>
      <c r="NMP229" s="15"/>
      <c r="NMQ229" s="15"/>
      <c r="NMR229" s="10"/>
      <c r="NMS229" s="10"/>
      <c r="NMT229" s="21"/>
      <c r="NMU229" s="21"/>
      <c r="NMX229" s="21"/>
      <c r="NMY229" s="15"/>
      <c r="NMZ229" s="15"/>
      <c r="NNA229" s="15"/>
      <c r="NNB229" s="15"/>
      <c r="NNC229" s="15"/>
      <c r="NND229" s="15"/>
      <c r="NNE229" s="15"/>
      <c r="NNF229" s="15"/>
      <c r="NNG229" s="15"/>
      <c r="NNH229" s="15"/>
      <c r="NNI229" s="10"/>
      <c r="NNJ229" s="10"/>
      <c r="NNK229" s="21"/>
      <c r="NNL229" s="21"/>
      <c r="NNO229" s="21"/>
      <c r="NNP229" s="15"/>
      <c r="NNQ229" s="15"/>
      <c r="NNR229" s="15"/>
      <c r="NNS229" s="15"/>
      <c r="NNT229" s="15"/>
      <c r="NNU229" s="15"/>
      <c r="NNV229" s="15"/>
      <c r="NNW229" s="15"/>
      <c r="NNX229" s="15"/>
      <c r="NNY229" s="15"/>
      <c r="NNZ229" s="10"/>
      <c r="NOA229" s="10"/>
      <c r="NOB229" s="21"/>
      <c r="NOC229" s="21"/>
      <c r="NOF229" s="21"/>
      <c r="NOG229" s="15"/>
      <c r="NOH229" s="15"/>
      <c r="NOI229" s="15"/>
      <c r="NOJ229" s="15"/>
      <c r="NOK229" s="15"/>
      <c r="NOL229" s="15"/>
      <c r="NOM229" s="15"/>
      <c r="NON229" s="15"/>
      <c r="NOO229" s="15"/>
      <c r="NOP229" s="15"/>
      <c r="NOQ229" s="10"/>
      <c r="NOR229" s="10"/>
      <c r="NOS229" s="21"/>
      <c r="NOT229" s="21"/>
      <c r="NOW229" s="21"/>
      <c r="NOX229" s="15"/>
      <c r="NOY229" s="15"/>
      <c r="NOZ229" s="15"/>
      <c r="NPA229" s="15"/>
      <c r="NPB229" s="15"/>
      <c r="NPC229" s="15"/>
      <c r="NPD229" s="15"/>
      <c r="NPE229" s="15"/>
      <c r="NPF229" s="15"/>
      <c r="NPG229" s="15"/>
      <c r="NPH229" s="10"/>
      <c r="NPI229" s="10"/>
      <c r="NPJ229" s="21"/>
      <c r="NPK229" s="21"/>
      <c r="NPN229" s="21"/>
      <c r="NPO229" s="15"/>
      <c r="NPP229" s="15"/>
      <c r="NPQ229" s="15"/>
      <c r="NPR229" s="15"/>
      <c r="NPS229" s="15"/>
      <c r="NPT229" s="15"/>
      <c r="NPU229" s="15"/>
      <c r="NPV229" s="15"/>
      <c r="NPW229" s="15"/>
      <c r="NPX229" s="15"/>
      <c r="NPY229" s="10"/>
      <c r="NPZ229" s="10"/>
      <c r="NQA229" s="21"/>
      <c r="NQB229" s="21"/>
      <c r="NQE229" s="21"/>
      <c r="NQF229" s="15"/>
      <c r="NQG229" s="15"/>
      <c r="NQH229" s="15"/>
      <c r="NQI229" s="15"/>
      <c r="NQJ229" s="15"/>
      <c r="NQK229" s="15"/>
      <c r="NQL229" s="15"/>
      <c r="NQM229" s="15"/>
      <c r="NQN229" s="15"/>
      <c r="NQO229" s="15"/>
      <c r="NQP229" s="10"/>
      <c r="NQQ229" s="10"/>
      <c r="NQR229" s="21"/>
      <c r="NQS229" s="21"/>
      <c r="NQV229" s="21"/>
      <c r="NQW229" s="15"/>
      <c r="NQX229" s="15"/>
      <c r="NQY229" s="15"/>
      <c r="NQZ229" s="15"/>
      <c r="NRA229" s="15"/>
      <c r="NRB229" s="15"/>
      <c r="NRC229" s="15"/>
      <c r="NRD229" s="15"/>
      <c r="NRE229" s="15"/>
      <c r="NRF229" s="15"/>
      <c r="NRG229" s="10"/>
      <c r="NRH229" s="10"/>
      <c r="NRI229" s="21"/>
      <c r="NRJ229" s="21"/>
      <c r="NRM229" s="21"/>
      <c r="NRN229" s="15"/>
      <c r="NRO229" s="15"/>
      <c r="NRP229" s="15"/>
      <c r="NRQ229" s="15"/>
      <c r="NRR229" s="15"/>
      <c r="NRS229" s="15"/>
      <c r="NRT229" s="15"/>
      <c r="NRU229" s="15"/>
      <c r="NRV229" s="15"/>
      <c r="NRW229" s="15"/>
      <c r="NRX229" s="10"/>
      <c r="NRY229" s="10"/>
      <c r="NRZ229" s="21"/>
      <c r="NSA229" s="21"/>
      <c r="NSD229" s="21"/>
      <c r="NSE229" s="15"/>
      <c r="NSF229" s="15"/>
      <c r="NSG229" s="15"/>
      <c r="NSH229" s="15"/>
      <c r="NSI229" s="15"/>
      <c r="NSJ229" s="15"/>
      <c r="NSK229" s="15"/>
      <c r="NSL229" s="15"/>
      <c r="NSM229" s="15"/>
      <c r="NSN229" s="15"/>
      <c r="NSO229" s="10"/>
      <c r="NSP229" s="10"/>
      <c r="NSQ229" s="21"/>
      <c r="NSR229" s="21"/>
      <c r="NSU229" s="21"/>
      <c r="NSV229" s="15"/>
      <c r="NSW229" s="15"/>
      <c r="NSX229" s="15"/>
      <c r="NSY229" s="15"/>
      <c r="NSZ229" s="15"/>
      <c r="NTA229" s="15"/>
      <c r="NTB229" s="15"/>
      <c r="NTC229" s="15"/>
      <c r="NTD229" s="15"/>
      <c r="NTE229" s="15"/>
      <c r="NTF229" s="10"/>
      <c r="NTG229" s="10"/>
      <c r="NTH229" s="21"/>
      <c r="NTI229" s="21"/>
      <c r="NTL229" s="21"/>
      <c r="NTM229" s="15"/>
      <c r="NTN229" s="15"/>
      <c r="NTO229" s="15"/>
      <c r="NTP229" s="15"/>
      <c r="NTQ229" s="15"/>
      <c r="NTR229" s="15"/>
      <c r="NTS229" s="15"/>
      <c r="NTT229" s="15"/>
      <c r="NTU229" s="15"/>
      <c r="NTV229" s="15"/>
      <c r="NTW229" s="10"/>
      <c r="NTX229" s="10"/>
      <c r="NTY229" s="21"/>
      <c r="NTZ229" s="21"/>
      <c r="NUC229" s="21"/>
      <c r="NUD229" s="15"/>
      <c r="NUE229" s="15"/>
      <c r="NUF229" s="15"/>
      <c r="NUG229" s="15"/>
      <c r="NUH229" s="15"/>
      <c r="NUI229" s="15"/>
      <c r="NUJ229" s="15"/>
      <c r="NUK229" s="15"/>
      <c r="NUL229" s="15"/>
      <c r="NUM229" s="15"/>
      <c r="NUN229" s="10"/>
      <c r="NUO229" s="10"/>
      <c r="NUP229" s="21"/>
      <c r="NUQ229" s="21"/>
      <c r="NUT229" s="21"/>
      <c r="NUU229" s="15"/>
      <c r="NUV229" s="15"/>
      <c r="NUW229" s="15"/>
      <c r="NUX229" s="15"/>
      <c r="NUY229" s="15"/>
      <c r="NUZ229" s="15"/>
      <c r="NVA229" s="15"/>
      <c r="NVB229" s="15"/>
      <c r="NVC229" s="15"/>
      <c r="NVD229" s="15"/>
      <c r="NVE229" s="10"/>
      <c r="NVF229" s="10"/>
      <c r="NVG229" s="21"/>
      <c r="NVH229" s="21"/>
      <c r="NVK229" s="21"/>
      <c r="NVL229" s="15"/>
      <c r="NVM229" s="15"/>
      <c r="NVN229" s="15"/>
      <c r="NVO229" s="15"/>
      <c r="NVP229" s="15"/>
      <c r="NVQ229" s="15"/>
      <c r="NVR229" s="15"/>
      <c r="NVS229" s="15"/>
      <c r="NVT229" s="15"/>
      <c r="NVU229" s="15"/>
      <c r="NVV229" s="10"/>
      <c r="NVW229" s="10"/>
      <c r="NVX229" s="21"/>
      <c r="NVY229" s="21"/>
      <c r="NWB229" s="21"/>
      <c r="NWC229" s="15"/>
      <c r="NWD229" s="15"/>
      <c r="NWE229" s="15"/>
      <c r="NWF229" s="15"/>
      <c r="NWG229" s="15"/>
      <c r="NWH229" s="15"/>
      <c r="NWI229" s="15"/>
      <c r="NWJ229" s="15"/>
      <c r="NWK229" s="15"/>
      <c r="NWL229" s="15"/>
      <c r="NWM229" s="10"/>
      <c r="NWN229" s="10"/>
      <c r="NWO229" s="21"/>
      <c r="NWP229" s="21"/>
      <c r="NWS229" s="21"/>
      <c r="NWT229" s="15"/>
      <c r="NWU229" s="15"/>
      <c r="NWV229" s="15"/>
      <c r="NWW229" s="15"/>
      <c r="NWX229" s="15"/>
      <c r="NWY229" s="15"/>
      <c r="NWZ229" s="15"/>
      <c r="NXA229" s="15"/>
      <c r="NXB229" s="15"/>
      <c r="NXC229" s="15"/>
      <c r="NXD229" s="10"/>
      <c r="NXE229" s="10"/>
      <c r="NXF229" s="21"/>
      <c r="NXG229" s="21"/>
      <c r="NXJ229" s="21"/>
      <c r="NXK229" s="15"/>
      <c r="NXL229" s="15"/>
      <c r="NXM229" s="15"/>
      <c r="NXN229" s="15"/>
      <c r="NXO229" s="15"/>
      <c r="NXP229" s="15"/>
      <c r="NXQ229" s="15"/>
      <c r="NXR229" s="15"/>
      <c r="NXS229" s="15"/>
      <c r="NXT229" s="15"/>
      <c r="NXU229" s="10"/>
      <c r="NXV229" s="10"/>
      <c r="NXW229" s="21"/>
      <c r="NXX229" s="21"/>
      <c r="NYA229" s="21"/>
      <c r="NYB229" s="15"/>
      <c r="NYC229" s="15"/>
      <c r="NYD229" s="15"/>
      <c r="NYE229" s="15"/>
      <c r="NYF229" s="15"/>
      <c r="NYG229" s="15"/>
      <c r="NYH229" s="15"/>
      <c r="NYI229" s="15"/>
      <c r="NYJ229" s="15"/>
      <c r="NYK229" s="15"/>
      <c r="NYL229" s="10"/>
      <c r="NYM229" s="10"/>
      <c r="NYN229" s="21"/>
      <c r="NYO229" s="21"/>
      <c r="NYR229" s="21"/>
      <c r="NYS229" s="15"/>
      <c r="NYT229" s="15"/>
      <c r="NYU229" s="15"/>
      <c r="NYV229" s="15"/>
      <c r="NYW229" s="15"/>
      <c r="NYX229" s="15"/>
      <c r="NYY229" s="15"/>
      <c r="NYZ229" s="15"/>
      <c r="NZA229" s="15"/>
      <c r="NZB229" s="15"/>
      <c r="NZC229" s="10"/>
      <c r="NZD229" s="10"/>
      <c r="NZE229" s="21"/>
      <c r="NZF229" s="21"/>
      <c r="NZI229" s="21"/>
      <c r="NZJ229" s="15"/>
      <c r="NZK229" s="15"/>
      <c r="NZL229" s="15"/>
      <c r="NZM229" s="15"/>
      <c r="NZN229" s="15"/>
      <c r="NZO229" s="15"/>
      <c r="NZP229" s="15"/>
      <c r="NZQ229" s="15"/>
      <c r="NZR229" s="15"/>
      <c r="NZS229" s="15"/>
      <c r="NZT229" s="10"/>
      <c r="NZU229" s="10"/>
      <c r="NZV229" s="21"/>
      <c r="NZW229" s="21"/>
      <c r="NZZ229" s="21"/>
      <c r="OAA229" s="15"/>
      <c r="OAB229" s="15"/>
      <c r="OAC229" s="15"/>
      <c r="OAD229" s="15"/>
      <c r="OAE229" s="15"/>
      <c r="OAF229" s="15"/>
      <c r="OAG229" s="15"/>
      <c r="OAH229" s="15"/>
      <c r="OAI229" s="15"/>
      <c r="OAJ229" s="15"/>
      <c r="OAK229" s="10"/>
      <c r="OAL229" s="10"/>
      <c r="OAM229" s="21"/>
      <c r="OAN229" s="21"/>
      <c r="OAQ229" s="21"/>
      <c r="OAR229" s="15"/>
      <c r="OAS229" s="15"/>
      <c r="OAT229" s="15"/>
      <c r="OAU229" s="15"/>
      <c r="OAV229" s="15"/>
      <c r="OAW229" s="15"/>
      <c r="OAX229" s="15"/>
      <c r="OAY229" s="15"/>
      <c r="OAZ229" s="15"/>
      <c r="OBA229" s="15"/>
      <c r="OBB229" s="10"/>
      <c r="OBC229" s="10"/>
      <c r="OBD229" s="21"/>
      <c r="OBE229" s="21"/>
      <c r="OBH229" s="21"/>
      <c r="OBI229" s="15"/>
      <c r="OBJ229" s="15"/>
      <c r="OBK229" s="15"/>
      <c r="OBL229" s="15"/>
      <c r="OBM229" s="15"/>
      <c r="OBN229" s="15"/>
      <c r="OBO229" s="15"/>
      <c r="OBP229" s="15"/>
      <c r="OBQ229" s="15"/>
      <c r="OBR229" s="15"/>
      <c r="OBS229" s="10"/>
      <c r="OBT229" s="10"/>
      <c r="OBU229" s="21"/>
      <c r="OBV229" s="21"/>
      <c r="OBY229" s="21"/>
      <c r="OBZ229" s="15"/>
      <c r="OCA229" s="15"/>
      <c r="OCB229" s="15"/>
      <c r="OCC229" s="15"/>
      <c r="OCD229" s="15"/>
      <c r="OCE229" s="15"/>
      <c r="OCF229" s="15"/>
      <c r="OCG229" s="15"/>
      <c r="OCH229" s="15"/>
      <c r="OCI229" s="15"/>
      <c r="OCJ229" s="10"/>
      <c r="OCK229" s="10"/>
      <c r="OCL229" s="21"/>
      <c r="OCM229" s="21"/>
      <c r="OCP229" s="21"/>
      <c r="OCQ229" s="15"/>
      <c r="OCR229" s="15"/>
      <c r="OCS229" s="15"/>
      <c r="OCT229" s="15"/>
      <c r="OCU229" s="15"/>
      <c r="OCV229" s="15"/>
      <c r="OCW229" s="15"/>
      <c r="OCX229" s="15"/>
      <c r="OCY229" s="15"/>
      <c r="OCZ229" s="15"/>
      <c r="ODA229" s="10"/>
      <c r="ODB229" s="10"/>
      <c r="ODC229" s="21"/>
      <c r="ODD229" s="21"/>
      <c r="ODG229" s="21"/>
      <c r="ODH229" s="15"/>
      <c r="ODI229" s="15"/>
      <c r="ODJ229" s="15"/>
      <c r="ODK229" s="15"/>
      <c r="ODL229" s="15"/>
      <c r="ODM229" s="15"/>
      <c r="ODN229" s="15"/>
      <c r="ODO229" s="15"/>
      <c r="ODP229" s="15"/>
      <c r="ODQ229" s="15"/>
      <c r="ODR229" s="10"/>
      <c r="ODS229" s="10"/>
      <c r="ODT229" s="21"/>
      <c r="ODU229" s="21"/>
      <c r="ODX229" s="21"/>
      <c r="ODY229" s="15"/>
      <c r="ODZ229" s="15"/>
      <c r="OEA229" s="15"/>
      <c r="OEB229" s="15"/>
      <c r="OEC229" s="15"/>
      <c r="OED229" s="15"/>
      <c r="OEE229" s="15"/>
      <c r="OEF229" s="15"/>
      <c r="OEG229" s="15"/>
      <c r="OEH229" s="15"/>
      <c r="OEI229" s="10"/>
      <c r="OEJ229" s="10"/>
      <c r="OEK229" s="21"/>
      <c r="OEL229" s="21"/>
      <c r="OEO229" s="21"/>
      <c r="OEP229" s="15"/>
      <c r="OEQ229" s="15"/>
      <c r="OER229" s="15"/>
      <c r="OES229" s="15"/>
      <c r="OET229" s="15"/>
      <c r="OEU229" s="15"/>
      <c r="OEV229" s="15"/>
      <c r="OEW229" s="15"/>
      <c r="OEX229" s="15"/>
      <c r="OEY229" s="15"/>
      <c r="OEZ229" s="10"/>
      <c r="OFA229" s="10"/>
      <c r="OFB229" s="21"/>
      <c r="OFC229" s="21"/>
      <c r="OFF229" s="21"/>
      <c r="OFG229" s="15"/>
      <c r="OFH229" s="15"/>
      <c r="OFI229" s="15"/>
      <c r="OFJ229" s="15"/>
      <c r="OFK229" s="15"/>
      <c r="OFL229" s="15"/>
      <c r="OFM229" s="15"/>
      <c r="OFN229" s="15"/>
      <c r="OFO229" s="15"/>
      <c r="OFP229" s="15"/>
      <c r="OFQ229" s="10"/>
      <c r="OFR229" s="10"/>
      <c r="OFS229" s="21"/>
      <c r="OFT229" s="21"/>
      <c r="OFW229" s="21"/>
      <c r="OFX229" s="15"/>
      <c r="OFY229" s="15"/>
      <c r="OFZ229" s="15"/>
      <c r="OGA229" s="15"/>
      <c r="OGB229" s="15"/>
      <c r="OGC229" s="15"/>
      <c r="OGD229" s="15"/>
      <c r="OGE229" s="15"/>
      <c r="OGF229" s="15"/>
      <c r="OGG229" s="15"/>
      <c r="OGH229" s="10"/>
      <c r="OGI229" s="10"/>
      <c r="OGJ229" s="21"/>
      <c r="OGK229" s="21"/>
      <c r="OGN229" s="21"/>
      <c r="OGO229" s="15"/>
      <c r="OGP229" s="15"/>
      <c r="OGQ229" s="15"/>
      <c r="OGR229" s="15"/>
      <c r="OGS229" s="15"/>
      <c r="OGT229" s="15"/>
      <c r="OGU229" s="15"/>
      <c r="OGV229" s="15"/>
      <c r="OGW229" s="15"/>
      <c r="OGX229" s="15"/>
      <c r="OGY229" s="10"/>
      <c r="OGZ229" s="10"/>
      <c r="OHA229" s="21"/>
      <c r="OHB229" s="21"/>
      <c r="OHE229" s="21"/>
      <c r="OHF229" s="15"/>
      <c r="OHG229" s="15"/>
      <c r="OHH229" s="15"/>
      <c r="OHI229" s="15"/>
      <c r="OHJ229" s="15"/>
      <c r="OHK229" s="15"/>
      <c r="OHL229" s="15"/>
      <c r="OHM229" s="15"/>
      <c r="OHN229" s="15"/>
      <c r="OHO229" s="15"/>
      <c r="OHP229" s="10"/>
      <c r="OHQ229" s="10"/>
      <c r="OHR229" s="21"/>
      <c r="OHS229" s="21"/>
      <c r="OHV229" s="21"/>
      <c r="OHW229" s="15"/>
      <c r="OHX229" s="15"/>
      <c r="OHY229" s="15"/>
      <c r="OHZ229" s="15"/>
      <c r="OIA229" s="15"/>
      <c r="OIB229" s="15"/>
      <c r="OIC229" s="15"/>
      <c r="OID229" s="15"/>
      <c r="OIE229" s="15"/>
      <c r="OIF229" s="15"/>
      <c r="OIG229" s="10"/>
      <c r="OIH229" s="10"/>
      <c r="OII229" s="21"/>
      <c r="OIJ229" s="21"/>
      <c r="OIM229" s="21"/>
      <c r="OIN229" s="15"/>
      <c r="OIO229" s="15"/>
      <c r="OIP229" s="15"/>
      <c r="OIQ229" s="15"/>
      <c r="OIR229" s="15"/>
      <c r="OIS229" s="15"/>
      <c r="OIT229" s="15"/>
      <c r="OIU229" s="15"/>
      <c r="OIV229" s="15"/>
      <c r="OIW229" s="15"/>
      <c r="OIX229" s="10"/>
      <c r="OIY229" s="10"/>
      <c r="OIZ229" s="21"/>
      <c r="OJA229" s="21"/>
      <c r="OJD229" s="21"/>
      <c r="OJE229" s="15"/>
      <c r="OJF229" s="15"/>
      <c r="OJG229" s="15"/>
      <c r="OJH229" s="15"/>
      <c r="OJI229" s="15"/>
      <c r="OJJ229" s="15"/>
      <c r="OJK229" s="15"/>
      <c r="OJL229" s="15"/>
      <c r="OJM229" s="15"/>
      <c r="OJN229" s="15"/>
      <c r="OJO229" s="10"/>
      <c r="OJP229" s="10"/>
      <c r="OJQ229" s="21"/>
      <c r="OJR229" s="21"/>
      <c r="OJU229" s="21"/>
      <c r="OJV229" s="15"/>
      <c r="OJW229" s="15"/>
      <c r="OJX229" s="15"/>
      <c r="OJY229" s="15"/>
      <c r="OJZ229" s="15"/>
      <c r="OKA229" s="15"/>
      <c r="OKB229" s="15"/>
      <c r="OKC229" s="15"/>
      <c r="OKD229" s="15"/>
      <c r="OKE229" s="15"/>
      <c r="OKF229" s="10"/>
      <c r="OKG229" s="10"/>
      <c r="OKH229" s="21"/>
      <c r="OKI229" s="21"/>
      <c r="OKL229" s="21"/>
      <c r="OKM229" s="15"/>
      <c r="OKN229" s="15"/>
      <c r="OKO229" s="15"/>
      <c r="OKP229" s="15"/>
      <c r="OKQ229" s="15"/>
      <c r="OKR229" s="15"/>
      <c r="OKS229" s="15"/>
      <c r="OKT229" s="15"/>
      <c r="OKU229" s="15"/>
      <c r="OKV229" s="15"/>
      <c r="OKW229" s="10"/>
      <c r="OKX229" s="10"/>
      <c r="OKY229" s="21"/>
      <c r="OKZ229" s="21"/>
      <c r="OLC229" s="21"/>
      <c r="OLD229" s="15"/>
      <c r="OLE229" s="15"/>
      <c r="OLF229" s="15"/>
      <c r="OLG229" s="15"/>
      <c r="OLH229" s="15"/>
      <c r="OLI229" s="15"/>
      <c r="OLJ229" s="15"/>
      <c r="OLK229" s="15"/>
      <c r="OLL229" s="15"/>
      <c r="OLM229" s="15"/>
      <c r="OLN229" s="10"/>
      <c r="OLO229" s="10"/>
      <c r="OLP229" s="21"/>
      <c r="OLQ229" s="21"/>
      <c r="OLT229" s="21"/>
      <c r="OLU229" s="15"/>
      <c r="OLV229" s="15"/>
      <c r="OLW229" s="15"/>
      <c r="OLX229" s="15"/>
      <c r="OLY229" s="15"/>
      <c r="OLZ229" s="15"/>
      <c r="OMA229" s="15"/>
      <c r="OMB229" s="15"/>
      <c r="OMC229" s="15"/>
      <c r="OMD229" s="15"/>
      <c r="OME229" s="10"/>
      <c r="OMF229" s="10"/>
      <c r="OMG229" s="21"/>
      <c r="OMH229" s="21"/>
      <c r="OMK229" s="21"/>
      <c r="OML229" s="15"/>
      <c r="OMM229" s="15"/>
      <c r="OMN229" s="15"/>
      <c r="OMO229" s="15"/>
      <c r="OMP229" s="15"/>
      <c r="OMQ229" s="15"/>
      <c r="OMR229" s="15"/>
      <c r="OMS229" s="15"/>
      <c r="OMT229" s="15"/>
      <c r="OMU229" s="15"/>
      <c r="OMV229" s="10"/>
      <c r="OMW229" s="10"/>
      <c r="OMX229" s="21"/>
      <c r="OMY229" s="21"/>
      <c r="ONB229" s="21"/>
      <c r="ONC229" s="15"/>
      <c r="OND229" s="15"/>
      <c r="ONE229" s="15"/>
      <c r="ONF229" s="15"/>
      <c r="ONG229" s="15"/>
      <c r="ONH229" s="15"/>
      <c r="ONI229" s="15"/>
      <c r="ONJ229" s="15"/>
      <c r="ONK229" s="15"/>
      <c r="ONL229" s="15"/>
      <c r="ONM229" s="10"/>
      <c r="ONN229" s="10"/>
      <c r="ONO229" s="21"/>
      <c r="ONP229" s="21"/>
      <c r="ONS229" s="21"/>
      <c r="ONT229" s="15"/>
      <c r="ONU229" s="15"/>
      <c r="ONV229" s="15"/>
      <c r="ONW229" s="15"/>
      <c r="ONX229" s="15"/>
      <c r="ONY229" s="15"/>
      <c r="ONZ229" s="15"/>
      <c r="OOA229" s="15"/>
      <c r="OOB229" s="15"/>
      <c r="OOC229" s="15"/>
      <c r="OOD229" s="10"/>
      <c r="OOE229" s="10"/>
      <c r="OOF229" s="21"/>
      <c r="OOG229" s="21"/>
      <c r="OOJ229" s="21"/>
      <c r="OOK229" s="15"/>
      <c r="OOL229" s="15"/>
      <c r="OOM229" s="15"/>
      <c r="OON229" s="15"/>
      <c r="OOO229" s="15"/>
      <c r="OOP229" s="15"/>
      <c r="OOQ229" s="15"/>
      <c r="OOR229" s="15"/>
      <c r="OOS229" s="15"/>
      <c r="OOT229" s="15"/>
      <c r="OOU229" s="10"/>
      <c r="OOV229" s="10"/>
      <c r="OOW229" s="21"/>
      <c r="OOX229" s="21"/>
      <c r="OPA229" s="21"/>
      <c r="OPB229" s="15"/>
      <c r="OPC229" s="15"/>
      <c r="OPD229" s="15"/>
      <c r="OPE229" s="15"/>
      <c r="OPF229" s="15"/>
      <c r="OPG229" s="15"/>
      <c r="OPH229" s="15"/>
      <c r="OPI229" s="15"/>
      <c r="OPJ229" s="15"/>
      <c r="OPK229" s="15"/>
      <c r="OPL229" s="10"/>
      <c r="OPM229" s="10"/>
      <c r="OPN229" s="21"/>
      <c r="OPO229" s="21"/>
      <c r="OPR229" s="21"/>
      <c r="OPS229" s="15"/>
      <c r="OPT229" s="15"/>
      <c r="OPU229" s="15"/>
      <c r="OPV229" s="15"/>
      <c r="OPW229" s="15"/>
      <c r="OPX229" s="15"/>
      <c r="OPY229" s="15"/>
      <c r="OPZ229" s="15"/>
      <c r="OQA229" s="15"/>
      <c r="OQB229" s="15"/>
      <c r="OQC229" s="10"/>
      <c r="OQD229" s="10"/>
      <c r="OQE229" s="21"/>
      <c r="OQF229" s="21"/>
      <c r="OQI229" s="21"/>
      <c r="OQJ229" s="15"/>
      <c r="OQK229" s="15"/>
      <c r="OQL229" s="15"/>
      <c r="OQM229" s="15"/>
      <c r="OQN229" s="15"/>
      <c r="OQO229" s="15"/>
      <c r="OQP229" s="15"/>
      <c r="OQQ229" s="15"/>
      <c r="OQR229" s="15"/>
      <c r="OQS229" s="15"/>
      <c r="OQT229" s="10"/>
      <c r="OQU229" s="10"/>
      <c r="OQV229" s="21"/>
      <c r="OQW229" s="21"/>
      <c r="OQZ229" s="21"/>
      <c r="ORA229" s="15"/>
      <c r="ORB229" s="15"/>
      <c r="ORC229" s="15"/>
      <c r="ORD229" s="15"/>
      <c r="ORE229" s="15"/>
      <c r="ORF229" s="15"/>
      <c r="ORG229" s="15"/>
      <c r="ORH229" s="15"/>
      <c r="ORI229" s="15"/>
      <c r="ORJ229" s="15"/>
      <c r="ORK229" s="10"/>
      <c r="ORL229" s="10"/>
      <c r="ORM229" s="21"/>
      <c r="ORN229" s="21"/>
      <c r="ORQ229" s="21"/>
      <c r="ORR229" s="15"/>
      <c r="ORS229" s="15"/>
      <c r="ORT229" s="15"/>
      <c r="ORU229" s="15"/>
      <c r="ORV229" s="15"/>
      <c r="ORW229" s="15"/>
      <c r="ORX229" s="15"/>
      <c r="ORY229" s="15"/>
      <c r="ORZ229" s="15"/>
      <c r="OSA229" s="15"/>
      <c r="OSB229" s="10"/>
      <c r="OSC229" s="10"/>
      <c r="OSD229" s="21"/>
      <c r="OSE229" s="21"/>
      <c r="OSH229" s="21"/>
      <c r="OSI229" s="15"/>
      <c r="OSJ229" s="15"/>
      <c r="OSK229" s="15"/>
      <c r="OSL229" s="15"/>
      <c r="OSM229" s="15"/>
      <c r="OSN229" s="15"/>
      <c r="OSO229" s="15"/>
      <c r="OSP229" s="15"/>
      <c r="OSQ229" s="15"/>
      <c r="OSR229" s="15"/>
      <c r="OSS229" s="10"/>
      <c r="OST229" s="10"/>
      <c r="OSU229" s="21"/>
      <c r="OSV229" s="21"/>
      <c r="OSY229" s="21"/>
      <c r="OSZ229" s="15"/>
      <c r="OTA229" s="15"/>
      <c r="OTB229" s="15"/>
      <c r="OTC229" s="15"/>
      <c r="OTD229" s="15"/>
      <c r="OTE229" s="15"/>
      <c r="OTF229" s="15"/>
      <c r="OTG229" s="15"/>
      <c r="OTH229" s="15"/>
      <c r="OTI229" s="15"/>
      <c r="OTJ229" s="10"/>
      <c r="OTK229" s="10"/>
      <c r="OTL229" s="21"/>
      <c r="OTM229" s="21"/>
      <c r="OTP229" s="21"/>
      <c r="OTQ229" s="15"/>
      <c r="OTR229" s="15"/>
      <c r="OTS229" s="15"/>
      <c r="OTT229" s="15"/>
      <c r="OTU229" s="15"/>
      <c r="OTV229" s="15"/>
      <c r="OTW229" s="15"/>
      <c r="OTX229" s="15"/>
      <c r="OTY229" s="15"/>
      <c r="OTZ229" s="15"/>
      <c r="OUA229" s="10"/>
      <c r="OUB229" s="10"/>
      <c r="OUC229" s="21"/>
      <c r="OUD229" s="21"/>
      <c r="OUG229" s="21"/>
      <c r="OUH229" s="15"/>
      <c r="OUI229" s="15"/>
      <c r="OUJ229" s="15"/>
      <c r="OUK229" s="15"/>
      <c r="OUL229" s="15"/>
      <c r="OUM229" s="15"/>
      <c r="OUN229" s="15"/>
      <c r="OUO229" s="15"/>
      <c r="OUP229" s="15"/>
      <c r="OUQ229" s="15"/>
      <c r="OUR229" s="10"/>
      <c r="OUS229" s="10"/>
      <c r="OUT229" s="21"/>
      <c r="OUU229" s="21"/>
      <c r="OUX229" s="21"/>
      <c r="OUY229" s="15"/>
      <c r="OUZ229" s="15"/>
      <c r="OVA229" s="15"/>
      <c r="OVB229" s="15"/>
      <c r="OVC229" s="15"/>
      <c r="OVD229" s="15"/>
      <c r="OVE229" s="15"/>
      <c r="OVF229" s="15"/>
      <c r="OVG229" s="15"/>
      <c r="OVH229" s="15"/>
      <c r="OVI229" s="10"/>
      <c r="OVJ229" s="10"/>
      <c r="OVK229" s="21"/>
      <c r="OVL229" s="21"/>
      <c r="OVO229" s="21"/>
      <c r="OVP229" s="15"/>
      <c r="OVQ229" s="15"/>
      <c r="OVR229" s="15"/>
      <c r="OVS229" s="15"/>
      <c r="OVT229" s="15"/>
      <c r="OVU229" s="15"/>
      <c r="OVV229" s="15"/>
      <c r="OVW229" s="15"/>
      <c r="OVX229" s="15"/>
      <c r="OVY229" s="15"/>
      <c r="OVZ229" s="10"/>
      <c r="OWA229" s="10"/>
      <c r="OWB229" s="21"/>
      <c r="OWC229" s="21"/>
      <c r="OWF229" s="21"/>
      <c r="OWG229" s="15"/>
      <c r="OWH229" s="15"/>
      <c r="OWI229" s="15"/>
      <c r="OWJ229" s="15"/>
      <c r="OWK229" s="15"/>
      <c r="OWL229" s="15"/>
      <c r="OWM229" s="15"/>
      <c r="OWN229" s="15"/>
      <c r="OWO229" s="15"/>
      <c r="OWP229" s="15"/>
      <c r="OWQ229" s="10"/>
      <c r="OWR229" s="10"/>
      <c r="OWS229" s="21"/>
      <c r="OWT229" s="21"/>
      <c r="OWW229" s="21"/>
      <c r="OWX229" s="15"/>
      <c r="OWY229" s="15"/>
      <c r="OWZ229" s="15"/>
      <c r="OXA229" s="15"/>
      <c r="OXB229" s="15"/>
      <c r="OXC229" s="15"/>
      <c r="OXD229" s="15"/>
      <c r="OXE229" s="15"/>
      <c r="OXF229" s="15"/>
      <c r="OXG229" s="15"/>
      <c r="OXH229" s="10"/>
      <c r="OXI229" s="10"/>
      <c r="OXJ229" s="21"/>
      <c r="OXK229" s="21"/>
      <c r="OXN229" s="21"/>
      <c r="OXO229" s="15"/>
      <c r="OXP229" s="15"/>
      <c r="OXQ229" s="15"/>
      <c r="OXR229" s="15"/>
      <c r="OXS229" s="15"/>
      <c r="OXT229" s="15"/>
      <c r="OXU229" s="15"/>
      <c r="OXV229" s="15"/>
      <c r="OXW229" s="15"/>
      <c r="OXX229" s="15"/>
      <c r="OXY229" s="10"/>
      <c r="OXZ229" s="10"/>
      <c r="OYA229" s="21"/>
      <c r="OYB229" s="21"/>
      <c r="OYE229" s="21"/>
      <c r="OYF229" s="15"/>
      <c r="OYG229" s="15"/>
      <c r="OYH229" s="15"/>
      <c r="OYI229" s="15"/>
      <c r="OYJ229" s="15"/>
      <c r="OYK229" s="15"/>
      <c r="OYL229" s="15"/>
      <c r="OYM229" s="15"/>
      <c r="OYN229" s="15"/>
      <c r="OYO229" s="15"/>
      <c r="OYP229" s="10"/>
      <c r="OYQ229" s="10"/>
      <c r="OYR229" s="21"/>
      <c r="OYS229" s="21"/>
      <c r="OYV229" s="21"/>
      <c r="OYW229" s="15"/>
      <c r="OYX229" s="15"/>
      <c r="OYY229" s="15"/>
      <c r="OYZ229" s="15"/>
      <c r="OZA229" s="15"/>
      <c r="OZB229" s="15"/>
      <c r="OZC229" s="15"/>
      <c r="OZD229" s="15"/>
      <c r="OZE229" s="15"/>
      <c r="OZF229" s="15"/>
      <c r="OZG229" s="10"/>
      <c r="OZH229" s="10"/>
      <c r="OZI229" s="21"/>
      <c r="OZJ229" s="21"/>
      <c r="OZM229" s="21"/>
      <c r="OZN229" s="15"/>
      <c r="OZO229" s="15"/>
      <c r="OZP229" s="15"/>
      <c r="OZQ229" s="15"/>
      <c r="OZR229" s="15"/>
      <c r="OZS229" s="15"/>
      <c r="OZT229" s="15"/>
      <c r="OZU229" s="15"/>
      <c r="OZV229" s="15"/>
      <c r="OZW229" s="15"/>
      <c r="OZX229" s="10"/>
      <c r="OZY229" s="10"/>
      <c r="OZZ229" s="21"/>
      <c r="PAA229" s="21"/>
      <c r="PAD229" s="21"/>
      <c r="PAE229" s="15"/>
      <c r="PAF229" s="15"/>
      <c r="PAG229" s="15"/>
      <c r="PAH229" s="15"/>
      <c r="PAI229" s="15"/>
      <c r="PAJ229" s="15"/>
      <c r="PAK229" s="15"/>
      <c r="PAL229" s="15"/>
      <c r="PAM229" s="15"/>
      <c r="PAN229" s="15"/>
      <c r="PAO229" s="10"/>
      <c r="PAP229" s="10"/>
      <c r="PAQ229" s="21"/>
      <c r="PAR229" s="21"/>
      <c r="PAU229" s="21"/>
      <c r="PAV229" s="15"/>
      <c r="PAW229" s="15"/>
      <c r="PAX229" s="15"/>
      <c r="PAY229" s="15"/>
      <c r="PAZ229" s="15"/>
      <c r="PBA229" s="15"/>
      <c r="PBB229" s="15"/>
      <c r="PBC229" s="15"/>
      <c r="PBD229" s="15"/>
      <c r="PBE229" s="15"/>
      <c r="PBF229" s="10"/>
      <c r="PBG229" s="10"/>
      <c r="PBH229" s="21"/>
      <c r="PBI229" s="21"/>
      <c r="PBL229" s="21"/>
      <c r="PBM229" s="15"/>
      <c r="PBN229" s="15"/>
      <c r="PBO229" s="15"/>
      <c r="PBP229" s="15"/>
      <c r="PBQ229" s="15"/>
      <c r="PBR229" s="15"/>
      <c r="PBS229" s="15"/>
      <c r="PBT229" s="15"/>
      <c r="PBU229" s="15"/>
      <c r="PBV229" s="15"/>
      <c r="PBW229" s="10"/>
      <c r="PBX229" s="10"/>
      <c r="PBY229" s="21"/>
      <c r="PBZ229" s="21"/>
      <c r="PCC229" s="21"/>
      <c r="PCD229" s="15"/>
      <c r="PCE229" s="15"/>
      <c r="PCF229" s="15"/>
      <c r="PCG229" s="15"/>
      <c r="PCH229" s="15"/>
      <c r="PCI229" s="15"/>
      <c r="PCJ229" s="15"/>
      <c r="PCK229" s="15"/>
      <c r="PCL229" s="15"/>
      <c r="PCM229" s="15"/>
      <c r="PCN229" s="10"/>
      <c r="PCO229" s="10"/>
      <c r="PCP229" s="21"/>
      <c r="PCQ229" s="21"/>
      <c r="PCT229" s="21"/>
      <c r="PCU229" s="15"/>
      <c r="PCV229" s="15"/>
      <c r="PCW229" s="15"/>
      <c r="PCX229" s="15"/>
      <c r="PCY229" s="15"/>
      <c r="PCZ229" s="15"/>
      <c r="PDA229" s="15"/>
      <c r="PDB229" s="15"/>
      <c r="PDC229" s="15"/>
      <c r="PDD229" s="15"/>
      <c r="PDE229" s="10"/>
      <c r="PDF229" s="10"/>
      <c r="PDG229" s="21"/>
      <c r="PDH229" s="21"/>
      <c r="PDK229" s="21"/>
      <c r="PDL229" s="15"/>
      <c r="PDM229" s="15"/>
      <c r="PDN229" s="15"/>
      <c r="PDO229" s="15"/>
      <c r="PDP229" s="15"/>
      <c r="PDQ229" s="15"/>
      <c r="PDR229" s="15"/>
      <c r="PDS229" s="15"/>
      <c r="PDT229" s="15"/>
      <c r="PDU229" s="15"/>
      <c r="PDV229" s="10"/>
      <c r="PDW229" s="10"/>
      <c r="PDX229" s="21"/>
      <c r="PDY229" s="21"/>
      <c r="PEB229" s="21"/>
      <c r="PEC229" s="15"/>
      <c r="PED229" s="15"/>
      <c r="PEE229" s="15"/>
      <c r="PEF229" s="15"/>
      <c r="PEG229" s="15"/>
      <c r="PEH229" s="15"/>
      <c r="PEI229" s="15"/>
      <c r="PEJ229" s="15"/>
      <c r="PEK229" s="15"/>
      <c r="PEL229" s="15"/>
      <c r="PEM229" s="10"/>
      <c r="PEN229" s="10"/>
      <c r="PEO229" s="21"/>
      <c r="PEP229" s="21"/>
      <c r="PES229" s="21"/>
      <c r="PET229" s="15"/>
      <c r="PEU229" s="15"/>
      <c r="PEV229" s="15"/>
      <c r="PEW229" s="15"/>
      <c r="PEX229" s="15"/>
      <c r="PEY229" s="15"/>
      <c r="PEZ229" s="15"/>
      <c r="PFA229" s="15"/>
      <c r="PFB229" s="15"/>
      <c r="PFC229" s="15"/>
      <c r="PFD229" s="10"/>
      <c r="PFE229" s="10"/>
      <c r="PFF229" s="21"/>
      <c r="PFG229" s="21"/>
      <c r="PFJ229" s="21"/>
      <c r="PFK229" s="15"/>
      <c r="PFL229" s="15"/>
      <c r="PFM229" s="15"/>
      <c r="PFN229" s="15"/>
      <c r="PFO229" s="15"/>
      <c r="PFP229" s="15"/>
      <c r="PFQ229" s="15"/>
      <c r="PFR229" s="15"/>
      <c r="PFS229" s="15"/>
      <c r="PFT229" s="15"/>
      <c r="PFU229" s="10"/>
      <c r="PFV229" s="10"/>
      <c r="PFW229" s="21"/>
      <c r="PFX229" s="21"/>
      <c r="PGA229" s="21"/>
      <c r="PGB229" s="15"/>
      <c r="PGC229" s="15"/>
      <c r="PGD229" s="15"/>
      <c r="PGE229" s="15"/>
      <c r="PGF229" s="15"/>
      <c r="PGG229" s="15"/>
      <c r="PGH229" s="15"/>
      <c r="PGI229" s="15"/>
      <c r="PGJ229" s="15"/>
      <c r="PGK229" s="15"/>
      <c r="PGL229" s="10"/>
      <c r="PGM229" s="10"/>
      <c r="PGN229" s="21"/>
      <c r="PGO229" s="21"/>
      <c r="PGR229" s="21"/>
      <c r="PGS229" s="15"/>
      <c r="PGT229" s="15"/>
      <c r="PGU229" s="15"/>
      <c r="PGV229" s="15"/>
      <c r="PGW229" s="15"/>
      <c r="PGX229" s="15"/>
      <c r="PGY229" s="15"/>
      <c r="PGZ229" s="15"/>
      <c r="PHA229" s="15"/>
      <c r="PHB229" s="15"/>
      <c r="PHC229" s="10"/>
      <c r="PHD229" s="10"/>
      <c r="PHE229" s="21"/>
      <c r="PHF229" s="21"/>
      <c r="PHI229" s="21"/>
      <c r="PHJ229" s="15"/>
      <c r="PHK229" s="15"/>
      <c r="PHL229" s="15"/>
      <c r="PHM229" s="15"/>
      <c r="PHN229" s="15"/>
      <c r="PHO229" s="15"/>
      <c r="PHP229" s="15"/>
      <c r="PHQ229" s="15"/>
      <c r="PHR229" s="15"/>
      <c r="PHS229" s="15"/>
      <c r="PHT229" s="10"/>
      <c r="PHU229" s="10"/>
      <c r="PHV229" s="21"/>
      <c r="PHW229" s="21"/>
      <c r="PHZ229" s="21"/>
      <c r="PIA229" s="15"/>
      <c r="PIB229" s="15"/>
      <c r="PIC229" s="15"/>
      <c r="PID229" s="15"/>
      <c r="PIE229" s="15"/>
      <c r="PIF229" s="15"/>
      <c r="PIG229" s="15"/>
      <c r="PIH229" s="15"/>
      <c r="PII229" s="15"/>
      <c r="PIJ229" s="15"/>
      <c r="PIK229" s="10"/>
      <c r="PIL229" s="10"/>
      <c r="PIM229" s="21"/>
      <c r="PIN229" s="21"/>
      <c r="PIQ229" s="21"/>
      <c r="PIR229" s="15"/>
      <c r="PIS229" s="15"/>
      <c r="PIT229" s="15"/>
      <c r="PIU229" s="15"/>
      <c r="PIV229" s="15"/>
      <c r="PIW229" s="15"/>
      <c r="PIX229" s="15"/>
      <c r="PIY229" s="15"/>
      <c r="PIZ229" s="15"/>
      <c r="PJA229" s="15"/>
      <c r="PJB229" s="10"/>
      <c r="PJC229" s="10"/>
      <c r="PJD229" s="21"/>
      <c r="PJE229" s="21"/>
      <c r="PJH229" s="21"/>
      <c r="PJI229" s="15"/>
      <c r="PJJ229" s="15"/>
      <c r="PJK229" s="15"/>
      <c r="PJL229" s="15"/>
      <c r="PJM229" s="15"/>
      <c r="PJN229" s="15"/>
      <c r="PJO229" s="15"/>
      <c r="PJP229" s="15"/>
      <c r="PJQ229" s="15"/>
      <c r="PJR229" s="15"/>
      <c r="PJS229" s="10"/>
      <c r="PJT229" s="10"/>
      <c r="PJU229" s="21"/>
      <c r="PJV229" s="21"/>
      <c r="PJY229" s="21"/>
      <c r="PJZ229" s="15"/>
      <c r="PKA229" s="15"/>
      <c r="PKB229" s="15"/>
      <c r="PKC229" s="15"/>
      <c r="PKD229" s="15"/>
      <c r="PKE229" s="15"/>
      <c r="PKF229" s="15"/>
      <c r="PKG229" s="15"/>
      <c r="PKH229" s="15"/>
      <c r="PKI229" s="15"/>
      <c r="PKJ229" s="10"/>
      <c r="PKK229" s="10"/>
      <c r="PKL229" s="21"/>
      <c r="PKM229" s="21"/>
      <c r="PKP229" s="21"/>
      <c r="PKQ229" s="15"/>
      <c r="PKR229" s="15"/>
      <c r="PKS229" s="15"/>
      <c r="PKT229" s="15"/>
      <c r="PKU229" s="15"/>
      <c r="PKV229" s="15"/>
      <c r="PKW229" s="15"/>
      <c r="PKX229" s="15"/>
      <c r="PKY229" s="15"/>
      <c r="PKZ229" s="15"/>
      <c r="PLA229" s="10"/>
      <c r="PLB229" s="10"/>
      <c r="PLC229" s="21"/>
      <c r="PLD229" s="21"/>
      <c r="PLG229" s="21"/>
      <c r="PLH229" s="15"/>
      <c r="PLI229" s="15"/>
      <c r="PLJ229" s="15"/>
      <c r="PLK229" s="15"/>
      <c r="PLL229" s="15"/>
      <c r="PLM229" s="15"/>
      <c r="PLN229" s="15"/>
      <c r="PLO229" s="15"/>
      <c r="PLP229" s="15"/>
      <c r="PLQ229" s="15"/>
      <c r="PLR229" s="10"/>
      <c r="PLS229" s="10"/>
      <c r="PLT229" s="21"/>
      <c r="PLU229" s="21"/>
      <c r="PLX229" s="21"/>
      <c r="PLY229" s="15"/>
      <c r="PLZ229" s="15"/>
      <c r="PMA229" s="15"/>
      <c r="PMB229" s="15"/>
      <c r="PMC229" s="15"/>
      <c r="PMD229" s="15"/>
      <c r="PME229" s="15"/>
      <c r="PMF229" s="15"/>
      <c r="PMG229" s="15"/>
      <c r="PMH229" s="15"/>
      <c r="PMI229" s="10"/>
      <c r="PMJ229" s="10"/>
      <c r="PMK229" s="21"/>
      <c r="PML229" s="21"/>
      <c r="PMO229" s="21"/>
      <c r="PMP229" s="15"/>
      <c r="PMQ229" s="15"/>
      <c r="PMR229" s="15"/>
      <c r="PMS229" s="15"/>
      <c r="PMT229" s="15"/>
      <c r="PMU229" s="15"/>
      <c r="PMV229" s="15"/>
      <c r="PMW229" s="15"/>
      <c r="PMX229" s="15"/>
      <c r="PMY229" s="15"/>
      <c r="PMZ229" s="10"/>
      <c r="PNA229" s="10"/>
      <c r="PNB229" s="21"/>
      <c r="PNC229" s="21"/>
      <c r="PNF229" s="21"/>
      <c r="PNG229" s="15"/>
      <c r="PNH229" s="15"/>
      <c r="PNI229" s="15"/>
      <c r="PNJ229" s="15"/>
      <c r="PNK229" s="15"/>
      <c r="PNL229" s="15"/>
      <c r="PNM229" s="15"/>
      <c r="PNN229" s="15"/>
      <c r="PNO229" s="15"/>
      <c r="PNP229" s="15"/>
      <c r="PNQ229" s="10"/>
      <c r="PNR229" s="10"/>
      <c r="PNS229" s="21"/>
      <c r="PNT229" s="21"/>
      <c r="PNW229" s="21"/>
      <c r="PNX229" s="15"/>
      <c r="PNY229" s="15"/>
      <c r="PNZ229" s="15"/>
      <c r="POA229" s="15"/>
      <c r="POB229" s="15"/>
      <c r="POC229" s="15"/>
      <c r="POD229" s="15"/>
      <c r="POE229" s="15"/>
      <c r="POF229" s="15"/>
      <c r="POG229" s="15"/>
      <c r="POH229" s="10"/>
      <c r="POI229" s="10"/>
      <c r="POJ229" s="21"/>
      <c r="POK229" s="21"/>
      <c r="PON229" s="21"/>
      <c r="POO229" s="15"/>
      <c r="POP229" s="15"/>
      <c r="POQ229" s="15"/>
      <c r="POR229" s="15"/>
      <c r="POS229" s="15"/>
      <c r="POT229" s="15"/>
      <c r="POU229" s="15"/>
      <c r="POV229" s="15"/>
      <c r="POW229" s="15"/>
      <c r="POX229" s="15"/>
      <c r="POY229" s="10"/>
      <c r="POZ229" s="10"/>
      <c r="PPA229" s="21"/>
      <c r="PPB229" s="21"/>
      <c r="PPE229" s="21"/>
      <c r="PPF229" s="15"/>
      <c r="PPG229" s="15"/>
      <c r="PPH229" s="15"/>
      <c r="PPI229" s="15"/>
      <c r="PPJ229" s="15"/>
      <c r="PPK229" s="15"/>
      <c r="PPL229" s="15"/>
      <c r="PPM229" s="15"/>
      <c r="PPN229" s="15"/>
      <c r="PPO229" s="15"/>
      <c r="PPP229" s="10"/>
      <c r="PPQ229" s="10"/>
      <c r="PPR229" s="21"/>
      <c r="PPS229" s="21"/>
      <c r="PPV229" s="21"/>
      <c r="PPW229" s="15"/>
      <c r="PPX229" s="15"/>
      <c r="PPY229" s="15"/>
      <c r="PPZ229" s="15"/>
      <c r="PQA229" s="15"/>
      <c r="PQB229" s="15"/>
      <c r="PQC229" s="15"/>
      <c r="PQD229" s="15"/>
      <c r="PQE229" s="15"/>
      <c r="PQF229" s="15"/>
      <c r="PQG229" s="10"/>
      <c r="PQH229" s="10"/>
      <c r="PQI229" s="21"/>
      <c r="PQJ229" s="21"/>
      <c r="PQM229" s="21"/>
      <c r="PQN229" s="15"/>
      <c r="PQO229" s="15"/>
      <c r="PQP229" s="15"/>
      <c r="PQQ229" s="15"/>
      <c r="PQR229" s="15"/>
      <c r="PQS229" s="15"/>
      <c r="PQT229" s="15"/>
      <c r="PQU229" s="15"/>
      <c r="PQV229" s="15"/>
      <c r="PQW229" s="15"/>
      <c r="PQX229" s="10"/>
      <c r="PQY229" s="10"/>
      <c r="PQZ229" s="21"/>
      <c r="PRA229" s="21"/>
      <c r="PRD229" s="21"/>
      <c r="PRE229" s="15"/>
      <c r="PRF229" s="15"/>
      <c r="PRG229" s="15"/>
      <c r="PRH229" s="15"/>
      <c r="PRI229" s="15"/>
      <c r="PRJ229" s="15"/>
      <c r="PRK229" s="15"/>
      <c r="PRL229" s="15"/>
      <c r="PRM229" s="15"/>
      <c r="PRN229" s="15"/>
      <c r="PRO229" s="10"/>
      <c r="PRP229" s="10"/>
      <c r="PRQ229" s="21"/>
      <c r="PRR229" s="21"/>
      <c r="PRU229" s="21"/>
      <c r="PRV229" s="15"/>
      <c r="PRW229" s="15"/>
      <c r="PRX229" s="15"/>
      <c r="PRY229" s="15"/>
      <c r="PRZ229" s="15"/>
      <c r="PSA229" s="15"/>
      <c r="PSB229" s="15"/>
      <c r="PSC229" s="15"/>
      <c r="PSD229" s="15"/>
      <c r="PSE229" s="15"/>
      <c r="PSF229" s="10"/>
      <c r="PSG229" s="10"/>
      <c r="PSH229" s="21"/>
      <c r="PSI229" s="21"/>
      <c r="PSL229" s="21"/>
      <c r="PSM229" s="15"/>
      <c r="PSN229" s="15"/>
      <c r="PSO229" s="15"/>
      <c r="PSP229" s="15"/>
      <c r="PSQ229" s="15"/>
      <c r="PSR229" s="15"/>
      <c r="PSS229" s="15"/>
      <c r="PST229" s="15"/>
      <c r="PSU229" s="15"/>
      <c r="PSV229" s="15"/>
      <c r="PSW229" s="10"/>
      <c r="PSX229" s="10"/>
      <c r="PSY229" s="21"/>
      <c r="PSZ229" s="21"/>
      <c r="PTC229" s="21"/>
      <c r="PTD229" s="15"/>
      <c r="PTE229" s="15"/>
      <c r="PTF229" s="15"/>
      <c r="PTG229" s="15"/>
      <c r="PTH229" s="15"/>
      <c r="PTI229" s="15"/>
      <c r="PTJ229" s="15"/>
      <c r="PTK229" s="15"/>
      <c r="PTL229" s="15"/>
      <c r="PTM229" s="15"/>
      <c r="PTN229" s="10"/>
      <c r="PTO229" s="10"/>
      <c r="PTP229" s="21"/>
      <c r="PTQ229" s="21"/>
      <c r="PTT229" s="21"/>
      <c r="PTU229" s="15"/>
      <c r="PTV229" s="15"/>
      <c r="PTW229" s="15"/>
      <c r="PTX229" s="15"/>
      <c r="PTY229" s="15"/>
      <c r="PTZ229" s="15"/>
      <c r="PUA229" s="15"/>
      <c r="PUB229" s="15"/>
      <c r="PUC229" s="15"/>
      <c r="PUD229" s="15"/>
      <c r="PUE229" s="10"/>
      <c r="PUF229" s="10"/>
      <c r="PUG229" s="21"/>
      <c r="PUH229" s="21"/>
      <c r="PUK229" s="21"/>
      <c r="PUL229" s="15"/>
      <c r="PUM229" s="15"/>
      <c r="PUN229" s="15"/>
      <c r="PUO229" s="15"/>
      <c r="PUP229" s="15"/>
      <c r="PUQ229" s="15"/>
      <c r="PUR229" s="15"/>
      <c r="PUS229" s="15"/>
      <c r="PUT229" s="15"/>
      <c r="PUU229" s="15"/>
      <c r="PUV229" s="10"/>
      <c r="PUW229" s="10"/>
      <c r="PUX229" s="21"/>
      <c r="PUY229" s="21"/>
      <c r="PVB229" s="21"/>
      <c r="PVC229" s="15"/>
      <c r="PVD229" s="15"/>
      <c r="PVE229" s="15"/>
      <c r="PVF229" s="15"/>
      <c r="PVG229" s="15"/>
      <c r="PVH229" s="15"/>
      <c r="PVI229" s="15"/>
      <c r="PVJ229" s="15"/>
      <c r="PVK229" s="15"/>
      <c r="PVL229" s="15"/>
      <c r="PVM229" s="10"/>
      <c r="PVN229" s="10"/>
      <c r="PVO229" s="21"/>
      <c r="PVP229" s="21"/>
      <c r="PVS229" s="21"/>
      <c r="PVT229" s="15"/>
      <c r="PVU229" s="15"/>
      <c r="PVV229" s="15"/>
      <c r="PVW229" s="15"/>
      <c r="PVX229" s="15"/>
      <c r="PVY229" s="15"/>
      <c r="PVZ229" s="15"/>
      <c r="PWA229" s="15"/>
      <c r="PWB229" s="15"/>
      <c r="PWC229" s="15"/>
      <c r="PWD229" s="10"/>
      <c r="PWE229" s="10"/>
      <c r="PWF229" s="21"/>
      <c r="PWG229" s="21"/>
      <c r="PWJ229" s="21"/>
      <c r="PWK229" s="15"/>
      <c r="PWL229" s="15"/>
      <c r="PWM229" s="15"/>
      <c r="PWN229" s="15"/>
      <c r="PWO229" s="15"/>
      <c r="PWP229" s="15"/>
      <c r="PWQ229" s="15"/>
      <c r="PWR229" s="15"/>
      <c r="PWS229" s="15"/>
      <c r="PWT229" s="15"/>
      <c r="PWU229" s="10"/>
      <c r="PWV229" s="10"/>
      <c r="PWW229" s="21"/>
      <c r="PWX229" s="21"/>
      <c r="PXA229" s="21"/>
      <c r="PXB229" s="15"/>
      <c r="PXC229" s="15"/>
      <c r="PXD229" s="15"/>
      <c r="PXE229" s="15"/>
      <c r="PXF229" s="15"/>
      <c r="PXG229" s="15"/>
      <c r="PXH229" s="15"/>
      <c r="PXI229" s="15"/>
      <c r="PXJ229" s="15"/>
      <c r="PXK229" s="15"/>
      <c r="PXL229" s="10"/>
      <c r="PXM229" s="10"/>
      <c r="PXN229" s="21"/>
      <c r="PXO229" s="21"/>
      <c r="PXR229" s="21"/>
      <c r="PXS229" s="15"/>
      <c r="PXT229" s="15"/>
      <c r="PXU229" s="15"/>
      <c r="PXV229" s="15"/>
      <c r="PXW229" s="15"/>
      <c r="PXX229" s="15"/>
      <c r="PXY229" s="15"/>
      <c r="PXZ229" s="15"/>
      <c r="PYA229" s="15"/>
      <c r="PYB229" s="15"/>
      <c r="PYC229" s="10"/>
      <c r="PYD229" s="10"/>
      <c r="PYE229" s="21"/>
      <c r="PYF229" s="21"/>
      <c r="PYI229" s="21"/>
      <c r="PYJ229" s="15"/>
      <c r="PYK229" s="15"/>
      <c r="PYL229" s="15"/>
      <c r="PYM229" s="15"/>
      <c r="PYN229" s="15"/>
      <c r="PYO229" s="15"/>
      <c r="PYP229" s="15"/>
      <c r="PYQ229" s="15"/>
      <c r="PYR229" s="15"/>
      <c r="PYS229" s="15"/>
      <c r="PYT229" s="10"/>
      <c r="PYU229" s="10"/>
      <c r="PYV229" s="21"/>
      <c r="PYW229" s="21"/>
      <c r="PYZ229" s="21"/>
      <c r="PZA229" s="15"/>
      <c r="PZB229" s="15"/>
      <c r="PZC229" s="15"/>
      <c r="PZD229" s="15"/>
      <c r="PZE229" s="15"/>
      <c r="PZF229" s="15"/>
      <c r="PZG229" s="15"/>
      <c r="PZH229" s="15"/>
      <c r="PZI229" s="15"/>
      <c r="PZJ229" s="15"/>
      <c r="PZK229" s="10"/>
      <c r="PZL229" s="10"/>
      <c r="PZM229" s="21"/>
      <c r="PZN229" s="21"/>
      <c r="PZQ229" s="21"/>
      <c r="PZR229" s="15"/>
      <c r="PZS229" s="15"/>
      <c r="PZT229" s="15"/>
      <c r="PZU229" s="15"/>
      <c r="PZV229" s="15"/>
      <c r="PZW229" s="15"/>
      <c r="PZX229" s="15"/>
      <c r="PZY229" s="15"/>
      <c r="PZZ229" s="15"/>
      <c r="QAA229" s="15"/>
      <c r="QAB229" s="10"/>
      <c r="QAC229" s="10"/>
      <c r="QAD229" s="21"/>
      <c r="QAE229" s="21"/>
      <c r="QAH229" s="21"/>
      <c r="QAI229" s="15"/>
      <c r="QAJ229" s="15"/>
      <c r="QAK229" s="15"/>
      <c r="QAL229" s="15"/>
      <c r="QAM229" s="15"/>
      <c r="QAN229" s="15"/>
      <c r="QAO229" s="15"/>
      <c r="QAP229" s="15"/>
      <c r="QAQ229" s="15"/>
      <c r="QAR229" s="15"/>
      <c r="QAS229" s="10"/>
      <c r="QAT229" s="10"/>
      <c r="QAU229" s="21"/>
      <c r="QAV229" s="21"/>
      <c r="QAY229" s="21"/>
      <c r="QAZ229" s="15"/>
      <c r="QBA229" s="15"/>
      <c r="QBB229" s="15"/>
      <c r="QBC229" s="15"/>
      <c r="QBD229" s="15"/>
      <c r="QBE229" s="15"/>
      <c r="QBF229" s="15"/>
      <c r="QBG229" s="15"/>
      <c r="QBH229" s="15"/>
      <c r="QBI229" s="15"/>
      <c r="QBJ229" s="10"/>
      <c r="QBK229" s="10"/>
      <c r="QBL229" s="21"/>
      <c r="QBM229" s="21"/>
      <c r="QBP229" s="21"/>
      <c r="QBQ229" s="15"/>
      <c r="QBR229" s="15"/>
      <c r="QBS229" s="15"/>
      <c r="QBT229" s="15"/>
      <c r="QBU229" s="15"/>
      <c r="QBV229" s="15"/>
      <c r="QBW229" s="15"/>
      <c r="QBX229" s="15"/>
      <c r="QBY229" s="15"/>
      <c r="QBZ229" s="15"/>
      <c r="QCA229" s="10"/>
      <c r="QCB229" s="10"/>
      <c r="QCC229" s="21"/>
      <c r="QCD229" s="21"/>
      <c r="QCG229" s="21"/>
      <c r="QCH229" s="15"/>
      <c r="QCI229" s="15"/>
      <c r="QCJ229" s="15"/>
      <c r="QCK229" s="15"/>
      <c r="QCL229" s="15"/>
      <c r="QCM229" s="15"/>
      <c r="QCN229" s="15"/>
      <c r="QCO229" s="15"/>
      <c r="QCP229" s="15"/>
      <c r="QCQ229" s="15"/>
      <c r="QCR229" s="10"/>
      <c r="QCS229" s="10"/>
      <c r="QCT229" s="21"/>
      <c r="QCU229" s="21"/>
      <c r="QCX229" s="21"/>
      <c r="QCY229" s="15"/>
      <c r="QCZ229" s="15"/>
      <c r="QDA229" s="15"/>
      <c r="QDB229" s="15"/>
      <c r="QDC229" s="15"/>
      <c r="QDD229" s="15"/>
      <c r="QDE229" s="15"/>
      <c r="QDF229" s="15"/>
      <c r="QDG229" s="15"/>
      <c r="QDH229" s="15"/>
      <c r="QDI229" s="10"/>
      <c r="QDJ229" s="10"/>
      <c r="QDK229" s="21"/>
      <c r="QDL229" s="21"/>
      <c r="QDO229" s="21"/>
      <c r="QDP229" s="15"/>
      <c r="QDQ229" s="15"/>
      <c r="QDR229" s="15"/>
      <c r="QDS229" s="15"/>
      <c r="QDT229" s="15"/>
      <c r="QDU229" s="15"/>
      <c r="QDV229" s="15"/>
      <c r="QDW229" s="15"/>
      <c r="QDX229" s="15"/>
      <c r="QDY229" s="15"/>
      <c r="QDZ229" s="10"/>
      <c r="QEA229" s="10"/>
      <c r="QEB229" s="21"/>
      <c r="QEC229" s="21"/>
      <c r="QEF229" s="21"/>
      <c r="QEG229" s="15"/>
      <c r="QEH229" s="15"/>
      <c r="QEI229" s="15"/>
      <c r="QEJ229" s="15"/>
      <c r="QEK229" s="15"/>
      <c r="QEL229" s="15"/>
      <c r="QEM229" s="15"/>
      <c r="QEN229" s="15"/>
      <c r="QEO229" s="15"/>
      <c r="QEP229" s="15"/>
      <c r="QEQ229" s="10"/>
      <c r="QER229" s="10"/>
      <c r="QES229" s="21"/>
      <c r="QET229" s="21"/>
      <c r="QEW229" s="21"/>
      <c r="QEX229" s="15"/>
      <c r="QEY229" s="15"/>
      <c r="QEZ229" s="15"/>
      <c r="QFA229" s="15"/>
      <c r="QFB229" s="15"/>
      <c r="QFC229" s="15"/>
      <c r="QFD229" s="15"/>
      <c r="QFE229" s="15"/>
      <c r="QFF229" s="15"/>
      <c r="QFG229" s="15"/>
      <c r="QFH229" s="10"/>
      <c r="QFI229" s="10"/>
      <c r="QFJ229" s="21"/>
      <c r="QFK229" s="21"/>
      <c r="QFN229" s="21"/>
      <c r="QFO229" s="15"/>
      <c r="QFP229" s="15"/>
      <c r="QFQ229" s="15"/>
      <c r="QFR229" s="15"/>
      <c r="QFS229" s="15"/>
      <c r="QFT229" s="15"/>
      <c r="QFU229" s="15"/>
      <c r="QFV229" s="15"/>
      <c r="QFW229" s="15"/>
      <c r="QFX229" s="15"/>
      <c r="QFY229" s="10"/>
      <c r="QFZ229" s="10"/>
      <c r="QGA229" s="21"/>
      <c r="QGB229" s="21"/>
      <c r="QGE229" s="21"/>
      <c r="QGF229" s="15"/>
      <c r="QGG229" s="15"/>
      <c r="QGH229" s="15"/>
      <c r="QGI229" s="15"/>
      <c r="QGJ229" s="15"/>
      <c r="QGK229" s="15"/>
      <c r="QGL229" s="15"/>
      <c r="QGM229" s="15"/>
      <c r="QGN229" s="15"/>
      <c r="QGO229" s="15"/>
      <c r="QGP229" s="10"/>
      <c r="QGQ229" s="10"/>
      <c r="QGR229" s="21"/>
      <c r="QGS229" s="21"/>
      <c r="QGV229" s="21"/>
      <c r="QGW229" s="15"/>
      <c r="QGX229" s="15"/>
      <c r="QGY229" s="15"/>
      <c r="QGZ229" s="15"/>
      <c r="QHA229" s="15"/>
      <c r="QHB229" s="15"/>
      <c r="QHC229" s="15"/>
      <c r="QHD229" s="15"/>
      <c r="QHE229" s="15"/>
      <c r="QHF229" s="15"/>
      <c r="QHG229" s="10"/>
      <c r="QHH229" s="10"/>
      <c r="QHI229" s="21"/>
      <c r="QHJ229" s="21"/>
      <c r="QHM229" s="21"/>
      <c r="QHN229" s="15"/>
      <c r="QHO229" s="15"/>
      <c r="QHP229" s="15"/>
      <c r="QHQ229" s="15"/>
      <c r="QHR229" s="15"/>
      <c r="QHS229" s="15"/>
      <c r="QHT229" s="15"/>
      <c r="QHU229" s="15"/>
      <c r="QHV229" s="15"/>
      <c r="QHW229" s="15"/>
      <c r="QHX229" s="10"/>
      <c r="QHY229" s="10"/>
      <c r="QHZ229" s="21"/>
      <c r="QIA229" s="21"/>
      <c r="QID229" s="21"/>
      <c r="QIE229" s="15"/>
      <c r="QIF229" s="15"/>
      <c r="QIG229" s="15"/>
      <c r="QIH229" s="15"/>
      <c r="QII229" s="15"/>
      <c r="QIJ229" s="15"/>
      <c r="QIK229" s="15"/>
      <c r="QIL229" s="15"/>
      <c r="QIM229" s="15"/>
      <c r="QIN229" s="15"/>
      <c r="QIO229" s="10"/>
      <c r="QIP229" s="10"/>
      <c r="QIQ229" s="21"/>
      <c r="QIR229" s="21"/>
      <c r="QIU229" s="21"/>
      <c r="QIV229" s="15"/>
      <c r="QIW229" s="15"/>
      <c r="QIX229" s="15"/>
      <c r="QIY229" s="15"/>
      <c r="QIZ229" s="15"/>
      <c r="QJA229" s="15"/>
      <c r="QJB229" s="15"/>
      <c r="QJC229" s="15"/>
      <c r="QJD229" s="15"/>
      <c r="QJE229" s="15"/>
      <c r="QJF229" s="10"/>
      <c r="QJG229" s="10"/>
      <c r="QJH229" s="21"/>
      <c r="QJI229" s="21"/>
      <c r="QJL229" s="21"/>
      <c r="QJM229" s="15"/>
      <c r="QJN229" s="15"/>
      <c r="QJO229" s="15"/>
      <c r="QJP229" s="15"/>
      <c r="QJQ229" s="15"/>
      <c r="QJR229" s="15"/>
      <c r="QJS229" s="15"/>
      <c r="QJT229" s="15"/>
      <c r="QJU229" s="15"/>
      <c r="QJV229" s="15"/>
      <c r="QJW229" s="10"/>
      <c r="QJX229" s="10"/>
      <c r="QJY229" s="21"/>
      <c r="QJZ229" s="21"/>
      <c r="QKC229" s="21"/>
      <c r="QKD229" s="15"/>
      <c r="QKE229" s="15"/>
      <c r="QKF229" s="15"/>
      <c r="QKG229" s="15"/>
      <c r="QKH229" s="15"/>
      <c r="QKI229" s="15"/>
      <c r="QKJ229" s="15"/>
      <c r="QKK229" s="15"/>
      <c r="QKL229" s="15"/>
      <c r="QKM229" s="15"/>
      <c r="QKN229" s="10"/>
      <c r="QKO229" s="10"/>
      <c r="QKP229" s="21"/>
      <c r="QKQ229" s="21"/>
      <c r="QKT229" s="21"/>
      <c r="QKU229" s="15"/>
      <c r="QKV229" s="15"/>
      <c r="QKW229" s="15"/>
      <c r="QKX229" s="15"/>
      <c r="QKY229" s="15"/>
      <c r="QKZ229" s="15"/>
      <c r="QLA229" s="15"/>
      <c r="QLB229" s="15"/>
      <c r="QLC229" s="15"/>
      <c r="QLD229" s="15"/>
      <c r="QLE229" s="10"/>
      <c r="QLF229" s="10"/>
      <c r="QLG229" s="21"/>
      <c r="QLH229" s="21"/>
      <c r="QLK229" s="21"/>
      <c r="QLL229" s="15"/>
      <c r="QLM229" s="15"/>
      <c r="QLN229" s="15"/>
      <c r="QLO229" s="15"/>
      <c r="QLP229" s="15"/>
      <c r="QLQ229" s="15"/>
      <c r="QLR229" s="15"/>
      <c r="QLS229" s="15"/>
      <c r="QLT229" s="15"/>
      <c r="QLU229" s="15"/>
      <c r="QLV229" s="10"/>
      <c r="QLW229" s="10"/>
      <c r="QLX229" s="21"/>
      <c r="QLY229" s="21"/>
      <c r="QMB229" s="21"/>
      <c r="QMC229" s="15"/>
      <c r="QMD229" s="15"/>
      <c r="QME229" s="15"/>
      <c r="QMF229" s="15"/>
      <c r="QMG229" s="15"/>
      <c r="QMH229" s="15"/>
      <c r="QMI229" s="15"/>
      <c r="QMJ229" s="15"/>
      <c r="QMK229" s="15"/>
      <c r="QML229" s="15"/>
      <c r="QMM229" s="10"/>
      <c r="QMN229" s="10"/>
      <c r="QMO229" s="21"/>
      <c r="QMP229" s="21"/>
      <c r="QMS229" s="21"/>
      <c r="QMT229" s="15"/>
      <c r="QMU229" s="15"/>
      <c r="QMV229" s="15"/>
      <c r="QMW229" s="15"/>
      <c r="QMX229" s="15"/>
      <c r="QMY229" s="15"/>
      <c r="QMZ229" s="15"/>
      <c r="QNA229" s="15"/>
      <c r="QNB229" s="15"/>
      <c r="QNC229" s="15"/>
      <c r="QND229" s="10"/>
      <c r="QNE229" s="10"/>
      <c r="QNF229" s="21"/>
      <c r="QNG229" s="21"/>
      <c r="QNJ229" s="21"/>
      <c r="QNK229" s="15"/>
      <c r="QNL229" s="15"/>
      <c r="QNM229" s="15"/>
      <c r="QNN229" s="15"/>
      <c r="QNO229" s="15"/>
      <c r="QNP229" s="15"/>
      <c r="QNQ229" s="15"/>
      <c r="QNR229" s="15"/>
      <c r="QNS229" s="15"/>
      <c r="QNT229" s="15"/>
      <c r="QNU229" s="10"/>
      <c r="QNV229" s="10"/>
      <c r="QNW229" s="21"/>
      <c r="QNX229" s="21"/>
      <c r="QOA229" s="21"/>
      <c r="QOB229" s="15"/>
      <c r="QOC229" s="15"/>
      <c r="QOD229" s="15"/>
      <c r="QOE229" s="15"/>
      <c r="QOF229" s="15"/>
      <c r="QOG229" s="15"/>
      <c r="QOH229" s="15"/>
      <c r="QOI229" s="15"/>
      <c r="QOJ229" s="15"/>
      <c r="QOK229" s="15"/>
      <c r="QOL229" s="10"/>
      <c r="QOM229" s="10"/>
      <c r="QON229" s="21"/>
      <c r="QOO229" s="21"/>
      <c r="QOR229" s="21"/>
      <c r="QOS229" s="15"/>
      <c r="QOT229" s="15"/>
      <c r="QOU229" s="15"/>
      <c r="QOV229" s="15"/>
      <c r="QOW229" s="15"/>
      <c r="QOX229" s="15"/>
      <c r="QOY229" s="15"/>
      <c r="QOZ229" s="15"/>
      <c r="QPA229" s="15"/>
      <c r="QPB229" s="15"/>
      <c r="QPC229" s="10"/>
      <c r="QPD229" s="10"/>
      <c r="QPE229" s="21"/>
      <c r="QPF229" s="21"/>
      <c r="QPI229" s="21"/>
      <c r="QPJ229" s="15"/>
      <c r="QPK229" s="15"/>
      <c r="QPL229" s="15"/>
      <c r="QPM229" s="15"/>
      <c r="QPN229" s="15"/>
      <c r="QPO229" s="15"/>
      <c r="QPP229" s="15"/>
      <c r="QPQ229" s="15"/>
      <c r="QPR229" s="15"/>
      <c r="QPS229" s="15"/>
      <c r="QPT229" s="10"/>
      <c r="QPU229" s="10"/>
      <c r="QPV229" s="21"/>
      <c r="QPW229" s="21"/>
      <c r="QPZ229" s="21"/>
      <c r="QQA229" s="15"/>
      <c r="QQB229" s="15"/>
      <c r="QQC229" s="15"/>
      <c r="QQD229" s="15"/>
      <c r="QQE229" s="15"/>
      <c r="QQF229" s="15"/>
      <c r="QQG229" s="15"/>
      <c r="QQH229" s="15"/>
      <c r="QQI229" s="15"/>
      <c r="QQJ229" s="15"/>
      <c r="QQK229" s="10"/>
      <c r="QQL229" s="10"/>
      <c r="QQM229" s="21"/>
      <c r="QQN229" s="21"/>
      <c r="QQQ229" s="21"/>
      <c r="QQR229" s="15"/>
      <c r="QQS229" s="15"/>
      <c r="QQT229" s="15"/>
      <c r="QQU229" s="15"/>
      <c r="QQV229" s="15"/>
      <c r="QQW229" s="15"/>
      <c r="QQX229" s="15"/>
      <c r="QQY229" s="15"/>
      <c r="QQZ229" s="15"/>
      <c r="QRA229" s="15"/>
      <c r="QRB229" s="10"/>
      <c r="QRC229" s="10"/>
      <c r="QRD229" s="21"/>
      <c r="QRE229" s="21"/>
      <c r="QRH229" s="21"/>
      <c r="QRI229" s="15"/>
      <c r="QRJ229" s="15"/>
      <c r="QRK229" s="15"/>
      <c r="QRL229" s="15"/>
      <c r="QRM229" s="15"/>
      <c r="QRN229" s="15"/>
      <c r="QRO229" s="15"/>
      <c r="QRP229" s="15"/>
      <c r="QRQ229" s="15"/>
      <c r="QRR229" s="15"/>
      <c r="QRS229" s="10"/>
      <c r="QRT229" s="10"/>
      <c r="QRU229" s="21"/>
      <c r="QRV229" s="21"/>
      <c r="QRY229" s="21"/>
      <c r="QRZ229" s="15"/>
      <c r="QSA229" s="15"/>
      <c r="QSB229" s="15"/>
      <c r="QSC229" s="15"/>
      <c r="QSD229" s="15"/>
      <c r="QSE229" s="15"/>
      <c r="QSF229" s="15"/>
      <c r="QSG229" s="15"/>
      <c r="QSH229" s="15"/>
      <c r="QSI229" s="15"/>
      <c r="QSJ229" s="10"/>
      <c r="QSK229" s="10"/>
      <c r="QSL229" s="21"/>
      <c r="QSM229" s="21"/>
      <c r="QSP229" s="21"/>
      <c r="QSQ229" s="15"/>
      <c r="QSR229" s="15"/>
      <c r="QSS229" s="15"/>
      <c r="QST229" s="15"/>
      <c r="QSU229" s="15"/>
      <c r="QSV229" s="15"/>
      <c r="QSW229" s="15"/>
      <c r="QSX229" s="15"/>
      <c r="QSY229" s="15"/>
      <c r="QSZ229" s="15"/>
      <c r="QTA229" s="10"/>
      <c r="QTB229" s="10"/>
      <c r="QTC229" s="21"/>
      <c r="QTD229" s="21"/>
      <c r="QTG229" s="21"/>
      <c r="QTH229" s="15"/>
      <c r="QTI229" s="15"/>
      <c r="QTJ229" s="15"/>
      <c r="QTK229" s="15"/>
      <c r="QTL229" s="15"/>
      <c r="QTM229" s="15"/>
      <c r="QTN229" s="15"/>
      <c r="QTO229" s="15"/>
      <c r="QTP229" s="15"/>
      <c r="QTQ229" s="15"/>
      <c r="QTR229" s="10"/>
      <c r="QTS229" s="10"/>
      <c r="QTT229" s="21"/>
      <c r="QTU229" s="21"/>
      <c r="QTX229" s="21"/>
      <c r="QTY229" s="15"/>
      <c r="QTZ229" s="15"/>
      <c r="QUA229" s="15"/>
      <c r="QUB229" s="15"/>
      <c r="QUC229" s="15"/>
      <c r="QUD229" s="15"/>
      <c r="QUE229" s="15"/>
      <c r="QUF229" s="15"/>
      <c r="QUG229" s="15"/>
      <c r="QUH229" s="15"/>
      <c r="QUI229" s="10"/>
      <c r="QUJ229" s="10"/>
      <c r="QUK229" s="21"/>
      <c r="QUL229" s="21"/>
      <c r="QUO229" s="21"/>
      <c r="QUP229" s="15"/>
      <c r="QUQ229" s="15"/>
      <c r="QUR229" s="15"/>
      <c r="QUS229" s="15"/>
      <c r="QUT229" s="15"/>
      <c r="QUU229" s="15"/>
      <c r="QUV229" s="15"/>
      <c r="QUW229" s="15"/>
      <c r="QUX229" s="15"/>
      <c r="QUY229" s="15"/>
      <c r="QUZ229" s="10"/>
      <c r="QVA229" s="10"/>
      <c r="QVB229" s="21"/>
      <c r="QVC229" s="21"/>
      <c r="QVF229" s="21"/>
      <c r="QVG229" s="15"/>
      <c r="QVH229" s="15"/>
      <c r="QVI229" s="15"/>
      <c r="QVJ229" s="15"/>
      <c r="QVK229" s="15"/>
      <c r="QVL229" s="15"/>
      <c r="QVM229" s="15"/>
      <c r="QVN229" s="15"/>
      <c r="QVO229" s="15"/>
      <c r="QVP229" s="15"/>
      <c r="QVQ229" s="10"/>
      <c r="QVR229" s="10"/>
      <c r="QVS229" s="21"/>
      <c r="QVT229" s="21"/>
      <c r="QVW229" s="21"/>
      <c r="QVX229" s="15"/>
      <c r="QVY229" s="15"/>
      <c r="QVZ229" s="15"/>
      <c r="QWA229" s="15"/>
      <c r="QWB229" s="15"/>
      <c r="QWC229" s="15"/>
      <c r="QWD229" s="15"/>
      <c r="QWE229" s="15"/>
      <c r="QWF229" s="15"/>
      <c r="QWG229" s="15"/>
      <c r="QWH229" s="10"/>
      <c r="QWI229" s="10"/>
      <c r="QWJ229" s="21"/>
      <c r="QWK229" s="21"/>
      <c r="QWN229" s="21"/>
      <c r="QWO229" s="15"/>
      <c r="QWP229" s="15"/>
      <c r="QWQ229" s="15"/>
      <c r="QWR229" s="15"/>
      <c r="QWS229" s="15"/>
      <c r="QWT229" s="15"/>
      <c r="QWU229" s="15"/>
      <c r="QWV229" s="15"/>
      <c r="QWW229" s="15"/>
      <c r="QWX229" s="15"/>
      <c r="QWY229" s="10"/>
      <c r="QWZ229" s="10"/>
      <c r="QXA229" s="21"/>
      <c r="QXB229" s="21"/>
      <c r="QXE229" s="21"/>
      <c r="QXF229" s="15"/>
      <c r="QXG229" s="15"/>
      <c r="QXH229" s="15"/>
      <c r="QXI229" s="15"/>
      <c r="QXJ229" s="15"/>
      <c r="QXK229" s="15"/>
      <c r="QXL229" s="15"/>
      <c r="QXM229" s="15"/>
      <c r="QXN229" s="15"/>
      <c r="QXO229" s="15"/>
      <c r="QXP229" s="10"/>
      <c r="QXQ229" s="10"/>
      <c r="QXR229" s="21"/>
      <c r="QXS229" s="21"/>
      <c r="QXV229" s="21"/>
      <c r="QXW229" s="15"/>
      <c r="QXX229" s="15"/>
      <c r="QXY229" s="15"/>
      <c r="QXZ229" s="15"/>
      <c r="QYA229" s="15"/>
      <c r="QYB229" s="15"/>
      <c r="QYC229" s="15"/>
      <c r="QYD229" s="15"/>
      <c r="QYE229" s="15"/>
      <c r="QYF229" s="15"/>
      <c r="QYG229" s="10"/>
      <c r="QYH229" s="10"/>
      <c r="QYI229" s="21"/>
      <c r="QYJ229" s="21"/>
      <c r="QYM229" s="21"/>
      <c r="QYN229" s="15"/>
      <c r="QYO229" s="15"/>
      <c r="QYP229" s="15"/>
      <c r="QYQ229" s="15"/>
      <c r="QYR229" s="15"/>
      <c r="QYS229" s="15"/>
      <c r="QYT229" s="15"/>
      <c r="QYU229" s="15"/>
      <c r="QYV229" s="15"/>
      <c r="QYW229" s="15"/>
      <c r="QYX229" s="10"/>
      <c r="QYY229" s="10"/>
      <c r="QYZ229" s="21"/>
      <c r="QZA229" s="21"/>
      <c r="QZD229" s="21"/>
      <c r="QZE229" s="15"/>
      <c r="QZF229" s="15"/>
      <c r="QZG229" s="15"/>
      <c r="QZH229" s="15"/>
      <c r="QZI229" s="15"/>
      <c r="QZJ229" s="15"/>
      <c r="QZK229" s="15"/>
      <c r="QZL229" s="15"/>
      <c r="QZM229" s="15"/>
      <c r="QZN229" s="15"/>
      <c r="QZO229" s="10"/>
      <c r="QZP229" s="10"/>
      <c r="QZQ229" s="21"/>
      <c r="QZR229" s="21"/>
      <c r="QZU229" s="21"/>
      <c r="QZV229" s="15"/>
      <c r="QZW229" s="15"/>
      <c r="QZX229" s="15"/>
      <c r="QZY229" s="15"/>
      <c r="QZZ229" s="15"/>
      <c r="RAA229" s="15"/>
      <c r="RAB229" s="15"/>
      <c r="RAC229" s="15"/>
      <c r="RAD229" s="15"/>
      <c r="RAE229" s="15"/>
      <c r="RAF229" s="10"/>
      <c r="RAG229" s="10"/>
      <c r="RAH229" s="21"/>
      <c r="RAI229" s="21"/>
      <c r="RAL229" s="21"/>
      <c r="RAM229" s="15"/>
      <c r="RAN229" s="15"/>
      <c r="RAO229" s="15"/>
      <c r="RAP229" s="15"/>
      <c r="RAQ229" s="15"/>
      <c r="RAR229" s="15"/>
      <c r="RAS229" s="15"/>
      <c r="RAT229" s="15"/>
      <c r="RAU229" s="15"/>
      <c r="RAV229" s="15"/>
      <c r="RAW229" s="10"/>
      <c r="RAX229" s="10"/>
      <c r="RAY229" s="21"/>
      <c r="RAZ229" s="21"/>
      <c r="RBC229" s="21"/>
      <c r="RBD229" s="15"/>
      <c r="RBE229" s="15"/>
      <c r="RBF229" s="15"/>
      <c r="RBG229" s="15"/>
      <c r="RBH229" s="15"/>
      <c r="RBI229" s="15"/>
      <c r="RBJ229" s="15"/>
      <c r="RBK229" s="15"/>
      <c r="RBL229" s="15"/>
      <c r="RBM229" s="15"/>
      <c r="RBN229" s="10"/>
      <c r="RBO229" s="10"/>
      <c r="RBP229" s="21"/>
      <c r="RBQ229" s="21"/>
      <c r="RBT229" s="21"/>
      <c r="RBU229" s="15"/>
      <c r="RBV229" s="15"/>
      <c r="RBW229" s="15"/>
      <c r="RBX229" s="15"/>
      <c r="RBY229" s="15"/>
      <c r="RBZ229" s="15"/>
      <c r="RCA229" s="15"/>
      <c r="RCB229" s="15"/>
      <c r="RCC229" s="15"/>
      <c r="RCD229" s="15"/>
      <c r="RCE229" s="10"/>
      <c r="RCF229" s="10"/>
      <c r="RCG229" s="21"/>
      <c r="RCH229" s="21"/>
      <c r="RCK229" s="21"/>
      <c r="RCL229" s="15"/>
      <c r="RCM229" s="15"/>
      <c r="RCN229" s="15"/>
      <c r="RCO229" s="15"/>
      <c r="RCP229" s="15"/>
      <c r="RCQ229" s="15"/>
      <c r="RCR229" s="15"/>
      <c r="RCS229" s="15"/>
      <c r="RCT229" s="15"/>
      <c r="RCU229" s="15"/>
      <c r="RCV229" s="10"/>
      <c r="RCW229" s="10"/>
      <c r="RCX229" s="21"/>
      <c r="RCY229" s="21"/>
      <c r="RDB229" s="21"/>
      <c r="RDC229" s="15"/>
      <c r="RDD229" s="15"/>
      <c r="RDE229" s="15"/>
      <c r="RDF229" s="15"/>
      <c r="RDG229" s="15"/>
      <c r="RDH229" s="15"/>
      <c r="RDI229" s="15"/>
      <c r="RDJ229" s="15"/>
      <c r="RDK229" s="15"/>
      <c r="RDL229" s="15"/>
      <c r="RDM229" s="10"/>
      <c r="RDN229" s="10"/>
      <c r="RDO229" s="21"/>
      <c r="RDP229" s="21"/>
      <c r="RDS229" s="21"/>
      <c r="RDT229" s="15"/>
      <c r="RDU229" s="15"/>
      <c r="RDV229" s="15"/>
      <c r="RDW229" s="15"/>
      <c r="RDX229" s="15"/>
      <c r="RDY229" s="15"/>
      <c r="RDZ229" s="15"/>
      <c r="REA229" s="15"/>
      <c r="REB229" s="15"/>
      <c r="REC229" s="15"/>
      <c r="RED229" s="10"/>
      <c r="REE229" s="10"/>
      <c r="REF229" s="21"/>
      <c r="REG229" s="21"/>
      <c r="REJ229" s="21"/>
      <c r="REK229" s="15"/>
      <c r="REL229" s="15"/>
      <c r="REM229" s="15"/>
      <c r="REN229" s="15"/>
      <c r="REO229" s="15"/>
      <c r="REP229" s="15"/>
      <c r="REQ229" s="15"/>
      <c r="RER229" s="15"/>
      <c r="RES229" s="15"/>
      <c r="RET229" s="15"/>
      <c r="REU229" s="10"/>
      <c r="REV229" s="10"/>
      <c r="REW229" s="21"/>
      <c r="REX229" s="21"/>
      <c r="RFA229" s="21"/>
      <c r="RFB229" s="15"/>
      <c r="RFC229" s="15"/>
      <c r="RFD229" s="15"/>
      <c r="RFE229" s="15"/>
      <c r="RFF229" s="15"/>
      <c r="RFG229" s="15"/>
      <c r="RFH229" s="15"/>
      <c r="RFI229" s="15"/>
      <c r="RFJ229" s="15"/>
      <c r="RFK229" s="15"/>
      <c r="RFL229" s="10"/>
      <c r="RFM229" s="10"/>
      <c r="RFN229" s="21"/>
      <c r="RFO229" s="21"/>
      <c r="RFR229" s="21"/>
      <c r="RFS229" s="15"/>
      <c r="RFT229" s="15"/>
      <c r="RFU229" s="15"/>
      <c r="RFV229" s="15"/>
      <c r="RFW229" s="15"/>
      <c r="RFX229" s="15"/>
      <c r="RFY229" s="15"/>
      <c r="RFZ229" s="15"/>
      <c r="RGA229" s="15"/>
      <c r="RGB229" s="15"/>
      <c r="RGC229" s="10"/>
      <c r="RGD229" s="10"/>
      <c r="RGE229" s="21"/>
      <c r="RGF229" s="21"/>
      <c r="RGI229" s="21"/>
      <c r="RGJ229" s="15"/>
      <c r="RGK229" s="15"/>
      <c r="RGL229" s="15"/>
      <c r="RGM229" s="15"/>
      <c r="RGN229" s="15"/>
      <c r="RGO229" s="15"/>
      <c r="RGP229" s="15"/>
      <c r="RGQ229" s="15"/>
      <c r="RGR229" s="15"/>
      <c r="RGS229" s="15"/>
      <c r="RGT229" s="10"/>
      <c r="RGU229" s="10"/>
      <c r="RGV229" s="21"/>
      <c r="RGW229" s="21"/>
      <c r="RGZ229" s="21"/>
      <c r="RHA229" s="15"/>
      <c r="RHB229" s="15"/>
      <c r="RHC229" s="15"/>
      <c r="RHD229" s="15"/>
      <c r="RHE229" s="15"/>
      <c r="RHF229" s="15"/>
      <c r="RHG229" s="15"/>
      <c r="RHH229" s="15"/>
      <c r="RHI229" s="15"/>
      <c r="RHJ229" s="15"/>
      <c r="RHK229" s="10"/>
      <c r="RHL229" s="10"/>
      <c r="RHM229" s="21"/>
      <c r="RHN229" s="21"/>
      <c r="RHQ229" s="21"/>
      <c r="RHR229" s="15"/>
      <c r="RHS229" s="15"/>
      <c r="RHT229" s="15"/>
      <c r="RHU229" s="15"/>
      <c r="RHV229" s="15"/>
      <c r="RHW229" s="15"/>
      <c r="RHX229" s="15"/>
      <c r="RHY229" s="15"/>
      <c r="RHZ229" s="15"/>
      <c r="RIA229" s="15"/>
      <c r="RIB229" s="10"/>
      <c r="RIC229" s="10"/>
      <c r="RID229" s="21"/>
      <c r="RIE229" s="21"/>
      <c r="RIH229" s="21"/>
      <c r="RII229" s="15"/>
      <c r="RIJ229" s="15"/>
      <c r="RIK229" s="15"/>
      <c r="RIL229" s="15"/>
      <c r="RIM229" s="15"/>
      <c r="RIN229" s="15"/>
      <c r="RIO229" s="15"/>
      <c r="RIP229" s="15"/>
      <c r="RIQ229" s="15"/>
      <c r="RIR229" s="15"/>
      <c r="RIS229" s="10"/>
      <c r="RIT229" s="10"/>
      <c r="RIU229" s="21"/>
      <c r="RIV229" s="21"/>
      <c r="RIY229" s="21"/>
      <c r="RIZ229" s="15"/>
      <c r="RJA229" s="15"/>
      <c r="RJB229" s="15"/>
      <c r="RJC229" s="15"/>
      <c r="RJD229" s="15"/>
      <c r="RJE229" s="15"/>
      <c r="RJF229" s="15"/>
      <c r="RJG229" s="15"/>
      <c r="RJH229" s="15"/>
      <c r="RJI229" s="15"/>
      <c r="RJJ229" s="10"/>
      <c r="RJK229" s="10"/>
      <c r="RJL229" s="21"/>
      <c r="RJM229" s="21"/>
      <c r="RJP229" s="21"/>
      <c r="RJQ229" s="15"/>
      <c r="RJR229" s="15"/>
      <c r="RJS229" s="15"/>
      <c r="RJT229" s="15"/>
      <c r="RJU229" s="15"/>
      <c r="RJV229" s="15"/>
      <c r="RJW229" s="15"/>
      <c r="RJX229" s="15"/>
      <c r="RJY229" s="15"/>
      <c r="RJZ229" s="15"/>
      <c r="RKA229" s="10"/>
      <c r="RKB229" s="10"/>
      <c r="RKC229" s="21"/>
      <c r="RKD229" s="21"/>
      <c r="RKG229" s="21"/>
      <c r="RKH229" s="15"/>
      <c r="RKI229" s="15"/>
      <c r="RKJ229" s="15"/>
      <c r="RKK229" s="15"/>
      <c r="RKL229" s="15"/>
      <c r="RKM229" s="15"/>
      <c r="RKN229" s="15"/>
      <c r="RKO229" s="15"/>
      <c r="RKP229" s="15"/>
      <c r="RKQ229" s="15"/>
      <c r="RKR229" s="10"/>
      <c r="RKS229" s="10"/>
      <c r="RKT229" s="21"/>
      <c r="RKU229" s="21"/>
      <c r="RKX229" s="21"/>
      <c r="RKY229" s="15"/>
      <c r="RKZ229" s="15"/>
      <c r="RLA229" s="15"/>
      <c r="RLB229" s="15"/>
      <c r="RLC229" s="15"/>
      <c r="RLD229" s="15"/>
      <c r="RLE229" s="15"/>
      <c r="RLF229" s="15"/>
      <c r="RLG229" s="15"/>
      <c r="RLH229" s="15"/>
      <c r="RLI229" s="10"/>
      <c r="RLJ229" s="10"/>
      <c r="RLK229" s="21"/>
      <c r="RLL229" s="21"/>
      <c r="RLO229" s="21"/>
      <c r="RLP229" s="15"/>
      <c r="RLQ229" s="15"/>
      <c r="RLR229" s="15"/>
      <c r="RLS229" s="15"/>
      <c r="RLT229" s="15"/>
      <c r="RLU229" s="15"/>
      <c r="RLV229" s="15"/>
      <c r="RLW229" s="15"/>
      <c r="RLX229" s="15"/>
      <c r="RLY229" s="15"/>
      <c r="RLZ229" s="10"/>
      <c r="RMA229" s="10"/>
      <c r="RMB229" s="21"/>
      <c r="RMC229" s="21"/>
      <c r="RMF229" s="21"/>
      <c r="RMG229" s="15"/>
      <c r="RMH229" s="15"/>
      <c r="RMI229" s="15"/>
      <c r="RMJ229" s="15"/>
      <c r="RMK229" s="15"/>
      <c r="RML229" s="15"/>
      <c r="RMM229" s="15"/>
      <c r="RMN229" s="15"/>
      <c r="RMO229" s="15"/>
      <c r="RMP229" s="15"/>
      <c r="RMQ229" s="10"/>
      <c r="RMR229" s="10"/>
      <c r="RMS229" s="21"/>
      <c r="RMT229" s="21"/>
      <c r="RMW229" s="21"/>
      <c r="RMX229" s="15"/>
      <c r="RMY229" s="15"/>
      <c r="RMZ229" s="15"/>
      <c r="RNA229" s="15"/>
      <c r="RNB229" s="15"/>
      <c r="RNC229" s="15"/>
      <c r="RND229" s="15"/>
      <c r="RNE229" s="15"/>
      <c r="RNF229" s="15"/>
      <c r="RNG229" s="15"/>
      <c r="RNH229" s="10"/>
      <c r="RNI229" s="10"/>
      <c r="RNJ229" s="21"/>
      <c r="RNK229" s="21"/>
      <c r="RNN229" s="21"/>
      <c r="RNO229" s="15"/>
      <c r="RNP229" s="15"/>
      <c r="RNQ229" s="15"/>
      <c r="RNR229" s="15"/>
      <c r="RNS229" s="15"/>
      <c r="RNT229" s="15"/>
      <c r="RNU229" s="15"/>
      <c r="RNV229" s="15"/>
      <c r="RNW229" s="15"/>
      <c r="RNX229" s="15"/>
      <c r="RNY229" s="10"/>
      <c r="RNZ229" s="10"/>
      <c r="ROA229" s="21"/>
      <c r="ROB229" s="21"/>
      <c r="ROE229" s="21"/>
      <c r="ROF229" s="15"/>
      <c r="ROG229" s="15"/>
      <c r="ROH229" s="15"/>
      <c r="ROI229" s="15"/>
      <c r="ROJ229" s="15"/>
      <c r="ROK229" s="15"/>
      <c r="ROL229" s="15"/>
      <c r="ROM229" s="15"/>
      <c r="RON229" s="15"/>
      <c r="ROO229" s="15"/>
      <c r="ROP229" s="10"/>
      <c r="ROQ229" s="10"/>
      <c r="ROR229" s="21"/>
      <c r="ROS229" s="21"/>
      <c r="ROV229" s="21"/>
      <c r="ROW229" s="15"/>
      <c r="ROX229" s="15"/>
      <c r="ROY229" s="15"/>
      <c r="ROZ229" s="15"/>
      <c r="RPA229" s="15"/>
      <c r="RPB229" s="15"/>
      <c r="RPC229" s="15"/>
      <c r="RPD229" s="15"/>
      <c r="RPE229" s="15"/>
      <c r="RPF229" s="15"/>
      <c r="RPG229" s="10"/>
      <c r="RPH229" s="10"/>
      <c r="RPI229" s="21"/>
      <c r="RPJ229" s="21"/>
      <c r="RPM229" s="21"/>
      <c r="RPN229" s="15"/>
      <c r="RPO229" s="15"/>
      <c r="RPP229" s="15"/>
      <c r="RPQ229" s="15"/>
      <c r="RPR229" s="15"/>
      <c r="RPS229" s="15"/>
      <c r="RPT229" s="15"/>
      <c r="RPU229" s="15"/>
      <c r="RPV229" s="15"/>
      <c r="RPW229" s="15"/>
      <c r="RPX229" s="10"/>
      <c r="RPY229" s="10"/>
      <c r="RPZ229" s="21"/>
      <c r="RQA229" s="21"/>
      <c r="RQD229" s="21"/>
      <c r="RQE229" s="15"/>
      <c r="RQF229" s="15"/>
      <c r="RQG229" s="15"/>
      <c r="RQH229" s="15"/>
      <c r="RQI229" s="15"/>
      <c r="RQJ229" s="15"/>
      <c r="RQK229" s="15"/>
      <c r="RQL229" s="15"/>
      <c r="RQM229" s="15"/>
      <c r="RQN229" s="15"/>
      <c r="RQO229" s="10"/>
      <c r="RQP229" s="10"/>
      <c r="RQQ229" s="21"/>
      <c r="RQR229" s="21"/>
      <c r="RQU229" s="21"/>
      <c r="RQV229" s="15"/>
      <c r="RQW229" s="15"/>
      <c r="RQX229" s="15"/>
      <c r="RQY229" s="15"/>
      <c r="RQZ229" s="15"/>
      <c r="RRA229" s="15"/>
      <c r="RRB229" s="15"/>
      <c r="RRC229" s="15"/>
      <c r="RRD229" s="15"/>
      <c r="RRE229" s="15"/>
      <c r="RRF229" s="10"/>
      <c r="RRG229" s="10"/>
      <c r="RRH229" s="21"/>
      <c r="RRI229" s="21"/>
      <c r="RRL229" s="21"/>
      <c r="RRM229" s="15"/>
      <c r="RRN229" s="15"/>
      <c r="RRO229" s="15"/>
      <c r="RRP229" s="15"/>
      <c r="RRQ229" s="15"/>
      <c r="RRR229" s="15"/>
      <c r="RRS229" s="15"/>
      <c r="RRT229" s="15"/>
      <c r="RRU229" s="15"/>
      <c r="RRV229" s="15"/>
      <c r="RRW229" s="10"/>
      <c r="RRX229" s="10"/>
      <c r="RRY229" s="21"/>
      <c r="RRZ229" s="21"/>
      <c r="RSC229" s="21"/>
      <c r="RSD229" s="15"/>
      <c r="RSE229" s="15"/>
      <c r="RSF229" s="15"/>
      <c r="RSG229" s="15"/>
      <c r="RSH229" s="15"/>
      <c r="RSI229" s="15"/>
      <c r="RSJ229" s="15"/>
      <c r="RSK229" s="15"/>
      <c r="RSL229" s="15"/>
      <c r="RSM229" s="15"/>
      <c r="RSN229" s="10"/>
      <c r="RSO229" s="10"/>
      <c r="RSP229" s="21"/>
      <c r="RSQ229" s="21"/>
      <c r="RST229" s="21"/>
      <c r="RSU229" s="15"/>
      <c r="RSV229" s="15"/>
      <c r="RSW229" s="15"/>
      <c r="RSX229" s="15"/>
      <c r="RSY229" s="15"/>
      <c r="RSZ229" s="15"/>
      <c r="RTA229" s="15"/>
      <c r="RTB229" s="15"/>
      <c r="RTC229" s="15"/>
      <c r="RTD229" s="15"/>
      <c r="RTE229" s="10"/>
      <c r="RTF229" s="10"/>
      <c r="RTG229" s="21"/>
      <c r="RTH229" s="21"/>
      <c r="RTK229" s="21"/>
      <c r="RTL229" s="15"/>
      <c r="RTM229" s="15"/>
      <c r="RTN229" s="15"/>
      <c r="RTO229" s="15"/>
      <c r="RTP229" s="15"/>
      <c r="RTQ229" s="15"/>
      <c r="RTR229" s="15"/>
      <c r="RTS229" s="15"/>
      <c r="RTT229" s="15"/>
      <c r="RTU229" s="15"/>
      <c r="RTV229" s="10"/>
      <c r="RTW229" s="10"/>
      <c r="RTX229" s="21"/>
      <c r="RTY229" s="21"/>
      <c r="RUB229" s="21"/>
      <c r="RUC229" s="15"/>
      <c r="RUD229" s="15"/>
      <c r="RUE229" s="15"/>
      <c r="RUF229" s="15"/>
      <c r="RUG229" s="15"/>
      <c r="RUH229" s="15"/>
      <c r="RUI229" s="15"/>
      <c r="RUJ229" s="15"/>
      <c r="RUK229" s="15"/>
      <c r="RUL229" s="15"/>
      <c r="RUM229" s="10"/>
      <c r="RUN229" s="10"/>
      <c r="RUO229" s="21"/>
      <c r="RUP229" s="21"/>
      <c r="RUS229" s="21"/>
      <c r="RUT229" s="15"/>
      <c r="RUU229" s="15"/>
      <c r="RUV229" s="15"/>
      <c r="RUW229" s="15"/>
      <c r="RUX229" s="15"/>
      <c r="RUY229" s="15"/>
      <c r="RUZ229" s="15"/>
      <c r="RVA229" s="15"/>
      <c r="RVB229" s="15"/>
      <c r="RVC229" s="15"/>
      <c r="RVD229" s="10"/>
      <c r="RVE229" s="10"/>
      <c r="RVF229" s="21"/>
      <c r="RVG229" s="21"/>
      <c r="RVJ229" s="21"/>
      <c r="RVK229" s="15"/>
      <c r="RVL229" s="15"/>
      <c r="RVM229" s="15"/>
      <c r="RVN229" s="15"/>
      <c r="RVO229" s="15"/>
      <c r="RVP229" s="15"/>
      <c r="RVQ229" s="15"/>
      <c r="RVR229" s="15"/>
      <c r="RVS229" s="15"/>
      <c r="RVT229" s="15"/>
      <c r="RVU229" s="10"/>
      <c r="RVV229" s="10"/>
      <c r="RVW229" s="21"/>
      <c r="RVX229" s="21"/>
      <c r="RWA229" s="21"/>
      <c r="RWB229" s="15"/>
      <c r="RWC229" s="15"/>
      <c r="RWD229" s="15"/>
      <c r="RWE229" s="15"/>
      <c r="RWF229" s="15"/>
      <c r="RWG229" s="15"/>
      <c r="RWH229" s="15"/>
      <c r="RWI229" s="15"/>
      <c r="RWJ229" s="15"/>
      <c r="RWK229" s="15"/>
      <c r="RWL229" s="10"/>
      <c r="RWM229" s="10"/>
      <c r="RWN229" s="21"/>
      <c r="RWO229" s="21"/>
      <c r="RWR229" s="21"/>
      <c r="RWS229" s="15"/>
      <c r="RWT229" s="15"/>
      <c r="RWU229" s="15"/>
      <c r="RWV229" s="15"/>
      <c r="RWW229" s="15"/>
      <c r="RWX229" s="15"/>
      <c r="RWY229" s="15"/>
      <c r="RWZ229" s="15"/>
      <c r="RXA229" s="15"/>
      <c r="RXB229" s="15"/>
      <c r="RXC229" s="10"/>
      <c r="RXD229" s="10"/>
      <c r="RXE229" s="21"/>
      <c r="RXF229" s="21"/>
      <c r="RXI229" s="21"/>
      <c r="RXJ229" s="15"/>
      <c r="RXK229" s="15"/>
      <c r="RXL229" s="15"/>
      <c r="RXM229" s="15"/>
      <c r="RXN229" s="15"/>
      <c r="RXO229" s="15"/>
      <c r="RXP229" s="15"/>
      <c r="RXQ229" s="15"/>
      <c r="RXR229" s="15"/>
      <c r="RXS229" s="15"/>
      <c r="RXT229" s="10"/>
      <c r="RXU229" s="10"/>
      <c r="RXV229" s="21"/>
      <c r="RXW229" s="21"/>
      <c r="RXZ229" s="21"/>
      <c r="RYA229" s="15"/>
      <c r="RYB229" s="15"/>
      <c r="RYC229" s="15"/>
      <c r="RYD229" s="15"/>
      <c r="RYE229" s="15"/>
      <c r="RYF229" s="15"/>
      <c r="RYG229" s="15"/>
      <c r="RYH229" s="15"/>
      <c r="RYI229" s="15"/>
      <c r="RYJ229" s="15"/>
      <c r="RYK229" s="10"/>
      <c r="RYL229" s="10"/>
      <c r="RYM229" s="21"/>
      <c r="RYN229" s="21"/>
      <c r="RYQ229" s="21"/>
      <c r="RYR229" s="15"/>
      <c r="RYS229" s="15"/>
      <c r="RYT229" s="15"/>
      <c r="RYU229" s="15"/>
      <c r="RYV229" s="15"/>
      <c r="RYW229" s="15"/>
      <c r="RYX229" s="15"/>
      <c r="RYY229" s="15"/>
      <c r="RYZ229" s="15"/>
      <c r="RZA229" s="15"/>
      <c r="RZB229" s="10"/>
      <c r="RZC229" s="10"/>
      <c r="RZD229" s="21"/>
      <c r="RZE229" s="21"/>
      <c r="RZH229" s="21"/>
      <c r="RZI229" s="15"/>
      <c r="RZJ229" s="15"/>
      <c r="RZK229" s="15"/>
      <c r="RZL229" s="15"/>
      <c r="RZM229" s="15"/>
      <c r="RZN229" s="15"/>
      <c r="RZO229" s="15"/>
      <c r="RZP229" s="15"/>
      <c r="RZQ229" s="15"/>
      <c r="RZR229" s="15"/>
      <c r="RZS229" s="10"/>
      <c r="RZT229" s="10"/>
      <c r="RZU229" s="21"/>
      <c r="RZV229" s="21"/>
      <c r="RZY229" s="21"/>
      <c r="RZZ229" s="15"/>
      <c r="SAA229" s="15"/>
      <c r="SAB229" s="15"/>
      <c r="SAC229" s="15"/>
      <c r="SAD229" s="15"/>
      <c r="SAE229" s="15"/>
      <c r="SAF229" s="15"/>
      <c r="SAG229" s="15"/>
      <c r="SAH229" s="15"/>
      <c r="SAI229" s="15"/>
      <c r="SAJ229" s="10"/>
      <c r="SAK229" s="10"/>
      <c r="SAL229" s="21"/>
      <c r="SAM229" s="21"/>
      <c r="SAP229" s="21"/>
      <c r="SAQ229" s="15"/>
      <c r="SAR229" s="15"/>
      <c r="SAS229" s="15"/>
      <c r="SAT229" s="15"/>
      <c r="SAU229" s="15"/>
      <c r="SAV229" s="15"/>
      <c r="SAW229" s="15"/>
      <c r="SAX229" s="15"/>
      <c r="SAY229" s="15"/>
      <c r="SAZ229" s="15"/>
      <c r="SBA229" s="10"/>
      <c r="SBB229" s="10"/>
      <c r="SBC229" s="21"/>
      <c r="SBD229" s="21"/>
      <c r="SBG229" s="21"/>
      <c r="SBH229" s="15"/>
      <c r="SBI229" s="15"/>
      <c r="SBJ229" s="15"/>
      <c r="SBK229" s="15"/>
      <c r="SBL229" s="15"/>
      <c r="SBM229" s="15"/>
      <c r="SBN229" s="15"/>
      <c r="SBO229" s="15"/>
      <c r="SBP229" s="15"/>
      <c r="SBQ229" s="15"/>
      <c r="SBR229" s="10"/>
      <c r="SBS229" s="10"/>
      <c r="SBT229" s="21"/>
      <c r="SBU229" s="21"/>
      <c r="SBX229" s="21"/>
      <c r="SBY229" s="15"/>
      <c r="SBZ229" s="15"/>
      <c r="SCA229" s="15"/>
      <c r="SCB229" s="15"/>
      <c r="SCC229" s="15"/>
      <c r="SCD229" s="15"/>
      <c r="SCE229" s="15"/>
      <c r="SCF229" s="15"/>
      <c r="SCG229" s="15"/>
      <c r="SCH229" s="15"/>
      <c r="SCI229" s="10"/>
      <c r="SCJ229" s="10"/>
      <c r="SCK229" s="21"/>
      <c r="SCL229" s="21"/>
      <c r="SCO229" s="21"/>
      <c r="SCP229" s="15"/>
      <c r="SCQ229" s="15"/>
      <c r="SCR229" s="15"/>
      <c r="SCS229" s="15"/>
      <c r="SCT229" s="15"/>
      <c r="SCU229" s="15"/>
      <c r="SCV229" s="15"/>
      <c r="SCW229" s="15"/>
      <c r="SCX229" s="15"/>
      <c r="SCY229" s="15"/>
      <c r="SCZ229" s="10"/>
      <c r="SDA229" s="10"/>
      <c r="SDB229" s="21"/>
      <c r="SDC229" s="21"/>
      <c r="SDF229" s="21"/>
      <c r="SDG229" s="15"/>
      <c r="SDH229" s="15"/>
      <c r="SDI229" s="15"/>
      <c r="SDJ229" s="15"/>
      <c r="SDK229" s="15"/>
      <c r="SDL229" s="15"/>
      <c r="SDM229" s="15"/>
      <c r="SDN229" s="15"/>
      <c r="SDO229" s="15"/>
      <c r="SDP229" s="15"/>
      <c r="SDQ229" s="10"/>
      <c r="SDR229" s="10"/>
      <c r="SDS229" s="21"/>
      <c r="SDT229" s="21"/>
      <c r="SDW229" s="21"/>
      <c r="SDX229" s="15"/>
      <c r="SDY229" s="15"/>
      <c r="SDZ229" s="15"/>
      <c r="SEA229" s="15"/>
      <c r="SEB229" s="15"/>
      <c r="SEC229" s="15"/>
      <c r="SED229" s="15"/>
      <c r="SEE229" s="15"/>
      <c r="SEF229" s="15"/>
      <c r="SEG229" s="15"/>
      <c r="SEH229" s="10"/>
      <c r="SEI229" s="10"/>
      <c r="SEJ229" s="21"/>
      <c r="SEK229" s="21"/>
      <c r="SEN229" s="21"/>
      <c r="SEO229" s="15"/>
      <c r="SEP229" s="15"/>
      <c r="SEQ229" s="15"/>
      <c r="SER229" s="15"/>
      <c r="SES229" s="15"/>
      <c r="SET229" s="15"/>
      <c r="SEU229" s="15"/>
      <c r="SEV229" s="15"/>
      <c r="SEW229" s="15"/>
      <c r="SEX229" s="15"/>
      <c r="SEY229" s="10"/>
      <c r="SEZ229" s="10"/>
      <c r="SFA229" s="21"/>
      <c r="SFB229" s="21"/>
      <c r="SFE229" s="21"/>
      <c r="SFF229" s="15"/>
      <c r="SFG229" s="15"/>
      <c r="SFH229" s="15"/>
      <c r="SFI229" s="15"/>
      <c r="SFJ229" s="15"/>
      <c r="SFK229" s="15"/>
      <c r="SFL229" s="15"/>
      <c r="SFM229" s="15"/>
      <c r="SFN229" s="15"/>
      <c r="SFO229" s="15"/>
      <c r="SFP229" s="10"/>
      <c r="SFQ229" s="10"/>
      <c r="SFR229" s="21"/>
      <c r="SFS229" s="21"/>
      <c r="SFV229" s="21"/>
      <c r="SFW229" s="15"/>
      <c r="SFX229" s="15"/>
      <c r="SFY229" s="15"/>
      <c r="SFZ229" s="15"/>
      <c r="SGA229" s="15"/>
      <c r="SGB229" s="15"/>
      <c r="SGC229" s="15"/>
      <c r="SGD229" s="15"/>
      <c r="SGE229" s="15"/>
      <c r="SGF229" s="15"/>
      <c r="SGG229" s="10"/>
      <c r="SGH229" s="10"/>
      <c r="SGI229" s="21"/>
      <c r="SGJ229" s="21"/>
      <c r="SGM229" s="21"/>
      <c r="SGN229" s="15"/>
      <c r="SGO229" s="15"/>
      <c r="SGP229" s="15"/>
      <c r="SGQ229" s="15"/>
      <c r="SGR229" s="15"/>
      <c r="SGS229" s="15"/>
      <c r="SGT229" s="15"/>
      <c r="SGU229" s="15"/>
      <c r="SGV229" s="15"/>
      <c r="SGW229" s="15"/>
      <c r="SGX229" s="10"/>
      <c r="SGY229" s="10"/>
      <c r="SGZ229" s="21"/>
      <c r="SHA229" s="21"/>
      <c r="SHD229" s="21"/>
      <c r="SHE229" s="15"/>
      <c r="SHF229" s="15"/>
      <c r="SHG229" s="15"/>
      <c r="SHH229" s="15"/>
      <c r="SHI229" s="15"/>
      <c r="SHJ229" s="15"/>
      <c r="SHK229" s="15"/>
      <c r="SHL229" s="15"/>
      <c r="SHM229" s="15"/>
      <c r="SHN229" s="15"/>
      <c r="SHO229" s="10"/>
      <c r="SHP229" s="10"/>
      <c r="SHQ229" s="21"/>
      <c r="SHR229" s="21"/>
      <c r="SHU229" s="21"/>
      <c r="SHV229" s="15"/>
      <c r="SHW229" s="15"/>
      <c r="SHX229" s="15"/>
      <c r="SHY229" s="15"/>
      <c r="SHZ229" s="15"/>
      <c r="SIA229" s="15"/>
      <c r="SIB229" s="15"/>
      <c r="SIC229" s="15"/>
      <c r="SID229" s="15"/>
      <c r="SIE229" s="15"/>
      <c r="SIF229" s="10"/>
      <c r="SIG229" s="10"/>
      <c r="SIH229" s="21"/>
      <c r="SII229" s="21"/>
      <c r="SIL229" s="21"/>
      <c r="SIM229" s="15"/>
      <c r="SIN229" s="15"/>
      <c r="SIO229" s="15"/>
      <c r="SIP229" s="15"/>
      <c r="SIQ229" s="15"/>
      <c r="SIR229" s="15"/>
      <c r="SIS229" s="15"/>
      <c r="SIT229" s="15"/>
      <c r="SIU229" s="15"/>
      <c r="SIV229" s="15"/>
      <c r="SIW229" s="10"/>
      <c r="SIX229" s="10"/>
      <c r="SIY229" s="21"/>
      <c r="SIZ229" s="21"/>
      <c r="SJC229" s="21"/>
      <c r="SJD229" s="15"/>
      <c r="SJE229" s="15"/>
      <c r="SJF229" s="15"/>
      <c r="SJG229" s="15"/>
      <c r="SJH229" s="15"/>
      <c r="SJI229" s="15"/>
      <c r="SJJ229" s="15"/>
      <c r="SJK229" s="15"/>
      <c r="SJL229" s="15"/>
      <c r="SJM229" s="15"/>
      <c r="SJN229" s="10"/>
      <c r="SJO229" s="10"/>
      <c r="SJP229" s="21"/>
      <c r="SJQ229" s="21"/>
      <c r="SJT229" s="21"/>
      <c r="SJU229" s="15"/>
      <c r="SJV229" s="15"/>
      <c r="SJW229" s="15"/>
      <c r="SJX229" s="15"/>
      <c r="SJY229" s="15"/>
      <c r="SJZ229" s="15"/>
      <c r="SKA229" s="15"/>
      <c r="SKB229" s="15"/>
      <c r="SKC229" s="15"/>
      <c r="SKD229" s="15"/>
      <c r="SKE229" s="10"/>
      <c r="SKF229" s="10"/>
      <c r="SKG229" s="21"/>
      <c r="SKH229" s="21"/>
      <c r="SKK229" s="21"/>
      <c r="SKL229" s="15"/>
      <c r="SKM229" s="15"/>
      <c r="SKN229" s="15"/>
      <c r="SKO229" s="15"/>
      <c r="SKP229" s="15"/>
      <c r="SKQ229" s="15"/>
      <c r="SKR229" s="15"/>
      <c r="SKS229" s="15"/>
      <c r="SKT229" s="15"/>
      <c r="SKU229" s="15"/>
      <c r="SKV229" s="10"/>
      <c r="SKW229" s="10"/>
      <c r="SKX229" s="21"/>
      <c r="SKY229" s="21"/>
      <c r="SLB229" s="21"/>
      <c r="SLC229" s="15"/>
      <c r="SLD229" s="15"/>
      <c r="SLE229" s="15"/>
      <c r="SLF229" s="15"/>
      <c r="SLG229" s="15"/>
      <c r="SLH229" s="15"/>
      <c r="SLI229" s="15"/>
      <c r="SLJ229" s="15"/>
      <c r="SLK229" s="15"/>
      <c r="SLL229" s="15"/>
      <c r="SLM229" s="10"/>
      <c r="SLN229" s="10"/>
      <c r="SLO229" s="21"/>
      <c r="SLP229" s="21"/>
      <c r="SLS229" s="21"/>
      <c r="SLT229" s="15"/>
      <c r="SLU229" s="15"/>
      <c r="SLV229" s="15"/>
      <c r="SLW229" s="15"/>
      <c r="SLX229" s="15"/>
      <c r="SLY229" s="15"/>
      <c r="SLZ229" s="15"/>
      <c r="SMA229" s="15"/>
      <c r="SMB229" s="15"/>
      <c r="SMC229" s="15"/>
      <c r="SMD229" s="10"/>
      <c r="SME229" s="10"/>
      <c r="SMF229" s="21"/>
      <c r="SMG229" s="21"/>
      <c r="SMJ229" s="21"/>
      <c r="SMK229" s="15"/>
      <c r="SML229" s="15"/>
      <c r="SMM229" s="15"/>
      <c r="SMN229" s="15"/>
      <c r="SMO229" s="15"/>
      <c r="SMP229" s="15"/>
      <c r="SMQ229" s="15"/>
      <c r="SMR229" s="15"/>
      <c r="SMS229" s="15"/>
      <c r="SMT229" s="15"/>
      <c r="SMU229" s="10"/>
      <c r="SMV229" s="10"/>
      <c r="SMW229" s="21"/>
      <c r="SMX229" s="21"/>
      <c r="SNA229" s="21"/>
      <c r="SNB229" s="15"/>
      <c r="SNC229" s="15"/>
      <c r="SND229" s="15"/>
      <c r="SNE229" s="15"/>
      <c r="SNF229" s="15"/>
      <c r="SNG229" s="15"/>
      <c r="SNH229" s="15"/>
      <c r="SNI229" s="15"/>
      <c r="SNJ229" s="15"/>
      <c r="SNK229" s="15"/>
      <c r="SNL229" s="10"/>
      <c r="SNM229" s="10"/>
      <c r="SNN229" s="21"/>
      <c r="SNO229" s="21"/>
      <c r="SNR229" s="21"/>
      <c r="SNS229" s="15"/>
      <c r="SNT229" s="15"/>
      <c r="SNU229" s="15"/>
      <c r="SNV229" s="15"/>
      <c r="SNW229" s="15"/>
      <c r="SNX229" s="15"/>
      <c r="SNY229" s="15"/>
      <c r="SNZ229" s="15"/>
      <c r="SOA229" s="15"/>
      <c r="SOB229" s="15"/>
      <c r="SOC229" s="10"/>
      <c r="SOD229" s="10"/>
      <c r="SOE229" s="21"/>
      <c r="SOF229" s="21"/>
      <c r="SOI229" s="21"/>
      <c r="SOJ229" s="15"/>
      <c r="SOK229" s="15"/>
      <c r="SOL229" s="15"/>
      <c r="SOM229" s="15"/>
      <c r="SON229" s="15"/>
      <c r="SOO229" s="15"/>
      <c r="SOP229" s="15"/>
      <c r="SOQ229" s="15"/>
      <c r="SOR229" s="15"/>
      <c r="SOS229" s="15"/>
      <c r="SOT229" s="10"/>
      <c r="SOU229" s="10"/>
      <c r="SOV229" s="21"/>
      <c r="SOW229" s="21"/>
      <c r="SOZ229" s="21"/>
      <c r="SPA229" s="15"/>
      <c r="SPB229" s="15"/>
      <c r="SPC229" s="15"/>
      <c r="SPD229" s="15"/>
      <c r="SPE229" s="15"/>
      <c r="SPF229" s="15"/>
      <c r="SPG229" s="15"/>
      <c r="SPH229" s="15"/>
      <c r="SPI229" s="15"/>
      <c r="SPJ229" s="15"/>
      <c r="SPK229" s="10"/>
      <c r="SPL229" s="10"/>
      <c r="SPM229" s="21"/>
      <c r="SPN229" s="21"/>
      <c r="SPQ229" s="21"/>
      <c r="SPR229" s="15"/>
      <c r="SPS229" s="15"/>
      <c r="SPT229" s="15"/>
      <c r="SPU229" s="15"/>
      <c r="SPV229" s="15"/>
      <c r="SPW229" s="15"/>
      <c r="SPX229" s="15"/>
      <c r="SPY229" s="15"/>
      <c r="SPZ229" s="15"/>
      <c r="SQA229" s="15"/>
      <c r="SQB229" s="10"/>
      <c r="SQC229" s="10"/>
      <c r="SQD229" s="21"/>
      <c r="SQE229" s="21"/>
      <c r="SQH229" s="21"/>
      <c r="SQI229" s="15"/>
      <c r="SQJ229" s="15"/>
      <c r="SQK229" s="15"/>
      <c r="SQL229" s="15"/>
      <c r="SQM229" s="15"/>
      <c r="SQN229" s="15"/>
      <c r="SQO229" s="15"/>
      <c r="SQP229" s="15"/>
      <c r="SQQ229" s="15"/>
      <c r="SQR229" s="15"/>
      <c r="SQS229" s="10"/>
      <c r="SQT229" s="10"/>
      <c r="SQU229" s="21"/>
      <c r="SQV229" s="21"/>
      <c r="SQY229" s="21"/>
      <c r="SQZ229" s="15"/>
      <c r="SRA229" s="15"/>
      <c r="SRB229" s="15"/>
      <c r="SRC229" s="15"/>
      <c r="SRD229" s="15"/>
      <c r="SRE229" s="15"/>
      <c r="SRF229" s="15"/>
      <c r="SRG229" s="15"/>
      <c r="SRH229" s="15"/>
      <c r="SRI229" s="15"/>
      <c r="SRJ229" s="10"/>
      <c r="SRK229" s="10"/>
      <c r="SRL229" s="21"/>
      <c r="SRM229" s="21"/>
      <c r="SRP229" s="21"/>
      <c r="SRQ229" s="15"/>
      <c r="SRR229" s="15"/>
      <c r="SRS229" s="15"/>
      <c r="SRT229" s="15"/>
      <c r="SRU229" s="15"/>
      <c r="SRV229" s="15"/>
      <c r="SRW229" s="15"/>
      <c r="SRX229" s="15"/>
      <c r="SRY229" s="15"/>
      <c r="SRZ229" s="15"/>
      <c r="SSA229" s="10"/>
      <c r="SSB229" s="10"/>
      <c r="SSC229" s="21"/>
      <c r="SSD229" s="21"/>
      <c r="SSG229" s="21"/>
      <c r="SSH229" s="15"/>
      <c r="SSI229" s="15"/>
      <c r="SSJ229" s="15"/>
      <c r="SSK229" s="15"/>
      <c r="SSL229" s="15"/>
      <c r="SSM229" s="15"/>
      <c r="SSN229" s="15"/>
      <c r="SSO229" s="15"/>
      <c r="SSP229" s="15"/>
      <c r="SSQ229" s="15"/>
      <c r="SSR229" s="10"/>
      <c r="SSS229" s="10"/>
      <c r="SST229" s="21"/>
      <c r="SSU229" s="21"/>
      <c r="SSX229" s="21"/>
      <c r="SSY229" s="15"/>
      <c r="SSZ229" s="15"/>
      <c r="STA229" s="15"/>
      <c r="STB229" s="15"/>
      <c r="STC229" s="15"/>
      <c r="STD229" s="15"/>
      <c r="STE229" s="15"/>
      <c r="STF229" s="15"/>
      <c r="STG229" s="15"/>
      <c r="STH229" s="15"/>
      <c r="STI229" s="10"/>
      <c r="STJ229" s="10"/>
      <c r="STK229" s="21"/>
      <c r="STL229" s="21"/>
      <c r="STO229" s="21"/>
      <c r="STP229" s="15"/>
      <c r="STQ229" s="15"/>
      <c r="STR229" s="15"/>
      <c r="STS229" s="15"/>
      <c r="STT229" s="15"/>
      <c r="STU229" s="15"/>
      <c r="STV229" s="15"/>
      <c r="STW229" s="15"/>
      <c r="STX229" s="15"/>
      <c r="STY229" s="15"/>
      <c r="STZ229" s="10"/>
      <c r="SUA229" s="10"/>
      <c r="SUB229" s="21"/>
      <c r="SUC229" s="21"/>
      <c r="SUF229" s="21"/>
      <c r="SUG229" s="15"/>
      <c r="SUH229" s="15"/>
      <c r="SUI229" s="15"/>
      <c r="SUJ229" s="15"/>
      <c r="SUK229" s="15"/>
      <c r="SUL229" s="15"/>
      <c r="SUM229" s="15"/>
      <c r="SUN229" s="15"/>
      <c r="SUO229" s="15"/>
      <c r="SUP229" s="15"/>
      <c r="SUQ229" s="10"/>
      <c r="SUR229" s="10"/>
      <c r="SUS229" s="21"/>
      <c r="SUT229" s="21"/>
      <c r="SUW229" s="21"/>
      <c r="SUX229" s="15"/>
      <c r="SUY229" s="15"/>
      <c r="SUZ229" s="15"/>
      <c r="SVA229" s="15"/>
      <c r="SVB229" s="15"/>
      <c r="SVC229" s="15"/>
      <c r="SVD229" s="15"/>
      <c r="SVE229" s="15"/>
      <c r="SVF229" s="15"/>
      <c r="SVG229" s="15"/>
      <c r="SVH229" s="10"/>
      <c r="SVI229" s="10"/>
      <c r="SVJ229" s="21"/>
      <c r="SVK229" s="21"/>
      <c r="SVN229" s="21"/>
      <c r="SVO229" s="15"/>
      <c r="SVP229" s="15"/>
      <c r="SVQ229" s="15"/>
      <c r="SVR229" s="15"/>
      <c r="SVS229" s="15"/>
      <c r="SVT229" s="15"/>
      <c r="SVU229" s="15"/>
      <c r="SVV229" s="15"/>
      <c r="SVW229" s="15"/>
      <c r="SVX229" s="15"/>
      <c r="SVY229" s="10"/>
      <c r="SVZ229" s="10"/>
      <c r="SWA229" s="21"/>
      <c r="SWB229" s="21"/>
      <c r="SWE229" s="21"/>
      <c r="SWF229" s="15"/>
      <c r="SWG229" s="15"/>
      <c r="SWH229" s="15"/>
      <c r="SWI229" s="15"/>
      <c r="SWJ229" s="15"/>
      <c r="SWK229" s="15"/>
      <c r="SWL229" s="15"/>
      <c r="SWM229" s="15"/>
      <c r="SWN229" s="15"/>
      <c r="SWO229" s="15"/>
      <c r="SWP229" s="10"/>
      <c r="SWQ229" s="10"/>
      <c r="SWR229" s="21"/>
      <c r="SWS229" s="21"/>
      <c r="SWV229" s="21"/>
      <c r="SWW229" s="15"/>
      <c r="SWX229" s="15"/>
      <c r="SWY229" s="15"/>
      <c r="SWZ229" s="15"/>
      <c r="SXA229" s="15"/>
      <c r="SXB229" s="15"/>
      <c r="SXC229" s="15"/>
      <c r="SXD229" s="15"/>
      <c r="SXE229" s="15"/>
      <c r="SXF229" s="15"/>
      <c r="SXG229" s="10"/>
      <c r="SXH229" s="10"/>
      <c r="SXI229" s="21"/>
      <c r="SXJ229" s="21"/>
      <c r="SXM229" s="21"/>
      <c r="SXN229" s="15"/>
      <c r="SXO229" s="15"/>
      <c r="SXP229" s="15"/>
      <c r="SXQ229" s="15"/>
      <c r="SXR229" s="15"/>
      <c r="SXS229" s="15"/>
      <c r="SXT229" s="15"/>
      <c r="SXU229" s="15"/>
      <c r="SXV229" s="15"/>
      <c r="SXW229" s="15"/>
      <c r="SXX229" s="10"/>
      <c r="SXY229" s="10"/>
      <c r="SXZ229" s="21"/>
      <c r="SYA229" s="21"/>
      <c r="SYD229" s="21"/>
      <c r="SYE229" s="15"/>
      <c r="SYF229" s="15"/>
      <c r="SYG229" s="15"/>
      <c r="SYH229" s="15"/>
      <c r="SYI229" s="15"/>
      <c r="SYJ229" s="15"/>
      <c r="SYK229" s="15"/>
      <c r="SYL229" s="15"/>
      <c r="SYM229" s="15"/>
      <c r="SYN229" s="15"/>
      <c r="SYO229" s="10"/>
      <c r="SYP229" s="10"/>
      <c r="SYQ229" s="21"/>
      <c r="SYR229" s="21"/>
      <c r="SYU229" s="21"/>
      <c r="SYV229" s="15"/>
      <c r="SYW229" s="15"/>
      <c r="SYX229" s="15"/>
      <c r="SYY229" s="15"/>
      <c r="SYZ229" s="15"/>
      <c r="SZA229" s="15"/>
      <c r="SZB229" s="15"/>
      <c r="SZC229" s="15"/>
      <c r="SZD229" s="15"/>
      <c r="SZE229" s="15"/>
      <c r="SZF229" s="10"/>
      <c r="SZG229" s="10"/>
      <c r="SZH229" s="21"/>
      <c r="SZI229" s="21"/>
      <c r="SZL229" s="21"/>
      <c r="SZM229" s="15"/>
      <c r="SZN229" s="15"/>
      <c r="SZO229" s="15"/>
      <c r="SZP229" s="15"/>
      <c r="SZQ229" s="15"/>
      <c r="SZR229" s="15"/>
      <c r="SZS229" s="15"/>
      <c r="SZT229" s="15"/>
      <c r="SZU229" s="15"/>
      <c r="SZV229" s="15"/>
      <c r="SZW229" s="10"/>
      <c r="SZX229" s="10"/>
      <c r="SZY229" s="21"/>
      <c r="SZZ229" s="21"/>
      <c r="TAC229" s="21"/>
      <c r="TAD229" s="15"/>
      <c r="TAE229" s="15"/>
      <c r="TAF229" s="15"/>
      <c r="TAG229" s="15"/>
      <c r="TAH229" s="15"/>
      <c r="TAI229" s="15"/>
      <c r="TAJ229" s="15"/>
      <c r="TAK229" s="15"/>
      <c r="TAL229" s="15"/>
      <c r="TAM229" s="15"/>
      <c r="TAN229" s="10"/>
      <c r="TAO229" s="10"/>
      <c r="TAP229" s="21"/>
      <c r="TAQ229" s="21"/>
      <c r="TAT229" s="21"/>
      <c r="TAU229" s="15"/>
      <c r="TAV229" s="15"/>
      <c r="TAW229" s="15"/>
      <c r="TAX229" s="15"/>
      <c r="TAY229" s="15"/>
      <c r="TAZ229" s="15"/>
      <c r="TBA229" s="15"/>
      <c r="TBB229" s="15"/>
      <c r="TBC229" s="15"/>
      <c r="TBD229" s="15"/>
      <c r="TBE229" s="10"/>
      <c r="TBF229" s="10"/>
      <c r="TBG229" s="21"/>
      <c r="TBH229" s="21"/>
      <c r="TBK229" s="21"/>
      <c r="TBL229" s="15"/>
      <c r="TBM229" s="15"/>
      <c r="TBN229" s="15"/>
      <c r="TBO229" s="15"/>
      <c r="TBP229" s="15"/>
      <c r="TBQ229" s="15"/>
      <c r="TBR229" s="15"/>
      <c r="TBS229" s="15"/>
      <c r="TBT229" s="15"/>
      <c r="TBU229" s="15"/>
      <c r="TBV229" s="10"/>
      <c r="TBW229" s="10"/>
      <c r="TBX229" s="21"/>
      <c r="TBY229" s="21"/>
      <c r="TCB229" s="21"/>
      <c r="TCC229" s="15"/>
      <c r="TCD229" s="15"/>
      <c r="TCE229" s="15"/>
      <c r="TCF229" s="15"/>
      <c r="TCG229" s="15"/>
      <c r="TCH229" s="15"/>
      <c r="TCI229" s="15"/>
      <c r="TCJ229" s="15"/>
      <c r="TCK229" s="15"/>
      <c r="TCL229" s="15"/>
      <c r="TCM229" s="10"/>
      <c r="TCN229" s="10"/>
      <c r="TCO229" s="21"/>
      <c r="TCP229" s="21"/>
      <c r="TCS229" s="21"/>
      <c r="TCT229" s="15"/>
      <c r="TCU229" s="15"/>
      <c r="TCV229" s="15"/>
      <c r="TCW229" s="15"/>
      <c r="TCX229" s="15"/>
      <c r="TCY229" s="15"/>
      <c r="TCZ229" s="15"/>
      <c r="TDA229" s="15"/>
      <c r="TDB229" s="15"/>
      <c r="TDC229" s="15"/>
      <c r="TDD229" s="10"/>
      <c r="TDE229" s="10"/>
      <c r="TDF229" s="21"/>
      <c r="TDG229" s="21"/>
      <c r="TDJ229" s="21"/>
      <c r="TDK229" s="15"/>
      <c r="TDL229" s="15"/>
      <c r="TDM229" s="15"/>
      <c r="TDN229" s="15"/>
      <c r="TDO229" s="15"/>
      <c r="TDP229" s="15"/>
      <c r="TDQ229" s="15"/>
      <c r="TDR229" s="15"/>
      <c r="TDS229" s="15"/>
      <c r="TDT229" s="15"/>
      <c r="TDU229" s="10"/>
      <c r="TDV229" s="10"/>
      <c r="TDW229" s="21"/>
      <c r="TDX229" s="21"/>
      <c r="TEA229" s="21"/>
      <c r="TEB229" s="15"/>
      <c r="TEC229" s="15"/>
      <c r="TED229" s="15"/>
      <c r="TEE229" s="15"/>
      <c r="TEF229" s="15"/>
      <c r="TEG229" s="15"/>
      <c r="TEH229" s="15"/>
      <c r="TEI229" s="15"/>
      <c r="TEJ229" s="15"/>
      <c r="TEK229" s="15"/>
      <c r="TEL229" s="10"/>
      <c r="TEM229" s="10"/>
      <c r="TEN229" s="21"/>
      <c r="TEO229" s="21"/>
      <c r="TER229" s="21"/>
      <c r="TES229" s="15"/>
      <c r="TET229" s="15"/>
      <c r="TEU229" s="15"/>
      <c r="TEV229" s="15"/>
      <c r="TEW229" s="15"/>
      <c r="TEX229" s="15"/>
      <c r="TEY229" s="15"/>
      <c r="TEZ229" s="15"/>
      <c r="TFA229" s="15"/>
      <c r="TFB229" s="15"/>
      <c r="TFC229" s="10"/>
      <c r="TFD229" s="10"/>
      <c r="TFE229" s="21"/>
      <c r="TFF229" s="21"/>
      <c r="TFI229" s="21"/>
      <c r="TFJ229" s="15"/>
      <c r="TFK229" s="15"/>
      <c r="TFL229" s="15"/>
      <c r="TFM229" s="15"/>
      <c r="TFN229" s="15"/>
      <c r="TFO229" s="15"/>
      <c r="TFP229" s="15"/>
      <c r="TFQ229" s="15"/>
      <c r="TFR229" s="15"/>
      <c r="TFS229" s="15"/>
      <c r="TFT229" s="10"/>
      <c r="TFU229" s="10"/>
      <c r="TFV229" s="21"/>
      <c r="TFW229" s="21"/>
      <c r="TFZ229" s="21"/>
      <c r="TGA229" s="15"/>
      <c r="TGB229" s="15"/>
      <c r="TGC229" s="15"/>
      <c r="TGD229" s="15"/>
      <c r="TGE229" s="15"/>
      <c r="TGF229" s="15"/>
      <c r="TGG229" s="15"/>
      <c r="TGH229" s="15"/>
      <c r="TGI229" s="15"/>
      <c r="TGJ229" s="15"/>
      <c r="TGK229" s="10"/>
      <c r="TGL229" s="10"/>
      <c r="TGM229" s="21"/>
      <c r="TGN229" s="21"/>
      <c r="TGQ229" s="21"/>
      <c r="TGR229" s="15"/>
      <c r="TGS229" s="15"/>
      <c r="TGT229" s="15"/>
      <c r="TGU229" s="15"/>
      <c r="TGV229" s="15"/>
      <c r="TGW229" s="15"/>
      <c r="TGX229" s="15"/>
      <c r="TGY229" s="15"/>
      <c r="TGZ229" s="15"/>
      <c r="THA229" s="15"/>
      <c r="THB229" s="10"/>
      <c r="THC229" s="10"/>
      <c r="THD229" s="21"/>
      <c r="THE229" s="21"/>
      <c r="THH229" s="21"/>
      <c r="THI229" s="15"/>
      <c r="THJ229" s="15"/>
      <c r="THK229" s="15"/>
      <c r="THL229" s="15"/>
      <c r="THM229" s="15"/>
      <c r="THN229" s="15"/>
      <c r="THO229" s="15"/>
      <c r="THP229" s="15"/>
      <c r="THQ229" s="15"/>
      <c r="THR229" s="15"/>
      <c r="THS229" s="10"/>
      <c r="THT229" s="10"/>
      <c r="THU229" s="21"/>
      <c r="THV229" s="21"/>
      <c r="THY229" s="21"/>
      <c r="THZ229" s="15"/>
      <c r="TIA229" s="15"/>
      <c r="TIB229" s="15"/>
      <c r="TIC229" s="15"/>
      <c r="TID229" s="15"/>
      <c r="TIE229" s="15"/>
      <c r="TIF229" s="15"/>
      <c r="TIG229" s="15"/>
      <c r="TIH229" s="15"/>
      <c r="TII229" s="15"/>
      <c r="TIJ229" s="10"/>
      <c r="TIK229" s="10"/>
      <c r="TIL229" s="21"/>
      <c r="TIM229" s="21"/>
      <c r="TIP229" s="21"/>
      <c r="TIQ229" s="15"/>
      <c r="TIR229" s="15"/>
      <c r="TIS229" s="15"/>
      <c r="TIT229" s="15"/>
      <c r="TIU229" s="15"/>
      <c r="TIV229" s="15"/>
      <c r="TIW229" s="15"/>
      <c r="TIX229" s="15"/>
      <c r="TIY229" s="15"/>
      <c r="TIZ229" s="15"/>
      <c r="TJA229" s="10"/>
      <c r="TJB229" s="10"/>
      <c r="TJC229" s="21"/>
      <c r="TJD229" s="21"/>
      <c r="TJG229" s="21"/>
      <c r="TJH229" s="15"/>
      <c r="TJI229" s="15"/>
      <c r="TJJ229" s="15"/>
      <c r="TJK229" s="15"/>
      <c r="TJL229" s="15"/>
      <c r="TJM229" s="15"/>
      <c r="TJN229" s="15"/>
      <c r="TJO229" s="15"/>
      <c r="TJP229" s="15"/>
      <c r="TJQ229" s="15"/>
      <c r="TJR229" s="10"/>
      <c r="TJS229" s="10"/>
      <c r="TJT229" s="21"/>
      <c r="TJU229" s="21"/>
      <c r="TJX229" s="21"/>
      <c r="TJY229" s="15"/>
      <c r="TJZ229" s="15"/>
      <c r="TKA229" s="15"/>
      <c r="TKB229" s="15"/>
      <c r="TKC229" s="15"/>
      <c r="TKD229" s="15"/>
      <c r="TKE229" s="15"/>
      <c r="TKF229" s="15"/>
      <c r="TKG229" s="15"/>
      <c r="TKH229" s="15"/>
      <c r="TKI229" s="10"/>
      <c r="TKJ229" s="10"/>
      <c r="TKK229" s="21"/>
      <c r="TKL229" s="21"/>
      <c r="TKO229" s="21"/>
      <c r="TKP229" s="15"/>
      <c r="TKQ229" s="15"/>
      <c r="TKR229" s="15"/>
      <c r="TKS229" s="15"/>
      <c r="TKT229" s="15"/>
      <c r="TKU229" s="15"/>
      <c r="TKV229" s="15"/>
      <c r="TKW229" s="15"/>
      <c r="TKX229" s="15"/>
      <c r="TKY229" s="15"/>
      <c r="TKZ229" s="10"/>
      <c r="TLA229" s="10"/>
      <c r="TLB229" s="21"/>
      <c r="TLC229" s="21"/>
      <c r="TLF229" s="21"/>
      <c r="TLG229" s="15"/>
      <c r="TLH229" s="15"/>
      <c r="TLI229" s="15"/>
      <c r="TLJ229" s="15"/>
      <c r="TLK229" s="15"/>
      <c r="TLL229" s="15"/>
      <c r="TLM229" s="15"/>
      <c r="TLN229" s="15"/>
      <c r="TLO229" s="15"/>
      <c r="TLP229" s="15"/>
      <c r="TLQ229" s="10"/>
      <c r="TLR229" s="10"/>
      <c r="TLS229" s="21"/>
      <c r="TLT229" s="21"/>
      <c r="TLW229" s="21"/>
      <c r="TLX229" s="15"/>
      <c r="TLY229" s="15"/>
      <c r="TLZ229" s="15"/>
      <c r="TMA229" s="15"/>
      <c r="TMB229" s="15"/>
      <c r="TMC229" s="15"/>
      <c r="TMD229" s="15"/>
      <c r="TME229" s="15"/>
      <c r="TMF229" s="15"/>
      <c r="TMG229" s="15"/>
      <c r="TMH229" s="10"/>
      <c r="TMI229" s="10"/>
      <c r="TMJ229" s="21"/>
      <c r="TMK229" s="21"/>
      <c r="TMN229" s="21"/>
      <c r="TMO229" s="15"/>
      <c r="TMP229" s="15"/>
      <c r="TMQ229" s="15"/>
      <c r="TMR229" s="15"/>
      <c r="TMS229" s="15"/>
      <c r="TMT229" s="15"/>
      <c r="TMU229" s="15"/>
      <c r="TMV229" s="15"/>
      <c r="TMW229" s="15"/>
      <c r="TMX229" s="15"/>
      <c r="TMY229" s="10"/>
      <c r="TMZ229" s="10"/>
      <c r="TNA229" s="21"/>
      <c r="TNB229" s="21"/>
      <c r="TNE229" s="21"/>
      <c r="TNF229" s="15"/>
      <c r="TNG229" s="15"/>
      <c r="TNH229" s="15"/>
      <c r="TNI229" s="15"/>
      <c r="TNJ229" s="15"/>
      <c r="TNK229" s="15"/>
      <c r="TNL229" s="15"/>
      <c r="TNM229" s="15"/>
      <c r="TNN229" s="15"/>
      <c r="TNO229" s="15"/>
      <c r="TNP229" s="10"/>
      <c r="TNQ229" s="10"/>
      <c r="TNR229" s="21"/>
      <c r="TNS229" s="21"/>
      <c r="TNV229" s="21"/>
      <c r="TNW229" s="15"/>
      <c r="TNX229" s="15"/>
      <c r="TNY229" s="15"/>
      <c r="TNZ229" s="15"/>
      <c r="TOA229" s="15"/>
      <c r="TOB229" s="15"/>
      <c r="TOC229" s="15"/>
      <c r="TOD229" s="15"/>
      <c r="TOE229" s="15"/>
      <c r="TOF229" s="15"/>
      <c r="TOG229" s="10"/>
      <c r="TOH229" s="10"/>
      <c r="TOI229" s="21"/>
      <c r="TOJ229" s="21"/>
      <c r="TOM229" s="21"/>
      <c r="TON229" s="15"/>
      <c r="TOO229" s="15"/>
      <c r="TOP229" s="15"/>
      <c r="TOQ229" s="15"/>
      <c r="TOR229" s="15"/>
      <c r="TOS229" s="15"/>
      <c r="TOT229" s="15"/>
      <c r="TOU229" s="15"/>
      <c r="TOV229" s="15"/>
      <c r="TOW229" s="15"/>
      <c r="TOX229" s="10"/>
      <c r="TOY229" s="10"/>
      <c r="TOZ229" s="21"/>
      <c r="TPA229" s="21"/>
      <c r="TPD229" s="21"/>
      <c r="TPE229" s="15"/>
      <c r="TPF229" s="15"/>
      <c r="TPG229" s="15"/>
      <c r="TPH229" s="15"/>
      <c r="TPI229" s="15"/>
      <c r="TPJ229" s="15"/>
      <c r="TPK229" s="15"/>
      <c r="TPL229" s="15"/>
      <c r="TPM229" s="15"/>
      <c r="TPN229" s="15"/>
      <c r="TPO229" s="10"/>
      <c r="TPP229" s="10"/>
      <c r="TPQ229" s="21"/>
      <c r="TPR229" s="21"/>
      <c r="TPU229" s="21"/>
      <c r="TPV229" s="15"/>
      <c r="TPW229" s="15"/>
      <c r="TPX229" s="15"/>
      <c r="TPY229" s="15"/>
      <c r="TPZ229" s="15"/>
      <c r="TQA229" s="15"/>
      <c r="TQB229" s="15"/>
      <c r="TQC229" s="15"/>
      <c r="TQD229" s="15"/>
      <c r="TQE229" s="15"/>
      <c r="TQF229" s="10"/>
      <c r="TQG229" s="10"/>
      <c r="TQH229" s="21"/>
      <c r="TQI229" s="21"/>
      <c r="TQL229" s="21"/>
      <c r="TQM229" s="15"/>
      <c r="TQN229" s="15"/>
      <c r="TQO229" s="15"/>
      <c r="TQP229" s="15"/>
      <c r="TQQ229" s="15"/>
      <c r="TQR229" s="15"/>
      <c r="TQS229" s="15"/>
      <c r="TQT229" s="15"/>
      <c r="TQU229" s="15"/>
      <c r="TQV229" s="15"/>
      <c r="TQW229" s="10"/>
      <c r="TQX229" s="10"/>
      <c r="TQY229" s="21"/>
      <c r="TQZ229" s="21"/>
      <c r="TRC229" s="21"/>
      <c r="TRD229" s="15"/>
      <c r="TRE229" s="15"/>
      <c r="TRF229" s="15"/>
      <c r="TRG229" s="15"/>
      <c r="TRH229" s="15"/>
      <c r="TRI229" s="15"/>
      <c r="TRJ229" s="15"/>
      <c r="TRK229" s="15"/>
      <c r="TRL229" s="15"/>
      <c r="TRM229" s="15"/>
      <c r="TRN229" s="10"/>
      <c r="TRO229" s="10"/>
      <c r="TRP229" s="21"/>
      <c r="TRQ229" s="21"/>
      <c r="TRT229" s="21"/>
      <c r="TRU229" s="15"/>
      <c r="TRV229" s="15"/>
      <c r="TRW229" s="15"/>
      <c r="TRX229" s="15"/>
      <c r="TRY229" s="15"/>
      <c r="TRZ229" s="15"/>
      <c r="TSA229" s="15"/>
      <c r="TSB229" s="15"/>
      <c r="TSC229" s="15"/>
      <c r="TSD229" s="15"/>
      <c r="TSE229" s="10"/>
      <c r="TSF229" s="10"/>
      <c r="TSG229" s="21"/>
      <c r="TSH229" s="21"/>
      <c r="TSK229" s="21"/>
      <c r="TSL229" s="15"/>
      <c r="TSM229" s="15"/>
      <c r="TSN229" s="15"/>
      <c r="TSO229" s="15"/>
      <c r="TSP229" s="15"/>
      <c r="TSQ229" s="15"/>
      <c r="TSR229" s="15"/>
      <c r="TSS229" s="15"/>
      <c r="TST229" s="15"/>
      <c r="TSU229" s="15"/>
      <c r="TSV229" s="10"/>
      <c r="TSW229" s="10"/>
      <c r="TSX229" s="21"/>
      <c r="TSY229" s="21"/>
      <c r="TTB229" s="21"/>
      <c r="TTC229" s="15"/>
      <c r="TTD229" s="15"/>
      <c r="TTE229" s="15"/>
      <c r="TTF229" s="15"/>
      <c r="TTG229" s="15"/>
      <c r="TTH229" s="15"/>
      <c r="TTI229" s="15"/>
      <c r="TTJ229" s="15"/>
      <c r="TTK229" s="15"/>
      <c r="TTL229" s="15"/>
      <c r="TTM229" s="10"/>
      <c r="TTN229" s="10"/>
      <c r="TTO229" s="21"/>
      <c r="TTP229" s="21"/>
      <c r="TTS229" s="21"/>
      <c r="TTT229" s="15"/>
      <c r="TTU229" s="15"/>
      <c r="TTV229" s="15"/>
      <c r="TTW229" s="15"/>
      <c r="TTX229" s="15"/>
      <c r="TTY229" s="15"/>
      <c r="TTZ229" s="15"/>
      <c r="TUA229" s="15"/>
      <c r="TUB229" s="15"/>
      <c r="TUC229" s="15"/>
      <c r="TUD229" s="10"/>
      <c r="TUE229" s="10"/>
      <c r="TUF229" s="21"/>
      <c r="TUG229" s="21"/>
      <c r="TUJ229" s="21"/>
      <c r="TUK229" s="15"/>
      <c r="TUL229" s="15"/>
      <c r="TUM229" s="15"/>
      <c r="TUN229" s="15"/>
      <c r="TUO229" s="15"/>
      <c r="TUP229" s="15"/>
      <c r="TUQ229" s="15"/>
      <c r="TUR229" s="15"/>
      <c r="TUS229" s="15"/>
      <c r="TUT229" s="15"/>
      <c r="TUU229" s="10"/>
      <c r="TUV229" s="10"/>
      <c r="TUW229" s="21"/>
      <c r="TUX229" s="21"/>
      <c r="TVA229" s="21"/>
      <c r="TVB229" s="15"/>
      <c r="TVC229" s="15"/>
      <c r="TVD229" s="15"/>
      <c r="TVE229" s="15"/>
      <c r="TVF229" s="15"/>
      <c r="TVG229" s="15"/>
      <c r="TVH229" s="15"/>
      <c r="TVI229" s="15"/>
      <c r="TVJ229" s="15"/>
      <c r="TVK229" s="15"/>
      <c r="TVL229" s="10"/>
      <c r="TVM229" s="10"/>
      <c r="TVN229" s="21"/>
      <c r="TVO229" s="21"/>
      <c r="TVR229" s="21"/>
      <c r="TVS229" s="15"/>
      <c r="TVT229" s="15"/>
      <c r="TVU229" s="15"/>
      <c r="TVV229" s="15"/>
      <c r="TVW229" s="15"/>
      <c r="TVX229" s="15"/>
      <c r="TVY229" s="15"/>
      <c r="TVZ229" s="15"/>
      <c r="TWA229" s="15"/>
      <c r="TWB229" s="15"/>
      <c r="TWC229" s="10"/>
      <c r="TWD229" s="10"/>
      <c r="TWE229" s="21"/>
      <c r="TWF229" s="21"/>
      <c r="TWI229" s="21"/>
      <c r="TWJ229" s="15"/>
      <c r="TWK229" s="15"/>
      <c r="TWL229" s="15"/>
      <c r="TWM229" s="15"/>
      <c r="TWN229" s="15"/>
      <c r="TWO229" s="15"/>
      <c r="TWP229" s="15"/>
      <c r="TWQ229" s="15"/>
      <c r="TWR229" s="15"/>
      <c r="TWS229" s="15"/>
      <c r="TWT229" s="10"/>
      <c r="TWU229" s="10"/>
      <c r="TWV229" s="21"/>
      <c r="TWW229" s="21"/>
      <c r="TWZ229" s="21"/>
      <c r="TXA229" s="15"/>
      <c r="TXB229" s="15"/>
      <c r="TXC229" s="15"/>
      <c r="TXD229" s="15"/>
      <c r="TXE229" s="15"/>
      <c r="TXF229" s="15"/>
      <c r="TXG229" s="15"/>
      <c r="TXH229" s="15"/>
      <c r="TXI229" s="15"/>
      <c r="TXJ229" s="15"/>
      <c r="TXK229" s="10"/>
      <c r="TXL229" s="10"/>
      <c r="TXM229" s="21"/>
      <c r="TXN229" s="21"/>
      <c r="TXQ229" s="21"/>
      <c r="TXR229" s="15"/>
      <c r="TXS229" s="15"/>
      <c r="TXT229" s="15"/>
      <c r="TXU229" s="15"/>
      <c r="TXV229" s="15"/>
      <c r="TXW229" s="15"/>
      <c r="TXX229" s="15"/>
      <c r="TXY229" s="15"/>
      <c r="TXZ229" s="15"/>
      <c r="TYA229" s="15"/>
      <c r="TYB229" s="10"/>
      <c r="TYC229" s="10"/>
      <c r="TYD229" s="21"/>
      <c r="TYE229" s="21"/>
      <c r="TYH229" s="21"/>
      <c r="TYI229" s="15"/>
      <c r="TYJ229" s="15"/>
      <c r="TYK229" s="15"/>
      <c r="TYL229" s="15"/>
      <c r="TYM229" s="15"/>
      <c r="TYN229" s="15"/>
      <c r="TYO229" s="15"/>
      <c r="TYP229" s="15"/>
      <c r="TYQ229" s="15"/>
      <c r="TYR229" s="15"/>
      <c r="TYS229" s="10"/>
      <c r="TYT229" s="10"/>
      <c r="TYU229" s="21"/>
      <c r="TYV229" s="21"/>
      <c r="TYY229" s="21"/>
      <c r="TYZ229" s="15"/>
      <c r="TZA229" s="15"/>
      <c r="TZB229" s="15"/>
      <c r="TZC229" s="15"/>
      <c r="TZD229" s="15"/>
      <c r="TZE229" s="15"/>
      <c r="TZF229" s="15"/>
      <c r="TZG229" s="15"/>
      <c r="TZH229" s="15"/>
      <c r="TZI229" s="15"/>
      <c r="TZJ229" s="10"/>
      <c r="TZK229" s="10"/>
      <c r="TZL229" s="21"/>
      <c r="TZM229" s="21"/>
      <c r="TZP229" s="21"/>
      <c r="TZQ229" s="15"/>
      <c r="TZR229" s="15"/>
      <c r="TZS229" s="15"/>
      <c r="TZT229" s="15"/>
      <c r="TZU229" s="15"/>
      <c r="TZV229" s="15"/>
      <c r="TZW229" s="15"/>
      <c r="TZX229" s="15"/>
      <c r="TZY229" s="15"/>
      <c r="TZZ229" s="15"/>
      <c r="UAA229" s="10"/>
      <c r="UAB229" s="10"/>
      <c r="UAC229" s="21"/>
      <c r="UAD229" s="21"/>
      <c r="UAG229" s="21"/>
      <c r="UAH229" s="15"/>
      <c r="UAI229" s="15"/>
      <c r="UAJ229" s="15"/>
      <c r="UAK229" s="15"/>
      <c r="UAL229" s="15"/>
      <c r="UAM229" s="15"/>
      <c r="UAN229" s="15"/>
      <c r="UAO229" s="15"/>
      <c r="UAP229" s="15"/>
      <c r="UAQ229" s="15"/>
      <c r="UAR229" s="10"/>
      <c r="UAS229" s="10"/>
      <c r="UAT229" s="21"/>
      <c r="UAU229" s="21"/>
      <c r="UAX229" s="21"/>
      <c r="UAY229" s="15"/>
      <c r="UAZ229" s="15"/>
      <c r="UBA229" s="15"/>
      <c r="UBB229" s="15"/>
      <c r="UBC229" s="15"/>
      <c r="UBD229" s="15"/>
      <c r="UBE229" s="15"/>
      <c r="UBF229" s="15"/>
      <c r="UBG229" s="15"/>
      <c r="UBH229" s="15"/>
      <c r="UBI229" s="10"/>
      <c r="UBJ229" s="10"/>
      <c r="UBK229" s="21"/>
      <c r="UBL229" s="21"/>
      <c r="UBO229" s="21"/>
      <c r="UBP229" s="15"/>
      <c r="UBQ229" s="15"/>
      <c r="UBR229" s="15"/>
      <c r="UBS229" s="15"/>
      <c r="UBT229" s="15"/>
      <c r="UBU229" s="15"/>
      <c r="UBV229" s="15"/>
      <c r="UBW229" s="15"/>
      <c r="UBX229" s="15"/>
      <c r="UBY229" s="15"/>
      <c r="UBZ229" s="10"/>
      <c r="UCA229" s="10"/>
      <c r="UCB229" s="21"/>
      <c r="UCC229" s="21"/>
      <c r="UCF229" s="21"/>
      <c r="UCG229" s="15"/>
      <c r="UCH229" s="15"/>
      <c r="UCI229" s="15"/>
      <c r="UCJ229" s="15"/>
      <c r="UCK229" s="15"/>
      <c r="UCL229" s="15"/>
      <c r="UCM229" s="15"/>
      <c r="UCN229" s="15"/>
      <c r="UCO229" s="15"/>
      <c r="UCP229" s="15"/>
      <c r="UCQ229" s="10"/>
      <c r="UCR229" s="10"/>
      <c r="UCS229" s="21"/>
      <c r="UCT229" s="21"/>
      <c r="UCW229" s="21"/>
      <c r="UCX229" s="15"/>
      <c r="UCY229" s="15"/>
      <c r="UCZ229" s="15"/>
      <c r="UDA229" s="15"/>
      <c r="UDB229" s="15"/>
      <c r="UDC229" s="15"/>
      <c r="UDD229" s="15"/>
      <c r="UDE229" s="15"/>
      <c r="UDF229" s="15"/>
      <c r="UDG229" s="15"/>
      <c r="UDH229" s="10"/>
      <c r="UDI229" s="10"/>
      <c r="UDJ229" s="21"/>
      <c r="UDK229" s="21"/>
      <c r="UDN229" s="21"/>
      <c r="UDO229" s="15"/>
      <c r="UDP229" s="15"/>
      <c r="UDQ229" s="15"/>
      <c r="UDR229" s="15"/>
      <c r="UDS229" s="15"/>
      <c r="UDT229" s="15"/>
      <c r="UDU229" s="15"/>
      <c r="UDV229" s="15"/>
      <c r="UDW229" s="15"/>
      <c r="UDX229" s="15"/>
      <c r="UDY229" s="10"/>
      <c r="UDZ229" s="10"/>
      <c r="UEA229" s="21"/>
      <c r="UEB229" s="21"/>
      <c r="UEE229" s="21"/>
      <c r="UEF229" s="15"/>
      <c r="UEG229" s="15"/>
      <c r="UEH229" s="15"/>
      <c r="UEI229" s="15"/>
      <c r="UEJ229" s="15"/>
      <c r="UEK229" s="15"/>
      <c r="UEL229" s="15"/>
      <c r="UEM229" s="15"/>
      <c r="UEN229" s="15"/>
      <c r="UEO229" s="15"/>
      <c r="UEP229" s="10"/>
      <c r="UEQ229" s="10"/>
      <c r="UER229" s="21"/>
      <c r="UES229" s="21"/>
      <c r="UEV229" s="21"/>
      <c r="UEW229" s="15"/>
      <c r="UEX229" s="15"/>
      <c r="UEY229" s="15"/>
      <c r="UEZ229" s="15"/>
      <c r="UFA229" s="15"/>
      <c r="UFB229" s="15"/>
      <c r="UFC229" s="15"/>
      <c r="UFD229" s="15"/>
      <c r="UFE229" s="15"/>
      <c r="UFF229" s="15"/>
      <c r="UFG229" s="10"/>
      <c r="UFH229" s="10"/>
      <c r="UFI229" s="21"/>
      <c r="UFJ229" s="21"/>
      <c r="UFM229" s="21"/>
      <c r="UFN229" s="15"/>
      <c r="UFO229" s="15"/>
      <c r="UFP229" s="15"/>
      <c r="UFQ229" s="15"/>
      <c r="UFR229" s="15"/>
      <c r="UFS229" s="15"/>
      <c r="UFT229" s="15"/>
      <c r="UFU229" s="15"/>
      <c r="UFV229" s="15"/>
      <c r="UFW229" s="15"/>
      <c r="UFX229" s="10"/>
      <c r="UFY229" s="10"/>
      <c r="UFZ229" s="21"/>
      <c r="UGA229" s="21"/>
      <c r="UGD229" s="21"/>
      <c r="UGE229" s="15"/>
      <c r="UGF229" s="15"/>
      <c r="UGG229" s="15"/>
      <c r="UGH229" s="15"/>
      <c r="UGI229" s="15"/>
      <c r="UGJ229" s="15"/>
      <c r="UGK229" s="15"/>
      <c r="UGL229" s="15"/>
      <c r="UGM229" s="15"/>
      <c r="UGN229" s="15"/>
      <c r="UGO229" s="10"/>
      <c r="UGP229" s="10"/>
      <c r="UGQ229" s="21"/>
      <c r="UGR229" s="21"/>
      <c r="UGU229" s="21"/>
      <c r="UGV229" s="15"/>
      <c r="UGW229" s="15"/>
      <c r="UGX229" s="15"/>
      <c r="UGY229" s="15"/>
      <c r="UGZ229" s="15"/>
      <c r="UHA229" s="15"/>
      <c r="UHB229" s="15"/>
      <c r="UHC229" s="15"/>
      <c r="UHD229" s="15"/>
      <c r="UHE229" s="15"/>
      <c r="UHF229" s="10"/>
      <c r="UHG229" s="10"/>
      <c r="UHH229" s="21"/>
      <c r="UHI229" s="21"/>
      <c r="UHL229" s="21"/>
      <c r="UHM229" s="15"/>
      <c r="UHN229" s="15"/>
      <c r="UHO229" s="15"/>
      <c r="UHP229" s="15"/>
      <c r="UHQ229" s="15"/>
      <c r="UHR229" s="15"/>
      <c r="UHS229" s="15"/>
      <c r="UHT229" s="15"/>
      <c r="UHU229" s="15"/>
      <c r="UHV229" s="15"/>
      <c r="UHW229" s="10"/>
      <c r="UHX229" s="10"/>
      <c r="UHY229" s="21"/>
      <c r="UHZ229" s="21"/>
      <c r="UIC229" s="21"/>
      <c r="UID229" s="15"/>
      <c r="UIE229" s="15"/>
      <c r="UIF229" s="15"/>
      <c r="UIG229" s="15"/>
      <c r="UIH229" s="15"/>
      <c r="UII229" s="15"/>
      <c r="UIJ229" s="15"/>
      <c r="UIK229" s="15"/>
      <c r="UIL229" s="15"/>
      <c r="UIM229" s="15"/>
      <c r="UIN229" s="10"/>
      <c r="UIO229" s="10"/>
      <c r="UIP229" s="21"/>
      <c r="UIQ229" s="21"/>
      <c r="UIT229" s="21"/>
      <c r="UIU229" s="15"/>
      <c r="UIV229" s="15"/>
      <c r="UIW229" s="15"/>
      <c r="UIX229" s="15"/>
      <c r="UIY229" s="15"/>
      <c r="UIZ229" s="15"/>
      <c r="UJA229" s="15"/>
      <c r="UJB229" s="15"/>
      <c r="UJC229" s="15"/>
      <c r="UJD229" s="15"/>
      <c r="UJE229" s="10"/>
      <c r="UJF229" s="10"/>
      <c r="UJG229" s="21"/>
      <c r="UJH229" s="21"/>
      <c r="UJK229" s="21"/>
      <c r="UJL229" s="15"/>
      <c r="UJM229" s="15"/>
      <c r="UJN229" s="15"/>
      <c r="UJO229" s="15"/>
      <c r="UJP229" s="15"/>
      <c r="UJQ229" s="15"/>
      <c r="UJR229" s="15"/>
      <c r="UJS229" s="15"/>
      <c r="UJT229" s="15"/>
      <c r="UJU229" s="15"/>
      <c r="UJV229" s="10"/>
      <c r="UJW229" s="10"/>
      <c r="UJX229" s="21"/>
      <c r="UJY229" s="21"/>
      <c r="UKB229" s="21"/>
      <c r="UKC229" s="15"/>
      <c r="UKD229" s="15"/>
      <c r="UKE229" s="15"/>
      <c r="UKF229" s="15"/>
      <c r="UKG229" s="15"/>
      <c r="UKH229" s="15"/>
      <c r="UKI229" s="15"/>
      <c r="UKJ229" s="15"/>
      <c r="UKK229" s="15"/>
      <c r="UKL229" s="15"/>
      <c r="UKM229" s="10"/>
      <c r="UKN229" s="10"/>
      <c r="UKO229" s="21"/>
      <c r="UKP229" s="21"/>
      <c r="UKS229" s="21"/>
      <c r="UKT229" s="15"/>
      <c r="UKU229" s="15"/>
      <c r="UKV229" s="15"/>
      <c r="UKW229" s="15"/>
      <c r="UKX229" s="15"/>
      <c r="UKY229" s="15"/>
      <c r="UKZ229" s="15"/>
      <c r="ULA229" s="15"/>
      <c r="ULB229" s="15"/>
      <c r="ULC229" s="15"/>
      <c r="ULD229" s="10"/>
      <c r="ULE229" s="10"/>
      <c r="ULF229" s="21"/>
      <c r="ULG229" s="21"/>
      <c r="ULJ229" s="21"/>
      <c r="ULK229" s="15"/>
      <c r="ULL229" s="15"/>
      <c r="ULM229" s="15"/>
      <c r="ULN229" s="15"/>
      <c r="ULO229" s="15"/>
      <c r="ULP229" s="15"/>
      <c r="ULQ229" s="15"/>
      <c r="ULR229" s="15"/>
      <c r="ULS229" s="15"/>
      <c r="ULT229" s="15"/>
      <c r="ULU229" s="10"/>
      <c r="ULV229" s="10"/>
      <c r="ULW229" s="21"/>
      <c r="ULX229" s="21"/>
      <c r="UMA229" s="21"/>
      <c r="UMB229" s="15"/>
      <c r="UMC229" s="15"/>
      <c r="UMD229" s="15"/>
      <c r="UME229" s="15"/>
      <c r="UMF229" s="15"/>
      <c r="UMG229" s="15"/>
      <c r="UMH229" s="15"/>
      <c r="UMI229" s="15"/>
      <c r="UMJ229" s="15"/>
      <c r="UMK229" s="15"/>
      <c r="UML229" s="10"/>
      <c r="UMM229" s="10"/>
      <c r="UMN229" s="21"/>
      <c r="UMO229" s="21"/>
      <c r="UMR229" s="21"/>
      <c r="UMS229" s="15"/>
      <c r="UMT229" s="15"/>
      <c r="UMU229" s="15"/>
      <c r="UMV229" s="15"/>
      <c r="UMW229" s="15"/>
      <c r="UMX229" s="15"/>
      <c r="UMY229" s="15"/>
      <c r="UMZ229" s="15"/>
      <c r="UNA229" s="15"/>
      <c r="UNB229" s="15"/>
      <c r="UNC229" s="10"/>
      <c r="UND229" s="10"/>
      <c r="UNE229" s="21"/>
      <c r="UNF229" s="21"/>
      <c r="UNI229" s="21"/>
      <c r="UNJ229" s="15"/>
      <c r="UNK229" s="15"/>
      <c r="UNL229" s="15"/>
      <c r="UNM229" s="15"/>
      <c r="UNN229" s="15"/>
      <c r="UNO229" s="15"/>
      <c r="UNP229" s="15"/>
      <c r="UNQ229" s="15"/>
      <c r="UNR229" s="15"/>
      <c r="UNS229" s="15"/>
      <c r="UNT229" s="10"/>
      <c r="UNU229" s="10"/>
      <c r="UNV229" s="21"/>
      <c r="UNW229" s="21"/>
      <c r="UNZ229" s="21"/>
      <c r="UOA229" s="15"/>
      <c r="UOB229" s="15"/>
      <c r="UOC229" s="15"/>
      <c r="UOD229" s="15"/>
      <c r="UOE229" s="15"/>
      <c r="UOF229" s="15"/>
      <c r="UOG229" s="15"/>
      <c r="UOH229" s="15"/>
      <c r="UOI229" s="15"/>
      <c r="UOJ229" s="15"/>
      <c r="UOK229" s="10"/>
      <c r="UOL229" s="10"/>
      <c r="UOM229" s="21"/>
      <c r="UON229" s="21"/>
      <c r="UOQ229" s="21"/>
      <c r="UOR229" s="15"/>
      <c r="UOS229" s="15"/>
      <c r="UOT229" s="15"/>
      <c r="UOU229" s="15"/>
      <c r="UOV229" s="15"/>
      <c r="UOW229" s="15"/>
      <c r="UOX229" s="15"/>
      <c r="UOY229" s="15"/>
      <c r="UOZ229" s="15"/>
      <c r="UPA229" s="15"/>
      <c r="UPB229" s="10"/>
      <c r="UPC229" s="10"/>
      <c r="UPD229" s="21"/>
      <c r="UPE229" s="21"/>
      <c r="UPH229" s="21"/>
      <c r="UPI229" s="15"/>
      <c r="UPJ229" s="15"/>
      <c r="UPK229" s="15"/>
      <c r="UPL229" s="15"/>
      <c r="UPM229" s="15"/>
      <c r="UPN229" s="15"/>
      <c r="UPO229" s="15"/>
      <c r="UPP229" s="15"/>
      <c r="UPQ229" s="15"/>
      <c r="UPR229" s="15"/>
      <c r="UPS229" s="10"/>
      <c r="UPT229" s="10"/>
      <c r="UPU229" s="21"/>
      <c r="UPV229" s="21"/>
      <c r="UPY229" s="21"/>
      <c r="UPZ229" s="15"/>
      <c r="UQA229" s="15"/>
      <c r="UQB229" s="15"/>
      <c r="UQC229" s="15"/>
      <c r="UQD229" s="15"/>
      <c r="UQE229" s="15"/>
      <c r="UQF229" s="15"/>
      <c r="UQG229" s="15"/>
      <c r="UQH229" s="15"/>
      <c r="UQI229" s="15"/>
      <c r="UQJ229" s="10"/>
      <c r="UQK229" s="10"/>
      <c r="UQL229" s="21"/>
      <c r="UQM229" s="21"/>
      <c r="UQP229" s="21"/>
      <c r="UQQ229" s="15"/>
      <c r="UQR229" s="15"/>
      <c r="UQS229" s="15"/>
      <c r="UQT229" s="15"/>
      <c r="UQU229" s="15"/>
      <c r="UQV229" s="15"/>
      <c r="UQW229" s="15"/>
      <c r="UQX229" s="15"/>
      <c r="UQY229" s="15"/>
      <c r="UQZ229" s="15"/>
      <c r="URA229" s="10"/>
      <c r="URB229" s="10"/>
      <c r="URC229" s="21"/>
      <c r="URD229" s="21"/>
      <c r="URG229" s="21"/>
      <c r="URH229" s="15"/>
      <c r="URI229" s="15"/>
      <c r="URJ229" s="15"/>
      <c r="URK229" s="15"/>
      <c r="URL229" s="15"/>
      <c r="URM229" s="15"/>
      <c r="URN229" s="15"/>
      <c r="URO229" s="15"/>
      <c r="URP229" s="15"/>
      <c r="URQ229" s="15"/>
      <c r="URR229" s="10"/>
      <c r="URS229" s="10"/>
      <c r="URT229" s="21"/>
      <c r="URU229" s="21"/>
      <c r="URX229" s="21"/>
      <c r="URY229" s="15"/>
      <c r="URZ229" s="15"/>
      <c r="USA229" s="15"/>
      <c r="USB229" s="15"/>
      <c r="USC229" s="15"/>
      <c r="USD229" s="15"/>
      <c r="USE229" s="15"/>
      <c r="USF229" s="15"/>
      <c r="USG229" s="15"/>
      <c r="USH229" s="15"/>
      <c r="USI229" s="10"/>
      <c r="USJ229" s="10"/>
      <c r="USK229" s="21"/>
      <c r="USL229" s="21"/>
      <c r="USO229" s="21"/>
      <c r="USP229" s="15"/>
      <c r="USQ229" s="15"/>
      <c r="USR229" s="15"/>
      <c r="USS229" s="15"/>
      <c r="UST229" s="15"/>
      <c r="USU229" s="15"/>
      <c r="USV229" s="15"/>
      <c r="USW229" s="15"/>
      <c r="USX229" s="15"/>
      <c r="USY229" s="15"/>
      <c r="USZ229" s="10"/>
      <c r="UTA229" s="10"/>
      <c r="UTB229" s="21"/>
      <c r="UTC229" s="21"/>
      <c r="UTF229" s="21"/>
      <c r="UTG229" s="15"/>
      <c r="UTH229" s="15"/>
      <c r="UTI229" s="15"/>
      <c r="UTJ229" s="15"/>
      <c r="UTK229" s="15"/>
      <c r="UTL229" s="15"/>
      <c r="UTM229" s="15"/>
      <c r="UTN229" s="15"/>
      <c r="UTO229" s="15"/>
      <c r="UTP229" s="15"/>
      <c r="UTQ229" s="10"/>
      <c r="UTR229" s="10"/>
      <c r="UTS229" s="21"/>
      <c r="UTT229" s="21"/>
      <c r="UTW229" s="21"/>
      <c r="UTX229" s="15"/>
      <c r="UTY229" s="15"/>
      <c r="UTZ229" s="15"/>
      <c r="UUA229" s="15"/>
      <c r="UUB229" s="15"/>
      <c r="UUC229" s="15"/>
      <c r="UUD229" s="15"/>
      <c r="UUE229" s="15"/>
      <c r="UUF229" s="15"/>
      <c r="UUG229" s="15"/>
      <c r="UUH229" s="10"/>
      <c r="UUI229" s="10"/>
      <c r="UUJ229" s="21"/>
      <c r="UUK229" s="21"/>
      <c r="UUN229" s="21"/>
      <c r="UUO229" s="15"/>
      <c r="UUP229" s="15"/>
      <c r="UUQ229" s="15"/>
      <c r="UUR229" s="15"/>
      <c r="UUS229" s="15"/>
      <c r="UUT229" s="15"/>
      <c r="UUU229" s="15"/>
      <c r="UUV229" s="15"/>
      <c r="UUW229" s="15"/>
      <c r="UUX229" s="15"/>
      <c r="UUY229" s="10"/>
      <c r="UUZ229" s="10"/>
      <c r="UVA229" s="21"/>
      <c r="UVB229" s="21"/>
      <c r="UVE229" s="21"/>
      <c r="UVF229" s="15"/>
      <c r="UVG229" s="15"/>
      <c r="UVH229" s="15"/>
      <c r="UVI229" s="15"/>
      <c r="UVJ229" s="15"/>
      <c r="UVK229" s="15"/>
      <c r="UVL229" s="15"/>
      <c r="UVM229" s="15"/>
      <c r="UVN229" s="15"/>
      <c r="UVO229" s="15"/>
      <c r="UVP229" s="10"/>
      <c r="UVQ229" s="10"/>
      <c r="UVR229" s="21"/>
      <c r="UVS229" s="21"/>
      <c r="UVV229" s="21"/>
      <c r="UVW229" s="15"/>
      <c r="UVX229" s="15"/>
      <c r="UVY229" s="15"/>
      <c r="UVZ229" s="15"/>
      <c r="UWA229" s="15"/>
      <c r="UWB229" s="15"/>
      <c r="UWC229" s="15"/>
      <c r="UWD229" s="15"/>
      <c r="UWE229" s="15"/>
      <c r="UWF229" s="15"/>
      <c r="UWG229" s="10"/>
      <c r="UWH229" s="10"/>
      <c r="UWI229" s="21"/>
      <c r="UWJ229" s="21"/>
      <c r="UWM229" s="21"/>
      <c r="UWN229" s="15"/>
      <c r="UWO229" s="15"/>
      <c r="UWP229" s="15"/>
      <c r="UWQ229" s="15"/>
      <c r="UWR229" s="15"/>
      <c r="UWS229" s="15"/>
      <c r="UWT229" s="15"/>
      <c r="UWU229" s="15"/>
      <c r="UWV229" s="15"/>
      <c r="UWW229" s="15"/>
      <c r="UWX229" s="10"/>
      <c r="UWY229" s="10"/>
      <c r="UWZ229" s="21"/>
      <c r="UXA229" s="21"/>
      <c r="UXD229" s="21"/>
      <c r="UXE229" s="15"/>
      <c r="UXF229" s="15"/>
      <c r="UXG229" s="15"/>
      <c r="UXH229" s="15"/>
      <c r="UXI229" s="15"/>
      <c r="UXJ229" s="15"/>
      <c r="UXK229" s="15"/>
      <c r="UXL229" s="15"/>
      <c r="UXM229" s="15"/>
      <c r="UXN229" s="15"/>
      <c r="UXO229" s="10"/>
      <c r="UXP229" s="10"/>
      <c r="UXQ229" s="21"/>
      <c r="UXR229" s="21"/>
      <c r="UXU229" s="21"/>
      <c r="UXV229" s="15"/>
      <c r="UXW229" s="15"/>
      <c r="UXX229" s="15"/>
      <c r="UXY229" s="15"/>
      <c r="UXZ229" s="15"/>
      <c r="UYA229" s="15"/>
      <c r="UYB229" s="15"/>
      <c r="UYC229" s="15"/>
      <c r="UYD229" s="15"/>
      <c r="UYE229" s="15"/>
      <c r="UYF229" s="10"/>
      <c r="UYG229" s="10"/>
      <c r="UYH229" s="21"/>
      <c r="UYI229" s="21"/>
      <c r="UYL229" s="21"/>
      <c r="UYM229" s="15"/>
      <c r="UYN229" s="15"/>
      <c r="UYO229" s="15"/>
      <c r="UYP229" s="15"/>
      <c r="UYQ229" s="15"/>
      <c r="UYR229" s="15"/>
      <c r="UYS229" s="15"/>
      <c r="UYT229" s="15"/>
      <c r="UYU229" s="15"/>
      <c r="UYV229" s="15"/>
      <c r="UYW229" s="10"/>
      <c r="UYX229" s="10"/>
      <c r="UYY229" s="21"/>
      <c r="UYZ229" s="21"/>
      <c r="UZC229" s="21"/>
      <c r="UZD229" s="15"/>
      <c r="UZE229" s="15"/>
      <c r="UZF229" s="15"/>
      <c r="UZG229" s="15"/>
      <c r="UZH229" s="15"/>
      <c r="UZI229" s="15"/>
      <c r="UZJ229" s="15"/>
      <c r="UZK229" s="15"/>
      <c r="UZL229" s="15"/>
      <c r="UZM229" s="15"/>
      <c r="UZN229" s="10"/>
      <c r="UZO229" s="10"/>
      <c r="UZP229" s="21"/>
      <c r="UZQ229" s="21"/>
      <c r="UZT229" s="21"/>
      <c r="UZU229" s="15"/>
      <c r="UZV229" s="15"/>
      <c r="UZW229" s="15"/>
      <c r="UZX229" s="15"/>
      <c r="UZY229" s="15"/>
      <c r="UZZ229" s="15"/>
      <c r="VAA229" s="15"/>
      <c r="VAB229" s="15"/>
      <c r="VAC229" s="15"/>
      <c r="VAD229" s="15"/>
      <c r="VAE229" s="10"/>
      <c r="VAF229" s="10"/>
      <c r="VAG229" s="21"/>
      <c r="VAH229" s="21"/>
      <c r="VAK229" s="21"/>
      <c r="VAL229" s="15"/>
      <c r="VAM229" s="15"/>
      <c r="VAN229" s="15"/>
      <c r="VAO229" s="15"/>
      <c r="VAP229" s="15"/>
      <c r="VAQ229" s="15"/>
      <c r="VAR229" s="15"/>
      <c r="VAS229" s="15"/>
      <c r="VAT229" s="15"/>
      <c r="VAU229" s="15"/>
      <c r="VAV229" s="10"/>
      <c r="VAW229" s="10"/>
      <c r="VAX229" s="21"/>
      <c r="VAY229" s="21"/>
      <c r="VBB229" s="21"/>
      <c r="VBC229" s="15"/>
      <c r="VBD229" s="15"/>
      <c r="VBE229" s="15"/>
      <c r="VBF229" s="15"/>
      <c r="VBG229" s="15"/>
      <c r="VBH229" s="15"/>
      <c r="VBI229" s="15"/>
      <c r="VBJ229" s="15"/>
      <c r="VBK229" s="15"/>
      <c r="VBL229" s="15"/>
      <c r="VBM229" s="10"/>
      <c r="VBN229" s="10"/>
      <c r="VBO229" s="21"/>
      <c r="VBP229" s="21"/>
      <c r="VBS229" s="21"/>
      <c r="VBT229" s="15"/>
      <c r="VBU229" s="15"/>
      <c r="VBV229" s="15"/>
      <c r="VBW229" s="15"/>
      <c r="VBX229" s="15"/>
      <c r="VBY229" s="15"/>
      <c r="VBZ229" s="15"/>
      <c r="VCA229" s="15"/>
      <c r="VCB229" s="15"/>
      <c r="VCC229" s="15"/>
      <c r="VCD229" s="10"/>
      <c r="VCE229" s="10"/>
      <c r="VCF229" s="21"/>
      <c r="VCG229" s="21"/>
      <c r="VCJ229" s="21"/>
      <c r="VCK229" s="15"/>
      <c r="VCL229" s="15"/>
      <c r="VCM229" s="15"/>
      <c r="VCN229" s="15"/>
      <c r="VCO229" s="15"/>
      <c r="VCP229" s="15"/>
      <c r="VCQ229" s="15"/>
      <c r="VCR229" s="15"/>
      <c r="VCS229" s="15"/>
      <c r="VCT229" s="15"/>
      <c r="VCU229" s="10"/>
      <c r="VCV229" s="10"/>
      <c r="VCW229" s="21"/>
      <c r="VCX229" s="21"/>
      <c r="VDA229" s="21"/>
      <c r="VDB229" s="15"/>
      <c r="VDC229" s="15"/>
      <c r="VDD229" s="15"/>
      <c r="VDE229" s="15"/>
      <c r="VDF229" s="15"/>
      <c r="VDG229" s="15"/>
      <c r="VDH229" s="15"/>
      <c r="VDI229" s="15"/>
      <c r="VDJ229" s="15"/>
      <c r="VDK229" s="15"/>
      <c r="VDL229" s="10"/>
      <c r="VDM229" s="10"/>
      <c r="VDN229" s="21"/>
      <c r="VDO229" s="21"/>
      <c r="VDR229" s="21"/>
      <c r="VDS229" s="15"/>
      <c r="VDT229" s="15"/>
      <c r="VDU229" s="15"/>
      <c r="VDV229" s="15"/>
      <c r="VDW229" s="15"/>
      <c r="VDX229" s="15"/>
      <c r="VDY229" s="15"/>
      <c r="VDZ229" s="15"/>
      <c r="VEA229" s="15"/>
      <c r="VEB229" s="15"/>
      <c r="VEC229" s="10"/>
      <c r="VED229" s="10"/>
      <c r="VEE229" s="21"/>
      <c r="VEF229" s="21"/>
      <c r="VEI229" s="21"/>
      <c r="VEJ229" s="15"/>
      <c r="VEK229" s="15"/>
      <c r="VEL229" s="15"/>
      <c r="VEM229" s="15"/>
      <c r="VEN229" s="15"/>
      <c r="VEO229" s="15"/>
      <c r="VEP229" s="15"/>
      <c r="VEQ229" s="15"/>
      <c r="VER229" s="15"/>
      <c r="VES229" s="15"/>
      <c r="VET229" s="10"/>
      <c r="VEU229" s="10"/>
      <c r="VEV229" s="21"/>
      <c r="VEW229" s="21"/>
      <c r="VEZ229" s="21"/>
      <c r="VFA229" s="15"/>
      <c r="VFB229" s="15"/>
      <c r="VFC229" s="15"/>
      <c r="VFD229" s="15"/>
      <c r="VFE229" s="15"/>
      <c r="VFF229" s="15"/>
      <c r="VFG229" s="15"/>
      <c r="VFH229" s="15"/>
      <c r="VFI229" s="15"/>
      <c r="VFJ229" s="15"/>
      <c r="VFK229" s="10"/>
      <c r="VFL229" s="10"/>
      <c r="VFM229" s="21"/>
      <c r="VFN229" s="21"/>
      <c r="VFQ229" s="21"/>
      <c r="VFR229" s="15"/>
      <c r="VFS229" s="15"/>
      <c r="VFT229" s="15"/>
      <c r="VFU229" s="15"/>
      <c r="VFV229" s="15"/>
      <c r="VFW229" s="15"/>
      <c r="VFX229" s="15"/>
      <c r="VFY229" s="15"/>
      <c r="VFZ229" s="15"/>
      <c r="VGA229" s="15"/>
      <c r="VGB229" s="10"/>
      <c r="VGC229" s="10"/>
      <c r="VGD229" s="21"/>
      <c r="VGE229" s="21"/>
      <c r="VGH229" s="21"/>
      <c r="VGI229" s="15"/>
      <c r="VGJ229" s="15"/>
      <c r="VGK229" s="15"/>
      <c r="VGL229" s="15"/>
      <c r="VGM229" s="15"/>
      <c r="VGN229" s="15"/>
      <c r="VGO229" s="15"/>
      <c r="VGP229" s="15"/>
      <c r="VGQ229" s="15"/>
      <c r="VGR229" s="15"/>
      <c r="VGS229" s="10"/>
      <c r="VGT229" s="10"/>
      <c r="VGU229" s="21"/>
      <c r="VGV229" s="21"/>
      <c r="VGY229" s="21"/>
      <c r="VGZ229" s="15"/>
      <c r="VHA229" s="15"/>
      <c r="VHB229" s="15"/>
      <c r="VHC229" s="15"/>
      <c r="VHD229" s="15"/>
      <c r="VHE229" s="15"/>
      <c r="VHF229" s="15"/>
      <c r="VHG229" s="15"/>
      <c r="VHH229" s="15"/>
      <c r="VHI229" s="15"/>
      <c r="VHJ229" s="10"/>
      <c r="VHK229" s="10"/>
      <c r="VHL229" s="21"/>
      <c r="VHM229" s="21"/>
      <c r="VHP229" s="21"/>
      <c r="VHQ229" s="15"/>
      <c r="VHR229" s="15"/>
      <c r="VHS229" s="15"/>
      <c r="VHT229" s="15"/>
      <c r="VHU229" s="15"/>
      <c r="VHV229" s="15"/>
      <c r="VHW229" s="15"/>
      <c r="VHX229" s="15"/>
      <c r="VHY229" s="15"/>
      <c r="VHZ229" s="15"/>
      <c r="VIA229" s="10"/>
      <c r="VIB229" s="10"/>
      <c r="VIC229" s="21"/>
      <c r="VID229" s="21"/>
      <c r="VIG229" s="21"/>
      <c r="VIH229" s="15"/>
      <c r="VII229" s="15"/>
      <c r="VIJ229" s="15"/>
      <c r="VIK229" s="15"/>
      <c r="VIL229" s="15"/>
      <c r="VIM229" s="15"/>
      <c r="VIN229" s="15"/>
      <c r="VIO229" s="15"/>
      <c r="VIP229" s="15"/>
      <c r="VIQ229" s="15"/>
      <c r="VIR229" s="10"/>
      <c r="VIS229" s="10"/>
      <c r="VIT229" s="21"/>
      <c r="VIU229" s="21"/>
      <c r="VIX229" s="21"/>
      <c r="VIY229" s="15"/>
      <c r="VIZ229" s="15"/>
      <c r="VJA229" s="15"/>
      <c r="VJB229" s="15"/>
      <c r="VJC229" s="15"/>
      <c r="VJD229" s="15"/>
      <c r="VJE229" s="15"/>
      <c r="VJF229" s="15"/>
      <c r="VJG229" s="15"/>
      <c r="VJH229" s="15"/>
      <c r="VJI229" s="10"/>
      <c r="VJJ229" s="10"/>
      <c r="VJK229" s="21"/>
      <c r="VJL229" s="21"/>
      <c r="VJO229" s="21"/>
      <c r="VJP229" s="15"/>
      <c r="VJQ229" s="15"/>
      <c r="VJR229" s="15"/>
      <c r="VJS229" s="15"/>
      <c r="VJT229" s="15"/>
      <c r="VJU229" s="15"/>
      <c r="VJV229" s="15"/>
      <c r="VJW229" s="15"/>
      <c r="VJX229" s="15"/>
      <c r="VJY229" s="15"/>
      <c r="VJZ229" s="10"/>
      <c r="VKA229" s="10"/>
      <c r="VKB229" s="21"/>
      <c r="VKC229" s="21"/>
      <c r="VKF229" s="21"/>
      <c r="VKG229" s="15"/>
      <c r="VKH229" s="15"/>
      <c r="VKI229" s="15"/>
      <c r="VKJ229" s="15"/>
      <c r="VKK229" s="15"/>
      <c r="VKL229" s="15"/>
      <c r="VKM229" s="15"/>
      <c r="VKN229" s="15"/>
      <c r="VKO229" s="15"/>
      <c r="VKP229" s="15"/>
      <c r="VKQ229" s="10"/>
      <c r="VKR229" s="10"/>
      <c r="VKS229" s="21"/>
      <c r="VKT229" s="21"/>
      <c r="VKW229" s="21"/>
      <c r="VKX229" s="15"/>
      <c r="VKY229" s="15"/>
      <c r="VKZ229" s="15"/>
      <c r="VLA229" s="15"/>
      <c r="VLB229" s="15"/>
      <c r="VLC229" s="15"/>
      <c r="VLD229" s="15"/>
      <c r="VLE229" s="15"/>
      <c r="VLF229" s="15"/>
      <c r="VLG229" s="15"/>
      <c r="VLH229" s="10"/>
      <c r="VLI229" s="10"/>
      <c r="VLJ229" s="21"/>
      <c r="VLK229" s="21"/>
      <c r="VLN229" s="21"/>
      <c r="VLO229" s="15"/>
      <c r="VLP229" s="15"/>
      <c r="VLQ229" s="15"/>
      <c r="VLR229" s="15"/>
      <c r="VLS229" s="15"/>
      <c r="VLT229" s="15"/>
      <c r="VLU229" s="15"/>
      <c r="VLV229" s="15"/>
      <c r="VLW229" s="15"/>
      <c r="VLX229" s="15"/>
      <c r="VLY229" s="10"/>
      <c r="VLZ229" s="10"/>
      <c r="VMA229" s="21"/>
      <c r="VMB229" s="21"/>
      <c r="VME229" s="21"/>
      <c r="VMF229" s="15"/>
      <c r="VMG229" s="15"/>
      <c r="VMH229" s="15"/>
      <c r="VMI229" s="15"/>
      <c r="VMJ229" s="15"/>
      <c r="VMK229" s="15"/>
      <c r="VML229" s="15"/>
      <c r="VMM229" s="15"/>
      <c r="VMN229" s="15"/>
      <c r="VMO229" s="15"/>
      <c r="VMP229" s="10"/>
      <c r="VMQ229" s="10"/>
      <c r="VMR229" s="21"/>
      <c r="VMS229" s="21"/>
      <c r="VMV229" s="21"/>
      <c r="VMW229" s="15"/>
      <c r="VMX229" s="15"/>
      <c r="VMY229" s="15"/>
      <c r="VMZ229" s="15"/>
      <c r="VNA229" s="15"/>
      <c r="VNB229" s="15"/>
      <c r="VNC229" s="15"/>
      <c r="VND229" s="15"/>
      <c r="VNE229" s="15"/>
      <c r="VNF229" s="15"/>
      <c r="VNG229" s="10"/>
      <c r="VNH229" s="10"/>
      <c r="VNI229" s="21"/>
      <c r="VNJ229" s="21"/>
      <c r="VNM229" s="21"/>
      <c r="VNN229" s="15"/>
      <c r="VNO229" s="15"/>
      <c r="VNP229" s="15"/>
      <c r="VNQ229" s="15"/>
      <c r="VNR229" s="15"/>
      <c r="VNS229" s="15"/>
      <c r="VNT229" s="15"/>
      <c r="VNU229" s="15"/>
      <c r="VNV229" s="15"/>
      <c r="VNW229" s="15"/>
      <c r="VNX229" s="10"/>
      <c r="VNY229" s="10"/>
      <c r="VNZ229" s="21"/>
      <c r="VOA229" s="21"/>
      <c r="VOD229" s="21"/>
      <c r="VOE229" s="15"/>
      <c r="VOF229" s="15"/>
      <c r="VOG229" s="15"/>
      <c r="VOH229" s="15"/>
      <c r="VOI229" s="15"/>
      <c r="VOJ229" s="15"/>
      <c r="VOK229" s="15"/>
      <c r="VOL229" s="15"/>
      <c r="VOM229" s="15"/>
      <c r="VON229" s="15"/>
      <c r="VOO229" s="10"/>
      <c r="VOP229" s="10"/>
      <c r="VOQ229" s="21"/>
      <c r="VOR229" s="21"/>
      <c r="VOU229" s="21"/>
      <c r="VOV229" s="15"/>
      <c r="VOW229" s="15"/>
      <c r="VOX229" s="15"/>
      <c r="VOY229" s="15"/>
      <c r="VOZ229" s="15"/>
      <c r="VPA229" s="15"/>
      <c r="VPB229" s="15"/>
      <c r="VPC229" s="15"/>
      <c r="VPD229" s="15"/>
      <c r="VPE229" s="15"/>
      <c r="VPF229" s="10"/>
      <c r="VPG229" s="10"/>
      <c r="VPH229" s="21"/>
      <c r="VPI229" s="21"/>
      <c r="VPL229" s="21"/>
      <c r="VPM229" s="15"/>
      <c r="VPN229" s="15"/>
      <c r="VPO229" s="15"/>
      <c r="VPP229" s="15"/>
      <c r="VPQ229" s="15"/>
      <c r="VPR229" s="15"/>
      <c r="VPS229" s="15"/>
      <c r="VPT229" s="15"/>
      <c r="VPU229" s="15"/>
      <c r="VPV229" s="15"/>
      <c r="VPW229" s="10"/>
      <c r="VPX229" s="10"/>
      <c r="VPY229" s="21"/>
      <c r="VPZ229" s="21"/>
      <c r="VQC229" s="21"/>
      <c r="VQD229" s="15"/>
      <c r="VQE229" s="15"/>
      <c r="VQF229" s="15"/>
      <c r="VQG229" s="15"/>
      <c r="VQH229" s="15"/>
      <c r="VQI229" s="15"/>
      <c r="VQJ229" s="15"/>
      <c r="VQK229" s="15"/>
      <c r="VQL229" s="15"/>
      <c r="VQM229" s="15"/>
      <c r="VQN229" s="10"/>
      <c r="VQO229" s="10"/>
      <c r="VQP229" s="21"/>
      <c r="VQQ229" s="21"/>
      <c r="VQT229" s="21"/>
      <c r="VQU229" s="15"/>
      <c r="VQV229" s="15"/>
      <c r="VQW229" s="15"/>
      <c r="VQX229" s="15"/>
      <c r="VQY229" s="15"/>
      <c r="VQZ229" s="15"/>
      <c r="VRA229" s="15"/>
      <c r="VRB229" s="15"/>
      <c r="VRC229" s="15"/>
      <c r="VRD229" s="15"/>
      <c r="VRE229" s="10"/>
      <c r="VRF229" s="10"/>
      <c r="VRG229" s="21"/>
      <c r="VRH229" s="21"/>
      <c r="VRK229" s="21"/>
      <c r="VRL229" s="15"/>
      <c r="VRM229" s="15"/>
      <c r="VRN229" s="15"/>
      <c r="VRO229" s="15"/>
      <c r="VRP229" s="15"/>
      <c r="VRQ229" s="15"/>
      <c r="VRR229" s="15"/>
      <c r="VRS229" s="15"/>
      <c r="VRT229" s="15"/>
      <c r="VRU229" s="15"/>
      <c r="VRV229" s="10"/>
      <c r="VRW229" s="10"/>
      <c r="VRX229" s="21"/>
      <c r="VRY229" s="21"/>
      <c r="VSB229" s="21"/>
      <c r="VSC229" s="15"/>
      <c r="VSD229" s="15"/>
      <c r="VSE229" s="15"/>
      <c r="VSF229" s="15"/>
      <c r="VSG229" s="15"/>
      <c r="VSH229" s="15"/>
      <c r="VSI229" s="15"/>
      <c r="VSJ229" s="15"/>
      <c r="VSK229" s="15"/>
      <c r="VSL229" s="15"/>
      <c r="VSM229" s="10"/>
      <c r="VSN229" s="10"/>
      <c r="VSO229" s="21"/>
      <c r="VSP229" s="21"/>
      <c r="VSS229" s="21"/>
      <c r="VST229" s="15"/>
      <c r="VSU229" s="15"/>
      <c r="VSV229" s="15"/>
      <c r="VSW229" s="15"/>
      <c r="VSX229" s="15"/>
      <c r="VSY229" s="15"/>
      <c r="VSZ229" s="15"/>
      <c r="VTA229" s="15"/>
      <c r="VTB229" s="15"/>
      <c r="VTC229" s="15"/>
      <c r="VTD229" s="10"/>
      <c r="VTE229" s="10"/>
      <c r="VTF229" s="21"/>
      <c r="VTG229" s="21"/>
      <c r="VTJ229" s="21"/>
      <c r="VTK229" s="15"/>
      <c r="VTL229" s="15"/>
      <c r="VTM229" s="15"/>
      <c r="VTN229" s="15"/>
      <c r="VTO229" s="15"/>
      <c r="VTP229" s="15"/>
      <c r="VTQ229" s="15"/>
      <c r="VTR229" s="15"/>
      <c r="VTS229" s="15"/>
      <c r="VTT229" s="15"/>
      <c r="VTU229" s="10"/>
      <c r="VTV229" s="10"/>
      <c r="VTW229" s="21"/>
      <c r="VTX229" s="21"/>
      <c r="VUA229" s="21"/>
      <c r="VUB229" s="15"/>
      <c r="VUC229" s="15"/>
      <c r="VUD229" s="15"/>
      <c r="VUE229" s="15"/>
      <c r="VUF229" s="15"/>
      <c r="VUG229" s="15"/>
      <c r="VUH229" s="15"/>
      <c r="VUI229" s="15"/>
      <c r="VUJ229" s="15"/>
      <c r="VUK229" s="15"/>
      <c r="VUL229" s="10"/>
      <c r="VUM229" s="10"/>
      <c r="VUN229" s="21"/>
      <c r="VUO229" s="21"/>
      <c r="VUR229" s="21"/>
      <c r="VUS229" s="15"/>
      <c r="VUT229" s="15"/>
      <c r="VUU229" s="15"/>
      <c r="VUV229" s="15"/>
      <c r="VUW229" s="15"/>
      <c r="VUX229" s="15"/>
      <c r="VUY229" s="15"/>
      <c r="VUZ229" s="15"/>
      <c r="VVA229" s="15"/>
      <c r="VVB229" s="15"/>
      <c r="VVC229" s="10"/>
      <c r="VVD229" s="10"/>
      <c r="VVE229" s="21"/>
      <c r="VVF229" s="21"/>
      <c r="VVI229" s="21"/>
      <c r="VVJ229" s="15"/>
      <c r="VVK229" s="15"/>
      <c r="VVL229" s="15"/>
      <c r="VVM229" s="15"/>
      <c r="VVN229" s="15"/>
      <c r="VVO229" s="15"/>
      <c r="VVP229" s="15"/>
      <c r="VVQ229" s="15"/>
      <c r="VVR229" s="15"/>
      <c r="VVS229" s="15"/>
      <c r="VVT229" s="10"/>
      <c r="VVU229" s="10"/>
      <c r="VVV229" s="21"/>
      <c r="VVW229" s="21"/>
      <c r="VVZ229" s="21"/>
      <c r="VWA229" s="15"/>
      <c r="VWB229" s="15"/>
      <c r="VWC229" s="15"/>
      <c r="VWD229" s="15"/>
      <c r="VWE229" s="15"/>
      <c r="VWF229" s="15"/>
      <c r="VWG229" s="15"/>
      <c r="VWH229" s="15"/>
      <c r="VWI229" s="15"/>
      <c r="VWJ229" s="15"/>
      <c r="VWK229" s="10"/>
      <c r="VWL229" s="10"/>
      <c r="VWM229" s="21"/>
      <c r="VWN229" s="21"/>
      <c r="VWQ229" s="21"/>
      <c r="VWR229" s="15"/>
      <c r="VWS229" s="15"/>
      <c r="VWT229" s="15"/>
      <c r="VWU229" s="15"/>
      <c r="VWV229" s="15"/>
      <c r="VWW229" s="15"/>
      <c r="VWX229" s="15"/>
      <c r="VWY229" s="15"/>
      <c r="VWZ229" s="15"/>
      <c r="VXA229" s="15"/>
      <c r="VXB229" s="10"/>
      <c r="VXC229" s="10"/>
      <c r="VXD229" s="21"/>
      <c r="VXE229" s="21"/>
      <c r="VXH229" s="21"/>
      <c r="VXI229" s="15"/>
      <c r="VXJ229" s="15"/>
      <c r="VXK229" s="15"/>
      <c r="VXL229" s="15"/>
      <c r="VXM229" s="15"/>
      <c r="VXN229" s="15"/>
      <c r="VXO229" s="15"/>
      <c r="VXP229" s="15"/>
      <c r="VXQ229" s="15"/>
      <c r="VXR229" s="15"/>
      <c r="VXS229" s="10"/>
      <c r="VXT229" s="10"/>
      <c r="VXU229" s="21"/>
      <c r="VXV229" s="21"/>
      <c r="VXY229" s="21"/>
      <c r="VXZ229" s="15"/>
      <c r="VYA229" s="15"/>
      <c r="VYB229" s="15"/>
      <c r="VYC229" s="15"/>
      <c r="VYD229" s="15"/>
      <c r="VYE229" s="15"/>
      <c r="VYF229" s="15"/>
      <c r="VYG229" s="15"/>
      <c r="VYH229" s="15"/>
      <c r="VYI229" s="15"/>
      <c r="VYJ229" s="10"/>
      <c r="VYK229" s="10"/>
      <c r="VYL229" s="21"/>
      <c r="VYM229" s="21"/>
      <c r="VYP229" s="21"/>
      <c r="VYQ229" s="15"/>
      <c r="VYR229" s="15"/>
      <c r="VYS229" s="15"/>
      <c r="VYT229" s="15"/>
      <c r="VYU229" s="15"/>
      <c r="VYV229" s="15"/>
      <c r="VYW229" s="15"/>
      <c r="VYX229" s="15"/>
      <c r="VYY229" s="15"/>
      <c r="VYZ229" s="15"/>
      <c r="VZA229" s="10"/>
      <c r="VZB229" s="10"/>
      <c r="VZC229" s="21"/>
      <c r="VZD229" s="21"/>
      <c r="VZG229" s="21"/>
      <c r="VZH229" s="15"/>
      <c r="VZI229" s="15"/>
      <c r="VZJ229" s="15"/>
      <c r="VZK229" s="15"/>
      <c r="VZL229" s="15"/>
      <c r="VZM229" s="15"/>
      <c r="VZN229" s="15"/>
      <c r="VZO229" s="15"/>
      <c r="VZP229" s="15"/>
      <c r="VZQ229" s="15"/>
      <c r="VZR229" s="10"/>
      <c r="VZS229" s="10"/>
      <c r="VZT229" s="21"/>
      <c r="VZU229" s="21"/>
      <c r="VZX229" s="21"/>
      <c r="VZY229" s="15"/>
      <c r="VZZ229" s="15"/>
      <c r="WAA229" s="15"/>
      <c r="WAB229" s="15"/>
      <c r="WAC229" s="15"/>
      <c r="WAD229" s="15"/>
      <c r="WAE229" s="15"/>
      <c r="WAF229" s="15"/>
      <c r="WAG229" s="15"/>
      <c r="WAH229" s="15"/>
      <c r="WAI229" s="10"/>
      <c r="WAJ229" s="10"/>
      <c r="WAK229" s="21"/>
      <c r="WAL229" s="21"/>
      <c r="WAO229" s="21"/>
      <c r="WAP229" s="15"/>
      <c r="WAQ229" s="15"/>
      <c r="WAR229" s="15"/>
      <c r="WAS229" s="15"/>
      <c r="WAT229" s="15"/>
      <c r="WAU229" s="15"/>
      <c r="WAV229" s="15"/>
      <c r="WAW229" s="15"/>
      <c r="WAX229" s="15"/>
      <c r="WAY229" s="15"/>
      <c r="WAZ229" s="10"/>
      <c r="WBA229" s="10"/>
      <c r="WBB229" s="21"/>
      <c r="WBC229" s="21"/>
      <c r="WBF229" s="21"/>
      <c r="WBG229" s="15"/>
      <c r="WBH229" s="15"/>
      <c r="WBI229" s="15"/>
      <c r="WBJ229" s="15"/>
      <c r="WBK229" s="15"/>
      <c r="WBL229" s="15"/>
      <c r="WBM229" s="15"/>
      <c r="WBN229" s="15"/>
      <c r="WBO229" s="15"/>
      <c r="WBP229" s="15"/>
      <c r="WBQ229" s="10"/>
      <c r="WBR229" s="10"/>
      <c r="WBS229" s="21"/>
      <c r="WBT229" s="21"/>
      <c r="WBW229" s="21"/>
      <c r="WBX229" s="15"/>
      <c r="WBY229" s="15"/>
      <c r="WBZ229" s="15"/>
      <c r="WCA229" s="15"/>
      <c r="WCB229" s="15"/>
      <c r="WCC229" s="15"/>
      <c r="WCD229" s="15"/>
      <c r="WCE229" s="15"/>
      <c r="WCF229" s="15"/>
      <c r="WCG229" s="15"/>
      <c r="WCH229" s="10"/>
      <c r="WCI229" s="10"/>
      <c r="WCJ229" s="21"/>
      <c r="WCK229" s="21"/>
      <c r="WCN229" s="21"/>
      <c r="WCO229" s="15"/>
      <c r="WCP229" s="15"/>
      <c r="WCQ229" s="15"/>
      <c r="WCR229" s="15"/>
      <c r="WCS229" s="15"/>
      <c r="WCT229" s="15"/>
      <c r="WCU229" s="15"/>
      <c r="WCV229" s="15"/>
      <c r="WCW229" s="15"/>
      <c r="WCX229" s="15"/>
      <c r="WCY229" s="10"/>
      <c r="WCZ229" s="10"/>
      <c r="WDA229" s="21"/>
      <c r="WDB229" s="21"/>
      <c r="WDE229" s="21"/>
      <c r="WDF229" s="15"/>
      <c r="WDG229" s="15"/>
      <c r="WDH229" s="15"/>
      <c r="WDI229" s="15"/>
      <c r="WDJ229" s="15"/>
      <c r="WDK229" s="15"/>
      <c r="WDL229" s="15"/>
      <c r="WDM229" s="15"/>
      <c r="WDN229" s="15"/>
      <c r="WDO229" s="15"/>
      <c r="WDP229" s="10"/>
      <c r="WDQ229" s="10"/>
      <c r="WDR229" s="21"/>
      <c r="WDS229" s="21"/>
      <c r="WDV229" s="21"/>
      <c r="WDW229" s="15"/>
      <c r="WDX229" s="15"/>
      <c r="WDY229" s="15"/>
      <c r="WDZ229" s="15"/>
      <c r="WEA229" s="15"/>
      <c r="WEB229" s="15"/>
      <c r="WEC229" s="15"/>
      <c r="WED229" s="15"/>
      <c r="WEE229" s="15"/>
      <c r="WEF229" s="15"/>
      <c r="WEG229" s="10"/>
      <c r="WEH229" s="10"/>
      <c r="WEI229" s="21"/>
      <c r="WEJ229" s="21"/>
      <c r="WEM229" s="21"/>
      <c r="WEN229" s="15"/>
      <c r="WEO229" s="15"/>
      <c r="WEP229" s="15"/>
      <c r="WEQ229" s="15"/>
      <c r="WER229" s="15"/>
      <c r="WES229" s="15"/>
      <c r="WET229" s="15"/>
      <c r="WEU229" s="15"/>
      <c r="WEV229" s="15"/>
      <c r="WEW229" s="15"/>
      <c r="WEX229" s="10"/>
      <c r="WEY229" s="10"/>
      <c r="WEZ229" s="21"/>
      <c r="WFA229" s="21"/>
      <c r="WFD229" s="21"/>
      <c r="WFE229" s="15"/>
      <c r="WFF229" s="15"/>
      <c r="WFG229" s="15"/>
      <c r="WFH229" s="15"/>
      <c r="WFI229" s="15"/>
      <c r="WFJ229" s="15"/>
      <c r="WFK229" s="15"/>
      <c r="WFL229" s="15"/>
      <c r="WFM229" s="15"/>
      <c r="WFN229" s="15"/>
      <c r="WFO229" s="10"/>
      <c r="WFP229" s="10"/>
      <c r="WFQ229" s="21"/>
      <c r="WFR229" s="21"/>
      <c r="WFU229" s="21"/>
      <c r="WFV229" s="15"/>
      <c r="WFW229" s="15"/>
      <c r="WFX229" s="15"/>
      <c r="WFY229" s="15"/>
      <c r="WFZ229" s="15"/>
      <c r="WGA229" s="15"/>
      <c r="WGB229" s="15"/>
      <c r="WGC229" s="15"/>
      <c r="WGD229" s="15"/>
      <c r="WGE229" s="15"/>
      <c r="WGF229" s="10"/>
      <c r="WGG229" s="10"/>
      <c r="WGH229" s="21"/>
      <c r="WGI229" s="21"/>
      <c r="WGL229" s="21"/>
      <c r="WGM229" s="15"/>
      <c r="WGN229" s="15"/>
      <c r="WGO229" s="15"/>
      <c r="WGP229" s="15"/>
      <c r="WGQ229" s="15"/>
      <c r="WGR229" s="15"/>
      <c r="WGS229" s="15"/>
      <c r="WGT229" s="15"/>
      <c r="WGU229" s="15"/>
      <c r="WGV229" s="15"/>
      <c r="WGW229" s="10"/>
      <c r="WGX229" s="10"/>
      <c r="WGY229" s="21"/>
      <c r="WGZ229" s="21"/>
      <c r="WHC229" s="21"/>
      <c r="WHD229" s="15"/>
      <c r="WHE229" s="15"/>
      <c r="WHF229" s="15"/>
      <c r="WHG229" s="15"/>
      <c r="WHH229" s="15"/>
      <c r="WHI229" s="15"/>
      <c r="WHJ229" s="15"/>
      <c r="WHK229" s="15"/>
      <c r="WHL229" s="15"/>
      <c r="WHM229" s="15"/>
      <c r="WHN229" s="10"/>
      <c r="WHO229" s="10"/>
      <c r="WHP229" s="21"/>
      <c r="WHQ229" s="21"/>
      <c r="WHT229" s="21"/>
      <c r="WHU229" s="15"/>
      <c r="WHV229" s="15"/>
      <c r="WHW229" s="15"/>
      <c r="WHX229" s="15"/>
      <c r="WHY229" s="15"/>
      <c r="WHZ229" s="15"/>
      <c r="WIA229" s="15"/>
      <c r="WIB229" s="15"/>
      <c r="WIC229" s="15"/>
      <c r="WID229" s="15"/>
      <c r="WIE229" s="10"/>
      <c r="WIF229" s="10"/>
      <c r="WIG229" s="21"/>
      <c r="WIH229" s="21"/>
      <c r="WIK229" s="21"/>
      <c r="WIL229" s="15"/>
      <c r="WIM229" s="15"/>
      <c r="WIN229" s="15"/>
      <c r="WIO229" s="15"/>
      <c r="WIP229" s="15"/>
      <c r="WIQ229" s="15"/>
      <c r="WIR229" s="15"/>
      <c r="WIS229" s="15"/>
      <c r="WIT229" s="15"/>
      <c r="WIU229" s="15"/>
      <c r="WIV229" s="10"/>
      <c r="WIW229" s="10"/>
      <c r="WIX229" s="21"/>
      <c r="WIY229" s="21"/>
      <c r="WJB229" s="21"/>
      <c r="WJC229" s="15"/>
      <c r="WJD229" s="15"/>
      <c r="WJE229" s="15"/>
      <c r="WJF229" s="15"/>
      <c r="WJG229" s="15"/>
      <c r="WJH229" s="15"/>
      <c r="WJI229" s="15"/>
      <c r="WJJ229" s="15"/>
      <c r="WJK229" s="15"/>
      <c r="WJL229" s="15"/>
      <c r="WJM229" s="10"/>
      <c r="WJN229" s="10"/>
      <c r="WJO229" s="21"/>
      <c r="WJP229" s="21"/>
      <c r="WJS229" s="21"/>
      <c r="WJT229" s="15"/>
      <c r="WJU229" s="15"/>
      <c r="WJV229" s="15"/>
      <c r="WJW229" s="15"/>
      <c r="WJX229" s="15"/>
      <c r="WJY229" s="15"/>
      <c r="WJZ229" s="15"/>
      <c r="WKA229" s="15"/>
      <c r="WKB229" s="15"/>
      <c r="WKC229" s="15"/>
      <c r="WKD229" s="10"/>
      <c r="WKE229" s="10"/>
      <c r="WKF229" s="21"/>
      <c r="WKG229" s="21"/>
      <c r="WKJ229" s="21"/>
      <c r="WKK229" s="15"/>
      <c r="WKL229" s="15"/>
      <c r="WKM229" s="15"/>
      <c r="WKN229" s="15"/>
      <c r="WKO229" s="15"/>
      <c r="WKP229" s="15"/>
      <c r="WKQ229" s="15"/>
      <c r="WKR229" s="15"/>
      <c r="WKS229" s="15"/>
      <c r="WKT229" s="15"/>
      <c r="WKU229" s="10"/>
      <c r="WKV229" s="10"/>
      <c r="WKW229" s="21"/>
      <c r="WKX229" s="21"/>
      <c r="WLA229" s="21"/>
      <c r="WLB229" s="15"/>
      <c r="WLC229" s="15"/>
      <c r="WLD229" s="15"/>
      <c r="WLE229" s="15"/>
      <c r="WLF229" s="15"/>
      <c r="WLG229" s="15"/>
      <c r="WLH229" s="15"/>
      <c r="WLI229" s="15"/>
      <c r="WLJ229" s="15"/>
      <c r="WLK229" s="15"/>
      <c r="WLL229" s="10"/>
      <c r="WLM229" s="10"/>
      <c r="WLN229" s="21"/>
      <c r="WLO229" s="21"/>
      <c r="WLR229" s="21"/>
      <c r="WLS229" s="15"/>
      <c r="WLT229" s="15"/>
      <c r="WLU229" s="15"/>
      <c r="WLV229" s="15"/>
      <c r="WLW229" s="15"/>
      <c r="WLX229" s="15"/>
      <c r="WLY229" s="15"/>
      <c r="WLZ229" s="15"/>
      <c r="WMA229" s="15"/>
      <c r="WMB229" s="15"/>
      <c r="WMC229" s="10"/>
      <c r="WMD229" s="10"/>
      <c r="WME229" s="21"/>
      <c r="WMF229" s="21"/>
      <c r="WMI229" s="21"/>
      <c r="WMJ229" s="15"/>
      <c r="WMK229" s="15"/>
      <c r="WML229" s="15"/>
      <c r="WMM229" s="15"/>
      <c r="WMN229" s="15"/>
      <c r="WMO229" s="15"/>
      <c r="WMP229" s="15"/>
      <c r="WMQ229" s="15"/>
      <c r="WMR229" s="15"/>
      <c r="WMS229" s="15"/>
      <c r="WMT229" s="10"/>
      <c r="WMU229" s="10"/>
      <c r="WMV229" s="21"/>
      <c r="WMW229" s="21"/>
      <c r="WMZ229" s="21"/>
      <c r="WNA229" s="15"/>
      <c r="WNB229" s="15"/>
      <c r="WNC229" s="15"/>
      <c r="WND229" s="15"/>
      <c r="WNE229" s="15"/>
      <c r="WNF229" s="15"/>
      <c r="WNG229" s="15"/>
      <c r="WNH229" s="15"/>
      <c r="WNI229" s="15"/>
      <c r="WNJ229" s="15"/>
      <c r="WNK229" s="10"/>
      <c r="WNL229" s="10"/>
      <c r="WNM229" s="21"/>
      <c r="WNN229" s="21"/>
      <c r="WNQ229" s="21"/>
      <c r="WNR229" s="15"/>
      <c r="WNS229" s="15"/>
      <c r="WNT229" s="15"/>
      <c r="WNU229" s="15"/>
      <c r="WNV229" s="15"/>
      <c r="WNW229" s="15"/>
      <c r="WNX229" s="15"/>
      <c r="WNY229" s="15"/>
      <c r="WNZ229" s="15"/>
      <c r="WOA229" s="15"/>
      <c r="WOB229" s="10"/>
      <c r="WOC229" s="10"/>
      <c r="WOD229" s="21"/>
      <c r="WOE229" s="21"/>
      <c r="WOH229" s="21"/>
      <c r="WOI229" s="15"/>
      <c r="WOJ229" s="15"/>
      <c r="WOK229" s="15"/>
      <c r="WOL229" s="15"/>
      <c r="WOM229" s="15"/>
      <c r="WON229" s="15"/>
      <c r="WOO229" s="15"/>
      <c r="WOP229" s="15"/>
      <c r="WOQ229" s="15"/>
      <c r="WOR229" s="15"/>
      <c r="WOS229" s="10"/>
      <c r="WOT229" s="10"/>
      <c r="WOU229" s="21"/>
      <c r="WOV229" s="21"/>
      <c r="WOY229" s="21"/>
      <c r="WOZ229" s="15"/>
      <c r="WPA229" s="15"/>
      <c r="WPB229" s="15"/>
      <c r="WPC229" s="15"/>
      <c r="WPD229" s="15"/>
      <c r="WPE229" s="15"/>
      <c r="WPF229" s="15"/>
      <c r="WPG229" s="15"/>
      <c r="WPH229" s="15"/>
      <c r="WPI229" s="15"/>
      <c r="WPJ229" s="10"/>
      <c r="WPK229" s="10"/>
      <c r="WPL229" s="21"/>
      <c r="WPM229" s="21"/>
      <c r="WPP229" s="21"/>
      <c r="WPQ229" s="15"/>
      <c r="WPR229" s="15"/>
      <c r="WPS229" s="15"/>
      <c r="WPT229" s="15"/>
      <c r="WPU229" s="15"/>
      <c r="WPV229" s="15"/>
      <c r="WPW229" s="15"/>
      <c r="WPX229" s="15"/>
      <c r="WPY229" s="15"/>
      <c r="WPZ229" s="15"/>
      <c r="WQA229" s="10"/>
      <c r="WQB229" s="10"/>
      <c r="WQC229" s="21"/>
      <c r="WQD229" s="21"/>
      <c r="WQG229" s="21"/>
      <c r="WQH229" s="15"/>
      <c r="WQI229" s="15"/>
      <c r="WQJ229" s="15"/>
      <c r="WQK229" s="15"/>
      <c r="WQL229" s="15"/>
      <c r="WQM229" s="15"/>
      <c r="WQN229" s="15"/>
      <c r="WQO229" s="15"/>
      <c r="WQP229" s="15"/>
      <c r="WQQ229" s="15"/>
      <c r="WQR229" s="10"/>
      <c r="WQS229" s="10"/>
      <c r="WQT229" s="21"/>
      <c r="WQU229" s="21"/>
      <c r="WQX229" s="21"/>
      <c r="WQY229" s="15"/>
      <c r="WQZ229" s="15"/>
      <c r="WRA229" s="15"/>
      <c r="WRB229" s="15"/>
      <c r="WRC229" s="15"/>
      <c r="WRD229" s="15"/>
      <c r="WRE229" s="15"/>
      <c r="WRF229" s="15"/>
      <c r="WRG229" s="15"/>
      <c r="WRH229" s="15"/>
      <c r="WRI229" s="10"/>
      <c r="WRJ229" s="10"/>
      <c r="WRK229" s="21"/>
      <c r="WRL229" s="21"/>
      <c r="WRO229" s="21"/>
      <c r="WRP229" s="15"/>
      <c r="WRQ229" s="15"/>
      <c r="WRR229" s="15"/>
      <c r="WRS229" s="15"/>
      <c r="WRT229" s="15"/>
      <c r="WRU229" s="15"/>
      <c r="WRV229" s="15"/>
      <c r="WRW229" s="15"/>
      <c r="WRX229" s="15"/>
      <c r="WRY229" s="15"/>
      <c r="WRZ229" s="10"/>
      <c r="WSA229" s="10"/>
      <c r="WSB229" s="21"/>
      <c r="WSC229" s="21"/>
      <c r="WSF229" s="21"/>
      <c r="WSG229" s="15"/>
      <c r="WSH229" s="15"/>
      <c r="WSI229" s="15"/>
      <c r="WSJ229" s="15"/>
      <c r="WSK229" s="15"/>
      <c r="WSL229" s="15"/>
      <c r="WSM229" s="15"/>
      <c r="WSN229" s="15"/>
      <c r="WSO229" s="15"/>
      <c r="WSP229" s="15"/>
      <c r="WSQ229" s="10"/>
      <c r="WSR229" s="10"/>
      <c r="WSS229" s="21"/>
      <c r="WST229" s="21"/>
      <c r="WSW229" s="21"/>
      <c r="WSX229" s="15"/>
      <c r="WSY229" s="15"/>
      <c r="WSZ229" s="15"/>
      <c r="WTA229" s="15"/>
      <c r="WTB229" s="15"/>
      <c r="WTC229" s="15"/>
      <c r="WTD229" s="15"/>
      <c r="WTE229" s="15"/>
      <c r="WTF229" s="15"/>
      <c r="WTG229" s="15"/>
      <c r="WTH229" s="10"/>
      <c r="WTI229" s="10"/>
      <c r="WTJ229" s="21"/>
      <c r="WTK229" s="21"/>
      <c r="WTN229" s="21"/>
      <c r="WTO229" s="15"/>
      <c r="WTP229" s="15"/>
      <c r="WTQ229" s="15"/>
      <c r="WTR229" s="15"/>
      <c r="WTS229" s="15"/>
      <c r="WTT229" s="15"/>
      <c r="WTU229" s="15"/>
      <c r="WTV229" s="15"/>
      <c r="WTW229" s="15"/>
      <c r="WTX229" s="15"/>
      <c r="WTY229" s="10"/>
      <c r="WTZ229" s="10"/>
      <c r="WUA229" s="21"/>
      <c r="WUB229" s="21"/>
      <c r="WUE229" s="21"/>
      <c r="WUF229" s="15"/>
      <c r="WUG229" s="15"/>
      <c r="WUH229" s="15"/>
      <c r="WUI229" s="15"/>
      <c r="WUJ229" s="15"/>
      <c r="WUK229" s="15"/>
      <c r="WUL229" s="15"/>
      <c r="WUM229" s="15"/>
      <c r="WUN229" s="15"/>
      <c r="WUO229" s="15"/>
      <c r="WUP229" s="10"/>
      <c r="WUQ229" s="10"/>
      <c r="WUR229" s="21"/>
      <c r="WUS229" s="21"/>
      <c r="WUV229" s="21"/>
      <c r="WUW229" s="15"/>
      <c r="WUX229" s="15"/>
      <c r="WUY229" s="15"/>
      <c r="WUZ229" s="15"/>
      <c r="WVA229" s="15"/>
      <c r="WVB229" s="15"/>
      <c r="WVC229" s="15"/>
      <c r="WVD229" s="15"/>
      <c r="WVE229" s="15"/>
      <c r="WVF229" s="15"/>
      <c r="WVG229" s="10"/>
      <c r="WVH229" s="10"/>
      <c r="WVI229" s="21"/>
      <c r="WVJ229" s="21"/>
      <c r="WVM229" s="21"/>
      <c r="WVN229" s="15"/>
      <c r="WVO229" s="15"/>
      <c r="WVP229" s="15"/>
      <c r="WVQ229" s="15"/>
      <c r="WVR229" s="15"/>
      <c r="WVS229" s="15"/>
      <c r="WVT229" s="15"/>
      <c r="WVU229" s="15"/>
      <c r="WVV229" s="15"/>
      <c r="WVW229" s="15"/>
      <c r="WVX229" s="10"/>
      <c r="WVY229" s="10"/>
      <c r="WVZ229" s="21"/>
      <c r="WWA229" s="21"/>
      <c r="WWD229" s="21"/>
      <c r="WWE229" s="15"/>
      <c r="WWF229" s="15"/>
      <c r="WWG229" s="15"/>
      <c r="WWH229" s="15"/>
      <c r="WWI229" s="15"/>
      <c r="WWJ229" s="15"/>
      <c r="WWK229" s="15"/>
      <c r="WWL229" s="15"/>
      <c r="WWM229" s="15"/>
      <c r="WWN229" s="15"/>
      <c r="WWO229" s="10"/>
      <c r="WWP229" s="10"/>
      <c r="WWQ229" s="21"/>
      <c r="WWR229" s="21"/>
      <c r="WWU229" s="21"/>
      <c r="WWV229" s="15"/>
      <c r="WWW229" s="15"/>
      <c r="WWX229" s="15"/>
      <c r="WWY229" s="15"/>
      <c r="WWZ229" s="15"/>
      <c r="WXA229" s="15"/>
      <c r="WXB229" s="15"/>
      <c r="WXC229" s="15"/>
      <c r="WXD229" s="15"/>
      <c r="WXE229" s="15"/>
      <c r="WXF229" s="10"/>
      <c r="WXG229" s="10"/>
      <c r="WXH229" s="21"/>
      <c r="WXI229" s="21"/>
      <c r="WXL229" s="21"/>
      <c r="WXM229" s="15"/>
      <c r="WXN229" s="15"/>
      <c r="WXO229" s="15"/>
      <c r="WXP229" s="15"/>
      <c r="WXQ229" s="15"/>
      <c r="WXR229" s="15"/>
      <c r="WXS229" s="15"/>
      <c r="WXT229" s="15"/>
      <c r="WXU229" s="15"/>
      <c r="WXV229" s="15"/>
      <c r="WXW229" s="10"/>
      <c r="WXX229" s="10"/>
      <c r="WXY229" s="21"/>
      <c r="WXZ229" s="21"/>
      <c r="WYC229" s="21"/>
      <c r="WYD229" s="15"/>
      <c r="WYE229" s="15"/>
      <c r="WYF229" s="15"/>
      <c r="WYG229" s="15"/>
      <c r="WYH229" s="15"/>
      <c r="WYI229" s="15"/>
      <c r="WYJ229" s="15"/>
      <c r="WYK229" s="15"/>
      <c r="WYL229" s="15"/>
      <c r="WYM229" s="15"/>
      <c r="WYN229" s="10"/>
      <c r="WYO229" s="10"/>
      <c r="WYP229" s="21"/>
      <c r="WYQ229" s="21"/>
      <c r="WYT229" s="21"/>
      <c r="WYU229" s="15"/>
      <c r="WYV229" s="15"/>
      <c r="WYW229" s="15"/>
      <c r="WYX229" s="15"/>
      <c r="WYY229" s="15"/>
      <c r="WYZ229" s="15"/>
      <c r="WZA229" s="15"/>
      <c r="WZB229" s="15"/>
      <c r="WZC229" s="15"/>
      <c r="WZD229" s="15"/>
      <c r="WZE229" s="10"/>
      <c r="WZF229" s="10"/>
      <c r="WZG229" s="21"/>
      <c r="WZH229" s="21"/>
      <c r="WZK229" s="21"/>
      <c r="WZL229" s="15"/>
      <c r="WZM229" s="15"/>
      <c r="WZN229" s="15"/>
      <c r="WZO229" s="15"/>
      <c r="WZP229" s="15"/>
      <c r="WZQ229" s="15"/>
      <c r="WZR229" s="15"/>
      <c r="WZS229" s="15"/>
      <c r="WZT229" s="15"/>
      <c r="WZU229" s="15"/>
      <c r="WZV229" s="10"/>
      <c r="WZW229" s="10"/>
      <c r="WZX229" s="21"/>
      <c r="WZY229" s="21"/>
      <c r="XAB229" s="21"/>
      <c r="XAC229" s="15"/>
      <c r="XAD229" s="15"/>
      <c r="XAE229" s="15"/>
      <c r="XAF229" s="15"/>
      <c r="XAG229" s="15"/>
      <c r="XAH229" s="15"/>
      <c r="XAI229" s="15"/>
      <c r="XAJ229" s="15"/>
      <c r="XAK229" s="15"/>
      <c r="XAL229" s="15"/>
      <c r="XAM229" s="10"/>
      <c r="XAN229" s="10"/>
      <c r="XAO229" s="21"/>
      <c r="XAP229" s="21"/>
      <c r="XAS229" s="21"/>
      <c r="XAT229" s="15"/>
      <c r="XAU229" s="15"/>
      <c r="XAV229" s="15"/>
      <c r="XAW229" s="15"/>
      <c r="XAX229" s="15"/>
      <c r="XAY229" s="15"/>
      <c r="XAZ229" s="15"/>
      <c r="XBA229" s="15"/>
      <c r="XBB229" s="15"/>
      <c r="XBC229" s="15"/>
      <c r="XBD229" s="10"/>
      <c r="XBE229" s="10"/>
      <c r="XBF229" s="21"/>
      <c r="XBG229" s="21"/>
      <c r="XBJ229" s="21"/>
      <c r="XBK229" s="15"/>
      <c r="XBL229" s="15"/>
      <c r="XBM229" s="15"/>
      <c r="XBN229" s="15"/>
      <c r="XBO229" s="15"/>
      <c r="XBP229" s="15"/>
      <c r="XBQ229" s="15"/>
      <c r="XBR229" s="15"/>
      <c r="XBS229" s="15"/>
      <c r="XBT229" s="15"/>
      <c r="XBU229" s="10"/>
      <c r="XBV229" s="10"/>
      <c r="XBW229" s="21"/>
      <c r="XBX229" s="21"/>
      <c r="XCA229" s="21"/>
      <c r="XCB229" s="15"/>
      <c r="XCC229" s="15"/>
      <c r="XCD229" s="15"/>
      <c r="XCE229" s="15"/>
      <c r="XCF229" s="15"/>
      <c r="XCG229" s="15"/>
      <c r="XCH229" s="15"/>
      <c r="XCI229" s="15"/>
      <c r="XCJ229" s="15"/>
      <c r="XCK229" s="15"/>
      <c r="XCL229" s="10"/>
      <c r="XCM229" s="10"/>
      <c r="XCN229" s="21"/>
      <c r="XCO229" s="21"/>
      <c r="XCR229" s="21"/>
      <c r="XCS229" s="15"/>
      <c r="XCT229" s="15"/>
      <c r="XCU229" s="15"/>
      <c r="XCV229" s="15"/>
      <c r="XCW229" s="15"/>
      <c r="XCX229" s="15"/>
      <c r="XCY229" s="15"/>
      <c r="XCZ229" s="15"/>
      <c r="XDA229" s="15"/>
      <c r="XDB229" s="15"/>
      <c r="XDC229" s="10"/>
      <c r="XDD229" s="10"/>
      <c r="XDE229" s="21"/>
      <c r="XDF229" s="21"/>
      <c r="XDI229" s="21"/>
      <c r="XDJ229" s="15"/>
      <c r="XDK229" s="15"/>
      <c r="XDL229" s="15"/>
      <c r="XDM229" s="15"/>
      <c r="XDN229" s="15"/>
      <c r="XDO229" s="15"/>
      <c r="XDP229" s="15"/>
      <c r="XDQ229" s="15"/>
      <c r="XDR229" s="15"/>
      <c r="XDS229" s="15"/>
      <c r="XDT229" s="10"/>
      <c r="XDU229" s="10"/>
      <c r="XDV229" s="21"/>
      <c r="XDW229" s="21"/>
      <c r="XDZ229" s="21"/>
      <c r="XEA229" s="15"/>
      <c r="XEB229" s="15"/>
      <c r="XEC229" s="15"/>
      <c r="XED229" s="15"/>
      <c r="XEE229" s="15"/>
      <c r="XEF229" s="15"/>
      <c r="XEG229" s="15"/>
      <c r="XEH229" s="15"/>
      <c r="XEI229" s="15"/>
      <c r="XEJ229" s="15"/>
      <c r="XEK229" s="10"/>
      <c r="XEL229" s="10"/>
      <c r="XEM229" s="21"/>
      <c r="XEN229" s="21"/>
      <c r="XEQ229" s="21"/>
      <c r="XER229" s="15"/>
      <c r="XES229" s="15"/>
      <c r="XET229" s="15"/>
      <c r="XEU229" s="15"/>
      <c r="XEV229" s="15"/>
      <c r="XEW229" s="15"/>
      <c r="XEX229" s="15"/>
      <c r="XEY229" s="15"/>
      <c r="XEZ229" s="15"/>
      <c r="XFA229" s="15"/>
      <c r="XFB229" s="10"/>
      <c r="XFC229" s="10"/>
      <c r="XFD229" s="21"/>
    </row>
    <row r="230" spans="1:4094 4097:8191 8194:12288 12291:16384" s="1" customFormat="1" ht="14.25" customHeight="1" x14ac:dyDescent="0.3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S230" s="1">
        <f t="shared" si="171"/>
        <v>0</v>
      </c>
      <c r="T230" s="1">
        <f t="shared" si="172"/>
        <v>0</v>
      </c>
      <c r="U230" s="1">
        <f t="shared" si="173"/>
        <v>0</v>
      </c>
      <c r="V230" s="1">
        <f t="shared" si="174"/>
        <v>0</v>
      </c>
      <c r="W230" s="1">
        <f t="shared" si="175"/>
        <v>0</v>
      </c>
      <c r="X230" s="1">
        <f t="shared" si="176"/>
        <v>0</v>
      </c>
      <c r="Y230" s="1">
        <f t="shared" si="177"/>
        <v>0</v>
      </c>
      <c r="Z230" s="1">
        <f t="shared" si="178"/>
        <v>0</v>
      </c>
      <c r="AA230" s="1">
        <f t="shared" si="179"/>
        <v>0</v>
      </c>
      <c r="AB230" s="1">
        <f t="shared" si="180"/>
        <v>0</v>
      </c>
      <c r="AD230" s="1">
        <f t="shared" si="181"/>
        <v>0</v>
      </c>
      <c r="AE230" s="1">
        <f t="shared" si="182"/>
        <v>1</v>
      </c>
      <c r="AF230" s="1">
        <f t="shared" si="167"/>
        <v>0</v>
      </c>
      <c r="AG230" s="1">
        <f t="shared" si="168"/>
        <v>1</v>
      </c>
      <c r="AH230" s="1">
        <f t="shared" si="169"/>
        <v>0</v>
      </c>
      <c r="AI230" s="1">
        <f t="shared" si="170"/>
        <v>1</v>
      </c>
    </row>
    <row r="231" spans="1:4094 4097:8191 8194:12288 12291:16384" s="1" customFormat="1" ht="14.25" customHeight="1" x14ac:dyDescent="0.3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s="1" customFormat="1" ht="14.25" customHeight="1" x14ac:dyDescent="0.3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s="1" customFormat="1" ht="14.25" customHeight="1" x14ac:dyDescent="0.3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s="1" customFormat="1" ht="14.25" customHeight="1" x14ac:dyDescent="0.3">
      <c r="A234" s="44">
        <v>0</v>
      </c>
      <c r="B234" s="44">
        <v>1</v>
      </c>
      <c r="C234" s="44">
        <v>6</v>
      </c>
      <c r="D234" s="45" t="s">
        <v>1480</v>
      </c>
      <c r="E234" s="45" t="s">
        <v>167</v>
      </c>
      <c r="F234" s="45" t="s">
        <v>1482</v>
      </c>
      <c r="G234" s="45" t="s">
        <v>1483</v>
      </c>
      <c r="H234" s="45" t="s">
        <v>354</v>
      </c>
      <c r="I234" s="44" t="s">
        <v>1481</v>
      </c>
      <c r="J234" s="44">
        <v>99</v>
      </c>
      <c r="K234" s="46" t="s">
        <v>703</v>
      </c>
      <c r="L234" s="46">
        <v>62</v>
      </c>
      <c r="M234" s="47"/>
      <c r="N234" s="47" t="s">
        <v>1734</v>
      </c>
      <c r="O234" s="48"/>
      <c r="P234" s="48"/>
      <c r="Q234" s="45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0</v>
      </c>
      <c r="AF234" s="1">
        <f t="shared" si="167"/>
        <v>0</v>
      </c>
      <c r="AG234" s="1">
        <f t="shared" si="168"/>
        <v>0</v>
      </c>
      <c r="AH234" s="1">
        <f t="shared" si="169"/>
        <v>0</v>
      </c>
      <c r="AI234" s="1">
        <f t="shared" si="170"/>
        <v>1</v>
      </c>
    </row>
    <row r="235" spans="1:4094 4097:8191 8194:12288 12291:16384" s="1" customFormat="1" ht="14.25" customHeight="1" x14ac:dyDescent="0.3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s="1" customFormat="1" ht="14.25" customHeight="1" x14ac:dyDescent="0.3">
      <c r="A236" s="31">
        <v>0</v>
      </c>
      <c r="B236" s="31">
        <v>1</v>
      </c>
      <c r="C236" s="31">
        <v>6</v>
      </c>
      <c r="D236" s="32" t="s">
        <v>98</v>
      </c>
      <c r="E236" s="32" t="s">
        <v>167</v>
      </c>
      <c r="F236" s="32" t="s">
        <v>296</v>
      </c>
      <c r="G236" s="32" t="s">
        <v>285</v>
      </c>
      <c r="H236" s="32" t="s">
        <v>354</v>
      </c>
      <c r="I236" s="31" t="s">
        <v>1118</v>
      </c>
      <c r="J236" s="31">
        <v>10</v>
      </c>
      <c r="K236" s="33" t="s">
        <v>956</v>
      </c>
      <c r="L236" s="33" t="s">
        <v>694</v>
      </c>
      <c r="M236" s="34" t="s">
        <v>705</v>
      </c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1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s="1" customFormat="1" ht="14.25" customHeight="1" x14ac:dyDescent="0.3">
      <c r="A237" s="31">
        <v>0</v>
      </c>
      <c r="B237" s="31">
        <v>1</v>
      </c>
      <c r="C237" s="31">
        <v>6</v>
      </c>
      <c r="D237" s="32" t="s">
        <v>603</v>
      </c>
      <c r="E237" s="32" t="s">
        <v>165</v>
      </c>
      <c r="F237" s="32" t="s">
        <v>605</v>
      </c>
      <c r="G237" s="32" t="s">
        <v>39</v>
      </c>
      <c r="H237" s="32" t="s">
        <v>354</v>
      </c>
      <c r="I237" s="31" t="s">
        <v>604</v>
      </c>
      <c r="J237" s="31">
        <v>99</v>
      </c>
      <c r="K237" s="33" t="s">
        <v>956</v>
      </c>
      <c r="L237" s="33" t="s">
        <v>693</v>
      </c>
      <c r="M237" s="34" t="s">
        <v>970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s="1" customFormat="1" ht="14.25" customHeight="1" x14ac:dyDescent="0.3">
      <c r="A238" s="31">
        <v>0</v>
      </c>
      <c r="B238" s="31">
        <v>1</v>
      </c>
      <c r="C238" s="31">
        <v>6</v>
      </c>
      <c r="D238" s="32" t="s">
        <v>1162</v>
      </c>
      <c r="E238" s="32" t="s">
        <v>165</v>
      </c>
      <c r="F238" s="32" t="s">
        <v>1164</v>
      </c>
      <c r="G238" s="32" t="s">
        <v>220</v>
      </c>
      <c r="H238" s="32" t="s">
        <v>354</v>
      </c>
      <c r="I238" s="31" t="s">
        <v>1163</v>
      </c>
      <c r="J238" s="31">
        <v>8</v>
      </c>
      <c r="K238" s="33" t="s">
        <v>702</v>
      </c>
      <c r="L238" s="33" t="s">
        <v>1713</v>
      </c>
      <c r="M238" s="34" t="s">
        <v>1403</v>
      </c>
      <c r="N238" s="34" t="s">
        <v>1748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1</v>
      </c>
      <c r="AA238" s="1">
        <f t="shared" si="179"/>
        <v>0</v>
      </c>
      <c r="AB238" s="1">
        <f t="shared" si="180"/>
        <v>0</v>
      </c>
      <c r="AD238" s="1">
        <f t="shared" si="181"/>
        <v>0</v>
      </c>
      <c r="AE238" s="1">
        <f t="shared" si="182"/>
        <v>1</v>
      </c>
      <c r="AF238" s="1">
        <f t="shared" si="167"/>
        <v>0</v>
      </c>
      <c r="AG238" s="1">
        <f t="shared" si="168"/>
        <v>1</v>
      </c>
      <c r="AH238" s="1">
        <f t="shared" si="169"/>
        <v>0</v>
      </c>
      <c r="AI238" s="1">
        <f t="shared" si="170"/>
        <v>1</v>
      </c>
    </row>
    <row r="239" spans="1:4094 4097:8191 8194:12288 12291:16384" s="1" customFormat="1" ht="14.25" customHeight="1" x14ac:dyDescent="0.3">
      <c r="A239" s="31">
        <v>0</v>
      </c>
      <c r="B239" s="31">
        <v>1</v>
      </c>
      <c r="C239" s="31">
        <v>6</v>
      </c>
      <c r="D239" s="32" t="s">
        <v>564</v>
      </c>
      <c r="E239" s="32" t="s">
        <v>167</v>
      </c>
      <c r="F239" s="32" t="s">
        <v>661</v>
      </c>
      <c r="G239" s="32" t="s">
        <v>202</v>
      </c>
      <c r="H239" s="32" t="s">
        <v>354</v>
      </c>
      <c r="I239" s="31" t="s">
        <v>583</v>
      </c>
      <c r="J239" s="31">
        <v>10</v>
      </c>
      <c r="K239" s="33" t="s">
        <v>962</v>
      </c>
      <c r="L239" s="33" t="s">
        <v>693</v>
      </c>
      <c r="M239" s="34" t="s">
        <v>705</v>
      </c>
      <c r="N239" s="34" t="s">
        <v>1748</v>
      </c>
      <c r="O239" s="35">
        <v>1</v>
      </c>
      <c r="P239" s="35"/>
      <c r="Q239" s="36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1"/>
        <v>0</v>
      </c>
      <c r="AE239" s="1">
        <f t="shared" si="182"/>
        <v>1</v>
      </c>
      <c r="AF239" s="1">
        <f t="shared" si="167"/>
        <v>0</v>
      </c>
      <c r="AG239" s="1">
        <f t="shared" si="168"/>
        <v>1</v>
      </c>
      <c r="AH239" s="1">
        <f t="shared" si="169"/>
        <v>0</v>
      </c>
      <c r="AI239" s="1">
        <f t="shared" si="170"/>
        <v>1</v>
      </c>
    </row>
    <row r="240" spans="1:4094 4097:8191 8194:12288 12291:16384" s="1" customFormat="1" ht="14.25" customHeight="1" x14ac:dyDescent="0.3">
      <c r="A240" s="44">
        <v>0</v>
      </c>
      <c r="B240" s="44">
        <v>1</v>
      </c>
      <c r="C240" s="44">
        <v>6</v>
      </c>
      <c r="D240" s="45" t="s">
        <v>897</v>
      </c>
      <c r="E240" s="45" t="s">
        <v>167</v>
      </c>
      <c r="F240" s="45" t="s">
        <v>938</v>
      </c>
      <c r="G240" s="45" t="s">
        <v>939</v>
      </c>
      <c r="H240" s="45" t="s">
        <v>354</v>
      </c>
      <c r="I240" s="44" t="s">
        <v>953</v>
      </c>
      <c r="J240" s="44">
        <v>99</v>
      </c>
      <c r="K240" s="46" t="s">
        <v>702</v>
      </c>
      <c r="L240" s="46" t="s">
        <v>689</v>
      </c>
      <c r="M240" s="47" t="s">
        <v>1404</v>
      </c>
      <c r="N240" s="47" t="s">
        <v>1738</v>
      </c>
      <c r="O240" s="48"/>
      <c r="P240" s="48"/>
      <c r="Q240" s="45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1"/>
        <v>0</v>
      </c>
      <c r="AE240" s="1">
        <f t="shared" si="182"/>
        <v>0</v>
      </c>
      <c r="AF240" s="1">
        <f t="shared" si="167"/>
        <v>0</v>
      </c>
      <c r="AG240" s="1">
        <f t="shared" si="168"/>
        <v>0</v>
      </c>
      <c r="AH240" s="1">
        <f t="shared" si="169"/>
        <v>0</v>
      </c>
      <c r="AI240" s="1">
        <f t="shared" si="170"/>
        <v>1</v>
      </c>
    </row>
    <row r="241" spans="1:35" s="1" customFormat="1" ht="14.25" customHeight="1" x14ac:dyDescent="0.3">
      <c r="A241" s="31">
        <v>0</v>
      </c>
      <c r="B241" s="31">
        <v>1</v>
      </c>
      <c r="C241" s="31">
        <v>6</v>
      </c>
      <c r="D241" s="32" t="s">
        <v>100</v>
      </c>
      <c r="E241" s="32" t="s">
        <v>167</v>
      </c>
      <c r="F241" s="32" t="s">
        <v>662</v>
      </c>
      <c r="G241" s="32" t="s">
        <v>664</v>
      </c>
      <c r="H241" s="32" t="s">
        <v>354</v>
      </c>
      <c r="I241" s="31" t="s">
        <v>447</v>
      </c>
      <c r="J241" s="31">
        <v>99</v>
      </c>
      <c r="K241" s="33" t="s">
        <v>722</v>
      </c>
      <c r="L241" s="33" t="s">
        <v>696</v>
      </c>
      <c r="M241" s="34" t="s">
        <v>707</v>
      </c>
      <c r="N241" s="34" t="s">
        <v>1749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1</v>
      </c>
      <c r="AF241" s="1">
        <f t="shared" si="167"/>
        <v>0</v>
      </c>
      <c r="AG241" s="1">
        <f t="shared" si="168"/>
        <v>1</v>
      </c>
      <c r="AH241" s="1">
        <f t="shared" si="169"/>
        <v>0</v>
      </c>
      <c r="AI241" s="1">
        <f t="shared" si="170"/>
        <v>1</v>
      </c>
    </row>
    <row r="242" spans="1:35" s="1" customFormat="1" ht="14.25" customHeight="1" x14ac:dyDescent="0.3">
      <c r="A242" s="38">
        <v>0</v>
      </c>
      <c r="B242" s="38">
        <v>1</v>
      </c>
      <c r="C242" s="38">
        <v>7</v>
      </c>
      <c r="D242" s="39" t="s">
        <v>86</v>
      </c>
      <c r="E242" s="39" t="s">
        <v>29</v>
      </c>
      <c r="F242" s="39" t="s">
        <v>663</v>
      </c>
      <c r="G242" s="39" t="s">
        <v>664</v>
      </c>
      <c r="H242" s="39" t="s">
        <v>354</v>
      </c>
      <c r="I242" s="38" t="s">
        <v>631</v>
      </c>
      <c r="J242" s="38">
        <v>99</v>
      </c>
      <c r="K242" s="40" t="s">
        <v>954</v>
      </c>
      <c r="L242" s="40" t="s">
        <v>693</v>
      </c>
      <c r="M242" s="41" t="s">
        <v>1405</v>
      </c>
      <c r="N242" s="42"/>
      <c r="O242" s="43"/>
      <c r="P242" s="43">
        <v>1</v>
      </c>
      <c r="Q242" s="39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0</v>
      </c>
      <c r="AF242" s="1">
        <f t="shared" si="167"/>
        <v>0</v>
      </c>
      <c r="AG242" s="1">
        <f t="shared" si="168"/>
        <v>0</v>
      </c>
      <c r="AH242" s="1">
        <f t="shared" si="169"/>
        <v>1</v>
      </c>
      <c r="AI242" s="1">
        <f t="shared" si="170"/>
        <v>0</v>
      </c>
    </row>
    <row r="243" spans="1:35" s="1" customFormat="1" ht="14.25" customHeight="1" x14ac:dyDescent="0.3">
      <c r="A243" s="31">
        <v>0</v>
      </c>
      <c r="B243" s="31">
        <v>1</v>
      </c>
      <c r="C243" s="31">
        <v>7</v>
      </c>
      <c r="D243" s="32" t="s">
        <v>650</v>
      </c>
      <c r="E243" s="32" t="s">
        <v>29</v>
      </c>
      <c r="F243" s="32" t="s">
        <v>626</v>
      </c>
      <c r="G243" s="32" t="s">
        <v>232</v>
      </c>
      <c r="H243" s="32" t="s">
        <v>354</v>
      </c>
      <c r="I243" s="31" t="s">
        <v>627</v>
      </c>
      <c r="J243" s="31">
        <v>99</v>
      </c>
      <c r="K243" s="33" t="s">
        <v>713</v>
      </c>
      <c r="L243" s="33" t="s">
        <v>696</v>
      </c>
      <c r="M243" s="34" t="s">
        <v>973</v>
      </c>
      <c r="N243" s="34" t="s">
        <v>1849</v>
      </c>
      <c r="O243" s="35">
        <v>1</v>
      </c>
      <c r="P243" s="35"/>
      <c r="Q243" s="32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1</v>
      </c>
      <c r="AF243" s="1">
        <f t="shared" si="167"/>
        <v>0</v>
      </c>
      <c r="AG243" s="1">
        <f t="shared" si="168"/>
        <v>1</v>
      </c>
      <c r="AH243" s="1">
        <f t="shared" si="169"/>
        <v>0</v>
      </c>
      <c r="AI243" s="1">
        <f t="shared" si="170"/>
        <v>1</v>
      </c>
    </row>
    <row r="244" spans="1:35" s="1" customFormat="1" ht="14.25" customHeight="1" x14ac:dyDescent="0.3">
      <c r="A244" s="15">
        <v>0</v>
      </c>
      <c r="B244" s="15">
        <v>1</v>
      </c>
      <c r="C244" s="15">
        <v>7</v>
      </c>
      <c r="D244" s="16" t="s">
        <v>983</v>
      </c>
      <c r="E244" s="16" t="s">
        <v>29</v>
      </c>
      <c r="F244" s="16" t="s">
        <v>984</v>
      </c>
      <c r="G244" s="16" t="s">
        <v>985</v>
      </c>
      <c r="H244" s="16" t="s">
        <v>354</v>
      </c>
      <c r="I244" s="15" t="s">
        <v>982</v>
      </c>
      <c r="J244" s="15">
        <v>99</v>
      </c>
      <c r="K244" s="10" t="s">
        <v>703</v>
      </c>
      <c r="L244" s="10">
        <v>20</v>
      </c>
      <c r="M244" s="19" t="s">
        <v>973</v>
      </c>
      <c r="N244" s="19"/>
      <c r="Q244" s="16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0</v>
      </c>
      <c r="AF244" s="1">
        <f t="shared" si="167"/>
        <v>0</v>
      </c>
      <c r="AG244" s="1">
        <f t="shared" si="168"/>
        <v>0</v>
      </c>
      <c r="AH244" s="1">
        <f t="shared" si="169"/>
        <v>0</v>
      </c>
      <c r="AI244" s="1">
        <f t="shared" si="170"/>
        <v>1</v>
      </c>
    </row>
    <row r="245" spans="1:35" s="1" customFormat="1" ht="14.25" customHeight="1" x14ac:dyDescent="0.3">
      <c r="A245" s="38">
        <v>0</v>
      </c>
      <c r="B245" s="38">
        <v>1</v>
      </c>
      <c r="C245" s="38">
        <v>7</v>
      </c>
      <c r="D245" s="39" t="s">
        <v>591</v>
      </c>
      <c r="E245" s="39" t="s">
        <v>29</v>
      </c>
      <c r="F245" s="39" t="s">
        <v>592</v>
      </c>
      <c r="G245" s="39" t="s">
        <v>1073</v>
      </c>
      <c r="H245" s="39" t="s">
        <v>354</v>
      </c>
      <c r="I245" s="38" t="s">
        <v>593</v>
      </c>
      <c r="J245" s="38">
        <v>99</v>
      </c>
      <c r="K245" s="40" t="s">
        <v>703</v>
      </c>
      <c r="L245" s="40">
        <v>35</v>
      </c>
      <c r="M245" s="41" t="s">
        <v>1405</v>
      </c>
      <c r="N245" s="41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s="1" customFormat="1" ht="14.25" customHeight="1" x14ac:dyDescent="0.3">
      <c r="A246" s="31">
        <v>0</v>
      </c>
      <c r="B246" s="31">
        <v>1</v>
      </c>
      <c r="C246" s="31">
        <v>7</v>
      </c>
      <c r="D246" s="32" t="s">
        <v>1627</v>
      </c>
      <c r="E246" s="32" t="s">
        <v>29</v>
      </c>
      <c r="F246" s="32" t="s">
        <v>1682</v>
      </c>
      <c r="G246" s="32" t="s">
        <v>312</v>
      </c>
      <c r="H246" s="32" t="s">
        <v>354</v>
      </c>
      <c r="I246" s="31" t="s">
        <v>1628</v>
      </c>
      <c r="J246" s="31"/>
      <c r="K246" s="33" t="s">
        <v>713</v>
      </c>
      <c r="L246" s="33">
        <v>45</v>
      </c>
      <c r="M246" s="34" t="s">
        <v>1800</v>
      </c>
      <c r="N246" s="34" t="s">
        <v>1733</v>
      </c>
      <c r="O246" s="35">
        <v>1</v>
      </c>
      <c r="P246" s="35">
        <v>1</v>
      </c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1</v>
      </c>
      <c r="AE246" s="1">
        <f t="shared" si="182"/>
        <v>0</v>
      </c>
      <c r="AF246" s="1">
        <f t="shared" si="167"/>
        <v>1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s="1" customFormat="1" ht="14.25" customHeight="1" x14ac:dyDescent="0.3">
      <c r="A247" s="31">
        <v>0</v>
      </c>
      <c r="B247" s="31">
        <v>1</v>
      </c>
      <c r="C247" s="31">
        <v>7</v>
      </c>
      <c r="D247" s="32" t="s">
        <v>859</v>
      </c>
      <c r="E247" s="32" t="s">
        <v>29</v>
      </c>
      <c r="F247" s="32" t="s">
        <v>860</v>
      </c>
      <c r="G247" s="32" t="s">
        <v>202</v>
      </c>
      <c r="H247" s="32" t="s">
        <v>354</v>
      </c>
      <c r="I247" s="31" t="s">
        <v>861</v>
      </c>
      <c r="J247" s="31">
        <v>10</v>
      </c>
      <c r="K247" s="33" t="s">
        <v>713</v>
      </c>
      <c r="L247" s="33" t="s">
        <v>693</v>
      </c>
      <c r="M247" s="34" t="s">
        <v>1405</v>
      </c>
      <c r="N247" s="34" t="s">
        <v>1755</v>
      </c>
      <c r="O247" s="35">
        <v>1</v>
      </c>
      <c r="P247" s="35"/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1</v>
      </c>
      <c r="AD247" s="1">
        <f t="shared" si="181"/>
        <v>0</v>
      </c>
      <c r="AE247" s="1">
        <f t="shared" si="182"/>
        <v>1</v>
      </c>
      <c r="AF247" s="1">
        <f t="shared" si="167"/>
        <v>0</v>
      </c>
      <c r="AG247" s="1">
        <f t="shared" si="168"/>
        <v>1</v>
      </c>
      <c r="AH247" s="1">
        <f t="shared" si="169"/>
        <v>0</v>
      </c>
      <c r="AI247" s="1">
        <f t="shared" si="170"/>
        <v>1</v>
      </c>
    </row>
    <row r="248" spans="1:35" s="1" customFormat="1" ht="14.25" customHeight="1" x14ac:dyDescent="0.3">
      <c r="A248" s="31">
        <v>0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280</v>
      </c>
      <c r="G248" s="32" t="s">
        <v>230</v>
      </c>
      <c r="H248" s="32" t="s">
        <v>354</v>
      </c>
      <c r="I248" s="31" t="s">
        <v>435</v>
      </c>
      <c r="J248" s="31">
        <v>7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1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1</v>
      </c>
      <c r="AE248" s="1">
        <f t="shared" si="182"/>
        <v>0</v>
      </c>
      <c r="AF248" s="1">
        <f t="shared" si="167"/>
        <v>1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s="1" customFormat="1" ht="14.25" customHeight="1" x14ac:dyDescent="0.3">
      <c r="A249" s="31">
        <v>1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1601</v>
      </c>
      <c r="G249" s="32" t="s">
        <v>39</v>
      </c>
      <c r="H249" s="32" t="s">
        <v>354</v>
      </c>
      <c r="I249" s="31" t="s">
        <v>1602</v>
      </c>
      <c r="J249" s="31">
        <v>99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0</v>
      </c>
      <c r="AG249" s="1">
        <f t="shared" si="168"/>
        <v>0</v>
      </c>
      <c r="AH249" s="1">
        <f t="shared" si="169"/>
        <v>0</v>
      </c>
      <c r="AI249" s="1">
        <f t="shared" si="170"/>
        <v>0</v>
      </c>
    </row>
    <row r="250" spans="1:35" s="1" customFormat="1" ht="14.25" customHeight="1" x14ac:dyDescent="0.3">
      <c r="A250" s="49">
        <v>0</v>
      </c>
      <c r="B250" s="49">
        <v>1</v>
      </c>
      <c r="C250" s="49">
        <v>7</v>
      </c>
      <c r="D250" s="55" t="s">
        <v>1484</v>
      </c>
      <c r="E250" s="50" t="s">
        <v>29</v>
      </c>
      <c r="F250" s="55" t="s">
        <v>1004</v>
      </c>
      <c r="G250" s="55" t="s">
        <v>1102</v>
      </c>
      <c r="H250" s="55" t="s">
        <v>354</v>
      </c>
      <c r="I250" s="63" t="s">
        <v>1110</v>
      </c>
      <c r="J250" s="49">
        <v>10</v>
      </c>
      <c r="K250" s="51" t="s">
        <v>713</v>
      </c>
      <c r="L250" s="51" t="s">
        <v>694</v>
      </c>
      <c r="M250" s="52" t="s">
        <v>973</v>
      </c>
      <c r="N250" s="52" t="s">
        <v>1743</v>
      </c>
      <c r="O250" s="53">
        <v>1</v>
      </c>
      <c r="P250" s="53"/>
      <c r="Q250" s="55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s="1" customFormat="1" ht="14.25" customHeight="1" x14ac:dyDescent="0.3">
      <c r="A251" s="31">
        <v>0</v>
      </c>
      <c r="B251" s="31">
        <v>1</v>
      </c>
      <c r="C251" s="31">
        <v>7</v>
      </c>
      <c r="D251" s="36" t="s">
        <v>1485</v>
      </c>
      <c r="E251" s="32" t="s">
        <v>29</v>
      </c>
      <c r="F251" s="36" t="s">
        <v>1002</v>
      </c>
      <c r="G251" s="36" t="s">
        <v>240</v>
      </c>
      <c r="H251" s="36" t="s">
        <v>354</v>
      </c>
      <c r="I251" s="37" t="s">
        <v>1003</v>
      </c>
      <c r="J251" s="31">
        <v>1</v>
      </c>
      <c r="K251" s="33" t="s">
        <v>961</v>
      </c>
      <c r="L251" s="33" t="s">
        <v>694</v>
      </c>
      <c r="M251" s="34" t="s">
        <v>973</v>
      </c>
      <c r="N251" s="34" t="s">
        <v>1801</v>
      </c>
      <c r="O251" s="35">
        <v>1</v>
      </c>
      <c r="P251" s="35"/>
      <c r="Q251" s="36"/>
      <c r="S251" s="1">
        <f t="shared" si="171"/>
        <v>1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s="1" customFormat="1" ht="14.25" customHeight="1" x14ac:dyDescent="0.3">
      <c r="A252" s="44">
        <v>0</v>
      </c>
      <c r="B252" s="44">
        <v>1</v>
      </c>
      <c r="C252" s="44">
        <v>7</v>
      </c>
      <c r="D252" s="45" t="s">
        <v>898</v>
      </c>
      <c r="E252" s="45" t="s">
        <v>29</v>
      </c>
      <c r="F252" s="45" t="s">
        <v>899</v>
      </c>
      <c r="G252" s="45" t="s">
        <v>39</v>
      </c>
      <c r="H252" s="45" t="s">
        <v>355</v>
      </c>
      <c r="I252" s="44" t="s">
        <v>900</v>
      </c>
      <c r="J252" s="44">
        <v>11</v>
      </c>
      <c r="K252" s="46" t="s">
        <v>703</v>
      </c>
      <c r="L252" s="46">
        <v>35</v>
      </c>
      <c r="M252" s="47" t="s">
        <v>1405</v>
      </c>
      <c r="N252" s="47" t="s">
        <v>1747</v>
      </c>
      <c r="O252" s="48"/>
      <c r="P252" s="48"/>
      <c r="Q252" s="65" t="s">
        <v>1903</v>
      </c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1</v>
      </c>
    </row>
    <row r="253" spans="1:35" s="1" customFormat="1" ht="14.25" customHeight="1" x14ac:dyDescent="0.3">
      <c r="A253" s="31">
        <v>0</v>
      </c>
      <c r="B253" s="31">
        <v>1</v>
      </c>
      <c r="C253" s="31">
        <v>7</v>
      </c>
      <c r="D253" s="36" t="s">
        <v>1084</v>
      </c>
      <c r="E253" s="32" t="s">
        <v>29</v>
      </c>
      <c r="F253" s="36" t="s">
        <v>986</v>
      </c>
      <c r="G253" s="36" t="s">
        <v>203</v>
      </c>
      <c r="H253" s="36" t="s">
        <v>354</v>
      </c>
      <c r="I253" s="37" t="s">
        <v>987</v>
      </c>
      <c r="J253" s="31">
        <v>99</v>
      </c>
      <c r="K253" s="33" t="s">
        <v>713</v>
      </c>
      <c r="L253" s="33" t="s">
        <v>694</v>
      </c>
      <c r="M253" s="34" t="s">
        <v>1442</v>
      </c>
      <c r="N253" s="34" t="s">
        <v>1727</v>
      </c>
      <c r="O253" s="35">
        <v>1</v>
      </c>
      <c r="P253" s="35">
        <v>1</v>
      </c>
      <c r="Q253" s="36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1</v>
      </c>
      <c r="AE253" s="1">
        <f t="shared" si="182"/>
        <v>0</v>
      </c>
      <c r="AF253" s="1">
        <f t="shared" si="167"/>
        <v>1</v>
      </c>
      <c r="AG253" s="1">
        <f t="shared" si="168"/>
        <v>0</v>
      </c>
      <c r="AH253" s="1">
        <f t="shared" si="169"/>
        <v>1</v>
      </c>
      <c r="AI253" s="1">
        <f t="shared" si="170"/>
        <v>0</v>
      </c>
    </row>
    <row r="254" spans="1:35" s="1" customFormat="1" ht="14.25" customHeight="1" x14ac:dyDescent="0.3">
      <c r="A254" s="15">
        <v>0</v>
      </c>
      <c r="B254" s="15">
        <v>1</v>
      </c>
      <c r="C254" s="15">
        <v>7</v>
      </c>
      <c r="D254" s="16" t="s">
        <v>751</v>
      </c>
      <c r="E254" s="16" t="s">
        <v>29</v>
      </c>
      <c r="F254" s="16" t="s">
        <v>752</v>
      </c>
      <c r="G254" s="16" t="s">
        <v>753</v>
      </c>
      <c r="H254" s="16" t="s">
        <v>354</v>
      </c>
      <c r="I254" s="15" t="s">
        <v>754</v>
      </c>
      <c r="J254" s="15">
        <v>99</v>
      </c>
      <c r="K254" s="10" t="s">
        <v>703</v>
      </c>
      <c r="L254" s="10">
        <v>20</v>
      </c>
      <c r="M254" s="19" t="s">
        <v>1120</v>
      </c>
      <c r="N254" s="17"/>
      <c r="Q254" s="1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0</v>
      </c>
      <c r="AF254" s="1">
        <f t="shared" si="167"/>
        <v>0</v>
      </c>
      <c r="AG254" s="1">
        <f t="shared" si="168"/>
        <v>0</v>
      </c>
      <c r="AH254" s="1">
        <f t="shared" si="169"/>
        <v>0</v>
      </c>
      <c r="AI254" s="1">
        <f t="shared" si="170"/>
        <v>1</v>
      </c>
    </row>
    <row r="255" spans="1:35" s="1" customFormat="1" ht="14.25" customHeight="1" x14ac:dyDescent="0.3">
      <c r="A255" s="31">
        <v>0</v>
      </c>
      <c r="B255" s="31">
        <v>1</v>
      </c>
      <c r="C255" s="31">
        <v>7</v>
      </c>
      <c r="D255" s="36" t="s">
        <v>828</v>
      </c>
      <c r="E255" s="32" t="s">
        <v>29</v>
      </c>
      <c r="F255" s="36" t="s">
        <v>829</v>
      </c>
      <c r="G255" s="36" t="s">
        <v>928</v>
      </c>
      <c r="H255" s="36" t="s">
        <v>354</v>
      </c>
      <c r="I255" s="37" t="s">
        <v>830</v>
      </c>
      <c r="J255" s="31">
        <v>99</v>
      </c>
      <c r="K255" s="33" t="s">
        <v>955</v>
      </c>
      <c r="L255" s="33" t="s">
        <v>694</v>
      </c>
      <c r="M255" s="34" t="s">
        <v>973</v>
      </c>
      <c r="N255" s="34" t="s">
        <v>1825</v>
      </c>
      <c r="O255" s="35">
        <v>1</v>
      </c>
      <c r="P255" s="35"/>
      <c r="Q255" s="3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1</v>
      </c>
      <c r="AF255" s="1">
        <f t="shared" si="167"/>
        <v>0</v>
      </c>
      <c r="AG255" s="1">
        <f t="shared" si="168"/>
        <v>1</v>
      </c>
      <c r="AH255" s="1">
        <f t="shared" si="169"/>
        <v>0</v>
      </c>
      <c r="AI255" s="1">
        <f t="shared" si="170"/>
        <v>1</v>
      </c>
    </row>
    <row r="256" spans="1:35" s="1" customFormat="1" ht="14.25" customHeight="1" x14ac:dyDescent="0.3">
      <c r="A256" s="31">
        <v>0</v>
      </c>
      <c r="B256" s="31">
        <v>1</v>
      </c>
      <c r="C256" s="31">
        <v>7</v>
      </c>
      <c r="D256" s="36" t="s">
        <v>1720</v>
      </c>
      <c r="E256" s="32" t="s">
        <v>29</v>
      </c>
      <c r="F256" s="36" t="s">
        <v>1721</v>
      </c>
      <c r="G256" s="36" t="s">
        <v>249</v>
      </c>
      <c r="H256" s="36" t="s">
        <v>354</v>
      </c>
      <c r="I256" s="37" t="s">
        <v>1722</v>
      </c>
      <c r="J256" s="31"/>
      <c r="K256" s="33" t="s">
        <v>703</v>
      </c>
      <c r="L256" s="33"/>
      <c r="M256" s="34"/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s="1" customFormat="1" ht="14.25" customHeight="1" x14ac:dyDescent="0.3">
      <c r="A257" s="31">
        <v>0</v>
      </c>
      <c r="B257" s="31">
        <v>1</v>
      </c>
      <c r="C257" s="31">
        <v>7</v>
      </c>
      <c r="D257" s="32" t="s">
        <v>901</v>
      </c>
      <c r="E257" s="32" t="s">
        <v>29</v>
      </c>
      <c r="F257" s="32" t="s">
        <v>902</v>
      </c>
      <c r="G257" s="32" t="s">
        <v>228</v>
      </c>
      <c r="H257" s="32" t="s">
        <v>354</v>
      </c>
      <c r="I257" s="31" t="s">
        <v>903</v>
      </c>
      <c r="J257" s="31">
        <v>99</v>
      </c>
      <c r="K257" s="33" t="s">
        <v>713</v>
      </c>
      <c r="L257" s="33" t="s">
        <v>694</v>
      </c>
      <c r="M257" s="34" t="s">
        <v>1406</v>
      </c>
      <c r="N257" s="34" t="s">
        <v>1748</v>
      </c>
      <c r="O257" s="35">
        <v>1</v>
      </c>
      <c r="P257" s="35"/>
      <c r="Q257" s="32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1</v>
      </c>
      <c r="AF257" s="1">
        <f t="shared" si="167"/>
        <v>0</v>
      </c>
      <c r="AG257" s="1">
        <f t="shared" si="168"/>
        <v>1</v>
      </c>
      <c r="AH257" s="1">
        <f t="shared" si="169"/>
        <v>0</v>
      </c>
      <c r="AI257" s="1">
        <f t="shared" si="170"/>
        <v>1</v>
      </c>
    </row>
    <row r="258" spans="1:35" s="1" customFormat="1" ht="14.25" customHeight="1" x14ac:dyDescent="0.3">
      <c r="A258" s="31">
        <v>0</v>
      </c>
      <c r="B258" s="31">
        <v>1</v>
      </c>
      <c r="C258" s="31">
        <v>7</v>
      </c>
      <c r="D258" s="32" t="s">
        <v>88</v>
      </c>
      <c r="E258" s="32" t="s">
        <v>29</v>
      </c>
      <c r="F258" s="32" t="s">
        <v>281</v>
      </c>
      <c r="G258" s="32" t="s">
        <v>238</v>
      </c>
      <c r="H258" s="32" t="s">
        <v>354</v>
      </c>
      <c r="I258" s="31" t="s">
        <v>437</v>
      </c>
      <c r="J258" s="31">
        <v>4</v>
      </c>
      <c r="K258" s="33" t="s">
        <v>954</v>
      </c>
      <c r="L258" s="33" t="s">
        <v>39</v>
      </c>
      <c r="M258" s="34" t="s">
        <v>39</v>
      </c>
      <c r="N258" s="34" t="s">
        <v>1727</v>
      </c>
      <c r="O258" s="35">
        <v>1</v>
      </c>
      <c r="P258" s="35">
        <v>1</v>
      </c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1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1</v>
      </c>
      <c r="AE258" s="1">
        <f t="shared" si="182"/>
        <v>0</v>
      </c>
      <c r="AF258" s="1">
        <f t="shared" si="167"/>
        <v>1</v>
      </c>
      <c r="AG258" s="1">
        <f t="shared" si="168"/>
        <v>0</v>
      </c>
      <c r="AH258" s="1">
        <f t="shared" si="169"/>
        <v>1</v>
      </c>
      <c r="AI258" s="1">
        <f t="shared" si="170"/>
        <v>0</v>
      </c>
    </row>
    <row r="259" spans="1:35" s="1" customFormat="1" ht="14.25" customHeight="1" x14ac:dyDescent="0.3">
      <c r="A259" s="44">
        <v>0</v>
      </c>
      <c r="B259" s="44">
        <v>1</v>
      </c>
      <c r="C259" s="44">
        <v>7</v>
      </c>
      <c r="D259" s="45" t="s">
        <v>89</v>
      </c>
      <c r="E259" s="45" t="s">
        <v>29</v>
      </c>
      <c r="F259" s="45" t="s">
        <v>282</v>
      </c>
      <c r="G259" s="45" t="s">
        <v>283</v>
      </c>
      <c r="H259" s="45" t="s">
        <v>354</v>
      </c>
      <c r="I259" s="44" t="s">
        <v>943</v>
      </c>
      <c r="J259" s="44">
        <v>99</v>
      </c>
      <c r="K259" s="46" t="s">
        <v>955</v>
      </c>
      <c r="L259" s="46" t="s">
        <v>694</v>
      </c>
      <c r="M259" s="47" t="s">
        <v>973</v>
      </c>
      <c r="N259" s="47" t="s">
        <v>1809</v>
      </c>
      <c r="O259" s="48"/>
      <c r="P259" s="48"/>
      <c r="Q259" s="45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0</v>
      </c>
      <c r="AE259" s="1">
        <f t="shared" si="182"/>
        <v>0</v>
      </c>
      <c r="AF259" s="1">
        <f t="shared" si="167"/>
        <v>0</v>
      </c>
      <c r="AG259" s="1">
        <f t="shared" si="168"/>
        <v>0</v>
      </c>
      <c r="AH259" s="1">
        <f t="shared" si="169"/>
        <v>0</v>
      </c>
      <c r="AI259" s="1">
        <f t="shared" si="170"/>
        <v>1</v>
      </c>
    </row>
    <row r="260" spans="1:35" s="1" customFormat="1" ht="14.25" customHeight="1" x14ac:dyDescent="0.3">
      <c r="A260" s="31">
        <v>0</v>
      </c>
      <c r="B260" s="31">
        <v>1</v>
      </c>
      <c r="C260" s="31">
        <v>7</v>
      </c>
      <c r="D260" s="36" t="s">
        <v>1636</v>
      </c>
      <c r="E260" s="32" t="s">
        <v>29</v>
      </c>
      <c r="F260" s="36" t="s">
        <v>1535</v>
      </c>
      <c r="G260" s="36" t="s">
        <v>39</v>
      </c>
      <c r="H260" s="36" t="s">
        <v>886</v>
      </c>
      <c r="I260" s="37" t="s">
        <v>1536</v>
      </c>
      <c r="J260" s="31">
        <v>17</v>
      </c>
      <c r="K260" s="33" t="s">
        <v>713</v>
      </c>
      <c r="L260" s="33" t="s">
        <v>697</v>
      </c>
      <c r="M260" s="34" t="s">
        <v>1457</v>
      </c>
      <c r="N260" s="34" t="s">
        <v>1727</v>
      </c>
      <c r="O260" s="35">
        <v>1</v>
      </c>
      <c r="P260" s="35">
        <v>1</v>
      </c>
      <c r="Q260" s="36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1</v>
      </c>
      <c r="AE260" s="1">
        <f t="shared" si="182"/>
        <v>0</v>
      </c>
      <c r="AF260" s="1">
        <f t="shared" si="167"/>
        <v>1</v>
      </c>
      <c r="AG260" s="1">
        <f t="shared" si="168"/>
        <v>0</v>
      </c>
      <c r="AH260" s="1">
        <f t="shared" si="169"/>
        <v>1</v>
      </c>
      <c r="AI260" s="1">
        <f t="shared" si="170"/>
        <v>0</v>
      </c>
    </row>
    <row r="261" spans="1:35" s="1" customFormat="1" ht="14.25" customHeight="1" x14ac:dyDescent="0.3">
      <c r="A261" s="44">
        <v>0</v>
      </c>
      <c r="B261" s="44">
        <v>1</v>
      </c>
      <c r="C261" s="44">
        <v>7</v>
      </c>
      <c r="D261" s="45" t="s">
        <v>1454</v>
      </c>
      <c r="E261" s="45" t="s">
        <v>29</v>
      </c>
      <c r="F261" s="45" t="s">
        <v>1455</v>
      </c>
      <c r="G261" s="45" t="s">
        <v>321</v>
      </c>
      <c r="H261" s="45" t="s">
        <v>354</v>
      </c>
      <c r="I261" s="44" t="s">
        <v>1456</v>
      </c>
      <c r="J261" s="44">
        <v>99</v>
      </c>
      <c r="K261" s="46" t="s">
        <v>703</v>
      </c>
      <c r="L261" s="46">
        <v>30</v>
      </c>
      <c r="M261" s="47" t="s">
        <v>1457</v>
      </c>
      <c r="N261" s="47" t="s">
        <v>1802</v>
      </c>
      <c r="O261" s="48"/>
      <c r="P261" s="48"/>
      <c r="Q261" s="45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0</v>
      </c>
      <c r="AE261" s="1">
        <f t="shared" si="182"/>
        <v>0</v>
      </c>
      <c r="AF261" s="1">
        <f t="shared" si="167"/>
        <v>0</v>
      </c>
      <c r="AG261" s="1">
        <f t="shared" si="168"/>
        <v>0</v>
      </c>
      <c r="AH261" s="1">
        <f t="shared" si="169"/>
        <v>0</v>
      </c>
      <c r="AI261" s="1">
        <f t="shared" si="170"/>
        <v>1</v>
      </c>
    </row>
    <row r="262" spans="1:35" s="1" customFormat="1" ht="14.25" customHeight="1" x14ac:dyDescent="0.3">
      <c r="A262" s="31">
        <v>0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847</v>
      </c>
      <c r="G262" s="36" t="s">
        <v>222</v>
      </c>
      <c r="H262" s="36" t="s">
        <v>354</v>
      </c>
      <c r="I262" s="37" t="s">
        <v>848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s="1" customFormat="1" ht="14.25" customHeight="1" x14ac:dyDescent="0.3">
      <c r="A263" s="31">
        <v>1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930</v>
      </c>
      <c r="G263" s="36" t="s">
        <v>279</v>
      </c>
      <c r="H263" s="36" t="s">
        <v>354</v>
      </c>
      <c r="I263" s="37" t="s">
        <v>849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ref="AD263:AD264" si="183">+O263*P263</f>
        <v>0</v>
      </c>
      <c r="AE263" s="1">
        <f t="shared" ref="AE263:AE264" si="184">O263*(1-P263)</f>
        <v>1</v>
      </c>
      <c r="AF263" s="1">
        <f t="shared" ref="AF263:AF264" si="185">+O263*P263*(1-A263)</f>
        <v>0</v>
      </c>
      <c r="AG263" s="1">
        <f t="shared" ref="AG263:AG264" si="186">O263*(1-P263)*(1-A263)</f>
        <v>0</v>
      </c>
      <c r="AH263" s="1">
        <f t="shared" ref="AH263:AH264" si="187">+P263*(1-A263)</f>
        <v>0</v>
      </c>
      <c r="AI263" s="1">
        <f t="shared" ref="AI263:AI264" si="188">+(1-A263)*(1-P263)</f>
        <v>0</v>
      </c>
    </row>
    <row r="264" spans="1:35" s="1" customFormat="1" ht="14.25" customHeight="1" x14ac:dyDescent="0.3">
      <c r="A264" s="31">
        <v>0</v>
      </c>
      <c r="B264" s="31">
        <v>1</v>
      </c>
      <c r="C264" s="31">
        <v>7</v>
      </c>
      <c r="D264" s="32" t="s">
        <v>1216</v>
      </c>
      <c r="E264" s="32" t="s">
        <v>29</v>
      </c>
      <c r="F264" s="32" t="s">
        <v>1217</v>
      </c>
      <c r="G264" s="32" t="s">
        <v>238</v>
      </c>
      <c r="H264" s="32" t="s">
        <v>354</v>
      </c>
      <c r="I264" s="31" t="s">
        <v>1361</v>
      </c>
      <c r="J264" s="31">
        <v>99</v>
      </c>
      <c r="K264" s="33" t="s">
        <v>713</v>
      </c>
      <c r="L264" s="33" t="s">
        <v>694</v>
      </c>
      <c r="M264" s="34" t="s">
        <v>1407</v>
      </c>
      <c r="N264" s="34" t="s">
        <v>1755</v>
      </c>
      <c r="O264" s="35">
        <v>1</v>
      </c>
      <c r="P264" s="35"/>
      <c r="Q264" s="32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3"/>
        <v>0</v>
      </c>
      <c r="AE264" s="1">
        <f t="shared" si="184"/>
        <v>1</v>
      </c>
      <c r="AF264" s="1">
        <f t="shared" si="185"/>
        <v>0</v>
      </c>
      <c r="AG264" s="1">
        <f t="shared" si="186"/>
        <v>1</v>
      </c>
      <c r="AH264" s="1">
        <f t="shared" si="187"/>
        <v>0</v>
      </c>
      <c r="AI264" s="1">
        <f t="shared" si="188"/>
        <v>1</v>
      </c>
    </row>
    <row r="265" spans="1:35" s="1" customFormat="1" ht="14.25" customHeight="1" x14ac:dyDescent="0.3">
      <c r="A265" s="31">
        <v>0</v>
      </c>
      <c r="B265" s="31">
        <v>1</v>
      </c>
      <c r="C265" s="31">
        <v>7</v>
      </c>
      <c r="D265" s="36" t="s">
        <v>1233</v>
      </c>
      <c r="E265" s="32" t="s">
        <v>29</v>
      </c>
      <c r="F265" s="36" t="s">
        <v>1234</v>
      </c>
      <c r="G265" s="36" t="s">
        <v>238</v>
      </c>
      <c r="H265" s="36" t="s">
        <v>354</v>
      </c>
      <c r="I265" s="37" t="s">
        <v>1235</v>
      </c>
      <c r="J265" s="31">
        <v>99</v>
      </c>
      <c r="K265" s="33" t="s">
        <v>713</v>
      </c>
      <c r="L265" s="33" t="s">
        <v>693</v>
      </c>
      <c r="M265" s="34" t="s">
        <v>1407</v>
      </c>
      <c r="N265" s="34" t="s">
        <v>1825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1</v>
      </c>
      <c r="AH265" s="1">
        <f t="shared" si="169"/>
        <v>0</v>
      </c>
      <c r="AI265" s="1">
        <f t="shared" si="170"/>
        <v>1</v>
      </c>
    </row>
    <row r="266" spans="1:35" s="1" customFormat="1" ht="14.25" customHeight="1" x14ac:dyDescent="0.3">
      <c r="A266" s="31">
        <v>0</v>
      </c>
      <c r="B266" s="31">
        <v>1</v>
      </c>
      <c r="C266" s="31">
        <v>7</v>
      </c>
      <c r="D266" s="36" t="s">
        <v>93</v>
      </c>
      <c r="E266" s="32" t="s">
        <v>29</v>
      </c>
      <c r="F266" s="36" t="s">
        <v>288</v>
      </c>
      <c r="G266" s="36" t="s">
        <v>190</v>
      </c>
      <c r="H266" s="36" t="s">
        <v>354</v>
      </c>
      <c r="I266" s="37" t="s">
        <v>441</v>
      </c>
      <c r="J266" s="31">
        <v>99</v>
      </c>
      <c r="K266" s="33" t="s">
        <v>713</v>
      </c>
      <c r="L266" s="33" t="s">
        <v>694</v>
      </c>
      <c r="M266" s="34" t="s">
        <v>1408</v>
      </c>
      <c r="N266" s="34" t="s">
        <v>1750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1</v>
      </c>
      <c r="AH266" s="1">
        <f t="shared" si="169"/>
        <v>0</v>
      </c>
      <c r="AI266" s="1">
        <f t="shared" si="170"/>
        <v>1</v>
      </c>
    </row>
    <row r="267" spans="1:35" s="1" customFormat="1" ht="14.25" customHeight="1" x14ac:dyDescent="0.3">
      <c r="A267" s="44">
        <v>0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871</v>
      </c>
      <c r="G267" s="45" t="s">
        <v>194</v>
      </c>
      <c r="H267" s="45" t="s">
        <v>354</v>
      </c>
      <c r="I267" s="44" t="s">
        <v>872</v>
      </c>
      <c r="J267" s="44">
        <v>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1</v>
      </c>
      <c r="AB267" s="1">
        <f t="shared" si="180"/>
        <v>0</v>
      </c>
      <c r="AD267" s="1">
        <f t="shared" si="181"/>
        <v>0</v>
      </c>
      <c r="AE267" s="1">
        <f t="shared" si="182"/>
        <v>0</v>
      </c>
      <c r="AF267" s="1">
        <f t="shared" si="167"/>
        <v>0</v>
      </c>
      <c r="AG267" s="1">
        <f t="shared" si="168"/>
        <v>0</v>
      </c>
      <c r="AH267" s="1">
        <f t="shared" si="169"/>
        <v>0</v>
      </c>
      <c r="AI267" s="1">
        <f t="shared" si="170"/>
        <v>1</v>
      </c>
    </row>
    <row r="268" spans="1:35" s="1" customFormat="1" ht="14.25" customHeight="1" x14ac:dyDescent="0.3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1068</v>
      </c>
      <c r="G268" s="45" t="s">
        <v>321</v>
      </c>
      <c r="H268" s="45" t="s">
        <v>354</v>
      </c>
      <c r="I268" s="44" t="s">
        <v>1069</v>
      </c>
      <c r="J268" s="44">
        <v>99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ref="S268:S269" si="189">IF(J268=$S$7,1,0)</f>
        <v>0</v>
      </c>
      <c r="T268" s="1">
        <f t="shared" ref="T268:T269" si="190">IF(J268=$T$7,1,0)</f>
        <v>0</v>
      </c>
      <c r="U268" s="1">
        <f t="shared" ref="U268:U269" si="191">IF(J268=$U$7,1,0)</f>
        <v>0</v>
      </c>
      <c r="V268" s="1">
        <f t="shared" ref="V268:V269" si="192">IF(J268=$V$7,1,0)</f>
        <v>0</v>
      </c>
      <c r="W268" s="1">
        <f t="shared" ref="W268:W269" si="193">IF(J268=$W$7,1,0)</f>
        <v>0</v>
      </c>
      <c r="X268" s="1">
        <f t="shared" ref="X268:X269" si="194">IF(J268=$X$7,1,0)</f>
        <v>0</v>
      </c>
      <c r="Y268" s="1">
        <f t="shared" ref="Y268:Y269" si="195">IF(J268=$Y$7,1,0)</f>
        <v>0</v>
      </c>
      <c r="Z268" s="1">
        <f t="shared" ref="Z268:Z269" si="196">IF(J268=$Z$7,1,0)</f>
        <v>0</v>
      </c>
      <c r="AA268" s="1">
        <f t="shared" ref="AA268:AA269" si="197">IF(J268=$AA$7,1,0)</f>
        <v>0</v>
      </c>
      <c r="AB268" s="1">
        <f t="shared" ref="AB268:AB269" si="198">IF(J268=$AB$7,1,0)</f>
        <v>0</v>
      </c>
      <c r="AD268" s="1">
        <f t="shared" ref="AD268:AD269" si="199">+O268*P268</f>
        <v>0</v>
      </c>
      <c r="AE268" s="1">
        <f t="shared" ref="AE268:AE269" si="200">O268*(1-P268)</f>
        <v>0</v>
      </c>
      <c r="AF268" s="1">
        <f t="shared" ref="AF268:AF269" si="201">+O268*P268*(1-A268)</f>
        <v>0</v>
      </c>
      <c r="AG268" s="1">
        <f t="shared" ref="AG268:AG269" si="202">O268*(1-P268)*(1-A268)</f>
        <v>0</v>
      </c>
      <c r="AH268" s="1">
        <f t="shared" ref="AH268:AH269" si="203">+P268*(1-A268)</f>
        <v>0</v>
      </c>
      <c r="AI268" s="1">
        <f t="shared" ref="AI268:AI269" si="204">+(1-A268)*(1-P268)</f>
        <v>0</v>
      </c>
    </row>
    <row r="269" spans="1:35" s="1" customFormat="1" ht="14.25" customHeight="1" x14ac:dyDescent="0.3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2026</v>
      </c>
      <c r="G269" s="65" t="s">
        <v>194</v>
      </c>
      <c r="H269" s="45" t="s">
        <v>354</v>
      </c>
      <c r="I269" s="64" t="s">
        <v>872</v>
      </c>
      <c r="J269" s="44">
        <v>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89"/>
        <v>0</v>
      </c>
      <c r="T269" s="1">
        <f t="shared" si="190"/>
        <v>0</v>
      </c>
      <c r="U269" s="1">
        <f t="shared" si="191"/>
        <v>0</v>
      </c>
      <c r="V269" s="1">
        <f t="shared" si="192"/>
        <v>0</v>
      </c>
      <c r="W269" s="1">
        <f t="shared" si="193"/>
        <v>0</v>
      </c>
      <c r="X269" s="1">
        <f t="shared" si="194"/>
        <v>0</v>
      </c>
      <c r="Y269" s="1">
        <f t="shared" si="195"/>
        <v>0</v>
      </c>
      <c r="Z269" s="1">
        <f t="shared" si="196"/>
        <v>0</v>
      </c>
      <c r="AA269" s="1">
        <f t="shared" si="197"/>
        <v>1</v>
      </c>
      <c r="AB269" s="1">
        <f t="shared" si="198"/>
        <v>0</v>
      </c>
      <c r="AD269" s="1">
        <f t="shared" si="199"/>
        <v>0</v>
      </c>
      <c r="AE269" s="1">
        <f t="shared" si="200"/>
        <v>0</v>
      </c>
      <c r="AF269" s="1">
        <f t="shared" si="201"/>
        <v>0</v>
      </c>
      <c r="AG269" s="1">
        <f t="shared" si="202"/>
        <v>0</v>
      </c>
      <c r="AH269" s="1">
        <f t="shared" si="203"/>
        <v>0</v>
      </c>
      <c r="AI269" s="1">
        <f t="shared" si="204"/>
        <v>0</v>
      </c>
    </row>
    <row r="270" spans="1:35" s="1" customFormat="1" ht="14.25" customHeight="1" x14ac:dyDescent="0.3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2028</v>
      </c>
      <c r="G270" s="65" t="s">
        <v>209</v>
      </c>
      <c r="H270" s="45" t="s">
        <v>354</v>
      </c>
      <c r="I270" s="64" t="s">
        <v>2027</v>
      </c>
      <c r="J270" s="44">
        <v>99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0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0</v>
      </c>
    </row>
    <row r="271" spans="1:35" s="1" customFormat="1" ht="14.25" customHeight="1" x14ac:dyDescent="0.3">
      <c r="A271" s="31">
        <v>0</v>
      </c>
      <c r="B271" s="31">
        <v>1</v>
      </c>
      <c r="C271" s="31">
        <v>7</v>
      </c>
      <c r="D271" s="36" t="s">
        <v>96</v>
      </c>
      <c r="E271" s="32" t="s">
        <v>29</v>
      </c>
      <c r="F271" s="36" t="s">
        <v>292</v>
      </c>
      <c r="G271" s="36" t="s">
        <v>293</v>
      </c>
      <c r="H271" s="36" t="s">
        <v>354</v>
      </c>
      <c r="I271" s="37" t="s">
        <v>1117</v>
      </c>
      <c r="J271" s="31">
        <v>99</v>
      </c>
      <c r="K271" s="33" t="s">
        <v>713</v>
      </c>
      <c r="L271" s="33" t="s">
        <v>696</v>
      </c>
      <c r="M271" s="34" t="s">
        <v>708</v>
      </c>
      <c r="N271" s="34" t="s">
        <v>1748</v>
      </c>
      <c r="O271" s="35">
        <v>1</v>
      </c>
      <c r="P271" s="35"/>
      <c r="Q271" s="36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1</v>
      </c>
      <c r="AF271" s="1">
        <f t="shared" si="167"/>
        <v>0</v>
      </c>
      <c r="AG271" s="1">
        <f t="shared" si="168"/>
        <v>1</v>
      </c>
      <c r="AH271" s="1">
        <f t="shared" si="169"/>
        <v>0</v>
      </c>
      <c r="AI271" s="1">
        <f t="shared" si="170"/>
        <v>1</v>
      </c>
    </row>
    <row r="272" spans="1:35" s="1" customFormat="1" ht="14.25" customHeight="1" x14ac:dyDescent="0.3">
      <c r="A272" s="44">
        <v>0</v>
      </c>
      <c r="B272" s="44">
        <v>1</v>
      </c>
      <c r="C272" s="44">
        <v>7</v>
      </c>
      <c r="D272" s="45" t="s">
        <v>532</v>
      </c>
      <c r="E272" s="45" t="s">
        <v>29</v>
      </c>
      <c r="F272" s="45" t="s">
        <v>665</v>
      </c>
      <c r="G272" s="45" t="s">
        <v>39</v>
      </c>
      <c r="H272" s="45" t="s">
        <v>533</v>
      </c>
      <c r="I272" s="44" t="s">
        <v>1690</v>
      </c>
      <c r="J272" s="44">
        <v>14</v>
      </c>
      <c r="K272" s="46" t="s">
        <v>954</v>
      </c>
      <c r="L272" s="46">
        <v>40</v>
      </c>
      <c r="M272" s="47" t="s">
        <v>708</v>
      </c>
      <c r="N272" s="47" t="s">
        <v>1735</v>
      </c>
      <c r="O272" s="48"/>
      <c r="P272" s="48"/>
      <c r="Q272" s="45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0</v>
      </c>
      <c r="AF272" s="1">
        <f t="shared" si="167"/>
        <v>0</v>
      </c>
      <c r="AG272" s="1">
        <f t="shared" si="168"/>
        <v>0</v>
      </c>
      <c r="AH272" s="1">
        <f t="shared" si="169"/>
        <v>0</v>
      </c>
      <c r="AI272" s="1">
        <f t="shared" si="170"/>
        <v>1</v>
      </c>
    </row>
    <row r="273" spans="1:35" s="1" customFormat="1" ht="14.25" customHeight="1" x14ac:dyDescent="0.3">
      <c r="A273" s="31">
        <v>0</v>
      </c>
      <c r="B273" s="31">
        <v>1</v>
      </c>
      <c r="C273" s="31">
        <v>7</v>
      </c>
      <c r="D273" s="36" t="s">
        <v>1321</v>
      </c>
      <c r="E273" s="32" t="s">
        <v>29</v>
      </c>
      <c r="F273" s="36" t="s">
        <v>1345</v>
      </c>
      <c r="G273" s="36" t="s">
        <v>39</v>
      </c>
      <c r="H273" s="36" t="s">
        <v>354</v>
      </c>
      <c r="I273" s="37" t="s">
        <v>1150</v>
      </c>
      <c r="J273" s="31">
        <v>99</v>
      </c>
      <c r="K273" s="33" t="s">
        <v>713</v>
      </c>
      <c r="L273" s="33" t="s">
        <v>693</v>
      </c>
      <c r="M273" s="34" t="s">
        <v>1409</v>
      </c>
      <c r="N273" s="34" t="s">
        <v>1733</v>
      </c>
      <c r="O273" s="35">
        <v>1</v>
      </c>
      <c r="P273" s="35">
        <v>1</v>
      </c>
      <c r="Q273" s="36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1</v>
      </c>
      <c r="AE273" s="1">
        <f t="shared" si="182"/>
        <v>0</v>
      </c>
      <c r="AF273" s="1">
        <f t="shared" ref="AF273:AF337" si="205">+O273*P273*(1-A273)</f>
        <v>1</v>
      </c>
      <c r="AG273" s="1">
        <f t="shared" ref="AG273:AG337" si="206">O273*(1-P273)*(1-A273)</f>
        <v>0</v>
      </c>
      <c r="AH273" s="1">
        <f t="shared" ref="AH273:AH337" si="207">+P273*(1-A273)</f>
        <v>1</v>
      </c>
      <c r="AI273" s="1">
        <f t="shared" ref="AI273:AI337" si="208">+(1-A273)*(1-P273)</f>
        <v>0</v>
      </c>
    </row>
    <row r="274" spans="1:35" s="1" customFormat="1" ht="14.25" customHeight="1" x14ac:dyDescent="0.3">
      <c r="A274" s="44">
        <v>0</v>
      </c>
      <c r="B274" s="44">
        <v>1</v>
      </c>
      <c r="C274" s="44">
        <v>7</v>
      </c>
      <c r="D274" s="45" t="s">
        <v>97</v>
      </c>
      <c r="E274" s="45" t="s">
        <v>29</v>
      </c>
      <c r="F274" s="45" t="s">
        <v>295</v>
      </c>
      <c r="G274" s="45" t="s">
        <v>263</v>
      </c>
      <c r="H274" s="45" t="s">
        <v>354</v>
      </c>
      <c r="I274" s="44" t="s">
        <v>445</v>
      </c>
      <c r="J274" s="44">
        <v>1</v>
      </c>
      <c r="K274" s="46" t="s">
        <v>713</v>
      </c>
      <c r="L274" s="46" t="s">
        <v>694</v>
      </c>
      <c r="M274" s="47" t="s">
        <v>708</v>
      </c>
      <c r="N274" s="47" t="s">
        <v>1735</v>
      </c>
      <c r="O274" s="48"/>
      <c r="P274" s="48"/>
      <c r="Q274" s="45"/>
      <c r="S274" s="1">
        <f t="shared" si="171"/>
        <v>1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0</v>
      </c>
      <c r="AF274" s="1">
        <f t="shared" si="205"/>
        <v>0</v>
      </c>
      <c r="AG274" s="1">
        <f t="shared" si="206"/>
        <v>0</v>
      </c>
      <c r="AH274" s="1">
        <f t="shared" si="207"/>
        <v>0</v>
      </c>
      <c r="AI274" s="1">
        <f t="shared" si="208"/>
        <v>1</v>
      </c>
    </row>
    <row r="275" spans="1:35" s="1" customFormat="1" ht="14.25" customHeight="1" x14ac:dyDescent="0.3">
      <c r="A275" s="15">
        <v>0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756</v>
      </c>
      <c r="G275" s="16" t="s">
        <v>39</v>
      </c>
      <c r="H275" s="16" t="s">
        <v>757</v>
      </c>
      <c r="I275" s="15" t="s">
        <v>758</v>
      </c>
      <c r="J275" s="15">
        <v>18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205"/>
        <v>0</v>
      </c>
      <c r="AG275" s="1">
        <f t="shared" si="206"/>
        <v>0</v>
      </c>
      <c r="AH275" s="1">
        <f t="shared" si="207"/>
        <v>0</v>
      </c>
      <c r="AI275" s="1">
        <f t="shared" si="208"/>
        <v>1</v>
      </c>
    </row>
    <row r="276" spans="1:35" s="1" customFormat="1" ht="14.25" customHeight="1" x14ac:dyDescent="0.3">
      <c r="A276" s="15">
        <v>1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759</v>
      </c>
      <c r="G276" s="16" t="s">
        <v>39</v>
      </c>
      <c r="H276" s="16" t="s">
        <v>745</v>
      </c>
      <c r="I276" s="15" t="s">
        <v>760</v>
      </c>
      <c r="J276" s="15">
        <v>17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05"/>
        <v>0</v>
      </c>
      <c r="AG276" s="1">
        <f t="shared" si="206"/>
        <v>0</v>
      </c>
      <c r="AH276" s="1">
        <f t="shared" si="207"/>
        <v>0</v>
      </c>
      <c r="AI276" s="1">
        <f t="shared" si="208"/>
        <v>0</v>
      </c>
    </row>
    <row r="277" spans="1:35" s="1" customFormat="1" ht="14.25" customHeight="1" x14ac:dyDescent="0.3">
      <c r="A277" s="31">
        <v>0</v>
      </c>
      <c r="B277" s="31">
        <v>1</v>
      </c>
      <c r="C277" s="31">
        <v>7</v>
      </c>
      <c r="D277" s="36" t="s">
        <v>1518</v>
      </c>
      <c r="E277" s="32" t="s">
        <v>29</v>
      </c>
      <c r="F277" s="36" t="s">
        <v>1671</v>
      </c>
      <c r="G277" s="36" t="s">
        <v>1672</v>
      </c>
      <c r="H277" s="36" t="s">
        <v>354</v>
      </c>
      <c r="I277" s="37" t="s">
        <v>1519</v>
      </c>
      <c r="J277" s="31">
        <v>99</v>
      </c>
      <c r="K277" s="33" t="s">
        <v>713</v>
      </c>
      <c r="L277" s="33" t="s">
        <v>39</v>
      </c>
      <c r="M277" s="34" t="s">
        <v>39</v>
      </c>
      <c r="N277" s="34" t="s">
        <v>1727</v>
      </c>
      <c r="O277" s="35">
        <v>1</v>
      </c>
      <c r="P277" s="35">
        <v>1</v>
      </c>
      <c r="Q277" s="36"/>
      <c r="S277" s="1">
        <f t="shared" ref="S277:S341" si="209">IF(J277=$S$7,1,0)</f>
        <v>0</v>
      </c>
      <c r="T277" s="1">
        <f t="shared" ref="T277:T341" si="210">IF(J277=$T$7,1,0)</f>
        <v>0</v>
      </c>
      <c r="U277" s="1">
        <f t="shared" ref="U277:U341" si="211">IF(J277=$U$7,1,0)</f>
        <v>0</v>
      </c>
      <c r="V277" s="1">
        <f t="shared" ref="V277:V341" si="212">IF(J277=$V$7,1,0)</f>
        <v>0</v>
      </c>
      <c r="W277" s="1">
        <f t="shared" ref="W277:W341" si="213">IF(J277=$W$7,1,0)</f>
        <v>0</v>
      </c>
      <c r="X277" s="1">
        <f t="shared" ref="X277:X341" si="214">IF(J277=$X$7,1,0)</f>
        <v>0</v>
      </c>
      <c r="Y277" s="1">
        <f t="shared" ref="Y277:Y341" si="215">IF(J277=$Y$7,1,0)</f>
        <v>0</v>
      </c>
      <c r="Z277" s="1">
        <f t="shared" ref="Z277:Z341" si="216">IF(J277=$Z$7,1,0)</f>
        <v>0</v>
      </c>
      <c r="AA277" s="1">
        <f t="shared" ref="AA277:AA341" si="217">IF(J277=$AA$7,1,0)</f>
        <v>0</v>
      </c>
      <c r="AB277" s="1">
        <f t="shared" ref="AB277:AB341" si="218">IF(J277=$AB$7,1,0)</f>
        <v>0</v>
      </c>
      <c r="AD277" s="1">
        <f t="shared" ref="AD277:AD341" si="219">+O277*P277</f>
        <v>1</v>
      </c>
      <c r="AE277" s="1">
        <f t="shared" ref="AE277:AE341" si="220">O277*(1-P277)</f>
        <v>0</v>
      </c>
      <c r="AF277" s="1">
        <f t="shared" si="205"/>
        <v>1</v>
      </c>
      <c r="AG277" s="1">
        <f t="shared" si="206"/>
        <v>0</v>
      </c>
      <c r="AH277" s="1">
        <f t="shared" si="207"/>
        <v>1</v>
      </c>
      <c r="AI277" s="1">
        <f t="shared" si="208"/>
        <v>0</v>
      </c>
    </row>
    <row r="278" spans="1:35" s="1" customFormat="1" ht="14.25" customHeight="1" x14ac:dyDescent="0.3">
      <c r="A278" s="15">
        <v>0</v>
      </c>
      <c r="B278" s="15">
        <v>1</v>
      </c>
      <c r="C278" s="15">
        <v>7</v>
      </c>
      <c r="D278" s="16" t="s">
        <v>1144</v>
      </c>
      <c r="E278" s="16" t="s">
        <v>29</v>
      </c>
      <c r="F278" s="16" t="s">
        <v>1145</v>
      </c>
      <c r="G278" s="16" t="s">
        <v>1147</v>
      </c>
      <c r="H278" s="16" t="s">
        <v>354</v>
      </c>
      <c r="I278" s="15" t="s">
        <v>1146</v>
      </c>
      <c r="J278" s="15">
        <v>99</v>
      </c>
      <c r="K278" s="10" t="s">
        <v>703</v>
      </c>
      <c r="L278" s="10">
        <v>30</v>
      </c>
      <c r="M278" s="19" t="s">
        <v>1410</v>
      </c>
      <c r="N278" s="19"/>
      <c r="Q278" s="16"/>
      <c r="S278" s="1">
        <f t="shared" si="209"/>
        <v>0</v>
      </c>
      <c r="T278" s="1">
        <f t="shared" si="210"/>
        <v>0</v>
      </c>
      <c r="U278" s="1">
        <f t="shared" si="211"/>
        <v>0</v>
      </c>
      <c r="V278" s="1">
        <f t="shared" si="212"/>
        <v>0</v>
      </c>
      <c r="W278" s="1">
        <f t="shared" si="213"/>
        <v>0</v>
      </c>
      <c r="X278" s="1">
        <f t="shared" si="214"/>
        <v>0</v>
      </c>
      <c r="Y278" s="1">
        <f t="shared" si="215"/>
        <v>0</v>
      </c>
      <c r="Z278" s="1">
        <f t="shared" si="216"/>
        <v>0</v>
      </c>
      <c r="AA278" s="1">
        <f t="shared" si="217"/>
        <v>0</v>
      </c>
      <c r="AB278" s="1">
        <f t="shared" si="218"/>
        <v>0</v>
      </c>
      <c r="AD278" s="1">
        <f t="shared" si="219"/>
        <v>0</v>
      </c>
      <c r="AE278" s="1">
        <f t="shared" si="220"/>
        <v>0</v>
      </c>
      <c r="AF278" s="1">
        <f t="shared" si="205"/>
        <v>0</v>
      </c>
      <c r="AG278" s="1">
        <f t="shared" si="206"/>
        <v>0</v>
      </c>
      <c r="AH278" s="1">
        <f t="shared" si="207"/>
        <v>0</v>
      </c>
      <c r="AI278" s="1">
        <f t="shared" si="208"/>
        <v>1</v>
      </c>
    </row>
    <row r="279" spans="1:35" s="1" customFormat="1" ht="14.25" customHeight="1" x14ac:dyDescent="0.3">
      <c r="A279" s="44">
        <v>0</v>
      </c>
      <c r="B279" s="44">
        <v>1</v>
      </c>
      <c r="C279" s="44">
        <v>7</v>
      </c>
      <c r="D279" s="45" t="s">
        <v>99</v>
      </c>
      <c r="E279" s="45" t="s">
        <v>29</v>
      </c>
      <c r="F279" s="45" t="s">
        <v>297</v>
      </c>
      <c r="G279" s="45" t="s">
        <v>197</v>
      </c>
      <c r="H279" s="45" t="s">
        <v>354</v>
      </c>
      <c r="I279" s="44" t="s">
        <v>446</v>
      </c>
      <c r="J279" s="44">
        <v>9</v>
      </c>
      <c r="K279" s="46" t="s">
        <v>703</v>
      </c>
      <c r="L279" s="46">
        <v>30</v>
      </c>
      <c r="M279" s="47" t="s">
        <v>708</v>
      </c>
      <c r="N279" s="47" t="s">
        <v>1735</v>
      </c>
      <c r="O279" s="48"/>
      <c r="P279" s="48"/>
      <c r="Q279" s="45"/>
      <c r="S279" s="1">
        <f t="shared" si="209"/>
        <v>0</v>
      </c>
      <c r="T279" s="1">
        <f t="shared" si="210"/>
        <v>0</v>
      </c>
      <c r="U279" s="1">
        <f t="shared" si="211"/>
        <v>0</v>
      </c>
      <c r="V279" s="1">
        <f t="shared" si="212"/>
        <v>0</v>
      </c>
      <c r="W279" s="1">
        <f t="shared" si="213"/>
        <v>0</v>
      </c>
      <c r="X279" s="1">
        <f t="shared" si="214"/>
        <v>0</v>
      </c>
      <c r="Y279" s="1">
        <f t="shared" si="215"/>
        <v>0</v>
      </c>
      <c r="Z279" s="1">
        <f t="shared" si="216"/>
        <v>0</v>
      </c>
      <c r="AA279" s="1">
        <f t="shared" si="217"/>
        <v>1</v>
      </c>
      <c r="AB279" s="1">
        <f t="shared" si="218"/>
        <v>0</v>
      </c>
      <c r="AD279" s="1">
        <f t="shared" si="219"/>
        <v>0</v>
      </c>
      <c r="AE279" s="1">
        <f t="shared" si="220"/>
        <v>0</v>
      </c>
      <c r="AF279" s="1">
        <f t="shared" si="205"/>
        <v>0</v>
      </c>
      <c r="AG279" s="1">
        <f t="shared" si="206"/>
        <v>0</v>
      </c>
      <c r="AH279" s="1">
        <f t="shared" si="207"/>
        <v>0</v>
      </c>
      <c r="AI279" s="1">
        <f t="shared" si="208"/>
        <v>1</v>
      </c>
    </row>
    <row r="280" spans="1:35" s="1" customFormat="1" ht="14.25" customHeight="1" x14ac:dyDescent="0.3">
      <c r="A280" s="44">
        <v>0</v>
      </c>
      <c r="B280" s="44">
        <v>1</v>
      </c>
      <c r="C280" s="44">
        <v>7</v>
      </c>
      <c r="D280" s="45" t="s">
        <v>803</v>
      </c>
      <c r="E280" s="45" t="s">
        <v>29</v>
      </c>
      <c r="F280" s="45" t="s">
        <v>782</v>
      </c>
      <c r="G280" s="45" t="s">
        <v>804</v>
      </c>
      <c r="H280" s="45" t="s">
        <v>354</v>
      </c>
      <c r="I280" s="44" t="s">
        <v>952</v>
      </c>
      <c r="J280" s="44">
        <v>99</v>
      </c>
      <c r="K280" s="46" t="s">
        <v>713</v>
      </c>
      <c r="L280" s="46" t="s">
        <v>694</v>
      </c>
      <c r="M280" s="47" t="s">
        <v>708</v>
      </c>
      <c r="N280" s="47" t="s">
        <v>1802</v>
      </c>
      <c r="O280" s="48"/>
      <c r="P280" s="48"/>
      <c r="Q280" s="45"/>
      <c r="S280" s="1">
        <f t="shared" si="209"/>
        <v>0</v>
      </c>
      <c r="T280" s="1">
        <f t="shared" si="210"/>
        <v>0</v>
      </c>
      <c r="U280" s="1">
        <f t="shared" si="211"/>
        <v>0</v>
      </c>
      <c r="V280" s="1">
        <f t="shared" si="212"/>
        <v>0</v>
      </c>
      <c r="W280" s="1">
        <f t="shared" si="213"/>
        <v>0</v>
      </c>
      <c r="X280" s="1">
        <f t="shared" si="214"/>
        <v>0</v>
      </c>
      <c r="Y280" s="1">
        <f t="shared" si="215"/>
        <v>0</v>
      </c>
      <c r="Z280" s="1">
        <f t="shared" si="216"/>
        <v>0</v>
      </c>
      <c r="AA280" s="1">
        <f t="shared" si="217"/>
        <v>0</v>
      </c>
      <c r="AB280" s="1">
        <f t="shared" si="218"/>
        <v>0</v>
      </c>
      <c r="AD280" s="1">
        <f t="shared" si="219"/>
        <v>0</v>
      </c>
      <c r="AE280" s="1">
        <f t="shared" si="220"/>
        <v>0</v>
      </c>
      <c r="AF280" s="1">
        <f t="shared" si="205"/>
        <v>0</v>
      </c>
      <c r="AG280" s="1">
        <f t="shared" si="206"/>
        <v>0</v>
      </c>
      <c r="AH280" s="1">
        <f t="shared" si="207"/>
        <v>0</v>
      </c>
      <c r="AI280" s="1">
        <f t="shared" si="208"/>
        <v>1</v>
      </c>
    </row>
    <row r="281" spans="1:35" s="1" customFormat="1" ht="14.25" customHeight="1" x14ac:dyDescent="0.3">
      <c r="A281" s="44">
        <v>0</v>
      </c>
      <c r="B281" s="44">
        <v>1</v>
      </c>
      <c r="C281" s="44">
        <v>7</v>
      </c>
      <c r="D281" s="45" t="s">
        <v>1324</v>
      </c>
      <c r="E281" s="45" t="s">
        <v>29</v>
      </c>
      <c r="F281" s="45" t="s">
        <v>1347</v>
      </c>
      <c r="G281" s="45" t="s">
        <v>1181</v>
      </c>
      <c r="H281" s="45" t="s">
        <v>354</v>
      </c>
      <c r="I281" s="44" t="s">
        <v>1692</v>
      </c>
      <c r="J281" s="44">
        <v>99</v>
      </c>
      <c r="K281" s="46" t="s">
        <v>713</v>
      </c>
      <c r="L281" s="46" t="s">
        <v>694</v>
      </c>
      <c r="M281" s="47" t="s">
        <v>1411</v>
      </c>
      <c r="N281" s="47" t="s">
        <v>1738</v>
      </c>
      <c r="O281" s="48"/>
      <c r="P281" s="48"/>
      <c r="Q281" s="45"/>
      <c r="S281" s="1">
        <f t="shared" si="209"/>
        <v>0</v>
      </c>
      <c r="T281" s="1">
        <f t="shared" si="210"/>
        <v>0</v>
      </c>
      <c r="U281" s="1">
        <f t="shared" si="211"/>
        <v>0</v>
      </c>
      <c r="V281" s="1">
        <f t="shared" si="212"/>
        <v>0</v>
      </c>
      <c r="W281" s="1">
        <f t="shared" si="213"/>
        <v>0</v>
      </c>
      <c r="X281" s="1">
        <f t="shared" si="214"/>
        <v>0</v>
      </c>
      <c r="Y281" s="1">
        <f t="shared" si="215"/>
        <v>0</v>
      </c>
      <c r="Z281" s="1">
        <f t="shared" si="216"/>
        <v>0</v>
      </c>
      <c r="AA281" s="1">
        <f t="shared" si="217"/>
        <v>0</v>
      </c>
      <c r="AB281" s="1">
        <f t="shared" si="218"/>
        <v>0</v>
      </c>
      <c r="AD281" s="1">
        <f t="shared" si="219"/>
        <v>0</v>
      </c>
      <c r="AE281" s="1">
        <f t="shared" si="220"/>
        <v>0</v>
      </c>
      <c r="AF281" s="1">
        <f t="shared" si="205"/>
        <v>0</v>
      </c>
      <c r="AG281" s="1">
        <f t="shared" si="206"/>
        <v>0</v>
      </c>
      <c r="AH281" s="1">
        <f t="shared" si="207"/>
        <v>0</v>
      </c>
      <c r="AI281" s="1">
        <f t="shared" si="208"/>
        <v>1</v>
      </c>
    </row>
    <row r="282" spans="1:35" s="1" customFormat="1" ht="14.25" customHeight="1" x14ac:dyDescent="0.3">
      <c r="A282" s="15">
        <v>0</v>
      </c>
      <c r="B282" s="15">
        <v>1</v>
      </c>
      <c r="C282" s="15">
        <v>7</v>
      </c>
      <c r="D282" s="16" t="s">
        <v>1279</v>
      </c>
      <c r="E282" s="16" t="s">
        <v>29</v>
      </c>
      <c r="F282" s="16" t="s">
        <v>1280</v>
      </c>
      <c r="G282" s="16" t="s">
        <v>1281</v>
      </c>
      <c r="H282" s="16" t="s">
        <v>354</v>
      </c>
      <c r="I282" s="15" t="s">
        <v>1282</v>
      </c>
      <c r="J282" s="15">
        <v>99</v>
      </c>
      <c r="K282" s="10" t="s">
        <v>713</v>
      </c>
      <c r="L282" s="10" t="s">
        <v>694</v>
      </c>
      <c r="M282" s="19" t="s">
        <v>708</v>
      </c>
      <c r="N282" s="17"/>
      <c r="Q282" s="16"/>
      <c r="S282" s="1">
        <f t="shared" si="209"/>
        <v>0</v>
      </c>
      <c r="T282" s="1">
        <f t="shared" si="210"/>
        <v>0</v>
      </c>
      <c r="U282" s="1">
        <f t="shared" si="211"/>
        <v>0</v>
      </c>
      <c r="V282" s="1">
        <f t="shared" si="212"/>
        <v>0</v>
      </c>
      <c r="W282" s="1">
        <f t="shared" si="213"/>
        <v>0</v>
      </c>
      <c r="X282" s="1">
        <f t="shared" si="214"/>
        <v>0</v>
      </c>
      <c r="Y282" s="1">
        <f t="shared" si="215"/>
        <v>0</v>
      </c>
      <c r="Z282" s="1">
        <f t="shared" si="216"/>
        <v>0</v>
      </c>
      <c r="AA282" s="1">
        <f t="shared" si="217"/>
        <v>0</v>
      </c>
      <c r="AB282" s="1">
        <f t="shared" si="218"/>
        <v>0</v>
      </c>
      <c r="AD282" s="1">
        <f t="shared" si="219"/>
        <v>0</v>
      </c>
      <c r="AE282" s="1">
        <f t="shared" si="220"/>
        <v>0</v>
      </c>
      <c r="AF282" s="1">
        <f t="shared" si="205"/>
        <v>0</v>
      </c>
      <c r="AG282" s="1">
        <f t="shared" si="206"/>
        <v>0</v>
      </c>
      <c r="AH282" s="1">
        <f t="shared" si="207"/>
        <v>0</v>
      </c>
      <c r="AI282" s="1">
        <f t="shared" si="208"/>
        <v>1</v>
      </c>
    </row>
    <row r="283" spans="1:35" s="1" customFormat="1" ht="14.25" customHeight="1" x14ac:dyDescent="0.3">
      <c r="A283" s="31">
        <v>0</v>
      </c>
      <c r="B283" s="31">
        <v>1</v>
      </c>
      <c r="C283" s="31">
        <v>7</v>
      </c>
      <c r="D283" s="32" t="s">
        <v>709</v>
      </c>
      <c r="E283" s="32" t="s">
        <v>29</v>
      </c>
      <c r="F283" s="32" t="s">
        <v>710</v>
      </c>
      <c r="G283" s="32" t="s">
        <v>184</v>
      </c>
      <c r="H283" s="32" t="s">
        <v>354</v>
      </c>
      <c r="I283" s="31" t="s">
        <v>711</v>
      </c>
      <c r="J283" s="31">
        <v>99</v>
      </c>
      <c r="K283" s="33" t="s">
        <v>955</v>
      </c>
      <c r="L283" s="33" t="s">
        <v>39</v>
      </c>
      <c r="M283" s="34" t="s">
        <v>39</v>
      </c>
      <c r="N283" s="34" t="s">
        <v>1733</v>
      </c>
      <c r="O283" s="35">
        <v>1</v>
      </c>
      <c r="P283" s="35">
        <v>1</v>
      </c>
      <c r="Q283" s="32"/>
      <c r="S283" s="1">
        <f t="shared" si="209"/>
        <v>0</v>
      </c>
      <c r="T283" s="1">
        <f t="shared" si="210"/>
        <v>0</v>
      </c>
      <c r="U283" s="1">
        <f t="shared" si="211"/>
        <v>0</v>
      </c>
      <c r="V283" s="1">
        <f t="shared" si="212"/>
        <v>0</v>
      </c>
      <c r="W283" s="1">
        <f t="shared" si="213"/>
        <v>0</v>
      </c>
      <c r="X283" s="1">
        <f t="shared" si="214"/>
        <v>0</v>
      </c>
      <c r="Y283" s="1">
        <f t="shared" si="215"/>
        <v>0</v>
      </c>
      <c r="Z283" s="1">
        <f t="shared" si="216"/>
        <v>0</v>
      </c>
      <c r="AA283" s="1">
        <f t="shared" si="217"/>
        <v>0</v>
      </c>
      <c r="AB283" s="1">
        <f t="shared" si="218"/>
        <v>0</v>
      </c>
      <c r="AD283" s="1">
        <f t="shared" si="219"/>
        <v>1</v>
      </c>
      <c r="AE283" s="1">
        <f t="shared" si="220"/>
        <v>0</v>
      </c>
      <c r="AF283" s="1">
        <f t="shared" si="205"/>
        <v>1</v>
      </c>
      <c r="AG283" s="1">
        <f t="shared" si="206"/>
        <v>0</v>
      </c>
      <c r="AH283" s="1">
        <f t="shared" si="207"/>
        <v>1</v>
      </c>
      <c r="AI283" s="1">
        <f t="shared" si="208"/>
        <v>0</v>
      </c>
    </row>
    <row r="284" spans="1:35" s="1" customFormat="1" ht="14.25" customHeight="1" x14ac:dyDescent="0.3">
      <c r="A284" s="31">
        <v>0</v>
      </c>
      <c r="B284" s="31">
        <v>2</v>
      </c>
      <c r="C284" s="31">
        <v>1</v>
      </c>
      <c r="D284" s="32" t="s">
        <v>536</v>
      </c>
      <c r="E284" s="32" t="s">
        <v>34</v>
      </c>
      <c r="F284" s="32" t="s">
        <v>537</v>
      </c>
      <c r="G284" s="32" t="s">
        <v>220</v>
      </c>
      <c r="H284" s="32" t="s">
        <v>354</v>
      </c>
      <c r="I284" s="31" t="s">
        <v>538</v>
      </c>
      <c r="J284" s="31">
        <v>8</v>
      </c>
      <c r="K284" s="33" t="s">
        <v>713</v>
      </c>
      <c r="L284" s="33" t="s">
        <v>713</v>
      </c>
      <c r="M284" s="34" t="s">
        <v>714</v>
      </c>
      <c r="N284" s="34" t="s">
        <v>1748</v>
      </c>
      <c r="O284" s="35">
        <v>1</v>
      </c>
      <c r="P284" s="35"/>
      <c r="Q284" s="32"/>
      <c r="S284" s="1">
        <f t="shared" si="209"/>
        <v>0</v>
      </c>
      <c r="T284" s="1">
        <f t="shared" si="210"/>
        <v>0</v>
      </c>
      <c r="U284" s="1">
        <f t="shared" si="211"/>
        <v>0</v>
      </c>
      <c r="V284" s="1">
        <f t="shared" si="212"/>
        <v>0</v>
      </c>
      <c r="W284" s="1">
        <f t="shared" si="213"/>
        <v>0</v>
      </c>
      <c r="X284" s="1">
        <f t="shared" si="214"/>
        <v>0</v>
      </c>
      <c r="Y284" s="1">
        <f t="shared" si="215"/>
        <v>0</v>
      </c>
      <c r="Z284" s="1">
        <f t="shared" si="216"/>
        <v>1</v>
      </c>
      <c r="AA284" s="1">
        <f t="shared" si="217"/>
        <v>0</v>
      </c>
      <c r="AB284" s="1">
        <f t="shared" si="218"/>
        <v>0</v>
      </c>
      <c r="AD284" s="1">
        <f t="shared" si="219"/>
        <v>0</v>
      </c>
      <c r="AE284" s="1">
        <f t="shared" si="220"/>
        <v>1</v>
      </c>
      <c r="AF284" s="1">
        <f t="shared" si="205"/>
        <v>0</v>
      </c>
      <c r="AG284" s="1">
        <f t="shared" si="206"/>
        <v>1</v>
      </c>
      <c r="AH284" s="1">
        <f t="shared" si="207"/>
        <v>0</v>
      </c>
      <c r="AI284" s="1">
        <f t="shared" si="208"/>
        <v>1</v>
      </c>
    </row>
    <row r="285" spans="1:35" s="1" customFormat="1" ht="14.25" customHeight="1" x14ac:dyDescent="0.3">
      <c r="A285" s="31">
        <v>0</v>
      </c>
      <c r="B285" s="31">
        <v>2</v>
      </c>
      <c r="C285" s="31">
        <v>1</v>
      </c>
      <c r="D285" s="32" t="s">
        <v>1290</v>
      </c>
      <c r="E285" s="32" t="s">
        <v>561</v>
      </c>
      <c r="F285" s="32" t="s">
        <v>1291</v>
      </c>
      <c r="G285" s="32" t="s">
        <v>230</v>
      </c>
      <c r="H285" s="32" t="s">
        <v>354</v>
      </c>
      <c r="I285" s="31" t="s">
        <v>1292</v>
      </c>
      <c r="J285" s="31">
        <v>7</v>
      </c>
      <c r="K285" s="33" t="s">
        <v>713</v>
      </c>
      <c r="L285" s="33" t="s">
        <v>713</v>
      </c>
      <c r="M285" s="34" t="s">
        <v>714</v>
      </c>
      <c r="N285" s="34" t="s">
        <v>1756</v>
      </c>
      <c r="O285" s="35">
        <v>1</v>
      </c>
      <c r="P285" s="35"/>
      <c r="Q285" s="32"/>
      <c r="S285" s="1">
        <f t="shared" si="209"/>
        <v>0</v>
      </c>
      <c r="T285" s="1">
        <f t="shared" si="210"/>
        <v>0</v>
      </c>
      <c r="U285" s="1">
        <f t="shared" si="211"/>
        <v>0</v>
      </c>
      <c r="V285" s="1">
        <f t="shared" si="212"/>
        <v>0</v>
      </c>
      <c r="W285" s="1">
        <f t="shared" si="213"/>
        <v>0</v>
      </c>
      <c r="X285" s="1">
        <f t="shared" si="214"/>
        <v>0</v>
      </c>
      <c r="Y285" s="1">
        <f t="shared" si="215"/>
        <v>1</v>
      </c>
      <c r="Z285" s="1">
        <f t="shared" si="216"/>
        <v>0</v>
      </c>
      <c r="AA285" s="1">
        <f t="shared" si="217"/>
        <v>0</v>
      </c>
      <c r="AB285" s="1">
        <f t="shared" si="218"/>
        <v>0</v>
      </c>
      <c r="AD285" s="1">
        <f t="shared" si="219"/>
        <v>0</v>
      </c>
      <c r="AE285" s="1">
        <f t="shared" si="220"/>
        <v>1</v>
      </c>
      <c r="AF285" s="1">
        <f t="shared" si="205"/>
        <v>0</v>
      </c>
      <c r="AG285" s="1">
        <f t="shared" si="206"/>
        <v>1</v>
      </c>
      <c r="AH285" s="1">
        <f t="shared" si="207"/>
        <v>0</v>
      </c>
      <c r="AI285" s="1">
        <f t="shared" si="208"/>
        <v>1</v>
      </c>
    </row>
    <row r="286" spans="1:35" s="1" customFormat="1" ht="14.25" customHeight="1" x14ac:dyDescent="0.3">
      <c r="A286" s="31">
        <v>0</v>
      </c>
      <c r="B286" s="31">
        <v>2</v>
      </c>
      <c r="C286" s="31">
        <v>1</v>
      </c>
      <c r="D286" s="32" t="s">
        <v>1326</v>
      </c>
      <c r="E286" s="32" t="s">
        <v>561</v>
      </c>
      <c r="F286" s="32" t="s">
        <v>1988</v>
      </c>
      <c r="G286" s="32" t="s">
        <v>213</v>
      </c>
      <c r="H286" s="32" t="s">
        <v>354</v>
      </c>
      <c r="I286" s="31" t="s">
        <v>1156</v>
      </c>
      <c r="J286" s="31">
        <v>1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209"/>
        <v>1</v>
      </c>
      <c r="T286" s="1">
        <f t="shared" si="210"/>
        <v>0</v>
      </c>
      <c r="U286" s="1">
        <f t="shared" si="211"/>
        <v>0</v>
      </c>
      <c r="V286" s="1">
        <f t="shared" si="212"/>
        <v>0</v>
      </c>
      <c r="W286" s="1">
        <f t="shared" si="213"/>
        <v>0</v>
      </c>
      <c r="X286" s="1">
        <f t="shared" si="214"/>
        <v>0</v>
      </c>
      <c r="Y286" s="1">
        <f t="shared" si="215"/>
        <v>0</v>
      </c>
      <c r="Z286" s="1">
        <f t="shared" si="216"/>
        <v>0</v>
      </c>
      <c r="AA286" s="1">
        <f t="shared" si="217"/>
        <v>0</v>
      </c>
      <c r="AB286" s="1">
        <f t="shared" si="218"/>
        <v>0</v>
      </c>
      <c r="AD286" s="1">
        <f t="shared" si="219"/>
        <v>0</v>
      </c>
      <c r="AE286" s="1">
        <f t="shared" si="220"/>
        <v>1</v>
      </c>
      <c r="AF286" s="1">
        <f t="shared" si="205"/>
        <v>0</v>
      </c>
      <c r="AG286" s="1">
        <f t="shared" si="206"/>
        <v>1</v>
      </c>
      <c r="AH286" s="1">
        <f t="shared" si="207"/>
        <v>0</v>
      </c>
      <c r="AI286" s="1">
        <f t="shared" si="208"/>
        <v>1</v>
      </c>
    </row>
    <row r="287" spans="1:35" s="1" customFormat="1" ht="14.25" customHeight="1" x14ac:dyDescent="0.3">
      <c r="A287" s="31">
        <v>0</v>
      </c>
      <c r="B287" s="31">
        <v>2</v>
      </c>
      <c r="C287" s="31">
        <v>1</v>
      </c>
      <c r="D287" s="32" t="s">
        <v>1327</v>
      </c>
      <c r="E287" s="32" t="s">
        <v>561</v>
      </c>
      <c r="F287" s="32" t="s">
        <v>1151</v>
      </c>
      <c r="G287" s="32" t="s">
        <v>285</v>
      </c>
      <c r="H287" s="32" t="s">
        <v>354</v>
      </c>
      <c r="I287" s="31" t="s">
        <v>1152</v>
      </c>
      <c r="J287" s="31">
        <v>10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09"/>
        <v>0</v>
      </c>
      <c r="T287" s="1">
        <f t="shared" si="210"/>
        <v>0</v>
      </c>
      <c r="U287" s="1">
        <f t="shared" si="211"/>
        <v>0</v>
      </c>
      <c r="V287" s="1">
        <f t="shared" si="212"/>
        <v>0</v>
      </c>
      <c r="W287" s="1">
        <f t="shared" si="213"/>
        <v>0</v>
      </c>
      <c r="X287" s="1">
        <f t="shared" si="214"/>
        <v>0</v>
      </c>
      <c r="Y287" s="1">
        <f t="shared" si="215"/>
        <v>0</v>
      </c>
      <c r="Z287" s="1">
        <f t="shared" si="216"/>
        <v>0</v>
      </c>
      <c r="AA287" s="1">
        <f t="shared" si="217"/>
        <v>0</v>
      </c>
      <c r="AB287" s="1">
        <f t="shared" si="218"/>
        <v>1</v>
      </c>
      <c r="AD287" s="1">
        <f t="shared" si="219"/>
        <v>0</v>
      </c>
      <c r="AE287" s="1">
        <f t="shared" si="220"/>
        <v>1</v>
      </c>
      <c r="AF287" s="1">
        <f t="shared" si="205"/>
        <v>0</v>
      </c>
      <c r="AG287" s="1">
        <f t="shared" si="206"/>
        <v>1</v>
      </c>
      <c r="AH287" s="1">
        <f t="shared" si="207"/>
        <v>0</v>
      </c>
      <c r="AI287" s="1">
        <f t="shared" si="208"/>
        <v>1</v>
      </c>
    </row>
    <row r="288" spans="1:35" s="1" customFormat="1" ht="14.25" customHeight="1" x14ac:dyDescent="0.3">
      <c r="A288" s="15">
        <v>0</v>
      </c>
      <c r="B288" s="15">
        <v>2</v>
      </c>
      <c r="C288" s="15">
        <v>1</v>
      </c>
      <c r="D288" s="16" t="s">
        <v>512</v>
      </c>
      <c r="E288" s="16" t="s">
        <v>34</v>
      </c>
      <c r="F288" s="16" t="s">
        <v>511</v>
      </c>
      <c r="G288" s="16" t="s">
        <v>546</v>
      </c>
      <c r="H288" s="16" t="s">
        <v>354</v>
      </c>
      <c r="I288" s="15" t="s">
        <v>1364</v>
      </c>
      <c r="J288" s="15">
        <v>99</v>
      </c>
      <c r="K288" s="10" t="s">
        <v>955</v>
      </c>
      <c r="L288" s="10" t="s">
        <v>713</v>
      </c>
      <c r="M288" s="19" t="s">
        <v>714</v>
      </c>
      <c r="N288" s="19"/>
      <c r="Q288" s="20" t="s">
        <v>2013</v>
      </c>
      <c r="S288" s="1">
        <f t="shared" si="209"/>
        <v>0</v>
      </c>
      <c r="T288" s="1">
        <f t="shared" si="210"/>
        <v>0</v>
      </c>
      <c r="U288" s="1">
        <f t="shared" si="211"/>
        <v>0</v>
      </c>
      <c r="V288" s="1">
        <f t="shared" si="212"/>
        <v>0</v>
      </c>
      <c r="W288" s="1">
        <f t="shared" si="213"/>
        <v>0</v>
      </c>
      <c r="X288" s="1">
        <f t="shared" si="214"/>
        <v>0</v>
      </c>
      <c r="Y288" s="1">
        <f t="shared" si="215"/>
        <v>0</v>
      </c>
      <c r="Z288" s="1">
        <f t="shared" si="216"/>
        <v>0</v>
      </c>
      <c r="AA288" s="1">
        <f t="shared" si="217"/>
        <v>0</v>
      </c>
      <c r="AB288" s="1">
        <f t="shared" si="218"/>
        <v>0</v>
      </c>
      <c r="AD288" s="1">
        <f t="shared" si="219"/>
        <v>0</v>
      </c>
      <c r="AE288" s="1">
        <f t="shared" si="220"/>
        <v>0</v>
      </c>
      <c r="AF288" s="1">
        <f t="shared" si="205"/>
        <v>0</v>
      </c>
      <c r="AG288" s="1">
        <f t="shared" si="206"/>
        <v>0</v>
      </c>
      <c r="AH288" s="1">
        <f t="shared" si="207"/>
        <v>0</v>
      </c>
      <c r="AI288" s="1">
        <f t="shared" si="208"/>
        <v>1</v>
      </c>
    </row>
    <row r="289" spans="1:35" s="1" customFormat="1" ht="14.25" customHeight="1" x14ac:dyDescent="0.3">
      <c r="A289" s="38">
        <v>0</v>
      </c>
      <c r="B289" s="38">
        <v>2</v>
      </c>
      <c r="C289" s="38">
        <v>1</v>
      </c>
      <c r="D289" s="39" t="s">
        <v>1042</v>
      </c>
      <c r="E289" s="39" t="s">
        <v>36</v>
      </c>
      <c r="F289" s="39" t="s">
        <v>1659</v>
      </c>
      <c r="G289" s="39" t="s">
        <v>628</v>
      </c>
      <c r="H289" s="39" t="s">
        <v>354</v>
      </c>
      <c r="I289" s="38" t="s">
        <v>1043</v>
      </c>
      <c r="J289" s="38">
        <v>99</v>
      </c>
      <c r="K289" s="40" t="s">
        <v>959</v>
      </c>
      <c r="L289" s="40" t="s">
        <v>713</v>
      </c>
      <c r="M289" s="41" t="s">
        <v>714</v>
      </c>
      <c r="N289" s="42"/>
      <c r="O289" s="43"/>
      <c r="P289" s="43">
        <v>1</v>
      </c>
      <c r="Q289" s="54" t="s">
        <v>1899</v>
      </c>
      <c r="S289" s="1">
        <f t="shared" si="209"/>
        <v>0</v>
      </c>
      <c r="T289" s="1">
        <f t="shared" si="210"/>
        <v>0</v>
      </c>
      <c r="U289" s="1">
        <f t="shared" si="211"/>
        <v>0</v>
      </c>
      <c r="V289" s="1">
        <f t="shared" si="212"/>
        <v>0</v>
      </c>
      <c r="W289" s="1">
        <f t="shared" si="213"/>
        <v>0</v>
      </c>
      <c r="X289" s="1">
        <f t="shared" si="214"/>
        <v>0</v>
      </c>
      <c r="Y289" s="1">
        <f t="shared" si="215"/>
        <v>0</v>
      </c>
      <c r="Z289" s="1">
        <f t="shared" si="216"/>
        <v>0</v>
      </c>
      <c r="AA289" s="1">
        <f t="shared" si="217"/>
        <v>0</v>
      </c>
      <c r="AB289" s="1">
        <f t="shared" si="218"/>
        <v>0</v>
      </c>
      <c r="AD289" s="1">
        <f t="shared" si="219"/>
        <v>0</v>
      </c>
      <c r="AE289" s="1">
        <f t="shared" si="220"/>
        <v>0</v>
      </c>
      <c r="AF289" s="1">
        <f t="shared" si="205"/>
        <v>0</v>
      </c>
      <c r="AG289" s="1">
        <f t="shared" si="206"/>
        <v>0</v>
      </c>
      <c r="AH289" s="1">
        <f t="shared" si="207"/>
        <v>1</v>
      </c>
      <c r="AI289" s="1">
        <f t="shared" si="208"/>
        <v>0</v>
      </c>
    </row>
    <row r="290" spans="1:35" s="1" customFormat="1" ht="14.25" customHeight="1" x14ac:dyDescent="0.3">
      <c r="A290" s="31">
        <v>1</v>
      </c>
      <c r="B290" s="31">
        <v>2</v>
      </c>
      <c r="C290" s="31">
        <v>1</v>
      </c>
      <c r="D290" s="32" t="s">
        <v>49</v>
      </c>
      <c r="E290" s="32" t="s">
        <v>1314</v>
      </c>
      <c r="F290" s="32" t="s">
        <v>191</v>
      </c>
      <c r="G290" s="32" t="s">
        <v>192</v>
      </c>
      <c r="H290" s="32" t="s">
        <v>354</v>
      </c>
      <c r="I290" s="31" t="s">
        <v>386</v>
      </c>
      <c r="J290" s="31">
        <v>99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209"/>
        <v>0</v>
      </c>
      <c r="T290" s="1">
        <f t="shared" si="210"/>
        <v>0</v>
      </c>
      <c r="U290" s="1">
        <f t="shared" si="211"/>
        <v>0</v>
      </c>
      <c r="V290" s="1">
        <f t="shared" si="212"/>
        <v>0</v>
      </c>
      <c r="W290" s="1">
        <f t="shared" si="213"/>
        <v>0</v>
      </c>
      <c r="X290" s="1">
        <f t="shared" si="214"/>
        <v>0</v>
      </c>
      <c r="Y290" s="1">
        <f t="shared" si="215"/>
        <v>0</v>
      </c>
      <c r="Z290" s="1">
        <f t="shared" si="216"/>
        <v>0</v>
      </c>
      <c r="AA290" s="1">
        <f t="shared" si="217"/>
        <v>0</v>
      </c>
      <c r="AB290" s="1">
        <f t="shared" si="218"/>
        <v>0</v>
      </c>
      <c r="AD290" s="1">
        <f t="shared" si="219"/>
        <v>0</v>
      </c>
      <c r="AE290" s="1">
        <f t="shared" si="220"/>
        <v>1</v>
      </c>
      <c r="AF290" s="1">
        <f t="shared" si="205"/>
        <v>0</v>
      </c>
      <c r="AG290" s="1">
        <f t="shared" si="206"/>
        <v>0</v>
      </c>
      <c r="AH290" s="1">
        <f t="shared" si="207"/>
        <v>0</v>
      </c>
      <c r="AI290" s="1">
        <f t="shared" si="208"/>
        <v>0</v>
      </c>
    </row>
    <row r="291" spans="1:35" s="1" customFormat="1" ht="14.25" customHeight="1" x14ac:dyDescent="0.3">
      <c r="A291" s="31">
        <v>0</v>
      </c>
      <c r="B291" s="31">
        <v>2</v>
      </c>
      <c r="C291" s="31">
        <v>1</v>
      </c>
      <c r="D291" s="32" t="s">
        <v>1074</v>
      </c>
      <c r="E291" s="32" t="s">
        <v>1314</v>
      </c>
      <c r="F291" s="32" t="s">
        <v>1089</v>
      </c>
      <c r="G291" s="32" t="s">
        <v>202</v>
      </c>
      <c r="H291" s="32" t="s">
        <v>354</v>
      </c>
      <c r="I291" s="31" t="s">
        <v>386</v>
      </c>
      <c r="J291" s="31">
        <v>10</v>
      </c>
      <c r="K291" s="33" t="s">
        <v>712</v>
      </c>
      <c r="L291" s="33" t="s">
        <v>713</v>
      </c>
      <c r="M291" s="34" t="s">
        <v>714</v>
      </c>
      <c r="N291" s="34" t="s">
        <v>1756</v>
      </c>
      <c r="O291" s="35">
        <v>1</v>
      </c>
      <c r="P291" s="35"/>
      <c r="Q291" s="32"/>
      <c r="S291" s="1">
        <f t="shared" si="209"/>
        <v>0</v>
      </c>
      <c r="T291" s="1">
        <f t="shared" si="210"/>
        <v>0</v>
      </c>
      <c r="U291" s="1">
        <f t="shared" si="211"/>
        <v>0</v>
      </c>
      <c r="V291" s="1">
        <f t="shared" si="212"/>
        <v>0</v>
      </c>
      <c r="W291" s="1">
        <f t="shared" si="213"/>
        <v>0</v>
      </c>
      <c r="X291" s="1">
        <f t="shared" si="214"/>
        <v>0</v>
      </c>
      <c r="Y291" s="1">
        <f t="shared" si="215"/>
        <v>0</v>
      </c>
      <c r="Z291" s="1">
        <f t="shared" si="216"/>
        <v>0</v>
      </c>
      <c r="AA291" s="1">
        <f t="shared" si="217"/>
        <v>0</v>
      </c>
      <c r="AB291" s="1">
        <f t="shared" si="218"/>
        <v>1</v>
      </c>
      <c r="AD291" s="1">
        <f t="shared" si="219"/>
        <v>0</v>
      </c>
      <c r="AE291" s="1">
        <f t="shared" si="220"/>
        <v>1</v>
      </c>
      <c r="AF291" s="1">
        <f t="shared" si="205"/>
        <v>0</v>
      </c>
      <c r="AG291" s="1">
        <f t="shared" si="206"/>
        <v>1</v>
      </c>
      <c r="AH291" s="1">
        <f t="shared" si="207"/>
        <v>0</v>
      </c>
      <c r="AI291" s="1">
        <f t="shared" si="208"/>
        <v>1</v>
      </c>
    </row>
    <row r="292" spans="1:35" s="1" customFormat="1" ht="14.25" customHeight="1" x14ac:dyDescent="0.3">
      <c r="A292" s="31">
        <v>0</v>
      </c>
      <c r="B292" s="31">
        <v>2</v>
      </c>
      <c r="C292" s="31">
        <v>1</v>
      </c>
      <c r="D292" s="32" t="s">
        <v>1273</v>
      </c>
      <c r="E292" s="32" t="s">
        <v>561</v>
      </c>
      <c r="F292" s="32" t="s">
        <v>1274</v>
      </c>
      <c r="G292" s="32" t="s">
        <v>258</v>
      </c>
      <c r="H292" s="32" t="s">
        <v>354</v>
      </c>
      <c r="I292" s="31" t="s">
        <v>1275</v>
      </c>
      <c r="J292" s="31">
        <v>8</v>
      </c>
      <c r="K292" s="33" t="s">
        <v>954</v>
      </c>
      <c r="L292" s="33" t="s">
        <v>713</v>
      </c>
      <c r="M292" s="34" t="s">
        <v>714</v>
      </c>
      <c r="N292" s="34" t="s">
        <v>1748</v>
      </c>
      <c r="O292" s="35">
        <v>1</v>
      </c>
      <c r="P292" s="35"/>
      <c r="Q292" s="32"/>
      <c r="S292" s="1">
        <f t="shared" si="209"/>
        <v>0</v>
      </c>
      <c r="T292" s="1">
        <f t="shared" si="210"/>
        <v>0</v>
      </c>
      <c r="U292" s="1">
        <f t="shared" si="211"/>
        <v>0</v>
      </c>
      <c r="V292" s="1">
        <f t="shared" si="212"/>
        <v>0</v>
      </c>
      <c r="W292" s="1">
        <f t="shared" si="213"/>
        <v>0</v>
      </c>
      <c r="X292" s="1">
        <f t="shared" si="214"/>
        <v>0</v>
      </c>
      <c r="Y292" s="1">
        <f t="shared" si="215"/>
        <v>0</v>
      </c>
      <c r="Z292" s="1">
        <f t="shared" si="216"/>
        <v>1</v>
      </c>
      <c r="AA292" s="1">
        <f t="shared" si="217"/>
        <v>0</v>
      </c>
      <c r="AB292" s="1">
        <f t="shared" si="218"/>
        <v>0</v>
      </c>
      <c r="AD292" s="1">
        <f t="shared" si="219"/>
        <v>0</v>
      </c>
      <c r="AE292" s="1">
        <f t="shared" si="220"/>
        <v>1</v>
      </c>
      <c r="AF292" s="1">
        <f t="shared" si="205"/>
        <v>0</v>
      </c>
      <c r="AG292" s="1">
        <f t="shared" si="206"/>
        <v>1</v>
      </c>
      <c r="AH292" s="1">
        <f t="shared" si="207"/>
        <v>0</v>
      </c>
      <c r="AI292" s="1">
        <f t="shared" si="208"/>
        <v>1</v>
      </c>
    </row>
    <row r="293" spans="1:35" s="1" customFormat="1" ht="14.25" customHeight="1" x14ac:dyDescent="0.3">
      <c r="A293" s="44">
        <v>0</v>
      </c>
      <c r="B293" s="44">
        <v>2</v>
      </c>
      <c r="C293" s="44">
        <v>1</v>
      </c>
      <c r="D293" s="45" t="s">
        <v>48</v>
      </c>
      <c r="E293" s="45" t="s">
        <v>578</v>
      </c>
      <c r="F293" s="45" t="s">
        <v>189</v>
      </c>
      <c r="G293" s="45" t="s">
        <v>300</v>
      </c>
      <c r="H293" s="45" t="s">
        <v>354</v>
      </c>
      <c r="I293" s="44" t="s">
        <v>385</v>
      </c>
      <c r="J293" s="44">
        <v>99</v>
      </c>
      <c r="K293" s="46" t="s">
        <v>713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209"/>
        <v>0</v>
      </c>
      <c r="T293" s="1">
        <f t="shared" si="210"/>
        <v>0</v>
      </c>
      <c r="U293" s="1">
        <f t="shared" si="211"/>
        <v>0</v>
      </c>
      <c r="V293" s="1">
        <f t="shared" si="212"/>
        <v>0</v>
      </c>
      <c r="W293" s="1">
        <f t="shared" si="213"/>
        <v>0</v>
      </c>
      <c r="X293" s="1">
        <f t="shared" si="214"/>
        <v>0</v>
      </c>
      <c r="Y293" s="1">
        <f t="shared" si="215"/>
        <v>0</v>
      </c>
      <c r="Z293" s="1">
        <f t="shared" si="216"/>
        <v>0</v>
      </c>
      <c r="AA293" s="1">
        <f t="shared" si="217"/>
        <v>0</v>
      </c>
      <c r="AB293" s="1">
        <f t="shared" si="218"/>
        <v>0</v>
      </c>
      <c r="AD293" s="1">
        <f t="shared" si="219"/>
        <v>0</v>
      </c>
      <c r="AE293" s="1">
        <f t="shared" si="220"/>
        <v>0</v>
      </c>
      <c r="AF293" s="1">
        <f t="shared" si="205"/>
        <v>0</v>
      </c>
      <c r="AG293" s="1">
        <f t="shared" si="206"/>
        <v>0</v>
      </c>
      <c r="AH293" s="1">
        <f t="shared" si="207"/>
        <v>0</v>
      </c>
      <c r="AI293" s="1">
        <f t="shared" si="208"/>
        <v>1</v>
      </c>
    </row>
    <row r="294" spans="1:35" s="1" customFormat="1" ht="14.25" customHeight="1" x14ac:dyDescent="0.3">
      <c r="A294" s="31">
        <v>0</v>
      </c>
      <c r="B294" s="31">
        <v>2</v>
      </c>
      <c r="C294" s="31">
        <v>1</v>
      </c>
      <c r="D294" s="32" t="s">
        <v>57</v>
      </c>
      <c r="E294" s="32" t="s">
        <v>162</v>
      </c>
      <c r="F294" s="32" t="s">
        <v>666</v>
      </c>
      <c r="G294" s="32" t="s">
        <v>221</v>
      </c>
      <c r="H294" s="32" t="s">
        <v>354</v>
      </c>
      <c r="I294" s="31" t="s">
        <v>396</v>
      </c>
      <c r="J294" s="31">
        <v>99</v>
      </c>
      <c r="K294" s="33" t="s">
        <v>961</v>
      </c>
      <c r="L294" s="33" t="s">
        <v>713</v>
      </c>
      <c r="M294" s="34" t="s">
        <v>714</v>
      </c>
      <c r="N294" s="34" t="s">
        <v>1743</v>
      </c>
      <c r="O294" s="35">
        <v>1</v>
      </c>
      <c r="P294" s="35"/>
      <c r="Q294" s="32"/>
      <c r="S294" s="1">
        <f t="shared" si="209"/>
        <v>0</v>
      </c>
      <c r="T294" s="1">
        <f t="shared" si="210"/>
        <v>0</v>
      </c>
      <c r="U294" s="1">
        <f t="shared" si="211"/>
        <v>0</v>
      </c>
      <c r="V294" s="1">
        <f t="shared" si="212"/>
        <v>0</v>
      </c>
      <c r="W294" s="1">
        <f t="shared" si="213"/>
        <v>0</v>
      </c>
      <c r="X294" s="1">
        <f t="shared" si="214"/>
        <v>0</v>
      </c>
      <c r="Y294" s="1">
        <f t="shared" si="215"/>
        <v>0</v>
      </c>
      <c r="Z294" s="1">
        <f t="shared" si="216"/>
        <v>0</v>
      </c>
      <c r="AA294" s="1">
        <f t="shared" si="217"/>
        <v>0</v>
      </c>
      <c r="AB294" s="1">
        <f t="shared" si="218"/>
        <v>0</v>
      </c>
      <c r="AD294" s="1">
        <f t="shared" si="219"/>
        <v>0</v>
      </c>
      <c r="AE294" s="1">
        <f t="shared" si="220"/>
        <v>1</v>
      </c>
      <c r="AF294" s="1">
        <f t="shared" si="205"/>
        <v>0</v>
      </c>
      <c r="AG294" s="1">
        <f t="shared" si="206"/>
        <v>1</v>
      </c>
      <c r="AH294" s="1">
        <f t="shared" si="207"/>
        <v>0</v>
      </c>
      <c r="AI294" s="1">
        <f t="shared" si="208"/>
        <v>1</v>
      </c>
    </row>
    <row r="295" spans="1:35" s="1" customFormat="1" ht="14.25" customHeight="1" x14ac:dyDescent="0.3">
      <c r="A295" s="31">
        <v>0</v>
      </c>
      <c r="B295" s="31">
        <v>2</v>
      </c>
      <c r="C295" s="31">
        <v>1</v>
      </c>
      <c r="D295" s="32" t="s">
        <v>515</v>
      </c>
      <c r="E295" s="32" t="s">
        <v>561</v>
      </c>
      <c r="F295" s="32" t="s">
        <v>229</v>
      </c>
      <c r="G295" s="32" t="s">
        <v>230</v>
      </c>
      <c r="H295" s="32" t="s">
        <v>354</v>
      </c>
      <c r="I295" s="31" t="s">
        <v>400</v>
      </c>
      <c r="J295" s="31">
        <v>7</v>
      </c>
      <c r="K295" s="33" t="s">
        <v>954</v>
      </c>
      <c r="L295" s="33" t="s">
        <v>713</v>
      </c>
      <c r="M295" s="34" t="s">
        <v>714</v>
      </c>
      <c r="N295" s="34" t="s">
        <v>1749</v>
      </c>
      <c r="O295" s="35">
        <v>1</v>
      </c>
      <c r="P295" s="35"/>
      <c r="Q295" s="32"/>
      <c r="S295" s="1">
        <f t="shared" si="209"/>
        <v>0</v>
      </c>
      <c r="T295" s="1">
        <f t="shared" si="210"/>
        <v>0</v>
      </c>
      <c r="U295" s="1">
        <f t="shared" si="211"/>
        <v>0</v>
      </c>
      <c r="V295" s="1">
        <f t="shared" si="212"/>
        <v>0</v>
      </c>
      <c r="W295" s="1">
        <f t="shared" si="213"/>
        <v>0</v>
      </c>
      <c r="X295" s="1">
        <f t="shared" si="214"/>
        <v>0</v>
      </c>
      <c r="Y295" s="1">
        <f t="shared" si="215"/>
        <v>1</v>
      </c>
      <c r="Z295" s="1">
        <f t="shared" si="216"/>
        <v>0</v>
      </c>
      <c r="AA295" s="1">
        <f t="shared" si="217"/>
        <v>0</v>
      </c>
      <c r="AB295" s="1">
        <f t="shared" si="218"/>
        <v>0</v>
      </c>
      <c r="AD295" s="1">
        <f t="shared" si="219"/>
        <v>0</v>
      </c>
      <c r="AE295" s="1">
        <f t="shared" si="220"/>
        <v>1</v>
      </c>
      <c r="AF295" s="1">
        <f t="shared" si="205"/>
        <v>0</v>
      </c>
      <c r="AG295" s="1">
        <f t="shared" si="206"/>
        <v>1</v>
      </c>
      <c r="AH295" s="1">
        <f t="shared" si="207"/>
        <v>0</v>
      </c>
      <c r="AI295" s="1">
        <f t="shared" si="208"/>
        <v>1</v>
      </c>
    </row>
    <row r="296" spans="1:35" s="1" customFormat="1" ht="14.25" customHeight="1" x14ac:dyDescent="0.3">
      <c r="A296" s="44">
        <v>0</v>
      </c>
      <c r="B296" s="44">
        <v>2</v>
      </c>
      <c r="C296" s="44">
        <v>1</v>
      </c>
      <c r="D296" s="45" t="s">
        <v>560</v>
      </c>
      <c r="E296" s="45" t="s">
        <v>561</v>
      </c>
      <c r="F296" s="45" t="s">
        <v>562</v>
      </c>
      <c r="G296" s="45" t="s">
        <v>208</v>
      </c>
      <c r="H296" s="45" t="s">
        <v>354</v>
      </c>
      <c r="I296" s="44" t="s">
        <v>563</v>
      </c>
      <c r="J296" s="44">
        <v>3</v>
      </c>
      <c r="K296" s="46" t="s">
        <v>712</v>
      </c>
      <c r="L296" s="46" t="s">
        <v>713</v>
      </c>
      <c r="M296" s="47" t="s">
        <v>714</v>
      </c>
      <c r="N296" s="47" t="s">
        <v>1747</v>
      </c>
      <c r="O296" s="48"/>
      <c r="P296" s="48"/>
      <c r="Q296" s="45"/>
      <c r="S296" s="1">
        <f t="shared" si="209"/>
        <v>0</v>
      </c>
      <c r="T296" s="1">
        <f t="shared" si="210"/>
        <v>0</v>
      </c>
      <c r="U296" s="1">
        <f t="shared" si="211"/>
        <v>1</v>
      </c>
      <c r="V296" s="1">
        <f t="shared" si="212"/>
        <v>0</v>
      </c>
      <c r="W296" s="1">
        <f t="shared" si="213"/>
        <v>0</v>
      </c>
      <c r="X296" s="1">
        <f t="shared" si="214"/>
        <v>0</v>
      </c>
      <c r="Y296" s="1">
        <f t="shared" si="215"/>
        <v>0</v>
      </c>
      <c r="Z296" s="1">
        <f t="shared" si="216"/>
        <v>0</v>
      </c>
      <c r="AA296" s="1">
        <f t="shared" si="217"/>
        <v>0</v>
      </c>
      <c r="AB296" s="1">
        <f t="shared" si="218"/>
        <v>0</v>
      </c>
      <c r="AD296" s="1">
        <f t="shared" si="219"/>
        <v>0</v>
      </c>
      <c r="AE296" s="1">
        <f t="shared" si="220"/>
        <v>0</v>
      </c>
      <c r="AF296" s="1">
        <f t="shared" si="205"/>
        <v>0</v>
      </c>
      <c r="AG296" s="1">
        <f t="shared" si="206"/>
        <v>0</v>
      </c>
      <c r="AH296" s="1">
        <f t="shared" si="207"/>
        <v>0</v>
      </c>
      <c r="AI296" s="1">
        <f t="shared" si="208"/>
        <v>1</v>
      </c>
    </row>
    <row r="297" spans="1:35" s="1" customFormat="1" ht="14.25" customHeight="1" x14ac:dyDescent="0.3">
      <c r="A297" s="37">
        <v>0</v>
      </c>
      <c r="B297" s="37">
        <v>2</v>
      </c>
      <c r="C297" s="37">
        <v>1</v>
      </c>
      <c r="D297" s="36" t="s">
        <v>1053</v>
      </c>
      <c r="E297" s="36" t="s">
        <v>32</v>
      </c>
      <c r="F297" s="36" t="s">
        <v>1277</v>
      </c>
      <c r="G297" s="36" t="s">
        <v>535</v>
      </c>
      <c r="H297" s="36" t="s">
        <v>354</v>
      </c>
      <c r="I297" s="37" t="s">
        <v>1278</v>
      </c>
      <c r="J297" s="37">
        <v>6</v>
      </c>
      <c r="K297" s="56" t="s">
        <v>713</v>
      </c>
      <c r="L297" s="33" t="s">
        <v>713</v>
      </c>
      <c r="M297" s="34" t="s">
        <v>714</v>
      </c>
      <c r="N297" s="34" t="s">
        <v>1748</v>
      </c>
      <c r="O297" s="35">
        <v>1</v>
      </c>
      <c r="P297" s="35"/>
      <c r="Q297" s="36"/>
      <c r="S297" s="1">
        <f t="shared" si="209"/>
        <v>0</v>
      </c>
      <c r="T297" s="1">
        <f t="shared" si="210"/>
        <v>0</v>
      </c>
      <c r="U297" s="1">
        <f t="shared" si="211"/>
        <v>0</v>
      </c>
      <c r="V297" s="1">
        <f t="shared" si="212"/>
        <v>0</v>
      </c>
      <c r="W297" s="1">
        <f t="shared" si="213"/>
        <v>0</v>
      </c>
      <c r="X297" s="1">
        <f t="shared" si="214"/>
        <v>1</v>
      </c>
      <c r="Y297" s="1">
        <f t="shared" si="215"/>
        <v>0</v>
      </c>
      <c r="Z297" s="1">
        <f t="shared" si="216"/>
        <v>0</v>
      </c>
      <c r="AA297" s="1">
        <f t="shared" si="217"/>
        <v>0</v>
      </c>
      <c r="AB297" s="1">
        <f t="shared" si="218"/>
        <v>0</v>
      </c>
      <c r="AD297" s="1">
        <f t="shared" si="219"/>
        <v>0</v>
      </c>
      <c r="AE297" s="1">
        <f t="shared" si="220"/>
        <v>1</v>
      </c>
      <c r="AF297" s="1">
        <f t="shared" si="205"/>
        <v>0</v>
      </c>
      <c r="AG297" s="1">
        <f t="shared" si="206"/>
        <v>1</v>
      </c>
      <c r="AH297" s="1">
        <f t="shared" si="207"/>
        <v>0</v>
      </c>
      <c r="AI297" s="1">
        <f t="shared" si="208"/>
        <v>1</v>
      </c>
    </row>
    <row r="298" spans="1:35" s="1" customFormat="1" ht="14.25" customHeight="1" x14ac:dyDescent="0.3">
      <c r="A298" s="44">
        <v>0</v>
      </c>
      <c r="B298" s="44">
        <v>2</v>
      </c>
      <c r="C298" s="44">
        <v>1</v>
      </c>
      <c r="D298" s="45" t="s">
        <v>917</v>
      </c>
      <c r="E298" s="45" t="s">
        <v>1333</v>
      </c>
      <c r="F298" s="45" t="s">
        <v>789</v>
      </c>
      <c r="G298" s="45" t="s">
        <v>257</v>
      </c>
      <c r="H298" s="45" t="s">
        <v>354</v>
      </c>
      <c r="I298" s="44" t="s">
        <v>944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1734</v>
      </c>
      <c r="O298" s="48"/>
      <c r="P298" s="48"/>
      <c r="Q298" s="45"/>
      <c r="S298" s="1">
        <f t="shared" si="209"/>
        <v>0</v>
      </c>
      <c r="T298" s="1">
        <f t="shared" si="210"/>
        <v>0</v>
      </c>
      <c r="U298" s="1">
        <f t="shared" si="211"/>
        <v>0</v>
      </c>
      <c r="V298" s="1">
        <f t="shared" si="212"/>
        <v>0</v>
      </c>
      <c r="W298" s="1">
        <f t="shared" si="213"/>
        <v>0</v>
      </c>
      <c r="X298" s="1">
        <f t="shared" si="214"/>
        <v>0</v>
      </c>
      <c r="Y298" s="1">
        <f t="shared" si="215"/>
        <v>0</v>
      </c>
      <c r="Z298" s="1">
        <f t="shared" si="216"/>
        <v>0</v>
      </c>
      <c r="AA298" s="1">
        <f t="shared" si="217"/>
        <v>0</v>
      </c>
      <c r="AB298" s="1">
        <f t="shared" si="218"/>
        <v>0</v>
      </c>
      <c r="AD298" s="1">
        <f t="shared" si="219"/>
        <v>0</v>
      </c>
      <c r="AE298" s="1">
        <f t="shared" si="220"/>
        <v>0</v>
      </c>
      <c r="AF298" s="1">
        <f t="shared" si="205"/>
        <v>0</v>
      </c>
      <c r="AG298" s="1">
        <f t="shared" si="206"/>
        <v>0</v>
      </c>
      <c r="AH298" s="1">
        <f t="shared" si="207"/>
        <v>0</v>
      </c>
      <c r="AI298" s="1">
        <f t="shared" si="208"/>
        <v>1</v>
      </c>
    </row>
    <row r="299" spans="1:35" s="1" customFormat="1" ht="14.25" customHeight="1" x14ac:dyDescent="0.3">
      <c r="A299" s="37">
        <v>0</v>
      </c>
      <c r="B299" s="37">
        <v>2</v>
      </c>
      <c r="C299" s="37">
        <v>1</v>
      </c>
      <c r="D299" s="36" t="s">
        <v>1771</v>
      </c>
      <c r="E299" s="36" t="s">
        <v>1772</v>
      </c>
      <c r="F299" s="36" t="s">
        <v>1773</v>
      </c>
      <c r="G299" s="36" t="s">
        <v>180</v>
      </c>
      <c r="H299" s="36" t="s">
        <v>354</v>
      </c>
      <c r="I299" s="37" t="s">
        <v>1774</v>
      </c>
      <c r="J299" s="37"/>
      <c r="K299" s="56" t="s">
        <v>703</v>
      </c>
      <c r="L299" s="33">
        <v>4</v>
      </c>
      <c r="M299" s="34" t="s">
        <v>714</v>
      </c>
      <c r="N299" s="34" t="s">
        <v>1743</v>
      </c>
      <c r="O299" s="35">
        <v>1</v>
      </c>
      <c r="P299" s="35"/>
      <c r="Q299" s="36"/>
      <c r="S299" s="1">
        <f t="shared" si="209"/>
        <v>0</v>
      </c>
      <c r="T299" s="1">
        <f t="shared" si="210"/>
        <v>0</v>
      </c>
      <c r="U299" s="1">
        <f t="shared" si="211"/>
        <v>0</v>
      </c>
      <c r="V299" s="1">
        <f t="shared" si="212"/>
        <v>0</v>
      </c>
      <c r="W299" s="1">
        <f t="shared" si="213"/>
        <v>0</v>
      </c>
      <c r="X299" s="1">
        <f t="shared" si="214"/>
        <v>0</v>
      </c>
      <c r="Y299" s="1">
        <f t="shared" si="215"/>
        <v>0</v>
      </c>
      <c r="Z299" s="1">
        <f t="shared" si="216"/>
        <v>0</v>
      </c>
      <c r="AA299" s="1">
        <f t="shared" si="217"/>
        <v>0</v>
      </c>
      <c r="AB299" s="1">
        <f t="shared" si="218"/>
        <v>0</v>
      </c>
      <c r="AD299" s="1">
        <f t="shared" si="219"/>
        <v>0</v>
      </c>
      <c r="AE299" s="1">
        <f t="shared" si="220"/>
        <v>1</v>
      </c>
      <c r="AF299" s="1">
        <f t="shared" si="205"/>
        <v>0</v>
      </c>
      <c r="AG299" s="1">
        <f t="shared" si="206"/>
        <v>1</v>
      </c>
      <c r="AH299" s="1">
        <f t="shared" si="207"/>
        <v>0</v>
      </c>
      <c r="AI299" s="1">
        <f t="shared" si="208"/>
        <v>1</v>
      </c>
    </row>
    <row r="300" spans="1:35" s="1" customFormat="1" ht="14.25" customHeight="1" x14ac:dyDescent="0.3">
      <c r="A300" s="31">
        <v>0</v>
      </c>
      <c r="B300" s="31">
        <v>2</v>
      </c>
      <c r="C300" s="31">
        <v>1</v>
      </c>
      <c r="D300" s="32" t="s">
        <v>619</v>
      </c>
      <c r="E300" s="32" t="s">
        <v>620</v>
      </c>
      <c r="F300" s="32" t="s">
        <v>621</v>
      </c>
      <c r="G300" s="32" t="s">
        <v>622</v>
      </c>
      <c r="H300" s="32" t="s">
        <v>354</v>
      </c>
      <c r="I300" s="31" t="s">
        <v>623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1756</v>
      </c>
      <c r="O300" s="35">
        <v>1</v>
      </c>
      <c r="P300" s="35"/>
      <c r="Q300" s="32"/>
      <c r="S300" s="1">
        <f t="shared" si="209"/>
        <v>0</v>
      </c>
      <c r="T300" s="1">
        <f t="shared" si="210"/>
        <v>0</v>
      </c>
      <c r="U300" s="1">
        <f t="shared" si="211"/>
        <v>0</v>
      </c>
      <c r="V300" s="1">
        <f t="shared" si="212"/>
        <v>0</v>
      </c>
      <c r="W300" s="1">
        <f t="shared" si="213"/>
        <v>0</v>
      </c>
      <c r="X300" s="1">
        <f t="shared" si="214"/>
        <v>0</v>
      </c>
      <c r="Y300" s="1">
        <f t="shared" si="215"/>
        <v>0</v>
      </c>
      <c r="Z300" s="1">
        <f t="shared" si="216"/>
        <v>0</v>
      </c>
      <c r="AA300" s="1">
        <f t="shared" si="217"/>
        <v>0</v>
      </c>
      <c r="AB300" s="1">
        <f t="shared" si="218"/>
        <v>0</v>
      </c>
      <c r="AD300" s="1">
        <f t="shared" si="219"/>
        <v>0</v>
      </c>
      <c r="AE300" s="1">
        <f t="shared" si="220"/>
        <v>1</v>
      </c>
      <c r="AF300" s="1">
        <f t="shared" si="205"/>
        <v>0</v>
      </c>
      <c r="AG300" s="1">
        <f t="shared" si="206"/>
        <v>1</v>
      </c>
      <c r="AH300" s="1">
        <f t="shared" si="207"/>
        <v>0</v>
      </c>
      <c r="AI300" s="1">
        <f t="shared" si="208"/>
        <v>1</v>
      </c>
    </row>
    <row r="301" spans="1:35" s="1" customFormat="1" ht="14.25" customHeight="1" x14ac:dyDescent="0.3">
      <c r="A301" s="31">
        <v>0</v>
      </c>
      <c r="B301" s="31">
        <v>2</v>
      </c>
      <c r="C301" s="31">
        <v>1</v>
      </c>
      <c r="D301" s="32" t="s">
        <v>1080</v>
      </c>
      <c r="E301" s="32" t="s">
        <v>1334</v>
      </c>
      <c r="F301" s="32" t="s">
        <v>1663</v>
      </c>
      <c r="G301" s="32" t="s">
        <v>190</v>
      </c>
      <c r="H301" s="32" t="s">
        <v>354</v>
      </c>
      <c r="I301" s="31" t="s">
        <v>1861</v>
      </c>
      <c r="J301" s="31">
        <v>99</v>
      </c>
      <c r="K301" s="33" t="s">
        <v>712</v>
      </c>
      <c r="L301" s="33" t="s">
        <v>713</v>
      </c>
      <c r="M301" s="34" t="s">
        <v>714</v>
      </c>
      <c r="N301" s="34" t="s">
        <v>1743</v>
      </c>
      <c r="O301" s="35">
        <v>1</v>
      </c>
      <c r="P301" s="35"/>
      <c r="Q301" s="32"/>
      <c r="S301" s="1">
        <f t="shared" si="209"/>
        <v>0</v>
      </c>
      <c r="T301" s="1">
        <f t="shared" si="210"/>
        <v>0</v>
      </c>
      <c r="U301" s="1">
        <f t="shared" si="211"/>
        <v>0</v>
      </c>
      <c r="V301" s="1">
        <f t="shared" si="212"/>
        <v>0</v>
      </c>
      <c r="W301" s="1">
        <f t="shared" si="213"/>
        <v>0</v>
      </c>
      <c r="X301" s="1">
        <f t="shared" si="214"/>
        <v>0</v>
      </c>
      <c r="Y301" s="1">
        <f t="shared" si="215"/>
        <v>0</v>
      </c>
      <c r="Z301" s="1">
        <f t="shared" si="216"/>
        <v>0</v>
      </c>
      <c r="AA301" s="1">
        <f t="shared" si="217"/>
        <v>0</v>
      </c>
      <c r="AB301" s="1">
        <f t="shared" si="218"/>
        <v>0</v>
      </c>
      <c r="AD301" s="1">
        <f t="shared" si="219"/>
        <v>0</v>
      </c>
      <c r="AE301" s="1">
        <f t="shared" si="220"/>
        <v>1</v>
      </c>
      <c r="AF301" s="1">
        <f t="shared" si="205"/>
        <v>0</v>
      </c>
      <c r="AG301" s="1">
        <f t="shared" si="206"/>
        <v>1</v>
      </c>
      <c r="AH301" s="1">
        <f t="shared" si="207"/>
        <v>0</v>
      </c>
      <c r="AI301" s="1">
        <f t="shared" si="208"/>
        <v>1</v>
      </c>
    </row>
    <row r="302" spans="1:35" s="1" customFormat="1" ht="14.25" customHeight="1" x14ac:dyDescent="0.3">
      <c r="A302" s="15">
        <v>0</v>
      </c>
      <c r="B302" s="15">
        <v>2</v>
      </c>
      <c r="C302" s="15">
        <v>1</v>
      </c>
      <c r="D302" s="16" t="s">
        <v>651</v>
      </c>
      <c r="E302" s="16" t="s">
        <v>36</v>
      </c>
      <c r="F302" s="16" t="s">
        <v>667</v>
      </c>
      <c r="G302" s="16" t="s">
        <v>201</v>
      </c>
      <c r="H302" s="16" t="s">
        <v>354</v>
      </c>
      <c r="I302" s="15" t="s">
        <v>1005</v>
      </c>
      <c r="J302" s="15">
        <v>99</v>
      </c>
      <c r="K302" s="10" t="s">
        <v>703</v>
      </c>
      <c r="L302" s="10">
        <v>4</v>
      </c>
      <c r="M302" s="19" t="s">
        <v>714</v>
      </c>
      <c r="N302" s="17"/>
      <c r="Q302" s="16"/>
      <c r="S302" s="1">
        <f t="shared" si="209"/>
        <v>0</v>
      </c>
      <c r="T302" s="1">
        <f t="shared" si="210"/>
        <v>0</v>
      </c>
      <c r="U302" s="1">
        <f t="shared" si="211"/>
        <v>0</v>
      </c>
      <c r="V302" s="1">
        <f t="shared" si="212"/>
        <v>0</v>
      </c>
      <c r="W302" s="1">
        <f t="shared" si="213"/>
        <v>0</v>
      </c>
      <c r="X302" s="1">
        <f t="shared" si="214"/>
        <v>0</v>
      </c>
      <c r="Y302" s="1">
        <f t="shared" si="215"/>
        <v>0</v>
      </c>
      <c r="Z302" s="1">
        <f t="shared" si="216"/>
        <v>0</v>
      </c>
      <c r="AA302" s="1">
        <f t="shared" si="217"/>
        <v>0</v>
      </c>
      <c r="AB302" s="1">
        <f t="shared" si="218"/>
        <v>0</v>
      </c>
      <c r="AD302" s="1">
        <f t="shared" si="219"/>
        <v>0</v>
      </c>
      <c r="AE302" s="1">
        <f t="shared" si="220"/>
        <v>0</v>
      </c>
      <c r="AF302" s="1">
        <f t="shared" si="205"/>
        <v>0</v>
      </c>
      <c r="AG302" s="1">
        <f t="shared" si="206"/>
        <v>0</v>
      </c>
      <c r="AH302" s="1">
        <f t="shared" si="207"/>
        <v>0</v>
      </c>
      <c r="AI302" s="1">
        <f t="shared" si="208"/>
        <v>1</v>
      </c>
    </row>
    <row r="303" spans="1:35" s="1" customFormat="1" ht="14.25" customHeight="1" x14ac:dyDescent="0.3">
      <c r="A303" s="44">
        <v>0</v>
      </c>
      <c r="B303" s="44">
        <v>2</v>
      </c>
      <c r="C303" s="44">
        <v>1</v>
      </c>
      <c r="D303" s="45" t="s">
        <v>1264</v>
      </c>
      <c r="E303" s="45" t="s">
        <v>1265</v>
      </c>
      <c r="F303" s="45" t="s">
        <v>1266</v>
      </c>
      <c r="G303" s="45" t="s">
        <v>1165</v>
      </c>
      <c r="H303" s="45" t="s">
        <v>354</v>
      </c>
      <c r="I303" s="44" t="s">
        <v>1267</v>
      </c>
      <c r="J303" s="44">
        <v>11</v>
      </c>
      <c r="K303" s="46" t="s">
        <v>703</v>
      </c>
      <c r="L303" s="46">
        <v>6</v>
      </c>
      <c r="M303" s="47" t="s">
        <v>1728</v>
      </c>
      <c r="N303" s="47" t="s">
        <v>1809</v>
      </c>
      <c r="O303" s="48"/>
      <c r="P303" s="48"/>
      <c r="Q303" s="45"/>
      <c r="S303" s="1">
        <f t="shared" si="209"/>
        <v>0</v>
      </c>
      <c r="T303" s="1">
        <f t="shared" si="210"/>
        <v>0</v>
      </c>
      <c r="U303" s="1">
        <f t="shared" si="211"/>
        <v>0</v>
      </c>
      <c r="V303" s="1">
        <f t="shared" si="212"/>
        <v>0</v>
      </c>
      <c r="W303" s="1">
        <f t="shared" si="213"/>
        <v>0</v>
      </c>
      <c r="X303" s="1">
        <f t="shared" si="214"/>
        <v>0</v>
      </c>
      <c r="Y303" s="1">
        <f t="shared" si="215"/>
        <v>0</v>
      </c>
      <c r="Z303" s="1">
        <f t="shared" si="216"/>
        <v>0</v>
      </c>
      <c r="AA303" s="1">
        <f t="shared" si="217"/>
        <v>0</v>
      </c>
      <c r="AB303" s="1">
        <f t="shared" si="218"/>
        <v>0</v>
      </c>
      <c r="AD303" s="1">
        <f t="shared" si="219"/>
        <v>0</v>
      </c>
      <c r="AE303" s="1">
        <f t="shared" si="220"/>
        <v>0</v>
      </c>
      <c r="AF303" s="1">
        <f t="shared" si="205"/>
        <v>0</v>
      </c>
      <c r="AG303" s="1">
        <f t="shared" si="206"/>
        <v>0</v>
      </c>
      <c r="AH303" s="1">
        <f t="shared" si="207"/>
        <v>0</v>
      </c>
      <c r="AI303" s="1">
        <f t="shared" si="208"/>
        <v>1</v>
      </c>
    </row>
    <row r="304" spans="1:35" s="1" customFormat="1" ht="14.25" customHeight="1" x14ac:dyDescent="0.3">
      <c r="A304" s="31">
        <v>0</v>
      </c>
      <c r="B304" s="31">
        <v>2</v>
      </c>
      <c r="C304" s="31">
        <v>1</v>
      </c>
      <c r="D304" s="32" t="s">
        <v>1123</v>
      </c>
      <c r="E304" s="32" t="s">
        <v>1314</v>
      </c>
      <c r="F304" s="32" t="s">
        <v>1121</v>
      </c>
      <c r="G304" s="32" t="s">
        <v>230</v>
      </c>
      <c r="H304" s="32" t="s">
        <v>354</v>
      </c>
      <c r="I304" s="31" t="s">
        <v>1122</v>
      </c>
      <c r="J304" s="31">
        <v>7</v>
      </c>
      <c r="K304" s="33" t="s">
        <v>713</v>
      </c>
      <c r="L304" s="33" t="s">
        <v>1709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09"/>
        <v>0</v>
      </c>
      <c r="T304" s="1">
        <f t="shared" si="210"/>
        <v>0</v>
      </c>
      <c r="U304" s="1">
        <f t="shared" si="211"/>
        <v>0</v>
      </c>
      <c r="V304" s="1">
        <f t="shared" si="212"/>
        <v>0</v>
      </c>
      <c r="W304" s="1">
        <f t="shared" si="213"/>
        <v>0</v>
      </c>
      <c r="X304" s="1">
        <f t="shared" si="214"/>
        <v>0</v>
      </c>
      <c r="Y304" s="1">
        <f t="shared" si="215"/>
        <v>1</v>
      </c>
      <c r="Z304" s="1">
        <f t="shared" si="216"/>
        <v>0</v>
      </c>
      <c r="AA304" s="1">
        <f t="shared" si="217"/>
        <v>0</v>
      </c>
      <c r="AB304" s="1">
        <f t="shared" si="218"/>
        <v>0</v>
      </c>
      <c r="AD304" s="1">
        <f t="shared" si="219"/>
        <v>0</v>
      </c>
      <c r="AE304" s="1">
        <f t="shared" si="220"/>
        <v>1</v>
      </c>
      <c r="AF304" s="1">
        <f t="shared" si="205"/>
        <v>0</v>
      </c>
      <c r="AG304" s="1">
        <f t="shared" si="206"/>
        <v>1</v>
      </c>
      <c r="AH304" s="1">
        <f t="shared" si="207"/>
        <v>0</v>
      </c>
      <c r="AI304" s="1">
        <f t="shared" si="208"/>
        <v>1</v>
      </c>
    </row>
    <row r="305" spans="1:35" s="1" customFormat="1" ht="14.25" customHeight="1" x14ac:dyDescent="0.3">
      <c r="A305" s="31">
        <v>0</v>
      </c>
      <c r="B305" s="31">
        <v>2</v>
      </c>
      <c r="C305" s="31">
        <v>1</v>
      </c>
      <c r="D305" s="32" t="s">
        <v>1008</v>
      </c>
      <c r="E305" s="32" t="s">
        <v>1336</v>
      </c>
      <c r="F305" s="32" t="s">
        <v>1009</v>
      </c>
      <c r="G305" s="32" t="s">
        <v>1100</v>
      </c>
      <c r="H305" s="32" t="s">
        <v>354</v>
      </c>
      <c r="I305" s="31" t="s">
        <v>408</v>
      </c>
      <c r="J305" s="31">
        <v>99</v>
      </c>
      <c r="K305" s="33" t="s">
        <v>713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09"/>
        <v>0</v>
      </c>
      <c r="T305" s="1">
        <f t="shared" si="210"/>
        <v>0</v>
      </c>
      <c r="U305" s="1">
        <f t="shared" si="211"/>
        <v>0</v>
      </c>
      <c r="V305" s="1">
        <f t="shared" si="212"/>
        <v>0</v>
      </c>
      <c r="W305" s="1">
        <f t="shared" si="213"/>
        <v>0</v>
      </c>
      <c r="X305" s="1">
        <f t="shared" si="214"/>
        <v>0</v>
      </c>
      <c r="Y305" s="1">
        <f t="shared" si="215"/>
        <v>0</v>
      </c>
      <c r="Z305" s="1">
        <f t="shared" si="216"/>
        <v>0</v>
      </c>
      <c r="AA305" s="1">
        <f t="shared" si="217"/>
        <v>0</v>
      </c>
      <c r="AB305" s="1">
        <f t="shared" si="218"/>
        <v>0</v>
      </c>
      <c r="AD305" s="1">
        <f t="shared" si="219"/>
        <v>0</v>
      </c>
      <c r="AE305" s="1">
        <f t="shared" si="220"/>
        <v>1</v>
      </c>
      <c r="AF305" s="1">
        <f t="shared" si="205"/>
        <v>0</v>
      </c>
      <c r="AG305" s="1">
        <f t="shared" si="206"/>
        <v>1</v>
      </c>
      <c r="AH305" s="1">
        <f t="shared" si="207"/>
        <v>0</v>
      </c>
      <c r="AI305" s="1">
        <f t="shared" si="208"/>
        <v>1</v>
      </c>
    </row>
    <row r="306" spans="1:35" s="1" customFormat="1" ht="14.25" customHeight="1" x14ac:dyDescent="0.3">
      <c r="A306" s="31">
        <v>0</v>
      </c>
      <c r="B306" s="31">
        <v>2</v>
      </c>
      <c r="C306" s="31">
        <v>1</v>
      </c>
      <c r="D306" s="32" t="s">
        <v>1130</v>
      </c>
      <c r="E306" s="32" t="s">
        <v>561</v>
      </c>
      <c r="F306" s="32" t="s">
        <v>1354</v>
      </c>
      <c r="G306" s="32" t="s">
        <v>265</v>
      </c>
      <c r="H306" s="32" t="s">
        <v>354</v>
      </c>
      <c r="I306" s="31" t="s">
        <v>1131</v>
      </c>
      <c r="J306" s="31">
        <v>8</v>
      </c>
      <c r="K306" s="33" t="s">
        <v>712</v>
      </c>
      <c r="L306" s="33" t="s">
        <v>1709</v>
      </c>
      <c r="M306" s="34" t="s">
        <v>714</v>
      </c>
      <c r="N306" s="34" t="s">
        <v>1748</v>
      </c>
      <c r="O306" s="35">
        <v>1</v>
      </c>
      <c r="P306" s="35"/>
      <c r="Q306" s="32"/>
      <c r="S306" s="1">
        <f t="shared" si="209"/>
        <v>0</v>
      </c>
      <c r="T306" s="1">
        <f t="shared" si="210"/>
        <v>0</v>
      </c>
      <c r="U306" s="1">
        <f t="shared" si="211"/>
        <v>0</v>
      </c>
      <c r="V306" s="1">
        <f t="shared" si="212"/>
        <v>0</v>
      </c>
      <c r="W306" s="1">
        <f t="shared" si="213"/>
        <v>0</v>
      </c>
      <c r="X306" s="1">
        <f t="shared" si="214"/>
        <v>0</v>
      </c>
      <c r="Y306" s="1">
        <f t="shared" si="215"/>
        <v>0</v>
      </c>
      <c r="Z306" s="1">
        <f t="shared" si="216"/>
        <v>1</v>
      </c>
      <c r="AA306" s="1">
        <f t="shared" si="217"/>
        <v>0</v>
      </c>
      <c r="AB306" s="1">
        <f t="shared" si="218"/>
        <v>0</v>
      </c>
      <c r="AD306" s="1">
        <f t="shared" si="219"/>
        <v>0</v>
      </c>
      <c r="AE306" s="1">
        <f t="shared" si="220"/>
        <v>1</v>
      </c>
      <c r="AF306" s="1">
        <f t="shared" si="205"/>
        <v>0</v>
      </c>
      <c r="AG306" s="1">
        <f t="shared" si="206"/>
        <v>1</v>
      </c>
      <c r="AH306" s="1">
        <f t="shared" si="207"/>
        <v>0</v>
      </c>
      <c r="AI306" s="1">
        <f t="shared" si="208"/>
        <v>1</v>
      </c>
    </row>
    <row r="307" spans="1:35" s="1" customFormat="1" ht="14.25" customHeight="1" x14ac:dyDescent="0.3">
      <c r="A307" s="31">
        <v>0</v>
      </c>
      <c r="B307" s="31">
        <v>2</v>
      </c>
      <c r="C307" s="31">
        <v>1</v>
      </c>
      <c r="D307" s="32" t="s">
        <v>1286</v>
      </c>
      <c r="E307" s="32" t="s">
        <v>1334</v>
      </c>
      <c r="F307" s="32" t="s">
        <v>1283</v>
      </c>
      <c r="G307" s="32" t="s">
        <v>1284</v>
      </c>
      <c r="H307" s="32" t="s">
        <v>354</v>
      </c>
      <c r="I307" s="31" t="s">
        <v>1285</v>
      </c>
      <c r="J307" s="31">
        <v>1</v>
      </c>
      <c r="K307" s="33" t="s">
        <v>712</v>
      </c>
      <c r="L307" s="33" t="s">
        <v>713</v>
      </c>
      <c r="M307" s="34" t="s">
        <v>714</v>
      </c>
      <c r="N307" s="34" t="s">
        <v>1761</v>
      </c>
      <c r="O307" s="35">
        <v>1</v>
      </c>
      <c r="P307" s="35"/>
      <c r="Q307" s="32" t="s">
        <v>1902</v>
      </c>
      <c r="S307" s="1">
        <f t="shared" si="209"/>
        <v>1</v>
      </c>
      <c r="T307" s="1">
        <f t="shared" si="210"/>
        <v>0</v>
      </c>
      <c r="U307" s="1">
        <f t="shared" si="211"/>
        <v>0</v>
      </c>
      <c r="V307" s="1">
        <f t="shared" si="212"/>
        <v>0</v>
      </c>
      <c r="W307" s="1">
        <f t="shared" si="213"/>
        <v>0</v>
      </c>
      <c r="X307" s="1">
        <f t="shared" si="214"/>
        <v>0</v>
      </c>
      <c r="Y307" s="1">
        <f t="shared" si="215"/>
        <v>0</v>
      </c>
      <c r="Z307" s="1">
        <f t="shared" si="216"/>
        <v>0</v>
      </c>
      <c r="AA307" s="1">
        <f t="shared" si="217"/>
        <v>0</v>
      </c>
      <c r="AB307" s="1">
        <f t="shared" si="218"/>
        <v>0</v>
      </c>
      <c r="AD307" s="1">
        <f t="shared" si="219"/>
        <v>0</v>
      </c>
      <c r="AE307" s="1">
        <f t="shared" si="220"/>
        <v>1</v>
      </c>
      <c r="AF307" s="1">
        <f t="shared" si="205"/>
        <v>0</v>
      </c>
      <c r="AG307" s="1">
        <f t="shared" si="206"/>
        <v>1</v>
      </c>
      <c r="AH307" s="1">
        <f t="shared" si="207"/>
        <v>0</v>
      </c>
      <c r="AI307" s="1">
        <f t="shared" si="208"/>
        <v>1</v>
      </c>
    </row>
    <row r="308" spans="1:35" s="1" customFormat="1" ht="14.25" customHeight="1" x14ac:dyDescent="0.3">
      <c r="A308" s="44">
        <v>0</v>
      </c>
      <c r="B308" s="44">
        <v>2</v>
      </c>
      <c r="C308" s="44">
        <v>1</v>
      </c>
      <c r="D308" s="45" t="s">
        <v>52</v>
      </c>
      <c r="E308" s="45" t="s">
        <v>32</v>
      </c>
      <c r="F308" s="45" t="s">
        <v>206</v>
      </c>
      <c r="G308" s="45" t="s">
        <v>207</v>
      </c>
      <c r="H308" s="45" t="s">
        <v>354</v>
      </c>
      <c r="I308" s="44" t="s">
        <v>391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1747</v>
      </c>
      <c r="O308" s="48"/>
      <c r="P308" s="48"/>
      <c r="Q308" s="45"/>
      <c r="S308" s="1">
        <f t="shared" si="209"/>
        <v>0</v>
      </c>
      <c r="T308" s="1">
        <f t="shared" si="210"/>
        <v>0</v>
      </c>
      <c r="U308" s="1">
        <f t="shared" si="211"/>
        <v>0</v>
      </c>
      <c r="V308" s="1">
        <f t="shared" si="212"/>
        <v>0</v>
      </c>
      <c r="W308" s="1">
        <f t="shared" si="213"/>
        <v>0</v>
      </c>
      <c r="X308" s="1">
        <f t="shared" si="214"/>
        <v>0</v>
      </c>
      <c r="Y308" s="1">
        <f t="shared" si="215"/>
        <v>0</v>
      </c>
      <c r="Z308" s="1">
        <f t="shared" si="216"/>
        <v>0</v>
      </c>
      <c r="AA308" s="1">
        <f t="shared" si="217"/>
        <v>0</v>
      </c>
      <c r="AB308" s="1">
        <f t="shared" si="218"/>
        <v>0</v>
      </c>
      <c r="AD308" s="1">
        <f t="shared" si="219"/>
        <v>0</v>
      </c>
      <c r="AE308" s="1">
        <f t="shared" si="220"/>
        <v>0</v>
      </c>
      <c r="AF308" s="1">
        <f t="shared" si="205"/>
        <v>0</v>
      </c>
      <c r="AG308" s="1">
        <f t="shared" si="206"/>
        <v>0</v>
      </c>
      <c r="AH308" s="1">
        <f t="shared" si="207"/>
        <v>0</v>
      </c>
      <c r="AI308" s="1">
        <f t="shared" si="208"/>
        <v>1</v>
      </c>
    </row>
    <row r="309" spans="1:35" s="1" customFormat="1" ht="14.25" customHeight="1" x14ac:dyDescent="0.3">
      <c r="A309" s="31">
        <v>0</v>
      </c>
      <c r="B309" s="31">
        <v>2</v>
      </c>
      <c r="C309" s="31">
        <v>1</v>
      </c>
      <c r="D309" s="32" t="s">
        <v>73</v>
      </c>
      <c r="E309" s="32" t="s">
        <v>561</v>
      </c>
      <c r="F309" s="32" t="s">
        <v>1050</v>
      </c>
      <c r="G309" s="32" t="s">
        <v>190</v>
      </c>
      <c r="H309" s="32" t="s">
        <v>354</v>
      </c>
      <c r="I309" s="31" t="s">
        <v>421</v>
      </c>
      <c r="J309" s="31">
        <v>99</v>
      </c>
      <c r="K309" s="33" t="s">
        <v>954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09"/>
        <v>0</v>
      </c>
      <c r="T309" s="1">
        <f t="shared" si="210"/>
        <v>0</v>
      </c>
      <c r="U309" s="1">
        <f t="shared" si="211"/>
        <v>0</v>
      </c>
      <c r="V309" s="1">
        <f t="shared" si="212"/>
        <v>0</v>
      </c>
      <c r="W309" s="1">
        <f t="shared" si="213"/>
        <v>0</v>
      </c>
      <c r="X309" s="1">
        <f t="shared" si="214"/>
        <v>0</v>
      </c>
      <c r="Y309" s="1">
        <f t="shared" si="215"/>
        <v>0</v>
      </c>
      <c r="Z309" s="1">
        <f t="shared" si="216"/>
        <v>0</v>
      </c>
      <c r="AA309" s="1">
        <f t="shared" si="217"/>
        <v>0</v>
      </c>
      <c r="AB309" s="1">
        <f t="shared" si="218"/>
        <v>0</v>
      </c>
      <c r="AD309" s="1">
        <f t="shared" si="219"/>
        <v>0</v>
      </c>
      <c r="AE309" s="1">
        <f t="shared" si="220"/>
        <v>1</v>
      </c>
      <c r="AF309" s="1">
        <f t="shared" si="205"/>
        <v>0</v>
      </c>
      <c r="AG309" s="1">
        <f t="shared" si="206"/>
        <v>1</v>
      </c>
      <c r="AH309" s="1">
        <f t="shared" si="207"/>
        <v>0</v>
      </c>
      <c r="AI309" s="1">
        <f t="shared" si="208"/>
        <v>1</v>
      </c>
    </row>
    <row r="310" spans="1:35" s="1" customFormat="1" ht="14.25" customHeight="1" x14ac:dyDescent="0.3">
      <c r="A310" s="31">
        <v>0</v>
      </c>
      <c r="B310" s="31">
        <v>2</v>
      </c>
      <c r="C310" s="31">
        <v>1</v>
      </c>
      <c r="D310" s="32" t="s">
        <v>47</v>
      </c>
      <c r="E310" s="32" t="s">
        <v>32</v>
      </c>
      <c r="F310" s="32" t="s">
        <v>187</v>
      </c>
      <c r="G310" s="32" t="s">
        <v>180</v>
      </c>
      <c r="H310" s="32" t="s">
        <v>354</v>
      </c>
      <c r="I310" s="31" t="s">
        <v>383</v>
      </c>
      <c r="J310" s="31">
        <v>10</v>
      </c>
      <c r="K310" s="33" t="s">
        <v>955</v>
      </c>
      <c r="L310" s="33" t="s">
        <v>713</v>
      </c>
      <c r="M310" s="34" t="s">
        <v>714</v>
      </c>
      <c r="N310" s="34" t="s">
        <v>1743</v>
      </c>
      <c r="O310" s="35">
        <v>1</v>
      </c>
      <c r="P310" s="35"/>
      <c r="Q310" s="32"/>
      <c r="S310" s="1">
        <f t="shared" si="209"/>
        <v>0</v>
      </c>
      <c r="T310" s="1">
        <f t="shared" si="210"/>
        <v>0</v>
      </c>
      <c r="U310" s="1">
        <f t="shared" si="211"/>
        <v>0</v>
      </c>
      <c r="V310" s="1">
        <f t="shared" si="212"/>
        <v>0</v>
      </c>
      <c r="W310" s="1">
        <f t="shared" si="213"/>
        <v>0</v>
      </c>
      <c r="X310" s="1">
        <f t="shared" si="214"/>
        <v>0</v>
      </c>
      <c r="Y310" s="1">
        <f t="shared" si="215"/>
        <v>0</v>
      </c>
      <c r="Z310" s="1">
        <f t="shared" si="216"/>
        <v>0</v>
      </c>
      <c r="AA310" s="1">
        <f t="shared" si="217"/>
        <v>0</v>
      </c>
      <c r="AB310" s="1">
        <f t="shared" si="218"/>
        <v>1</v>
      </c>
      <c r="AD310" s="1">
        <f t="shared" si="219"/>
        <v>0</v>
      </c>
      <c r="AE310" s="1">
        <f t="shared" si="220"/>
        <v>1</v>
      </c>
      <c r="AF310" s="1">
        <f t="shared" si="205"/>
        <v>0</v>
      </c>
      <c r="AG310" s="1">
        <f t="shared" si="206"/>
        <v>1</v>
      </c>
      <c r="AH310" s="1">
        <f t="shared" si="207"/>
        <v>0</v>
      </c>
      <c r="AI310" s="1">
        <f t="shared" si="208"/>
        <v>1</v>
      </c>
    </row>
    <row r="311" spans="1:35" s="1" customFormat="1" ht="14.25" customHeight="1" x14ac:dyDescent="0.3">
      <c r="A311" s="44">
        <v>0</v>
      </c>
      <c r="B311" s="44">
        <v>2</v>
      </c>
      <c r="C311" s="44">
        <v>1</v>
      </c>
      <c r="D311" s="45" t="s">
        <v>652</v>
      </c>
      <c r="E311" s="45" t="s">
        <v>160</v>
      </c>
      <c r="F311" s="45" t="s">
        <v>188</v>
      </c>
      <c r="G311" s="45" t="s">
        <v>668</v>
      </c>
      <c r="H311" s="45" t="s">
        <v>354</v>
      </c>
      <c r="I311" s="44" t="s">
        <v>384</v>
      </c>
      <c r="J311" s="44">
        <v>99</v>
      </c>
      <c r="K311" s="46" t="s">
        <v>712</v>
      </c>
      <c r="L311" s="46" t="s">
        <v>713</v>
      </c>
      <c r="M311" s="47" t="s">
        <v>714</v>
      </c>
      <c r="N311" s="47" t="s">
        <v>1737</v>
      </c>
      <c r="O311" s="48"/>
      <c r="P311" s="48"/>
      <c r="Q311" s="45"/>
      <c r="S311" s="1">
        <f t="shared" si="209"/>
        <v>0</v>
      </c>
      <c r="T311" s="1">
        <f t="shared" si="210"/>
        <v>0</v>
      </c>
      <c r="U311" s="1">
        <f t="shared" si="211"/>
        <v>0</v>
      </c>
      <c r="V311" s="1">
        <f t="shared" si="212"/>
        <v>0</v>
      </c>
      <c r="W311" s="1">
        <f t="shared" si="213"/>
        <v>0</v>
      </c>
      <c r="X311" s="1">
        <f t="shared" si="214"/>
        <v>0</v>
      </c>
      <c r="Y311" s="1">
        <f t="shared" si="215"/>
        <v>0</v>
      </c>
      <c r="Z311" s="1">
        <f t="shared" si="216"/>
        <v>0</v>
      </c>
      <c r="AA311" s="1">
        <f t="shared" si="217"/>
        <v>0</v>
      </c>
      <c r="AB311" s="1">
        <f t="shared" si="218"/>
        <v>0</v>
      </c>
      <c r="AD311" s="1">
        <f t="shared" si="219"/>
        <v>0</v>
      </c>
      <c r="AE311" s="1">
        <f t="shared" si="220"/>
        <v>0</v>
      </c>
      <c r="AF311" s="1">
        <f t="shared" si="205"/>
        <v>0</v>
      </c>
      <c r="AG311" s="1">
        <f t="shared" si="206"/>
        <v>0</v>
      </c>
      <c r="AH311" s="1">
        <f t="shared" si="207"/>
        <v>0</v>
      </c>
      <c r="AI311" s="1">
        <f t="shared" si="208"/>
        <v>1</v>
      </c>
    </row>
    <row r="312" spans="1:35" s="1" customFormat="1" ht="14.25" customHeight="1" x14ac:dyDescent="0.3">
      <c r="A312" s="38">
        <v>0</v>
      </c>
      <c r="B312" s="38">
        <v>2</v>
      </c>
      <c r="C312" s="38">
        <v>1</v>
      </c>
      <c r="D312" s="39" t="s">
        <v>1304</v>
      </c>
      <c r="E312" s="39" t="s">
        <v>36</v>
      </c>
      <c r="F312" s="39" t="s">
        <v>1305</v>
      </c>
      <c r="G312" s="39" t="s">
        <v>258</v>
      </c>
      <c r="H312" s="39" t="s">
        <v>354</v>
      </c>
      <c r="I312" s="38" t="s">
        <v>1306</v>
      </c>
      <c r="J312" s="38">
        <v>8</v>
      </c>
      <c r="K312" s="40" t="s">
        <v>959</v>
      </c>
      <c r="L312" s="40" t="s">
        <v>713</v>
      </c>
      <c r="M312" s="41" t="s">
        <v>714</v>
      </c>
      <c r="N312" s="42"/>
      <c r="O312" s="43"/>
      <c r="P312" s="43">
        <v>1</v>
      </c>
      <c r="Q312" s="39"/>
      <c r="S312" s="1">
        <f t="shared" si="209"/>
        <v>0</v>
      </c>
      <c r="T312" s="1">
        <f t="shared" si="210"/>
        <v>0</v>
      </c>
      <c r="U312" s="1">
        <f t="shared" si="211"/>
        <v>0</v>
      </c>
      <c r="V312" s="1">
        <f t="shared" si="212"/>
        <v>0</v>
      </c>
      <c r="W312" s="1">
        <f t="shared" si="213"/>
        <v>0</v>
      </c>
      <c r="X312" s="1">
        <f t="shared" si="214"/>
        <v>0</v>
      </c>
      <c r="Y312" s="1">
        <f t="shared" si="215"/>
        <v>0</v>
      </c>
      <c r="Z312" s="1">
        <f t="shared" si="216"/>
        <v>1</v>
      </c>
      <c r="AA312" s="1">
        <f t="shared" si="217"/>
        <v>0</v>
      </c>
      <c r="AB312" s="1">
        <f t="shared" si="218"/>
        <v>0</v>
      </c>
      <c r="AD312" s="1">
        <f t="shared" si="219"/>
        <v>0</v>
      </c>
      <c r="AE312" s="1">
        <f t="shared" si="220"/>
        <v>0</v>
      </c>
      <c r="AF312" s="1">
        <f t="shared" si="205"/>
        <v>0</v>
      </c>
      <c r="AG312" s="1">
        <f t="shared" si="206"/>
        <v>0</v>
      </c>
      <c r="AH312" s="1">
        <f t="shared" si="207"/>
        <v>1</v>
      </c>
      <c r="AI312" s="1">
        <f t="shared" si="208"/>
        <v>0</v>
      </c>
    </row>
    <row r="313" spans="1:35" s="1" customFormat="1" ht="14.25" customHeight="1" x14ac:dyDescent="0.3">
      <c r="A313" s="31">
        <v>0</v>
      </c>
      <c r="B313" s="31">
        <v>2</v>
      </c>
      <c r="C313" s="31">
        <v>1</v>
      </c>
      <c r="D313" s="32" t="s">
        <v>54</v>
      </c>
      <c r="E313" s="32" t="s">
        <v>561</v>
      </c>
      <c r="F313" s="32" t="s">
        <v>212</v>
      </c>
      <c r="G313" s="32" t="s">
        <v>213</v>
      </c>
      <c r="H313" s="32" t="s">
        <v>354</v>
      </c>
      <c r="I313" s="31" t="s">
        <v>393</v>
      </c>
      <c r="J313" s="31">
        <v>1</v>
      </c>
      <c r="K313" s="33" t="s">
        <v>955</v>
      </c>
      <c r="L313" s="33" t="s">
        <v>713</v>
      </c>
      <c r="M313" s="34" t="s">
        <v>39</v>
      </c>
      <c r="N313" s="34" t="s">
        <v>1743</v>
      </c>
      <c r="O313" s="35">
        <v>1</v>
      </c>
      <c r="P313" s="35"/>
      <c r="Q313" s="32"/>
      <c r="S313" s="1">
        <f t="shared" si="209"/>
        <v>1</v>
      </c>
      <c r="T313" s="1">
        <f t="shared" si="210"/>
        <v>0</v>
      </c>
      <c r="U313" s="1">
        <f t="shared" si="211"/>
        <v>0</v>
      </c>
      <c r="V313" s="1">
        <f t="shared" si="212"/>
        <v>0</v>
      </c>
      <c r="W313" s="1">
        <f t="shared" si="213"/>
        <v>0</v>
      </c>
      <c r="X313" s="1">
        <f t="shared" si="214"/>
        <v>0</v>
      </c>
      <c r="Y313" s="1">
        <f t="shared" si="215"/>
        <v>0</v>
      </c>
      <c r="Z313" s="1">
        <f t="shared" si="216"/>
        <v>0</v>
      </c>
      <c r="AA313" s="1">
        <f t="shared" si="217"/>
        <v>0</v>
      </c>
      <c r="AB313" s="1">
        <f t="shared" si="218"/>
        <v>0</v>
      </c>
      <c r="AD313" s="1">
        <f t="shared" si="219"/>
        <v>0</v>
      </c>
      <c r="AE313" s="1">
        <f t="shared" si="220"/>
        <v>1</v>
      </c>
      <c r="AF313" s="1">
        <f t="shared" si="205"/>
        <v>0</v>
      </c>
      <c r="AG313" s="1">
        <f t="shared" si="206"/>
        <v>1</v>
      </c>
      <c r="AH313" s="1">
        <f t="shared" si="207"/>
        <v>0</v>
      </c>
      <c r="AI313" s="1">
        <f t="shared" si="208"/>
        <v>1</v>
      </c>
    </row>
    <row r="314" spans="1:35" s="1" customFormat="1" ht="14.25" customHeight="1" x14ac:dyDescent="0.3">
      <c r="A314" s="44">
        <v>0</v>
      </c>
      <c r="B314" s="44">
        <v>2</v>
      </c>
      <c r="C314" s="44">
        <v>1</v>
      </c>
      <c r="D314" s="45" t="s">
        <v>61</v>
      </c>
      <c r="E314" s="45" t="s">
        <v>543</v>
      </c>
      <c r="F314" s="45" t="s">
        <v>233</v>
      </c>
      <c r="G314" s="45" t="s">
        <v>204</v>
      </c>
      <c r="H314" s="45" t="s">
        <v>354</v>
      </c>
      <c r="I314" s="44" t="s">
        <v>401</v>
      </c>
      <c r="J314" s="44">
        <v>7</v>
      </c>
      <c r="K314" s="46" t="s">
        <v>712</v>
      </c>
      <c r="L314" s="46" t="s">
        <v>713</v>
      </c>
      <c r="M314" s="47" t="s">
        <v>714</v>
      </c>
      <c r="N314" s="47" t="s">
        <v>1738</v>
      </c>
      <c r="O314" s="48"/>
      <c r="P314" s="48"/>
      <c r="Q314" s="45"/>
      <c r="S314" s="1">
        <f t="shared" si="209"/>
        <v>0</v>
      </c>
      <c r="T314" s="1">
        <f t="shared" si="210"/>
        <v>0</v>
      </c>
      <c r="U314" s="1">
        <f t="shared" si="211"/>
        <v>0</v>
      </c>
      <c r="V314" s="1">
        <f t="shared" si="212"/>
        <v>0</v>
      </c>
      <c r="W314" s="1">
        <f t="shared" si="213"/>
        <v>0</v>
      </c>
      <c r="X314" s="1">
        <f t="shared" si="214"/>
        <v>0</v>
      </c>
      <c r="Y314" s="1">
        <f t="shared" si="215"/>
        <v>1</v>
      </c>
      <c r="Z314" s="1">
        <f t="shared" si="216"/>
        <v>0</v>
      </c>
      <c r="AA314" s="1">
        <f t="shared" si="217"/>
        <v>0</v>
      </c>
      <c r="AB314" s="1">
        <f t="shared" si="218"/>
        <v>0</v>
      </c>
      <c r="AD314" s="1">
        <f t="shared" si="219"/>
        <v>0</v>
      </c>
      <c r="AE314" s="1">
        <f t="shared" si="220"/>
        <v>0</v>
      </c>
      <c r="AF314" s="1">
        <f t="shared" si="205"/>
        <v>0</v>
      </c>
      <c r="AG314" s="1">
        <f t="shared" si="206"/>
        <v>0</v>
      </c>
      <c r="AH314" s="1">
        <f t="shared" si="207"/>
        <v>0</v>
      </c>
      <c r="AI314" s="1">
        <f t="shared" si="208"/>
        <v>1</v>
      </c>
    </row>
    <row r="315" spans="1:35" s="1" customFormat="1" ht="14.25" customHeight="1" x14ac:dyDescent="0.3">
      <c r="A315" s="31">
        <v>0</v>
      </c>
      <c r="B315" s="31">
        <v>2</v>
      </c>
      <c r="C315" s="31">
        <v>1</v>
      </c>
      <c r="D315" s="32" t="s">
        <v>1647</v>
      </c>
      <c r="E315" s="32" t="s">
        <v>561</v>
      </c>
      <c r="F315" s="32" t="s">
        <v>1358</v>
      </c>
      <c r="G315" s="32" t="s">
        <v>1284</v>
      </c>
      <c r="H315" s="32" t="s">
        <v>354</v>
      </c>
      <c r="I315" s="31" t="s">
        <v>1167</v>
      </c>
      <c r="J315" s="31">
        <v>99</v>
      </c>
      <c r="K315" s="33" t="s">
        <v>712</v>
      </c>
      <c r="L315" s="33" t="s">
        <v>713</v>
      </c>
      <c r="M315" s="34" t="s">
        <v>714</v>
      </c>
      <c r="N315" s="34" t="s">
        <v>1748</v>
      </c>
      <c r="O315" s="35">
        <v>1</v>
      </c>
      <c r="P315" s="35"/>
      <c r="Q315" s="32" t="s">
        <v>1901</v>
      </c>
      <c r="S315" s="1">
        <f t="shared" si="209"/>
        <v>0</v>
      </c>
      <c r="T315" s="1">
        <f t="shared" si="210"/>
        <v>0</v>
      </c>
      <c r="U315" s="1">
        <f t="shared" si="211"/>
        <v>0</v>
      </c>
      <c r="V315" s="1">
        <f t="shared" si="212"/>
        <v>0</v>
      </c>
      <c r="W315" s="1">
        <f t="shared" si="213"/>
        <v>0</v>
      </c>
      <c r="X315" s="1">
        <f t="shared" si="214"/>
        <v>0</v>
      </c>
      <c r="Y315" s="1">
        <f t="shared" si="215"/>
        <v>0</v>
      </c>
      <c r="Z315" s="1">
        <f t="shared" si="216"/>
        <v>0</v>
      </c>
      <c r="AA315" s="1">
        <f t="shared" si="217"/>
        <v>0</v>
      </c>
      <c r="AB315" s="1">
        <f t="shared" si="218"/>
        <v>0</v>
      </c>
      <c r="AD315" s="1">
        <f t="shared" si="219"/>
        <v>0</v>
      </c>
      <c r="AE315" s="1">
        <f t="shared" si="220"/>
        <v>1</v>
      </c>
      <c r="AF315" s="1">
        <f t="shared" si="205"/>
        <v>0</v>
      </c>
      <c r="AG315" s="1">
        <f t="shared" si="206"/>
        <v>1</v>
      </c>
      <c r="AH315" s="1">
        <f t="shared" si="207"/>
        <v>0</v>
      </c>
      <c r="AI315" s="1">
        <f t="shared" si="208"/>
        <v>1</v>
      </c>
    </row>
    <row r="316" spans="1:35" s="1" customFormat="1" ht="14.25" customHeight="1" x14ac:dyDescent="0.3">
      <c r="A316" s="49">
        <v>0</v>
      </c>
      <c r="B316" s="49">
        <v>2</v>
      </c>
      <c r="C316" s="49">
        <v>1</v>
      </c>
      <c r="D316" s="50" t="s">
        <v>1782</v>
      </c>
      <c r="E316" s="50" t="s">
        <v>1783</v>
      </c>
      <c r="F316" s="50" t="s">
        <v>1784</v>
      </c>
      <c r="G316" s="50" t="s">
        <v>1785</v>
      </c>
      <c r="H316" s="50" t="s">
        <v>354</v>
      </c>
      <c r="I316" s="49"/>
      <c r="J316" s="49">
        <v>1</v>
      </c>
      <c r="K316" s="51" t="s">
        <v>703</v>
      </c>
      <c r="L316" s="51"/>
      <c r="M316" s="52"/>
      <c r="N316" s="52" t="s">
        <v>1743</v>
      </c>
      <c r="O316" s="53">
        <v>1</v>
      </c>
      <c r="P316" s="53"/>
      <c r="Q316" s="55" t="s">
        <v>1909</v>
      </c>
      <c r="S316" s="1">
        <f t="shared" si="209"/>
        <v>1</v>
      </c>
      <c r="T316" s="1">
        <f t="shared" si="210"/>
        <v>0</v>
      </c>
      <c r="U316" s="1">
        <f t="shared" si="211"/>
        <v>0</v>
      </c>
      <c r="V316" s="1">
        <f t="shared" si="212"/>
        <v>0</v>
      </c>
      <c r="W316" s="1">
        <f t="shared" si="213"/>
        <v>0</v>
      </c>
      <c r="X316" s="1">
        <f t="shared" si="214"/>
        <v>0</v>
      </c>
      <c r="Y316" s="1">
        <f t="shared" si="215"/>
        <v>0</v>
      </c>
      <c r="Z316" s="1">
        <f t="shared" si="216"/>
        <v>0</v>
      </c>
      <c r="AA316" s="1">
        <f t="shared" si="217"/>
        <v>0</v>
      </c>
      <c r="AB316" s="1">
        <f t="shared" si="218"/>
        <v>0</v>
      </c>
      <c r="AD316" s="1">
        <f t="shared" si="219"/>
        <v>0</v>
      </c>
      <c r="AE316" s="1">
        <f t="shared" si="220"/>
        <v>1</v>
      </c>
      <c r="AF316" s="1">
        <f t="shared" si="205"/>
        <v>0</v>
      </c>
      <c r="AG316" s="1">
        <f t="shared" si="206"/>
        <v>1</v>
      </c>
      <c r="AH316" s="1">
        <f t="shared" si="207"/>
        <v>0</v>
      </c>
      <c r="AI316" s="1">
        <f t="shared" si="208"/>
        <v>1</v>
      </c>
    </row>
    <row r="317" spans="1:35" s="1" customFormat="1" ht="14.25" customHeight="1" x14ac:dyDescent="0.3">
      <c r="A317" s="31">
        <v>0</v>
      </c>
      <c r="B317" s="31">
        <v>2</v>
      </c>
      <c r="C317" s="31">
        <v>1</v>
      </c>
      <c r="D317" s="32" t="s">
        <v>1318</v>
      </c>
      <c r="E317" s="32" t="s">
        <v>1338</v>
      </c>
      <c r="F317" s="32" t="s">
        <v>1301</v>
      </c>
      <c r="G317" s="32" t="s">
        <v>1302</v>
      </c>
      <c r="H317" s="32" t="s">
        <v>354</v>
      </c>
      <c r="I317" s="31" t="s">
        <v>1303</v>
      </c>
      <c r="J317" s="31">
        <v>99</v>
      </c>
      <c r="K317" s="33" t="s">
        <v>955</v>
      </c>
      <c r="L317" s="33" t="s">
        <v>713</v>
      </c>
      <c r="M317" s="34" t="s">
        <v>714</v>
      </c>
      <c r="N317" s="34" t="s">
        <v>1919</v>
      </c>
      <c r="O317" s="35">
        <v>1</v>
      </c>
      <c r="P317" s="35"/>
      <c r="Q317" s="32"/>
      <c r="S317" s="1">
        <f t="shared" si="209"/>
        <v>0</v>
      </c>
      <c r="T317" s="1">
        <f t="shared" si="210"/>
        <v>0</v>
      </c>
      <c r="U317" s="1">
        <f t="shared" si="211"/>
        <v>0</v>
      </c>
      <c r="V317" s="1">
        <f t="shared" si="212"/>
        <v>0</v>
      </c>
      <c r="W317" s="1">
        <f t="shared" si="213"/>
        <v>0</v>
      </c>
      <c r="X317" s="1">
        <f t="shared" si="214"/>
        <v>0</v>
      </c>
      <c r="Y317" s="1">
        <f t="shared" si="215"/>
        <v>0</v>
      </c>
      <c r="Z317" s="1">
        <f t="shared" si="216"/>
        <v>0</v>
      </c>
      <c r="AA317" s="1">
        <f t="shared" si="217"/>
        <v>0</v>
      </c>
      <c r="AB317" s="1">
        <f t="shared" si="218"/>
        <v>0</v>
      </c>
      <c r="AD317" s="1">
        <f t="shared" si="219"/>
        <v>0</v>
      </c>
      <c r="AE317" s="1">
        <f t="shared" si="220"/>
        <v>1</v>
      </c>
      <c r="AF317" s="1">
        <f t="shared" si="205"/>
        <v>0</v>
      </c>
      <c r="AG317" s="1">
        <f t="shared" si="206"/>
        <v>1</v>
      </c>
      <c r="AH317" s="1">
        <f t="shared" si="207"/>
        <v>0</v>
      </c>
      <c r="AI317" s="1">
        <f t="shared" si="208"/>
        <v>1</v>
      </c>
    </row>
    <row r="318" spans="1:35" s="1" customFormat="1" ht="14.25" customHeight="1" x14ac:dyDescent="0.3">
      <c r="A318" s="44">
        <v>0</v>
      </c>
      <c r="B318" s="44">
        <v>2</v>
      </c>
      <c r="C318" s="44">
        <v>1</v>
      </c>
      <c r="D318" s="45" t="s">
        <v>1313</v>
      </c>
      <c r="E318" s="45" t="s">
        <v>160</v>
      </c>
      <c r="F318" s="45" t="s">
        <v>1315</v>
      </c>
      <c r="G318" s="45" t="s">
        <v>1316</v>
      </c>
      <c r="H318" s="45" t="s">
        <v>354</v>
      </c>
      <c r="I318" s="44" t="s">
        <v>1317</v>
      </c>
      <c r="J318" s="44">
        <v>8</v>
      </c>
      <c r="K318" s="46" t="s">
        <v>713</v>
      </c>
      <c r="L318" s="46" t="s">
        <v>713</v>
      </c>
      <c r="M318" s="47" t="s">
        <v>714</v>
      </c>
      <c r="N318" s="47" t="s">
        <v>1747</v>
      </c>
      <c r="O318" s="48"/>
      <c r="P318" s="48"/>
      <c r="Q318" s="45"/>
      <c r="S318" s="1">
        <f t="shared" si="209"/>
        <v>0</v>
      </c>
      <c r="T318" s="1">
        <f t="shared" si="210"/>
        <v>0</v>
      </c>
      <c r="U318" s="1">
        <f t="shared" si="211"/>
        <v>0</v>
      </c>
      <c r="V318" s="1">
        <f t="shared" si="212"/>
        <v>0</v>
      </c>
      <c r="W318" s="1">
        <f t="shared" si="213"/>
        <v>0</v>
      </c>
      <c r="X318" s="1">
        <f t="shared" si="214"/>
        <v>0</v>
      </c>
      <c r="Y318" s="1">
        <f t="shared" si="215"/>
        <v>0</v>
      </c>
      <c r="Z318" s="1">
        <f t="shared" si="216"/>
        <v>1</v>
      </c>
      <c r="AA318" s="1">
        <f t="shared" si="217"/>
        <v>0</v>
      </c>
      <c r="AB318" s="1">
        <f t="shared" si="218"/>
        <v>0</v>
      </c>
      <c r="AD318" s="1">
        <f t="shared" si="219"/>
        <v>0</v>
      </c>
      <c r="AE318" s="1">
        <f t="shared" si="220"/>
        <v>0</v>
      </c>
      <c r="AF318" s="1">
        <f t="shared" si="205"/>
        <v>0</v>
      </c>
      <c r="AG318" s="1">
        <f t="shared" si="206"/>
        <v>0</v>
      </c>
      <c r="AH318" s="1">
        <f t="shared" si="207"/>
        <v>0</v>
      </c>
      <c r="AI318" s="1">
        <f t="shared" si="208"/>
        <v>1</v>
      </c>
    </row>
    <row r="319" spans="1:35" s="1" customFormat="1" ht="14.25" customHeight="1" x14ac:dyDescent="0.3">
      <c r="A319" s="44">
        <v>0</v>
      </c>
      <c r="B319" s="44">
        <v>2</v>
      </c>
      <c r="C319" s="44">
        <v>2</v>
      </c>
      <c r="D319" s="45" t="s">
        <v>1646</v>
      </c>
      <c r="E319" s="45" t="s">
        <v>1168</v>
      </c>
      <c r="F319" s="45" t="s">
        <v>1680</v>
      </c>
      <c r="G319" s="45" t="s">
        <v>190</v>
      </c>
      <c r="H319" s="45" t="s">
        <v>354</v>
      </c>
      <c r="I319" s="44" t="s">
        <v>1607</v>
      </c>
      <c r="J319" s="44">
        <v>99</v>
      </c>
      <c r="K319" s="46" t="s">
        <v>713</v>
      </c>
      <c r="L319" s="46" t="s">
        <v>696</v>
      </c>
      <c r="M319" s="47" t="s">
        <v>1608</v>
      </c>
      <c r="N319" s="47" t="s">
        <v>1738</v>
      </c>
      <c r="O319" s="48"/>
      <c r="P319" s="48"/>
      <c r="Q319" s="45"/>
      <c r="S319" s="1">
        <f t="shared" si="209"/>
        <v>0</v>
      </c>
      <c r="T319" s="1">
        <f t="shared" si="210"/>
        <v>0</v>
      </c>
      <c r="U319" s="1">
        <f t="shared" si="211"/>
        <v>0</v>
      </c>
      <c r="V319" s="1">
        <f t="shared" si="212"/>
        <v>0</v>
      </c>
      <c r="W319" s="1">
        <f t="shared" si="213"/>
        <v>0</v>
      </c>
      <c r="X319" s="1">
        <f t="shared" si="214"/>
        <v>0</v>
      </c>
      <c r="Y319" s="1">
        <f t="shared" si="215"/>
        <v>0</v>
      </c>
      <c r="Z319" s="1">
        <f t="shared" si="216"/>
        <v>0</v>
      </c>
      <c r="AA319" s="1">
        <f t="shared" si="217"/>
        <v>0</v>
      </c>
      <c r="AB319" s="1">
        <f t="shared" si="218"/>
        <v>0</v>
      </c>
      <c r="AD319" s="1">
        <f t="shared" si="219"/>
        <v>0</v>
      </c>
      <c r="AE319" s="1">
        <f t="shared" si="220"/>
        <v>0</v>
      </c>
      <c r="AF319" s="1">
        <f t="shared" si="205"/>
        <v>0</v>
      </c>
      <c r="AG319" s="1">
        <f t="shared" si="206"/>
        <v>0</v>
      </c>
      <c r="AH319" s="1">
        <f t="shared" si="207"/>
        <v>0</v>
      </c>
      <c r="AI319" s="1">
        <f t="shared" si="208"/>
        <v>1</v>
      </c>
    </row>
    <row r="320" spans="1:35" s="1" customFormat="1" ht="14.25" customHeight="1" x14ac:dyDescent="0.3">
      <c r="A320" s="49">
        <v>0</v>
      </c>
      <c r="B320" s="49">
        <v>2</v>
      </c>
      <c r="C320" s="49">
        <v>2</v>
      </c>
      <c r="D320" s="50" t="s">
        <v>65</v>
      </c>
      <c r="E320" s="50" t="s">
        <v>164</v>
      </c>
      <c r="F320" s="50" t="s">
        <v>243</v>
      </c>
      <c r="G320" s="50" t="s">
        <v>200</v>
      </c>
      <c r="H320" s="50" t="s">
        <v>354</v>
      </c>
      <c r="I320" s="49" t="s">
        <v>407</v>
      </c>
      <c r="J320" s="49">
        <v>2</v>
      </c>
      <c r="K320" s="51" t="s">
        <v>955</v>
      </c>
      <c r="L320" s="51" t="s">
        <v>696</v>
      </c>
      <c r="M320" s="52" t="s">
        <v>715</v>
      </c>
      <c r="N320" s="52" t="s">
        <v>1743</v>
      </c>
      <c r="O320" s="53">
        <v>1</v>
      </c>
      <c r="P320" s="53"/>
      <c r="Q320" s="50"/>
      <c r="S320" s="1">
        <f t="shared" si="209"/>
        <v>0</v>
      </c>
      <c r="T320" s="1">
        <f t="shared" si="210"/>
        <v>1</v>
      </c>
      <c r="U320" s="1">
        <f t="shared" si="211"/>
        <v>0</v>
      </c>
      <c r="V320" s="1">
        <f t="shared" si="212"/>
        <v>0</v>
      </c>
      <c r="W320" s="1">
        <f t="shared" si="213"/>
        <v>0</v>
      </c>
      <c r="X320" s="1">
        <f t="shared" si="214"/>
        <v>0</v>
      </c>
      <c r="Y320" s="1">
        <f t="shared" si="215"/>
        <v>0</v>
      </c>
      <c r="Z320" s="1">
        <f t="shared" si="216"/>
        <v>0</v>
      </c>
      <c r="AA320" s="1">
        <f t="shared" si="217"/>
        <v>0</v>
      </c>
      <c r="AB320" s="1">
        <f t="shared" si="218"/>
        <v>0</v>
      </c>
      <c r="AD320" s="1">
        <f t="shared" si="219"/>
        <v>0</v>
      </c>
      <c r="AE320" s="1">
        <f t="shared" si="220"/>
        <v>1</v>
      </c>
      <c r="AF320" s="1">
        <f t="shared" si="205"/>
        <v>0</v>
      </c>
      <c r="AG320" s="1">
        <f t="shared" si="206"/>
        <v>1</v>
      </c>
      <c r="AH320" s="1">
        <f t="shared" si="207"/>
        <v>0</v>
      </c>
      <c r="AI320" s="1">
        <f t="shared" si="208"/>
        <v>1</v>
      </c>
    </row>
    <row r="321" spans="1:35" s="1" customFormat="1" ht="14.25" customHeight="1" x14ac:dyDescent="0.3">
      <c r="A321" s="44">
        <v>0</v>
      </c>
      <c r="B321" s="44">
        <v>2</v>
      </c>
      <c r="C321" s="44">
        <v>2</v>
      </c>
      <c r="D321" s="45" t="s">
        <v>1182</v>
      </c>
      <c r="E321" s="45" t="s">
        <v>1183</v>
      </c>
      <c r="F321" s="45" t="s">
        <v>1348</v>
      </c>
      <c r="G321" s="45" t="s">
        <v>1056</v>
      </c>
      <c r="H321" s="45" t="s">
        <v>354</v>
      </c>
      <c r="I321" s="44" t="s">
        <v>1184</v>
      </c>
      <c r="J321" s="44">
        <v>1</v>
      </c>
      <c r="K321" s="46" t="s">
        <v>712</v>
      </c>
      <c r="L321" s="46" t="s">
        <v>704</v>
      </c>
      <c r="M321" s="47" t="s">
        <v>1412</v>
      </c>
      <c r="N321" s="47" t="s">
        <v>1735</v>
      </c>
      <c r="O321" s="48"/>
      <c r="P321" s="48"/>
      <c r="Q321" s="45"/>
      <c r="S321" s="1">
        <f t="shared" si="209"/>
        <v>1</v>
      </c>
      <c r="T321" s="1">
        <f t="shared" si="210"/>
        <v>0</v>
      </c>
      <c r="U321" s="1">
        <f t="shared" si="211"/>
        <v>0</v>
      </c>
      <c r="V321" s="1">
        <f t="shared" si="212"/>
        <v>0</v>
      </c>
      <c r="W321" s="1">
        <f t="shared" si="213"/>
        <v>0</v>
      </c>
      <c r="X321" s="1">
        <f t="shared" si="214"/>
        <v>0</v>
      </c>
      <c r="Y321" s="1">
        <f t="shared" si="215"/>
        <v>0</v>
      </c>
      <c r="Z321" s="1">
        <f t="shared" si="216"/>
        <v>0</v>
      </c>
      <c r="AA321" s="1">
        <f t="shared" si="217"/>
        <v>0</v>
      </c>
      <c r="AB321" s="1">
        <f t="shared" si="218"/>
        <v>0</v>
      </c>
      <c r="AD321" s="1">
        <f t="shared" si="219"/>
        <v>0</v>
      </c>
      <c r="AE321" s="1">
        <f t="shared" si="220"/>
        <v>0</v>
      </c>
      <c r="AF321" s="1">
        <f t="shared" si="205"/>
        <v>0</v>
      </c>
      <c r="AG321" s="1">
        <f t="shared" si="206"/>
        <v>0</v>
      </c>
      <c r="AH321" s="1">
        <f t="shared" si="207"/>
        <v>0</v>
      </c>
      <c r="AI321" s="1">
        <f t="shared" si="208"/>
        <v>1</v>
      </c>
    </row>
    <row r="322" spans="1:35" s="1" customFormat="1" ht="14.25" customHeight="1" x14ac:dyDescent="0.3">
      <c r="A322" s="31">
        <v>0</v>
      </c>
      <c r="B322" s="31">
        <v>2</v>
      </c>
      <c r="C322" s="31">
        <v>2</v>
      </c>
      <c r="D322" s="32" t="s">
        <v>1828</v>
      </c>
      <c r="E322" s="32" t="s">
        <v>1829</v>
      </c>
      <c r="F322" s="32" t="s">
        <v>1830</v>
      </c>
      <c r="G322" s="32" t="s">
        <v>196</v>
      </c>
      <c r="H322" s="32" t="s">
        <v>354</v>
      </c>
      <c r="I322" s="31" t="s">
        <v>1831</v>
      </c>
      <c r="J322" s="31"/>
      <c r="K322" s="33" t="s">
        <v>703</v>
      </c>
      <c r="L322" s="33">
        <v>20</v>
      </c>
      <c r="M322" s="34" t="s">
        <v>1832</v>
      </c>
      <c r="N322" s="34" t="s">
        <v>1748</v>
      </c>
      <c r="O322" s="35">
        <v>1</v>
      </c>
      <c r="P322" s="35"/>
      <c r="Q322" s="32"/>
      <c r="S322" s="1">
        <f t="shared" si="209"/>
        <v>0</v>
      </c>
      <c r="T322" s="1">
        <f t="shared" si="210"/>
        <v>0</v>
      </c>
      <c r="U322" s="1">
        <f t="shared" si="211"/>
        <v>0</v>
      </c>
      <c r="V322" s="1">
        <f t="shared" si="212"/>
        <v>0</v>
      </c>
      <c r="W322" s="1">
        <f t="shared" si="213"/>
        <v>0</v>
      </c>
      <c r="X322" s="1">
        <f t="shared" si="214"/>
        <v>0</v>
      </c>
      <c r="Y322" s="1">
        <f t="shared" si="215"/>
        <v>0</v>
      </c>
      <c r="Z322" s="1">
        <f t="shared" si="216"/>
        <v>0</v>
      </c>
      <c r="AA322" s="1">
        <f t="shared" si="217"/>
        <v>0</v>
      </c>
      <c r="AB322" s="1">
        <f t="shared" si="218"/>
        <v>0</v>
      </c>
      <c r="AD322" s="1">
        <f t="shared" si="219"/>
        <v>0</v>
      </c>
      <c r="AE322" s="1">
        <f t="shared" si="220"/>
        <v>1</v>
      </c>
      <c r="AF322" s="1">
        <f t="shared" si="205"/>
        <v>0</v>
      </c>
      <c r="AG322" s="1">
        <f t="shared" si="206"/>
        <v>1</v>
      </c>
      <c r="AH322" s="1">
        <f t="shared" si="207"/>
        <v>0</v>
      </c>
      <c r="AI322" s="1">
        <f t="shared" si="208"/>
        <v>1</v>
      </c>
    </row>
    <row r="323" spans="1:35" s="1" customFormat="1" ht="14.25" customHeight="1" x14ac:dyDescent="0.3">
      <c r="A323" s="15">
        <v>0</v>
      </c>
      <c r="B323" s="15">
        <v>2</v>
      </c>
      <c r="C323" s="15">
        <v>2</v>
      </c>
      <c r="D323" s="16" t="s">
        <v>1576</v>
      </c>
      <c r="E323" s="16" t="s">
        <v>1577</v>
      </c>
      <c r="F323" s="16" t="s">
        <v>1579</v>
      </c>
      <c r="G323" s="16" t="s">
        <v>1580</v>
      </c>
      <c r="H323" s="16" t="s">
        <v>354</v>
      </c>
      <c r="I323" s="15" t="s">
        <v>1578</v>
      </c>
      <c r="J323" s="15">
        <v>99</v>
      </c>
      <c r="K323" s="10" t="s">
        <v>703</v>
      </c>
      <c r="L323" s="10">
        <v>18</v>
      </c>
      <c r="M323" s="19" t="s">
        <v>1581</v>
      </c>
      <c r="N323" s="17"/>
      <c r="Q323" s="16"/>
      <c r="S323" s="1">
        <f t="shared" si="209"/>
        <v>0</v>
      </c>
      <c r="T323" s="1">
        <f t="shared" si="210"/>
        <v>0</v>
      </c>
      <c r="U323" s="1">
        <f t="shared" si="211"/>
        <v>0</v>
      </c>
      <c r="V323" s="1">
        <f t="shared" si="212"/>
        <v>0</v>
      </c>
      <c r="W323" s="1">
        <f t="shared" si="213"/>
        <v>0</v>
      </c>
      <c r="X323" s="1">
        <f t="shared" si="214"/>
        <v>0</v>
      </c>
      <c r="Y323" s="1">
        <f t="shared" si="215"/>
        <v>0</v>
      </c>
      <c r="Z323" s="1">
        <f t="shared" si="216"/>
        <v>0</v>
      </c>
      <c r="AA323" s="1">
        <f t="shared" si="217"/>
        <v>0</v>
      </c>
      <c r="AB323" s="1">
        <f t="shared" si="218"/>
        <v>0</v>
      </c>
      <c r="AD323" s="1">
        <f t="shared" si="219"/>
        <v>0</v>
      </c>
      <c r="AE323" s="1">
        <f t="shared" si="220"/>
        <v>0</v>
      </c>
      <c r="AF323" s="1">
        <f t="shared" si="205"/>
        <v>0</v>
      </c>
      <c r="AG323" s="1">
        <f t="shared" si="206"/>
        <v>0</v>
      </c>
      <c r="AH323" s="1">
        <f t="shared" si="207"/>
        <v>0</v>
      </c>
      <c r="AI323" s="1">
        <f t="shared" si="208"/>
        <v>1</v>
      </c>
    </row>
    <row r="324" spans="1:35" s="1" customFormat="1" ht="14.25" customHeight="1" x14ac:dyDescent="0.3">
      <c r="A324" s="49">
        <v>0</v>
      </c>
      <c r="B324" s="49">
        <v>2</v>
      </c>
      <c r="C324" s="49">
        <v>2</v>
      </c>
      <c r="D324" s="50" t="s">
        <v>64</v>
      </c>
      <c r="E324" s="50" t="s">
        <v>33</v>
      </c>
      <c r="F324" s="50" t="s">
        <v>241</v>
      </c>
      <c r="G324" s="50" t="s">
        <v>242</v>
      </c>
      <c r="H324" s="50" t="s">
        <v>354</v>
      </c>
      <c r="I324" s="49" t="s">
        <v>406</v>
      </c>
      <c r="J324" s="49">
        <v>1</v>
      </c>
      <c r="K324" s="51" t="s">
        <v>961</v>
      </c>
      <c r="L324" s="51" t="s">
        <v>716</v>
      </c>
      <c r="M324" s="52" t="s">
        <v>717</v>
      </c>
      <c r="N324" s="52" t="s">
        <v>1743</v>
      </c>
      <c r="O324" s="53">
        <v>1</v>
      </c>
      <c r="P324" s="53"/>
      <c r="Q324" s="50"/>
      <c r="S324" s="1">
        <f t="shared" si="209"/>
        <v>1</v>
      </c>
      <c r="T324" s="1">
        <f t="shared" si="210"/>
        <v>0</v>
      </c>
      <c r="U324" s="1">
        <f t="shared" si="211"/>
        <v>0</v>
      </c>
      <c r="V324" s="1">
        <f t="shared" si="212"/>
        <v>0</v>
      </c>
      <c r="W324" s="1">
        <f t="shared" si="213"/>
        <v>0</v>
      </c>
      <c r="X324" s="1">
        <f t="shared" si="214"/>
        <v>0</v>
      </c>
      <c r="Y324" s="1">
        <f t="shared" si="215"/>
        <v>0</v>
      </c>
      <c r="Z324" s="1">
        <f t="shared" si="216"/>
        <v>0</v>
      </c>
      <c r="AA324" s="1">
        <f t="shared" si="217"/>
        <v>0</v>
      </c>
      <c r="AB324" s="1">
        <f t="shared" si="218"/>
        <v>0</v>
      </c>
      <c r="AD324" s="1">
        <f t="shared" si="219"/>
        <v>0</v>
      </c>
      <c r="AE324" s="1">
        <f t="shared" si="220"/>
        <v>1</v>
      </c>
      <c r="AF324" s="1">
        <f t="shared" si="205"/>
        <v>0</v>
      </c>
      <c r="AG324" s="1">
        <f t="shared" si="206"/>
        <v>1</v>
      </c>
      <c r="AH324" s="1">
        <f t="shared" si="207"/>
        <v>0</v>
      </c>
      <c r="AI324" s="1">
        <f t="shared" si="208"/>
        <v>1</v>
      </c>
    </row>
    <row r="325" spans="1:35" s="1" customFormat="1" ht="14.25" customHeight="1" x14ac:dyDescent="0.3">
      <c r="A325" s="49">
        <v>0</v>
      </c>
      <c r="B325" s="49">
        <v>2</v>
      </c>
      <c r="C325" s="49">
        <v>2</v>
      </c>
      <c r="D325" s="50" t="s">
        <v>62</v>
      </c>
      <c r="E325" s="50" t="s">
        <v>1086</v>
      </c>
      <c r="F325" s="50" t="s">
        <v>234</v>
      </c>
      <c r="G325" s="50" t="s">
        <v>235</v>
      </c>
      <c r="H325" s="50" t="s">
        <v>354</v>
      </c>
      <c r="I325" s="49" t="s">
        <v>1365</v>
      </c>
      <c r="J325" s="49">
        <v>99</v>
      </c>
      <c r="K325" s="51" t="s">
        <v>955</v>
      </c>
      <c r="L325" s="51" t="s">
        <v>716</v>
      </c>
      <c r="M325" s="52" t="s">
        <v>718</v>
      </c>
      <c r="N325" s="52" t="s">
        <v>1743</v>
      </c>
      <c r="O325" s="53">
        <v>1</v>
      </c>
      <c r="P325" s="53"/>
      <c r="Q325" s="50"/>
      <c r="S325" s="1">
        <f t="shared" si="209"/>
        <v>0</v>
      </c>
      <c r="T325" s="1">
        <f t="shared" si="210"/>
        <v>0</v>
      </c>
      <c r="U325" s="1">
        <f t="shared" si="211"/>
        <v>0</v>
      </c>
      <c r="V325" s="1">
        <f t="shared" si="212"/>
        <v>0</v>
      </c>
      <c r="W325" s="1">
        <f t="shared" si="213"/>
        <v>0</v>
      </c>
      <c r="X325" s="1">
        <f t="shared" si="214"/>
        <v>0</v>
      </c>
      <c r="Y325" s="1">
        <f t="shared" si="215"/>
        <v>0</v>
      </c>
      <c r="Z325" s="1">
        <f t="shared" si="216"/>
        <v>0</v>
      </c>
      <c r="AA325" s="1">
        <f t="shared" si="217"/>
        <v>0</v>
      </c>
      <c r="AB325" s="1">
        <f t="shared" si="218"/>
        <v>0</v>
      </c>
      <c r="AD325" s="1">
        <f t="shared" si="219"/>
        <v>0</v>
      </c>
      <c r="AE325" s="1">
        <f t="shared" si="220"/>
        <v>1</v>
      </c>
      <c r="AF325" s="1">
        <f t="shared" si="205"/>
        <v>0</v>
      </c>
      <c r="AG325" s="1">
        <f t="shared" si="206"/>
        <v>1</v>
      </c>
      <c r="AH325" s="1">
        <f t="shared" si="207"/>
        <v>0</v>
      </c>
      <c r="AI325" s="1">
        <f t="shared" si="208"/>
        <v>1</v>
      </c>
    </row>
    <row r="326" spans="1:35" s="1" customFormat="1" ht="14.25" customHeight="1" x14ac:dyDescent="0.3">
      <c r="A326" s="31">
        <v>0</v>
      </c>
      <c r="B326" s="31">
        <v>2</v>
      </c>
      <c r="C326" s="31">
        <v>2</v>
      </c>
      <c r="D326" s="32" t="s">
        <v>1716</v>
      </c>
      <c r="E326" s="32" t="s">
        <v>1718</v>
      </c>
      <c r="F326" s="32" t="s">
        <v>1717</v>
      </c>
      <c r="G326" s="32"/>
      <c r="H326" s="32" t="s">
        <v>354</v>
      </c>
      <c r="I326" s="31" t="s">
        <v>1719</v>
      </c>
      <c r="J326" s="31"/>
      <c r="K326" s="33" t="s">
        <v>703</v>
      </c>
      <c r="L326" s="33"/>
      <c r="M326" s="34"/>
      <c r="N326" s="34" t="s">
        <v>1727</v>
      </c>
      <c r="O326" s="35">
        <v>1</v>
      </c>
      <c r="P326" s="35">
        <v>1</v>
      </c>
      <c r="Q326" s="32"/>
      <c r="S326" s="1">
        <f t="shared" si="209"/>
        <v>0</v>
      </c>
      <c r="T326" s="1">
        <f t="shared" si="210"/>
        <v>0</v>
      </c>
      <c r="U326" s="1">
        <f t="shared" si="211"/>
        <v>0</v>
      </c>
      <c r="V326" s="1">
        <f t="shared" si="212"/>
        <v>0</v>
      </c>
      <c r="W326" s="1">
        <f t="shared" si="213"/>
        <v>0</v>
      </c>
      <c r="X326" s="1">
        <f t="shared" si="214"/>
        <v>0</v>
      </c>
      <c r="Y326" s="1">
        <f t="shared" si="215"/>
        <v>0</v>
      </c>
      <c r="Z326" s="1">
        <f t="shared" si="216"/>
        <v>0</v>
      </c>
      <c r="AA326" s="1">
        <f t="shared" si="217"/>
        <v>0</v>
      </c>
      <c r="AB326" s="1">
        <f t="shared" si="218"/>
        <v>0</v>
      </c>
      <c r="AD326" s="1">
        <f t="shared" si="219"/>
        <v>1</v>
      </c>
      <c r="AE326" s="1">
        <f t="shared" si="220"/>
        <v>0</v>
      </c>
      <c r="AF326" s="1">
        <f t="shared" si="205"/>
        <v>1</v>
      </c>
      <c r="AG326" s="1">
        <f t="shared" si="206"/>
        <v>0</v>
      </c>
      <c r="AH326" s="1">
        <f t="shared" si="207"/>
        <v>1</v>
      </c>
      <c r="AI326" s="1">
        <f t="shared" si="208"/>
        <v>0</v>
      </c>
    </row>
    <row r="327" spans="1:35" s="1" customFormat="1" ht="14.25" customHeight="1" x14ac:dyDescent="0.3">
      <c r="A327" s="44">
        <v>0</v>
      </c>
      <c r="B327" s="44">
        <v>2</v>
      </c>
      <c r="C327" s="44">
        <v>2</v>
      </c>
      <c r="D327" s="45" t="s">
        <v>787</v>
      </c>
      <c r="E327" s="45" t="s">
        <v>909</v>
      </c>
      <c r="F327" s="45" t="s">
        <v>1571</v>
      </c>
      <c r="G327" s="45" t="s">
        <v>230</v>
      </c>
      <c r="H327" s="45" t="s">
        <v>354</v>
      </c>
      <c r="I327" s="44" t="s">
        <v>1694</v>
      </c>
      <c r="J327" s="44">
        <v>7</v>
      </c>
      <c r="K327" s="46" t="s">
        <v>713</v>
      </c>
      <c r="L327" s="46">
        <v>20</v>
      </c>
      <c r="M327" s="47" t="s">
        <v>39</v>
      </c>
      <c r="N327" s="47" t="s">
        <v>1734</v>
      </c>
      <c r="O327" s="48"/>
      <c r="P327" s="48"/>
      <c r="Q327" s="45"/>
      <c r="S327" s="1">
        <f t="shared" si="209"/>
        <v>0</v>
      </c>
      <c r="T327" s="1">
        <f t="shared" si="210"/>
        <v>0</v>
      </c>
      <c r="U327" s="1">
        <f t="shared" si="211"/>
        <v>0</v>
      </c>
      <c r="V327" s="1">
        <f t="shared" si="212"/>
        <v>0</v>
      </c>
      <c r="W327" s="1">
        <f t="shared" si="213"/>
        <v>0</v>
      </c>
      <c r="X327" s="1">
        <f t="shared" si="214"/>
        <v>0</v>
      </c>
      <c r="Y327" s="1">
        <f t="shared" si="215"/>
        <v>1</v>
      </c>
      <c r="Z327" s="1">
        <f t="shared" si="216"/>
        <v>0</v>
      </c>
      <c r="AA327" s="1">
        <f t="shared" si="217"/>
        <v>0</v>
      </c>
      <c r="AB327" s="1">
        <f t="shared" si="218"/>
        <v>0</v>
      </c>
      <c r="AD327" s="1">
        <f t="shared" si="219"/>
        <v>0</v>
      </c>
      <c r="AE327" s="1">
        <f t="shared" si="220"/>
        <v>0</v>
      </c>
      <c r="AF327" s="1">
        <f t="shared" si="205"/>
        <v>0</v>
      </c>
      <c r="AG327" s="1">
        <f t="shared" si="206"/>
        <v>0</v>
      </c>
      <c r="AH327" s="1">
        <f t="shared" si="207"/>
        <v>0</v>
      </c>
      <c r="AI327" s="1">
        <f t="shared" si="208"/>
        <v>1</v>
      </c>
    </row>
    <row r="328" spans="1:35" s="1" customFormat="1" ht="14.25" customHeight="1" x14ac:dyDescent="0.3">
      <c r="A328" s="31">
        <v>0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854</v>
      </c>
      <c r="G328" s="32" t="s">
        <v>220</v>
      </c>
      <c r="H328" s="32" t="s">
        <v>354</v>
      </c>
      <c r="I328" s="31" t="s">
        <v>855</v>
      </c>
      <c r="J328" s="31">
        <v>8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209"/>
        <v>0</v>
      </c>
      <c r="T328" s="1">
        <f t="shared" si="210"/>
        <v>0</v>
      </c>
      <c r="U328" s="1">
        <f t="shared" si="211"/>
        <v>0</v>
      </c>
      <c r="V328" s="1">
        <f t="shared" si="212"/>
        <v>0</v>
      </c>
      <c r="W328" s="1">
        <f t="shared" si="213"/>
        <v>0</v>
      </c>
      <c r="X328" s="1">
        <f t="shared" si="214"/>
        <v>0</v>
      </c>
      <c r="Y328" s="1">
        <f t="shared" si="215"/>
        <v>0</v>
      </c>
      <c r="Z328" s="1">
        <f t="shared" si="216"/>
        <v>1</v>
      </c>
      <c r="AA328" s="1">
        <f t="shared" si="217"/>
        <v>0</v>
      </c>
      <c r="AB328" s="1">
        <f t="shared" si="218"/>
        <v>0</v>
      </c>
      <c r="AD328" s="1">
        <f t="shared" si="219"/>
        <v>0</v>
      </c>
      <c r="AE328" s="1">
        <f t="shared" si="220"/>
        <v>1</v>
      </c>
      <c r="AF328" s="1">
        <f t="shared" si="205"/>
        <v>0</v>
      </c>
      <c r="AG328" s="1">
        <f t="shared" si="206"/>
        <v>1</v>
      </c>
      <c r="AH328" s="1">
        <f t="shared" si="207"/>
        <v>0</v>
      </c>
      <c r="AI328" s="1">
        <f t="shared" si="208"/>
        <v>1</v>
      </c>
    </row>
    <row r="329" spans="1:35" s="1" customFormat="1" ht="14.25" customHeight="1" x14ac:dyDescent="0.3">
      <c r="A329" s="31">
        <v>1</v>
      </c>
      <c r="B329" s="31">
        <v>2</v>
      </c>
      <c r="C329" s="31">
        <v>2</v>
      </c>
      <c r="D329" s="32" t="s">
        <v>852</v>
      </c>
      <c r="E329" s="32" t="s">
        <v>541</v>
      </c>
      <c r="F329" s="32" t="s">
        <v>1353</v>
      </c>
      <c r="G329" s="32" t="s">
        <v>194</v>
      </c>
      <c r="H329" s="32" t="s">
        <v>354</v>
      </c>
      <c r="I329" s="31" t="s">
        <v>853</v>
      </c>
      <c r="J329" s="31">
        <v>9</v>
      </c>
      <c r="K329" s="33" t="s">
        <v>713</v>
      </c>
      <c r="L329" s="33" t="s">
        <v>716</v>
      </c>
      <c r="M329" s="34" t="s">
        <v>1413</v>
      </c>
      <c r="N329" s="34" t="s">
        <v>1743</v>
      </c>
      <c r="O329" s="35">
        <v>1</v>
      </c>
      <c r="P329" s="35"/>
      <c r="Q329" s="32"/>
      <c r="S329" s="1">
        <f t="shared" si="209"/>
        <v>0</v>
      </c>
      <c r="T329" s="1">
        <f t="shared" si="210"/>
        <v>0</v>
      </c>
      <c r="U329" s="1">
        <f t="shared" si="211"/>
        <v>0</v>
      </c>
      <c r="V329" s="1">
        <f t="shared" si="212"/>
        <v>0</v>
      </c>
      <c r="W329" s="1">
        <f t="shared" si="213"/>
        <v>0</v>
      </c>
      <c r="X329" s="1">
        <f t="shared" si="214"/>
        <v>0</v>
      </c>
      <c r="Y329" s="1">
        <f t="shared" si="215"/>
        <v>0</v>
      </c>
      <c r="Z329" s="1">
        <f t="shared" si="216"/>
        <v>0</v>
      </c>
      <c r="AA329" s="1">
        <f t="shared" si="217"/>
        <v>1</v>
      </c>
      <c r="AB329" s="1">
        <f t="shared" si="218"/>
        <v>0</v>
      </c>
      <c r="AD329" s="1">
        <f t="shared" si="219"/>
        <v>0</v>
      </c>
      <c r="AE329" s="1">
        <f t="shared" si="220"/>
        <v>1</v>
      </c>
      <c r="AF329" s="1">
        <f t="shared" si="205"/>
        <v>0</v>
      </c>
      <c r="AG329" s="1">
        <f t="shared" si="206"/>
        <v>0</v>
      </c>
      <c r="AH329" s="1">
        <f t="shared" si="207"/>
        <v>0</v>
      </c>
      <c r="AI329" s="1">
        <f t="shared" si="208"/>
        <v>0</v>
      </c>
    </row>
    <row r="330" spans="1:35" s="1" customFormat="1" ht="14.25" customHeight="1" x14ac:dyDescent="0.3">
      <c r="A330" s="44">
        <v>0</v>
      </c>
      <c r="B330" s="44">
        <v>2</v>
      </c>
      <c r="C330" s="44">
        <v>2</v>
      </c>
      <c r="D330" s="45" t="s">
        <v>918</v>
      </c>
      <c r="E330" s="45" t="s">
        <v>785</v>
      </c>
      <c r="F330" s="45" t="s">
        <v>786</v>
      </c>
      <c r="G330" s="45" t="s">
        <v>230</v>
      </c>
      <c r="H330" s="45" t="s">
        <v>354</v>
      </c>
      <c r="I330" s="44" t="s">
        <v>788</v>
      </c>
      <c r="J330" s="44">
        <v>7</v>
      </c>
      <c r="K330" s="46" t="s">
        <v>712</v>
      </c>
      <c r="L330" s="46">
        <v>15</v>
      </c>
      <c r="M330" s="47" t="s">
        <v>39</v>
      </c>
      <c r="N330" s="47" t="s">
        <v>1735</v>
      </c>
      <c r="O330" s="48"/>
      <c r="P330" s="48"/>
      <c r="Q330" s="45"/>
      <c r="S330" s="1">
        <f t="shared" si="209"/>
        <v>0</v>
      </c>
      <c r="T330" s="1">
        <f t="shared" si="210"/>
        <v>0</v>
      </c>
      <c r="U330" s="1">
        <f t="shared" si="211"/>
        <v>0</v>
      </c>
      <c r="V330" s="1">
        <f t="shared" si="212"/>
        <v>0</v>
      </c>
      <c r="W330" s="1">
        <f t="shared" si="213"/>
        <v>0</v>
      </c>
      <c r="X330" s="1">
        <f t="shared" si="214"/>
        <v>0</v>
      </c>
      <c r="Y330" s="1">
        <f t="shared" si="215"/>
        <v>1</v>
      </c>
      <c r="Z330" s="1">
        <f t="shared" si="216"/>
        <v>0</v>
      </c>
      <c r="AA330" s="1">
        <f t="shared" si="217"/>
        <v>0</v>
      </c>
      <c r="AB330" s="1">
        <f t="shared" si="218"/>
        <v>0</v>
      </c>
      <c r="AD330" s="1">
        <f t="shared" si="219"/>
        <v>0</v>
      </c>
      <c r="AE330" s="1">
        <f t="shared" si="220"/>
        <v>0</v>
      </c>
      <c r="AF330" s="1">
        <f t="shared" si="205"/>
        <v>0</v>
      </c>
      <c r="AG330" s="1">
        <f t="shared" si="206"/>
        <v>0</v>
      </c>
      <c r="AH330" s="1">
        <f t="shared" si="207"/>
        <v>0</v>
      </c>
      <c r="AI330" s="1">
        <f t="shared" si="208"/>
        <v>1</v>
      </c>
    </row>
    <row r="331" spans="1:35" s="1" customFormat="1" ht="14.25" customHeight="1" x14ac:dyDescent="0.3">
      <c r="A331" s="44">
        <v>0</v>
      </c>
      <c r="B331" s="44">
        <v>2</v>
      </c>
      <c r="C331" s="44">
        <v>2</v>
      </c>
      <c r="D331" s="45" t="s">
        <v>83</v>
      </c>
      <c r="E331" s="45" t="s">
        <v>157</v>
      </c>
      <c r="F331" s="65" t="s">
        <v>1872</v>
      </c>
      <c r="G331" s="45" t="s">
        <v>209</v>
      </c>
      <c r="H331" s="45" t="s">
        <v>354</v>
      </c>
      <c r="I331" s="44" t="s">
        <v>432</v>
      </c>
      <c r="J331" s="44">
        <v>99</v>
      </c>
      <c r="K331" s="46" t="s">
        <v>954</v>
      </c>
      <c r="L331" s="46" t="s">
        <v>704</v>
      </c>
      <c r="M331" s="47" t="s">
        <v>719</v>
      </c>
      <c r="N331" s="47" t="s">
        <v>1735</v>
      </c>
      <c r="O331" s="48"/>
      <c r="P331" s="48"/>
      <c r="Q331" s="45"/>
      <c r="S331" s="1">
        <f t="shared" si="209"/>
        <v>0</v>
      </c>
      <c r="T331" s="1">
        <f t="shared" si="210"/>
        <v>0</v>
      </c>
      <c r="U331" s="1">
        <f t="shared" si="211"/>
        <v>0</v>
      </c>
      <c r="V331" s="1">
        <f t="shared" si="212"/>
        <v>0</v>
      </c>
      <c r="W331" s="1">
        <f t="shared" si="213"/>
        <v>0</v>
      </c>
      <c r="X331" s="1">
        <f t="shared" si="214"/>
        <v>0</v>
      </c>
      <c r="Y331" s="1">
        <f t="shared" si="215"/>
        <v>0</v>
      </c>
      <c r="Z331" s="1">
        <f t="shared" si="216"/>
        <v>0</v>
      </c>
      <c r="AA331" s="1">
        <f t="shared" si="217"/>
        <v>0</v>
      </c>
      <c r="AB331" s="1">
        <f t="shared" si="218"/>
        <v>0</v>
      </c>
      <c r="AD331" s="1">
        <f t="shared" si="219"/>
        <v>0</v>
      </c>
      <c r="AE331" s="1">
        <f t="shared" si="220"/>
        <v>0</v>
      </c>
      <c r="AF331" s="1">
        <f t="shared" si="205"/>
        <v>0</v>
      </c>
      <c r="AG331" s="1">
        <f t="shared" si="206"/>
        <v>0</v>
      </c>
      <c r="AH331" s="1">
        <f t="shared" si="207"/>
        <v>0</v>
      </c>
      <c r="AI331" s="1">
        <f t="shared" si="208"/>
        <v>1</v>
      </c>
    </row>
    <row r="332" spans="1:35" s="1" customFormat="1" ht="14.25" customHeight="1" x14ac:dyDescent="0.3">
      <c r="A332" s="31">
        <v>0</v>
      </c>
      <c r="B332" s="31">
        <v>2</v>
      </c>
      <c r="C332" s="31">
        <v>2</v>
      </c>
      <c r="D332" s="32" t="s">
        <v>1564</v>
      </c>
      <c r="E332" s="32" t="s">
        <v>1334</v>
      </c>
      <c r="F332" s="32" t="s">
        <v>1565</v>
      </c>
      <c r="G332" s="32" t="s">
        <v>1166</v>
      </c>
      <c r="H332" s="32" t="s">
        <v>354</v>
      </c>
      <c r="I332" s="31" t="s">
        <v>1566</v>
      </c>
      <c r="J332" s="31">
        <v>1</v>
      </c>
      <c r="K332" s="33" t="s">
        <v>713</v>
      </c>
      <c r="L332" s="33" t="s">
        <v>39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209"/>
        <v>1</v>
      </c>
      <c r="T332" s="1">
        <f t="shared" si="210"/>
        <v>0</v>
      </c>
      <c r="U332" s="1">
        <f t="shared" si="211"/>
        <v>0</v>
      </c>
      <c r="V332" s="1">
        <f t="shared" si="212"/>
        <v>0</v>
      </c>
      <c r="W332" s="1">
        <f t="shared" si="213"/>
        <v>0</v>
      </c>
      <c r="X332" s="1">
        <f t="shared" si="214"/>
        <v>0</v>
      </c>
      <c r="Y332" s="1">
        <f t="shared" si="215"/>
        <v>0</v>
      </c>
      <c r="Z332" s="1">
        <f t="shared" si="216"/>
        <v>0</v>
      </c>
      <c r="AA332" s="1">
        <f t="shared" si="217"/>
        <v>0</v>
      </c>
      <c r="AB332" s="1">
        <f t="shared" si="218"/>
        <v>0</v>
      </c>
      <c r="AD332" s="1">
        <f t="shared" si="219"/>
        <v>1</v>
      </c>
      <c r="AE332" s="1">
        <f t="shared" si="220"/>
        <v>0</v>
      </c>
      <c r="AF332" s="1">
        <f t="shared" si="205"/>
        <v>1</v>
      </c>
      <c r="AG332" s="1">
        <f t="shared" si="206"/>
        <v>0</v>
      </c>
      <c r="AH332" s="1">
        <f t="shared" si="207"/>
        <v>1</v>
      </c>
      <c r="AI332" s="1">
        <f t="shared" si="208"/>
        <v>0</v>
      </c>
    </row>
    <row r="333" spans="1:35" s="1" customFormat="1" ht="14.25" customHeight="1" x14ac:dyDescent="0.3">
      <c r="A333" s="31">
        <v>0</v>
      </c>
      <c r="B333" s="31">
        <v>2</v>
      </c>
      <c r="C333" s="31">
        <v>2</v>
      </c>
      <c r="D333" s="32" t="s">
        <v>1744</v>
      </c>
      <c r="E333" s="32" t="s">
        <v>27</v>
      </c>
      <c r="F333" s="32" t="s">
        <v>1044</v>
      </c>
      <c r="G333" s="32" t="s">
        <v>220</v>
      </c>
      <c r="H333" s="32" t="s">
        <v>354</v>
      </c>
      <c r="I333" s="31" t="s">
        <v>1045</v>
      </c>
      <c r="J333" s="31">
        <v>8</v>
      </c>
      <c r="K333" s="33" t="s">
        <v>713</v>
      </c>
      <c r="L333" s="33">
        <v>25</v>
      </c>
      <c r="M333" s="34" t="s">
        <v>1745</v>
      </c>
      <c r="N333" s="34" t="s">
        <v>1727</v>
      </c>
      <c r="O333" s="35">
        <v>1</v>
      </c>
      <c r="P333" s="35">
        <v>1</v>
      </c>
      <c r="Q333" s="32"/>
      <c r="S333" s="1">
        <f t="shared" si="209"/>
        <v>0</v>
      </c>
      <c r="T333" s="1">
        <f t="shared" si="210"/>
        <v>0</v>
      </c>
      <c r="U333" s="1">
        <f t="shared" si="211"/>
        <v>0</v>
      </c>
      <c r="V333" s="1">
        <f t="shared" si="212"/>
        <v>0</v>
      </c>
      <c r="W333" s="1">
        <f t="shared" si="213"/>
        <v>0</v>
      </c>
      <c r="X333" s="1">
        <f t="shared" si="214"/>
        <v>0</v>
      </c>
      <c r="Y333" s="1">
        <f t="shared" si="215"/>
        <v>0</v>
      </c>
      <c r="Z333" s="1">
        <f t="shared" si="216"/>
        <v>1</v>
      </c>
      <c r="AA333" s="1">
        <f t="shared" si="217"/>
        <v>0</v>
      </c>
      <c r="AB333" s="1">
        <f t="shared" si="218"/>
        <v>0</v>
      </c>
      <c r="AD333" s="1">
        <f t="shared" si="219"/>
        <v>1</v>
      </c>
      <c r="AE333" s="1">
        <f t="shared" si="220"/>
        <v>0</v>
      </c>
      <c r="AF333" s="1">
        <f t="shared" si="205"/>
        <v>1</v>
      </c>
      <c r="AG333" s="1">
        <f t="shared" si="206"/>
        <v>0</v>
      </c>
      <c r="AH333" s="1">
        <f t="shared" si="207"/>
        <v>1</v>
      </c>
      <c r="AI333" s="1">
        <f t="shared" si="208"/>
        <v>0</v>
      </c>
    </row>
    <row r="334" spans="1:35" s="1" customFormat="1" ht="14.25" customHeight="1" x14ac:dyDescent="0.3">
      <c r="A334" s="31">
        <v>0</v>
      </c>
      <c r="B334" s="31">
        <v>2</v>
      </c>
      <c r="C334" s="31">
        <v>2</v>
      </c>
      <c r="D334" s="32" t="s">
        <v>45</v>
      </c>
      <c r="E334" s="32" t="s">
        <v>44</v>
      </c>
      <c r="F334" s="32" t="s">
        <v>669</v>
      </c>
      <c r="G334" s="32" t="s">
        <v>180</v>
      </c>
      <c r="H334" s="32" t="s">
        <v>354</v>
      </c>
      <c r="I334" s="31" t="s">
        <v>949</v>
      </c>
      <c r="J334" s="31">
        <v>10</v>
      </c>
      <c r="K334" s="33" t="s">
        <v>713</v>
      </c>
      <c r="L334" s="33" t="s">
        <v>720</v>
      </c>
      <c r="M334" s="34" t="s">
        <v>721</v>
      </c>
      <c r="N334" s="34" t="s">
        <v>1727</v>
      </c>
      <c r="O334" s="35">
        <v>1</v>
      </c>
      <c r="P334" s="35">
        <v>1</v>
      </c>
      <c r="Q334" s="32"/>
      <c r="S334" s="1">
        <f t="shared" si="209"/>
        <v>0</v>
      </c>
      <c r="T334" s="1">
        <f t="shared" si="210"/>
        <v>0</v>
      </c>
      <c r="U334" s="1">
        <f t="shared" si="211"/>
        <v>0</v>
      </c>
      <c r="V334" s="1">
        <f t="shared" si="212"/>
        <v>0</v>
      </c>
      <c r="W334" s="1">
        <f t="shared" si="213"/>
        <v>0</v>
      </c>
      <c r="X334" s="1">
        <f t="shared" si="214"/>
        <v>0</v>
      </c>
      <c r="Y334" s="1">
        <f t="shared" si="215"/>
        <v>0</v>
      </c>
      <c r="Z334" s="1">
        <f t="shared" si="216"/>
        <v>0</v>
      </c>
      <c r="AA334" s="1">
        <f t="shared" si="217"/>
        <v>0</v>
      </c>
      <c r="AB334" s="1">
        <f t="shared" si="218"/>
        <v>1</v>
      </c>
      <c r="AD334" s="1">
        <f t="shared" si="219"/>
        <v>1</v>
      </c>
      <c r="AE334" s="1">
        <f t="shared" si="220"/>
        <v>0</v>
      </c>
      <c r="AF334" s="1">
        <f t="shared" si="205"/>
        <v>1</v>
      </c>
      <c r="AG334" s="1">
        <f t="shared" si="206"/>
        <v>0</v>
      </c>
      <c r="AH334" s="1">
        <f t="shared" si="207"/>
        <v>1</v>
      </c>
      <c r="AI334" s="1">
        <f t="shared" si="208"/>
        <v>0</v>
      </c>
    </row>
    <row r="335" spans="1:35" s="1" customFormat="1" ht="14.25" customHeight="1" x14ac:dyDescent="0.3">
      <c r="A335" s="31">
        <v>0</v>
      </c>
      <c r="B335" s="31">
        <v>2</v>
      </c>
      <c r="C335" s="31">
        <v>2</v>
      </c>
      <c r="D335" s="32" t="s">
        <v>1448</v>
      </c>
      <c r="E335" s="32" t="s">
        <v>1653</v>
      </c>
      <c r="F335" s="32" t="s">
        <v>1668</v>
      </c>
      <c r="G335" s="32" t="s">
        <v>230</v>
      </c>
      <c r="H335" s="32" t="s">
        <v>354</v>
      </c>
      <c r="I335" s="31" t="s">
        <v>1449</v>
      </c>
      <c r="J335" s="31">
        <v>99</v>
      </c>
      <c r="K335" s="33" t="s">
        <v>955</v>
      </c>
      <c r="L335" s="33">
        <v>20</v>
      </c>
      <c r="M335" s="34" t="s">
        <v>39</v>
      </c>
      <c r="N335" s="34" t="s">
        <v>1727</v>
      </c>
      <c r="O335" s="35">
        <v>1</v>
      </c>
      <c r="P335" s="35">
        <v>1</v>
      </c>
      <c r="Q335" s="32"/>
      <c r="S335" s="1">
        <f t="shared" si="209"/>
        <v>0</v>
      </c>
      <c r="T335" s="1">
        <f t="shared" si="210"/>
        <v>0</v>
      </c>
      <c r="U335" s="1">
        <f t="shared" si="211"/>
        <v>0</v>
      </c>
      <c r="V335" s="1">
        <f t="shared" si="212"/>
        <v>0</v>
      </c>
      <c r="W335" s="1">
        <f t="shared" si="213"/>
        <v>0</v>
      </c>
      <c r="X335" s="1">
        <f t="shared" si="214"/>
        <v>0</v>
      </c>
      <c r="Y335" s="1">
        <f t="shared" si="215"/>
        <v>0</v>
      </c>
      <c r="Z335" s="1">
        <f t="shared" si="216"/>
        <v>0</v>
      </c>
      <c r="AA335" s="1">
        <f t="shared" si="217"/>
        <v>0</v>
      </c>
      <c r="AB335" s="1">
        <f t="shared" si="218"/>
        <v>0</v>
      </c>
      <c r="AD335" s="1">
        <f t="shared" si="219"/>
        <v>1</v>
      </c>
      <c r="AE335" s="1">
        <f t="shared" si="220"/>
        <v>0</v>
      </c>
      <c r="AF335" s="1">
        <f t="shared" si="205"/>
        <v>1</v>
      </c>
      <c r="AG335" s="1">
        <f t="shared" si="206"/>
        <v>0</v>
      </c>
      <c r="AH335" s="1">
        <f t="shared" si="207"/>
        <v>1</v>
      </c>
      <c r="AI335" s="1">
        <f t="shared" si="208"/>
        <v>0</v>
      </c>
    </row>
    <row r="336" spans="1:35" s="1" customFormat="1" ht="14.25" customHeight="1" x14ac:dyDescent="0.3">
      <c r="A336" s="67">
        <v>0</v>
      </c>
      <c r="B336" s="67">
        <v>2</v>
      </c>
      <c r="C336" s="67">
        <v>2</v>
      </c>
      <c r="D336" s="54" t="s">
        <v>1993</v>
      </c>
      <c r="E336" s="54" t="s">
        <v>1994</v>
      </c>
      <c r="F336" s="54" t="s">
        <v>1995</v>
      </c>
      <c r="G336" s="54" t="s">
        <v>179</v>
      </c>
      <c r="H336" s="54" t="s">
        <v>354</v>
      </c>
      <c r="I336" s="67" t="s">
        <v>1996</v>
      </c>
      <c r="J336" s="67"/>
      <c r="K336" s="67" t="s">
        <v>703</v>
      </c>
      <c r="L336" s="67"/>
      <c r="M336" s="54"/>
      <c r="N336" s="54"/>
      <c r="O336" s="68"/>
      <c r="P336" s="68">
        <v>1</v>
      </c>
      <c r="Q336" s="54"/>
      <c r="S336" s="1">
        <f t="shared" si="209"/>
        <v>0</v>
      </c>
      <c r="T336" s="1">
        <f t="shared" si="210"/>
        <v>0</v>
      </c>
      <c r="U336" s="1">
        <f t="shared" si="211"/>
        <v>0</v>
      </c>
      <c r="V336" s="1">
        <f t="shared" si="212"/>
        <v>0</v>
      </c>
      <c r="W336" s="1">
        <f t="shared" si="213"/>
        <v>0</v>
      </c>
      <c r="X336" s="1">
        <f t="shared" si="214"/>
        <v>0</v>
      </c>
      <c r="Y336" s="1">
        <f t="shared" si="215"/>
        <v>0</v>
      </c>
      <c r="Z336" s="1">
        <f t="shared" si="216"/>
        <v>0</v>
      </c>
      <c r="AA336" s="1">
        <f t="shared" si="217"/>
        <v>0</v>
      </c>
      <c r="AB336" s="1">
        <f t="shared" si="218"/>
        <v>0</v>
      </c>
      <c r="AD336" s="1">
        <f t="shared" si="219"/>
        <v>0</v>
      </c>
      <c r="AE336" s="1">
        <f t="shared" si="220"/>
        <v>0</v>
      </c>
      <c r="AF336" s="1">
        <f t="shared" si="205"/>
        <v>0</v>
      </c>
      <c r="AG336" s="1">
        <f t="shared" si="206"/>
        <v>0</v>
      </c>
      <c r="AH336" s="1">
        <f t="shared" si="207"/>
        <v>1</v>
      </c>
      <c r="AI336" s="1">
        <f t="shared" si="208"/>
        <v>0</v>
      </c>
    </row>
    <row r="337" spans="1:35" s="1" customFormat="1" ht="14.25" customHeight="1" x14ac:dyDescent="0.3">
      <c r="A337" s="49">
        <v>0</v>
      </c>
      <c r="B337" s="49">
        <v>2</v>
      </c>
      <c r="C337" s="49">
        <v>2</v>
      </c>
      <c r="D337" s="50" t="s">
        <v>606</v>
      </c>
      <c r="E337" s="50" t="s">
        <v>607</v>
      </c>
      <c r="F337" s="50" t="s">
        <v>608</v>
      </c>
      <c r="G337" s="50" t="s">
        <v>257</v>
      </c>
      <c r="H337" s="50" t="s">
        <v>354</v>
      </c>
      <c r="I337" s="49" t="s">
        <v>609</v>
      </c>
      <c r="J337" s="49">
        <v>99</v>
      </c>
      <c r="K337" s="51" t="s">
        <v>955</v>
      </c>
      <c r="L337" s="51" t="s">
        <v>704</v>
      </c>
      <c r="M337" s="52" t="s">
        <v>1414</v>
      </c>
      <c r="N337" s="52" t="s">
        <v>1743</v>
      </c>
      <c r="O337" s="53">
        <v>1</v>
      </c>
      <c r="P337" s="53"/>
      <c r="Q337" s="50"/>
      <c r="S337" s="1">
        <f t="shared" si="209"/>
        <v>0</v>
      </c>
      <c r="T337" s="1">
        <f t="shared" si="210"/>
        <v>0</v>
      </c>
      <c r="U337" s="1">
        <f t="shared" si="211"/>
        <v>0</v>
      </c>
      <c r="V337" s="1">
        <f t="shared" si="212"/>
        <v>0</v>
      </c>
      <c r="W337" s="1">
        <f t="shared" si="213"/>
        <v>0</v>
      </c>
      <c r="X337" s="1">
        <f t="shared" si="214"/>
        <v>0</v>
      </c>
      <c r="Y337" s="1">
        <f t="shared" si="215"/>
        <v>0</v>
      </c>
      <c r="Z337" s="1">
        <f t="shared" si="216"/>
        <v>0</v>
      </c>
      <c r="AA337" s="1">
        <f t="shared" si="217"/>
        <v>0</v>
      </c>
      <c r="AB337" s="1">
        <f t="shared" si="218"/>
        <v>0</v>
      </c>
      <c r="AD337" s="1">
        <f t="shared" si="219"/>
        <v>0</v>
      </c>
      <c r="AE337" s="1">
        <f t="shared" si="220"/>
        <v>1</v>
      </c>
      <c r="AF337" s="1">
        <f t="shared" si="205"/>
        <v>0</v>
      </c>
      <c r="AG337" s="1">
        <f t="shared" si="206"/>
        <v>1</v>
      </c>
      <c r="AH337" s="1">
        <f t="shared" si="207"/>
        <v>0</v>
      </c>
      <c r="AI337" s="1">
        <f t="shared" si="208"/>
        <v>1</v>
      </c>
    </row>
    <row r="338" spans="1:35" s="1" customFormat="1" ht="14.25" customHeight="1" x14ac:dyDescent="0.3">
      <c r="A338" s="31">
        <v>0</v>
      </c>
      <c r="B338" s="31">
        <v>2</v>
      </c>
      <c r="C338" s="31">
        <v>2</v>
      </c>
      <c r="D338" s="32" t="s">
        <v>1925</v>
      </c>
      <c r="E338" s="32" t="s">
        <v>1926</v>
      </c>
      <c r="F338" s="32" t="s">
        <v>1927</v>
      </c>
      <c r="G338" s="32" t="s">
        <v>184</v>
      </c>
      <c r="H338" s="32" t="s">
        <v>354</v>
      </c>
      <c r="I338" s="31" t="s">
        <v>1929</v>
      </c>
      <c r="J338" s="31">
        <v>99</v>
      </c>
      <c r="K338" s="33" t="s">
        <v>703</v>
      </c>
      <c r="L338" s="33"/>
      <c r="M338" s="34"/>
      <c r="N338" s="34" t="s">
        <v>1727</v>
      </c>
      <c r="O338" s="35">
        <v>1</v>
      </c>
      <c r="P338" s="35">
        <v>1</v>
      </c>
      <c r="Q338" s="32" t="s">
        <v>1928</v>
      </c>
      <c r="S338" s="1">
        <f t="shared" si="209"/>
        <v>0</v>
      </c>
      <c r="T338" s="1">
        <f t="shared" si="210"/>
        <v>0</v>
      </c>
      <c r="U338" s="1">
        <f t="shared" si="211"/>
        <v>0</v>
      </c>
      <c r="V338" s="1">
        <f t="shared" si="212"/>
        <v>0</v>
      </c>
      <c r="W338" s="1">
        <f t="shared" si="213"/>
        <v>0</v>
      </c>
      <c r="X338" s="1">
        <f t="shared" si="214"/>
        <v>0</v>
      </c>
      <c r="Y338" s="1">
        <f t="shared" si="215"/>
        <v>0</v>
      </c>
      <c r="Z338" s="1">
        <f t="shared" si="216"/>
        <v>0</v>
      </c>
      <c r="AA338" s="1">
        <f t="shared" si="217"/>
        <v>0</v>
      </c>
      <c r="AB338" s="1">
        <f t="shared" si="218"/>
        <v>0</v>
      </c>
      <c r="AD338" s="1">
        <f t="shared" si="219"/>
        <v>1</v>
      </c>
      <c r="AE338" s="1">
        <f t="shared" si="220"/>
        <v>0</v>
      </c>
      <c r="AF338" s="1">
        <f t="shared" ref="AF338:AF402" si="221">+O338*P338*(1-A338)</f>
        <v>1</v>
      </c>
      <c r="AG338" s="1">
        <f t="shared" ref="AG338:AG402" si="222">O338*(1-P338)*(1-A338)</f>
        <v>0</v>
      </c>
      <c r="AH338" s="1">
        <f t="shared" ref="AH338:AH402" si="223">+P338*(1-A338)</f>
        <v>1</v>
      </c>
      <c r="AI338" s="1">
        <f t="shared" ref="AI338:AI402" si="224">+(1-A338)*(1-P338)</f>
        <v>0</v>
      </c>
    </row>
    <row r="339" spans="1:35" s="1" customFormat="1" ht="14.25" customHeight="1" x14ac:dyDescent="0.3">
      <c r="A339" s="44">
        <v>0</v>
      </c>
      <c r="B339" s="44">
        <v>2</v>
      </c>
      <c r="C339" s="44">
        <v>2</v>
      </c>
      <c r="D339" s="45" t="s">
        <v>1643</v>
      </c>
      <c r="E339" s="45" t="s">
        <v>1168</v>
      </c>
      <c r="F339" s="45" t="s">
        <v>1674</v>
      </c>
      <c r="G339" s="45" t="s">
        <v>180</v>
      </c>
      <c r="H339" s="45" t="s">
        <v>354</v>
      </c>
      <c r="I339" s="44" t="s">
        <v>1494</v>
      </c>
      <c r="J339" s="44">
        <v>10</v>
      </c>
      <c r="K339" s="46" t="s">
        <v>712</v>
      </c>
      <c r="L339" s="46">
        <v>15</v>
      </c>
      <c r="M339" s="47" t="s">
        <v>39</v>
      </c>
      <c r="N339" s="47" t="s">
        <v>1740</v>
      </c>
      <c r="O339" s="48"/>
      <c r="P339" s="48"/>
      <c r="Q339" s="45"/>
      <c r="S339" s="1">
        <f t="shared" si="209"/>
        <v>0</v>
      </c>
      <c r="T339" s="1">
        <f t="shared" si="210"/>
        <v>0</v>
      </c>
      <c r="U339" s="1">
        <f t="shared" si="211"/>
        <v>0</v>
      </c>
      <c r="V339" s="1">
        <f t="shared" si="212"/>
        <v>0</v>
      </c>
      <c r="W339" s="1">
        <f t="shared" si="213"/>
        <v>0</v>
      </c>
      <c r="X339" s="1">
        <f t="shared" si="214"/>
        <v>0</v>
      </c>
      <c r="Y339" s="1">
        <f t="shared" si="215"/>
        <v>0</v>
      </c>
      <c r="Z339" s="1">
        <f t="shared" si="216"/>
        <v>0</v>
      </c>
      <c r="AA339" s="1">
        <f t="shared" si="217"/>
        <v>0</v>
      </c>
      <c r="AB339" s="1">
        <f t="shared" si="218"/>
        <v>1</v>
      </c>
      <c r="AD339" s="1">
        <f t="shared" si="219"/>
        <v>0</v>
      </c>
      <c r="AE339" s="1">
        <f t="shared" si="220"/>
        <v>0</v>
      </c>
      <c r="AF339" s="1">
        <f t="shared" si="221"/>
        <v>0</v>
      </c>
      <c r="AG339" s="1">
        <f t="shared" si="222"/>
        <v>0</v>
      </c>
      <c r="AH339" s="1">
        <f t="shared" si="223"/>
        <v>0</v>
      </c>
      <c r="AI339" s="1">
        <f t="shared" si="224"/>
        <v>1</v>
      </c>
    </row>
    <row r="340" spans="1:35" s="1" customFormat="1" ht="14.25" customHeight="1" x14ac:dyDescent="0.3">
      <c r="A340" s="44">
        <v>0</v>
      </c>
      <c r="B340" s="44">
        <v>2</v>
      </c>
      <c r="C340" s="44">
        <v>2</v>
      </c>
      <c r="D340" s="45" t="s">
        <v>862</v>
      </c>
      <c r="E340" s="45" t="s">
        <v>544</v>
      </c>
      <c r="F340" s="45" t="s">
        <v>863</v>
      </c>
      <c r="G340" s="45" t="s">
        <v>314</v>
      </c>
      <c r="H340" s="45" t="s">
        <v>354</v>
      </c>
      <c r="I340" s="44" t="s">
        <v>864</v>
      </c>
      <c r="J340" s="44">
        <v>1</v>
      </c>
      <c r="K340" s="46" t="s">
        <v>712</v>
      </c>
      <c r="L340" s="46">
        <v>25</v>
      </c>
      <c r="M340" s="47" t="s">
        <v>39</v>
      </c>
      <c r="N340" s="47" t="s">
        <v>1735</v>
      </c>
      <c r="O340" s="48"/>
      <c r="P340" s="48"/>
      <c r="Q340" s="45"/>
      <c r="S340" s="1">
        <f t="shared" si="209"/>
        <v>1</v>
      </c>
      <c r="T340" s="1">
        <f t="shared" si="210"/>
        <v>0</v>
      </c>
      <c r="U340" s="1">
        <f t="shared" si="211"/>
        <v>0</v>
      </c>
      <c r="V340" s="1">
        <f t="shared" si="212"/>
        <v>0</v>
      </c>
      <c r="W340" s="1">
        <f t="shared" si="213"/>
        <v>0</v>
      </c>
      <c r="X340" s="1">
        <f t="shared" si="214"/>
        <v>0</v>
      </c>
      <c r="Y340" s="1">
        <f t="shared" si="215"/>
        <v>0</v>
      </c>
      <c r="Z340" s="1">
        <f t="shared" si="216"/>
        <v>0</v>
      </c>
      <c r="AA340" s="1">
        <f t="shared" si="217"/>
        <v>0</v>
      </c>
      <c r="AB340" s="1">
        <f t="shared" si="218"/>
        <v>0</v>
      </c>
      <c r="AD340" s="1">
        <f t="shared" si="219"/>
        <v>0</v>
      </c>
      <c r="AE340" s="1">
        <f t="shared" si="220"/>
        <v>0</v>
      </c>
      <c r="AF340" s="1">
        <f t="shared" si="221"/>
        <v>0</v>
      </c>
      <c r="AG340" s="1">
        <f t="shared" si="222"/>
        <v>0</v>
      </c>
      <c r="AH340" s="1">
        <f t="shared" si="223"/>
        <v>0</v>
      </c>
      <c r="AI340" s="1">
        <f t="shared" si="224"/>
        <v>1</v>
      </c>
    </row>
    <row r="341" spans="1:35" s="1" customFormat="1" ht="14.25" customHeight="1" x14ac:dyDescent="0.3">
      <c r="A341" s="31">
        <v>0</v>
      </c>
      <c r="B341" s="31">
        <v>2</v>
      </c>
      <c r="C341" s="31">
        <v>3</v>
      </c>
      <c r="D341" s="32" t="s">
        <v>568</v>
      </c>
      <c r="E341" s="32" t="s">
        <v>38</v>
      </c>
      <c r="F341" s="32" t="s">
        <v>237</v>
      </c>
      <c r="G341" s="32" t="s">
        <v>539</v>
      </c>
      <c r="H341" s="32" t="s">
        <v>354</v>
      </c>
      <c r="I341" s="31" t="s">
        <v>403</v>
      </c>
      <c r="J341" s="31">
        <v>1</v>
      </c>
      <c r="K341" s="33" t="s">
        <v>712</v>
      </c>
      <c r="L341" s="33" t="s">
        <v>724</v>
      </c>
      <c r="M341" s="34" t="s">
        <v>725</v>
      </c>
      <c r="N341" s="34" t="s">
        <v>1727</v>
      </c>
      <c r="O341" s="35">
        <v>1</v>
      </c>
      <c r="P341" s="35">
        <v>1</v>
      </c>
      <c r="Q341" s="32"/>
      <c r="S341" s="1">
        <f t="shared" si="209"/>
        <v>1</v>
      </c>
      <c r="T341" s="1">
        <f t="shared" si="210"/>
        <v>0</v>
      </c>
      <c r="U341" s="1">
        <f t="shared" si="211"/>
        <v>0</v>
      </c>
      <c r="V341" s="1">
        <f t="shared" si="212"/>
        <v>0</v>
      </c>
      <c r="W341" s="1">
        <f t="shared" si="213"/>
        <v>0</v>
      </c>
      <c r="X341" s="1">
        <f t="shared" si="214"/>
        <v>0</v>
      </c>
      <c r="Y341" s="1">
        <f t="shared" si="215"/>
        <v>0</v>
      </c>
      <c r="Z341" s="1">
        <f t="shared" si="216"/>
        <v>0</v>
      </c>
      <c r="AA341" s="1">
        <f t="shared" si="217"/>
        <v>0</v>
      </c>
      <c r="AB341" s="1">
        <f t="shared" si="218"/>
        <v>0</v>
      </c>
      <c r="AD341" s="1">
        <f t="shared" si="219"/>
        <v>1</v>
      </c>
      <c r="AE341" s="1">
        <f t="shared" si="220"/>
        <v>0</v>
      </c>
      <c r="AF341" s="1">
        <f t="shared" si="221"/>
        <v>1</v>
      </c>
      <c r="AG341" s="1">
        <f t="shared" si="222"/>
        <v>0</v>
      </c>
      <c r="AH341" s="1">
        <f t="shared" si="223"/>
        <v>1</v>
      </c>
      <c r="AI341" s="1">
        <f t="shared" si="224"/>
        <v>0</v>
      </c>
    </row>
    <row r="342" spans="1:35" s="1" customFormat="1" ht="14.25" customHeight="1" x14ac:dyDescent="0.3">
      <c r="A342" s="44">
        <v>0</v>
      </c>
      <c r="B342" s="44">
        <v>2</v>
      </c>
      <c r="C342" s="44">
        <v>3</v>
      </c>
      <c r="D342" s="45" t="s">
        <v>850</v>
      </c>
      <c r="E342" s="45" t="s">
        <v>34</v>
      </c>
      <c r="F342" s="45" t="s">
        <v>926</v>
      </c>
      <c r="G342" s="45" t="s">
        <v>638</v>
      </c>
      <c r="H342" s="45" t="s">
        <v>354</v>
      </c>
      <c r="I342" s="44" t="s">
        <v>851</v>
      </c>
      <c r="J342" s="44">
        <v>1</v>
      </c>
      <c r="K342" s="46" t="s">
        <v>954</v>
      </c>
      <c r="L342" s="46" t="s">
        <v>729</v>
      </c>
      <c r="M342" s="47" t="s">
        <v>723</v>
      </c>
      <c r="N342" s="47" t="s">
        <v>1735</v>
      </c>
      <c r="O342" s="48"/>
      <c r="P342" s="48"/>
      <c r="Q342" s="45"/>
      <c r="S342" s="1">
        <f t="shared" ref="S342:S406" si="225">IF(J342=$S$7,1,0)</f>
        <v>1</v>
      </c>
      <c r="T342" s="1">
        <f t="shared" ref="T342:T406" si="226">IF(J342=$T$7,1,0)</f>
        <v>0</v>
      </c>
      <c r="U342" s="1">
        <f t="shared" ref="U342:U406" si="227">IF(J342=$U$7,1,0)</f>
        <v>0</v>
      </c>
      <c r="V342" s="1">
        <f t="shared" ref="V342:V406" si="228">IF(J342=$V$7,1,0)</f>
        <v>0</v>
      </c>
      <c r="W342" s="1">
        <f t="shared" ref="W342:W406" si="229">IF(J342=$W$7,1,0)</f>
        <v>0</v>
      </c>
      <c r="X342" s="1">
        <f t="shared" ref="X342:X406" si="230">IF(J342=$X$7,1,0)</f>
        <v>0</v>
      </c>
      <c r="Y342" s="1">
        <f t="shared" ref="Y342:Y406" si="231">IF(J342=$Y$7,1,0)</f>
        <v>0</v>
      </c>
      <c r="Z342" s="1">
        <f t="shared" ref="Z342:Z406" si="232">IF(J342=$Z$7,1,0)</f>
        <v>0</v>
      </c>
      <c r="AA342" s="1">
        <f t="shared" ref="AA342:AA406" si="233">IF(J342=$AA$7,1,0)</f>
        <v>0</v>
      </c>
      <c r="AB342" s="1">
        <f t="shared" ref="AB342:AB406" si="234">IF(J342=$AB$7,1,0)</f>
        <v>0</v>
      </c>
      <c r="AD342" s="1">
        <f t="shared" ref="AD342:AD406" si="235">+O342*P342</f>
        <v>0</v>
      </c>
      <c r="AE342" s="1">
        <f t="shared" ref="AE342:AE406" si="236">O342*(1-P342)</f>
        <v>0</v>
      </c>
      <c r="AF342" s="1">
        <f t="shared" si="221"/>
        <v>0</v>
      </c>
      <c r="AG342" s="1">
        <f t="shared" si="222"/>
        <v>0</v>
      </c>
      <c r="AH342" s="1">
        <f t="shared" si="223"/>
        <v>0</v>
      </c>
      <c r="AI342" s="1">
        <f t="shared" si="224"/>
        <v>1</v>
      </c>
    </row>
    <row r="343" spans="1:35" s="1" customFormat="1" ht="14.25" customHeight="1" x14ac:dyDescent="0.3">
      <c r="A343" s="15">
        <v>0</v>
      </c>
      <c r="B343" s="15">
        <v>2</v>
      </c>
      <c r="C343" s="15">
        <v>3</v>
      </c>
      <c r="D343" s="16" t="s">
        <v>793</v>
      </c>
      <c r="E343" s="16" t="s">
        <v>32</v>
      </c>
      <c r="F343" s="16" t="s">
        <v>794</v>
      </c>
      <c r="G343" s="16" t="s">
        <v>251</v>
      </c>
      <c r="H343" s="16" t="s">
        <v>354</v>
      </c>
      <c r="I343" s="15" t="s">
        <v>795</v>
      </c>
      <c r="J343" s="15">
        <v>99</v>
      </c>
      <c r="K343" s="10" t="s">
        <v>713</v>
      </c>
      <c r="L343" s="10" t="s">
        <v>722</v>
      </c>
      <c r="M343" s="19" t="s">
        <v>723</v>
      </c>
      <c r="N343" s="19"/>
      <c r="Q343" s="16"/>
      <c r="S343" s="1">
        <f t="shared" si="225"/>
        <v>0</v>
      </c>
      <c r="T343" s="1">
        <f t="shared" si="226"/>
        <v>0</v>
      </c>
      <c r="U343" s="1">
        <f t="shared" si="227"/>
        <v>0</v>
      </c>
      <c r="V343" s="1">
        <f t="shared" si="228"/>
        <v>0</v>
      </c>
      <c r="W343" s="1">
        <f t="shared" si="229"/>
        <v>0</v>
      </c>
      <c r="X343" s="1">
        <f t="shared" si="230"/>
        <v>0</v>
      </c>
      <c r="Y343" s="1">
        <f t="shared" si="231"/>
        <v>0</v>
      </c>
      <c r="Z343" s="1">
        <f t="shared" si="232"/>
        <v>0</v>
      </c>
      <c r="AA343" s="1">
        <f t="shared" si="233"/>
        <v>0</v>
      </c>
      <c r="AB343" s="1">
        <f t="shared" si="234"/>
        <v>0</v>
      </c>
      <c r="AD343" s="1">
        <f t="shared" si="235"/>
        <v>0</v>
      </c>
      <c r="AE343" s="1">
        <f t="shared" si="236"/>
        <v>0</v>
      </c>
      <c r="AF343" s="1">
        <f t="shared" si="221"/>
        <v>0</v>
      </c>
      <c r="AG343" s="1">
        <f t="shared" si="222"/>
        <v>0</v>
      </c>
      <c r="AH343" s="1">
        <f t="shared" si="223"/>
        <v>0</v>
      </c>
      <c r="AI343" s="1">
        <f t="shared" si="224"/>
        <v>1</v>
      </c>
    </row>
    <row r="344" spans="1:35" s="1" customFormat="1" ht="14.25" customHeight="1" x14ac:dyDescent="0.3">
      <c r="A344" s="44">
        <v>0</v>
      </c>
      <c r="B344" s="44">
        <v>2</v>
      </c>
      <c r="C344" s="44">
        <v>3</v>
      </c>
      <c r="D344" s="45" t="s">
        <v>56</v>
      </c>
      <c r="E344" s="45" t="s">
        <v>161</v>
      </c>
      <c r="F344" s="45" t="s">
        <v>219</v>
      </c>
      <c r="G344" s="45" t="s">
        <v>196</v>
      </c>
      <c r="H344" s="45" t="s">
        <v>354</v>
      </c>
      <c r="I344" s="44" t="s">
        <v>551</v>
      </c>
      <c r="J344" s="44">
        <v>99</v>
      </c>
      <c r="K344" s="46" t="s">
        <v>713</v>
      </c>
      <c r="L344" s="46" t="s">
        <v>722</v>
      </c>
      <c r="M344" s="47" t="s">
        <v>723</v>
      </c>
      <c r="N344" s="47" t="s">
        <v>1802</v>
      </c>
      <c r="O344" s="48"/>
      <c r="P344" s="48"/>
      <c r="Q344" s="45"/>
      <c r="S344" s="1">
        <f t="shared" si="225"/>
        <v>0</v>
      </c>
      <c r="T344" s="1">
        <f t="shared" si="226"/>
        <v>0</v>
      </c>
      <c r="U344" s="1">
        <f t="shared" si="227"/>
        <v>0</v>
      </c>
      <c r="V344" s="1">
        <f t="shared" si="228"/>
        <v>0</v>
      </c>
      <c r="W344" s="1">
        <f t="shared" si="229"/>
        <v>0</v>
      </c>
      <c r="X344" s="1">
        <f t="shared" si="230"/>
        <v>0</v>
      </c>
      <c r="Y344" s="1">
        <f t="shared" si="231"/>
        <v>0</v>
      </c>
      <c r="Z344" s="1">
        <f t="shared" si="232"/>
        <v>0</v>
      </c>
      <c r="AA344" s="1">
        <f t="shared" si="233"/>
        <v>0</v>
      </c>
      <c r="AB344" s="1">
        <f t="shared" si="234"/>
        <v>0</v>
      </c>
      <c r="AD344" s="1">
        <f t="shared" si="235"/>
        <v>0</v>
      </c>
      <c r="AE344" s="1">
        <f t="shared" si="236"/>
        <v>0</v>
      </c>
      <c r="AF344" s="1">
        <f t="shared" si="221"/>
        <v>0</v>
      </c>
      <c r="AG344" s="1">
        <f t="shared" si="222"/>
        <v>0</v>
      </c>
      <c r="AH344" s="1">
        <f t="shared" si="223"/>
        <v>0</v>
      </c>
      <c r="AI344" s="1">
        <f t="shared" si="224"/>
        <v>1</v>
      </c>
    </row>
    <row r="345" spans="1:35" s="1" customFormat="1" ht="14.25" customHeight="1" x14ac:dyDescent="0.3">
      <c r="A345" s="44">
        <v>0</v>
      </c>
      <c r="B345" s="44">
        <v>2</v>
      </c>
      <c r="C345" s="44">
        <v>3</v>
      </c>
      <c r="D345" s="45" t="s">
        <v>1175</v>
      </c>
      <c r="E345" s="45" t="s">
        <v>1335</v>
      </c>
      <c r="F345" s="45" t="s">
        <v>1176</v>
      </c>
      <c r="G345" s="45" t="s">
        <v>302</v>
      </c>
      <c r="H345" s="45" t="s">
        <v>354</v>
      </c>
      <c r="I345" s="44" t="s">
        <v>1177</v>
      </c>
      <c r="J345" s="44">
        <v>1</v>
      </c>
      <c r="K345" s="46" t="s">
        <v>955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25"/>
        <v>1</v>
      </c>
      <c r="T345" s="1">
        <f t="shared" si="226"/>
        <v>0</v>
      </c>
      <c r="U345" s="1">
        <f t="shared" si="227"/>
        <v>0</v>
      </c>
      <c r="V345" s="1">
        <f t="shared" si="228"/>
        <v>0</v>
      </c>
      <c r="W345" s="1">
        <f t="shared" si="229"/>
        <v>0</v>
      </c>
      <c r="X345" s="1">
        <f t="shared" si="230"/>
        <v>0</v>
      </c>
      <c r="Y345" s="1">
        <f t="shared" si="231"/>
        <v>0</v>
      </c>
      <c r="Z345" s="1">
        <f t="shared" si="232"/>
        <v>0</v>
      </c>
      <c r="AA345" s="1">
        <f t="shared" si="233"/>
        <v>0</v>
      </c>
      <c r="AB345" s="1">
        <f t="shared" si="234"/>
        <v>0</v>
      </c>
      <c r="AD345" s="1">
        <f t="shared" si="235"/>
        <v>0</v>
      </c>
      <c r="AE345" s="1">
        <f t="shared" si="236"/>
        <v>0</v>
      </c>
      <c r="AF345" s="1">
        <f t="shared" si="221"/>
        <v>0</v>
      </c>
      <c r="AG345" s="1">
        <f t="shared" si="222"/>
        <v>0</v>
      </c>
      <c r="AH345" s="1">
        <f t="shared" si="223"/>
        <v>0</v>
      </c>
      <c r="AI345" s="1">
        <f t="shared" si="224"/>
        <v>1</v>
      </c>
    </row>
    <row r="346" spans="1:35" s="1" customFormat="1" ht="14.25" customHeight="1" x14ac:dyDescent="0.3">
      <c r="A346" s="44">
        <v>0</v>
      </c>
      <c r="B346" s="44">
        <v>2</v>
      </c>
      <c r="C346" s="44">
        <v>3</v>
      </c>
      <c r="D346" s="45" t="s">
        <v>1172</v>
      </c>
      <c r="E346" s="45" t="s">
        <v>1335</v>
      </c>
      <c r="F346" s="45" t="s">
        <v>1173</v>
      </c>
      <c r="G346" s="45" t="s">
        <v>1056</v>
      </c>
      <c r="H346" s="45" t="s">
        <v>354</v>
      </c>
      <c r="I346" s="44" t="s">
        <v>1174</v>
      </c>
      <c r="J346" s="44">
        <v>1</v>
      </c>
      <c r="K346" s="46" t="s">
        <v>713</v>
      </c>
      <c r="L346" s="46" t="s">
        <v>693</v>
      </c>
      <c r="M346" s="47" t="s">
        <v>1415</v>
      </c>
      <c r="N346" s="47" t="s">
        <v>1735</v>
      </c>
      <c r="O346" s="48"/>
      <c r="P346" s="48"/>
      <c r="Q346" s="45"/>
      <c r="S346" s="1">
        <f t="shared" si="225"/>
        <v>1</v>
      </c>
      <c r="T346" s="1">
        <f t="shared" si="226"/>
        <v>0</v>
      </c>
      <c r="U346" s="1">
        <f t="shared" si="227"/>
        <v>0</v>
      </c>
      <c r="V346" s="1">
        <f t="shared" si="228"/>
        <v>0</v>
      </c>
      <c r="W346" s="1">
        <f t="shared" si="229"/>
        <v>0</v>
      </c>
      <c r="X346" s="1">
        <f t="shared" si="230"/>
        <v>0</v>
      </c>
      <c r="Y346" s="1">
        <f t="shared" si="231"/>
        <v>0</v>
      </c>
      <c r="Z346" s="1">
        <f t="shared" si="232"/>
        <v>0</v>
      </c>
      <c r="AA346" s="1">
        <f t="shared" si="233"/>
        <v>0</v>
      </c>
      <c r="AB346" s="1">
        <f t="shared" si="234"/>
        <v>0</v>
      </c>
      <c r="AD346" s="1">
        <f t="shared" si="235"/>
        <v>0</v>
      </c>
      <c r="AE346" s="1">
        <f t="shared" si="236"/>
        <v>0</v>
      </c>
      <c r="AF346" s="1">
        <f t="shared" si="221"/>
        <v>0</v>
      </c>
      <c r="AG346" s="1">
        <f t="shared" si="222"/>
        <v>0</v>
      </c>
      <c r="AH346" s="1">
        <f t="shared" si="223"/>
        <v>0</v>
      </c>
      <c r="AI346" s="1">
        <f t="shared" si="224"/>
        <v>1</v>
      </c>
    </row>
    <row r="347" spans="1:35" s="1" customFormat="1" ht="14.25" customHeight="1" x14ac:dyDescent="0.3">
      <c r="A347" s="31">
        <v>0</v>
      </c>
      <c r="B347" s="31">
        <v>2</v>
      </c>
      <c r="C347" s="31">
        <v>3</v>
      </c>
      <c r="D347" s="32" t="s">
        <v>1294</v>
      </c>
      <c r="E347" s="32" t="s">
        <v>32</v>
      </c>
      <c r="F347" s="32" t="s">
        <v>1295</v>
      </c>
      <c r="G347" s="32" t="s">
        <v>222</v>
      </c>
      <c r="H347" s="32" t="s">
        <v>354</v>
      </c>
      <c r="I347" s="31" t="s">
        <v>1689</v>
      </c>
      <c r="J347" s="31">
        <v>99</v>
      </c>
      <c r="K347" s="33" t="s">
        <v>713</v>
      </c>
      <c r="L347" s="33" t="s">
        <v>716</v>
      </c>
      <c r="M347" s="34" t="s">
        <v>1296</v>
      </c>
      <c r="N347" s="34" t="s">
        <v>1727</v>
      </c>
      <c r="O347" s="35">
        <v>1</v>
      </c>
      <c r="P347" s="35">
        <v>1</v>
      </c>
      <c r="Q347" s="32"/>
      <c r="S347" s="1">
        <f t="shared" si="225"/>
        <v>0</v>
      </c>
      <c r="T347" s="1">
        <f t="shared" si="226"/>
        <v>0</v>
      </c>
      <c r="U347" s="1">
        <f t="shared" si="227"/>
        <v>0</v>
      </c>
      <c r="V347" s="1">
        <f t="shared" si="228"/>
        <v>0</v>
      </c>
      <c r="W347" s="1">
        <f t="shared" si="229"/>
        <v>0</v>
      </c>
      <c r="X347" s="1">
        <f t="shared" si="230"/>
        <v>0</v>
      </c>
      <c r="Y347" s="1">
        <f t="shared" si="231"/>
        <v>0</v>
      </c>
      <c r="Z347" s="1">
        <f t="shared" si="232"/>
        <v>0</v>
      </c>
      <c r="AA347" s="1">
        <f t="shared" si="233"/>
        <v>0</v>
      </c>
      <c r="AB347" s="1">
        <f t="shared" si="234"/>
        <v>0</v>
      </c>
      <c r="AD347" s="1">
        <f t="shared" si="235"/>
        <v>1</v>
      </c>
      <c r="AE347" s="1">
        <f t="shared" si="236"/>
        <v>0</v>
      </c>
      <c r="AF347" s="1">
        <f t="shared" si="221"/>
        <v>1</v>
      </c>
      <c r="AG347" s="1">
        <f t="shared" si="222"/>
        <v>0</v>
      </c>
      <c r="AH347" s="1">
        <f t="shared" si="223"/>
        <v>1</v>
      </c>
      <c r="AI347" s="1">
        <f t="shared" si="224"/>
        <v>0</v>
      </c>
    </row>
    <row r="348" spans="1:35" s="1" customFormat="1" ht="14.25" customHeight="1" x14ac:dyDescent="0.3">
      <c r="A348" s="31">
        <v>0</v>
      </c>
      <c r="B348" s="31">
        <v>2</v>
      </c>
      <c r="C348" s="31">
        <v>3</v>
      </c>
      <c r="D348" s="32" t="s">
        <v>761</v>
      </c>
      <c r="E348" s="32" t="s">
        <v>913</v>
      </c>
      <c r="F348" s="32" t="s">
        <v>762</v>
      </c>
      <c r="G348" s="32" t="s">
        <v>220</v>
      </c>
      <c r="H348" s="32" t="s">
        <v>354</v>
      </c>
      <c r="I348" s="31" t="s">
        <v>763</v>
      </c>
      <c r="J348" s="31">
        <v>8</v>
      </c>
      <c r="K348" s="33" t="s">
        <v>955</v>
      </c>
      <c r="L348" s="33" t="s">
        <v>729</v>
      </c>
      <c r="M348" s="34" t="s">
        <v>723</v>
      </c>
      <c r="N348" s="34" t="s">
        <v>1748</v>
      </c>
      <c r="O348" s="35">
        <v>1</v>
      </c>
      <c r="P348" s="35"/>
      <c r="Q348" s="32"/>
      <c r="S348" s="1">
        <f t="shared" si="225"/>
        <v>0</v>
      </c>
      <c r="T348" s="1">
        <f t="shared" si="226"/>
        <v>0</v>
      </c>
      <c r="U348" s="1">
        <f t="shared" si="227"/>
        <v>0</v>
      </c>
      <c r="V348" s="1">
        <f t="shared" si="228"/>
        <v>0</v>
      </c>
      <c r="W348" s="1">
        <f t="shared" si="229"/>
        <v>0</v>
      </c>
      <c r="X348" s="1">
        <f t="shared" si="230"/>
        <v>0</v>
      </c>
      <c r="Y348" s="1">
        <f t="shared" si="231"/>
        <v>0</v>
      </c>
      <c r="Z348" s="1">
        <f t="shared" si="232"/>
        <v>1</v>
      </c>
      <c r="AA348" s="1">
        <f t="shared" si="233"/>
        <v>0</v>
      </c>
      <c r="AB348" s="1">
        <f t="shared" si="234"/>
        <v>0</v>
      </c>
      <c r="AD348" s="1">
        <f t="shared" si="235"/>
        <v>0</v>
      </c>
      <c r="AE348" s="1">
        <f t="shared" si="236"/>
        <v>1</v>
      </c>
      <c r="AF348" s="1">
        <f t="shared" si="221"/>
        <v>0</v>
      </c>
      <c r="AG348" s="1">
        <f t="shared" si="222"/>
        <v>1</v>
      </c>
      <c r="AH348" s="1">
        <f t="shared" si="223"/>
        <v>0</v>
      </c>
      <c r="AI348" s="1">
        <f t="shared" si="224"/>
        <v>1</v>
      </c>
    </row>
    <row r="349" spans="1:35" s="1" customFormat="1" ht="14.25" customHeight="1" x14ac:dyDescent="0.3">
      <c r="A349" s="44">
        <v>0</v>
      </c>
      <c r="B349" s="44">
        <v>2</v>
      </c>
      <c r="C349" s="44">
        <v>3</v>
      </c>
      <c r="D349" s="45" t="s">
        <v>1495</v>
      </c>
      <c r="E349" s="45" t="s">
        <v>1496</v>
      </c>
      <c r="F349" s="45" t="s">
        <v>1497</v>
      </c>
      <c r="G349" s="45" t="s">
        <v>238</v>
      </c>
      <c r="H349" s="45" t="s">
        <v>354</v>
      </c>
      <c r="I349" s="44" t="s">
        <v>1498</v>
      </c>
      <c r="J349" s="44">
        <v>4</v>
      </c>
      <c r="K349" s="46" t="s">
        <v>712</v>
      </c>
      <c r="L349" s="46">
        <v>15</v>
      </c>
      <c r="M349" s="47" t="s">
        <v>39</v>
      </c>
      <c r="N349" s="47" t="s">
        <v>1802</v>
      </c>
      <c r="O349" s="48"/>
      <c r="P349" s="48"/>
      <c r="Q349" s="45"/>
      <c r="S349" s="1">
        <f t="shared" si="225"/>
        <v>0</v>
      </c>
      <c r="T349" s="1">
        <f t="shared" si="226"/>
        <v>0</v>
      </c>
      <c r="U349" s="1">
        <f t="shared" si="227"/>
        <v>0</v>
      </c>
      <c r="V349" s="1">
        <f t="shared" si="228"/>
        <v>1</v>
      </c>
      <c r="W349" s="1">
        <f t="shared" si="229"/>
        <v>0</v>
      </c>
      <c r="X349" s="1">
        <f t="shared" si="230"/>
        <v>0</v>
      </c>
      <c r="Y349" s="1">
        <f t="shared" si="231"/>
        <v>0</v>
      </c>
      <c r="Z349" s="1">
        <f t="shared" si="232"/>
        <v>0</v>
      </c>
      <c r="AA349" s="1">
        <f t="shared" si="233"/>
        <v>0</v>
      </c>
      <c r="AB349" s="1">
        <f t="shared" si="234"/>
        <v>0</v>
      </c>
      <c r="AD349" s="1">
        <f t="shared" si="235"/>
        <v>0</v>
      </c>
      <c r="AE349" s="1">
        <f t="shared" si="236"/>
        <v>0</v>
      </c>
      <c r="AF349" s="1">
        <f t="shared" si="221"/>
        <v>0</v>
      </c>
      <c r="AG349" s="1">
        <f t="shared" si="222"/>
        <v>0</v>
      </c>
      <c r="AH349" s="1">
        <f t="shared" si="223"/>
        <v>0</v>
      </c>
      <c r="AI349" s="1">
        <f t="shared" si="224"/>
        <v>1</v>
      </c>
    </row>
    <row r="350" spans="1:35" s="1" customFormat="1" ht="14.25" customHeight="1" x14ac:dyDescent="0.3">
      <c r="A350" s="31">
        <v>0</v>
      </c>
      <c r="B350" s="31">
        <v>2</v>
      </c>
      <c r="C350" s="31">
        <v>3</v>
      </c>
      <c r="D350" s="32" t="s">
        <v>1553</v>
      </c>
      <c r="E350" s="32" t="s">
        <v>1554</v>
      </c>
      <c r="F350" s="32" t="s">
        <v>1555</v>
      </c>
      <c r="G350" s="32" t="s">
        <v>1556</v>
      </c>
      <c r="H350" s="32" t="s">
        <v>354</v>
      </c>
      <c r="I350" s="31" t="s">
        <v>1557</v>
      </c>
      <c r="J350" s="31">
        <v>7</v>
      </c>
      <c r="K350" s="33" t="s">
        <v>955</v>
      </c>
      <c r="L350" s="33">
        <v>10</v>
      </c>
      <c r="M350" s="34" t="s">
        <v>39</v>
      </c>
      <c r="N350" s="34" t="s">
        <v>1743</v>
      </c>
      <c r="O350" s="35">
        <v>1</v>
      </c>
      <c r="P350" s="35"/>
      <c r="Q350" s="32"/>
      <c r="S350" s="1">
        <f t="shared" si="225"/>
        <v>0</v>
      </c>
      <c r="T350" s="1">
        <f t="shared" si="226"/>
        <v>0</v>
      </c>
      <c r="U350" s="1">
        <f t="shared" si="227"/>
        <v>0</v>
      </c>
      <c r="V350" s="1">
        <f t="shared" si="228"/>
        <v>0</v>
      </c>
      <c r="W350" s="1">
        <f t="shared" si="229"/>
        <v>0</v>
      </c>
      <c r="X350" s="1">
        <f t="shared" si="230"/>
        <v>0</v>
      </c>
      <c r="Y350" s="1">
        <f t="shared" si="231"/>
        <v>1</v>
      </c>
      <c r="Z350" s="1">
        <f t="shared" si="232"/>
        <v>0</v>
      </c>
      <c r="AA350" s="1">
        <f t="shared" si="233"/>
        <v>0</v>
      </c>
      <c r="AB350" s="1">
        <f t="shared" si="234"/>
        <v>0</v>
      </c>
      <c r="AD350" s="1">
        <f t="shared" si="235"/>
        <v>0</v>
      </c>
      <c r="AE350" s="1">
        <f t="shared" si="236"/>
        <v>1</v>
      </c>
      <c r="AF350" s="1">
        <f t="shared" si="221"/>
        <v>0</v>
      </c>
      <c r="AG350" s="1">
        <f t="shared" si="222"/>
        <v>1</v>
      </c>
      <c r="AH350" s="1">
        <f t="shared" si="223"/>
        <v>0</v>
      </c>
      <c r="AI350" s="1">
        <f t="shared" si="224"/>
        <v>1</v>
      </c>
    </row>
    <row r="351" spans="1:35" s="1" customFormat="1" ht="14.25" customHeight="1" x14ac:dyDescent="0.3">
      <c r="A351" s="44">
        <v>0</v>
      </c>
      <c r="B351" s="44">
        <v>2</v>
      </c>
      <c r="C351" s="44">
        <v>3</v>
      </c>
      <c r="D351" s="45" t="s">
        <v>841</v>
      </c>
      <c r="E351" s="45" t="s">
        <v>32</v>
      </c>
      <c r="F351" s="45" t="s">
        <v>843</v>
      </c>
      <c r="G351" s="45" t="s">
        <v>39</v>
      </c>
      <c r="H351" s="45" t="s">
        <v>354</v>
      </c>
      <c r="I351" s="44" t="s">
        <v>842</v>
      </c>
      <c r="J351" s="44">
        <v>1</v>
      </c>
      <c r="K351" s="46" t="s">
        <v>713</v>
      </c>
      <c r="L351" s="46" t="s">
        <v>694</v>
      </c>
      <c r="M351" s="47" t="s">
        <v>1415</v>
      </c>
      <c r="N351" s="47" t="s">
        <v>1735</v>
      </c>
      <c r="O351" s="48"/>
      <c r="P351" s="48"/>
      <c r="Q351" s="45"/>
      <c r="S351" s="1">
        <f t="shared" si="225"/>
        <v>1</v>
      </c>
      <c r="T351" s="1">
        <f t="shared" si="226"/>
        <v>0</v>
      </c>
      <c r="U351" s="1">
        <f t="shared" si="227"/>
        <v>0</v>
      </c>
      <c r="V351" s="1">
        <f t="shared" si="228"/>
        <v>0</v>
      </c>
      <c r="W351" s="1">
        <f t="shared" si="229"/>
        <v>0</v>
      </c>
      <c r="X351" s="1">
        <f t="shared" si="230"/>
        <v>0</v>
      </c>
      <c r="Y351" s="1">
        <f t="shared" si="231"/>
        <v>0</v>
      </c>
      <c r="Z351" s="1">
        <f t="shared" si="232"/>
        <v>0</v>
      </c>
      <c r="AA351" s="1">
        <f t="shared" si="233"/>
        <v>0</v>
      </c>
      <c r="AB351" s="1">
        <f t="shared" si="234"/>
        <v>0</v>
      </c>
      <c r="AD351" s="1">
        <f t="shared" si="235"/>
        <v>0</v>
      </c>
      <c r="AE351" s="1">
        <f t="shared" si="236"/>
        <v>0</v>
      </c>
      <c r="AF351" s="1">
        <f t="shared" si="221"/>
        <v>0</v>
      </c>
      <c r="AG351" s="1">
        <f t="shared" si="222"/>
        <v>0</v>
      </c>
      <c r="AH351" s="1">
        <f t="shared" si="223"/>
        <v>0</v>
      </c>
      <c r="AI351" s="1">
        <f t="shared" si="224"/>
        <v>1</v>
      </c>
    </row>
    <row r="352" spans="1:35" s="1" customFormat="1" ht="14.25" customHeight="1" x14ac:dyDescent="0.3">
      <c r="A352" s="15">
        <v>0</v>
      </c>
      <c r="B352" s="15">
        <v>2</v>
      </c>
      <c r="C352" s="15">
        <v>4</v>
      </c>
      <c r="D352" s="16" t="s">
        <v>764</v>
      </c>
      <c r="E352" s="16" t="s">
        <v>765</v>
      </c>
      <c r="F352" s="16" t="s">
        <v>766</v>
      </c>
      <c r="G352" s="16" t="s">
        <v>767</v>
      </c>
      <c r="H352" s="16" t="s">
        <v>354</v>
      </c>
      <c r="I352" s="15" t="s">
        <v>768</v>
      </c>
      <c r="J352" s="15">
        <v>99</v>
      </c>
      <c r="K352" s="10" t="s">
        <v>703</v>
      </c>
      <c r="L352" s="10">
        <v>15</v>
      </c>
      <c r="M352" s="19" t="s">
        <v>769</v>
      </c>
      <c r="N352" s="19"/>
      <c r="Q352" s="16"/>
      <c r="S352" s="1">
        <f t="shared" si="225"/>
        <v>0</v>
      </c>
      <c r="T352" s="1">
        <f t="shared" si="226"/>
        <v>0</v>
      </c>
      <c r="U352" s="1">
        <f t="shared" si="227"/>
        <v>0</v>
      </c>
      <c r="V352" s="1">
        <f t="shared" si="228"/>
        <v>0</v>
      </c>
      <c r="W352" s="1">
        <f t="shared" si="229"/>
        <v>0</v>
      </c>
      <c r="X352" s="1">
        <f t="shared" si="230"/>
        <v>0</v>
      </c>
      <c r="Y352" s="1">
        <f t="shared" si="231"/>
        <v>0</v>
      </c>
      <c r="Z352" s="1">
        <f t="shared" si="232"/>
        <v>0</v>
      </c>
      <c r="AA352" s="1">
        <f t="shared" si="233"/>
        <v>0</v>
      </c>
      <c r="AB352" s="1">
        <f t="shared" si="234"/>
        <v>0</v>
      </c>
      <c r="AD352" s="1">
        <f t="shared" si="235"/>
        <v>0</v>
      </c>
      <c r="AE352" s="1">
        <f t="shared" si="236"/>
        <v>0</v>
      </c>
      <c r="AF352" s="1">
        <f t="shared" si="221"/>
        <v>0</v>
      </c>
      <c r="AG352" s="1">
        <f t="shared" si="222"/>
        <v>0</v>
      </c>
      <c r="AH352" s="1">
        <f t="shared" si="223"/>
        <v>0</v>
      </c>
      <c r="AI352" s="1">
        <f t="shared" si="224"/>
        <v>1</v>
      </c>
    </row>
    <row r="353" spans="1:35" s="1" customFormat="1" ht="14.25" customHeight="1" x14ac:dyDescent="0.3">
      <c r="A353" s="44">
        <v>0</v>
      </c>
      <c r="B353" s="44">
        <v>2</v>
      </c>
      <c r="C353" s="44">
        <v>4</v>
      </c>
      <c r="D353" s="45" t="s">
        <v>798</v>
      </c>
      <c r="E353" s="45" t="s">
        <v>908</v>
      </c>
      <c r="F353" s="45" t="s">
        <v>925</v>
      </c>
      <c r="G353" s="45" t="s">
        <v>208</v>
      </c>
      <c r="H353" s="45" t="s">
        <v>354</v>
      </c>
      <c r="I353" s="44" t="s">
        <v>1363</v>
      </c>
      <c r="J353" s="44">
        <v>3</v>
      </c>
      <c r="K353" s="46" t="s">
        <v>703</v>
      </c>
      <c r="L353" s="46">
        <v>20</v>
      </c>
      <c r="M353" s="47" t="s">
        <v>1417</v>
      </c>
      <c r="N353" s="47" t="s">
        <v>1802</v>
      </c>
      <c r="O353" s="48"/>
      <c r="P353" s="48"/>
      <c r="Q353" s="45"/>
      <c r="S353" s="1">
        <f t="shared" si="225"/>
        <v>0</v>
      </c>
      <c r="T353" s="1">
        <f t="shared" si="226"/>
        <v>0</v>
      </c>
      <c r="U353" s="1">
        <f t="shared" si="227"/>
        <v>1</v>
      </c>
      <c r="V353" s="1">
        <f t="shared" si="228"/>
        <v>0</v>
      </c>
      <c r="W353" s="1">
        <f t="shared" si="229"/>
        <v>0</v>
      </c>
      <c r="X353" s="1">
        <f t="shared" si="230"/>
        <v>0</v>
      </c>
      <c r="Y353" s="1">
        <f t="shared" si="231"/>
        <v>0</v>
      </c>
      <c r="Z353" s="1">
        <f t="shared" si="232"/>
        <v>0</v>
      </c>
      <c r="AA353" s="1">
        <f t="shared" si="233"/>
        <v>0</v>
      </c>
      <c r="AB353" s="1">
        <f t="shared" si="234"/>
        <v>0</v>
      </c>
      <c r="AD353" s="1">
        <f t="shared" si="235"/>
        <v>0</v>
      </c>
      <c r="AE353" s="1">
        <f t="shared" si="236"/>
        <v>0</v>
      </c>
      <c r="AF353" s="1">
        <f t="shared" si="221"/>
        <v>0</v>
      </c>
      <c r="AG353" s="1">
        <f t="shared" si="222"/>
        <v>0</v>
      </c>
      <c r="AH353" s="1">
        <f t="shared" si="223"/>
        <v>0</v>
      </c>
      <c r="AI353" s="1">
        <f t="shared" si="224"/>
        <v>1</v>
      </c>
    </row>
    <row r="354" spans="1:35" s="1" customFormat="1" ht="14.25" customHeight="1" x14ac:dyDescent="0.3">
      <c r="A354" s="57">
        <v>0</v>
      </c>
      <c r="B354" s="57">
        <v>2</v>
      </c>
      <c r="C354" s="57">
        <v>4</v>
      </c>
      <c r="D354" s="58" t="s">
        <v>567</v>
      </c>
      <c r="E354" s="58" t="s">
        <v>37</v>
      </c>
      <c r="F354" s="58" t="s">
        <v>205</v>
      </c>
      <c r="G354" s="58" t="s">
        <v>39</v>
      </c>
      <c r="H354" s="58" t="s">
        <v>354</v>
      </c>
      <c r="I354" s="57" t="s">
        <v>389</v>
      </c>
      <c r="J354" s="57">
        <v>6</v>
      </c>
      <c r="K354" s="59" t="s">
        <v>703</v>
      </c>
      <c r="L354" s="59" t="s">
        <v>39</v>
      </c>
      <c r="M354" s="60" t="s">
        <v>39</v>
      </c>
      <c r="N354" s="61"/>
      <c r="O354" s="62"/>
      <c r="P354" s="62"/>
      <c r="Q354" s="58"/>
      <c r="S354" s="1">
        <f t="shared" si="225"/>
        <v>0</v>
      </c>
      <c r="T354" s="1">
        <f t="shared" si="226"/>
        <v>0</v>
      </c>
      <c r="U354" s="1">
        <f t="shared" si="227"/>
        <v>0</v>
      </c>
      <c r="V354" s="1">
        <f t="shared" si="228"/>
        <v>0</v>
      </c>
      <c r="W354" s="1">
        <f t="shared" si="229"/>
        <v>0</v>
      </c>
      <c r="X354" s="1">
        <f t="shared" si="230"/>
        <v>1</v>
      </c>
      <c r="Y354" s="1">
        <f t="shared" si="231"/>
        <v>0</v>
      </c>
      <c r="Z354" s="1">
        <f t="shared" si="232"/>
        <v>0</v>
      </c>
      <c r="AA354" s="1">
        <f t="shared" si="233"/>
        <v>0</v>
      </c>
      <c r="AB354" s="1">
        <f t="shared" si="234"/>
        <v>0</v>
      </c>
      <c r="AD354" s="1">
        <f t="shared" si="235"/>
        <v>0</v>
      </c>
      <c r="AE354" s="1">
        <f t="shared" si="236"/>
        <v>0</v>
      </c>
      <c r="AF354" s="1">
        <f t="shared" si="221"/>
        <v>0</v>
      </c>
      <c r="AG354" s="1">
        <f t="shared" si="222"/>
        <v>0</v>
      </c>
      <c r="AH354" s="1">
        <f t="shared" si="223"/>
        <v>0</v>
      </c>
      <c r="AI354" s="1">
        <f t="shared" si="224"/>
        <v>1</v>
      </c>
    </row>
    <row r="355" spans="1:35" s="1" customFormat="1" ht="14.25" customHeight="1" x14ac:dyDescent="0.3">
      <c r="A355" s="44">
        <v>0</v>
      </c>
      <c r="B355" s="44">
        <v>2</v>
      </c>
      <c r="C355" s="44">
        <v>4</v>
      </c>
      <c r="D355" s="45" t="s">
        <v>653</v>
      </c>
      <c r="E355" s="45" t="s">
        <v>910</v>
      </c>
      <c r="F355" s="45" t="s">
        <v>624</v>
      </c>
      <c r="G355" s="45" t="s">
        <v>341</v>
      </c>
      <c r="H355" s="45" t="s">
        <v>354</v>
      </c>
      <c r="I355" s="44" t="s">
        <v>625</v>
      </c>
      <c r="J355" s="44">
        <v>10</v>
      </c>
      <c r="K355" s="46" t="s">
        <v>954</v>
      </c>
      <c r="L355" s="46" t="s">
        <v>704</v>
      </c>
      <c r="M355" s="47" t="s">
        <v>1418</v>
      </c>
      <c r="N355" s="47" t="s">
        <v>1734</v>
      </c>
      <c r="O355" s="48"/>
      <c r="P355" s="48"/>
      <c r="Q355" s="45"/>
      <c r="S355" s="1">
        <f t="shared" si="225"/>
        <v>0</v>
      </c>
      <c r="T355" s="1">
        <f t="shared" si="226"/>
        <v>0</v>
      </c>
      <c r="U355" s="1">
        <f t="shared" si="227"/>
        <v>0</v>
      </c>
      <c r="V355" s="1">
        <f t="shared" si="228"/>
        <v>0</v>
      </c>
      <c r="W355" s="1">
        <f t="shared" si="229"/>
        <v>0</v>
      </c>
      <c r="X355" s="1">
        <f t="shared" si="230"/>
        <v>0</v>
      </c>
      <c r="Y355" s="1">
        <f t="shared" si="231"/>
        <v>0</v>
      </c>
      <c r="Z355" s="1">
        <f t="shared" si="232"/>
        <v>0</v>
      </c>
      <c r="AA355" s="1">
        <f t="shared" si="233"/>
        <v>0</v>
      </c>
      <c r="AB355" s="1">
        <f t="shared" si="234"/>
        <v>1</v>
      </c>
      <c r="AD355" s="1">
        <f t="shared" si="235"/>
        <v>0</v>
      </c>
      <c r="AE355" s="1">
        <f t="shared" si="236"/>
        <v>0</v>
      </c>
      <c r="AF355" s="1">
        <f t="shared" si="221"/>
        <v>0</v>
      </c>
      <c r="AG355" s="1">
        <f t="shared" si="222"/>
        <v>0</v>
      </c>
      <c r="AH355" s="1">
        <f t="shared" si="223"/>
        <v>0</v>
      </c>
      <c r="AI355" s="1">
        <f t="shared" si="224"/>
        <v>1</v>
      </c>
    </row>
    <row r="356" spans="1:35" s="1" customFormat="1" ht="14.25" customHeight="1" x14ac:dyDescent="0.3">
      <c r="A356" s="31">
        <v>0</v>
      </c>
      <c r="B356" s="31">
        <v>2</v>
      </c>
      <c r="C356" s="31">
        <v>4</v>
      </c>
      <c r="D356" s="32" t="s">
        <v>75</v>
      </c>
      <c r="E356" s="32" t="s">
        <v>35</v>
      </c>
      <c r="F356" s="32" t="s">
        <v>266</v>
      </c>
      <c r="G356" s="32" t="s">
        <v>213</v>
      </c>
      <c r="H356" s="32" t="s">
        <v>354</v>
      </c>
      <c r="I356" s="31" t="s">
        <v>945</v>
      </c>
      <c r="J356" s="31">
        <v>1</v>
      </c>
      <c r="K356" s="33" t="s">
        <v>713</v>
      </c>
      <c r="L356" s="33" t="s">
        <v>704</v>
      </c>
      <c r="M356" s="34" t="s">
        <v>1419</v>
      </c>
      <c r="N356" s="34" t="s">
        <v>1743</v>
      </c>
      <c r="O356" s="35">
        <v>1</v>
      </c>
      <c r="P356" s="35"/>
      <c r="Q356" s="32"/>
      <c r="S356" s="1">
        <f t="shared" si="225"/>
        <v>1</v>
      </c>
      <c r="T356" s="1">
        <f t="shared" si="226"/>
        <v>0</v>
      </c>
      <c r="U356" s="1">
        <f t="shared" si="227"/>
        <v>0</v>
      </c>
      <c r="V356" s="1">
        <f t="shared" si="228"/>
        <v>0</v>
      </c>
      <c r="W356" s="1">
        <f t="shared" si="229"/>
        <v>0</v>
      </c>
      <c r="X356" s="1">
        <f t="shared" si="230"/>
        <v>0</v>
      </c>
      <c r="Y356" s="1">
        <f t="shared" si="231"/>
        <v>0</v>
      </c>
      <c r="Z356" s="1">
        <f t="shared" si="232"/>
        <v>0</v>
      </c>
      <c r="AA356" s="1">
        <f t="shared" si="233"/>
        <v>0</v>
      </c>
      <c r="AB356" s="1">
        <f t="shared" si="234"/>
        <v>0</v>
      </c>
      <c r="AD356" s="1">
        <f t="shared" si="235"/>
        <v>0</v>
      </c>
      <c r="AE356" s="1">
        <f t="shared" si="236"/>
        <v>1</v>
      </c>
      <c r="AF356" s="1">
        <f t="shared" si="221"/>
        <v>0</v>
      </c>
      <c r="AG356" s="1">
        <f t="shared" si="222"/>
        <v>1</v>
      </c>
      <c r="AH356" s="1">
        <f t="shared" si="223"/>
        <v>0</v>
      </c>
      <c r="AI356" s="1">
        <f t="shared" si="224"/>
        <v>1</v>
      </c>
    </row>
    <row r="357" spans="1:35" s="1" customFormat="1" ht="14.25" customHeight="1" x14ac:dyDescent="0.3">
      <c r="A357" s="31">
        <v>0</v>
      </c>
      <c r="B357" s="31">
        <v>2</v>
      </c>
      <c r="C357" s="31">
        <v>4</v>
      </c>
      <c r="D357" s="32" t="s">
        <v>919</v>
      </c>
      <c r="E357" s="32" t="s">
        <v>912</v>
      </c>
      <c r="F357" s="32" t="s">
        <v>782</v>
      </c>
      <c r="G357" s="32" t="s">
        <v>285</v>
      </c>
      <c r="H357" s="32" t="s">
        <v>354</v>
      </c>
      <c r="I357" s="31" t="s">
        <v>946</v>
      </c>
      <c r="J357" s="31">
        <v>4</v>
      </c>
      <c r="K357" s="33" t="s">
        <v>713</v>
      </c>
      <c r="L357" s="33" t="s">
        <v>696</v>
      </c>
      <c r="M357" s="34" t="s">
        <v>1420</v>
      </c>
      <c r="N357" s="34" t="s">
        <v>1749</v>
      </c>
      <c r="O357" s="35">
        <v>1</v>
      </c>
      <c r="P357" s="35"/>
      <c r="Q357" s="32"/>
      <c r="S357" s="1">
        <f t="shared" si="225"/>
        <v>0</v>
      </c>
      <c r="T357" s="1">
        <f t="shared" si="226"/>
        <v>0</v>
      </c>
      <c r="U357" s="1">
        <f t="shared" si="227"/>
        <v>0</v>
      </c>
      <c r="V357" s="1">
        <f t="shared" si="228"/>
        <v>1</v>
      </c>
      <c r="W357" s="1">
        <f t="shared" si="229"/>
        <v>0</v>
      </c>
      <c r="X357" s="1">
        <f t="shared" si="230"/>
        <v>0</v>
      </c>
      <c r="Y357" s="1">
        <f t="shared" si="231"/>
        <v>0</v>
      </c>
      <c r="Z357" s="1">
        <f t="shared" si="232"/>
        <v>0</v>
      </c>
      <c r="AA357" s="1">
        <f t="shared" si="233"/>
        <v>0</v>
      </c>
      <c r="AB357" s="1">
        <f t="shared" si="234"/>
        <v>0</v>
      </c>
      <c r="AD357" s="1">
        <f t="shared" si="235"/>
        <v>0</v>
      </c>
      <c r="AE357" s="1">
        <f t="shared" si="236"/>
        <v>1</v>
      </c>
      <c r="AF357" s="1">
        <f t="shared" si="221"/>
        <v>0</v>
      </c>
      <c r="AG357" s="1">
        <f t="shared" si="222"/>
        <v>1</v>
      </c>
      <c r="AH357" s="1">
        <f t="shared" si="223"/>
        <v>0</v>
      </c>
      <c r="AI357" s="1">
        <f t="shared" si="224"/>
        <v>1</v>
      </c>
    </row>
    <row r="358" spans="1:35" s="1" customFormat="1" ht="14.25" customHeight="1" x14ac:dyDescent="0.3">
      <c r="A358" s="15">
        <v>0</v>
      </c>
      <c r="B358" s="15">
        <v>2</v>
      </c>
      <c r="C358" s="15">
        <v>4</v>
      </c>
      <c r="D358" s="16" t="s">
        <v>629</v>
      </c>
      <c r="E358" s="16" t="s">
        <v>685</v>
      </c>
      <c r="F358" s="16" t="s">
        <v>670</v>
      </c>
      <c r="G358" s="16" t="s">
        <v>628</v>
      </c>
      <c r="H358" s="16" t="s">
        <v>354</v>
      </c>
      <c r="I358" s="15" t="s">
        <v>630</v>
      </c>
      <c r="J358" s="15">
        <v>99</v>
      </c>
      <c r="K358" s="10" t="s">
        <v>955</v>
      </c>
      <c r="L358" s="10" t="s">
        <v>39</v>
      </c>
      <c r="M358" s="19" t="s">
        <v>39</v>
      </c>
      <c r="N358" s="17"/>
      <c r="Q358" s="20" t="s">
        <v>1897</v>
      </c>
      <c r="S358" s="1">
        <f t="shared" si="225"/>
        <v>0</v>
      </c>
      <c r="T358" s="1">
        <f t="shared" si="226"/>
        <v>0</v>
      </c>
      <c r="U358" s="1">
        <f t="shared" si="227"/>
        <v>0</v>
      </c>
      <c r="V358" s="1">
        <f t="shared" si="228"/>
        <v>0</v>
      </c>
      <c r="W358" s="1">
        <f t="shared" si="229"/>
        <v>0</v>
      </c>
      <c r="X358" s="1">
        <f t="shared" si="230"/>
        <v>0</v>
      </c>
      <c r="Y358" s="1">
        <f t="shared" si="231"/>
        <v>0</v>
      </c>
      <c r="Z358" s="1">
        <f t="shared" si="232"/>
        <v>0</v>
      </c>
      <c r="AA358" s="1">
        <f t="shared" si="233"/>
        <v>0</v>
      </c>
      <c r="AB358" s="1">
        <f t="shared" si="234"/>
        <v>0</v>
      </c>
      <c r="AD358" s="1">
        <f t="shared" si="235"/>
        <v>0</v>
      </c>
      <c r="AE358" s="1">
        <f t="shared" si="236"/>
        <v>0</v>
      </c>
      <c r="AF358" s="1">
        <f t="shared" si="221"/>
        <v>0</v>
      </c>
      <c r="AG358" s="1">
        <f t="shared" si="222"/>
        <v>0</v>
      </c>
      <c r="AH358" s="1">
        <f t="shared" si="223"/>
        <v>0</v>
      </c>
      <c r="AI358" s="1">
        <f t="shared" si="224"/>
        <v>1</v>
      </c>
    </row>
    <row r="359" spans="1:35" s="1" customFormat="1" ht="14.25" customHeight="1" x14ac:dyDescent="0.3">
      <c r="A359" s="31">
        <v>0</v>
      </c>
      <c r="B359" s="31">
        <v>2</v>
      </c>
      <c r="C359" s="31">
        <v>4</v>
      </c>
      <c r="D359" s="32" t="s">
        <v>84</v>
      </c>
      <c r="E359" s="32" t="s">
        <v>35</v>
      </c>
      <c r="F359" s="32" t="s">
        <v>277</v>
      </c>
      <c r="G359" s="32" t="s">
        <v>224</v>
      </c>
      <c r="H359" s="32" t="s">
        <v>354</v>
      </c>
      <c r="I359" s="31" t="s">
        <v>433</v>
      </c>
      <c r="J359" s="31">
        <v>99</v>
      </c>
      <c r="K359" s="33" t="s">
        <v>954</v>
      </c>
      <c r="L359" s="33" t="s">
        <v>704</v>
      </c>
      <c r="M359" s="34" t="s">
        <v>726</v>
      </c>
      <c r="N359" s="34" t="s">
        <v>1761</v>
      </c>
      <c r="O359" s="35">
        <v>1</v>
      </c>
      <c r="P359" s="35"/>
      <c r="Q359" s="32"/>
      <c r="S359" s="1">
        <f t="shared" si="225"/>
        <v>0</v>
      </c>
      <c r="T359" s="1">
        <f t="shared" si="226"/>
        <v>0</v>
      </c>
      <c r="U359" s="1">
        <f t="shared" si="227"/>
        <v>0</v>
      </c>
      <c r="V359" s="1">
        <f t="shared" si="228"/>
        <v>0</v>
      </c>
      <c r="W359" s="1">
        <f t="shared" si="229"/>
        <v>0</v>
      </c>
      <c r="X359" s="1">
        <f t="shared" si="230"/>
        <v>0</v>
      </c>
      <c r="Y359" s="1">
        <f t="shared" si="231"/>
        <v>0</v>
      </c>
      <c r="Z359" s="1">
        <f t="shared" si="232"/>
        <v>0</v>
      </c>
      <c r="AA359" s="1">
        <f t="shared" si="233"/>
        <v>0</v>
      </c>
      <c r="AB359" s="1">
        <f t="shared" si="234"/>
        <v>0</v>
      </c>
      <c r="AD359" s="1">
        <f t="shared" si="235"/>
        <v>0</v>
      </c>
      <c r="AE359" s="1">
        <f t="shared" si="236"/>
        <v>1</v>
      </c>
      <c r="AF359" s="1">
        <f t="shared" si="221"/>
        <v>0</v>
      </c>
      <c r="AG359" s="1">
        <f t="shared" si="222"/>
        <v>1</v>
      </c>
      <c r="AH359" s="1">
        <f t="shared" si="223"/>
        <v>0</v>
      </c>
      <c r="AI359" s="1">
        <f t="shared" si="224"/>
        <v>1</v>
      </c>
    </row>
    <row r="360" spans="1:35" s="1" customFormat="1" ht="14.25" customHeight="1" x14ac:dyDescent="0.3">
      <c r="A360" s="15">
        <v>0</v>
      </c>
      <c r="B360" s="15">
        <v>2</v>
      </c>
      <c r="C360" s="15">
        <v>4</v>
      </c>
      <c r="D360" s="16" t="s">
        <v>879</v>
      </c>
      <c r="E360" s="16" t="s">
        <v>772</v>
      </c>
      <c r="F360" s="16" t="s">
        <v>877</v>
      </c>
      <c r="G360" s="16" t="s">
        <v>279</v>
      </c>
      <c r="H360" s="16" t="s">
        <v>354</v>
      </c>
      <c r="I360" s="15" t="s">
        <v>878</v>
      </c>
      <c r="J360" s="15">
        <v>99</v>
      </c>
      <c r="K360" s="10" t="s">
        <v>703</v>
      </c>
      <c r="L360" s="10">
        <v>25</v>
      </c>
      <c r="M360" s="19" t="s">
        <v>1421</v>
      </c>
      <c r="N360" s="19"/>
      <c r="Q360" s="16"/>
      <c r="S360" s="1">
        <f t="shared" si="225"/>
        <v>0</v>
      </c>
      <c r="T360" s="1">
        <f t="shared" si="226"/>
        <v>0</v>
      </c>
      <c r="U360" s="1">
        <f t="shared" si="227"/>
        <v>0</v>
      </c>
      <c r="V360" s="1">
        <f t="shared" si="228"/>
        <v>0</v>
      </c>
      <c r="W360" s="1">
        <f t="shared" si="229"/>
        <v>0</v>
      </c>
      <c r="X360" s="1">
        <f t="shared" si="230"/>
        <v>0</v>
      </c>
      <c r="Y360" s="1">
        <f t="shared" si="231"/>
        <v>0</v>
      </c>
      <c r="Z360" s="1">
        <f t="shared" si="232"/>
        <v>0</v>
      </c>
      <c r="AA360" s="1">
        <f t="shared" si="233"/>
        <v>0</v>
      </c>
      <c r="AB360" s="1">
        <f t="shared" si="234"/>
        <v>0</v>
      </c>
      <c r="AD360" s="1">
        <f t="shared" ref="AD360:AD362" si="237">+O360*P360</f>
        <v>0</v>
      </c>
      <c r="AE360" s="1">
        <f t="shared" ref="AE360:AE362" si="238">O360*(1-P360)</f>
        <v>0</v>
      </c>
      <c r="AF360" s="1">
        <f t="shared" ref="AF360:AF362" si="239">+O360*P360*(1-A360)</f>
        <v>0</v>
      </c>
      <c r="AG360" s="1">
        <f t="shared" ref="AG360:AG362" si="240">O360*(1-P360)*(1-A360)</f>
        <v>0</v>
      </c>
      <c r="AH360" s="1">
        <f t="shared" ref="AH360:AH362" si="241">+P360*(1-A360)</f>
        <v>0</v>
      </c>
      <c r="AI360" s="1">
        <f t="shared" ref="AI360:AI362" si="242">+(1-A360)*(1-P360)</f>
        <v>1</v>
      </c>
    </row>
    <row r="361" spans="1:35" s="1" customFormat="1" ht="14.25" customHeight="1" x14ac:dyDescent="0.3">
      <c r="A361" s="31">
        <v>0</v>
      </c>
      <c r="B361" s="31">
        <v>2</v>
      </c>
      <c r="C361" s="31">
        <v>4</v>
      </c>
      <c r="D361" s="32" t="s">
        <v>922</v>
      </c>
      <c r="E361" s="32" t="s">
        <v>772</v>
      </c>
      <c r="F361" s="32" t="s">
        <v>844</v>
      </c>
      <c r="G361" s="32" t="s">
        <v>209</v>
      </c>
      <c r="H361" s="32" t="s">
        <v>354</v>
      </c>
      <c r="I361" s="31" t="s">
        <v>845</v>
      </c>
      <c r="J361" s="31">
        <v>99</v>
      </c>
      <c r="K361" s="33" t="s">
        <v>712</v>
      </c>
      <c r="L361" s="33" t="s">
        <v>704</v>
      </c>
      <c r="M361" s="34" t="s">
        <v>726</v>
      </c>
      <c r="N361" s="34" t="s">
        <v>1756</v>
      </c>
      <c r="O361" s="35">
        <v>1</v>
      </c>
      <c r="P361" s="35"/>
      <c r="Q361" s="32"/>
      <c r="S361" s="1">
        <f t="shared" si="225"/>
        <v>0</v>
      </c>
      <c r="T361" s="1">
        <f t="shared" si="226"/>
        <v>0</v>
      </c>
      <c r="U361" s="1">
        <f t="shared" si="227"/>
        <v>0</v>
      </c>
      <c r="V361" s="1">
        <f t="shared" si="228"/>
        <v>0</v>
      </c>
      <c r="W361" s="1">
        <f t="shared" si="229"/>
        <v>0</v>
      </c>
      <c r="X361" s="1">
        <f t="shared" si="230"/>
        <v>0</v>
      </c>
      <c r="Y361" s="1">
        <f t="shared" si="231"/>
        <v>0</v>
      </c>
      <c r="Z361" s="1">
        <f t="shared" si="232"/>
        <v>0</v>
      </c>
      <c r="AA361" s="1">
        <f t="shared" si="233"/>
        <v>0</v>
      </c>
      <c r="AB361" s="1">
        <f t="shared" si="234"/>
        <v>0</v>
      </c>
      <c r="AD361" s="1">
        <f t="shared" si="237"/>
        <v>0</v>
      </c>
      <c r="AE361" s="1">
        <f t="shared" si="238"/>
        <v>1</v>
      </c>
      <c r="AF361" s="1">
        <f t="shared" si="239"/>
        <v>0</v>
      </c>
      <c r="AG361" s="1">
        <f t="shared" si="240"/>
        <v>1</v>
      </c>
      <c r="AH361" s="1">
        <f t="shared" si="241"/>
        <v>0</v>
      </c>
      <c r="AI361" s="1">
        <f t="shared" si="242"/>
        <v>1</v>
      </c>
    </row>
    <row r="362" spans="1:35" s="1" customFormat="1" ht="14.25" customHeight="1" x14ac:dyDescent="0.3">
      <c r="A362" s="15">
        <v>0</v>
      </c>
      <c r="B362" s="15">
        <v>2</v>
      </c>
      <c r="C362" s="15">
        <v>4</v>
      </c>
      <c r="D362" s="16" t="s">
        <v>2029</v>
      </c>
      <c r="E362" s="16" t="s">
        <v>35</v>
      </c>
      <c r="F362" s="16" t="s">
        <v>2030</v>
      </c>
      <c r="G362" s="20" t="s">
        <v>209</v>
      </c>
      <c r="H362" s="20" t="s">
        <v>354</v>
      </c>
      <c r="I362" s="21" t="s">
        <v>2031</v>
      </c>
      <c r="J362" s="15">
        <v>99</v>
      </c>
      <c r="K362" s="10" t="s">
        <v>703</v>
      </c>
      <c r="L362" s="10">
        <v>25</v>
      </c>
      <c r="M362" s="19" t="s">
        <v>2033</v>
      </c>
      <c r="N362" s="19"/>
      <c r="Q362" s="16" t="s">
        <v>2032</v>
      </c>
      <c r="S362" s="1">
        <f t="shared" si="225"/>
        <v>0</v>
      </c>
      <c r="T362" s="1">
        <f t="shared" si="226"/>
        <v>0</v>
      </c>
      <c r="U362" s="1">
        <f t="shared" si="227"/>
        <v>0</v>
      </c>
      <c r="V362" s="1">
        <f t="shared" si="228"/>
        <v>0</v>
      </c>
      <c r="W362" s="1">
        <f t="shared" si="229"/>
        <v>0</v>
      </c>
      <c r="X362" s="1">
        <f t="shared" si="230"/>
        <v>0</v>
      </c>
      <c r="Y362" s="1">
        <f t="shared" si="231"/>
        <v>0</v>
      </c>
      <c r="Z362" s="1">
        <f t="shared" si="232"/>
        <v>0</v>
      </c>
      <c r="AA362" s="1">
        <f t="shared" si="233"/>
        <v>0</v>
      </c>
      <c r="AB362" s="1">
        <f t="shared" si="234"/>
        <v>0</v>
      </c>
      <c r="AD362" s="1">
        <f t="shared" si="237"/>
        <v>0</v>
      </c>
      <c r="AE362" s="1">
        <f t="shared" si="238"/>
        <v>0</v>
      </c>
      <c r="AF362" s="1">
        <f t="shared" si="239"/>
        <v>0</v>
      </c>
      <c r="AG362" s="1">
        <f t="shared" si="240"/>
        <v>0</v>
      </c>
      <c r="AH362" s="1">
        <f t="shared" si="241"/>
        <v>0</v>
      </c>
      <c r="AI362" s="1">
        <f t="shared" si="242"/>
        <v>1</v>
      </c>
    </row>
    <row r="363" spans="1:35" s="1" customFormat="1" ht="14.25" customHeight="1" x14ac:dyDescent="0.3">
      <c r="A363" s="44">
        <v>0</v>
      </c>
      <c r="B363" s="44">
        <v>2</v>
      </c>
      <c r="C363" s="44">
        <v>4</v>
      </c>
      <c r="D363" s="45" t="s">
        <v>1223</v>
      </c>
      <c r="E363" s="45" t="s">
        <v>1222</v>
      </c>
      <c r="F363" s="45" t="s">
        <v>1224</v>
      </c>
      <c r="G363" s="45" t="s">
        <v>535</v>
      </c>
      <c r="H363" s="45" t="s">
        <v>354</v>
      </c>
      <c r="I363" s="44" t="s">
        <v>1225</v>
      </c>
      <c r="J363" s="44">
        <v>99</v>
      </c>
      <c r="K363" s="46" t="s">
        <v>713</v>
      </c>
      <c r="L363" s="46" t="s">
        <v>694</v>
      </c>
      <c r="M363" s="47" t="s">
        <v>1422</v>
      </c>
      <c r="N363" s="47" t="s">
        <v>1747</v>
      </c>
      <c r="O363" s="48"/>
      <c r="P363" s="48"/>
      <c r="Q363" s="45"/>
      <c r="S363" s="1">
        <f t="shared" si="225"/>
        <v>0</v>
      </c>
      <c r="T363" s="1">
        <f t="shared" si="226"/>
        <v>0</v>
      </c>
      <c r="U363" s="1">
        <f t="shared" si="227"/>
        <v>0</v>
      </c>
      <c r="V363" s="1">
        <f t="shared" si="228"/>
        <v>0</v>
      </c>
      <c r="W363" s="1">
        <f t="shared" si="229"/>
        <v>0</v>
      </c>
      <c r="X363" s="1">
        <f t="shared" si="230"/>
        <v>0</v>
      </c>
      <c r="Y363" s="1">
        <f t="shared" si="231"/>
        <v>0</v>
      </c>
      <c r="Z363" s="1">
        <f t="shared" si="232"/>
        <v>0</v>
      </c>
      <c r="AA363" s="1">
        <f t="shared" si="233"/>
        <v>0</v>
      </c>
      <c r="AB363" s="1">
        <f t="shared" si="234"/>
        <v>0</v>
      </c>
      <c r="AD363" s="1">
        <f t="shared" si="235"/>
        <v>0</v>
      </c>
      <c r="AE363" s="1">
        <f t="shared" si="236"/>
        <v>0</v>
      </c>
      <c r="AF363" s="1">
        <f t="shared" si="221"/>
        <v>0</v>
      </c>
      <c r="AG363" s="1">
        <f t="shared" si="222"/>
        <v>0</v>
      </c>
      <c r="AH363" s="1">
        <f t="shared" si="223"/>
        <v>0</v>
      </c>
      <c r="AI363" s="1">
        <f t="shared" si="224"/>
        <v>1</v>
      </c>
    </row>
    <row r="364" spans="1:35" s="1" customFormat="1" ht="14.25" customHeight="1" x14ac:dyDescent="0.3">
      <c r="A364" s="31">
        <v>0</v>
      </c>
      <c r="B364" s="31">
        <v>2</v>
      </c>
      <c r="C364" s="31">
        <v>4</v>
      </c>
      <c r="D364" s="32" t="s">
        <v>823</v>
      </c>
      <c r="E364" s="32" t="s">
        <v>590</v>
      </c>
      <c r="F364" s="32" t="s">
        <v>824</v>
      </c>
      <c r="G364" s="32" t="s">
        <v>937</v>
      </c>
      <c r="H364" s="32" t="s">
        <v>354</v>
      </c>
      <c r="I364" s="31" t="s">
        <v>951</v>
      </c>
      <c r="J364" s="31">
        <v>7</v>
      </c>
      <c r="K364" s="33" t="s">
        <v>712</v>
      </c>
      <c r="L364" s="33" t="s">
        <v>39</v>
      </c>
      <c r="M364" s="34" t="s">
        <v>39</v>
      </c>
      <c r="N364" s="34" t="s">
        <v>1727</v>
      </c>
      <c r="O364" s="35">
        <v>1</v>
      </c>
      <c r="P364" s="35">
        <v>1</v>
      </c>
      <c r="Q364" s="32"/>
      <c r="S364" s="1">
        <f t="shared" si="225"/>
        <v>0</v>
      </c>
      <c r="T364" s="1">
        <f t="shared" si="226"/>
        <v>0</v>
      </c>
      <c r="U364" s="1">
        <f t="shared" si="227"/>
        <v>0</v>
      </c>
      <c r="V364" s="1">
        <f t="shared" si="228"/>
        <v>0</v>
      </c>
      <c r="W364" s="1">
        <f t="shared" si="229"/>
        <v>0</v>
      </c>
      <c r="X364" s="1">
        <f t="shared" si="230"/>
        <v>0</v>
      </c>
      <c r="Y364" s="1">
        <f t="shared" si="231"/>
        <v>1</v>
      </c>
      <c r="Z364" s="1">
        <f t="shared" si="232"/>
        <v>0</v>
      </c>
      <c r="AA364" s="1">
        <f t="shared" si="233"/>
        <v>0</v>
      </c>
      <c r="AB364" s="1">
        <f t="shared" si="234"/>
        <v>0</v>
      </c>
      <c r="AD364" s="1">
        <f t="shared" ref="AD364:AD367" si="243">+O364*P364</f>
        <v>1</v>
      </c>
      <c r="AE364" s="1">
        <f t="shared" ref="AE364:AE367" si="244">O364*(1-P364)</f>
        <v>0</v>
      </c>
      <c r="AF364" s="1">
        <f t="shared" ref="AF364:AF367" si="245">+O364*P364*(1-A364)</f>
        <v>1</v>
      </c>
      <c r="AG364" s="1">
        <f t="shared" ref="AG364:AG367" si="246">O364*(1-P364)*(1-A364)</f>
        <v>0</v>
      </c>
      <c r="AH364" s="1">
        <f t="shared" ref="AH364:AH367" si="247">+P364*(1-A364)</f>
        <v>1</v>
      </c>
      <c r="AI364" s="1">
        <f t="shared" ref="AI364:AI367" si="248">+(1-A364)*(1-P364)</f>
        <v>0</v>
      </c>
    </row>
    <row r="365" spans="1:35" s="1" customFormat="1" ht="14.25" customHeight="1" x14ac:dyDescent="0.3">
      <c r="A365" s="44">
        <v>0</v>
      </c>
      <c r="B365" s="44">
        <v>2</v>
      </c>
      <c r="C365" s="44">
        <v>4</v>
      </c>
      <c r="D365" s="45" t="s">
        <v>1605</v>
      </c>
      <c r="E365" s="45" t="s">
        <v>1655</v>
      </c>
      <c r="F365" s="45" t="s">
        <v>1606</v>
      </c>
      <c r="G365" s="45" t="s">
        <v>333</v>
      </c>
      <c r="H365" s="45" t="s">
        <v>354</v>
      </c>
      <c r="I365" s="44" t="s">
        <v>30</v>
      </c>
      <c r="J365" s="44">
        <v>99</v>
      </c>
      <c r="K365" s="46" t="s">
        <v>713</v>
      </c>
      <c r="L365" s="46">
        <v>20</v>
      </c>
      <c r="M365" s="47" t="s">
        <v>39</v>
      </c>
      <c r="N365" s="47" t="s">
        <v>1741</v>
      </c>
      <c r="O365" s="48"/>
      <c r="P365" s="48"/>
      <c r="Q365" s="45"/>
      <c r="S365" s="1">
        <f t="shared" si="225"/>
        <v>0</v>
      </c>
      <c r="T365" s="1">
        <f t="shared" si="226"/>
        <v>0</v>
      </c>
      <c r="U365" s="1">
        <f t="shared" si="227"/>
        <v>0</v>
      </c>
      <c r="V365" s="1">
        <f t="shared" si="228"/>
        <v>0</v>
      </c>
      <c r="W365" s="1">
        <f t="shared" si="229"/>
        <v>0</v>
      </c>
      <c r="X365" s="1">
        <f t="shared" si="230"/>
        <v>0</v>
      </c>
      <c r="Y365" s="1">
        <f t="shared" si="231"/>
        <v>0</v>
      </c>
      <c r="Z365" s="1">
        <f t="shared" si="232"/>
        <v>0</v>
      </c>
      <c r="AA365" s="1">
        <f t="shared" si="233"/>
        <v>0</v>
      </c>
      <c r="AB365" s="1">
        <f t="shared" si="234"/>
        <v>0</v>
      </c>
      <c r="AD365" s="1">
        <f t="shared" si="243"/>
        <v>0</v>
      </c>
      <c r="AE365" s="1">
        <f t="shared" si="244"/>
        <v>0</v>
      </c>
      <c r="AF365" s="1">
        <f t="shared" si="245"/>
        <v>0</v>
      </c>
      <c r="AG365" s="1">
        <f t="shared" si="246"/>
        <v>0</v>
      </c>
      <c r="AH365" s="1">
        <f t="shared" si="247"/>
        <v>0</v>
      </c>
      <c r="AI365" s="1">
        <f t="shared" si="248"/>
        <v>1</v>
      </c>
    </row>
    <row r="366" spans="1:35" s="1" customFormat="1" ht="14.25" customHeight="1" x14ac:dyDescent="0.3">
      <c r="A366" s="31">
        <v>0</v>
      </c>
      <c r="B366" s="31">
        <v>2</v>
      </c>
      <c r="C366" s="31">
        <v>5</v>
      </c>
      <c r="D366" s="32" t="s">
        <v>58</v>
      </c>
      <c r="E366" s="32" t="s">
        <v>44</v>
      </c>
      <c r="F366" s="32" t="s">
        <v>671</v>
      </c>
      <c r="G366" s="32" t="s">
        <v>223</v>
      </c>
      <c r="H366" s="32" t="s">
        <v>354</v>
      </c>
      <c r="I366" s="31" t="s">
        <v>397</v>
      </c>
      <c r="J366" s="31">
        <v>8</v>
      </c>
      <c r="K366" s="33" t="s">
        <v>713</v>
      </c>
      <c r="L366" s="33" t="s">
        <v>716</v>
      </c>
      <c r="M366" s="34" t="s">
        <v>1423</v>
      </c>
      <c r="N366" s="34" t="s">
        <v>1748</v>
      </c>
      <c r="O366" s="35">
        <v>1</v>
      </c>
      <c r="P366" s="35"/>
      <c r="Q366" s="32"/>
      <c r="S366" s="1">
        <f t="shared" si="225"/>
        <v>0</v>
      </c>
      <c r="T366" s="1">
        <f t="shared" si="226"/>
        <v>0</v>
      </c>
      <c r="U366" s="1">
        <f t="shared" si="227"/>
        <v>0</v>
      </c>
      <c r="V366" s="1">
        <f t="shared" si="228"/>
        <v>0</v>
      </c>
      <c r="W366" s="1">
        <f t="shared" si="229"/>
        <v>0</v>
      </c>
      <c r="X366" s="1">
        <f t="shared" si="230"/>
        <v>0</v>
      </c>
      <c r="Y366" s="1">
        <f t="shared" si="231"/>
        <v>0</v>
      </c>
      <c r="Z366" s="1">
        <f t="shared" si="232"/>
        <v>1</v>
      </c>
      <c r="AA366" s="1">
        <f t="shared" si="233"/>
        <v>0</v>
      </c>
      <c r="AB366" s="1">
        <f t="shared" si="234"/>
        <v>0</v>
      </c>
      <c r="AD366" s="1">
        <f t="shared" si="243"/>
        <v>0</v>
      </c>
      <c r="AE366" s="1">
        <f t="shared" si="244"/>
        <v>1</v>
      </c>
      <c r="AF366" s="1">
        <f t="shared" si="245"/>
        <v>0</v>
      </c>
      <c r="AG366" s="1">
        <f t="shared" si="246"/>
        <v>1</v>
      </c>
      <c r="AH366" s="1">
        <f t="shared" si="247"/>
        <v>0</v>
      </c>
      <c r="AI366" s="1">
        <f t="shared" si="248"/>
        <v>1</v>
      </c>
    </row>
    <row r="367" spans="1:35" s="1" customFormat="1" ht="14.25" customHeight="1" x14ac:dyDescent="0.3">
      <c r="A367" s="44">
        <v>0</v>
      </c>
      <c r="B367" s="44">
        <v>2</v>
      </c>
      <c r="C367" s="44">
        <v>5</v>
      </c>
      <c r="D367" s="45" t="s">
        <v>832</v>
      </c>
      <c r="E367" s="45" t="s">
        <v>831</v>
      </c>
      <c r="F367" s="45" t="s">
        <v>924</v>
      </c>
      <c r="G367" s="45" t="s">
        <v>213</v>
      </c>
      <c r="H367" s="45" t="s">
        <v>354</v>
      </c>
      <c r="I367" s="44" t="s">
        <v>833</v>
      </c>
      <c r="J367" s="44">
        <v>1</v>
      </c>
      <c r="K367" s="46" t="s">
        <v>712</v>
      </c>
      <c r="L367" s="46" t="s">
        <v>693</v>
      </c>
      <c r="M367" s="47" t="s">
        <v>1424</v>
      </c>
      <c r="N367" s="47" t="s">
        <v>1735</v>
      </c>
      <c r="O367" s="48"/>
      <c r="P367" s="48"/>
      <c r="Q367" s="45"/>
      <c r="S367" s="1">
        <f t="shared" si="225"/>
        <v>1</v>
      </c>
      <c r="T367" s="1">
        <f t="shared" si="226"/>
        <v>0</v>
      </c>
      <c r="U367" s="1">
        <f t="shared" si="227"/>
        <v>0</v>
      </c>
      <c r="V367" s="1">
        <f t="shared" si="228"/>
        <v>0</v>
      </c>
      <c r="W367" s="1">
        <f t="shared" si="229"/>
        <v>0</v>
      </c>
      <c r="X367" s="1">
        <f t="shared" si="230"/>
        <v>0</v>
      </c>
      <c r="Y367" s="1">
        <f t="shared" si="231"/>
        <v>0</v>
      </c>
      <c r="Z367" s="1">
        <f t="shared" si="232"/>
        <v>0</v>
      </c>
      <c r="AA367" s="1">
        <f t="shared" si="233"/>
        <v>0</v>
      </c>
      <c r="AB367" s="1">
        <f t="shared" si="234"/>
        <v>0</v>
      </c>
      <c r="AD367" s="1">
        <f t="shared" si="243"/>
        <v>0</v>
      </c>
      <c r="AE367" s="1">
        <f t="shared" si="244"/>
        <v>0</v>
      </c>
      <c r="AF367" s="1">
        <f t="shared" si="245"/>
        <v>0</v>
      </c>
      <c r="AG367" s="1">
        <f t="shared" si="246"/>
        <v>0</v>
      </c>
      <c r="AH367" s="1">
        <f t="shared" si="247"/>
        <v>0</v>
      </c>
      <c r="AI367" s="1">
        <f t="shared" si="248"/>
        <v>1</v>
      </c>
    </row>
    <row r="368" spans="1:35" s="1" customFormat="1" ht="14.25" customHeight="1" x14ac:dyDescent="0.3">
      <c r="A368" s="31">
        <v>0</v>
      </c>
      <c r="B368" s="31">
        <v>2</v>
      </c>
      <c r="C368" s="31">
        <v>5</v>
      </c>
      <c r="D368" s="32" t="s">
        <v>65</v>
      </c>
      <c r="E368" s="32" t="s">
        <v>164</v>
      </c>
      <c r="F368" s="32" t="s">
        <v>547</v>
      </c>
      <c r="G368" s="32" t="s">
        <v>194</v>
      </c>
      <c r="H368" s="32" t="s">
        <v>354</v>
      </c>
      <c r="I368" s="31" t="s">
        <v>552</v>
      </c>
      <c r="J368" s="31">
        <v>9</v>
      </c>
      <c r="K368" s="33" t="s">
        <v>713</v>
      </c>
      <c r="L368" s="33" t="s">
        <v>687</v>
      </c>
      <c r="M368" s="34" t="s">
        <v>1443</v>
      </c>
      <c r="N368" s="34" t="s">
        <v>1761</v>
      </c>
      <c r="O368" s="35">
        <v>1</v>
      </c>
      <c r="P368" s="35"/>
      <c r="Q368" s="32"/>
      <c r="S368" s="1">
        <f t="shared" si="225"/>
        <v>0</v>
      </c>
      <c r="T368" s="1">
        <f t="shared" si="226"/>
        <v>0</v>
      </c>
      <c r="U368" s="1">
        <f t="shared" si="227"/>
        <v>0</v>
      </c>
      <c r="V368" s="1">
        <f t="shared" si="228"/>
        <v>0</v>
      </c>
      <c r="W368" s="1">
        <f t="shared" si="229"/>
        <v>0</v>
      </c>
      <c r="X368" s="1">
        <f t="shared" si="230"/>
        <v>0</v>
      </c>
      <c r="Y368" s="1">
        <f t="shared" si="231"/>
        <v>0</v>
      </c>
      <c r="Z368" s="1">
        <f t="shared" si="232"/>
        <v>0</v>
      </c>
      <c r="AA368" s="1">
        <f t="shared" si="233"/>
        <v>1</v>
      </c>
      <c r="AB368" s="1">
        <f t="shared" si="234"/>
        <v>0</v>
      </c>
      <c r="AD368" s="1">
        <f t="shared" si="235"/>
        <v>0</v>
      </c>
      <c r="AE368" s="1">
        <f t="shared" si="236"/>
        <v>1</v>
      </c>
      <c r="AF368" s="1">
        <f t="shared" si="221"/>
        <v>0</v>
      </c>
      <c r="AG368" s="1">
        <f t="shared" si="222"/>
        <v>1</v>
      </c>
      <c r="AH368" s="1">
        <f t="shared" si="223"/>
        <v>0</v>
      </c>
      <c r="AI368" s="1">
        <f t="shared" si="224"/>
        <v>1</v>
      </c>
    </row>
    <row r="369" spans="1:4094 4097:8191 8194:12288 12291:16384" s="1" customFormat="1" ht="14.25" customHeight="1" x14ac:dyDescent="0.3">
      <c r="A369" s="44">
        <v>0</v>
      </c>
      <c r="B369" s="44">
        <v>2</v>
      </c>
      <c r="C369" s="44">
        <v>5</v>
      </c>
      <c r="D369" s="45" t="s">
        <v>1486</v>
      </c>
      <c r="E369" s="45" t="s">
        <v>35</v>
      </c>
      <c r="F369" s="65" t="s">
        <v>1873</v>
      </c>
      <c r="G369" s="45" t="s">
        <v>222</v>
      </c>
      <c r="H369" s="45" t="s">
        <v>354</v>
      </c>
      <c r="I369" s="44" t="s">
        <v>1686</v>
      </c>
      <c r="J369" s="44">
        <v>99</v>
      </c>
      <c r="K369" s="46" t="s">
        <v>713</v>
      </c>
      <c r="L369" s="46">
        <v>25</v>
      </c>
      <c r="M369" s="47" t="s">
        <v>39</v>
      </c>
      <c r="N369" s="47" t="s">
        <v>1737</v>
      </c>
      <c r="O369" s="48"/>
      <c r="P369" s="48"/>
      <c r="Q369" s="45"/>
      <c r="S369" s="1">
        <f t="shared" si="225"/>
        <v>0</v>
      </c>
      <c r="T369" s="1">
        <f t="shared" si="226"/>
        <v>0</v>
      </c>
      <c r="U369" s="1">
        <f t="shared" si="227"/>
        <v>0</v>
      </c>
      <c r="V369" s="1">
        <f t="shared" si="228"/>
        <v>0</v>
      </c>
      <c r="W369" s="1">
        <f t="shared" si="229"/>
        <v>0</v>
      </c>
      <c r="X369" s="1">
        <f t="shared" si="230"/>
        <v>0</v>
      </c>
      <c r="Y369" s="1">
        <f t="shared" si="231"/>
        <v>0</v>
      </c>
      <c r="Z369" s="1">
        <f t="shared" si="232"/>
        <v>0</v>
      </c>
      <c r="AA369" s="1">
        <f t="shared" si="233"/>
        <v>0</v>
      </c>
      <c r="AB369" s="1">
        <f t="shared" si="234"/>
        <v>0</v>
      </c>
      <c r="AD369" s="1">
        <f t="shared" si="235"/>
        <v>0</v>
      </c>
      <c r="AE369" s="1">
        <f t="shared" si="236"/>
        <v>0</v>
      </c>
      <c r="AF369" s="1">
        <f t="shared" si="221"/>
        <v>0</v>
      </c>
      <c r="AG369" s="1">
        <f t="shared" si="222"/>
        <v>0</v>
      </c>
      <c r="AH369" s="1">
        <f t="shared" si="223"/>
        <v>0</v>
      </c>
      <c r="AI369" s="1">
        <f t="shared" si="224"/>
        <v>1</v>
      </c>
    </row>
    <row r="370" spans="1:4094 4097:8191 8194:12288 12291:16384" s="1" customFormat="1" ht="14.25" customHeight="1" x14ac:dyDescent="0.3">
      <c r="A370" s="44">
        <v>0</v>
      </c>
      <c r="B370" s="44">
        <v>2</v>
      </c>
      <c r="C370" s="44">
        <v>5</v>
      </c>
      <c r="D370" s="45" t="s">
        <v>1819</v>
      </c>
      <c r="E370" s="45" t="s">
        <v>772</v>
      </c>
      <c r="F370" s="45" t="s">
        <v>1820</v>
      </c>
      <c r="G370" s="45" t="s">
        <v>224</v>
      </c>
      <c r="H370" s="45" t="s">
        <v>354</v>
      </c>
      <c r="I370" s="44" t="s">
        <v>1821</v>
      </c>
      <c r="J370" s="44">
        <v>99</v>
      </c>
      <c r="K370" s="46" t="s">
        <v>1822</v>
      </c>
      <c r="L370" s="46">
        <v>40</v>
      </c>
      <c r="M370" s="47" t="s">
        <v>1823</v>
      </c>
      <c r="N370" s="47" t="s">
        <v>1809</v>
      </c>
      <c r="O370" s="48"/>
      <c r="P370" s="48"/>
      <c r="Q370" s="45"/>
      <c r="S370" s="1">
        <f t="shared" si="225"/>
        <v>0</v>
      </c>
      <c r="T370" s="1">
        <f t="shared" si="226"/>
        <v>0</v>
      </c>
      <c r="U370" s="1">
        <f t="shared" si="227"/>
        <v>0</v>
      </c>
      <c r="V370" s="1">
        <f t="shared" si="228"/>
        <v>0</v>
      </c>
      <c r="W370" s="1">
        <f t="shared" si="229"/>
        <v>0</v>
      </c>
      <c r="X370" s="1">
        <f t="shared" si="230"/>
        <v>0</v>
      </c>
      <c r="Y370" s="1">
        <f t="shared" si="231"/>
        <v>0</v>
      </c>
      <c r="Z370" s="1">
        <f t="shared" si="232"/>
        <v>0</v>
      </c>
      <c r="AA370" s="1">
        <f t="shared" si="233"/>
        <v>0</v>
      </c>
      <c r="AB370" s="1">
        <f t="shared" si="234"/>
        <v>0</v>
      </c>
      <c r="AD370" s="1">
        <f t="shared" si="235"/>
        <v>0</v>
      </c>
      <c r="AE370" s="1">
        <f t="shared" si="236"/>
        <v>0</v>
      </c>
      <c r="AF370" s="1">
        <f t="shared" si="221"/>
        <v>0</v>
      </c>
      <c r="AG370" s="1">
        <f t="shared" si="222"/>
        <v>0</v>
      </c>
      <c r="AH370" s="1">
        <f t="shared" si="223"/>
        <v>0</v>
      </c>
      <c r="AI370" s="1">
        <f t="shared" si="224"/>
        <v>1</v>
      </c>
    </row>
    <row r="371" spans="1:4094 4097:8191 8194:12288 12291:16384" s="1" customFormat="1" ht="14.25" customHeight="1" x14ac:dyDescent="0.3">
      <c r="A371" s="31">
        <v>0</v>
      </c>
      <c r="B371" s="31">
        <v>2</v>
      </c>
      <c r="C371" s="31">
        <v>5</v>
      </c>
      <c r="D371" s="32" t="s">
        <v>616</v>
      </c>
      <c r="E371" s="32" t="s">
        <v>686</v>
      </c>
      <c r="F371" s="32" t="s">
        <v>617</v>
      </c>
      <c r="G371" s="32" t="s">
        <v>287</v>
      </c>
      <c r="H371" s="32" t="s">
        <v>354</v>
      </c>
      <c r="I371" s="31" t="s">
        <v>618</v>
      </c>
      <c r="J371" s="31">
        <v>99</v>
      </c>
      <c r="K371" s="33" t="s">
        <v>712</v>
      </c>
      <c r="L371" s="33" t="s">
        <v>704</v>
      </c>
      <c r="M371" s="34" t="s">
        <v>1425</v>
      </c>
      <c r="N371" s="34" t="s">
        <v>1743</v>
      </c>
      <c r="O371" s="35">
        <v>1</v>
      </c>
      <c r="P371" s="35"/>
      <c r="Q371" s="32"/>
      <c r="S371" s="1">
        <f t="shared" si="225"/>
        <v>0</v>
      </c>
      <c r="T371" s="1">
        <f t="shared" si="226"/>
        <v>0</v>
      </c>
      <c r="U371" s="1">
        <f t="shared" si="227"/>
        <v>0</v>
      </c>
      <c r="V371" s="1">
        <f t="shared" si="228"/>
        <v>0</v>
      </c>
      <c r="W371" s="1">
        <f t="shared" si="229"/>
        <v>0</v>
      </c>
      <c r="X371" s="1">
        <f t="shared" si="230"/>
        <v>0</v>
      </c>
      <c r="Y371" s="1">
        <f t="shared" si="231"/>
        <v>0</v>
      </c>
      <c r="Z371" s="1">
        <f t="shared" si="232"/>
        <v>0</v>
      </c>
      <c r="AA371" s="1">
        <f t="shared" si="233"/>
        <v>0</v>
      </c>
      <c r="AB371" s="1">
        <f t="shared" si="234"/>
        <v>0</v>
      </c>
      <c r="AD371" s="1">
        <f t="shared" si="235"/>
        <v>0</v>
      </c>
      <c r="AE371" s="1">
        <f t="shared" si="236"/>
        <v>1</v>
      </c>
      <c r="AF371" s="1">
        <f t="shared" si="221"/>
        <v>0</v>
      </c>
      <c r="AG371" s="1">
        <f t="shared" si="222"/>
        <v>1</v>
      </c>
      <c r="AH371" s="1">
        <f t="shared" si="223"/>
        <v>0</v>
      </c>
      <c r="AI371" s="1">
        <f t="shared" si="224"/>
        <v>1</v>
      </c>
    </row>
    <row r="372" spans="1:4094 4097:8191 8194:12288 12291:16384" s="1" customFormat="1" ht="14.25" customHeight="1" x14ac:dyDescent="0.3">
      <c r="A372" s="44">
        <v>0</v>
      </c>
      <c r="B372" s="44">
        <v>2</v>
      </c>
      <c r="C372" s="44">
        <v>5</v>
      </c>
      <c r="D372" s="45" t="s">
        <v>1488</v>
      </c>
      <c r="E372" s="45" t="s">
        <v>772</v>
      </c>
      <c r="F372" s="45" t="s">
        <v>1489</v>
      </c>
      <c r="G372" s="45" t="s">
        <v>196</v>
      </c>
      <c r="H372" s="45" t="s">
        <v>354</v>
      </c>
      <c r="I372" s="44" t="s">
        <v>1490</v>
      </c>
      <c r="J372" s="44">
        <v>99</v>
      </c>
      <c r="K372" s="46" t="s">
        <v>954</v>
      </c>
      <c r="L372" s="46" t="s">
        <v>693</v>
      </c>
      <c r="M372" s="47" t="s">
        <v>1416</v>
      </c>
      <c r="N372" s="47" t="s">
        <v>1735</v>
      </c>
      <c r="O372" s="48"/>
      <c r="P372" s="48"/>
      <c r="Q372" s="45"/>
      <c r="R372" s="15"/>
      <c r="S372" s="15">
        <f t="shared" si="225"/>
        <v>0</v>
      </c>
      <c r="T372" s="15">
        <f t="shared" si="226"/>
        <v>0</v>
      </c>
      <c r="U372" s="15">
        <f t="shared" si="227"/>
        <v>0</v>
      </c>
      <c r="V372" s="15">
        <f t="shared" si="228"/>
        <v>0</v>
      </c>
      <c r="W372" s="15">
        <f t="shared" si="229"/>
        <v>0</v>
      </c>
      <c r="X372" s="15">
        <f t="shared" si="230"/>
        <v>0</v>
      </c>
      <c r="Y372" s="15">
        <f t="shared" si="231"/>
        <v>0</v>
      </c>
      <c r="Z372" s="15">
        <f t="shared" si="232"/>
        <v>0</v>
      </c>
      <c r="AA372" s="15">
        <f t="shared" si="233"/>
        <v>0</v>
      </c>
      <c r="AB372" s="10">
        <f t="shared" si="234"/>
        <v>0</v>
      </c>
      <c r="AC372" s="10"/>
      <c r="AD372" s="21">
        <f t="shared" si="235"/>
        <v>0</v>
      </c>
      <c r="AE372" s="21">
        <f t="shared" si="236"/>
        <v>0</v>
      </c>
      <c r="AF372" s="1">
        <f t="shared" si="221"/>
        <v>0</v>
      </c>
      <c r="AG372" s="1">
        <f t="shared" si="222"/>
        <v>0</v>
      </c>
      <c r="AH372" s="21">
        <f t="shared" si="223"/>
        <v>0</v>
      </c>
      <c r="AI372" s="15">
        <f t="shared" si="224"/>
        <v>1</v>
      </c>
      <c r="AJ372" s="15"/>
      <c r="AK372" s="15"/>
      <c r="AL372" s="15"/>
      <c r="AM372" s="15"/>
      <c r="AN372" s="15"/>
      <c r="AO372" s="15"/>
      <c r="AP372" s="15"/>
      <c r="AQ372" s="15"/>
      <c r="AR372" s="15"/>
      <c r="AS372" s="10"/>
      <c r="AT372" s="10"/>
      <c r="AU372" s="21"/>
      <c r="AV372" s="21"/>
      <c r="AY372" s="21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0"/>
      <c r="BK372" s="10"/>
      <c r="BL372" s="21"/>
      <c r="BM372" s="21"/>
      <c r="BP372" s="21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0"/>
      <c r="CB372" s="10"/>
      <c r="CC372" s="21"/>
      <c r="CD372" s="21"/>
      <c r="CG372" s="21"/>
      <c r="CH372" s="15"/>
      <c r="CI372" s="15"/>
      <c r="CJ372" s="15"/>
      <c r="CK372" s="15"/>
      <c r="CL372" s="15"/>
      <c r="CM372" s="15"/>
      <c r="CN372" s="15"/>
      <c r="CO372" s="15"/>
      <c r="CP372" s="15"/>
      <c r="CQ372" s="15"/>
      <c r="CR372" s="10"/>
      <c r="CS372" s="10"/>
      <c r="CT372" s="21"/>
      <c r="CU372" s="21"/>
      <c r="CX372" s="21"/>
      <c r="CY372" s="15"/>
      <c r="CZ372" s="15"/>
      <c r="DA372" s="15"/>
      <c r="DB372" s="15"/>
      <c r="DC372" s="15"/>
      <c r="DD372" s="15"/>
      <c r="DE372" s="15"/>
      <c r="DF372" s="15"/>
      <c r="DG372" s="15"/>
      <c r="DH372" s="15"/>
      <c r="DI372" s="10"/>
      <c r="DJ372" s="10"/>
      <c r="DK372" s="21"/>
      <c r="DL372" s="21"/>
      <c r="DO372" s="21"/>
      <c r="DP372" s="15"/>
      <c r="DQ372" s="15"/>
      <c r="DR372" s="15"/>
      <c r="DS372" s="15"/>
      <c r="DT372" s="15"/>
      <c r="DU372" s="15"/>
      <c r="DV372" s="15"/>
      <c r="DW372" s="15"/>
      <c r="DX372" s="15"/>
      <c r="DY372" s="15"/>
      <c r="DZ372" s="10"/>
      <c r="EA372" s="10"/>
      <c r="EB372" s="21"/>
      <c r="EC372" s="21"/>
      <c r="EF372" s="21"/>
      <c r="EG372" s="15"/>
      <c r="EH372" s="15"/>
      <c r="EI372" s="15"/>
      <c r="EJ372" s="15"/>
      <c r="EK372" s="15"/>
      <c r="EL372" s="15"/>
      <c r="EM372" s="15"/>
      <c r="EN372" s="15"/>
      <c r="EO372" s="15"/>
      <c r="EP372" s="15"/>
      <c r="EQ372" s="10"/>
      <c r="ER372" s="10"/>
      <c r="ES372" s="21"/>
      <c r="ET372" s="21"/>
      <c r="EW372" s="21"/>
      <c r="EX372" s="15"/>
      <c r="EY372" s="15"/>
      <c r="EZ372" s="15"/>
      <c r="FA372" s="15"/>
      <c r="FB372" s="15"/>
      <c r="FC372" s="15"/>
      <c r="FD372" s="15"/>
      <c r="FE372" s="15"/>
      <c r="FF372" s="15"/>
      <c r="FG372" s="15"/>
      <c r="FH372" s="10"/>
      <c r="FI372" s="10"/>
      <c r="FJ372" s="21"/>
      <c r="FK372" s="21"/>
      <c r="FN372" s="21"/>
      <c r="FO372" s="15"/>
      <c r="FP372" s="15"/>
      <c r="FQ372" s="15"/>
      <c r="FR372" s="15"/>
      <c r="FS372" s="15"/>
      <c r="FT372" s="15"/>
      <c r="FU372" s="15"/>
      <c r="FV372" s="15"/>
      <c r="FW372" s="15"/>
      <c r="FX372" s="15"/>
      <c r="FY372" s="10"/>
      <c r="FZ372" s="10"/>
      <c r="GA372" s="21"/>
      <c r="GB372" s="21"/>
      <c r="GE372" s="21"/>
      <c r="GF372" s="15"/>
      <c r="GG372" s="15"/>
      <c r="GH372" s="15"/>
      <c r="GI372" s="15"/>
      <c r="GJ372" s="15"/>
      <c r="GK372" s="15"/>
      <c r="GL372" s="15"/>
      <c r="GM372" s="15"/>
      <c r="GN372" s="15"/>
      <c r="GO372" s="15"/>
      <c r="GP372" s="10"/>
      <c r="GQ372" s="10"/>
      <c r="GR372" s="21"/>
      <c r="GS372" s="21"/>
      <c r="GV372" s="21"/>
      <c r="GW372" s="15"/>
      <c r="GX372" s="15"/>
      <c r="GY372" s="15"/>
      <c r="GZ372" s="15"/>
      <c r="HA372" s="15"/>
      <c r="HB372" s="15"/>
      <c r="HC372" s="15"/>
      <c r="HD372" s="15"/>
      <c r="HE372" s="15"/>
      <c r="HF372" s="15"/>
      <c r="HG372" s="10"/>
      <c r="HH372" s="10"/>
      <c r="HI372" s="21"/>
      <c r="HJ372" s="21"/>
      <c r="HM372" s="21"/>
      <c r="HN372" s="15"/>
      <c r="HO372" s="15"/>
      <c r="HP372" s="15"/>
      <c r="HQ372" s="15"/>
      <c r="HR372" s="15"/>
      <c r="HS372" s="15"/>
      <c r="HT372" s="15"/>
      <c r="HU372" s="15"/>
      <c r="HV372" s="15"/>
      <c r="HW372" s="15"/>
      <c r="HX372" s="10"/>
      <c r="HY372" s="10"/>
      <c r="HZ372" s="21"/>
      <c r="IA372" s="21"/>
      <c r="ID372" s="21"/>
      <c r="IE372" s="15"/>
      <c r="IF372" s="15"/>
      <c r="IG372" s="15"/>
      <c r="IH372" s="15"/>
      <c r="II372" s="15"/>
      <c r="IJ372" s="15"/>
      <c r="IK372" s="15"/>
      <c r="IL372" s="15"/>
      <c r="IM372" s="15"/>
      <c r="IN372" s="15"/>
      <c r="IO372" s="10"/>
      <c r="IP372" s="10"/>
      <c r="IQ372" s="21"/>
      <c r="IR372" s="21"/>
      <c r="IU372" s="21"/>
      <c r="IV372" s="15"/>
      <c r="IW372" s="15"/>
      <c r="IX372" s="15"/>
      <c r="IY372" s="15"/>
      <c r="IZ372" s="15"/>
      <c r="JA372" s="15"/>
      <c r="JB372" s="15"/>
      <c r="JC372" s="15"/>
      <c r="JD372" s="15"/>
      <c r="JE372" s="15"/>
      <c r="JF372" s="10"/>
      <c r="JG372" s="10"/>
      <c r="JH372" s="21"/>
      <c r="JI372" s="21"/>
      <c r="JL372" s="21"/>
      <c r="JM372" s="15"/>
      <c r="JN372" s="15"/>
      <c r="JO372" s="15"/>
      <c r="JP372" s="15"/>
      <c r="JQ372" s="15"/>
      <c r="JR372" s="15"/>
      <c r="JS372" s="15"/>
      <c r="JT372" s="15"/>
      <c r="JU372" s="15"/>
      <c r="JV372" s="15"/>
      <c r="JW372" s="10"/>
      <c r="JX372" s="10"/>
      <c r="JY372" s="21"/>
      <c r="JZ372" s="21"/>
      <c r="KC372" s="21"/>
      <c r="KD372" s="15"/>
      <c r="KE372" s="15"/>
      <c r="KF372" s="15"/>
      <c r="KG372" s="15"/>
      <c r="KH372" s="15"/>
      <c r="KI372" s="15"/>
      <c r="KJ372" s="15"/>
      <c r="KK372" s="15"/>
      <c r="KL372" s="15"/>
      <c r="KM372" s="15"/>
      <c r="KN372" s="10"/>
      <c r="KO372" s="10"/>
      <c r="KP372" s="21"/>
      <c r="KQ372" s="21"/>
      <c r="KT372" s="21"/>
      <c r="KU372" s="15"/>
      <c r="KV372" s="15"/>
      <c r="KW372" s="15"/>
      <c r="KX372" s="15"/>
      <c r="KY372" s="15"/>
      <c r="KZ372" s="15"/>
      <c r="LA372" s="15"/>
      <c r="LB372" s="15"/>
      <c r="LC372" s="15"/>
      <c r="LD372" s="15"/>
      <c r="LE372" s="10"/>
      <c r="LF372" s="10"/>
      <c r="LG372" s="21"/>
      <c r="LH372" s="21"/>
      <c r="LK372" s="21"/>
      <c r="LL372" s="15"/>
      <c r="LM372" s="15"/>
      <c r="LN372" s="15"/>
      <c r="LO372" s="15"/>
      <c r="LP372" s="15"/>
      <c r="LQ372" s="15"/>
      <c r="LR372" s="15"/>
      <c r="LS372" s="15"/>
      <c r="LT372" s="15"/>
      <c r="LU372" s="15"/>
      <c r="LV372" s="10"/>
      <c r="LW372" s="10"/>
      <c r="LX372" s="21"/>
      <c r="LY372" s="21"/>
      <c r="MB372" s="21"/>
      <c r="MC372" s="15"/>
      <c r="MD372" s="15"/>
      <c r="ME372" s="15"/>
      <c r="MF372" s="15"/>
      <c r="MG372" s="15"/>
      <c r="MH372" s="15"/>
      <c r="MI372" s="15"/>
      <c r="MJ372" s="15"/>
      <c r="MK372" s="15"/>
      <c r="ML372" s="15"/>
      <c r="MM372" s="10"/>
      <c r="MN372" s="10"/>
      <c r="MO372" s="21"/>
      <c r="MP372" s="21"/>
      <c r="MS372" s="21"/>
      <c r="MT372" s="15"/>
      <c r="MU372" s="15"/>
      <c r="MV372" s="15"/>
      <c r="MW372" s="15"/>
      <c r="MX372" s="15"/>
      <c r="MY372" s="15"/>
      <c r="MZ372" s="15"/>
      <c r="NA372" s="15"/>
      <c r="NB372" s="15"/>
      <c r="NC372" s="15"/>
      <c r="ND372" s="10"/>
      <c r="NE372" s="10"/>
      <c r="NF372" s="21"/>
      <c r="NG372" s="21"/>
      <c r="NJ372" s="21"/>
      <c r="NK372" s="15"/>
      <c r="NL372" s="15"/>
      <c r="NM372" s="15"/>
      <c r="NN372" s="15"/>
      <c r="NO372" s="15"/>
      <c r="NP372" s="15"/>
      <c r="NQ372" s="15"/>
      <c r="NR372" s="15"/>
      <c r="NS372" s="15"/>
      <c r="NT372" s="15"/>
      <c r="NU372" s="10"/>
      <c r="NV372" s="10"/>
      <c r="NW372" s="21"/>
      <c r="NX372" s="21"/>
      <c r="OA372" s="21"/>
      <c r="OB372" s="15"/>
      <c r="OC372" s="15"/>
      <c r="OD372" s="15"/>
      <c r="OE372" s="15"/>
      <c r="OF372" s="15"/>
      <c r="OG372" s="15"/>
      <c r="OH372" s="15"/>
      <c r="OI372" s="15"/>
      <c r="OJ372" s="15"/>
      <c r="OK372" s="15"/>
      <c r="OL372" s="10"/>
      <c r="OM372" s="10"/>
      <c r="ON372" s="21"/>
      <c r="OO372" s="21"/>
      <c r="OR372" s="21"/>
      <c r="OS372" s="15"/>
      <c r="OT372" s="15"/>
      <c r="OU372" s="15"/>
      <c r="OV372" s="15"/>
      <c r="OW372" s="15"/>
      <c r="OX372" s="15"/>
      <c r="OY372" s="15"/>
      <c r="OZ372" s="15"/>
      <c r="PA372" s="15"/>
      <c r="PB372" s="15"/>
      <c r="PC372" s="10"/>
      <c r="PD372" s="10"/>
      <c r="PE372" s="21"/>
      <c r="PF372" s="21"/>
      <c r="PI372" s="21"/>
      <c r="PJ372" s="15"/>
      <c r="PK372" s="15"/>
      <c r="PL372" s="15"/>
      <c r="PM372" s="15"/>
      <c r="PN372" s="15"/>
      <c r="PO372" s="15"/>
      <c r="PP372" s="15"/>
      <c r="PQ372" s="15"/>
      <c r="PR372" s="15"/>
      <c r="PS372" s="15"/>
      <c r="PT372" s="10"/>
      <c r="PU372" s="10"/>
      <c r="PV372" s="21"/>
      <c r="PW372" s="21"/>
      <c r="PZ372" s="21"/>
      <c r="QA372" s="15"/>
      <c r="QB372" s="15"/>
      <c r="QC372" s="15"/>
      <c r="QD372" s="15"/>
      <c r="QE372" s="15"/>
      <c r="QF372" s="15"/>
      <c r="QG372" s="15"/>
      <c r="QH372" s="15"/>
      <c r="QI372" s="15"/>
      <c r="QJ372" s="15"/>
      <c r="QK372" s="10"/>
      <c r="QL372" s="10"/>
      <c r="QM372" s="21"/>
      <c r="QN372" s="21"/>
      <c r="QQ372" s="21"/>
      <c r="QR372" s="15"/>
      <c r="QS372" s="15"/>
      <c r="QT372" s="15"/>
      <c r="QU372" s="15"/>
      <c r="QV372" s="15"/>
      <c r="QW372" s="15"/>
      <c r="QX372" s="15"/>
      <c r="QY372" s="15"/>
      <c r="QZ372" s="15"/>
      <c r="RA372" s="15"/>
      <c r="RB372" s="10"/>
      <c r="RC372" s="10"/>
      <c r="RD372" s="21"/>
      <c r="RE372" s="21"/>
      <c r="RH372" s="21"/>
      <c r="RI372" s="15"/>
      <c r="RJ372" s="15"/>
      <c r="RK372" s="15"/>
      <c r="RL372" s="15"/>
      <c r="RM372" s="15"/>
      <c r="RN372" s="15"/>
      <c r="RO372" s="15"/>
      <c r="RP372" s="15"/>
      <c r="RQ372" s="15"/>
      <c r="RR372" s="15"/>
      <c r="RS372" s="10"/>
      <c r="RT372" s="10"/>
      <c r="RU372" s="21"/>
      <c r="RV372" s="21"/>
      <c r="RY372" s="21"/>
      <c r="RZ372" s="15"/>
      <c r="SA372" s="15"/>
      <c r="SB372" s="15"/>
      <c r="SC372" s="15"/>
      <c r="SD372" s="15"/>
      <c r="SE372" s="15"/>
      <c r="SF372" s="15"/>
      <c r="SG372" s="15"/>
      <c r="SH372" s="15"/>
      <c r="SI372" s="15"/>
      <c r="SJ372" s="10"/>
      <c r="SK372" s="10"/>
      <c r="SL372" s="21"/>
      <c r="SM372" s="21"/>
      <c r="SP372" s="21"/>
      <c r="SQ372" s="15"/>
      <c r="SR372" s="15"/>
      <c r="SS372" s="15"/>
      <c r="ST372" s="15"/>
      <c r="SU372" s="15"/>
      <c r="SV372" s="15"/>
      <c r="SW372" s="15"/>
      <c r="SX372" s="15"/>
      <c r="SY372" s="15"/>
      <c r="SZ372" s="15"/>
      <c r="TA372" s="10"/>
      <c r="TB372" s="10"/>
      <c r="TC372" s="21"/>
      <c r="TD372" s="21"/>
      <c r="TG372" s="21"/>
      <c r="TH372" s="15"/>
      <c r="TI372" s="15"/>
      <c r="TJ372" s="15"/>
      <c r="TK372" s="15"/>
      <c r="TL372" s="15"/>
      <c r="TM372" s="15"/>
      <c r="TN372" s="15"/>
      <c r="TO372" s="15"/>
      <c r="TP372" s="15"/>
      <c r="TQ372" s="15"/>
      <c r="TR372" s="10"/>
      <c r="TS372" s="10"/>
      <c r="TT372" s="21"/>
      <c r="TU372" s="21"/>
      <c r="TX372" s="21"/>
      <c r="TY372" s="15"/>
      <c r="TZ372" s="15"/>
      <c r="UA372" s="15"/>
      <c r="UB372" s="15"/>
      <c r="UC372" s="15"/>
      <c r="UD372" s="15"/>
      <c r="UE372" s="15"/>
      <c r="UF372" s="15"/>
      <c r="UG372" s="15"/>
      <c r="UH372" s="15"/>
      <c r="UI372" s="10"/>
      <c r="UJ372" s="10"/>
      <c r="UK372" s="21"/>
      <c r="UL372" s="21"/>
      <c r="UO372" s="21"/>
      <c r="UP372" s="15"/>
      <c r="UQ372" s="15"/>
      <c r="UR372" s="15"/>
      <c r="US372" s="15"/>
      <c r="UT372" s="15"/>
      <c r="UU372" s="15"/>
      <c r="UV372" s="15"/>
      <c r="UW372" s="15"/>
      <c r="UX372" s="15"/>
      <c r="UY372" s="15"/>
      <c r="UZ372" s="10"/>
      <c r="VA372" s="10"/>
      <c r="VB372" s="21"/>
      <c r="VC372" s="21"/>
      <c r="VF372" s="21"/>
      <c r="VG372" s="15"/>
      <c r="VH372" s="15"/>
      <c r="VI372" s="15"/>
      <c r="VJ372" s="15"/>
      <c r="VK372" s="15"/>
      <c r="VL372" s="15"/>
      <c r="VM372" s="15"/>
      <c r="VN372" s="15"/>
      <c r="VO372" s="15"/>
      <c r="VP372" s="15"/>
      <c r="VQ372" s="10"/>
      <c r="VR372" s="10"/>
      <c r="VS372" s="21"/>
      <c r="VT372" s="21"/>
      <c r="VW372" s="21"/>
      <c r="VX372" s="15"/>
      <c r="VY372" s="15"/>
      <c r="VZ372" s="15"/>
      <c r="WA372" s="15"/>
      <c r="WB372" s="15"/>
      <c r="WC372" s="15"/>
      <c r="WD372" s="15"/>
      <c r="WE372" s="15"/>
      <c r="WF372" s="15"/>
      <c r="WG372" s="15"/>
      <c r="WH372" s="10"/>
      <c r="WI372" s="10"/>
      <c r="WJ372" s="21"/>
      <c r="WK372" s="21"/>
      <c r="WN372" s="21"/>
      <c r="WO372" s="15"/>
      <c r="WP372" s="15"/>
      <c r="WQ372" s="15"/>
      <c r="WR372" s="15"/>
      <c r="WS372" s="15"/>
      <c r="WT372" s="15"/>
      <c r="WU372" s="15"/>
      <c r="WV372" s="15"/>
      <c r="WW372" s="15"/>
      <c r="WX372" s="15"/>
      <c r="WY372" s="10"/>
      <c r="WZ372" s="10"/>
      <c r="XA372" s="21"/>
      <c r="XB372" s="21"/>
      <c r="XE372" s="21"/>
      <c r="XF372" s="15"/>
      <c r="XG372" s="15"/>
      <c r="XH372" s="15"/>
      <c r="XI372" s="15"/>
      <c r="XJ372" s="15"/>
      <c r="XK372" s="15"/>
      <c r="XL372" s="15"/>
      <c r="XM372" s="15"/>
      <c r="XN372" s="15"/>
      <c r="XO372" s="15"/>
      <c r="XP372" s="10"/>
      <c r="XQ372" s="10"/>
      <c r="XR372" s="21"/>
      <c r="XS372" s="21"/>
      <c r="XV372" s="21"/>
      <c r="XW372" s="15"/>
      <c r="XX372" s="15"/>
      <c r="XY372" s="15"/>
      <c r="XZ372" s="15"/>
      <c r="YA372" s="15"/>
      <c r="YB372" s="15"/>
      <c r="YC372" s="15"/>
      <c r="YD372" s="15"/>
      <c r="YE372" s="15"/>
      <c r="YF372" s="15"/>
      <c r="YG372" s="10"/>
      <c r="YH372" s="10"/>
      <c r="YI372" s="21"/>
      <c r="YJ372" s="21"/>
      <c r="YM372" s="21"/>
      <c r="YN372" s="15"/>
      <c r="YO372" s="15"/>
      <c r="YP372" s="15"/>
      <c r="YQ372" s="15"/>
      <c r="YR372" s="15"/>
      <c r="YS372" s="15"/>
      <c r="YT372" s="15"/>
      <c r="YU372" s="15"/>
      <c r="YV372" s="15"/>
      <c r="YW372" s="15"/>
      <c r="YX372" s="10"/>
      <c r="YY372" s="10"/>
      <c r="YZ372" s="21"/>
      <c r="ZA372" s="21"/>
      <c r="ZD372" s="21"/>
      <c r="ZE372" s="15"/>
      <c r="ZF372" s="15"/>
      <c r="ZG372" s="15"/>
      <c r="ZH372" s="15"/>
      <c r="ZI372" s="15"/>
      <c r="ZJ372" s="15"/>
      <c r="ZK372" s="15"/>
      <c r="ZL372" s="15"/>
      <c r="ZM372" s="15"/>
      <c r="ZN372" s="15"/>
      <c r="ZO372" s="10"/>
      <c r="ZP372" s="10"/>
      <c r="ZQ372" s="21"/>
      <c r="ZR372" s="21"/>
      <c r="ZU372" s="21"/>
      <c r="ZV372" s="15"/>
      <c r="ZW372" s="15"/>
      <c r="ZX372" s="15"/>
      <c r="ZY372" s="15"/>
      <c r="ZZ372" s="15"/>
      <c r="AAA372" s="15"/>
      <c r="AAB372" s="15"/>
      <c r="AAC372" s="15"/>
      <c r="AAD372" s="15"/>
      <c r="AAE372" s="15"/>
      <c r="AAF372" s="10"/>
      <c r="AAG372" s="10"/>
      <c r="AAH372" s="21"/>
      <c r="AAI372" s="21"/>
      <c r="AAL372" s="21"/>
      <c r="AAM372" s="15"/>
      <c r="AAN372" s="15"/>
      <c r="AAO372" s="15"/>
      <c r="AAP372" s="15"/>
      <c r="AAQ372" s="15"/>
      <c r="AAR372" s="15"/>
      <c r="AAS372" s="15"/>
      <c r="AAT372" s="15"/>
      <c r="AAU372" s="15"/>
      <c r="AAV372" s="15"/>
      <c r="AAW372" s="10"/>
      <c r="AAX372" s="10"/>
      <c r="AAY372" s="21"/>
      <c r="AAZ372" s="21"/>
      <c r="ABC372" s="21"/>
      <c r="ABD372" s="15"/>
      <c r="ABE372" s="15"/>
      <c r="ABF372" s="15"/>
      <c r="ABG372" s="15"/>
      <c r="ABH372" s="15"/>
      <c r="ABI372" s="15"/>
      <c r="ABJ372" s="15"/>
      <c r="ABK372" s="15"/>
      <c r="ABL372" s="15"/>
      <c r="ABM372" s="15"/>
      <c r="ABN372" s="10"/>
      <c r="ABO372" s="10"/>
      <c r="ABP372" s="21"/>
      <c r="ABQ372" s="21"/>
      <c r="ABT372" s="21"/>
      <c r="ABU372" s="15"/>
      <c r="ABV372" s="15"/>
      <c r="ABW372" s="15"/>
      <c r="ABX372" s="15"/>
      <c r="ABY372" s="15"/>
      <c r="ABZ372" s="15"/>
      <c r="ACA372" s="15"/>
      <c r="ACB372" s="15"/>
      <c r="ACC372" s="15"/>
      <c r="ACD372" s="15"/>
      <c r="ACE372" s="10"/>
      <c r="ACF372" s="10"/>
      <c r="ACG372" s="21"/>
      <c r="ACH372" s="21"/>
      <c r="ACK372" s="21"/>
      <c r="ACL372" s="15"/>
      <c r="ACM372" s="15"/>
      <c r="ACN372" s="15"/>
      <c r="ACO372" s="15"/>
      <c r="ACP372" s="15"/>
      <c r="ACQ372" s="15"/>
      <c r="ACR372" s="15"/>
      <c r="ACS372" s="15"/>
      <c r="ACT372" s="15"/>
      <c r="ACU372" s="15"/>
      <c r="ACV372" s="10"/>
      <c r="ACW372" s="10"/>
      <c r="ACX372" s="21"/>
      <c r="ACY372" s="21"/>
      <c r="ADB372" s="21"/>
      <c r="ADC372" s="15"/>
      <c r="ADD372" s="15"/>
      <c r="ADE372" s="15"/>
      <c r="ADF372" s="15"/>
      <c r="ADG372" s="15"/>
      <c r="ADH372" s="15"/>
      <c r="ADI372" s="15"/>
      <c r="ADJ372" s="15"/>
      <c r="ADK372" s="15"/>
      <c r="ADL372" s="15"/>
      <c r="ADM372" s="10"/>
      <c r="ADN372" s="10"/>
      <c r="ADO372" s="21"/>
      <c r="ADP372" s="21"/>
      <c r="ADS372" s="21"/>
      <c r="ADT372" s="15"/>
      <c r="ADU372" s="15"/>
      <c r="ADV372" s="15"/>
      <c r="ADW372" s="15"/>
      <c r="ADX372" s="15"/>
      <c r="ADY372" s="15"/>
      <c r="ADZ372" s="15"/>
      <c r="AEA372" s="15"/>
      <c r="AEB372" s="15"/>
      <c r="AEC372" s="15"/>
      <c r="AED372" s="10"/>
      <c r="AEE372" s="10"/>
      <c r="AEF372" s="21"/>
      <c r="AEG372" s="21"/>
      <c r="AEJ372" s="21"/>
      <c r="AEK372" s="15"/>
      <c r="AEL372" s="15"/>
      <c r="AEM372" s="15"/>
      <c r="AEN372" s="15"/>
      <c r="AEO372" s="15"/>
      <c r="AEP372" s="15"/>
      <c r="AEQ372" s="15"/>
      <c r="AER372" s="15"/>
      <c r="AES372" s="15"/>
      <c r="AET372" s="15"/>
      <c r="AEU372" s="10"/>
      <c r="AEV372" s="10"/>
      <c r="AEW372" s="21"/>
      <c r="AEX372" s="21"/>
      <c r="AFA372" s="21"/>
      <c r="AFB372" s="15"/>
      <c r="AFC372" s="15"/>
      <c r="AFD372" s="15"/>
      <c r="AFE372" s="15"/>
      <c r="AFF372" s="15"/>
      <c r="AFG372" s="15"/>
      <c r="AFH372" s="15"/>
      <c r="AFI372" s="15"/>
      <c r="AFJ372" s="15"/>
      <c r="AFK372" s="15"/>
      <c r="AFL372" s="10"/>
      <c r="AFM372" s="10"/>
      <c r="AFN372" s="21"/>
      <c r="AFO372" s="21"/>
      <c r="AFR372" s="21"/>
      <c r="AFS372" s="15"/>
      <c r="AFT372" s="15"/>
      <c r="AFU372" s="15"/>
      <c r="AFV372" s="15"/>
      <c r="AFW372" s="15"/>
      <c r="AFX372" s="15"/>
      <c r="AFY372" s="15"/>
      <c r="AFZ372" s="15"/>
      <c r="AGA372" s="15"/>
      <c r="AGB372" s="15"/>
      <c r="AGC372" s="10"/>
      <c r="AGD372" s="10"/>
      <c r="AGE372" s="21"/>
      <c r="AGF372" s="21"/>
      <c r="AGI372" s="21"/>
      <c r="AGJ372" s="15"/>
      <c r="AGK372" s="15"/>
      <c r="AGL372" s="15"/>
      <c r="AGM372" s="15"/>
      <c r="AGN372" s="15"/>
      <c r="AGO372" s="15"/>
      <c r="AGP372" s="15"/>
      <c r="AGQ372" s="15"/>
      <c r="AGR372" s="15"/>
      <c r="AGS372" s="15"/>
      <c r="AGT372" s="10"/>
      <c r="AGU372" s="10"/>
      <c r="AGV372" s="21"/>
      <c r="AGW372" s="21"/>
      <c r="AGZ372" s="21"/>
      <c r="AHA372" s="15"/>
      <c r="AHB372" s="15"/>
      <c r="AHC372" s="15"/>
      <c r="AHD372" s="15"/>
      <c r="AHE372" s="15"/>
      <c r="AHF372" s="15"/>
      <c r="AHG372" s="15"/>
      <c r="AHH372" s="15"/>
      <c r="AHI372" s="15"/>
      <c r="AHJ372" s="15"/>
      <c r="AHK372" s="10"/>
      <c r="AHL372" s="10"/>
      <c r="AHM372" s="21"/>
      <c r="AHN372" s="21"/>
      <c r="AHQ372" s="21"/>
      <c r="AHR372" s="15"/>
      <c r="AHS372" s="15"/>
      <c r="AHT372" s="15"/>
      <c r="AHU372" s="15"/>
      <c r="AHV372" s="15"/>
      <c r="AHW372" s="15"/>
      <c r="AHX372" s="15"/>
      <c r="AHY372" s="15"/>
      <c r="AHZ372" s="15"/>
      <c r="AIA372" s="15"/>
      <c r="AIB372" s="10"/>
      <c r="AIC372" s="10"/>
      <c r="AID372" s="21"/>
      <c r="AIE372" s="21"/>
      <c r="AIH372" s="21"/>
      <c r="AII372" s="15"/>
      <c r="AIJ372" s="15"/>
      <c r="AIK372" s="15"/>
      <c r="AIL372" s="15"/>
      <c r="AIM372" s="15"/>
      <c r="AIN372" s="15"/>
      <c r="AIO372" s="15"/>
      <c r="AIP372" s="15"/>
      <c r="AIQ372" s="15"/>
      <c r="AIR372" s="15"/>
      <c r="AIS372" s="10"/>
      <c r="AIT372" s="10"/>
      <c r="AIU372" s="21"/>
      <c r="AIV372" s="21"/>
      <c r="AIY372" s="21"/>
      <c r="AIZ372" s="15"/>
      <c r="AJA372" s="15"/>
      <c r="AJB372" s="15"/>
      <c r="AJC372" s="15"/>
      <c r="AJD372" s="15"/>
      <c r="AJE372" s="15"/>
      <c r="AJF372" s="15"/>
      <c r="AJG372" s="15"/>
      <c r="AJH372" s="15"/>
      <c r="AJI372" s="15"/>
      <c r="AJJ372" s="10"/>
      <c r="AJK372" s="10"/>
      <c r="AJL372" s="21"/>
      <c r="AJM372" s="21"/>
      <c r="AJP372" s="21"/>
      <c r="AJQ372" s="15"/>
      <c r="AJR372" s="15"/>
      <c r="AJS372" s="15"/>
      <c r="AJT372" s="15"/>
      <c r="AJU372" s="15"/>
      <c r="AJV372" s="15"/>
      <c r="AJW372" s="15"/>
      <c r="AJX372" s="15"/>
      <c r="AJY372" s="15"/>
      <c r="AJZ372" s="15"/>
      <c r="AKA372" s="10"/>
      <c r="AKB372" s="10"/>
      <c r="AKC372" s="21"/>
      <c r="AKD372" s="21"/>
      <c r="AKG372" s="21"/>
      <c r="AKH372" s="15"/>
      <c r="AKI372" s="15"/>
      <c r="AKJ372" s="15"/>
      <c r="AKK372" s="15"/>
      <c r="AKL372" s="15"/>
      <c r="AKM372" s="15"/>
      <c r="AKN372" s="15"/>
      <c r="AKO372" s="15"/>
      <c r="AKP372" s="15"/>
      <c r="AKQ372" s="15"/>
      <c r="AKR372" s="10"/>
      <c r="AKS372" s="10"/>
      <c r="AKT372" s="21"/>
      <c r="AKU372" s="21"/>
      <c r="AKX372" s="21"/>
      <c r="AKY372" s="15"/>
      <c r="AKZ372" s="15"/>
      <c r="ALA372" s="15"/>
      <c r="ALB372" s="15"/>
      <c r="ALC372" s="15"/>
      <c r="ALD372" s="15"/>
      <c r="ALE372" s="15"/>
      <c r="ALF372" s="15"/>
      <c r="ALG372" s="15"/>
      <c r="ALH372" s="15"/>
      <c r="ALI372" s="10"/>
      <c r="ALJ372" s="10"/>
      <c r="ALK372" s="21"/>
      <c r="ALL372" s="21"/>
      <c r="ALO372" s="21"/>
      <c r="ALP372" s="15"/>
      <c r="ALQ372" s="15"/>
      <c r="ALR372" s="15"/>
      <c r="ALS372" s="15"/>
      <c r="ALT372" s="15"/>
      <c r="ALU372" s="15"/>
      <c r="ALV372" s="15"/>
      <c r="ALW372" s="15"/>
      <c r="ALX372" s="15"/>
      <c r="ALY372" s="15"/>
      <c r="ALZ372" s="10"/>
      <c r="AMA372" s="10"/>
      <c r="AMB372" s="21"/>
      <c r="AMC372" s="21"/>
      <c r="AMF372" s="21"/>
      <c r="AMG372" s="15"/>
      <c r="AMH372" s="15"/>
      <c r="AMI372" s="15"/>
      <c r="AMJ372" s="15"/>
      <c r="AMK372" s="15"/>
      <c r="AML372" s="15"/>
      <c r="AMM372" s="15"/>
      <c r="AMN372" s="15"/>
      <c r="AMO372" s="15"/>
      <c r="AMP372" s="15"/>
      <c r="AMQ372" s="10"/>
      <c r="AMR372" s="10"/>
      <c r="AMS372" s="21"/>
      <c r="AMT372" s="21"/>
      <c r="AMW372" s="21"/>
      <c r="AMX372" s="15"/>
      <c r="AMY372" s="15"/>
      <c r="AMZ372" s="15"/>
      <c r="ANA372" s="15"/>
      <c r="ANB372" s="15"/>
      <c r="ANC372" s="15"/>
      <c r="AND372" s="15"/>
      <c r="ANE372" s="15"/>
      <c r="ANF372" s="15"/>
      <c r="ANG372" s="15"/>
      <c r="ANH372" s="10"/>
      <c r="ANI372" s="10"/>
      <c r="ANJ372" s="21"/>
      <c r="ANK372" s="21"/>
      <c r="ANN372" s="21"/>
      <c r="ANO372" s="15"/>
      <c r="ANP372" s="15"/>
      <c r="ANQ372" s="15"/>
      <c r="ANR372" s="15"/>
      <c r="ANS372" s="15"/>
      <c r="ANT372" s="15"/>
      <c r="ANU372" s="15"/>
      <c r="ANV372" s="15"/>
      <c r="ANW372" s="15"/>
      <c r="ANX372" s="15"/>
      <c r="ANY372" s="10"/>
      <c r="ANZ372" s="10"/>
      <c r="AOA372" s="21"/>
      <c r="AOB372" s="21"/>
      <c r="AOE372" s="21"/>
      <c r="AOF372" s="15"/>
      <c r="AOG372" s="15"/>
      <c r="AOH372" s="15"/>
      <c r="AOI372" s="15"/>
      <c r="AOJ372" s="15"/>
      <c r="AOK372" s="15"/>
      <c r="AOL372" s="15"/>
      <c r="AOM372" s="15"/>
      <c r="AON372" s="15"/>
      <c r="AOO372" s="15"/>
      <c r="AOP372" s="10"/>
      <c r="AOQ372" s="10"/>
      <c r="AOR372" s="21"/>
      <c r="AOS372" s="21"/>
      <c r="AOV372" s="21"/>
      <c r="AOW372" s="15"/>
      <c r="AOX372" s="15"/>
      <c r="AOY372" s="15"/>
      <c r="AOZ372" s="15"/>
      <c r="APA372" s="15"/>
      <c r="APB372" s="15"/>
      <c r="APC372" s="15"/>
      <c r="APD372" s="15"/>
      <c r="APE372" s="15"/>
      <c r="APF372" s="15"/>
      <c r="APG372" s="10"/>
      <c r="APH372" s="10"/>
      <c r="API372" s="21"/>
      <c r="APJ372" s="21"/>
      <c r="APM372" s="21"/>
      <c r="APN372" s="15"/>
      <c r="APO372" s="15"/>
      <c r="APP372" s="15"/>
      <c r="APQ372" s="15"/>
      <c r="APR372" s="15"/>
      <c r="APS372" s="15"/>
      <c r="APT372" s="15"/>
      <c r="APU372" s="15"/>
      <c r="APV372" s="15"/>
      <c r="APW372" s="15"/>
      <c r="APX372" s="10"/>
      <c r="APY372" s="10"/>
      <c r="APZ372" s="21"/>
      <c r="AQA372" s="21"/>
      <c r="AQD372" s="21"/>
      <c r="AQE372" s="15"/>
      <c r="AQF372" s="15"/>
      <c r="AQG372" s="15"/>
      <c r="AQH372" s="15"/>
      <c r="AQI372" s="15"/>
      <c r="AQJ372" s="15"/>
      <c r="AQK372" s="15"/>
      <c r="AQL372" s="15"/>
      <c r="AQM372" s="15"/>
      <c r="AQN372" s="15"/>
      <c r="AQO372" s="10"/>
      <c r="AQP372" s="10"/>
      <c r="AQQ372" s="21"/>
      <c r="AQR372" s="21"/>
      <c r="AQU372" s="21"/>
      <c r="AQV372" s="15"/>
      <c r="AQW372" s="15"/>
      <c r="AQX372" s="15"/>
      <c r="AQY372" s="15"/>
      <c r="AQZ372" s="15"/>
      <c r="ARA372" s="15"/>
      <c r="ARB372" s="15"/>
      <c r="ARC372" s="15"/>
      <c r="ARD372" s="15"/>
      <c r="ARE372" s="15"/>
      <c r="ARF372" s="10"/>
      <c r="ARG372" s="10"/>
      <c r="ARH372" s="21"/>
      <c r="ARI372" s="21"/>
      <c r="ARL372" s="21"/>
      <c r="ARM372" s="15"/>
      <c r="ARN372" s="15"/>
      <c r="ARO372" s="15"/>
      <c r="ARP372" s="15"/>
      <c r="ARQ372" s="15"/>
      <c r="ARR372" s="15"/>
      <c r="ARS372" s="15"/>
      <c r="ART372" s="15"/>
      <c r="ARU372" s="15"/>
      <c r="ARV372" s="15"/>
      <c r="ARW372" s="10"/>
      <c r="ARX372" s="10"/>
      <c r="ARY372" s="21"/>
      <c r="ARZ372" s="21"/>
      <c r="ASC372" s="21"/>
      <c r="ASD372" s="15"/>
      <c r="ASE372" s="15"/>
      <c r="ASF372" s="15"/>
      <c r="ASG372" s="15"/>
      <c r="ASH372" s="15"/>
      <c r="ASI372" s="15"/>
      <c r="ASJ372" s="15"/>
      <c r="ASK372" s="15"/>
      <c r="ASL372" s="15"/>
      <c r="ASM372" s="15"/>
      <c r="ASN372" s="10"/>
      <c r="ASO372" s="10"/>
      <c r="ASP372" s="21"/>
      <c r="ASQ372" s="21"/>
      <c r="AST372" s="21"/>
      <c r="ASU372" s="15"/>
      <c r="ASV372" s="15"/>
      <c r="ASW372" s="15"/>
      <c r="ASX372" s="15"/>
      <c r="ASY372" s="15"/>
      <c r="ASZ372" s="15"/>
      <c r="ATA372" s="15"/>
      <c r="ATB372" s="15"/>
      <c r="ATC372" s="15"/>
      <c r="ATD372" s="15"/>
      <c r="ATE372" s="10"/>
      <c r="ATF372" s="10"/>
      <c r="ATG372" s="21"/>
      <c r="ATH372" s="21"/>
      <c r="ATK372" s="21"/>
      <c r="ATL372" s="15"/>
      <c r="ATM372" s="15"/>
      <c r="ATN372" s="15"/>
      <c r="ATO372" s="15"/>
      <c r="ATP372" s="15"/>
      <c r="ATQ372" s="15"/>
      <c r="ATR372" s="15"/>
      <c r="ATS372" s="15"/>
      <c r="ATT372" s="15"/>
      <c r="ATU372" s="15"/>
      <c r="ATV372" s="10"/>
      <c r="ATW372" s="10"/>
      <c r="ATX372" s="21"/>
      <c r="ATY372" s="21"/>
      <c r="AUB372" s="21"/>
      <c r="AUC372" s="15"/>
      <c r="AUD372" s="15"/>
      <c r="AUE372" s="15"/>
      <c r="AUF372" s="15"/>
      <c r="AUG372" s="15"/>
      <c r="AUH372" s="15"/>
      <c r="AUI372" s="15"/>
      <c r="AUJ372" s="15"/>
      <c r="AUK372" s="15"/>
      <c r="AUL372" s="15"/>
      <c r="AUM372" s="10"/>
      <c r="AUN372" s="10"/>
      <c r="AUO372" s="21"/>
      <c r="AUP372" s="21"/>
      <c r="AUS372" s="21"/>
      <c r="AUT372" s="15"/>
      <c r="AUU372" s="15"/>
      <c r="AUV372" s="15"/>
      <c r="AUW372" s="15"/>
      <c r="AUX372" s="15"/>
      <c r="AUY372" s="15"/>
      <c r="AUZ372" s="15"/>
      <c r="AVA372" s="15"/>
      <c r="AVB372" s="15"/>
      <c r="AVC372" s="15"/>
      <c r="AVD372" s="10"/>
      <c r="AVE372" s="10"/>
      <c r="AVF372" s="21"/>
      <c r="AVG372" s="21"/>
      <c r="AVJ372" s="21"/>
      <c r="AVK372" s="15"/>
      <c r="AVL372" s="15"/>
      <c r="AVM372" s="15"/>
      <c r="AVN372" s="15"/>
      <c r="AVO372" s="15"/>
      <c r="AVP372" s="15"/>
      <c r="AVQ372" s="15"/>
      <c r="AVR372" s="15"/>
      <c r="AVS372" s="15"/>
      <c r="AVT372" s="15"/>
      <c r="AVU372" s="10"/>
      <c r="AVV372" s="10"/>
      <c r="AVW372" s="21"/>
      <c r="AVX372" s="21"/>
      <c r="AWA372" s="21"/>
      <c r="AWB372" s="15"/>
      <c r="AWC372" s="15"/>
      <c r="AWD372" s="15"/>
      <c r="AWE372" s="15"/>
      <c r="AWF372" s="15"/>
      <c r="AWG372" s="15"/>
      <c r="AWH372" s="15"/>
      <c r="AWI372" s="15"/>
      <c r="AWJ372" s="15"/>
      <c r="AWK372" s="15"/>
      <c r="AWL372" s="10"/>
      <c r="AWM372" s="10"/>
      <c r="AWN372" s="21"/>
      <c r="AWO372" s="21"/>
      <c r="AWR372" s="21"/>
      <c r="AWS372" s="15"/>
      <c r="AWT372" s="15"/>
      <c r="AWU372" s="15"/>
      <c r="AWV372" s="15"/>
      <c r="AWW372" s="15"/>
      <c r="AWX372" s="15"/>
      <c r="AWY372" s="15"/>
      <c r="AWZ372" s="15"/>
      <c r="AXA372" s="15"/>
      <c r="AXB372" s="15"/>
      <c r="AXC372" s="10"/>
      <c r="AXD372" s="10"/>
      <c r="AXE372" s="21"/>
      <c r="AXF372" s="21"/>
      <c r="AXI372" s="21"/>
      <c r="AXJ372" s="15"/>
      <c r="AXK372" s="15"/>
      <c r="AXL372" s="15"/>
      <c r="AXM372" s="15"/>
      <c r="AXN372" s="15"/>
      <c r="AXO372" s="15"/>
      <c r="AXP372" s="15"/>
      <c r="AXQ372" s="15"/>
      <c r="AXR372" s="15"/>
      <c r="AXS372" s="15"/>
      <c r="AXT372" s="10"/>
      <c r="AXU372" s="10"/>
      <c r="AXV372" s="21"/>
      <c r="AXW372" s="21"/>
      <c r="AXZ372" s="21"/>
      <c r="AYA372" s="15"/>
      <c r="AYB372" s="15"/>
      <c r="AYC372" s="15"/>
      <c r="AYD372" s="15"/>
      <c r="AYE372" s="15"/>
      <c r="AYF372" s="15"/>
      <c r="AYG372" s="15"/>
      <c r="AYH372" s="15"/>
      <c r="AYI372" s="15"/>
      <c r="AYJ372" s="15"/>
      <c r="AYK372" s="10"/>
      <c r="AYL372" s="10"/>
      <c r="AYM372" s="21"/>
      <c r="AYN372" s="21"/>
      <c r="AYQ372" s="21"/>
      <c r="AYR372" s="15"/>
      <c r="AYS372" s="15"/>
      <c r="AYT372" s="15"/>
      <c r="AYU372" s="15"/>
      <c r="AYV372" s="15"/>
      <c r="AYW372" s="15"/>
      <c r="AYX372" s="15"/>
      <c r="AYY372" s="15"/>
      <c r="AYZ372" s="15"/>
      <c r="AZA372" s="15"/>
      <c r="AZB372" s="10"/>
      <c r="AZC372" s="10"/>
      <c r="AZD372" s="21"/>
      <c r="AZE372" s="21"/>
      <c r="AZH372" s="21"/>
      <c r="AZI372" s="15"/>
      <c r="AZJ372" s="15"/>
      <c r="AZK372" s="15"/>
      <c r="AZL372" s="15"/>
      <c r="AZM372" s="15"/>
      <c r="AZN372" s="15"/>
      <c r="AZO372" s="15"/>
      <c r="AZP372" s="15"/>
      <c r="AZQ372" s="15"/>
      <c r="AZR372" s="15"/>
      <c r="AZS372" s="10"/>
      <c r="AZT372" s="10"/>
      <c r="AZU372" s="21"/>
      <c r="AZV372" s="21"/>
      <c r="AZY372" s="21"/>
      <c r="AZZ372" s="15"/>
      <c r="BAA372" s="15"/>
      <c r="BAB372" s="15"/>
      <c r="BAC372" s="15"/>
      <c r="BAD372" s="15"/>
      <c r="BAE372" s="15"/>
      <c r="BAF372" s="15"/>
      <c r="BAG372" s="15"/>
      <c r="BAH372" s="15"/>
      <c r="BAI372" s="15"/>
      <c r="BAJ372" s="10"/>
      <c r="BAK372" s="10"/>
      <c r="BAL372" s="21"/>
      <c r="BAM372" s="21"/>
      <c r="BAP372" s="21"/>
      <c r="BAQ372" s="15"/>
      <c r="BAR372" s="15"/>
      <c r="BAS372" s="15"/>
      <c r="BAT372" s="15"/>
      <c r="BAU372" s="15"/>
      <c r="BAV372" s="15"/>
      <c r="BAW372" s="15"/>
      <c r="BAX372" s="15"/>
      <c r="BAY372" s="15"/>
      <c r="BAZ372" s="15"/>
      <c r="BBA372" s="10"/>
      <c r="BBB372" s="10"/>
      <c r="BBC372" s="21"/>
      <c r="BBD372" s="21"/>
      <c r="BBG372" s="21"/>
      <c r="BBH372" s="15"/>
      <c r="BBI372" s="15"/>
      <c r="BBJ372" s="15"/>
      <c r="BBK372" s="15"/>
      <c r="BBL372" s="15"/>
      <c r="BBM372" s="15"/>
      <c r="BBN372" s="15"/>
      <c r="BBO372" s="15"/>
      <c r="BBP372" s="15"/>
      <c r="BBQ372" s="15"/>
      <c r="BBR372" s="10"/>
      <c r="BBS372" s="10"/>
      <c r="BBT372" s="21"/>
      <c r="BBU372" s="21"/>
      <c r="BBX372" s="21"/>
      <c r="BBY372" s="15"/>
      <c r="BBZ372" s="15"/>
      <c r="BCA372" s="15"/>
      <c r="BCB372" s="15"/>
      <c r="BCC372" s="15"/>
      <c r="BCD372" s="15"/>
      <c r="BCE372" s="15"/>
      <c r="BCF372" s="15"/>
      <c r="BCG372" s="15"/>
      <c r="BCH372" s="15"/>
      <c r="BCI372" s="10"/>
      <c r="BCJ372" s="10"/>
      <c r="BCK372" s="21"/>
      <c r="BCL372" s="21"/>
      <c r="BCO372" s="21"/>
      <c r="BCP372" s="15"/>
      <c r="BCQ372" s="15"/>
      <c r="BCR372" s="15"/>
      <c r="BCS372" s="15"/>
      <c r="BCT372" s="15"/>
      <c r="BCU372" s="15"/>
      <c r="BCV372" s="15"/>
      <c r="BCW372" s="15"/>
      <c r="BCX372" s="15"/>
      <c r="BCY372" s="15"/>
      <c r="BCZ372" s="10"/>
      <c r="BDA372" s="10"/>
      <c r="BDB372" s="21"/>
      <c r="BDC372" s="21"/>
      <c r="BDF372" s="21"/>
      <c r="BDG372" s="15"/>
      <c r="BDH372" s="15"/>
      <c r="BDI372" s="15"/>
      <c r="BDJ372" s="15"/>
      <c r="BDK372" s="15"/>
      <c r="BDL372" s="15"/>
      <c r="BDM372" s="15"/>
      <c r="BDN372" s="15"/>
      <c r="BDO372" s="15"/>
      <c r="BDP372" s="15"/>
      <c r="BDQ372" s="10"/>
      <c r="BDR372" s="10"/>
      <c r="BDS372" s="21"/>
      <c r="BDT372" s="21"/>
      <c r="BDW372" s="21"/>
      <c r="BDX372" s="15"/>
      <c r="BDY372" s="15"/>
      <c r="BDZ372" s="15"/>
      <c r="BEA372" s="15"/>
      <c r="BEB372" s="15"/>
      <c r="BEC372" s="15"/>
      <c r="BED372" s="15"/>
      <c r="BEE372" s="15"/>
      <c r="BEF372" s="15"/>
      <c r="BEG372" s="15"/>
      <c r="BEH372" s="10"/>
      <c r="BEI372" s="10"/>
      <c r="BEJ372" s="21"/>
      <c r="BEK372" s="21"/>
      <c r="BEN372" s="21"/>
      <c r="BEO372" s="15"/>
      <c r="BEP372" s="15"/>
      <c r="BEQ372" s="15"/>
      <c r="BER372" s="15"/>
      <c r="BES372" s="15"/>
      <c r="BET372" s="15"/>
      <c r="BEU372" s="15"/>
      <c r="BEV372" s="15"/>
      <c r="BEW372" s="15"/>
      <c r="BEX372" s="15"/>
      <c r="BEY372" s="10"/>
      <c r="BEZ372" s="10"/>
      <c r="BFA372" s="21"/>
      <c r="BFB372" s="21"/>
      <c r="BFE372" s="21"/>
      <c r="BFF372" s="15"/>
      <c r="BFG372" s="15"/>
      <c r="BFH372" s="15"/>
      <c r="BFI372" s="15"/>
      <c r="BFJ372" s="15"/>
      <c r="BFK372" s="15"/>
      <c r="BFL372" s="15"/>
      <c r="BFM372" s="15"/>
      <c r="BFN372" s="15"/>
      <c r="BFO372" s="15"/>
      <c r="BFP372" s="10"/>
      <c r="BFQ372" s="10"/>
      <c r="BFR372" s="21"/>
      <c r="BFS372" s="21"/>
      <c r="BFV372" s="21"/>
      <c r="BFW372" s="15"/>
      <c r="BFX372" s="15"/>
      <c r="BFY372" s="15"/>
      <c r="BFZ372" s="15"/>
      <c r="BGA372" s="15"/>
      <c r="BGB372" s="15"/>
      <c r="BGC372" s="15"/>
      <c r="BGD372" s="15"/>
      <c r="BGE372" s="15"/>
      <c r="BGF372" s="15"/>
      <c r="BGG372" s="10"/>
      <c r="BGH372" s="10"/>
      <c r="BGI372" s="21"/>
      <c r="BGJ372" s="21"/>
      <c r="BGM372" s="21"/>
      <c r="BGN372" s="15"/>
      <c r="BGO372" s="15"/>
      <c r="BGP372" s="15"/>
      <c r="BGQ372" s="15"/>
      <c r="BGR372" s="15"/>
      <c r="BGS372" s="15"/>
      <c r="BGT372" s="15"/>
      <c r="BGU372" s="15"/>
      <c r="BGV372" s="15"/>
      <c r="BGW372" s="15"/>
      <c r="BGX372" s="10"/>
      <c r="BGY372" s="10"/>
      <c r="BGZ372" s="21"/>
      <c r="BHA372" s="21"/>
      <c r="BHD372" s="21"/>
      <c r="BHE372" s="15"/>
      <c r="BHF372" s="15"/>
      <c r="BHG372" s="15"/>
      <c r="BHH372" s="15"/>
      <c r="BHI372" s="15"/>
      <c r="BHJ372" s="15"/>
      <c r="BHK372" s="15"/>
      <c r="BHL372" s="15"/>
      <c r="BHM372" s="15"/>
      <c r="BHN372" s="15"/>
      <c r="BHO372" s="10"/>
      <c r="BHP372" s="10"/>
      <c r="BHQ372" s="21"/>
      <c r="BHR372" s="21"/>
      <c r="BHU372" s="21"/>
      <c r="BHV372" s="15"/>
      <c r="BHW372" s="15"/>
      <c r="BHX372" s="15"/>
      <c r="BHY372" s="15"/>
      <c r="BHZ372" s="15"/>
      <c r="BIA372" s="15"/>
      <c r="BIB372" s="15"/>
      <c r="BIC372" s="15"/>
      <c r="BID372" s="15"/>
      <c r="BIE372" s="15"/>
      <c r="BIF372" s="10"/>
      <c r="BIG372" s="10"/>
      <c r="BIH372" s="21"/>
      <c r="BII372" s="21"/>
      <c r="BIL372" s="21"/>
      <c r="BIM372" s="15"/>
      <c r="BIN372" s="15"/>
      <c r="BIO372" s="15"/>
      <c r="BIP372" s="15"/>
      <c r="BIQ372" s="15"/>
      <c r="BIR372" s="15"/>
      <c r="BIS372" s="15"/>
      <c r="BIT372" s="15"/>
      <c r="BIU372" s="15"/>
      <c r="BIV372" s="15"/>
      <c r="BIW372" s="10"/>
      <c r="BIX372" s="10"/>
      <c r="BIY372" s="21"/>
      <c r="BIZ372" s="21"/>
      <c r="BJC372" s="21"/>
      <c r="BJD372" s="15"/>
      <c r="BJE372" s="15"/>
      <c r="BJF372" s="15"/>
      <c r="BJG372" s="15"/>
      <c r="BJH372" s="15"/>
      <c r="BJI372" s="15"/>
      <c r="BJJ372" s="15"/>
      <c r="BJK372" s="15"/>
      <c r="BJL372" s="15"/>
      <c r="BJM372" s="15"/>
      <c r="BJN372" s="10"/>
      <c r="BJO372" s="10"/>
      <c r="BJP372" s="21"/>
      <c r="BJQ372" s="21"/>
      <c r="BJT372" s="21"/>
      <c r="BJU372" s="15"/>
      <c r="BJV372" s="15"/>
      <c r="BJW372" s="15"/>
      <c r="BJX372" s="15"/>
      <c r="BJY372" s="15"/>
      <c r="BJZ372" s="15"/>
      <c r="BKA372" s="15"/>
      <c r="BKB372" s="15"/>
      <c r="BKC372" s="15"/>
      <c r="BKD372" s="15"/>
      <c r="BKE372" s="10"/>
      <c r="BKF372" s="10"/>
      <c r="BKG372" s="21"/>
      <c r="BKH372" s="21"/>
      <c r="BKK372" s="21"/>
      <c r="BKL372" s="15"/>
      <c r="BKM372" s="15"/>
      <c r="BKN372" s="15"/>
      <c r="BKO372" s="15"/>
      <c r="BKP372" s="15"/>
      <c r="BKQ372" s="15"/>
      <c r="BKR372" s="15"/>
      <c r="BKS372" s="15"/>
      <c r="BKT372" s="15"/>
      <c r="BKU372" s="15"/>
      <c r="BKV372" s="10"/>
      <c r="BKW372" s="10"/>
      <c r="BKX372" s="21"/>
      <c r="BKY372" s="21"/>
      <c r="BLB372" s="21"/>
      <c r="BLC372" s="15"/>
      <c r="BLD372" s="15"/>
      <c r="BLE372" s="15"/>
      <c r="BLF372" s="15"/>
      <c r="BLG372" s="15"/>
      <c r="BLH372" s="15"/>
      <c r="BLI372" s="15"/>
      <c r="BLJ372" s="15"/>
      <c r="BLK372" s="15"/>
      <c r="BLL372" s="15"/>
      <c r="BLM372" s="10"/>
      <c r="BLN372" s="10"/>
      <c r="BLO372" s="21"/>
      <c r="BLP372" s="21"/>
      <c r="BLS372" s="21"/>
      <c r="BLT372" s="15"/>
      <c r="BLU372" s="15"/>
      <c r="BLV372" s="15"/>
      <c r="BLW372" s="15"/>
      <c r="BLX372" s="15"/>
      <c r="BLY372" s="15"/>
      <c r="BLZ372" s="15"/>
      <c r="BMA372" s="15"/>
      <c r="BMB372" s="15"/>
      <c r="BMC372" s="15"/>
      <c r="BMD372" s="10"/>
      <c r="BME372" s="10"/>
      <c r="BMF372" s="21"/>
      <c r="BMG372" s="21"/>
      <c r="BMJ372" s="21"/>
      <c r="BMK372" s="15"/>
      <c r="BML372" s="15"/>
      <c r="BMM372" s="15"/>
      <c r="BMN372" s="15"/>
      <c r="BMO372" s="15"/>
      <c r="BMP372" s="15"/>
      <c r="BMQ372" s="15"/>
      <c r="BMR372" s="15"/>
      <c r="BMS372" s="15"/>
      <c r="BMT372" s="15"/>
      <c r="BMU372" s="10"/>
      <c r="BMV372" s="10"/>
      <c r="BMW372" s="21"/>
      <c r="BMX372" s="21"/>
      <c r="BNA372" s="21"/>
      <c r="BNB372" s="15"/>
      <c r="BNC372" s="15"/>
      <c r="BND372" s="15"/>
      <c r="BNE372" s="15"/>
      <c r="BNF372" s="15"/>
      <c r="BNG372" s="15"/>
      <c r="BNH372" s="15"/>
      <c r="BNI372" s="15"/>
      <c r="BNJ372" s="15"/>
      <c r="BNK372" s="15"/>
      <c r="BNL372" s="10"/>
      <c r="BNM372" s="10"/>
      <c r="BNN372" s="21"/>
      <c r="BNO372" s="21"/>
      <c r="BNR372" s="21"/>
      <c r="BNS372" s="15"/>
      <c r="BNT372" s="15"/>
      <c r="BNU372" s="15"/>
      <c r="BNV372" s="15"/>
      <c r="BNW372" s="15"/>
      <c r="BNX372" s="15"/>
      <c r="BNY372" s="15"/>
      <c r="BNZ372" s="15"/>
      <c r="BOA372" s="15"/>
      <c r="BOB372" s="15"/>
      <c r="BOC372" s="10"/>
      <c r="BOD372" s="10"/>
      <c r="BOE372" s="21"/>
      <c r="BOF372" s="21"/>
      <c r="BOI372" s="21"/>
      <c r="BOJ372" s="15"/>
      <c r="BOK372" s="15"/>
      <c r="BOL372" s="15"/>
      <c r="BOM372" s="15"/>
      <c r="BON372" s="15"/>
      <c r="BOO372" s="15"/>
      <c r="BOP372" s="15"/>
      <c r="BOQ372" s="15"/>
      <c r="BOR372" s="15"/>
      <c r="BOS372" s="15"/>
      <c r="BOT372" s="10"/>
      <c r="BOU372" s="10"/>
      <c r="BOV372" s="21"/>
      <c r="BOW372" s="21"/>
      <c r="BOZ372" s="21"/>
      <c r="BPA372" s="15"/>
      <c r="BPB372" s="15"/>
      <c r="BPC372" s="15"/>
      <c r="BPD372" s="15"/>
      <c r="BPE372" s="15"/>
      <c r="BPF372" s="15"/>
      <c r="BPG372" s="15"/>
      <c r="BPH372" s="15"/>
      <c r="BPI372" s="15"/>
      <c r="BPJ372" s="15"/>
      <c r="BPK372" s="10"/>
      <c r="BPL372" s="10"/>
      <c r="BPM372" s="21"/>
      <c r="BPN372" s="21"/>
      <c r="BPQ372" s="21"/>
      <c r="BPR372" s="15"/>
      <c r="BPS372" s="15"/>
      <c r="BPT372" s="15"/>
      <c r="BPU372" s="15"/>
      <c r="BPV372" s="15"/>
      <c r="BPW372" s="15"/>
      <c r="BPX372" s="15"/>
      <c r="BPY372" s="15"/>
      <c r="BPZ372" s="15"/>
      <c r="BQA372" s="15"/>
      <c r="BQB372" s="10"/>
      <c r="BQC372" s="10"/>
      <c r="BQD372" s="21"/>
      <c r="BQE372" s="21"/>
      <c r="BQH372" s="21"/>
      <c r="BQI372" s="15"/>
      <c r="BQJ372" s="15"/>
      <c r="BQK372" s="15"/>
      <c r="BQL372" s="15"/>
      <c r="BQM372" s="15"/>
      <c r="BQN372" s="15"/>
      <c r="BQO372" s="15"/>
      <c r="BQP372" s="15"/>
      <c r="BQQ372" s="15"/>
      <c r="BQR372" s="15"/>
      <c r="BQS372" s="10"/>
      <c r="BQT372" s="10"/>
      <c r="BQU372" s="21"/>
      <c r="BQV372" s="21"/>
      <c r="BQY372" s="21"/>
      <c r="BQZ372" s="15"/>
      <c r="BRA372" s="15"/>
      <c r="BRB372" s="15"/>
      <c r="BRC372" s="15"/>
      <c r="BRD372" s="15"/>
      <c r="BRE372" s="15"/>
      <c r="BRF372" s="15"/>
      <c r="BRG372" s="15"/>
      <c r="BRH372" s="15"/>
      <c r="BRI372" s="15"/>
      <c r="BRJ372" s="10"/>
      <c r="BRK372" s="10"/>
      <c r="BRL372" s="21"/>
      <c r="BRM372" s="21"/>
      <c r="BRP372" s="21"/>
      <c r="BRQ372" s="15"/>
      <c r="BRR372" s="15"/>
      <c r="BRS372" s="15"/>
      <c r="BRT372" s="15"/>
      <c r="BRU372" s="15"/>
      <c r="BRV372" s="15"/>
      <c r="BRW372" s="15"/>
      <c r="BRX372" s="15"/>
      <c r="BRY372" s="15"/>
      <c r="BRZ372" s="15"/>
      <c r="BSA372" s="10"/>
      <c r="BSB372" s="10"/>
      <c r="BSC372" s="21"/>
      <c r="BSD372" s="21"/>
      <c r="BSG372" s="21"/>
      <c r="BSH372" s="15"/>
      <c r="BSI372" s="15"/>
      <c r="BSJ372" s="15"/>
      <c r="BSK372" s="15"/>
      <c r="BSL372" s="15"/>
      <c r="BSM372" s="15"/>
      <c r="BSN372" s="15"/>
      <c r="BSO372" s="15"/>
      <c r="BSP372" s="15"/>
      <c r="BSQ372" s="15"/>
      <c r="BSR372" s="10"/>
      <c r="BSS372" s="10"/>
      <c r="BST372" s="21"/>
      <c r="BSU372" s="21"/>
      <c r="BSX372" s="21"/>
      <c r="BSY372" s="15"/>
      <c r="BSZ372" s="15"/>
      <c r="BTA372" s="15"/>
      <c r="BTB372" s="15"/>
      <c r="BTC372" s="15"/>
      <c r="BTD372" s="15"/>
      <c r="BTE372" s="15"/>
      <c r="BTF372" s="15"/>
      <c r="BTG372" s="15"/>
      <c r="BTH372" s="15"/>
      <c r="BTI372" s="10"/>
      <c r="BTJ372" s="10"/>
      <c r="BTK372" s="21"/>
      <c r="BTL372" s="21"/>
      <c r="BTO372" s="21"/>
      <c r="BTP372" s="15"/>
      <c r="BTQ372" s="15"/>
      <c r="BTR372" s="15"/>
      <c r="BTS372" s="15"/>
      <c r="BTT372" s="15"/>
      <c r="BTU372" s="15"/>
      <c r="BTV372" s="15"/>
      <c r="BTW372" s="15"/>
      <c r="BTX372" s="15"/>
      <c r="BTY372" s="15"/>
      <c r="BTZ372" s="10"/>
      <c r="BUA372" s="10"/>
      <c r="BUB372" s="21"/>
      <c r="BUC372" s="21"/>
      <c r="BUF372" s="21"/>
      <c r="BUG372" s="15"/>
      <c r="BUH372" s="15"/>
      <c r="BUI372" s="15"/>
      <c r="BUJ372" s="15"/>
      <c r="BUK372" s="15"/>
      <c r="BUL372" s="15"/>
      <c r="BUM372" s="15"/>
      <c r="BUN372" s="15"/>
      <c r="BUO372" s="15"/>
      <c r="BUP372" s="15"/>
      <c r="BUQ372" s="10"/>
      <c r="BUR372" s="10"/>
      <c r="BUS372" s="21"/>
      <c r="BUT372" s="21"/>
      <c r="BUW372" s="21"/>
      <c r="BUX372" s="15"/>
      <c r="BUY372" s="15"/>
      <c r="BUZ372" s="15"/>
      <c r="BVA372" s="15"/>
      <c r="BVB372" s="15"/>
      <c r="BVC372" s="15"/>
      <c r="BVD372" s="15"/>
      <c r="BVE372" s="15"/>
      <c r="BVF372" s="15"/>
      <c r="BVG372" s="15"/>
      <c r="BVH372" s="10"/>
      <c r="BVI372" s="10"/>
      <c r="BVJ372" s="21"/>
      <c r="BVK372" s="21"/>
      <c r="BVN372" s="21"/>
      <c r="BVO372" s="15"/>
      <c r="BVP372" s="15"/>
      <c r="BVQ372" s="15"/>
      <c r="BVR372" s="15"/>
      <c r="BVS372" s="15"/>
      <c r="BVT372" s="15"/>
      <c r="BVU372" s="15"/>
      <c r="BVV372" s="15"/>
      <c r="BVW372" s="15"/>
      <c r="BVX372" s="15"/>
      <c r="BVY372" s="10"/>
      <c r="BVZ372" s="10"/>
      <c r="BWA372" s="21"/>
      <c r="BWB372" s="21"/>
      <c r="BWE372" s="21"/>
      <c r="BWF372" s="15"/>
      <c r="BWG372" s="15"/>
      <c r="BWH372" s="15"/>
      <c r="BWI372" s="15"/>
      <c r="BWJ372" s="15"/>
      <c r="BWK372" s="15"/>
      <c r="BWL372" s="15"/>
      <c r="BWM372" s="15"/>
      <c r="BWN372" s="15"/>
      <c r="BWO372" s="15"/>
      <c r="BWP372" s="10"/>
      <c r="BWQ372" s="10"/>
      <c r="BWR372" s="21"/>
      <c r="BWS372" s="21"/>
      <c r="BWV372" s="21"/>
      <c r="BWW372" s="15"/>
      <c r="BWX372" s="15"/>
      <c r="BWY372" s="15"/>
      <c r="BWZ372" s="15"/>
      <c r="BXA372" s="15"/>
      <c r="BXB372" s="15"/>
      <c r="BXC372" s="15"/>
      <c r="BXD372" s="15"/>
      <c r="BXE372" s="15"/>
      <c r="BXF372" s="15"/>
      <c r="BXG372" s="10"/>
      <c r="BXH372" s="10"/>
      <c r="BXI372" s="21"/>
      <c r="BXJ372" s="21"/>
      <c r="BXM372" s="21"/>
      <c r="BXN372" s="15"/>
      <c r="BXO372" s="15"/>
      <c r="BXP372" s="15"/>
      <c r="BXQ372" s="15"/>
      <c r="BXR372" s="15"/>
      <c r="BXS372" s="15"/>
      <c r="BXT372" s="15"/>
      <c r="BXU372" s="15"/>
      <c r="BXV372" s="15"/>
      <c r="BXW372" s="15"/>
      <c r="BXX372" s="10"/>
      <c r="BXY372" s="10"/>
      <c r="BXZ372" s="21"/>
      <c r="BYA372" s="21"/>
      <c r="BYD372" s="21"/>
      <c r="BYE372" s="15"/>
      <c r="BYF372" s="15"/>
      <c r="BYG372" s="15"/>
      <c r="BYH372" s="15"/>
      <c r="BYI372" s="15"/>
      <c r="BYJ372" s="15"/>
      <c r="BYK372" s="15"/>
      <c r="BYL372" s="15"/>
      <c r="BYM372" s="15"/>
      <c r="BYN372" s="15"/>
      <c r="BYO372" s="10"/>
      <c r="BYP372" s="10"/>
      <c r="BYQ372" s="21"/>
      <c r="BYR372" s="21"/>
      <c r="BYU372" s="21"/>
      <c r="BYV372" s="15"/>
      <c r="BYW372" s="15"/>
      <c r="BYX372" s="15"/>
      <c r="BYY372" s="15"/>
      <c r="BYZ372" s="15"/>
      <c r="BZA372" s="15"/>
      <c r="BZB372" s="15"/>
      <c r="BZC372" s="15"/>
      <c r="BZD372" s="15"/>
      <c r="BZE372" s="15"/>
      <c r="BZF372" s="10"/>
      <c r="BZG372" s="10"/>
      <c r="BZH372" s="21"/>
      <c r="BZI372" s="21"/>
      <c r="BZL372" s="21"/>
      <c r="BZM372" s="15"/>
      <c r="BZN372" s="15"/>
      <c r="BZO372" s="15"/>
      <c r="BZP372" s="15"/>
      <c r="BZQ372" s="15"/>
      <c r="BZR372" s="15"/>
      <c r="BZS372" s="15"/>
      <c r="BZT372" s="15"/>
      <c r="BZU372" s="15"/>
      <c r="BZV372" s="15"/>
      <c r="BZW372" s="10"/>
      <c r="BZX372" s="10"/>
      <c r="BZY372" s="21"/>
      <c r="BZZ372" s="21"/>
      <c r="CAC372" s="21"/>
      <c r="CAD372" s="15"/>
      <c r="CAE372" s="15"/>
      <c r="CAF372" s="15"/>
      <c r="CAG372" s="15"/>
      <c r="CAH372" s="15"/>
      <c r="CAI372" s="15"/>
      <c r="CAJ372" s="15"/>
      <c r="CAK372" s="15"/>
      <c r="CAL372" s="15"/>
      <c r="CAM372" s="15"/>
      <c r="CAN372" s="10"/>
      <c r="CAO372" s="10"/>
      <c r="CAP372" s="21"/>
      <c r="CAQ372" s="21"/>
      <c r="CAT372" s="21"/>
      <c r="CAU372" s="15"/>
      <c r="CAV372" s="15"/>
      <c r="CAW372" s="15"/>
      <c r="CAX372" s="15"/>
      <c r="CAY372" s="15"/>
      <c r="CAZ372" s="15"/>
      <c r="CBA372" s="15"/>
      <c r="CBB372" s="15"/>
      <c r="CBC372" s="15"/>
      <c r="CBD372" s="15"/>
      <c r="CBE372" s="10"/>
      <c r="CBF372" s="10"/>
      <c r="CBG372" s="21"/>
      <c r="CBH372" s="21"/>
      <c r="CBK372" s="21"/>
      <c r="CBL372" s="15"/>
      <c r="CBM372" s="15"/>
      <c r="CBN372" s="15"/>
      <c r="CBO372" s="15"/>
      <c r="CBP372" s="15"/>
      <c r="CBQ372" s="15"/>
      <c r="CBR372" s="15"/>
      <c r="CBS372" s="15"/>
      <c r="CBT372" s="15"/>
      <c r="CBU372" s="15"/>
      <c r="CBV372" s="10"/>
      <c r="CBW372" s="10"/>
      <c r="CBX372" s="21"/>
      <c r="CBY372" s="21"/>
      <c r="CCB372" s="21"/>
      <c r="CCC372" s="15"/>
      <c r="CCD372" s="15"/>
      <c r="CCE372" s="15"/>
      <c r="CCF372" s="15"/>
      <c r="CCG372" s="15"/>
      <c r="CCH372" s="15"/>
      <c r="CCI372" s="15"/>
      <c r="CCJ372" s="15"/>
      <c r="CCK372" s="15"/>
      <c r="CCL372" s="15"/>
      <c r="CCM372" s="10"/>
      <c r="CCN372" s="10"/>
      <c r="CCO372" s="21"/>
      <c r="CCP372" s="21"/>
      <c r="CCS372" s="21"/>
      <c r="CCT372" s="15"/>
      <c r="CCU372" s="15"/>
      <c r="CCV372" s="15"/>
      <c r="CCW372" s="15"/>
      <c r="CCX372" s="15"/>
      <c r="CCY372" s="15"/>
      <c r="CCZ372" s="15"/>
      <c r="CDA372" s="15"/>
      <c r="CDB372" s="15"/>
      <c r="CDC372" s="15"/>
      <c r="CDD372" s="10"/>
      <c r="CDE372" s="10"/>
      <c r="CDF372" s="21"/>
      <c r="CDG372" s="21"/>
      <c r="CDJ372" s="21"/>
      <c r="CDK372" s="15"/>
      <c r="CDL372" s="15"/>
      <c r="CDM372" s="15"/>
      <c r="CDN372" s="15"/>
      <c r="CDO372" s="15"/>
      <c r="CDP372" s="15"/>
      <c r="CDQ372" s="15"/>
      <c r="CDR372" s="15"/>
      <c r="CDS372" s="15"/>
      <c r="CDT372" s="15"/>
      <c r="CDU372" s="10"/>
      <c r="CDV372" s="10"/>
      <c r="CDW372" s="21"/>
      <c r="CDX372" s="21"/>
      <c r="CEA372" s="21"/>
      <c r="CEB372" s="15"/>
      <c r="CEC372" s="15"/>
      <c r="CED372" s="15"/>
      <c r="CEE372" s="15"/>
      <c r="CEF372" s="15"/>
      <c r="CEG372" s="15"/>
      <c r="CEH372" s="15"/>
      <c r="CEI372" s="15"/>
      <c r="CEJ372" s="15"/>
      <c r="CEK372" s="15"/>
      <c r="CEL372" s="10"/>
      <c r="CEM372" s="10"/>
      <c r="CEN372" s="21"/>
      <c r="CEO372" s="21"/>
      <c r="CER372" s="21"/>
      <c r="CES372" s="15"/>
      <c r="CET372" s="15"/>
      <c r="CEU372" s="15"/>
      <c r="CEV372" s="15"/>
      <c r="CEW372" s="15"/>
      <c r="CEX372" s="15"/>
      <c r="CEY372" s="15"/>
      <c r="CEZ372" s="15"/>
      <c r="CFA372" s="15"/>
      <c r="CFB372" s="15"/>
      <c r="CFC372" s="10"/>
      <c r="CFD372" s="10"/>
      <c r="CFE372" s="21"/>
      <c r="CFF372" s="21"/>
      <c r="CFI372" s="21"/>
      <c r="CFJ372" s="15"/>
      <c r="CFK372" s="15"/>
      <c r="CFL372" s="15"/>
      <c r="CFM372" s="15"/>
      <c r="CFN372" s="15"/>
      <c r="CFO372" s="15"/>
      <c r="CFP372" s="15"/>
      <c r="CFQ372" s="15"/>
      <c r="CFR372" s="15"/>
      <c r="CFS372" s="15"/>
      <c r="CFT372" s="10"/>
      <c r="CFU372" s="10"/>
      <c r="CFV372" s="21"/>
      <c r="CFW372" s="21"/>
      <c r="CFZ372" s="21"/>
      <c r="CGA372" s="15"/>
      <c r="CGB372" s="15"/>
      <c r="CGC372" s="15"/>
      <c r="CGD372" s="15"/>
      <c r="CGE372" s="15"/>
      <c r="CGF372" s="15"/>
      <c r="CGG372" s="15"/>
      <c r="CGH372" s="15"/>
      <c r="CGI372" s="15"/>
      <c r="CGJ372" s="15"/>
      <c r="CGK372" s="10"/>
      <c r="CGL372" s="10"/>
      <c r="CGM372" s="21"/>
      <c r="CGN372" s="21"/>
      <c r="CGQ372" s="21"/>
      <c r="CGR372" s="15"/>
      <c r="CGS372" s="15"/>
      <c r="CGT372" s="15"/>
      <c r="CGU372" s="15"/>
      <c r="CGV372" s="15"/>
      <c r="CGW372" s="15"/>
      <c r="CGX372" s="15"/>
      <c r="CGY372" s="15"/>
      <c r="CGZ372" s="15"/>
      <c r="CHA372" s="15"/>
      <c r="CHB372" s="10"/>
      <c r="CHC372" s="10"/>
      <c r="CHD372" s="21"/>
      <c r="CHE372" s="21"/>
      <c r="CHH372" s="21"/>
      <c r="CHI372" s="15"/>
      <c r="CHJ372" s="15"/>
      <c r="CHK372" s="15"/>
      <c r="CHL372" s="15"/>
      <c r="CHM372" s="15"/>
      <c r="CHN372" s="15"/>
      <c r="CHO372" s="15"/>
      <c r="CHP372" s="15"/>
      <c r="CHQ372" s="15"/>
      <c r="CHR372" s="15"/>
      <c r="CHS372" s="10"/>
      <c r="CHT372" s="10"/>
      <c r="CHU372" s="21"/>
      <c r="CHV372" s="21"/>
      <c r="CHY372" s="21"/>
      <c r="CHZ372" s="15"/>
      <c r="CIA372" s="15"/>
      <c r="CIB372" s="15"/>
      <c r="CIC372" s="15"/>
      <c r="CID372" s="15"/>
      <c r="CIE372" s="15"/>
      <c r="CIF372" s="15"/>
      <c r="CIG372" s="15"/>
      <c r="CIH372" s="15"/>
      <c r="CII372" s="15"/>
      <c r="CIJ372" s="10"/>
      <c r="CIK372" s="10"/>
      <c r="CIL372" s="21"/>
      <c r="CIM372" s="21"/>
      <c r="CIP372" s="21"/>
      <c r="CIQ372" s="15"/>
      <c r="CIR372" s="15"/>
      <c r="CIS372" s="15"/>
      <c r="CIT372" s="15"/>
      <c r="CIU372" s="15"/>
      <c r="CIV372" s="15"/>
      <c r="CIW372" s="15"/>
      <c r="CIX372" s="15"/>
      <c r="CIY372" s="15"/>
      <c r="CIZ372" s="15"/>
      <c r="CJA372" s="10"/>
      <c r="CJB372" s="10"/>
      <c r="CJC372" s="21"/>
      <c r="CJD372" s="21"/>
      <c r="CJG372" s="21"/>
      <c r="CJH372" s="15"/>
      <c r="CJI372" s="15"/>
      <c r="CJJ372" s="15"/>
      <c r="CJK372" s="15"/>
      <c r="CJL372" s="15"/>
      <c r="CJM372" s="15"/>
      <c r="CJN372" s="15"/>
      <c r="CJO372" s="15"/>
      <c r="CJP372" s="15"/>
      <c r="CJQ372" s="15"/>
      <c r="CJR372" s="10"/>
      <c r="CJS372" s="10"/>
      <c r="CJT372" s="21"/>
      <c r="CJU372" s="21"/>
      <c r="CJX372" s="21"/>
      <c r="CJY372" s="15"/>
      <c r="CJZ372" s="15"/>
      <c r="CKA372" s="15"/>
      <c r="CKB372" s="15"/>
      <c r="CKC372" s="15"/>
      <c r="CKD372" s="15"/>
      <c r="CKE372" s="15"/>
      <c r="CKF372" s="15"/>
      <c r="CKG372" s="15"/>
      <c r="CKH372" s="15"/>
      <c r="CKI372" s="10"/>
      <c r="CKJ372" s="10"/>
      <c r="CKK372" s="21"/>
      <c r="CKL372" s="21"/>
      <c r="CKO372" s="21"/>
      <c r="CKP372" s="15"/>
      <c r="CKQ372" s="15"/>
      <c r="CKR372" s="15"/>
      <c r="CKS372" s="15"/>
      <c r="CKT372" s="15"/>
      <c r="CKU372" s="15"/>
      <c r="CKV372" s="15"/>
      <c r="CKW372" s="15"/>
      <c r="CKX372" s="15"/>
      <c r="CKY372" s="15"/>
      <c r="CKZ372" s="10"/>
      <c r="CLA372" s="10"/>
      <c r="CLB372" s="21"/>
      <c r="CLC372" s="21"/>
      <c r="CLF372" s="21"/>
      <c r="CLG372" s="15"/>
      <c r="CLH372" s="15"/>
      <c r="CLI372" s="15"/>
      <c r="CLJ372" s="15"/>
      <c r="CLK372" s="15"/>
      <c r="CLL372" s="15"/>
      <c r="CLM372" s="15"/>
      <c r="CLN372" s="15"/>
      <c r="CLO372" s="15"/>
      <c r="CLP372" s="15"/>
      <c r="CLQ372" s="10"/>
      <c r="CLR372" s="10"/>
      <c r="CLS372" s="21"/>
      <c r="CLT372" s="21"/>
      <c r="CLW372" s="21"/>
      <c r="CLX372" s="15"/>
      <c r="CLY372" s="15"/>
      <c r="CLZ372" s="15"/>
      <c r="CMA372" s="15"/>
      <c r="CMB372" s="15"/>
      <c r="CMC372" s="15"/>
      <c r="CMD372" s="15"/>
      <c r="CME372" s="15"/>
      <c r="CMF372" s="15"/>
      <c r="CMG372" s="15"/>
      <c r="CMH372" s="10"/>
      <c r="CMI372" s="10"/>
      <c r="CMJ372" s="21"/>
      <c r="CMK372" s="21"/>
      <c r="CMN372" s="21"/>
      <c r="CMO372" s="15"/>
      <c r="CMP372" s="15"/>
      <c r="CMQ372" s="15"/>
      <c r="CMR372" s="15"/>
      <c r="CMS372" s="15"/>
      <c r="CMT372" s="15"/>
      <c r="CMU372" s="15"/>
      <c r="CMV372" s="15"/>
      <c r="CMW372" s="15"/>
      <c r="CMX372" s="15"/>
      <c r="CMY372" s="10"/>
      <c r="CMZ372" s="10"/>
      <c r="CNA372" s="21"/>
      <c r="CNB372" s="21"/>
      <c r="CNE372" s="21"/>
      <c r="CNF372" s="15"/>
      <c r="CNG372" s="15"/>
      <c r="CNH372" s="15"/>
      <c r="CNI372" s="15"/>
      <c r="CNJ372" s="15"/>
      <c r="CNK372" s="15"/>
      <c r="CNL372" s="15"/>
      <c r="CNM372" s="15"/>
      <c r="CNN372" s="15"/>
      <c r="CNO372" s="15"/>
      <c r="CNP372" s="10"/>
      <c r="CNQ372" s="10"/>
      <c r="CNR372" s="21"/>
      <c r="CNS372" s="21"/>
      <c r="CNV372" s="21"/>
      <c r="CNW372" s="15"/>
      <c r="CNX372" s="15"/>
      <c r="CNY372" s="15"/>
      <c r="CNZ372" s="15"/>
      <c r="COA372" s="15"/>
      <c r="COB372" s="15"/>
      <c r="COC372" s="15"/>
      <c r="COD372" s="15"/>
      <c r="COE372" s="15"/>
      <c r="COF372" s="15"/>
      <c r="COG372" s="10"/>
      <c r="COH372" s="10"/>
      <c r="COI372" s="21"/>
      <c r="COJ372" s="21"/>
      <c r="COM372" s="21"/>
      <c r="CON372" s="15"/>
      <c r="COO372" s="15"/>
      <c r="COP372" s="15"/>
      <c r="COQ372" s="15"/>
      <c r="COR372" s="15"/>
      <c r="COS372" s="15"/>
      <c r="COT372" s="15"/>
      <c r="COU372" s="15"/>
      <c r="COV372" s="15"/>
      <c r="COW372" s="15"/>
      <c r="COX372" s="10"/>
      <c r="COY372" s="10"/>
      <c r="COZ372" s="21"/>
      <c r="CPA372" s="21"/>
      <c r="CPD372" s="21"/>
      <c r="CPE372" s="15"/>
      <c r="CPF372" s="15"/>
      <c r="CPG372" s="15"/>
      <c r="CPH372" s="15"/>
      <c r="CPI372" s="15"/>
      <c r="CPJ372" s="15"/>
      <c r="CPK372" s="15"/>
      <c r="CPL372" s="15"/>
      <c r="CPM372" s="15"/>
      <c r="CPN372" s="15"/>
      <c r="CPO372" s="10"/>
      <c r="CPP372" s="10"/>
      <c r="CPQ372" s="21"/>
      <c r="CPR372" s="21"/>
      <c r="CPU372" s="21"/>
      <c r="CPV372" s="15"/>
      <c r="CPW372" s="15"/>
      <c r="CPX372" s="15"/>
      <c r="CPY372" s="15"/>
      <c r="CPZ372" s="15"/>
      <c r="CQA372" s="15"/>
      <c r="CQB372" s="15"/>
      <c r="CQC372" s="15"/>
      <c r="CQD372" s="15"/>
      <c r="CQE372" s="15"/>
      <c r="CQF372" s="10"/>
      <c r="CQG372" s="10"/>
      <c r="CQH372" s="21"/>
      <c r="CQI372" s="21"/>
      <c r="CQL372" s="21"/>
      <c r="CQM372" s="15"/>
      <c r="CQN372" s="15"/>
      <c r="CQO372" s="15"/>
      <c r="CQP372" s="15"/>
      <c r="CQQ372" s="15"/>
      <c r="CQR372" s="15"/>
      <c r="CQS372" s="15"/>
      <c r="CQT372" s="15"/>
      <c r="CQU372" s="15"/>
      <c r="CQV372" s="15"/>
      <c r="CQW372" s="10"/>
      <c r="CQX372" s="10"/>
      <c r="CQY372" s="21"/>
      <c r="CQZ372" s="21"/>
      <c r="CRC372" s="21"/>
      <c r="CRD372" s="15"/>
      <c r="CRE372" s="15"/>
      <c r="CRF372" s="15"/>
      <c r="CRG372" s="15"/>
      <c r="CRH372" s="15"/>
      <c r="CRI372" s="15"/>
      <c r="CRJ372" s="15"/>
      <c r="CRK372" s="15"/>
      <c r="CRL372" s="15"/>
      <c r="CRM372" s="15"/>
      <c r="CRN372" s="10"/>
      <c r="CRO372" s="10"/>
      <c r="CRP372" s="21"/>
      <c r="CRQ372" s="21"/>
      <c r="CRT372" s="21"/>
      <c r="CRU372" s="15"/>
      <c r="CRV372" s="15"/>
      <c r="CRW372" s="15"/>
      <c r="CRX372" s="15"/>
      <c r="CRY372" s="15"/>
      <c r="CRZ372" s="15"/>
      <c r="CSA372" s="15"/>
      <c r="CSB372" s="15"/>
      <c r="CSC372" s="15"/>
      <c r="CSD372" s="15"/>
      <c r="CSE372" s="10"/>
      <c r="CSF372" s="10"/>
      <c r="CSG372" s="21"/>
      <c r="CSH372" s="21"/>
      <c r="CSK372" s="21"/>
      <c r="CSL372" s="15"/>
      <c r="CSM372" s="15"/>
      <c r="CSN372" s="15"/>
      <c r="CSO372" s="15"/>
      <c r="CSP372" s="15"/>
      <c r="CSQ372" s="15"/>
      <c r="CSR372" s="15"/>
      <c r="CSS372" s="15"/>
      <c r="CST372" s="15"/>
      <c r="CSU372" s="15"/>
      <c r="CSV372" s="10"/>
      <c r="CSW372" s="10"/>
      <c r="CSX372" s="21"/>
      <c r="CSY372" s="21"/>
      <c r="CTB372" s="21"/>
      <c r="CTC372" s="15"/>
      <c r="CTD372" s="15"/>
      <c r="CTE372" s="15"/>
      <c r="CTF372" s="15"/>
      <c r="CTG372" s="15"/>
      <c r="CTH372" s="15"/>
      <c r="CTI372" s="15"/>
      <c r="CTJ372" s="15"/>
      <c r="CTK372" s="15"/>
      <c r="CTL372" s="15"/>
      <c r="CTM372" s="10"/>
      <c r="CTN372" s="10"/>
      <c r="CTO372" s="21"/>
      <c r="CTP372" s="21"/>
      <c r="CTS372" s="21"/>
      <c r="CTT372" s="15"/>
      <c r="CTU372" s="15"/>
      <c r="CTV372" s="15"/>
      <c r="CTW372" s="15"/>
      <c r="CTX372" s="15"/>
      <c r="CTY372" s="15"/>
      <c r="CTZ372" s="15"/>
      <c r="CUA372" s="15"/>
      <c r="CUB372" s="15"/>
      <c r="CUC372" s="15"/>
      <c r="CUD372" s="10"/>
      <c r="CUE372" s="10"/>
      <c r="CUF372" s="21"/>
      <c r="CUG372" s="21"/>
      <c r="CUJ372" s="21"/>
      <c r="CUK372" s="15"/>
      <c r="CUL372" s="15"/>
      <c r="CUM372" s="15"/>
      <c r="CUN372" s="15"/>
      <c r="CUO372" s="15"/>
      <c r="CUP372" s="15"/>
      <c r="CUQ372" s="15"/>
      <c r="CUR372" s="15"/>
      <c r="CUS372" s="15"/>
      <c r="CUT372" s="15"/>
      <c r="CUU372" s="10"/>
      <c r="CUV372" s="10"/>
      <c r="CUW372" s="21"/>
      <c r="CUX372" s="21"/>
      <c r="CVA372" s="21"/>
      <c r="CVB372" s="15"/>
      <c r="CVC372" s="15"/>
      <c r="CVD372" s="15"/>
      <c r="CVE372" s="15"/>
      <c r="CVF372" s="15"/>
      <c r="CVG372" s="15"/>
      <c r="CVH372" s="15"/>
      <c r="CVI372" s="15"/>
      <c r="CVJ372" s="15"/>
      <c r="CVK372" s="15"/>
      <c r="CVL372" s="10"/>
      <c r="CVM372" s="10"/>
      <c r="CVN372" s="21"/>
      <c r="CVO372" s="21"/>
      <c r="CVR372" s="21"/>
      <c r="CVS372" s="15"/>
      <c r="CVT372" s="15"/>
      <c r="CVU372" s="15"/>
      <c r="CVV372" s="15"/>
      <c r="CVW372" s="15"/>
      <c r="CVX372" s="15"/>
      <c r="CVY372" s="15"/>
      <c r="CVZ372" s="15"/>
      <c r="CWA372" s="15"/>
      <c r="CWB372" s="15"/>
      <c r="CWC372" s="10"/>
      <c r="CWD372" s="10"/>
      <c r="CWE372" s="21"/>
      <c r="CWF372" s="21"/>
      <c r="CWI372" s="21"/>
      <c r="CWJ372" s="15"/>
      <c r="CWK372" s="15"/>
      <c r="CWL372" s="15"/>
      <c r="CWM372" s="15"/>
      <c r="CWN372" s="15"/>
      <c r="CWO372" s="15"/>
      <c r="CWP372" s="15"/>
      <c r="CWQ372" s="15"/>
      <c r="CWR372" s="15"/>
      <c r="CWS372" s="15"/>
      <c r="CWT372" s="10"/>
      <c r="CWU372" s="10"/>
      <c r="CWV372" s="21"/>
      <c r="CWW372" s="21"/>
      <c r="CWZ372" s="21"/>
      <c r="CXA372" s="15"/>
      <c r="CXB372" s="15"/>
      <c r="CXC372" s="15"/>
      <c r="CXD372" s="15"/>
      <c r="CXE372" s="15"/>
      <c r="CXF372" s="15"/>
      <c r="CXG372" s="15"/>
      <c r="CXH372" s="15"/>
      <c r="CXI372" s="15"/>
      <c r="CXJ372" s="15"/>
      <c r="CXK372" s="10"/>
      <c r="CXL372" s="10"/>
      <c r="CXM372" s="21"/>
      <c r="CXN372" s="21"/>
      <c r="CXQ372" s="21"/>
      <c r="CXR372" s="15"/>
      <c r="CXS372" s="15"/>
      <c r="CXT372" s="15"/>
      <c r="CXU372" s="15"/>
      <c r="CXV372" s="15"/>
      <c r="CXW372" s="15"/>
      <c r="CXX372" s="15"/>
      <c r="CXY372" s="15"/>
      <c r="CXZ372" s="15"/>
      <c r="CYA372" s="15"/>
      <c r="CYB372" s="10"/>
      <c r="CYC372" s="10"/>
      <c r="CYD372" s="21"/>
      <c r="CYE372" s="21"/>
      <c r="CYH372" s="21"/>
      <c r="CYI372" s="15"/>
      <c r="CYJ372" s="15"/>
      <c r="CYK372" s="15"/>
      <c r="CYL372" s="15"/>
      <c r="CYM372" s="15"/>
      <c r="CYN372" s="15"/>
      <c r="CYO372" s="15"/>
      <c r="CYP372" s="15"/>
      <c r="CYQ372" s="15"/>
      <c r="CYR372" s="15"/>
      <c r="CYS372" s="10"/>
      <c r="CYT372" s="10"/>
      <c r="CYU372" s="21"/>
      <c r="CYV372" s="21"/>
      <c r="CYY372" s="21"/>
      <c r="CYZ372" s="15"/>
      <c r="CZA372" s="15"/>
      <c r="CZB372" s="15"/>
      <c r="CZC372" s="15"/>
      <c r="CZD372" s="15"/>
      <c r="CZE372" s="15"/>
      <c r="CZF372" s="15"/>
      <c r="CZG372" s="15"/>
      <c r="CZH372" s="15"/>
      <c r="CZI372" s="15"/>
      <c r="CZJ372" s="10"/>
      <c r="CZK372" s="10"/>
      <c r="CZL372" s="21"/>
      <c r="CZM372" s="21"/>
      <c r="CZP372" s="21"/>
      <c r="CZQ372" s="15"/>
      <c r="CZR372" s="15"/>
      <c r="CZS372" s="15"/>
      <c r="CZT372" s="15"/>
      <c r="CZU372" s="15"/>
      <c r="CZV372" s="15"/>
      <c r="CZW372" s="15"/>
      <c r="CZX372" s="15"/>
      <c r="CZY372" s="15"/>
      <c r="CZZ372" s="15"/>
      <c r="DAA372" s="10"/>
      <c r="DAB372" s="10"/>
      <c r="DAC372" s="21"/>
      <c r="DAD372" s="21"/>
      <c r="DAG372" s="21"/>
      <c r="DAH372" s="15"/>
      <c r="DAI372" s="15"/>
      <c r="DAJ372" s="15"/>
      <c r="DAK372" s="15"/>
      <c r="DAL372" s="15"/>
      <c r="DAM372" s="15"/>
      <c r="DAN372" s="15"/>
      <c r="DAO372" s="15"/>
      <c r="DAP372" s="15"/>
      <c r="DAQ372" s="15"/>
      <c r="DAR372" s="10"/>
      <c r="DAS372" s="10"/>
      <c r="DAT372" s="21"/>
      <c r="DAU372" s="21"/>
      <c r="DAX372" s="21"/>
      <c r="DAY372" s="15"/>
      <c r="DAZ372" s="15"/>
      <c r="DBA372" s="15"/>
      <c r="DBB372" s="15"/>
      <c r="DBC372" s="15"/>
      <c r="DBD372" s="15"/>
      <c r="DBE372" s="15"/>
      <c r="DBF372" s="15"/>
      <c r="DBG372" s="15"/>
      <c r="DBH372" s="15"/>
      <c r="DBI372" s="10"/>
      <c r="DBJ372" s="10"/>
      <c r="DBK372" s="21"/>
      <c r="DBL372" s="21"/>
      <c r="DBO372" s="21"/>
      <c r="DBP372" s="15"/>
      <c r="DBQ372" s="15"/>
      <c r="DBR372" s="15"/>
      <c r="DBS372" s="15"/>
      <c r="DBT372" s="15"/>
      <c r="DBU372" s="15"/>
      <c r="DBV372" s="15"/>
      <c r="DBW372" s="15"/>
      <c r="DBX372" s="15"/>
      <c r="DBY372" s="15"/>
      <c r="DBZ372" s="10"/>
      <c r="DCA372" s="10"/>
      <c r="DCB372" s="21"/>
      <c r="DCC372" s="21"/>
      <c r="DCF372" s="21"/>
      <c r="DCG372" s="15"/>
      <c r="DCH372" s="15"/>
      <c r="DCI372" s="15"/>
      <c r="DCJ372" s="15"/>
      <c r="DCK372" s="15"/>
      <c r="DCL372" s="15"/>
      <c r="DCM372" s="15"/>
      <c r="DCN372" s="15"/>
      <c r="DCO372" s="15"/>
      <c r="DCP372" s="15"/>
      <c r="DCQ372" s="10"/>
      <c r="DCR372" s="10"/>
      <c r="DCS372" s="21"/>
      <c r="DCT372" s="21"/>
      <c r="DCW372" s="21"/>
      <c r="DCX372" s="15"/>
      <c r="DCY372" s="15"/>
      <c r="DCZ372" s="15"/>
      <c r="DDA372" s="15"/>
      <c r="DDB372" s="15"/>
      <c r="DDC372" s="15"/>
      <c r="DDD372" s="15"/>
      <c r="DDE372" s="15"/>
      <c r="DDF372" s="15"/>
      <c r="DDG372" s="15"/>
      <c r="DDH372" s="10"/>
      <c r="DDI372" s="10"/>
      <c r="DDJ372" s="21"/>
      <c r="DDK372" s="21"/>
      <c r="DDN372" s="21"/>
      <c r="DDO372" s="15"/>
      <c r="DDP372" s="15"/>
      <c r="DDQ372" s="15"/>
      <c r="DDR372" s="15"/>
      <c r="DDS372" s="15"/>
      <c r="DDT372" s="15"/>
      <c r="DDU372" s="15"/>
      <c r="DDV372" s="15"/>
      <c r="DDW372" s="15"/>
      <c r="DDX372" s="15"/>
      <c r="DDY372" s="10"/>
      <c r="DDZ372" s="10"/>
      <c r="DEA372" s="21"/>
      <c r="DEB372" s="21"/>
      <c r="DEE372" s="21"/>
      <c r="DEF372" s="15"/>
      <c r="DEG372" s="15"/>
      <c r="DEH372" s="15"/>
      <c r="DEI372" s="15"/>
      <c r="DEJ372" s="15"/>
      <c r="DEK372" s="15"/>
      <c r="DEL372" s="15"/>
      <c r="DEM372" s="15"/>
      <c r="DEN372" s="15"/>
      <c r="DEO372" s="15"/>
      <c r="DEP372" s="10"/>
      <c r="DEQ372" s="10"/>
      <c r="DER372" s="21"/>
      <c r="DES372" s="21"/>
      <c r="DEV372" s="21"/>
      <c r="DEW372" s="15"/>
      <c r="DEX372" s="15"/>
      <c r="DEY372" s="15"/>
      <c r="DEZ372" s="15"/>
      <c r="DFA372" s="15"/>
      <c r="DFB372" s="15"/>
      <c r="DFC372" s="15"/>
      <c r="DFD372" s="15"/>
      <c r="DFE372" s="15"/>
      <c r="DFF372" s="15"/>
      <c r="DFG372" s="10"/>
      <c r="DFH372" s="10"/>
      <c r="DFI372" s="21"/>
      <c r="DFJ372" s="21"/>
      <c r="DFM372" s="21"/>
      <c r="DFN372" s="15"/>
      <c r="DFO372" s="15"/>
      <c r="DFP372" s="15"/>
      <c r="DFQ372" s="15"/>
      <c r="DFR372" s="15"/>
      <c r="DFS372" s="15"/>
      <c r="DFT372" s="15"/>
      <c r="DFU372" s="15"/>
      <c r="DFV372" s="15"/>
      <c r="DFW372" s="15"/>
      <c r="DFX372" s="10"/>
      <c r="DFY372" s="10"/>
      <c r="DFZ372" s="21"/>
      <c r="DGA372" s="21"/>
      <c r="DGD372" s="21"/>
      <c r="DGE372" s="15"/>
      <c r="DGF372" s="15"/>
      <c r="DGG372" s="15"/>
      <c r="DGH372" s="15"/>
      <c r="DGI372" s="15"/>
      <c r="DGJ372" s="15"/>
      <c r="DGK372" s="15"/>
      <c r="DGL372" s="15"/>
      <c r="DGM372" s="15"/>
      <c r="DGN372" s="15"/>
      <c r="DGO372" s="10"/>
      <c r="DGP372" s="10"/>
      <c r="DGQ372" s="21"/>
      <c r="DGR372" s="21"/>
      <c r="DGU372" s="21"/>
      <c r="DGV372" s="15"/>
      <c r="DGW372" s="15"/>
      <c r="DGX372" s="15"/>
      <c r="DGY372" s="15"/>
      <c r="DGZ372" s="15"/>
      <c r="DHA372" s="15"/>
      <c r="DHB372" s="15"/>
      <c r="DHC372" s="15"/>
      <c r="DHD372" s="15"/>
      <c r="DHE372" s="15"/>
      <c r="DHF372" s="10"/>
      <c r="DHG372" s="10"/>
      <c r="DHH372" s="21"/>
      <c r="DHI372" s="21"/>
      <c r="DHL372" s="21"/>
      <c r="DHM372" s="15"/>
      <c r="DHN372" s="15"/>
      <c r="DHO372" s="15"/>
      <c r="DHP372" s="15"/>
      <c r="DHQ372" s="15"/>
      <c r="DHR372" s="15"/>
      <c r="DHS372" s="15"/>
      <c r="DHT372" s="15"/>
      <c r="DHU372" s="15"/>
      <c r="DHV372" s="15"/>
      <c r="DHW372" s="10"/>
      <c r="DHX372" s="10"/>
      <c r="DHY372" s="21"/>
      <c r="DHZ372" s="21"/>
      <c r="DIC372" s="21"/>
      <c r="DID372" s="15"/>
      <c r="DIE372" s="15"/>
      <c r="DIF372" s="15"/>
      <c r="DIG372" s="15"/>
      <c r="DIH372" s="15"/>
      <c r="DII372" s="15"/>
      <c r="DIJ372" s="15"/>
      <c r="DIK372" s="15"/>
      <c r="DIL372" s="15"/>
      <c r="DIM372" s="15"/>
      <c r="DIN372" s="10"/>
      <c r="DIO372" s="10"/>
      <c r="DIP372" s="21"/>
      <c r="DIQ372" s="21"/>
      <c r="DIT372" s="21"/>
      <c r="DIU372" s="15"/>
      <c r="DIV372" s="15"/>
      <c r="DIW372" s="15"/>
      <c r="DIX372" s="15"/>
      <c r="DIY372" s="15"/>
      <c r="DIZ372" s="15"/>
      <c r="DJA372" s="15"/>
      <c r="DJB372" s="15"/>
      <c r="DJC372" s="15"/>
      <c r="DJD372" s="15"/>
      <c r="DJE372" s="10"/>
      <c r="DJF372" s="10"/>
      <c r="DJG372" s="21"/>
      <c r="DJH372" s="21"/>
      <c r="DJK372" s="21"/>
      <c r="DJL372" s="15"/>
      <c r="DJM372" s="15"/>
      <c r="DJN372" s="15"/>
      <c r="DJO372" s="15"/>
      <c r="DJP372" s="15"/>
      <c r="DJQ372" s="15"/>
      <c r="DJR372" s="15"/>
      <c r="DJS372" s="15"/>
      <c r="DJT372" s="15"/>
      <c r="DJU372" s="15"/>
      <c r="DJV372" s="10"/>
      <c r="DJW372" s="10"/>
      <c r="DJX372" s="21"/>
      <c r="DJY372" s="21"/>
      <c r="DKB372" s="21"/>
      <c r="DKC372" s="15"/>
      <c r="DKD372" s="15"/>
      <c r="DKE372" s="15"/>
      <c r="DKF372" s="15"/>
      <c r="DKG372" s="15"/>
      <c r="DKH372" s="15"/>
      <c r="DKI372" s="15"/>
      <c r="DKJ372" s="15"/>
      <c r="DKK372" s="15"/>
      <c r="DKL372" s="15"/>
      <c r="DKM372" s="10"/>
      <c r="DKN372" s="10"/>
      <c r="DKO372" s="21"/>
      <c r="DKP372" s="21"/>
      <c r="DKS372" s="21"/>
      <c r="DKT372" s="15"/>
      <c r="DKU372" s="15"/>
      <c r="DKV372" s="15"/>
      <c r="DKW372" s="15"/>
      <c r="DKX372" s="15"/>
      <c r="DKY372" s="15"/>
      <c r="DKZ372" s="15"/>
      <c r="DLA372" s="15"/>
      <c r="DLB372" s="15"/>
      <c r="DLC372" s="15"/>
      <c r="DLD372" s="10"/>
      <c r="DLE372" s="10"/>
      <c r="DLF372" s="21"/>
      <c r="DLG372" s="21"/>
      <c r="DLJ372" s="21"/>
      <c r="DLK372" s="15"/>
      <c r="DLL372" s="15"/>
      <c r="DLM372" s="15"/>
      <c r="DLN372" s="15"/>
      <c r="DLO372" s="15"/>
      <c r="DLP372" s="15"/>
      <c r="DLQ372" s="15"/>
      <c r="DLR372" s="15"/>
      <c r="DLS372" s="15"/>
      <c r="DLT372" s="15"/>
      <c r="DLU372" s="10"/>
      <c r="DLV372" s="10"/>
      <c r="DLW372" s="21"/>
      <c r="DLX372" s="21"/>
      <c r="DMA372" s="21"/>
      <c r="DMB372" s="15"/>
      <c r="DMC372" s="15"/>
      <c r="DMD372" s="15"/>
      <c r="DME372" s="15"/>
      <c r="DMF372" s="15"/>
      <c r="DMG372" s="15"/>
      <c r="DMH372" s="15"/>
      <c r="DMI372" s="15"/>
      <c r="DMJ372" s="15"/>
      <c r="DMK372" s="15"/>
      <c r="DML372" s="10"/>
      <c r="DMM372" s="10"/>
      <c r="DMN372" s="21"/>
      <c r="DMO372" s="21"/>
      <c r="DMR372" s="21"/>
      <c r="DMS372" s="15"/>
      <c r="DMT372" s="15"/>
      <c r="DMU372" s="15"/>
      <c r="DMV372" s="15"/>
      <c r="DMW372" s="15"/>
      <c r="DMX372" s="15"/>
      <c r="DMY372" s="15"/>
      <c r="DMZ372" s="15"/>
      <c r="DNA372" s="15"/>
      <c r="DNB372" s="15"/>
      <c r="DNC372" s="10"/>
      <c r="DND372" s="10"/>
      <c r="DNE372" s="21"/>
      <c r="DNF372" s="21"/>
      <c r="DNI372" s="21"/>
      <c r="DNJ372" s="15"/>
      <c r="DNK372" s="15"/>
      <c r="DNL372" s="15"/>
      <c r="DNM372" s="15"/>
      <c r="DNN372" s="15"/>
      <c r="DNO372" s="15"/>
      <c r="DNP372" s="15"/>
      <c r="DNQ372" s="15"/>
      <c r="DNR372" s="15"/>
      <c r="DNS372" s="15"/>
      <c r="DNT372" s="10"/>
      <c r="DNU372" s="10"/>
      <c r="DNV372" s="21"/>
      <c r="DNW372" s="21"/>
      <c r="DNZ372" s="21"/>
      <c r="DOA372" s="15"/>
      <c r="DOB372" s="15"/>
      <c r="DOC372" s="15"/>
      <c r="DOD372" s="15"/>
      <c r="DOE372" s="15"/>
      <c r="DOF372" s="15"/>
      <c r="DOG372" s="15"/>
      <c r="DOH372" s="15"/>
      <c r="DOI372" s="15"/>
      <c r="DOJ372" s="15"/>
      <c r="DOK372" s="10"/>
      <c r="DOL372" s="10"/>
      <c r="DOM372" s="21"/>
      <c r="DON372" s="21"/>
      <c r="DOQ372" s="21"/>
      <c r="DOR372" s="15"/>
      <c r="DOS372" s="15"/>
      <c r="DOT372" s="15"/>
      <c r="DOU372" s="15"/>
      <c r="DOV372" s="15"/>
      <c r="DOW372" s="15"/>
      <c r="DOX372" s="15"/>
      <c r="DOY372" s="15"/>
      <c r="DOZ372" s="15"/>
      <c r="DPA372" s="15"/>
      <c r="DPB372" s="10"/>
      <c r="DPC372" s="10"/>
      <c r="DPD372" s="21"/>
      <c r="DPE372" s="21"/>
      <c r="DPH372" s="21"/>
      <c r="DPI372" s="15"/>
      <c r="DPJ372" s="15"/>
      <c r="DPK372" s="15"/>
      <c r="DPL372" s="15"/>
      <c r="DPM372" s="15"/>
      <c r="DPN372" s="15"/>
      <c r="DPO372" s="15"/>
      <c r="DPP372" s="15"/>
      <c r="DPQ372" s="15"/>
      <c r="DPR372" s="15"/>
      <c r="DPS372" s="10"/>
      <c r="DPT372" s="10"/>
      <c r="DPU372" s="21"/>
      <c r="DPV372" s="21"/>
      <c r="DPY372" s="21"/>
      <c r="DPZ372" s="15"/>
      <c r="DQA372" s="15"/>
      <c r="DQB372" s="15"/>
      <c r="DQC372" s="15"/>
      <c r="DQD372" s="15"/>
      <c r="DQE372" s="15"/>
      <c r="DQF372" s="15"/>
      <c r="DQG372" s="15"/>
      <c r="DQH372" s="15"/>
      <c r="DQI372" s="15"/>
      <c r="DQJ372" s="10"/>
      <c r="DQK372" s="10"/>
      <c r="DQL372" s="21"/>
      <c r="DQM372" s="21"/>
      <c r="DQP372" s="21"/>
      <c r="DQQ372" s="15"/>
      <c r="DQR372" s="15"/>
      <c r="DQS372" s="15"/>
      <c r="DQT372" s="15"/>
      <c r="DQU372" s="15"/>
      <c r="DQV372" s="15"/>
      <c r="DQW372" s="15"/>
      <c r="DQX372" s="15"/>
      <c r="DQY372" s="15"/>
      <c r="DQZ372" s="15"/>
      <c r="DRA372" s="10"/>
      <c r="DRB372" s="10"/>
      <c r="DRC372" s="21"/>
      <c r="DRD372" s="21"/>
      <c r="DRG372" s="21"/>
      <c r="DRH372" s="15"/>
      <c r="DRI372" s="15"/>
      <c r="DRJ372" s="15"/>
      <c r="DRK372" s="15"/>
      <c r="DRL372" s="15"/>
      <c r="DRM372" s="15"/>
      <c r="DRN372" s="15"/>
      <c r="DRO372" s="15"/>
      <c r="DRP372" s="15"/>
      <c r="DRQ372" s="15"/>
      <c r="DRR372" s="10"/>
      <c r="DRS372" s="10"/>
      <c r="DRT372" s="21"/>
      <c r="DRU372" s="21"/>
      <c r="DRX372" s="21"/>
      <c r="DRY372" s="15"/>
      <c r="DRZ372" s="15"/>
      <c r="DSA372" s="15"/>
      <c r="DSB372" s="15"/>
      <c r="DSC372" s="15"/>
      <c r="DSD372" s="15"/>
      <c r="DSE372" s="15"/>
      <c r="DSF372" s="15"/>
      <c r="DSG372" s="15"/>
      <c r="DSH372" s="15"/>
      <c r="DSI372" s="10"/>
      <c r="DSJ372" s="10"/>
      <c r="DSK372" s="21"/>
      <c r="DSL372" s="21"/>
      <c r="DSO372" s="21"/>
      <c r="DSP372" s="15"/>
      <c r="DSQ372" s="15"/>
      <c r="DSR372" s="15"/>
      <c r="DSS372" s="15"/>
      <c r="DST372" s="15"/>
      <c r="DSU372" s="15"/>
      <c r="DSV372" s="15"/>
      <c r="DSW372" s="15"/>
      <c r="DSX372" s="15"/>
      <c r="DSY372" s="15"/>
      <c r="DSZ372" s="10"/>
      <c r="DTA372" s="10"/>
      <c r="DTB372" s="21"/>
      <c r="DTC372" s="21"/>
      <c r="DTF372" s="21"/>
      <c r="DTG372" s="15"/>
      <c r="DTH372" s="15"/>
      <c r="DTI372" s="15"/>
      <c r="DTJ372" s="15"/>
      <c r="DTK372" s="15"/>
      <c r="DTL372" s="15"/>
      <c r="DTM372" s="15"/>
      <c r="DTN372" s="15"/>
      <c r="DTO372" s="15"/>
      <c r="DTP372" s="15"/>
      <c r="DTQ372" s="10"/>
      <c r="DTR372" s="10"/>
      <c r="DTS372" s="21"/>
      <c r="DTT372" s="21"/>
      <c r="DTW372" s="21"/>
      <c r="DTX372" s="15"/>
      <c r="DTY372" s="15"/>
      <c r="DTZ372" s="15"/>
      <c r="DUA372" s="15"/>
      <c r="DUB372" s="15"/>
      <c r="DUC372" s="15"/>
      <c r="DUD372" s="15"/>
      <c r="DUE372" s="15"/>
      <c r="DUF372" s="15"/>
      <c r="DUG372" s="15"/>
      <c r="DUH372" s="10"/>
      <c r="DUI372" s="10"/>
      <c r="DUJ372" s="21"/>
      <c r="DUK372" s="21"/>
      <c r="DUN372" s="21"/>
      <c r="DUO372" s="15"/>
      <c r="DUP372" s="15"/>
      <c r="DUQ372" s="15"/>
      <c r="DUR372" s="15"/>
      <c r="DUS372" s="15"/>
      <c r="DUT372" s="15"/>
      <c r="DUU372" s="15"/>
      <c r="DUV372" s="15"/>
      <c r="DUW372" s="15"/>
      <c r="DUX372" s="15"/>
      <c r="DUY372" s="10"/>
      <c r="DUZ372" s="10"/>
      <c r="DVA372" s="21"/>
      <c r="DVB372" s="21"/>
      <c r="DVE372" s="21"/>
      <c r="DVF372" s="15"/>
      <c r="DVG372" s="15"/>
      <c r="DVH372" s="15"/>
      <c r="DVI372" s="15"/>
      <c r="DVJ372" s="15"/>
      <c r="DVK372" s="15"/>
      <c r="DVL372" s="15"/>
      <c r="DVM372" s="15"/>
      <c r="DVN372" s="15"/>
      <c r="DVO372" s="15"/>
      <c r="DVP372" s="10"/>
      <c r="DVQ372" s="10"/>
      <c r="DVR372" s="21"/>
      <c r="DVS372" s="21"/>
      <c r="DVV372" s="21"/>
      <c r="DVW372" s="15"/>
      <c r="DVX372" s="15"/>
      <c r="DVY372" s="15"/>
      <c r="DVZ372" s="15"/>
      <c r="DWA372" s="15"/>
      <c r="DWB372" s="15"/>
      <c r="DWC372" s="15"/>
      <c r="DWD372" s="15"/>
      <c r="DWE372" s="15"/>
      <c r="DWF372" s="15"/>
      <c r="DWG372" s="10"/>
      <c r="DWH372" s="10"/>
      <c r="DWI372" s="21"/>
      <c r="DWJ372" s="21"/>
      <c r="DWM372" s="21"/>
      <c r="DWN372" s="15"/>
      <c r="DWO372" s="15"/>
      <c r="DWP372" s="15"/>
      <c r="DWQ372" s="15"/>
      <c r="DWR372" s="15"/>
      <c r="DWS372" s="15"/>
      <c r="DWT372" s="15"/>
      <c r="DWU372" s="15"/>
      <c r="DWV372" s="15"/>
      <c r="DWW372" s="15"/>
      <c r="DWX372" s="10"/>
      <c r="DWY372" s="10"/>
      <c r="DWZ372" s="21"/>
      <c r="DXA372" s="21"/>
      <c r="DXD372" s="21"/>
      <c r="DXE372" s="15"/>
      <c r="DXF372" s="15"/>
      <c r="DXG372" s="15"/>
      <c r="DXH372" s="15"/>
      <c r="DXI372" s="15"/>
      <c r="DXJ372" s="15"/>
      <c r="DXK372" s="15"/>
      <c r="DXL372" s="15"/>
      <c r="DXM372" s="15"/>
      <c r="DXN372" s="15"/>
      <c r="DXO372" s="10"/>
      <c r="DXP372" s="10"/>
      <c r="DXQ372" s="21"/>
      <c r="DXR372" s="21"/>
      <c r="DXU372" s="21"/>
      <c r="DXV372" s="15"/>
      <c r="DXW372" s="15"/>
      <c r="DXX372" s="15"/>
      <c r="DXY372" s="15"/>
      <c r="DXZ372" s="15"/>
      <c r="DYA372" s="15"/>
      <c r="DYB372" s="15"/>
      <c r="DYC372" s="15"/>
      <c r="DYD372" s="15"/>
      <c r="DYE372" s="15"/>
      <c r="DYF372" s="10"/>
      <c r="DYG372" s="10"/>
      <c r="DYH372" s="21"/>
      <c r="DYI372" s="21"/>
      <c r="DYL372" s="21"/>
      <c r="DYM372" s="15"/>
      <c r="DYN372" s="15"/>
      <c r="DYO372" s="15"/>
      <c r="DYP372" s="15"/>
      <c r="DYQ372" s="15"/>
      <c r="DYR372" s="15"/>
      <c r="DYS372" s="15"/>
      <c r="DYT372" s="15"/>
      <c r="DYU372" s="15"/>
      <c r="DYV372" s="15"/>
      <c r="DYW372" s="10"/>
      <c r="DYX372" s="10"/>
      <c r="DYY372" s="21"/>
      <c r="DYZ372" s="21"/>
      <c r="DZC372" s="21"/>
      <c r="DZD372" s="15"/>
      <c r="DZE372" s="15"/>
      <c r="DZF372" s="15"/>
      <c r="DZG372" s="15"/>
      <c r="DZH372" s="15"/>
      <c r="DZI372" s="15"/>
      <c r="DZJ372" s="15"/>
      <c r="DZK372" s="15"/>
      <c r="DZL372" s="15"/>
      <c r="DZM372" s="15"/>
      <c r="DZN372" s="10"/>
      <c r="DZO372" s="10"/>
      <c r="DZP372" s="21"/>
      <c r="DZQ372" s="21"/>
      <c r="DZT372" s="21"/>
      <c r="DZU372" s="15"/>
      <c r="DZV372" s="15"/>
      <c r="DZW372" s="15"/>
      <c r="DZX372" s="15"/>
      <c r="DZY372" s="15"/>
      <c r="DZZ372" s="15"/>
      <c r="EAA372" s="15"/>
      <c r="EAB372" s="15"/>
      <c r="EAC372" s="15"/>
      <c r="EAD372" s="15"/>
      <c r="EAE372" s="10"/>
      <c r="EAF372" s="10"/>
      <c r="EAG372" s="21"/>
      <c r="EAH372" s="21"/>
      <c r="EAK372" s="21"/>
      <c r="EAL372" s="15"/>
      <c r="EAM372" s="15"/>
      <c r="EAN372" s="15"/>
      <c r="EAO372" s="15"/>
      <c r="EAP372" s="15"/>
      <c r="EAQ372" s="15"/>
      <c r="EAR372" s="15"/>
      <c r="EAS372" s="15"/>
      <c r="EAT372" s="15"/>
      <c r="EAU372" s="15"/>
      <c r="EAV372" s="10"/>
      <c r="EAW372" s="10"/>
      <c r="EAX372" s="21"/>
      <c r="EAY372" s="21"/>
      <c r="EBB372" s="21"/>
      <c r="EBC372" s="15"/>
      <c r="EBD372" s="15"/>
      <c r="EBE372" s="15"/>
      <c r="EBF372" s="15"/>
      <c r="EBG372" s="15"/>
      <c r="EBH372" s="15"/>
      <c r="EBI372" s="15"/>
      <c r="EBJ372" s="15"/>
      <c r="EBK372" s="15"/>
      <c r="EBL372" s="15"/>
      <c r="EBM372" s="10"/>
      <c r="EBN372" s="10"/>
      <c r="EBO372" s="21"/>
      <c r="EBP372" s="21"/>
      <c r="EBS372" s="21"/>
      <c r="EBT372" s="15"/>
      <c r="EBU372" s="15"/>
      <c r="EBV372" s="15"/>
      <c r="EBW372" s="15"/>
      <c r="EBX372" s="15"/>
      <c r="EBY372" s="15"/>
      <c r="EBZ372" s="15"/>
      <c r="ECA372" s="15"/>
      <c r="ECB372" s="15"/>
      <c r="ECC372" s="15"/>
      <c r="ECD372" s="10"/>
      <c r="ECE372" s="10"/>
      <c r="ECF372" s="21"/>
      <c r="ECG372" s="21"/>
      <c r="ECJ372" s="21"/>
      <c r="ECK372" s="15"/>
      <c r="ECL372" s="15"/>
      <c r="ECM372" s="15"/>
      <c r="ECN372" s="15"/>
      <c r="ECO372" s="15"/>
      <c r="ECP372" s="15"/>
      <c r="ECQ372" s="15"/>
      <c r="ECR372" s="15"/>
      <c r="ECS372" s="15"/>
      <c r="ECT372" s="15"/>
      <c r="ECU372" s="10"/>
      <c r="ECV372" s="10"/>
      <c r="ECW372" s="21"/>
      <c r="ECX372" s="21"/>
      <c r="EDA372" s="21"/>
      <c r="EDB372" s="15"/>
      <c r="EDC372" s="15"/>
      <c r="EDD372" s="15"/>
      <c r="EDE372" s="15"/>
      <c r="EDF372" s="15"/>
      <c r="EDG372" s="15"/>
      <c r="EDH372" s="15"/>
      <c r="EDI372" s="15"/>
      <c r="EDJ372" s="15"/>
      <c r="EDK372" s="15"/>
      <c r="EDL372" s="10"/>
      <c r="EDM372" s="10"/>
      <c r="EDN372" s="21"/>
      <c r="EDO372" s="21"/>
      <c r="EDR372" s="21"/>
      <c r="EDS372" s="15"/>
      <c r="EDT372" s="15"/>
      <c r="EDU372" s="15"/>
      <c r="EDV372" s="15"/>
      <c r="EDW372" s="15"/>
      <c r="EDX372" s="15"/>
      <c r="EDY372" s="15"/>
      <c r="EDZ372" s="15"/>
      <c r="EEA372" s="15"/>
      <c r="EEB372" s="15"/>
      <c r="EEC372" s="10"/>
      <c r="EED372" s="10"/>
      <c r="EEE372" s="21"/>
      <c r="EEF372" s="21"/>
      <c r="EEI372" s="21"/>
      <c r="EEJ372" s="15"/>
      <c r="EEK372" s="15"/>
      <c r="EEL372" s="15"/>
      <c r="EEM372" s="15"/>
      <c r="EEN372" s="15"/>
      <c r="EEO372" s="15"/>
      <c r="EEP372" s="15"/>
      <c r="EEQ372" s="15"/>
      <c r="EER372" s="15"/>
      <c r="EES372" s="15"/>
      <c r="EET372" s="10"/>
      <c r="EEU372" s="10"/>
      <c r="EEV372" s="21"/>
      <c r="EEW372" s="21"/>
      <c r="EEZ372" s="21"/>
      <c r="EFA372" s="15"/>
      <c r="EFB372" s="15"/>
      <c r="EFC372" s="15"/>
      <c r="EFD372" s="15"/>
      <c r="EFE372" s="15"/>
      <c r="EFF372" s="15"/>
      <c r="EFG372" s="15"/>
      <c r="EFH372" s="15"/>
      <c r="EFI372" s="15"/>
      <c r="EFJ372" s="15"/>
      <c r="EFK372" s="10"/>
      <c r="EFL372" s="10"/>
      <c r="EFM372" s="21"/>
      <c r="EFN372" s="21"/>
      <c r="EFQ372" s="21"/>
      <c r="EFR372" s="15"/>
      <c r="EFS372" s="15"/>
      <c r="EFT372" s="15"/>
      <c r="EFU372" s="15"/>
      <c r="EFV372" s="15"/>
      <c r="EFW372" s="15"/>
      <c r="EFX372" s="15"/>
      <c r="EFY372" s="15"/>
      <c r="EFZ372" s="15"/>
      <c r="EGA372" s="15"/>
      <c r="EGB372" s="10"/>
      <c r="EGC372" s="10"/>
      <c r="EGD372" s="21"/>
      <c r="EGE372" s="21"/>
      <c r="EGH372" s="21"/>
      <c r="EGI372" s="15"/>
      <c r="EGJ372" s="15"/>
      <c r="EGK372" s="15"/>
      <c r="EGL372" s="15"/>
      <c r="EGM372" s="15"/>
      <c r="EGN372" s="15"/>
      <c r="EGO372" s="15"/>
      <c r="EGP372" s="15"/>
      <c r="EGQ372" s="15"/>
      <c r="EGR372" s="15"/>
      <c r="EGS372" s="10"/>
      <c r="EGT372" s="10"/>
      <c r="EGU372" s="21"/>
      <c r="EGV372" s="21"/>
      <c r="EGY372" s="21"/>
      <c r="EGZ372" s="15"/>
      <c r="EHA372" s="15"/>
      <c r="EHB372" s="15"/>
      <c r="EHC372" s="15"/>
      <c r="EHD372" s="15"/>
      <c r="EHE372" s="15"/>
      <c r="EHF372" s="15"/>
      <c r="EHG372" s="15"/>
      <c r="EHH372" s="15"/>
      <c r="EHI372" s="15"/>
      <c r="EHJ372" s="10"/>
      <c r="EHK372" s="10"/>
      <c r="EHL372" s="21"/>
      <c r="EHM372" s="21"/>
      <c r="EHP372" s="21"/>
      <c r="EHQ372" s="15"/>
      <c r="EHR372" s="15"/>
      <c r="EHS372" s="15"/>
      <c r="EHT372" s="15"/>
      <c r="EHU372" s="15"/>
      <c r="EHV372" s="15"/>
      <c r="EHW372" s="15"/>
      <c r="EHX372" s="15"/>
      <c r="EHY372" s="15"/>
      <c r="EHZ372" s="15"/>
      <c r="EIA372" s="10"/>
      <c r="EIB372" s="10"/>
      <c r="EIC372" s="21"/>
      <c r="EID372" s="21"/>
      <c r="EIG372" s="21"/>
      <c r="EIH372" s="15"/>
      <c r="EII372" s="15"/>
      <c r="EIJ372" s="15"/>
      <c r="EIK372" s="15"/>
      <c r="EIL372" s="15"/>
      <c r="EIM372" s="15"/>
      <c r="EIN372" s="15"/>
      <c r="EIO372" s="15"/>
      <c r="EIP372" s="15"/>
      <c r="EIQ372" s="15"/>
      <c r="EIR372" s="10"/>
      <c r="EIS372" s="10"/>
      <c r="EIT372" s="21"/>
      <c r="EIU372" s="21"/>
      <c r="EIX372" s="21"/>
      <c r="EIY372" s="15"/>
      <c r="EIZ372" s="15"/>
      <c r="EJA372" s="15"/>
      <c r="EJB372" s="15"/>
      <c r="EJC372" s="15"/>
      <c r="EJD372" s="15"/>
      <c r="EJE372" s="15"/>
      <c r="EJF372" s="15"/>
      <c r="EJG372" s="15"/>
      <c r="EJH372" s="15"/>
      <c r="EJI372" s="10"/>
      <c r="EJJ372" s="10"/>
      <c r="EJK372" s="21"/>
      <c r="EJL372" s="21"/>
      <c r="EJO372" s="21"/>
      <c r="EJP372" s="15"/>
      <c r="EJQ372" s="15"/>
      <c r="EJR372" s="15"/>
      <c r="EJS372" s="15"/>
      <c r="EJT372" s="15"/>
      <c r="EJU372" s="15"/>
      <c r="EJV372" s="15"/>
      <c r="EJW372" s="15"/>
      <c r="EJX372" s="15"/>
      <c r="EJY372" s="15"/>
      <c r="EJZ372" s="10"/>
      <c r="EKA372" s="10"/>
      <c r="EKB372" s="21"/>
      <c r="EKC372" s="21"/>
      <c r="EKF372" s="21"/>
      <c r="EKG372" s="15"/>
      <c r="EKH372" s="15"/>
      <c r="EKI372" s="15"/>
      <c r="EKJ372" s="15"/>
      <c r="EKK372" s="15"/>
      <c r="EKL372" s="15"/>
      <c r="EKM372" s="15"/>
      <c r="EKN372" s="15"/>
      <c r="EKO372" s="15"/>
      <c r="EKP372" s="15"/>
      <c r="EKQ372" s="10"/>
      <c r="EKR372" s="10"/>
      <c r="EKS372" s="21"/>
      <c r="EKT372" s="21"/>
      <c r="EKW372" s="21"/>
      <c r="EKX372" s="15"/>
      <c r="EKY372" s="15"/>
      <c r="EKZ372" s="15"/>
      <c r="ELA372" s="15"/>
      <c r="ELB372" s="15"/>
      <c r="ELC372" s="15"/>
      <c r="ELD372" s="15"/>
      <c r="ELE372" s="15"/>
      <c r="ELF372" s="15"/>
      <c r="ELG372" s="15"/>
      <c r="ELH372" s="10"/>
      <c r="ELI372" s="10"/>
      <c r="ELJ372" s="21"/>
      <c r="ELK372" s="21"/>
      <c r="ELN372" s="21"/>
      <c r="ELO372" s="15"/>
      <c r="ELP372" s="15"/>
      <c r="ELQ372" s="15"/>
      <c r="ELR372" s="15"/>
      <c r="ELS372" s="15"/>
      <c r="ELT372" s="15"/>
      <c r="ELU372" s="15"/>
      <c r="ELV372" s="15"/>
      <c r="ELW372" s="15"/>
      <c r="ELX372" s="15"/>
      <c r="ELY372" s="10"/>
      <c r="ELZ372" s="10"/>
      <c r="EMA372" s="21"/>
      <c r="EMB372" s="21"/>
      <c r="EME372" s="21"/>
      <c r="EMF372" s="15"/>
      <c r="EMG372" s="15"/>
      <c r="EMH372" s="15"/>
      <c r="EMI372" s="15"/>
      <c r="EMJ372" s="15"/>
      <c r="EMK372" s="15"/>
      <c r="EML372" s="15"/>
      <c r="EMM372" s="15"/>
      <c r="EMN372" s="15"/>
      <c r="EMO372" s="15"/>
      <c r="EMP372" s="10"/>
      <c r="EMQ372" s="10"/>
      <c r="EMR372" s="21"/>
      <c r="EMS372" s="21"/>
      <c r="EMV372" s="21"/>
      <c r="EMW372" s="15"/>
      <c r="EMX372" s="15"/>
      <c r="EMY372" s="15"/>
      <c r="EMZ372" s="15"/>
      <c r="ENA372" s="15"/>
      <c r="ENB372" s="15"/>
      <c r="ENC372" s="15"/>
      <c r="END372" s="15"/>
      <c r="ENE372" s="15"/>
      <c r="ENF372" s="15"/>
      <c r="ENG372" s="10"/>
      <c r="ENH372" s="10"/>
      <c r="ENI372" s="21"/>
      <c r="ENJ372" s="21"/>
      <c r="ENM372" s="21"/>
      <c r="ENN372" s="15"/>
      <c r="ENO372" s="15"/>
      <c r="ENP372" s="15"/>
      <c r="ENQ372" s="15"/>
      <c r="ENR372" s="15"/>
      <c r="ENS372" s="15"/>
      <c r="ENT372" s="15"/>
      <c r="ENU372" s="15"/>
      <c r="ENV372" s="15"/>
      <c r="ENW372" s="15"/>
      <c r="ENX372" s="10"/>
      <c r="ENY372" s="10"/>
      <c r="ENZ372" s="21"/>
      <c r="EOA372" s="21"/>
      <c r="EOD372" s="21"/>
      <c r="EOE372" s="15"/>
      <c r="EOF372" s="15"/>
      <c r="EOG372" s="15"/>
      <c r="EOH372" s="15"/>
      <c r="EOI372" s="15"/>
      <c r="EOJ372" s="15"/>
      <c r="EOK372" s="15"/>
      <c r="EOL372" s="15"/>
      <c r="EOM372" s="15"/>
      <c r="EON372" s="15"/>
      <c r="EOO372" s="10"/>
      <c r="EOP372" s="10"/>
      <c r="EOQ372" s="21"/>
      <c r="EOR372" s="21"/>
      <c r="EOU372" s="21"/>
      <c r="EOV372" s="15"/>
      <c r="EOW372" s="15"/>
      <c r="EOX372" s="15"/>
      <c r="EOY372" s="15"/>
      <c r="EOZ372" s="15"/>
      <c r="EPA372" s="15"/>
      <c r="EPB372" s="15"/>
      <c r="EPC372" s="15"/>
      <c r="EPD372" s="15"/>
      <c r="EPE372" s="15"/>
      <c r="EPF372" s="10"/>
      <c r="EPG372" s="10"/>
      <c r="EPH372" s="21"/>
      <c r="EPI372" s="21"/>
      <c r="EPL372" s="21"/>
      <c r="EPM372" s="15"/>
      <c r="EPN372" s="15"/>
      <c r="EPO372" s="15"/>
      <c r="EPP372" s="15"/>
      <c r="EPQ372" s="15"/>
      <c r="EPR372" s="15"/>
      <c r="EPS372" s="15"/>
      <c r="EPT372" s="15"/>
      <c r="EPU372" s="15"/>
      <c r="EPV372" s="15"/>
      <c r="EPW372" s="10"/>
      <c r="EPX372" s="10"/>
      <c r="EPY372" s="21"/>
      <c r="EPZ372" s="21"/>
      <c r="EQC372" s="21"/>
      <c r="EQD372" s="15"/>
      <c r="EQE372" s="15"/>
      <c r="EQF372" s="15"/>
      <c r="EQG372" s="15"/>
      <c r="EQH372" s="15"/>
      <c r="EQI372" s="15"/>
      <c r="EQJ372" s="15"/>
      <c r="EQK372" s="15"/>
      <c r="EQL372" s="15"/>
      <c r="EQM372" s="15"/>
      <c r="EQN372" s="10"/>
      <c r="EQO372" s="10"/>
      <c r="EQP372" s="21"/>
      <c r="EQQ372" s="21"/>
      <c r="EQT372" s="21"/>
      <c r="EQU372" s="15"/>
      <c r="EQV372" s="15"/>
      <c r="EQW372" s="15"/>
      <c r="EQX372" s="15"/>
      <c r="EQY372" s="15"/>
      <c r="EQZ372" s="15"/>
      <c r="ERA372" s="15"/>
      <c r="ERB372" s="15"/>
      <c r="ERC372" s="15"/>
      <c r="ERD372" s="15"/>
      <c r="ERE372" s="10"/>
      <c r="ERF372" s="10"/>
      <c r="ERG372" s="21"/>
      <c r="ERH372" s="21"/>
      <c r="ERK372" s="21"/>
      <c r="ERL372" s="15"/>
      <c r="ERM372" s="15"/>
      <c r="ERN372" s="15"/>
      <c r="ERO372" s="15"/>
      <c r="ERP372" s="15"/>
      <c r="ERQ372" s="15"/>
      <c r="ERR372" s="15"/>
      <c r="ERS372" s="15"/>
      <c r="ERT372" s="15"/>
      <c r="ERU372" s="15"/>
      <c r="ERV372" s="10"/>
      <c r="ERW372" s="10"/>
      <c r="ERX372" s="21"/>
      <c r="ERY372" s="21"/>
      <c r="ESB372" s="21"/>
      <c r="ESC372" s="15"/>
      <c r="ESD372" s="15"/>
      <c r="ESE372" s="15"/>
      <c r="ESF372" s="15"/>
      <c r="ESG372" s="15"/>
      <c r="ESH372" s="15"/>
      <c r="ESI372" s="15"/>
      <c r="ESJ372" s="15"/>
      <c r="ESK372" s="15"/>
      <c r="ESL372" s="15"/>
      <c r="ESM372" s="10"/>
      <c r="ESN372" s="10"/>
      <c r="ESO372" s="21"/>
      <c r="ESP372" s="21"/>
      <c r="ESS372" s="21"/>
      <c r="EST372" s="15"/>
      <c r="ESU372" s="15"/>
      <c r="ESV372" s="15"/>
      <c r="ESW372" s="15"/>
      <c r="ESX372" s="15"/>
      <c r="ESY372" s="15"/>
      <c r="ESZ372" s="15"/>
      <c r="ETA372" s="15"/>
      <c r="ETB372" s="15"/>
      <c r="ETC372" s="15"/>
      <c r="ETD372" s="10"/>
      <c r="ETE372" s="10"/>
      <c r="ETF372" s="21"/>
      <c r="ETG372" s="21"/>
      <c r="ETJ372" s="21"/>
      <c r="ETK372" s="15"/>
      <c r="ETL372" s="15"/>
      <c r="ETM372" s="15"/>
      <c r="ETN372" s="15"/>
      <c r="ETO372" s="15"/>
      <c r="ETP372" s="15"/>
      <c r="ETQ372" s="15"/>
      <c r="ETR372" s="15"/>
      <c r="ETS372" s="15"/>
      <c r="ETT372" s="15"/>
      <c r="ETU372" s="10"/>
      <c r="ETV372" s="10"/>
      <c r="ETW372" s="21"/>
      <c r="ETX372" s="21"/>
      <c r="EUA372" s="21"/>
      <c r="EUB372" s="15"/>
      <c r="EUC372" s="15"/>
      <c r="EUD372" s="15"/>
      <c r="EUE372" s="15"/>
      <c r="EUF372" s="15"/>
      <c r="EUG372" s="15"/>
      <c r="EUH372" s="15"/>
      <c r="EUI372" s="15"/>
      <c r="EUJ372" s="15"/>
      <c r="EUK372" s="15"/>
      <c r="EUL372" s="10"/>
      <c r="EUM372" s="10"/>
      <c r="EUN372" s="21"/>
      <c r="EUO372" s="21"/>
      <c r="EUR372" s="21"/>
      <c r="EUS372" s="15"/>
      <c r="EUT372" s="15"/>
      <c r="EUU372" s="15"/>
      <c r="EUV372" s="15"/>
      <c r="EUW372" s="15"/>
      <c r="EUX372" s="15"/>
      <c r="EUY372" s="15"/>
      <c r="EUZ372" s="15"/>
      <c r="EVA372" s="15"/>
      <c r="EVB372" s="15"/>
      <c r="EVC372" s="10"/>
      <c r="EVD372" s="10"/>
      <c r="EVE372" s="21"/>
      <c r="EVF372" s="21"/>
      <c r="EVI372" s="21"/>
      <c r="EVJ372" s="15"/>
      <c r="EVK372" s="15"/>
      <c r="EVL372" s="15"/>
      <c r="EVM372" s="15"/>
      <c r="EVN372" s="15"/>
      <c r="EVO372" s="15"/>
      <c r="EVP372" s="15"/>
      <c r="EVQ372" s="15"/>
      <c r="EVR372" s="15"/>
      <c r="EVS372" s="15"/>
      <c r="EVT372" s="10"/>
      <c r="EVU372" s="10"/>
      <c r="EVV372" s="21"/>
      <c r="EVW372" s="21"/>
      <c r="EVZ372" s="21"/>
      <c r="EWA372" s="15"/>
      <c r="EWB372" s="15"/>
      <c r="EWC372" s="15"/>
      <c r="EWD372" s="15"/>
      <c r="EWE372" s="15"/>
      <c r="EWF372" s="15"/>
      <c r="EWG372" s="15"/>
      <c r="EWH372" s="15"/>
      <c r="EWI372" s="15"/>
      <c r="EWJ372" s="15"/>
      <c r="EWK372" s="10"/>
      <c r="EWL372" s="10"/>
      <c r="EWM372" s="21"/>
      <c r="EWN372" s="21"/>
      <c r="EWQ372" s="21"/>
      <c r="EWR372" s="15"/>
      <c r="EWS372" s="15"/>
      <c r="EWT372" s="15"/>
      <c r="EWU372" s="15"/>
      <c r="EWV372" s="15"/>
      <c r="EWW372" s="15"/>
      <c r="EWX372" s="15"/>
      <c r="EWY372" s="15"/>
      <c r="EWZ372" s="15"/>
      <c r="EXA372" s="15"/>
      <c r="EXB372" s="10"/>
      <c r="EXC372" s="10"/>
      <c r="EXD372" s="21"/>
      <c r="EXE372" s="21"/>
      <c r="EXH372" s="21"/>
      <c r="EXI372" s="15"/>
      <c r="EXJ372" s="15"/>
      <c r="EXK372" s="15"/>
      <c r="EXL372" s="15"/>
      <c r="EXM372" s="15"/>
      <c r="EXN372" s="15"/>
      <c r="EXO372" s="15"/>
      <c r="EXP372" s="15"/>
      <c r="EXQ372" s="15"/>
      <c r="EXR372" s="15"/>
      <c r="EXS372" s="10"/>
      <c r="EXT372" s="10"/>
      <c r="EXU372" s="21"/>
      <c r="EXV372" s="21"/>
      <c r="EXY372" s="21"/>
      <c r="EXZ372" s="15"/>
      <c r="EYA372" s="15"/>
      <c r="EYB372" s="15"/>
      <c r="EYC372" s="15"/>
      <c r="EYD372" s="15"/>
      <c r="EYE372" s="15"/>
      <c r="EYF372" s="15"/>
      <c r="EYG372" s="15"/>
      <c r="EYH372" s="15"/>
      <c r="EYI372" s="15"/>
      <c r="EYJ372" s="10"/>
      <c r="EYK372" s="10"/>
      <c r="EYL372" s="21"/>
      <c r="EYM372" s="21"/>
      <c r="EYP372" s="21"/>
      <c r="EYQ372" s="15"/>
      <c r="EYR372" s="15"/>
      <c r="EYS372" s="15"/>
      <c r="EYT372" s="15"/>
      <c r="EYU372" s="15"/>
      <c r="EYV372" s="15"/>
      <c r="EYW372" s="15"/>
      <c r="EYX372" s="15"/>
      <c r="EYY372" s="15"/>
      <c r="EYZ372" s="15"/>
      <c r="EZA372" s="10"/>
      <c r="EZB372" s="10"/>
      <c r="EZC372" s="21"/>
      <c r="EZD372" s="21"/>
      <c r="EZG372" s="21"/>
      <c r="EZH372" s="15"/>
      <c r="EZI372" s="15"/>
      <c r="EZJ372" s="15"/>
      <c r="EZK372" s="15"/>
      <c r="EZL372" s="15"/>
      <c r="EZM372" s="15"/>
      <c r="EZN372" s="15"/>
      <c r="EZO372" s="15"/>
      <c r="EZP372" s="15"/>
      <c r="EZQ372" s="15"/>
      <c r="EZR372" s="10"/>
      <c r="EZS372" s="10"/>
      <c r="EZT372" s="21"/>
      <c r="EZU372" s="21"/>
      <c r="EZX372" s="21"/>
      <c r="EZY372" s="15"/>
      <c r="EZZ372" s="15"/>
      <c r="FAA372" s="15"/>
      <c r="FAB372" s="15"/>
      <c r="FAC372" s="15"/>
      <c r="FAD372" s="15"/>
      <c r="FAE372" s="15"/>
      <c r="FAF372" s="15"/>
      <c r="FAG372" s="15"/>
      <c r="FAH372" s="15"/>
      <c r="FAI372" s="10"/>
      <c r="FAJ372" s="10"/>
      <c r="FAK372" s="21"/>
      <c r="FAL372" s="21"/>
      <c r="FAO372" s="21"/>
      <c r="FAP372" s="15"/>
      <c r="FAQ372" s="15"/>
      <c r="FAR372" s="15"/>
      <c r="FAS372" s="15"/>
      <c r="FAT372" s="15"/>
      <c r="FAU372" s="15"/>
      <c r="FAV372" s="15"/>
      <c r="FAW372" s="15"/>
      <c r="FAX372" s="15"/>
      <c r="FAY372" s="15"/>
      <c r="FAZ372" s="10"/>
      <c r="FBA372" s="10"/>
      <c r="FBB372" s="21"/>
      <c r="FBC372" s="21"/>
      <c r="FBF372" s="21"/>
      <c r="FBG372" s="15"/>
      <c r="FBH372" s="15"/>
      <c r="FBI372" s="15"/>
      <c r="FBJ372" s="15"/>
      <c r="FBK372" s="15"/>
      <c r="FBL372" s="15"/>
      <c r="FBM372" s="15"/>
      <c r="FBN372" s="15"/>
      <c r="FBO372" s="15"/>
      <c r="FBP372" s="15"/>
      <c r="FBQ372" s="10"/>
      <c r="FBR372" s="10"/>
      <c r="FBS372" s="21"/>
      <c r="FBT372" s="21"/>
      <c r="FBW372" s="21"/>
      <c r="FBX372" s="15"/>
      <c r="FBY372" s="15"/>
      <c r="FBZ372" s="15"/>
      <c r="FCA372" s="15"/>
      <c r="FCB372" s="15"/>
      <c r="FCC372" s="15"/>
      <c r="FCD372" s="15"/>
      <c r="FCE372" s="15"/>
      <c r="FCF372" s="15"/>
      <c r="FCG372" s="15"/>
      <c r="FCH372" s="10"/>
      <c r="FCI372" s="10"/>
      <c r="FCJ372" s="21"/>
      <c r="FCK372" s="21"/>
      <c r="FCN372" s="21"/>
      <c r="FCO372" s="15"/>
      <c r="FCP372" s="15"/>
      <c r="FCQ372" s="15"/>
      <c r="FCR372" s="15"/>
      <c r="FCS372" s="15"/>
      <c r="FCT372" s="15"/>
      <c r="FCU372" s="15"/>
      <c r="FCV372" s="15"/>
      <c r="FCW372" s="15"/>
      <c r="FCX372" s="15"/>
      <c r="FCY372" s="10"/>
      <c r="FCZ372" s="10"/>
      <c r="FDA372" s="21"/>
      <c r="FDB372" s="21"/>
      <c r="FDE372" s="21"/>
      <c r="FDF372" s="15"/>
      <c r="FDG372" s="15"/>
      <c r="FDH372" s="15"/>
      <c r="FDI372" s="15"/>
      <c r="FDJ372" s="15"/>
      <c r="FDK372" s="15"/>
      <c r="FDL372" s="15"/>
      <c r="FDM372" s="15"/>
      <c r="FDN372" s="15"/>
      <c r="FDO372" s="15"/>
      <c r="FDP372" s="10"/>
      <c r="FDQ372" s="10"/>
      <c r="FDR372" s="21"/>
      <c r="FDS372" s="21"/>
      <c r="FDV372" s="21"/>
      <c r="FDW372" s="15"/>
      <c r="FDX372" s="15"/>
      <c r="FDY372" s="15"/>
      <c r="FDZ372" s="15"/>
      <c r="FEA372" s="15"/>
      <c r="FEB372" s="15"/>
      <c r="FEC372" s="15"/>
      <c r="FED372" s="15"/>
      <c r="FEE372" s="15"/>
      <c r="FEF372" s="15"/>
      <c r="FEG372" s="10"/>
      <c r="FEH372" s="10"/>
      <c r="FEI372" s="21"/>
      <c r="FEJ372" s="21"/>
      <c r="FEM372" s="21"/>
      <c r="FEN372" s="15"/>
      <c r="FEO372" s="15"/>
      <c r="FEP372" s="15"/>
      <c r="FEQ372" s="15"/>
      <c r="FER372" s="15"/>
      <c r="FES372" s="15"/>
      <c r="FET372" s="15"/>
      <c r="FEU372" s="15"/>
      <c r="FEV372" s="15"/>
      <c r="FEW372" s="15"/>
      <c r="FEX372" s="10"/>
      <c r="FEY372" s="10"/>
      <c r="FEZ372" s="21"/>
      <c r="FFA372" s="21"/>
      <c r="FFD372" s="21"/>
      <c r="FFE372" s="15"/>
      <c r="FFF372" s="15"/>
      <c r="FFG372" s="15"/>
      <c r="FFH372" s="15"/>
      <c r="FFI372" s="15"/>
      <c r="FFJ372" s="15"/>
      <c r="FFK372" s="15"/>
      <c r="FFL372" s="15"/>
      <c r="FFM372" s="15"/>
      <c r="FFN372" s="15"/>
      <c r="FFO372" s="10"/>
      <c r="FFP372" s="10"/>
      <c r="FFQ372" s="21"/>
      <c r="FFR372" s="21"/>
      <c r="FFU372" s="21"/>
      <c r="FFV372" s="15"/>
      <c r="FFW372" s="15"/>
      <c r="FFX372" s="15"/>
      <c r="FFY372" s="15"/>
      <c r="FFZ372" s="15"/>
      <c r="FGA372" s="15"/>
      <c r="FGB372" s="15"/>
      <c r="FGC372" s="15"/>
      <c r="FGD372" s="15"/>
      <c r="FGE372" s="15"/>
      <c r="FGF372" s="10"/>
      <c r="FGG372" s="10"/>
      <c r="FGH372" s="21"/>
      <c r="FGI372" s="21"/>
      <c r="FGL372" s="21"/>
      <c r="FGM372" s="15"/>
      <c r="FGN372" s="15"/>
      <c r="FGO372" s="15"/>
      <c r="FGP372" s="15"/>
      <c r="FGQ372" s="15"/>
      <c r="FGR372" s="15"/>
      <c r="FGS372" s="15"/>
      <c r="FGT372" s="15"/>
      <c r="FGU372" s="15"/>
      <c r="FGV372" s="15"/>
      <c r="FGW372" s="10"/>
      <c r="FGX372" s="10"/>
      <c r="FGY372" s="21"/>
      <c r="FGZ372" s="21"/>
      <c r="FHC372" s="21"/>
      <c r="FHD372" s="15"/>
      <c r="FHE372" s="15"/>
      <c r="FHF372" s="15"/>
      <c r="FHG372" s="15"/>
      <c r="FHH372" s="15"/>
      <c r="FHI372" s="15"/>
      <c r="FHJ372" s="15"/>
      <c r="FHK372" s="15"/>
      <c r="FHL372" s="15"/>
      <c r="FHM372" s="15"/>
      <c r="FHN372" s="10"/>
      <c r="FHO372" s="10"/>
      <c r="FHP372" s="21"/>
      <c r="FHQ372" s="21"/>
      <c r="FHT372" s="21"/>
      <c r="FHU372" s="15"/>
      <c r="FHV372" s="15"/>
      <c r="FHW372" s="15"/>
      <c r="FHX372" s="15"/>
      <c r="FHY372" s="15"/>
      <c r="FHZ372" s="15"/>
      <c r="FIA372" s="15"/>
      <c r="FIB372" s="15"/>
      <c r="FIC372" s="15"/>
      <c r="FID372" s="15"/>
      <c r="FIE372" s="10"/>
      <c r="FIF372" s="10"/>
      <c r="FIG372" s="21"/>
      <c r="FIH372" s="21"/>
      <c r="FIK372" s="21"/>
      <c r="FIL372" s="15"/>
      <c r="FIM372" s="15"/>
      <c r="FIN372" s="15"/>
      <c r="FIO372" s="15"/>
      <c r="FIP372" s="15"/>
      <c r="FIQ372" s="15"/>
      <c r="FIR372" s="15"/>
      <c r="FIS372" s="15"/>
      <c r="FIT372" s="15"/>
      <c r="FIU372" s="15"/>
      <c r="FIV372" s="10"/>
      <c r="FIW372" s="10"/>
      <c r="FIX372" s="21"/>
      <c r="FIY372" s="21"/>
      <c r="FJB372" s="21"/>
      <c r="FJC372" s="15"/>
      <c r="FJD372" s="15"/>
      <c r="FJE372" s="15"/>
      <c r="FJF372" s="15"/>
      <c r="FJG372" s="15"/>
      <c r="FJH372" s="15"/>
      <c r="FJI372" s="15"/>
      <c r="FJJ372" s="15"/>
      <c r="FJK372" s="15"/>
      <c r="FJL372" s="15"/>
      <c r="FJM372" s="10"/>
      <c r="FJN372" s="10"/>
      <c r="FJO372" s="21"/>
      <c r="FJP372" s="21"/>
      <c r="FJS372" s="21"/>
      <c r="FJT372" s="15"/>
      <c r="FJU372" s="15"/>
      <c r="FJV372" s="15"/>
      <c r="FJW372" s="15"/>
      <c r="FJX372" s="15"/>
      <c r="FJY372" s="15"/>
      <c r="FJZ372" s="15"/>
      <c r="FKA372" s="15"/>
      <c r="FKB372" s="15"/>
      <c r="FKC372" s="15"/>
      <c r="FKD372" s="10"/>
      <c r="FKE372" s="10"/>
      <c r="FKF372" s="21"/>
      <c r="FKG372" s="21"/>
      <c r="FKJ372" s="21"/>
      <c r="FKK372" s="15"/>
      <c r="FKL372" s="15"/>
      <c r="FKM372" s="15"/>
      <c r="FKN372" s="15"/>
      <c r="FKO372" s="15"/>
      <c r="FKP372" s="15"/>
      <c r="FKQ372" s="15"/>
      <c r="FKR372" s="15"/>
      <c r="FKS372" s="15"/>
      <c r="FKT372" s="15"/>
      <c r="FKU372" s="10"/>
      <c r="FKV372" s="10"/>
      <c r="FKW372" s="21"/>
      <c r="FKX372" s="21"/>
      <c r="FLA372" s="21"/>
      <c r="FLB372" s="15"/>
      <c r="FLC372" s="15"/>
      <c r="FLD372" s="15"/>
      <c r="FLE372" s="15"/>
      <c r="FLF372" s="15"/>
      <c r="FLG372" s="15"/>
      <c r="FLH372" s="15"/>
      <c r="FLI372" s="15"/>
      <c r="FLJ372" s="15"/>
      <c r="FLK372" s="15"/>
      <c r="FLL372" s="10"/>
      <c r="FLM372" s="10"/>
      <c r="FLN372" s="21"/>
      <c r="FLO372" s="21"/>
      <c r="FLR372" s="21"/>
      <c r="FLS372" s="15"/>
      <c r="FLT372" s="15"/>
      <c r="FLU372" s="15"/>
      <c r="FLV372" s="15"/>
      <c r="FLW372" s="15"/>
      <c r="FLX372" s="15"/>
      <c r="FLY372" s="15"/>
      <c r="FLZ372" s="15"/>
      <c r="FMA372" s="15"/>
      <c r="FMB372" s="15"/>
      <c r="FMC372" s="10"/>
      <c r="FMD372" s="10"/>
      <c r="FME372" s="21"/>
      <c r="FMF372" s="21"/>
      <c r="FMI372" s="21"/>
      <c r="FMJ372" s="15"/>
      <c r="FMK372" s="15"/>
      <c r="FML372" s="15"/>
      <c r="FMM372" s="15"/>
      <c r="FMN372" s="15"/>
      <c r="FMO372" s="15"/>
      <c r="FMP372" s="15"/>
      <c r="FMQ372" s="15"/>
      <c r="FMR372" s="15"/>
      <c r="FMS372" s="15"/>
      <c r="FMT372" s="10"/>
      <c r="FMU372" s="10"/>
      <c r="FMV372" s="21"/>
      <c r="FMW372" s="21"/>
      <c r="FMZ372" s="21"/>
      <c r="FNA372" s="15"/>
      <c r="FNB372" s="15"/>
      <c r="FNC372" s="15"/>
      <c r="FND372" s="15"/>
      <c r="FNE372" s="15"/>
      <c r="FNF372" s="15"/>
      <c r="FNG372" s="15"/>
      <c r="FNH372" s="15"/>
      <c r="FNI372" s="15"/>
      <c r="FNJ372" s="15"/>
      <c r="FNK372" s="10"/>
      <c r="FNL372" s="10"/>
      <c r="FNM372" s="21"/>
      <c r="FNN372" s="21"/>
      <c r="FNQ372" s="21"/>
      <c r="FNR372" s="15"/>
      <c r="FNS372" s="15"/>
      <c r="FNT372" s="15"/>
      <c r="FNU372" s="15"/>
      <c r="FNV372" s="15"/>
      <c r="FNW372" s="15"/>
      <c r="FNX372" s="15"/>
      <c r="FNY372" s="15"/>
      <c r="FNZ372" s="15"/>
      <c r="FOA372" s="15"/>
      <c r="FOB372" s="10"/>
      <c r="FOC372" s="10"/>
      <c r="FOD372" s="21"/>
      <c r="FOE372" s="21"/>
      <c r="FOH372" s="21"/>
      <c r="FOI372" s="15"/>
      <c r="FOJ372" s="15"/>
      <c r="FOK372" s="15"/>
      <c r="FOL372" s="15"/>
      <c r="FOM372" s="15"/>
      <c r="FON372" s="15"/>
      <c r="FOO372" s="15"/>
      <c r="FOP372" s="15"/>
      <c r="FOQ372" s="15"/>
      <c r="FOR372" s="15"/>
      <c r="FOS372" s="10"/>
      <c r="FOT372" s="10"/>
      <c r="FOU372" s="21"/>
      <c r="FOV372" s="21"/>
      <c r="FOY372" s="21"/>
      <c r="FOZ372" s="15"/>
      <c r="FPA372" s="15"/>
      <c r="FPB372" s="15"/>
      <c r="FPC372" s="15"/>
      <c r="FPD372" s="15"/>
      <c r="FPE372" s="15"/>
      <c r="FPF372" s="15"/>
      <c r="FPG372" s="15"/>
      <c r="FPH372" s="15"/>
      <c r="FPI372" s="15"/>
      <c r="FPJ372" s="10"/>
      <c r="FPK372" s="10"/>
      <c r="FPL372" s="21"/>
      <c r="FPM372" s="21"/>
      <c r="FPP372" s="21"/>
      <c r="FPQ372" s="15"/>
      <c r="FPR372" s="15"/>
      <c r="FPS372" s="15"/>
      <c r="FPT372" s="15"/>
      <c r="FPU372" s="15"/>
      <c r="FPV372" s="15"/>
      <c r="FPW372" s="15"/>
      <c r="FPX372" s="15"/>
      <c r="FPY372" s="15"/>
      <c r="FPZ372" s="15"/>
      <c r="FQA372" s="10"/>
      <c r="FQB372" s="10"/>
      <c r="FQC372" s="21"/>
      <c r="FQD372" s="21"/>
      <c r="FQG372" s="21"/>
      <c r="FQH372" s="15"/>
      <c r="FQI372" s="15"/>
      <c r="FQJ372" s="15"/>
      <c r="FQK372" s="15"/>
      <c r="FQL372" s="15"/>
      <c r="FQM372" s="15"/>
      <c r="FQN372" s="15"/>
      <c r="FQO372" s="15"/>
      <c r="FQP372" s="15"/>
      <c r="FQQ372" s="15"/>
      <c r="FQR372" s="10"/>
      <c r="FQS372" s="10"/>
      <c r="FQT372" s="21"/>
      <c r="FQU372" s="21"/>
      <c r="FQX372" s="21"/>
      <c r="FQY372" s="15"/>
      <c r="FQZ372" s="15"/>
      <c r="FRA372" s="15"/>
      <c r="FRB372" s="15"/>
      <c r="FRC372" s="15"/>
      <c r="FRD372" s="15"/>
      <c r="FRE372" s="15"/>
      <c r="FRF372" s="15"/>
      <c r="FRG372" s="15"/>
      <c r="FRH372" s="15"/>
      <c r="FRI372" s="10"/>
      <c r="FRJ372" s="10"/>
      <c r="FRK372" s="21"/>
      <c r="FRL372" s="21"/>
      <c r="FRO372" s="21"/>
      <c r="FRP372" s="15"/>
      <c r="FRQ372" s="15"/>
      <c r="FRR372" s="15"/>
      <c r="FRS372" s="15"/>
      <c r="FRT372" s="15"/>
      <c r="FRU372" s="15"/>
      <c r="FRV372" s="15"/>
      <c r="FRW372" s="15"/>
      <c r="FRX372" s="15"/>
      <c r="FRY372" s="15"/>
      <c r="FRZ372" s="10"/>
      <c r="FSA372" s="10"/>
      <c r="FSB372" s="21"/>
      <c r="FSC372" s="21"/>
      <c r="FSF372" s="21"/>
      <c r="FSG372" s="15"/>
      <c r="FSH372" s="15"/>
      <c r="FSI372" s="15"/>
      <c r="FSJ372" s="15"/>
      <c r="FSK372" s="15"/>
      <c r="FSL372" s="15"/>
      <c r="FSM372" s="15"/>
      <c r="FSN372" s="15"/>
      <c r="FSO372" s="15"/>
      <c r="FSP372" s="15"/>
      <c r="FSQ372" s="10"/>
      <c r="FSR372" s="10"/>
      <c r="FSS372" s="21"/>
      <c r="FST372" s="21"/>
      <c r="FSW372" s="21"/>
      <c r="FSX372" s="15"/>
      <c r="FSY372" s="15"/>
      <c r="FSZ372" s="15"/>
      <c r="FTA372" s="15"/>
      <c r="FTB372" s="15"/>
      <c r="FTC372" s="15"/>
      <c r="FTD372" s="15"/>
      <c r="FTE372" s="15"/>
      <c r="FTF372" s="15"/>
      <c r="FTG372" s="15"/>
      <c r="FTH372" s="10"/>
      <c r="FTI372" s="10"/>
      <c r="FTJ372" s="21"/>
      <c r="FTK372" s="21"/>
      <c r="FTN372" s="21"/>
      <c r="FTO372" s="15"/>
      <c r="FTP372" s="15"/>
      <c r="FTQ372" s="15"/>
      <c r="FTR372" s="15"/>
      <c r="FTS372" s="15"/>
      <c r="FTT372" s="15"/>
      <c r="FTU372" s="15"/>
      <c r="FTV372" s="15"/>
      <c r="FTW372" s="15"/>
      <c r="FTX372" s="15"/>
      <c r="FTY372" s="10"/>
      <c r="FTZ372" s="10"/>
      <c r="FUA372" s="21"/>
      <c r="FUB372" s="21"/>
      <c r="FUE372" s="21"/>
      <c r="FUF372" s="15"/>
      <c r="FUG372" s="15"/>
      <c r="FUH372" s="15"/>
      <c r="FUI372" s="15"/>
      <c r="FUJ372" s="15"/>
      <c r="FUK372" s="15"/>
      <c r="FUL372" s="15"/>
      <c r="FUM372" s="15"/>
      <c r="FUN372" s="15"/>
      <c r="FUO372" s="15"/>
      <c r="FUP372" s="10"/>
      <c r="FUQ372" s="10"/>
      <c r="FUR372" s="21"/>
      <c r="FUS372" s="21"/>
      <c r="FUV372" s="21"/>
      <c r="FUW372" s="15"/>
      <c r="FUX372" s="15"/>
      <c r="FUY372" s="15"/>
      <c r="FUZ372" s="15"/>
      <c r="FVA372" s="15"/>
      <c r="FVB372" s="15"/>
      <c r="FVC372" s="15"/>
      <c r="FVD372" s="15"/>
      <c r="FVE372" s="15"/>
      <c r="FVF372" s="15"/>
      <c r="FVG372" s="10"/>
      <c r="FVH372" s="10"/>
      <c r="FVI372" s="21"/>
      <c r="FVJ372" s="21"/>
      <c r="FVM372" s="21"/>
      <c r="FVN372" s="15"/>
      <c r="FVO372" s="15"/>
      <c r="FVP372" s="15"/>
      <c r="FVQ372" s="15"/>
      <c r="FVR372" s="15"/>
      <c r="FVS372" s="15"/>
      <c r="FVT372" s="15"/>
      <c r="FVU372" s="15"/>
      <c r="FVV372" s="15"/>
      <c r="FVW372" s="15"/>
      <c r="FVX372" s="10"/>
      <c r="FVY372" s="10"/>
      <c r="FVZ372" s="21"/>
      <c r="FWA372" s="21"/>
      <c r="FWD372" s="21"/>
      <c r="FWE372" s="15"/>
      <c r="FWF372" s="15"/>
      <c r="FWG372" s="15"/>
      <c r="FWH372" s="15"/>
      <c r="FWI372" s="15"/>
      <c r="FWJ372" s="15"/>
      <c r="FWK372" s="15"/>
      <c r="FWL372" s="15"/>
      <c r="FWM372" s="15"/>
      <c r="FWN372" s="15"/>
      <c r="FWO372" s="10"/>
      <c r="FWP372" s="10"/>
      <c r="FWQ372" s="21"/>
      <c r="FWR372" s="21"/>
      <c r="FWU372" s="21"/>
      <c r="FWV372" s="15"/>
      <c r="FWW372" s="15"/>
      <c r="FWX372" s="15"/>
      <c r="FWY372" s="15"/>
      <c r="FWZ372" s="15"/>
      <c r="FXA372" s="15"/>
      <c r="FXB372" s="15"/>
      <c r="FXC372" s="15"/>
      <c r="FXD372" s="15"/>
      <c r="FXE372" s="15"/>
      <c r="FXF372" s="10"/>
      <c r="FXG372" s="10"/>
      <c r="FXH372" s="21"/>
      <c r="FXI372" s="21"/>
      <c r="FXL372" s="21"/>
      <c r="FXM372" s="15"/>
      <c r="FXN372" s="15"/>
      <c r="FXO372" s="15"/>
      <c r="FXP372" s="15"/>
      <c r="FXQ372" s="15"/>
      <c r="FXR372" s="15"/>
      <c r="FXS372" s="15"/>
      <c r="FXT372" s="15"/>
      <c r="FXU372" s="15"/>
      <c r="FXV372" s="15"/>
      <c r="FXW372" s="10"/>
      <c r="FXX372" s="10"/>
      <c r="FXY372" s="21"/>
      <c r="FXZ372" s="21"/>
      <c r="FYC372" s="21"/>
      <c r="FYD372" s="15"/>
      <c r="FYE372" s="15"/>
      <c r="FYF372" s="15"/>
      <c r="FYG372" s="15"/>
      <c r="FYH372" s="15"/>
      <c r="FYI372" s="15"/>
      <c r="FYJ372" s="15"/>
      <c r="FYK372" s="15"/>
      <c r="FYL372" s="15"/>
      <c r="FYM372" s="15"/>
      <c r="FYN372" s="10"/>
      <c r="FYO372" s="10"/>
      <c r="FYP372" s="21"/>
      <c r="FYQ372" s="21"/>
      <c r="FYT372" s="21"/>
      <c r="FYU372" s="15"/>
      <c r="FYV372" s="15"/>
      <c r="FYW372" s="15"/>
      <c r="FYX372" s="15"/>
      <c r="FYY372" s="15"/>
      <c r="FYZ372" s="15"/>
      <c r="FZA372" s="15"/>
      <c r="FZB372" s="15"/>
      <c r="FZC372" s="15"/>
      <c r="FZD372" s="15"/>
      <c r="FZE372" s="10"/>
      <c r="FZF372" s="10"/>
      <c r="FZG372" s="21"/>
      <c r="FZH372" s="21"/>
      <c r="FZK372" s="21"/>
      <c r="FZL372" s="15"/>
      <c r="FZM372" s="15"/>
      <c r="FZN372" s="15"/>
      <c r="FZO372" s="15"/>
      <c r="FZP372" s="15"/>
      <c r="FZQ372" s="15"/>
      <c r="FZR372" s="15"/>
      <c r="FZS372" s="15"/>
      <c r="FZT372" s="15"/>
      <c r="FZU372" s="15"/>
      <c r="FZV372" s="10"/>
      <c r="FZW372" s="10"/>
      <c r="FZX372" s="21"/>
      <c r="FZY372" s="21"/>
      <c r="GAB372" s="21"/>
      <c r="GAC372" s="15"/>
      <c r="GAD372" s="15"/>
      <c r="GAE372" s="15"/>
      <c r="GAF372" s="15"/>
      <c r="GAG372" s="15"/>
      <c r="GAH372" s="15"/>
      <c r="GAI372" s="15"/>
      <c r="GAJ372" s="15"/>
      <c r="GAK372" s="15"/>
      <c r="GAL372" s="15"/>
      <c r="GAM372" s="10"/>
      <c r="GAN372" s="10"/>
      <c r="GAO372" s="21"/>
      <c r="GAP372" s="21"/>
      <c r="GAS372" s="21"/>
      <c r="GAT372" s="15"/>
      <c r="GAU372" s="15"/>
      <c r="GAV372" s="15"/>
      <c r="GAW372" s="15"/>
      <c r="GAX372" s="15"/>
      <c r="GAY372" s="15"/>
      <c r="GAZ372" s="15"/>
      <c r="GBA372" s="15"/>
      <c r="GBB372" s="15"/>
      <c r="GBC372" s="15"/>
      <c r="GBD372" s="10"/>
      <c r="GBE372" s="10"/>
      <c r="GBF372" s="21"/>
      <c r="GBG372" s="21"/>
      <c r="GBJ372" s="21"/>
      <c r="GBK372" s="15"/>
      <c r="GBL372" s="15"/>
      <c r="GBM372" s="15"/>
      <c r="GBN372" s="15"/>
      <c r="GBO372" s="15"/>
      <c r="GBP372" s="15"/>
      <c r="GBQ372" s="15"/>
      <c r="GBR372" s="15"/>
      <c r="GBS372" s="15"/>
      <c r="GBT372" s="15"/>
      <c r="GBU372" s="10"/>
      <c r="GBV372" s="10"/>
      <c r="GBW372" s="21"/>
      <c r="GBX372" s="21"/>
      <c r="GCA372" s="21"/>
      <c r="GCB372" s="15"/>
      <c r="GCC372" s="15"/>
      <c r="GCD372" s="15"/>
      <c r="GCE372" s="15"/>
      <c r="GCF372" s="15"/>
      <c r="GCG372" s="15"/>
      <c r="GCH372" s="15"/>
      <c r="GCI372" s="15"/>
      <c r="GCJ372" s="15"/>
      <c r="GCK372" s="15"/>
      <c r="GCL372" s="10"/>
      <c r="GCM372" s="10"/>
      <c r="GCN372" s="21"/>
      <c r="GCO372" s="21"/>
      <c r="GCR372" s="21"/>
      <c r="GCS372" s="15"/>
      <c r="GCT372" s="15"/>
      <c r="GCU372" s="15"/>
      <c r="GCV372" s="15"/>
      <c r="GCW372" s="15"/>
      <c r="GCX372" s="15"/>
      <c r="GCY372" s="15"/>
      <c r="GCZ372" s="15"/>
      <c r="GDA372" s="15"/>
      <c r="GDB372" s="15"/>
      <c r="GDC372" s="10"/>
      <c r="GDD372" s="10"/>
      <c r="GDE372" s="21"/>
      <c r="GDF372" s="21"/>
      <c r="GDI372" s="21"/>
      <c r="GDJ372" s="15"/>
      <c r="GDK372" s="15"/>
      <c r="GDL372" s="15"/>
      <c r="GDM372" s="15"/>
      <c r="GDN372" s="15"/>
      <c r="GDO372" s="15"/>
      <c r="GDP372" s="15"/>
      <c r="GDQ372" s="15"/>
      <c r="GDR372" s="15"/>
      <c r="GDS372" s="15"/>
      <c r="GDT372" s="10"/>
      <c r="GDU372" s="10"/>
      <c r="GDV372" s="21"/>
      <c r="GDW372" s="21"/>
      <c r="GDZ372" s="21"/>
      <c r="GEA372" s="15"/>
      <c r="GEB372" s="15"/>
      <c r="GEC372" s="15"/>
      <c r="GED372" s="15"/>
      <c r="GEE372" s="15"/>
      <c r="GEF372" s="15"/>
      <c r="GEG372" s="15"/>
      <c r="GEH372" s="15"/>
      <c r="GEI372" s="15"/>
      <c r="GEJ372" s="15"/>
      <c r="GEK372" s="10"/>
      <c r="GEL372" s="10"/>
      <c r="GEM372" s="21"/>
      <c r="GEN372" s="21"/>
      <c r="GEQ372" s="21"/>
      <c r="GER372" s="15"/>
      <c r="GES372" s="15"/>
      <c r="GET372" s="15"/>
      <c r="GEU372" s="15"/>
      <c r="GEV372" s="15"/>
      <c r="GEW372" s="15"/>
      <c r="GEX372" s="15"/>
      <c r="GEY372" s="15"/>
      <c r="GEZ372" s="15"/>
      <c r="GFA372" s="15"/>
      <c r="GFB372" s="10"/>
      <c r="GFC372" s="10"/>
      <c r="GFD372" s="21"/>
      <c r="GFE372" s="21"/>
      <c r="GFH372" s="21"/>
      <c r="GFI372" s="15"/>
      <c r="GFJ372" s="15"/>
      <c r="GFK372" s="15"/>
      <c r="GFL372" s="15"/>
      <c r="GFM372" s="15"/>
      <c r="GFN372" s="15"/>
      <c r="GFO372" s="15"/>
      <c r="GFP372" s="15"/>
      <c r="GFQ372" s="15"/>
      <c r="GFR372" s="15"/>
      <c r="GFS372" s="10"/>
      <c r="GFT372" s="10"/>
      <c r="GFU372" s="21"/>
      <c r="GFV372" s="21"/>
      <c r="GFY372" s="21"/>
      <c r="GFZ372" s="15"/>
      <c r="GGA372" s="15"/>
      <c r="GGB372" s="15"/>
      <c r="GGC372" s="15"/>
      <c r="GGD372" s="15"/>
      <c r="GGE372" s="15"/>
      <c r="GGF372" s="15"/>
      <c r="GGG372" s="15"/>
      <c r="GGH372" s="15"/>
      <c r="GGI372" s="15"/>
      <c r="GGJ372" s="10"/>
      <c r="GGK372" s="10"/>
      <c r="GGL372" s="21"/>
      <c r="GGM372" s="21"/>
      <c r="GGP372" s="21"/>
      <c r="GGQ372" s="15"/>
      <c r="GGR372" s="15"/>
      <c r="GGS372" s="15"/>
      <c r="GGT372" s="15"/>
      <c r="GGU372" s="15"/>
      <c r="GGV372" s="15"/>
      <c r="GGW372" s="15"/>
      <c r="GGX372" s="15"/>
      <c r="GGY372" s="15"/>
      <c r="GGZ372" s="15"/>
      <c r="GHA372" s="10"/>
      <c r="GHB372" s="10"/>
      <c r="GHC372" s="21"/>
      <c r="GHD372" s="21"/>
      <c r="GHG372" s="21"/>
      <c r="GHH372" s="15"/>
      <c r="GHI372" s="15"/>
      <c r="GHJ372" s="15"/>
      <c r="GHK372" s="15"/>
      <c r="GHL372" s="15"/>
      <c r="GHM372" s="15"/>
      <c r="GHN372" s="15"/>
      <c r="GHO372" s="15"/>
      <c r="GHP372" s="15"/>
      <c r="GHQ372" s="15"/>
      <c r="GHR372" s="10"/>
      <c r="GHS372" s="10"/>
      <c r="GHT372" s="21"/>
      <c r="GHU372" s="21"/>
      <c r="GHX372" s="21"/>
      <c r="GHY372" s="15"/>
      <c r="GHZ372" s="15"/>
      <c r="GIA372" s="15"/>
      <c r="GIB372" s="15"/>
      <c r="GIC372" s="15"/>
      <c r="GID372" s="15"/>
      <c r="GIE372" s="15"/>
      <c r="GIF372" s="15"/>
      <c r="GIG372" s="15"/>
      <c r="GIH372" s="15"/>
      <c r="GII372" s="10"/>
      <c r="GIJ372" s="10"/>
      <c r="GIK372" s="21"/>
      <c r="GIL372" s="21"/>
      <c r="GIO372" s="21"/>
      <c r="GIP372" s="15"/>
      <c r="GIQ372" s="15"/>
      <c r="GIR372" s="15"/>
      <c r="GIS372" s="15"/>
      <c r="GIT372" s="15"/>
      <c r="GIU372" s="15"/>
      <c r="GIV372" s="15"/>
      <c r="GIW372" s="15"/>
      <c r="GIX372" s="15"/>
      <c r="GIY372" s="15"/>
      <c r="GIZ372" s="10"/>
      <c r="GJA372" s="10"/>
      <c r="GJB372" s="21"/>
      <c r="GJC372" s="21"/>
      <c r="GJF372" s="21"/>
      <c r="GJG372" s="15"/>
      <c r="GJH372" s="15"/>
      <c r="GJI372" s="15"/>
      <c r="GJJ372" s="15"/>
      <c r="GJK372" s="15"/>
      <c r="GJL372" s="15"/>
      <c r="GJM372" s="15"/>
      <c r="GJN372" s="15"/>
      <c r="GJO372" s="15"/>
      <c r="GJP372" s="15"/>
      <c r="GJQ372" s="10"/>
      <c r="GJR372" s="10"/>
      <c r="GJS372" s="21"/>
      <c r="GJT372" s="21"/>
      <c r="GJW372" s="21"/>
      <c r="GJX372" s="15"/>
      <c r="GJY372" s="15"/>
      <c r="GJZ372" s="15"/>
      <c r="GKA372" s="15"/>
      <c r="GKB372" s="15"/>
      <c r="GKC372" s="15"/>
      <c r="GKD372" s="15"/>
      <c r="GKE372" s="15"/>
      <c r="GKF372" s="15"/>
      <c r="GKG372" s="15"/>
      <c r="GKH372" s="10"/>
      <c r="GKI372" s="10"/>
      <c r="GKJ372" s="21"/>
      <c r="GKK372" s="21"/>
      <c r="GKN372" s="21"/>
      <c r="GKO372" s="15"/>
      <c r="GKP372" s="15"/>
      <c r="GKQ372" s="15"/>
      <c r="GKR372" s="15"/>
      <c r="GKS372" s="15"/>
      <c r="GKT372" s="15"/>
      <c r="GKU372" s="15"/>
      <c r="GKV372" s="15"/>
      <c r="GKW372" s="15"/>
      <c r="GKX372" s="15"/>
      <c r="GKY372" s="10"/>
      <c r="GKZ372" s="10"/>
      <c r="GLA372" s="21"/>
      <c r="GLB372" s="21"/>
      <c r="GLE372" s="21"/>
      <c r="GLF372" s="15"/>
      <c r="GLG372" s="15"/>
      <c r="GLH372" s="15"/>
      <c r="GLI372" s="15"/>
      <c r="GLJ372" s="15"/>
      <c r="GLK372" s="15"/>
      <c r="GLL372" s="15"/>
      <c r="GLM372" s="15"/>
      <c r="GLN372" s="15"/>
      <c r="GLO372" s="15"/>
      <c r="GLP372" s="10"/>
      <c r="GLQ372" s="10"/>
      <c r="GLR372" s="21"/>
      <c r="GLS372" s="21"/>
      <c r="GLV372" s="21"/>
      <c r="GLW372" s="15"/>
      <c r="GLX372" s="15"/>
      <c r="GLY372" s="15"/>
      <c r="GLZ372" s="15"/>
      <c r="GMA372" s="15"/>
      <c r="GMB372" s="15"/>
      <c r="GMC372" s="15"/>
      <c r="GMD372" s="15"/>
      <c r="GME372" s="15"/>
      <c r="GMF372" s="15"/>
      <c r="GMG372" s="10"/>
      <c r="GMH372" s="10"/>
      <c r="GMI372" s="21"/>
      <c r="GMJ372" s="21"/>
      <c r="GMM372" s="21"/>
      <c r="GMN372" s="15"/>
      <c r="GMO372" s="15"/>
      <c r="GMP372" s="15"/>
      <c r="GMQ372" s="15"/>
      <c r="GMR372" s="15"/>
      <c r="GMS372" s="15"/>
      <c r="GMT372" s="15"/>
      <c r="GMU372" s="15"/>
      <c r="GMV372" s="15"/>
      <c r="GMW372" s="15"/>
      <c r="GMX372" s="10"/>
      <c r="GMY372" s="10"/>
      <c r="GMZ372" s="21"/>
      <c r="GNA372" s="21"/>
      <c r="GND372" s="21"/>
      <c r="GNE372" s="15"/>
      <c r="GNF372" s="15"/>
      <c r="GNG372" s="15"/>
      <c r="GNH372" s="15"/>
      <c r="GNI372" s="15"/>
      <c r="GNJ372" s="15"/>
      <c r="GNK372" s="15"/>
      <c r="GNL372" s="15"/>
      <c r="GNM372" s="15"/>
      <c r="GNN372" s="15"/>
      <c r="GNO372" s="10"/>
      <c r="GNP372" s="10"/>
      <c r="GNQ372" s="21"/>
      <c r="GNR372" s="21"/>
      <c r="GNU372" s="21"/>
      <c r="GNV372" s="15"/>
      <c r="GNW372" s="15"/>
      <c r="GNX372" s="15"/>
      <c r="GNY372" s="15"/>
      <c r="GNZ372" s="15"/>
      <c r="GOA372" s="15"/>
      <c r="GOB372" s="15"/>
      <c r="GOC372" s="15"/>
      <c r="GOD372" s="15"/>
      <c r="GOE372" s="15"/>
      <c r="GOF372" s="10"/>
      <c r="GOG372" s="10"/>
      <c r="GOH372" s="21"/>
      <c r="GOI372" s="21"/>
      <c r="GOL372" s="21"/>
      <c r="GOM372" s="15"/>
      <c r="GON372" s="15"/>
      <c r="GOO372" s="15"/>
      <c r="GOP372" s="15"/>
      <c r="GOQ372" s="15"/>
      <c r="GOR372" s="15"/>
      <c r="GOS372" s="15"/>
      <c r="GOT372" s="15"/>
      <c r="GOU372" s="15"/>
      <c r="GOV372" s="15"/>
      <c r="GOW372" s="10"/>
      <c r="GOX372" s="10"/>
      <c r="GOY372" s="21"/>
      <c r="GOZ372" s="21"/>
      <c r="GPC372" s="21"/>
      <c r="GPD372" s="15"/>
      <c r="GPE372" s="15"/>
      <c r="GPF372" s="15"/>
      <c r="GPG372" s="15"/>
      <c r="GPH372" s="15"/>
      <c r="GPI372" s="15"/>
      <c r="GPJ372" s="15"/>
      <c r="GPK372" s="15"/>
      <c r="GPL372" s="15"/>
      <c r="GPM372" s="15"/>
      <c r="GPN372" s="10"/>
      <c r="GPO372" s="10"/>
      <c r="GPP372" s="21"/>
      <c r="GPQ372" s="21"/>
      <c r="GPT372" s="21"/>
      <c r="GPU372" s="15"/>
      <c r="GPV372" s="15"/>
      <c r="GPW372" s="15"/>
      <c r="GPX372" s="15"/>
      <c r="GPY372" s="15"/>
      <c r="GPZ372" s="15"/>
      <c r="GQA372" s="15"/>
      <c r="GQB372" s="15"/>
      <c r="GQC372" s="15"/>
      <c r="GQD372" s="15"/>
      <c r="GQE372" s="10"/>
      <c r="GQF372" s="10"/>
      <c r="GQG372" s="21"/>
      <c r="GQH372" s="21"/>
      <c r="GQK372" s="21"/>
      <c r="GQL372" s="15"/>
      <c r="GQM372" s="15"/>
      <c r="GQN372" s="15"/>
      <c r="GQO372" s="15"/>
      <c r="GQP372" s="15"/>
      <c r="GQQ372" s="15"/>
      <c r="GQR372" s="15"/>
      <c r="GQS372" s="15"/>
      <c r="GQT372" s="15"/>
      <c r="GQU372" s="15"/>
      <c r="GQV372" s="10"/>
      <c r="GQW372" s="10"/>
      <c r="GQX372" s="21"/>
      <c r="GQY372" s="21"/>
      <c r="GRB372" s="21"/>
      <c r="GRC372" s="15"/>
      <c r="GRD372" s="15"/>
      <c r="GRE372" s="15"/>
      <c r="GRF372" s="15"/>
      <c r="GRG372" s="15"/>
      <c r="GRH372" s="15"/>
      <c r="GRI372" s="15"/>
      <c r="GRJ372" s="15"/>
      <c r="GRK372" s="15"/>
      <c r="GRL372" s="15"/>
      <c r="GRM372" s="10"/>
      <c r="GRN372" s="10"/>
      <c r="GRO372" s="21"/>
      <c r="GRP372" s="21"/>
      <c r="GRS372" s="21"/>
      <c r="GRT372" s="15"/>
      <c r="GRU372" s="15"/>
      <c r="GRV372" s="15"/>
      <c r="GRW372" s="15"/>
      <c r="GRX372" s="15"/>
      <c r="GRY372" s="15"/>
      <c r="GRZ372" s="15"/>
      <c r="GSA372" s="15"/>
      <c r="GSB372" s="15"/>
      <c r="GSC372" s="15"/>
      <c r="GSD372" s="10"/>
      <c r="GSE372" s="10"/>
      <c r="GSF372" s="21"/>
      <c r="GSG372" s="21"/>
      <c r="GSJ372" s="21"/>
      <c r="GSK372" s="15"/>
      <c r="GSL372" s="15"/>
      <c r="GSM372" s="15"/>
      <c r="GSN372" s="15"/>
      <c r="GSO372" s="15"/>
      <c r="GSP372" s="15"/>
      <c r="GSQ372" s="15"/>
      <c r="GSR372" s="15"/>
      <c r="GSS372" s="15"/>
      <c r="GST372" s="15"/>
      <c r="GSU372" s="10"/>
      <c r="GSV372" s="10"/>
      <c r="GSW372" s="21"/>
      <c r="GSX372" s="21"/>
      <c r="GTA372" s="21"/>
      <c r="GTB372" s="15"/>
      <c r="GTC372" s="15"/>
      <c r="GTD372" s="15"/>
      <c r="GTE372" s="15"/>
      <c r="GTF372" s="15"/>
      <c r="GTG372" s="15"/>
      <c r="GTH372" s="15"/>
      <c r="GTI372" s="15"/>
      <c r="GTJ372" s="15"/>
      <c r="GTK372" s="15"/>
      <c r="GTL372" s="10"/>
      <c r="GTM372" s="10"/>
      <c r="GTN372" s="21"/>
      <c r="GTO372" s="21"/>
      <c r="GTR372" s="21"/>
      <c r="GTS372" s="15"/>
      <c r="GTT372" s="15"/>
      <c r="GTU372" s="15"/>
      <c r="GTV372" s="15"/>
      <c r="GTW372" s="15"/>
      <c r="GTX372" s="15"/>
      <c r="GTY372" s="15"/>
      <c r="GTZ372" s="15"/>
      <c r="GUA372" s="15"/>
      <c r="GUB372" s="15"/>
      <c r="GUC372" s="10"/>
      <c r="GUD372" s="10"/>
      <c r="GUE372" s="21"/>
      <c r="GUF372" s="21"/>
      <c r="GUI372" s="21"/>
      <c r="GUJ372" s="15"/>
      <c r="GUK372" s="15"/>
      <c r="GUL372" s="15"/>
      <c r="GUM372" s="15"/>
      <c r="GUN372" s="15"/>
      <c r="GUO372" s="15"/>
      <c r="GUP372" s="15"/>
      <c r="GUQ372" s="15"/>
      <c r="GUR372" s="15"/>
      <c r="GUS372" s="15"/>
      <c r="GUT372" s="10"/>
      <c r="GUU372" s="10"/>
      <c r="GUV372" s="21"/>
      <c r="GUW372" s="21"/>
      <c r="GUZ372" s="21"/>
      <c r="GVA372" s="15"/>
      <c r="GVB372" s="15"/>
      <c r="GVC372" s="15"/>
      <c r="GVD372" s="15"/>
      <c r="GVE372" s="15"/>
      <c r="GVF372" s="15"/>
      <c r="GVG372" s="15"/>
      <c r="GVH372" s="15"/>
      <c r="GVI372" s="15"/>
      <c r="GVJ372" s="15"/>
      <c r="GVK372" s="10"/>
      <c r="GVL372" s="10"/>
      <c r="GVM372" s="21"/>
      <c r="GVN372" s="21"/>
      <c r="GVQ372" s="21"/>
      <c r="GVR372" s="15"/>
      <c r="GVS372" s="15"/>
      <c r="GVT372" s="15"/>
      <c r="GVU372" s="15"/>
      <c r="GVV372" s="15"/>
      <c r="GVW372" s="15"/>
      <c r="GVX372" s="15"/>
      <c r="GVY372" s="15"/>
      <c r="GVZ372" s="15"/>
      <c r="GWA372" s="15"/>
      <c r="GWB372" s="10"/>
      <c r="GWC372" s="10"/>
      <c r="GWD372" s="21"/>
      <c r="GWE372" s="21"/>
      <c r="GWH372" s="21"/>
      <c r="GWI372" s="15"/>
      <c r="GWJ372" s="15"/>
      <c r="GWK372" s="15"/>
      <c r="GWL372" s="15"/>
      <c r="GWM372" s="15"/>
      <c r="GWN372" s="15"/>
      <c r="GWO372" s="15"/>
      <c r="GWP372" s="15"/>
      <c r="GWQ372" s="15"/>
      <c r="GWR372" s="15"/>
      <c r="GWS372" s="10"/>
      <c r="GWT372" s="10"/>
      <c r="GWU372" s="21"/>
      <c r="GWV372" s="21"/>
      <c r="GWY372" s="21"/>
      <c r="GWZ372" s="15"/>
      <c r="GXA372" s="15"/>
      <c r="GXB372" s="15"/>
      <c r="GXC372" s="15"/>
      <c r="GXD372" s="15"/>
      <c r="GXE372" s="15"/>
      <c r="GXF372" s="15"/>
      <c r="GXG372" s="15"/>
      <c r="GXH372" s="15"/>
      <c r="GXI372" s="15"/>
      <c r="GXJ372" s="10"/>
      <c r="GXK372" s="10"/>
      <c r="GXL372" s="21"/>
      <c r="GXM372" s="21"/>
      <c r="GXP372" s="21"/>
      <c r="GXQ372" s="15"/>
      <c r="GXR372" s="15"/>
      <c r="GXS372" s="15"/>
      <c r="GXT372" s="15"/>
      <c r="GXU372" s="15"/>
      <c r="GXV372" s="15"/>
      <c r="GXW372" s="15"/>
      <c r="GXX372" s="15"/>
      <c r="GXY372" s="15"/>
      <c r="GXZ372" s="15"/>
      <c r="GYA372" s="10"/>
      <c r="GYB372" s="10"/>
      <c r="GYC372" s="21"/>
      <c r="GYD372" s="21"/>
      <c r="GYG372" s="21"/>
      <c r="GYH372" s="15"/>
      <c r="GYI372" s="15"/>
      <c r="GYJ372" s="15"/>
      <c r="GYK372" s="15"/>
      <c r="GYL372" s="15"/>
      <c r="GYM372" s="15"/>
      <c r="GYN372" s="15"/>
      <c r="GYO372" s="15"/>
      <c r="GYP372" s="15"/>
      <c r="GYQ372" s="15"/>
      <c r="GYR372" s="10"/>
      <c r="GYS372" s="10"/>
      <c r="GYT372" s="21"/>
      <c r="GYU372" s="21"/>
      <c r="GYX372" s="21"/>
      <c r="GYY372" s="15"/>
      <c r="GYZ372" s="15"/>
      <c r="GZA372" s="15"/>
      <c r="GZB372" s="15"/>
      <c r="GZC372" s="15"/>
      <c r="GZD372" s="15"/>
      <c r="GZE372" s="15"/>
      <c r="GZF372" s="15"/>
      <c r="GZG372" s="15"/>
      <c r="GZH372" s="15"/>
      <c r="GZI372" s="10"/>
      <c r="GZJ372" s="10"/>
      <c r="GZK372" s="21"/>
      <c r="GZL372" s="21"/>
      <c r="GZO372" s="21"/>
      <c r="GZP372" s="15"/>
      <c r="GZQ372" s="15"/>
      <c r="GZR372" s="15"/>
      <c r="GZS372" s="15"/>
      <c r="GZT372" s="15"/>
      <c r="GZU372" s="15"/>
      <c r="GZV372" s="15"/>
      <c r="GZW372" s="15"/>
      <c r="GZX372" s="15"/>
      <c r="GZY372" s="15"/>
      <c r="GZZ372" s="10"/>
      <c r="HAA372" s="10"/>
      <c r="HAB372" s="21"/>
      <c r="HAC372" s="21"/>
      <c r="HAF372" s="21"/>
      <c r="HAG372" s="15"/>
      <c r="HAH372" s="15"/>
      <c r="HAI372" s="15"/>
      <c r="HAJ372" s="15"/>
      <c r="HAK372" s="15"/>
      <c r="HAL372" s="15"/>
      <c r="HAM372" s="15"/>
      <c r="HAN372" s="15"/>
      <c r="HAO372" s="15"/>
      <c r="HAP372" s="15"/>
      <c r="HAQ372" s="10"/>
      <c r="HAR372" s="10"/>
      <c r="HAS372" s="21"/>
      <c r="HAT372" s="21"/>
      <c r="HAW372" s="21"/>
      <c r="HAX372" s="15"/>
      <c r="HAY372" s="15"/>
      <c r="HAZ372" s="15"/>
      <c r="HBA372" s="15"/>
      <c r="HBB372" s="15"/>
      <c r="HBC372" s="15"/>
      <c r="HBD372" s="15"/>
      <c r="HBE372" s="15"/>
      <c r="HBF372" s="15"/>
      <c r="HBG372" s="15"/>
      <c r="HBH372" s="10"/>
      <c r="HBI372" s="10"/>
      <c r="HBJ372" s="21"/>
      <c r="HBK372" s="21"/>
      <c r="HBN372" s="21"/>
      <c r="HBO372" s="15"/>
      <c r="HBP372" s="15"/>
      <c r="HBQ372" s="15"/>
      <c r="HBR372" s="15"/>
      <c r="HBS372" s="15"/>
      <c r="HBT372" s="15"/>
      <c r="HBU372" s="15"/>
      <c r="HBV372" s="15"/>
      <c r="HBW372" s="15"/>
      <c r="HBX372" s="15"/>
      <c r="HBY372" s="10"/>
      <c r="HBZ372" s="10"/>
      <c r="HCA372" s="21"/>
      <c r="HCB372" s="21"/>
      <c r="HCE372" s="21"/>
      <c r="HCF372" s="15"/>
      <c r="HCG372" s="15"/>
      <c r="HCH372" s="15"/>
      <c r="HCI372" s="15"/>
      <c r="HCJ372" s="15"/>
      <c r="HCK372" s="15"/>
      <c r="HCL372" s="15"/>
      <c r="HCM372" s="15"/>
      <c r="HCN372" s="15"/>
      <c r="HCO372" s="15"/>
      <c r="HCP372" s="10"/>
      <c r="HCQ372" s="10"/>
      <c r="HCR372" s="21"/>
      <c r="HCS372" s="21"/>
      <c r="HCV372" s="21"/>
      <c r="HCW372" s="15"/>
      <c r="HCX372" s="15"/>
      <c r="HCY372" s="15"/>
      <c r="HCZ372" s="15"/>
      <c r="HDA372" s="15"/>
      <c r="HDB372" s="15"/>
      <c r="HDC372" s="15"/>
      <c r="HDD372" s="15"/>
      <c r="HDE372" s="15"/>
      <c r="HDF372" s="15"/>
      <c r="HDG372" s="10"/>
      <c r="HDH372" s="10"/>
      <c r="HDI372" s="21"/>
      <c r="HDJ372" s="21"/>
      <c r="HDM372" s="21"/>
      <c r="HDN372" s="15"/>
      <c r="HDO372" s="15"/>
      <c r="HDP372" s="15"/>
      <c r="HDQ372" s="15"/>
      <c r="HDR372" s="15"/>
      <c r="HDS372" s="15"/>
      <c r="HDT372" s="15"/>
      <c r="HDU372" s="15"/>
      <c r="HDV372" s="15"/>
      <c r="HDW372" s="15"/>
      <c r="HDX372" s="10"/>
      <c r="HDY372" s="10"/>
      <c r="HDZ372" s="21"/>
      <c r="HEA372" s="21"/>
      <c r="HED372" s="21"/>
      <c r="HEE372" s="15"/>
      <c r="HEF372" s="15"/>
      <c r="HEG372" s="15"/>
      <c r="HEH372" s="15"/>
      <c r="HEI372" s="15"/>
      <c r="HEJ372" s="15"/>
      <c r="HEK372" s="15"/>
      <c r="HEL372" s="15"/>
      <c r="HEM372" s="15"/>
      <c r="HEN372" s="15"/>
      <c r="HEO372" s="10"/>
      <c r="HEP372" s="10"/>
      <c r="HEQ372" s="21"/>
      <c r="HER372" s="21"/>
      <c r="HEU372" s="21"/>
      <c r="HEV372" s="15"/>
      <c r="HEW372" s="15"/>
      <c r="HEX372" s="15"/>
      <c r="HEY372" s="15"/>
      <c r="HEZ372" s="15"/>
      <c r="HFA372" s="15"/>
      <c r="HFB372" s="15"/>
      <c r="HFC372" s="15"/>
      <c r="HFD372" s="15"/>
      <c r="HFE372" s="15"/>
      <c r="HFF372" s="10"/>
      <c r="HFG372" s="10"/>
      <c r="HFH372" s="21"/>
      <c r="HFI372" s="21"/>
      <c r="HFL372" s="21"/>
      <c r="HFM372" s="15"/>
      <c r="HFN372" s="15"/>
      <c r="HFO372" s="15"/>
      <c r="HFP372" s="15"/>
      <c r="HFQ372" s="15"/>
      <c r="HFR372" s="15"/>
      <c r="HFS372" s="15"/>
      <c r="HFT372" s="15"/>
      <c r="HFU372" s="15"/>
      <c r="HFV372" s="15"/>
      <c r="HFW372" s="10"/>
      <c r="HFX372" s="10"/>
      <c r="HFY372" s="21"/>
      <c r="HFZ372" s="21"/>
      <c r="HGC372" s="21"/>
      <c r="HGD372" s="15"/>
      <c r="HGE372" s="15"/>
      <c r="HGF372" s="15"/>
      <c r="HGG372" s="15"/>
      <c r="HGH372" s="15"/>
      <c r="HGI372" s="15"/>
      <c r="HGJ372" s="15"/>
      <c r="HGK372" s="15"/>
      <c r="HGL372" s="15"/>
      <c r="HGM372" s="15"/>
      <c r="HGN372" s="10"/>
      <c r="HGO372" s="10"/>
      <c r="HGP372" s="21"/>
      <c r="HGQ372" s="21"/>
      <c r="HGT372" s="21"/>
      <c r="HGU372" s="15"/>
      <c r="HGV372" s="15"/>
      <c r="HGW372" s="15"/>
      <c r="HGX372" s="15"/>
      <c r="HGY372" s="15"/>
      <c r="HGZ372" s="15"/>
      <c r="HHA372" s="15"/>
      <c r="HHB372" s="15"/>
      <c r="HHC372" s="15"/>
      <c r="HHD372" s="15"/>
      <c r="HHE372" s="10"/>
      <c r="HHF372" s="10"/>
      <c r="HHG372" s="21"/>
      <c r="HHH372" s="21"/>
      <c r="HHK372" s="21"/>
      <c r="HHL372" s="15"/>
      <c r="HHM372" s="15"/>
      <c r="HHN372" s="15"/>
      <c r="HHO372" s="15"/>
      <c r="HHP372" s="15"/>
      <c r="HHQ372" s="15"/>
      <c r="HHR372" s="15"/>
      <c r="HHS372" s="15"/>
      <c r="HHT372" s="15"/>
      <c r="HHU372" s="15"/>
      <c r="HHV372" s="10"/>
      <c r="HHW372" s="10"/>
      <c r="HHX372" s="21"/>
      <c r="HHY372" s="21"/>
      <c r="HIB372" s="21"/>
      <c r="HIC372" s="15"/>
      <c r="HID372" s="15"/>
      <c r="HIE372" s="15"/>
      <c r="HIF372" s="15"/>
      <c r="HIG372" s="15"/>
      <c r="HIH372" s="15"/>
      <c r="HII372" s="15"/>
      <c r="HIJ372" s="15"/>
      <c r="HIK372" s="15"/>
      <c r="HIL372" s="15"/>
      <c r="HIM372" s="10"/>
      <c r="HIN372" s="10"/>
      <c r="HIO372" s="21"/>
      <c r="HIP372" s="21"/>
      <c r="HIS372" s="21"/>
      <c r="HIT372" s="15"/>
      <c r="HIU372" s="15"/>
      <c r="HIV372" s="15"/>
      <c r="HIW372" s="15"/>
      <c r="HIX372" s="15"/>
      <c r="HIY372" s="15"/>
      <c r="HIZ372" s="15"/>
      <c r="HJA372" s="15"/>
      <c r="HJB372" s="15"/>
      <c r="HJC372" s="15"/>
      <c r="HJD372" s="10"/>
      <c r="HJE372" s="10"/>
      <c r="HJF372" s="21"/>
      <c r="HJG372" s="21"/>
      <c r="HJJ372" s="21"/>
      <c r="HJK372" s="15"/>
      <c r="HJL372" s="15"/>
      <c r="HJM372" s="15"/>
      <c r="HJN372" s="15"/>
      <c r="HJO372" s="15"/>
      <c r="HJP372" s="15"/>
      <c r="HJQ372" s="15"/>
      <c r="HJR372" s="15"/>
      <c r="HJS372" s="15"/>
      <c r="HJT372" s="15"/>
      <c r="HJU372" s="10"/>
      <c r="HJV372" s="10"/>
      <c r="HJW372" s="21"/>
      <c r="HJX372" s="21"/>
      <c r="HKA372" s="21"/>
      <c r="HKB372" s="15"/>
      <c r="HKC372" s="15"/>
      <c r="HKD372" s="15"/>
      <c r="HKE372" s="15"/>
      <c r="HKF372" s="15"/>
      <c r="HKG372" s="15"/>
      <c r="HKH372" s="15"/>
      <c r="HKI372" s="15"/>
      <c r="HKJ372" s="15"/>
      <c r="HKK372" s="15"/>
      <c r="HKL372" s="10"/>
      <c r="HKM372" s="10"/>
      <c r="HKN372" s="21"/>
      <c r="HKO372" s="21"/>
      <c r="HKR372" s="21"/>
      <c r="HKS372" s="15"/>
      <c r="HKT372" s="15"/>
      <c r="HKU372" s="15"/>
      <c r="HKV372" s="15"/>
      <c r="HKW372" s="15"/>
      <c r="HKX372" s="15"/>
      <c r="HKY372" s="15"/>
      <c r="HKZ372" s="15"/>
      <c r="HLA372" s="15"/>
      <c r="HLB372" s="15"/>
      <c r="HLC372" s="10"/>
      <c r="HLD372" s="10"/>
      <c r="HLE372" s="21"/>
      <c r="HLF372" s="21"/>
      <c r="HLI372" s="21"/>
      <c r="HLJ372" s="15"/>
      <c r="HLK372" s="15"/>
      <c r="HLL372" s="15"/>
      <c r="HLM372" s="15"/>
      <c r="HLN372" s="15"/>
      <c r="HLO372" s="15"/>
      <c r="HLP372" s="15"/>
      <c r="HLQ372" s="15"/>
      <c r="HLR372" s="15"/>
      <c r="HLS372" s="15"/>
      <c r="HLT372" s="10"/>
      <c r="HLU372" s="10"/>
      <c r="HLV372" s="21"/>
      <c r="HLW372" s="21"/>
      <c r="HLZ372" s="21"/>
      <c r="HMA372" s="15"/>
      <c r="HMB372" s="15"/>
      <c r="HMC372" s="15"/>
      <c r="HMD372" s="15"/>
      <c r="HME372" s="15"/>
      <c r="HMF372" s="15"/>
      <c r="HMG372" s="15"/>
      <c r="HMH372" s="15"/>
      <c r="HMI372" s="15"/>
      <c r="HMJ372" s="15"/>
      <c r="HMK372" s="10"/>
      <c r="HML372" s="10"/>
      <c r="HMM372" s="21"/>
      <c r="HMN372" s="21"/>
      <c r="HMQ372" s="21"/>
      <c r="HMR372" s="15"/>
      <c r="HMS372" s="15"/>
      <c r="HMT372" s="15"/>
      <c r="HMU372" s="15"/>
      <c r="HMV372" s="15"/>
      <c r="HMW372" s="15"/>
      <c r="HMX372" s="15"/>
      <c r="HMY372" s="15"/>
      <c r="HMZ372" s="15"/>
      <c r="HNA372" s="15"/>
      <c r="HNB372" s="10"/>
      <c r="HNC372" s="10"/>
      <c r="HND372" s="21"/>
      <c r="HNE372" s="21"/>
      <c r="HNH372" s="21"/>
      <c r="HNI372" s="15"/>
      <c r="HNJ372" s="15"/>
      <c r="HNK372" s="15"/>
      <c r="HNL372" s="15"/>
      <c r="HNM372" s="15"/>
      <c r="HNN372" s="15"/>
      <c r="HNO372" s="15"/>
      <c r="HNP372" s="15"/>
      <c r="HNQ372" s="15"/>
      <c r="HNR372" s="15"/>
      <c r="HNS372" s="10"/>
      <c r="HNT372" s="10"/>
      <c r="HNU372" s="21"/>
      <c r="HNV372" s="21"/>
      <c r="HNY372" s="21"/>
      <c r="HNZ372" s="15"/>
      <c r="HOA372" s="15"/>
      <c r="HOB372" s="15"/>
      <c r="HOC372" s="15"/>
      <c r="HOD372" s="15"/>
      <c r="HOE372" s="15"/>
      <c r="HOF372" s="15"/>
      <c r="HOG372" s="15"/>
      <c r="HOH372" s="15"/>
      <c r="HOI372" s="15"/>
      <c r="HOJ372" s="10"/>
      <c r="HOK372" s="10"/>
      <c r="HOL372" s="21"/>
      <c r="HOM372" s="21"/>
      <c r="HOP372" s="21"/>
      <c r="HOQ372" s="15"/>
      <c r="HOR372" s="15"/>
      <c r="HOS372" s="15"/>
      <c r="HOT372" s="15"/>
      <c r="HOU372" s="15"/>
      <c r="HOV372" s="15"/>
      <c r="HOW372" s="15"/>
      <c r="HOX372" s="15"/>
      <c r="HOY372" s="15"/>
      <c r="HOZ372" s="15"/>
      <c r="HPA372" s="10"/>
      <c r="HPB372" s="10"/>
      <c r="HPC372" s="21"/>
      <c r="HPD372" s="21"/>
      <c r="HPG372" s="21"/>
      <c r="HPH372" s="15"/>
      <c r="HPI372" s="15"/>
      <c r="HPJ372" s="15"/>
      <c r="HPK372" s="15"/>
      <c r="HPL372" s="15"/>
      <c r="HPM372" s="15"/>
      <c r="HPN372" s="15"/>
      <c r="HPO372" s="15"/>
      <c r="HPP372" s="15"/>
      <c r="HPQ372" s="15"/>
      <c r="HPR372" s="10"/>
      <c r="HPS372" s="10"/>
      <c r="HPT372" s="21"/>
      <c r="HPU372" s="21"/>
      <c r="HPX372" s="21"/>
      <c r="HPY372" s="15"/>
      <c r="HPZ372" s="15"/>
      <c r="HQA372" s="15"/>
      <c r="HQB372" s="15"/>
      <c r="HQC372" s="15"/>
      <c r="HQD372" s="15"/>
      <c r="HQE372" s="15"/>
      <c r="HQF372" s="15"/>
      <c r="HQG372" s="15"/>
      <c r="HQH372" s="15"/>
      <c r="HQI372" s="10"/>
      <c r="HQJ372" s="10"/>
      <c r="HQK372" s="21"/>
      <c r="HQL372" s="21"/>
      <c r="HQO372" s="21"/>
      <c r="HQP372" s="15"/>
      <c r="HQQ372" s="15"/>
      <c r="HQR372" s="15"/>
      <c r="HQS372" s="15"/>
      <c r="HQT372" s="15"/>
      <c r="HQU372" s="15"/>
      <c r="HQV372" s="15"/>
      <c r="HQW372" s="15"/>
      <c r="HQX372" s="15"/>
      <c r="HQY372" s="15"/>
      <c r="HQZ372" s="10"/>
      <c r="HRA372" s="10"/>
      <c r="HRB372" s="21"/>
      <c r="HRC372" s="21"/>
      <c r="HRF372" s="21"/>
      <c r="HRG372" s="15"/>
      <c r="HRH372" s="15"/>
      <c r="HRI372" s="15"/>
      <c r="HRJ372" s="15"/>
      <c r="HRK372" s="15"/>
      <c r="HRL372" s="15"/>
      <c r="HRM372" s="15"/>
      <c r="HRN372" s="15"/>
      <c r="HRO372" s="15"/>
      <c r="HRP372" s="15"/>
      <c r="HRQ372" s="10"/>
      <c r="HRR372" s="10"/>
      <c r="HRS372" s="21"/>
      <c r="HRT372" s="21"/>
      <c r="HRW372" s="21"/>
      <c r="HRX372" s="15"/>
      <c r="HRY372" s="15"/>
      <c r="HRZ372" s="15"/>
      <c r="HSA372" s="15"/>
      <c r="HSB372" s="15"/>
      <c r="HSC372" s="15"/>
      <c r="HSD372" s="15"/>
      <c r="HSE372" s="15"/>
      <c r="HSF372" s="15"/>
      <c r="HSG372" s="15"/>
      <c r="HSH372" s="10"/>
      <c r="HSI372" s="10"/>
      <c r="HSJ372" s="21"/>
      <c r="HSK372" s="21"/>
      <c r="HSN372" s="21"/>
      <c r="HSO372" s="15"/>
      <c r="HSP372" s="15"/>
      <c r="HSQ372" s="15"/>
      <c r="HSR372" s="15"/>
      <c r="HSS372" s="15"/>
      <c r="HST372" s="15"/>
      <c r="HSU372" s="15"/>
      <c r="HSV372" s="15"/>
      <c r="HSW372" s="15"/>
      <c r="HSX372" s="15"/>
      <c r="HSY372" s="10"/>
      <c r="HSZ372" s="10"/>
      <c r="HTA372" s="21"/>
      <c r="HTB372" s="21"/>
      <c r="HTE372" s="21"/>
      <c r="HTF372" s="15"/>
      <c r="HTG372" s="15"/>
      <c r="HTH372" s="15"/>
      <c r="HTI372" s="15"/>
      <c r="HTJ372" s="15"/>
      <c r="HTK372" s="15"/>
      <c r="HTL372" s="15"/>
      <c r="HTM372" s="15"/>
      <c r="HTN372" s="15"/>
      <c r="HTO372" s="15"/>
      <c r="HTP372" s="10"/>
      <c r="HTQ372" s="10"/>
      <c r="HTR372" s="21"/>
      <c r="HTS372" s="21"/>
      <c r="HTV372" s="21"/>
      <c r="HTW372" s="15"/>
      <c r="HTX372" s="15"/>
      <c r="HTY372" s="15"/>
      <c r="HTZ372" s="15"/>
      <c r="HUA372" s="15"/>
      <c r="HUB372" s="15"/>
      <c r="HUC372" s="15"/>
      <c r="HUD372" s="15"/>
      <c r="HUE372" s="15"/>
      <c r="HUF372" s="15"/>
      <c r="HUG372" s="10"/>
      <c r="HUH372" s="10"/>
      <c r="HUI372" s="21"/>
      <c r="HUJ372" s="21"/>
      <c r="HUM372" s="21"/>
      <c r="HUN372" s="15"/>
      <c r="HUO372" s="15"/>
      <c r="HUP372" s="15"/>
      <c r="HUQ372" s="15"/>
      <c r="HUR372" s="15"/>
      <c r="HUS372" s="15"/>
      <c r="HUT372" s="15"/>
      <c r="HUU372" s="15"/>
      <c r="HUV372" s="15"/>
      <c r="HUW372" s="15"/>
      <c r="HUX372" s="10"/>
      <c r="HUY372" s="10"/>
      <c r="HUZ372" s="21"/>
      <c r="HVA372" s="21"/>
      <c r="HVD372" s="21"/>
      <c r="HVE372" s="15"/>
      <c r="HVF372" s="15"/>
      <c r="HVG372" s="15"/>
      <c r="HVH372" s="15"/>
      <c r="HVI372" s="15"/>
      <c r="HVJ372" s="15"/>
      <c r="HVK372" s="15"/>
      <c r="HVL372" s="15"/>
      <c r="HVM372" s="15"/>
      <c r="HVN372" s="15"/>
      <c r="HVO372" s="10"/>
      <c r="HVP372" s="10"/>
      <c r="HVQ372" s="21"/>
      <c r="HVR372" s="21"/>
      <c r="HVU372" s="21"/>
      <c r="HVV372" s="15"/>
      <c r="HVW372" s="15"/>
      <c r="HVX372" s="15"/>
      <c r="HVY372" s="15"/>
      <c r="HVZ372" s="15"/>
      <c r="HWA372" s="15"/>
      <c r="HWB372" s="15"/>
      <c r="HWC372" s="15"/>
      <c r="HWD372" s="15"/>
      <c r="HWE372" s="15"/>
      <c r="HWF372" s="10"/>
      <c r="HWG372" s="10"/>
      <c r="HWH372" s="21"/>
      <c r="HWI372" s="21"/>
      <c r="HWL372" s="21"/>
      <c r="HWM372" s="15"/>
      <c r="HWN372" s="15"/>
      <c r="HWO372" s="15"/>
      <c r="HWP372" s="15"/>
      <c r="HWQ372" s="15"/>
      <c r="HWR372" s="15"/>
      <c r="HWS372" s="15"/>
      <c r="HWT372" s="15"/>
      <c r="HWU372" s="15"/>
      <c r="HWV372" s="15"/>
      <c r="HWW372" s="10"/>
      <c r="HWX372" s="10"/>
      <c r="HWY372" s="21"/>
      <c r="HWZ372" s="21"/>
      <c r="HXC372" s="21"/>
      <c r="HXD372" s="15"/>
      <c r="HXE372" s="15"/>
      <c r="HXF372" s="15"/>
      <c r="HXG372" s="15"/>
      <c r="HXH372" s="15"/>
      <c r="HXI372" s="15"/>
      <c r="HXJ372" s="15"/>
      <c r="HXK372" s="15"/>
      <c r="HXL372" s="15"/>
      <c r="HXM372" s="15"/>
      <c r="HXN372" s="10"/>
      <c r="HXO372" s="10"/>
      <c r="HXP372" s="21"/>
      <c r="HXQ372" s="21"/>
      <c r="HXT372" s="21"/>
      <c r="HXU372" s="15"/>
      <c r="HXV372" s="15"/>
      <c r="HXW372" s="15"/>
      <c r="HXX372" s="15"/>
      <c r="HXY372" s="15"/>
      <c r="HXZ372" s="15"/>
      <c r="HYA372" s="15"/>
      <c r="HYB372" s="15"/>
      <c r="HYC372" s="15"/>
      <c r="HYD372" s="15"/>
      <c r="HYE372" s="10"/>
      <c r="HYF372" s="10"/>
      <c r="HYG372" s="21"/>
      <c r="HYH372" s="21"/>
      <c r="HYK372" s="21"/>
      <c r="HYL372" s="15"/>
      <c r="HYM372" s="15"/>
      <c r="HYN372" s="15"/>
      <c r="HYO372" s="15"/>
      <c r="HYP372" s="15"/>
      <c r="HYQ372" s="15"/>
      <c r="HYR372" s="15"/>
      <c r="HYS372" s="15"/>
      <c r="HYT372" s="15"/>
      <c r="HYU372" s="15"/>
      <c r="HYV372" s="10"/>
      <c r="HYW372" s="10"/>
      <c r="HYX372" s="21"/>
      <c r="HYY372" s="21"/>
      <c r="HZB372" s="21"/>
      <c r="HZC372" s="15"/>
      <c r="HZD372" s="15"/>
      <c r="HZE372" s="15"/>
      <c r="HZF372" s="15"/>
      <c r="HZG372" s="15"/>
      <c r="HZH372" s="15"/>
      <c r="HZI372" s="15"/>
      <c r="HZJ372" s="15"/>
      <c r="HZK372" s="15"/>
      <c r="HZL372" s="15"/>
      <c r="HZM372" s="10"/>
      <c r="HZN372" s="10"/>
      <c r="HZO372" s="21"/>
      <c r="HZP372" s="21"/>
      <c r="HZS372" s="21"/>
      <c r="HZT372" s="15"/>
      <c r="HZU372" s="15"/>
      <c r="HZV372" s="15"/>
      <c r="HZW372" s="15"/>
      <c r="HZX372" s="15"/>
      <c r="HZY372" s="15"/>
      <c r="HZZ372" s="15"/>
      <c r="IAA372" s="15"/>
      <c r="IAB372" s="15"/>
      <c r="IAC372" s="15"/>
      <c r="IAD372" s="10"/>
      <c r="IAE372" s="10"/>
      <c r="IAF372" s="21"/>
      <c r="IAG372" s="21"/>
      <c r="IAJ372" s="21"/>
      <c r="IAK372" s="15"/>
      <c r="IAL372" s="15"/>
      <c r="IAM372" s="15"/>
      <c r="IAN372" s="15"/>
      <c r="IAO372" s="15"/>
      <c r="IAP372" s="15"/>
      <c r="IAQ372" s="15"/>
      <c r="IAR372" s="15"/>
      <c r="IAS372" s="15"/>
      <c r="IAT372" s="15"/>
      <c r="IAU372" s="10"/>
      <c r="IAV372" s="10"/>
      <c r="IAW372" s="21"/>
      <c r="IAX372" s="21"/>
      <c r="IBA372" s="21"/>
      <c r="IBB372" s="15"/>
      <c r="IBC372" s="15"/>
      <c r="IBD372" s="15"/>
      <c r="IBE372" s="15"/>
      <c r="IBF372" s="15"/>
      <c r="IBG372" s="15"/>
      <c r="IBH372" s="15"/>
      <c r="IBI372" s="15"/>
      <c r="IBJ372" s="15"/>
      <c r="IBK372" s="15"/>
      <c r="IBL372" s="10"/>
      <c r="IBM372" s="10"/>
      <c r="IBN372" s="21"/>
      <c r="IBO372" s="21"/>
      <c r="IBR372" s="21"/>
      <c r="IBS372" s="15"/>
      <c r="IBT372" s="15"/>
      <c r="IBU372" s="15"/>
      <c r="IBV372" s="15"/>
      <c r="IBW372" s="15"/>
      <c r="IBX372" s="15"/>
      <c r="IBY372" s="15"/>
      <c r="IBZ372" s="15"/>
      <c r="ICA372" s="15"/>
      <c r="ICB372" s="15"/>
      <c r="ICC372" s="10"/>
      <c r="ICD372" s="10"/>
      <c r="ICE372" s="21"/>
      <c r="ICF372" s="21"/>
      <c r="ICI372" s="21"/>
      <c r="ICJ372" s="15"/>
      <c r="ICK372" s="15"/>
      <c r="ICL372" s="15"/>
      <c r="ICM372" s="15"/>
      <c r="ICN372" s="15"/>
      <c r="ICO372" s="15"/>
      <c r="ICP372" s="15"/>
      <c r="ICQ372" s="15"/>
      <c r="ICR372" s="15"/>
      <c r="ICS372" s="15"/>
      <c r="ICT372" s="10"/>
      <c r="ICU372" s="10"/>
      <c r="ICV372" s="21"/>
      <c r="ICW372" s="21"/>
      <c r="ICZ372" s="21"/>
      <c r="IDA372" s="15"/>
      <c r="IDB372" s="15"/>
      <c r="IDC372" s="15"/>
      <c r="IDD372" s="15"/>
      <c r="IDE372" s="15"/>
      <c r="IDF372" s="15"/>
      <c r="IDG372" s="15"/>
      <c r="IDH372" s="15"/>
      <c r="IDI372" s="15"/>
      <c r="IDJ372" s="15"/>
      <c r="IDK372" s="10"/>
      <c r="IDL372" s="10"/>
      <c r="IDM372" s="21"/>
      <c r="IDN372" s="21"/>
      <c r="IDQ372" s="21"/>
      <c r="IDR372" s="15"/>
      <c r="IDS372" s="15"/>
      <c r="IDT372" s="15"/>
      <c r="IDU372" s="15"/>
      <c r="IDV372" s="15"/>
      <c r="IDW372" s="15"/>
      <c r="IDX372" s="15"/>
      <c r="IDY372" s="15"/>
      <c r="IDZ372" s="15"/>
      <c r="IEA372" s="15"/>
      <c r="IEB372" s="10"/>
      <c r="IEC372" s="10"/>
      <c r="IED372" s="21"/>
      <c r="IEE372" s="21"/>
      <c r="IEH372" s="21"/>
      <c r="IEI372" s="15"/>
      <c r="IEJ372" s="15"/>
      <c r="IEK372" s="15"/>
      <c r="IEL372" s="15"/>
      <c r="IEM372" s="15"/>
      <c r="IEN372" s="15"/>
      <c r="IEO372" s="15"/>
      <c r="IEP372" s="15"/>
      <c r="IEQ372" s="15"/>
      <c r="IER372" s="15"/>
      <c r="IES372" s="10"/>
      <c r="IET372" s="10"/>
      <c r="IEU372" s="21"/>
      <c r="IEV372" s="21"/>
      <c r="IEY372" s="21"/>
      <c r="IEZ372" s="15"/>
      <c r="IFA372" s="15"/>
      <c r="IFB372" s="15"/>
      <c r="IFC372" s="15"/>
      <c r="IFD372" s="15"/>
      <c r="IFE372" s="15"/>
      <c r="IFF372" s="15"/>
      <c r="IFG372" s="15"/>
      <c r="IFH372" s="15"/>
      <c r="IFI372" s="15"/>
      <c r="IFJ372" s="10"/>
      <c r="IFK372" s="10"/>
      <c r="IFL372" s="21"/>
      <c r="IFM372" s="21"/>
      <c r="IFP372" s="21"/>
      <c r="IFQ372" s="15"/>
      <c r="IFR372" s="15"/>
      <c r="IFS372" s="15"/>
      <c r="IFT372" s="15"/>
      <c r="IFU372" s="15"/>
      <c r="IFV372" s="15"/>
      <c r="IFW372" s="15"/>
      <c r="IFX372" s="15"/>
      <c r="IFY372" s="15"/>
      <c r="IFZ372" s="15"/>
      <c r="IGA372" s="10"/>
      <c r="IGB372" s="10"/>
      <c r="IGC372" s="21"/>
      <c r="IGD372" s="21"/>
      <c r="IGG372" s="21"/>
      <c r="IGH372" s="15"/>
      <c r="IGI372" s="15"/>
      <c r="IGJ372" s="15"/>
      <c r="IGK372" s="15"/>
      <c r="IGL372" s="15"/>
      <c r="IGM372" s="15"/>
      <c r="IGN372" s="15"/>
      <c r="IGO372" s="15"/>
      <c r="IGP372" s="15"/>
      <c r="IGQ372" s="15"/>
      <c r="IGR372" s="10"/>
      <c r="IGS372" s="10"/>
      <c r="IGT372" s="21"/>
      <c r="IGU372" s="21"/>
      <c r="IGX372" s="21"/>
      <c r="IGY372" s="15"/>
      <c r="IGZ372" s="15"/>
      <c r="IHA372" s="15"/>
      <c r="IHB372" s="15"/>
      <c r="IHC372" s="15"/>
      <c r="IHD372" s="15"/>
      <c r="IHE372" s="15"/>
      <c r="IHF372" s="15"/>
      <c r="IHG372" s="15"/>
      <c r="IHH372" s="15"/>
      <c r="IHI372" s="10"/>
      <c r="IHJ372" s="10"/>
      <c r="IHK372" s="21"/>
      <c r="IHL372" s="21"/>
      <c r="IHO372" s="21"/>
      <c r="IHP372" s="15"/>
      <c r="IHQ372" s="15"/>
      <c r="IHR372" s="15"/>
      <c r="IHS372" s="15"/>
      <c r="IHT372" s="15"/>
      <c r="IHU372" s="15"/>
      <c r="IHV372" s="15"/>
      <c r="IHW372" s="15"/>
      <c r="IHX372" s="15"/>
      <c r="IHY372" s="15"/>
      <c r="IHZ372" s="10"/>
      <c r="IIA372" s="10"/>
      <c r="IIB372" s="21"/>
      <c r="IIC372" s="21"/>
      <c r="IIF372" s="21"/>
      <c r="IIG372" s="15"/>
      <c r="IIH372" s="15"/>
      <c r="III372" s="15"/>
      <c r="IIJ372" s="15"/>
      <c r="IIK372" s="15"/>
      <c r="IIL372" s="15"/>
      <c r="IIM372" s="15"/>
      <c r="IIN372" s="15"/>
      <c r="IIO372" s="15"/>
      <c r="IIP372" s="15"/>
      <c r="IIQ372" s="10"/>
      <c r="IIR372" s="10"/>
      <c r="IIS372" s="21"/>
      <c r="IIT372" s="21"/>
      <c r="IIW372" s="21"/>
      <c r="IIX372" s="15"/>
      <c r="IIY372" s="15"/>
      <c r="IIZ372" s="15"/>
      <c r="IJA372" s="15"/>
      <c r="IJB372" s="15"/>
      <c r="IJC372" s="15"/>
      <c r="IJD372" s="15"/>
      <c r="IJE372" s="15"/>
      <c r="IJF372" s="15"/>
      <c r="IJG372" s="15"/>
      <c r="IJH372" s="10"/>
      <c r="IJI372" s="10"/>
      <c r="IJJ372" s="21"/>
      <c r="IJK372" s="21"/>
      <c r="IJN372" s="21"/>
      <c r="IJO372" s="15"/>
      <c r="IJP372" s="15"/>
      <c r="IJQ372" s="15"/>
      <c r="IJR372" s="15"/>
      <c r="IJS372" s="15"/>
      <c r="IJT372" s="15"/>
      <c r="IJU372" s="15"/>
      <c r="IJV372" s="15"/>
      <c r="IJW372" s="15"/>
      <c r="IJX372" s="15"/>
      <c r="IJY372" s="10"/>
      <c r="IJZ372" s="10"/>
      <c r="IKA372" s="21"/>
      <c r="IKB372" s="21"/>
      <c r="IKE372" s="21"/>
      <c r="IKF372" s="15"/>
      <c r="IKG372" s="15"/>
      <c r="IKH372" s="15"/>
      <c r="IKI372" s="15"/>
      <c r="IKJ372" s="15"/>
      <c r="IKK372" s="15"/>
      <c r="IKL372" s="15"/>
      <c r="IKM372" s="15"/>
      <c r="IKN372" s="15"/>
      <c r="IKO372" s="15"/>
      <c r="IKP372" s="10"/>
      <c r="IKQ372" s="10"/>
      <c r="IKR372" s="21"/>
      <c r="IKS372" s="21"/>
      <c r="IKV372" s="21"/>
      <c r="IKW372" s="15"/>
      <c r="IKX372" s="15"/>
      <c r="IKY372" s="15"/>
      <c r="IKZ372" s="15"/>
      <c r="ILA372" s="15"/>
      <c r="ILB372" s="15"/>
      <c r="ILC372" s="15"/>
      <c r="ILD372" s="15"/>
      <c r="ILE372" s="15"/>
      <c r="ILF372" s="15"/>
      <c r="ILG372" s="10"/>
      <c r="ILH372" s="10"/>
      <c r="ILI372" s="21"/>
      <c r="ILJ372" s="21"/>
      <c r="ILM372" s="21"/>
      <c r="ILN372" s="15"/>
      <c r="ILO372" s="15"/>
      <c r="ILP372" s="15"/>
      <c r="ILQ372" s="15"/>
      <c r="ILR372" s="15"/>
      <c r="ILS372" s="15"/>
      <c r="ILT372" s="15"/>
      <c r="ILU372" s="15"/>
      <c r="ILV372" s="15"/>
      <c r="ILW372" s="15"/>
      <c r="ILX372" s="10"/>
      <c r="ILY372" s="10"/>
      <c r="ILZ372" s="21"/>
      <c r="IMA372" s="21"/>
      <c r="IMD372" s="21"/>
      <c r="IME372" s="15"/>
      <c r="IMF372" s="15"/>
      <c r="IMG372" s="15"/>
      <c r="IMH372" s="15"/>
      <c r="IMI372" s="15"/>
      <c r="IMJ372" s="15"/>
      <c r="IMK372" s="15"/>
      <c r="IML372" s="15"/>
      <c r="IMM372" s="15"/>
      <c r="IMN372" s="15"/>
      <c r="IMO372" s="10"/>
      <c r="IMP372" s="10"/>
      <c r="IMQ372" s="21"/>
      <c r="IMR372" s="21"/>
      <c r="IMU372" s="21"/>
      <c r="IMV372" s="15"/>
      <c r="IMW372" s="15"/>
      <c r="IMX372" s="15"/>
      <c r="IMY372" s="15"/>
      <c r="IMZ372" s="15"/>
      <c r="INA372" s="15"/>
      <c r="INB372" s="15"/>
      <c r="INC372" s="15"/>
      <c r="IND372" s="15"/>
      <c r="INE372" s="15"/>
      <c r="INF372" s="10"/>
      <c r="ING372" s="10"/>
      <c r="INH372" s="21"/>
      <c r="INI372" s="21"/>
      <c r="INL372" s="21"/>
      <c r="INM372" s="15"/>
      <c r="INN372" s="15"/>
      <c r="INO372" s="15"/>
      <c r="INP372" s="15"/>
      <c r="INQ372" s="15"/>
      <c r="INR372" s="15"/>
      <c r="INS372" s="15"/>
      <c r="INT372" s="15"/>
      <c r="INU372" s="15"/>
      <c r="INV372" s="15"/>
      <c r="INW372" s="10"/>
      <c r="INX372" s="10"/>
      <c r="INY372" s="21"/>
      <c r="INZ372" s="21"/>
      <c r="IOC372" s="21"/>
      <c r="IOD372" s="15"/>
      <c r="IOE372" s="15"/>
      <c r="IOF372" s="15"/>
      <c r="IOG372" s="15"/>
      <c r="IOH372" s="15"/>
      <c r="IOI372" s="15"/>
      <c r="IOJ372" s="15"/>
      <c r="IOK372" s="15"/>
      <c r="IOL372" s="15"/>
      <c r="IOM372" s="15"/>
      <c r="ION372" s="10"/>
      <c r="IOO372" s="10"/>
      <c r="IOP372" s="21"/>
      <c r="IOQ372" s="21"/>
      <c r="IOT372" s="21"/>
      <c r="IOU372" s="15"/>
      <c r="IOV372" s="15"/>
      <c r="IOW372" s="15"/>
      <c r="IOX372" s="15"/>
      <c r="IOY372" s="15"/>
      <c r="IOZ372" s="15"/>
      <c r="IPA372" s="15"/>
      <c r="IPB372" s="15"/>
      <c r="IPC372" s="15"/>
      <c r="IPD372" s="15"/>
      <c r="IPE372" s="10"/>
      <c r="IPF372" s="10"/>
      <c r="IPG372" s="21"/>
      <c r="IPH372" s="21"/>
      <c r="IPK372" s="21"/>
      <c r="IPL372" s="15"/>
      <c r="IPM372" s="15"/>
      <c r="IPN372" s="15"/>
      <c r="IPO372" s="15"/>
      <c r="IPP372" s="15"/>
      <c r="IPQ372" s="15"/>
      <c r="IPR372" s="15"/>
      <c r="IPS372" s="15"/>
      <c r="IPT372" s="15"/>
      <c r="IPU372" s="15"/>
      <c r="IPV372" s="10"/>
      <c r="IPW372" s="10"/>
      <c r="IPX372" s="21"/>
      <c r="IPY372" s="21"/>
      <c r="IQB372" s="21"/>
      <c r="IQC372" s="15"/>
      <c r="IQD372" s="15"/>
      <c r="IQE372" s="15"/>
      <c r="IQF372" s="15"/>
      <c r="IQG372" s="15"/>
      <c r="IQH372" s="15"/>
      <c r="IQI372" s="15"/>
      <c r="IQJ372" s="15"/>
      <c r="IQK372" s="15"/>
      <c r="IQL372" s="15"/>
      <c r="IQM372" s="10"/>
      <c r="IQN372" s="10"/>
      <c r="IQO372" s="21"/>
      <c r="IQP372" s="21"/>
      <c r="IQS372" s="21"/>
      <c r="IQT372" s="15"/>
      <c r="IQU372" s="15"/>
      <c r="IQV372" s="15"/>
      <c r="IQW372" s="15"/>
      <c r="IQX372" s="15"/>
      <c r="IQY372" s="15"/>
      <c r="IQZ372" s="15"/>
      <c r="IRA372" s="15"/>
      <c r="IRB372" s="15"/>
      <c r="IRC372" s="15"/>
      <c r="IRD372" s="10"/>
      <c r="IRE372" s="10"/>
      <c r="IRF372" s="21"/>
      <c r="IRG372" s="21"/>
      <c r="IRJ372" s="21"/>
      <c r="IRK372" s="15"/>
      <c r="IRL372" s="15"/>
      <c r="IRM372" s="15"/>
      <c r="IRN372" s="15"/>
      <c r="IRO372" s="15"/>
      <c r="IRP372" s="15"/>
      <c r="IRQ372" s="15"/>
      <c r="IRR372" s="15"/>
      <c r="IRS372" s="15"/>
      <c r="IRT372" s="15"/>
      <c r="IRU372" s="10"/>
      <c r="IRV372" s="10"/>
      <c r="IRW372" s="21"/>
      <c r="IRX372" s="21"/>
      <c r="ISA372" s="21"/>
      <c r="ISB372" s="15"/>
      <c r="ISC372" s="15"/>
      <c r="ISD372" s="15"/>
      <c r="ISE372" s="15"/>
      <c r="ISF372" s="15"/>
      <c r="ISG372" s="15"/>
      <c r="ISH372" s="15"/>
      <c r="ISI372" s="15"/>
      <c r="ISJ372" s="15"/>
      <c r="ISK372" s="15"/>
      <c r="ISL372" s="10"/>
      <c r="ISM372" s="10"/>
      <c r="ISN372" s="21"/>
      <c r="ISO372" s="21"/>
      <c r="ISR372" s="21"/>
      <c r="ISS372" s="15"/>
      <c r="IST372" s="15"/>
      <c r="ISU372" s="15"/>
      <c r="ISV372" s="15"/>
      <c r="ISW372" s="15"/>
      <c r="ISX372" s="15"/>
      <c r="ISY372" s="15"/>
      <c r="ISZ372" s="15"/>
      <c r="ITA372" s="15"/>
      <c r="ITB372" s="15"/>
      <c r="ITC372" s="10"/>
      <c r="ITD372" s="10"/>
      <c r="ITE372" s="21"/>
      <c r="ITF372" s="21"/>
      <c r="ITI372" s="21"/>
      <c r="ITJ372" s="15"/>
      <c r="ITK372" s="15"/>
      <c r="ITL372" s="15"/>
      <c r="ITM372" s="15"/>
      <c r="ITN372" s="15"/>
      <c r="ITO372" s="15"/>
      <c r="ITP372" s="15"/>
      <c r="ITQ372" s="15"/>
      <c r="ITR372" s="15"/>
      <c r="ITS372" s="15"/>
      <c r="ITT372" s="10"/>
      <c r="ITU372" s="10"/>
      <c r="ITV372" s="21"/>
      <c r="ITW372" s="21"/>
      <c r="ITZ372" s="21"/>
      <c r="IUA372" s="15"/>
      <c r="IUB372" s="15"/>
      <c r="IUC372" s="15"/>
      <c r="IUD372" s="15"/>
      <c r="IUE372" s="15"/>
      <c r="IUF372" s="15"/>
      <c r="IUG372" s="15"/>
      <c r="IUH372" s="15"/>
      <c r="IUI372" s="15"/>
      <c r="IUJ372" s="15"/>
      <c r="IUK372" s="10"/>
      <c r="IUL372" s="10"/>
      <c r="IUM372" s="21"/>
      <c r="IUN372" s="21"/>
      <c r="IUQ372" s="21"/>
      <c r="IUR372" s="15"/>
      <c r="IUS372" s="15"/>
      <c r="IUT372" s="15"/>
      <c r="IUU372" s="15"/>
      <c r="IUV372" s="15"/>
      <c r="IUW372" s="15"/>
      <c r="IUX372" s="15"/>
      <c r="IUY372" s="15"/>
      <c r="IUZ372" s="15"/>
      <c r="IVA372" s="15"/>
      <c r="IVB372" s="10"/>
      <c r="IVC372" s="10"/>
      <c r="IVD372" s="21"/>
      <c r="IVE372" s="21"/>
      <c r="IVH372" s="21"/>
      <c r="IVI372" s="15"/>
      <c r="IVJ372" s="15"/>
      <c r="IVK372" s="15"/>
      <c r="IVL372" s="15"/>
      <c r="IVM372" s="15"/>
      <c r="IVN372" s="15"/>
      <c r="IVO372" s="15"/>
      <c r="IVP372" s="15"/>
      <c r="IVQ372" s="15"/>
      <c r="IVR372" s="15"/>
      <c r="IVS372" s="10"/>
      <c r="IVT372" s="10"/>
      <c r="IVU372" s="21"/>
      <c r="IVV372" s="21"/>
      <c r="IVY372" s="21"/>
      <c r="IVZ372" s="15"/>
      <c r="IWA372" s="15"/>
      <c r="IWB372" s="15"/>
      <c r="IWC372" s="15"/>
      <c r="IWD372" s="15"/>
      <c r="IWE372" s="15"/>
      <c r="IWF372" s="15"/>
      <c r="IWG372" s="15"/>
      <c r="IWH372" s="15"/>
      <c r="IWI372" s="15"/>
      <c r="IWJ372" s="10"/>
      <c r="IWK372" s="10"/>
      <c r="IWL372" s="21"/>
      <c r="IWM372" s="21"/>
      <c r="IWP372" s="21"/>
      <c r="IWQ372" s="15"/>
      <c r="IWR372" s="15"/>
      <c r="IWS372" s="15"/>
      <c r="IWT372" s="15"/>
      <c r="IWU372" s="15"/>
      <c r="IWV372" s="15"/>
      <c r="IWW372" s="15"/>
      <c r="IWX372" s="15"/>
      <c r="IWY372" s="15"/>
      <c r="IWZ372" s="15"/>
      <c r="IXA372" s="10"/>
      <c r="IXB372" s="10"/>
      <c r="IXC372" s="21"/>
      <c r="IXD372" s="21"/>
      <c r="IXG372" s="21"/>
      <c r="IXH372" s="15"/>
      <c r="IXI372" s="15"/>
      <c r="IXJ372" s="15"/>
      <c r="IXK372" s="15"/>
      <c r="IXL372" s="15"/>
      <c r="IXM372" s="15"/>
      <c r="IXN372" s="15"/>
      <c r="IXO372" s="15"/>
      <c r="IXP372" s="15"/>
      <c r="IXQ372" s="15"/>
      <c r="IXR372" s="10"/>
      <c r="IXS372" s="10"/>
      <c r="IXT372" s="21"/>
      <c r="IXU372" s="21"/>
      <c r="IXX372" s="21"/>
      <c r="IXY372" s="15"/>
      <c r="IXZ372" s="15"/>
      <c r="IYA372" s="15"/>
      <c r="IYB372" s="15"/>
      <c r="IYC372" s="15"/>
      <c r="IYD372" s="15"/>
      <c r="IYE372" s="15"/>
      <c r="IYF372" s="15"/>
      <c r="IYG372" s="15"/>
      <c r="IYH372" s="15"/>
      <c r="IYI372" s="10"/>
      <c r="IYJ372" s="10"/>
      <c r="IYK372" s="21"/>
      <c r="IYL372" s="21"/>
      <c r="IYO372" s="21"/>
      <c r="IYP372" s="15"/>
      <c r="IYQ372" s="15"/>
      <c r="IYR372" s="15"/>
      <c r="IYS372" s="15"/>
      <c r="IYT372" s="15"/>
      <c r="IYU372" s="15"/>
      <c r="IYV372" s="15"/>
      <c r="IYW372" s="15"/>
      <c r="IYX372" s="15"/>
      <c r="IYY372" s="15"/>
      <c r="IYZ372" s="10"/>
      <c r="IZA372" s="10"/>
      <c r="IZB372" s="21"/>
      <c r="IZC372" s="21"/>
      <c r="IZF372" s="21"/>
      <c r="IZG372" s="15"/>
      <c r="IZH372" s="15"/>
      <c r="IZI372" s="15"/>
      <c r="IZJ372" s="15"/>
      <c r="IZK372" s="15"/>
      <c r="IZL372" s="15"/>
      <c r="IZM372" s="15"/>
      <c r="IZN372" s="15"/>
      <c r="IZO372" s="15"/>
      <c r="IZP372" s="15"/>
      <c r="IZQ372" s="10"/>
      <c r="IZR372" s="10"/>
      <c r="IZS372" s="21"/>
      <c r="IZT372" s="21"/>
      <c r="IZW372" s="21"/>
      <c r="IZX372" s="15"/>
      <c r="IZY372" s="15"/>
      <c r="IZZ372" s="15"/>
      <c r="JAA372" s="15"/>
      <c r="JAB372" s="15"/>
      <c r="JAC372" s="15"/>
      <c r="JAD372" s="15"/>
      <c r="JAE372" s="15"/>
      <c r="JAF372" s="15"/>
      <c r="JAG372" s="15"/>
      <c r="JAH372" s="10"/>
      <c r="JAI372" s="10"/>
      <c r="JAJ372" s="21"/>
      <c r="JAK372" s="21"/>
      <c r="JAN372" s="21"/>
      <c r="JAO372" s="15"/>
      <c r="JAP372" s="15"/>
      <c r="JAQ372" s="15"/>
      <c r="JAR372" s="15"/>
      <c r="JAS372" s="15"/>
      <c r="JAT372" s="15"/>
      <c r="JAU372" s="15"/>
      <c r="JAV372" s="15"/>
      <c r="JAW372" s="15"/>
      <c r="JAX372" s="15"/>
      <c r="JAY372" s="10"/>
      <c r="JAZ372" s="10"/>
      <c r="JBA372" s="21"/>
      <c r="JBB372" s="21"/>
      <c r="JBE372" s="21"/>
      <c r="JBF372" s="15"/>
      <c r="JBG372" s="15"/>
      <c r="JBH372" s="15"/>
      <c r="JBI372" s="15"/>
      <c r="JBJ372" s="15"/>
      <c r="JBK372" s="15"/>
      <c r="JBL372" s="15"/>
      <c r="JBM372" s="15"/>
      <c r="JBN372" s="15"/>
      <c r="JBO372" s="15"/>
      <c r="JBP372" s="10"/>
      <c r="JBQ372" s="10"/>
      <c r="JBR372" s="21"/>
      <c r="JBS372" s="21"/>
      <c r="JBV372" s="21"/>
      <c r="JBW372" s="15"/>
      <c r="JBX372" s="15"/>
      <c r="JBY372" s="15"/>
      <c r="JBZ372" s="15"/>
      <c r="JCA372" s="15"/>
      <c r="JCB372" s="15"/>
      <c r="JCC372" s="15"/>
      <c r="JCD372" s="15"/>
      <c r="JCE372" s="15"/>
      <c r="JCF372" s="15"/>
      <c r="JCG372" s="10"/>
      <c r="JCH372" s="10"/>
      <c r="JCI372" s="21"/>
      <c r="JCJ372" s="21"/>
      <c r="JCM372" s="21"/>
      <c r="JCN372" s="15"/>
      <c r="JCO372" s="15"/>
      <c r="JCP372" s="15"/>
      <c r="JCQ372" s="15"/>
      <c r="JCR372" s="15"/>
      <c r="JCS372" s="15"/>
      <c r="JCT372" s="15"/>
      <c r="JCU372" s="15"/>
      <c r="JCV372" s="15"/>
      <c r="JCW372" s="15"/>
      <c r="JCX372" s="10"/>
      <c r="JCY372" s="10"/>
      <c r="JCZ372" s="21"/>
      <c r="JDA372" s="21"/>
      <c r="JDD372" s="21"/>
      <c r="JDE372" s="15"/>
      <c r="JDF372" s="15"/>
      <c r="JDG372" s="15"/>
      <c r="JDH372" s="15"/>
      <c r="JDI372" s="15"/>
      <c r="JDJ372" s="15"/>
      <c r="JDK372" s="15"/>
      <c r="JDL372" s="15"/>
      <c r="JDM372" s="15"/>
      <c r="JDN372" s="15"/>
      <c r="JDO372" s="10"/>
      <c r="JDP372" s="10"/>
      <c r="JDQ372" s="21"/>
      <c r="JDR372" s="21"/>
      <c r="JDU372" s="21"/>
      <c r="JDV372" s="15"/>
      <c r="JDW372" s="15"/>
      <c r="JDX372" s="15"/>
      <c r="JDY372" s="15"/>
      <c r="JDZ372" s="15"/>
      <c r="JEA372" s="15"/>
      <c r="JEB372" s="15"/>
      <c r="JEC372" s="15"/>
      <c r="JED372" s="15"/>
      <c r="JEE372" s="15"/>
      <c r="JEF372" s="10"/>
      <c r="JEG372" s="10"/>
      <c r="JEH372" s="21"/>
      <c r="JEI372" s="21"/>
      <c r="JEL372" s="21"/>
      <c r="JEM372" s="15"/>
      <c r="JEN372" s="15"/>
      <c r="JEO372" s="15"/>
      <c r="JEP372" s="15"/>
      <c r="JEQ372" s="15"/>
      <c r="JER372" s="15"/>
      <c r="JES372" s="15"/>
      <c r="JET372" s="15"/>
      <c r="JEU372" s="15"/>
      <c r="JEV372" s="15"/>
      <c r="JEW372" s="10"/>
      <c r="JEX372" s="10"/>
      <c r="JEY372" s="21"/>
      <c r="JEZ372" s="21"/>
      <c r="JFC372" s="21"/>
      <c r="JFD372" s="15"/>
      <c r="JFE372" s="15"/>
      <c r="JFF372" s="15"/>
      <c r="JFG372" s="15"/>
      <c r="JFH372" s="15"/>
      <c r="JFI372" s="15"/>
      <c r="JFJ372" s="15"/>
      <c r="JFK372" s="15"/>
      <c r="JFL372" s="15"/>
      <c r="JFM372" s="15"/>
      <c r="JFN372" s="10"/>
      <c r="JFO372" s="10"/>
      <c r="JFP372" s="21"/>
      <c r="JFQ372" s="21"/>
      <c r="JFT372" s="21"/>
      <c r="JFU372" s="15"/>
      <c r="JFV372" s="15"/>
      <c r="JFW372" s="15"/>
      <c r="JFX372" s="15"/>
      <c r="JFY372" s="15"/>
      <c r="JFZ372" s="15"/>
      <c r="JGA372" s="15"/>
      <c r="JGB372" s="15"/>
      <c r="JGC372" s="15"/>
      <c r="JGD372" s="15"/>
      <c r="JGE372" s="10"/>
      <c r="JGF372" s="10"/>
      <c r="JGG372" s="21"/>
      <c r="JGH372" s="21"/>
      <c r="JGK372" s="21"/>
      <c r="JGL372" s="15"/>
      <c r="JGM372" s="15"/>
      <c r="JGN372" s="15"/>
      <c r="JGO372" s="15"/>
      <c r="JGP372" s="15"/>
      <c r="JGQ372" s="15"/>
      <c r="JGR372" s="15"/>
      <c r="JGS372" s="15"/>
      <c r="JGT372" s="15"/>
      <c r="JGU372" s="15"/>
      <c r="JGV372" s="10"/>
      <c r="JGW372" s="10"/>
      <c r="JGX372" s="21"/>
      <c r="JGY372" s="21"/>
      <c r="JHB372" s="21"/>
      <c r="JHC372" s="15"/>
      <c r="JHD372" s="15"/>
      <c r="JHE372" s="15"/>
      <c r="JHF372" s="15"/>
      <c r="JHG372" s="15"/>
      <c r="JHH372" s="15"/>
      <c r="JHI372" s="15"/>
      <c r="JHJ372" s="15"/>
      <c r="JHK372" s="15"/>
      <c r="JHL372" s="15"/>
      <c r="JHM372" s="10"/>
      <c r="JHN372" s="10"/>
      <c r="JHO372" s="21"/>
      <c r="JHP372" s="21"/>
      <c r="JHS372" s="21"/>
      <c r="JHT372" s="15"/>
      <c r="JHU372" s="15"/>
      <c r="JHV372" s="15"/>
      <c r="JHW372" s="15"/>
      <c r="JHX372" s="15"/>
      <c r="JHY372" s="15"/>
      <c r="JHZ372" s="15"/>
      <c r="JIA372" s="15"/>
      <c r="JIB372" s="15"/>
      <c r="JIC372" s="15"/>
      <c r="JID372" s="10"/>
      <c r="JIE372" s="10"/>
      <c r="JIF372" s="21"/>
      <c r="JIG372" s="21"/>
      <c r="JIJ372" s="21"/>
      <c r="JIK372" s="15"/>
      <c r="JIL372" s="15"/>
      <c r="JIM372" s="15"/>
      <c r="JIN372" s="15"/>
      <c r="JIO372" s="15"/>
      <c r="JIP372" s="15"/>
      <c r="JIQ372" s="15"/>
      <c r="JIR372" s="15"/>
      <c r="JIS372" s="15"/>
      <c r="JIT372" s="15"/>
      <c r="JIU372" s="10"/>
      <c r="JIV372" s="10"/>
      <c r="JIW372" s="21"/>
      <c r="JIX372" s="21"/>
      <c r="JJA372" s="21"/>
      <c r="JJB372" s="15"/>
      <c r="JJC372" s="15"/>
      <c r="JJD372" s="15"/>
      <c r="JJE372" s="15"/>
      <c r="JJF372" s="15"/>
      <c r="JJG372" s="15"/>
      <c r="JJH372" s="15"/>
      <c r="JJI372" s="15"/>
      <c r="JJJ372" s="15"/>
      <c r="JJK372" s="15"/>
      <c r="JJL372" s="10"/>
      <c r="JJM372" s="10"/>
      <c r="JJN372" s="21"/>
      <c r="JJO372" s="21"/>
      <c r="JJR372" s="21"/>
      <c r="JJS372" s="15"/>
      <c r="JJT372" s="15"/>
      <c r="JJU372" s="15"/>
      <c r="JJV372" s="15"/>
      <c r="JJW372" s="15"/>
      <c r="JJX372" s="15"/>
      <c r="JJY372" s="15"/>
      <c r="JJZ372" s="15"/>
      <c r="JKA372" s="15"/>
      <c r="JKB372" s="15"/>
      <c r="JKC372" s="10"/>
      <c r="JKD372" s="10"/>
      <c r="JKE372" s="21"/>
      <c r="JKF372" s="21"/>
      <c r="JKI372" s="21"/>
      <c r="JKJ372" s="15"/>
      <c r="JKK372" s="15"/>
      <c r="JKL372" s="15"/>
      <c r="JKM372" s="15"/>
      <c r="JKN372" s="15"/>
      <c r="JKO372" s="15"/>
      <c r="JKP372" s="15"/>
      <c r="JKQ372" s="15"/>
      <c r="JKR372" s="15"/>
      <c r="JKS372" s="15"/>
      <c r="JKT372" s="10"/>
      <c r="JKU372" s="10"/>
      <c r="JKV372" s="21"/>
      <c r="JKW372" s="21"/>
      <c r="JKZ372" s="21"/>
      <c r="JLA372" s="15"/>
      <c r="JLB372" s="15"/>
      <c r="JLC372" s="15"/>
      <c r="JLD372" s="15"/>
      <c r="JLE372" s="15"/>
      <c r="JLF372" s="15"/>
      <c r="JLG372" s="15"/>
      <c r="JLH372" s="15"/>
      <c r="JLI372" s="15"/>
      <c r="JLJ372" s="15"/>
      <c r="JLK372" s="10"/>
      <c r="JLL372" s="10"/>
      <c r="JLM372" s="21"/>
      <c r="JLN372" s="21"/>
      <c r="JLQ372" s="21"/>
      <c r="JLR372" s="15"/>
      <c r="JLS372" s="15"/>
      <c r="JLT372" s="15"/>
      <c r="JLU372" s="15"/>
      <c r="JLV372" s="15"/>
      <c r="JLW372" s="15"/>
      <c r="JLX372" s="15"/>
      <c r="JLY372" s="15"/>
      <c r="JLZ372" s="15"/>
      <c r="JMA372" s="15"/>
      <c r="JMB372" s="10"/>
      <c r="JMC372" s="10"/>
      <c r="JMD372" s="21"/>
      <c r="JME372" s="21"/>
      <c r="JMH372" s="21"/>
      <c r="JMI372" s="15"/>
      <c r="JMJ372" s="15"/>
      <c r="JMK372" s="15"/>
      <c r="JML372" s="15"/>
      <c r="JMM372" s="15"/>
      <c r="JMN372" s="15"/>
      <c r="JMO372" s="15"/>
      <c r="JMP372" s="15"/>
      <c r="JMQ372" s="15"/>
      <c r="JMR372" s="15"/>
      <c r="JMS372" s="10"/>
      <c r="JMT372" s="10"/>
      <c r="JMU372" s="21"/>
      <c r="JMV372" s="21"/>
      <c r="JMY372" s="21"/>
      <c r="JMZ372" s="15"/>
      <c r="JNA372" s="15"/>
      <c r="JNB372" s="15"/>
      <c r="JNC372" s="15"/>
      <c r="JND372" s="15"/>
      <c r="JNE372" s="15"/>
      <c r="JNF372" s="15"/>
      <c r="JNG372" s="15"/>
      <c r="JNH372" s="15"/>
      <c r="JNI372" s="15"/>
      <c r="JNJ372" s="10"/>
      <c r="JNK372" s="10"/>
      <c r="JNL372" s="21"/>
      <c r="JNM372" s="21"/>
      <c r="JNP372" s="21"/>
      <c r="JNQ372" s="15"/>
      <c r="JNR372" s="15"/>
      <c r="JNS372" s="15"/>
      <c r="JNT372" s="15"/>
      <c r="JNU372" s="15"/>
      <c r="JNV372" s="15"/>
      <c r="JNW372" s="15"/>
      <c r="JNX372" s="15"/>
      <c r="JNY372" s="15"/>
      <c r="JNZ372" s="15"/>
      <c r="JOA372" s="10"/>
      <c r="JOB372" s="10"/>
      <c r="JOC372" s="21"/>
      <c r="JOD372" s="21"/>
      <c r="JOG372" s="21"/>
      <c r="JOH372" s="15"/>
      <c r="JOI372" s="15"/>
      <c r="JOJ372" s="15"/>
      <c r="JOK372" s="15"/>
      <c r="JOL372" s="15"/>
      <c r="JOM372" s="15"/>
      <c r="JON372" s="15"/>
      <c r="JOO372" s="15"/>
      <c r="JOP372" s="15"/>
      <c r="JOQ372" s="15"/>
      <c r="JOR372" s="10"/>
      <c r="JOS372" s="10"/>
      <c r="JOT372" s="21"/>
      <c r="JOU372" s="21"/>
      <c r="JOX372" s="21"/>
      <c r="JOY372" s="15"/>
      <c r="JOZ372" s="15"/>
      <c r="JPA372" s="15"/>
      <c r="JPB372" s="15"/>
      <c r="JPC372" s="15"/>
      <c r="JPD372" s="15"/>
      <c r="JPE372" s="15"/>
      <c r="JPF372" s="15"/>
      <c r="JPG372" s="15"/>
      <c r="JPH372" s="15"/>
      <c r="JPI372" s="10"/>
      <c r="JPJ372" s="10"/>
      <c r="JPK372" s="21"/>
      <c r="JPL372" s="21"/>
      <c r="JPO372" s="21"/>
      <c r="JPP372" s="15"/>
      <c r="JPQ372" s="15"/>
      <c r="JPR372" s="15"/>
      <c r="JPS372" s="15"/>
      <c r="JPT372" s="15"/>
      <c r="JPU372" s="15"/>
      <c r="JPV372" s="15"/>
      <c r="JPW372" s="15"/>
      <c r="JPX372" s="15"/>
      <c r="JPY372" s="15"/>
      <c r="JPZ372" s="10"/>
      <c r="JQA372" s="10"/>
      <c r="JQB372" s="21"/>
      <c r="JQC372" s="21"/>
      <c r="JQF372" s="21"/>
      <c r="JQG372" s="15"/>
      <c r="JQH372" s="15"/>
      <c r="JQI372" s="15"/>
      <c r="JQJ372" s="15"/>
      <c r="JQK372" s="15"/>
      <c r="JQL372" s="15"/>
      <c r="JQM372" s="15"/>
      <c r="JQN372" s="15"/>
      <c r="JQO372" s="15"/>
      <c r="JQP372" s="15"/>
      <c r="JQQ372" s="10"/>
      <c r="JQR372" s="10"/>
      <c r="JQS372" s="21"/>
      <c r="JQT372" s="21"/>
      <c r="JQW372" s="21"/>
      <c r="JQX372" s="15"/>
      <c r="JQY372" s="15"/>
      <c r="JQZ372" s="15"/>
      <c r="JRA372" s="15"/>
      <c r="JRB372" s="15"/>
      <c r="JRC372" s="15"/>
      <c r="JRD372" s="15"/>
      <c r="JRE372" s="15"/>
      <c r="JRF372" s="15"/>
      <c r="JRG372" s="15"/>
      <c r="JRH372" s="10"/>
      <c r="JRI372" s="10"/>
      <c r="JRJ372" s="21"/>
      <c r="JRK372" s="21"/>
      <c r="JRN372" s="21"/>
      <c r="JRO372" s="15"/>
      <c r="JRP372" s="15"/>
      <c r="JRQ372" s="15"/>
      <c r="JRR372" s="15"/>
      <c r="JRS372" s="15"/>
      <c r="JRT372" s="15"/>
      <c r="JRU372" s="15"/>
      <c r="JRV372" s="15"/>
      <c r="JRW372" s="15"/>
      <c r="JRX372" s="15"/>
      <c r="JRY372" s="10"/>
      <c r="JRZ372" s="10"/>
      <c r="JSA372" s="21"/>
      <c r="JSB372" s="21"/>
      <c r="JSE372" s="21"/>
      <c r="JSF372" s="15"/>
      <c r="JSG372" s="15"/>
      <c r="JSH372" s="15"/>
      <c r="JSI372" s="15"/>
      <c r="JSJ372" s="15"/>
      <c r="JSK372" s="15"/>
      <c r="JSL372" s="15"/>
      <c r="JSM372" s="15"/>
      <c r="JSN372" s="15"/>
      <c r="JSO372" s="15"/>
      <c r="JSP372" s="10"/>
      <c r="JSQ372" s="10"/>
      <c r="JSR372" s="21"/>
      <c r="JSS372" s="21"/>
      <c r="JSV372" s="21"/>
      <c r="JSW372" s="15"/>
      <c r="JSX372" s="15"/>
      <c r="JSY372" s="15"/>
      <c r="JSZ372" s="15"/>
      <c r="JTA372" s="15"/>
      <c r="JTB372" s="15"/>
      <c r="JTC372" s="15"/>
      <c r="JTD372" s="15"/>
      <c r="JTE372" s="15"/>
      <c r="JTF372" s="15"/>
      <c r="JTG372" s="10"/>
      <c r="JTH372" s="10"/>
      <c r="JTI372" s="21"/>
      <c r="JTJ372" s="21"/>
      <c r="JTM372" s="21"/>
      <c r="JTN372" s="15"/>
      <c r="JTO372" s="15"/>
      <c r="JTP372" s="15"/>
      <c r="JTQ372" s="15"/>
      <c r="JTR372" s="15"/>
      <c r="JTS372" s="15"/>
      <c r="JTT372" s="15"/>
      <c r="JTU372" s="15"/>
      <c r="JTV372" s="15"/>
      <c r="JTW372" s="15"/>
      <c r="JTX372" s="10"/>
      <c r="JTY372" s="10"/>
      <c r="JTZ372" s="21"/>
      <c r="JUA372" s="21"/>
      <c r="JUD372" s="21"/>
      <c r="JUE372" s="15"/>
      <c r="JUF372" s="15"/>
      <c r="JUG372" s="15"/>
      <c r="JUH372" s="15"/>
      <c r="JUI372" s="15"/>
      <c r="JUJ372" s="15"/>
      <c r="JUK372" s="15"/>
      <c r="JUL372" s="15"/>
      <c r="JUM372" s="15"/>
      <c r="JUN372" s="15"/>
      <c r="JUO372" s="10"/>
      <c r="JUP372" s="10"/>
      <c r="JUQ372" s="21"/>
      <c r="JUR372" s="21"/>
      <c r="JUU372" s="21"/>
      <c r="JUV372" s="15"/>
      <c r="JUW372" s="15"/>
      <c r="JUX372" s="15"/>
      <c r="JUY372" s="15"/>
      <c r="JUZ372" s="15"/>
      <c r="JVA372" s="15"/>
      <c r="JVB372" s="15"/>
      <c r="JVC372" s="15"/>
      <c r="JVD372" s="15"/>
      <c r="JVE372" s="15"/>
      <c r="JVF372" s="10"/>
      <c r="JVG372" s="10"/>
      <c r="JVH372" s="21"/>
      <c r="JVI372" s="21"/>
      <c r="JVL372" s="21"/>
      <c r="JVM372" s="15"/>
      <c r="JVN372" s="15"/>
      <c r="JVO372" s="15"/>
      <c r="JVP372" s="15"/>
      <c r="JVQ372" s="15"/>
      <c r="JVR372" s="15"/>
      <c r="JVS372" s="15"/>
      <c r="JVT372" s="15"/>
      <c r="JVU372" s="15"/>
      <c r="JVV372" s="15"/>
      <c r="JVW372" s="10"/>
      <c r="JVX372" s="10"/>
      <c r="JVY372" s="21"/>
      <c r="JVZ372" s="21"/>
      <c r="JWC372" s="21"/>
      <c r="JWD372" s="15"/>
      <c r="JWE372" s="15"/>
      <c r="JWF372" s="15"/>
      <c r="JWG372" s="15"/>
      <c r="JWH372" s="15"/>
      <c r="JWI372" s="15"/>
      <c r="JWJ372" s="15"/>
      <c r="JWK372" s="15"/>
      <c r="JWL372" s="15"/>
      <c r="JWM372" s="15"/>
      <c r="JWN372" s="10"/>
      <c r="JWO372" s="10"/>
      <c r="JWP372" s="21"/>
      <c r="JWQ372" s="21"/>
      <c r="JWT372" s="21"/>
      <c r="JWU372" s="15"/>
      <c r="JWV372" s="15"/>
      <c r="JWW372" s="15"/>
      <c r="JWX372" s="15"/>
      <c r="JWY372" s="15"/>
      <c r="JWZ372" s="15"/>
      <c r="JXA372" s="15"/>
      <c r="JXB372" s="15"/>
      <c r="JXC372" s="15"/>
      <c r="JXD372" s="15"/>
      <c r="JXE372" s="10"/>
      <c r="JXF372" s="10"/>
      <c r="JXG372" s="21"/>
      <c r="JXH372" s="21"/>
      <c r="JXK372" s="21"/>
      <c r="JXL372" s="15"/>
      <c r="JXM372" s="15"/>
      <c r="JXN372" s="15"/>
      <c r="JXO372" s="15"/>
      <c r="JXP372" s="15"/>
      <c r="JXQ372" s="15"/>
      <c r="JXR372" s="15"/>
      <c r="JXS372" s="15"/>
      <c r="JXT372" s="15"/>
      <c r="JXU372" s="15"/>
      <c r="JXV372" s="10"/>
      <c r="JXW372" s="10"/>
      <c r="JXX372" s="21"/>
      <c r="JXY372" s="21"/>
      <c r="JYB372" s="21"/>
      <c r="JYC372" s="15"/>
      <c r="JYD372" s="15"/>
      <c r="JYE372" s="15"/>
      <c r="JYF372" s="15"/>
      <c r="JYG372" s="15"/>
      <c r="JYH372" s="15"/>
      <c r="JYI372" s="15"/>
      <c r="JYJ372" s="15"/>
      <c r="JYK372" s="15"/>
      <c r="JYL372" s="15"/>
      <c r="JYM372" s="10"/>
      <c r="JYN372" s="10"/>
      <c r="JYO372" s="21"/>
      <c r="JYP372" s="21"/>
      <c r="JYS372" s="21"/>
      <c r="JYT372" s="15"/>
      <c r="JYU372" s="15"/>
      <c r="JYV372" s="15"/>
      <c r="JYW372" s="15"/>
      <c r="JYX372" s="15"/>
      <c r="JYY372" s="15"/>
      <c r="JYZ372" s="15"/>
      <c r="JZA372" s="15"/>
      <c r="JZB372" s="15"/>
      <c r="JZC372" s="15"/>
      <c r="JZD372" s="10"/>
      <c r="JZE372" s="10"/>
      <c r="JZF372" s="21"/>
      <c r="JZG372" s="21"/>
      <c r="JZJ372" s="21"/>
      <c r="JZK372" s="15"/>
      <c r="JZL372" s="15"/>
      <c r="JZM372" s="15"/>
      <c r="JZN372" s="15"/>
      <c r="JZO372" s="15"/>
      <c r="JZP372" s="15"/>
      <c r="JZQ372" s="15"/>
      <c r="JZR372" s="15"/>
      <c r="JZS372" s="15"/>
      <c r="JZT372" s="15"/>
      <c r="JZU372" s="10"/>
      <c r="JZV372" s="10"/>
      <c r="JZW372" s="21"/>
      <c r="JZX372" s="21"/>
      <c r="KAA372" s="21"/>
      <c r="KAB372" s="15"/>
      <c r="KAC372" s="15"/>
      <c r="KAD372" s="15"/>
      <c r="KAE372" s="15"/>
      <c r="KAF372" s="15"/>
      <c r="KAG372" s="15"/>
      <c r="KAH372" s="15"/>
      <c r="KAI372" s="15"/>
      <c r="KAJ372" s="15"/>
      <c r="KAK372" s="15"/>
      <c r="KAL372" s="10"/>
      <c r="KAM372" s="10"/>
      <c r="KAN372" s="21"/>
      <c r="KAO372" s="21"/>
      <c r="KAR372" s="21"/>
      <c r="KAS372" s="15"/>
      <c r="KAT372" s="15"/>
      <c r="KAU372" s="15"/>
      <c r="KAV372" s="15"/>
      <c r="KAW372" s="15"/>
      <c r="KAX372" s="15"/>
      <c r="KAY372" s="15"/>
      <c r="KAZ372" s="15"/>
      <c r="KBA372" s="15"/>
      <c r="KBB372" s="15"/>
      <c r="KBC372" s="10"/>
      <c r="KBD372" s="10"/>
      <c r="KBE372" s="21"/>
      <c r="KBF372" s="21"/>
      <c r="KBI372" s="21"/>
      <c r="KBJ372" s="15"/>
      <c r="KBK372" s="15"/>
      <c r="KBL372" s="15"/>
      <c r="KBM372" s="15"/>
      <c r="KBN372" s="15"/>
      <c r="KBO372" s="15"/>
      <c r="KBP372" s="15"/>
      <c r="KBQ372" s="15"/>
      <c r="KBR372" s="15"/>
      <c r="KBS372" s="15"/>
      <c r="KBT372" s="10"/>
      <c r="KBU372" s="10"/>
      <c r="KBV372" s="21"/>
      <c r="KBW372" s="21"/>
      <c r="KBZ372" s="21"/>
      <c r="KCA372" s="15"/>
      <c r="KCB372" s="15"/>
      <c r="KCC372" s="15"/>
      <c r="KCD372" s="15"/>
      <c r="KCE372" s="15"/>
      <c r="KCF372" s="15"/>
      <c r="KCG372" s="15"/>
      <c r="KCH372" s="15"/>
      <c r="KCI372" s="15"/>
      <c r="KCJ372" s="15"/>
      <c r="KCK372" s="10"/>
      <c r="KCL372" s="10"/>
      <c r="KCM372" s="21"/>
      <c r="KCN372" s="21"/>
      <c r="KCQ372" s="21"/>
      <c r="KCR372" s="15"/>
      <c r="KCS372" s="15"/>
      <c r="KCT372" s="15"/>
      <c r="KCU372" s="15"/>
      <c r="KCV372" s="15"/>
      <c r="KCW372" s="15"/>
      <c r="KCX372" s="15"/>
      <c r="KCY372" s="15"/>
      <c r="KCZ372" s="15"/>
      <c r="KDA372" s="15"/>
      <c r="KDB372" s="10"/>
      <c r="KDC372" s="10"/>
      <c r="KDD372" s="21"/>
      <c r="KDE372" s="21"/>
      <c r="KDH372" s="21"/>
      <c r="KDI372" s="15"/>
      <c r="KDJ372" s="15"/>
      <c r="KDK372" s="15"/>
      <c r="KDL372" s="15"/>
      <c r="KDM372" s="15"/>
      <c r="KDN372" s="15"/>
      <c r="KDO372" s="15"/>
      <c r="KDP372" s="15"/>
      <c r="KDQ372" s="15"/>
      <c r="KDR372" s="15"/>
      <c r="KDS372" s="10"/>
      <c r="KDT372" s="10"/>
      <c r="KDU372" s="21"/>
      <c r="KDV372" s="21"/>
      <c r="KDY372" s="21"/>
      <c r="KDZ372" s="15"/>
      <c r="KEA372" s="15"/>
      <c r="KEB372" s="15"/>
      <c r="KEC372" s="15"/>
      <c r="KED372" s="15"/>
      <c r="KEE372" s="15"/>
      <c r="KEF372" s="15"/>
      <c r="KEG372" s="15"/>
      <c r="KEH372" s="15"/>
      <c r="KEI372" s="15"/>
      <c r="KEJ372" s="10"/>
      <c r="KEK372" s="10"/>
      <c r="KEL372" s="21"/>
      <c r="KEM372" s="21"/>
      <c r="KEP372" s="21"/>
      <c r="KEQ372" s="15"/>
      <c r="KER372" s="15"/>
      <c r="KES372" s="15"/>
      <c r="KET372" s="15"/>
      <c r="KEU372" s="15"/>
      <c r="KEV372" s="15"/>
      <c r="KEW372" s="15"/>
      <c r="KEX372" s="15"/>
      <c r="KEY372" s="15"/>
      <c r="KEZ372" s="15"/>
      <c r="KFA372" s="10"/>
      <c r="KFB372" s="10"/>
      <c r="KFC372" s="21"/>
      <c r="KFD372" s="21"/>
      <c r="KFG372" s="21"/>
      <c r="KFH372" s="15"/>
      <c r="KFI372" s="15"/>
      <c r="KFJ372" s="15"/>
      <c r="KFK372" s="15"/>
      <c r="KFL372" s="15"/>
      <c r="KFM372" s="15"/>
      <c r="KFN372" s="15"/>
      <c r="KFO372" s="15"/>
      <c r="KFP372" s="15"/>
      <c r="KFQ372" s="15"/>
      <c r="KFR372" s="10"/>
      <c r="KFS372" s="10"/>
      <c r="KFT372" s="21"/>
      <c r="KFU372" s="21"/>
      <c r="KFX372" s="21"/>
      <c r="KFY372" s="15"/>
      <c r="KFZ372" s="15"/>
      <c r="KGA372" s="15"/>
      <c r="KGB372" s="15"/>
      <c r="KGC372" s="15"/>
      <c r="KGD372" s="15"/>
      <c r="KGE372" s="15"/>
      <c r="KGF372" s="15"/>
      <c r="KGG372" s="15"/>
      <c r="KGH372" s="15"/>
      <c r="KGI372" s="10"/>
      <c r="KGJ372" s="10"/>
      <c r="KGK372" s="21"/>
      <c r="KGL372" s="21"/>
      <c r="KGO372" s="21"/>
      <c r="KGP372" s="15"/>
      <c r="KGQ372" s="15"/>
      <c r="KGR372" s="15"/>
      <c r="KGS372" s="15"/>
      <c r="KGT372" s="15"/>
      <c r="KGU372" s="15"/>
      <c r="KGV372" s="15"/>
      <c r="KGW372" s="15"/>
      <c r="KGX372" s="15"/>
      <c r="KGY372" s="15"/>
      <c r="KGZ372" s="10"/>
      <c r="KHA372" s="10"/>
      <c r="KHB372" s="21"/>
      <c r="KHC372" s="21"/>
      <c r="KHF372" s="21"/>
      <c r="KHG372" s="15"/>
      <c r="KHH372" s="15"/>
      <c r="KHI372" s="15"/>
      <c r="KHJ372" s="15"/>
      <c r="KHK372" s="15"/>
      <c r="KHL372" s="15"/>
      <c r="KHM372" s="15"/>
      <c r="KHN372" s="15"/>
      <c r="KHO372" s="15"/>
      <c r="KHP372" s="15"/>
      <c r="KHQ372" s="10"/>
      <c r="KHR372" s="10"/>
      <c r="KHS372" s="21"/>
      <c r="KHT372" s="21"/>
      <c r="KHW372" s="21"/>
      <c r="KHX372" s="15"/>
      <c r="KHY372" s="15"/>
      <c r="KHZ372" s="15"/>
      <c r="KIA372" s="15"/>
      <c r="KIB372" s="15"/>
      <c r="KIC372" s="15"/>
      <c r="KID372" s="15"/>
      <c r="KIE372" s="15"/>
      <c r="KIF372" s="15"/>
      <c r="KIG372" s="15"/>
      <c r="KIH372" s="10"/>
      <c r="KII372" s="10"/>
      <c r="KIJ372" s="21"/>
      <c r="KIK372" s="21"/>
      <c r="KIN372" s="21"/>
      <c r="KIO372" s="15"/>
      <c r="KIP372" s="15"/>
      <c r="KIQ372" s="15"/>
      <c r="KIR372" s="15"/>
      <c r="KIS372" s="15"/>
      <c r="KIT372" s="15"/>
      <c r="KIU372" s="15"/>
      <c r="KIV372" s="15"/>
      <c r="KIW372" s="15"/>
      <c r="KIX372" s="15"/>
      <c r="KIY372" s="10"/>
      <c r="KIZ372" s="10"/>
      <c r="KJA372" s="21"/>
      <c r="KJB372" s="21"/>
      <c r="KJE372" s="21"/>
      <c r="KJF372" s="15"/>
      <c r="KJG372" s="15"/>
      <c r="KJH372" s="15"/>
      <c r="KJI372" s="15"/>
      <c r="KJJ372" s="15"/>
      <c r="KJK372" s="15"/>
      <c r="KJL372" s="15"/>
      <c r="KJM372" s="15"/>
      <c r="KJN372" s="15"/>
      <c r="KJO372" s="15"/>
      <c r="KJP372" s="10"/>
      <c r="KJQ372" s="10"/>
      <c r="KJR372" s="21"/>
      <c r="KJS372" s="21"/>
      <c r="KJV372" s="21"/>
      <c r="KJW372" s="15"/>
      <c r="KJX372" s="15"/>
      <c r="KJY372" s="15"/>
      <c r="KJZ372" s="15"/>
      <c r="KKA372" s="15"/>
      <c r="KKB372" s="15"/>
      <c r="KKC372" s="15"/>
      <c r="KKD372" s="15"/>
      <c r="KKE372" s="15"/>
      <c r="KKF372" s="15"/>
      <c r="KKG372" s="10"/>
      <c r="KKH372" s="10"/>
      <c r="KKI372" s="21"/>
      <c r="KKJ372" s="21"/>
      <c r="KKM372" s="21"/>
      <c r="KKN372" s="15"/>
      <c r="KKO372" s="15"/>
      <c r="KKP372" s="15"/>
      <c r="KKQ372" s="15"/>
      <c r="KKR372" s="15"/>
      <c r="KKS372" s="15"/>
      <c r="KKT372" s="15"/>
      <c r="KKU372" s="15"/>
      <c r="KKV372" s="15"/>
      <c r="KKW372" s="15"/>
      <c r="KKX372" s="10"/>
      <c r="KKY372" s="10"/>
      <c r="KKZ372" s="21"/>
      <c r="KLA372" s="21"/>
      <c r="KLD372" s="21"/>
      <c r="KLE372" s="15"/>
      <c r="KLF372" s="15"/>
      <c r="KLG372" s="15"/>
      <c r="KLH372" s="15"/>
      <c r="KLI372" s="15"/>
      <c r="KLJ372" s="15"/>
      <c r="KLK372" s="15"/>
      <c r="KLL372" s="15"/>
      <c r="KLM372" s="15"/>
      <c r="KLN372" s="15"/>
      <c r="KLO372" s="10"/>
      <c r="KLP372" s="10"/>
      <c r="KLQ372" s="21"/>
      <c r="KLR372" s="21"/>
      <c r="KLU372" s="21"/>
      <c r="KLV372" s="15"/>
      <c r="KLW372" s="15"/>
      <c r="KLX372" s="15"/>
      <c r="KLY372" s="15"/>
      <c r="KLZ372" s="15"/>
      <c r="KMA372" s="15"/>
      <c r="KMB372" s="15"/>
      <c r="KMC372" s="15"/>
      <c r="KMD372" s="15"/>
      <c r="KME372" s="15"/>
      <c r="KMF372" s="10"/>
      <c r="KMG372" s="10"/>
      <c r="KMH372" s="21"/>
      <c r="KMI372" s="21"/>
      <c r="KML372" s="21"/>
      <c r="KMM372" s="15"/>
      <c r="KMN372" s="15"/>
      <c r="KMO372" s="15"/>
      <c r="KMP372" s="15"/>
      <c r="KMQ372" s="15"/>
      <c r="KMR372" s="15"/>
      <c r="KMS372" s="15"/>
      <c r="KMT372" s="15"/>
      <c r="KMU372" s="15"/>
      <c r="KMV372" s="15"/>
      <c r="KMW372" s="10"/>
      <c r="KMX372" s="10"/>
      <c r="KMY372" s="21"/>
      <c r="KMZ372" s="21"/>
      <c r="KNC372" s="21"/>
      <c r="KND372" s="15"/>
      <c r="KNE372" s="15"/>
      <c r="KNF372" s="15"/>
      <c r="KNG372" s="15"/>
      <c r="KNH372" s="15"/>
      <c r="KNI372" s="15"/>
      <c r="KNJ372" s="15"/>
      <c r="KNK372" s="15"/>
      <c r="KNL372" s="15"/>
      <c r="KNM372" s="15"/>
      <c r="KNN372" s="10"/>
      <c r="KNO372" s="10"/>
      <c r="KNP372" s="21"/>
      <c r="KNQ372" s="21"/>
      <c r="KNT372" s="21"/>
      <c r="KNU372" s="15"/>
      <c r="KNV372" s="15"/>
      <c r="KNW372" s="15"/>
      <c r="KNX372" s="15"/>
      <c r="KNY372" s="15"/>
      <c r="KNZ372" s="15"/>
      <c r="KOA372" s="15"/>
      <c r="KOB372" s="15"/>
      <c r="KOC372" s="15"/>
      <c r="KOD372" s="15"/>
      <c r="KOE372" s="10"/>
      <c r="KOF372" s="10"/>
      <c r="KOG372" s="21"/>
      <c r="KOH372" s="21"/>
      <c r="KOK372" s="21"/>
      <c r="KOL372" s="15"/>
      <c r="KOM372" s="15"/>
      <c r="KON372" s="15"/>
      <c r="KOO372" s="15"/>
      <c r="KOP372" s="15"/>
      <c r="KOQ372" s="15"/>
      <c r="KOR372" s="15"/>
      <c r="KOS372" s="15"/>
      <c r="KOT372" s="15"/>
      <c r="KOU372" s="15"/>
      <c r="KOV372" s="10"/>
      <c r="KOW372" s="10"/>
      <c r="KOX372" s="21"/>
      <c r="KOY372" s="21"/>
      <c r="KPB372" s="21"/>
      <c r="KPC372" s="15"/>
      <c r="KPD372" s="15"/>
      <c r="KPE372" s="15"/>
      <c r="KPF372" s="15"/>
      <c r="KPG372" s="15"/>
      <c r="KPH372" s="15"/>
      <c r="KPI372" s="15"/>
      <c r="KPJ372" s="15"/>
      <c r="KPK372" s="15"/>
      <c r="KPL372" s="15"/>
      <c r="KPM372" s="10"/>
      <c r="KPN372" s="10"/>
      <c r="KPO372" s="21"/>
      <c r="KPP372" s="21"/>
      <c r="KPS372" s="21"/>
      <c r="KPT372" s="15"/>
      <c r="KPU372" s="15"/>
      <c r="KPV372" s="15"/>
      <c r="KPW372" s="15"/>
      <c r="KPX372" s="15"/>
      <c r="KPY372" s="15"/>
      <c r="KPZ372" s="15"/>
      <c r="KQA372" s="15"/>
      <c r="KQB372" s="15"/>
      <c r="KQC372" s="15"/>
      <c r="KQD372" s="10"/>
      <c r="KQE372" s="10"/>
      <c r="KQF372" s="21"/>
      <c r="KQG372" s="21"/>
      <c r="KQJ372" s="21"/>
      <c r="KQK372" s="15"/>
      <c r="KQL372" s="15"/>
      <c r="KQM372" s="15"/>
      <c r="KQN372" s="15"/>
      <c r="KQO372" s="15"/>
      <c r="KQP372" s="15"/>
      <c r="KQQ372" s="15"/>
      <c r="KQR372" s="15"/>
      <c r="KQS372" s="15"/>
      <c r="KQT372" s="15"/>
      <c r="KQU372" s="10"/>
      <c r="KQV372" s="10"/>
      <c r="KQW372" s="21"/>
      <c r="KQX372" s="21"/>
      <c r="KRA372" s="21"/>
      <c r="KRB372" s="15"/>
      <c r="KRC372" s="15"/>
      <c r="KRD372" s="15"/>
      <c r="KRE372" s="15"/>
      <c r="KRF372" s="15"/>
      <c r="KRG372" s="15"/>
      <c r="KRH372" s="15"/>
      <c r="KRI372" s="15"/>
      <c r="KRJ372" s="15"/>
      <c r="KRK372" s="15"/>
      <c r="KRL372" s="10"/>
      <c r="KRM372" s="10"/>
      <c r="KRN372" s="21"/>
      <c r="KRO372" s="21"/>
      <c r="KRR372" s="21"/>
      <c r="KRS372" s="15"/>
      <c r="KRT372" s="15"/>
      <c r="KRU372" s="15"/>
      <c r="KRV372" s="15"/>
      <c r="KRW372" s="15"/>
      <c r="KRX372" s="15"/>
      <c r="KRY372" s="15"/>
      <c r="KRZ372" s="15"/>
      <c r="KSA372" s="15"/>
      <c r="KSB372" s="15"/>
      <c r="KSC372" s="10"/>
      <c r="KSD372" s="10"/>
      <c r="KSE372" s="21"/>
      <c r="KSF372" s="21"/>
      <c r="KSI372" s="21"/>
      <c r="KSJ372" s="15"/>
      <c r="KSK372" s="15"/>
      <c r="KSL372" s="15"/>
      <c r="KSM372" s="15"/>
      <c r="KSN372" s="15"/>
      <c r="KSO372" s="15"/>
      <c r="KSP372" s="15"/>
      <c r="KSQ372" s="15"/>
      <c r="KSR372" s="15"/>
      <c r="KSS372" s="15"/>
      <c r="KST372" s="10"/>
      <c r="KSU372" s="10"/>
      <c r="KSV372" s="21"/>
      <c r="KSW372" s="21"/>
      <c r="KSZ372" s="21"/>
      <c r="KTA372" s="15"/>
      <c r="KTB372" s="15"/>
      <c r="KTC372" s="15"/>
      <c r="KTD372" s="15"/>
      <c r="KTE372" s="15"/>
      <c r="KTF372" s="15"/>
      <c r="KTG372" s="15"/>
      <c r="KTH372" s="15"/>
      <c r="KTI372" s="15"/>
      <c r="KTJ372" s="15"/>
      <c r="KTK372" s="10"/>
      <c r="KTL372" s="10"/>
      <c r="KTM372" s="21"/>
      <c r="KTN372" s="21"/>
      <c r="KTQ372" s="21"/>
      <c r="KTR372" s="15"/>
      <c r="KTS372" s="15"/>
      <c r="KTT372" s="15"/>
      <c r="KTU372" s="15"/>
      <c r="KTV372" s="15"/>
      <c r="KTW372" s="15"/>
      <c r="KTX372" s="15"/>
      <c r="KTY372" s="15"/>
      <c r="KTZ372" s="15"/>
      <c r="KUA372" s="15"/>
      <c r="KUB372" s="10"/>
      <c r="KUC372" s="10"/>
      <c r="KUD372" s="21"/>
      <c r="KUE372" s="21"/>
      <c r="KUH372" s="21"/>
      <c r="KUI372" s="15"/>
      <c r="KUJ372" s="15"/>
      <c r="KUK372" s="15"/>
      <c r="KUL372" s="15"/>
      <c r="KUM372" s="15"/>
      <c r="KUN372" s="15"/>
      <c r="KUO372" s="15"/>
      <c r="KUP372" s="15"/>
      <c r="KUQ372" s="15"/>
      <c r="KUR372" s="15"/>
      <c r="KUS372" s="10"/>
      <c r="KUT372" s="10"/>
      <c r="KUU372" s="21"/>
      <c r="KUV372" s="21"/>
      <c r="KUY372" s="21"/>
      <c r="KUZ372" s="15"/>
      <c r="KVA372" s="15"/>
      <c r="KVB372" s="15"/>
      <c r="KVC372" s="15"/>
      <c r="KVD372" s="15"/>
      <c r="KVE372" s="15"/>
      <c r="KVF372" s="15"/>
      <c r="KVG372" s="15"/>
      <c r="KVH372" s="15"/>
      <c r="KVI372" s="15"/>
      <c r="KVJ372" s="10"/>
      <c r="KVK372" s="10"/>
      <c r="KVL372" s="21"/>
      <c r="KVM372" s="21"/>
      <c r="KVP372" s="21"/>
      <c r="KVQ372" s="15"/>
      <c r="KVR372" s="15"/>
      <c r="KVS372" s="15"/>
      <c r="KVT372" s="15"/>
      <c r="KVU372" s="15"/>
      <c r="KVV372" s="15"/>
      <c r="KVW372" s="15"/>
      <c r="KVX372" s="15"/>
      <c r="KVY372" s="15"/>
      <c r="KVZ372" s="15"/>
      <c r="KWA372" s="10"/>
      <c r="KWB372" s="10"/>
      <c r="KWC372" s="21"/>
      <c r="KWD372" s="21"/>
      <c r="KWG372" s="21"/>
      <c r="KWH372" s="15"/>
      <c r="KWI372" s="15"/>
      <c r="KWJ372" s="15"/>
      <c r="KWK372" s="15"/>
      <c r="KWL372" s="15"/>
      <c r="KWM372" s="15"/>
      <c r="KWN372" s="15"/>
      <c r="KWO372" s="15"/>
      <c r="KWP372" s="15"/>
      <c r="KWQ372" s="15"/>
      <c r="KWR372" s="10"/>
      <c r="KWS372" s="10"/>
      <c r="KWT372" s="21"/>
      <c r="KWU372" s="21"/>
      <c r="KWX372" s="21"/>
      <c r="KWY372" s="15"/>
      <c r="KWZ372" s="15"/>
      <c r="KXA372" s="15"/>
      <c r="KXB372" s="15"/>
      <c r="KXC372" s="15"/>
      <c r="KXD372" s="15"/>
      <c r="KXE372" s="15"/>
      <c r="KXF372" s="15"/>
      <c r="KXG372" s="15"/>
      <c r="KXH372" s="15"/>
      <c r="KXI372" s="10"/>
      <c r="KXJ372" s="10"/>
      <c r="KXK372" s="21"/>
      <c r="KXL372" s="21"/>
      <c r="KXO372" s="21"/>
      <c r="KXP372" s="15"/>
      <c r="KXQ372" s="15"/>
      <c r="KXR372" s="15"/>
      <c r="KXS372" s="15"/>
      <c r="KXT372" s="15"/>
      <c r="KXU372" s="15"/>
      <c r="KXV372" s="15"/>
      <c r="KXW372" s="15"/>
      <c r="KXX372" s="15"/>
      <c r="KXY372" s="15"/>
      <c r="KXZ372" s="10"/>
      <c r="KYA372" s="10"/>
      <c r="KYB372" s="21"/>
      <c r="KYC372" s="21"/>
      <c r="KYF372" s="21"/>
      <c r="KYG372" s="15"/>
      <c r="KYH372" s="15"/>
      <c r="KYI372" s="15"/>
      <c r="KYJ372" s="15"/>
      <c r="KYK372" s="15"/>
      <c r="KYL372" s="15"/>
      <c r="KYM372" s="15"/>
      <c r="KYN372" s="15"/>
      <c r="KYO372" s="15"/>
      <c r="KYP372" s="15"/>
      <c r="KYQ372" s="10"/>
      <c r="KYR372" s="10"/>
      <c r="KYS372" s="21"/>
      <c r="KYT372" s="21"/>
      <c r="KYW372" s="21"/>
      <c r="KYX372" s="15"/>
      <c r="KYY372" s="15"/>
      <c r="KYZ372" s="15"/>
      <c r="KZA372" s="15"/>
      <c r="KZB372" s="15"/>
      <c r="KZC372" s="15"/>
      <c r="KZD372" s="15"/>
      <c r="KZE372" s="15"/>
      <c r="KZF372" s="15"/>
      <c r="KZG372" s="15"/>
      <c r="KZH372" s="10"/>
      <c r="KZI372" s="10"/>
      <c r="KZJ372" s="21"/>
      <c r="KZK372" s="21"/>
      <c r="KZN372" s="21"/>
      <c r="KZO372" s="15"/>
      <c r="KZP372" s="15"/>
      <c r="KZQ372" s="15"/>
      <c r="KZR372" s="15"/>
      <c r="KZS372" s="15"/>
      <c r="KZT372" s="15"/>
      <c r="KZU372" s="15"/>
      <c r="KZV372" s="15"/>
      <c r="KZW372" s="15"/>
      <c r="KZX372" s="15"/>
      <c r="KZY372" s="10"/>
      <c r="KZZ372" s="10"/>
      <c r="LAA372" s="21"/>
      <c r="LAB372" s="21"/>
      <c r="LAE372" s="21"/>
      <c r="LAF372" s="15"/>
      <c r="LAG372" s="15"/>
      <c r="LAH372" s="15"/>
      <c r="LAI372" s="15"/>
      <c r="LAJ372" s="15"/>
      <c r="LAK372" s="15"/>
      <c r="LAL372" s="15"/>
      <c r="LAM372" s="15"/>
      <c r="LAN372" s="15"/>
      <c r="LAO372" s="15"/>
      <c r="LAP372" s="10"/>
      <c r="LAQ372" s="10"/>
      <c r="LAR372" s="21"/>
      <c r="LAS372" s="21"/>
      <c r="LAV372" s="21"/>
      <c r="LAW372" s="15"/>
      <c r="LAX372" s="15"/>
      <c r="LAY372" s="15"/>
      <c r="LAZ372" s="15"/>
      <c r="LBA372" s="15"/>
      <c r="LBB372" s="15"/>
      <c r="LBC372" s="15"/>
      <c r="LBD372" s="15"/>
      <c r="LBE372" s="15"/>
      <c r="LBF372" s="15"/>
      <c r="LBG372" s="10"/>
      <c r="LBH372" s="10"/>
      <c r="LBI372" s="21"/>
      <c r="LBJ372" s="21"/>
      <c r="LBM372" s="21"/>
      <c r="LBN372" s="15"/>
      <c r="LBO372" s="15"/>
      <c r="LBP372" s="15"/>
      <c r="LBQ372" s="15"/>
      <c r="LBR372" s="15"/>
      <c r="LBS372" s="15"/>
      <c r="LBT372" s="15"/>
      <c r="LBU372" s="15"/>
      <c r="LBV372" s="15"/>
      <c r="LBW372" s="15"/>
      <c r="LBX372" s="10"/>
      <c r="LBY372" s="10"/>
      <c r="LBZ372" s="21"/>
      <c r="LCA372" s="21"/>
      <c r="LCD372" s="21"/>
      <c r="LCE372" s="15"/>
      <c r="LCF372" s="15"/>
      <c r="LCG372" s="15"/>
      <c r="LCH372" s="15"/>
      <c r="LCI372" s="15"/>
      <c r="LCJ372" s="15"/>
      <c r="LCK372" s="15"/>
      <c r="LCL372" s="15"/>
      <c r="LCM372" s="15"/>
      <c r="LCN372" s="15"/>
      <c r="LCO372" s="10"/>
      <c r="LCP372" s="10"/>
      <c r="LCQ372" s="21"/>
      <c r="LCR372" s="21"/>
      <c r="LCU372" s="21"/>
      <c r="LCV372" s="15"/>
      <c r="LCW372" s="15"/>
      <c r="LCX372" s="15"/>
      <c r="LCY372" s="15"/>
      <c r="LCZ372" s="15"/>
      <c r="LDA372" s="15"/>
      <c r="LDB372" s="15"/>
      <c r="LDC372" s="15"/>
      <c r="LDD372" s="15"/>
      <c r="LDE372" s="15"/>
      <c r="LDF372" s="10"/>
      <c r="LDG372" s="10"/>
      <c r="LDH372" s="21"/>
      <c r="LDI372" s="21"/>
      <c r="LDL372" s="21"/>
      <c r="LDM372" s="15"/>
      <c r="LDN372" s="15"/>
      <c r="LDO372" s="15"/>
      <c r="LDP372" s="15"/>
      <c r="LDQ372" s="15"/>
      <c r="LDR372" s="15"/>
      <c r="LDS372" s="15"/>
      <c r="LDT372" s="15"/>
      <c r="LDU372" s="15"/>
      <c r="LDV372" s="15"/>
      <c r="LDW372" s="10"/>
      <c r="LDX372" s="10"/>
      <c r="LDY372" s="21"/>
      <c r="LDZ372" s="21"/>
      <c r="LEC372" s="21"/>
      <c r="LED372" s="15"/>
      <c r="LEE372" s="15"/>
      <c r="LEF372" s="15"/>
      <c r="LEG372" s="15"/>
      <c r="LEH372" s="15"/>
      <c r="LEI372" s="15"/>
      <c r="LEJ372" s="15"/>
      <c r="LEK372" s="15"/>
      <c r="LEL372" s="15"/>
      <c r="LEM372" s="15"/>
      <c r="LEN372" s="10"/>
      <c r="LEO372" s="10"/>
      <c r="LEP372" s="21"/>
      <c r="LEQ372" s="21"/>
      <c r="LET372" s="21"/>
      <c r="LEU372" s="15"/>
      <c r="LEV372" s="15"/>
      <c r="LEW372" s="15"/>
      <c r="LEX372" s="15"/>
      <c r="LEY372" s="15"/>
      <c r="LEZ372" s="15"/>
      <c r="LFA372" s="15"/>
      <c r="LFB372" s="15"/>
      <c r="LFC372" s="15"/>
      <c r="LFD372" s="15"/>
      <c r="LFE372" s="10"/>
      <c r="LFF372" s="10"/>
      <c r="LFG372" s="21"/>
      <c r="LFH372" s="21"/>
      <c r="LFK372" s="21"/>
      <c r="LFL372" s="15"/>
      <c r="LFM372" s="15"/>
      <c r="LFN372" s="15"/>
      <c r="LFO372" s="15"/>
      <c r="LFP372" s="15"/>
      <c r="LFQ372" s="15"/>
      <c r="LFR372" s="15"/>
      <c r="LFS372" s="15"/>
      <c r="LFT372" s="15"/>
      <c r="LFU372" s="15"/>
      <c r="LFV372" s="10"/>
      <c r="LFW372" s="10"/>
      <c r="LFX372" s="21"/>
      <c r="LFY372" s="21"/>
      <c r="LGB372" s="21"/>
      <c r="LGC372" s="15"/>
      <c r="LGD372" s="15"/>
      <c r="LGE372" s="15"/>
      <c r="LGF372" s="15"/>
      <c r="LGG372" s="15"/>
      <c r="LGH372" s="15"/>
      <c r="LGI372" s="15"/>
      <c r="LGJ372" s="15"/>
      <c r="LGK372" s="15"/>
      <c r="LGL372" s="15"/>
      <c r="LGM372" s="10"/>
      <c r="LGN372" s="10"/>
      <c r="LGO372" s="21"/>
      <c r="LGP372" s="21"/>
      <c r="LGS372" s="21"/>
      <c r="LGT372" s="15"/>
      <c r="LGU372" s="15"/>
      <c r="LGV372" s="15"/>
      <c r="LGW372" s="15"/>
      <c r="LGX372" s="15"/>
      <c r="LGY372" s="15"/>
      <c r="LGZ372" s="15"/>
      <c r="LHA372" s="15"/>
      <c r="LHB372" s="15"/>
      <c r="LHC372" s="15"/>
      <c r="LHD372" s="10"/>
      <c r="LHE372" s="10"/>
      <c r="LHF372" s="21"/>
      <c r="LHG372" s="21"/>
      <c r="LHJ372" s="21"/>
      <c r="LHK372" s="15"/>
      <c r="LHL372" s="15"/>
      <c r="LHM372" s="15"/>
      <c r="LHN372" s="15"/>
      <c r="LHO372" s="15"/>
      <c r="LHP372" s="15"/>
      <c r="LHQ372" s="15"/>
      <c r="LHR372" s="15"/>
      <c r="LHS372" s="15"/>
      <c r="LHT372" s="15"/>
      <c r="LHU372" s="10"/>
      <c r="LHV372" s="10"/>
      <c r="LHW372" s="21"/>
      <c r="LHX372" s="21"/>
      <c r="LIA372" s="21"/>
      <c r="LIB372" s="15"/>
      <c r="LIC372" s="15"/>
      <c r="LID372" s="15"/>
      <c r="LIE372" s="15"/>
      <c r="LIF372" s="15"/>
      <c r="LIG372" s="15"/>
      <c r="LIH372" s="15"/>
      <c r="LII372" s="15"/>
      <c r="LIJ372" s="15"/>
      <c r="LIK372" s="15"/>
      <c r="LIL372" s="10"/>
      <c r="LIM372" s="10"/>
      <c r="LIN372" s="21"/>
      <c r="LIO372" s="21"/>
      <c r="LIR372" s="21"/>
      <c r="LIS372" s="15"/>
      <c r="LIT372" s="15"/>
      <c r="LIU372" s="15"/>
      <c r="LIV372" s="15"/>
      <c r="LIW372" s="15"/>
      <c r="LIX372" s="15"/>
      <c r="LIY372" s="15"/>
      <c r="LIZ372" s="15"/>
      <c r="LJA372" s="15"/>
      <c r="LJB372" s="15"/>
      <c r="LJC372" s="10"/>
      <c r="LJD372" s="10"/>
      <c r="LJE372" s="21"/>
      <c r="LJF372" s="21"/>
      <c r="LJI372" s="21"/>
      <c r="LJJ372" s="15"/>
      <c r="LJK372" s="15"/>
      <c r="LJL372" s="15"/>
      <c r="LJM372" s="15"/>
      <c r="LJN372" s="15"/>
      <c r="LJO372" s="15"/>
      <c r="LJP372" s="15"/>
      <c r="LJQ372" s="15"/>
      <c r="LJR372" s="15"/>
      <c r="LJS372" s="15"/>
      <c r="LJT372" s="10"/>
      <c r="LJU372" s="10"/>
      <c r="LJV372" s="21"/>
      <c r="LJW372" s="21"/>
      <c r="LJZ372" s="21"/>
      <c r="LKA372" s="15"/>
      <c r="LKB372" s="15"/>
      <c r="LKC372" s="15"/>
      <c r="LKD372" s="15"/>
      <c r="LKE372" s="15"/>
      <c r="LKF372" s="15"/>
      <c r="LKG372" s="15"/>
      <c r="LKH372" s="15"/>
      <c r="LKI372" s="15"/>
      <c r="LKJ372" s="15"/>
      <c r="LKK372" s="10"/>
      <c r="LKL372" s="10"/>
      <c r="LKM372" s="21"/>
      <c r="LKN372" s="21"/>
      <c r="LKQ372" s="21"/>
      <c r="LKR372" s="15"/>
      <c r="LKS372" s="15"/>
      <c r="LKT372" s="15"/>
      <c r="LKU372" s="15"/>
      <c r="LKV372" s="15"/>
      <c r="LKW372" s="15"/>
      <c r="LKX372" s="15"/>
      <c r="LKY372" s="15"/>
      <c r="LKZ372" s="15"/>
      <c r="LLA372" s="15"/>
      <c r="LLB372" s="10"/>
      <c r="LLC372" s="10"/>
      <c r="LLD372" s="21"/>
      <c r="LLE372" s="21"/>
      <c r="LLH372" s="21"/>
      <c r="LLI372" s="15"/>
      <c r="LLJ372" s="15"/>
      <c r="LLK372" s="15"/>
      <c r="LLL372" s="15"/>
      <c r="LLM372" s="15"/>
      <c r="LLN372" s="15"/>
      <c r="LLO372" s="15"/>
      <c r="LLP372" s="15"/>
      <c r="LLQ372" s="15"/>
      <c r="LLR372" s="15"/>
      <c r="LLS372" s="10"/>
      <c r="LLT372" s="10"/>
      <c r="LLU372" s="21"/>
      <c r="LLV372" s="21"/>
      <c r="LLY372" s="21"/>
      <c r="LLZ372" s="15"/>
      <c r="LMA372" s="15"/>
      <c r="LMB372" s="15"/>
      <c r="LMC372" s="15"/>
      <c r="LMD372" s="15"/>
      <c r="LME372" s="15"/>
      <c r="LMF372" s="15"/>
      <c r="LMG372" s="15"/>
      <c r="LMH372" s="15"/>
      <c r="LMI372" s="15"/>
      <c r="LMJ372" s="10"/>
      <c r="LMK372" s="10"/>
      <c r="LML372" s="21"/>
      <c r="LMM372" s="21"/>
      <c r="LMP372" s="21"/>
      <c r="LMQ372" s="15"/>
      <c r="LMR372" s="15"/>
      <c r="LMS372" s="15"/>
      <c r="LMT372" s="15"/>
      <c r="LMU372" s="15"/>
      <c r="LMV372" s="15"/>
      <c r="LMW372" s="15"/>
      <c r="LMX372" s="15"/>
      <c r="LMY372" s="15"/>
      <c r="LMZ372" s="15"/>
      <c r="LNA372" s="10"/>
      <c r="LNB372" s="10"/>
      <c r="LNC372" s="21"/>
      <c r="LND372" s="21"/>
      <c r="LNG372" s="21"/>
      <c r="LNH372" s="15"/>
      <c r="LNI372" s="15"/>
      <c r="LNJ372" s="15"/>
      <c r="LNK372" s="15"/>
      <c r="LNL372" s="15"/>
      <c r="LNM372" s="15"/>
      <c r="LNN372" s="15"/>
      <c r="LNO372" s="15"/>
      <c r="LNP372" s="15"/>
      <c r="LNQ372" s="15"/>
      <c r="LNR372" s="10"/>
      <c r="LNS372" s="10"/>
      <c r="LNT372" s="21"/>
      <c r="LNU372" s="21"/>
      <c r="LNX372" s="21"/>
      <c r="LNY372" s="15"/>
      <c r="LNZ372" s="15"/>
      <c r="LOA372" s="15"/>
      <c r="LOB372" s="15"/>
      <c r="LOC372" s="15"/>
      <c r="LOD372" s="15"/>
      <c r="LOE372" s="15"/>
      <c r="LOF372" s="15"/>
      <c r="LOG372" s="15"/>
      <c r="LOH372" s="15"/>
      <c r="LOI372" s="10"/>
      <c r="LOJ372" s="10"/>
      <c r="LOK372" s="21"/>
      <c r="LOL372" s="21"/>
      <c r="LOO372" s="21"/>
      <c r="LOP372" s="15"/>
      <c r="LOQ372" s="15"/>
      <c r="LOR372" s="15"/>
      <c r="LOS372" s="15"/>
      <c r="LOT372" s="15"/>
      <c r="LOU372" s="15"/>
      <c r="LOV372" s="15"/>
      <c r="LOW372" s="15"/>
      <c r="LOX372" s="15"/>
      <c r="LOY372" s="15"/>
      <c r="LOZ372" s="10"/>
      <c r="LPA372" s="10"/>
      <c r="LPB372" s="21"/>
      <c r="LPC372" s="21"/>
      <c r="LPF372" s="21"/>
      <c r="LPG372" s="15"/>
      <c r="LPH372" s="15"/>
      <c r="LPI372" s="15"/>
      <c r="LPJ372" s="15"/>
      <c r="LPK372" s="15"/>
      <c r="LPL372" s="15"/>
      <c r="LPM372" s="15"/>
      <c r="LPN372" s="15"/>
      <c r="LPO372" s="15"/>
      <c r="LPP372" s="15"/>
      <c r="LPQ372" s="10"/>
      <c r="LPR372" s="10"/>
      <c r="LPS372" s="21"/>
      <c r="LPT372" s="21"/>
      <c r="LPW372" s="21"/>
      <c r="LPX372" s="15"/>
      <c r="LPY372" s="15"/>
      <c r="LPZ372" s="15"/>
      <c r="LQA372" s="15"/>
      <c r="LQB372" s="15"/>
      <c r="LQC372" s="15"/>
      <c r="LQD372" s="15"/>
      <c r="LQE372" s="15"/>
      <c r="LQF372" s="15"/>
      <c r="LQG372" s="15"/>
      <c r="LQH372" s="10"/>
      <c r="LQI372" s="10"/>
      <c r="LQJ372" s="21"/>
      <c r="LQK372" s="21"/>
      <c r="LQN372" s="21"/>
      <c r="LQO372" s="15"/>
      <c r="LQP372" s="15"/>
      <c r="LQQ372" s="15"/>
      <c r="LQR372" s="15"/>
      <c r="LQS372" s="15"/>
      <c r="LQT372" s="15"/>
      <c r="LQU372" s="15"/>
      <c r="LQV372" s="15"/>
      <c r="LQW372" s="15"/>
      <c r="LQX372" s="15"/>
      <c r="LQY372" s="10"/>
      <c r="LQZ372" s="10"/>
      <c r="LRA372" s="21"/>
      <c r="LRB372" s="21"/>
      <c r="LRE372" s="21"/>
      <c r="LRF372" s="15"/>
      <c r="LRG372" s="15"/>
      <c r="LRH372" s="15"/>
      <c r="LRI372" s="15"/>
      <c r="LRJ372" s="15"/>
      <c r="LRK372" s="15"/>
      <c r="LRL372" s="15"/>
      <c r="LRM372" s="15"/>
      <c r="LRN372" s="15"/>
      <c r="LRO372" s="15"/>
      <c r="LRP372" s="10"/>
      <c r="LRQ372" s="10"/>
      <c r="LRR372" s="21"/>
      <c r="LRS372" s="21"/>
      <c r="LRV372" s="21"/>
      <c r="LRW372" s="15"/>
      <c r="LRX372" s="15"/>
      <c r="LRY372" s="15"/>
      <c r="LRZ372" s="15"/>
      <c r="LSA372" s="15"/>
      <c r="LSB372" s="15"/>
      <c r="LSC372" s="15"/>
      <c r="LSD372" s="15"/>
      <c r="LSE372" s="15"/>
      <c r="LSF372" s="15"/>
      <c r="LSG372" s="10"/>
      <c r="LSH372" s="10"/>
      <c r="LSI372" s="21"/>
      <c r="LSJ372" s="21"/>
      <c r="LSM372" s="21"/>
      <c r="LSN372" s="15"/>
      <c r="LSO372" s="15"/>
      <c r="LSP372" s="15"/>
      <c r="LSQ372" s="15"/>
      <c r="LSR372" s="15"/>
      <c r="LSS372" s="15"/>
      <c r="LST372" s="15"/>
      <c r="LSU372" s="15"/>
      <c r="LSV372" s="15"/>
      <c r="LSW372" s="15"/>
      <c r="LSX372" s="10"/>
      <c r="LSY372" s="10"/>
      <c r="LSZ372" s="21"/>
      <c r="LTA372" s="21"/>
      <c r="LTD372" s="21"/>
      <c r="LTE372" s="15"/>
      <c r="LTF372" s="15"/>
      <c r="LTG372" s="15"/>
      <c r="LTH372" s="15"/>
      <c r="LTI372" s="15"/>
      <c r="LTJ372" s="15"/>
      <c r="LTK372" s="15"/>
      <c r="LTL372" s="15"/>
      <c r="LTM372" s="15"/>
      <c r="LTN372" s="15"/>
      <c r="LTO372" s="10"/>
      <c r="LTP372" s="10"/>
      <c r="LTQ372" s="21"/>
      <c r="LTR372" s="21"/>
      <c r="LTU372" s="21"/>
      <c r="LTV372" s="15"/>
      <c r="LTW372" s="15"/>
      <c r="LTX372" s="15"/>
      <c r="LTY372" s="15"/>
      <c r="LTZ372" s="15"/>
      <c r="LUA372" s="15"/>
      <c r="LUB372" s="15"/>
      <c r="LUC372" s="15"/>
      <c r="LUD372" s="15"/>
      <c r="LUE372" s="15"/>
      <c r="LUF372" s="10"/>
      <c r="LUG372" s="10"/>
      <c r="LUH372" s="21"/>
      <c r="LUI372" s="21"/>
      <c r="LUL372" s="21"/>
      <c r="LUM372" s="15"/>
      <c r="LUN372" s="15"/>
      <c r="LUO372" s="15"/>
      <c r="LUP372" s="15"/>
      <c r="LUQ372" s="15"/>
      <c r="LUR372" s="15"/>
      <c r="LUS372" s="15"/>
      <c r="LUT372" s="15"/>
      <c r="LUU372" s="15"/>
      <c r="LUV372" s="15"/>
      <c r="LUW372" s="10"/>
      <c r="LUX372" s="10"/>
      <c r="LUY372" s="21"/>
      <c r="LUZ372" s="21"/>
      <c r="LVC372" s="21"/>
      <c r="LVD372" s="15"/>
      <c r="LVE372" s="15"/>
      <c r="LVF372" s="15"/>
      <c r="LVG372" s="15"/>
      <c r="LVH372" s="15"/>
      <c r="LVI372" s="15"/>
      <c r="LVJ372" s="15"/>
      <c r="LVK372" s="15"/>
      <c r="LVL372" s="15"/>
      <c r="LVM372" s="15"/>
      <c r="LVN372" s="10"/>
      <c r="LVO372" s="10"/>
      <c r="LVP372" s="21"/>
      <c r="LVQ372" s="21"/>
      <c r="LVT372" s="21"/>
      <c r="LVU372" s="15"/>
      <c r="LVV372" s="15"/>
      <c r="LVW372" s="15"/>
      <c r="LVX372" s="15"/>
      <c r="LVY372" s="15"/>
      <c r="LVZ372" s="15"/>
      <c r="LWA372" s="15"/>
      <c r="LWB372" s="15"/>
      <c r="LWC372" s="15"/>
      <c r="LWD372" s="15"/>
      <c r="LWE372" s="10"/>
      <c r="LWF372" s="10"/>
      <c r="LWG372" s="21"/>
      <c r="LWH372" s="21"/>
      <c r="LWK372" s="21"/>
      <c r="LWL372" s="15"/>
      <c r="LWM372" s="15"/>
      <c r="LWN372" s="15"/>
      <c r="LWO372" s="15"/>
      <c r="LWP372" s="15"/>
      <c r="LWQ372" s="15"/>
      <c r="LWR372" s="15"/>
      <c r="LWS372" s="15"/>
      <c r="LWT372" s="15"/>
      <c r="LWU372" s="15"/>
      <c r="LWV372" s="10"/>
      <c r="LWW372" s="10"/>
      <c r="LWX372" s="21"/>
      <c r="LWY372" s="21"/>
      <c r="LXB372" s="21"/>
      <c r="LXC372" s="15"/>
      <c r="LXD372" s="15"/>
      <c r="LXE372" s="15"/>
      <c r="LXF372" s="15"/>
      <c r="LXG372" s="15"/>
      <c r="LXH372" s="15"/>
      <c r="LXI372" s="15"/>
      <c r="LXJ372" s="15"/>
      <c r="LXK372" s="15"/>
      <c r="LXL372" s="15"/>
      <c r="LXM372" s="10"/>
      <c r="LXN372" s="10"/>
      <c r="LXO372" s="21"/>
      <c r="LXP372" s="21"/>
      <c r="LXS372" s="21"/>
      <c r="LXT372" s="15"/>
      <c r="LXU372" s="15"/>
      <c r="LXV372" s="15"/>
      <c r="LXW372" s="15"/>
      <c r="LXX372" s="15"/>
      <c r="LXY372" s="15"/>
      <c r="LXZ372" s="15"/>
      <c r="LYA372" s="15"/>
      <c r="LYB372" s="15"/>
      <c r="LYC372" s="15"/>
      <c r="LYD372" s="10"/>
      <c r="LYE372" s="10"/>
      <c r="LYF372" s="21"/>
      <c r="LYG372" s="21"/>
      <c r="LYJ372" s="21"/>
      <c r="LYK372" s="15"/>
      <c r="LYL372" s="15"/>
      <c r="LYM372" s="15"/>
      <c r="LYN372" s="15"/>
      <c r="LYO372" s="15"/>
      <c r="LYP372" s="15"/>
      <c r="LYQ372" s="15"/>
      <c r="LYR372" s="15"/>
      <c r="LYS372" s="15"/>
      <c r="LYT372" s="15"/>
      <c r="LYU372" s="10"/>
      <c r="LYV372" s="10"/>
      <c r="LYW372" s="21"/>
      <c r="LYX372" s="21"/>
      <c r="LZA372" s="21"/>
      <c r="LZB372" s="15"/>
      <c r="LZC372" s="15"/>
      <c r="LZD372" s="15"/>
      <c r="LZE372" s="15"/>
      <c r="LZF372" s="15"/>
      <c r="LZG372" s="15"/>
      <c r="LZH372" s="15"/>
      <c r="LZI372" s="15"/>
      <c r="LZJ372" s="15"/>
      <c r="LZK372" s="15"/>
      <c r="LZL372" s="10"/>
      <c r="LZM372" s="10"/>
      <c r="LZN372" s="21"/>
      <c r="LZO372" s="21"/>
      <c r="LZR372" s="21"/>
      <c r="LZS372" s="15"/>
      <c r="LZT372" s="15"/>
      <c r="LZU372" s="15"/>
      <c r="LZV372" s="15"/>
      <c r="LZW372" s="15"/>
      <c r="LZX372" s="15"/>
      <c r="LZY372" s="15"/>
      <c r="LZZ372" s="15"/>
      <c r="MAA372" s="15"/>
      <c r="MAB372" s="15"/>
      <c r="MAC372" s="10"/>
      <c r="MAD372" s="10"/>
      <c r="MAE372" s="21"/>
      <c r="MAF372" s="21"/>
      <c r="MAI372" s="21"/>
      <c r="MAJ372" s="15"/>
      <c r="MAK372" s="15"/>
      <c r="MAL372" s="15"/>
      <c r="MAM372" s="15"/>
      <c r="MAN372" s="15"/>
      <c r="MAO372" s="15"/>
      <c r="MAP372" s="15"/>
      <c r="MAQ372" s="15"/>
      <c r="MAR372" s="15"/>
      <c r="MAS372" s="15"/>
      <c r="MAT372" s="10"/>
      <c r="MAU372" s="10"/>
      <c r="MAV372" s="21"/>
      <c r="MAW372" s="21"/>
      <c r="MAZ372" s="21"/>
      <c r="MBA372" s="15"/>
      <c r="MBB372" s="15"/>
      <c r="MBC372" s="15"/>
      <c r="MBD372" s="15"/>
      <c r="MBE372" s="15"/>
      <c r="MBF372" s="15"/>
      <c r="MBG372" s="15"/>
      <c r="MBH372" s="15"/>
      <c r="MBI372" s="15"/>
      <c r="MBJ372" s="15"/>
      <c r="MBK372" s="10"/>
      <c r="MBL372" s="10"/>
      <c r="MBM372" s="21"/>
      <c r="MBN372" s="21"/>
      <c r="MBQ372" s="21"/>
      <c r="MBR372" s="15"/>
      <c r="MBS372" s="15"/>
      <c r="MBT372" s="15"/>
      <c r="MBU372" s="15"/>
      <c r="MBV372" s="15"/>
      <c r="MBW372" s="15"/>
      <c r="MBX372" s="15"/>
      <c r="MBY372" s="15"/>
      <c r="MBZ372" s="15"/>
      <c r="MCA372" s="15"/>
      <c r="MCB372" s="10"/>
      <c r="MCC372" s="10"/>
      <c r="MCD372" s="21"/>
      <c r="MCE372" s="21"/>
      <c r="MCH372" s="21"/>
      <c r="MCI372" s="15"/>
      <c r="MCJ372" s="15"/>
      <c r="MCK372" s="15"/>
      <c r="MCL372" s="15"/>
      <c r="MCM372" s="15"/>
      <c r="MCN372" s="15"/>
      <c r="MCO372" s="15"/>
      <c r="MCP372" s="15"/>
      <c r="MCQ372" s="15"/>
      <c r="MCR372" s="15"/>
      <c r="MCS372" s="10"/>
      <c r="MCT372" s="10"/>
      <c r="MCU372" s="21"/>
      <c r="MCV372" s="21"/>
      <c r="MCY372" s="21"/>
      <c r="MCZ372" s="15"/>
      <c r="MDA372" s="15"/>
      <c r="MDB372" s="15"/>
      <c r="MDC372" s="15"/>
      <c r="MDD372" s="15"/>
      <c r="MDE372" s="15"/>
      <c r="MDF372" s="15"/>
      <c r="MDG372" s="15"/>
      <c r="MDH372" s="15"/>
      <c r="MDI372" s="15"/>
      <c r="MDJ372" s="10"/>
      <c r="MDK372" s="10"/>
      <c r="MDL372" s="21"/>
      <c r="MDM372" s="21"/>
      <c r="MDP372" s="21"/>
      <c r="MDQ372" s="15"/>
      <c r="MDR372" s="15"/>
      <c r="MDS372" s="15"/>
      <c r="MDT372" s="15"/>
      <c r="MDU372" s="15"/>
      <c r="MDV372" s="15"/>
      <c r="MDW372" s="15"/>
      <c r="MDX372" s="15"/>
      <c r="MDY372" s="15"/>
      <c r="MDZ372" s="15"/>
      <c r="MEA372" s="10"/>
      <c r="MEB372" s="10"/>
      <c r="MEC372" s="21"/>
      <c r="MED372" s="21"/>
      <c r="MEG372" s="21"/>
      <c r="MEH372" s="15"/>
      <c r="MEI372" s="15"/>
      <c r="MEJ372" s="15"/>
      <c r="MEK372" s="15"/>
      <c r="MEL372" s="15"/>
      <c r="MEM372" s="15"/>
      <c r="MEN372" s="15"/>
      <c r="MEO372" s="15"/>
      <c r="MEP372" s="15"/>
      <c r="MEQ372" s="15"/>
      <c r="MER372" s="10"/>
      <c r="MES372" s="10"/>
      <c r="MET372" s="21"/>
      <c r="MEU372" s="21"/>
      <c r="MEX372" s="21"/>
      <c r="MEY372" s="15"/>
      <c r="MEZ372" s="15"/>
      <c r="MFA372" s="15"/>
      <c r="MFB372" s="15"/>
      <c r="MFC372" s="15"/>
      <c r="MFD372" s="15"/>
      <c r="MFE372" s="15"/>
      <c r="MFF372" s="15"/>
      <c r="MFG372" s="15"/>
      <c r="MFH372" s="15"/>
      <c r="MFI372" s="10"/>
      <c r="MFJ372" s="10"/>
      <c r="MFK372" s="21"/>
      <c r="MFL372" s="21"/>
      <c r="MFO372" s="21"/>
      <c r="MFP372" s="15"/>
      <c r="MFQ372" s="15"/>
      <c r="MFR372" s="15"/>
      <c r="MFS372" s="15"/>
      <c r="MFT372" s="15"/>
      <c r="MFU372" s="15"/>
      <c r="MFV372" s="15"/>
      <c r="MFW372" s="15"/>
      <c r="MFX372" s="15"/>
      <c r="MFY372" s="15"/>
      <c r="MFZ372" s="10"/>
      <c r="MGA372" s="10"/>
      <c r="MGB372" s="21"/>
      <c r="MGC372" s="21"/>
      <c r="MGF372" s="21"/>
      <c r="MGG372" s="15"/>
      <c r="MGH372" s="15"/>
      <c r="MGI372" s="15"/>
      <c r="MGJ372" s="15"/>
      <c r="MGK372" s="15"/>
      <c r="MGL372" s="15"/>
      <c r="MGM372" s="15"/>
      <c r="MGN372" s="15"/>
      <c r="MGO372" s="15"/>
      <c r="MGP372" s="15"/>
      <c r="MGQ372" s="10"/>
      <c r="MGR372" s="10"/>
      <c r="MGS372" s="21"/>
      <c r="MGT372" s="21"/>
      <c r="MGW372" s="21"/>
      <c r="MGX372" s="15"/>
      <c r="MGY372" s="15"/>
      <c r="MGZ372" s="15"/>
      <c r="MHA372" s="15"/>
      <c r="MHB372" s="15"/>
      <c r="MHC372" s="15"/>
      <c r="MHD372" s="15"/>
      <c r="MHE372" s="15"/>
      <c r="MHF372" s="15"/>
      <c r="MHG372" s="15"/>
      <c r="MHH372" s="10"/>
      <c r="MHI372" s="10"/>
      <c r="MHJ372" s="21"/>
      <c r="MHK372" s="21"/>
      <c r="MHN372" s="21"/>
      <c r="MHO372" s="15"/>
      <c r="MHP372" s="15"/>
      <c r="MHQ372" s="15"/>
      <c r="MHR372" s="15"/>
      <c r="MHS372" s="15"/>
      <c r="MHT372" s="15"/>
      <c r="MHU372" s="15"/>
      <c r="MHV372" s="15"/>
      <c r="MHW372" s="15"/>
      <c r="MHX372" s="15"/>
      <c r="MHY372" s="10"/>
      <c r="MHZ372" s="10"/>
      <c r="MIA372" s="21"/>
      <c r="MIB372" s="21"/>
      <c r="MIE372" s="21"/>
      <c r="MIF372" s="15"/>
      <c r="MIG372" s="15"/>
      <c r="MIH372" s="15"/>
      <c r="MII372" s="15"/>
      <c r="MIJ372" s="15"/>
      <c r="MIK372" s="15"/>
      <c r="MIL372" s="15"/>
      <c r="MIM372" s="15"/>
      <c r="MIN372" s="15"/>
      <c r="MIO372" s="15"/>
      <c r="MIP372" s="10"/>
      <c r="MIQ372" s="10"/>
      <c r="MIR372" s="21"/>
      <c r="MIS372" s="21"/>
      <c r="MIV372" s="21"/>
      <c r="MIW372" s="15"/>
      <c r="MIX372" s="15"/>
      <c r="MIY372" s="15"/>
      <c r="MIZ372" s="15"/>
      <c r="MJA372" s="15"/>
      <c r="MJB372" s="15"/>
      <c r="MJC372" s="15"/>
      <c r="MJD372" s="15"/>
      <c r="MJE372" s="15"/>
      <c r="MJF372" s="15"/>
      <c r="MJG372" s="10"/>
      <c r="MJH372" s="10"/>
      <c r="MJI372" s="21"/>
      <c r="MJJ372" s="21"/>
      <c r="MJM372" s="21"/>
      <c r="MJN372" s="15"/>
      <c r="MJO372" s="15"/>
      <c r="MJP372" s="15"/>
      <c r="MJQ372" s="15"/>
      <c r="MJR372" s="15"/>
      <c r="MJS372" s="15"/>
      <c r="MJT372" s="15"/>
      <c r="MJU372" s="15"/>
      <c r="MJV372" s="15"/>
      <c r="MJW372" s="15"/>
      <c r="MJX372" s="10"/>
      <c r="MJY372" s="10"/>
      <c r="MJZ372" s="21"/>
      <c r="MKA372" s="21"/>
      <c r="MKD372" s="21"/>
      <c r="MKE372" s="15"/>
      <c r="MKF372" s="15"/>
      <c r="MKG372" s="15"/>
      <c r="MKH372" s="15"/>
      <c r="MKI372" s="15"/>
      <c r="MKJ372" s="15"/>
      <c r="MKK372" s="15"/>
      <c r="MKL372" s="15"/>
      <c r="MKM372" s="15"/>
      <c r="MKN372" s="15"/>
      <c r="MKO372" s="10"/>
      <c r="MKP372" s="10"/>
      <c r="MKQ372" s="21"/>
      <c r="MKR372" s="21"/>
      <c r="MKU372" s="21"/>
      <c r="MKV372" s="15"/>
      <c r="MKW372" s="15"/>
      <c r="MKX372" s="15"/>
      <c r="MKY372" s="15"/>
      <c r="MKZ372" s="15"/>
      <c r="MLA372" s="15"/>
      <c r="MLB372" s="15"/>
      <c r="MLC372" s="15"/>
      <c r="MLD372" s="15"/>
      <c r="MLE372" s="15"/>
      <c r="MLF372" s="10"/>
      <c r="MLG372" s="10"/>
      <c r="MLH372" s="21"/>
      <c r="MLI372" s="21"/>
      <c r="MLL372" s="21"/>
      <c r="MLM372" s="15"/>
      <c r="MLN372" s="15"/>
      <c r="MLO372" s="15"/>
      <c r="MLP372" s="15"/>
      <c r="MLQ372" s="15"/>
      <c r="MLR372" s="15"/>
      <c r="MLS372" s="15"/>
      <c r="MLT372" s="15"/>
      <c r="MLU372" s="15"/>
      <c r="MLV372" s="15"/>
      <c r="MLW372" s="10"/>
      <c r="MLX372" s="10"/>
      <c r="MLY372" s="21"/>
      <c r="MLZ372" s="21"/>
      <c r="MMC372" s="21"/>
      <c r="MMD372" s="15"/>
      <c r="MME372" s="15"/>
      <c r="MMF372" s="15"/>
      <c r="MMG372" s="15"/>
      <c r="MMH372" s="15"/>
      <c r="MMI372" s="15"/>
      <c r="MMJ372" s="15"/>
      <c r="MMK372" s="15"/>
      <c r="MML372" s="15"/>
      <c r="MMM372" s="15"/>
      <c r="MMN372" s="10"/>
      <c r="MMO372" s="10"/>
      <c r="MMP372" s="21"/>
      <c r="MMQ372" s="21"/>
      <c r="MMT372" s="21"/>
      <c r="MMU372" s="15"/>
      <c r="MMV372" s="15"/>
      <c r="MMW372" s="15"/>
      <c r="MMX372" s="15"/>
      <c r="MMY372" s="15"/>
      <c r="MMZ372" s="15"/>
      <c r="MNA372" s="15"/>
      <c r="MNB372" s="15"/>
      <c r="MNC372" s="15"/>
      <c r="MND372" s="15"/>
      <c r="MNE372" s="10"/>
      <c r="MNF372" s="10"/>
      <c r="MNG372" s="21"/>
      <c r="MNH372" s="21"/>
      <c r="MNK372" s="21"/>
      <c r="MNL372" s="15"/>
      <c r="MNM372" s="15"/>
      <c r="MNN372" s="15"/>
      <c r="MNO372" s="15"/>
      <c r="MNP372" s="15"/>
      <c r="MNQ372" s="15"/>
      <c r="MNR372" s="15"/>
      <c r="MNS372" s="15"/>
      <c r="MNT372" s="15"/>
      <c r="MNU372" s="15"/>
      <c r="MNV372" s="10"/>
      <c r="MNW372" s="10"/>
      <c r="MNX372" s="21"/>
      <c r="MNY372" s="21"/>
      <c r="MOB372" s="21"/>
      <c r="MOC372" s="15"/>
      <c r="MOD372" s="15"/>
      <c r="MOE372" s="15"/>
      <c r="MOF372" s="15"/>
      <c r="MOG372" s="15"/>
      <c r="MOH372" s="15"/>
      <c r="MOI372" s="15"/>
      <c r="MOJ372" s="15"/>
      <c r="MOK372" s="15"/>
      <c r="MOL372" s="15"/>
      <c r="MOM372" s="10"/>
      <c r="MON372" s="10"/>
      <c r="MOO372" s="21"/>
      <c r="MOP372" s="21"/>
      <c r="MOS372" s="21"/>
      <c r="MOT372" s="15"/>
      <c r="MOU372" s="15"/>
      <c r="MOV372" s="15"/>
      <c r="MOW372" s="15"/>
      <c r="MOX372" s="15"/>
      <c r="MOY372" s="15"/>
      <c r="MOZ372" s="15"/>
      <c r="MPA372" s="15"/>
      <c r="MPB372" s="15"/>
      <c r="MPC372" s="15"/>
      <c r="MPD372" s="10"/>
      <c r="MPE372" s="10"/>
      <c r="MPF372" s="21"/>
      <c r="MPG372" s="21"/>
      <c r="MPJ372" s="21"/>
      <c r="MPK372" s="15"/>
      <c r="MPL372" s="15"/>
      <c r="MPM372" s="15"/>
      <c r="MPN372" s="15"/>
      <c r="MPO372" s="15"/>
      <c r="MPP372" s="15"/>
      <c r="MPQ372" s="15"/>
      <c r="MPR372" s="15"/>
      <c r="MPS372" s="15"/>
      <c r="MPT372" s="15"/>
      <c r="MPU372" s="10"/>
      <c r="MPV372" s="10"/>
      <c r="MPW372" s="21"/>
      <c r="MPX372" s="21"/>
      <c r="MQA372" s="21"/>
      <c r="MQB372" s="15"/>
      <c r="MQC372" s="15"/>
      <c r="MQD372" s="15"/>
      <c r="MQE372" s="15"/>
      <c r="MQF372" s="15"/>
      <c r="MQG372" s="15"/>
      <c r="MQH372" s="15"/>
      <c r="MQI372" s="15"/>
      <c r="MQJ372" s="15"/>
      <c r="MQK372" s="15"/>
      <c r="MQL372" s="10"/>
      <c r="MQM372" s="10"/>
      <c r="MQN372" s="21"/>
      <c r="MQO372" s="21"/>
      <c r="MQR372" s="21"/>
      <c r="MQS372" s="15"/>
      <c r="MQT372" s="15"/>
      <c r="MQU372" s="15"/>
      <c r="MQV372" s="15"/>
      <c r="MQW372" s="15"/>
      <c r="MQX372" s="15"/>
      <c r="MQY372" s="15"/>
      <c r="MQZ372" s="15"/>
      <c r="MRA372" s="15"/>
      <c r="MRB372" s="15"/>
      <c r="MRC372" s="10"/>
      <c r="MRD372" s="10"/>
      <c r="MRE372" s="21"/>
      <c r="MRF372" s="21"/>
      <c r="MRI372" s="21"/>
      <c r="MRJ372" s="15"/>
      <c r="MRK372" s="15"/>
      <c r="MRL372" s="15"/>
      <c r="MRM372" s="15"/>
      <c r="MRN372" s="15"/>
      <c r="MRO372" s="15"/>
      <c r="MRP372" s="15"/>
      <c r="MRQ372" s="15"/>
      <c r="MRR372" s="15"/>
      <c r="MRS372" s="15"/>
      <c r="MRT372" s="10"/>
      <c r="MRU372" s="10"/>
      <c r="MRV372" s="21"/>
      <c r="MRW372" s="21"/>
      <c r="MRZ372" s="21"/>
      <c r="MSA372" s="15"/>
      <c r="MSB372" s="15"/>
      <c r="MSC372" s="15"/>
      <c r="MSD372" s="15"/>
      <c r="MSE372" s="15"/>
      <c r="MSF372" s="15"/>
      <c r="MSG372" s="15"/>
      <c r="MSH372" s="15"/>
      <c r="MSI372" s="15"/>
      <c r="MSJ372" s="15"/>
      <c r="MSK372" s="10"/>
      <c r="MSL372" s="10"/>
      <c r="MSM372" s="21"/>
      <c r="MSN372" s="21"/>
      <c r="MSQ372" s="21"/>
      <c r="MSR372" s="15"/>
      <c r="MSS372" s="15"/>
      <c r="MST372" s="15"/>
      <c r="MSU372" s="15"/>
      <c r="MSV372" s="15"/>
      <c r="MSW372" s="15"/>
      <c r="MSX372" s="15"/>
      <c r="MSY372" s="15"/>
      <c r="MSZ372" s="15"/>
      <c r="MTA372" s="15"/>
      <c r="MTB372" s="10"/>
      <c r="MTC372" s="10"/>
      <c r="MTD372" s="21"/>
      <c r="MTE372" s="21"/>
      <c r="MTH372" s="21"/>
      <c r="MTI372" s="15"/>
      <c r="MTJ372" s="15"/>
      <c r="MTK372" s="15"/>
      <c r="MTL372" s="15"/>
      <c r="MTM372" s="15"/>
      <c r="MTN372" s="15"/>
      <c r="MTO372" s="15"/>
      <c r="MTP372" s="15"/>
      <c r="MTQ372" s="15"/>
      <c r="MTR372" s="15"/>
      <c r="MTS372" s="10"/>
      <c r="MTT372" s="10"/>
      <c r="MTU372" s="21"/>
      <c r="MTV372" s="21"/>
      <c r="MTY372" s="21"/>
      <c r="MTZ372" s="15"/>
      <c r="MUA372" s="15"/>
      <c r="MUB372" s="15"/>
      <c r="MUC372" s="15"/>
      <c r="MUD372" s="15"/>
      <c r="MUE372" s="15"/>
      <c r="MUF372" s="15"/>
      <c r="MUG372" s="15"/>
      <c r="MUH372" s="15"/>
      <c r="MUI372" s="15"/>
      <c r="MUJ372" s="10"/>
      <c r="MUK372" s="10"/>
      <c r="MUL372" s="21"/>
      <c r="MUM372" s="21"/>
      <c r="MUP372" s="21"/>
      <c r="MUQ372" s="15"/>
      <c r="MUR372" s="15"/>
      <c r="MUS372" s="15"/>
      <c r="MUT372" s="15"/>
      <c r="MUU372" s="15"/>
      <c r="MUV372" s="15"/>
      <c r="MUW372" s="15"/>
      <c r="MUX372" s="15"/>
      <c r="MUY372" s="15"/>
      <c r="MUZ372" s="15"/>
      <c r="MVA372" s="10"/>
      <c r="MVB372" s="10"/>
      <c r="MVC372" s="21"/>
      <c r="MVD372" s="21"/>
      <c r="MVG372" s="21"/>
      <c r="MVH372" s="15"/>
      <c r="MVI372" s="15"/>
      <c r="MVJ372" s="15"/>
      <c r="MVK372" s="15"/>
      <c r="MVL372" s="15"/>
      <c r="MVM372" s="15"/>
      <c r="MVN372" s="15"/>
      <c r="MVO372" s="15"/>
      <c r="MVP372" s="15"/>
      <c r="MVQ372" s="15"/>
      <c r="MVR372" s="10"/>
      <c r="MVS372" s="10"/>
      <c r="MVT372" s="21"/>
      <c r="MVU372" s="21"/>
      <c r="MVX372" s="21"/>
      <c r="MVY372" s="15"/>
      <c r="MVZ372" s="15"/>
      <c r="MWA372" s="15"/>
      <c r="MWB372" s="15"/>
      <c r="MWC372" s="15"/>
      <c r="MWD372" s="15"/>
      <c r="MWE372" s="15"/>
      <c r="MWF372" s="15"/>
      <c r="MWG372" s="15"/>
      <c r="MWH372" s="15"/>
      <c r="MWI372" s="10"/>
      <c r="MWJ372" s="10"/>
      <c r="MWK372" s="21"/>
      <c r="MWL372" s="21"/>
      <c r="MWO372" s="21"/>
      <c r="MWP372" s="15"/>
      <c r="MWQ372" s="15"/>
      <c r="MWR372" s="15"/>
      <c r="MWS372" s="15"/>
      <c r="MWT372" s="15"/>
      <c r="MWU372" s="15"/>
      <c r="MWV372" s="15"/>
      <c r="MWW372" s="15"/>
      <c r="MWX372" s="15"/>
      <c r="MWY372" s="15"/>
      <c r="MWZ372" s="10"/>
      <c r="MXA372" s="10"/>
      <c r="MXB372" s="21"/>
      <c r="MXC372" s="21"/>
      <c r="MXF372" s="21"/>
      <c r="MXG372" s="15"/>
      <c r="MXH372" s="15"/>
      <c r="MXI372" s="15"/>
      <c r="MXJ372" s="15"/>
      <c r="MXK372" s="15"/>
      <c r="MXL372" s="15"/>
      <c r="MXM372" s="15"/>
      <c r="MXN372" s="15"/>
      <c r="MXO372" s="15"/>
      <c r="MXP372" s="15"/>
      <c r="MXQ372" s="10"/>
      <c r="MXR372" s="10"/>
      <c r="MXS372" s="21"/>
      <c r="MXT372" s="21"/>
      <c r="MXW372" s="21"/>
      <c r="MXX372" s="15"/>
      <c r="MXY372" s="15"/>
      <c r="MXZ372" s="15"/>
      <c r="MYA372" s="15"/>
      <c r="MYB372" s="15"/>
      <c r="MYC372" s="15"/>
      <c r="MYD372" s="15"/>
      <c r="MYE372" s="15"/>
      <c r="MYF372" s="15"/>
      <c r="MYG372" s="15"/>
      <c r="MYH372" s="10"/>
      <c r="MYI372" s="10"/>
      <c r="MYJ372" s="21"/>
      <c r="MYK372" s="21"/>
      <c r="MYN372" s="21"/>
      <c r="MYO372" s="15"/>
      <c r="MYP372" s="15"/>
      <c r="MYQ372" s="15"/>
      <c r="MYR372" s="15"/>
      <c r="MYS372" s="15"/>
      <c r="MYT372" s="15"/>
      <c r="MYU372" s="15"/>
      <c r="MYV372" s="15"/>
      <c r="MYW372" s="15"/>
      <c r="MYX372" s="15"/>
      <c r="MYY372" s="10"/>
      <c r="MYZ372" s="10"/>
      <c r="MZA372" s="21"/>
      <c r="MZB372" s="21"/>
      <c r="MZE372" s="21"/>
      <c r="MZF372" s="15"/>
      <c r="MZG372" s="15"/>
      <c r="MZH372" s="15"/>
      <c r="MZI372" s="15"/>
      <c r="MZJ372" s="15"/>
      <c r="MZK372" s="15"/>
      <c r="MZL372" s="15"/>
      <c r="MZM372" s="15"/>
      <c r="MZN372" s="15"/>
      <c r="MZO372" s="15"/>
      <c r="MZP372" s="10"/>
      <c r="MZQ372" s="10"/>
      <c r="MZR372" s="21"/>
      <c r="MZS372" s="21"/>
      <c r="MZV372" s="21"/>
      <c r="MZW372" s="15"/>
      <c r="MZX372" s="15"/>
      <c r="MZY372" s="15"/>
      <c r="MZZ372" s="15"/>
      <c r="NAA372" s="15"/>
      <c r="NAB372" s="15"/>
      <c r="NAC372" s="15"/>
      <c r="NAD372" s="15"/>
      <c r="NAE372" s="15"/>
      <c r="NAF372" s="15"/>
      <c r="NAG372" s="10"/>
      <c r="NAH372" s="10"/>
      <c r="NAI372" s="21"/>
      <c r="NAJ372" s="21"/>
      <c r="NAM372" s="21"/>
      <c r="NAN372" s="15"/>
      <c r="NAO372" s="15"/>
      <c r="NAP372" s="15"/>
      <c r="NAQ372" s="15"/>
      <c r="NAR372" s="15"/>
      <c r="NAS372" s="15"/>
      <c r="NAT372" s="15"/>
      <c r="NAU372" s="15"/>
      <c r="NAV372" s="15"/>
      <c r="NAW372" s="15"/>
      <c r="NAX372" s="10"/>
      <c r="NAY372" s="10"/>
      <c r="NAZ372" s="21"/>
      <c r="NBA372" s="21"/>
      <c r="NBD372" s="21"/>
      <c r="NBE372" s="15"/>
      <c r="NBF372" s="15"/>
      <c r="NBG372" s="15"/>
      <c r="NBH372" s="15"/>
      <c r="NBI372" s="15"/>
      <c r="NBJ372" s="15"/>
      <c r="NBK372" s="15"/>
      <c r="NBL372" s="15"/>
      <c r="NBM372" s="15"/>
      <c r="NBN372" s="15"/>
      <c r="NBO372" s="10"/>
      <c r="NBP372" s="10"/>
      <c r="NBQ372" s="21"/>
      <c r="NBR372" s="21"/>
      <c r="NBU372" s="21"/>
      <c r="NBV372" s="15"/>
      <c r="NBW372" s="15"/>
      <c r="NBX372" s="15"/>
      <c r="NBY372" s="15"/>
      <c r="NBZ372" s="15"/>
      <c r="NCA372" s="15"/>
      <c r="NCB372" s="15"/>
      <c r="NCC372" s="15"/>
      <c r="NCD372" s="15"/>
      <c r="NCE372" s="15"/>
      <c r="NCF372" s="10"/>
      <c r="NCG372" s="10"/>
      <c r="NCH372" s="21"/>
      <c r="NCI372" s="21"/>
      <c r="NCL372" s="21"/>
      <c r="NCM372" s="15"/>
      <c r="NCN372" s="15"/>
      <c r="NCO372" s="15"/>
      <c r="NCP372" s="15"/>
      <c r="NCQ372" s="15"/>
      <c r="NCR372" s="15"/>
      <c r="NCS372" s="15"/>
      <c r="NCT372" s="15"/>
      <c r="NCU372" s="15"/>
      <c r="NCV372" s="15"/>
      <c r="NCW372" s="10"/>
      <c r="NCX372" s="10"/>
      <c r="NCY372" s="21"/>
      <c r="NCZ372" s="21"/>
      <c r="NDC372" s="21"/>
      <c r="NDD372" s="15"/>
      <c r="NDE372" s="15"/>
      <c r="NDF372" s="15"/>
      <c r="NDG372" s="15"/>
      <c r="NDH372" s="15"/>
      <c r="NDI372" s="15"/>
      <c r="NDJ372" s="15"/>
      <c r="NDK372" s="15"/>
      <c r="NDL372" s="15"/>
      <c r="NDM372" s="15"/>
      <c r="NDN372" s="10"/>
      <c r="NDO372" s="10"/>
      <c r="NDP372" s="21"/>
      <c r="NDQ372" s="21"/>
      <c r="NDT372" s="21"/>
      <c r="NDU372" s="15"/>
      <c r="NDV372" s="15"/>
      <c r="NDW372" s="15"/>
      <c r="NDX372" s="15"/>
      <c r="NDY372" s="15"/>
      <c r="NDZ372" s="15"/>
      <c r="NEA372" s="15"/>
      <c r="NEB372" s="15"/>
      <c r="NEC372" s="15"/>
      <c r="NED372" s="15"/>
      <c r="NEE372" s="10"/>
      <c r="NEF372" s="10"/>
      <c r="NEG372" s="21"/>
      <c r="NEH372" s="21"/>
      <c r="NEK372" s="21"/>
      <c r="NEL372" s="15"/>
      <c r="NEM372" s="15"/>
      <c r="NEN372" s="15"/>
      <c r="NEO372" s="15"/>
      <c r="NEP372" s="15"/>
      <c r="NEQ372" s="15"/>
      <c r="NER372" s="15"/>
      <c r="NES372" s="15"/>
      <c r="NET372" s="15"/>
      <c r="NEU372" s="15"/>
      <c r="NEV372" s="10"/>
      <c r="NEW372" s="10"/>
      <c r="NEX372" s="21"/>
      <c r="NEY372" s="21"/>
      <c r="NFB372" s="21"/>
      <c r="NFC372" s="15"/>
      <c r="NFD372" s="15"/>
      <c r="NFE372" s="15"/>
      <c r="NFF372" s="15"/>
      <c r="NFG372" s="15"/>
      <c r="NFH372" s="15"/>
      <c r="NFI372" s="15"/>
      <c r="NFJ372" s="15"/>
      <c r="NFK372" s="15"/>
      <c r="NFL372" s="15"/>
      <c r="NFM372" s="10"/>
      <c r="NFN372" s="10"/>
      <c r="NFO372" s="21"/>
      <c r="NFP372" s="21"/>
      <c r="NFS372" s="21"/>
      <c r="NFT372" s="15"/>
      <c r="NFU372" s="15"/>
      <c r="NFV372" s="15"/>
      <c r="NFW372" s="15"/>
      <c r="NFX372" s="15"/>
      <c r="NFY372" s="15"/>
      <c r="NFZ372" s="15"/>
      <c r="NGA372" s="15"/>
      <c r="NGB372" s="15"/>
      <c r="NGC372" s="15"/>
      <c r="NGD372" s="10"/>
      <c r="NGE372" s="10"/>
      <c r="NGF372" s="21"/>
      <c r="NGG372" s="21"/>
      <c r="NGJ372" s="21"/>
      <c r="NGK372" s="15"/>
      <c r="NGL372" s="15"/>
      <c r="NGM372" s="15"/>
      <c r="NGN372" s="15"/>
      <c r="NGO372" s="15"/>
      <c r="NGP372" s="15"/>
      <c r="NGQ372" s="15"/>
      <c r="NGR372" s="15"/>
      <c r="NGS372" s="15"/>
      <c r="NGT372" s="15"/>
      <c r="NGU372" s="10"/>
      <c r="NGV372" s="10"/>
      <c r="NGW372" s="21"/>
      <c r="NGX372" s="21"/>
      <c r="NHA372" s="21"/>
      <c r="NHB372" s="15"/>
      <c r="NHC372" s="15"/>
      <c r="NHD372" s="15"/>
      <c r="NHE372" s="15"/>
      <c r="NHF372" s="15"/>
      <c r="NHG372" s="15"/>
      <c r="NHH372" s="15"/>
      <c r="NHI372" s="15"/>
      <c r="NHJ372" s="15"/>
      <c r="NHK372" s="15"/>
      <c r="NHL372" s="10"/>
      <c r="NHM372" s="10"/>
      <c r="NHN372" s="21"/>
      <c r="NHO372" s="21"/>
      <c r="NHR372" s="21"/>
      <c r="NHS372" s="15"/>
      <c r="NHT372" s="15"/>
      <c r="NHU372" s="15"/>
      <c r="NHV372" s="15"/>
      <c r="NHW372" s="15"/>
      <c r="NHX372" s="15"/>
      <c r="NHY372" s="15"/>
      <c r="NHZ372" s="15"/>
      <c r="NIA372" s="15"/>
      <c r="NIB372" s="15"/>
      <c r="NIC372" s="10"/>
      <c r="NID372" s="10"/>
      <c r="NIE372" s="21"/>
      <c r="NIF372" s="21"/>
      <c r="NII372" s="21"/>
      <c r="NIJ372" s="15"/>
      <c r="NIK372" s="15"/>
      <c r="NIL372" s="15"/>
      <c r="NIM372" s="15"/>
      <c r="NIN372" s="15"/>
      <c r="NIO372" s="15"/>
      <c r="NIP372" s="15"/>
      <c r="NIQ372" s="15"/>
      <c r="NIR372" s="15"/>
      <c r="NIS372" s="15"/>
      <c r="NIT372" s="10"/>
      <c r="NIU372" s="10"/>
      <c r="NIV372" s="21"/>
      <c r="NIW372" s="21"/>
      <c r="NIZ372" s="21"/>
      <c r="NJA372" s="15"/>
      <c r="NJB372" s="15"/>
      <c r="NJC372" s="15"/>
      <c r="NJD372" s="15"/>
      <c r="NJE372" s="15"/>
      <c r="NJF372" s="15"/>
      <c r="NJG372" s="15"/>
      <c r="NJH372" s="15"/>
      <c r="NJI372" s="15"/>
      <c r="NJJ372" s="15"/>
      <c r="NJK372" s="10"/>
      <c r="NJL372" s="10"/>
      <c r="NJM372" s="21"/>
      <c r="NJN372" s="21"/>
      <c r="NJQ372" s="21"/>
      <c r="NJR372" s="15"/>
      <c r="NJS372" s="15"/>
      <c r="NJT372" s="15"/>
      <c r="NJU372" s="15"/>
      <c r="NJV372" s="15"/>
      <c r="NJW372" s="15"/>
      <c r="NJX372" s="15"/>
      <c r="NJY372" s="15"/>
      <c r="NJZ372" s="15"/>
      <c r="NKA372" s="15"/>
      <c r="NKB372" s="10"/>
      <c r="NKC372" s="10"/>
      <c r="NKD372" s="21"/>
      <c r="NKE372" s="21"/>
      <c r="NKH372" s="21"/>
      <c r="NKI372" s="15"/>
      <c r="NKJ372" s="15"/>
      <c r="NKK372" s="15"/>
      <c r="NKL372" s="15"/>
      <c r="NKM372" s="15"/>
      <c r="NKN372" s="15"/>
      <c r="NKO372" s="15"/>
      <c r="NKP372" s="15"/>
      <c r="NKQ372" s="15"/>
      <c r="NKR372" s="15"/>
      <c r="NKS372" s="10"/>
      <c r="NKT372" s="10"/>
      <c r="NKU372" s="21"/>
      <c r="NKV372" s="21"/>
      <c r="NKY372" s="21"/>
      <c r="NKZ372" s="15"/>
      <c r="NLA372" s="15"/>
      <c r="NLB372" s="15"/>
      <c r="NLC372" s="15"/>
      <c r="NLD372" s="15"/>
      <c r="NLE372" s="15"/>
      <c r="NLF372" s="15"/>
      <c r="NLG372" s="15"/>
      <c r="NLH372" s="15"/>
      <c r="NLI372" s="15"/>
      <c r="NLJ372" s="10"/>
      <c r="NLK372" s="10"/>
      <c r="NLL372" s="21"/>
      <c r="NLM372" s="21"/>
      <c r="NLP372" s="21"/>
      <c r="NLQ372" s="15"/>
      <c r="NLR372" s="15"/>
      <c r="NLS372" s="15"/>
      <c r="NLT372" s="15"/>
      <c r="NLU372" s="15"/>
      <c r="NLV372" s="15"/>
      <c r="NLW372" s="15"/>
      <c r="NLX372" s="15"/>
      <c r="NLY372" s="15"/>
      <c r="NLZ372" s="15"/>
      <c r="NMA372" s="10"/>
      <c r="NMB372" s="10"/>
      <c r="NMC372" s="21"/>
      <c r="NMD372" s="21"/>
      <c r="NMG372" s="21"/>
      <c r="NMH372" s="15"/>
      <c r="NMI372" s="15"/>
      <c r="NMJ372" s="15"/>
      <c r="NMK372" s="15"/>
      <c r="NML372" s="15"/>
      <c r="NMM372" s="15"/>
      <c r="NMN372" s="15"/>
      <c r="NMO372" s="15"/>
      <c r="NMP372" s="15"/>
      <c r="NMQ372" s="15"/>
      <c r="NMR372" s="10"/>
      <c r="NMS372" s="10"/>
      <c r="NMT372" s="21"/>
      <c r="NMU372" s="21"/>
      <c r="NMX372" s="21"/>
      <c r="NMY372" s="15"/>
      <c r="NMZ372" s="15"/>
      <c r="NNA372" s="15"/>
      <c r="NNB372" s="15"/>
      <c r="NNC372" s="15"/>
      <c r="NND372" s="15"/>
      <c r="NNE372" s="15"/>
      <c r="NNF372" s="15"/>
      <c r="NNG372" s="15"/>
      <c r="NNH372" s="15"/>
      <c r="NNI372" s="10"/>
      <c r="NNJ372" s="10"/>
      <c r="NNK372" s="21"/>
      <c r="NNL372" s="21"/>
      <c r="NNO372" s="21"/>
      <c r="NNP372" s="15"/>
      <c r="NNQ372" s="15"/>
      <c r="NNR372" s="15"/>
      <c r="NNS372" s="15"/>
      <c r="NNT372" s="15"/>
      <c r="NNU372" s="15"/>
      <c r="NNV372" s="15"/>
      <c r="NNW372" s="15"/>
      <c r="NNX372" s="15"/>
      <c r="NNY372" s="15"/>
      <c r="NNZ372" s="10"/>
      <c r="NOA372" s="10"/>
      <c r="NOB372" s="21"/>
      <c r="NOC372" s="21"/>
      <c r="NOF372" s="21"/>
      <c r="NOG372" s="15"/>
      <c r="NOH372" s="15"/>
      <c r="NOI372" s="15"/>
      <c r="NOJ372" s="15"/>
      <c r="NOK372" s="15"/>
      <c r="NOL372" s="15"/>
      <c r="NOM372" s="15"/>
      <c r="NON372" s="15"/>
      <c r="NOO372" s="15"/>
      <c r="NOP372" s="15"/>
      <c r="NOQ372" s="10"/>
      <c r="NOR372" s="10"/>
      <c r="NOS372" s="21"/>
      <c r="NOT372" s="21"/>
      <c r="NOW372" s="21"/>
      <c r="NOX372" s="15"/>
      <c r="NOY372" s="15"/>
      <c r="NOZ372" s="15"/>
      <c r="NPA372" s="15"/>
      <c r="NPB372" s="15"/>
      <c r="NPC372" s="15"/>
      <c r="NPD372" s="15"/>
      <c r="NPE372" s="15"/>
      <c r="NPF372" s="15"/>
      <c r="NPG372" s="15"/>
      <c r="NPH372" s="10"/>
      <c r="NPI372" s="10"/>
      <c r="NPJ372" s="21"/>
      <c r="NPK372" s="21"/>
      <c r="NPN372" s="21"/>
      <c r="NPO372" s="15"/>
      <c r="NPP372" s="15"/>
      <c r="NPQ372" s="15"/>
      <c r="NPR372" s="15"/>
      <c r="NPS372" s="15"/>
      <c r="NPT372" s="15"/>
      <c r="NPU372" s="15"/>
      <c r="NPV372" s="15"/>
      <c r="NPW372" s="15"/>
      <c r="NPX372" s="15"/>
      <c r="NPY372" s="10"/>
      <c r="NPZ372" s="10"/>
      <c r="NQA372" s="21"/>
      <c r="NQB372" s="21"/>
      <c r="NQE372" s="21"/>
      <c r="NQF372" s="15"/>
      <c r="NQG372" s="15"/>
      <c r="NQH372" s="15"/>
      <c r="NQI372" s="15"/>
      <c r="NQJ372" s="15"/>
      <c r="NQK372" s="15"/>
      <c r="NQL372" s="15"/>
      <c r="NQM372" s="15"/>
      <c r="NQN372" s="15"/>
      <c r="NQO372" s="15"/>
      <c r="NQP372" s="10"/>
      <c r="NQQ372" s="10"/>
      <c r="NQR372" s="21"/>
      <c r="NQS372" s="21"/>
      <c r="NQV372" s="21"/>
      <c r="NQW372" s="15"/>
      <c r="NQX372" s="15"/>
      <c r="NQY372" s="15"/>
      <c r="NQZ372" s="15"/>
      <c r="NRA372" s="15"/>
      <c r="NRB372" s="15"/>
      <c r="NRC372" s="15"/>
      <c r="NRD372" s="15"/>
      <c r="NRE372" s="15"/>
      <c r="NRF372" s="15"/>
      <c r="NRG372" s="10"/>
      <c r="NRH372" s="10"/>
      <c r="NRI372" s="21"/>
      <c r="NRJ372" s="21"/>
      <c r="NRM372" s="21"/>
      <c r="NRN372" s="15"/>
      <c r="NRO372" s="15"/>
      <c r="NRP372" s="15"/>
      <c r="NRQ372" s="15"/>
      <c r="NRR372" s="15"/>
      <c r="NRS372" s="15"/>
      <c r="NRT372" s="15"/>
      <c r="NRU372" s="15"/>
      <c r="NRV372" s="15"/>
      <c r="NRW372" s="15"/>
      <c r="NRX372" s="10"/>
      <c r="NRY372" s="10"/>
      <c r="NRZ372" s="21"/>
      <c r="NSA372" s="21"/>
      <c r="NSD372" s="21"/>
      <c r="NSE372" s="15"/>
      <c r="NSF372" s="15"/>
      <c r="NSG372" s="15"/>
      <c r="NSH372" s="15"/>
      <c r="NSI372" s="15"/>
      <c r="NSJ372" s="15"/>
      <c r="NSK372" s="15"/>
      <c r="NSL372" s="15"/>
      <c r="NSM372" s="15"/>
      <c r="NSN372" s="15"/>
      <c r="NSO372" s="10"/>
      <c r="NSP372" s="10"/>
      <c r="NSQ372" s="21"/>
      <c r="NSR372" s="21"/>
      <c r="NSU372" s="21"/>
      <c r="NSV372" s="15"/>
      <c r="NSW372" s="15"/>
      <c r="NSX372" s="15"/>
      <c r="NSY372" s="15"/>
      <c r="NSZ372" s="15"/>
      <c r="NTA372" s="15"/>
      <c r="NTB372" s="15"/>
      <c r="NTC372" s="15"/>
      <c r="NTD372" s="15"/>
      <c r="NTE372" s="15"/>
      <c r="NTF372" s="10"/>
      <c r="NTG372" s="10"/>
      <c r="NTH372" s="21"/>
      <c r="NTI372" s="21"/>
      <c r="NTL372" s="21"/>
      <c r="NTM372" s="15"/>
      <c r="NTN372" s="15"/>
      <c r="NTO372" s="15"/>
      <c r="NTP372" s="15"/>
      <c r="NTQ372" s="15"/>
      <c r="NTR372" s="15"/>
      <c r="NTS372" s="15"/>
      <c r="NTT372" s="15"/>
      <c r="NTU372" s="15"/>
      <c r="NTV372" s="15"/>
      <c r="NTW372" s="10"/>
      <c r="NTX372" s="10"/>
      <c r="NTY372" s="21"/>
      <c r="NTZ372" s="21"/>
      <c r="NUC372" s="21"/>
      <c r="NUD372" s="15"/>
      <c r="NUE372" s="15"/>
      <c r="NUF372" s="15"/>
      <c r="NUG372" s="15"/>
      <c r="NUH372" s="15"/>
      <c r="NUI372" s="15"/>
      <c r="NUJ372" s="15"/>
      <c r="NUK372" s="15"/>
      <c r="NUL372" s="15"/>
      <c r="NUM372" s="15"/>
      <c r="NUN372" s="10"/>
      <c r="NUO372" s="10"/>
      <c r="NUP372" s="21"/>
      <c r="NUQ372" s="21"/>
      <c r="NUT372" s="21"/>
      <c r="NUU372" s="15"/>
      <c r="NUV372" s="15"/>
      <c r="NUW372" s="15"/>
      <c r="NUX372" s="15"/>
      <c r="NUY372" s="15"/>
      <c r="NUZ372" s="15"/>
      <c r="NVA372" s="15"/>
      <c r="NVB372" s="15"/>
      <c r="NVC372" s="15"/>
      <c r="NVD372" s="15"/>
      <c r="NVE372" s="10"/>
      <c r="NVF372" s="10"/>
      <c r="NVG372" s="21"/>
      <c r="NVH372" s="21"/>
      <c r="NVK372" s="21"/>
      <c r="NVL372" s="15"/>
      <c r="NVM372" s="15"/>
      <c r="NVN372" s="15"/>
      <c r="NVO372" s="15"/>
      <c r="NVP372" s="15"/>
      <c r="NVQ372" s="15"/>
      <c r="NVR372" s="15"/>
      <c r="NVS372" s="15"/>
      <c r="NVT372" s="15"/>
      <c r="NVU372" s="15"/>
      <c r="NVV372" s="10"/>
      <c r="NVW372" s="10"/>
      <c r="NVX372" s="21"/>
      <c r="NVY372" s="21"/>
      <c r="NWB372" s="21"/>
      <c r="NWC372" s="15"/>
      <c r="NWD372" s="15"/>
      <c r="NWE372" s="15"/>
      <c r="NWF372" s="15"/>
      <c r="NWG372" s="15"/>
      <c r="NWH372" s="15"/>
      <c r="NWI372" s="15"/>
      <c r="NWJ372" s="15"/>
      <c r="NWK372" s="15"/>
      <c r="NWL372" s="15"/>
      <c r="NWM372" s="10"/>
      <c r="NWN372" s="10"/>
      <c r="NWO372" s="21"/>
      <c r="NWP372" s="21"/>
      <c r="NWS372" s="21"/>
      <c r="NWT372" s="15"/>
      <c r="NWU372" s="15"/>
      <c r="NWV372" s="15"/>
      <c r="NWW372" s="15"/>
      <c r="NWX372" s="15"/>
      <c r="NWY372" s="15"/>
      <c r="NWZ372" s="15"/>
      <c r="NXA372" s="15"/>
      <c r="NXB372" s="15"/>
      <c r="NXC372" s="15"/>
      <c r="NXD372" s="10"/>
      <c r="NXE372" s="10"/>
      <c r="NXF372" s="21"/>
      <c r="NXG372" s="21"/>
      <c r="NXJ372" s="21"/>
      <c r="NXK372" s="15"/>
      <c r="NXL372" s="15"/>
      <c r="NXM372" s="15"/>
      <c r="NXN372" s="15"/>
      <c r="NXO372" s="15"/>
      <c r="NXP372" s="15"/>
      <c r="NXQ372" s="15"/>
      <c r="NXR372" s="15"/>
      <c r="NXS372" s="15"/>
      <c r="NXT372" s="15"/>
      <c r="NXU372" s="10"/>
      <c r="NXV372" s="10"/>
      <c r="NXW372" s="21"/>
      <c r="NXX372" s="21"/>
      <c r="NYA372" s="21"/>
      <c r="NYB372" s="15"/>
      <c r="NYC372" s="15"/>
      <c r="NYD372" s="15"/>
      <c r="NYE372" s="15"/>
      <c r="NYF372" s="15"/>
      <c r="NYG372" s="15"/>
      <c r="NYH372" s="15"/>
      <c r="NYI372" s="15"/>
      <c r="NYJ372" s="15"/>
      <c r="NYK372" s="15"/>
      <c r="NYL372" s="10"/>
      <c r="NYM372" s="10"/>
      <c r="NYN372" s="21"/>
      <c r="NYO372" s="21"/>
      <c r="NYR372" s="21"/>
      <c r="NYS372" s="15"/>
      <c r="NYT372" s="15"/>
      <c r="NYU372" s="15"/>
      <c r="NYV372" s="15"/>
      <c r="NYW372" s="15"/>
      <c r="NYX372" s="15"/>
      <c r="NYY372" s="15"/>
      <c r="NYZ372" s="15"/>
      <c r="NZA372" s="15"/>
      <c r="NZB372" s="15"/>
      <c r="NZC372" s="10"/>
      <c r="NZD372" s="10"/>
      <c r="NZE372" s="21"/>
      <c r="NZF372" s="21"/>
      <c r="NZI372" s="21"/>
      <c r="NZJ372" s="15"/>
      <c r="NZK372" s="15"/>
      <c r="NZL372" s="15"/>
      <c r="NZM372" s="15"/>
      <c r="NZN372" s="15"/>
      <c r="NZO372" s="15"/>
      <c r="NZP372" s="15"/>
      <c r="NZQ372" s="15"/>
      <c r="NZR372" s="15"/>
      <c r="NZS372" s="15"/>
      <c r="NZT372" s="10"/>
      <c r="NZU372" s="10"/>
      <c r="NZV372" s="21"/>
      <c r="NZW372" s="21"/>
      <c r="NZZ372" s="21"/>
      <c r="OAA372" s="15"/>
      <c r="OAB372" s="15"/>
      <c r="OAC372" s="15"/>
      <c r="OAD372" s="15"/>
      <c r="OAE372" s="15"/>
      <c r="OAF372" s="15"/>
      <c r="OAG372" s="15"/>
      <c r="OAH372" s="15"/>
      <c r="OAI372" s="15"/>
      <c r="OAJ372" s="15"/>
      <c r="OAK372" s="10"/>
      <c r="OAL372" s="10"/>
      <c r="OAM372" s="21"/>
      <c r="OAN372" s="21"/>
      <c r="OAQ372" s="21"/>
      <c r="OAR372" s="15"/>
      <c r="OAS372" s="15"/>
      <c r="OAT372" s="15"/>
      <c r="OAU372" s="15"/>
      <c r="OAV372" s="15"/>
      <c r="OAW372" s="15"/>
      <c r="OAX372" s="15"/>
      <c r="OAY372" s="15"/>
      <c r="OAZ372" s="15"/>
      <c r="OBA372" s="15"/>
      <c r="OBB372" s="10"/>
      <c r="OBC372" s="10"/>
      <c r="OBD372" s="21"/>
      <c r="OBE372" s="21"/>
      <c r="OBH372" s="21"/>
      <c r="OBI372" s="15"/>
      <c r="OBJ372" s="15"/>
      <c r="OBK372" s="15"/>
      <c r="OBL372" s="15"/>
      <c r="OBM372" s="15"/>
      <c r="OBN372" s="15"/>
      <c r="OBO372" s="15"/>
      <c r="OBP372" s="15"/>
      <c r="OBQ372" s="15"/>
      <c r="OBR372" s="15"/>
      <c r="OBS372" s="10"/>
      <c r="OBT372" s="10"/>
      <c r="OBU372" s="21"/>
      <c r="OBV372" s="21"/>
      <c r="OBY372" s="21"/>
      <c r="OBZ372" s="15"/>
      <c r="OCA372" s="15"/>
      <c r="OCB372" s="15"/>
      <c r="OCC372" s="15"/>
      <c r="OCD372" s="15"/>
      <c r="OCE372" s="15"/>
      <c r="OCF372" s="15"/>
      <c r="OCG372" s="15"/>
      <c r="OCH372" s="15"/>
      <c r="OCI372" s="15"/>
      <c r="OCJ372" s="10"/>
      <c r="OCK372" s="10"/>
      <c r="OCL372" s="21"/>
      <c r="OCM372" s="21"/>
      <c r="OCP372" s="21"/>
      <c r="OCQ372" s="15"/>
      <c r="OCR372" s="15"/>
      <c r="OCS372" s="15"/>
      <c r="OCT372" s="15"/>
      <c r="OCU372" s="15"/>
      <c r="OCV372" s="15"/>
      <c r="OCW372" s="15"/>
      <c r="OCX372" s="15"/>
      <c r="OCY372" s="15"/>
      <c r="OCZ372" s="15"/>
      <c r="ODA372" s="10"/>
      <c r="ODB372" s="10"/>
      <c r="ODC372" s="21"/>
      <c r="ODD372" s="21"/>
      <c r="ODG372" s="21"/>
      <c r="ODH372" s="15"/>
      <c r="ODI372" s="15"/>
      <c r="ODJ372" s="15"/>
      <c r="ODK372" s="15"/>
      <c r="ODL372" s="15"/>
      <c r="ODM372" s="15"/>
      <c r="ODN372" s="15"/>
      <c r="ODO372" s="15"/>
      <c r="ODP372" s="15"/>
      <c r="ODQ372" s="15"/>
      <c r="ODR372" s="10"/>
      <c r="ODS372" s="10"/>
      <c r="ODT372" s="21"/>
      <c r="ODU372" s="21"/>
      <c r="ODX372" s="21"/>
      <c r="ODY372" s="15"/>
      <c r="ODZ372" s="15"/>
      <c r="OEA372" s="15"/>
      <c r="OEB372" s="15"/>
      <c r="OEC372" s="15"/>
      <c r="OED372" s="15"/>
      <c r="OEE372" s="15"/>
      <c r="OEF372" s="15"/>
      <c r="OEG372" s="15"/>
      <c r="OEH372" s="15"/>
      <c r="OEI372" s="10"/>
      <c r="OEJ372" s="10"/>
      <c r="OEK372" s="21"/>
      <c r="OEL372" s="21"/>
      <c r="OEO372" s="21"/>
      <c r="OEP372" s="15"/>
      <c r="OEQ372" s="15"/>
      <c r="OER372" s="15"/>
      <c r="OES372" s="15"/>
      <c r="OET372" s="15"/>
      <c r="OEU372" s="15"/>
      <c r="OEV372" s="15"/>
      <c r="OEW372" s="15"/>
      <c r="OEX372" s="15"/>
      <c r="OEY372" s="15"/>
      <c r="OEZ372" s="10"/>
      <c r="OFA372" s="10"/>
      <c r="OFB372" s="21"/>
      <c r="OFC372" s="21"/>
      <c r="OFF372" s="21"/>
      <c r="OFG372" s="15"/>
      <c r="OFH372" s="15"/>
      <c r="OFI372" s="15"/>
      <c r="OFJ372" s="15"/>
      <c r="OFK372" s="15"/>
      <c r="OFL372" s="15"/>
      <c r="OFM372" s="15"/>
      <c r="OFN372" s="15"/>
      <c r="OFO372" s="15"/>
      <c r="OFP372" s="15"/>
      <c r="OFQ372" s="10"/>
      <c r="OFR372" s="10"/>
      <c r="OFS372" s="21"/>
      <c r="OFT372" s="21"/>
      <c r="OFW372" s="21"/>
      <c r="OFX372" s="15"/>
      <c r="OFY372" s="15"/>
      <c r="OFZ372" s="15"/>
      <c r="OGA372" s="15"/>
      <c r="OGB372" s="15"/>
      <c r="OGC372" s="15"/>
      <c r="OGD372" s="15"/>
      <c r="OGE372" s="15"/>
      <c r="OGF372" s="15"/>
      <c r="OGG372" s="15"/>
      <c r="OGH372" s="10"/>
      <c r="OGI372" s="10"/>
      <c r="OGJ372" s="21"/>
      <c r="OGK372" s="21"/>
      <c r="OGN372" s="21"/>
      <c r="OGO372" s="15"/>
      <c r="OGP372" s="15"/>
      <c r="OGQ372" s="15"/>
      <c r="OGR372" s="15"/>
      <c r="OGS372" s="15"/>
      <c r="OGT372" s="15"/>
      <c r="OGU372" s="15"/>
      <c r="OGV372" s="15"/>
      <c r="OGW372" s="15"/>
      <c r="OGX372" s="15"/>
      <c r="OGY372" s="10"/>
      <c r="OGZ372" s="10"/>
      <c r="OHA372" s="21"/>
      <c r="OHB372" s="21"/>
      <c r="OHE372" s="21"/>
      <c r="OHF372" s="15"/>
      <c r="OHG372" s="15"/>
      <c r="OHH372" s="15"/>
      <c r="OHI372" s="15"/>
      <c r="OHJ372" s="15"/>
      <c r="OHK372" s="15"/>
      <c r="OHL372" s="15"/>
      <c r="OHM372" s="15"/>
      <c r="OHN372" s="15"/>
      <c r="OHO372" s="15"/>
      <c r="OHP372" s="10"/>
      <c r="OHQ372" s="10"/>
      <c r="OHR372" s="21"/>
      <c r="OHS372" s="21"/>
      <c r="OHV372" s="21"/>
      <c r="OHW372" s="15"/>
      <c r="OHX372" s="15"/>
      <c r="OHY372" s="15"/>
      <c r="OHZ372" s="15"/>
      <c r="OIA372" s="15"/>
      <c r="OIB372" s="15"/>
      <c r="OIC372" s="15"/>
      <c r="OID372" s="15"/>
      <c r="OIE372" s="15"/>
      <c r="OIF372" s="15"/>
      <c r="OIG372" s="10"/>
      <c r="OIH372" s="10"/>
      <c r="OII372" s="21"/>
      <c r="OIJ372" s="21"/>
      <c r="OIM372" s="21"/>
      <c r="OIN372" s="15"/>
      <c r="OIO372" s="15"/>
      <c r="OIP372" s="15"/>
      <c r="OIQ372" s="15"/>
      <c r="OIR372" s="15"/>
      <c r="OIS372" s="15"/>
      <c r="OIT372" s="15"/>
      <c r="OIU372" s="15"/>
      <c r="OIV372" s="15"/>
      <c r="OIW372" s="15"/>
      <c r="OIX372" s="10"/>
      <c r="OIY372" s="10"/>
      <c r="OIZ372" s="21"/>
      <c r="OJA372" s="21"/>
      <c r="OJD372" s="21"/>
      <c r="OJE372" s="15"/>
      <c r="OJF372" s="15"/>
      <c r="OJG372" s="15"/>
      <c r="OJH372" s="15"/>
      <c r="OJI372" s="15"/>
      <c r="OJJ372" s="15"/>
      <c r="OJK372" s="15"/>
      <c r="OJL372" s="15"/>
      <c r="OJM372" s="15"/>
      <c r="OJN372" s="15"/>
      <c r="OJO372" s="10"/>
      <c r="OJP372" s="10"/>
      <c r="OJQ372" s="21"/>
      <c r="OJR372" s="21"/>
      <c r="OJU372" s="21"/>
      <c r="OJV372" s="15"/>
      <c r="OJW372" s="15"/>
      <c r="OJX372" s="15"/>
      <c r="OJY372" s="15"/>
      <c r="OJZ372" s="15"/>
      <c r="OKA372" s="15"/>
      <c r="OKB372" s="15"/>
      <c r="OKC372" s="15"/>
      <c r="OKD372" s="15"/>
      <c r="OKE372" s="15"/>
      <c r="OKF372" s="10"/>
      <c r="OKG372" s="10"/>
      <c r="OKH372" s="21"/>
      <c r="OKI372" s="21"/>
      <c r="OKL372" s="21"/>
      <c r="OKM372" s="15"/>
      <c r="OKN372" s="15"/>
      <c r="OKO372" s="15"/>
      <c r="OKP372" s="15"/>
      <c r="OKQ372" s="15"/>
      <c r="OKR372" s="15"/>
      <c r="OKS372" s="15"/>
      <c r="OKT372" s="15"/>
      <c r="OKU372" s="15"/>
      <c r="OKV372" s="15"/>
      <c r="OKW372" s="10"/>
      <c r="OKX372" s="10"/>
      <c r="OKY372" s="21"/>
      <c r="OKZ372" s="21"/>
      <c r="OLC372" s="21"/>
      <c r="OLD372" s="15"/>
      <c r="OLE372" s="15"/>
      <c r="OLF372" s="15"/>
      <c r="OLG372" s="15"/>
      <c r="OLH372" s="15"/>
      <c r="OLI372" s="15"/>
      <c r="OLJ372" s="15"/>
      <c r="OLK372" s="15"/>
      <c r="OLL372" s="15"/>
      <c r="OLM372" s="15"/>
      <c r="OLN372" s="10"/>
      <c r="OLO372" s="10"/>
      <c r="OLP372" s="21"/>
      <c r="OLQ372" s="21"/>
      <c r="OLT372" s="21"/>
      <c r="OLU372" s="15"/>
      <c r="OLV372" s="15"/>
      <c r="OLW372" s="15"/>
      <c r="OLX372" s="15"/>
      <c r="OLY372" s="15"/>
      <c r="OLZ372" s="15"/>
      <c r="OMA372" s="15"/>
      <c r="OMB372" s="15"/>
      <c r="OMC372" s="15"/>
      <c r="OMD372" s="15"/>
      <c r="OME372" s="10"/>
      <c r="OMF372" s="10"/>
      <c r="OMG372" s="21"/>
      <c r="OMH372" s="21"/>
      <c r="OMK372" s="21"/>
      <c r="OML372" s="15"/>
      <c r="OMM372" s="15"/>
      <c r="OMN372" s="15"/>
      <c r="OMO372" s="15"/>
      <c r="OMP372" s="15"/>
      <c r="OMQ372" s="15"/>
      <c r="OMR372" s="15"/>
      <c r="OMS372" s="15"/>
      <c r="OMT372" s="15"/>
      <c r="OMU372" s="15"/>
      <c r="OMV372" s="10"/>
      <c r="OMW372" s="10"/>
      <c r="OMX372" s="21"/>
      <c r="OMY372" s="21"/>
      <c r="ONB372" s="21"/>
      <c r="ONC372" s="15"/>
      <c r="OND372" s="15"/>
      <c r="ONE372" s="15"/>
      <c r="ONF372" s="15"/>
      <c r="ONG372" s="15"/>
      <c r="ONH372" s="15"/>
      <c r="ONI372" s="15"/>
      <c r="ONJ372" s="15"/>
      <c r="ONK372" s="15"/>
      <c r="ONL372" s="15"/>
      <c r="ONM372" s="10"/>
      <c r="ONN372" s="10"/>
      <c r="ONO372" s="21"/>
      <c r="ONP372" s="21"/>
      <c r="ONS372" s="21"/>
      <c r="ONT372" s="15"/>
      <c r="ONU372" s="15"/>
      <c r="ONV372" s="15"/>
      <c r="ONW372" s="15"/>
      <c r="ONX372" s="15"/>
      <c r="ONY372" s="15"/>
      <c r="ONZ372" s="15"/>
      <c r="OOA372" s="15"/>
      <c r="OOB372" s="15"/>
      <c r="OOC372" s="15"/>
      <c r="OOD372" s="10"/>
      <c r="OOE372" s="10"/>
      <c r="OOF372" s="21"/>
      <c r="OOG372" s="21"/>
      <c r="OOJ372" s="21"/>
      <c r="OOK372" s="15"/>
      <c r="OOL372" s="15"/>
      <c r="OOM372" s="15"/>
      <c r="OON372" s="15"/>
      <c r="OOO372" s="15"/>
      <c r="OOP372" s="15"/>
      <c r="OOQ372" s="15"/>
      <c r="OOR372" s="15"/>
      <c r="OOS372" s="15"/>
      <c r="OOT372" s="15"/>
      <c r="OOU372" s="10"/>
      <c r="OOV372" s="10"/>
      <c r="OOW372" s="21"/>
      <c r="OOX372" s="21"/>
      <c r="OPA372" s="21"/>
      <c r="OPB372" s="15"/>
      <c r="OPC372" s="15"/>
      <c r="OPD372" s="15"/>
      <c r="OPE372" s="15"/>
      <c r="OPF372" s="15"/>
      <c r="OPG372" s="15"/>
      <c r="OPH372" s="15"/>
      <c r="OPI372" s="15"/>
      <c r="OPJ372" s="15"/>
      <c r="OPK372" s="15"/>
      <c r="OPL372" s="10"/>
      <c r="OPM372" s="10"/>
      <c r="OPN372" s="21"/>
      <c r="OPO372" s="21"/>
      <c r="OPR372" s="21"/>
      <c r="OPS372" s="15"/>
      <c r="OPT372" s="15"/>
      <c r="OPU372" s="15"/>
      <c r="OPV372" s="15"/>
      <c r="OPW372" s="15"/>
      <c r="OPX372" s="15"/>
      <c r="OPY372" s="15"/>
      <c r="OPZ372" s="15"/>
      <c r="OQA372" s="15"/>
      <c r="OQB372" s="15"/>
      <c r="OQC372" s="10"/>
      <c r="OQD372" s="10"/>
      <c r="OQE372" s="21"/>
      <c r="OQF372" s="21"/>
      <c r="OQI372" s="21"/>
      <c r="OQJ372" s="15"/>
      <c r="OQK372" s="15"/>
      <c r="OQL372" s="15"/>
      <c r="OQM372" s="15"/>
      <c r="OQN372" s="15"/>
      <c r="OQO372" s="15"/>
      <c r="OQP372" s="15"/>
      <c r="OQQ372" s="15"/>
      <c r="OQR372" s="15"/>
      <c r="OQS372" s="15"/>
      <c r="OQT372" s="10"/>
      <c r="OQU372" s="10"/>
      <c r="OQV372" s="21"/>
      <c r="OQW372" s="21"/>
      <c r="OQZ372" s="21"/>
      <c r="ORA372" s="15"/>
      <c r="ORB372" s="15"/>
      <c r="ORC372" s="15"/>
      <c r="ORD372" s="15"/>
      <c r="ORE372" s="15"/>
      <c r="ORF372" s="15"/>
      <c r="ORG372" s="15"/>
      <c r="ORH372" s="15"/>
      <c r="ORI372" s="15"/>
      <c r="ORJ372" s="15"/>
      <c r="ORK372" s="10"/>
      <c r="ORL372" s="10"/>
      <c r="ORM372" s="21"/>
      <c r="ORN372" s="21"/>
      <c r="ORQ372" s="21"/>
      <c r="ORR372" s="15"/>
      <c r="ORS372" s="15"/>
      <c r="ORT372" s="15"/>
      <c r="ORU372" s="15"/>
      <c r="ORV372" s="15"/>
      <c r="ORW372" s="15"/>
      <c r="ORX372" s="15"/>
      <c r="ORY372" s="15"/>
      <c r="ORZ372" s="15"/>
      <c r="OSA372" s="15"/>
      <c r="OSB372" s="10"/>
      <c r="OSC372" s="10"/>
      <c r="OSD372" s="21"/>
      <c r="OSE372" s="21"/>
      <c r="OSH372" s="21"/>
      <c r="OSI372" s="15"/>
      <c r="OSJ372" s="15"/>
      <c r="OSK372" s="15"/>
      <c r="OSL372" s="15"/>
      <c r="OSM372" s="15"/>
      <c r="OSN372" s="15"/>
      <c r="OSO372" s="15"/>
      <c r="OSP372" s="15"/>
      <c r="OSQ372" s="15"/>
      <c r="OSR372" s="15"/>
      <c r="OSS372" s="10"/>
      <c r="OST372" s="10"/>
      <c r="OSU372" s="21"/>
      <c r="OSV372" s="21"/>
      <c r="OSY372" s="21"/>
      <c r="OSZ372" s="15"/>
      <c r="OTA372" s="15"/>
      <c r="OTB372" s="15"/>
      <c r="OTC372" s="15"/>
      <c r="OTD372" s="15"/>
      <c r="OTE372" s="15"/>
      <c r="OTF372" s="15"/>
      <c r="OTG372" s="15"/>
      <c r="OTH372" s="15"/>
      <c r="OTI372" s="15"/>
      <c r="OTJ372" s="10"/>
      <c r="OTK372" s="10"/>
      <c r="OTL372" s="21"/>
      <c r="OTM372" s="21"/>
      <c r="OTP372" s="21"/>
      <c r="OTQ372" s="15"/>
      <c r="OTR372" s="15"/>
      <c r="OTS372" s="15"/>
      <c r="OTT372" s="15"/>
      <c r="OTU372" s="15"/>
      <c r="OTV372" s="15"/>
      <c r="OTW372" s="15"/>
      <c r="OTX372" s="15"/>
      <c r="OTY372" s="15"/>
      <c r="OTZ372" s="15"/>
      <c r="OUA372" s="10"/>
      <c r="OUB372" s="10"/>
      <c r="OUC372" s="21"/>
      <c r="OUD372" s="21"/>
      <c r="OUG372" s="21"/>
      <c r="OUH372" s="15"/>
      <c r="OUI372" s="15"/>
      <c r="OUJ372" s="15"/>
      <c r="OUK372" s="15"/>
      <c r="OUL372" s="15"/>
      <c r="OUM372" s="15"/>
      <c r="OUN372" s="15"/>
      <c r="OUO372" s="15"/>
      <c r="OUP372" s="15"/>
      <c r="OUQ372" s="15"/>
      <c r="OUR372" s="10"/>
      <c r="OUS372" s="10"/>
      <c r="OUT372" s="21"/>
      <c r="OUU372" s="21"/>
      <c r="OUX372" s="21"/>
      <c r="OUY372" s="15"/>
      <c r="OUZ372" s="15"/>
      <c r="OVA372" s="15"/>
      <c r="OVB372" s="15"/>
      <c r="OVC372" s="15"/>
      <c r="OVD372" s="15"/>
      <c r="OVE372" s="15"/>
      <c r="OVF372" s="15"/>
      <c r="OVG372" s="15"/>
      <c r="OVH372" s="15"/>
      <c r="OVI372" s="10"/>
      <c r="OVJ372" s="10"/>
      <c r="OVK372" s="21"/>
      <c r="OVL372" s="21"/>
      <c r="OVO372" s="21"/>
      <c r="OVP372" s="15"/>
      <c r="OVQ372" s="15"/>
      <c r="OVR372" s="15"/>
      <c r="OVS372" s="15"/>
      <c r="OVT372" s="15"/>
      <c r="OVU372" s="15"/>
      <c r="OVV372" s="15"/>
      <c r="OVW372" s="15"/>
      <c r="OVX372" s="15"/>
      <c r="OVY372" s="15"/>
      <c r="OVZ372" s="10"/>
      <c r="OWA372" s="10"/>
      <c r="OWB372" s="21"/>
      <c r="OWC372" s="21"/>
      <c r="OWF372" s="21"/>
      <c r="OWG372" s="15"/>
      <c r="OWH372" s="15"/>
      <c r="OWI372" s="15"/>
      <c r="OWJ372" s="15"/>
      <c r="OWK372" s="15"/>
      <c r="OWL372" s="15"/>
      <c r="OWM372" s="15"/>
      <c r="OWN372" s="15"/>
      <c r="OWO372" s="15"/>
      <c r="OWP372" s="15"/>
      <c r="OWQ372" s="10"/>
      <c r="OWR372" s="10"/>
      <c r="OWS372" s="21"/>
      <c r="OWT372" s="21"/>
      <c r="OWW372" s="21"/>
      <c r="OWX372" s="15"/>
      <c r="OWY372" s="15"/>
      <c r="OWZ372" s="15"/>
      <c r="OXA372" s="15"/>
      <c r="OXB372" s="15"/>
      <c r="OXC372" s="15"/>
      <c r="OXD372" s="15"/>
      <c r="OXE372" s="15"/>
      <c r="OXF372" s="15"/>
      <c r="OXG372" s="15"/>
      <c r="OXH372" s="10"/>
      <c r="OXI372" s="10"/>
      <c r="OXJ372" s="21"/>
      <c r="OXK372" s="21"/>
      <c r="OXN372" s="21"/>
      <c r="OXO372" s="15"/>
      <c r="OXP372" s="15"/>
      <c r="OXQ372" s="15"/>
      <c r="OXR372" s="15"/>
      <c r="OXS372" s="15"/>
      <c r="OXT372" s="15"/>
      <c r="OXU372" s="15"/>
      <c r="OXV372" s="15"/>
      <c r="OXW372" s="15"/>
      <c r="OXX372" s="15"/>
      <c r="OXY372" s="10"/>
      <c r="OXZ372" s="10"/>
      <c r="OYA372" s="21"/>
      <c r="OYB372" s="21"/>
      <c r="OYE372" s="21"/>
      <c r="OYF372" s="15"/>
      <c r="OYG372" s="15"/>
      <c r="OYH372" s="15"/>
      <c r="OYI372" s="15"/>
      <c r="OYJ372" s="15"/>
      <c r="OYK372" s="15"/>
      <c r="OYL372" s="15"/>
      <c r="OYM372" s="15"/>
      <c r="OYN372" s="15"/>
      <c r="OYO372" s="15"/>
      <c r="OYP372" s="10"/>
      <c r="OYQ372" s="10"/>
      <c r="OYR372" s="21"/>
      <c r="OYS372" s="21"/>
      <c r="OYV372" s="21"/>
      <c r="OYW372" s="15"/>
      <c r="OYX372" s="15"/>
      <c r="OYY372" s="15"/>
      <c r="OYZ372" s="15"/>
      <c r="OZA372" s="15"/>
      <c r="OZB372" s="15"/>
      <c r="OZC372" s="15"/>
      <c r="OZD372" s="15"/>
      <c r="OZE372" s="15"/>
      <c r="OZF372" s="15"/>
      <c r="OZG372" s="10"/>
      <c r="OZH372" s="10"/>
      <c r="OZI372" s="21"/>
      <c r="OZJ372" s="21"/>
      <c r="OZM372" s="21"/>
      <c r="OZN372" s="15"/>
      <c r="OZO372" s="15"/>
      <c r="OZP372" s="15"/>
      <c r="OZQ372" s="15"/>
      <c r="OZR372" s="15"/>
      <c r="OZS372" s="15"/>
      <c r="OZT372" s="15"/>
      <c r="OZU372" s="15"/>
      <c r="OZV372" s="15"/>
      <c r="OZW372" s="15"/>
      <c r="OZX372" s="10"/>
      <c r="OZY372" s="10"/>
      <c r="OZZ372" s="21"/>
      <c r="PAA372" s="21"/>
      <c r="PAD372" s="21"/>
      <c r="PAE372" s="15"/>
      <c r="PAF372" s="15"/>
      <c r="PAG372" s="15"/>
      <c r="PAH372" s="15"/>
      <c r="PAI372" s="15"/>
      <c r="PAJ372" s="15"/>
      <c r="PAK372" s="15"/>
      <c r="PAL372" s="15"/>
      <c r="PAM372" s="15"/>
      <c r="PAN372" s="15"/>
      <c r="PAO372" s="10"/>
      <c r="PAP372" s="10"/>
      <c r="PAQ372" s="21"/>
      <c r="PAR372" s="21"/>
      <c r="PAU372" s="21"/>
      <c r="PAV372" s="15"/>
      <c r="PAW372" s="15"/>
      <c r="PAX372" s="15"/>
      <c r="PAY372" s="15"/>
      <c r="PAZ372" s="15"/>
      <c r="PBA372" s="15"/>
      <c r="PBB372" s="15"/>
      <c r="PBC372" s="15"/>
      <c r="PBD372" s="15"/>
      <c r="PBE372" s="15"/>
      <c r="PBF372" s="10"/>
      <c r="PBG372" s="10"/>
      <c r="PBH372" s="21"/>
      <c r="PBI372" s="21"/>
      <c r="PBL372" s="21"/>
      <c r="PBM372" s="15"/>
      <c r="PBN372" s="15"/>
      <c r="PBO372" s="15"/>
      <c r="PBP372" s="15"/>
      <c r="PBQ372" s="15"/>
      <c r="PBR372" s="15"/>
      <c r="PBS372" s="15"/>
      <c r="PBT372" s="15"/>
      <c r="PBU372" s="15"/>
      <c r="PBV372" s="15"/>
      <c r="PBW372" s="10"/>
      <c r="PBX372" s="10"/>
      <c r="PBY372" s="21"/>
      <c r="PBZ372" s="21"/>
      <c r="PCC372" s="21"/>
      <c r="PCD372" s="15"/>
      <c r="PCE372" s="15"/>
      <c r="PCF372" s="15"/>
      <c r="PCG372" s="15"/>
      <c r="PCH372" s="15"/>
      <c r="PCI372" s="15"/>
      <c r="PCJ372" s="15"/>
      <c r="PCK372" s="15"/>
      <c r="PCL372" s="15"/>
      <c r="PCM372" s="15"/>
      <c r="PCN372" s="10"/>
      <c r="PCO372" s="10"/>
      <c r="PCP372" s="21"/>
      <c r="PCQ372" s="21"/>
      <c r="PCT372" s="21"/>
      <c r="PCU372" s="15"/>
      <c r="PCV372" s="15"/>
      <c r="PCW372" s="15"/>
      <c r="PCX372" s="15"/>
      <c r="PCY372" s="15"/>
      <c r="PCZ372" s="15"/>
      <c r="PDA372" s="15"/>
      <c r="PDB372" s="15"/>
      <c r="PDC372" s="15"/>
      <c r="PDD372" s="15"/>
      <c r="PDE372" s="10"/>
      <c r="PDF372" s="10"/>
      <c r="PDG372" s="21"/>
      <c r="PDH372" s="21"/>
      <c r="PDK372" s="21"/>
      <c r="PDL372" s="15"/>
      <c r="PDM372" s="15"/>
      <c r="PDN372" s="15"/>
      <c r="PDO372" s="15"/>
      <c r="PDP372" s="15"/>
      <c r="PDQ372" s="15"/>
      <c r="PDR372" s="15"/>
      <c r="PDS372" s="15"/>
      <c r="PDT372" s="15"/>
      <c r="PDU372" s="15"/>
      <c r="PDV372" s="10"/>
      <c r="PDW372" s="10"/>
      <c r="PDX372" s="21"/>
      <c r="PDY372" s="21"/>
      <c r="PEB372" s="21"/>
      <c r="PEC372" s="15"/>
      <c r="PED372" s="15"/>
      <c r="PEE372" s="15"/>
      <c r="PEF372" s="15"/>
      <c r="PEG372" s="15"/>
      <c r="PEH372" s="15"/>
      <c r="PEI372" s="15"/>
      <c r="PEJ372" s="15"/>
      <c r="PEK372" s="15"/>
      <c r="PEL372" s="15"/>
      <c r="PEM372" s="10"/>
      <c r="PEN372" s="10"/>
      <c r="PEO372" s="21"/>
      <c r="PEP372" s="21"/>
      <c r="PES372" s="21"/>
      <c r="PET372" s="15"/>
      <c r="PEU372" s="15"/>
      <c r="PEV372" s="15"/>
      <c r="PEW372" s="15"/>
      <c r="PEX372" s="15"/>
      <c r="PEY372" s="15"/>
      <c r="PEZ372" s="15"/>
      <c r="PFA372" s="15"/>
      <c r="PFB372" s="15"/>
      <c r="PFC372" s="15"/>
      <c r="PFD372" s="10"/>
      <c r="PFE372" s="10"/>
      <c r="PFF372" s="21"/>
      <c r="PFG372" s="21"/>
      <c r="PFJ372" s="21"/>
      <c r="PFK372" s="15"/>
      <c r="PFL372" s="15"/>
      <c r="PFM372" s="15"/>
      <c r="PFN372" s="15"/>
      <c r="PFO372" s="15"/>
      <c r="PFP372" s="15"/>
      <c r="PFQ372" s="15"/>
      <c r="PFR372" s="15"/>
      <c r="PFS372" s="15"/>
      <c r="PFT372" s="15"/>
      <c r="PFU372" s="10"/>
      <c r="PFV372" s="10"/>
      <c r="PFW372" s="21"/>
      <c r="PFX372" s="21"/>
      <c r="PGA372" s="21"/>
      <c r="PGB372" s="15"/>
      <c r="PGC372" s="15"/>
      <c r="PGD372" s="15"/>
      <c r="PGE372" s="15"/>
      <c r="PGF372" s="15"/>
      <c r="PGG372" s="15"/>
      <c r="PGH372" s="15"/>
      <c r="PGI372" s="15"/>
      <c r="PGJ372" s="15"/>
      <c r="PGK372" s="15"/>
      <c r="PGL372" s="10"/>
      <c r="PGM372" s="10"/>
      <c r="PGN372" s="21"/>
      <c r="PGO372" s="21"/>
      <c r="PGR372" s="21"/>
      <c r="PGS372" s="15"/>
      <c r="PGT372" s="15"/>
      <c r="PGU372" s="15"/>
      <c r="PGV372" s="15"/>
      <c r="PGW372" s="15"/>
      <c r="PGX372" s="15"/>
      <c r="PGY372" s="15"/>
      <c r="PGZ372" s="15"/>
      <c r="PHA372" s="15"/>
      <c r="PHB372" s="15"/>
      <c r="PHC372" s="10"/>
      <c r="PHD372" s="10"/>
      <c r="PHE372" s="21"/>
      <c r="PHF372" s="21"/>
      <c r="PHI372" s="21"/>
      <c r="PHJ372" s="15"/>
      <c r="PHK372" s="15"/>
      <c r="PHL372" s="15"/>
      <c r="PHM372" s="15"/>
      <c r="PHN372" s="15"/>
      <c r="PHO372" s="15"/>
      <c r="PHP372" s="15"/>
      <c r="PHQ372" s="15"/>
      <c r="PHR372" s="15"/>
      <c r="PHS372" s="15"/>
      <c r="PHT372" s="10"/>
      <c r="PHU372" s="10"/>
      <c r="PHV372" s="21"/>
      <c r="PHW372" s="21"/>
      <c r="PHZ372" s="21"/>
      <c r="PIA372" s="15"/>
      <c r="PIB372" s="15"/>
      <c r="PIC372" s="15"/>
      <c r="PID372" s="15"/>
      <c r="PIE372" s="15"/>
      <c r="PIF372" s="15"/>
      <c r="PIG372" s="15"/>
      <c r="PIH372" s="15"/>
      <c r="PII372" s="15"/>
      <c r="PIJ372" s="15"/>
      <c r="PIK372" s="10"/>
      <c r="PIL372" s="10"/>
      <c r="PIM372" s="21"/>
      <c r="PIN372" s="21"/>
      <c r="PIQ372" s="21"/>
      <c r="PIR372" s="15"/>
      <c r="PIS372" s="15"/>
      <c r="PIT372" s="15"/>
      <c r="PIU372" s="15"/>
      <c r="PIV372" s="15"/>
      <c r="PIW372" s="15"/>
      <c r="PIX372" s="15"/>
      <c r="PIY372" s="15"/>
      <c r="PIZ372" s="15"/>
      <c r="PJA372" s="15"/>
      <c r="PJB372" s="10"/>
      <c r="PJC372" s="10"/>
      <c r="PJD372" s="21"/>
      <c r="PJE372" s="21"/>
      <c r="PJH372" s="21"/>
      <c r="PJI372" s="15"/>
      <c r="PJJ372" s="15"/>
      <c r="PJK372" s="15"/>
      <c r="PJL372" s="15"/>
      <c r="PJM372" s="15"/>
      <c r="PJN372" s="15"/>
      <c r="PJO372" s="15"/>
      <c r="PJP372" s="15"/>
      <c r="PJQ372" s="15"/>
      <c r="PJR372" s="15"/>
      <c r="PJS372" s="10"/>
      <c r="PJT372" s="10"/>
      <c r="PJU372" s="21"/>
      <c r="PJV372" s="21"/>
      <c r="PJY372" s="21"/>
      <c r="PJZ372" s="15"/>
      <c r="PKA372" s="15"/>
      <c r="PKB372" s="15"/>
      <c r="PKC372" s="15"/>
      <c r="PKD372" s="15"/>
      <c r="PKE372" s="15"/>
      <c r="PKF372" s="15"/>
      <c r="PKG372" s="15"/>
      <c r="PKH372" s="15"/>
      <c r="PKI372" s="15"/>
      <c r="PKJ372" s="10"/>
      <c r="PKK372" s="10"/>
      <c r="PKL372" s="21"/>
      <c r="PKM372" s="21"/>
      <c r="PKP372" s="21"/>
      <c r="PKQ372" s="15"/>
      <c r="PKR372" s="15"/>
      <c r="PKS372" s="15"/>
      <c r="PKT372" s="15"/>
      <c r="PKU372" s="15"/>
      <c r="PKV372" s="15"/>
      <c r="PKW372" s="15"/>
      <c r="PKX372" s="15"/>
      <c r="PKY372" s="15"/>
      <c r="PKZ372" s="15"/>
      <c r="PLA372" s="10"/>
      <c r="PLB372" s="10"/>
      <c r="PLC372" s="21"/>
      <c r="PLD372" s="21"/>
      <c r="PLG372" s="21"/>
      <c r="PLH372" s="15"/>
      <c r="PLI372" s="15"/>
      <c r="PLJ372" s="15"/>
      <c r="PLK372" s="15"/>
      <c r="PLL372" s="15"/>
      <c r="PLM372" s="15"/>
      <c r="PLN372" s="15"/>
      <c r="PLO372" s="15"/>
      <c r="PLP372" s="15"/>
      <c r="PLQ372" s="15"/>
      <c r="PLR372" s="10"/>
      <c r="PLS372" s="10"/>
      <c r="PLT372" s="21"/>
      <c r="PLU372" s="21"/>
      <c r="PLX372" s="21"/>
      <c r="PLY372" s="15"/>
      <c r="PLZ372" s="15"/>
      <c r="PMA372" s="15"/>
      <c r="PMB372" s="15"/>
      <c r="PMC372" s="15"/>
      <c r="PMD372" s="15"/>
      <c r="PME372" s="15"/>
      <c r="PMF372" s="15"/>
      <c r="PMG372" s="15"/>
      <c r="PMH372" s="15"/>
      <c r="PMI372" s="10"/>
      <c r="PMJ372" s="10"/>
      <c r="PMK372" s="21"/>
      <c r="PML372" s="21"/>
      <c r="PMO372" s="21"/>
      <c r="PMP372" s="15"/>
      <c r="PMQ372" s="15"/>
      <c r="PMR372" s="15"/>
      <c r="PMS372" s="15"/>
      <c r="PMT372" s="15"/>
      <c r="PMU372" s="15"/>
      <c r="PMV372" s="15"/>
      <c r="PMW372" s="15"/>
      <c r="PMX372" s="15"/>
      <c r="PMY372" s="15"/>
      <c r="PMZ372" s="10"/>
      <c r="PNA372" s="10"/>
      <c r="PNB372" s="21"/>
      <c r="PNC372" s="21"/>
      <c r="PNF372" s="21"/>
      <c r="PNG372" s="15"/>
      <c r="PNH372" s="15"/>
      <c r="PNI372" s="15"/>
      <c r="PNJ372" s="15"/>
      <c r="PNK372" s="15"/>
      <c r="PNL372" s="15"/>
      <c r="PNM372" s="15"/>
      <c r="PNN372" s="15"/>
      <c r="PNO372" s="15"/>
      <c r="PNP372" s="15"/>
      <c r="PNQ372" s="10"/>
      <c r="PNR372" s="10"/>
      <c r="PNS372" s="21"/>
      <c r="PNT372" s="21"/>
      <c r="PNW372" s="21"/>
      <c r="PNX372" s="15"/>
      <c r="PNY372" s="15"/>
      <c r="PNZ372" s="15"/>
      <c r="POA372" s="15"/>
      <c r="POB372" s="15"/>
      <c r="POC372" s="15"/>
      <c r="POD372" s="15"/>
      <c r="POE372" s="15"/>
      <c r="POF372" s="15"/>
      <c r="POG372" s="15"/>
      <c r="POH372" s="10"/>
      <c r="POI372" s="10"/>
      <c r="POJ372" s="21"/>
      <c r="POK372" s="21"/>
      <c r="PON372" s="21"/>
      <c r="POO372" s="15"/>
      <c r="POP372" s="15"/>
      <c r="POQ372" s="15"/>
      <c r="POR372" s="15"/>
      <c r="POS372" s="15"/>
      <c r="POT372" s="15"/>
      <c r="POU372" s="15"/>
      <c r="POV372" s="15"/>
      <c r="POW372" s="15"/>
      <c r="POX372" s="15"/>
      <c r="POY372" s="10"/>
      <c r="POZ372" s="10"/>
      <c r="PPA372" s="21"/>
      <c r="PPB372" s="21"/>
      <c r="PPE372" s="21"/>
      <c r="PPF372" s="15"/>
      <c r="PPG372" s="15"/>
      <c r="PPH372" s="15"/>
      <c r="PPI372" s="15"/>
      <c r="PPJ372" s="15"/>
      <c r="PPK372" s="15"/>
      <c r="PPL372" s="15"/>
      <c r="PPM372" s="15"/>
      <c r="PPN372" s="15"/>
      <c r="PPO372" s="15"/>
      <c r="PPP372" s="10"/>
      <c r="PPQ372" s="10"/>
      <c r="PPR372" s="21"/>
      <c r="PPS372" s="21"/>
      <c r="PPV372" s="21"/>
      <c r="PPW372" s="15"/>
      <c r="PPX372" s="15"/>
      <c r="PPY372" s="15"/>
      <c r="PPZ372" s="15"/>
      <c r="PQA372" s="15"/>
      <c r="PQB372" s="15"/>
      <c r="PQC372" s="15"/>
      <c r="PQD372" s="15"/>
      <c r="PQE372" s="15"/>
      <c r="PQF372" s="15"/>
      <c r="PQG372" s="10"/>
      <c r="PQH372" s="10"/>
      <c r="PQI372" s="21"/>
      <c r="PQJ372" s="21"/>
      <c r="PQM372" s="21"/>
      <c r="PQN372" s="15"/>
      <c r="PQO372" s="15"/>
      <c r="PQP372" s="15"/>
      <c r="PQQ372" s="15"/>
      <c r="PQR372" s="15"/>
      <c r="PQS372" s="15"/>
      <c r="PQT372" s="15"/>
      <c r="PQU372" s="15"/>
      <c r="PQV372" s="15"/>
      <c r="PQW372" s="15"/>
      <c r="PQX372" s="10"/>
      <c r="PQY372" s="10"/>
      <c r="PQZ372" s="21"/>
      <c r="PRA372" s="21"/>
      <c r="PRD372" s="21"/>
      <c r="PRE372" s="15"/>
      <c r="PRF372" s="15"/>
      <c r="PRG372" s="15"/>
      <c r="PRH372" s="15"/>
      <c r="PRI372" s="15"/>
      <c r="PRJ372" s="15"/>
      <c r="PRK372" s="15"/>
      <c r="PRL372" s="15"/>
      <c r="PRM372" s="15"/>
      <c r="PRN372" s="15"/>
      <c r="PRO372" s="10"/>
      <c r="PRP372" s="10"/>
      <c r="PRQ372" s="21"/>
      <c r="PRR372" s="21"/>
      <c r="PRU372" s="21"/>
      <c r="PRV372" s="15"/>
      <c r="PRW372" s="15"/>
      <c r="PRX372" s="15"/>
      <c r="PRY372" s="15"/>
      <c r="PRZ372" s="15"/>
      <c r="PSA372" s="15"/>
      <c r="PSB372" s="15"/>
      <c r="PSC372" s="15"/>
      <c r="PSD372" s="15"/>
      <c r="PSE372" s="15"/>
      <c r="PSF372" s="10"/>
      <c r="PSG372" s="10"/>
      <c r="PSH372" s="21"/>
      <c r="PSI372" s="21"/>
      <c r="PSL372" s="21"/>
      <c r="PSM372" s="15"/>
      <c r="PSN372" s="15"/>
      <c r="PSO372" s="15"/>
      <c r="PSP372" s="15"/>
      <c r="PSQ372" s="15"/>
      <c r="PSR372" s="15"/>
      <c r="PSS372" s="15"/>
      <c r="PST372" s="15"/>
      <c r="PSU372" s="15"/>
      <c r="PSV372" s="15"/>
      <c r="PSW372" s="10"/>
      <c r="PSX372" s="10"/>
      <c r="PSY372" s="21"/>
      <c r="PSZ372" s="21"/>
      <c r="PTC372" s="21"/>
      <c r="PTD372" s="15"/>
      <c r="PTE372" s="15"/>
      <c r="PTF372" s="15"/>
      <c r="PTG372" s="15"/>
      <c r="PTH372" s="15"/>
      <c r="PTI372" s="15"/>
      <c r="PTJ372" s="15"/>
      <c r="PTK372" s="15"/>
      <c r="PTL372" s="15"/>
      <c r="PTM372" s="15"/>
      <c r="PTN372" s="10"/>
      <c r="PTO372" s="10"/>
      <c r="PTP372" s="21"/>
      <c r="PTQ372" s="21"/>
      <c r="PTT372" s="21"/>
      <c r="PTU372" s="15"/>
      <c r="PTV372" s="15"/>
      <c r="PTW372" s="15"/>
      <c r="PTX372" s="15"/>
      <c r="PTY372" s="15"/>
      <c r="PTZ372" s="15"/>
      <c r="PUA372" s="15"/>
      <c r="PUB372" s="15"/>
      <c r="PUC372" s="15"/>
      <c r="PUD372" s="15"/>
      <c r="PUE372" s="10"/>
      <c r="PUF372" s="10"/>
      <c r="PUG372" s="21"/>
      <c r="PUH372" s="21"/>
      <c r="PUK372" s="21"/>
      <c r="PUL372" s="15"/>
      <c r="PUM372" s="15"/>
      <c r="PUN372" s="15"/>
      <c r="PUO372" s="15"/>
      <c r="PUP372" s="15"/>
      <c r="PUQ372" s="15"/>
      <c r="PUR372" s="15"/>
      <c r="PUS372" s="15"/>
      <c r="PUT372" s="15"/>
      <c r="PUU372" s="15"/>
      <c r="PUV372" s="10"/>
      <c r="PUW372" s="10"/>
      <c r="PUX372" s="21"/>
      <c r="PUY372" s="21"/>
      <c r="PVB372" s="21"/>
      <c r="PVC372" s="15"/>
      <c r="PVD372" s="15"/>
      <c r="PVE372" s="15"/>
      <c r="PVF372" s="15"/>
      <c r="PVG372" s="15"/>
      <c r="PVH372" s="15"/>
      <c r="PVI372" s="15"/>
      <c r="PVJ372" s="15"/>
      <c r="PVK372" s="15"/>
      <c r="PVL372" s="15"/>
      <c r="PVM372" s="10"/>
      <c r="PVN372" s="10"/>
      <c r="PVO372" s="21"/>
      <c r="PVP372" s="21"/>
      <c r="PVS372" s="21"/>
      <c r="PVT372" s="15"/>
      <c r="PVU372" s="15"/>
      <c r="PVV372" s="15"/>
      <c r="PVW372" s="15"/>
      <c r="PVX372" s="15"/>
      <c r="PVY372" s="15"/>
      <c r="PVZ372" s="15"/>
      <c r="PWA372" s="15"/>
      <c r="PWB372" s="15"/>
      <c r="PWC372" s="15"/>
      <c r="PWD372" s="10"/>
      <c r="PWE372" s="10"/>
      <c r="PWF372" s="21"/>
      <c r="PWG372" s="21"/>
      <c r="PWJ372" s="21"/>
      <c r="PWK372" s="15"/>
      <c r="PWL372" s="15"/>
      <c r="PWM372" s="15"/>
      <c r="PWN372" s="15"/>
      <c r="PWO372" s="15"/>
      <c r="PWP372" s="15"/>
      <c r="PWQ372" s="15"/>
      <c r="PWR372" s="15"/>
      <c r="PWS372" s="15"/>
      <c r="PWT372" s="15"/>
      <c r="PWU372" s="10"/>
      <c r="PWV372" s="10"/>
      <c r="PWW372" s="21"/>
      <c r="PWX372" s="21"/>
      <c r="PXA372" s="21"/>
      <c r="PXB372" s="15"/>
      <c r="PXC372" s="15"/>
      <c r="PXD372" s="15"/>
      <c r="PXE372" s="15"/>
      <c r="PXF372" s="15"/>
      <c r="PXG372" s="15"/>
      <c r="PXH372" s="15"/>
      <c r="PXI372" s="15"/>
      <c r="PXJ372" s="15"/>
      <c r="PXK372" s="15"/>
      <c r="PXL372" s="10"/>
      <c r="PXM372" s="10"/>
      <c r="PXN372" s="21"/>
      <c r="PXO372" s="21"/>
      <c r="PXR372" s="21"/>
      <c r="PXS372" s="15"/>
      <c r="PXT372" s="15"/>
      <c r="PXU372" s="15"/>
      <c r="PXV372" s="15"/>
      <c r="PXW372" s="15"/>
      <c r="PXX372" s="15"/>
      <c r="PXY372" s="15"/>
      <c r="PXZ372" s="15"/>
      <c r="PYA372" s="15"/>
      <c r="PYB372" s="15"/>
      <c r="PYC372" s="10"/>
      <c r="PYD372" s="10"/>
      <c r="PYE372" s="21"/>
      <c r="PYF372" s="21"/>
      <c r="PYI372" s="21"/>
      <c r="PYJ372" s="15"/>
      <c r="PYK372" s="15"/>
      <c r="PYL372" s="15"/>
      <c r="PYM372" s="15"/>
      <c r="PYN372" s="15"/>
      <c r="PYO372" s="15"/>
      <c r="PYP372" s="15"/>
      <c r="PYQ372" s="15"/>
      <c r="PYR372" s="15"/>
      <c r="PYS372" s="15"/>
      <c r="PYT372" s="10"/>
      <c r="PYU372" s="10"/>
      <c r="PYV372" s="21"/>
      <c r="PYW372" s="21"/>
      <c r="PYZ372" s="21"/>
      <c r="PZA372" s="15"/>
      <c r="PZB372" s="15"/>
      <c r="PZC372" s="15"/>
      <c r="PZD372" s="15"/>
      <c r="PZE372" s="15"/>
      <c r="PZF372" s="15"/>
      <c r="PZG372" s="15"/>
      <c r="PZH372" s="15"/>
      <c r="PZI372" s="15"/>
      <c r="PZJ372" s="15"/>
      <c r="PZK372" s="10"/>
      <c r="PZL372" s="10"/>
      <c r="PZM372" s="21"/>
      <c r="PZN372" s="21"/>
      <c r="PZQ372" s="21"/>
      <c r="PZR372" s="15"/>
      <c r="PZS372" s="15"/>
      <c r="PZT372" s="15"/>
      <c r="PZU372" s="15"/>
      <c r="PZV372" s="15"/>
      <c r="PZW372" s="15"/>
      <c r="PZX372" s="15"/>
      <c r="PZY372" s="15"/>
      <c r="PZZ372" s="15"/>
      <c r="QAA372" s="15"/>
      <c r="QAB372" s="10"/>
      <c r="QAC372" s="10"/>
      <c r="QAD372" s="21"/>
      <c r="QAE372" s="21"/>
      <c r="QAH372" s="21"/>
      <c r="QAI372" s="15"/>
      <c r="QAJ372" s="15"/>
      <c r="QAK372" s="15"/>
      <c r="QAL372" s="15"/>
      <c r="QAM372" s="15"/>
      <c r="QAN372" s="15"/>
      <c r="QAO372" s="15"/>
      <c r="QAP372" s="15"/>
      <c r="QAQ372" s="15"/>
      <c r="QAR372" s="15"/>
      <c r="QAS372" s="10"/>
      <c r="QAT372" s="10"/>
      <c r="QAU372" s="21"/>
      <c r="QAV372" s="21"/>
      <c r="QAY372" s="21"/>
      <c r="QAZ372" s="15"/>
      <c r="QBA372" s="15"/>
      <c r="QBB372" s="15"/>
      <c r="QBC372" s="15"/>
      <c r="QBD372" s="15"/>
      <c r="QBE372" s="15"/>
      <c r="QBF372" s="15"/>
      <c r="QBG372" s="15"/>
      <c r="QBH372" s="15"/>
      <c r="QBI372" s="15"/>
      <c r="QBJ372" s="10"/>
      <c r="QBK372" s="10"/>
      <c r="QBL372" s="21"/>
      <c r="QBM372" s="21"/>
      <c r="QBP372" s="21"/>
      <c r="QBQ372" s="15"/>
      <c r="QBR372" s="15"/>
      <c r="QBS372" s="15"/>
      <c r="QBT372" s="15"/>
      <c r="QBU372" s="15"/>
      <c r="QBV372" s="15"/>
      <c r="QBW372" s="15"/>
      <c r="QBX372" s="15"/>
      <c r="QBY372" s="15"/>
      <c r="QBZ372" s="15"/>
      <c r="QCA372" s="10"/>
      <c r="QCB372" s="10"/>
      <c r="QCC372" s="21"/>
      <c r="QCD372" s="21"/>
      <c r="QCG372" s="21"/>
      <c r="QCH372" s="15"/>
      <c r="QCI372" s="15"/>
      <c r="QCJ372" s="15"/>
      <c r="QCK372" s="15"/>
      <c r="QCL372" s="15"/>
      <c r="QCM372" s="15"/>
      <c r="QCN372" s="15"/>
      <c r="QCO372" s="15"/>
      <c r="QCP372" s="15"/>
      <c r="QCQ372" s="15"/>
      <c r="QCR372" s="10"/>
      <c r="QCS372" s="10"/>
      <c r="QCT372" s="21"/>
      <c r="QCU372" s="21"/>
      <c r="QCX372" s="21"/>
      <c r="QCY372" s="15"/>
      <c r="QCZ372" s="15"/>
      <c r="QDA372" s="15"/>
      <c r="QDB372" s="15"/>
      <c r="QDC372" s="15"/>
      <c r="QDD372" s="15"/>
      <c r="QDE372" s="15"/>
      <c r="QDF372" s="15"/>
      <c r="QDG372" s="15"/>
      <c r="QDH372" s="15"/>
      <c r="QDI372" s="10"/>
      <c r="QDJ372" s="10"/>
      <c r="QDK372" s="21"/>
      <c r="QDL372" s="21"/>
      <c r="QDO372" s="21"/>
      <c r="QDP372" s="15"/>
      <c r="QDQ372" s="15"/>
      <c r="QDR372" s="15"/>
      <c r="QDS372" s="15"/>
      <c r="QDT372" s="15"/>
      <c r="QDU372" s="15"/>
      <c r="QDV372" s="15"/>
      <c r="QDW372" s="15"/>
      <c r="QDX372" s="15"/>
      <c r="QDY372" s="15"/>
      <c r="QDZ372" s="10"/>
      <c r="QEA372" s="10"/>
      <c r="QEB372" s="21"/>
      <c r="QEC372" s="21"/>
      <c r="QEF372" s="21"/>
      <c r="QEG372" s="15"/>
      <c r="QEH372" s="15"/>
      <c r="QEI372" s="15"/>
      <c r="QEJ372" s="15"/>
      <c r="QEK372" s="15"/>
      <c r="QEL372" s="15"/>
      <c r="QEM372" s="15"/>
      <c r="QEN372" s="15"/>
      <c r="QEO372" s="15"/>
      <c r="QEP372" s="15"/>
      <c r="QEQ372" s="10"/>
      <c r="QER372" s="10"/>
      <c r="QES372" s="21"/>
      <c r="QET372" s="21"/>
      <c r="QEW372" s="21"/>
      <c r="QEX372" s="15"/>
      <c r="QEY372" s="15"/>
      <c r="QEZ372" s="15"/>
      <c r="QFA372" s="15"/>
      <c r="QFB372" s="15"/>
      <c r="QFC372" s="15"/>
      <c r="QFD372" s="15"/>
      <c r="QFE372" s="15"/>
      <c r="QFF372" s="15"/>
      <c r="QFG372" s="15"/>
      <c r="QFH372" s="10"/>
      <c r="QFI372" s="10"/>
      <c r="QFJ372" s="21"/>
      <c r="QFK372" s="21"/>
      <c r="QFN372" s="21"/>
      <c r="QFO372" s="15"/>
      <c r="QFP372" s="15"/>
      <c r="QFQ372" s="15"/>
      <c r="QFR372" s="15"/>
      <c r="QFS372" s="15"/>
      <c r="QFT372" s="15"/>
      <c r="QFU372" s="15"/>
      <c r="QFV372" s="15"/>
      <c r="QFW372" s="15"/>
      <c r="QFX372" s="15"/>
      <c r="QFY372" s="10"/>
      <c r="QFZ372" s="10"/>
      <c r="QGA372" s="21"/>
      <c r="QGB372" s="21"/>
      <c r="QGE372" s="21"/>
      <c r="QGF372" s="15"/>
      <c r="QGG372" s="15"/>
      <c r="QGH372" s="15"/>
      <c r="QGI372" s="15"/>
      <c r="QGJ372" s="15"/>
      <c r="QGK372" s="15"/>
      <c r="QGL372" s="15"/>
      <c r="QGM372" s="15"/>
      <c r="QGN372" s="15"/>
      <c r="QGO372" s="15"/>
      <c r="QGP372" s="10"/>
      <c r="QGQ372" s="10"/>
      <c r="QGR372" s="21"/>
      <c r="QGS372" s="21"/>
      <c r="QGV372" s="21"/>
      <c r="QGW372" s="15"/>
      <c r="QGX372" s="15"/>
      <c r="QGY372" s="15"/>
      <c r="QGZ372" s="15"/>
      <c r="QHA372" s="15"/>
      <c r="QHB372" s="15"/>
      <c r="QHC372" s="15"/>
      <c r="QHD372" s="15"/>
      <c r="QHE372" s="15"/>
      <c r="QHF372" s="15"/>
      <c r="QHG372" s="10"/>
      <c r="QHH372" s="10"/>
      <c r="QHI372" s="21"/>
      <c r="QHJ372" s="21"/>
      <c r="QHM372" s="21"/>
      <c r="QHN372" s="15"/>
      <c r="QHO372" s="15"/>
      <c r="QHP372" s="15"/>
      <c r="QHQ372" s="15"/>
      <c r="QHR372" s="15"/>
      <c r="QHS372" s="15"/>
      <c r="QHT372" s="15"/>
      <c r="QHU372" s="15"/>
      <c r="QHV372" s="15"/>
      <c r="QHW372" s="15"/>
      <c r="QHX372" s="10"/>
      <c r="QHY372" s="10"/>
      <c r="QHZ372" s="21"/>
      <c r="QIA372" s="21"/>
      <c r="QID372" s="21"/>
      <c r="QIE372" s="15"/>
      <c r="QIF372" s="15"/>
      <c r="QIG372" s="15"/>
      <c r="QIH372" s="15"/>
      <c r="QII372" s="15"/>
      <c r="QIJ372" s="15"/>
      <c r="QIK372" s="15"/>
      <c r="QIL372" s="15"/>
      <c r="QIM372" s="15"/>
      <c r="QIN372" s="15"/>
      <c r="QIO372" s="10"/>
      <c r="QIP372" s="10"/>
      <c r="QIQ372" s="21"/>
      <c r="QIR372" s="21"/>
      <c r="QIU372" s="21"/>
      <c r="QIV372" s="15"/>
      <c r="QIW372" s="15"/>
      <c r="QIX372" s="15"/>
      <c r="QIY372" s="15"/>
      <c r="QIZ372" s="15"/>
      <c r="QJA372" s="15"/>
      <c r="QJB372" s="15"/>
      <c r="QJC372" s="15"/>
      <c r="QJD372" s="15"/>
      <c r="QJE372" s="15"/>
      <c r="QJF372" s="10"/>
      <c r="QJG372" s="10"/>
      <c r="QJH372" s="21"/>
      <c r="QJI372" s="21"/>
      <c r="QJL372" s="21"/>
      <c r="QJM372" s="15"/>
      <c r="QJN372" s="15"/>
      <c r="QJO372" s="15"/>
      <c r="QJP372" s="15"/>
      <c r="QJQ372" s="15"/>
      <c r="QJR372" s="15"/>
      <c r="QJS372" s="15"/>
      <c r="QJT372" s="15"/>
      <c r="QJU372" s="15"/>
      <c r="QJV372" s="15"/>
      <c r="QJW372" s="10"/>
      <c r="QJX372" s="10"/>
      <c r="QJY372" s="21"/>
      <c r="QJZ372" s="21"/>
      <c r="QKC372" s="21"/>
      <c r="QKD372" s="15"/>
      <c r="QKE372" s="15"/>
      <c r="QKF372" s="15"/>
      <c r="QKG372" s="15"/>
      <c r="QKH372" s="15"/>
      <c r="QKI372" s="15"/>
      <c r="QKJ372" s="15"/>
      <c r="QKK372" s="15"/>
      <c r="QKL372" s="15"/>
      <c r="QKM372" s="15"/>
      <c r="QKN372" s="10"/>
      <c r="QKO372" s="10"/>
      <c r="QKP372" s="21"/>
      <c r="QKQ372" s="21"/>
      <c r="QKT372" s="21"/>
      <c r="QKU372" s="15"/>
      <c r="QKV372" s="15"/>
      <c r="QKW372" s="15"/>
      <c r="QKX372" s="15"/>
      <c r="QKY372" s="15"/>
      <c r="QKZ372" s="15"/>
      <c r="QLA372" s="15"/>
      <c r="QLB372" s="15"/>
      <c r="QLC372" s="15"/>
      <c r="QLD372" s="15"/>
      <c r="QLE372" s="10"/>
      <c r="QLF372" s="10"/>
      <c r="QLG372" s="21"/>
      <c r="QLH372" s="21"/>
      <c r="QLK372" s="21"/>
      <c r="QLL372" s="15"/>
      <c r="QLM372" s="15"/>
      <c r="QLN372" s="15"/>
      <c r="QLO372" s="15"/>
      <c r="QLP372" s="15"/>
      <c r="QLQ372" s="15"/>
      <c r="QLR372" s="15"/>
      <c r="QLS372" s="15"/>
      <c r="QLT372" s="15"/>
      <c r="QLU372" s="15"/>
      <c r="QLV372" s="10"/>
      <c r="QLW372" s="10"/>
      <c r="QLX372" s="21"/>
      <c r="QLY372" s="21"/>
      <c r="QMB372" s="21"/>
      <c r="QMC372" s="15"/>
      <c r="QMD372" s="15"/>
      <c r="QME372" s="15"/>
      <c r="QMF372" s="15"/>
      <c r="QMG372" s="15"/>
      <c r="QMH372" s="15"/>
      <c r="QMI372" s="15"/>
      <c r="QMJ372" s="15"/>
      <c r="QMK372" s="15"/>
      <c r="QML372" s="15"/>
      <c r="QMM372" s="10"/>
      <c r="QMN372" s="10"/>
      <c r="QMO372" s="21"/>
      <c r="QMP372" s="21"/>
      <c r="QMS372" s="21"/>
      <c r="QMT372" s="15"/>
      <c r="QMU372" s="15"/>
      <c r="QMV372" s="15"/>
      <c r="QMW372" s="15"/>
      <c r="QMX372" s="15"/>
      <c r="QMY372" s="15"/>
      <c r="QMZ372" s="15"/>
      <c r="QNA372" s="15"/>
      <c r="QNB372" s="15"/>
      <c r="QNC372" s="15"/>
      <c r="QND372" s="10"/>
      <c r="QNE372" s="10"/>
      <c r="QNF372" s="21"/>
      <c r="QNG372" s="21"/>
      <c r="QNJ372" s="21"/>
      <c r="QNK372" s="15"/>
      <c r="QNL372" s="15"/>
      <c r="QNM372" s="15"/>
      <c r="QNN372" s="15"/>
      <c r="QNO372" s="15"/>
      <c r="QNP372" s="15"/>
      <c r="QNQ372" s="15"/>
      <c r="QNR372" s="15"/>
      <c r="QNS372" s="15"/>
      <c r="QNT372" s="15"/>
      <c r="QNU372" s="10"/>
      <c r="QNV372" s="10"/>
      <c r="QNW372" s="21"/>
      <c r="QNX372" s="21"/>
      <c r="QOA372" s="21"/>
      <c r="QOB372" s="15"/>
      <c r="QOC372" s="15"/>
      <c r="QOD372" s="15"/>
      <c r="QOE372" s="15"/>
      <c r="QOF372" s="15"/>
      <c r="QOG372" s="15"/>
      <c r="QOH372" s="15"/>
      <c r="QOI372" s="15"/>
      <c r="QOJ372" s="15"/>
      <c r="QOK372" s="15"/>
      <c r="QOL372" s="10"/>
      <c r="QOM372" s="10"/>
      <c r="QON372" s="21"/>
      <c r="QOO372" s="21"/>
      <c r="QOR372" s="21"/>
      <c r="QOS372" s="15"/>
      <c r="QOT372" s="15"/>
      <c r="QOU372" s="15"/>
      <c r="QOV372" s="15"/>
      <c r="QOW372" s="15"/>
      <c r="QOX372" s="15"/>
      <c r="QOY372" s="15"/>
      <c r="QOZ372" s="15"/>
      <c r="QPA372" s="15"/>
      <c r="QPB372" s="15"/>
      <c r="QPC372" s="10"/>
      <c r="QPD372" s="10"/>
      <c r="QPE372" s="21"/>
      <c r="QPF372" s="21"/>
      <c r="QPI372" s="21"/>
      <c r="QPJ372" s="15"/>
      <c r="QPK372" s="15"/>
      <c r="QPL372" s="15"/>
      <c r="QPM372" s="15"/>
      <c r="QPN372" s="15"/>
      <c r="QPO372" s="15"/>
      <c r="QPP372" s="15"/>
      <c r="QPQ372" s="15"/>
      <c r="QPR372" s="15"/>
      <c r="QPS372" s="15"/>
      <c r="QPT372" s="10"/>
      <c r="QPU372" s="10"/>
      <c r="QPV372" s="21"/>
      <c r="QPW372" s="21"/>
      <c r="QPZ372" s="21"/>
      <c r="QQA372" s="15"/>
      <c r="QQB372" s="15"/>
      <c r="QQC372" s="15"/>
      <c r="QQD372" s="15"/>
      <c r="QQE372" s="15"/>
      <c r="QQF372" s="15"/>
      <c r="QQG372" s="15"/>
      <c r="QQH372" s="15"/>
      <c r="QQI372" s="15"/>
      <c r="QQJ372" s="15"/>
      <c r="QQK372" s="10"/>
      <c r="QQL372" s="10"/>
      <c r="QQM372" s="21"/>
      <c r="QQN372" s="21"/>
      <c r="QQQ372" s="21"/>
      <c r="QQR372" s="15"/>
      <c r="QQS372" s="15"/>
      <c r="QQT372" s="15"/>
      <c r="QQU372" s="15"/>
      <c r="QQV372" s="15"/>
      <c r="QQW372" s="15"/>
      <c r="QQX372" s="15"/>
      <c r="QQY372" s="15"/>
      <c r="QQZ372" s="15"/>
      <c r="QRA372" s="15"/>
      <c r="QRB372" s="10"/>
      <c r="QRC372" s="10"/>
      <c r="QRD372" s="21"/>
      <c r="QRE372" s="21"/>
      <c r="QRH372" s="21"/>
      <c r="QRI372" s="15"/>
      <c r="QRJ372" s="15"/>
      <c r="QRK372" s="15"/>
      <c r="QRL372" s="15"/>
      <c r="QRM372" s="15"/>
      <c r="QRN372" s="15"/>
      <c r="QRO372" s="15"/>
      <c r="QRP372" s="15"/>
      <c r="QRQ372" s="15"/>
      <c r="QRR372" s="15"/>
      <c r="QRS372" s="10"/>
      <c r="QRT372" s="10"/>
      <c r="QRU372" s="21"/>
      <c r="QRV372" s="21"/>
      <c r="QRY372" s="21"/>
      <c r="QRZ372" s="15"/>
      <c r="QSA372" s="15"/>
      <c r="QSB372" s="15"/>
      <c r="QSC372" s="15"/>
      <c r="QSD372" s="15"/>
      <c r="QSE372" s="15"/>
      <c r="QSF372" s="15"/>
      <c r="QSG372" s="15"/>
      <c r="QSH372" s="15"/>
      <c r="QSI372" s="15"/>
      <c r="QSJ372" s="10"/>
      <c r="QSK372" s="10"/>
      <c r="QSL372" s="21"/>
      <c r="QSM372" s="21"/>
      <c r="QSP372" s="21"/>
      <c r="QSQ372" s="15"/>
      <c r="QSR372" s="15"/>
      <c r="QSS372" s="15"/>
      <c r="QST372" s="15"/>
      <c r="QSU372" s="15"/>
      <c r="QSV372" s="15"/>
      <c r="QSW372" s="15"/>
      <c r="QSX372" s="15"/>
      <c r="QSY372" s="15"/>
      <c r="QSZ372" s="15"/>
      <c r="QTA372" s="10"/>
      <c r="QTB372" s="10"/>
      <c r="QTC372" s="21"/>
      <c r="QTD372" s="21"/>
      <c r="QTG372" s="21"/>
      <c r="QTH372" s="15"/>
      <c r="QTI372" s="15"/>
      <c r="QTJ372" s="15"/>
      <c r="QTK372" s="15"/>
      <c r="QTL372" s="15"/>
      <c r="QTM372" s="15"/>
      <c r="QTN372" s="15"/>
      <c r="QTO372" s="15"/>
      <c r="QTP372" s="15"/>
      <c r="QTQ372" s="15"/>
      <c r="QTR372" s="10"/>
      <c r="QTS372" s="10"/>
      <c r="QTT372" s="21"/>
      <c r="QTU372" s="21"/>
      <c r="QTX372" s="21"/>
      <c r="QTY372" s="15"/>
      <c r="QTZ372" s="15"/>
      <c r="QUA372" s="15"/>
      <c r="QUB372" s="15"/>
      <c r="QUC372" s="15"/>
      <c r="QUD372" s="15"/>
      <c r="QUE372" s="15"/>
      <c r="QUF372" s="15"/>
      <c r="QUG372" s="15"/>
      <c r="QUH372" s="15"/>
      <c r="QUI372" s="10"/>
      <c r="QUJ372" s="10"/>
      <c r="QUK372" s="21"/>
      <c r="QUL372" s="21"/>
      <c r="QUO372" s="21"/>
      <c r="QUP372" s="15"/>
      <c r="QUQ372" s="15"/>
      <c r="QUR372" s="15"/>
      <c r="QUS372" s="15"/>
      <c r="QUT372" s="15"/>
      <c r="QUU372" s="15"/>
      <c r="QUV372" s="15"/>
      <c r="QUW372" s="15"/>
      <c r="QUX372" s="15"/>
      <c r="QUY372" s="15"/>
      <c r="QUZ372" s="10"/>
      <c r="QVA372" s="10"/>
      <c r="QVB372" s="21"/>
      <c r="QVC372" s="21"/>
      <c r="QVF372" s="21"/>
      <c r="QVG372" s="15"/>
      <c r="QVH372" s="15"/>
      <c r="QVI372" s="15"/>
      <c r="QVJ372" s="15"/>
      <c r="QVK372" s="15"/>
      <c r="QVL372" s="15"/>
      <c r="QVM372" s="15"/>
      <c r="QVN372" s="15"/>
      <c r="QVO372" s="15"/>
      <c r="QVP372" s="15"/>
      <c r="QVQ372" s="10"/>
      <c r="QVR372" s="10"/>
      <c r="QVS372" s="21"/>
      <c r="QVT372" s="21"/>
      <c r="QVW372" s="21"/>
      <c r="QVX372" s="15"/>
      <c r="QVY372" s="15"/>
      <c r="QVZ372" s="15"/>
      <c r="QWA372" s="15"/>
      <c r="QWB372" s="15"/>
      <c r="QWC372" s="15"/>
      <c r="QWD372" s="15"/>
      <c r="QWE372" s="15"/>
      <c r="QWF372" s="15"/>
      <c r="QWG372" s="15"/>
      <c r="QWH372" s="10"/>
      <c r="QWI372" s="10"/>
      <c r="QWJ372" s="21"/>
      <c r="QWK372" s="21"/>
      <c r="QWN372" s="21"/>
      <c r="QWO372" s="15"/>
      <c r="QWP372" s="15"/>
      <c r="QWQ372" s="15"/>
      <c r="QWR372" s="15"/>
      <c r="QWS372" s="15"/>
      <c r="QWT372" s="15"/>
      <c r="QWU372" s="15"/>
      <c r="QWV372" s="15"/>
      <c r="QWW372" s="15"/>
      <c r="QWX372" s="15"/>
      <c r="QWY372" s="10"/>
      <c r="QWZ372" s="10"/>
      <c r="QXA372" s="21"/>
      <c r="QXB372" s="21"/>
      <c r="QXE372" s="21"/>
      <c r="QXF372" s="15"/>
      <c r="QXG372" s="15"/>
      <c r="QXH372" s="15"/>
      <c r="QXI372" s="15"/>
      <c r="QXJ372" s="15"/>
      <c r="QXK372" s="15"/>
      <c r="QXL372" s="15"/>
      <c r="QXM372" s="15"/>
      <c r="QXN372" s="15"/>
      <c r="QXO372" s="15"/>
      <c r="QXP372" s="10"/>
      <c r="QXQ372" s="10"/>
      <c r="QXR372" s="21"/>
      <c r="QXS372" s="21"/>
      <c r="QXV372" s="21"/>
      <c r="QXW372" s="15"/>
      <c r="QXX372" s="15"/>
      <c r="QXY372" s="15"/>
      <c r="QXZ372" s="15"/>
      <c r="QYA372" s="15"/>
      <c r="QYB372" s="15"/>
      <c r="QYC372" s="15"/>
      <c r="QYD372" s="15"/>
      <c r="QYE372" s="15"/>
      <c r="QYF372" s="15"/>
      <c r="QYG372" s="10"/>
      <c r="QYH372" s="10"/>
      <c r="QYI372" s="21"/>
      <c r="QYJ372" s="21"/>
      <c r="QYM372" s="21"/>
      <c r="QYN372" s="15"/>
      <c r="QYO372" s="15"/>
      <c r="QYP372" s="15"/>
      <c r="QYQ372" s="15"/>
      <c r="QYR372" s="15"/>
      <c r="QYS372" s="15"/>
      <c r="QYT372" s="15"/>
      <c r="QYU372" s="15"/>
      <c r="QYV372" s="15"/>
      <c r="QYW372" s="15"/>
      <c r="QYX372" s="10"/>
      <c r="QYY372" s="10"/>
      <c r="QYZ372" s="21"/>
      <c r="QZA372" s="21"/>
      <c r="QZD372" s="21"/>
      <c r="QZE372" s="15"/>
      <c r="QZF372" s="15"/>
      <c r="QZG372" s="15"/>
      <c r="QZH372" s="15"/>
      <c r="QZI372" s="15"/>
      <c r="QZJ372" s="15"/>
      <c r="QZK372" s="15"/>
      <c r="QZL372" s="15"/>
      <c r="QZM372" s="15"/>
      <c r="QZN372" s="15"/>
      <c r="QZO372" s="10"/>
      <c r="QZP372" s="10"/>
      <c r="QZQ372" s="21"/>
      <c r="QZR372" s="21"/>
      <c r="QZU372" s="21"/>
      <c r="QZV372" s="15"/>
      <c r="QZW372" s="15"/>
      <c r="QZX372" s="15"/>
      <c r="QZY372" s="15"/>
      <c r="QZZ372" s="15"/>
      <c r="RAA372" s="15"/>
      <c r="RAB372" s="15"/>
      <c r="RAC372" s="15"/>
      <c r="RAD372" s="15"/>
      <c r="RAE372" s="15"/>
      <c r="RAF372" s="10"/>
      <c r="RAG372" s="10"/>
      <c r="RAH372" s="21"/>
      <c r="RAI372" s="21"/>
      <c r="RAL372" s="21"/>
      <c r="RAM372" s="15"/>
      <c r="RAN372" s="15"/>
      <c r="RAO372" s="15"/>
      <c r="RAP372" s="15"/>
      <c r="RAQ372" s="15"/>
      <c r="RAR372" s="15"/>
      <c r="RAS372" s="15"/>
      <c r="RAT372" s="15"/>
      <c r="RAU372" s="15"/>
      <c r="RAV372" s="15"/>
      <c r="RAW372" s="10"/>
      <c r="RAX372" s="10"/>
      <c r="RAY372" s="21"/>
      <c r="RAZ372" s="21"/>
      <c r="RBC372" s="21"/>
      <c r="RBD372" s="15"/>
      <c r="RBE372" s="15"/>
      <c r="RBF372" s="15"/>
      <c r="RBG372" s="15"/>
      <c r="RBH372" s="15"/>
      <c r="RBI372" s="15"/>
      <c r="RBJ372" s="15"/>
      <c r="RBK372" s="15"/>
      <c r="RBL372" s="15"/>
      <c r="RBM372" s="15"/>
      <c r="RBN372" s="10"/>
      <c r="RBO372" s="10"/>
      <c r="RBP372" s="21"/>
      <c r="RBQ372" s="21"/>
      <c r="RBT372" s="21"/>
      <c r="RBU372" s="15"/>
      <c r="RBV372" s="15"/>
      <c r="RBW372" s="15"/>
      <c r="RBX372" s="15"/>
      <c r="RBY372" s="15"/>
      <c r="RBZ372" s="15"/>
      <c r="RCA372" s="15"/>
      <c r="RCB372" s="15"/>
      <c r="RCC372" s="15"/>
      <c r="RCD372" s="15"/>
      <c r="RCE372" s="10"/>
      <c r="RCF372" s="10"/>
      <c r="RCG372" s="21"/>
      <c r="RCH372" s="21"/>
      <c r="RCK372" s="21"/>
      <c r="RCL372" s="15"/>
      <c r="RCM372" s="15"/>
      <c r="RCN372" s="15"/>
      <c r="RCO372" s="15"/>
      <c r="RCP372" s="15"/>
      <c r="RCQ372" s="15"/>
      <c r="RCR372" s="15"/>
      <c r="RCS372" s="15"/>
      <c r="RCT372" s="15"/>
      <c r="RCU372" s="15"/>
      <c r="RCV372" s="10"/>
      <c r="RCW372" s="10"/>
      <c r="RCX372" s="21"/>
      <c r="RCY372" s="21"/>
      <c r="RDB372" s="21"/>
      <c r="RDC372" s="15"/>
      <c r="RDD372" s="15"/>
      <c r="RDE372" s="15"/>
      <c r="RDF372" s="15"/>
      <c r="RDG372" s="15"/>
      <c r="RDH372" s="15"/>
      <c r="RDI372" s="15"/>
      <c r="RDJ372" s="15"/>
      <c r="RDK372" s="15"/>
      <c r="RDL372" s="15"/>
      <c r="RDM372" s="10"/>
      <c r="RDN372" s="10"/>
      <c r="RDO372" s="21"/>
      <c r="RDP372" s="21"/>
      <c r="RDS372" s="21"/>
      <c r="RDT372" s="15"/>
      <c r="RDU372" s="15"/>
      <c r="RDV372" s="15"/>
      <c r="RDW372" s="15"/>
      <c r="RDX372" s="15"/>
      <c r="RDY372" s="15"/>
      <c r="RDZ372" s="15"/>
      <c r="REA372" s="15"/>
      <c r="REB372" s="15"/>
      <c r="REC372" s="15"/>
      <c r="RED372" s="10"/>
      <c r="REE372" s="10"/>
      <c r="REF372" s="21"/>
      <c r="REG372" s="21"/>
      <c r="REJ372" s="21"/>
      <c r="REK372" s="15"/>
      <c r="REL372" s="15"/>
      <c r="REM372" s="15"/>
      <c r="REN372" s="15"/>
      <c r="REO372" s="15"/>
      <c r="REP372" s="15"/>
      <c r="REQ372" s="15"/>
      <c r="RER372" s="15"/>
      <c r="RES372" s="15"/>
      <c r="RET372" s="15"/>
      <c r="REU372" s="10"/>
      <c r="REV372" s="10"/>
      <c r="REW372" s="21"/>
      <c r="REX372" s="21"/>
      <c r="RFA372" s="21"/>
      <c r="RFB372" s="15"/>
      <c r="RFC372" s="15"/>
      <c r="RFD372" s="15"/>
      <c r="RFE372" s="15"/>
      <c r="RFF372" s="15"/>
      <c r="RFG372" s="15"/>
      <c r="RFH372" s="15"/>
      <c r="RFI372" s="15"/>
      <c r="RFJ372" s="15"/>
      <c r="RFK372" s="15"/>
      <c r="RFL372" s="10"/>
      <c r="RFM372" s="10"/>
      <c r="RFN372" s="21"/>
      <c r="RFO372" s="21"/>
      <c r="RFR372" s="21"/>
      <c r="RFS372" s="15"/>
      <c r="RFT372" s="15"/>
      <c r="RFU372" s="15"/>
      <c r="RFV372" s="15"/>
      <c r="RFW372" s="15"/>
      <c r="RFX372" s="15"/>
      <c r="RFY372" s="15"/>
      <c r="RFZ372" s="15"/>
      <c r="RGA372" s="15"/>
      <c r="RGB372" s="15"/>
      <c r="RGC372" s="10"/>
      <c r="RGD372" s="10"/>
      <c r="RGE372" s="21"/>
      <c r="RGF372" s="21"/>
      <c r="RGI372" s="21"/>
      <c r="RGJ372" s="15"/>
      <c r="RGK372" s="15"/>
      <c r="RGL372" s="15"/>
      <c r="RGM372" s="15"/>
      <c r="RGN372" s="15"/>
      <c r="RGO372" s="15"/>
      <c r="RGP372" s="15"/>
      <c r="RGQ372" s="15"/>
      <c r="RGR372" s="15"/>
      <c r="RGS372" s="15"/>
      <c r="RGT372" s="10"/>
      <c r="RGU372" s="10"/>
      <c r="RGV372" s="21"/>
      <c r="RGW372" s="21"/>
      <c r="RGZ372" s="21"/>
      <c r="RHA372" s="15"/>
      <c r="RHB372" s="15"/>
      <c r="RHC372" s="15"/>
      <c r="RHD372" s="15"/>
      <c r="RHE372" s="15"/>
      <c r="RHF372" s="15"/>
      <c r="RHG372" s="15"/>
      <c r="RHH372" s="15"/>
      <c r="RHI372" s="15"/>
      <c r="RHJ372" s="15"/>
      <c r="RHK372" s="10"/>
      <c r="RHL372" s="10"/>
      <c r="RHM372" s="21"/>
      <c r="RHN372" s="21"/>
      <c r="RHQ372" s="21"/>
      <c r="RHR372" s="15"/>
      <c r="RHS372" s="15"/>
      <c r="RHT372" s="15"/>
      <c r="RHU372" s="15"/>
      <c r="RHV372" s="15"/>
      <c r="RHW372" s="15"/>
      <c r="RHX372" s="15"/>
      <c r="RHY372" s="15"/>
      <c r="RHZ372" s="15"/>
      <c r="RIA372" s="15"/>
      <c r="RIB372" s="10"/>
      <c r="RIC372" s="10"/>
      <c r="RID372" s="21"/>
      <c r="RIE372" s="21"/>
      <c r="RIH372" s="21"/>
      <c r="RII372" s="15"/>
      <c r="RIJ372" s="15"/>
      <c r="RIK372" s="15"/>
      <c r="RIL372" s="15"/>
      <c r="RIM372" s="15"/>
      <c r="RIN372" s="15"/>
      <c r="RIO372" s="15"/>
      <c r="RIP372" s="15"/>
      <c r="RIQ372" s="15"/>
      <c r="RIR372" s="15"/>
      <c r="RIS372" s="10"/>
      <c r="RIT372" s="10"/>
      <c r="RIU372" s="21"/>
      <c r="RIV372" s="21"/>
      <c r="RIY372" s="21"/>
      <c r="RIZ372" s="15"/>
      <c r="RJA372" s="15"/>
      <c r="RJB372" s="15"/>
      <c r="RJC372" s="15"/>
      <c r="RJD372" s="15"/>
      <c r="RJE372" s="15"/>
      <c r="RJF372" s="15"/>
      <c r="RJG372" s="15"/>
      <c r="RJH372" s="15"/>
      <c r="RJI372" s="15"/>
      <c r="RJJ372" s="10"/>
      <c r="RJK372" s="10"/>
      <c r="RJL372" s="21"/>
      <c r="RJM372" s="21"/>
      <c r="RJP372" s="21"/>
      <c r="RJQ372" s="15"/>
      <c r="RJR372" s="15"/>
      <c r="RJS372" s="15"/>
      <c r="RJT372" s="15"/>
      <c r="RJU372" s="15"/>
      <c r="RJV372" s="15"/>
      <c r="RJW372" s="15"/>
      <c r="RJX372" s="15"/>
      <c r="RJY372" s="15"/>
      <c r="RJZ372" s="15"/>
      <c r="RKA372" s="10"/>
      <c r="RKB372" s="10"/>
      <c r="RKC372" s="21"/>
      <c r="RKD372" s="21"/>
      <c r="RKG372" s="21"/>
      <c r="RKH372" s="15"/>
      <c r="RKI372" s="15"/>
      <c r="RKJ372" s="15"/>
      <c r="RKK372" s="15"/>
      <c r="RKL372" s="15"/>
      <c r="RKM372" s="15"/>
      <c r="RKN372" s="15"/>
      <c r="RKO372" s="15"/>
      <c r="RKP372" s="15"/>
      <c r="RKQ372" s="15"/>
      <c r="RKR372" s="10"/>
      <c r="RKS372" s="10"/>
      <c r="RKT372" s="21"/>
      <c r="RKU372" s="21"/>
      <c r="RKX372" s="21"/>
      <c r="RKY372" s="15"/>
      <c r="RKZ372" s="15"/>
      <c r="RLA372" s="15"/>
      <c r="RLB372" s="15"/>
      <c r="RLC372" s="15"/>
      <c r="RLD372" s="15"/>
      <c r="RLE372" s="15"/>
      <c r="RLF372" s="15"/>
      <c r="RLG372" s="15"/>
      <c r="RLH372" s="15"/>
      <c r="RLI372" s="10"/>
      <c r="RLJ372" s="10"/>
      <c r="RLK372" s="21"/>
      <c r="RLL372" s="21"/>
      <c r="RLO372" s="21"/>
      <c r="RLP372" s="15"/>
      <c r="RLQ372" s="15"/>
      <c r="RLR372" s="15"/>
      <c r="RLS372" s="15"/>
      <c r="RLT372" s="15"/>
      <c r="RLU372" s="15"/>
      <c r="RLV372" s="15"/>
      <c r="RLW372" s="15"/>
      <c r="RLX372" s="15"/>
      <c r="RLY372" s="15"/>
      <c r="RLZ372" s="10"/>
      <c r="RMA372" s="10"/>
      <c r="RMB372" s="21"/>
      <c r="RMC372" s="21"/>
      <c r="RMF372" s="21"/>
      <c r="RMG372" s="15"/>
      <c r="RMH372" s="15"/>
      <c r="RMI372" s="15"/>
      <c r="RMJ372" s="15"/>
      <c r="RMK372" s="15"/>
      <c r="RML372" s="15"/>
      <c r="RMM372" s="15"/>
      <c r="RMN372" s="15"/>
      <c r="RMO372" s="15"/>
      <c r="RMP372" s="15"/>
      <c r="RMQ372" s="10"/>
      <c r="RMR372" s="10"/>
      <c r="RMS372" s="21"/>
      <c r="RMT372" s="21"/>
      <c r="RMW372" s="21"/>
      <c r="RMX372" s="15"/>
      <c r="RMY372" s="15"/>
      <c r="RMZ372" s="15"/>
      <c r="RNA372" s="15"/>
      <c r="RNB372" s="15"/>
      <c r="RNC372" s="15"/>
      <c r="RND372" s="15"/>
      <c r="RNE372" s="15"/>
      <c r="RNF372" s="15"/>
      <c r="RNG372" s="15"/>
      <c r="RNH372" s="10"/>
      <c r="RNI372" s="10"/>
      <c r="RNJ372" s="21"/>
      <c r="RNK372" s="21"/>
      <c r="RNN372" s="21"/>
      <c r="RNO372" s="15"/>
      <c r="RNP372" s="15"/>
      <c r="RNQ372" s="15"/>
      <c r="RNR372" s="15"/>
      <c r="RNS372" s="15"/>
      <c r="RNT372" s="15"/>
      <c r="RNU372" s="15"/>
      <c r="RNV372" s="15"/>
      <c r="RNW372" s="15"/>
      <c r="RNX372" s="15"/>
      <c r="RNY372" s="10"/>
      <c r="RNZ372" s="10"/>
      <c r="ROA372" s="21"/>
      <c r="ROB372" s="21"/>
      <c r="ROE372" s="21"/>
      <c r="ROF372" s="15"/>
      <c r="ROG372" s="15"/>
      <c r="ROH372" s="15"/>
      <c r="ROI372" s="15"/>
      <c r="ROJ372" s="15"/>
      <c r="ROK372" s="15"/>
      <c r="ROL372" s="15"/>
      <c r="ROM372" s="15"/>
      <c r="RON372" s="15"/>
      <c r="ROO372" s="15"/>
      <c r="ROP372" s="10"/>
      <c r="ROQ372" s="10"/>
      <c r="ROR372" s="21"/>
      <c r="ROS372" s="21"/>
      <c r="ROV372" s="21"/>
      <c r="ROW372" s="15"/>
      <c r="ROX372" s="15"/>
      <c r="ROY372" s="15"/>
      <c r="ROZ372" s="15"/>
      <c r="RPA372" s="15"/>
      <c r="RPB372" s="15"/>
      <c r="RPC372" s="15"/>
      <c r="RPD372" s="15"/>
      <c r="RPE372" s="15"/>
      <c r="RPF372" s="15"/>
      <c r="RPG372" s="10"/>
      <c r="RPH372" s="10"/>
      <c r="RPI372" s="21"/>
      <c r="RPJ372" s="21"/>
      <c r="RPM372" s="21"/>
      <c r="RPN372" s="15"/>
      <c r="RPO372" s="15"/>
      <c r="RPP372" s="15"/>
      <c r="RPQ372" s="15"/>
      <c r="RPR372" s="15"/>
      <c r="RPS372" s="15"/>
      <c r="RPT372" s="15"/>
      <c r="RPU372" s="15"/>
      <c r="RPV372" s="15"/>
      <c r="RPW372" s="15"/>
      <c r="RPX372" s="10"/>
      <c r="RPY372" s="10"/>
      <c r="RPZ372" s="21"/>
      <c r="RQA372" s="21"/>
      <c r="RQD372" s="21"/>
      <c r="RQE372" s="15"/>
      <c r="RQF372" s="15"/>
      <c r="RQG372" s="15"/>
      <c r="RQH372" s="15"/>
      <c r="RQI372" s="15"/>
      <c r="RQJ372" s="15"/>
      <c r="RQK372" s="15"/>
      <c r="RQL372" s="15"/>
      <c r="RQM372" s="15"/>
      <c r="RQN372" s="15"/>
      <c r="RQO372" s="10"/>
      <c r="RQP372" s="10"/>
      <c r="RQQ372" s="21"/>
      <c r="RQR372" s="21"/>
      <c r="RQU372" s="21"/>
      <c r="RQV372" s="15"/>
      <c r="RQW372" s="15"/>
      <c r="RQX372" s="15"/>
      <c r="RQY372" s="15"/>
      <c r="RQZ372" s="15"/>
      <c r="RRA372" s="15"/>
      <c r="RRB372" s="15"/>
      <c r="RRC372" s="15"/>
      <c r="RRD372" s="15"/>
      <c r="RRE372" s="15"/>
      <c r="RRF372" s="10"/>
      <c r="RRG372" s="10"/>
      <c r="RRH372" s="21"/>
      <c r="RRI372" s="21"/>
      <c r="RRL372" s="21"/>
      <c r="RRM372" s="15"/>
      <c r="RRN372" s="15"/>
      <c r="RRO372" s="15"/>
      <c r="RRP372" s="15"/>
      <c r="RRQ372" s="15"/>
      <c r="RRR372" s="15"/>
      <c r="RRS372" s="15"/>
      <c r="RRT372" s="15"/>
      <c r="RRU372" s="15"/>
      <c r="RRV372" s="15"/>
      <c r="RRW372" s="10"/>
      <c r="RRX372" s="10"/>
      <c r="RRY372" s="21"/>
      <c r="RRZ372" s="21"/>
      <c r="RSC372" s="21"/>
      <c r="RSD372" s="15"/>
      <c r="RSE372" s="15"/>
      <c r="RSF372" s="15"/>
      <c r="RSG372" s="15"/>
      <c r="RSH372" s="15"/>
      <c r="RSI372" s="15"/>
      <c r="RSJ372" s="15"/>
      <c r="RSK372" s="15"/>
      <c r="RSL372" s="15"/>
      <c r="RSM372" s="15"/>
      <c r="RSN372" s="10"/>
      <c r="RSO372" s="10"/>
      <c r="RSP372" s="21"/>
      <c r="RSQ372" s="21"/>
      <c r="RST372" s="21"/>
      <c r="RSU372" s="15"/>
      <c r="RSV372" s="15"/>
      <c r="RSW372" s="15"/>
      <c r="RSX372" s="15"/>
      <c r="RSY372" s="15"/>
      <c r="RSZ372" s="15"/>
      <c r="RTA372" s="15"/>
      <c r="RTB372" s="15"/>
      <c r="RTC372" s="15"/>
      <c r="RTD372" s="15"/>
      <c r="RTE372" s="10"/>
      <c r="RTF372" s="10"/>
      <c r="RTG372" s="21"/>
      <c r="RTH372" s="21"/>
      <c r="RTK372" s="21"/>
      <c r="RTL372" s="15"/>
      <c r="RTM372" s="15"/>
      <c r="RTN372" s="15"/>
      <c r="RTO372" s="15"/>
      <c r="RTP372" s="15"/>
      <c r="RTQ372" s="15"/>
      <c r="RTR372" s="15"/>
      <c r="RTS372" s="15"/>
      <c r="RTT372" s="15"/>
      <c r="RTU372" s="15"/>
      <c r="RTV372" s="10"/>
      <c r="RTW372" s="10"/>
      <c r="RTX372" s="21"/>
      <c r="RTY372" s="21"/>
      <c r="RUB372" s="21"/>
      <c r="RUC372" s="15"/>
      <c r="RUD372" s="15"/>
      <c r="RUE372" s="15"/>
      <c r="RUF372" s="15"/>
      <c r="RUG372" s="15"/>
      <c r="RUH372" s="15"/>
      <c r="RUI372" s="15"/>
      <c r="RUJ372" s="15"/>
      <c r="RUK372" s="15"/>
      <c r="RUL372" s="15"/>
      <c r="RUM372" s="10"/>
      <c r="RUN372" s="10"/>
      <c r="RUO372" s="21"/>
      <c r="RUP372" s="21"/>
      <c r="RUS372" s="21"/>
      <c r="RUT372" s="15"/>
      <c r="RUU372" s="15"/>
      <c r="RUV372" s="15"/>
      <c r="RUW372" s="15"/>
      <c r="RUX372" s="15"/>
      <c r="RUY372" s="15"/>
      <c r="RUZ372" s="15"/>
      <c r="RVA372" s="15"/>
      <c r="RVB372" s="15"/>
      <c r="RVC372" s="15"/>
      <c r="RVD372" s="10"/>
      <c r="RVE372" s="10"/>
      <c r="RVF372" s="21"/>
      <c r="RVG372" s="21"/>
      <c r="RVJ372" s="21"/>
      <c r="RVK372" s="15"/>
      <c r="RVL372" s="15"/>
      <c r="RVM372" s="15"/>
      <c r="RVN372" s="15"/>
      <c r="RVO372" s="15"/>
      <c r="RVP372" s="15"/>
      <c r="RVQ372" s="15"/>
      <c r="RVR372" s="15"/>
      <c r="RVS372" s="15"/>
      <c r="RVT372" s="15"/>
      <c r="RVU372" s="10"/>
      <c r="RVV372" s="10"/>
      <c r="RVW372" s="21"/>
      <c r="RVX372" s="21"/>
      <c r="RWA372" s="21"/>
      <c r="RWB372" s="15"/>
      <c r="RWC372" s="15"/>
      <c r="RWD372" s="15"/>
      <c r="RWE372" s="15"/>
      <c r="RWF372" s="15"/>
      <c r="RWG372" s="15"/>
      <c r="RWH372" s="15"/>
      <c r="RWI372" s="15"/>
      <c r="RWJ372" s="15"/>
      <c r="RWK372" s="15"/>
      <c r="RWL372" s="10"/>
      <c r="RWM372" s="10"/>
      <c r="RWN372" s="21"/>
      <c r="RWO372" s="21"/>
      <c r="RWR372" s="21"/>
      <c r="RWS372" s="15"/>
      <c r="RWT372" s="15"/>
      <c r="RWU372" s="15"/>
      <c r="RWV372" s="15"/>
      <c r="RWW372" s="15"/>
      <c r="RWX372" s="15"/>
      <c r="RWY372" s="15"/>
      <c r="RWZ372" s="15"/>
      <c r="RXA372" s="15"/>
      <c r="RXB372" s="15"/>
      <c r="RXC372" s="10"/>
      <c r="RXD372" s="10"/>
      <c r="RXE372" s="21"/>
      <c r="RXF372" s="21"/>
      <c r="RXI372" s="21"/>
      <c r="RXJ372" s="15"/>
      <c r="RXK372" s="15"/>
      <c r="RXL372" s="15"/>
      <c r="RXM372" s="15"/>
      <c r="RXN372" s="15"/>
      <c r="RXO372" s="15"/>
      <c r="RXP372" s="15"/>
      <c r="RXQ372" s="15"/>
      <c r="RXR372" s="15"/>
      <c r="RXS372" s="15"/>
      <c r="RXT372" s="10"/>
      <c r="RXU372" s="10"/>
      <c r="RXV372" s="21"/>
      <c r="RXW372" s="21"/>
      <c r="RXZ372" s="21"/>
      <c r="RYA372" s="15"/>
      <c r="RYB372" s="15"/>
      <c r="RYC372" s="15"/>
      <c r="RYD372" s="15"/>
      <c r="RYE372" s="15"/>
      <c r="RYF372" s="15"/>
      <c r="RYG372" s="15"/>
      <c r="RYH372" s="15"/>
      <c r="RYI372" s="15"/>
      <c r="RYJ372" s="15"/>
      <c r="RYK372" s="10"/>
      <c r="RYL372" s="10"/>
      <c r="RYM372" s="21"/>
      <c r="RYN372" s="21"/>
      <c r="RYQ372" s="21"/>
      <c r="RYR372" s="15"/>
      <c r="RYS372" s="15"/>
      <c r="RYT372" s="15"/>
      <c r="RYU372" s="15"/>
      <c r="RYV372" s="15"/>
      <c r="RYW372" s="15"/>
      <c r="RYX372" s="15"/>
      <c r="RYY372" s="15"/>
      <c r="RYZ372" s="15"/>
      <c r="RZA372" s="15"/>
      <c r="RZB372" s="10"/>
      <c r="RZC372" s="10"/>
      <c r="RZD372" s="21"/>
      <c r="RZE372" s="21"/>
      <c r="RZH372" s="21"/>
      <c r="RZI372" s="15"/>
      <c r="RZJ372" s="15"/>
      <c r="RZK372" s="15"/>
      <c r="RZL372" s="15"/>
      <c r="RZM372" s="15"/>
      <c r="RZN372" s="15"/>
      <c r="RZO372" s="15"/>
      <c r="RZP372" s="15"/>
      <c r="RZQ372" s="15"/>
      <c r="RZR372" s="15"/>
      <c r="RZS372" s="10"/>
      <c r="RZT372" s="10"/>
      <c r="RZU372" s="21"/>
      <c r="RZV372" s="21"/>
      <c r="RZY372" s="21"/>
      <c r="RZZ372" s="15"/>
      <c r="SAA372" s="15"/>
      <c r="SAB372" s="15"/>
      <c r="SAC372" s="15"/>
      <c r="SAD372" s="15"/>
      <c r="SAE372" s="15"/>
      <c r="SAF372" s="15"/>
      <c r="SAG372" s="15"/>
      <c r="SAH372" s="15"/>
      <c r="SAI372" s="15"/>
      <c r="SAJ372" s="10"/>
      <c r="SAK372" s="10"/>
      <c r="SAL372" s="21"/>
      <c r="SAM372" s="21"/>
      <c r="SAP372" s="21"/>
      <c r="SAQ372" s="15"/>
      <c r="SAR372" s="15"/>
      <c r="SAS372" s="15"/>
      <c r="SAT372" s="15"/>
      <c r="SAU372" s="15"/>
      <c r="SAV372" s="15"/>
      <c r="SAW372" s="15"/>
      <c r="SAX372" s="15"/>
      <c r="SAY372" s="15"/>
      <c r="SAZ372" s="15"/>
      <c r="SBA372" s="10"/>
      <c r="SBB372" s="10"/>
      <c r="SBC372" s="21"/>
      <c r="SBD372" s="21"/>
      <c r="SBG372" s="21"/>
      <c r="SBH372" s="15"/>
      <c r="SBI372" s="15"/>
      <c r="SBJ372" s="15"/>
      <c r="SBK372" s="15"/>
      <c r="SBL372" s="15"/>
      <c r="SBM372" s="15"/>
      <c r="SBN372" s="15"/>
      <c r="SBO372" s="15"/>
      <c r="SBP372" s="15"/>
      <c r="SBQ372" s="15"/>
      <c r="SBR372" s="10"/>
      <c r="SBS372" s="10"/>
      <c r="SBT372" s="21"/>
      <c r="SBU372" s="21"/>
      <c r="SBX372" s="21"/>
      <c r="SBY372" s="15"/>
      <c r="SBZ372" s="15"/>
      <c r="SCA372" s="15"/>
      <c r="SCB372" s="15"/>
      <c r="SCC372" s="15"/>
      <c r="SCD372" s="15"/>
      <c r="SCE372" s="15"/>
      <c r="SCF372" s="15"/>
      <c r="SCG372" s="15"/>
      <c r="SCH372" s="15"/>
      <c r="SCI372" s="10"/>
      <c r="SCJ372" s="10"/>
      <c r="SCK372" s="21"/>
      <c r="SCL372" s="21"/>
      <c r="SCO372" s="21"/>
      <c r="SCP372" s="15"/>
      <c r="SCQ372" s="15"/>
      <c r="SCR372" s="15"/>
      <c r="SCS372" s="15"/>
      <c r="SCT372" s="15"/>
      <c r="SCU372" s="15"/>
      <c r="SCV372" s="15"/>
      <c r="SCW372" s="15"/>
      <c r="SCX372" s="15"/>
      <c r="SCY372" s="15"/>
      <c r="SCZ372" s="10"/>
      <c r="SDA372" s="10"/>
      <c r="SDB372" s="21"/>
      <c r="SDC372" s="21"/>
      <c r="SDF372" s="21"/>
      <c r="SDG372" s="15"/>
      <c r="SDH372" s="15"/>
      <c r="SDI372" s="15"/>
      <c r="SDJ372" s="15"/>
      <c r="SDK372" s="15"/>
      <c r="SDL372" s="15"/>
      <c r="SDM372" s="15"/>
      <c r="SDN372" s="15"/>
      <c r="SDO372" s="15"/>
      <c r="SDP372" s="15"/>
      <c r="SDQ372" s="10"/>
      <c r="SDR372" s="10"/>
      <c r="SDS372" s="21"/>
      <c r="SDT372" s="21"/>
      <c r="SDW372" s="21"/>
      <c r="SDX372" s="15"/>
      <c r="SDY372" s="15"/>
      <c r="SDZ372" s="15"/>
      <c r="SEA372" s="15"/>
      <c r="SEB372" s="15"/>
      <c r="SEC372" s="15"/>
      <c r="SED372" s="15"/>
      <c r="SEE372" s="15"/>
      <c r="SEF372" s="15"/>
      <c r="SEG372" s="15"/>
      <c r="SEH372" s="10"/>
      <c r="SEI372" s="10"/>
      <c r="SEJ372" s="21"/>
      <c r="SEK372" s="21"/>
      <c r="SEN372" s="21"/>
      <c r="SEO372" s="15"/>
      <c r="SEP372" s="15"/>
      <c r="SEQ372" s="15"/>
      <c r="SER372" s="15"/>
      <c r="SES372" s="15"/>
      <c r="SET372" s="15"/>
      <c r="SEU372" s="15"/>
      <c r="SEV372" s="15"/>
      <c r="SEW372" s="15"/>
      <c r="SEX372" s="15"/>
      <c r="SEY372" s="10"/>
      <c r="SEZ372" s="10"/>
      <c r="SFA372" s="21"/>
      <c r="SFB372" s="21"/>
      <c r="SFE372" s="21"/>
      <c r="SFF372" s="15"/>
      <c r="SFG372" s="15"/>
      <c r="SFH372" s="15"/>
      <c r="SFI372" s="15"/>
      <c r="SFJ372" s="15"/>
      <c r="SFK372" s="15"/>
      <c r="SFL372" s="15"/>
      <c r="SFM372" s="15"/>
      <c r="SFN372" s="15"/>
      <c r="SFO372" s="15"/>
      <c r="SFP372" s="10"/>
      <c r="SFQ372" s="10"/>
      <c r="SFR372" s="21"/>
      <c r="SFS372" s="21"/>
      <c r="SFV372" s="21"/>
      <c r="SFW372" s="15"/>
      <c r="SFX372" s="15"/>
      <c r="SFY372" s="15"/>
      <c r="SFZ372" s="15"/>
      <c r="SGA372" s="15"/>
      <c r="SGB372" s="15"/>
      <c r="SGC372" s="15"/>
      <c r="SGD372" s="15"/>
      <c r="SGE372" s="15"/>
      <c r="SGF372" s="15"/>
      <c r="SGG372" s="10"/>
      <c r="SGH372" s="10"/>
      <c r="SGI372" s="21"/>
      <c r="SGJ372" s="21"/>
      <c r="SGM372" s="21"/>
      <c r="SGN372" s="15"/>
      <c r="SGO372" s="15"/>
      <c r="SGP372" s="15"/>
      <c r="SGQ372" s="15"/>
      <c r="SGR372" s="15"/>
      <c r="SGS372" s="15"/>
      <c r="SGT372" s="15"/>
      <c r="SGU372" s="15"/>
      <c r="SGV372" s="15"/>
      <c r="SGW372" s="15"/>
      <c r="SGX372" s="10"/>
      <c r="SGY372" s="10"/>
      <c r="SGZ372" s="21"/>
      <c r="SHA372" s="21"/>
      <c r="SHD372" s="21"/>
      <c r="SHE372" s="15"/>
      <c r="SHF372" s="15"/>
      <c r="SHG372" s="15"/>
      <c r="SHH372" s="15"/>
      <c r="SHI372" s="15"/>
      <c r="SHJ372" s="15"/>
      <c r="SHK372" s="15"/>
      <c r="SHL372" s="15"/>
      <c r="SHM372" s="15"/>
      <c r="SHN372" s="15"/>
      <c r="SHO372" s="10"/>
      <c r="SHP372" s="10"/>
      <c r="SHQ372" s="21"/>
      <c r="SHR372" s="21"/>
      <c r="SHU372" s="21"/>
      <c r="SHV372" s="15"/>
      <c r="SHW372" s="15"/>
      <c r="SHX372" s="15"/>
      <c r="SHY372" s="15"/>
      <c r="SHZ372" s="15"/>
      <c r="SIA372" s="15"/>
      <c r="SIB372" s="15"/>
      <c r="SIC372" s="15"/>
      <c r="SID372" s="15"/>
      <c r="SIE372" s="15"/>
      <c r="SIF372" s="10"/>
      <c r="SIG372" s="10"/>
      <c r="SIH372" s="21"/>
      <c r="SII372" s="21"/>
      <c r="SIL372" s="21"/>
      <c r="SIM372" s="15"/>
      <c r="SIN372" s="15"/>
      <c r="SIO372" s="15"/>
      <c r="SIP372" s="15"/>
      <c r="SIQ372" s="15"/>
      <c r="SIR372" s="15"/>
      <c r="SIS372" s="15"/>
      <c r="SIT372" s="15"/>
      <c r="SIU372" s="15"/>
      <c r="SIV372" s="15"/>
      <c r="SIW372" s="10"/>
      <c r="SIX372" s="10"/>
      <c r="SIY372" s="21"/>
      <c r="SIZ372" s="21"/>
      <c r="SJC372" s="21"/>
      <c r="SJD372" s="15"/>
      <c r="SJE372" s="15"/>
      <c r="SJF372" s="15"/>
      <c r="SJG372" s="15"/>
      <c r="SJH372" s="15"/>
      <c r="SJI372" s="15"/>
      <c r="SJJ372" s="15"/>
      <c r="SJK372" s="15"/>
      <c r="SJL372" s="15"/>
      <c r="SJM372" s="15"/>
      <c r="SJN372" s="10"/>
      <c r="SJO372" s="10"/>
      <c r="SJP372" s="21"/>
      <c r="SJQ372" s="21"/>
      <c r="SJT372" s="21"/>
      <c r="SJU372" s="15"/>
      <c r="SJV372" s="15"/>
      <c r="SJW372" s="15"/>
      <c r="SJX372" s="15"/>
      <c r="SJY372" s="15"/>
      <c r="SJZ372" s="15"/>
      <c r="SKA372" s="15"/>
      <c r="SKB372" s="15"/>
      <c r="SKC372" s="15"/>
      <c r="SKD372" s="15"/>
      <c r="SKE372" s="10"/>
      <c r="SKF372" s="10"/>
      <c r="SKG372" s="21"/>
      <c r="SKH372" s="21"/>
      <c r="SKK372" s="21"/>
      <c r="SKL372" s="15"/>
      <c r="SKM372" s="15"/>
      <c r="SKN372" s="15"/>
      <c r="SKO372" s="15"/>
      <c r="SKP372" s="15"/>
      <c r="SKQ372" s="15"/>
      <c r="SKR372" s="15"/>
      <c r="SKS372" s="15"/>
      <c r="SKT372" s="15"/>
      <c r="SKU372" s="15"/>
      <c r="SKV372" s="10"/>
      <c r="SKW372" s="10"/>
      <c r="SKX372" s="21"/>
      <c r="SKY372" s="21"/>
      <c r="SLB372" s="21"/>
      <c r="SLC372" s="15"/>
      <c r="SLD372" s="15"/>
      <c r="SLE372" s="15"/>
      <c r="SLF372" s="15"/>
      <c r="SLG372" s="15"/>
      <c r="SLH372" s="15"/>
      <c r="SLI372" s="15"/>
      <c r="SLJ372" s="15"/>
      <c r="SLK372" s="15"/>
      <c r="SLL372" s="15"/>
      <c r="SLM372" s="10"/>
      <c r="SLN372" s="10"/>
      <c r="SLO372" s="21"/>
      <c r="SLP372" s="21"/>
      <c r="SLS372" s="21"/>
      <c r="SLT372" s="15"/>
      <c r="SLU372" s="15"/>
      <c r="SLV372" s="15"/>
      <c r="SLW372" s="15"/>
      <c r="SLX372" s="15"/>
      <c r="SLY372" s="15"/>
      <c r="SLZ372" s="15"/>
      <c r="SMA372" s="15"/>
      <c r="SMB372" s="15"/>
      <c r="SMC372" s="15"/>
      <c r="SMD372" s="10"/>
      <c r="SME372" s="10"/>
      <c r="SMF372" s="21"/>
      <c r="SMG372" s="21"/>
      <c r="SMJ372" s="21"/>
      <c r="SMK372" s="15"/>
      <c r="SML372" s="15"/>
      <c r="SMM372" s="15"/>
      <c r="SMN372" s="15"/>
      <c r="SMO372" s="15"/>
      <c r="SMP372" s="15"/>
      <c r="SMQ372" s="15"/>
      <c r="SMR372" s="15"/>
      <c r="SMS372" s="15"/>
      <c r="SMT372" s="15"/>
      <c r="SMU372" s="10"/>
      <c r="SMV372" s="10"/>
      <c r="SMW372" s="21"/>
      <c r="SMX372" s="21"/>
      <c r="SNA372" s="21"/>
      <c r="SNB372" s="15"/>
      <c r="SNC372" s="15"/>
      <c r="SND372" s="15"/>
      <c r="SNE372" s="15"/>
      <c r="SNF372" s="15"/>
      <c r="SNG372" s="15"/>
      <c r="SNH372" s="15"/>
      <c r="SNI372" s="15"/>
      <c r="SNJ372" s="15"/>
      <c r="SNK372" s="15"/>
      <c r="SNL372" s="10"/>
      <c r="SNM372" s="10"/>
      <c r="SNN372" s="21"/>
      <c r="SNO372" s="21"/>
      <c r="SNR372" s="21"/>
      <c r="SNS372" s="15"/>
      <c r="SNT372" s="15"/>
      <c r="SNU372" s="15"/>
      <c r="SNV372" s="15"/>
      <c r="SNW372" s="15"/>
      <c r="SNX372" s="15"/>
      <c r="SNY372" s="15"/>
      <c r="SNZ372" s="15"/>
      <c r="SOA372" s="15"/>
      <c r="SOB372" s="15"/>
      <c r="SOC372" s="10"/>
      <c r="SOD372" s="10"/>
      <c r="SOE372" s="21"/>
      <c r="SOF372" s="21"/>
      <c r="SOI372" s="21"/>
      <c r="SOJ372" s="15"/>
      <c r="SOK372" s="15"/>
      <c r="SOL372" s="15"/>
      <c r="SOM372" s="15"/>
      <c r="SON372" s="15"/>
      <c r="SOO372" s="15"/>
      <c r="SOP372" s="15"/>
      <c r="SOQ372" s="15"/>
      <c r="SOR372" s="15"/>
      <c r="SOS372" s="15"/>
      <c r="SOT372" s="10"/>
      <c r="SOU372" s="10"/>
      <c r="SOV372" s="21"/>
      <c r="SOW372" s="21"/>
      <c r="SOZ372" s="21"/>
      <c r="SPA372" s="15"/>
      <c r="SPB372" s="15"/>
      <c r="SPC372" s="15"/>
      <c r="SPD372" s="15"/>
      <c r="SPE372" s="15"/>
      <c r="SPF372" s="15"/>
      <c r="SPG372" s="15"/>
      <c r="SPH372" s="15"/>
      <c r="SPI372" s="15"/>
      <c r="SPJ372" s="15"/>
      <c r="SPK372" s="10"/>
      <c r="SPL372" s="10"/>
      <c r="SPM372" s="21"/>
      <c r="SPN372" s="21"/>
      <c r="SPQ372" s="21"/>
      <c r="SPR372" s="15"/>
      <c r="SPS372" s="15"/>
      <c r="SPT372" s="15"/>
      <c r="SPU372" s="15"/>
      <c r="SPV372" s="15"/>
      <c r="SPW372" s="15"/>
      <c r="SPX372" s="15"/>
      <c r="SPY372" s="15"/>
      <c r="SPZ372" s="15"/>
      <c r="SQA372" s="15"/>
      <c r="SQB372" s="10"/>
      <c r="SQC372" s="10"/>
      <c r="SQD372" s="21"/>
      <c r="SQE372" s="21"/>
      <c r="SQH372" s="21"/>
      <c r="SQI372" s="15"/>
      <c r="SQJ372" s="15"/>
      <c r="SQK372" s="15"/>
      <c r="SQL372" s="15"/>
      <c r="SQM372" s="15"/>
      <c r="SQN372" s="15"/>
      <c r="SQO372" s="15"/>
      <c r="SQP372" s="15"/>
      <c r="SQQ372" s="15"/>
      <c r="SQR372" s="15"/>
      <c r="SQS372" s="10"/>
      <c r="SQT372" s="10"/>
      <c r="SQU372" s="21"/>
      <c r="SQV372" s="21"/>
      <c r="SQY372" s="21"/>
      <c r="SQZ372" s="15"/>
      <c r="SRA372" s="15"/>
      <c r="SRB372" s="15"/>
      <c r="SRC372" s="15"/>
      <c r="SRD372" s="15"/>
      <c r="SRE372" s="15"/>
      <c r="SRF372" s="15"/>
      <c r="SRG372" s="15"/>
      <c r="SRH372" s="15"/>
      <c r="SRI372" s="15"/>
      <c r="SRJ372" s="10"/>
      <c r="SRK372" s="10"/>
      <c r="SRL372" s="21"/>
      <c r="SRM372" s="21"/>
      <c r="SRP372" s="21"/>
      <c r="SRQ372" s="15"/>
      <c r="SRR372" s="15"/>
      <c r="SRS372" s="15"/>
      <c r="SRT372" s="15"/>
      <c r="SRU372" s="15"/>
      <c r="SRV372" s="15"/>
      <c r="SRW372" s="15"/>
      <c r="SRX372" s="15"/>
      <c r="SRY372" s="15"/>
      <c r="SRZ372" s="15"/>
      <c r="SSA372" s="10"/>
      <c r="SSB372" s="10"/>
      <c r="SSC372" s="21"/>
      <c r="SSD372" s="21"/>
      <c r="SSG372" s="21"/>
      <c r="SSH372" s="15"/>
      <c r="SSI372" s="15"/>
      <c r="SSJ372" s="15"/>
      <c r="SSK372" s="15"/>
      <c r="SSL372" s="15"/>
      <c r="SSM372" s="15"/>
      <c r="SSN372" s="15"/>
      <c r="SSO372" s="15"/>
      <c r="SSP372" s="15"/>
      <c r="SSQ372" s="15"/>
      <c r="SSR372" s="10"/>
      <c r="SSS372" s="10"/>
      <c r="SST372" s="21"/>
      <c r="SSU372" s="21"/>
      <c r="SSX372" s="21"/>
      <c r="SSY372" s="15"/>
      <c r="SSZ372" s="15"/>
      <c r="STA372" s="15"/>
      <c r="STB372" s="15"/>
      <c r="STC372" s="15"/>
      <c r="STD372" s="15"/>
      <c r="STE372" s="15"/>
      <c r="STF372" s="15"/>
      <c r="STG372" s="15"/>
      <c r="STH372" s="15"/>
      <c r="STI372" s="10"/>
      <c r="STJ372" s="10"/>
      <c r="STK372" s="21"/>
      <c r="STL372" s="21"/>
      <c r="STO372" s="21"/>
      <c r="STP372" s="15"/>
      <c r="STQ372" s="15"/>
      <c r="STR372" s="15"/>
      <c r="STS372" s="15"/>
      <c r="STT372" s="15"/>
      <c r="STU372" s="15"/>
      <c r="STV372" s="15"/>
      <c r="STW372" s="15"/>
      <c r="STX372" s="15"/>
      <c r="STY372" s="15"/>
      <c r="STZ372" s="10"/>
      <c r="SUA372" s="10"/>
      <c r="SUB372" s="21"/>
      <c r="SUC372" s="21"/>
      <c r="SUF372" s="21"/>
      <c r="SUG372" s="15"/>
      <c r="SUH372" s="15"/>
      <c r="SUI372" s="15"/>
      <c r="SUJ372" s="15"/>
      <c r="SUK372" s="15"/>
      <c r="SUL372" s="15"/>
      <c r="SUM372" s="15"/>
      <c r="SUN372" s="15"/>
      <c r="SUO372" s="15"/>
      <c r="SUP372" s="15"/>
      <c r="SUQ372" s="10"/>
      <c r="SUR372" s="10"/>
      <c r="SUS372" s="21"/>
      <c r="SUT372" s="21"/>
      <c r="SUW372" s="21"/>
      <c r="SUX372" s="15"/>
      <c r="SUY372" s="15"/>
      <c r="SUZ372" s="15"/>
      <c r="SVA372" s="15"/>
      <c r="SVB372" s="15"/>
      <c r="SVC372" s="15"/>
      <c r="SVD372" s="15"/>
      <c r="SVE372" s="15"/>
      <c r="SVF372" s="15"/>
      <c r="SVG372" s="15"/>
      <c r="SVH372" s="10"/>
      <c r="SVI372" s="10"/>
      <c r="SVJ372" s="21"/>
      <c r="SVK372" s="21"/>
      <c r="SVN372" s="21"/>
      <c r="SVO372" s="15"/>
      <c r="SVP372" s="15"/>
      <c r="SVQ372" s="15"/>
      <c r="SVR372" s="15"/>
      <c r="SVS372" s="15"/>
      <c r="SVT372" s="15"/>
      <c r="SVU372" s="15"/>
      <c r="SVV372" s="15"/>
      <c r="SVW372" s="15"/>
      <c r="SVX372" s="15"/>
      <c r="SVY372" s="10"/>
      <c r="SVZ372" s="10"/>
      <c r="SWA372" s="21"/>
      <c r="SWB372" s="21"/>
      <c r="SWE372" s="21"/>
      <c r="SWF372" s="15"/>
      <c r="SWG372" s="15"/>
      <c r="SWH372" s="15"/>
      <c r="SWI372" s="15"/>
      <c r="SWJ372" s="15"/>
      <c r="SWK372" s="15"/>
      <c r="SWL372" s="15"/>
      <c r="SWM372" s="15"/>
      <c r="SWN372" s="15"/>
      <c r="SWO372" s="15"/>
      <c r="SWP372" s="10"/>
      <c r="SWQ372" s="10"/>
      <c r="SWR372" s="21"/>
      <c r="SWS372" s="21"/>
      <c r="SWV372" s="21"/>
      <c r="SWW372" s="15"/>
      <c r="SWX372" s="15"/>
      <c r="SWY372" s="15"/>
      <c r="SWZ372" s="15"/>
      <c r="SXA372" s="15"/>
      <c r="SXB372" s="15"/>
      <c r="SXC372" s="15"/>
      <c r="SXD372" s="15"/>
      <c r="SXE372" s="15"/>
      <c r="SXF372" s="15"/>
      <c r="SXG372" s="10"/>
      <c r="SXH372" s="10"/>
      <c r="SXI372" s="21"/>
      <c r="SXJ372" s="21"/>
      <c r="SXM372" s="21"/>
      <c r="SXN372" s="15"/>
      <c r="SXO372" s="15"/>
      <c r="SXP372" s="15"/>
      <c r="SXQ372" s="15"/>
      <c r="SXR372" s="15"/>
      <c r="SXS372" s="15"/>
      <c r="SXT372" s="15"/>
      <c r="SXU372" s="15"/>
      <c r="SXV372" s="15"/>
      <c r="SXW372" s="15"/>
      <c r="SXX372" s="10"/>
      <c r="SXY372" s="10"/>
      <c r="SXZ372" s="21"/>
      <c r="SYA372" s="21"/>
      <c r="SYD372" s="21"/>
      <c r="SYE372" s="15"/>
      <c r="SYF372" s="15"/>
      <c r="SYG372" s="15"/>
      <c r="SYH372" s="15"/>
      <c r="SYI372" s="15"/>
      <c r="SYJ372" s="15"/>
      <c r="SYK372" s="15"/>
      <c r="SYL372" s="15"/>
      <c r="SYM372" s="15"/>
      <c r="SYN372" s="15"/>
      <c r="SYO372" s="10"/>
      <c r="SYP372" s="10"/>
      <c r="SYQ372" s="21"/>
      <c r="SYR372" s="21"/>
      <c r="SYU372" s="21"/>
      <c r="SYV372" s="15"/>
      <c r="SYW372" s="15"/>
      <c r="SYX372" s="15"/>
      <c r="SYY372" s="15"/>
      <c r="SYZ372" s="15"/>
      <c r="SZA372" s="15"/>
      <c r="SZB372" s="15"/>
      <c r="SZC372" s="15"/>
      <c r="SZD372" s="15"/>
      <c r="SZE372" s="15"/>
      <c r="SZF372" s="10"/>
      <c r="SZG372" s="10"/>
      <c r="SZH372" s="21"/>
      <c r="SZI372" s="21"/>
      <c r="SZL372" s="21"/>
      <c r="SZM372" s="15"/>
      <c r="SZN372" s="15"/>
      <c r="SZO372" s="15"/>
      <c r="SZP372" s="15"/>
      <c r="SZQ372" s="15"/>
      <c r="SZR372" s="15"/>
      <c r="SZS372" s="15"/>
      <c r="SZT372" s="15"/>
      <c r="SZU372" s="15"/>
      <c r="SZV372" s="15"/>
      <c r="SZW372" s="10"/>
      <c r="SZX372" s="10"/>
      <c r="SZY372" s="21"/>
      <c r="SZZ372" s="21"/>
      <c r="TAC372" s="21"/>
      <c r="TAD372" s="15"/>
      <c r="TAE372" s="15"/>
      <c r="TAF372" s="15"/>
      <c r="TAG372" s="15"/>
      <c r="TAH372" s="15"/>
      <c r="TAI372" s="15"/>
      <c r="TAJ372" s="15"/>
      <c r="TAK372" s="15"/>
      <c r="TAL372" s="15"/>
      <c r="TAM372" s="15"/>
      <c r="TAN372" s="10"/>
      <c r="TAO372" s="10"/>
      <c r="TAP372" s="21"/>
      <c r="TAQ372" s="21"/>
      <c r="TAT372" s="21"/>
      <c r="TAU372" s="15"/>
      <c r="TAV372" s="15"/>
      <c r="TAW372" s="15"/>
      <c r="TAX372" s="15"/>
      <c r="TAY372" s="15"/>
      <c r="TAZ372" s="15"/>
      <c r="TBA372" s="15"/>
      <c r="TBB372" s="15"/>
      <c r="TBC372" s="15"/>
      <c r="TBD372" s="15"/>
      <c r="TBE372" s="10"/>
      <c r="TBF372" s="10"/>
      <c r="TBG372" s="21"/>
      <c r="TBH372" s="21"/>
      <c r="TBK372" s="21"/>
      <c r="TBL372" s="15"/>
      <c r="TBM372" s="15"/>
      <c r="TBN372" s="15"/>
      <c r="TBO372" s="15"/>
      <c r="TBP372" s="15"/>
      <c r="TBQ372" s="15"/>
      <c r="TBR372" s="15"/>
      <c r="TBS372" s="15"/>
      <c r="TBT372" s="15"/>
      <c r="TBU372" s="15"/>
      <c r="TBV372" s="10"/>
      <c r="TBW372" s="10"/>
      <c r="TBX372" s="21"/>
      <c r="TBY372" s="21"/>
      <c r="TCB372" s="21"/>
      <c r="TCC372" s="15"/>
      <c r="TCD372" s="15"/>
      <c r="TCE372" s="15"/>
      <c r="TCF372" s="15"/>
      <c r="TCG372" s="15"/>
      <c r="TCH372" s="15"/>
      <c r="TCI372" s="15"/>
      <c r="TCJ372" s="15"/>
      <c r="TCK372" s="15"/>
      <c r="TCL372" s="15"/>
      <c r="TCM372" s="10"/>
      <c r="TCN372" s="10"/>
      <c r="TCO372" s="21"/>
      <c r="TCP372" s="21"/>
      <c r="TCS372" s="21"/>
      <c r="TCT372" s="15"/>
      <c r="TCU372" s="15"/>
      <c r="TCV372" s="15"/>
      <c r="TCW372" s="15"/>
      <c r="TCX372" s="15"/>
      <c r="TCY372" s="15"/>
      <c r="TCZ372" s="15"/>
      <c r="TDA372" s="15"/>
      <c r="TDB372" s="15"/>
      <c r="TDC372" s="15"/>
      <c r="TDD372" s="10"/>
      <c r="TDE372" s="10"/>
      <c r="TDF372" s="21"/>
      <c r="TDG372" s="21"/>
      <c r="TDJ372" s="21"/>
      <c r="TDK372" s="15"/>
      <c r="TDL372" s="15"/>
      <c r="TDM372" s="15"/>
      <c r="TDN372" s="15"/>
      <c r="TDO372" s="15"/>
      <c r="TDP372" s="15"/>
      <c r="TDQ372" s="15"/>
      <c r="TDR372" s="15"/>
      <c r="TDS372" s="15"/>
      <c r="TDT372" s="15"/>
      <c r="TDU372" s="10"/>
      <c r="TDV372" s="10"/>
      <c r="TDW372" s="21"/>
      <c r="TDX372" s="21"/>
      <c r="TEA372" s="21"/>
      <c r="TEB372" s="15"/>
      <c r="TEC372" s="15"/>
      <c r="TED372" s="15"/>
      <c r="TEE372" s="15"/>
      <c r="TEF372" s="15"/>
      <c r="TEG372" s="15"/>
      <c r="TEH372" s="15"/>
      <c r="TEI372" s="15"/>
      <c r="TEJ372" s="15"/>
      <c r="TEK372" s="15"/>
      <c r="TEL372" s="10"/>
      <c r="TEM372" s="10"/>
      <c r="TEN372" s="21"/>
      <c r="TEO372" s="21"/>
      <c r="TER372" s="21"/>
      <c r="TES372" s="15"/>
      <c r="TET372" s="15"/>
      <c r="TEU372" s="15"/>
      <c r="TEV372" s="15"/>
      <c r="TEW372" s="15"/>
      <c r="TEX372" s="15"/>
      <c r="TEY372" s="15"/>
      <c r="TEZ372" s="15"/>
      <c r="TFA372" s="15"/>
      <c r="TFB372" s="15"/>
      <c r="TFC372" s="10"/>
      <c r="TFD372" s="10"/>
      <c r="TFE372" s="21"/>
      <c r="TFF372" s="21"/>
      <c r="TFI372" s="21"/>
      <c r="TFJ372" s="15"/>
      <c r="TFK372" s="15"/>
      <c r="TFL372" s="15"/>
      <c r="TFM372" s="15"/>
      <c r="TFN372" s="15"/>
      <c r="TFO372" s="15"/>
      <c r="TFP372" s="15"/>
      <c r="TFQ372" s="15"/>
      <c r="TFR372" s="15"/>
      <c r="TFS372" s="15"/>
      <c r="TFT372" s="10"/>
      <c r="TFU372" s="10"/>
      <c r="TFV372" s="21"/>
      <c r="TFW372" s="21"/>
      <c r="TFZ372" s="21"/>
      <c r="TGA372" s="15"/>
      <c r="TGB372" s="15"/>
      <c r="TGC372" s="15"/>
      <c r="TGD372" s="15"/>
      <c r="TGE372" s="15"/>
      <c r="TGF372" s="15"/>
      <c r="TGG372" s="15"/>
      <c r="TGH372" s="15"/>
      <c r="TGI372" s="15"/>
      <c r="TGJ372" s="15"/>
      <c r="TGK372" s="10"/>
      <c r="TGL372" s="10"/>
      <c r="TGM372" s="21"/>
      <c r="TGN372" s="21"/>
      <c r="TGQ372" s="21"/>
      <c r="TGR372" s="15"/>
      <c r="TGS372" s="15"/>
      <c r="TGT372" s="15"/>
      <c r="TGU372" s="15"/>
      <c r="TGV372" s="15"/>
      <c r="TGW372" s="15"/>
      <c r="TGX372" s="15"/>
      <c r="TGY372" s="15"/>
      <c r="TGZ372" s="15"/>
      <c r="THA372" s="15"/>
      <c r="THB372" s="10"/>
      <c r="THC372" s="10"/>
      <c r="THD372" s="21"/>
      <c r="THE372" s="21"/>
      <c r="THH372" s="21"/>
      <c r="THI372" s="15"/>
      <c r="THJ372" s="15"/>
      <c r="THK372" s="15"/>
      <c r="THL372" s="15"/>
      <c r="THM372" s="15"/>
      <c r="THN372" s="15"/>
      <c r="THO372" s="15"/>
      <c r="THP372" s="15"/>
      <c r="THQ372" s="15"/>
      <c r="THR372" s="15"/>
      <c r="THS372" s="10"/>
      <c r="THT372" s="10"/>
      <c r="THU372" s="21"/>
      <c r="THV372" s="21"/>
      <c r="THY372" s="21"/>
      <c r="THZ372" s="15"/>
      <c r="TIA372" s="15"/>
      <c r="TIB372" s="15"/>
      <c r="TIC372" s="15"/>
      <c r="TID372" s="15"/>
      <c r="TIE372" s="15"/>
      <c r="TIF372" s="15"/>
      <c r="TIG372" s="15"/>
      <c r="TIH372" s="15"/>
      <c r="TII372" s="15"/>
      <c r="TIJ372" s="10"/>
      <c r="TIK372" s="10"/>
      <c r="TIL372" s="21"/>
      <c r="TIM372" s="21"/>
      <c r="TIP372" s="21"/>
      <c r="TIQ372" s="15"/>
      <c r="TIR372" s="15"/>
      <c r="TIS372" s="15"/>
      <c r="TIT372" s="15"/>
      <c r="TIU372" s="15"/>
      <c r="TIV372" s="15"/>
      <c r="TIW372" s="15"/>
      <c r="TIX372" s="15"/>
      <c r="TIY372" s="15"/>
      <c r="TIZ372" s="15"/>
      <c r="TJA372" s="10"/>
      <c r="TJB372" s="10"/>
      <c r="TJC372" s="21"/>
      <c r="TJD372" s="21"/>
      <c r="TJG372" s="21"/>
      <c r="TJH372" s="15"/>
      <c r="TJI372" s="15"/>
      <c r="TJJ372" s="15"/>
      <c r="TJK372" s="15"/>
      <c r="TJL372" s="15"/>
      <c r="TJM372" s="15"/>
      <c r="TJN372" s="15"/>
      <c r="TJO372" s="15"/>
      <c r="TJP372" s="15"/>
      <c r="TJQ372" s="15"/>
      <c r="TJR372" s="10"/>
      <c r="TJS372" s="10"/>
      <c r="TJT372" s="21"/>
      <c r="TJU372" s="21"/>
      <c r="TJX372" s="21"/>
      <c r="TJY372" s="15"/>
      <c r="TJZ372" s="15"/>
      <c r="TKA372" s="15"/>
      <c r="TKB372" s="15"/>
      <c r="TKC372" s="15"/>
      <c r="TKD372" s="15"/>
      <c r="TKE372" s="15"/>
      <c r="TKF372" s="15"/>
      <c r="TKG372" s="15"/>
      <c r="TKH372" s="15"/>
      <c r="TKI372" s="10"/>
      <c r="TKJ372" s="10"/>
      <c r="TKK372" s="21"/>
      <c r="TKL372" s="21"/>
      <c r="TKO372" s="21"/>
      <c r="TKP372" s="15"/>
      <c r="TKQ372" s="15"/>
      <c r="TKR372" s="15"/>
      <c r="TKS372" s="15"/>
      <c r="TKT372" s="15"/>
      <c r="TKU372" s="15"/>
      <c r="TKV372" s="15"/>
      <c r="TKW372" s="15"/>
      <c r="TKX372" s="15"/>
      <c r="TKY372" s="15"/>
      <c r="TKZ372" s="10"/>
      <c r="TLA372" s="10"/>
      <c r="TLB372" s="21"/>
      <c r="TLC372" s="21"/>
      <c r="TLF372" s="21"/>
      <c r="TLG372" s="15"/>
      <c r="TLH372" s="15"/>
      <c r="TLI372" s="15"/>
      <c r="TLJ372" s="15"/>
      <c r="TLK372" s="15"/>
      <c r="TLL372" s="15"/>
      <c r="TLM372" s="15"/>
      <c r="TLN372" s="15"/>
      <c r="TLO372" s="15"/>
      <c r="TLP372" s="15"/>
      <c r="TLQ372" s="10"/>
      <c r="TLR372" s="10"/>
      <c r="TLS372" s="21"/>
      <c r="TLT372" s="21"/>
      <c r="TLW372" s="21"/>
      <c r="TLX372" s="15"/>
      <c r="TLY372" s="15"/>
      <c r="TLZ372" s="15"/>
      <c r="TMA372" s="15"/>
      <c r="TMB372" s="15"/>
      <c r="TMC372" s="15"/>
      <c r="TMD372" s="15"/>
      <c r="TME372" s="15"/>
      <c r="TMF372" s="15"/>
      <c r="TMG372" s="15"/>
      <c r="TMH372" s="10"/>
      <c r="TMI372" s="10"/>
      <c r="TMJ372" s="21"/>
      <c r="TMK372" s="21"/>
      <c r="TMN372" s="21"/>
      <c r="TMO372" s="15"/>
      <c r="TMP372" s="15"/>
      <c r="TMQ372" s="15"/>
      <c r="TMR372" s="15"/>
      <c r="TMS372" s="15"/>
      <c r="TMT372" s="15"/>
      <c r="TMU372" s="15"/>
      <c r="TMV372" s="15"/>
      <c r="TMW372" s="15"/>
      <c r="TMX372" s="15"/>
      <c r="TMY372" s="10"/>
      <c r="TMZ372" s="10"/>
      <c r="TNA372" s="21"/>
      <c r="TNB372" s="21"/>
      <c r="TNE372" s="21"/>
      <c r="TNF372" s="15"/>
      <c r="TNG372" s="15"/>
      <c r="TNH372" s="15"/>
      <c r="TNI372" s="15"/>
      <c r="TNJ372" s="15"/>
      <c r="TNK372" s="15"/>
      <c r="TNL372" s="15"/>
      <c r="TNM372" s="15"/>
      <c r="TNN372" s="15"/>
      <c r="TNO372" s="15"/>
      <c r="TNP372" s="10"/>
      <c r="TNQ372" s="10"/>
      <c r="TNR372" s="21"/>
      <c r="TNS372" s="21"/>
      <c r="TNV372" s="21"/>
      <c r="TNW372" s="15"/>
      <c r="TNX372" s="15"/>
      <c r="TNY372" s="15"/>
      <c r="TNZ372" s="15"/>
      <c r="TOA372" s="15"/>
      <c r="TOB372" s="15"/>
      <c r="TOC372" s="15"/>
      <c r="TOD372" s="15"/>
      <c r="TOE372" s="15"/>
      <c r="TOF372" s="15"/>
      <c r="TOG372" s="10"/>
      <c r="TOH372" s="10"/>
      <c r="TOI372" s="21"/>
      <c r="TOJ372" s="21"/>
      <c r="TOM372" s="21"/>
      <c r="TON372" s="15"/>
      <c r="TOO372" s="15"/>
      <c r="TOP372" s="15"/>
      <c r="TOQ372" s="15"/>
      <c r="TOR372" s="15"/>
      <c r="TOS372" s="15"/>
      <c r="TOT372" s="15"/>
      <c r="TOU372" s="15"/>
      <c r="TOV372" s="15"/>
      <c r="TOW372" s="15"/>
      <c r="TOX372" s="10"/>
      <c r="TOY372" s="10"/>
      <c r="TOZ372" s="21"/>
      <c r="TPA372" s="21"/>
      <c r="TPD372" s="21"/>
      <c r="TPE372" s="15"/>
      <c r="TPF372" s="15"/>
      <c r="TPG372" s="15"/>
      <c r="TPH372" s="15"/>
      <c r="TPI372" s="15"/>
      <c r="TPJ372" s="15"/>
      <c r="TPK372" s="15"/>
      <c r="TPL372" s="15"/>
      <c r="TPM372" s="15"/>
      <c r="TPN372" s="15"/>
      <c r="TPO372" s="10"/>
      <c r="TPP372" s="10"/>
      <c r="TPQ372" s="21"/>
      <c r="TPR372" s="21"/>
      <c r="TPU372" s="21"/>
      <c r="TPV372" s="15"/>
      <c r="TPW372" s="15"/>
      <c r="TPX372" s="15"/>
      <c r="TPY372" s="15"/>
      <c r="TPZ372" s="15"/>
      <c r="TQA372" s="15"/>
      <c r="TQB372" s="15"/>
      <c r="TQC372" s="15"/>
      <c r="TQD372" s="15"/>
      <c r="TQE372" s="15"/>
      <c r="TQF372" s="10"/>
      <c r="TQG372" s="10"/>
      <c r="TQH372" s="21"/>
      <c r="TQI372" s="21"/>
      <c r="TQL372" s="21"/>
      <c r="TQM372" s="15"/>
      <c r="TQN372" s="15"/>
      <c r="TQO372" s="15"/>
      <c r="TQP372" s="15"/>
      <c r="TQQ372" s="15"/>
      <c r="TQR372" s="15"/>
      <c r="TQS372" s="15"/>
      <c r="TQT372" s="15"/>
      <c r="TQU372" s="15"/>
      <c r="TQV372" s="15"/>
      <c r="TQW372" s="10"/>
      <c r="TQX372" s="10"/>
      <c r="TQY372" s="21"/>
      <c r="TQZ372" s="21"/>
      <c r="TRC372" s="21"/>
      <c r="TRD372" s="15"/>
      <c r="TRE372" s="15"/>
      <c r="TRF372" s="15"/>
      <c r="TRG372" s="15"/>
      <c r="TRH372" s="15"/>
      <c r="TRI372" s="15"/>
      <c r="TRJ372" s="15"/>
      <c r="TRK372" s="15"/>
      <c r="TRL372" s="15"/>
      <c r="TRM372" s="15"/>
      <c r="TRN372" s="10"/>
      <c r="TRO372" s="10"/>
      <c r="TRP372" s="21"/>
      <c r="TRQ372" s="21"/>
      <c r="TRT372" s="21"/>
      <c r="TRU372" s="15"/>
      <c r="TRV372" s="15"/>
      <c r="TRW372" s="15"/>
      <c r="TRX372" s="15"/>
      <c r="TRY372" s="15"/>
      <c r="TRZ372" s="15"/>
      <c r="TSA372" s="15"/>
      <c r="TSB372" s="15"/>
      <c r="TSC372" s="15"/>
      <c r="TSD372" s="15"/>
      <c r="TSE372" s="10"/>
      <c r="TSF372" s="10"/>
      <c r="TSG372" s="21"/>
      <c r="TSH372" s="21"/>
      <c r="TSK372" s="21"/>
      <c r="TSL372" s="15"/>
      <c r="TSM372" s="15"/>
      <c r="TSN372" s="15"/>
      <c r="TSO372" s="15"/>
      <c r="TSP372" s="15"/>
      <c r="TSQ372" s="15"/>
      <c r="TSR372" s="15"/>
      <c r="TSS372" s="15"/>
      <c r="TST372" s="15"/>
      <c r="TSU372" s="15"/>
      <c r="TSV372" s="10"/>
      <c r="TSW372" s="10"/>
      <c r="TSX372" s="21"/>
      <c r="TSY372" s="21"/>
      <c r="TTB372" s="21"/>
      <c r="TTC372" s="15"/>
      <c r="TTD372" s="15"/>
      <c r="TTE372" s="15"/>
      <c r="TTF372" s="15"/>
      <c r="TTG372" s="15"/>
      <c r="TTH372" s="15"/>
      <c r="TTI372" s="15"/>
      <c r="TTJ372" s="15"/>
      <c r="TTK372" s="15"/>
      <c r="TTL372" s="15"/>
      <c r="TTM372" s="10"/>
      <c r="TTN372" s="10"/>
      <c r="TTO372" s="21"/>
      <c r="TTP372" s="21"/>
      <c r="TTS372" s="21"/>
      <c r="TTT372" s="15"/>
      <c r="TTU372" s="15"/>
      <c r="TTV372" s="15"/>
      <c r="TTW372" s="15"/>
      <c r="TTX372" s="15"/>
      <c r="TTY372" s="15"/>
      <c r="TTZ372" s="15"/>
      <c r="TUA372" s="15"/>
      <c r="TUB372" s="15"/>
      <c r="TUC372" s="15"/>
      <c r="TUD372" s="10"/>
      <c r="TUE372" s="10"/>
      <c r="TUF372" s="21"/>
      <c r="TUG372" s="21"/>
      <c r="TUJ372" s="21"/>
      <c r="TUK372" s="15"/>
      <c r="TUL372" s="15"/>
      <c r="TUM372" s="15"/>
      <c r="TUN372" s="15"/>
      <c r="TUO372" s="15"/>
      <c r="TUP372" s="15"/>
      <c r="TUQ372" s="15"/>
      <c r="TUR372" s="15"/>
      <c r="TUS372" s="15"/>
      <c r="TUT372" s="15"/>
      <c r="TUU372" s="10"/>
      <c r="TUV372" s="10"/>
      <c r="TUW372" s="21"/>
      <c r="TUX372" s="21"/>
      <c r="TVA372" s="21"/>
      <c r="TVB372" s="15"/>
      <c r="TVC372" s="15"/>
      <c r="TVD372" s="15"/>
      <c r="TVE372" s="15"/>
      <c r="TVF372" s="15"/>
      <c r="TVG372" s="15"/>
      <c r="TVH372" s="15"/>
      <c r="TVI372" s="15"/>
      <c r="TVJ372" s="15"/>
      <c r="TVK372" s="15"/>
      <c r="TVL372" s="10"/>
      <c r="TVM372" s="10"/>
      <c r="TVN372" s="21"/>
      <c r="TVO372" s="21"/>
      <c r="TVR372" s="21"/>
      <c r="TVS372" s="15"/>
      <c r="TVT372" s="15"/>
      <c r="TVU372" s="15"/>
      <c r="TVV372" s="15"/>
      <c r="TVW372" s="15"/>
      <c r="TVX372" s="15"/>
      <c r="TVY372" s="15"/>
      <c r="TVZ372" s="15"/>
      <c r="TWA372" s="15"/>
      <c r="TWB372" s="15"/>
      <c r="TWC372" s="10"/>
      <c r="TWD372" s="10"/>
      <c r="TWE372" s="21"/>
      <c r="TWF372" s="21"/>
      <c r="TWI372" s="21"/>
      <c r="TWJ372" s="15"/>
      <c r="TWK372" s="15"/>
      <c r="TWL372" s="15"/>
      <c r="TWM372" s="15"/>
      <c r="TWN372" s="15"/>
      <c r="TWO372" s="15"/>
      <c r="TWP372" s="15"/>
      <c r="TWQ372" s="15"/>
      <c r="TWR372" s="15"/>
      <c r="TWS372" s="15"/>
      <c r="TWT372" s="10"/>
      <c r="TWU372" s="10"/>
      <c r="TWV372" s="21"/>
      <c r="TWW372" s="21"/>
      <c r="TWZ372" s="21"/>
      <c r="TXA372" s="15"/>
      <c r="TXB372" s="15"/>
      <c r="TXC372" s="15"/>
      <c r="TXD372" s="15"/>
      <c r="TXE372" s="15"/>
      <c r="TXF372" s="15"/>
      <c r="TXG372" s="15"/>
      <c r="TXH372" s="15"/>
      <c r="TXI372" s="15"/>
      <c r="TXJ372" s="15"/>
      <c r="TXK372" s="10"/>
      <c r="TXL372" s="10"/>
      <c r="TXM372" s="21"/>
      <c r="TXN372" s="21"/>
      <c r="TXQ372" s="21"/>
      <c r="TXR372" s="15"/>
      <c r="TXS372" s="15"/>
      <c r="TXT372" s="15"/>
      <c r="TXU372" s="15"/>
      <c r="TXV372" s="15"/>
      <c r="TXW372" s="15"/>
      <c r="TXX372" s="15"/>
      <c r="TXY372" s="15"/>
      <c r="TXZ372" s="15"/>
      <c r="TYA372" s="15"/>
      <c r="TYB372" s="10"/>
      <c r="TYC372" s="10"/>
      <c r="TYD372" s="21"/>
      <c r="TYE372" s="21"/>
      <c r="TYH372" s="21"/>
      <c r="TYI372" s="15"/>
      <c r="TYJ372" s="15"/>
      <c r="TYK372" s="15"/>
      <c r="TYL372" s="15"/>
      <c r="TYM372" s="15"/>
      <c r="TYN372" s="15"/>
      <c r="TYO372" s="15"/>
      <c r="TYP372" s="15"/>
      <c r="TYQ372" s="15"/>
      <c r="TYR372" s="15"/>
      <c r="TYS372" s="10"/>
      <c r="TYT372" s="10"/>
      <c r="TYU372" s="21"/>
      <c r="TYV372" s="21"/>
      <c r="TYY372" s="21"/>
      <c r="TYZ372" s="15"/>
      <c r="TZA372" s="15"/>
      <c r="TZB372" s="15"/>
      <c r="TZC372" s="15"/>
      <c r="TZD372" s="15"/>
      <c r="TZE372" s="15"/>
      <c r="TZF372" s="15"/>
      <c r="TZG372" s="15"/>
      <c r="TZH372" s="15"/>
      <c r="TZI372" s="15"/>
      <c r="TZJ372" s="10"/>
      <c r="TZK372" s="10"/>
      <c r="TZL372" s="21"/>
      <c r="TZM372" s="21"/>
      <c r="TZP372" s="21"/>
      <c r="TZQ372" s="15"/>
      <c r="TZR372" s="15"/>
      <c r="TZS372" s="15"/>
      <c r="TZT372" s="15"/>
      <c r="TZU372" s="15"/>
      <c r="TZV372" s="15"/>
      <c r="TZW372" s="15"/>
      <c r="TZX372" s="15"/>
      <c r="TZY372" s="15"/>
      <c r="TZZ372" s="15"/>
      <c r="UAA372" s="10"/>
      <c r="UAB372" s="10"/>
      <c r="UAC372" s="21"/>
      <c r="UAD372" s="21"/>
      <c r="UAG372" s="21"/>
      <c r="UAH372" s="15"/>
      <c r="UAI372" s="15"/>
      <c r="UAJ372" s="15"/>
      <c r="UAK372" s="15"/>
      <c r="UAL372" s="15"/>
      <c r="UAM372" s="15"/>
      <c r="UAN372" s="15"/>
      <c r="UAO372" s="15"/>
      <c r="UAP372" s="15"/>
      <c r="UAQ372" s="15"/>
      <c r="UAR372" s="10"/>
      <c r="UAS372" s="10"/>
      <c r="UAT372" s="21"/>
      <c r="UAU372" s="21"/>
      <c r="UAX372" s="21"/>
      <c r="UAY372" s="15"/>
      <c r="UAZ372" s="15"/>
      <c r="UBA372" s="15"/>
      <c r="UBB372" s="15"/>
      <c r="UBC372" s="15"/>
      <c r="UBD372" s="15"/>
      <c r="UBE372" s="15"/>
      <c r="UBF372" s="15"/>
      <c r="UBG372" s="15"/>
      <c r="UBH372" s="15"/>
      <c r="UBI372" s="10"/>
      <c r="UBJ372" s="10"/>
      <c r="UBK372" s="21"/>
      <c r="UBL372" s="21"/>
      <c r="UBO372" s="21"/>
      <c r="UBP372" s="15"/>
      <c r="UBQ372" s="15"/>
      <c r="UBR372" s="15"/>
      <c r="UBS372" s="15"/>
      <c r="UBT372" s="15"/>
      <c r="UBU372" s="15"/>
      <c r="UBV372" s="15"/>
      <c r="UBW372" s="15"/>
      <c r="UBX372" s="15"/>
      <c r="UBY372" s="15"/>
      <c r="UBZ372" s="10"/>
      <c r="UCA372" s="10"/>
      <c r="UCB372" s="21"/>
      <c r="UCC372" s="21"/>
      <c r="UCF372" s="21"/>
      <c r="UCG372" s="15"/>
      <c r="UCH372" s="15"/>
      <c r="UCI372" s="15"/>
      <c r="UCJ372" s="15"/>
      <c r="UCK372" s="15"/>
      <c r="UCL372" s="15"/>
      <c r="UCM372" s="15"/>
      <c r="UCN372" s="15"/>
      <c r="UCO372" s="15"/>
      <c r="UCP372" s="15"/>
      <c r="UCQ372" s="10"/>
      <c r="UCR372" s="10"/>
      <c r="UCS372" s="21"/>
      <c r="UCT372" s="21"/>
      <c r="UCW372" s="21"/>
      <c r="UCX372" s="15"/>
      <c r="UCY372" s="15"/>
      <c r="UCZ372" s="15"/>
      <c r="UDA372" s="15"/>
      <c r="UDB372" s="15"/>
      <c r="UDC372" s="15"/>
      <c r="UDD372" s="15"/>
      <c r="UDE372" s="15"/>
      <c r="UDF372" s="15"/>
      <c r="UDG372" s="15"/>
      <c r="UDH372" s="10"/>
      <c r="UDI372" s="10"/>
      <c r="UDJ372" s="21"/>
      <c r="UDK372" s="21"/>
      <c r="UDN372" s="21"/>
      <c r="UDO372" s="15"/>
      <c r="UDP372" s="15"/>
      <c r="UDQ372" s="15"/>
      <c r="UDR372" s="15"/>
      <c r="UDS372" s="15"/>
      <c r="UDT372" s="15"/>
      <c r="UDU372" s="15"/>
      <c r="UDV372" s="15"/>
      <c r="UDW372" s="15"/>
      <c r="UDX372" s="15"/>
      <c r="UDY372" s="10"/>
      <c r="UDZ372" s="10"/>
      <c r="UEA372" s="21"/>
      <c r="UEB372" s="21"/>
      <c r="UEE372" s="21"/>
      <c r="UEF372" s="15"/>
      <c r="UEG372" s="15"/>
      <c r="UEH372" s="15"/>
      <c r="UEI372" s="15"/>
      <c r="UEJ372" s="15"/>
      <c r="UEK372" s="15"/>
      <c r="UEL372" s="15"/>
      <c r="UEM372" s="15"/>
      <c r="UEN372" s="15"/>
      <c r="UEO372" s="15"/>
      <c r="UEP372" s="10"/>
      <c r="UEQ372" s="10"/>
      <c r="UER372" s="21"/>
      <c r="UES372" s="21"/>
      <c r="UEV372" s="21"/>
      <c r="UEW372" s="15"/>
      <c r="UEX372" s="15"/>
      <c r="UEY372" s="15"/>
      <c r="UEZ372" s="15"/>
      <c r="UFA372" s="15"/>
      <c r="UFB372" s="15"/>
      <c r="UFC372" s="15"/>
      <c r="UFD372" s="15"/>
      <c r="UFE372" s="15"/>
      <c r="UFF372" s="15"/>
      <c r="UFG372" s="10"/>
      <c r="UFH372" s="10"/>
      <c r="UFI372" s="21"/>
      <c r="UFJ372" s="21"/>
      <c r="UFM372" s="21"/>
      <c r="UFN372" s="15"/>
      <c r="UFO372" s="15"/>
      <c r="UFP372" s="15"/>
      <c r="UFQ372" s="15"/>
      <c r="UFR372" s="15"/>
      <c r="UFS372" s="15"/>
      <c r="UFT372" s="15"/>
      <c r="UFU372" s="15"/>
      <c r="UFV372" s="15"/>
      <c r="UFW372" s="15"/>
      <c r="UFX372" s="10"/>
      <c r="UFY372" s="10"/>
      <c r="UFZ372" s="21"/>
      <c r="UGA372" s="21"/>
      <c r="UGD372" s="21"/>
      <c r="UGE372" s="15"/>
      <c r="UGF372" s="15"/>
      <c r="UGG372" s="15"/>
      <c r="UGH372" s="15"/>
      <c r="UGI372" s="15"/>
      <c r="UGJ372" s="15"/>
      <c r="UGK372" s="15"/>
      <c r="UGL372" s="15"/>
      <c r="UGM372" s="15"/>
      <c r="UGN372" s="15"/>
      <c r="UGO372" s="10"/>
      <c r="UGP372" s="10"/>
      <c r="UGQ372" s="21"/>
      <c r="UGR372" s="21"/>
      <c r="UGU372" s="21"/>
      <c r="UGV372" s="15"/>
      <c r="UGW372" s="15"/>
      <c r="UGX372" s="15"/>
      <c r="UGY372" s="15"/>
      <c r="UGZ372" s="15"/>
      <c r="UHA372" s="15"/>
      <c r="UHB372" s="15"/>
      <c r="UHC372" s="15"/>
      <c r="UHD372" s="15"/>
      <c r="UHE372" s="15"/>
      <c r="UHF372" s="10"/>
      <c r="UHG372" s="10"/>
      <c r="UHH372" s="21"/>
      <c r="UHI372" s="21"/>
      <c r="UHL372" s="21"/>
      <c r="UHM372" s="15"/>
      <c r="UHN372" s="15"/>
      <c r="UHO372" s="15"/>
      <c r="UHP372" s="15"/>
      <c r="UHQ372" s="15"/>
      <c r="UHR372" s="15"/>
      <c r="UHS372" s="15"/>
      <c r="UHT372" s="15"/>
      <c r="UHU372" s="15"/>
      <c r="UHV372" s="15"/>
      <c r="UHW372" s="10"/>
      <c r="UHX372" s="10"/>
      <c r="UHY372" s="21"/>
      <c r="UHZ372" s="21"/>
      <c r="UIC372" s="21"/>
      <c r="UID372" s="15"/>
      <c r="UIE372" s="15"/>
      <c r="UIF372" s="15"/>
      <c r="UIG372" s="15"/>
      <c r="UIH372" s="15"/>
      <c r="UII372" s="15"/>
      <c r="UIJ372" s="15"/>
      <c r="UIK372" s="15"/>
      <c r="UIL372" s="15"/>
      <c r="UIM372" s="15"/>
      <c r="UIN372" s="10"/>
      <c r="UIO372" s="10"/>
      <c r="UIP372" s="21"/>
      <c r="UIQ372" s="21"/>
      <c r="UIT372" s="21"/>
      <c r="UIU372" s="15"/>
      <c r="UIV372" s="15"/>
      <c r="UIW372" s="15"/>
      <c r="UIX372" s="15"/>
      <c r="UIY372" s="15"/>
      <c r="UIZ372" s="15"/>
      <c r="UJA372" s="15"/>
      <c r="UJB372" s="15"/>
      <c r="UJC372" s="15"/>
      <c r="UJD372" s="15"/>
      <c r="UJE372" s="10"/>
      <c r="UJF372" s="10"/>
      <c r="UJG372" s="21"/>
      <c r="UJH372" s="21"/>
      <c r="UJK372" s="21"/>
      <c r="UJL372" s="15"/>
      <c r="UJM372" s="15"/>
      <c r="UJN372" s="15"/>
      <c r="UJO372" s="15"/>
      <c r="UJP372" s="15"/>
      <c r="UJQ372" s="15"/>
      <c r="UJR372" s="15"/>
      <c r="UJS372" s="15"/>
      <c r="UJT372" s="15"/>
      <c r="UJU372" s="15"/>
      <c r="UJV372" s="10"/>
      <c r="UJW372" s="10"/>
      <c r="UJX372" s="21"/>
      <c r="UJY372" s="21"/>
      <c r="UKB372" s="21"/>
      <c r="UKC372" s="15"/>
      <c r="UKD372" s="15"/>
      <c r="UKE372" s="15"/>
      <c r="UKF372" s="15"/>
      <c r="UKG372" s="15"/>
      <c r="UKH372" s="15"/>
      <c r="UKI372" s="15"/>
      <c r="UKJ372" s="15"/>
      <c r="UKK372" s="15"/>
      <c r="UKL372" s="15"/>
      <c r="UKM372" s="10"/>
      <c r="UKN372" s="10"/>
      <c r="UKO372" s="21"/>
      <c r="UKP372" s="21"/>
      <c r="UKS372" s="21"/>
      <c r="UKT372" s="15"/>
      <c r="UKU372" s="15"/>
      <c r="UKV372" s="15"/>
      <c r="UKW372" s="15"/>
      <c r="UKX372" s="15"/>
      <c r="UKY372" s="15"/>
      <c r="UKZ372" s="15"/>
      <c r="ULA372" s="15"/>
      <c r="ULB372" s="15"/>
      <c r="ULC372" s="15"/>
      <c r="ULD372" s="10"/>
      <c r="ULE372" s="10"/>
      <c r="ULF372" s="21"/>
      <c r="ULG372" s="21"/>
      <c r="ULJ372" s="21"/>
      <c r="ULK372" s="15"/>
      <c r="ULL372" s="15"/>
      <c r="ULM372" s="15"/>
      <c r="ULN372" s="15"/>
      <c r="ULO372" s="15"/>
      <c r="ULP372" s="15"/>
      <c r="ULQ372" s="15"/>
      <c r="ULR372" s="15"/>
      <c r="ULS372" s="15"/>
      <c r="ULT372" s="15"/>
      <c r="ULU372" s="10"/>
      <c r="ULV372" s="10"/>
      <c r="ULW372" s="21"/>
      <c r="ULX372" s="21"/>
      <c r="UMA372" s="21"/>
      <c r="UMB372" s="15"/>
      <c r="UMC372" s="15"/>
      <c r="UMD372" s="15"/>
      <c r="UME372" s="15"/>
      <c r="UMF372" s="15"/>
      <c r="UMG372" s="15"/>
      <c r="UMH372" s="15"/>
      <c r="UMI372" s="15"/>
      <c r="UMJ372" s="15"/>
      <c r="UMK372" s="15"/>
      <c r="UML372" s="10"/>
      <c r="UMM372" s="10"/>
      <c r="UMN372" s="21"/>
      <c r="UMO372" s="21"/>
      <c r="UMR372" s="21"/>
      <c r="UMS372" s="15"/>
      <c r="UMT372" s="15"/>
      <c r="UMU372" s="15"/>
      <c r="UMV372" s="15"/>
      <c r="UMW372" s="15"/>
      <c r="UMX372" s="15"/>
      <c r="UMY372" s="15"/>
      <c r="UMZ372" s="15"/>
      <c r="UNA372" s="15"/>
      <c r="UNB372" s="15"/>
      <c r="UNC372" s="10"/>
      <c r="UND372" s="10"/>
      <c r="UNE372" s="21"/>
      <c r="UNF372" s="21"/>
      <c r="UNI372" s="21"/>
      <c r="UNJ372" s="15"/>
      <c r="UNK372" s="15"/>
      <c r="UNL372" s="15"/>
      <c r="UNM372" s="15"/>
      <c r="UNN372" s="15"/>
      <c r="UNO372" s="15"/>
      <c r="UNP372" s="15"/>
      <c r="UNQ372" s="15"/>
      <c r="UNR372" s="15"/>
      <c r="UNS372" s="15"/>
      <c r="UNT372" s="10"/>
      <c r="UNU372" s="10"/>
      <c r="UNV372" s="21"/>
      <c r="UNW372" s="21"/>
      <c r="UNZ372" s="21"/>
      <c r="UOA372" s="15"/>
      <c r="UOB372" s="15"/>
      <c r="UOC372" s="15"/>
      <c r="UOD372" s="15"/>
      <c r="UOE372" s="15"/>
      <c r="UOF372" s="15"/>
      <c r="UOG372" s="15"/>
      <c r="UOH372" s="15"/>
      <c r="UOI372" s="15"/>
      <c r="UOJ372" s="15"/>
      <c r="UOK372" s="10"/>
      <c r="UOL372" s="10"/>
      <c r="UOM372" s="21"/>
      <c r="UON372" s="21"/>
      <c r="UOQ372" s="21"/>
      <c r="UOR372" s="15"/>
      <c r="UOS372" s="15"/>
      <c r="UOT372" s="15"/>
      <c r="UOU372" s="15"/>
      <c r="UOV372" s="15"/>
      <c r="UOW372" s="15"/>
      <c r="UOX372" s="15"/>
      <c r="UOY372" s="15"/>
      <c r="UOZ372" s="15"/>
      <c r="UPA372" s="15"/>
      <c r="UPB372" s="10"/>
      <c r="UPC372" s="10"/>
      <c r="UPD372" s="21"/>
      <c r="UPE372" s="21"/>
      <c r="UPH372" s="21"/>
      <c r="UPI372" s="15"/>
      <c r="UPJ372" s="15"/>
      <c r="UPK372" s="15"/>
      <c r="UPL372" s="15"/>
      <c r="UPM372" s="15"/>
      <c r="UPN372" s="15"/>
      <c r="UPO372" s="15"/>
      <c r="UPP372" s="15"/>
      <c r="UPQ372" s="15"/>
      <c r="UPR372" s="15"/>
      <c r="UPS372" s="10"/>
      <c r="UPT372" s="10"/>
      <c r="UPU372" s="21"/>
      <c r="UPV372" s="21"/>
      <c r="UPY372" s="21"/>
      <c r="UPZ372" s="15"/>
      <c r="UQA372" s="15"/>
      <c r="UQB372" s="15"/>
      <c r="UQC372" s="15"/>
      <c r="UQD372" s="15"/>
      <c r="UQE372" s="15"/>
      <c r="UQF372" s="15"/>
      <c r="UQG372" s="15"/>
      <c r="UQH372" s="15"/>
      <c r="UQI372" s="15"/>
      <c r="UQJ372" s="10"/>
      <c r="UQK372" s="10"/>
      <c r="UQL372" s="21"/>
      <c r="UQM372" s="21"/>
      <c r="UQP372" s="21"/>
      <c r="UQQ372" s="15"/>
      <c r="UQR372" s="15"/>
      <c r="UQS372" s="15"/>
      <c r="UQT372" s="15"/>
      <c r="UQU372" s="15"/>
      <c r="UQV372" s="15"/>
      <c r="UQW372" s="15"/>
      <c r="UQX372" s="15"/>
      <c r="UQY372" s="15"/>
      <c r="UQZ372" s="15"/>
      <c r="URA372" s="10"/>
      <c r="URB372" s="10"/>
      <c r="URC372" s="21"/>
      <c r="URD372" s="21"/>
      <c r="URG372" s="21"/>
      <c r="URH372" s="15"/>
      <c r="URI372" s="15"/>
      <c r="URJ372" s="15"/>
      <c r="URK372" s="15"/>
      <c r="URL372" s="15"/>
      <c r="URM372" s="15"/>
      <c r="URN372" s="15"/>
      <c r="URO372" s="15"/>
      <c r="URP372" s="15"/>
      <c r="URQ372" s="15"/>
      <c r="URR372" s="10"/>
      <c r="URS372" s="10"/>
      <c r="URT372" s="21"/>
      <c r="URU372" s="21"/>
      <c r="URX372" s="21"/>
      <c r="URY372" s="15"/>
      <c r="URZ372" s="15"/>
      <c r="USA372" s="15"/>
      <c r="USB372" s="15"/>
      <c r="USC372" s="15"/>
      <c r="USD372" s="15"/>
      <c r="USE372" s="15"/>
      <c r="USF372" s="15"/>
      <c r="USG372" s="15"/>
      <c r="USH372" s="15"/>
      <c r="USI372" s="10"/>
      <c r="USJ372" s="10"/>
      <c r="USK372" s="21"/>
      <c r="USL372" s="21"/>
      <c r="USO372" s="21"/>
      <c r="USP372" s="15"/>
      <c r="USQ372" s="15"/>
      <c r="USR372" s="15"/>
      <c r="USS372" s="15"/>
      <c r="UST372" s="15"/>
      <c r="USU372" s="15"/>
      <c r="USV372" s="15"/>
      <c r="USW372" s="15"/>
      <c r="USX372" s="15"/>
      <c r="USY372" s="15"/>
      <c r="USZ372" s="10"/>
      <c r="UTA372" s="10"/>
      <c r="UTB372" s="21"/>
      <c r="UTC372" s="21"/>
      <c r="UTF372" s="21"/>
      <c r="UTG372" s="15"/>
      <c r="UTH372" s="15"/>
      <c r="UTI372" s="15"/>
      <c r="UTJ372" s="15"/>
      <c r="UTK372" s="15"/>
      <c r="UTL372" s="15"/>
      <c r="UTM372" s="15"/>
      <c r="UTN372" s="15"/>
      <c r="UTO372" s="15"/>
      <c r="UTP372" s="15"/>
      <c r="UTQ372" s="10"/>
      <c r="UTR372" s="10"/>
      <c r="UTS372" s="21"/>
      <c r="UTT372" s="21"/>
      <c r="UTW372" s="21"/>
      <c r="UTX372" s="15"/>
      <c r="UTY372" s="15"/>
      <c r="UTZ372" s="15"/>
      <c r="UUA372" s="15"/>
      <c r="UUB372" s="15"/>
      <c r="UUC372" s="15"/>
      <c r="UUD372" s="15"/>
      <c r="UUE372" s="15"/>
      <c r="UUF372" s="15"/>
      <c r="UUG372" s="15"/>
      <c r="UUH372" s="10"/>
      <c r="UUI372" s="10"/>
      <c r="UUJ372" s="21"/>
      <c r="UUK372" s="21"/>
      <c r="UUN372" s="21"/>
      <c r="UUO372" s="15"/>
      <c r="UUP372" s="15"/>
      <c r="UUQ372" s="15"/>
      <c r="UUR372" s="15"/>
      <c r="UUS372" s="15"/>
      <c r="UUT372" s="15"/>
      <c r="UUU372" s="15"/>
      <c r="UUV372" s="15"/>
      <c r="UUW372" s="15"/>
      <c r="UUX372" s="15"/>
      <c r="UUY372" s="10"/>
      <c r="UUZ372" s="10"/>
      <c r="UVA372" s="21"/>
      <c r="UVB372" s="21"/>
      <c r="UVE372" s="21"/>
      <c r="UVF372" s="15"/>
      <c r="UVG372" s="15"/>
      <c r="UVH372" s="15"/>
      <c r="UVI372" s="15"/>
      <c r="UVJ372" s="15"/>
      <c r="UVK372" s="15"/>
      <c r="UVL372" s="15"/>
      <c r="UVM372" s="15"/>
      <c r="UVN372" s="15"/>
      <c r="UVO372" s="15"/>
      <c r="UVP372" s="10"/>
      <c r="UVQ372" s="10"/>
      <c r="UVR372" s="21"/>
      <c r="UVS372" s="21"/>
      <c r="UVV372" s="21"/>
      <c r="UVW372" s="15"/>
      <c r="UVX372" s="15"/>
      <c r="UVY372" s="15"/>
      <c r="UVZ372" s="15"/>
      <c r="UWA372" s="15"/>
      <c r="UWB372" s="15"/>
      <c r="UWC372" s="15"/>
      <c r="UWD372" s="15"/>
      <c r="UWE372" s="15"/>
      <c r="UWF372" s="15"/>
      <c r="UWG372" s="10"/>
      <c r="UWH372" s="10"/>
      <c r="UWI372" s="21"/>
      <c r="UWJ372" s="21"/>
      <c r="UWM372" s="21"/>
      <c r="UWN372" s="15"/>
      <c r="UWO372" s="15"/>
      <c r="UWP372" s="15"/>
      <c r="UWQ372" s="15"/>
      <c r="UWR372" s="15"/>
      <c r="UWS372" s="15"/>
      <c r="UWT372" s="15"/>
      <c r="UWU372" s="15"/>
      <c r="UWV372" s="15"/>
      <c r="UWW372" s="15"/>
      <c r="UWX372" s="10"/>
      <c r="UWY372" s="10"/>
      <c r="UWZ372" s="21"/>
      <c r="UXA372" s="21"/>
      <c r="UXD372" s="21"/>
      <c r="UXE372" s="15"/>
      <c r="UXF372" s="15"/>
      <c r="UXG372" s="15"/>
      <c r="UXH372" s="15"/>
      <c r="UXI372" s="15"/>
      <c r="UXJ372" s="15"/>
      <c r="UXK372" s="15"/>
      <c r="UXL372" s="15"/>
      <c r="UXM372" s="15"/>
      <c r="UXN372" s="15"/>
      <c r="UXO372" s="10"/>
      <c r="UXP372" s="10"/>
      <c r="UXQ372" s="21"/>
      <c r="UXR372" s="21"/>
      <c r="UXU372" s="21"/>
      <c r="UXV372" s="15"/>
      <c r="UXW372" s="15"/>
      <c r="UXX372" s="15"/>
      <c r="UXY372" s="15"/>
      <c r="UXZ372" s="15"/>
      <c r="UYA372" s="15"/>
      <c r="UYB372" s="15"/>
      <c r="UYC372" s="15"/>
      <c r="UYD372" s="15"/>
      <c r="UYE372" s="15"/>
      <c r="UYF372" s="10"/>
      <c r="UYG372" s="10"/>
      <c r="UYH372" s="21"/>
      <c r="UYI372" s="21"/>
      <c r="UYL372" s="21"/>
      <c r="UYM372" s="15"/>
      <c r="UYN372" s="15"/>
      <c r="UYO372" s="15"/>
      <c r="UYP372" s="15"/>
      <c r="UYQ372" s="15"/>
      <c r="UYR372" s="15"/>
      <c r="UYS372" s="15"/>
      <c r="UYT372" s="15"/>
      <c r="UYU372" s="15"/>
      <c r="UYV372" s="15"/>
      <c r="UYW372" s="10"/>
      <c r="UYX372" s="10"/>
      <c r="UYY372" s="21"/>
      <c r="UYZ372" s="21"/>
      <c r="UZC372" s="21"/>
      <c r="UZD372" s="15"/>
      <c r="UZE372" s="15"/>
      <c r="UZF372" s="15"/>
      <c r="UZG372" s="15"/>
      <c r="UZH372" s="15"/>
      <c r="UZI372" s="15"/>
      <c r="UZJ372" s="15"/>
      <c r="UZK372" s="15"/>
      <c r="UZL372" s="15"/>
      <c r="UZM372" s="15"/>
      <c r="UZN372" s="10"/>
      <c r="UZO372" s="10"/>
      <c r="UZP372" s="21"/>
      <c r="UZQ372" s="21"/>
      <c r="UZT372" s="21"/>
      <c r="UZU372" s="15"/>
      <c r="UZV372" s="15"/>
      <c r="UZW372" s="15"/>
      <c r="UZX372" s="15"/>
      <c r="UZY372" s="15"/>
      <c r="UZZ372" s="15"/>
      <c r="VAA372" s="15"/>
      <c r="VAB372" s="15"/>
      <c r="VAC372" s="15"/>
      <c r="VAD372" s="15"/>
      <c r="VAE372" s="10"/>
      <c r="VAF372" s="10"/>
      <c r="VAG372" s="21"/>
      <c r="VAH372" s="21"/>
      <c r="VAK372" s="21"/>
      <c r="VAL372" s="15"/>
      <c r="VAM372" s="15"/>
      <c r="VAN372" s="15"/>
      <c r="VAO372" s="15"/>
      <c r="VAP372" s="15"/>
      <c r="VAQ372" s="15"/>
      <c r="VAR372" s="15"/>
      <c r="VAS372" s="15"/>
      <c r="VAT372" s="15"/>
      <c r="VAU372" s="15"/>
      <c r="VAV372" s="10"/>
      <c r="VAW372" s="10"/>
      <c r="VAX372" s="21"/>
      <c r="VAY372" s="21"/>
      <c r="VBB372" s="21"/>
      <c r="VBC372" s="15"/>
      <c r="VBD372" s="15"/>
      <c r="VBE372" s="15"/>
      <c r="VBF372" s="15"/>
      <c r="VBG372" s="15"/>
      <c r="VBH372" s="15"/>
      <c r="VBI372" s="15"/>
      <c r="VBJ372" s="15"/>
      <c r="VBK372" s="15"/>
      <c r="VBL372" s="15"/>
      <c r="VBM372" s="10"/>
      <c r="VBN372" s="10"/>
      <c r="VBO372" s="21"/>
      <c r="VBP372" s="21"/>
      <c r="VBS372" s="21"/>
      <c r="VBT372" s="15"/>
      <c r="VBU372" s="15"/>
      <c r="VBV372" s="15"/>
      <c r="VBW372" s="15"/>
      <c r="VBX372" s="15"/>
      <c r="VBY372" s="15"/>
      <c r="VBZ372" s="15"/>
      <c r="VCA372" s="15"/>
      <c r="VCB372" s="15"/>
      <c r="VCC372" s="15"/>
      <c r="VCD372" s="10"/>
      <c r="VCE372" s="10"/>
      <c r="VCF372" s="21"/>
      <c r="VCG372" s="21"/>
      <c r="VCJ372" s="21"/>
      <c r="VCK372" s="15"/>
      <c r="VCL372" s="15"/>
      <c r="VCM372" s="15"/>
      <c r="VCN372" s="15"/>
      <c r="VCO372" s="15"/>
      <c r="VCP372" s="15"/>
      <c r="VCQ372" s="15"/>
      <c r="VCR372" s="15"/>
      <c r="VCS372" s="15"/>
      <c r="VCT372" s="15"/>
      <c r="VCU372" s="10"/>
      <c r="VCV372" s="10"/>
      <c r="VCW372" s="21"/>
      <c r="VCX372" s="21"/>
      <c r="VDA372" s="21"/>
      <c r="VDB372" s="15"/>
      <c r="VDC372" s="15"/>
      <c r="VDD372" s="15"/>
      <c r="VDE372" s="15"/>
      <c r="VDF372" s="15"/>
      <c r="VDG372" s="15"/>
      <c r="VDH372" s="15"/>
      <c r="VDI372" s="15"/>
      <c r="VDJ372" s="15"/>
      <c r="VDK372" s="15"/>
      <c r="VDL372" s="10"/>
      <c r="VDM372" s="10"/>
      <c r="VDN372" s="21"/>
      <c r="VDO372" s="21"/>
      <c r="VDR372" s="21"/>
      <c r="VDS372" s="15"/>
      <c r="VDT372" s="15"/>
      <c r="VDU372" s="15"/>
      <c r="VDV372" s="15"/>
      <c r="VDW372" s="15"/>
      <c r="VDX372" s="15"/>
      <c r="VDY372" s="15"/>
      <c r="VDZ372" s="15"/>
      <c r="VEA372" s="15"/>
      <c r="VEB372" s="15"/>
      <c r="VEC372" s="10"/>
      <c r="VED372" s="10"/>
      <c r="VEE372" s="21"/>
      <c r="VEF372" s="21"/>
      <c r="VEI372" s="21"/>
      <c r="VEJ372" s="15"/>
      <c r="VEK372" s="15"/>
      <c r="VEL372" s="15"/>
      <c r="VEM372" s="15"/>
      <c r="VEN372" s="15"/>
      <c r="VEO372" s="15"/>
      <c r="VEP372" s="15"/>
      <c r="VEQ372" s="15"/>
      <c r="VER372" s="15"/>
      <c r="VES372" s="15"/>
      <c r="VET372" s="10"/>
      <c r="VEU372" s="10"/>
      <c r="VEV372" s="21"/>
      <c r="VEW372" s="21"/>
      <c r="VEZ372" s="21"/>
      <c r="VFA372" s="15"/>
      <c r="VFB372" s="15"/>
      <c r="VFC372" s="15"/>
      <c r="VFD372" s="15"/>
      <c r="VFE372" s="15"/>
      <c r="VFF372" s="15"/>
      <c r="VFG372" s="15"/>
      <c r="VFH372" s="15"/>
      <c r="VFI372" s="15"/>
      <c r="VFJ372" s="15"/>
      <c r="VFK372" s="10"/>
      <c r="VFL372" s="10"/>
      <c r="VFM372" s="21"/>
      <c r="VFN372" s="21"/>
      <c r="VFQ372" s="21"/>
      <c r="VFR372" s="15"/>
      <c r="VFS372" s="15"/>
      <c r="VFT372" s="15"/>
      <c r="VFU372" s="15"/>
      <c r="VFV372" s="15"/>
      <c r="VFW372" s="15"/>
      <c r="VFX372" s="15"/>
      <c r="VFY372" s="15"/>
      <c r="VFZ372" s="15"/>
      <c r="VGA372" s="15"/>
      <c r="VGB372" s="10"/>
      <c r="VGC372" s="10"/>
      <c r="VGD372" s="21"/>
      <c r="VGE372" s="21"/>
      <c r="VGH372" s="21"/>
      <c r="VGI372" s="15"/>
      <c r="VGJ372" s="15"/>
      <c r="VGK372" s="15"/>
      <c r="VGL372" s="15"/>
      <c r="VGM372" s="15"/>
      <c r="VGN372" s="15"/>
      <c r="VGO372" s="15"/>
      <c r="VGP372" s="15"/>
      <c r="VGQ372" s="15"/>
      <c r="VGR372" s="15"/>
      <c r="VGS372" s="10"/>
      <c r="VGT372" s="10"/>
      <c r="VGU372" s="21"/>
      <c r="VGV372" s="21"/>
      <c r="VGY372" s="21"/>
      <c r="VGZ372" s="15"/>
      <c r="VHA372" s="15"/>
      <c r="VHB372" s="15"/>
      <c r="VHC372" s="15"/>
      <c r="VHD372" s="15"/>
      <c r="VHE372" s="15"/>
      <c r="VHF372" s="15"/>
      <c r="VHG372" s="15"/>
      <c r="VHH372" s="15"/>
      <c r="VHI372" s="15"/>
      <c r="VHJ372" s="10"/>
      <c r="VHK372" s="10"/>
      <c r="VHL372" s="21"/>
      <c r="VHM372" s="21"/>
      <c r="VHP372" s="21"/>
      <c r="VHQ372" s="15"/>
      <c r="VHR372" s="15"/>
      <c r="VHS372" s="15"/>
      <c r="VHT372" s="15"/>
      <c r="VHU372" s="15"/>
      <c r="VHV372" s="15"/>
      <c r="VHW372" s="15"/>
      <c r="VHX372" s="15"/>
      <c r="VHY372" s="15"/>
      <c r="VHZ372" s="15"/>
      <c r="VIA372" s="10"/>
      <c r="VIB372" s="10"/>
      <c r="VIC372" s="21"/>
      <c r="VID372" s="21"/>
      <c r="VIG372" s="21"/>
      <c r="VIH372" s="15"/>
      <c r="VII372" s="15"/>
      <c r="VIJ372" s="15"/>
      <c r="VIK372" s="15"/>
      <c r="VIL372" s="15"/>
      <c r="VIM372" s="15"/>
      <c r="VIN372" s="15"/>
      <c r="VIO372" s="15"/>
      <c r="VIP372" s="15"/>
      <c r="VIQ372" s="15"/>
      <c r="VIR372" s="10"/>
      <c r="VIS372" s="10"/>
      <c r="VIT372" s="21"/>
      <c r="VIU372" s="21"/>
      <c r="VIX372" s="21"/>
      <c r="VIY372" s="15"/>
      <c r="VIZ372" s="15"/>
      <c r="VJA372" s="15"/>
      <c r="VJB372" s="15"/>
      <c r="VJC372" s="15"/>
      <c r="VJD372" s="15"/>
      <c r="VJE372" s="15"/>
      <c r="VJF372" s="15"/>
      <c r="VJG372" s="15"/>
      <c r="VJH372" s="15"/>
      <c r="VJI372" s="10"/>
      <c r="VJJ372" s="10"/>
      <c r="VJK372" s="21"/>
      <c r="VJL372" s="21"/>
      <c r="VJO372" s="21"/>
      <c r="VJP372" s="15"/>
      <c r="VJQ372" s="15"/>
      <c r="VJR372" s="15"/>
      <c r="VJS372" s="15"/>
      <c r="VJT372" s="15"/>
      <c r="VJU372" s="15"/>
      <c r="VJV372" s="15"/>
      <c r="VJW372" s="15"/>
      <c r="VJX372" s="15"/>
      <c r="VJY372" s="15"/>
      <c r="VJZ372" s="10"/>
      <c r="VKA372" s="10"/>
      <c r="VKB372" s="21"/>
      <c r="VKC372" s="21"/>
      <c r="VKF372" s="21"/>
      <c r="VKG372" s="15"/>
      <c r="VKH372" s="15"/>
      <c r="VKI372" s="15"/>
      <c r="VKJ372" s="15"/>
      <c r="VKK372" s="15"/>
      <c r="VKL372" s="15"/>
      <c r="VKM372" s="15"/>
      <c r="VKN372" s="15"/>
      <c r="VKO372" s="15"/>
      <c r="VKP372" s="15"/>
      <c r="VKQ372" s="10"/>
      <c r="VKR372" s="10"/>
      <c r="VKS372" s="21"/>
      <c r="VKT372" s="21"/>
      <c r="VKW372" s="21"/>
      <c r="VKX372" s="15"/>
      <c r="VKY372" s="15"/>
      <c r="VKZ372" s="15"/>
      <c r="VLA372" s="15"/>
      <c r="VLB372" s="15"/>
      <c r="VLC372" s="15"/>
      <c r="VLD372" s="15"/>
      <c r="VLE372" s="15"/>
      <c r="VLF372" s="15"/>
      <c r="VLG372" s="15"/>
      <c r="VLH372" s="10"/>
      <c r="VLI372" s="10"/>
      <c r="VLJ372" s="21"/>
      <c r="VLK372" s="21"/>
      <c r="VLN372" s="21"/>
      <c r="VLO372" s="15"/>
      <c r="VLP372" s="15"/>
      <c r="VLQ372" s="15"/>
      <c r="VLR372" s="15"/>
      <c r="VLS372" s="15"/>
      <c r="VLT372" s="15"/>
      <c r="VLU372" s="15"/>
      <c r="VLV372" s="15"/>
      <c r="VLW372" s="15"/>
      <c r="VLX372" s="15"/>
      <c r="VLY372" s="10"/>
      <c r="VLZ372" s="10"/>
      <c r="VMA372" s="21"/>
      <c r="VMB372" s="21"/>
      <c r="VME372" s="21"/>
      <c r="VMF372" s="15"/>
      <c r="VMG372" s="15"/>
      <c r="VMH372" s="15"/>
      <c r="VMI372" s="15"/>
      <c r="VMJ372" s="15"/>
      <c r="VMK372" s="15"/>
      <c r="VML372" s="15"/>
      <c r="VMM372" s="15"/>
      <c r="VMN372" s="15"/>
      <c r="VMO372" s="15"/>
      <c r="VMP372" s="10"/>
      <c r="VMQ372" s="10"/>
      <c r="VMR372" s="21"/>
      <c r="VMS372" s="21"/>
      <c r="VMV372" s="21"/>
      <c r="VMW372" s="15"/>
      <c r="VMX372" s="15"/>
      <c r="VMY372" s="15"/>
      <c r="VMZ372" s="15"/>
      <c r="VNA372" s="15"/>
      <c r="VNB372" s="15"/>
      <c r="VNC372" s="15"/>
      <c r="VND372" s="15"/>
      <c r="VNE372" s="15"/>
      <c r="VNF372" s="15"/>
      <c r="VNG372" s="10"/>
      <c r="VNH372" s="10"/>
      <c r="VNI372" s="21"/>
      <c r="VNJ372" s="21"/>
      <c r="VNM372" s="21"/>
      <c r="VNN372" s="15"/>
      <c r="VNO372" s="15"/>
      <c r="VNP372" s="15"/>
      <c r="VNQ372" s="15"/>
      <c r="VNR372" s="15"/>
      <c r="VNS372" s="15"/>
      <c r="VNT372" s="15"/>
      <c r="VNU372" s="15"/>
      <c r="VNV372" s="15"/>
      <c r="VNW372" s="15"/>
      <c r="VNX372" s="10"/>
      <c r="VNY372" s="10"/>
      <c r="VNZ372" s="21"/>
      <c r="VOA372" s="21"/>
      <c r="VOD372" s="21"/>
      <c r="VOE372" s="15"/>
      <c r="VOF372" s="15"/>
      <c r="VOG372" s="15"/>
      <c r="VOH372" s="15"/>
      <c r="VOI372" s="15"/>
      <c r="VOJ372" s="15"/>
      <c r="VOK372" s="15"/>
      <c r="VOL372" s="15"/>
      <c r="VOM372" s="15"/>
      <c r="VON372" s="15"/>
      <c r="VOO372" s="10"/>
      <c r="VOP372" s="10"/>
      <c r="VOQ372" s="21"/>
      <c r="VOR372" s="21"/>
      <c r="VOU372" s="21"/>
      <c r="VOV372" s="15"/>
      <c r="VOW372" s="15"/>
      <c r="VOX372" s="15"/>
      <c r="VOY372" s="15"/>
      <c r="VOZ372" s="15"/>
      <c r="VPA372" s="15"/>
      <c r="VPB372" s="15"/>
      <c r="VPC372" s="15"/>
      <c r="VPD372" s="15"/>
      <c r="VPE372" s="15"/>
      <c r="VPF372" s="10"/>
      <c r="VPG372" s="10"/>
      <c r="VPH372" s="21"/>
      <c r="VPI372" s="21"/>
      <c r="VPL372" s="21"/>
      <c r="VPM372" s="15"/>
      <c r="VPN372" s="15"/>
      <c r="VPO372" s="15"/>
      <c r="VPP372" s="15"/>
      <c r="VPQ372" s="15"/>
      <c r="VPR372" s="15"/>
      <c r="VPS372" s="15"/>
      <c r="VPT372" s="15"/>
      <c r="VPU372" s="15"/>
      <c r="VPV372" s="15"/>
      <c r="VPW372" s="10"/>
      <c r="VPX372" s="10"/>
      <c r="VPY372" s="21"/>
      <c r="VPZ372" s="21"/>
      <c r="VQC372" s="21"/>
      <c r="VQD372" s="15"/>
      <c r="VQE372" s="15"/>
      <c r="VQF372" s="15"/>
      <c r="VQG372" s="15"/>
      <c r="VQH372" s="15"/>
      <c r="VQI372" s="15"/>
      <c r="VQJ372" s="15"/>
      <c r="VQK372" s="15"/>
      <c r="VQL372" s="15"/>
      <c r="VQM372" s="15"/>
      <c r="VQN372" s="10"/>
      <c r="VQO372" s="10"/>
      <c r="VQP372" s="21"/>
      <c r="VQQ372" s="21"/>
      <c r="VQT372" s="21"/>
      <c r="VQU372" s="15"/>
      <c r="VQV372" s="15"/>
      <c r="VQW372" s="15"/>
      <c r="VQX372" s="15"/>
      <c r="VQY372" s="15"/>
      <c r="VQZ372" s="15"/>
      <c r="VRA372" s="15"/>
      <c r="VRB372" s="15"/>
      <c r="VRC372" s="15"/>
      <c r="VRD372" s="15"/>
      <c r="VRE372" s="10"/>
      <c r="VRF372" s="10"/>
      <c r="VRG372" s="21"/>
      <c r="VRH372" s="21"/>
      <c r="VRK372" s="21"/>
      <c r="VRL372" s="15"/>
      <c r="VRM372" s="15"/>
      <c r="VRN372" s="15"/>
      <c r="VRO372" s="15"/>
      <c r="VRP372" s="15"/>
      <c r="VRQ372" s="15"/>
      <c r="VRR372" s="15"/>
      <c r="VRS372" s="15"/>
      <c r="VRT372" s="15"/>
      <c r="VRU372" s="15"/>
      <c r="VRV372" s="10"/>
      <c r="VRW372" s="10"/>
      <c r="VRX372" s="21"/>
      <c r="VRY372" s="21"/>
      <c r="VSB372" s="21"/>
      <c r="VSC372" s="15"/>
      <c r="VSD372" s="15"/>
      <c r="VSE372" s="15"/>
      <c r="VSF372" s="15"/>
      <c r="VSG372" s="15"/>
      <c r="VSH372" s="15"/>
      <c r="VSI372" s="15"/>
      <c r="VSJ372" s="15"/>
      <c r="VSK372" s="15"/>
      <c r="VSL372" s="15"/>
      <c r="VSM372" s="10"/>
      <c r="VSN372" s="10"/>
      <c r="VSO372" s="21"/>
      <c r="VSP372" s="21"/>
      <c r="VSS372" s="21"/>
      <c r="VST372" s="15"/>
      <c r="VSU372" s="15"/>
      <c r="VSV372" s="15"/>
      <c r="VSW372" s="15"/>
      <c r="VSX372" s="15"/>
      <c r="VSY372" s="15"/>
      <c r="VSZ372" s="15"/>
      <c r="VTA372" s="15"/>
      <c r="VTB372" s="15"/>
      <c r="VTC372" s="15"/>
      <c r="VTD372" s="10"/>
      <c r="VTE372" s="10"/>
      <c r="VTF372" s="21"/>
      <c r="VTG372" s="21"/>
      <c r="VTJ372" s="21"/>
      <c r="VTK372" s="15"/>
      <c r="VTL372" s="15"/>
      <c r="VTM372" s="15"/>
      <c r="VTN372" s="15"/>
      <c r="VTO372" s="15"/>
      <c r="VTP372" s="15"/>
      <c r="VTQ372" s="15"/>
      <c r="VTR372" s="15"/>
      <c r="VTS372" s="15"/>
      <c r="VTT372" s="15"/>
      <c r="VTU372" s="10"/>
      <c r="VTV372" s="10"/>
      <c r="VTW372" s="21"/>
      <c r="VTX372" s="21"/>
      <c r="VUA372" s="21"/>
      <c r="VUB372" s="15"/>
      <c r="VUC372" s="15"/>
      <c r="VUD372" s="15"/>
      <c r="VUE372" s="15"/>
      <c r="VUF372" s="15"/>
      <c r="VUG372" s="15"/>
      <c r="VUH372" s="15"/>
      <c r="VUI372" s="15"/>
      <c r="VUJ372" s="15"/>
      <c r="VUK372" s="15"/>
      <c r="VUL372" s="10"/>
      <c r="VUM372" s="10"/>
      <c r="VUN372" s="21"/>
      <c r="VUO372" s="21"/>
      <c r="VUR372" s="21"/>
      <c r="VUS372" s="15"/>
      <c r="VUT372" s="15"/>
      <c r="VUU372" s="15"/>
      <c r="VUV372" s="15"/>
      <c r="VUW372" s="15"/>
      <c r="VUX372" s="15"/>
      <c r="VUY372" s="15"/>
      <c r="VUZ372" s="15"/>
      <c r="VVA372" s="15"/>
      <c r="VVB372" s="15"/>
      <c r="VVC372" s="10"/>
      <c r="VVD372" s="10"/>
      <c r="VVE372" s="21"/>
      <c r="VVF372" s="21"/>
      <c r="VVI372" s="21"/>
      <c r="VVJ372" s="15"/>
      <c r="VVK372" s="15"/>
      <c r="VVL372" s="15"/>
      <c r="VVM372" s="15"/>
      <c r="VVN372" s="15"/>
      <c r="VVO372" s="15"/>
      <c r="VVP372" s="15"/>
      <c r="VVQ372" s="15"/>
      <c r="VVR372" s="15"/>
      <c r="VVS372" s="15"/>
      <c r="VVT372" s="10"/>
      <c r="VVU372" s="10"/>
      <c r="VVV372" s="21"/>
      <c r="VVW372" s="21"/>
      <c r="VVZ372" s="21"/>
      <c r="VWA372" s="15"/>
      <c r="VWB372" s="15"/>
      <c r="VWC372" s="15"/>
      <c r="VWD372" s="15"/>
      <c r="VWE372" s="15"/>
      <c r="VWF372" s="15"/>
      <c r="VWG372" s="15"/>
      <c r="VWH372" s="15"/>
      <c r="VWI372" s="15"/>
      <c r="VWJ372" s="15"/>
      <c r="VWK372" s="10"/>
      <c r="VWL372" s="10"/>
      <c r="VWM372" s="21"/>
      <c r="VWN372" s="21"/>
      <c r="VWQ372" s="21"/>
      <c r="VWR372" s="15"/>
      <c r="VWS372" s="15"/>
      <c r="VWT372" s="15"/>
      <c r="VWU372" s="15"/>
      <c r="VWV372" s="15"/>
      <c r="VWW372" s="15"/>
      <c r="VWX372" s="15"/>
      <c r="VWY372" s="15"/>
      <c r="VWZ372" s="15"/>
      <c r="VXA372" s="15"/>
      <c r="VXB372" s="10"/>
      <c r="VXC372" s="10"/>
      <c r="VXD372" s="21"/>
      <c r="VXE372" s="21"/>
      <c r="VXH372" s="21"/>
      <c r="VXI372" s="15"/>
      <c r="VXJ372" s="15"/>
      <c r="VXK372" s="15"/>
      <c r="VXL372" s="15"/>
      <c r="VXM372" s="15"/>
      <c r="VXN372" s="15"/>
      <c r="VXO372" s="15"/>
      <c r="VXP372" s="15"/>
      <c r="VXQ372" s="15"/>
      <c r="VXR372" s="15"/>
      <c r="VXS372" s="10"/>
      <c r="VXT372" s="10"/>
      <c r="VXU372" s="21"/>
      <c r="VXV372" s="21"/>
      <c r="VXY372" s="21"/>
      <c r="VXZ372" s="15"/>
      <c r="VYA372" s="15"/>
      <c r="VYB372" s="15"/>
      <c r="VYC372" s="15"/>
      <c r="VYD372" s="15"/>
      <c r="VYE372" s="15"/>
      <c r="VYF372" s="15"/>
      <c r="VYG372" s="15"/>
      <c r="VYH372" s="15"/>
      <c r="VYI372" s="15"/>
      <c r="VYJ372" s="10"/>
      <c r="VYK372" s="10"/>
      <c r="VYL372" s="21"/>
      <c r="VYM372" s="21"/>
      <c r="VYP372" s="21"/>
      <c r="VYQ372" s="15"/>
      <c r="VYR372" s="15"/>
      <c r="VYS372" s="15"/>
      <c r="VYT372" s="15"/>
      <c r="VYU372" s="15"/>
      <c r="VYV372" s="15"/>
      <c r="VYW372" s="15"/>
      <c r="VYX372" s="15"/>
      <c r="VYY372" s="15"/>
      <c r="VYZ372" s="15"/>
      <c r="VZA372" s="10"/>
      <c r="VZB372" s="10"/>
      <c r="VZC372" s="21"/>
      <c r="VZD372" s="21"/>
      <c r="VZG372" s="21"/>
      <c r="VZH372" s="15"/>
      <c r="VZI372" s="15"/>
      <c r="VZJ372" s="15"/>
      <c r="VZK372" s="15"/>
      <c r="VZL372" s="15"/>
      <c r="VZM372" s="15"/>
      <c r="VZN372" s="15"/>
      <c r="VZO372" s="15"/>
      <c r="VZP372" s="15"/>
      <c r="VZQ372" s="15"/>
      <c r="VZR372" s="10"/>
      <c r="VZS372" s="10"/>
      <c r="VZT372" s="21"/>
      <c r="VZU372" s="21"/>
      <c r="VZX372" s="21"/>
      <c r="VZY372" s="15"/>
      <c r="VZZ372" s="15"/>
      <c r="WAA372" s="15"/>
      <c r="WAB372" s="15"/>
      <c r="WAC372" s="15"/>
      <c r="WAD372" s="15"/>
      <c r="WAE372" s="15"/>
      <c r="WAF372" s="15"/>
      <c r="WAG372" s="15"/>
      <c r="WAH372" s="15"/>
      <c r="WAI372" s="10"/>
      <c r="WAJ372" s="10"/>
      <c r="WAK372" s="21"/>
      <c r="WAL372" s="21"/>
      <c r="WAO372" s="21"/>
      <c r="WAP372" s="15"/>
      <c r="WAQ372" s="15"/>
      <c r="WAR372" s="15"/>
      <c r="WAS372" s="15"/>
      <c r="WAT372" s="15"/>
      <c r="WAU372" s="15"/>
      <c r="WAV372" s="15"/>
      <c r="WAW372" s="15"/>
      <c r="WAX372" s="15"/>
      <c r="WAY372" s="15"/>
      <c r="WAZ372" s="10"/>
      <c r="WBA372" s="10"/>
      <c r="WBB372" s="21"/>
      <c r="WBC372" s="21"/>
      <c r="WBF372" s="21"/>
      <c r="WBG372" s="15"/>
      <c r="WBH372" s="15"/>
      <c r="WBI372" s="15"/>
      <c r="WBJ372" s="15"/>
      <c r="WBK372" s="15"/>
      <c r="WBL372" s="15"/>
      <c r="WBM372" s="15"/>
      <c r="WBN372" s="15"/>
      <c r="WBO372" s="15"/>
      <c r="WBP372" s="15"/>
      <c r="WBQ372" s="10"/>
      <c r="WBR372" s="10"/>
      <c r="WBS372" s="21"/>
      <c r="WBT372" s="21"/>
      <c r="WBW372" s="21"/>
      <c r="WBX372" s="15"/>
      <c r="WBY372" s="15"/>
      <c r="WBZ372" s="15"/>
      <c r="WCA372" s="15"/>
      <c r="WCB372" s="15"/>
      <c r="WCC372" s="15"/>
      <c r="WCD372" s="15"/>
      <c r="WCE372" s="15"/>
      <c r="WCF372" s="15"/>
      <c r="WCG372" s="15"/>
      <c r="WCH372" s="10"/>
      <c r="WCI372" s="10"/>
      <c r="WCJ372" s="21"/>
      <c r="WCK372" s="21"/>
      <c r="WCN372" s="21"/>
      <c r="WCO372" s="15"/>
      <c r="WCP372" s="15"/>
      <c r="WCQ372" s="15"/>
      <c r="WCR372" s="15"/>
      <c r="WCS372" s="15"/>
      <c r="WCT372" s="15"/>
      <c r="WCU372" s="15"/>
      <c r="WCV372" s="15"/>
      <c r="WCW372" s="15"/>
      <c r="WCX372" s="15"/>
      <c r="WCY372" s="10"/>
      <c r="WCZ372" s="10"/>
      <c r="WDA372" s="21"/>
      <c r="WDB372" s="21"/>
      <c r="WDE372" s="21"/>
      <c r="WDF372" s="15"/>
      <c r="WDG372" s="15"/>
      <c r="WDH372" s="15"/>
      <c r="WDI372" s="15"/>
      <c r="WDJ372" s="15"/>
      <c r="WDK372" s="15"/>
      <c r="WDL372" s="15"/>
      <c r="WDM372" s="15"/>
      <c r="WDN372" s="15"/>
      <c r="WDO372" s="15"/>
      <c r="WDP372" s="10"/>
      <c r="WDQ372" s="10"/>
      <c r="WDR372" s="21"/>
      <c r="WDS372" s="21"/>
      <c r="WDV372" s="21"/>
      <c r="WDW372" s="15"/>
      <c r="WDX372" s="15"/>
      <c r="WDY372" s="15"/>
      <c r="WDZ372" s="15"/>
      <c r="WEA372" s="15"/>
      <c r="WEB372" s="15"/>
      <c r="WEC372" s="15"/>
      <c r="WED372" s="15"/>
      <c r="WEE372" s="15"/>
      <c r="WEF372" s="15"/>
      <c r="WEG372" s="10"/>
      <c r="WEH372" s="10"/>
      <c r="WEI372" s="21"/>
      <c r="WEJ372" s="21"/>
      <c r="WEM372" s="21"/>
      <c r="WEN372" s="15"/>
      <c r="WEO372" s="15"/>
      <c r="WEP372" s="15"/>
      <c r="WEQ372" s="15"/>
      <c r="WER372" s="15"/>
      <c r="WES372" s="15"/>
      <c r="WET372" s="15"/>
      <c r="WEU372" s="15"/>
      <c r="WEV372" s="15"/>
      <c r="WEW372" s="15"/>
      <c r="WEX372" s="10"/>
      <c r="WEY372" s="10"/>
      <c r="WEZ372" s="21"/>
      <c r="WFA372" s="21"/>
      <c r="WFD372" s="21"/>
      <c r="WFE372" s="15"/>
      <c r="WFF372" s="15"/>
      <c r="WFG372" s="15"/>
      <c r="WFH372" s="15"/>
      <c r="WFI372" s="15"/>
      <c r="WFJ372" s="15"/>
      <c r="WFK372" s="15"/>
      <c r="WFL372" s="15"/>
      <c r="WFM372" s="15"/>
      <c r="WFN372" s="15"/>
      <c r="WFO372" s="10"/>
      <c r="WFP372" s="10"/>
      <c r="WFQ372" s="21"/>
      <c r="WFR372" s="21"/>
      <c r="WFU372" s="21"/>
      <c r="WFV372" s="15"/>
      <c r="WFW372" s="15"/>
      <c r="WFX372" s="15"/>
      <c r="WFY372" s="15"/>
      <c r="WFZ372" s="15"/>
      <c r="WGA372" s="15"/>
      <c r="WGB372" s="15"/>
      <c r="WGC372" s="15"/>
      <c r="WGD372" s="15"/>
      <c r="WGE372" s="15"/>
      <c r="WGF372" s="10"/>
      <c r="WGG372" s="10"/>
      <c r="WGH372" s="21"/>
      <c r="WGI372" s="21"/>
      <c r="WGL372" s="21"/>
      <c r="WGM372" s="15"/>
      <c r="WGN372" s="15"/>
      <c r="WGO372" s="15"/>
      <c r="WGP372" s="15"/>
      <c r="WGQ372" s="15"/>
      <c r="WGR372" s="15"/>
      <c r="WGS372" s="15"/>
      <c r="WGT372" s="15"/>
      <c r="WGU372" s="15"/>
      <c r="WGV372" s="15"/>
      <c r="WGW372" s="10"/>
      <c r="WGX372" s="10"/>
      <c r="WGY372" s="21"/>
      <c r="WGZ372" s="21"/>
      <c r="WHC372" s="21"/>
      <c r="WHD372" s="15"/>
      <c r="WHE372" s="15"/>
      <c r="WHF372" s="15"/>
      <c r="WHG372" s="15"/>
      <c r="WHH372" s="15"/>
      <c r="WHI372" s="15"/>
      <c r="WHJ372" s="15"/>
      <c r="WHK372" s="15"/>
      <c r="WHL372" s="15"/>
      <c r="WHM372" s="15"/>
      <c r="WHN372" s="10"/>
      <c r="WHO372" s="10"/>
      <c r="WHP372" s="21"/>
      <c r="WHQ372" s="21"/>
      <c r="WHT372" s="21"/>
      <c r="WHU372" s="15"/>
      <c r="WHV372" s="15"/>
      <c r="WHW372" s="15"/>
      <c r="WHX372" s="15"/>
      <c r="WHY372" s="15"/>
      <c r="WHZ372" s="15"/>
      <c r="WIA372" s="15"/>
      <c r="WIB372" s="15"/>
      <c r="WIC372" s="15"/>
      <c r="WID372" s="15"/>
      <c r="WIE372" s="10"/>
      <c r="WIF372" s="10"/>
      <c r="WIG372" s="21"/>
      <c r="WIH372" s="21"/>
      <c r="WIK372" s="21"/>
      <c r="WIL372" s="15"/>
      <c r="WIM372" s="15"/>
      <c r="WIN372" s="15"/>
      <c r="WIO372" s="15"/>
      <c r="WIP372" s="15"/>
      <c r="WIQ372" s="15"/>
      <c r="WIR372" s="15"/>
      <c r="WIS372" s="15"/>
      <c r="WIT372" s="15"/>
      <c r="WIU372" s="15"/>
      <c r="WIV372" s="10"/>
      <c r="WIW372" s="10"/>
      <c r="WIX372" s="21"/>
      <c r="WIY372" s="21"/>
      <c r="WJB372" s="21"/>
      <c r="WJC372" s="15"/>
      <c r="WJD372" s="15"/>
      <c r="WJE372" s="15"/>
      <c r="WJF372" s="15"/>
      <c r="WJG372" s="15"/>
      <c r="WJH372" s="15"/>
      <c r="WJI372" s="15"/>
      <c r="WJJ372" s="15"/>
      <c r="WJK372" s="15"/>
      <c r="WJL372" s="15"/>
      <c r="WJM372" s="10"/>
      <c r="WJN372" s="10"/>
      <c r="WJO372" s="21"/>
      <c r="WJP372" s="21"/>
      <c r="WJS372" s="21"/>
      <c r="WJT372" s="15"/>
      <c r="WJU372" s="15"/>
      <c r="WJV372" s="15"/>
      <c r="WJW372" s="15"/>
      <c r="WJX372" s="15"/>
      <c r="WJY372" s="15"/>
      <c r="WJZ372" s="15"/>
      <c r="WKA372" s="15"/>
      <c r="WKB372" s="15"/>
      <c r="WKC372" s="15"/>
      <c r="WKD372" s="10"/>
      <c r="WKE372" s="10"/>
      <c r="WKF372" s="21"/>
      <c r="WKG372" s="21"/>
      <c r="WKJ372" s="21"/>
      <c r="WKK372" s="15"/>
      <c r="WKL372" s="15"/>
      <c r="WKM372" s="15"/>
      <c r="WKN372" s="15"/>
      <c r="WKO372" s="15"/>
      <c r="WKP372" s="15"/>
      <c r="WKQ372" s="15"/>
      <c r="WKR372" s="15"/>
      <c r="WKS372" s="15"/>
      <c r="WKT372" s="15"/>
      <c r="WKU372" s="10"/>
      <c r="WKV372" s="10"/>
      <c r="WKW372" s="21"/>
      <c r="WKX372" s="21"/>
      <c r="WLA372" s="21"/>
      <c r="WLB372" s="15"/>
      <c r="WLC372" s="15"/>
      <c r="WLD372" s="15"/>
      <c r="WLE372" s="15"/>
      <c r="WLF372" s="15"/>
      <c r="WLG372" s="15"/>
      <c r="WLH372" s="15"/>
      <c r="WLI372" s="15"/>
      <c r="WLJ372" s="15"/>
      <c r="WLK372" s="15"/>
      <c r="WLL372" s="10"/>
      <c r="WLM372" s="10"/>
      <c r="WLN372" s="21"/>
      <c r="WLO372" s="21"/>
      <c r="WLR372" s="21"/>
      <c r="WLS372" s="15"/>
      <c r="WLT372" s="15"/>
      <c r="WLU372" s="15"/>
      <c r="WLV372" s="15"/>
      <c r="WLW372" s="15"/>
      <c r="WLX372" s="15"/>
      <c r="WLY372" s="15"/>
      <c r="WLZ372" s="15"/>
      <c r="WMA372" s="15"/>
      <c r="WMB372" s="15"/>
      <c r="WMC372" s="10"/>
      <c r="WMD372" s="10"/>
      <c r="WME372" s="21"/>
      <c r="WMF372" s="21"/>
      <c r="WMI372" s="21"/>
      <c r="WMJ372" s="15"/>
      <c r="WMK372" s="15"/>
      <c r="WML372" s="15"/>
      <c r="WMM372" s="15"/>
      <c r="WMN372" s="15"/>
      <c r="WMO372" s="15"/>
      <c r="WMP372" s="15"/>
      <c r="WMQ372" s="15"/>
      <c r="WMR372" s="15"/>
      <c r="WMS372" s="15"/>
      <c r="WMT372" s="10"/>
      <c r="WMU372" s="10"/>
      <c r="WMV372" s="21"/>
      <c r="WMW372" s="21"/>
      <c r="WMZ372" s="21"/>
      <c r="WNA372" s="15"/>
      <c r="WNB372" s="15"/>
      <c r="WNC372" s="15"/>
      <c r="WND372" s="15"/>
      <c r="WNE372" s="15"/>
      <c r="WNF372" s="15"/>
      <c r="WNG372" s="15"/>
      <c r="WNH372" s="15"/>
      <c r="WNI372" s="15"/>
      <c r="WNJ372" s="15"/>
      <c r="WNK372" s="10"/>
      <c r="WNL372" s="10"/>
      <c r="WNM372" s="21"/>
      <c r="WNN372" s="21"/>
      <c r="WNQ372" s="21"/>
      <c r="WNR372" s="15"/>
      <c r="WNS372" s="15"/>
      <c r="WNT372" s="15"/>
      <c r="WNU372" s="15"/>
      <c r="WNV372" s="15"/>
      <c r="WNW372" s="15"/>
      <c r="WNX372" s="15"/>
      <c r="WNY372" s="15"/>
      <c r="WNZ372" s="15"/>
      <c r="WOA372" s="15"/>
      <c r="WOB372" s="10"/>
      <c r="WOC372" s="10"/>
      <c r="WOD372" s="21"/>
      <c r="WOE372" s="21"/>
      <c r="WOH372" s="21"/>
      <c r="WOI372" s="15"/>
      <c r="WOJ372" s="15"/>
      <c r="WOK372" s="15"/>
      <c r="WOL372" s="15"/>
      <c r="WOM372" s="15"/>
      <c r="WON372" s="15"/>
      <c r="WOO372" s="15"/>
      <c r="WOP372" s="15"/>
      <c r="WOQ372" s="15"/>
      <c r="WOR372" s="15"/>
      <c r="WOS372" s="10"/>
      <c r="WOT372" s="10"/>
      <c r="WOU372" s="21"/>
      <c r="WOV372" s="21"/>
      <c r="WOY372" s="21"/>
      <c r="WOZ372" s="15"/>
      <c r="WPA372" s="15"/>
      <c r="WPB372" s="15"/>
      <c r="WPC372" s="15"/>
      <c r="WPD372" s="15"/>
      <c r="WPE372" s="15"/>
      <c r="WPF372" s="15"/>
      <c r="WPG372" s="15"/>
      <c r="WPH372" s="15"/>
      <c r="WPI372" s="15"/>
      <c r="WPJ372" s="10"/>
      <c r="WPK372" s="10"/>
      <c r="WPL372" s="21"/>
      <c r="WPM372" s="21"/>
      <c r="WPP372" s="21"/>
      <c r="WPQ372" s="15"/>
      <c r="WPR372" s="15"/>
      <c r="WPS372" s="15"/>
      <c r="WPT372" s="15"/>
      <c r="WPU372" s="15"/>
      <c r="WPV372" s="15"/>
      <c r="WPW372" s="15"/>
      <c r="WPX372" s="15"/>
      <c r="WPY372" s="15"/>
      <c r="WPZ372" s="15"/>
      <c r="WQA372" s="10"/>
      <c r="WQB372" s="10"/>
      <c r="WQC372" s="21"/>
      <c r="WQD372" s="21"/>
      <c r="WQG372" s="21"/>
      <c r="WQH372" s="15"/>
      <c r="WQI372" s="15"/>
      <c r="WQJ372" s="15"/>
      <c r="WQK372" s="15"/>
      <c r="WQL372" s="15"/>
      <c r="WQM372" s="15"/>
      <c r="WQN372" s="15"/>
      <c r="WQO372" s="15"/>
      <c r="WQP372" s="15"/>
      <c r="WQQ372" s="15"/>
      <c r="WQR372" s="10"/>
      <c r="WQS372" s="10"/>
      <c r="WQT372" s="21"/>
      <c r="WQU372" s="21"/>
      <c r="WQX372" s="21"/>
      <c r="WQY372" s="15"/>
      <c r="WQZ372" s="15"/>
      <c r="WRA372" s="15"/>
      <c r="WRB372" s="15"/>
      <c r="WRC372" s="15"/>
      <c r="WRD372" s="15"/>
      <c r="WRE372" s="15"/>
      <c r="WRF372" s="15"/>
      <c r="WRG372" s="15"/>
      <c r="WRH372" s="15"/>
      <c r="WRI372" s="10"/>
      <c r="WRJ372" s="10"/>
      <c r="WRK372" s="21"/>
      <c r="WRL372" s="21"/>
      <c r="WRO372" s="21"/>
      <c r="WRP372" s="15"/>
      <c r="WRQ372" s="15"/>
      <c r="WRR372" s="15"/>
      <c r="WRS372" s="15"/>
      <c r="WRT372" s="15"/>
      <c r="WRU372" s="15"/>
      <c r="WRV372" s="15"/>
      <c r="WRW372" s="15"/>
      <c r="WRX372" s="15"/>
      <c r="WRY372" s="15"/>
      <c r="WRZ372" s="10"/>
      <c r="WSA372" s="10"/>
      <c r="WSB372" s="21"/>
      <c r="WSC372" s="21"/>
      <c r="WSF372" s="21"/>
      <c r="WSG372" s="15"/>
      <c r="WSH372" s="15"/>
      <c r="WSI372" s="15"/>
      <c r="WSJ372" s="15"/>
      <c r="WSK372" s="15"/>
      <c r="WSL372" s="15"/>
      <c r="WSM372" s="15"/>
      <c r="WSN372" s="15"/>
      <c r="WSO372" s="15"/>
      <c r="WSP372" s="15"/>
      <c r="WSQ372" s="10"/>
      <c r="WSR372" s="10"/>
      <c r="WSS372" s="21"/>
      <c r="WST372" s="21"/>
      <c r="WSW372" s="21"/>
      <c r="WSX372" s="15"/>
      <c r="WSY372" s="15"/>
      <c r="WSZ372" s="15"/>
      <c r="WTA372" s="15"/>
      <c r="WTB372" s="15"/>
      <c r="WTC372" s="15"/>
      <c r="WTD372" s="15"/>
      <c r="WTE372" s="15"/>
      <c r="WTF372" s="15"/>
      <c r="WTG372" s="15"/>
      <c r="WTH372" s="10"/>
      <c r="WTI372" s="10"/>
      <c r="WTJ372" s="21"/>
      <c r="WTK372" s="21"/>
      <c r="WTN372" s="21"/>
      <c r="WTO372" s="15"/>
      <c r="WTP372" s="15"/>
      <c r="WTQ372" s="15"/>
      <c r="WTR372" s="15"/>
      <c r="WTS372" s="15"/>
      <c r="WTT372" s="15"/>
      <c r="WTU372" s="15"/>
      <c r="WTV372" s="15"/>
      <c r="WTW372" s="15"/>
      <c r="WTX372" s="15"/>
      <c r="WTY372" s="10"/>
      <c r="WTZ372" s="10"/>
      <c r="WUA372" s="21"/>
      <c r="WUB372" s="21"/>
      <c r="WUE372" s="21"/>
      <c r="WUF372" s="15"/>
      <c r="WUG372" s="15"/>
      <c r="WUH372" s="15"/>
      <c r="WUI372" s="15"/>
      <c r="WUJ372" s="15"/>
      <c r="WUK372" s="15"/>
      <c r="WUL372" s="15"/>
      <c r="WUM372" s="15"/>
      <c r="WUN372" s="15"/>
      <c r="WUO372" s="15"/>
      <c r="WUP372" s="10"/>
      <c r="WUQ372" s="10"/>
      <c r="WUR372" s="21"/>
      <c r="WUS372" s="21"/>
      <c r="WUV372" s="21"/>
      <c r="WUW372" s="15"/>
      <c r="WUX372" s="15"/>
      <c r="WUY372" s="15"/>
      <c r="WUZ372" s="15"/>
      <c r="WVA372" s="15"/>
      <c r="WVB372" s="15"/>
      <c r="WVC372" s="15"/>
      <c r="WVD372" s="15"/>
      <c r="WVE372" s="15"/>
      <c r="WVF372" s="15"/>
      <c r="WVG372" s="10"/>
      <c r="WVH372" s="10"/>
      <c r="WVI372" s="21"/>
      <c r="WVJ372" s="21"/>
      <c r="WVM372" s="21"/>
      <c r="WVN372" s="15"/>
      <c r="WVO372" s="15"/>
      <c r="WVP372" s="15"/>
      <c r="WVQ372" s="15"/>
      <c r="WVR372" s="15"/>
      <c r="WVS372" s="15"/>
      <c r="WVT372" s="15"/>
      <c r="WVU372" s="15"/>
      <c r="WVV372" s="15"/>
      <c r="WVW372" s="15"/>
      <c r="WVX372" s="10"/>
      <c r="WVY372" s="10"/>
      <c r="WVZ372" s="21"/>
      <c r="WWA372" s="21"/>
      <c r="WWD372" s="21"/>
      <c r="WWE372" s="15"/>
      <c r="WWF372" s="15"/>
      <c r="WWG372" s="15"/>
      <c r="WWH372" s="15"/>
      <c r="WWI372" s="15"/>
      <c r="WWJ372" s="15"/>
      <c r="WWK372" s="15"/>
      <c r="WWL372" s="15"/>
      <c r="WWM372" s="15"/>
      <c r="WWN372" s="15"/>
      <c r="WWO372" s="10"/>
      <c r="WWP372" s="10"/>
      <c r="WWQ372" s="21"/>
      <c r="WWR372" s="21"/>
      <c r="WWU372" s="21"/>
      <c r="WWV372" s="15"/>
      <c r="WWW372" s="15"/>
      <c r="WWX372" s="15"/>
      <c r="WWY372" s="15"/>
      <c r="WWZ372" s="15"/>
      <c r="WXA372" s="15"/>
      <c r="WXB372" s="15"/>
      <c r="WXC372" s="15"/>
      <c r="WXD372" s="15"/>
      <c r="WXE372" s="15"/>
      <c r="WXF372" s="10"/>
      <c r="WXG372" s="10"/>
      <c r="WXH372" s="21"/>
      <c r="WXI372" s="21"/>
      <c r="WXL372" s="21"/>
      <c r="WXM372" s="15"/>
      <c r="WXN372" s="15"/>
      <c r="WXO372" s="15"/>
      <c r="WXP372" s="15"/>
      <c r="WXQ372" s="15"/>
      <c r="WXR372" s="15"/>
      <c r="WXS372" s="15"/>
      <c r="WXT372" s="15"/>
      <c r="WXU372" s="15"/>
      <c r="WXV372" s="15"/>
      <c r="WXW372" s="10"/>
      <c r="WXX372" s="10"/>
      <c r="WXY372" s="21"/>
      <c r="WXZ372" s="21"/>
      <c r="WYC372" s="21"/>
      <c r="WYD372" s="15"/>
      <c r="WYE372" s="15"/>
      <c r="WYF372" s="15"/>
      <c r="WYG372" s="15"/>
      <c r="WYH372" s="15"/>
      <c r="WYI372" s="15"/>
      <c r="WYJ372" s="15"/>
      <c r="WYK372" s="15"/>
      <c r="WYL372" s="15"/>
      <c r="WYM372" s="15"/>
      <c r="WYN372" s="10"/>
      <c r="WYO372" s="10"/>
      <c r="WYP372" s="21"/>
      <c r="WYQ372" s="21"/>
      <c r="WYT372" s="21"/>
      <c r="WYU372" s="15"/>
      <c r="WYV372" s="15"/>
      <c r="WYW372" s="15"/>
      <c r="WYX372" s="15"/>
      <c r="WYY372" s="15"/>
      <c r="WYZ372" s="15"/>
      <c r="WZA372" s="15"/>
      <c r="WZB372" s="15"/>
      <c r="WZC372" s="15"/>
      <c r="WZD372" s="15"/>
      <c r="WZE372" s="10"/>
      <c r="WZF372" s="10"/>
      <c r="WZG372" s="21"/>
      <c r="WZH372" s="21"/>
      <c r="WZK372" s="21"/>
      <c r="WZL372" s="15"/>
      <c r="WZM372" s="15"/>
      <c r="WZN372" s="15"/>
      <c r="WZO372" s="15"/>
      <c r="WZP372" s="15"/>
      <c r="WZQ372" s="15"/>
      <c r="WZR372" s="15"/>
      <c r="WZS372" s="15"/>
      <c r="WZT372" s="15"/>
      <c r="WZU372" s="15"/>
      <c r="WZV372" s="10"/>
      <c r="WZW372" s="10"/>
      <c r="WZX372" s="21"/>
      <c r="WZY372" s="21"/>
      <c r="XAB372" s="21"/>
      <c r="XAC372" s="15"/>
      <c r="XAD372" s="15"/>
      <c r="XAE372" s="15"/>
      <c r="XAF372" s="15"/>
      <c r="XAG372" s="15"/>
      <c r="XAH372" s="15"/>
      <c r="XAI372" s="15"/>
      <c r="XAJ372" s="15"/>
      <c r="XAK372" s="15"/>
      <c r="XAL372" s="15"/>
      <c r="XAM372" s="10"/>
      <c r="XAN372" s="10"/>
      <c r="XAO372" s="21"/>
      <c r="XAP372" s="21"/>
      <c r="XAS372" s="21"/>
      <c r="XAT372" s="15"/>
      <c r="XAU372" s="15"/>
      <c r="XAV372" s="15"/>
      <c r="XAW372" s="15"/>
      <c r="XAX372" s="15"/>
      <c r="XAY372" s="15"/>
      <c r="XAZ372" s="15"/>
      <c r="XBA372" s="15"/>
      <c r="XBB372" s="15"/>
      <c r="XBC372" s="15"/>
      <c r="XBD372" s="10"/>
      <c r="XBE372" s="10"/>
      <c r="XBF372" s="21"/>
      <c r="XBG372" s="21"/>
      <c r="XBJ372" s="21"/>
      <c r="XBK372" s="15"/>
      <c r="XBL372" s="15"/>
      <c r="XBM372" s="15"/>
      <c r="XBN372" s="15"/>
      <c r="XBO372" s="15"/>
      <c r="XBP372" s="15"/>
      <c r="XBQ372" s="15"/>
      <c r="XBR372" s="15"/>
      <c r="XBS372" s="15"/>
      <c r="XBT372" s="15"/>
      <c r="XBU372" s="10"/>
      <c r="XBV372" s="10"/>
      <c r="XBW372" s="21"/>
      <c r="XBX372" s="21"/>
      <c r="XCA372" s="21"/>
      <c r="XCB372" s="15"/>
      <c r="XCC372" s="15"/>
      <c r="XCD372" s="15"/>
      <c r="XCE372" s="15"/>
      <c r="XCF372" s="15"/>
      <c r="XCG372" s="15"/>
      <c r="XCH372" s="15"/>
      <c r="XCI372" s="15"/>
      <c r="XCJ372" s="15"/>
      <c r="XCK372" s="15"/>
      <c r="XCL372" s="10"/>
      <c r="XCM372" s="10"/>
      <c r="XCN372" s="21"/>
      <c r="XCO372" s="21"/>
      <c r="XCR372" s="21"/>
      <c r="XCS372" s="15"/>
      <c r="XCT372" s="15"/>
      <c r="XCU372" s="15"/>
      <c r="XCV372" s="15"/>
      <c r="XCW372" s="15"/>
      <c r="XCX372" s="15"/>
      <c r="XCY372" s="15"/>
      <c r="XCZ372" s="15"/>
      <c r="XDA372" s="15"/>
      <c r="XDB372" s="15"/>
      <c r="XDC372" s="10"/>
      <c r="XDD372" s="10"/>
      <c r="XDE372" s="21"/>
      <c r="XDF372" s="21"/>
      <c r="XDI372" s="21"/>
      <c r="XDJ372" s="15"/>
      <c r="XDK372" s="15"/>
      <c r="XDL372" s="15"/>
      <c r="XDM372" s="15"/>
      <c r="XDN372" s="15"/>
      <c r="XDO372" s="15"/>
      <c r="XDP372" s="15"/>
      <c r="XDQ372" s="15"/>
      <c r="XDR372" s="15"/>
      <c r="XDS372" s="15"/>
      <c r="XDT372" s="10"/>
      <c r="XDU372" s="10"/>
      <c r="XDV372" s="21"/>
      <c r="XDW372" s="21"/>
      <c r="XDZ372" s="21"/>
      <c r="XEA372" s="15"/>
      <c r="XEB372" s="15"/>
      <c r="XEC372" s="15"/>
      <c r="XED372" s="15"/>
      <c r="XEE372" s="15"/>
      <c r="XEF372" s="15"/>
      <c r="XEG372" s="15"/>
      <c r="XEH372" s="15"/>
      <c r="XEI372" s="15"/>
      <c r="XEJ372" s="15"/>
      <c r="XEK372" s="10"/>
      <c r="XEL372" s="10"/>
      <c r="XEM372" s="21"/>
      <c r="XEN372" s="21"/>
      <c r="XEQ372" s="21"/>
      <c r="XER372" s="15"/>
      <c r="XES372" s="15"/>
      <c r="XET372" s="15"/>
      <c r="XEU372" s="15"/>
      <c r="XEV372" s="15"/>
      <c r="XEW372" s="15"/>
      <c r="XEX372" s="15"/>
      <c r="XEY372" s="15"/>
      <c r="XEZ372" s="15"/>
      <c r="XFA372" s="15"/>
      <c r="XFB372" s="10"/>
      <c r="XFC372" s="10"/>
      <c r="XFD372" s="21"/>
    </row>
    <row r="373" spans="1:4094 4097:8191 8194:12288 12291:16384" s="1" customFormat="1" ht="14.25" customHeight="1" x14ac:dyDescent="0.3">
      <c r="A373" s="44">
        <v>0</v>
      </c>
      <c r="B373" s="44">
        <v>2</v>
      </c>
      <c r="C373" s="44">
        <v>5</v>
      </c>
      <c r="D373" s="45" t="s">
        <v>775</v>
      </c>
      <c r="E373" s="45" t="s">
        <v>772</v>
      </c>
      <c r="F373" s="45" t="s">
        <v>777</v>
      </c>
      <c r="G373" s="45" t="s">
        <v>207</v>
      </c>
      <c r="H373" s="45" t="s">
        <v>354</v>
      </c>
      <c r="I373" s="44" t="s">
        <v>776</v>
      </c>
      <c r="J373" s="44">
        <v>99</v>
      </c>
      <c r="K373" s="46" t="s">
        <v>712</v>
      </c>
      <c r="L373" s="46" t="s">
        <v>694</v>
      </c>
      <c r="M373" s="47" t="s">
        <v>1426</v>
      </c>
      <c r="N373" s="47" t="s">
        <v>1735</v>
      </c>
      <c r="O373" s="48"/>
      <c r="P373" s="48"/>
      <c r="Q373" s="45"/>
      <c r="S373" s="1">
        <f t="shared" si="225"/>
        <v>0</v>
      </c>
      <c r="T373" s="1">
        <f t="shared" si="226"/>
        <v>0</v>
      </c>
      <c r="U373" s="1">
        <f t="shared" si="227"/>
        <v>0</v>
      </c>
      <c r="V373" s="1">
        <f t="shared" si="228"/>
        <v>0</v>
      </c>
      <c r="W373" s="1">
        <f t="shared" si="229"/>
        <v>0</v>
      </c>
      <c r="X373" s="1">
        <f t="shared" si="230"/>
        <v>0</v>
      </c>
      <c r="Y373" s="1">
        <f t="shared" si="231"/>
        <v>0</v>
      </c>
      <c r="Z373" s="1">
        <f t="shared" si="232"/>
        <v>0</v>
      </c>
      <c r="AA373" s="1">
        <f t="shared" si="233"/>
        <v>0</v>
      </c>
      <c r="AB373" s="1">
        <f t="shared" si="234"/>
        <v>0</v>
      </c>
      <c r="AD373" s="1">
        <f t="shared" si="235"/>
        <v>0</v>
      </c>
      <c r="AE373" s="1">
        <f t="shared" si="236"/>
        <v>0</v>
      </c>
      <c r="AF373" s="1">
        <f t="shared" si="221"/>
        <v>0</v>
      </c>
      <c r="AG373" s="1">
        <f t="shared" si="222"/>
        <v>0</v>
      </c>
      <c r="AH373" s="1">
        <f t="shared" si="223"/>
        <v>0</v>
      </c>
      <c r="AI373" s="1">
        <f t="shared" si="224"/>
        <v>1</v>
      </c>
    </row>
    <row r="374" spans="1:4094 4097:8191 8194:12288 12291:16384" s="1" customFormat="1" ht="14.25" customHeight="1" x14ac:dyDescent="0.3">
      <c r="A374" s="44">
        <v>1</v>
      </c>
      <c r="B374" s="44">
        <v>2</v>
      </c>
      <c r="C374" s="44">
        <v>5</v>
      </c>
      <c r="D374" s="45" t="s">
        <v>775</v>
      </c>
      <c r="E374" s="45" t="s">
        <v>772</v>
      </c>
      <c r="F374" s="45" t="s">
        <v>1006</v>
      </c>
      <c r="G374" s="45" t="s">
        <v>190</v>
      </c>
      <c r="H374" s="45" t="s">
        <v>354</v>
      </c>
      <c r="I374" s="44" t="s">
        <v>1007</v>
      </c>
      <c r="J374" s="44">
        <v>99</v>
      </c>
      <c r="K374" s="46" t="s">
        <v>712</v>
      </c>
      <c r="L374" s="46" t="s">
        <v>694</v>
      </c>
      <c r="M374" s="47" t="s">
        <v>1426</v>
      </c>
      <c r="N374" s="47" t="s">
        <v>1735</v>
      </c>
      <c r="O374" s="48"/>
      <c r="P374" s="48"/>
      <c r="Q374" s="45"/>
      <c r="S374" s="1">
        <f t="shared" si="225"/>
        <v>0</v>
      </c>
      <c r="T374" s="1">
        <f t="shared" si="226"/>
        <v>0</v>
      </c>
      <c r="U374" s="1">
        <f t="shared" si="227"/>
        <v>0</v>
      </c>
      <c r="V374" s="1">
        <f t="shared" si="228"/>
        <v>0</v>
      </c>
      <c r="W374" s="1">
        <f t="shared" si="229"/>
        <v>0</v>
      </c>
      <c r="X374" s="1">
        <f t="shared" si="230"/>
        <v>0</v>
      </c>
      <c r="Y374" s="1">
        <f t="shared" si="231"/>
        <v>0</v>
      </c>
      <c r="Z374" s="1">
        <f t="shared" si="232"/>
        <v>0</v>
      </c>
      <c r="AA374" s="1">
        <f t="shared" si="233"/>
        <v>0</v>
      </c>
      <c r="AB374" s="1">
        <f t="shared" si="234"/>
        <v>0</v>
      </c>
      <c r="AD374" s="1">
        <f t="shared" si="235"/>
        <v>0</v>
      </c>
      <c r="AE374" s="1">
        <f t="shared" si="236"/>
        <v>0</v>
      </c>
      <c r="AF374" s="1">
        <f t="shared" si="221"/>
        <v>0</v>
      </c>
      <c r="AG374" s="1">
        <f t="shared" si="222"/>
        <v>0</v>
      </c>
      <c r="AH374" s="1">
        <f t="shared" si="223"/>
        <v>0</v>
      </c>
      <c r="AI374" s="1">
        <f t="shared" si="224"/>
        <v>0</v>
      </c>
    </row>
    <row r="375" spans="1:4094 4097:8191 8194:12288 12291:16384" s="1" customFormat="1" ht="14.25" customHeight="1" x14ac:dyDescent="0.3">
      <c r="A375" s="15">
        <v>0</v>
      </c>
      <c r="B375" s="15">
        <v>2</v>
      </c>
      <c r="C375" s="15">
        <v>5</v>
      </c>
      <c r="D375" s="16" t="s">
        <v>916</v>
      </c>
      <c r="E375" s="16" t="s">
        <v>911</v>
      </c>
      <c r="F375" s="16" t="s">
        <v>929</v>
      </c>
      <c r="G375" s="16" t="s">
        <v>1350</v>
      </c>
      <c r="H375" s="16" t="s">
        <v>354</v>
      </c>
      <c r="I375" s="15" t="s">
        <v>770</v>
      </c>
      <c r="J375" s="15">
        <v>99</v>
      </c>
      <c r="K375" s="10" t="s">
        <v>703</v>
      </c>
      <c r="L375" s="10">
        <v>20</v>
      </c>
      <c r="M375" s="19" t="s">
        <v>1427</v>
      </c>
      <c r="N375" s="19"/>
      <c r="Q375" s="16"/>
      <c r="S375" s="1">
        <f t="shared" si="225"/>
        <v>0</v>
      </c>
      <c r="T375" s="1">
        <f t="shared" si="226"/>
        <v>0</v>
      </c>
      <c r="U375" s="1">
        <f t="shared" si="227"/>
        <v>0</v>
      </c>
      <c r="V375" s="1">
        <f t="shared" si="228"/>
        <v>0</v>
      </c>
      <c r="W375" s="1">
        <f t="shared" si="229"/>
        <v>0</v>
      </c>
      <c r="X375" s="1">
        <f t="shared" si="230"/>
        <v>0</v>
      </c>
      <c r="Y375" s="1">
        <f t="shared" si="231"/>
        <v>0</v>
      </c>
      <c r="Z375" s="1">
        <f t="shared" si="232"/>
        <v>0</v>
      </c>
      <c r="AA375" s="1">
        <f t="shared" si="233"/>
        <v>0</v>
      </c>
      <c r="AB375" s="1">
        <f t="shared" si="234"/>
        <v>0</v>
      </c>
      <c r="AD375" s="1">
        <f t="shared" si="235"/>
        <v>0</v>
      </c>
      <c r="AE375" s="1">
        <f t="shared" si="236"/>
        <v>0</v>
      </c>
      <c r="AF375" s="1">
        <f t="shared" si="221"/>
        <v>0</v>
      </c>
      <c r="AG375" s="1">
        <f t="shared" si="222"/>
        <v>0</v>
      </c>
      <c r="AH375" s="1">
        <f t="shared" si="223"/>
        <v>0</v>
      </c>
      <c r="AI375" s="1">
        <f t="shared" si="224"/>
        <v>1</v>
      </c>
    </row>
    <row r="376" spans="1:4094 4097:8191 8194:12288 12291:16384" s="1" customFormat="1" ht="14.25" customHeight="1" x14ac:dyDescent="0.3">
      <c r="A376" s="31">
        <v>0</v>
      </c>
      <c r="B376" s="31">
        <v>2</v>
      </c>
      <c r="C376" s="31">
        <v>5</v>
      </c>
      <c r="D376" s="32" t="s">
        <v>1921</v>
      </c>
      <c r="E376" s="32"/>
      <c r="F376" s="32" t="s">
        <v>1922</v>
      </c>
      <c r="G376" s="32" t="s">
        <v>208</v>
      </c>
      <c r="H376" s="32" t="s">
        <v>354</v>
      </c>
      <c r="I376" s="31" t="s">
        <v>1923</v>
      </c>
      <c r="J376" s="31">
        <v>3</v>
      </c>
      <c r="K376" s="33" t="s">
        <v>703</v>
      </c>
      <c r="L376" s="33"/>
      <c r="M376" s="34"/>
      <c r="N376" s="34" t="s">
        <v>1727</v>
      </c>
      <c r="O376" s="35">
        <v>1</v>
      </c>
      <c r="P376" s="35">
        <v>1</v>
      </c>
      <c r="Q376" s="32" t="s">
        <v>1924</v>
      </c>
      <c r="S376" s="1">
        <f t="shared" si="225"/>
        <v>0</v>
      </c>
      <c r="T376" s="1">
        <f t="shared" si="226"/>
        <v>0</v>
      </c>
      <c r="U376" s="1">
        <f t="shared" si="227"/>
        <v>1</v>
      </c>
      <c r="V376" s="1">
        <f t="shared" si="228"/>
        <v>0</v>
      </c>
      <c r="W376" s="1">
        <f t="shared" si="229"/>
        <v>0</v>
      </c>
      <c r="X376" s="1">
        <f t="shared" si="230"/>
        <v>0</v>
      </c>
      <c r="Y376" s="1">
        <f t="shared" si="231"/>
        <v>0</v>
      </c>
      <c r="Z376" s="1">
        <f t="shared" si="232"/>
        <v>0</v>
      </c>
      <c r="AA376" s="1">
        <f t="shared" si="233"/>
        <v>0</v>
      </c>
      <c r="AB376" s="1">
        <f t="shared" si="234"/>
        <v>0</v>
      </c>
      <c r="AD376" s="1">
        <f t="shared" si="235"/>
        <v>1</v>
      </c>
      <c r="AE376" s="1">
        <f t="shared" si="236"/>
        <v>0</v>
      </c>
      <c r="AF376" s="1">
        <f t="shared" si="221"/>
        <v>1</v>
      </c>
      <c r="AG376" s="1">
        <f t="shared" si="222"/>
        <v>0</v>
      </c>
      <c r="AH376" s="1">
        <f t="shared" si="223"/>
        <v>1</v>
      </c>
      <c r="AI376" s="1">
        <f t="shared" si="224"/>
        <v>0</v>
      </c>
    </row>
    <row r="377" spans="1:4094 4097:8191 8194:12288 12291:16384" s="1" customFormat="1" ht="14.25" customHeight="1" x14ac:dyDescent="0.3">
      <c r="A377" s="31">
        <v>0</v>
      </c>
      <c r="B377" s="31">
        <v>2</v>
      </c>
      <c r="C377" s="31">
        <v>5</v>
      </c>
      <c r="D377" s="32" t="s">
        <v>1270</v>
      </c>
      <c r="E377" s="32" t="s">
        <v>1271</v>
      </c>
      <c r="F377" s="32" t="s">
        <v>1272</v>
      </c>
      <c r="G377" s="32" t="s">
        <v>220</v>
      </c>
      <c r="H377" s="32" t="s">
        <v>354</v>
      </c>
      <c r="I377" s="31" t="s">
        <v>1723</v>
      </c>
      <c r="J377" s="31">
        <v>8</v>
      </c>
      <c r="K377" s="33" t="s">
        <v>713</v>
      </c>
      <c r="L377" s="33" t="s">
        <v>39</v>
      </c>
      <c r="M377" s="34" t="s">
        <v>39</v>
      </c>
      <c r="N377" s="34" t="s">
        <v>1727</v>
      </c>
      <c r="O377" s="35">
        <v>1</v>
      </c>
      <c r="P377" s="35">
        <v>1</v>
      </c>
      <c r="Q377" s="32"/>
      <c r="S377" s="1">
        <f t="shared" si="225"/>
        <v>0</v>
      </c>
      <c r="T377" s="1">
        <f t="shared" si="226"/>
        <v>0</v>
      </c>
      <c r="U377" s="1">
        <f t="shared" si="227"/>
        <v>0</v>
      </c>
      <c r="V377" s="1">
        <f t="shared" si="228"/>
        <v>0</v>
      </c>
      <c r="W377" s="1">
        <f t="shared" si="229"/>
        <v>0</v>
      </c>
      <c r="X377" s="1">
        <f t="shared" si="230"/>
        <v>0</v>
      </c>
      <c r="Y377" s="1">
        <f t="shared" si="231"/>
        <v>0</v>
      </c>
      <c r="Z377" s="1">
        <f t="shared" si="232"/>
        <v>1</v>
      </c>
      <c r="AA377" s="1">
        <f t="shared" si="233"/>
        <v>0</v>
      </c>
      <c r="AB377" s="1">
        <f t="shared" si="234"/>
        <v>0</v>
      </c>
      <c r="AD377" s="1">
        <f t="shared" si="235"/>
        <v>1</v>
      </c>
      <c r="AE377" s="1">
        <f t="shared" si="236"/>
        <v>0</v>
      </c>
      <c r="AF377" s="1">
        <f t="shared" si="221"/>
        <v>1</v>
      </c>
      <c r="AG377" s="1">
        <f t="shared" si="222"/>
        <v>0</v>
      </c>
      <c r="AH377" s="1">
        <f t="shared" si="223"/>
        <v>1</v>
      </c>
      <c r="AI377" s="1">
        <f t="shared" si="224"/>
        <v>0</v>
      </c>
    </row>
    <row r="378" spans="1:4094 4097:8191 8194:12288 12291:16384" s="1" customFormat="1" ht="14.25" customHeight="1" x14ac:dyDescent="0.3">
      <c r="A378" s="31">
        <v>0</v>
      </c>
      <c r="B378" s="31">
        <v>2</v>
      </c>
      <c r="C378" s="31">
        <v>5</v>
      </c>
      <c r="D378" s="32" t="s">
        <v>1082</v>
      </c>
      <c r="E378" s="32" t="s">
        <v>155</v>
      </c>
      <c r="F378" s="32" t="s">
        <v>1066</v>
      </c>
      <c r="G378" s="32" t="s">
        <v>321</v>
      </c>
      <c r="H378" s="32" t="s">
        <v>354</v>
      </c>
      <c r="I378" s="31" t="s">
        <v>1067</v>
      </c>
      <c r="J378" s="31">
        <v>99</v>
      </c>
      <c r="K378" s="33" t="s">
        <v>713</v>
      </c>
      <c r="L378" s="33" t="s">
        <v>694</v>
      </c>
      <c r="M378" s="34" t="s">
        <v>1428</v>
      </c>
      <c r="N378" s="34" t="s">
        <v>1756</v>
      </c>
      <c r="O378" s="35">
        <v>1</v>
      </c>
      <c r="P378" s="35"/>
      <c r="Q378" s="32"/>
      <c r="S378" s="1">
        <f t="shared" si="225"/>
        <v>0</v>
      </c>
      <c r="T378" s="1">
        <f t="shared" si="226"/>
        <v>0</v>
      </c>
      <c r="U378" s="1">
        <f t="shared" si="227"/>
        <v>0</v>
      </c>
      <c r="V378" s="1">
        <f t="shared" si="228"/>
        <v>0</v>
      </c>
      <c r="W378" s="1">
        <f t="shared" si="229"/>
        <v>0</v>
      </c>
      <c r="X378" s="1">
        <f t="shared" si="230"/>
        <v>0</v>
      </c>
      <c r="Y378" s="1">
        <f t="shared" si="231"/>
        <v>0</v>
      </c>
      <c r="Z378" s="1">
        <f t="shared" si="232"/>
        <v>0</v>
      </c>
      <c r="AA378" s="1">
        <f t="shared" si="233"/>
        <v>0</v>
      </c>
      <c r="AB378" s="1">
        <f t="shared" si="234"/>
        <v>0</v>
      </c>
      <c r="AD378" s="1">
        <f t="shared" si="235"/>
        <v>0</v>
      </c>
      <c r="AE378" s="1">
        <f t="shared" si="236"/>
        <v>1</v>
      </c>
      <c r="AF378" s="1">
        <f t="shared" si="221"/>
        <v>0</v>
      </c>
      <c r="AG378" s="1">
        <f t="shared" si="222"/>
        <v>1</v>
      </c>
      <c r="AH378" s="1">
        <f t="shared" si="223"/>
        <v>0</v>
      </c>
      <c r="AI378" s="1">
        <f t="shared" si="224"/>
        <v>1</v>
      </c>
    </row>
    <row r="379" spans="1:4094 4097:8191 8194:12288 12291:16384" s="1" customFormat="1" ht="14.25" customHeight="1" x14ac:dyDescent="0.3">
      <c r="A379" s="31">
        <v>0</v>
      </c>
      <c r="B379" s="31">
        <v>2</v>
      </c>
      <c r="C379" s="31">
        <v>5</v>
      </c>
      <c r="D379" s="32" t="s">
        <v>796</v>
      </c>
      <c r="E379" s="32" t="s">
        <v>772</v>
      </c>
      <c r="F379" s="32" t="s">
        <v>932</v>
      </c>
      <c r="G379" s="32" t="s">
        <v>220</v>
      </c>
      <c r="H379" s="32" t="s">
        <v>354</v>
      </c>
      <c r="I379" s="31" t="s">
        <v>797</v>
      </c>
      <c r="J379" s="31">
        <v>8</v>
      </c>
      <c r="K379" s="33" t="s">
        <v>703</v>
      </c>
      <c r="L379" s="33">
        <v>20</v>
      </c>
      <c r="M379" s="34" t="s">
        <v>1419</v>
      </c>
      <c r="N379" s="34" t="s">
        <v>1825</v>
      </c>
      <c r="O379" s="35">
        <v>1</v>
      </c>
      <c r="P379" s="35"/>
      <c r="Q379" s="32"/>
      <c r="S379" s="1">
        <f t="shared" ref="S379:S381" si="249">IF(J379=$S$7,1,0)</f>
        <v>0</v>
      </c>
      <c r="T379" s="1">
        <f t="shared" ref="T379:T381" si="250">IF(J379=$T$7,1,0)</f>
        <v>0</v>
      </c>
      <c r="U379" s="1">
        <f t="shared" ref="U379:U381" si="251">IF(J379=$U$7,1,0)</f>
        <v>0</v>
      </c>
      <c r="V379" s="1">
        <f t="shared" ref="V379:V381" si="252">IF(J379=$V$7,1,0)</f>
        <v>0</v>
      </c>
      <c r="W379" s="1">
        <f t="shared" ref="W379:W381" si="253">IF(J379=$W$7,1,0)</f>
        <v>0</v>
      </c>
      <c r="X379" s="1">
        <f t="shared" ref="X379:X381" si="254">IF(J379=$X$7,1,0)</f>
        <v>0</v>
      </c>
      <c r="Y379" s="1">
        <f t="shared" ref="Y379:Y381" si="255">IF(J379=$Y$7,1,0)</f>
        <v>0</v>
      </c>
      <c r="Z379" s="1">
        <f t="shared" ref="Z379:Z381" si="256">IF(J379=$Z$7,1,0)</f>
        <v>1</v>
      </c>
      <c r="AA379" s="1">
        <f t="shared" ref="AA379:AA381" si="257">IF(J379=$AA$7,1,0)</f>
        <v>0</v>
      </c>
      <c r="AB379" s="1">
        <f t="shared" ref="AB379:AB381" si="258">IF(J379=$AB$7,1,0)</f>
        <v>0</v>
      </c>
      <c r="AD379" s="1">
        <f t="shared" ref="AD379:AD381" si="259">+O379*P379</f>
        <v>0</v>
      </c>
      <c r="AE379" s="1">
        <f t="shared" ref="AE379:AE381" si="260">O379*(1-P379)</f>
        <v>1</v>
      </c>
      <c r="AF379" s="1">
        <f t="shared" si="221"/>
        <v>0</v>
      </c>
      <c r="AG379" s="1">
        <f t="shared" si="222"/>
        <v>1</v>
      </c>
      <c r="AH379" s="1">
        <f t="shared" si="223"/>
        <v>0</v>
      </c>
      <c r="AI379" s="1">
        <f t="shared" si="224"/>
        <v>1</v>
      </c>
    </row>
    <row r="380" spans="1:4094 4097:8191 8194:12288 12291:16384" s="1" customFormat="1" ht="14.25" customHeight="1" x14ac:dyDescent="0.3">
      <c r="A380" s="49">
        <v>0</v>
      </c>
      <c r="B380" s="49">
        <v>2</v>
      </c>
      <c r="C380" s="49">
        <v>5</v>
      </c>
      <c r="D380" s="50" t="s">
        <v>79</v>
      </c>
      <c r="E380" s="50" t="s">
        <v>159</v>
      </c>
      <c r="F380" s="50" t="s">
        <v>268</v>
      </c>
      <c r="G380" s="50" t="s">
        <v>213</v>
      </c>
      <c r="H380" s="50" t="s">
        <v>354</v>
      </c>
      <c r="I380" s="49" t="s">
        <v>425</v>
      </c>
      <c r="J380" s="49">
        <v>1</v>
      </c>
      <c r="K380" s="51" t="s">
        <v>955</v>
      </c>
      <c r="L380" s="51" t="s">
        <v>704</v>
      </c>
      <c r="M380" s="52" t="s">
        <v>727</v>
      </c>
      <c r="N380" s="52" t="s">
        <v>1743</v>
      </c>
      <c r="O380" s="53">
        <v>1</v>
      </c>
      <c r="P380" s="53"/>
      <c r="Q380" s="50"/>
      <c r="S380" s="1">
        <f t="shared" si="249"/>
        <v>1</v>
      </c>
      <c r="T380" s="1">
        <f t="shared" si="250"/>
        <v>0</v>
      </c>
      <c r="U380" s="1">
        <f t="shared" si="251"/>
        <v>0</v>
      </c>
      <c r="V380" s="1">
        <f t="shared" si="252"/>
        <v>0</v>
      </c>
      <c r="W380" s="1">
        <f t="shared" si="253"/>
        <v>0</v>
      </c>
      <c r="X380" s="1">
        <f t="shared" si="254"/>
        <v>0</v>
      </c>
      <c r="Y380" s="1">
        <f t="shared" si="255"/>
        <v>0</v>
      </c>
      <c r="Z380" s="1">
        <f t="shared" si="256"/>
        <v>0</v>
      </c>
      <c r="AA380" s="1">
        <f t="shared" si="257"/>
        <v>0</v>
      </c>
      <c r="AB380" s="1">
        <f t="shared" si="258"/>
        <v>0</v>
      </c>
      <c r="AD380" s="1">
        <f t="shared" si="259"/>
        <v>0</v>
      </c>
      <c r="AE380" s="1">
        <f t="shared" si="260"/>
        <v>1</v>
      </c>
      <c r="AF380" s="1">
        <f t="shared" si="221"/>
        <v>0</v>
      </c>
      <c r="AG380" s="1">
        <f t="shared" si="222"/>
        <v>1</v>
      </c>
      <c r="AH380" s="1">
        <f t="shared" si="223"/>
        <v>0</v>
      </c>
      <c r="AI380" s="1">
        <f t="shared" si="224"/>
        <v>1</v>
      </c>
    </row>
    <row r="381" spans="1:4094 4097:8191 8194:12288 12291:16384" s="1" customFormat="1" ht="14.25" customHeight="1" x14ac:dyDescent="0.3">
      <c r="A381" s="31">
        <v>0</v>
      </c>
      <c r="B381" s="31">
        <v>2</v>
      </c>
      <c r="C381" s="31">
        <v>5</v>
      </c>
      <c r="D381" s="32" t="s">
        <v>1642</v>
      </c>
      <c r="E381" s="32" t="s">
        <v>1654</v>
      </c>
      <c r="F381" s="32" t="s">
        <v>1551</v>
      </c>
      <c r="G381" s="32" t="s">
        <v>262</v>
      </c>
      <c r="H381" s="32" t="s">
        <v>354</v>
      </c>
      <c r="I381" s="31" t="s">
        <v>1552</v>
      </c>
      <c r="J381" s="31">
        <v>99</v>
      </c>
      <c r="K381" s="33" t="s">
        <v>955</v>
      </c>
      <c r="L381" s="33">
        <v>40</v>
      </c>
      <c r="M381" s="34" t="s">
        <v>39</v>
      </c>
      <c r="N381" s="34" t="s">
        <v>1825</v>
      </c>
      <c r="O381" s="35">
        <v>1</v>
      </c>
      <c r="P381" s="35"/>
      <c r="Q381" s="32"/>
      <c r="S381" s="1">
        <f t="shared" si="249"/>
        <v>0</v>
      </c>
      <c r="T381" s="1">
        <f t="shared" si="250"/>
        <v>0</v>
      </c>
      <c r="U381" s="1">
        <f t="shared" si="251"/>
        <v>0</v>
      </c>
      <c r="V381" s="1">
        <f t="shared" si="252"/>
        <v>0</v>
      </c>
      <c r="W381" s="1">
        <f t="shared" si="253"/>
        <v>0</v>
      </c>
      <c r="X381" s="1">
        <f t="shared" si="254"/>
        <v>0</v>
      </c>
      <c r="Y381" s="1">
        <f t="shared" si="255"/>
        <v>0</v>
      </c>
      <c r="Z381" s="1">
        <f t="shared" si="256"/>
        <v>0</v>
      </c>
      <c r="AA381" s="1">
        <f t="shared" si="257"/>
        <v>0</v>
      </c>
      <c r="AB381" s="1">
        <f t="shared" si="258"/>
        <v>0</v>
      </c>
      <c r="AD381" s="1">
        <f t="shared" si="259"/>
        <v>0</v>
      </c>
      <c r="AE381" s="1">
        <f t="shared" si="260"/>
        <v>1</v>
      </c>
      <c r="AF381" s="1">
        <f t="shared" si="221"/>
        <v>0</v>
      </c>
      <c r="AG381" s="1">
        <f t="shared" si="222"/>
        <v>1</v>
      </c>
      <c r="AH381" s="1">
        <f t="shared" si="223"/>
        <v>0</v>
      </c>
      <c r="AI381" s="1">
        <f t="shared" si="224"/>
        <v>1</v>
      </c>
    </row>
    <row r="382" spans="1:4094 4097:8191 8194:12288 12291:16384" s="1" customFormat="1" ht="14.25" customHeight="1" x14ac:dyDescent="0.3">
      <c r="A382" s="31">
        <v>0</v>
      </c>
      <c r="B382" s="31">
        <v>2</v>
      </c>
      <c r="C382" s="31">
        <v>5</v>
      </c>
      <c r="D382" s="32" t="s">
        <v>1297</v>
      </c>
      <c r="E382" s="32" t="s">
        <v>27</v>
      </c>
      <c r="F382" s="32" t="s">
        <v>1298</v>
      </c>
      <c r="G382" s="32" t="s">
        <v>1299</v>
      </c>
      <c r="H382" s="32" t="s">
        <v>354</v>
      </c>
      <c r="I382" s="31" t="s">
        <v>1300</v>
      </c>
      <c r="J382" s="31">
        <v>99</v>
      </c>
      <c r="K382" s="33" t="s">
        <v>955</v>
      </c>
      <c r="L382" s="33" t="s">
        <v>39</v>
      </c>
      <c r="M382" s="34" t="s">
        <v>39</v>
      </c>
      <c r="N382" s="34" t="s">
        <v>1727</v>
      </c>
      <c r="O382" s="35">
        <v>1</v>
      </c>
      <c r="P382" s="35">
        <v>1</v>
      </c>
      <c r="Q382" s="36"/>
      <c r="S382" s="1">
        <f t="shared" si="225"/>
        <v>0</v>
      </c>
      <c r="T382" s="1">
        <f t="shared" si="226"/>
        <v>0</v>
      </c>
      <c r="U382" s="1">
        <f t="shared" si="227"/>
        <v>0</v>
      </c>
      <c r="V382" s="1">
        <f t="shared" si="228"/>
        <v>0</v>
      </c>
      <c r="W382" s="1">
        <f t="shared" si="229"/>
        <v>0</v>
      </c>
      <c r="X382" s="1">
        <f t="shared" si="230"/>
        <v>0</v>
      </c>
      <c r="Y382" s="1">
        <f t="shared" si="231"/>
        <v>0</v>
      </c>
      <c r="Z382" s="1">
        <f t="shared" si="232"/>
        <v>0</v>
      </c>
      <c r="AA382" s="1">
        <f t="shared" si="233"/>
        <v>0</v>
      </c>
      <c r="AB382" s="1">
        <f t="shared" si="234"/>
        <v>0</v>
      </c>
      <c r="AD382" s="1">
        <f t="shared" si="235"/>
        <v>1</v>
      </c>
      <c r="AE382" s="1">
        <f t="shared" si="236"/>
        <v>0</v>
      </c>
      <c r="AF382" s="1">
        <f t="shared" si="221"/>
        <v>1</v>
      </c>
      <c r="AG382" s="1">
        <f t="shared" si="222"/>
        <v>0</v>
      </c>
      <c r="AH382" s="1">
        <f t="shared" si="223"/>
        <v>1</v>
      </c>
      <c r="AI382" s="1">
        <f t="shared" si="224"/>
        <v>0</v>
      </c>
    </row>
    <row r="383" spans="1:4094 4097:8191 8194:12288 12291:16384" s="1" customFormat="1" ht="14.25" customHeight="1" x14ac:dyDescent="0.3">
      <c r="A383" s="44">
        <v>0</v>
      </c>
      <c r="B383" s="44">
        <v>2</v>
      </c>
      <c r="C383" s="44">
        <v>5</v>
      </c>
      <c r="D383" s="45" t="s">
        <v>1603</v>
      </c>
      <c r="E383" s="45" t="s">
        <v>159</v>
      </c>
      <c r="F383" s="45" t="s">
        <v>1675</v>
      </c>
      <c r="G383" s="45" t="s">
        <v>1468</v>
      </c>
      <c r="H383" s="45" t="s">
        <v>354</v>
      </c>
      <c r="I383" s="44" t="s">
        <v>1469</v>
      </c>
      <c r="J383" s="44">
        <v>99</v>
      </c>
      <c r="K383" s="46" t="s">
        <v>713</v>
      </c>
      <c r="L383" s="46" t="s">
        <v>696</v>
      </c>
      <c r="M383" s="47" t="s">
        <v>1470</v>
      </c>
      <c r="N383" s="47" t="s">
        <v>1747</v>
      </c>
      <c r="O383" s="48"/>
      <c r="P383" s="48"/>
      <c r="Q383" s="45"/>
      <c r="S383" s="1">
        <f t="shared" si="225"/>
        <v>0</v>
      </c>
      <c r="T383" s="1">
        <f t="shared" si="226"/>
        <v>0</v>
      </c>
      <c r="U383" s="1">
        <f t="shared" si="227"/>
        <v>0</v>
      </c>
      <c r="V383" s="1">
        <f t="shared" si="228"/>
        <v>0</v>
      </c>
      <c r="W383" s="1">
        <f t="shared" si="229"/>
        <v>0</v>
      </c>
      <c r="X383" s="1">
        <f t="shared" si="230"/>
        <v>0</v>
      </c>
      <c r="Y383" s="1">
        <f t="shared" si="231"/>
        <v>0</v>
      </c>
      <c r="Z383" s="1">
        <f t="shared" si="232"/>
        <v>0</v>
      </c>
      <c r="AA383" s="1">
        <f t="shared" si="233"/>
        <v>0</v>
      </c>
      <c r="AB383" s="1">
        <f t="shared" si="234"/>
        <v>0</v>
      </c>
      <c r="AD383" s="1">
        <f t="shared" si="235"/>
        <v>0</v>
      </c>
      <c r="AE383" s="1">
        <f t="shared" si="236"/>
        <v>0</v>
      </c>
      <c r="AF383" s="1">
        <f t="shared" ref="AF383:AF386" si="261">+O383*P383*(1-A383)</f>
        <v>0</v>
      </c>
      <c r="AG383" s="1">
        <f t="shared" ref="AG383:AG386" si="262">O383*(1-P383)*(1-A383)</f>
        <v>0</v>
      </c>
      <c r="AH383" s="1">
        <f t="shared" ref="AH383:AH386" si="263">+P383*(1-A383)</f>
        <v>0</v>
      </c>
      <c r="AI383" s="1">
        <f t="shared" ref="AI383:AI386" si="264">+(1-A383)*(1-P383)</f>
        <v>1</v>
      </c>
    </row>
    <row r="384" spans="1:4094 4097:8191 8194:12288 12291:16384" s="1" customFormat="1" ht="14.25" customHeight="1" x14ac:dyDescent="0.3">
      <c r="A384" s="31">
        <v>0</v>
      </c>
      <c r="B384" s="31">
        <v>2</v>
      </c>
      <c r="C384" s="31">
        <v>5</v>
      </c>
      <c r="D384" s="32" t="s">
        <v>2046</v>
      </c>
      <c r="E384" s="32" t="s">
        <v>2047</v>
      </c>
      <c r="F384" s="32" t="s">
        <v>2048</v>
      </c>
      <c r="G384" s="32" t="s">
        <v>2051</v>
      </c>
      <c r="H384" s="32" t="s">
        <v>354</v>
      </c>
      <c r="I384" s="31" t="s">
        <v>2049</v>
      </c>
      <c r="J384" s="31"/>
      <c r="K384" s="33" t="s">
        <v>1822</v>
      </c>
      <c r="L384" s="33"/>
      <c r="M384" s="34"/>
      <c r="N384" s="34" t="s">
        <v>1727</v>
      </c>
      <c r="O384" s="35">
        <v>1</v>
      </c>
      <c r="P384" s="35">
        <v>1</v>
      </c>
      <c r="Q384" s="32" t="s">
        <v>2050</v>
      </c>
      <c r="S384" s="1">
        <f t="shared" si="225"/>
        <v>0</v>
      </c>
      <c r="T384" s="1">
        <f t="shared" si="226"/>
        <v>0</v>
      </c>
      <c r="U384" s="1">
        <f t="shared" si="227"/>
        <v>0</v>
      </c>
      <c r="V384" s="1">
        <f t="shared" si="228"/>
        <v>0</v>
      </c>
      <c r="W384" s="1">
        <f t="shared" si="229"/>
        <v>0</v>
      </c>
      <c r="X384" s="1">
        <f t="shared" si="230"/>
        <v>0</v>
      </c>
      <c r="Y384" s="1">
        <f t="shared" si="231"/>
        <v>0</v>
      </c>
      <c r="Z384" s="1">
        <f t="shared" si="232"/>
        <v>0</v>
      </c>
      <c r="AA384" s="1">
        <f t="shared" si="233"/>
        <v>0</v>
      </c>
      <c r="AB384" s="1">
        <f t="shared" si="234"/>
        <v>0</v>
      </c>
      <c r="AD384" s="1">
        <f t="shared" si="235"/>
        <v>1</v>
      </c>
      <c r="AE384" s="1">
        <f t="shared" si="236"/>
        <v>0</v>
      </c>
      <c r="AF384" s="1">
        <f t="shared" si="261"/>
        <v>1</v>
      </c>
      <c r="AG384" s="1">
        <f t="shared" si="262"/>
        <v>0</v>
      </c>
      <c r="AH384" s="1">
        <f t="shared" si="263"/>
        <v>1</v>
      </c>
      <c r="AI384" s="1">
        <f t="shared" si="264"/>
        <v>0</v>
      </c>
    </row>
    <row r="385" spans="1:35" s="1" customFormat="1" ht="14.25" customHeight="1" x14ac:dyDescent="0.3">
      <c r="A385" s="31">
        <v>0</v>
      </c>
      <c r="B385" s="31">
        <v>2</v>
      </c>
      <c r="C385" s="31">
        <v>5</v>
      </c>
      <c r="D385" s="32" t="s">
        <v>1778</v>
      </c>
      <c r="E385" s="32" t="s">
        <v>155</v>
      </c>
      <c r="F385" s="32" t="s">
        <v>1779</v>
      </c>
      <c r="G385" s="32" t="s">
        <v>656</v>
      </c>
      <c r="H385" s="32" t="s">
        <v>354</v>
      </c>
      <c r="I385" s="31" t="s">
        <v>1780</v>
      </c>
      <c r="J385" s="31"/>
      <c r="K385" s="33" t="s">
        <v>703</v>
      </c>
      <c r="L385" s="33">
        <v>40</v>
      </c>
      <c r="M385" s="34" t="s">
        <v>1781</v>
      </c>
      <c r="N385" s="34" t="s">
        <v>1743</v>
      </c>
      <c r="O385" s="35">
        <v>1</v>
      </c>
      <c r="P385" s="35"/>
      <c r="Q385" s="32"/>
      <c r="S385" s="1">
        <f t="shared" si="225"/>
        <v>0</v>
      </c>
      <c r="T385" s="1">
        <f t="shared" si="226"/>
        <v>0</v>
      </c>
      <c r="U385" s="1">
        <f t="shared" si="227"/>
        <v>0</v>
      </c>
      <c r="V385" s="1">
        <f t="shared" si="228"/>
        <v>0</v>
      </c>
      <c r="W385" s="1">
        <f t="shared" si="229"/>
        <v>0</v>
      </c>
      <c r="X385" s="1">
        <f t="shared" si="230"/>
        <v>0</v>
      </c>
      <c r="Y385" s="1">
        <f t="shared" si="231"/>
        <v>0</v>
      </c>
      <c r="Z385" s="1">
        <f t="shared" si="232"/>
        <v>0</v>
      </c>
      <c r="AA385" s="1">
        <f t="shared" si="233"/>
        <v>0</v>
      </c>
      <c r="AB385" s="1">
        <f t="shared" si="234"/>
        <v>0</v>
      </c>
      <c r="AD385" s="1">
        <f t="shared" si="235"/>
        <v>0</v>
      </c>
      <c r="AE385" s="1">
        <f t="shared" si="236"/>
        <v>1</v>
      </c>
      <c r="AF385" s="1">
        <f t="shared" si="261"/>
        <v>0</v>
      </c>
      <c r="AG385" s="1">
        <f t="shared" si="262"/>
        <v>1</v>
      </c>
      <c r="AH385" s="1">
        <f t="shared" si="263"/>
        <v>0</v>
      </c>
      <c r="AI385" s="1">
        <f t="shared" si="264"/>
        <v>1</v>
      </c>
    </row>
    <row r="386" spans="1:35" s="1" customFormat="1" ht="14.25" customHeight="1" x14ac:dyDescent="0.3">
      <c r="A386" s="44">
        <v>0</v>
      </c>
      <c r="B386" s="44">
        <v>2</v>
      </c>
      <c r="C386" s="44">
        <v>5</v>
      </c>
      <c r="D386" s="45" t="s">
        <v>837</v>
      </c>
      <c r="E386" s="45" t="s">
        <v>831</v>
      </c>
      <c r="F386" s="45" t="s">
        <v>941</v>
      </c>
      <c r="G386" s="45" t="s">
        <v>180</v>
      </c>
      <c r="H386" s="45" t="s">
        <v>354</v>
      </c>
      <c r="I386" s="44" t="s">
        <v>1109</v>
      </c>
      <c r="J386" s="44">
        <v>10</v>
      </c>
      <c r="K386" s="46" t="s">
        <v>712</v>
      </c>
      <c r="L386" s="46" t="s">
        <v>693</v>
      </c>
      <c r="M386" s="47" t="s">
        <v>1429</v>
      </c>
      <c r="N386" s="47" t="s">
        <v>1741</v>
      </c>
      <c r="O386" s="48"/>
      <c r="P386" s="48"/>
      <c r="Q386" s="45"/>
      <c r="S386" s="1">
        <f t="shared" ref="S386" si="265">IF(J386=$S$7,1,0)</f>
        <v>0</v>
      </c>
      <c r="T386" s="1">
        <f t="shared" ref="T386" si="266">IF(J386=$T$7,1,0)</f>
        <v>0</v>
      </c>
      <c r="U386" s="1">
        <f t="shared" ref="U386" si="267">IF(J386=$U$7,1,0)</f>
        <v>0</v>
      </c>
      <c r="V386" s="1">
        <f t="shared" ref="V386" si="268">IF(J386=$V$7,1,0)</f>
        <v>0</v>
      </c>
      <c r="W386" s="1">
        <f t="shared" ref="W386" si="269">IF(J386=$W$7,1,0)</f>
        <v>0</v>
      </c>
      <c r="X386" s="1">
        <f t="shared" ref="X386" si="270">IF(J386=$X$7,1,0)</f>
        <v>0</v>
      </c>
      <c r="Y386" s="1">
        <f t="shared" ref="Y386" si="271">IF(J386=$Y$7,1,0)</f>
        <v>0</v>
      </c>
      <c r="Z386" s="1">
        <f t="shared" ref="Z386" si="272">IF(J386=$Z$7,1,0)</f>
        <v>0</v>
      </c>
      <c r="AA386" s="1">
        <f t="shared" ref="AA386" si="273">IF(J386=$AA$7,1,0)</f>
        <v>0</v>
      </c>
      <c r="AB386" s="1">
        <f t="shared" ref="AB386" si="274">IF(J386=$AB$7,1,0)</f>
        <v>1</v>
      </c>
      <c r="AD386" s="1">
        <f t="shared" ref="AD386" si="275">+O386*P386</f>
        <v>0</v>
      </c>
      <c r="AE386" s="1">
        <f t="shared" ref="AE386" si="276">O386*(1-P386)</f>
        <v>0</v>
      </c>
      <c r="AF386" s="1">
        <f t="shared" si="261"/>
        <v>0</v>
      </c>
      <c r="AG386" s="1">
        <f t="shared" si="262"/>
        <v>0</v>
      </c>
      <c r="AH386" s="1">
        <f t="shared" si="263"/>
        <v>0</v>
      </c>
      <c r="AI386" s="1">
        <f t="shared" si="264"/>
        <v>1</v>
      </c>
    </row>
    <row r="387" spans="1:35" s="1" customFormat="1" ht="14.25" customHeight="1" x14ac:dyDescent="0.3">
      <c r="A387" s="57">
        <v>0</v>
      </c>
      <c r="B387" s="57">
        <v>2</v>
      </c>
      <c r="C387" s="57">
        <v>6</v>
      </c>
      <c r="D387" s="58" t="s">
        <v>1543</v>
      </c>
      <c r="E387" s="58" t="s">
        <v>27</v>
      </c>
      <c r="F387" s="58" t="s">
        <v>1545</v>
      </c>
      <c r="G387" s="58" t="s">
        <v>1534</v>
      </c>
      <c r="H387" s="58" t="s">
        <v>354</v>
      </c>
      <c r="I387" s="57" t="s">
        <v>1544</v>
      </c>
      <c r="J387" s="57">
        <v>5</v>
      </c>
      <c r="K387" s="59" t="s">
        <v>955</v>
      </c>
      <c r="L387" s="59" t="s">
        <v>39</v>
      </c>
      <c r="M387" s="60" t="s">
        <v>39</v>
      </c>
      <c r="N387" s="61"/>
      <c r="O387" s="62"/>
      <c r="P387" s="62"/>
      <c r="Q387" s="66" t="s">
        <v>1900</v>
      </c>
      <c r="S387" s="1">
        <f t="shared" si="225"/>
        <v>0</v>
      </c>
      <c r="T387" s="1">
        <f t="shared" si="226"/>
        <v>0</v>
      </c>
      <c r="U387" s="1">
        <f t="shared" si="227"/>
        <v>0</v>
      </c>
      <c r="V387" s="1">
        <f t="shared" si="228"/>
        <v>0</v>
      </c>
      <c r="W387" s="1">
        <f t="shared" si="229"/>
        <v>1</v>
      </c>
      <c r="X387" s="1">
        <f t="shared" si="230"/>
        <v>0</v>
      </c>
      <c r="Y387" s="1">
        <f t="shared" si="231"/>
        <v>0</v>
      </c>
      <c r="Z387" s="1">
        <f t="shared" si="232"/>
        <v>0</v>
      </c>
      <c r="AA387" s="1">
        <f t="shared" si="233"/>
        <v>0</v>
      </c>
      <c r="AB387" s="1">
        <f t="shared" si="234"/>
        <v>0</v>
      </c>
      <c r="AD387" s="1">
        <f t="shared" si="235"/>
        <v>0</v>
      </c>
      <c r="AE387" s="1">
        <f t="shared" si="236"/>
        <v>0</v>
      </c>
      <c r="AF387" s="1">
        <f t="shared" si="221"/>
        <v>0</v>
      </c>
      <c r="AG387" s="1">
        <f t="shared" si="222"/>
        <v>0</v>
      </c>
      <c r="AH387" s="1">
        <f t="shared" si="223"/>
        <v>0</v>
      </c>
      <c r="AI387" s="1">
        <f t="shared" si="224"/>
        <v>1</v>
      </c>
    </row>
    <row r="388" spans="1:35" s="1" customFormat="1" ht="14.25" customHeight="1" x14ac:dyDescent="0.3">
      <c r="A388" s="44">
        <v>0</v>
      </c>
      <c r="B388" s="44">
        <v>2</v>
      </c>
      <c r="C388" s="44">
        <v>6</v>
      </c>
      <c r="D388" s="45" t="s">
        <v>519</v>
      </c>
      <c r="E388" s="45" t="s">
        <v>31</v>
      </c>
      <c r="F388" s="45" t="s">
        <v>672</v>
      </c>
      <c r="G388" s="45" t="s">
        <v>200</v>
      </c>
      <c r="H388" s="45" t="s">
        <v>354</v>
      </c>
      <c r="I388" s="44" t="s">
        <v>520</v>
      </c>
      <c r="J388" s="44">
        <v>2</v>
      </c>
      <c r="K388" s="46" t="s">
        <v>954</v>
      </c>
      <c r="L388" s="46" t="s">
        <v>694</v>
      </c>
      <c r="M388" s="47" t="s">
        <v>1430</v>
      </c>
      <c r="N388" s="47" t="s">
        <v>1735</v>
      </c>
      <c r="O388" s="48"/>
      <c r="P388" s="48"/>
      <c r="Q388" s="45"/>
      <c r="S388" s="1">
        <f t="shared" si="225"/>
        <v>0</v>
      </c>
      <c r="T388" s="1">
        <f t="shared" si="226"/>
        <v>1</v>
      </c>
      <c r="U388" s="1">
        <f t="shared" si="227"/>
        <v>0</v>
      </c>
      <c r="V388" s="1">
        <f t="shared" si="228"/>
        <v>0</v>
      </c>
      <c r="W388" s="1">
        <f t="shared" si="229"/>
        <v>0</v>
      </c>
      <c r="X388" s="1">
        <f t="shared" si="230"/>
        <v>0</v>
      </c>
      <c r="Y388" s="1">
        <f t="shared" si="231"/>
        <v>0</v>
      </c>
      <c r="Z388" s="1">
        <f t="shared" si="232"/>
        <v>0</v>
      </c>
      <c r="AA388" s="1">
        <f t="shared" si="233"/>
        <v>0</v>
      </c>
      <c r="AB388" s="1">
        <f t="shared" si="234"/>
        <v>0</v>
      </c>
      <c r="AD388" s="1">
        <f t="shared" si="235"/>
        <v>0</v>
      </c>
      <c r="AE388" s="1">
        <f t="shared" si="236"/>
        <v>0</v>
      </c>
      <c r="AF388" s="1">
        <f t="shared" si="221"/>
        <v>0</v>
      </c>
      <c r="AG388" s="1">
        <f t="shared" si="222"/>
        <v>0</v>
      </c>
      <c r="AH388" s="1">
        <f t="shared" si="223"/>
        <v>0</v>
      </c>
      <c r="AI388" s="1">
        <f t="shared" si="224"/>
        <v>1</v>
      </c>
    </row>
    <row r="389" spans="1:35" s="1" customFormat="1" ht="14.25" customHeight="1" x14ac:dyDescent="0.3">
      <c r="A389" s="31">
        <v>0</v>
      </c>
      <c r="B389" s="31">
        <v>2</v>
      </c>
      <c r="C389" s="31">
        <v>6</v>
      </c>
      <c r="D389" s="32" t="s">
        <v>53</v>
      </c>
      <c r="E389" s="32" t="s">
        <v>31</v>
      </c>
      <c r="F389" s="32" t="s">
        <v>210</v>
      </c>
      <c r="G389" s="32" t="s">
        <v>211</v>
      </c>
      <c r="H389" s="32" t="s">
        <v>354</v>
      </c>
      <c r="I389" s="31" t="s">
        <v>392</v>
      </c>
      <c r="J389" s="31">
        <v>1</v>
      </c>
      <c r="K389" s="33" t="s">
        <v>712</v>
      </c>
      <c r="L389" s="33" t="s">
        <v>704</v>
      </c>
      <c r="M389" s="34" t="s">
        <v>728</v>
      </c>
      <c r="N389" s="34" t="s">
        <v>1743</v>
      </c>
      <c r="O389" s="35">
        <v>1</v>
      </c>
      <c r="P389" s="35"/>
      <c r="Q389" s="32"/>
      <c r="S389" s="1">
        <f t="shared" si="225"/>
        <v>1</v>
      </c>
      <c r="T389" s="1">
        <f t="shared" si="226"/>
        <v>0</v>
      </c>
      <c r="U389" s="1">
        <f t="shared" si="227"/>
        <v>0</v>
      </c>
      <c r="V389" s="1">
        <f t="shared" si="228"/>
        <v>0</v>
      </c>
      <c r="W389" s="1">
        <f t="shared" si="229"/>
        <v>0</v>
      </c>
      <c r="X389" s="1">
        <f t="shared" si="230"/>
        <v>0</v>
      </c>
      <c r="Y389" s="1">
        <f t="shared" si="231"/>
        <v>0</v>
      </c>
      <c r="Z389" s="1">
        <f t="shared" si="232"/>
        <v>0</v>
      </c>
      <c r="AA389" s="1">
        <f t="shared" si="233"/>
        <v>0</v>
      </c>
      <c r="AB389" s="1">
        <f t="shared" si="234"/>
        <v>0</v>
      </c>
      <c r="AD389" s="1">
        <f t="shared" si="235"/>
        <v>0</v>
      </c>
      <c r="AE389" s="1">
        <f t="shared" si="236"/>
        <v>1</v>
      </c>
      <c r="AF389" s="1">
        <f t="shared" si="221"/>
        <v>0</v>
      </c>
      <c r="AG389" s="1">
        <f t="shared" si="222"/>
        <v>1</v>
      </c>
      <c r="AH389" s="1">
        <f t="shared" si="223"/>
        <v>0</v>
      </c>
      <c r="AI389" s="1">
        <f t="shared" si="224"/>
        <v>1</v>
      </c>
    </row>
    <row r="390" spans="1:35" s="1" customFormat="1" ht="14.25" customHeight="1" x14ac:dyDescent="0.3">
      <c r="A390" s="31">
        <v>0</v>
      </c>
      <c r="B390" s="31">
        <v>2</v>
      </c>
      <c r="C390" s="31">
        <v>6</v>
      </c>
      <c r="D390" s="32" t="s">
        <v>1862</v>
      </c>
      <c r="E390" s="32" t="s">
        <v>1863</v>
      </c>
      <c r="F390" s="32" t="s">
        <v>1864</v>
      </c>
      <c r="G390" s="32"/>
      <c r="H390" s="32" t="s">
        <v>354</v>
      </c>
      <c r="I390" s="31" t="s">
        <v>1865</v>
      </c>
      <c r="J390" s="31">
        <v>99</v>
      </c>
      <c r="K390" s="33" t="s">
        <v>703</v>
      </c>
      <c r="L390" s="33">
        <v>25</v>
      </c>
      <c r="M390" s="34" t="s">
        <v>1866</v>
      </c>
      <c r="N390" s="34" t="s">
        <v>1743</v>
      </c>
      <c r="O390" s="35">
        <v>1</v>
      </c>
      <c r="P390" s="35"/>
      <c r="Q390" s="32" t="s">
        <v>2052</v>
      </c>
      <c r="S390" s="1">
        <f t="shared" si="225"/>
        <v>0</v>
      </c>
      <c r="T390" s="1">
        <f t="shared" si="226"/>
        <v>0</v>
      </c>
      <c r="U390" s="1">
        <f t="shared" si="227"/>
        <v>0</v>
      </c>
      <c r="V390" s="1">
        <f t="shared" si="228"/>
        <v>0</v>
      </c>
      <c r="W390" s="1">
        <f t="shared" si="229"/>
        <v>0</v>
      </c>
      <c r="X390" s="1">
        <f t="shared" si="230"/>
        <v>0</v>
      </c>
      <c r="Y390" s="1">
        <f t="shared" si="231"/>
        <v>0</v>
      </c>
      <c r="Z390" s="1">
        <f t="shared" si="232"/>
        <v>0</v>
      </c>
      <c r="AA390" s="1">
        <f t="shared" si="233"/>
        <v>0</v>
      </c>
      <c r="AB390" s="1">
        <f t="shared" si="234"/>
        <v>0</v>
      </c>
      <c r="AD390" s="1">
        <f t="shared" si="235"/>
        <v>0</v>
      </c>
      <c r="AE390" s="1">
        <f t="shared" si="236"/>
        <v>1</v>
      </c>
      <c r="AF390" s="1">
        <f t="shared" si="221"/>
        <v>0</v>
      </c>
      <c r="AG390" s="1">
        <f t="shared" si="222"/>
        <v>1</v>
      </c>
      <c r="AH390" s="1">
        <f t="shared" si="223"/>
        <v>0</v>
      </c>
      <c r="AI390" s="1">
        <f t="shared" si="224"/>
        <v>1</v>
      </c>
    </row>
    <row r="391" spans="1:35" s="1" customFormat="1" ht="14.25" customHeight="1" x14ac:dyDescent="0.3">
      <c r="A391" s="15">
        <v>0</v>
      </c>
      <c r="B391" s="15">
        <v>2</v>
      </c>
      <c r="C391" s="15">
        <v>6</v>
      </c>
      <c r="D391" s="16" t="s">
        <v>80</v>
      </c>
      <c r="E391" s="16" t="s">
        <v>31</v>
      </c>
      <c r="F391" s="16" t="s">
        <v>270</v>
      </c>
      <c r="G391" s="16" t="s">
        <v>224</v>
      </c>
      <c r="H391" s="16" t="s">
        <v>354</v>
      </c>
      <c r="I391" s="15" t="s">
        <v>678</v>
      </c>
      <c r="J391" s="15">
        <v>99</v>
      </c>
      <c r="K391" s="10" t="s">
        <v>955</v>
      </c>
      <c r="L391" s="10" t="s">
        <v>694</v>
      </c>
      <c r="M391" s="19" t="s">
        <v>1431</v>
      </c>
      <c r="N391" s="19"/>
      <c r="Q391" s="16"/>
      <c r="S391" s="1">
        <f t="shared" si="225"/>
        <v>0</v>
      </c>
      <c r="T391" s="1">
        <f t="shared" si="226"/>
        <v>0</v>
      </c>
      <c r="U391" s="1">
        <f t="shared" si="227"/>
        <v>0</v>
      </c>
      <c r="V391" s="1">
        <f t="shared" si="228"/>
        <v>0</v>
      </c>
      <c r="W391" s="1">
        <f t="shared" si="229"/>
        <v>0</v>
      </c>
      <c r="X391" s="1">
        <f t="shared" si="230"/>
        <v>0</v>
      </c>
      <c r="Y391" s="1">
        <f t="shared" si="231"/>
        <v>0</v>
      </c>
      <c r="Z391" s="1">
        <f t="shared" si="232"/>
        <v>0</v>
      </c>
      <c r="AA391" s="1">
        <f t="shared" si="233"/>
        <v>0</v>
      </c>
      <c r="AB391" s="1">
        <f t="shared" si="234"/>
        <v>0</v>
      </c>
      <c r="AD391" s="1">
        <f t="shared" si="235"/>
        <v>0</v>
      </c>
      <c r="AE391" s="1">
        <f t="shared" si="236"/>
        <v>0</v>
      </c>
      <c r="AF391" s="1">
        <f t="shared" si="221"/>
        <v>0</v>
      </c>
      <c r="AG391" s="1">
        <f t="shared" si="222"/>
        <v>0</v>
      </c>
      <c r="AH391" s="1">
        <f t="shared" si="223"/>
        <v>0</v>
      </c>
      <c r="AI391" s="1">
        <f t="shared" si="224"/>
        <v>1</v>
      </c>
    </row>
    <row r="392" spans="1:35" s="1" customFormat="1" ht="14.25" customHeight="1" x14ac:dyDescent="0.3">
      <c r="A392" s="44">
        <v>0</v>
      </c>
      <c r="B392" s="44">
        <v>2</v>
      </c>
      <c r="C392" s="44">
        <v>6</v>
      </c>
      <c r="D392" s="45" t="s">
        <v>639</v>
      </c>
      <c r="E392" s="45" t="s">
        <v>31</v>
      </c>
      <c r="F392" s="45" t="s">
        <v>640</v>
      </c>
      <c r="G392" s="45" t="s">
        <v>240</v>
      </c>
      <c r="H392" s="45" t="s">
        <v>354</v>
      </c>
      <c r="I392" s="44" t="s">
        <v>641</v>
      </c>
      <c r="J392" s="44">
        <v>1</v>
      </c>
      <c r="K392" s="46" t="s">
        <v>713</v>
      </c>
      <c r="L392" s="46" t="s">
        <v>694</v>
      </c>
      <c r="M392" s="47" t="s">
        <v>1432</v>
      </c>
      <c r="N392" s="47" t="s">
        <v>1735</v>
      </c>
      <c r="O392" s="48"/>
      <c r="P392" s="48"/>
      <c r="Q392" s="45"/>
      <c r="S392" s="1">
        <f t="shared" si="225"/>
        <v>1</v>
      </c>
      <c r="T392" s="1">
        <f t="shared" si="226"/>
        <v>0</v>
      </c>
      <c r="U392" s="1">
        <f t="shared" si="227"/>
        <v>0</v>
      </c>
      <c r="V392" s="1">
        <f t="shared" si="228"/>
        <v>0</v>
      </c>
      <c r="W392" s="1">
        <f t="shared" si="229"/>
        <v>0</v>
      </c>
      <c r="X392" s="1">
        <f t="shared" si="230"/>
        <v>0</v>
      </c>
      <c r="Y392" s="1">
        <f t="shared" si="231"/>
        <v>0</v>
      </c>
      <c r="Z392" s="1">
        <f t="shared" si="232"/>
        <v>0</v>
      </c>
      <c r="AA392" s="1">
        <f t="shared" si="233"/>
        <v>0</v>
      </c>
      <c r="AB392" s="1">
        <f t="shared" si="234"/>
        <v>0</v>
      </c>
      <c r="AD392" s="1">
        <f t="shared" si="235"/>
        <v>0</v>
      </c>
      <c r="AE392" s="1">
        <f t="shared" si="236"/>
        <v>0</v>
      </c>
      <c r="AF392" s="1">
        <f t="shared" si="221"/>
        <v>0</v>
      </c>
      <c r="AG392" s="1">
        <f t="shared" si="222"/>
        <v>0</v>
      </c>
      <c r="AH392" s="1">
        <f t="shared" si="223"/>
        <v>0</v>
      </c>
      <c r="AI392" s="1">
        <f t="shared" si="224"/>
        <v>1</v>
      </c>
    </row>
    <row r="393" spans="1:35" s="1" customFormat="1" ht="14.25" customHeight="1" x14ac:dyDescent="0.3">
      <c r="A393" s="44">
        <v>0</v>
      </c>
      <c r="B393" s="44">
        <v>2</v>
      </c>
      <c r="C393" s="44">
        <v>6</v>
      </c>
      <c r="D393" s="45" t="s">
        <v>1135</v>
      </c>
      <c r="E393" s="45" t="s">
        <v>31</v>
      </c>
      <c r="F393" s="45" t="s">
        <v>672</v>
      </c>
      <c r="G393" s="45" t="s">
        <v>200</v>
      </c>
      <c r="H393" s="45" t="s">
        <v>354</v>
      </c>
      <c r="I393" s="44" t="s">
        <v>520</v>
      </c>
      <c r="J393" s="44">
        <v>2</v>
      </c>
      <c r="K393" s="46" t="s">
        <v>712</v>
      </c>
      <c r="L393" s="46" t="s">
        <v>694</v>
      </c>
      <c r="M393" s="47" t="s">
        <v>728</v>
      </c>
      <c r="N393" s="47" t="s">
        <v>1735</v>
      </c>
      <c r="O393" s="48"/>
      <c r="P393" s="48"/>
      <c r="Q393" s="45"/>
      <c r="S393" s="1">
        <f t="shared" si="225"/>
        <v>0</v>
      </c>
      <c r="T393" s="1">
        <f t="shared" si="226"/>
        <v>1</v>
      </c>
      <c r="U393" s="1">
        <f t="shared" si="227"/>
        <v>0</v>
      </c>
      <c r="V393" s="1">
        <f t="shared" si="228"/>
        <v>0</v>
      </c>
      <c r="W393" s="1">
        <f t="shared" si="229"/>
        <v>0</v>
      </c>
      <c r="X393" s="1">
        <f t="shared" si="230"/>
        <v>0</v>
      </c>
      <c r="Y393" s="1">
        <f t="shared" si="231"/>
        <v>0</v>
      </c>
      <c r="Z393" s="1">
        <f t="shared" si="232"/>
        <v>0</v>
      </c>
      <c r="AA393" s="1">
        <f t="shared" si="233"/>
        <v>0</v>
      </c>
      <c r="AB393" s="1">
        <f t="shared" si="234"/>
        <v>0</v>
      </c>
      <c r="AD393" s="1">
        <f t="shared" si="235"/>
        <v>0</v>
      </c>
      <c r="AE393" s="1">
        <f t="shared" si="236"/>
        <v>0</v>
      </c>
      <c r="AF393" s="1">
        <f t="shared" si="221"/>
        <v>0</v>
      </c>
      <c r="AG393" s="1">
        <f t="shared" si="222"/>
        <v>0</v>
      </c>
      <c r="AH393" s="1">
        <f t="shared" si="223"/>
        <v>0</v>
      </c>
      <c r="AI393" s="1">
        <f t="shared" si="224"/>
        <v>1</v>
      </c>
    </row>
    <row r="394" spans="1:35" s="1" customFormat="1" ht="14.25" customHeight="1" x14ac:dyDescent="0.3">
      <c r="A394" s="44">
        <v>0</v>
      </c>
      <c r="B394" s="44">
        <v>2</v>
      </c>
      <c r="C394" s="44">
        <v>6</v>
      </c>
      <c r="D394" s="45" t="s">
        <v>1083</v>
      </c>
      <c r="E394" s="45" t="s">
        <v>159</v>
      </c>
      <c r="F394" s="45" t="s">
        <v>198</v>
      </c>
      <c r="G394" s="45" t="s">
        <v>199</v>
      </c>
      <c r="H394" s="45" t="s">
        <v>354</v>
      </c>
      <c r="I394" s="44" t="s">
        <v>388</v>
      </c>
      <c r="J394" s="44">
        <v>99</v>
      </c>
      <c r="K394" s="46" t="s">
        <v>712</v>
      </c>
      <c r="L394" s="46" t="s">
        <v>716</v>
      </c>
      <c r="M394" s="47" t="s">
        <v>730</v>
      </c>
      <c r="N394" s="47" t="s">
        <v>1734</v>
      </c>
      <c r="O394" s="48"/>
      <c r="P394" s="48"/>
      <c r="Q394" s="45"/>
      <c r="S394" s="1">
        <f t="shared" si="225"/>
        <v>0</v>
      </c>
      <c r="T394" s="1">
        <f t="shared" si="226"/>
        <v>0</v>
      </c>
      <c r="U394" s="1">
        <f t="shared" si="227"/>
        <v>0</v>
      </c>
      <c r="V394" s="1">
        <f t="shared" si="228"/>
        <v>0</v>
      </c>
      <c r="W394" s="1">
        <f t="shared" si="229"/>
        <v>0</v>
      </c>
      <c r="X394" s="1">
        <f t="shared" si="230"/>
        <v>0</v>
      </c>
      <c r="Y394" s="1">
        <f t="shared" si="231"/>
        <v>0</v>
      </c>
      <c r="Z394" s="1">
        <f t="shared" si="232"/>
        <v>0</v>
      </c>
      <c r="AA394" s="1">
        <f t="shared" si="233"/>
        <v>0</v>
      </c>
      <c r="AB394" s="1">
        <f t="shared" si="234"/>
        <v>0</v>
      </c>
      <c r="AD394" s="1">
        <f t="shared" si="235"/>
        <v>0</v>
      </c>
      <c r="AE394" s="1">
        <f t="shared" si="236"/>
        <v>0</v>
      </c>
      <c r="AF394" s="1">
        <f t="shared" si="221"/>
        <v>0</v>
      </c>
      <c r="AG394" s="1">
        <f t="shared" si="222"/>
        <v>0</v>
      </c>
      <c r="AH394" s="1">
        <f t="shared" si="223"/>
        <v>0</v>
      </c>
      <c r="AI394" s="1">
        <f t="shared" si="224"/>
        <v>1</v>
      </c>
    </row>
    <row r="395" spans="1:35" s="1" customFormat="1" ht="14.25" customHeight="1" x14ac:dyDescent="0.3">
      <c r="A395" s="31">
        <v>0</v>
      </c>
      <c r="B395" s="31">
        <v>2</v>
      </c>
      <c r="C395" s="31">
        <v>7</v>
      </c>
      <c r="D395" s="32" t="s">
        <v>509</v>
      </c>
      <c r="E395" s="32" t="s">
        <v>156</v>
      </c>
      <c r="F395" s="32" t="s">
        <v>510</v>
      </c>
      <c r="G395" s="32" t="s">
        <v>39</v>
      </c>
      <c r="H395" s="32" t="s">
        <v>354</v>
      </c>
      <c r="I395" s="31" t="s">
        <v>942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225"/>
        <v>0</v>
      </c>
      <c r="T395" s="1">
        <f t="shared" si="226"/>
        <v>0</v>
      </c>
      <c r="U395" s="1">
        <f t="shared" si="227"/>
        <v>0</v>
      </c>
      <c r="V395" s="1">
        <f t="shared" si="228"/>
        <v>0</v>
      </c>
      <c r="W395" s="1">
        <f t="shared" si="229"/>
        <v>0</v>
      </c>
      <c r="X395" s="1">
        <f t="shared" si="230"/>
        <v>0</v>
      </c>
      <c r="Y395" s="1">
        <f t="shared" si="231"/>
        <v>1</v>
      </c>
      <c r="Z395" s="1">
        <f t="shared" si="232"/>
        <v>0</v>
      </c>
      <c r="AA395" s="1">
        <f t="shared" si="233"/>
        <v>0</v>
      </c>
      <c r="AB395" s="1">
        <f t="shared" si="234"/>
        <v>0</v>
      </c>
      <c r="AD395" s="1">
        <f t="shared" si="235"/>
        <v>1</v>
      </c>
      <c r="AE395" s="1">
        <f t="shared" si="236"/>
        <v>0</v>
      </c>
      <c r="AF395" s="1">
        <f t="shared" si="221"/>
        <v>1</v>
      </c>
      <c r="AG395" s="1">
        <f t="shared" si="222"/>
        <v>0</v>
      </c>
      <c r="AH395" s="1">
        <f t="shared" si="223"/>
        <v>1</v>
      </c>
      <c r="AI395" s="1">
        <f t="shared" si="224"/>
        <v>0</v>
      </c>
    </row>
    <row r="396" spans="1:35" s="1" customFormat="1" ht="14.25" customHeight="1" x14ac:dyDescent="0.3">
      <c r="A396" s="31">
        <v>0</v>
      </c>
      <c r="B396" s="31">
        <v>2</v>
      </c>
      <c r="C396" s="31">
        <v>7</v>
      </c>
      <c r="D396" s="32" t="s">
        <v>70</v>
      </c>
      <c r="E396" s="32" t="s">
        <v>28</v>
      </c>
      <c r="F396" s="32" t="s">
        <v>673</v>
      </c>
      <c r="G396" s="32" t="s">
        <v>258</v>
      </c>
      <c r="H396" s="32" t="s">
        <v>354</v>
      </c>
      <c r="I396" s="31" t="s">
        <v>417</v>
      </c>
      <c r="J396" s="31">
        <v>8</v>
      </c>
      <c r="K396" s="33" t="s">
        <v>713</v>
      </c>
      <c r="L396" s="33" t="s">
        <v>713</v>
      </c>
      <c r="M396" s="34" t="s">
        <v>731</v>
      </c>
      <c r="N396" s="34" t="s">
        <v>1743</v>
      </c>
      <c r="O396" s="35">
        <v>1</v>
      </c>
      <c r="P396" s="35"/>
      <c r="Q396" s="32"/>
      <c r="S396" s="1">
        <f t="shared" si="225"/>
        <v>0</v>
      </c>
      <c r="T396" s="1">
        <f t="shared" si="226"/>
        <v>0</v>
      </c>
      <c r="U396" s="1">
        <f t="shared" si="227"/>
        <v>0</v>
      </c>
      <c r="V396" s="1">
        <f t="shared" si="228"/>
        <v>0</v>
      </c>
      <c r="W396" s="1">
        <f t="shared" si="229"/>
        <v>0</v>
      </c>
      <c r="X396" s="1">
        <f t="shared" si="230"/>
        <v>0</v>
      </c>
      <c r="Y396" s="1">
        <f t="shared" si="231"/>
        <v>0</v>
      </c>
      <c r="Z396" s="1">
        <f t="shared" si="232"/>
        <v>1</v>
      </c>
      <c r="AA396" s="1">
        <f t="shared" si="233"/>
        <v>0</v>
      </c>
      <c r="AB396" s="1">
        <f t="shared" si="234"/>
        <v>0</v>
      </c>
      <c r="AD396" s="1">
        <f t="shared" si="235"/>
        <v>0</v>
      </c>
      <c r="AE396" s="1">
        <f t="shared" si="236"/>
        <v>1</v>
      </c>
      <c r="AF396" s="1">
        <f t="shared" si="221"/>
        <v>0</v>
      </c>
      <c r="AG396" s="1">
        <f t="shared" si="222"/>
        <v>1</v>
      </c>
      <c r="AH396" s="1">
        <f t="shared" si="223"/>
        <v>0</v>
      </c>
      <c r="AI396" s="1">
        <f t="shared" si="224"/>
        <v>1</v>
      </c>
    </row>
    <row r="397" spans="1:35" s="1" customFormat="1" ht="14.25" customHeight="1" x14ac:dyDescent="0.3">
      <c r="A397" s="31">
        <v>0</v>
      </c>
      <c r="B397" s="31">
        <v>2</v>
      </c>
      <c r="C397" s="31">
        <v>7</v>
      </c>
      <c r="D397" s="32" t="s">
        <v>654</v>
      </c>
      <c r="E397" s="32" t="s">
        <v>156</v>
      </c>
      <c r="F397" s="32" t="s">
        <v>585</v>
      </c>
      <c r="G397" s="32" t="s">
        <v>249</v>
      </c>
      <c r="H397" s="32" t="s">
        <v>354</v>
      </c>
      <c r="I397" s="31" t="s">
        <v>679</v>
      </c>
      <c r="J397" s="31">
        <v>7</v>
      </c>
      <c r="K397" s="33" t="s">
        <v>955</v>
      </c>
      <c r="L397" s="33" t="s">
        <v>39</v>
      </c>
      <c r="M397" s="34" t="s">
        <v>39</v>
      </c>
      <c r="N397" s="34" t="s">
        <v>1727</v>
      </c>
      <c r="O397" s="35">
        <v>1</v>
      </c>
      <c r="P397" s="35">
        <v>1</v>
      </c>
      <c r="Q397" s="32"/>
      <c r="S397" s="1">
        <f t="shared" si="225"/>
        <v>0</v>
      </c>
      <c r="T397" s="1">
        <f t="shared" si="226"/>
        <v>0</v>
      </c>
      <c r="U397" s="1">
        <f t="shared" si="227"/>
        <v>0</v>
      </c>
      <c r="V397" s="1">
        <f t="shared" si="228"/>
        <v>0</v>
      </c>
      <c r="W397" s="1">
        <f t="shared" si="229"/>
        <v>0</v>
      </c>
      <c r="X397" s="1">
        <f t="shared" si="230"/>
        <v>0</v>
      </c>
      <c r="Y397" s="1">
        <f t="shared" si="231"/>
        <v>1</v>
      </c>
      <c r="Z397" s="1">
        <f t="shared" si="232"/>
        <v>0</v>
      </c>
      <c r="AA397" s="1">
        <f t="shared" si="233"/>
        <v>0</v>
      </c>
      <c r="AB397" s="1">
        <f t="shared" si="234"/>
        <v>0</v>
      </c>
      <c r="AD397" s="1">
        <f t="shared" si="235"/>
        <v>1</v>
      </c>
      <c r="AE397" s="1">
        <f t="shared" si="236"/>
        <v>0</v>
      </c>
      <c r="AF397" s="1">
        <f t="shared" si="221"/>
        <v>1</v>
      </c>
      <c r="AG397" s="1">
        <f t="shared" si="222"/>
        <v>0</v>
      </c>
      <c r="AH397" s="1">
        <f t="shared" si="223"/>
        <v>1</v>
      </c>
      <c r="AI397" s="1">
        <f t="shared" si="224"/>
        <v>0</v>
      </c>
    </row>
    <row r="398" spans="1:35" s="1" customFormat="1" ht="14.25" customHeight="1" x14ac:dyDescent="0.3">
      <c r="A398" s="44">
        <v>0</v>
      </c>
      <c r="B398" s="44">
        <v>2</v>
      </c>
      <c r="C398" s="44">
        <v>7</v>
      </c>
      <c r="D398" s="45" t="s">
        <v>1634</v>
      </c>
      <c r="E398" s="45" t="s">
        <v>156</v>
      </c>
      <c r="F398" s="45" t="s">
        <v>1657</v>
      </c>
      <c r="G398" s="45" t="s">
        <v>213</v>
      </c>
      <c r="H398" s="45" t="s">
        <v>354</v>
      </c>
      <c r="I398" s="44" t="s">
        <v>594</v>
      </c>
      <c r="J398" s="44">
        <v>1</v>
      </c>
      <c r="K398" s="46" t="s">
        <v>712</v>
      </c>
      <c r="L398" s="46" t="s">
        <v>722</v>
      </c>
      <c r="M398" s="47" t="s">
        <v>1433</v>
      </c>
      <c r="N398" s="47" t="s">
        <v>1735</v>
      </c>
      <c r="O398" s="48"/>
      <c r="P398" s="48"/>
      <c r="Q398" s="45"/>
      <c r="S398" s="1">
        <f t="shared" si="225"/>
        <v>1</v>
      </c>
      <c r="T398" s="1">
        <f t="shared" si="226"/>
        <v>0</v>
      </c>
      <c r="U398" s="1">
        <f t="shared" si="227"/>
        <v>0</v>
      </c>
      <c r="V398" s="1">
        <f t="shared" si="228"/>
        <v>0</v>
      </c>
      <c r="W398" s="1">
        <f t="shared" si="229"/>
        <v>0</v>
      </c>
      <c r="X398" s="1">
        <f t="shared" si="230"/>
        <v>0</v>
      </c>
      <c r="Y398" s="1">
        <f t="shared" si="231"/>
        <v>0</v>
      </c>
      <c r="Z398" s="1">
        <f t="shared" si="232"/>
        <v>0</v>
      </c>
      <c r="AA398" s="1">
        <f t="shared" si="233"/>
        <v>0</v>
      </c>
      <c r="AB398" s="1">
        <f t="shared" si="234"/>
        <v>0</v>
      </c>
      <c r="AD398" s="1">
        <f t="shared" si="235"/>
        <v>0</v>
      </c>
      <c r="AE398" s="1">
        <f t="shared" si="236"/>
        <v>0</v>
      </c>
      <c r="AF398" s="1">
        <f t="shared" si="221"/>
        <v>0</v>
      </c>
      <c r="AG398" s="1">
        <f t="shared" si="222"/>
        <v>0</v>
      </c>
      <c r="AH398" s="1">
        <f t="shared" si="223"/>
        <v>0</v>
      </c>
      <c r="AI398" s="1">
        <f t="shared" si="224"/>
        <v>1</v>
      </c>
    </row>
    <row r="399" spans="1:35" s="1" customFormat="1" ht="14.25" customHeight="1" x14ac:dyDescent="0.3">
      <c r="A399" s="44">
        <v>0</v>
      </c>
      <c r="B399" s="44">
        <v>2</v>
      </c>
      <c r="C399" s="44">
        <v>7</v>
      </c>
      <c r="D399" s="45" t="s">
        <v>1070</v>
      </c>
      <c r="E399" s="45" t="s">
        <v>1046</v>
      </c>
      <c r="F399" s="45" t="s">
        <v>1071</v>
      </c>
      <c r="G399" s="45" t="s">
        <v>213</v>
      </c>
      <c r="H399" s="45" t="s">
        <v>354</v>
      </c>
      <c r="I399" s="44" t="s">
        <v>1072</v>
      </c>
      <c r="J399" s="44">
        <v>1</v>
      </c>
      <c r="K399" s="46" t="s">
        <v>955</v>
      </c>
      <c r="L399" s="46" t="s">
        <v>722</v>
      </c>
      <c r="M399" s="47" t="s">
        <v>1434</v>
      </c>
      <c r="N399" s="47" t="s">
        <v>1735</v>
      </c>
      <c r="O399" s="48"/>
      <c r="P399" s="48"/>
      <c r="Q399" s="45" t="s">
        <v>1918</v>
      </c>
      <c r="S399" s="1">
        <f t="shared" si="225"/>
        <v>1</v>
      </c>
      <c r="T399" s="1">
        <f t="shared" si="226"/>
        <v>0</v>
      </c>
      <c r="U399" s="1">
        <f t="shared" si="227"/>
        <v>0</v>
      </c>
      <c r="V399" s="1">
        <f t="shared" si="228"/>
        <v>0</v>
      </c>
      <c r="W399" s="1">
        <f t="shared" si="229"/>
        <v>0</v>
      </c>
      <c r="X399" s="1">
        <f t="shared" si="230"/>
        <v>0</v>
      </c>
      <c r="Y399" s="1">
        <f t="shared" si="231"/>
        <v>0</v>
      </c>
      <c r="Z399" s="1">
        <f t="shared" si="232"/>
        <v>0</v>
      </c>
      <c r="AA399" s="1">
        <f t="shared" si="233"/>
        <v>0</v>
      </c>
      <c r="AB399" s="1">
        <f t="shared" si="234"/>
        <v>0</v>
      </c>
      <c r="AD399" s="1">
        <f t="shared" si="235"/>
        <v>0</v>
      </c>
      <c r="AE399" s="1">
        <f t="shared" si="236"/>
        <v>0</v>
      </c>
      <c r="AF399" s="1">
        <f t="shared" si="221"/>
        <v>0</v>
      </c>
      <c r="AG399" s="1">
        <f t="shared" si="222"/>
        <v>0</v>
      </c>
      <c r="AH399" s="1">
        <f t="shared" si="223"/>
        <v>0</v>
      </c>
      <c r="AI399" s="1">
        <f t="shared" si="224"/>
        <v>1</v>
      </c>
    </row>
    <row r="400" spans="1:35" s="1" customFormat="1" ht="14.25" customHeight="1" x14ac:dyDescent="0.3">
      <c r="A400" s="31">
        <v>0</v>
      </c>
      <c r="B400" s="31">
        <v>2</v>
      </c>
      <c r="C400" s="31">
        <v>7</v>
      </c>
      <c r="D400" s="32" t="s">
        <v>1017</v>
      </c>
      <c r="E400" s="32" t="s">
        <v>156</v>
      </c>
      <c r="F400" s="32" t="s">
        <v>1088</v>
      </c>
      <c r="G400" s="32" t="s">
        <v>1098</v>
      </c>
      <c r="H400" s="32" t="s">
        <v>354</v>
      </c>
      <c r="I400" s="31" t="s">
        <v>1018</v>
      </c>
      <c r="J400" s="31">
        <v>99</v>
      </c>
      <c r="K400" s="33" t="s">
        <v>713</v>
      </c>
      <c r="L400" s="33" t="s">
        <v>722</v>
      </c>
      <c r="M400" s="34" t="s">
        <v>1434</v>
      </c>
      <c r="N400" s="34" t="s">
        <v>1748</v>
      </c>
      <c r="O400" s="35">
        <v>1</v>
      </c>
      <c r="P400" s="35"/>
      <c r="Q400" s="32"/>
      <c r="S400" s="1">
        <f t="shared" si="225"/>
        <v>0</v>
      </c>
      <c r="T400" s="1">
        <f t="shared" si="226"/>
        <v>0</v>
      </c>
      <c r="U400" s="1">
        <f t="shared" si="227"/>
        <v>0</v>
      </c>
      <c r="V400" s="1">
        <f t="shared" si="228"/>
        <v>0</v>
      </c>
      <c r="W400" s="1">
        <f t="shared" si="229"/>
        <v>0</v>
      </c>
      <c r="X400" s="1">
        <f t="shared" si="230"/>
        <v>0</v>
      </c>
      <c r="Y400" s="1">
        <f t="shared" si="231"/>
        <v>0</v>
      </c>
      <c r="Z400" s="1">
        <f t="shared" si="232"/>
        <v>0</v>
      </c>
      <c r="AA400" s="1">
        <f t="shared" si="233"/>
        <v>0</v>
      </c>
      <c r="AB400" s="1">
        <f t="shared" si="234"/>
        <v>0</v>
      </c>
      <c r="AD400" s="1">
        <f t="shared" si="235"/>
        <v>0</v>
      </c>
      <c r="AE400" s="1">
        <f t="shared" si="236"/>
        <v>1</v>
      </c>
      <c r="AF400" s="1">
        <f t="shared" si="221"/>
        <v>0</v>
      </c>
      <c r="AG400" s="1">
        <f t="shared" si="222"/>
        <v>1</v>
      </c>
      <c r="AH400" s="1">
        <f t="shared" si="223"/>
        <v>0</v>
      </c>
      <c r="AI400" s="1">
        <f t="shared" si="224"/>
        <v>1</v>
      </c>
    </row>
    <row r="401" spans="1:35" s="1" customFormat="1" ht="14.25" customHeight="1" x14ac:dyDescent="0.3">
      <c r="A401" s="31">
        <v>0</v>
      </c>
      <c r="B401" s="31">
        <v>2</v>
      </c>
      <c r="C401" s="31">
        <v>7</v>
      </c>
      <c r="D401" s="32" t="s">
        <v>1205</v>
      </c>
      <c r="E401" s="32" t="s">
        <v>1332</v>
      </c>
      <c r="F401" s="32" t="s">
        <v>1206</v>
      </c>
      <c r="G401" s="32" t="s">
        <v>39</v>
      </c>
      <c r="H401" s="32" t="s">
        <v>354</v>
      </c>
      <c r="I401" s="31" t="s">
        <v>1685</v>
      </c>
      <c r="J401" s="31">
        <v>99</v>
      </c>
      <c r="K401" s="33" t="s">
        <v>955</v>
      </c>
      <c r="L401" s="33" t="s">
        <v>729</v>
      </c>
      <c r="M401" s="34" t="s">
        <v>1435</v>
      </c>
      <c r="N401" s="34" t="s">
        <v>1748</v>
      </c>
      <c r="O401" s="35">
        <v>1</v>
      </c>
      <c r="P401" s="35"/>
      <c r="Q401" s="32"/>
      <c r="S401" s="1">
        <f t="shared" si="225"/>
        <v>0</v>
      </c>
      <c r="T401" s="1">
        <f t="shared" si="226"/>
        <v>0</v>
      </c>
      <c r="U401" s="1">
        <f t="shared" si="227"/>
        <v>0</v>
      </c>
      <c r="V401" s="1">
        <f t="shared" si="228"/>
        <v>0</v>
      </c>
      <c r="W401" s="1">
        <f t="shared" si="229"/>
        <v>0</v>
      </c>
      <c r="X401" s="1">
        <f t="shared" si="230"/>
        <v>0</v>
      </c>
      <c r="Y401" s="1">
        <f t="shared" si="231"/>
        <v>0</v>
      </c>
      <c r="Z401" s="1">
        <f t="shared" si="232"/>
        <v>0</v>
      </c>
      <c r="AA401" s="1">
        <f t="shared" si="233"/>
        <v>0</v>
      </c>
      <c r="AB401" s="1">
        <f t="shared" si="234"/>
        <v>0</v>
      </c>
      <c r="AD401" s="1">
        <f t="shared" si="235"/>
        <v>0</v>
      </c>
      <c r="AE401" s="1">
        <f t="shared" si="236"/>
        <v>1</v>
      </c>
      <c r="AF401" s="1">
        <f t="shared" si="221"/>
        <v>0</v>
      </c>
      <c r="AG401" s="1">
        <f t="shared" si="222"/>
        <v>1</v>
      </c>
      <c r="AH401" s="1">
        <f t="shared" si="223"/>
        <v>0</v>
      </c>
      <c r="AI401" s="1">
        <f t="shared" si="224"/>
        <v>1</v>
      </c>
    </row>
    <row r="402" spans="1:35" s="1" customFormat="1" ht="14.25" customHeight="1" x14ac:dyDescent="0.3">
      <c r="A402" s="31">
        <v>0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644</v>
      </c>
      <c r="G402" s="32" t="s">
        <v>535</v>
      </c>
      <c r="H402" s="32" t="s">
        <v>354</v>
      </c>
      <c r="I402" s="31" t="s">
        <v>394</v>
      </c>
      <c r="J402" s="31">
        <v>6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225"/>
        <v>0</v>
      </c>
      <c r="T402" s="1">
        <f t="shared" si="226"/>
        <v>0</v>
      </c>
      <c r="U402" s="1">
        <f t="shared" si="227"/>
        <v>0</v>
      </c>
      <c r="V402" s="1">
        <f t="shared" si="228"/>
        <v>0</v>
      </c>
      <c r="W402" s="1">
        <f t="shared" si="229"/>
        <v>0</v>
      </c>
      <c r="X402" s="1">
        <f t="shared" si="230"/>
        <v>1</v>
      </c>
      <c r="Y402" s="1">
        <f t="shared" si="231"/>
        <v>0</v>
      </c>
      <c r="Z402" s="1">
        <f t="shared" si="232"/>
        <v>0</v>
      </c>
      <c r="AA402" s="1">
        <f t="shared" si="233"/>
        <v>0</v>
      </c>
      <c r="AB402" s="1">
        <f t="shared" si="234"/>
        <v>0</v>
      </c>
      <c r="AD402" s="1">
        <f t="shared" si="235"/>
        <v>0</v>
      </c>
      <c r="AE402" s="1">
        <f t="shared" si="236"/>
        <v>1</v>
      </c>
      <c r="AF402" s="1">
        <f t="shared" si="221"/>
        <v>0</v>
      </c>
      <c r="AG402" s="1">
        <f t="shared" si="222"/>
        <v>1</v>
      </c>
      <c r="AH402" s="1">
        <f t="shared" si="223"/>
        <v>0</v>
      </c>
      <c r="AI402" s="1">
        <f t="shared" si="224"/>
        <v>1</v>
      </c>
    </row>
    <row r="403" spans="1:35" s="1" customFormat="1" ht="14.25" customHeight="1" x14ac:dyDescent="0.3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216</v>
      </c>
      <c r="G403" s="32" t="s">
        <v>39</v>
      </c>
      <c r="H403" s="32" t="s">
        <v>354</v>
      </c>
      <c r="I403" s="31" t="s">
        <v>30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25"/>
        <v>0</v>
      </c>
      <c r="T403" s="1">
        <f t="shared" si="226"/>
        <v>0</v>
      </c>
      <c r="U403" s="1">
        <f t="shared" si="227"/>
        <v>0</v>
      </c>
      <c r="V403" s="1">
        <f t="shared" si="228"/>
        <v>0</v>
      </c>
      <c r="W403" s="1">
        <f t="shared" si="229"/>
        <v>0</v>
      </c>
      <c r="X403" s="1">
        <f t="shared" si="230"/>
        <v>0</v>
      </c>
      <c r="Y403" s="1">
        <f t="shared" si="231"/>
        <v>0</v>
      </c>
      <c r="Z403" s="1">
        <f t="shared" si="232"/>
        <v>0</v>
      </c>
      <c r="AA403" s="1">
        <f t="shared" si="233"/>
        <v>0</v>
      </c>
      <c r="AB403" s="1">
        <f t="shared" si="234"/>
        <v>0</v>
      </c>
      <c r="AD403" s="1">
        <f t="shared" si="235"/>
        <v>0</v>
      </c>
      <c r="AE403" s="1">
        <f t="shared" si="236"/>
        <v>1</v>
      </c>
      <c r="AF403" s="1">
        <f t="shared" ref="AF403:AF468" si="277">+O403*P403*(1-A403)</f>
        <v>0</v>
      </c>
      <c r="AG403" s="1">
        <f t="shared" ref="AG403:AG468" si="278">O403*(1-P403)*(1-A403)</f>
        <v>0</v>
      </c>
      <c r="AH403" s="1">
        <f t="shared" ref="AH403:AH468" si="279">+P403*(1-A403)</f>
        <v>0</v>
      </c>
      <c r="AI403" s="1">
        <f t="shared" ref="AI403:AI468" si="280">+(1-A403)*(1-P403)</f>
        <v>0</v>
      </c>
    </row>
    <row r="404" spans="1:35" s="1" customFormat="1" ht="14.25" customHeight="1" x14ac:dyDescent="0.3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215</v>
      </c>
      <c r="G404" s="32" t="s">
        <v>39</v>
      </c>
      <c r="H404" s="32" t="s">
        <v>354</v>
      </c>
      <c r="I404" s="31" t="s">
        <v>394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25"/>
        <v>0</v>
      </c>
      <c r="T404" s="1">
        <f t="shared" si="226"/>
        <v>0</v>
      </c>
      <c r="U404" s="1">
        <f t="shared" si="227"/>
        <v>0</v>
      </c>
      <c r="V404" s="1">
        <f t="shared" si="228"/>
        <v>0</v>
      </c>
      <c r="W404" s="1">
        <f t="shared" si="229"/>
        <v>0</v>
      </c>
      <c r="X404" s="1">
        <f t="shared" si="230"/>
        <v>0</v>
      </c>
      <c r="Y404" s="1">
        <f t="shared" si="231"/>
        <v>0</v>
      </c>
      <c r="Z404" s="1">
        <f t="shared" si="232"/>
        <v>0</v>
      </c>
      <c r="AA404" s="1">
        <f t="shared" si="233"/>
        <v>0</v>
      </c>
      <c r="AB404" s="1">
        <f t="shared" si="234"/>
        <v>0</v>
      </c>
      <c r="AD404" s="1">
        <f t="shared" si="235"/>
        <v>0</v>
      </c>
      <c r="AE404" s="1">
        <f t="shared" si="236"/>
        <v>1</v>
      </c>
      <c r="AF404" s="1">
        <f t="shared" si="277"/>
        <v>0</v>
      </c>
      <c r="AG404" s="1">
        <f t="shared" si="278"/>
        <v>0</v>
      </c>
      <c r="AH404" s="1">
        <f t="shared" si="279"/>
        <v>0</v>
      </c>
      <c r="AI404" s="1">
        <f t="shared" si="280"/>
        <v>0</v>
      </c>
    </row>
    <row r="405" spans="1:35" s="1" customFormat="1" ht="14.25" customHeight="1" x14ac:dyDescent="0.3">
      <c r="A405" s="31">
        <v>1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217</v>
      </c>
      <c r="G405" s="32" t="s">
        <v>218</v>
      </c>
      <c r="H405" s="32" t="s">
        <v>354</v>
      </c>
      <c r="I405" s="31" t="s">
        <v>395</v>
      </c>
      <c r="J405" s="31">
        <v>99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25"/>
        <v>0</v>
      </c>
      <c r="T405" s="1">
        <f t="shared" si="226"/>
        <v>0</v>
      </c>
      <c r="U405" s="1">
        <f t="shared" si="227"/>
        <v>0</v>
      </c>
      <c r="V405" s="1">
        <f t="shared" si="228"/>
        <v>0</v>
      </c>
      <c r="W405" s="1">
        <f t="shared" si="229"/>
        <v>0</v>
      </c>
      <c r="X405" s="1">
        <f t="shared" si="230"/>
        <v>0</v>
      </c>
      <c r="Y405" s="1">
        <f t="shared" si="231"/>
        <v>0</v>
      </c>
      <c r="Z405" s="1">
        <f t="shared" si="232"/>
        <v>0</v>
      </c>
      <c r="AA405" s="1">
        <f t="shared" si="233"/>
        <v>0</v>
      </c>
      <c r="AB405" s="1">
        <f t="shared" si="234"/>
        <v>0</v>
      </c>
      <c r="AD405" s="1">
        <f t="shared" si="235"/>
        <v>0</v>
      </c>
      <c r="AE405" s="1">
        <f t="shared" si="236"/>
        <v>1</v>
      </c>
      <c r="AF405" s="1">
        <f t="shared" si="277"/>
        <v>0</v>
      </c>
      <c r="AG405" s="1">
        <f t="shared" si="278"/>
        <v>0</v>
      </c>
      <c r="AH405" s="1">
        <f t="shared" si="279"/>
        <v>0</v>
      </c>
      <c r="AI405" s="1">
        <f t="shared" si="280"/>
        <v>0</v>
      </c>
    </row>
    <row r="406" spans="1:35" s="1" customFormat="1" ht="14.25" customHeight="1" x14ac:dyDescent="0.3">
      <c r="A406" s="31">
        <v>0</v>
      </c>
      <c r="B406" s="31">
        <v>2</v>
      </c>
      <c r="C406" s="31">
        <v>7</v>
      </c>
      <c r="D406" s="36" t="s">
        <v>2054</v>
      </c>
      <c r="E406" s="36" t="s">
        <v>156</v>
      </c>
      <c r="F406" s="36" t="s">
        <v>2055</v>
      </c>
      <c r="G406" s="36" t="s">
        <v>220</v>
      </c>
      <c r="H406" s="36" t="s">
        <v>354</v>
      </c>
      <c r="I406" s="37" t="s">
        <v>2056</v>
      </c>
      <c r="J406" s="31">
        <v>99</v>
      </c>
      <c r="K406" s="33" t="s">
        <v>703</v>
      </c>
      <c r="L406" s="33">
        <v>10</v>
      </c>
      <c r="M406" s="34" t="s">
        <v>2057</v>
      </c>
      <c r="N406" s="34" t="s">
        <v>1748</v>
      </c>
      <c r="O406" s="35">
        <v>1</v>
      </c>
      <c r="P406" s="35"/>
      <c r="Q406" s="32"/>
      <c r="S406" s="1">
        <f t="shared" si="225"/>
        <v>0</v>
      </c>
      <c r="T406" s="1">
        <f t="shared" si="226"/>
        <v>0</v>
      </c>
      <c r="U406" s="1">
        <f t="shared" si="227"/>
        <v>0</v>
      </c>
      <c r="V406" s="1">
        <f t="shared" si="228"/>
        <v>0</v>
      </c>
      <c r="W406" s="1">
        <f t="shared" si="229"/>
        <v>0</v>
      </c>
      <c r="X406" s="1">
        <f t="shared" si="230"/>
        <v>0</v>
      </c>
      <c r="Y406" s="1">
        <f t="shared" si="231"/>
        <v>0</v>
      </c>
      <c r="Z406" s="1">
        <f t="shared" si="232"/>
        <v>0</v>
      </c>
      <c r="AA406" s="1">
        <f t="shared" si="233"/>
        <v>0</v>
      </c>
      <c r="AB406" s="1">
        <f t="shared" si="234"/>
        <v>0</v>
      </c>
      <c r="AD406" s="1">
        <f t="shared" si="235"/>
        <v>0</v>
      </c>
      <c r="AE406" s="1">
        <f t="shared" si="236"/>
        <v>1</v>
      </c>
      <c r="AF406" s="1">
        <f t="shared" si="277"/>
        <v>0</v>
      </c>
      <c r="AG406" s="1">
        <f t="shared" si="278"/>
        <v>1</v>
      </c>
      <c r="AH406" s="1">
        <f t="shared" si="279"/>
        <v>0</v>
      </c>
      <c r="AI406" s="1">
        <f t="shared" si="280"/>
        <v>1</v>
      </c>
    </row>
    <row r="407" spans="1:35" s="1" customFormat="1" ht="14.25" customHeight="1" x14ac:dyDescent="0.3">
      <c r="A407" s="44">
        <v>0</v>
      </c>
      <c r="B407" s="44">
        <v>2</v>
      </c>
      <c r="C407" s="44">
        <v>7</v>
      </c>
      <c r="D407" s="45" t="s">
        <v>68</v>
      </c>
      <c r="E407" s="45" t="s">
        <v>28</v>
      </c>
      <c r="F407" s="45" t="s">
        <v>253</v>
      </c>
      <c r="G407" s="45" t="s">
        <v>254</v>
      </c>
      <c r="H407" s="45" t="s">
        <v>354</v>
      </c>
      <c r="I407" s="44" t="s">
        <v>414</v>
      </c>
      <c r="J407" s="44">
        <v>99</v>
      </c>
      <c r="K407" s="46" t="s">
        <v>713</v>
      </c>
      <c r="L407" s="46" t="s">
        <v>713</v>
      </c>
      <c r="M407" s="47" t="s">
        <v>731</v>
      </c>
      <c r="N407" s="47" t="s">
        <v>1802</v>
      </c>
      <c r="O407" s="48"/>
      <c r="P407" s="48"/>
      <c r="Q407" s="45"/>
      <c r="S407" s="1">
        <f t="shared" ref="S407:S413" si="281">IF(J407=$S$7,1,0)</f>
        <v>0</v>
      </c>
      <c r="T407" s="1">
        <f t="shared" ref="T407:T413" si="282">IF(J407=$T$7,1,0)</f>
        <v>0</v>
      </c>
      <c r="U407" s="1">
        <f t="shared" ref="U407:U413" si="283">IF(J407=$U$7,1,0)</f>
        <v>0</v>
      </c>
      <c r="V407" s="1">
        <f t="shared" ref="V407:V413" si="284">IF(J407=$V$7,1,0)</f>
        <v>0</v>
      </c>
      <c r="W407" s="1">
        <f t="shared" ref="W407:W413" si="285">IF(J407=$W$7,1,0)</f>
        <v>0</v>
      </c>
      <c r="X407" s="1">
        <f t="shared" ref="X407:X413" si="286">IF(J407=$X$7,1,0)</f>
        <v>0</v>
      </c>
      <c r="Y407" s="1">
        <f t="shared" ref="Y407:Y413" si="287">IF(J407=$Y$7,1,0)</f>
        <v>0</v>
      </c>
      <c r="Z407" s="1">
        <f t="shared" ref="Z407:Z413" si="288">IF(J407=$Z$7,1,0)</f>
        <v>0</v>
      </c>
      <c r="AA407" s="1">
        <f t="shared" ref="AA407:AA413" si="289">IF(J407=$AA$7,1,0)</f>
        <v>0</v>
      </c>
      <c r="AB407" s="1">
        <f t="shared" ref="AB407:AB413" si="290">IF(J407=$AB$7,1,0)</f>
        <v>0</v>
      </c>
      <c r="AD407" s="1">
        <f t="shared" ref="AD407:AD413" si="291">+O407*P407</f>
        <v>0</v>
      </c>
      <c r="AE407" s="1">
        <f t="shared" ref="AE407:AE413" si="292">O407*(1-P407)</f>
        <v>0</v>
      </c>
      <c r="AF407" s="1">
        <f t="shared" ref="AF407:AF413" si="293">+O407*P407*(1-A407)</f>
        <v>0</v>
      </c>
      <c r="AG407" s="1">
        <f t="shared" ref="AG407:AG413" si="294">O407*(1-P407)*(1-A407)</f>
        <v>0</v>
      </c>
      <c r="AH407" s="1">
        <f t="shared" ref="AH407:AH413" si="295">+P407*(1-A407)</f>
        <v>0</v>
      </c>
      <c r="AI407" s="1">
        <f t="shared" ref="AI407:AI413" si="296">+(1-A407)*(1-P407)</f>
        <v>1</v>
      </c>
    </row>
    <row r="408" spans="1:35" s="1" customFormat="1" ht="14.25" customHeight="1" x14ac:dyDescent="0.3">
      <c r="A408" s="31">
        <v>0</v>
      </c>
      <c r="B408" s="31">
        <v>2</v>
      </c>
      <c r="C408" s="31">
        <v>7</v>
      </c>
      <c r="D408" s="32" t="s">
        <v>2018</v>
      </c>
      <c r="E408" s="32" t="s">
        <v>28</v>
      </c>
      <c r="F408" s="32" t="s">
        <v>2020</v>
      </c>
      <c r="G408" s="32" t="s">
        <v>1104</v>
      </c>
      <c r="H408" s="32" t="s">
        <v>354</v>
      </c>
      <c r="I408" s="31" t="s">
        <v>2021</v>
      </c>
      <c r="J408" s="31">
        <v>1</v>
      </c>
      <c r="K408" s="33" t="s">
        <v>703</v>
      </c>
      <c r="L408" s="33"/>
      <c r="M408" s="34"/>
      <c r="N408" s="34" t="s">
        <v>1727</v>
      </c>
      <c r="O408" s="35">
        <v>1</v>
      </c>
      <c r="P408" s="35">
        <v>1</v>
      </c>
      <c r="Q408" s="32" t="s">
        <v>2023</v>
      </c>
      <c r="S408" s="1">
        <f t="shared" si="281"/>
        <v>1</v>
      </c>
      <c r="T408" s="1">
        <f t="shared" si="282"/>
        <v>0</v>
      </c>
      <c r="U408" s="1">
        <f t="shared" si="283"/>
        <v>0</v>
      </c>
      <c r="V408" s="1">
        <f t="shared" si="284"/>
        <v>0</v>
      </c>
      <c r="W408" s="1">
        <f t="shared" si="285"/>
        <v>0</v>
      </c>
      <c r="X408" s="1">
        <f t="shared" si="286"/>
        <v>0</v>
      </c>
      <c r="Y408" s="1">
        <f t="shared" si="287"/>
        <v>0</v>
      </c>
      <c r="Z408" s="1">
        <f t="shared" si="288"/>
        <v>0</v>
      </c>
      <c r="AA408" s="1">
        <f t="shared" si="289"/>
        <v>0</v>
      </c>
      <c r="AB408" s="1">
        <f t="shared" si="290"/>
        <v>0</v>
      </c>
      <c r="AD408" s="1">
        <f t="shared" si="291"/>
        <v>1</v>
      </c>
      <c r="AE408" s="1">
        <f t="shared" si="292"/>
        <v>0</v>
      </c>
      <c r="AF408" s="1">
        <f t="shared" si="293"/>
        <v>1</v>
      </c>
      <c r="AG408" s="1">
        <f t="shared" si="294"/>
        <v>0</v>
      </c>
      <c r="AH408" s="1">
        <f t="shared" si="295"/>
        <v>1</v>
      </c>
      <c r="AI408" s="1">
        <f t="shared" si="296"/>
        <v>0</v>
      </c>
    </row>
    <row r="409" spans="1:35" s="1" customFormat="1" ht="14.25" customHeight="1" x14ac:dyDescent="0.3">
      <c r="A409" s="31">
        <v>1</v>
      </c>
      <c r="B409" s="31">
        <v>2</v>
      </c>
      <c r="C409" s="31">
        <v>7</v>
      </c>
      <c r="D409" s="32" t="s">
        <v>2018</v>
      </c>
      <c r="E409" s="32" t="s">
        <v>28</v>
      </c>
      <c r="F409" s="32" t="s">
        <v>2019</v>
      </c>
      <c r="G409" s="36" t="s">
        <v>2025</v>
      </c>
      <c r="H409" s="32" t="s">
        <v>354</v>
      </c>
      <c r="I409" s="31" t="s">
        <v>2022</v>
      </c>
      <c r="J409" s="31">
        <v>8</v>
      </c>
      <c r="K409" s="33" t="s">
        <v>703</v>
      </c>
      <c r="L409" s="33"/>
      <c r="M409" s="34"/>
      <c r="N409" s="34" t="s">
        <v>1727</v>
      </c>
      <c r="O409" s="35">
        <v>1</v>
      </c>
      <c r="P409" s="35">
        <v>1</v>
      </c>
      <c r="Q409" s="32" t="s">
        <v>2024</v>
      </c>
      <c r="S409" s="1">
        <f t="shared" si="281"/>
        <v>0</v>
      </c>
      <c r="T409" s="1">
        <f t="shared" si="282"/>
        <v>0</v>
      </c>
      <c r="U409" s="1">
        <f t="shared" si="283"/>
        <v>0</v>
      </c>
      <c r="V409" s="1">
        <f t="shared" si="284"/>
        <v>0</v>
      </c>
      <c r="W409" s="1">
        <f t="shared" si="285"/>
        <v>0</v>
      </c>
      <c r="X409" s="1">
        <f t="shared" si="286"/>
        <v>0</v>
      </c>
      <c r="Y409" s="1">
        <f t="shared" si="287"/>
        <v>0</v>
      </c>
      <c r="Z409" s="1">
        <f t="shared" si="288"/>
        <v>1</v>
      </c>
      <c r="AA409" s="1">
        <f t="shared" si="289"/>
        <v>0</v>
      </c>
      <c r="AB409" s="1">
        <f t="shared" si="290"/>
        <v>0</v>
      </c>
      <c r="AD409" s="1">
        <f t="shared" si="291"/>
        <v>1</v>
      </c>
      <c r="AE409" s="1">
        <f t="shared" si="292"/>
        <v>0</v>
      </c>
      <c r="AF409" s="1">
        <f t="shared" si="293"/>
        <v>0</v>
      </c>
      <c r="AG409" s="1">
        <f t="shared" si="294"/>
        <v>0</v>
      </c>
      <c r="AH409" s="1">
        <f t="shared" si="295"/>
        <v>0</v>
      </c>
      <c r="AI409" s="1">
        <f t="shared" si="296"/>
        <v>0</v>
      </c>
    </row>
    <row r="410" spans="1:35" s="1" customFormat="1" ht="14.25" customHeight="1" x14ac:dyDescent="0.3">
      <c r="A410" s="31">
        <v>0</v>
      </c>
      <c r="B410" s="31">
        <v>2</v>
      </c>
      <c r="C410" s="31">
        <v>7</v>
      </c>
      <c r="D410" s="32" t="s">
        <v>69</v>
      </c>
      <c r="E410" s="32" t="s">
        <v>28</v>
      </c>
      <c r="F410" s="32" t="s">
        <v>255</v>
      </c>
      <c r="G410" s="36" t="s">
        <v>207</v>
      </c>
      <c r="H410" s="32" t="s">
        <v>354</v>
      </c>
      <c r="I410" s="31" t="s">
        <v>415</v>
      </c>
      <c r="J410" s="31">
        <v>99</v>
      </c>
      <c r="K410" s="33" t="s">
        <v>955</v>
      </c>
      <c r="L410" s="33" t="s">
        <v>713</v>
      </c>
      <c r="M410" s="34" t="s">
        <v>731</v>
      </c>
      <c r="N410" s="34" t="s">
        <v>1733</v>
      </c>
      <c r="O410" s="35">
        <v>1</v>
      </c>
      <c r="P410" s="35">
        <v>1</v>
      </c>
      <c r="Q410" s="32"/>
      <c r="S410" s="1">
        <f t="shared" si="281"/>
        <v>0</v>
      </c>
      <c r="T410" s="1">
        <f t="shared" si="282"/>
        <v>0</v>
      </c>
      <c r="U410" s="1">
        <f t="shared" si="283"/>
        <v>0</v>
      </c>
      <c r="V410" s="1">
        <f t="shared" si="284"/>
        <v>0</v>
      </c>
      <c r="W410" s="1">
        <f t="shared" si="285"/>
        <v>0</v>
      </c>
      <c r="X410" s="1">
        <f t="shared" si="286"/>
        <v>0</v>
      </c>
      <c r="Y410" s="1">
        <f t="shared" si="287"/>
        <v>0</v>
      </c>
      <c r="Z410" s="1">
        <f t="shared" si="288"/>
        <v>0</v>
      </c>
      <c r="AA410" s="1">
        <f t="shared" si="289"/>
        <v>0</v>
      </c>
      <c r="AB410" s="1">
        <f t="shared" si="290"/>
        <v>0</v>
      </c>
      <c r="AD410" s="1">
        <f t="shared" si="291"/>
        <v>1</v>
      </c>
      <c r="AE410" s="1">
        <f t="shared" si="292"/>
        <v>0</v>
      </c>
      <c r="AF410" s="1">
        <f t="shared" si="293"/>
        <v>1</v>
      </c>
      <c r="AG410" s="1">
        <f t="shared" si="294"/>
        <v>0</v>
      </c>
      <c r="AH410" s="1">
        <f t="shared" si="295"/>
        <v>1</v>
      </c>
      <c r="AI410" s="1">
        <f t="shared" si="296"/>
        <v>0</v>
      </c>
    </row>
    <row r="411" spans="1:35" s="1" customFormat="1" ht="14.25" customHeight="1" x14ac:dyDescent="0.3">
      <c r="A411" s="31">
        <v>1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1874</v>
      </c>
      <c r="G411" s="36" t="s">
        <v>256</v>
      </c>
      <c r="H411" s="32" t="s">
        <v>354</v>
      </c>
      <c r="I411" s="31" t="s">
        <v>416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81"/>
        <v>0</v>
      </c>
      <c r="T411" s="1">
        <f t="shared" si="282"/>
        <v>0</v>
      </c>
      <c r="U411" s="1">
        <f t="shared" si="283"/>
        <v>0</v>
      </c>
      <c r="V411" s="1">
        <f t="shared" si="284"/>
        <v>0</v>
      </c>
      <c r="W411" s="1">
        <f t="shared" si="285"/>
        <v>0</v>
      </c>
      <c r="X411" s="1">
        <f t="shared" si="286"/>
        <v>0</v>
      </c>
      <c r="Y411" s="1">
        <f t="shared" si="287"/>
        <v>0</v>
      </c>
      <c r="Z411" s="1">
        <f t="shared" si="288"/>
        <v>0</v>
      </c>
      <c r="AA411" s="1">
        <f t="shared" si="289"/>
        <v>0</v>
      </c>
      <c r="AB411" s="1">
        <f t="shared" si="290"/>
        <v>0</v>
      </c>
      <c r="AD411" s="1">
        <f t="shared" si="291"/>
        <v>1</v>
      </c>
      <c r="AE411" s="1">
        <f t="shared" si="292"/>
        <v>0</v>
      </c>
      <c r="AF411" s="1">
        <f t="shared" si="293"/>
        <v>0</v>
      </c>
      <c r="AG411" s="1">
        <f t="shared" si="294"/>
        <v>0</v>
      </c>
      <c r="AH411" s="1">
        <f t="shared" si="295"/>
        <v>0</v>
      </c>
      <c r="AI411" s="1">
        <f t="shared" si="296"/>
        <v>0</v>
      </c>
    </row>
    <row r="412" spans="1:35" s="1" customFormat="1" ht="14.25" customHeight="1" x14ac:dyDescent="0.3">
      <c r="A412" s="31">
        <v>1</v>
      </c>
      <c r="B412" s="31">
        <v>2</v>
      </c>
      <c r="C412" s="31">
        <v>7</v>
      </c>
      <c r="D412" s="32" t="s">
        <v>69</v>
      </c>
      <c r="E412" s="32" t="s">
        <v>28</v>
      </c>
      <c r="F412" s="32" t="s">
        <v>570</v>
      </c>
      <c r="G412" s="36" t="s">
        <v>571</v>
      </c>
      <c r="H412" s="32" t="s">
        <v>354</v>
      </c>
      <c r="I412" s="31" t="s">
        <v>580</v>
      </c>
      <c r="J412" s="31">
        <v>99</v>
      </c>
      <c r="K412" s="33" t="s">
        <v>955</v>
      </c>
      <c r="L412" s="33" t="s">
        <v>713</v>
      </c>
      <c r="M412" s="34" t="s">
        <v>731</v>
      </c>
      <c r="N412" s="34" t="s">
        <v>1733</v>
      </c>
      <c r="O412" s="35">
        <v>1</v>
      </c>
      <c r="P412" s="35">
        <v>1</v>
      </c>
      <c r="Q412" s="32"/>
      <c r="S412" s="1">
        <f t="shared" si="281"/>
        <v>0</v>
      </c>
      <c r="T412" s="1">
        <f t="shared" si="282"/>
        <v>0</v>
      </c>
      <c r="U412" s="1">
        <f t="shared" si="283"/>
        <v>0</v>
      </c>
      <c r="V412" s="1">
        <f t="shared" si="284"/>
        <v>0</v>
      </c>
      <c r="W412" s="1">
        <f t="shared" si="285"/>
        <v>0</v>
      </c>
      <c r="X412" s="1">
        <f t="shared" si="286"/>
        <v>0</v>
      </c>
      <c r="Y412" s="1">
        <f t="shared" si="287"/>
        <v>0</v>
      </c>
      <c r="Z412" s="1">
        <f t="shared" si="288"/>
        <v>0</v>
      </c>
      <c r="AA412" s="1">
        <f t="shared" si="289"/>
        <v>0</v>
      </c>
      <c r="AB412" s="1">
        <f t="shared" si="290"/>
        <v>0</v>
      </c>
      <c r="AD412" s="1">
        <f t="shared" si="291"/>
        <v>1</v>
      </c>
      <c r="AE412" s="1">
        <f t="shared" si="292"/>
        <v>0</v>
      </c>
      <c r="AF412" s="1">
        <f t="shared" si="293"/>
        <v>0</v>
      </c>
      <c r="AG412" s="1">
        <f t="shared" si="294"/>
        <v>0</v>
      </c>
      <c r="AH412" s="1">
        <f t="shared" si="295"/>
        <v>0</v>
      </c>
      <c r="AI412" s="1">
        <f t="shared" si="296"/>
        <v>0</v>
      </c>
    </row>
    <row r="413" spans="1:35" s="1" customFormat="1" ht="14.25" customHeight="1" x14ac:dyDescent="0.3">
      <c r="A413" s="44">
        <v>0</v>
      </c>
      <c r="B413" s="44">
        <v>2</v>
      </c>
      <c r="C413" s="44">
        <v>7</v>
      </c>
      <c r="D413" s="45" t="s">
        <v>71</v>
      </c>
      <c r="E413" s="45" t="s">
        <v>28</v>
      </c>
      <c r="F413" s="45" t="s">
        <v>1349</v>
      </c>
      <c r="G413" s="45" t="s">
        <v>259</v>
      </c>
      <c r="H413" s="45" t="s">
        <v>354</v>
      </c>
      <c r="I413" s="44" t="s">
        <v>418</v>
      </c>
      <c r="J413" s="44">
        <v>99</v>
      </c>
      <c r="K413" s="46" t="s">
        <v>713</v>
      </c>
      <c r="L413" s="46" t="s">
        <v>713</v>
      </c>
      <c r="M413" s="47" t="s">
        <v>731</v>
      </c>
      <c r="N413" s="47" t="s">
        <v>1802</v>
      </c>
      <c r="O413" s="48"/>
      <c r="P413" s="48"/>
      <c r="Q413" s="45"/>
      <c r="S413" s="1">
        <f t="shared" si="281"/>
        <v>0</v>
      </c>
      <c r="T413" s="1">
        <f t="shared" si="282"/>
        <v>0</v>
      </c>
      <c r="U413" s="1">
        <f t="shared" si="283"/>
        <v>0</v>
      </c>
      <c r="V413" s="1">
        <f t="shared" si="284"/>
        <v>0</v>
      </c>
      <c r="W413" s="1">
        <f t="shared" si="285"/>
        <v>0</v>
      </c>
      <c r="X413" s="1">
        <f t="shared" si="286"/>
        <v>0</v>
      </c>
      <c r="Y413" s="1">
        <f t="shared" si="287"/>
        <v>0</v>
      </c>
      <c r="Z413" s="1">
        <f t="shared" si="288"/>
        <v>0</v>
      </c>
      <c r="AA413" s="1">
        <f t="shared" si="289"/>
        <v>0</v>
      </c>
      <c r="AB413" s="1">
        <f t="shared" si="290"/>
        <v>0</v>
      </c>
      <c r="AD413" s="1">
        <f t="shared" si="291"/>
        <v>0</v>
      </c>
      <c r="AE413" s="1">
        <f t="shared" si="292"/>
        <v>0</v>
      </c>
      <c r="AF413" s="1">
        <f t="shared" si="293"/>
        <v>0</v>
      </c>
      <c r="AG413" s="1">
        <f t="shared" si="294"/>
        <v>0</v>
      </c>
      <c r="AH413" s="1">
        <f t="shared" si="295"/>
        <v>0</v>
      </c>
      <c r="AI413" s="1">
        <f t="shared" si="296"/>
        <v>1</v>
      </c>
    </row>
    <row r="414" spans="1:35" s="1" customFormat="1" ht="14.25" customHeight="1" x14ac:dyDescent="0.3">
      <c r="A414" s="44">
        <v>0</v>
      </c>
      <c r="B414" s="44">
        <v>2</v>
      </c>
      <c r="C414" s="44">
        <v>7</v>
      </c>
      <c r="D414" s="45" t="s">
        <v>1062</v>
      </c>
      <c r="E414" s="45" t="s">
        <v>28</v>
      </c>
      <c r="F414" s="45" t="s">
        <v>1063</v>
      </c>
      <c r="G414" s="45" t="s">
        <v>1064</v>
      </c>
      <c r="H414" s="45" t="s">
        <v>354</v>
      </c>
      <c r="I414" s="44" t="s">
        <v>1065</v>
      </c>
      <c r="J414" s="44">
        <v>99</v>
      </c>
      <c r="K414" s="46" t="s">
        <v>713</v>
      </c>
      <c r="L414" s="46" t="s">
        <v>713</v>
      </c>
      <c r="M414" s="47" t="s">
        <v>731</v>
      </c>
      <c r="N414" s="47" t="s">
        <v>1802</v>
      </c>
      <c r="O414" s="48"/>
      <c r="P414" s="48"/>
      <c r="Q414" s="45"/>
      <c r="S414" s="1">
        <f t="shared" ref="S414:S479" si="297">IF(J414=$S$7,1,0)</f>
        <v>0</v>
      </c>
      <c r="T414" s="1">
        <f t="shared" ref="T414:T479" si="298">IF(J414=$T$7,1,0)</f>
        <v>0</v>
      </c>
      <c r="U414" s="1">
        <f t="shared" ref="U414:U479" si="299">IF(J414=$U$7,1,0)</f>
        <v>0</v>
      </c>
      <c r="V414" s="1">
        <f t="shared" ref="V414:V479" si="300">IF(J414=$V$7,1,0)</f>
        <v>0</v>
      </c>
      <c r="W414" s="1">
        <f t="shared" ref="W414:W479" si="301">IF(J414=$W$7,1,0)</f>
        <v>0</v>
      </c>
      <c r="X414" s="1">
        <f t="shared" ref="X414:X479" si="302">IF(J414=$X$7,1,0)</f>
        <v>0</v>
      </c>
      <c r="Y414" s="1">
        <f t="shared" ref="Y414:Y479" si="303">IF(J414=$Y$7,1,0)</f>
        <v>0</v>
      </c>
      <c r="Z414" s="1">
        <f t="shared" ref="Z414:Z479" si="304">IF(J414=$Z$7,1,0)</f>
        <v>0</v>
      </c>
      <c r="AA414" s="1">
        <f t="shared" ref="AA414:AA479" si="305">IF(J414=$AA$7,1,0)</f>
        <v>0</v>
      </c>
      <c r="AB414" s="1">
        <f t="shared" ref="AB414:AB479" si="306">IF(J414=$AB$7,1,0)</f>
        <v>0</v>
      </c>
      <c r="AD414" s="1">
        <f t="shared" ref="AD414:AD479" si="307">+O414*P414</f>
        <v>0</v>
      </c>
      <c r="AE414" s="1">
        <f t="shared" ref="AE414:AE479" si="308">O414*(1-P414)</f>
        <v>0</v>
      </c>
      <c r="AF414" s="1">
        <f t="shared" si="277"/>
        <v>0</v>
      </c>
      <c r="AG414" s="1">
        <f t="shared" si="278"/>
        <v>0</v>
      </c>
      <c r="AH414" s="1">
        <f t="shared" si="279"/>
        <v>0</v>
      </c>
      <c r="AI414" s="1">
        <f t="shared" si="280"/>
        <v>1</v>
      </c>
    </row>
    <row r="415" spans="1:35" s="1" customFormat="1" ht="14.25" customHeight="1" x14ac:dyDescent="0.3">
      <c r="A415" s="31">
        <v>0</v>
      </c>
      <c r="B415" s="31">
        <v>2</v>
      </c>
      <c r="C415" s="31">
        <v>7</v>
      </c>
      <c r="D415" s="32" t="s">
        <v>1806</v>
      </c>
      <c r="E415" s="32" t="s">
        <v>156</v>
      </c>
      <c r="F415" s="32" t="s">
        <v>1807</v>
      </c>
      <c r="G415" s="32"/>
      <c r="H415" s="32" t="s">
        <v>354</v>
      </c>
      <c r="I415" s="31" t="s">
        <v>1808</v>
      </c>
      <c r="J415" s="31">
        <v>99</v>
      </c>
      <c r="K415" s="33" t="s">
        <v>703</v>
      </c>
      <c r="L415" s="33"/>
      <c r="M415" s="34"/>
      <c r="N415" s="34" t="s">
        <v>1727</v>
      </c>
      <c r="O415" s="35">
        <v>1</v>
      </c>
      <c r="P415" s="35">
        <v>1</v>
      </c>
      <c r="Q415" s="32"/>
      <c r="S415" s="1">
        <f t="shared" si="297"/>
        <v>0</v>
      </c>
      <c r="T415" s="1">
        <f t="shared" si="298"/>
        <v>0</v>
      </c>
      <c r="U415" s="1">
        <f t="shared" si="299"/>
        <v>0</v>
      </c>
      <c r="V415" s="1">
        <f t="shared" si="300"/>
        <v>0</v>
      </c>
      <c r="W415" s="1">
        <f t="shared" si="301"/>
        <v>0</v>
      </c>
      <c r="X415" s="1">
        <f t="shared" si="302"/>
        <v>0</v>
      </c>
      <c r="Y415" s="1">
        <f t="shared" si="303"/>
        <v>0</v>
      </c>
      <c r="Z415" s="1">
        <f t="shared" si="304"/>
        <v>0</v>
      </c>
      <c r="AA415" s="1">
        <f t="shared" si="305"/>
        <v>0</v>
      </c>
      <c r="AB415" s="1">
        <f t="shared" si="306"/>
        <v>0</v>
      </c>
      <c r="AD415" s="1">
        <f t="shared" si="307"/>
        <v>1</v>
      </c>
      <c r="AE415" s="1">
        <f t="shared" si="308"/>
        <v>0</v>
      </c>
      <c r="AF415" s="1">
        <f t="shared" si="277"/>
        <v>1</v>
      </c>
      <c r="AG415" s="1">
        <f t="shared" si="278"/>
        <v>0</v>
      </c>
      <c r="AH415" s="1">
        <f t="shared" si="279"/>
        <v>1</v>
      </c>
      <c r="AI415" s="1">
        <f t="shared" si="280"/>
        <v>0</v>
      </c>
    </row>
    <row r="416" spans="1:35" s="1" customFormat="1" ht="14.25" customHeight="1" x14ac:dyDescent="0.3">
      <c r="A416" s="31">
        <v>0</v>
      </c>
      <c r="B416" s="31">
        <v>2</v>
      </c>
      <c r="C416" s="31">
        <v>7</v>
      </c>
      <c r="D416" s="32" t="s">
        <v>1178</v>
      </c>
      <c r="E416" s="32" t="s">
        <v>156</v>
      </c>
      <c r="F416" s="32" t="s">
        <v>1179</v>
      </c>
      <c r="G416" s="32" t="s">
        <v>293</v>
      </c>
      <c r="H416" s="32" t="s">
        <v>354</v>
      </c>
      <c r="I416" s="31" t="s">
        <v>1180</v>
      </c>
      <c r="J416" s="31">
        <v>99</v>
      </c>
      <c r="K416" s="33" t="s">
        <v>713</v>
      </c>
      <c r="L416" s="33" t="s">
        <v>722</v>
      </c>
      <c r="M416" s="34" t="s">
        <v>1434</v>
      </c>
      <c r="N416" s="34" t="s">
        <v>1748</v>
      </c>
      <c r="O416" s="35">
        <v>1</v>
      </c>
      <c r="P416" s="35"/>
      <c r="Q416" s="32"/>
      <c r="S416" s="1">
        <f t="shared" si="297"/>
        <v>0</v>
      </c>
      <c r="T416" s="1">
        <f t="shared" si="298"/>
        <v>0</v>
      </c>
      <c r="U416" s="1">
        <f t="shared" si="299"/>
        <v>0</v>
      </c>
      <c r="V416" s="1">
        <f t="shared" si="300"/>
        <v>0</v>
      </c>
      <c r="W416" s="1">
        <f t="shared" si="301"/>
        <v>0</v>
      </c>
      <c r="X416" s="1">
        <f t="shared" si="302"/>
        <v>0</v>
      </c>
      <c r="Y416" s="1">
        <f t="shared" si="303"/>
        <v>0</v>
      </c>
      <c r="Z416" s="1">
        <f t="shared" si="304"/>
        <v>0</v>
      </c>
      <c r="AA416" s="1">
        <f t="shared" si="305"/>
        <v>0</v>
      </c>
      <c r="AB416" s="1">
        <f t="shared" si="306"/>
        <v>0</v>
      </c>
      <c r="AD416" s="1">
        <f t="shared" si="307"/>
        <v>0</v>
      </c>
      <c r="AE416" s="1">
        <f t="shared" si="308"/>
        <v>1</v>
      </c>
      <c r="AF416" s="1">
        <f t="shared" si="277"/>
        <v>0</v>
      </c>
      <c r="AG416" s="1">
        <f t="shared" si="278"/>
        <v>1</v>
      </c>
      <c r="AH416" s="1">
        <f t="shared" si="279"/>
        <v>0</v>
      </c>
      <c r="AI416" s="1">
        <f t="shared" si="280"/>
        <v>1</v>
      </c>
    </row>
    <row r="417" spans="1:35" s="1" customFormat="1" ht="14.25" customHeight="1" x14ac:dyDescent="0.3">
      <c r="A417" s="31">
        <v>0</v>
      </c>
      <c r="B417" s="31">
        <v>2</v>
      </c>
      <c r="C417" s="31">
        <v>7</v>
      </c>
      <c r="D417" s="32" t="s">
        <v>1153</v>
      </c>
      <c r="E417" s="32" t="s">
        <v>1154</v>
      </c>
      <c r="F417" s="36" t="s">
        <v>1878</v>
      </c>
      <c r="G417" s="32" t="s">
        <v>628</v>
      </c>
      <c r="H417" s="32" t="s">
        <v>354</v>
      </c>
      <c r="I417" s="31" t="s">
        <v>1155</v>
      </c>
      <c r="J417" s="31">
        <v>99</v>
      </c>
      <c r="K417" s="33" t="s">
        <v>713</v>
      </c>
      <c r="L417" s="33" t="s">
        <v>713</v>
      </c>
      <c r="M417" s="34" t="s">
        <v>731</v>
      </c>
      <c r="N417" s="34" t="s">
        <v>1743</v>
      </c>
      <c r="O417" s="35">
        <v>1</v>
      </c>
      <c r="P417" s="35"/>
      <c r="Q417" s="36" t="s">
        <v>1898</v>
      </c>
      <c r="S417" s="1">
        <f t="shared" si="297"/>
        <v>0</v>
      </c>
      <c r="T417" s="1">
        <f t="shared" si="298"/>
        <v>0</v>
      </c>
      <c r="U417" s="1">
        <f t="shared" si="299"/>
        <v>0</v>
      </c>
      <c r="V417" s="1">
        <f t="shared" si="300"/>
        <v>0</v>
      </c>
      <c r="W417" s="1">
        <f t="shared" si="301"/>
        <v>0</v>
      </c>
      <c r="X417" s="1">
        <f t="shared" si="302"/>
        <v>0</v>
      </c>
      <c r="Y417" s="1">
        <f t="shared" si="303"/>
        <v>0</v>
      </c>
      <c r="Z417" s="1">
        <f t="shared" si="304"/>
        <v>0</v>
      </c>
      <c r="AA417" s="1">
        <f t="shared" si="305"/>
        <v>0</v>
      </c>
      <c r="AB417" s="1">
        <f t="shared" si="306"/>
        <v>0</v>
      </c>
      <c r="AD417" s="1">
        <f t="shared" si="307"/>
        <v>0</v>
      </c>
      <c r="AE417" s="1">
        <f t="shared" si="308"/>
        <v>1</v>
      </c>
      <c r="AF417" s="1">
        <f t="shared" si="277"/>
        <v>0</v>
      </c>
      <c r="AG417" s="1">
        <f t="shared" si="278"/>
        <v>1</v>
      </c>
      <c r="AH417" s="1">
        <f t="shared" si="279"/>
        <v>0</v>
      </c>
      <c r="AI417" s="1">
        <f t="shared" si="280"/>
        <v>1</v>
      </c>
    </row>
    <row r="418" spans="1:35" s="1" customFormat="1" ht="14.25" customHeight="1" x14ac:dyDescent="0.3">
      <c r="A418" s="31">
        <v>0</v>
      </c>
      <c r="B418" s="31">
        <v>2</v>
      </c>
      <c r="C418" s="31">
        <v>7</v>
      </c>
      <c r="D418" s="32" t="s">
        <v>542</v>
      </c>
      <c r="E418" s="32" t="s">
        <v>158</v>
      </c>
      <c r="F418" s="32" t="s">
        <v>195</v>
      </c>
      <c r="G418" s="32" t="s">
        <v>196</v>
      </c>
      <c r="H418" s="32" t="s">
        <v>354</v>
      </c>
      <c r="I418" s="31" t="s">
        <v>550</v>
      </c>
      <c r="J418" s="31">
        <v>99</v>
      </c>
      <c r="K418" s="33" t="s">
        <v>955</v>
      </c>
      <c r="L418" s="33" t="s">
        <v>696</v>
      </c>
      <c r="M418" s="34" t="s">
        <v>1436</v>
      </c>
      <c r="N418" s="34" t="s">
        <v>1748</v>
      </c>
      <c r="O418" s="35">
        <v>1</v>
      </c>
      <c r="P418" s="35"/>
      <c r="Q418" s="32"/>
      <c r="S418" s="1">
        <f t="shared" si="297"/>
        <v>0</v>
      </c>
      <c r="T418" s="1">
        <f t="shared" si="298"/>
        <v>0</v>
      </c>
      <c r="U418" s="1">
        <f t="shared" si="299"/>
        <v>0</v>
      </c>
      <c r="V418" s="1">
        <f t="shared" si="300"/>
        <v>0</v>
      </c>
      <c r="W418" s="1">
        <f t="shared" si="301"/>
        <v>0</v>
      </c>
      <c r="X418" s="1">
        <f t="shared" si="302"/>
        <v>0</v>
      </c>
      <c r="Y418" s="1">
        <f t="shared" si="303"/>
        <v>0</v>
      </c>
      <c r="Z418" s="1">
        <f t="shared" si="304"/>
        <v>0</v>
      </c>
      <c r="AA418" s="1">
        <f t="shared" si="305"/>
        <v>0</v>
      </c>
      <c r="AB418" s="1">
        <f t="shared" si="306"/>
        <v>0</v>
      </c>
      <c r="AD418" s="1">
        <f t="shared" si="307"/>
        <v>0</v>
      </c>
      <c r="AE418" s="1">
        <f t="shared" si="308"/>
        <v>1</v>
      </c>
      <c r="AF418" s="1">
        <f t="shared" si="277"/>
        <v>0</v>
      </c>
      <c r="AG418" s="1">
        <f t="shared" si="278"/>
        <v>1</v>
      </c>
      <c r="AH418" s="1">
        <f t="shared" si="279"/>
        <v>0</v>
      </c>
      <c r="AI418" s="1">
        <f t="shared" si="280"/>
        <v>1</v>
      </c>
    </row>
    <row r="419" spans="1:35" s="1" customFormat="1" ht="14.25" customHeight="1" x14ac:dyDescent="0.3">
      <c r="A419" s="15">
        <v>0</v>
      </c>
      <c r="B419" s="15">
        <v>2</v>
      </c>
      <c r="C419" s="15">
        <v>7</v>
      </c>
      <c r="D419" s="16" t="s">
        <v>46</v>
      </c>
      <c r="E419" s="16" t="s">
        <v>156</v>
      </c>
      <c r="F419" s="16" t="s">
        <v>183</v>
      </c>
      <c r="G419" s="16" t="s">
        <v>179</v>
      </c>
      <c r="H419" s="16" t="s">
        <v>354</v>
      </c>
      <c r="I419" s="15" t="s">
        <v>382</v>
      </c>
      <c r="J419" s="15">
        <v>10</v>
      </c>
      <c r="K419" s="10" t="s">
        <v>955</v>
      </c>
      <c r="L419" s="10" t="s">
        <v>722</v>
      </c>
      <c r="M419" s="19" t="s">
        <v>1434</v>
      </c>
      <c r="N419" s="19"/>
      <c r="Q419" s="16"/>
      <c r="S419" s="1">
        <f t="shared" si="297"/>
        <v>0</v>
      </c>
      <c r="T419" s="1">
        <f t="shared" si="298"/>
        <v>0</v>
      </c>
      <c r="U419" s="1">
        <f t="shared" si="299"/>
        <v>0</v>
      </c>
      <c r="V419" s="1">
        <f t="shared" si="300"/>
        <v>0</v>
      </c>
      <c r="W419" s="1">
        <f t="shared" si="301"/>
        <v>0</v>
      </c>
      <c r="X419" s="1">
        <f t="shared" si="302"/>
        <v>0</v>
      </c>
      <c r="Y419" s="1">
        <f t="shared" si="303"/>
        <v>0</v>
      </c>
      <c r="Z419" s="1">
        <f t="shared" si="304"/>
        <v>0</v>
      </c>
      <c r="AA419" s="1">
        <f t="shared" si="305"/>
        <v>0</v>
      </c>
      <c r="AB419" s="1">
        <f t="shared" si="306"/>
        <v>1</v>
      </c>
      <c r="AD419" s="1">
        <f t="shared" si="307"/>
        <v>0</v>
      </c>
      <c r="AE419" s="1">
        <f t="shared" si="308"/>
        <v>0</v>
      </c>
      <c r="AF419" s="1">
        <f t="shared" si="277"/>
        <v>0</v>
      </c>
      <c r="AG419" s="1">
        <f t="shared" si="278"/>
        <v>0</v>
      </c>
      <c r="AH419" s="1">
        <f t="shared" si="279"/>
        <v>0</v>
      </c>
      <c r="AI419" s="1">
        <f t="shared" si="280"/>
        <v>1</v>
      </c>
    </row>
    <row r="420" spans="1:35" s="1" customFormat="1" ht="14.25" customHeight="1" x14ac:dyDescent="0.3">
      <c r="A420" s="44">
        <v>0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248</v>
      </c>
      <c r="G420" s="45" t="s">
        <v>249</v>
      </c>
      <c r="H420" s="45" t="s">
        <v>354</v>
      </c>
      <c r="I420" s="44" t="s">
        <v>411</v>
      </c>
      <c r="J420" s="44">
        <v>7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/>
      <c r="S420" s="1">
        <f t="shared" si="297"/>
        <v>0</v>
      </c>
      <c r="T420" s="1">
        <f t="shared" si="298"/>
        <v>0</v>
      </c>
      <c r="U420" s="1">
        <f t="shared" si="299"/>
        <v>0</v>
      </c>
      <c r="V420" s="1">
        <f t="shared" si="300"/>
        <v>0</v>
      </c>
      <c r="W420" s="1">
        <f t="shared" si="301"/>
        <v>0</v>
      </c>
      <c r="X420" s="1">
        <f t="shared" si="302"/>
        <v>0</v>
      </c>
      <c r="Y420" s="1">
        <f t="shared" si="303"/>
        <v>1</v>
      </c>
      <c r="Z420" s="1">
        <f t="shared" si="304"/>
        <v>0</v>
      </c>
      <c r="AA420" s="1">
        <f t="shared" si="305"/>
        <v>0</v>
      </c>
      <c r="AB420" s="1">
        <f t="shared" si="306"/>
        <v>0</v>
      </c>
      <c r="AD420" s="1">
        <f t="shared" si="307"/>
        <v>0</v>
      </c>
      <c r="AE420" s="1">
        <f t="shared" si="308"/>
        <v>0</v>
      </c>
      <c r="AF420" s="1">
        <f t="shared" si="277"/>
        <v>0</v>
      </c>
      <c r="AG420" s="1">
        <f t="shared" si="278"/>
        <v>0</v>
      </c>
      <c r="AH420" s="1">
        <f t="shared" si="279"/>
        <v>0</v>
      </c>
      <c r="AI420" s="1">
        <f t="shared" si="280"/>
        <v>1</v>
      </c>
    </row>
    <row r="421" spans="1:35" s="1" customFormat="1" ht="14.25" customHeight="1" x14ac:dyDescent="0.3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1039</v>
      </c>
      <c r="G421" s="45" t="s">
        <v>539</v>
      </c>
      <c r="H421" s="45" t="s">
        <v>354</v>
      </c>
      <c r="I421" s="44" t="s">
        <v>30</v>
      </c>
      <c r="J421" s="44">
        <v>1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97"/>
        <v>1</v>
      </c>
      <c r="T421" s="1">
        <f t="shared" si="298"/>
        <v>0</v>
      </c>
      <c r="U421" s="1">
        <f t="shared" si="299"/>
        <v>0</v>
      </c>
      <c r="V421" s="1">
        <f t="shared" si="300"/>
        <v>0</v>
      </c>
      <c r="W421" s="1">
        <f t="shared" si="301"/>
        <v>0</v>
      </c>
      <c r="X421" s="1">
        <f t="shared" si="302"/>
        <v>0</v>
      </c>
      <c r="Y421" s="1">
        <f t="shared" si="303"/>
        <v>0</v>
      </c>
      <c r="Z421" s="1">
        <f t="shared" si="304"/>
        <v>0</v>
      </c>
      <c r="AA421" s="1">
        <f t="shared" si="305"/>
        <v>0</v>
      </c>
      <c r="AB421" s="1">
        <f t="shared" si="306"/>
        <v>0</v>
      </c>
      <c r="AD421" s="1">
        <f t="shared" si="307"/>
        <v>0</v>
      </c>
      <c r="AE421" s="1">
        <f t="shared" si="308"/>
        <v>0</v>
      </c>
      <c r="AF421" s="1">
        <f t="shared" si="277"/>
        <v>0</v>
      </c>
      <c r="AG421" s="1">
        <f t="shared" si="278"/>
        <v>0</v>
      </c>
      <c r="AH421" s="1">
        <f t="shared" si="279"/>
        <v>0</v>
      </c>
      <c r="AI421" s="1">
        <f t="shared" si="280"/>
        <v>0</v>
      </c>
    </row>
    <row r="422" spans="1:35" s="1" customFormat="1" ht="14.25" customHeight="1" x14ac:dyDescent="0.3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250</v>
      </c>
      <c r="G422" s="45" t="s">
        <v>200</v>
      </c>
      <c r="H422" s="45" t="s">
        <v>354</v>
      </c>
      <c r="I422" s="44" t="s">
        <v>412</v>
      </c>
      <c r="J422" s="44">
        <v>2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/>
      <c r="S422" s="1">
        <f t="shared" si="297"/>
        <v>0</v>
      </c>
      <c r="T422" s="1">
        <f t="shared" si="298"/>
        <v>1</v>
      </c>
      <c r="U422" s="1">
        <f t="shared" si="299"/>
        <v>0</v>
      </c>
      <c r="V422" s="1">
        <f t="shared" si="300"/>
        <v>0</v>
      </c>
      <c r="W422" s="1">
        <f t="shared" si="301"/>
        <v>0</v>
      </c>
      <c r="X422" s="1">
        <f t="shared" si="302"/>
        <v>0</v>
      </c>
      <c r="Y422" s="1">
        <f t="shared" si="303"/>
        <v>0</v>
      </c>
      <c r="Z422" s="1">
        <f t="shared" si="304"/>
        <v>0</v>
      </c>
      <c r="AA422" s="1">
        <f t="shared" si="305"/>
        <v>0</v>
      </c>
      <c r="AB422" s="1">
        <f t="shared" si="306"/>
        <v>0</v>
      </c>
      <c r="AD422" s="1">
        <f t="shared" si="307"/>
        <v>0</v>
      </c>
      <c r="AE422" s="1">
        <f t="shared" si="308"/>
        <v>0</v>
      </c>
      <c r="AF422" s="1">
        <f t="shared" si="277"/>
        <v>0</v>
      </c>
      <c r="AG422" s="1">
        <f t="shared" si="278"/>
        <v>0</v>
      </c>
      <c r="AH422" s="1">
        <f t="shared" si="279"/>
        <v>0</v>
      </c>
      <c r="AI422" s="1">
        <f t="shared" si="280"/>
        <v>0</v>
      </c>
    </row>
    <row r="423" spans="1:35" s="1" customFormat="1" ht="14.25" customHeight="1" x14ac:dyDescent="0.3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247</v>
      </c>
      <c r="G423" s="45" t="s">
        <v>1351</v>
      </c>
      <c r="H423" s="45" t="s">
        <v>354</v>
      </c>
      <c r="I423" s="44" t="s">
        <v>30</v>
      </c>
      <c r="J423" s="44">
        <v>1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 t="s">
        <v>1917</v>
      </c>
      <c r="S423" s="1">
        <f t="shared" si="297"/>
        <v>1</v>
      </c>
      <c r="T423" s="1">
        <f t="shared" si="298"/>
        <v>0</v>
      </c>
      <c r="U423" s="1">
        <f t="shared" si="299"/>
        <v>0</v>
      </c>
      <c r="V423" s="1">
        <f t="shared" si="300"/>
        <v>0</v>
      </c>
      <c r="W423" s="1">
        <f t="shared" si="301"/>
        <v>0</v>
      </c>
      <c r="X423" s="1">
        <f t="shared" si="302"/>
        <v>0</v>
      </c>
      <c r="Y423" s="1">
        <f t="shared" si="303"/>
        <v>0</v>
      </c>
      <c r="Z423" s="1">
        <f t="shared" si="304"/>
        <v>0</v>
      </c>
      <c r="AA423" s="1">
        <f t="shared" si="305"/>
        <v>0</v>
      </c>
      <c r="AB423" s="1">
        <f t="shared" si="306"/>
        <v>0</v>
      </c>
      <c r="AD423" s="1">
        <f t="shared" si="307"/>
        <v>0</v>
      </c>
      <c r="AE423" s="1">
        <f t="shared" si="308"/>
        <v>0</v>
      </c>
      <c r="AF423" s="1">
        <f t="shared" si="277"/>
        <v>0</v>
      </c>
      <c r="AG423" s="1">
        <f t="shared" si="278"/>
        <v>0</v>
      </c>
      <c r="AH423" s="1">
        <f t="shared" si="279"/>
        <v>0</v>
      </c>
      <c r="AI423" s="1">
        <f t="shared" si="280"/>
        <v>0</v>
      </c>
    </row>
    <row r="424" spans="1:35" s="1" customFormat="1" ht="14.25" customHeight="1" x14ac:dyDescent="0.3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252</v>
      </c>
      <c r="G424" s="45" t="s">
        <v>194</v>
      </c>
      <c r="H424" s="45" t="s">
        <v>354</v>
      </c>
      <c r="I424" s="44" t="s">
        <v>413</v>
      </c>
      <c r="J424" s="44">
        <v>9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/>
      <c r="S424" s="1">
        <f t="shared" si="297"/>
        <v>0</v>
      </c>
      <c r="T424" s="1">
        <f t="shared" si="298"/>
        <v>0</v>
      </c>
      <c r="U424" s="1">
        <f t="shared" si="299"/>
        <v>0</v>
      </c>
      <c r="V424" s="1">
        <f t="shared" si="300"/>
        <v>0</v>
      </c>
      <c r="W424" s="1">
        <f t="shared" si="301"/>
        <v>0</v>
      </c>
      <c r="X424" s="1">
        <f t="shared" si="302"/>
        <v>0</v>
      </c>
      <c r="Y424" s="1">
        <f t="shared" si="303"/>
        <v>0</v>
      </c>
      <c r="Z424" s="1">
        <f t="shared" si="304"/>
        <v>0</v>
      </c>
      <c r="AA424" s="1">
        <f t="shared" si="305"/>
        <v>1</v>
      </c>
      <c r="AB424" s="1">
        <f t="shared" si="306"/>
        <v>0</v>
      </c>
      <c r="AD424" s="1">
        <f t="shared" si="307"/>
        <v>0</v>
      </c>
      <c r="AE424" s="1">
        <f t="shared" si="308"/>
        <v>0</v>
      </c>
      <c r="AF424" s="1">
        <f t="shared" si="277"/>
        <v>0</v>
      </c>
      <c r="AG424" s="1">
        <f t="shared" si="278"/>
        <v>0</v>
      </c>
      <c r="AH424" s="1">
        <f t="shared" si="279"/>
        <v>0</v>
      </c>
      <c r="AI424" s="1">
        <f t="shared" si="280"/>
        <v>0</v>
      </c>
    </row>
    <row r="425" spans="1:35" s="1" customFormat="1" ht="14.25" customHeight="1" x14ac:dyDescent="0.3">
      <c r="A425" s="44">
        <v>0</v>
      </c>
      <c r="B425" s="44">
        <v>2</v>
      </c>
      <c r="C425" s="44">
        <v>7</v>
      </c>
      <c r="D425" s="45" t="s">
        <v>1023</v>
      </c>
      <c r="E425" s="45" t="s">
        <v>28</v>
      </c>
      <c r="F425" s="45" t="s">
        <v>1024</v>
      </c>
      <c r="G425" s="45" t="s">
        <v>194</v>
      </c>
      <c r="H425" s="45" t="s">
        <v>354</v>
      </c>
      <c r="I425" s="44" t="s">
        <v>1025</v>
      </c>
      <c r="J425" s="44">
        <v>9</v>
      </c>
      <c r="K425" s="46" t="s">
        <v>712</v>
      </c>
      <c r="L425" s="46" t="s">
        <v>713</v>
      </c>
      <c r="M425" s="47" t="s">
        <v>731</v>
      </c>
      <c r="N425" s="47" t="s">
        <v>1735</v>
      </c>
      <c r="O425" s="48"/>
      <c r="P425" s="48"/>
      <c r="Q425" s="45"/>
      <c r="S425" s="1">
        <f t="shared" si="297"/>
        <v>0</v>
      </c>
      <c r="T425" s="1">
        <f t="shared" si="298"/>
        <v>0</v>
      </c>
      <c r="U425" s="1">
        <f t="shared" si="299"/>
        <v>0</v>
      </c>
      <c r="V425" s="1">
        <f t="shared" si="300"/>
        <v>0</v>
      </c>
      <c r="W425" s="1">
        <f t="shared" si="301"/>
        <v>0</v>
      </c>
      <c r="X425" s="1">
        <f t="shared" si="302"/>
        <v>0</v>
      </c>
      <c r="Y425" s="1">
        <f t="shared" si="303"/>
        <v>0</v>
      </c>
      <c r="Z425" s="1">
        <f t="shared" si="304"/>
        <v>0</v>
      </c>
      <c r="AA425" s="1">
        <f t="shared" si="305"/>
        <v>1</v>
      </c>
      <c r="AB425" s="1">
        <f t="shared" si="306"/>
        <v>0</v>
      </c>
      <c r="AD425" s="1">
        <f t="shared" si="307"/>
        <v>0</v>
      </c>
      <c r="AE425" s="1">
        <f t="shared" si="308"/>
        <v>0</v>
      </c>
      <c r="AF425" s="1">
        <f t="shared" si="277"/>
        <v>0</v>
      </c>
      <c r="AG425" s="1">
        <f t="shared" si="278"/>
        <v>0</v>
      </c>
      <c r="AH425" s="1">
        <f t="shared" si="279"/>
        <v>0</v>
      </c>
      <c r="AI425" s="1">
        <f t="shared" si="280"/>
        <v>1</v>
      </c>
    </row>
    <row r="426" spans="1:35" s="1" customFormat="1" ht="14.25" customHeight="1" x14ac:dyDescent="0.3">
      <c r="A426" s="31">
        <v>0</v>
      </c>
      <c r="B426" s="31">
        <v>2</v>
      </c>
      <c r="C426" s="31">
        <v>7</v>
      </c>
      <c r="D426" s="32" t="s">
        <v>1833</v>
      </c>
      <c r="E426" s="32" t="s">
        <v>1834</v>
      </c>
      <c r="F426" s="32" t="s">
        <v>1835</v>
      </c>
      <c r="G426" s="32" t="s">
        <v>207</v>
      </c>
      <c r="H426" s="32" t="s">
        <v>354</v>
      </c>
      <c r="I426" s="31" t="s">
        <v>30</v>
      </c>
      <c r="J426" s="31"/>
      <c r="K426" s="33" t="s">
        <v>703</v>
      </c>
      <c r="L426" s="33">
        <v>20</v>
      </c>
      <c r="M426" s="34" t="s">
        <v>1836</v>
      </c>
      <c r="N426" s="34" t="s">
        <v>1743</v>
      </c>
      <c r="O426" s="35">
        <v>1</v>
      </c>
      <c r="P426" s="35"/>
      <c r="Q426" s="32"/>
      <c r="S426" s="1">
        <f t="shared" si="297"/>
        <v>0</v>
      </c>
      <c r="T426" s="1">
        <f t="shared" si="298"/>
        <v>0</v>
      </c>
      <c r="U426" s="1">
        <f t="shared" si="299"/>
        <v>0</v>
      </c>
      <c r="V426" s="1">
        <f t="shared" si="300"/>
        <v>0</v>
      </c>
      <c r="W426" s="1">
        <f t="shared" si="301"/>
        <v>0</v>
      </c>
      <c r="X426" s="1">
        <f t="shared" si="302"/>
        <v>0</v>
      </c>
      <c r="Y426" s="1">
        <f t="shared" si="303"/>
        <v>0</v>
      </c>
      <c r="Z426" s="1">
        <f t="shared" si="304"/>
        <v>0</v>
      </c>
      <c r="AA426" s="1">
        <f t="shared" si="305"/>
        <v>0</v>
      </c>
      <c r="AB426" s="1">
        <f t="shared" si="306"/>
        <v>0</v>
      </c>
      <c r="AD426" s="1">
        <f t="shared" si="307"/>
        <v>0</v>
      </c>
      <c r="AE426" s="1">
        <f t="shared" si="308"/>
        <v>1</v>
      </c>
      <c r="AF426" s="1">
        <f t="shared" si="277"/>
        <v>0</v>
      </c>
      <c r="AG426" s="1">
        <f t="shared" si="278"/>
        <v>1</v>
      </c>
      <c r="AH426" s="1">
        <f t="shared" si="279"/>
        <v>0</v>
      </c>
      <c r="AI426" s="1">
        <f t="shared" si="280"/>
        <v>1</v>
      </c>
    </row>
    <row r="427" spans="1:35" s="1" customFormat="1" ht="14.25" customHeight="1" x14ac:dyDescent="0.3">
      <c r="A427" s="49">
        <v>0</v>
      </c>
      <c r="B427" s="49">
        <v>2</v>
      </c>
      <c r="C427" s="49">
        <v>7</v>
      </c>
      <c r="D427" s="50" t="s">
        <v>1079</v>
      </c>
      <c r="E427" s="50" t="s">
        <v>544</v>
      </c>
      <c r="F427" s="50" t="s">
        <v>1060</v>
      </c>
      <c r="G427" s="50" t="s">
        <v>238</v>
      </c>
      <c r="H427" s="50" t="s">
        <v>354</v>
      </c>
      <c r="I427" s="49" t="s">
        <v>1061</v>
      </c>
      <c r="J427" s="49">
        <v>99</v>
      </c>
      <c r="K427" s="51" t="s">
        <v>955</v>
      </c>
      <c r="L427" s="51" t="s">
        <v>722</v>
      </c>
      <c r="M427" s="52" t="s">
        <v>1437</v>
      </c>
      <c r="N427" s="52" t="s">
        <v>1743</v>
      </c>
      <c r="O427" s="53">
        <v>1</v>
      </c>
      <c r="P427" s="53"/>
      <c r="Q427" s="50"/>
      <c r="S427" s="1">
        <f t="shared" ref="S427:S431" si="309">IF(J427=$S$7,1,0)</f>
        <v>0</v>
      </c>
      <c r="T427" s="1">
        <f t="shared" ref="T427:T431" si="310">IF(J427=$T$7,1,0)</f>
        <v>0</v>
      </c>
      <c r="U427" s="1">
        <f t="shared" ref="U427:U431" si="311">IF(J427=$U$7,1,0)</f>
        <v>0</v>
      </c>
      <c r="V427" s="1">
        <f t="shared" ref="V427:V431" si="312">IF(J427=$V$7,1,0)</f>
        <v>0</v>
      </c>
      <c r="W427" s="1">
        <f t="shared" ref="W427:W431" si="313">IF(J427=$W$7,1,0)</f>
        <v>0</v>
      </c>
      <c r="X427" s="1">
        <f t="shared" ref="X427:X431" si="314">IF(J427=$X$7,1,0)</f>
        <v>0</v>
      </c>
      <c r="Y427" s="1">
        <f t="shared" ref="Y427:Y431" si="315">IF(J427=$Y$7,1,0)</f>
        <v>0</v>
      </c>
      <c r="Z427" s="1">
        <f t="shared" ref="Z427:Z431" si="316">IF(J427=$Z$7,1,0)</f>
        <v>0</v>
      </c>
      <c r="AA427" s="1">
        <f t="shared" ref="AA427:AA431" si="317">IF(J427=$AA$7,1,0)</f>
        <v>0</v>
      </c>
      <c r="AB427" s="1">
        <f t="shared" ref="AB427:AB431" si="318">IF(J427=$AB$7,1,0)</f>
        <v>0</v>
      </c>
      <c r="AD427" s="1">
        <f t="shared" ref="AD427:AD431" si="319">+O427*P427</f>
        <v>0</v>
      </c>
      <c r="AE427" s="1">
        <f t="shared" ref="AE427:AE431" si="320">O427*(1-P427)</f>
        <v>1</v>
      </c>
      <c r="AF427" s="1">
        <f t="shared" ref="AF427:AF431" si="321">+O427*P427*(1-A427)</f>
        <v>0</v>
      </c>
      <c r="AG427" s="1">
        <f t="shared" ref="AG427:AG431" si="322">O427*(1-P427)*(1-A427)</f>
        <v>1</v>
      </c>
      <c r="AH427" s="1">
        <f t="shared" ref="AH427:AH431" si="323">+P427*(1-A427)</f>
        <v>0</v>
      </c>
      <c r="AI427" s="1">
        <f t="shared" ref="AI427:AI431" si="324">+(1-A427)*(1-P427)</f>
        <v>1</v>
      </c>
    </row>
    <row r="428" spans="1:35" s="1" customFormat="1" ht="14.25" customHeight="1" x14ac:dyDescent="0.3">
      <c r="A428" s="31">
        <v>0</v>
      </c>
      <c r="B428" s="31">
        <v>2</v>
      </c>
      <c r="C428" s="31">
        <v>7</v>
      </c>
      <c r="D428" s="32" t="s">
        <v>1226</v>
      </c>
      <c r="E428" s="32" t="s">
        <v>156</v>
      </c>
      <c r="F428" s="32" t="s">
        <v>1227</v>
      </c>
      <c r="G428" s="32" t="s">
        <v>251</v>
      </c>
      <c r="H428" s="32" t="s">
        <v>354</v>
      </c>
      <c r="I428" s="31" t="s">
        <v>1228</v>
      </c>
      <c r="J428" s="31">
        <v>99</v>
      </c>
      <c r="K428" s="33" t="s">
        <v>713</v>
      </c>
      <c r="L428" s="33">
        <v>10</v>
      </c>
      <c r="M428" s="34" t="s">
        <v>1746</v>
      </c>
      <c r="N428" s="34" t="s">
        <v>1727</v>
      </c>
      <c r="O428" s="35">
        <v>1</v>
      </c>
      <c r="P428" s="35">
        <v>1</v>
      </c>
      <c r="Q428" s="32"/>
      <c r="S428" s="1">
        <f t="shared" si="309"/>
        <v>0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0</v>
      </c>
      <c r="AB428" s="1">
        <f t="shared" si="318"/>
        <v>0</v>
      </c>
      <c r="AD428" s="1">
        <f t="shared" si="319"/>
        <v>1</v>
      </c>
      <c r="AE428" s="1">
        <f t="shared" si="320"/>
        <v>0</v>
      </c>
      <c r="AF428" s="1">
        <f t="shared" si="321"/>
        <v>1</v>
      </c>
      <c r="AG428" s="1">
        <f t="shared" si="322"/>
        <v>0</v>
      </c>
      <c r="AH428" s="1">
        <f t="shared" si="323"/>
        <v>1</v>
      </c>
      <c r="AI428" s="1">
        <f t="shared" si="324"/>
        <v>0</v>
      </c>
    </row>
    <row r="429" spans="1:35" s="1" customFormat="1" ht="14.25" customHeight="1" x14ac:dyDescent="0.3">
      <c r="A429" s="31">
        <v>0</v>
      </c>
      <c r="B429" s="31">
        <v>2</v>
      </c>
      <c r="C429" s="31">
        <v>7</v>
      </c>
      <c r="D429" s="36" t="s">
        <v>1803</v>
      </c>
      <c r="E429" s="36" t="s">
        <v>28</v>
      </c>
      <c r="F429" s="36" t="s">
        <v>1804</v>
      </c>
      <c r="G429" s="36" t="s">
        <v>180</v>
      </c>
      <c r="H429" s="36" t="s">
        <v>354</v>
      </c>
      <c r="I429" s="37" t="s">
        <v>1805</v>
      </c>
      <c r="J429" s="31">
        <v>10</v>
      </c>
      <c r="K429" s="33" t="s">
        <v>703</v>
      </c>
      <c r="L429" s="33">
        <v>10</v>
      </c>
      <c r="M429" s="34"/>
      <c r="N429" s="34" t="s">
        <v>1727</v>
      </c>
      <c r="O429" s="35">
        <v>1</v>
      </c>
      <c r="P429" s="35">
        <v>1</v>
      </c>
      <c r="Q429" s="36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1</v>
      </c>
      <c r="AD429" s="1">
        <f t="shared" si="319"/>
        <v>1</v>
      </c>
      <c r="AE429" s="1">
        <f t="shared" si="320"/>
        <v>0</v>
      </c>
      <c r="AF429" s="1">
        <f t="shared" si="321"/>
        <v>1</v>
      </c>
      <c r="AG429" s="1">
        <f t="shared" si="322"/>
        <v>0</v>
      </c>
      <c r="AH429" s="1">
        <f t="shared" si="323"/>
        <v>1</v>
      </c>
      <c r="AI429" s="1">
        <f t="shared" si="324"/>
        <v>0</v>
      </c>
    </row>
    <row r="430" spans="1:35" s="1" customFormat="1" ht="14.25" customHeight="1" x14ac:dyDescent="0.3">
      <c r="A430" s="37">
        <v>0</v>
      </c>
      <c r="B430" s="37">
        <v>2</v>
      </c>
      <c r="C430" s="37">
        <v>7</v>
      </c>
      <c r="D430" s="36" t="s">
        <v>1585</v>
      </c>
      <c r="E430" s="36" t="s">
        <v>1651</v>
      </c>
      <c r="F430" s="36" t="s">
        <v>1586</v>
      </c>
      <c r="G430" s="36" t="s">
        <v>656</v>
      </c>
      <c r="H430" s="36" t="s">
        <v>354</v>
      </c>
      <c r="I430" s="37" t="s">
        <v>1587</v>
      </c>
      <c r="J430" s="37">
        <v>99</v>
      </c>
      <c r="K430" s="33" t="s">
        <v>713</v>
      </c>
      <c r="L430" s="33" t="s">
        <v>39</v>
      </c>
      <c r="M430" s="34" t="s">
        <v>39</v>
      </c>
      <c r="N430" s="34" t="s">
        <v>1727</v>
      </c>
      <c r="O430" s="35">
        <v>1</v>
      </c>
      <c r="P430" s="35">
        <v>1</v>
      </c>
      <c r="Q430" s="36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0</v>
      </c>
      <c r="AB430" s="1">
        <f t="shared" si="318"/>
        <v>0</v>
      </c>
      <c r="AD430" s="1">
        <f t="shared" si="319"/>
        <v>1</v>
      </c>
      <c r="AE430" s="1">
        <f t="shared" si="320"/>
        <v>0</v>
      </c>
      <c r="AF430" s="1">
        <f t="shared" si="321"/>
        <v>1</v>
      </c>
      <c r="AG430" s="1">
        <f t="shared" si="322"/>
        <v>0</v>
      </c>
      <c r="AH430" s="1">
        <f t="shared" si="323"/>
        <v>1</v>
      </c>
      <c r="AI430" s="1">
        <f t="shared" si="324"/>
        <v>0</v>
      </c>
    </row>
    <row r="431" spans="1:35" s="1" customFormat="1" ht="14.25" customHeight="1" x14ac:dyDescent="0.3">
      <c r="A431" s="44">
        <v>0</v>
      </c>
      <c r="B431" s="44">
        <v>2</v>
      </c>
      <c r="C431" s="44">
        <v>7</v>
      </c>
      <c r="D431" s="45" t="s">
        <v>1537</v>
      </c>
      <c r="E431" s="45" t="s">
        <v>28</v>
      </c>
      <c r="F431" s="45" t="s">
        <v>1662</v>
      </c>
      <c r="G431" s="45" t="s">
        <v>287</v>
      </c>
      <c r="H431" s="45" t="s">
        <v>354</v>
      </c>
      <c r="I431" s="44" t="s">
        <v>1688</v>
      </c>
      <c r="J431" s="44">
        <v>99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0</v>
      </c>
      <c r="AE431" s="1">
        <f t="shared" si="320"/>
        <v>0</v>
      </c>
      <c r="AF431" s="1">
        <f t="shared" si="321"/>
        <v>0</v>
      </c>
      <c r="AG431" s="1">
        <f t="shared" si="322"/>
        <v>0</v>
      </c>
      <c r="AH431" s="1">
        <f t="shared" si="323"/>
        <v>0</v>
      </c>
      <c r="AI431" s="1">
        <f t="shared" si="324"/>
        <v>1</v>
      </c>
    </row>
    <row r="432" spans="1:35" s="1" customFormat="1" ht="14.25" customHeight="1" x14ac:dyDescent="0.3">
      <c r="A432" s="44">
        <v>0</v>
      </c>
      <c r="B432" s="44">
        <v>2</v>
      </c>
      <c r="C432" s="44">
        <v>7</v>
      </c>
      <c r="D432" s="45" t="s">
        <v>1328</v>
      </c>
      <c r="E432" s="45" t="s">
        <v>28</v>
      </c>
      <c r="F432" s="45" t="s">
        <v>572</v>
      </c>
      <c r="G432" s="45" t="s">
        <v>181</v>
      </c>
      <c r="H432" s="45" t="s">
        <v>354</v>
      </c>
      <c r="I432" s="44" t="s">
        <v>430</v>
      </c>
      <c r="J432" s="44">
        <v>7</v>
      </c>
      <c r="K432" s="46" t="s">
        <v>712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97"/>
        <v>0</v>
      </c>
      <c r="T432" s="1">
        <f t="shared" si="298"/>
        <v>0</v>
      </c>
      <c r="U432" s="1">
        <f t="shared" si="299"/>
        <v>0</v>
      </c>
      <c r="V432" s="1">
        <f t="shared" si="300"/>
        <v>0</v>
      </c>
      <c r="W432" s="1">
        <f t="shared" si="301"/>
        <v>0</v>
      </c>
      <c r="X432" s="1">
        <f t="shared" si="302"/>
        <v>0</v>
      </c>
      <c r="Y432" s="1">
        <f t="shared" si="303"/>
        <v>1</v>
      </c>
      <c r="Z432" s="1">
        <f t="shared" si="304"/>
        <v>0</v>
      </c>
      <c r="AA432" s="1">
        <f t="shared" si="305"/>
        <v>0</v>
      </c>
      <c r="AB432" s="1">
        <f t="shared" si="306"/>
        <v>0</v>
      </c>
      <c r="AD432" s="1">
        <f t="shared" si="307"/>
        <v>0</v>
      </c>
      <c r="AE432" s="1">
        <f t="shared" si="308"/>
        <v>0</v>
      </c>
      <c r="AF432" s="1">
        <f t="shared" si="277"/>
        <v>0</v>
      </c>
      <c r="AG432" s="1">
        <f t="shared" si="278"/>
        <v>0</v>
      </c>
      <c r="AH432" s="1">
        <f t="shared" si="279"/>
        <v>0</v>
      </c>
      <c r="AI432" s="1">
        <f t="shared" si="280"/>
        <v>1</v>
      </c>
    </row>
    <row r="433" spans="1:35" s="1" customFormat="1" ht="14.25" customHeight="1" x14ac:dyDescent="0.3">
      <c r="A433" s="44">
        <v>0</v>
      </c>
      <c r="B433" s="44">
        <v>2</v>
      </c>
      <c r="C433" s="44">
        <v>7</v>
      </c>
      <c r="D433" s="45" t="s">
        <v>72</v>
      </c>
      <c r="E433" s="45" t="s">
        <v>28</v>
      </c>
      <c r="F433" s="65" t="s">
        <v>1875</v>
      </c>
      <c r="G433" s="45" t="s">
        <v>235</v>
      </c>
      <c r="H433" s="45" t="s">
        <v>354</v>
      </c>
      <c r="I433" s="44" t="s">
        <v>680</v>
      </c>
      <c r="J433" s="44">
        <v>99</v>
      </c>
      <c r="K433" s="46" t="s">
        <v>713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97"/>
        <v>0</v>
      </c>
      <c r="T433" s="1">
        <f t="shared" si="298"/>
        <v>0</v>
      </c>
      <c r="U433" s="1">
        <f t="shared" si="299"/>
        <v>0</v>
      </c>
      <c r="V433" s="1">
        <f t="shared" si="300"/>
        <v>0</v>
      </c>
      <c r="W433" s="1">
        <f t="shared" si="301"/>
        <v>0</v>
      </c>
      <c r="X433" s="1">
        <f t="shared" si="302"/>
        <v>0</v>
      </c>
      <c r="Y433" s="1">
        <f t="shared" si="303"/>
        <v>0</v>
      </c>
      <c r="Z433" s="1">
        <f t="shared" si="304"/>
        <v>0</v>
      </c>
      <c r="AA433" s="1">
        <f t="shared" si="305"/>
        <v>0</v>
      </c>
      <c r="AB433" s="1">
        <f t="shared" si="306"/>
        <v>0</v>
      </c>
      <c r="AD433" s="1">
        <f t="shared" si="307"/>
        <v>0</v>
      </c>
      <c r="AE433" s="1">
        <f t="shared" si="308"/>
        <v>0</v>
      </c>
      <c r="AF433" s="1">
        <f t="shared" si="277"/>
        <v>0</v>
      </c>
      <c r="AG433" s="1">
        <f t="shared" si="278"/>
        <v>0</v>
      </c>
      <c r="AH433" s="1">
        <f t="shared" si="279"/>
        <v>0</v>
      </c>
      <c r="AI433" s="1">
        <f t="shared" si="280"/>
        <v>1</v>
      </c>
    </row>
    <row r="434" spans="1:35" s="1" customFormat="1" ht="14.25" customHeight="1" x14ac:dyDescent="0.3">
      <c r="A434" s="44">
        <v>1</v>
      </c>
      <c r="B434" s="44">
        <v>2</v>
      </c>
      <c r="C434" s="44">
        <v>7</v>
      </c>
      <c r="D434" s="45" t="s">
        <v>72</v>
      </c>
      <c r="E434" s="45" t="s">
        <v>28</v>
      </c>
      <c r="F434" s="45" t="s">
        <v>261</v>
      </c>
      <c r="G434" s="45" t="s">
        <v>220</v>
      </c>
      <c r="H434" s="45" t="s">
        <v>354</v>
      </c>
      <c r="I434" s="44" t="s">
        <v>420</v>
      </c>
      <c r="J434" s="44">
        <v>8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97"/>
        <v>0</v>
      </c>
      <c r="T434" s="1">
        <f t="shared" si="298"/>
        <v>0</v>
      </c>
      <c r="U434" s="1">
        <f t="shared" si="299"/>
        <v>0</v>
      </c>
      <c r="V434" s="1">
        <f t="shared" si="300"/>
        <v>0</v>
      </c>
      <c r="W434" s="1">
        <f t="shared" si="301"/>
        <v>0</v>
      </c>
      <c r="X434" s="1">
        <f t="shared" si="302"/>
        <v>0</v>
      </c>
      <c r="Y434" s="1">
        <f t="shared" si="303"/>
        <v>0</v>
      </c>
      <c r="Z434" s="1">
        <f t="shared" si="304"/>
        <v>1</v>
      </c>
      <c r="AA434" s="1">
        <f t="shared" si="305"/>
        <v>0</v>
      </c>
      <c r="AB434" s="1">
        <f t="shared" si="306"/>
        <v>0</v>
      </c>
      <c r="AD434" s="1">
        <f t="shared" si="307"/>
        <v>0</v>
      </c>
      <c r="AE434" s="1">
        <f t="shared" si="308"/>
        <v>0</v>
      </c>
      <c r="AF434" s="1">
        <f t="shared" si="277"/>
        <v>0</v>
      </c>
      <c r="AG434" s="1">
        <f t="shared" si="278"/>
        <v>0</v>
      </c>
      <c r="AH434" s="1">
        <f t="shared" si="279"/>
        <v>0</v>
      </c>
      <c r="AI434" s="1">
        <f t="shared" si="280"/>
        <v>0</v>
      </c>
    </row>
    <row r="435" spans="1:35" s="1" customFormat="1" ht="14.25" customHeight="1" x14ac:dyDescent="0.3">
      <c r="A435" s="44">
        <v>1</v>
      </c>
      <c r="B435" s="44">
        <v>2</v>
      </c>
      <c r="C435" s="44">
        <v>7</v>
      </c>
      <c r="D435" s="45" t="s">
        <v>72</v>
      </c>
      <c r="E435" s="45" t="s">
        <v>28</v>
      </c>
      <c r="F435" s="45" t="s">
        <v>260</v>
      </c>
      <c r="G435" s="45" t="s">
        <v>178</v>
      </c>
      <c r="H435" s="45" t="s">
        <v>354</v>
      </c>
      <c r="I435" s="44" t="s">
        <v>419</v>
      </c>
      <c r="J435" s="44">
        <v>1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297"/>
        <v>1</v>
      </c>
      <c r="T435" s="1">
        <f t="shared" si="298"/>
        <v>0</v>
      </c>
      <c r="U435" s="1">
        <f t="shared" si="299"/>
        <v>0</v>
      </c>
      <c r="V435" s="1">
        <f t="shared" si="300"/>
        <v>0</v>
      </c>
      <c r="W435" s="1">
        <f t="shared" si="301"/>
        <v>0</v>
      </c>
      <c r="X435" s="1">
        <f t="shared" si="302"/>
        <v>0</v>
      </c>
      <c r="Y435" s="1">
        <f t="shared" si="303"/>
        <v>0</v>
      </c>
      <c r="Z435" s="1">
        <f t="shared" si="304"/>
        <v>0</v>
      </c>
      <c r="AA435" s="1">
        <f t="shared" si="305"/>
        <v>0</v>
      </c>
      <c r="AB435" s="1">
        <f t="shared" si="306"/>
        <v>0</v>
      </c>
      <c r="AD435" s="1">
        <f t="shared" si="307"/>
        <v>0</v>
      </c>
      <c r="AE435" s="1">
        <f t="shared" si="308"/>
        <v>0</v>
      </c>
      <c r="AF435" s="1">
        <f t="shared" si="277"/>
        <v>0</v>
      </c>
      <c r="AG435" s="1">
        <f t="shared" si="278"/>
        <v>0</v>
      </c>
      <c r="AH435" s="1">
        <f t="shared" si="279"/>
        <v>0</v>
      </c>
      <c r="AI435" s="1">
        <f t="shared" si="280"/>
        <v>0</v>
      </c>
    </row>
    <row r="436" spans="1:35" s="1" customFormat="1" ht="14.25" customHeight="1" x14ac:dyDescent="0.3">
      <c r="A436" s="15">
        <v>0</v>
      </c>
      <c r="B436" s="15">
        <v>2</v>
      </c>
      <c r="C436" s="15">
        <v>7</v>
      </c>
      <c r="D436" s="16" t="s">
        <v>778</v>
      </c>
      <c r="E436" s="16" t="s">
        <v>28</v>
      </c>
      <c r="F436" s="16" t="s">
        <v>779</v>
      </c>
      <c r="G436" s="16" t="s">
        <v>279</v>
      </c>
      <c r="H436" s="16" t="s">
        <v>354</v>
      </c>
      <c r="I436" s="15" t="s">
        <v>780</v>
      </c>
      <c r="J436" s="15">
        <v>99</v>
      </c>
      <c r="K436" s="10" t="s">
        <v>713</v>
      </c>
      <c r="L436" s="10" t="s">
        <v>713</v>
      </c>
      <c r="M436" s="19" t="s">
        <v>731</v>
      </c>
      <c r="N436" s="17"/>
      <c r="Q436" s="16"/>
      <c r="S436" s="1">
        <f t="shared" si="297"/>
        <v>0</v>
      </c>
      <c r="T436" s="1">
        <f t="shared" si="298"/>
        <v>0</v>
      </c>
      <c r="U436" s="1">
        <f t="shared" si="299"/>
        <v>0</v>
      </c>
      <c r="V436" s="1">
        <f t="shared" si="300"/>
        <v>0</v>
      </c>
      <c r="W436" s="1">
        <f t="shared" si="301"/>
        <v>0</v>
      </c>
      <c r="X436" s="1">
        <f t="shared" si="302"/>
        <v>0</v>
      </c>
      <c r="Y436" s="1">
        <f t="shared" si="303"/>
        <v>0</v>
      </c>
      <c r="Z436" s="1">
        <f t="shared" si="304"/>
        <v>0</v>
      </c>
      <c r="AA436" s="1">
        <f t="shared" si="305"/>
        <v>0</v>
      </c>
      <c r="AB436" s="1">
        <f t="shared" si="306"/>
        <v>0</v>
      </c>
      <c r="AD436" s="1">
        <f t="shared" si="307"/>
        <v>0</v>
      </c>
      <c r="AE436" s="1">
        <f t="shared" si="308"/>
        <v>0</v>
      </c>
      <c r="AF436" s="1">
        <f t="shared" si="277"/>
        <v>0</v>
      </c>
      <c r="AG436" s="1">
        <f t="shared" si="278"/>
        <v>0</v>
      </c>
      <c r="AH436" s="1">
        <f t="shared" si="279"/>
        <v>0</v>
      </c>
      <c r="AI436" s="1">
        <f t="shared" si="280"/>
        <v>1</v>
      </c>
    </row>
    <row r="437" spans="1:35" s="1" customFormat="1" ht="14.25" customHeight="1" x14ac:dyDescent="0.3">
      <c r="A437" s="15">
        <v>0</v>
      </c>
      <c r="B437" s="15">
        <v>2</v>
      </c>
      <c r="C437" s="15">
        <v>7</v>
      </c>
      <c r="D437" s="16" t="s">
        <v>85</v>
      </c>
      <c r="E437" s="16" t="s">
        <v>28</v>
      </c>
      <c r="F437" s="16" t="s">
        <v>278</v>
      </c>
      <c r="G437" s="16" t="s">
        <v>279</v>
      </c>
      <c r="H437" s="16" t="s">
        <v>354</v>
      </c>
      <c r="I437" s="15" t="s">
        <v>434</v>
      </c>
      <c r="J437" s="15">
        <v>99</v>
      </c>
      <c r="K437" s="10" t="s">
        <v>713</v>
      </c>
      <c r="L437" s="10" t="s">
        <v>713</v>
      </c>
      <c r="M437" s="19" t="s">
        <v>731</v>
      </c>
      <c r="N437" s="17"/>
      <c r="Q437" s="16"/>
      <c r="S437" s="1">
        <f t="shared" si="297"/>
        <v>0</v>
      </c>
      <c r="T437" s="1">
        <f t="shared" si="298"/>
        <v>0</v>
      </c>
      <c r="U437" s="1">
        <f t="shared" si="299"/>
        <v>0</v>
      </c>
      <c r="V437" s="1">
        <f t="shared" si="300"/>
        <v>0</v>
      </c>
      <c r="W437" s="1">
        <f t="shared" si="301"/>
        <v>0</v>
      </c>
      <c r="X437" s="1">
        <f t="shared" si="302"/>
        <v>0</v>
      </c>
      <c r="Y437" s="1">
        <f t="shared" si="303"/>
        <v>0</v>
      </c>
      <c r="Z437" s="1">
        <f t="shared" si="304"/>
        <v>0</v>
      </c>
      <c r="AA437" s="1">
        <f t="shared" si="305"/>
        <v>0</v>
      </c>
      <c r="AB437" s="1">
        <f t="shared" si="306"/>
        <v>0</v>
      </c>
      <c r="AD437" s="1">
        <f t="shared" si="307"/>
        <v>0</v>
      </c>
      <c r="AE437" s="1">
        <f t="shared" si="308"/>
        <v>0</v>
      </c>
      <c r="AF437" s="1">
        <f t="shared" si="277"/>
        <v>0</v>
      </c>
      <c r="AG437" s="1">
        <f t="shared" si="278"/>
        <v>0</v>
      </c>
      <c r="AH437" s="1">
        <f t="shared" si="279"/>
        <v>0</v>
      </c>
      <c r="AI437" s="1">
        <f t="shared" si="280"/>
        <v>1</v>
      </c>
    </row>
    <row r="438" spans="1:35" s="1" customFormat="1" ht="14.25" customHeight="1" x14ac:dyDescent="0.3">
      <c r="A438" s="37">
        <v>0</v>
      </c>
      <c r="B438" s="37">
        <v>2</v>
      </c>
      <c r="C438" s="37">
        <v>7</v>
      </c>
      <c r="D438" s="36" t="s">
        <v>1937</v>
      </c>
      <c r="E438" s="36" t="s">
        <v>28</v>
      </c>
      <c r="F438" s="36" t="s">
        <v>1938</v>
      </c>
      <c r="G438" s="36" t="s">
        <v>185</v>
      </c>
      <c r="H438" s="36" t="s">
        <v>354</v>
      </c>
      <c r="I438" s="37" t="s">
        <v>1939</v>
      </c>
      <c r="J438" s="37">
        <v>99</v>
      </c>
      <c r="K438" s="33" t="s">
        <v>703</v>
      </c>
      <c r="L438" s="33">
        <v>4</v>
      </c>
      <c r="M438" s="34" t="s">
        <v>731</v>
      </c>
      <c r="N438" s="34" t="s">
        <v>1743</v>
      </c>
      <c r="O438" s="35">
        <v>1</v>
      </c>
      <c r="P438" s="35"/>
      <c r="Q438" s="36" t="s">
        <v>1940</v>
      </c>
      <c r="S438" s="1">
        <f t="shared" si="297"/>
        <v>0</v>
      </c>
      <c r="T438" s="1">
        <f t="shared" si="298"/>
        <v>0</v>
      </c>
      <c r="U438" s="1">
        <f t="shared" si="299"/>
        <v>0</v>
      </c>
      <c r="V438" s="1">
        <f t="shared" si="300"/>
        <v>0</v>
      </c>
      <c r="W438" s="1">
        <f t="shared" si="301"/>
        <v>0</v>
      </c>
      <c r="X438" s="1">
        <f t="shared" si="302"/>
        <v>0</v>
      </c>
      <c r="Y438" s="1">
        <f t="shared" si="303"/>
        <v>0</v>
      </c>
      <c r="Z438" s="1">
        <f t="shared" si="304"/>
        <v>0</v>
      </c>
      <c r="AA438" s="1">
        <f t="shared" si="305"/>
        <v>0</v>
      </c>
      <c r="AB438" s="1">
        <f t="shared" si="306"/>
        <v>0</v>
      </c>
      <c r="AD438" s="1">
        <f t="shared" si="307"/>
        <v>0</v>
      </c>
      <c r="AE438" s="1">
        <f t="shared" si="308"/>
        <v>1</v>
      </c>
      <c r="AF438" s="1">
        <f t="shared" si="277"/>
        <v>0</v>
      </c>
      <c r="AG438" s="1">
        <f t="shared" si="278"/>
        <v>1</v>
      </c>
      <c r="AH438" s="1">
        <f t="shared" si="279"/>
        <v>0</v>
      </c>
      <c r="AI438" s="1">
        <f t="shared" si="280"/>
        <v>1</v>
      </c>
    </row>
    <row r="439" spans="1:35" s="1" customFormat="1" ht="14.25" customHeight="1" x14ac:dyDescent="0.3">
      <c r="A439" s="44">
        <v>0</v>
      </c>
      <c r="B439" s="44">
        <v>2</v>
      </c>
      <c r="C439" s="44">
        <v>7</v>
      </c>
      <c r="D439" s="45" t="s">
        <v>553</v>
      </c>
      <c r="E439" s="45" t="s">
        <v>28</v>
      </c>
      <c r="F439" s="65" t="s">
        <v>1876</v>
      </c>
      <c r="G439" s="45" t="s">
        <v>556</v>
      </c>
      <c r="H439" s="45" t="s">
        <v>354</v>
      </c>
      <c r="I439" s="44" t="s">
        <v>557</v>
      </c>
      <c r="J439" s="44">
        <v>99</v>
      </c>
      <c r="K439" s="46" t="s">
        <v>713</v>
      </c>
      <c r="L439" s="46" t="s">
        <v>713</v>
      </c>
      <c r="M439" s="47" t="s">
        <v>731</v>
      </c>
      <c r="N439" s="47" t="s">
        <v>1802</v>
      </c>
      <c r="O439" s="48"/>
      <c r="P439" s="48"/>
      <c r="Q439" s="45"/>
      <c r="S439" s="1">
        <f t="shared" si="297"/>
        <v>0</v>
      </c>
      <c r="T439" s="1">
        <f t="shared" si="298"/>
        <v>0</v>
      </c>
      <c r="U439" s="1">
        <f t="shared" si="299"/>
        <v>0</v>
      </c>
      <c r="V439" s="1">
        <f t="shared" si="300"/>
        <v>0</v>
      </c>
      <c r="W439" s="1">
        <f t="shared" si="301"/>
        <v>0</v>
      </c>
      <c r="X439" s="1">
        <f t="shared" si="302"/>
        <v>0</v>
      </c>
      <c r="Y439" s="1">
        <f t="shared" si="303"/>
        <v>0</v>
      </c>
      <c r="Z439" s="1">
        <f t="shared" si="304"/>
        <v>0</v>
      </c>
      <c r="AA439" s="1">
        <f t="shared" si="305"/>
        <v>0</v>
      </c>
      <c r="AB439" s="1">
        <f t="shared" si="306"/>
        <v>0</v>
      </c>
      <c r="AD439" s="1">
        <f t="shared" si="307"/>
        <v>0</v>
      </c>
      <c r="AE439" s="1">
        <f t="shared" si="308"/>
        <v>0</v>
      </c>
      <c r="AF439" s="1">
        <f t="shared" si="277"/>
        <v>0</v>
      </c>
      <c r="AG439" s="1">
        <f t="shared" si="278"/>
        <v>0</v>
      </c>
      <c r="AH439" s="1">
        <f t="shared" si="279"/>
        <v>0</v>
      </c>
      <c r="AI439" s="1">
        <f t="shared" si="280"/>
        <v>1</v>
      </c>
    </row>
    <row r="440" spans="1:35" s="1" customFormat="1" ht="14.25" customHeight="1" x14ac:dyDescent="0.3">
      <c r="A440" s="44">
        <v>1</v>
      </c>
      <c r="B440" s="44">
        <v>2</v>
      </c>
      <c r="C440" s="44">
        <v>7</v>
      </c>
      <c r="D440" s="45" t="s">
        <v>553</v>
      </c>
      <c r="E440" s="45" t="s">
        <v>28</v>
      </c>
      <c r="F440" s="65" t="s">
        <v>1877</v>
      </c>
      <c r="G440" s="45" t="s">
        <v>554</v>
      </c>
      <c r="H440" s="45" t="s">
        <v>354</v>
      </c>
      <c r="I440" s="44" t="s">
        <v>555</v>
      </c>
      <c r="J440" s="44">
        <v>99</v>
      </c>
      <c r="K440" s="46" t="s">
        <v>713</v>
      </c>
      <c r="L440" s="46" t="s">
        <v>713</v>
      </c>
      <c r="M440" s="47" t="s">
        <v>731</v>
      </c>
      <c r="N440" s="47" t="s">
        <v>1802</v>
      </c>
      <c r="O440" s="48"/>
      <c r="P440" s="48"/>
      <c r="Q440" s="45"/>
      <c r="S440" s="1">
        <f t="shared" si="297"/>
        <v>0</v>
      </c>
      <c r="T440" s="1">
        <f t="shared" si="298"/>
        <v>0</v>
      </c>
      <c r="U440" s="1">
        <f t="shared" si="299"/>
        <v>0</v>
      </c>
      <c r="V440" s="1">
        <f t="shared" si="300"/>
        <v>0</v>
      </c>
      <c r="W440" s="1">
        <f t="shared" si="301"/>
        <v>0</v>
      </c>
      <c r="X440" s="1">
        <f t="shared" si="302"/>
        <v>0</v>
      </c>
      <c r="Y440" s="1">
        <f t="shared" si="303"/>
        <v>0</v>
      </c>
      <c r="Z440" s="1">
        <f t="shared" si="304"/>
        <v>0</v>
      </c>
      <c r="AA440" s="1">
        <f t="shared" si="305"/>
        <v>0</v>
      </c>
      <c r="AB440" s="1">
        <f t="shared" si="306"/>
        <v>0</v>
      </c>
      <c r="AD440" s="1">
        <f t="shared" si="307"/>
        <v>0</v>
      </c>
      <c r="AE440" s="1">
        <f t="shared" si="308"/>
        <v>0</v>
      </c>
      <c r="AF440" s="1">
        <f t="shared" si="277"/>
        <v>0</v>
      </c>
      <c r="AG440" s="1">
        <f t="shared" si="278"/>
        <v>0</v>
      </c>
      <c r="AH440" s="1">
        <f t="shared" si="279"/>
        <v>0</v>
      </c>
      <c r="AI440" s="1">
        <f t="shared" si="280"/>
        <v>0</v>
      </c>
    </row>
    <row r="441" spans="1:35" s="1" customFormat="1" ht="14.25" customHeight="1" x14ac:dyDescent="0.3">
      <c r="A441" s="44">
        <v>0</v>
      </c>
      <c r="B441" s="44">
        <v>2</v>
      </c>
      <c r="C441" s="44">
        <v>7</v>
      </c>
      <c r="D441" s="45" t="s">
        <v>1185</v>
      </c>
      <c r="E441" s="45" t="s">
        <v>28</v>
      </c>
      <c r="F441" s="45" t="s">
        <v>1678</v>
      </c>
      <c r="G441" s="45" t="s">
        <v>235</v>
      </c>
      <c r="H441" s="45" t="s">
        <v>354</v>
      </c>
      <c r="I441" s="44" t="s">
        <v>1366</v>
      </c>
      <c r="J441" s="44">
        <v>99</v>
      </c>
      <c r="K441" s="46" t="s">
        <v>712</v>
      </c>
      <c r="L441" s="46" t="s">
        <v>713</v>
      </c>
      <c r="M441" s="47" t="s">
        <v>731</v>
      </c>
      <c r="N441" s="47" t="s">
        <v>1735</v>
      </c>
      <c r="O441" s="48"/>
      <c r="P441" s="48"/>
      <c r="Q441" s="45"/>
      <c r="S441" s="1">
        <f t="shared" si="297"/>
        <v>0</v>
      </c>
      <c r="T441" s="1">
        <f t="shared" si="298"/>
        <v>0</v>
      </c>
      <c r="U441" s="1">
        <f t="shared" si="299"/>
        <v>0</v>
      </c>
      <c r="V441" s="1">
        <f t="shared" si="300"/>
        <v>0</v>
      </c>
      <c r="W441" s="1">
        <f t="shared" si="301"/>
        <v>0</v>
      </c>
      <c r="X441" s="1">
        <f t="shared" si="302"/>
        <v>0</v>
      </c>
      <c r="Y441" s="1">
        <f t="shared" si="303"/>
        <v>0</v>
      </c>
      <c r="Z441" s="1">
        <f t="shared" si="304"/>
        <v>0</v>
      </c>
      <c r="AA441" s="1">
        <f t="shared" si="305"/>
        <v>0</v>
      </c>
      <c r="AB441" s="1">
        <f t="shared" si="306"/>
        <v>0</v>
      </c>
      <c r="AD441" s="1">
        <f t="shared" si="307"/>
        <v>0</v>
      </c>
      <c r="AE441" s="1">
        <f t="shared" si="308"/>
        <v>0</v>
      </c>
      <c r="AF441" s="1">
        <f t="shared" si="277"/>
        <v>0</v>
      </c>
      <c r="AG441" s="1">
        <f t="shared" si="278"/>
        <v>0</v>
      </c>
      <c r="AH441" s="1">
        <f t="shared" si="279"/>
        <v>0</v>
      </c>
      <c r="AI441" s="1">
        <f t="shared" si="280"/>
        <v>1</v>
      </c>
    </row>
    <row r="442" spans="1:35" s="1" customFormat="1" ht="14.25" customHeight="1" x14ac:dyDescent="0.3">
      <c r="A442" s="44">
        <v>1</v>
      </c>
      <c r="B442" s="44">
        <v>2</v>
      </c>
      <c r="C442" s="44">
        <v>7</v>
      </c>
      <c r="D442" s="45" t="s">
        <v>1185</v>
      </c>
      <c r="E442" s="45" t="s">
        <v>28</v>
      </c>
      <c r="F442" s="45" t="s">
        <v>1679</v>
      </c>
      <c r="G442" s="45" t="s">
        <v>1352</v>
      </c>
      <c r="H442" s="45" t="s">
        <v>354</v>
      </c>
      <c r="I442" s="44" t="s">
        <v>1367</v>
      </c>
      <c r="J442" s="44">
        <v>99</v>
      </c>
      <c r="K442" s="46" t="s">
        <v>712</v>
      </c>
      <c r="L442" s="46" t="s">
        <v>713</v>
      </c>
      <c r="M442" s="47" t="s">
        <v>731</v>
      </c>
      <c r="N442" s="47" t="s">
        <v>1735</v>
      </c>
      <c r="O442" s="48"/>
      <c r="P442" s="48"/>
      <c r="Q442" s="45"/>
      <c r="S442" s="1">
        <f t="shared" si="297"/>
        <v>0</v>
      </c>
      <c r="T442" s="1">
        <f t="shared" si="298"/>
        <v>0</v>
      </c>
      <c r="U442" s="1">
        <f t="shared" si="299"/>
        <v>0</v>
      </c>
      <c r="V442" s="1">
        <f t="shared" si="300"/>
        <v>0</v>
      </c>
      <c r="W442" s="1">
        <f t="shared" si="301"/>
        <v>0</v>
      </c>
      <c r="X442" s="1">
        <f t="shared" si="302"/>
        <v>0</v>
      </c>
      <c r="Y442" s="1">
        <f t="shared" si="303"/>
        <v>0</v>
      </c>
      <c r="Z442" s="1">
        <f t="shared" si="304"/>
        <v>0</v>
      </c>
      <c r="AA442" s="1">
        <f t="shared" si="305"/>
        <v>0</v>
      </c>
      <c r="AB442" s="1">
        <f t="shared" si="306"/>
        <v>0</v>
      </c>
      <c r="AD442" s="1">
        <f t="shared" si="307"/>
        <v>0</v>
      </c>
      <c r="AE442" s="1">
        <f t="shared" si="308"/>
        <v>0</v>
      </c>
      <c r="AF442" s="1">
        <f t="shared" si="277"/>
        <v>0</v>
      </c>
      <c r="AG442" s="1">
        <f t="shared" si="278"/>
        <v>0</v>
      </c>
      <c r="AH442" s="1">
        <f t="shared" si="279"/>
        <v>0</v>
      </c>
      <c r="AI442" s="1">
        <f t="shared" si="280"/>
        <v>0</v>
      </c>
    </row>
    <row r="443" spans="1:35" s="1" customFormat="1" ht="14.25" customHeight="1" x14ac:dyDescent="0.3">
      <c r="A443" s="31">
        <v>0</v>
      </c>
      <c r="B443" s="31">
        <v>2</v>
      </c>
      <c r="C443" s="31">
        <v>7</v>
      </c>
      <c r="D443" s="32" t="s">
        <v>1253</v>
      </c>
      <c r="E443" s="32" t="s">
        <v>28</v>
      </c>
      <c r="F443" s="32" t="s">
        <v>1252</v>
      </c>
      <c r="G443" s="32" t="s">
        <v>1237</v>
      </c>
      <c r="H443" s="32" t="s">
        <v>354</v>
      </c>
      <c r="I443" s="31" t="s">
        <v>1254</v>
      </c>
      <c r="J443" s="31">
        <v>99</v>
      </c>
      <c r="K443" s="33" t="s">
        <v>703</v>
      </c>
      <c r="L443" s="33" t="s">
        <v>713</v>
      </c>
      <c r="M443" s="34" t="s">
        <v>731</v>
      </c>
      <c r="N443" s="34" t="s">
        <v>1743</v>
      </c>
      <c r="O443" s="35">
        <v>1</v>
      </c>
      <c r="P443" s="35"/>
      <c r="Q443" s="32"/>
      <c r="S443" s="1">
        <f t="shared" si="297"/>
        <v>0</v>
      </c>
      <c r="T443" s="1">
        <f t="shared" si="298"/>
        <v>0</v>
      </c>
      <c r="U443" s="1">
        <f t="shared" si="299"/>
        <v>0</v>
      </c>
      <c r="V443" s="1">
        <f t="shared" si="300"/>
        <v>0</v>
      </c>
      <c r="W443" s="1">
        <f t="shared" si="301"/>
        <v>0</v>
      </c>
      <c r="X443" s="1">
        <f t="shared" si="302"/>
        <v>0</v>
      </c>
      <c r="Y443" s="1">
        <f t="shared" si="303"/>
        <v>0</v>
      </c>
      <c r="Z443" s="1">
        <f t="shared" si="304"/>
        <v>0</v>
      </c>
      <c r="AA443" s="1">
        <f t="shared" si="305"/>
        <v>0</v>
      </c>
      <c r="AB443" s="1">
        <f t="shared" si="306"/>
        <v>0</v>
      </c>
      <c r="AD443" s="1">
        <f t="shared" si="307"/>
        <v>0</v>
      </c>
      <c r="AE443" s="1">
        <f t="shared" si="308"/>
        <v>1</v>
      </c>
      <c r="AF443" s="1">
        <f t="shared" si="277"/>
        <v>0</v>
      </c>
      <c r="AG443" s="1">
        <f t="shared" si="278"/>
        <v>1</v>
      </c>
      <c r="AH443" s="1">
        <f t="shared" si="279"/>
        <v>0</v>
      </c>
      <c r="AI443" s="1">
        <f t="shared" si="280"/>
        <v>1</v>
      </c>
    </row>
    <row r="444" spans="1:35" s="1" customFormat="1" ht="14.25" customHeight="1" x14ac:dyDescent="0.3">
      <c r="A444" s="31">
        <v>1</v>
      </c>
      <c r="B444" s="31">
        <v>2</v>
      </c>
      <c r="C444" s="31">
        <v>7</v>
      </c>
      <c r="D444" s="32" t="s">
        <v>1253</v>
      </c>
      <c r="E444" s="32" t="s">
        <v>28</v>
      </c>
      <c r="F444" s="32" t="s">
        <v>1251</v>
      </c>
      <c r="G444" s="32" t="s">
        <v>39</v>
      </c>
      <c r="H444" s="32" t="s">
        <v>354</v>
      </c>
      <c r="I444" s="31" t="s">
        <v>1255</v>
      </c>
      <c r="J444" s="31">
        <v>9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97"/>
        <v>0</v>
      </c>
      <c r="T444" s="1">
        <f t="shared" si="298"/>
        <v>0</v>
      </c>
      <c r="U444" s="1">
        <f t="shared" si="299"/>
        <v>0</v>
      </c>
      <c r="V444" s="1">
        <f t="shared" si="300"/>
        <v>0</v>
      </c>
      <c r="W444" s="1">
        <f t="shared" si="301"/>
        <v>0</v>
      </c>
      <c r="X444" s="1">
        <f t="shared" si="302"/>
        <v>0</v>
      </c>
      <c r="Y444" s="1">
        <f t="shared" si="303"/>
        <v>0</v>
      </c>
      <c r="Z444" s="1">
        <f t="shared" si="304"/>
        <v>0</v>
      </c>
      <c r="AA444" s="1">
        <f t="shared" si="305"/>
        <v>1</v>
      </c>
      <c r="AB444" s="1">
        <f t="shared" si="306"/>
        <v>0</v>
      </c>
      <c r="AD444" s="1">
        <f t="shared" si="307"/>
        <v>0</v>
      </c>
      <c r="AE444" s="1">
        <f t="shared" si="308"/>
        <v>1</v>
      </c>
      <c r="AF444" s="1">
        <f t="shared" si="277"/>
        <v>0</v>
      </c>
      <c r="AG444" s="1">
        <f t="shared" si="278"/>
        <v>0</v>
      </c>
      <c r="AH444" s="1">
        <f t="shared" si="279"/>
        <v>0</v>
      </c>
      <c r="AI444" s="1">
        <f t="shared" si="280"/>
        <v>0</v>
      </c>
    </row>
    <row r="445" spans="1:35" s="1" customFormat="1" ht="14.25" customHeight="1" x14ac:dyDescent="0.3">
      <c r="A445" s="31">
        <v>1</v>
      </c>
      <c r="B445" s="31">
        <v>2</v>
      </c>
      <c r="C445" s="31">
        <v>7</v>
      </c>
      <c r="D445" s="32" t="s">
        <v>1253</v>
      </c>
      <c r="E445" s="32" t="s">
        <v>28</v>
      </c>
      <c r="F445" s="36" t="s">
        <v>1824</v>
      </c>
      <c r="G445" s="36" t="s">
        <v>258</v>
      </c>
      <c r="H445" s="32" t="s">
        <v>354</v>
      </c>
      <c r="I445" s="37" t="s">
        <v>30</v>
      </c>
      <c r="J445" s="31">
        <v>8</v>
      </c>
      <c r="K445" s="33" t="s">
        <v>703</v>
      </c>
      <c r="L445" s="33" t="s">
        <v>713</v>
      </c>
      <c r="M445" s="34" t="s">
        <v>731</v>
      </c>
      <c r="N445" s="34" t="s">
        <v>1743</v>
      </c>
      <c r="O445" s="35">
        <v>1</v>
      </c>
      <c r="P445" s="35"/>
      <c r="Q445" s="32"/>
      <c r="S445" s="1">
        <f t="shared" si="297"/>
        <v>0</v>
      </c>
      <c r="T445" s="1">
        <f t="shared" si="298"/>
        <v>0</v>
      </c>
      <c r="U445" s="1">
        <f t="shared" si="299"/>
        <v>0</v>
      </c>
      <c r="V445" s="1">
        <f t="shared" si="300"/>
        <v>0</v>
      </c>
      <c r="W445" s="1">
        <f t="shared" si="301"/>
        <v>0</v>
      </c>
      <c r="X445" s="1">
        <f t="shared" si="302"/>
        <v>0</v>
      </c>
      <c r="Y445" s="1">
        <f t="shared" si="303"/>
        <v>0</v>
      </c>
      <c r="Z445" s="1">
        <f t="shared" si="304"/>
        <v>1</v>
      </c>
      <c r="AA445" s="1">
        <f t="shared" si="305"/>
        <v>0</v>
      </c>
      <c r="AB445" s="1">
        <f t="shared" si="306"/>
        <v>0</v>
      </c>
      <c r="AD445" s="1">
        <f t="shared" si="307"/>
        <v>0</v>
      </c>
      <c r="AE445" s="1">
        <f t="shared" si="308"/>
        <v>1</v>
      </c>
      <c r="AF445" s="1">
        <f t="shared" si="277"/>
        <v>0</v>
      </c>
      <c r="AG445" s="1">
        <f t="shared" si="278"/>
        <v>0</v>
      </c>
      <c r="AH445" s="1">
        <f t="shared" si="279"/>
        <v>0</v>
      </c>
      <c r="AI445" s="1">
        <f t="shared" si="280"/>
        <v>0</v>
      </c>
    </row>
    <row r="446" spans="1:35" s="1" customFormat="1" ht="14.25" customHeight="1" x14ac:dyDescent="0.3">
      <c r="A446" s="31">
        <v>0</v>
      </c>
      <c r="B446" s="31">
        <v>2</v>
      </c>
      <c r="C446" s="31">
        <v>7</v>
      </c>
      <c r="D446" s="32" t="s">
        <v>51</v>
      </c>
      <c r="E446" s="32" t="s">
        <v>28</v>
      </c>
      <c r="F446" s="32" t="s">
        <v>674</v>
      </c>
      <c r="G446" s="32" t="s">
        <v>185</v>
      </c>
      <c r="H446" s="32" t="s">
        <v>354</v>
      </c>
      <c r="I446" s="31" t="s">
        <v>390</v>
      </c>
      <c r="J446" s="31">
        <v>99</v>
      </c>
      <c r="K446" s="33" t="s">
        <v>712</v>
      </c>
      <c r="L446" s="33" t="s">
        <v>713</v>
      </c>
      <c r="M446" s="34" t="s">
        <v>731</v>
      </c>
      <c r="N446" s="34" t="s">
        <v>1749</v>
      </c>
      <c r="O446" s="35">
        <v>1</v>
      </c>
      <c r="P446" s="35"/>
      <c r="Q446" s="32"/>
      <c r="S446" s="1">
        <f t="shared" si="297"/>
        <v>0</v>
      </c>
      <c r="T446" s="1">
        <f t="shared" si="298"/>
        <v>0</v>
      </c>
      <c r="U446" s="1">
        <f t="shared" si="299"/>
        <v>0</v>
      </c>
      <c r="V446" s="1">
        <f t="shared" si="300"/>
        <v>0</v>
      </c>
      <c r="W446" s="1">
        <f t="shared" si="301"/>
        <v>0</v>
      </c>
      <c r="X446" s="1">
        <f t="shared" si="302"/>
        <v>0</v>
      </c>
      <c r="Y446" s="1">
        <f t="shared" si="303"/>
        <v>0</v>
      </c>
      <c r="Z446" s="1">
        <f t="shared" si="304"/>
        <v>0</v>
      </c>
      <c r="AA446" s="1">
        <f t="shared" si="305"/>
        <v>0</v>
      </c>
      <c r="AB446" s="1">
        <f t="shared" si="306"/>
        <v>0</v>
      </c>
      <c r="AD446" s="1">
        <f t="shared" si="307"/>
        <v>0</v>
      </c>
      <c r="AE446" s="1">
        <f t="shared" si="308"/>
        <v>1</v>
      </c>
      <c r="AF446" s="1">
        <f t="shared" si="277"/>
        <v>0</v>
      </c>
      <c r="AG446" s="1">
        <f t="shared" si="278"/>
        <v>1</v>
      </c>
      <c r="AH446" s="1">
        <f t="shared" si="279"/>
        <v>0</v>
      </c>
      <c r="AI446" s="1">
        <f t="shared" si="280"/>
        <v>1</v>
      </c>
    </row>
    <row r="447" spans="1:35" s="1" customFormat="1" ht="14.25" customHeight="1" x14ac:dyDescent="0.3">
      <c r="A447" s="44">
        <v>0</v>
      </c>
      <c r="B447" s="44">
        <v>2</v>
      </c>
      <c r="C447" s="44">
        <v>7</v>
      </c>
      <c r="D447" s="45" t="s">
        <v>1081</v>
      </c>
      <c r="E447" s="45" t="s">
        <v>28</v>
      </c>
      <c r="F447" s="45" t="s">
        <v>998</v>
      </c>
      <c r="G447" s="45" t="s">
        <v>240</v>
      </c>
      <c r="H447" s="45" t="s">
        <v>354</v>
      </c>
      <c r="I447" s="44" t="s">
        <v>1106</v>
      </c>
      <c r="J447" s="44">
        <v>1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297"/>
        <v>1</v>
      </c>
      <c r="T447" s="1">
        <f t="shared" si="298"/>
        <v>0</v>
      </c>
      <c r="U447" s="1">
        <f t="shared" si="299"/>
        <v>0</v>
      </c>
      <c r="V447" s="1">
        <f t="shared" si="300"/>
        <v>0</v>
      </c>
      <c r="W447" s="1">
        <f t="shared" si="301"/>
        <v>0</v>
      </c>
      <c r="X447" s="1">
        <f t="shared" si="302"/>
        <v>0</v>
      </c>
      <c r="Y447" s="1">
        <f t="shared" si="303"/>
        <v>0</v>
      </c>
      <c r="Z447" s="1">
        <f t="shared" si="304"/>
        <v>0</v>
      </c>
      <c r="AA447" s="1">
        <f t="shared" si="305"/>
        <v>0</v>
      </c>
      <c r="AB447" s="1">
        <f t="shared" si="306"/>
        <v>0</v>
      </c>
      <c r="AD447" s="1">
        <f t="shared" si="307"/>
        <v>0</v>
      </c>
      <c r="AE447" s="1">
        <f t="shared" si="308"/>
        <v>0</v>
      </c>
      <c r="AF447" s="1">
        <f t="shared" si="277"/>
        <v>0</v>
      </c>
      <c r="AG447" s="1">
        <f t="shared" si="278"/>
        <v>0</v>
      </c>
      <c r="AH447" s="1">
        <f t="shared" si="279"/>
        <v>0</v>
      </c>
      <c r="AI447" s="1">
        <f t="shared" si="280"/>
        <v>1</v>
      </c>
    </row>
    <row r="448" spans="1:35" s="1" customFormat="1" ht="14.25" customHeight="1" x14ac:dyDescent="0.3">
      <c r="A448" s="44">
        <v>1</v>
      </c>
      <c r="B448" s="44">
        <v>2</v>
      </c>
      <c r="C448" s="44">
        <v>7</v>
      </c>
      <c r="D448" s="45" t="s">
        <v>1081</v>
      </c>
      <c r="E448" s="45" t="s">
        <v>28</v>
      </c>
      <c r="F448" s="45" t="s">
        <v>999</v>
      </c>
      <c r="G448" s="45" t="s">
        <v>1099</v>
      </c>
      <c r="H448" s="45" t="s">
        <v>354</v>
      </c>
      <c r="I448" s="44" t="s">
        <v>1107</v>
      </c>
      <c r="J448" s="44">
        <v>1</v>
      </c>
      <c r="K448" s="46" t="s">
        <v>712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97"/>
        <v>1</v>
      </c>
      <c r="T448" s="1">
        <f t="shared" si="298"/>
        <v>0</v>
      </c>
      <c r="U448" s="1">
        <f t="shared" si="299"/>
        <v>0</v>
      </c>
      <c r="V448" s="1">
        <f t="shared" si="300"/>
        <v>0</v>
      </c>
      <c r="W448" s="1">
        <f t="shared" si="301"/>
        <v>0</v>
      </c>
      <c r="X448" s="1">
        <f t="shared" si="302"/>
        <v>0</v>
      </c>
      <c r="Y448" s="1">
        <f t="shared" si="303"/>
        <v>0</v>
      </c>
      <c r="Z448" s="1">
        <f t="shared" si="304"/>
        <v>0</v>
      </c>
      <c r="AA448" s="1">
        <f t="shared" si="305"/>
        <v>0</v>
      </c>
      <c r="AB448" s="1">
        <f t="shared" si="306"/>
        <v>0</v>
      </c>
      <c r="AD448" s="1">
        <f t="shared" si="307"/>
        <v>0</v>
      </c>
      <c r="AE448" s="1">
        <f t="shared" si="308"/>
        <v>0</v>
      </c>
      <c r="AF448" s="1">
        <f t="shared" si="277"/>
        <v>0</v>
      </c>
      <c r="AG448" s="1">
        <f t="shared" si="278"/>
        <v>0</v>
      </c>
      <c r="AH448" s="1">
        <f t="shared" si="279"/>
        <v>0</v>
      </c>
      <c r="AI448" s="1">
        <f t="shared" si="280"/>
        <v>0</v>
      </c>
    </row>
    <row r="449" spans="1:35" s="1" customFormat="1" ht="14.25" customHeight="1" x14ac:dyDescent="0.3">
      <c r="A449" s="31">
        <v>0</v>
      </c>
      <c r="B449" s="31">
        <v>2</v>
      </c>
      <c r="C449" s="31">
        <v>7</v>
      </c>
      <c r="D449" s="32" t="s">
        <v>1638</v>
      </c>
      <c r="E449" s="32" t="s">
        <v>156</v>
      </c>
      <c r="F449" s="32" t="s">
        <v>1491</v>
      </c>
      <c r="G449" s="32" t="s">
        <v>1492</v>
      </c>
      <c r="H449" s="32" t="s">
        <v>354</v>
      </c>
      <c r="I449" s="31" t="s">
        <v>1493</v>
      </c>
      <c r="J449" s="31">
        <v>99</v>
      </c>
      <c r="K449" s="33" t="s">
        <v>955</v>
      </c>
      <c r="L449" s="33" t="s">
        <v>722</v>
      </c>
      <c r="M449" s="34" t="s">
        <v>732</v>
      </c>
      <c r="N449" s="34" t="s">
        <v>1748</v>
      </c>
      <c r="O449" s="35">
        <v>1</v>
      </c>
      <c r="P449" s="35"/>
      <c r="Q449" s="32"/>
      <c r="S449" s="1">
        <f t="shared" si="297"/>
        <v>0</v>
      </c>
      <c r="T449" s="1">
        <f t="shared" si="298"/>
        <v>0</v>
      </c>
      <c r="U449" s="1">
        <f t="shared" si="299"/>
        <v>0</v>
      </c>
      <c r="V449" s="1">
        <f t="shared" si="300"/>
        <v>0</v>
      </c>
      <c r="W449" s="1">
        <f t="shared" si="301"/>
        <v>0</v>
      </c>
      <c r="X449" s="1">
        <f t="shared" si="302"/>
        <v>0</v>
      </c>
      <c r="Y449" s="1">
        <f t="shared" si="303"/>
        <v>0</v>
      </c>
      <c r="Z449" s="1">
        <f t="shared" si="304"/>
        <v>0</v>
      </c>
      <c r="AA449" s="1">
        <f t="shared" si="305"/>
        <v>0</v>
      </c>
      <c r="AB449" s="1">
        <f t="shared" si="306"/>
        <v>0</v>
      </c>
      <c r="AD449" s="1">
        <f t="shared" si="307"/>
        <v>0</v>
      </c>
      <c r="AE449" s="1">
        <f t="shared" si="308"/>
        <v>1</v>
      </c>
      <c r="AF449" s="1">
        <f t="shared" si="277"/>
        <v>0</v>
      </c>
      <c r="AG449" s="1">
        <f t="shared" si="278"/>
        <v>1</v>
      </c>
      <c r="AH449" s="1">
        <f t="shared" si="279"/>
        <v>0</v>
      </c>
      <c r="AI449" s="1">
        <f t="shared" si="280"/>
        <v>1</v>
      </c>
    </row>
    <row r="450" spans="1:35" s="1" customFormat="1" ht="14.25" customHeight="1" x14ac:dyDescent="0.3">
      <c r="A450" s="44">
        <v>0</v>
      </c>
      <c r="B450" s="44">
        <v>2</v>
      </c>
      <c r="C450" s="44">
        <v>7</v>
      </c>
      <c r="D450" s="45" t="s">
        <v>82</v>
      </c>
      <c r="E450" s="45" t="s">
        <v>28</v>
      </c>
      <c r="F450" s="45" t="s">
        <v>274</v>
      </c>
      <c r="G450" s="45" t="s">
        <v>275</v>
      </c>
      <c r="H450" s="45" t="s">
        <v>354</v>
      </c>
      <c r="I450" s="44" t="s">
        <v>429</v>
      </c>
      <c r="J450" s="44">
        <v>7</v>
      </c>
      <c r="K450" s="46" t="s">
        <v>955</v>
      </c>
      <c r="L450" s="46" t="s">
        <v>954</v>
      </c>
      <c r="M450" s="47" t="s">
        <v>968</v>
      </c>
      <c r="N450" s="47" t="s">
        <v>1809</v>
      </c>
      <c r="O450" s="48"/>
      <c r="P450" s="48"/>
      <c r="Q450" s="45"/>
      <c r="S450" s="1">
        <f t="shared" si="297"/>
        <v>0</v>
      </c>
      <c r="T450" s="1">
        <f t="shared" si="298"/>
        <v>0</v>
      </c>
      <c r="U450" s="1">
        <f t="shared" si="299"/>
        <v>0</v>
      </c>
      <c r="V450" s="1">
        <f t="shared" si="300"/>
        <v>0</v>
      </c>
      <c r="W450" s="1">
        <f t="shared" si="301"/>
        <v>0</v>
      </c>
      <c r="X450" s="1">
        <f t="shared" si="302"/>
        <v>0</v>
      </c>
      <c r="Y450" s="1">
        <f t="shared" si="303"/>
        <v>1</v>
      </c>
      <c r="Z450" s="1">
        <f t="shared" si="304"/>
        <v>0</v>
      </c>
      <c r="AA450" s="1">
        <f t="shared" si="305"/>
        <v>0</v>
      </c>
      <c r="AB450" s="1">
        <f t="shared" si="306"/>
        <v>0</v>
      </c>
      <c r="AD450" s="1">
        <f t="shared" si="307"/>
        <v>0</v>
      </c>
      <c r="AE450" s="1">
        <f t="shared" si="308"/>
        <v>0</v>
      </c>
      <c r="AF450" s="1">
        <f t="shared" si="277"/>
        <v>0</v>
      </c>
      <c r="AG450" s="1">
        <f t="shared" si="278"/>
        <v>0</v>
      </c>
      <c r="AH450" s="1">
        <f t="shared" si="279"/>
        <v>0</v>
      </c>
      <c r="AI450" s="1">
        <f t="shared" si="280"/>
        <v>1</v>
      </c>
    </row>
    <row r="451" spans="1:35" s="1" customFormat="1" ht="14.25" customHeight="1" x14ac:dyDescent="0.3">
      <c r="A451" s="44">
        <v>0</v>
      </c>
      <c r="B451" s="44">
        <v>2</v>
      </c>
      <c r="C451" s="44">
        <v>7</v>
      </c>
      <c r="D451" s="45" t="s">
        <v>76</v>
      </c>
      <c r="E451" s="45" t="s">
        <v>28</v>
      </c>
      <c r="F451" s="45" t="s">
        <v>1681</v>
      </c>
      <c r="G451" s="45" t="s">
        <v>190</v>
      </c>
      <c r="H451" s="45" t="s">
        <v>354</v>
      </c>
      <c r="I451" s="44" t="s">
        <v>423</v>
      </c>
      <c r="J451" s="44">
        <v>99</v>
      </c>
      <c r="K451" s="46" t="s">
        <v>954</v>
      </c>
      <c r="L451" s="46" t="s">
        <v>713</v>
      </c>
      <c r="M451" s="47" t="s">
        <v>731</v>
      </c>
      <c r="N451" s="47" t="s">
        <v>1735</v>
      </c>
      <c r="O451" s="48"/>
      <c r="P451" s="48"/>
      <c r="Q451" s="45"/>
      <c r="S451" s="1">
        <f t="shared" si="297"/>
        <v>0</v>
      </c>
      <c r="T451" s="1">
        <f t="shared" si="298"/>
        <v>0</v>
      </c>
      <c r="U451" s="1">
        <f t="shared" si="299"/>
        <v>0</v>
      </c>
      <c r="V451" s="1">
        <f t="shared" si="300"/>
        <v>0</v>
      </c>
      <c r="W451" s="1">
        <f t="shared" si="301"/>
        <v>0</v>
      </c>
      <c r="X451" s="1">
        <f t="shared" si="302"/>
        <v>0</v>
      </c>
      <c r="Y451" s="1">
        <f t="shared" si="303"/>
        <v>0</v>
      </c>
      <c r="Z451" s="1">
        <f t="shared" si="304"/>
        <v>0</v>
      </c>
      <c r="AA451" s="1">
        <f t="shared" si="305"/>
        <v>0</v>
      </c>
      <c r="AB451" s="1">
        <f t="shared" si="306"/>
        <v>0</v>
      </c>
      <c r="AD451" s="1">
        <f t="shared" si="307"/>
        <v>0</v>
      </c>
      <c r="AE451" s="1">
        <f t="shared" si="308"/>
        <v>0</v>
      </c>
      <c r="AF451" s="1">
        <f t="shared" si="277"/>
        <v>0</v>
      </c>
      <c r="AG451" s="1">
        <f t="shared" si="278"/>
        <v>0</v>
      </c>
      <c r="AH451" s="1">
        <f t="shared" si="279"/>
        <v>0</v>
      </c>
      <c r="AI451" s="1">
        <f t="shared" si="280"/>
        <v>1</v>
      </c>
    </row>
    <row r="452" spans="1:35" s="1" customFormat="1" ht="14.25" customHeight="1" x14ac:dyDescent="0.3">
      <c r="A452" s="15">
        <v>0</v>
      </c>
      <c r="B452" s="15">
        <v>2</v>
      </c>
      <c r="C452" s="15">
        <v>7</v>
      </c>
      <c r="D452" s="20" t="s">
        <v>2034</v>
      </c>
      <c r="E452" s="16" t="s">
        <v>2038</v>
      </c>
      <c r="F452" s="20" t="s">
        <v>2035</v>
      </c>
      <c r="G452" s="20" t="s">
        <v>2036</v>
      </c>
      <c r="H452" s="20" t="s">
        <v>354</v>
      </c>
      <c r="I452" s="21" t="s">
        <v>2037</v>
      </c>
      <c r="J452" s="15">
        <v>99</v>
      </c>
      <c r="K452" s="10" t="s">
        <v>703</v>
      </c>
      <c r="L452" s="10">
        <v>20</v>
      </c>
      <c r="M452" s="19" t="s">
        <v>2040</v>
      </c>
      <c r="N452" s="19"/>
      <c r="Q452" s="20" t="s">
        <v>2039</v>
      </c>
      <c r="S452" s="1">
        <f t="shared" si="297"/>
        <v>0</v>
      </c>
      <c r="T452" s="1">
        <f t="shared" si="298"/>
        <v>0</v>
      </c>
      <c r="U452" s="1">
        <f t="shared" si="299"/>
        <v>0</v>
      </c>
      <c r="V452" s="1">
        <f t="shared" si="300"/>
        <v>0</v>
      </c>
      <c r="W452" s="1">
        <f t="shared" si="301"/>
        <v>0</v>
      </c>
      <c r="X452" s="1">
        <f t="shared" si="302"/>
        <v>0</v>
      </c>
      <c r="Y452" s="1">
        <f t="shared" si="303"/>
        <v>0</v>
      </c>
      <c r="Z452" s="1">
        <f t="shared" si="304"/>
        <v>0</v>
      </c>
      <c r="AA452" s="1">
        <f t="shared" si="305"/>
        <v>0</v>
      </c>
      <c r="AB452" s="1">
        <f t="shared" si="306"/>
        <v>0</v>
      </c>
      <c r="AD452" s="1">
        <f t="shared" ref="AD452:AD455" si="325">+O452*P452</f>
        <v>0</v>
      </c>
      <c r="AE452" s="1">
        <f t="shared" ref="AE452:AE455" si="326">O452*(1-P452)</f>
        <v>0</v>
      </c>
      <c r="AF452" s="1">
        <f t="shared" ref="AF452:AF455" si="327">+O452*P452*(1-A452)</f>
        <v>0</v>
      </c>
      <c r="AG452" s="1">
        <f t="shared" ref="AG452:AG455" si="328">O452*(1-P452)*(1-A452)</f>
        <v>0</v>
      </c>
      <c r="AH452" s="1">
        <f t="shared" ref="AH452:AH455" si="329">+P452*(1-A452)</f>
        <v>0</v>
      </c>
      <c r="AI452" s="1">
        <f t="shared" ref="AI452:AI455" si="330">+(1-A452)*(1-P452)</f>
        <v>1</v>
      </c>
    </row>
    <row r="453" spans="1:35" s="1" customFormat="1" ht="14.25" customHeight="1" x14ac:dyDescent="0.3">
      <c r="A453" s="31">
        <v>0</v>
      </c>
      <c r="B453" s="31">
        <v>2</v>
      </c>
      <c r="C453" s="31">
        <v>7</v>
      </c>
      <c r="D453" s="32" t="s">
        <v>1640</v>
      </c>
      <c r="E453" s="32" t="s">
        <v>163</v>
      </c>
      <c r="F453" s="32" t="s">
        <v>244</v>
      </c>
      <c r="G453" s="32" t="s">
        <v>218</v>
      </c>
      <c r="H453" s="32" t="s">
        <v>354</v>
      </c>
      <c r="I453" s="31" t="s">
        <v>408</v>
      </c>
      <c r="J453" s="31">
        <v>99</v>
      </c>
      <c r="K453" s="33" t="s">
        <v>713</v>
      </c>
      <c r="L453" s="33" t="s">
        <v>722</v>
      </c>
      <c r="M453" s="34" t="s">
        <v>732</v>
      </c>
      <c r="N453" s="34" t="s">
        <v>1727</v>
      </c>
      <c r="O453" s="35">
        <v>1</v>
      </c>
      <c r="P453" s="35">
        <v>1</v>
      </c>
      <c r="Q453" s="32"/>
      <c r="S453" s="1">
        <f t="shared" si="297"/>
        <v>0</v>
      </c>
      <c r="T453" s="1">
        <f t="shared" si="298"/>
        <v>0</v>
      </c>
      <c r="U453" s="1">
        <f t="shared" si="299"/>
        <v>0</v>
      </c>
      <c r="V453" s="1">
        <f t="shared" si="300"/>
        <v>0</v>
      </c>
      <c r="W453" s="1">
        <f t="shared" si="301"/>
        <v>0</v>
      </c>
      <c r="X453" s="1">
        <f t="shared" si="302"/>
        <v>0</v>
      </c>
      <c r="Y453" s="1">
        <f t="shared" si="303"/>
        <v>0</v>
      </c>
      <c r="Z453" s="1">
        <f t="shared" si="304"/>
        <v>0</v>
      </c>
      <c r="AA453" s="1">
        <f t="shared" si="305"/>
        <v>0</v>
      </c>
      <c r="AB453" s="1">
        <f t="shared" si="306"/>
        <v>0</v>
      </c>
      <c r="AD453" s="1">
        <f t="shared" si="325"/>
        <v>1</v>
      </c>
      <c r="AE453" s="1">
        <f t="shared" si="326"/>
        <v>0</v>
      </c>
      <c r="AF453" s="1">
        <f t="shared" si="327"/>
        <v>1</v>
      </c>
      <c r="AG453" s="1">
        <f t="shared" si="328"/>
        <v>0</v>
      </c>
      <c r="AH453" s="1">
        <f t="shared" si="329"/>
        <v>1</v>
      </c>
      <c r="AI453" s="1">
        <f t="shared" si="330"/>
        <v>0</v>
      </c>
    </row>
    <row r="454" spans="1:35" s="1" customFormat="1" ht="14.25" customHeight="1" x14ac:dyDescent="0.3">
      <c r="A454" s="31">
        <v>0</v>
      </c>
      <c r="B454" s="31">
        <v>2</v>
      </c>
      <c r="C454" s="31">
        <v>7</v>
      </c>
      <c r="D454" s="32" t="s">
        <v>1538</v>
      </c>
      <c r="E454" s="32" t="s">
        <v>156</v>
      </c>
      <c r="F454" s="32" t="s">
        <v>1539</v>
      </c>
      <c r="G454" s="32" t="s">
        <v>39</v>
      </c>
      <c r="H454" s="32" t="s">
        <v>354</v>
      </c>
      <c r="I454" s="31" t="s">
        <v>1540</v>
      </c>
      <c r="J454" s="31">
        <v>99</v>
      </c>
      <c r="K454" s="33" t="s">
        <v>713</v>
      </c>
      <c r="L454" s="33" t="s">
        <v>722</v>
      </c>
      <c r="M454" s="34" t="s">
        <v>732</v>
      </c>
      <c r="N454" s="34" t="s">
        <v>1748</v>
      </c>
      <c r="O454" s="35">
        <v>1</v>
      </c>
      <c r="P454" s="35"/>
      <c r="Q454" s="32"/>
      <c r="S454" s="1">
        <f t="shared" si="297"/>
        <v>0</v>
      </c>
      <c r="T454" s="1">
        <f t="shared" si="298"/>
        <v>0</v>
      </c>
      <c r="U454" s="1">
        <f t="shared" si="299"/>
        <v>0</v>
      </c>
      <c r="V454" s="1">
        <f t="shared" si="300"/>
        <v>0</v>
      </c>
      <c r="W454" s="1">
        <f t="shared" si="301"/>
        <v>0</v>
      </c>
      <c r="X454" s="1">
        <f t="shared" si="302"/>
        <v>0</v>
      </c>
      <c r="Y454" s="1">
        <f t="shared" si="303"/>
        <v>0</v>
      </c>
      <c r="Z454" s="1">
        <f t="shared" si="304"/>
        <v>0</v>
      </c>
      <c r="AA454" s="1">
        <f t="shared" si="305"/>
        <v>0</v>
      </c>
      <c r="AB454" s="1">
        <f t="shared" si="306"/>
        <v>0</v>
      </c>
      <c r="AD454" s="1">
        <f t="shared" si="325"/>
        <v>0</v>
      </c>
      <c r="AE454" s="1">
        <f t="shared" si="326"/>
        <v>1</v>
      </c>
      <c r="AF454" s="1">
        <f t="shared" si="327"/>
        <v>0</v>
      </c>
      <c r="AG454" s="1">
        <f t="shared" si="328"/>
        <v>1</v>
      </c>
      <c r="AH454" s="1">
        <f t="shared" si="329"/>
        <v>0</v>
      </c>
      <c r="AI454" s="1">
        <f t="shared" si="330"/>
        <v>1</v>
      </c>
    </row>
    <row r="455" spans="1:35" s="1" customFormat="1" ht="14.25" customHeight="1" x14ac:dyDescent="0.3">
      <c r="A455" s="44">
        <v>0</v>
      </c>
      <c r="B455" s="44">
        <v>2</v>
      </c>
      <c r="C455" s="44">
        <v>7</v>
      </c>
      <c r="D455" s="45" t="s">
        <v>1262</v>
      </c>
      <c r="E455" s="45" t="s">
        <v>1524</v>
      </c>
      <c r="F455" s="45" t="s">
        <v>1355</v>
      </c>
      <c r="G455" s="45" t="s">
        <v>186</v>
      </c>
      <c r="H455" s="45" t="s">
        <v>354</v>
      </c>
      <c r="I455" s="44" t="s">
        <v>1368</v>
      </c>
      <c r="J455" s="44">
        <v>1</v>
      </c>
      <c r="K455" s="46" t="s">
        <v>713</v>
      </c>
      <c r="L455" s="46" t="s">
        <v>716</v>
      </c>
      <c r="M455" s="47" t="s">
        <v>1438</v>
      </c>
      <c r="N455" s="47" t="s">
        <v>1735</v>
      </c>
      <c r="O455" s="48"/>
      <c r="P455" s="48"/>
      <c r="Q455" s="45"/>
      <c r="S455" s="1">
        <f t="shared" si="297"/>
        <v>1</v>
      </c>
      <c r="T455" s="1">
        <f t="shared" si="298"/>
        <v>0</v>
      </c>
      <c r="U455" s="1">
        <f t="shared" si="299"/>
        <v>0</v>
      </c>
      <c r="V455" s="1">
        <f t="shared" si="300"/>
        <v>0</v>
      </c>
      <c r="W455" s="1">
        <f t="shared" si="301"/>
        <v>0</v>
      </c>
      <c r="X455" s="1">
        <f t="shared" si="302"/>
        <v>0</v>
      </c>
      <c r="Y455" s="1">
        <f t="shared" si="303"/>
        <v>0</v>
      </c>
      <c r="Z455" s="1">
        <f t="shared" si="304"/>
        <v>0</v>
      </c>
      <c r="AA455" s="1">
        <f t="shared" si="305"/>
        <v>0</v>
      </c>
      <c r="AB455" s="1">
        <f t="shared" si="306"/>
        <v>0</v>
      </c>
      <c r="AD455" s="1">
        <f t="shared" si="325"/>
        <v>0</v>
      </c>
      <c r="AE455" s="1">
        <f t="shared" si="326"/>
        <v>0</v>
      </c>
      <c r="AF455" s="1">
        <f t="shared" si="327"/>
        <v>0</v>
      </c>
      <c r="AG455" s="1">
        <f t="shared" si="328"/>
        <v>0</v>
      </c>
      <c r="AH455" s="1">
        <f t="shared" si="329"/>
        <v>0</v>
      </c>
      <c r="AI455" s="1">
        <f t="shared" si="330"/>
        <v>1</v>
      </c>
    </row>
    <row r="456" spans="1:35" s="1" customFormat="1" ht="14.25" customHeight="1" x14ac:dyDescent="0.3">
      <c r="A456" s="31">
        <v>0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974</v>
      </c>
      <c r="G456" s="32" t="s">
        <v>1101</v>
      </c>
      <c r="H456" s="32" t="s">
        <v>354</v>
      </c>
      <c r="I456" s="31" t="s">
        <v>1108</v>
      </c>
      <c r="J456" s="31">
        <v>99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97"/>
        <v>0</v>
      </c>
      <c r="T456" s="1">
        <f t="shared" si="298"/>
        <v>0</v>
      </c>
      <c r="U456" s="1">
        <f t="shared" si="299"/>
        <v>0</v>
      </c>
      <c r="V456" s="1">
        <f t="shared" si="300"/>
        <v>0</v>
      </c>
      <c r="W456" s="1">
        <f t="shared" si="301"/>
        <v>0</v>
      </c>
      <c r="X456" s="1">
        <f t="shared" si="302"/>
        <v>0</v>
      </c>
      <c r="Y456" s="1">
        <f t="shared" si="303"/>
        <v>0</v>
      </c>
      <c r="Z456" s="1">
        <f t="shared" si="304"/>
        <v>0</v>
      </c>
      <c r="AA456" s="1">
        <f t="shared" si="305"/>
        <v>0</v>
      </c>
      <c r="AB456" s="1">
        <f t="shared" si="306"/>
        <v>0</v>
      </c>
      <c r="AD456" s="1">
        <f t="shared" si="307"/>
        <v>0</v>
      </c>
      <c r="AE456" s="1">
        <f t="shared" si="308"/>
        <v>1</v>
      </c>
      <c r="AF456" s="1">
        <f t="shared" si="277"/>
        <v>0</v>
      </c>
      <c r="AG456" s="1">
        <f t="shared" si="278"/>
        <v>1</v>
      </c>
      <c r="AH456" s="1">
        <f t="shared" si="279"/>
        <v>0</v>
      </c>
      <c r="AI456" s="1">
        <f t="shared" si="280"/>
        <v>1</v>
      </c>
    </row>
    <row r="457" spans="1:35" s="1" customFormat="1" ht="14.25" customHeight="1" x14ac:dyDescent="0.3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245</v>
      </c>
      <c r="G457" s="32" t="s">
        <v>224</v>
      </c>
      <c r="H457" s="32" t="s">
        <v>354</v>
      </c>
      <c r="I457" s="31" t="s">
        <v>409</v>
      </c>
      <c r="J457" s="31">
        <v>99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97"/>
        <v>0</v>
      </c>
      <c r="T457" s="1">
        <f t="shared" si="298"/>
        <v>0</v>
      </c>
      <c r="U457" s="1">
        <f t="shared" si="299"/>
        <v>0</v>
      </c>
      <c r="V457" s="1">
        <f t="shared" si="300"/>
        <v>0</v>
      </c>
      <c r="W457" s="1">
        <f t="shared" si="301"/>
        <v>0</v>
      </c>
      <c r="X457" s="1">
        <f t="shared" si="302"/>
        <v>0</v>
      </c>
      <c r="Y457" s="1">
        <f t="shared" si="303"/>
        <v>0</v>
      </c>
      <c r="Z457" s="1">
        <f t="shared" si="304"/>
        <v>0</v>
      </c>
      <c r="AA457" s="1">
        <f t="shared" si="305"/>
        <v>0</v>
      </c>
      <c r="AB457" s="1">
        <f t="shared" si="306"/>
        <v>0</v>
      </c>
      <c r="AD457" s="1">
        <f t="shared" si="307"/>
        <v>0</v>
      </c>
      <c r="AE457" s="1">
        <f t="shared" si="308"/>
        <v>1</v>
      </c>
      <c r="AF457" s="1">
        <f t="shared" si="277"/>
        <v>0</v>
      </c>
      <c r="AG457" s="1">
        <f t="shared" si="278"/>
        <v>0</v>
      </c>
      <c r="AH457" s="1">
        <f t="shared" si="279"/>
        <v>0</v>
      </c>
      <c r="AI457" s="1">
        <f t="shared" si="280"/>
        <v>0</v>
      </c>
    </row>
    <row r="458" spans="1:35" s="1" customFormat="1" ht="14.25" customHeight="1" x14ac:dyDescent="0.3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246</v>
      </c>
      <c r="G458" s="32" t="s">
        <v>220</v>
      </c>
      <c r="H458" s="32" t="s">
        <v>354</v>
      </c>
      <c r="I458" s="31" t="s">
        <v>410</v>
      </c>
      <c r="J458" s="31">
        <v>8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 t="s">
        <v>2017</v>
      </c>
      <c r="S458" s="1">
        <f t="shared" si="297"/>
        <v>0</v>
      </c>
      <c r="T458" s="1">
        <f t="shared" si="298"/>
        <v>0</v>
      </c>
      <c r="U458" s="1">
        <f t="shared" si="299"/>
        <v>0</v>
      </c>
      <c r="V458" s="1">
        <f t="shared" si="300"/>
        <v>0</v>
      </c>
      <c r="W458" s="1">
        <f t="shared" si="301"/>
        <v>0</v>
      </c>
      <c r="X458" s="1">
        <f t="shared" si="302"/>
        <v>0</v>
      </c>
      <c r="Y458" s="1">
        <f t="shared" si="303"/>
        <v>0</v>
      </c>
      <c r="Z458" s="1">
        <f t="shared" si="304"/>
        <v>1</v>
      </c>
      <c r="AA458" s="1">
        <f t="shared" si="305"/>
        <v>0</v>
      </c>
      <c r="AB458" s="1">
        <f t="shared" si="306"/>
        <v>0</v>
      </c>
      <c r="AD458" s="1">
        <f t="shared" si="307"/>
        <v>0</v>
      </c>
      <c r="AE458" s="1">
        <f t="shared" si="308"/>
        <v>1</v>
      </c>
      <c r="AF458" s="1">
        <f t="shared" si="277"/>
        <v>0</v>
      </c>
      <c r="AG458" s="1">
        <f t="shared" si="278"/>
        <v>0</v>
      </c>
      <c r="AH458" s="1">
        <f t="shared" si="279"/>
        <v>0</v>
      </c>
      <c r="AI458" s="1">
        <f t="shared" si="280"/>
        <v>0</v>
      </c>
    </row>
    <row r="459" spans="1:35" s="1" customFormat="1" ht="14.25" customHeight="1" x14ac:dyDescent="0.3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1034</v>
      </c>
      <c r="G459" s="32" t="s">
        <v>39</v>
      </c>
      <c r="H459" s="32" t="s">
        <v>354</v>
      </c>
      <c r="I459" s="31" t="s">
        <v>1035</v>
      </c>
      <c r="J459" s="31">
        <v>1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297"/>
        <v>1</v>
      </c>
      <c r="T459" s="1">
        <f t="shared" si="298"/>
        <v>0</v>
      </c>
      <c r="U459" s="1">
        <f t="shared" si="299"/>
        <v>0</v>
      </c>
      <c r="V459" s="1">
        <f t="shared" si="300"/>
        <v>0</v>
      </c>
      <c r="W459" s="1">
        <f t="shared" si="301"/>
        <v>0</v>
      </c>
      <c r="X459" s="1">
        <f t="shared" si="302"/>
        <v>0</v>
      </c>
      <c r="Y459" s="1">
        <f t="shared" si="303"/>
        <v>0</v>
      </c>
      <c r="Z459" s="1">
        <f t="shared" si="304"/>
        <v>0</v>
      </c>
      <c r="AA459" s="1">
        <f t="shared" si="305"/>
        <v>0</v>
      </c>
      <c r="AB459" s="1">
        <f t="shared" si="306"/>
        <v>0</v>
      </c>
      <c r="AD459" s="1">
        <f t="shared" si="307"/>
        <v>0</v>
      </c>
      <c r="AE459" s="1">
        <f t="shared" si="308"/>
        <v>1</v>
      </c>
      <c r="AF459" s="1">
        <f t="shared" si="277"/>
        <v>0</v>
      </c>
      <c r="AG459" s="1">
        <f t="shared" si="278"/>
        <v>0</v>
      </c>
      <c r="AH459" s="1">
        <f t="shared" si="279"/>
        <v>0</v>
      </c>
      <c r="AI459" s="1">
        <f t="shared" si="280"/>
        <v>0</v>
      </c>
    </row>
    <row r="460" spans="1:35" s="1" customFormat="1" ht="14.25" customHeight="1" x14ac:dyDescent="0.3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1036</v>
      </c>
      <c r="G460" s="32" t="s">
        <v>302</v>
      </c>
      <c r="H460" s="32" t="s">
        <v>354</v>
      </c>
      <c r="I460" s="31" t="s">
        <v>1037</v>
      </c>
      <c r="J460" s="31">
        <v>1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297"/>
        <v>1</v>
      </c>
      <c r="T460" s="1">
        <f t="shared" si="298"/>
        <v>0</v>
      </c>
      <c r="U460" s="1">
        <f t="shared" si="299"/>
        <v>0</v>
      </c>
      <c r="V460" s="1">
        <f t="shared" si="300"/>
        <v>0</v>
      </c>
      <c r="W460" s="1">
        <f t="shared" si="301"/>
        <v>0</v>
      </c>
      <c r="X460" s="1">
        <f t="shared" si="302"/>
        <v>0</v>
      </c>
      <c r="Y460" s="1">
        <f t="shared" si="303"/>
        <v>0</v>
      </c>
      <c r="Z460" s="1">
        <f t="shared" si="304"/>
        <v>0</v>
      </c>
      <c r="AA460" s="1">
        <f t="shared" si="305"/>
        <v>0</v>
      </c>
      <c r="AB460" s="1">
        <f t="shared" si="306"/>
        <v>0</v>
      </c>
      <c r="AD460" s="1">
        <f t="shared" ref="AD460:AD461" si="331">+O460*P460</f>
        <v>0</v>
      </c>
      <c r="AE460" s="1">
        <f t="shared" ref="AE460:AE461" si="332">O460*(1-P460)</f>
        <v>1</v>
      </c>
      <c r="AF460" s="1">
        <f t="shared" si="277"/>
        <v>0</v>
      </c>
      <c r="AG460" s="1">
        <f t="shared" si="278"/>
        <v>0</v>
      </c>
      <c r="AH460" s="1">
        <f t="shared" si="279"/>
        <v>0</v>
      </c>
      <c r="AI460" s="1">
        <f t="shared" si="280"/>
        <v>0</v>
      </c>
    </row>
    <row r="461" spans="1:35" s="1" customFormat="1" ht="14.25" customHeight="1" x14ac:dyDescent="0.3">
      <c r="A461" s="31">
        <v>0</v>
      </c>
      <c r="B461" s="31">
        <v>2</v>
      </c>
      <c r="C461" s="31">
        <v>7</v>
      </c>
      <c r="D461" s="32" t="s">
        <v>1573</v>
      </c>
      <c r="E461" s="32" t="s">
        <v>156</v>
      </c>
      <c r="F461" s="32" t="s">
        <v>1574</v>
      </c>
      <c r="G461" s="32" t="s">
        <v>207</v>
      </c>
      <c r="H461" s="32" t="s">
        <v>354</v>
      </c>
      <c r="I461" s="31" t="s">
        <v>1575</v>
      </c>
      <c r="J461" s="31">
        <v>99</v>
      </c>
      <c r="K461" s="33" t="s">
        <v>712</v>
      </c>
      <c r="L461" s="33" t="s">
        <v>722</v>
      </c>
      <c r="M461" s="34" t="s">
        <v>732</v>
      </c>
      <c r="N461" s="34" t="s">
        <v>1946</v>
      </c>
      <c r="O461" s="35">
        <v>1</v>
      </c>
      <c r="P461" s="35"/>
      <c r="Q461" s="32"/>
      <c r="S461" s="1">
        <f t="shared" si="297"/>
        <v>0</v>
      </c>
      <c r="T461" s="1">
        <f t="shared" si="298"/>
        <v>0</v>
      </c>
      <c r="U461" s="1">
        <f t="shared" si="299"/>
        <v>0</v>
      </c>
      <c r="V461" s="1">
        <f t="shared" si="300"/>
        <v>0</v>
      </c>
      <c r="W461" s="1">
        <f t="shared" si="301"/>
        <v>0</v>
      </c>
      <c r="X461" s="1">
        <f t="shared" si="302"/>
        <v>0</v>
      </c>
      <c r="Y461" s="1">
        <f t="shared" si="303"/>
        <v>0</v>
      </c>
      <c r="Z461" s="1">
        <f t="shared" si="304"/>
        <v>0</v>
      </c>
      <c r="AA461" s="1">
        <f t="shared" si="305"/>
        <v>0</v>
      </c>
      <c r="AB461" s="1">
        <f t="shared" si="306"/>
        <v>0</v>
      </c>
      <c r="AD461" s="1">
        <f t="shared" si="331"/>
        <v>0</v>
      </c>
      <c r="AE461" s="1">
        <f t="shared" si="332"/>
        <v>1</v>
      </c>
      <c r="AF461" s="1">
        <f t="shared" si="277"/>
        <v>0</v>
      </c>
      <c r="AG461" s="1">
        <f t="shared" si="278"/>
        <v>1</v>
      </c>
      <c r="AH461" s="1">
        <f t="shared" si="279"/>
        <v>0</v>
      </c>
      <c r="AI461" s="1">
        <f t="shared" si="280"/>
        <v>1</v>
      </c>
    </row>
    <row r="462" spans="1:35" s="1" customFormat="1" ht="14.25" customHeight="1" x14ac:dyDescent="0.3">
      <c r="A462" s="44">
        <v>0</v>
      </c>
      <c r="B462" s="44">
        <v>2</v>
      </c>
      <c r="C462" s="44">
        <v>7</v>
      </c>
      <c r="D462" s="45" t="s">
        <v>1132</v>
      </c>
      <c r="E462" s="45" t="s">
        <v>28</v>
      </c>
      <c r="F462" s="45" t="s">
        <v>1133</v>
      </c>
      <c r="G462" s="45" t="s">
        <v>220</v>
      </c>
      <c r="H462" s="45" t="s">
        <v>354</v>
      </c>
      <c r="I462" s="44" t="s">
        <v>1134</v>
      </c>
      <c r="J462" s="44">
        <v>8</v>
      </c>
      <c r="K462" s="46" t="s">
        <v>955</v>
      </c>
      <c r="L462" s="46" t="s">
        <v>713</v>
      </c>
      <c r="M462" s="47" t="s">
        <v>731</v>
      </c>
      <c r="N462" s="47" t="s">
        <v>1802</v>
      </c>
      <c r="O462" s="48"/>
      <c r="P462" s="48"/>
      <c r="Q462" s="45"/>
      <c r="S462" s="1">
        <f t="shared" si="297"/>
        <v>0</v>
      </c>
      <c r="T462" s="1">
        <f t="shared" si="298"/>
        <v>0</v>
      </c>
      <c r="U462" s="1">
        <f t="shared" si="299"/>
        <v>0</v>
      </c>
      <c r="V462" s="1">
        <f t="shared" si="300"/>
        <v>0</v>
      </c>
      <c r="W462" s="1">
        <f t="shared" si="301"/>
        <v>0</v>
      </c>
      <c r="X462" s="1">
        <f t="shared" si="302"/>
        <v>0</v>
      </c>
      <c r="Y462" s="1">
        <f t="shared" si="303"/>
        <v>0</v>
      </c>
      <c r="Z462" s="1">
        <f t="shared" si="304"/>
        <v>1</v>
      </c>
      <c r="AA462" s="1">
        <f t="shared" si="305"/>
        <v>0</v>
      </c>
      <c r="AB462" s="1">
        <f t="shared" si="306"/>
        <v>0</v>
      </c>
      <c r="AD462" s="1">
        <f t="shared" si="307"/>
        <v>0</v>
      </c>
      <c r="AE462" s="1">
        <f t="shared" si="308"/>
        <v>0</v>
      </c>
      <c r="AF462" s="1">
        <f t="shared" si="277"/>
        <v>0</v>
      </c>
      <c r="AG462" s="1">
        <f t="shared" si="278"/>
        <v>0</v>
      </c>
      <c r="AH462" s="1">
        <f t="shared" si="279"/>
        <v>0</v>
      </c>
      <c r="AI462" s="1">
        <f t="shared" si="280"/>
        <v>1</v>
      </c>
    </row>
    <row r="463" spans="1:35" s="1" customFormat="1" ht="14.25" customHeight="1" x14ac:dyDescent="0.3">
      <c r="A463" s="44">
        <v>0</v>
      </c>
      <c r="B463" s="44">
        <v>2</v>
      </c>
      <c r="C463" s="44">
        <v>7</v>
      </c>
      <c r="D463" s="45" t="s">
        <v>73</v>
      </c>
      <c r="E463" s="45" t="s">
        <v>28</v>
      </c>
      <c r="F463" s="45" t="s">
        <v>264</v>
      </c>
      <c r="G463" s="45" t="s">
        <v>194</v>
      </c>
      <c r="H463" s="45" t="s">
        <v>354</v>
      </c>
      <c r="I463" s="44" t="s">
        <v>421</v>
      </c>
      <c r="J463" s="44">
        <v>9</v>
      </c>
      <c r="K463" s="46" t="s">
        <v>712</v>
      </c>
      <c r="L463" s="46" t="s">
        <v>713</v>
      </c>
      <c r="M463" s="47" t="s">
        <v>731</v>
      </c>
      <c r="N463" s="47" t="s">
        <v>1735</v>
      </c>
      <c r="O463" s="48"/>
      <c r="P463" s="48"/>
      <c r="Q463" s="45"/>
      <c r="S463" s="1">
        <f t="shared" si="297"/>
        <v>0</v>
      </c>
      <c r="T463" s="1">
        <f t="shared" si="298"/>
        <v>0</v>
      </c>
      <c r="U463" s="1">
        <f t="shared" si="299"/>
        <v>0</v>
      </c>
      <c r="V463" s="1">
        <f t="shared" si="300"/>
        <v>0</v>
      </c>
      <c r="W463" s="1">
        <f t="shared" si="301"/>
        <v>0</v>
      </c>
      <c r="X463" s="1">
        <f t="shared" si="302"/>
        <v>0</v>
      </c>
      <c r="Y463" s="1">
        <f t="shared" si="303"/>
        <v>0</v>
      </c>
      <c r="Z463" s="1">
        <f t="shared" si="304"/>
        <v>0</v>
      </c>
      <c r="AA463" s="1">
        <f t="shared" si="305"/>
        <v>1</v>
      </c>
      <c r="AB463" s="1">
        <f t="shared" si="306"/>
        <v>0</v>
      </c>
      <c r="AD463" s="1">
        <f t="shared" si="307"/>
        <v>0</v>
      </c>
      <c r="AE463" s="1">
        <f t="shared" si="308"/>
        <v>0</v>
      </c>
      <c r="AF463" s="1">
        <f t="shared" si="277"/>
        <v>0</v>
      </c>
      <c r="AG463" s="1">
        <f t="shared" si="278"/>
        <v>0</v>
      </c>
      <c r="AH463" s="1">
        <f t="shared" si="279"/>
        <v>0</v>
      </c>
      <c r="AI463" s="1">
        <f t="shared" si="280"/>
        <v>1</v>
      </c>
    </row>
    <row r="464" spans="1:35" s="1" customFormat="1" ht="14.25" customHeight="1" x14ac:dyDescent="0.3">
      <c r="A464" s="31">
        <v>0</v>
      </c>
      <c r="B464" s="31">
        <v>2</v>
      </c>
      <c r="C464" s="31">
        <v>7</v>
      </c>
      <c r="D464" s="32" t="s">
        <v>59</v>
      </c>
      <c r="E464" s="32" t="s">
        <v>163</v>
      </c>
      <c r="F464" s="32" t="s">
        <v>225</v>
      </c>
      <c r="G464" s="32" t="s">
        <v>226</v>
      </c>
      <c r="H464" s="32" t="s">
        <v>354</v>
      </c>
      <c r="I464" s="31" t="s">
        <v>398</v>
      </c>
      <c r="J464" s="31">
        <v>99</v>
      </c>
      <c r="K464" s="33" t="s">
        <v>713</v>
      </c>
      <c r="L464" s="33" t="s">
        <v>722</v>
      </c>
      <c r="M464" s="34" t="s">
        <v>732</v>
      </c>
      <c r="N464" s="34" t="s">
        <v>1750</v>
      </c>
      <c r="O464" s="35">
        <v>1</v>
      </c>
      <c r="P464" s="35"/>
      <c r="Q464" s="32"/>
      <c r="S464" s="1">
        <f t="shared" si="297"/>
        <v>0</v>
      </c>
      <c r="T464" s="1">
        <f t="shared" si="298"/>
        <v>0</v>
      </c>
      <c r="U464" s="1">
        <f t="shared" si="299"/>
        <v>0</v>
      </c>
      <c r="V464" s="1">
        <f t="shared" si="300"/>
        <v>0</v>
      </c>
      <c r="W464" s="1">
        <f t="shared" si="301"/>
        <v>0</v>
      </c>
      <c r="X464" s="1">
        <f t="shared" si="302"/>
        <v>0</v>
      </c>
      <c r="Y464" s="1">
        <f t="shared" si="303"/>
        <v>0</v>
      </c>
      <c r="Z464" s="1">
        <f t="shared" si="304"/>
        <v>0</v>
      </c>
      <c r="AA464" s="1">
        <f t="shared" si="305"/>
        <v>0</v>
      </c>
      <c r="AB464" s="1">
        <f t="shared" si="306"/>
        <v>0</v>
      </c>
      <c r="AD464" s="1">
        <f t="shared" si="307"/>
        <v>0</v>
      </c>
      <c r="AE464" s="1">
        <f t="shared" si="308"/>
        <v>1</v>
      </c>
      <c r="AF464" s="1">
        <f t="shared" si="277"/>
        <v>0</v>
      </c>
      <c r="AG464" s="1">
        <f t="shared" si="278"/>
        <v>1</v>
      </c>
      <c r="AH464" s="1">
        <f t="shared" si="279"/>
        <v>0</v>
      </c>
      <c r="AI464" s="1">
        <f t="shared" si="280"/>
        <v>1</v>
      </c>
    </row>
    <row r="465" spans="1:35" s="1" customFormat="1" ht="14.25" customHeight="1" x14ac:dyDescent="0.3">
      <c r="A465" s="31">
        <v>0</v>
      </c>
      <c r="B465" s="31">
        <v>2</v>
      </c>
      <c r="C465" s="31">
        <v>7</v>
      </c>
      <c r="D465" s="32" t="s">
        <v>1075</v>
      </c>
      <c r="E465" s="32" t="s">
        <v>156</v>
      </c>
      <c r="F465" s="32" t="s">
        <v>1076</v>
      </c>
      <c r="G465" s="32" t="s">
        <v>220</v>
      </c>
      <c r="H465" s="32" t="s">
        <v>354</v>
      </c>
      <c r="I465" s="31" t="s">
        <v>1077</v>
      </c>
      <c r="J465" s="31">
        <v>8</v>
      </c>
      <c r="K465" s="33" t="s">
        <v>712</v>
      </c>
      <c r="L465" s="33" t="s">
        <v>722</v>
      </c>
      <c r="M465" s="34" t="s">
        <v>732</v>
      </c>
      <c r="N465" s="34" t="s">
        <v>1748</v>
      </c>
      <c r="O465" s="35">
        <v>1</v>
      </c>
      <c r="P465" s="35"/>
      <c r="Q465" s="32"/>
      <c r="S465" s="1">
        <f t="shared" si="297"/>
        <v>0</v>
      </c>
      <c r="T465" s="1">
        <f t="shared" si="298"/>
        <v>0</v>
      </c>
      <c r="U465" s="1">
        <f t="shared" si="299"/>
        <v>0</v>
      </c>
      <c r="V465" s="1">
        <f t="shared" si="300"/>
        <v>0</v>
      </c>
      <c r="W465" s="1">
        <f t="shared" si="301"/>
        <v>0</v>
      </c>
      <c r="X465" s="1">
        <f t="shared" si="302"/>
        <v>0</v>
      </c>
      <c r="Y465" s="1">
        <f t="shared" si="303"/>
        <v>0</v>
      </c>
      <c r="Z465" s="1">
        <f t="shared" si="304"/>
        <v>1</v>
      </c>
      <c r="AA465" s="1">
        <f t="shared" si="305"/>
        <v>0</v>
      </c>
      <c r="AB465" s="1">
        <f t="shared" si="306"/>
        <v>0</v>
      </c>
      <c r="AD465" s="1">
        <f t="shared" si="307"/>
        <v>0</v>
      </c>
      <c r="AE465" s="1">
        <f t="shared" si="308"/>
        <v>1</v>
      </c>
      <c r="AF465" s="1">
        <f t="shared" si="277"/>
        <v>0</v>
      </c>
      <c r="AG465" s="1">
        <f t="shared" si="278"/>
        <v>1</v>
      </c>
      <c r="AH465" s="1">
        <f t="shared" si="279"/>
        <v>0</v>
      </c>
      <c r="AI465" s="1">
        <f t="shared" si="280"/>
        <v>1</v>
      </c>
    </row>
    <row r="466" spans="1:35" s="1" customFormat="1" ht="14.25" customHeight="1" x14ac:dyDescent="0.3">
      <c r="A466" s="31">
        <v>0</v>
      </c>
      <c r="B466" s="31">
        <v>2</v>
      </c>
      <c r="C466" s="31">
        <v>7</v>
      </c>
      <c r="D466" s="32" t="s">
        <v>81</v>
      </c>
      <c r="E466" s="32" t="s">
        <v>156</v>
      </c>
      <c r="F466" s="32" t="s">
        <v>273</v>
      </c>
      <c r="G466" s="32" t="s">
        <v>254</v>
      </c>
      <c r="H466" s="32" t="s">
        <v>354</v>
      </c>
      <c r="I466" s="31" t="s">
        <v>428</v>
      </c>
      <c r="J466" s="31">
        <v>99</v>
      </c>
      <c r="K466" s="33" t="s">
        <v>713</v>
      </c>
      <c r="L466" s="33" t="s">
        <v>733</v>
      </c>
      <c r="M466" s="34" t="s">
        <v>734</v>
      </c>
      <c r="N466" s="34" t="s">
        <v>1756</v>
      </c>
      <c r="O466" s="35">
        <v>1</v>
      </c>
      <c r="P466" s="35"/>
      <c r="Q466" s="32"/>
      <c r="S466" s="1">
        <f t="shared" si="297"/>
        <v>0</v>
      </c>
      <c r="T466" s="1">
        <f t="shared" si="298"/>
        <v>0</v>
      </c>
      <c r="U466" s="1">
        <f t="shared" si="299"/>
        <v>0</v>
      </c>
      <c r="V466" s="1">
        <f t="shared" si="300"/>
        <v>0</v>
      </c>
      <c r="W466" s="1">
        <f t="shared" si="301"/>
        <v>0</v>
      </c>
      <c r="X466" s="1">
        <f t="shared" si="302"/>
        <v>0</v>
      </c>
      <c r="Y466" s="1">
        <f t="shared" si="303"/>
        <v>0</v>
      </c>
      <c r="Z466" s="1">
        <f t="shared" si="304"/>
        <v>0</v>
      </c>
      <c r="AA466" s="1">
        <f t="shared" si="305"/>
        <v>0</v>
      </c>
      <c r="AB466" s="1">
        <f t="shared" si="306"/>
        <v>0</v>
      </c>
      <c r="AD466" s="1">
        <f t="shared" si="307"/>
        <v>0</v>
      </c>
      <c r="AE466" s="1">
        <f t="shared" si="308"/>
        <v>1</v>
      </c>
      <c r="AF466" s="1">
        <f t="shared" si="277"/>
        <v>0</v>
      </c>
      <c r="AG466" s="1">
        <f t="shared" si="278"/>
        <v>1</v>
      </c>
      <c r="AH466" s="1">
        <f t="shared" si="279"/>
        <v>0</v>
      </c>
      <c r="AI466" s="1">
        <f t="shared" si="280"/>
        <v>1</v>
      </c>
    </row>
    <row r="467" spans="1:35" s="1" customFormat="1" ht="14.25" customHeight="1" x14ac:dyDescent="0.3">
      <c r="A467" s="37">
        <v>0</v>
      </c>
      <c r="B467" s="37">
        <v>2</v>
      </c>
      <c r="C467" s="37">
        <v>7</v>
      </c>
      <c r="D467" s="36" t="s">
        <v>1775</v>
      </c>
      <c r="E467" s="36" t="s">
        <v>1776</v>
      </c>
      <c r="F467" s="36" t="s">
        <v>1777</v>
      </c>
      <c r="G467" s="36" t="s">
        <v>190</v>
      </c>
      <c r="H467" s="36" t="s">
        <v>354</v>
      </c>
      <c r="I467" s="37"/>
      <c r="J467" s="37"/>
      <c r="K467" s="33" t="s">
        <v>703</v>
      </c>
      <c r="L467" s="33"/>
      <c r="M467" s="34"/>
      <c r="N467" s="34" t="s">
        <v>1727</v>
      </c>
      <c r="O467" s="35">
        <v>1</v>
      </c>
      <c r="P467" s="35">
        <v>1</v>
      </c>
      <c r="Q467" s="36"/>
      <c r="S467" s="1">
        <f t="shared" si="297"/>
        <v>0</v>
      </c>
      <c r="T467" s="1">
        <f t="shared" si="298"/>
        <v>0</v>
      </c>
      <c r="U467" s="1">
        <f t="shared" si="299"/>
        <v>0</v>
      </c>
      <c r="V467" s="1">
        <f t="shared" si="300"/>
        <v>0</v>
      </c>
      <c r="W467" s="1">
        <f t="shared" si="301"/>
        <v>0</v>
      </c>
      <c r="X467" s="1">
        <f t="shared" si="302"/>
        <v>0</v>
      </c>
      <c r="Y467" s="1">
        <f t="shared" si="303"/>
        <v>0</v>
      </c>
      <c r="Z467" s="1">
        <f t="shared" si="304"/>
        <v>0</v>
      </c>
      <c r="AA467" s="1">
        <f t="shared" si="305"/>
        <v>0</v>
      </c>
      <c r="AB467" s="1">
        <f t="shared" si="306"/>
        <v>0</v>
      </c>
      <c r="AD467" s="1">
        <f t="shared" si="307"/>
        <v>1</v>
      </c>
      <c r="AE467" s="1">
        <f t="shared" si="308"/>
        <v>0</v>
      </c>
      <c r="AF467" s="1">
        <f t="shared" si="277"/>
        <v>1</v>
      </c>
      <c r="AG467" s="1">
        <f t="shared" si="278"/>
        <v>0</v>
      </c>
      <c r="AH467" s="1">
        <f t="shared" si="279"/>
        <v>1</v>
      </c>
      <c r="AI467" s="1">
        <f t="shared" si="280"/>
        <v>0</v>
      </c>
    </row>
    <row r="468" spans="1:35" s="1" customFormat="1" ht="14.25" customHeight="1" x14ac:dyDescent="0.3">
      <c r="A468" s="44">
        <v>0</v>
      </c>
      <c r="B468" s="44">
        <v>2</v>
      </c>
      <c r="C468" s="44">
        <v>7</v>
      </c>
      <c r="D468" s="45" t="s">
        <v>514</v>
      </c>
      <c r="E468" s="45" t="s">
        <v>156</v>
      </c>
      <c r="F468" s="45" t="s">
        <v>574</v>
      </c>
      <c r="G468" s="45" t="s">
        <v>321</v>
      </c>
      <c r="H468" s="45" t="s">
        <v>354</v>
      </c>
      <c r="I468" s="44" t="s">
        <v>581</v>
      </c>
      <c r="J468" s="44">
        <v>99</v>
      </c>
      <c r="K468" s="46" t="s">
        <v>954</v>
      </c>
      <c r="L468" s="46" t="s">
        <v>722</v>
      </c>
      <c r="M468" s="47" t="s">
        <v>732</v>
      </c>
      <c r="N468" s="47" t="s">
        <v>1738</v>
      </c>
      <c r="O468" s="48"/>
      <c r="P468" s="48"/>
      <c r="Q468" s="45"/>
      <c r="S468" s="1">
        <f t="shared" si="297"/>
        <v>0</v>
      </c>
      <c r="T468" s="1">
        <f t="shared" si="298"/>
        <v>0</v>
      </c>
      <c r="U468" s="1">
        <f t="shared" si="299"/>
        <v>0</v>
      </c>
      <c r="V468" s="1">
        <f t="shared" si="300"/>
        <v>0</v>
      </c>
      <c r="W468" s="1">
        <f t="shared" si="301"/>
        <v>0</v>
      </c>
      <c r="X468" s="1">
        <f t="shared" si="302"/>
        <v>0</v>
      </c>
      <c r="Y468" s="1">
        <f t="shared" si="303"/>
        <v>0</v>
      </c>
      <c r="Z468" s="1">
        <f t="shared" si="304"/>
        <v>0</v>
      </c>
      <c r="AA468" s="1">
        <f t="shared" si="305"/>
        <v>0</v>
      </c>
      <c r="AB468" s="1">
        <f t="shared" si="306"/>
        <v>0</v>
      </c>
      <c r="AD468" s="1">
        <f t="shared" si="307"/>
        <v>0</v>
      </c>
      <c r="AE468" s="1">
        <f t="shared" si="308"/>
        <v>0</v>
      </c>
      <c r="AF468" s="1">
        <f t="shared" si="277"/>
        <v>0</v>
      </c>
      <c r="AG468" s="1">
        <f t="shared" si="278"/>
        <v>0</v>
      </c>
      <c r="AH468" s="1">
        <f t="shared" si="279"/>
        <v>0</v>
      </c>
      <c r="AI468" s="1">
        <f t="shared" si="280"/>
        <v>1</v>
      </c>
    </row>
    <row r="469" spans="1:35" s="1" customFormat="1" ht="14.25" customHeight="1" x14ac:dyDescent="0.3">
      <c r="A469" s="44">
        <v>0</v>
      </c>
      <c r="B469" s="44">
        <v>2</v>
      </c>
      <c r="C469" s="44">
        <v>7</v>
      </c>
      <c r="D469" s="45" t="s">
        <v>74</v>
      </c>
      <c r="E469" s="45" t="s">
        <v>156</v>
      </c>
      <c r="F469" s="45" t="s">
        <v>675</v>
      </c>
      <c r="G469" s="45" t="s">
        <v>265</v>
      </c>
      <c r="H469" s="45" t="s">
        <v>354</v>
      </c>
      <c r="I469" s="44" t="s">
        <v>422</v>
      </c>
      <c r="J469" s="44">
        <v>99</v>
      </c>
      <c r="K469" s="46" t="s">
        <v>712</v>
      </c>
      <c r="L469" s="46" t="s">
        <v>729</v>
      </c>
      <c r="M469" s="47" t="s">
        <v>732</v>
      </c>
      <c r="N469" s="47" t="s">
        <v>1735</v>
      </c>
      <c r="O469" s="48"/>
      <c r="P469" s="48"/>
      <c r="Q469" s="45"/>
      <c r="S469" s="1">
        <f t="shared" ref="S469:S474" si="333">IF(J469=$S$7,1,0)</f>
        <v>0</v>
      </c>
      <c r="T469" s="1">
        <f t="shared" ref="T469:T474" si="334">IF(J469=$T$7,1,0)</f>
        <v>0</v>
      </c>
      <c r="U469" s="1">
        <f t="shared" ref="U469:U474" si="335">IF(J469=$U$7,1,0)</f>
        <v>0</v>
      </c>
      <c r="V469" s="1">
        <f t="shared" ref="V469:V474" si="336">IF(J469=$V$7,1,0)</f>
        <v>0</v>
      </c>
      <c r="W469" s="1">
        <f t="shared" ref="W469:W474" si="337">IF(J469=$W$7,1,0)</f>
        <v>0</v>
      </c>
      <c r="X469" s="1">
        <f t="shared" ref="X469:X474" si="338">IF(J469=$X$7,1,0)</f>
        <v>0</v>
      </c>
      <c r="Y469" s="1">
        <f t="shared" ref="Y469:Y474" si="339">IF(J469=$Y$7,1,0)</f>
        <v>0</v>
      </c>
      <c r="Z469" s="1">
        <f t="shared" ref="Z469:Z474" si="340">IF(J469=$Z$7,1,0)</f>
        <v>0</v>
      </c>
      <c r="AA469" s="1">
        <f t="shared" ref="AA469:AA474" si="341">IF(J469=$AA$7,1,0)</f>
        <v>0</v>
      </c>
      <c r="AB469" s="1">
        <f t="shared" ref="AB469:AB474" si="342">IF(J469=$AB$7,1,0)</f>
        <v>0</v>
      </c>
      <c r="AD469" s="1">
        <f t="shared" ref="AD469:AD474" si="343">+O469*P469</f>
        <v>0</v>
      </c>
      <c r="AE469" s="1">
        <f t="shared" ref="AE469:AE474" si="344">O469*(1-P469)</f>
        <v>0</v>
      </c>
      <c r="AF469" s="1">
        <f t="shared" ref="AF469:AF474" si="345">+O469*P469*(1-A469)</f>
        <v>0</v>
      </c>
      <c r="AG469" s="1">
        <f t="shared" ref="AG469:AG474" si="346">O469*(1-P469)*(1-A469)</f>
        <v>0</v>
      </c>
      <c r="AH469" s="1">
        <f t="shared" ref="AH469:AH474" si="347">+P469*(1-A469)</f>
        <v>0</v>
      </c>
      <c r="AI469" s="1">
        <f t="shared" ref="AI469:AI474" si="348">+(1-A469)*(1-P469)</f>
        <v>1</v>
      </c>
    </row>
    <row r="470" spans="1:35" s="1" customFormat="1" ht="14.25" customHeight="1" x14ac:dyDescent="0.3">
      <c r="A470" s="31">
        <v>0</v>
      </c>
      <c r="B470" s="31">
        <v>2</v>
      </c>
      <c r="C470" s="31">
        <v>7</v>
      </c>
      <c r="D470" s="32" t="s">
        <v>2007</v>
      </c>
      <c r="E470" s="32" t="s">
        <v>156</v>
      </c>
      <c r="F470" s="32" t="s">
        <v>2008</v>
      </c>
      <c r="G470" s="32" t="s">
        <v>283</v>
      </c>
      <c r="H470" s="32" t="s">
        <v>354</v>
      </c>
      <c r="I470" s="31" t="s">
        <v>2009</v>
      </c>
      <c r="J470" s="31">
        <v>99</v>
      </c>
      <c r="K470" s="33" t="s">
        <v>703</v>
      </c>
      <c r="L470" s="33" t="s">
        <v>722</v>
      </c>
      <c r="M470" s="34" t="s">
        <v>732</v>
      </c>
      <c r="N470" s="34" t="s">
        <v>1727</v>
      </c>
      <c r="O470" s="35">
        <v>1</v>
      </c>
      <c r="P470" s="35">
        <v>1</v>
      </c>
      <c r="Q470" s="32"/>
      <c r="S470" s="1">
        <f t="shared" si="333"/>
        <v>0</v>
      </c>
      <c r="T470" s="1">
        <f t="shared" si="334"/>
        <v>0</v>
      </c>
      <c r="U470" s="1">
        <f t="shared" si="335"/>
        <v>0</v>
      </c>
      <c r="V470" s="1">
        <f t="shared" si="336"/>
        <v>0</v>
      </c>
      <c r="W470" s="1">
        <f t="shared" si="337"/>
        <v>0</v>
      </c>
      <c r="X470" s="1">
        <f t="shared" si="338"/>
        <v>0</v>
      </c>
      <c r="Y470" s="1">
        <f t="shared" si="339"/>
        <v>0</v>
      </c>
      <c r="Z470" s="1">
        <f t="shared" si="340"/>
        <v>0</v>
      </c>
      <c r="AA470" s="1">
        <f t="shared" si="341"/>
        <v>0</v>
      </c>
      <c r="AB470" s="1">
        <f t="shared" si="342"/>
        <v>0</v>
      </c>
      <c r="AD470" s="1">
        <f t="shared" si="343"/>
        <v>1</v>
      </c>
      <c r="AE470" s="1">
        <f t="shared" si="344"/>
        <v>0</v>
      </c>
      <c r="AF470" s="1">
        <f t="shared" si="345"/>
        <v>1</v>
      </c>
      <c r="AG470" s="1">
        <f t="shared" si="346"/>
        <v>0</v>
      </c>
      <c r="AH470" s="1">
        <f t="shared" si="347"/>
        <v>1</v>
      </c>
      <c r="AI470" s="1">
        <f t="shared" si="348"/>
        <v>0</v>
      </c>
    </row>
    <row r="471" spans="1:35" s="1" customFormat="1" ht="14.25" customHeight="1" x14ac:dyDescent="0.3">
      <c r="A471" s="31">
        <v>1</v>
      </c>
      <c r="B471" s="31">
        <v>2</v>
      </c>
      <c r="C471" s="31">
        <v>7</v>
      </c>
      <c r="D471" s="32" t="s">
        <v>2007</v>
      </c>
      <c r="E471" s="32" t="s">
        <v>156</v>
      </c>
      <c r="F471" s="32" t="s">
        <v>2010</v>
      </c>
      <c r="G471" s="32" t="s">
        <v>2011</v>
      </c>
      <c r="H471" s="32" t="s">
        <v>354</v>
      </c>
      <c r="I471" s="31" t="s">
        <v>2012</v>
      </c>
      <c r="J471" s="31">
        <v>99</v>
      </c>
      <c r="K471" s="33" t="s">
        <v>703</v>
      </c>
      <c r="L471" s="33" t="s">
        <v>722</v>
      </c>
      <c r="M471" s="34" t="s">
        <v>732</v>
      </c>
      <c r="N471" s="34" t="s">
        <v>1727</v>
      </c>
      <c r="O471" s="35">
        <v>1</v>
      </c>
      <c r="P471" s="35">
        <v>1</v>
      </c>
      <c r="Q471" s="32"/>
      <c r="S471" s="1">
        <f t="shared" si="333"/>
        <v>0</v>
      </c>
      <c r="T471" s="1">
        <f t="shared" si="334"/>
        <v>0</v>
      </c>
      <c r="U471" s="1">
        <f t="shared" si="335"/>
        <v>0</v>
      </c>
      <c r="V471" s="1">
        <f t="shared" si="336"/>
        <v>0</v>
      </c>
      <c r="W471" s="1">
        <f t="shared" si="337"/>
        <v>0</v>
      </c>
      <c r="X471" s="1">
        <f t="shared" si="338"/>
        <v>0</v>
      </c>
      <c r="Y471" s="1">
        <f t="shared" si="339"/>
        <v>0</v>
      </c>
      <c r="Z471" s="1">
        <f t="shared" si="340"/>
        <v>0</v>
      </c>
      <c r="AA471" s="1">
        <f t="shared" si="341"/>
        <v>0</v>
      </c>
      <c r="AB471" s="1">
        <f t="shared" si="342"/>
        <v>0</v>
      </c>
      <c r="AD471" s="1">
        <f t="shared" si="343"/>
        <v>1</v>
      </c>
      <c r="AE471" s="1">
        <f t="shared" si="344"/>
        <v>0</v>
      </c>
      <c r="AF471" s="1">
        <f t="shared" si="345"/>
        <v>0</v>
      </c>
      <c r="AG471" s="1">
        <f t="shared" si="346"/>
        <v>0</v>
      </c>
      <c r="AH471" s="1">
        <f t="shared" si="347"/>
        <v>0</v>
      </c>
      <c r="AI471" s="1">
        <f t="shared" si="348"/>
        <v>0</v>
      </c>
    </row>
    <row r="472" spans="1:35" s="1" customFormat="1" ht="14.25" customHeight="1" x14ac:dyDescent="0.3">
      <c r="A472" s="15">
        <v>0</v>
      </c>
      <c r="B472" s="15">
        <v>2</v>
      </c>
      <c r="C472" s="15">
        <v>7</v>
      </c>
      <c r="D472" s="20" t="s">
        <v>1858</v>
      </c>
      <c r="E472" s="16" t="s">
        <v>156</v>
      </c>
      <c r="F472" s="20" t="s">
        <v>1859</v>
      </c>
      <c r="G472" s="20" t="s">
        <v>283</v>
      </c>
      <c r="H472" s="20" t="s">
        <v>354</v>
      </c>
      <c r="I472" s="21" t="s">
        <v>1860</v>
      </c>
      <c r="J472" s="15">
        <v>99</v>
      </c>
      <c r="K472" s="10" t="s">
        <v>703</v>
      </c>
      <c r="L472" s="10" t="s">
        <v>722</v>
      </c>
      <c r="M472" s="19" t="s">
        <v>732</v>
      </c>
      <c r="N472" s="19"/>
      <c r="Q472" s="20"/>
      <c r="S472" s="1">
        <f t="shared" si="333"/>
        <v>0</v>
      </c>
      <c r="T472" s="1">
        <f t="shared" si="334"/>
        <v>0</v>
      </c>
      <c r="U472" s="1">
        <f t="shared" si="335"/>
        <v>0</v>
      </c>
      <c r="V472" s="1">
        <f t="shared" si="336"/>
        <v>0</v>
      </c>
      <c r="W472" s="1">
        <f t="shared" si="337"/>
        <v>0</v>
      </c>
      <c r="X472" s="1">
        <f t="shared" si="338"/>
        <v>0</v>
      </c>
      <c r="Y472" s="1">
        <f t="shared" si="339"/>
        <v>0</v>
      </c>
      <c r="Z472" s="1">
        <f t="shared" si="340"/>
        <v>0</v>
      </c>
      <c r="AA472" s="1">
        <f t="shared" si="341"/>
        <v>0</v>
      </c>
      <c r="AB472" s="1">
        <f t="shared" si="342"/>
        <v>0</v>
      </c>
      <c r="AD472" s="1">
        <f t="shared" si="343"/>
        <v>0</v>
      </c>
      <c r="AE472" s="1">
        <f t="shared" si="344"/>
        <v>0</v>
      </c>
      <c r="AF472" s="1">
        <f t="shared" si="345"/>
        <v>0</v>
      </c>
      <c r="AG472" s="1">
        <f t="shared" si="346"/>
        <v>0</v>
      </c>
      <c r="AH472" s="1">
        <f t="shared" si="347"/>
        <v>0</v>
      </c>
      <c r="AI472" s="1">
        <f t="shared" si="348"/>
        <v>1</v>
      </c>
    </row>
    <row r="473" spans="1:35" s="1" customFormat="1" ht="14.25" customHeight="1" x14ac:dyDescent="0.3">
      <c r="A473" s="31">
        <v>0</v>
      </c>
      <c r="B473" s="31">
        <v>2</v>
      </c>
      <c r="C473" s="31">
        <v>7</v>
      </c>
      <c r="D473" s="32" t="s">
        <v>60</v>
      </c>
      <c r="E473" s="32" t="s">
        <v>163</v>
      </c>
      <c r="F473" s="32" t="s">
        <v>227</v>
      </c>
      <c r="G473" s="32" t="s">
        <v>190</v>
      </c>
      <c r="H473" s="32" t="s">
        <v>354</v>
      </c>
      <c r="I473" s="31" t="s">
        <v>399</v>
      </c>
      <c r="J473" s="31">
        <v>99</v>
      </c>
      <c r="K473" s="33" t="s">
        <v>713</v>
      </c>
      <c r="L473" s="33" t="s">
        <v>722</v>
      </c>
      <c r="M473" s="34" t="s">
        <v>732</v>
      </c>
      <c r="N473" s="34" t="s">
        <v>1748</v>
      </c>
      <c r="O473" s="35">
        <v>1</v>
      </c>
      <c r="P473" s="35"/>
      <c r="Q473" s="32"/>
      <c r="S473" s="1">
        <f t="shared" si="333"/>
        <v>0</v>
      </c>
      <c r="T473" s="1">
        <f t="shared" si="334"/>
        <v>0</v>
      </c>
      <c r="U473" s="1">
        <f t="shared" si="335"/>
        <v>0</v>
      </c>
      <c r="V473" s="1">
        <f t="shared" si="336"/>
        <v>0</v>
      </c>
      <c r="W473" s="1">
        <f t="shared" si="337"/>
        <v>0</v>
      </c>
      <c r="X473" s="1">
        <f t="shared" si="338"/>
        <v>0</v>
      </c>
      <c r="Y473" s="1">
        <f t="shared" si="339"/>
        <v>0</v>
      </c>
      <c r="Z473" s="1">
        <f t="shared" si="340"/>
        <v>0</v>
      </c>
      <c r="AA473" s="1">
        <f t="shared" si="341"/>
        <v>0</v>
      </c>
      <c r="AB473" s="1">
        <f t="shared" si="342"/>
        <v>0</v>
      </c>
      <c r="AD473" s="1">
        <f t="shared" si="343"/>
        <v>0</v>
      </c>
      <c r="AE473" s="1">
        <f t="shared" si="344"/>
        <v>1</v>
      </c>
      <c r="AF473" s="1">
        <f t="shared" si="345"/>
        <v>0</v>
      </c>
      <c r="AG473" s="1">
        <f t="shared" si="346"/>
        <v>1</v>
      </c>
      <c r="AH473" s="1">
        <f t="shared" si="347"/>
        <v>0</v>
      </c>
      <c r="AI473" s="1">
        <f t="shared" si="348"/>
        <v>1</v>
      </c>
    </row>
    <row r="474" spans="1:35" s="1" customFormat="1" ht="14.25" customHeight="1" x14ac:dyDescent="0.3">
      <c r="A474" s="31">
        <v>0</v>
      </c>
      <c r="B474" s="31">
        <v>2</v>
      </c>
      <c r="C474" s="31">
        <v>7</v>
      </c>
      <c r="D474" s="32" t="s">
        <v>1329</v>
      </c>
      <c r="E474" s="32" t="s">
        <v>156</v>
      </c>
      <c r="F474" s="32" t="s">
        <v>1143</v>
      </c>
      <c r="G474" s="32" t="s">
        <v>192</v>
      </c>
      <c r="H474" s="32" t="s">
        <v>354</v>
      </c>
      <c r="I474" s="31" t="s">
        <v>1369</v>
      </c>
      <c r="J474" s="31">
        <v>99</v>
      </c>
      <c r="K474" s="33" t="s">
        <v>712</v>
      </c>
      <c r="L474" s="33" t="s">
        <v>39</v>
      </c>
      <c r="M474" s="34" t="s">
        <v>39</v>
      </c>
      <c r="N474" s="34" t="s">
        <v>1727</v>
      </c>
      <c r="O474" s="35">
        <v>1</v>
      </c>
      <c r="P474" s="35">
        <v>1</v>
      </c>
      <c r="Q474" s="32"/>
      <c r="S474" s="1">
        <f t="shared" si="333"/>
        <v>0</v>
      </c>
      <c r="T474" s="1">
        <f t="shared" si="334"/>
        <v>0</v>
      </c>
      <c r="U474" s="1">
        <f t="shared" si="335"/>
        <v>0</v>
      </c>
      <c r="V474" s="1">
        <f t="shared" si="336"/>
        <v>0</v>
      </c>
      <c r="W474" s="1">
        <f t="shared" si="337"/>
        <v>0</v>
      </c>
      <c r="X474" s="1">
        <f t="shared" si="338"/>
        <v>0</v>
      </c>
      <c r="Y474" s="1">
        <f t="shared" si="339"/>
        <v>0</v>
      </c>
      <c r="Z474" s="1">
        <f t="shared" si="340"/>
        <v>0</v>
      </c>
      <c r="AA474" s="1">
        <f t="shared" si="341"/>
        <v>0</v>
      </c>
      <c r="AB474" s="1">
        <f t="shared" si="342"/>
        <v>0</v>
      </c>
      <c r="AD474" s="1">
        <f t="shared" si="343"/>
        <v>1</v>
      </c>
      <c r="AE474" s="1">
        <f t="shared" si="344"/>
        <v>0</v>
      </c>
      <c r="AF474" s="1">
        <f t="shared" si="345"/>
        <v>1</v>
      </c>
      <c r="AG474" s="1">
        <f t="shared" si="346"/>
        <v>0</v>
      </c>
      <c r="AH474" s="1">
        <f t="shared" si="347"/>
        <v>1</v>
      </c>
      <c r="AI474" s="1">
        <f t="shared" si="348"/>
        <v>0</v>
      </c>
    </row>
    <row r="475" spans="1:35" s="1" customFormat="1" ht="14.25" customHeight="1" x14ac:dyDescent="0.3">
      <c r="A475" s="31">
        <v>0</v>
      </c>
      <c r="B475" s="31">
        <v>2</v>
      </c>
      <c r="C475" s="31">
        <v>7</v>
      </c>
      <c r="D475" s="32" t="s">
        <v>589</v>
      </c>
      <c r="E475" s="32" t="s">
        <v>1337</v>
      </c>
      <c r="F475" s="32" t="s">
        <v>676</v>
      </c>
      <c r="G475" s="32" t="s">
        <v>240</v>
      </c>
      <c r="H475" s="32" t="s">
        <v>354</v>
      </c>
      <c r="I475" s="31" t="s">
        <v>405</v>
      </c>
      <c r="J475" s="31">
        <v>1</v>
      </c>
      <c r="K475" s="33" t="s">
        <v>713</v>
      </c>
      <c r="L475" s="33" t="s">
        <v>1711</v>
      </c>
      <c r="M475" s="34" t="s">
        <v>1439</v>
      </c>
      <c r="N475" s="34" t="s">
        <v>1748</v>
      </c>
      <c r="O475" s="35">
        <v>1</v>
      </c>
      <c r="P475" s="35"/>
      <c r="Q475" s="32"/>
      <c r="S475" s="1">
        <f t="shared" si="297"/>
        <v>1</v>
      </c>
      <c r="T475" s="1">
        <f t="shared" si="298"/>
        <v>0</v>
      </c>
      <c r="U475" s="1">
        <f t="shared" si="299"/>
        <v>0</v>
      </c>
      <c r="V475" s="1">
        <f t="shared" si="300"/>
        <v>0</v>
      </c>
      <c r="W475" s="1">
        <f t="shared" si="301"/>
        <v>0</v>
      </c>
      <c r="X475" s="1">
        <f t="shared" si="302"/>
        <v>0</v>
      </c>
      <c r="Y475" s="1">
        <f t="shared" si="303"/>
        <v>0</v>
      </c>
      <c r="Z475" s="1">
        <f t="shared" si="304"/>
        <v>0</v>
      </c>
      <c r="AA475" s="1">
        <f t="shared" si="305"/>
        <v>0</v>
      </c>
      <c r="AB475" s="1">
        <f t="shared" si="306"/>
        <v>0</v>
      </c>
      <c r="AD475" s="1">
        <f t="shared" ref="AD475" si="349">+O475*P475</f>
        <v>0</v>
      </c>
      <c r="AE475" s="1">
        <f t="shared" ref="AE475" si="350">O475*(1-P475)</f>
        <v>1</v>
      </c>
      <c r="AF475" s="1">
        <f t="shared" ref="AF475:AF490" si="351">+O475*P475*(1-A475)</f>
        <v>0</v>
      </c>
      <c r="AG475" s="1">
        <f t="shared" ref="AG475:AG490" si="352">O475*(1-P475)*(1-A475)</f>
        <v>1</v>
      </c>
      <c r="AH475" s="1">
        <f t="shared" ref="AH475:AH490" si="353">+P475*(1-A475)</f>
        <v>0</v>
      </c>
      <c r="AI475" s="1">
        <f t="shared" ref="AI475:AI490" si="354">+(1-A475)*(1-P475)</f>
        <v>1</v>
      </c>
    </row>
    <row r="476" spans="1:35" s="1" customFormat="1" ht="14.25" customHeight="1" x14ac:dyDescent="0.3">
      <c r="A476" s="31">
        <v>1</v>
      </c>
      <c r="B476" s="31">
        <v>2</v>
      </c>
      <c r="C476" s="31">
        <v>7</v>
      </c>
      <c r="D476" s="32" t="s">
        <v>589</v>
      </c>
      <c r="E476" s="32" t="s">
        <v>1337</v>
      </c>
      <c r="F476" s="32" t="s">
        <v>239</v>
      </c>
      <c r="G476" s="32" t="s">
        <v>178</v>
      </c>
      <c r="H476" s="32" t="s">
        <v>354</v>
      </c>
      <c r="I476" s="31" t="s">
        <v>404</v>
      </c>
      <c r="J476" s="31">
        <v>1</v>
      </c>
      <c r="K476" s="33" t="s">
        <v>713</v>
      </c>
      <c r="L476" s="33" t="s">
        <v>1711</v>
      </c>
      <c r="M476" s="34" t="s">
        <v>1439</v>
      </c>
      <c r="N476" s="34" t="s">
        <v>1748</v>
      </c>
      <c r="O476" s="35">
        <v>1</v>
      </c>
      <c r="P476" s="35"/>
      <c r="Q476" s="36" t="s">
        <v>1911</v>
      </c>
      <c r="S476" s="1">
        <f t="shared" si="297"/>
        <v>1</v>
      </c>
      <c r="T476" s="1">
        <f t="shared" si="298"/>
        <v>0</v>
      </c>
      <c r="U476" s="1">
        <f t="shared" si="299"/>
        <v>0</v>
      </c>
      <c r="V476" s="1">
        <f t="shared" si="300"/>
        <v>0</v>
      </c>
      <c r="W476" s="1">
        <f t="shared" si="301"/>
        <v>0</v>
      </c>
      <c r="X476" s="1">
        <f t="shared" si="302"/>
        <v>0</v>
      </c>
      <c r="Y476" s="1">
        <f t="shared" si="303"/>
        <v>0</v>
      </c>
      <c r="Z476" s="1">
        <f t="shared" si="304"/>
        <v>0</v>
      </c>
      <c r="AA476" s="1">
        <f t="shared" si="305"/>
        <v>0</v>
      </c>
      <c r="AB476" s="1">
        <f t="shared" si="306"/>
        <v>0</v>
      </c>
      <c r="AD476" s="1">
        <f t="shared" si="307"/>
        <v>0</v>
      </c>
      <c r="AE476" s="1">
        <f t="shared" si="308"/>
        <v>1</v>
      </c>
      <c r="AF476" s="1">
        <f t="shared" si="351"/>
        <v>0</v>
      </c>
      <c r="AG476" s="1">
        <f t="shared" si="352"/>
        <v>0</v>
      </c>
      <c r="AH476" s="1">
        <f t="shared" si="353"/>
        <v>0</v>
      </c>
      <c r="AI476" s="1">
        <f t="shared" si="354"/>
        <v>0</v>
      </c>
    </row>
    <row r="477" spans="1:35" s="1" customFormat="1" ht="14.25" customHeight="1" x14ac:dyDescent="0.3">
      <c r="A477" s="31">
        <v>0</v>
      </c>
      <c r="B477" s="31">
        <v>2</v>
      </c>
      <c r="C477" s="31">
        <v>7</v>
      </c>
      <c r="D477" s="32" t="s">
        <v>1330</v>
      </c>
      <c r="E477" s="32" t="s">
        <v>156</v>
      </c>
      <c r="F477" s="32" t="s">
        <v>1356</v>
      </c>
      <c r="G477" s="32" t="s">
        <v>258</v>
      </c>
      <c r="H477" s="32" t="s">
        <v>354</v>
      </c>
      <c r="I477" s="31" t="s">
        <v>1239</v>
      </c>
      <c r="J477" s="31">
        <v>8</v>
      </c>
      <c r="K477" s="33" t="s">
        <v>955</v>
      </c>
      <c r="L477" s="33" t="s">
        <v>722</v>
      </c>
      <c r="M477" s="34" t="s">
        <v>732</v>
      </c>
      <c r="N477" s="34" t="s">
        <v>1748</v>
      </c>
      <c r="O477" s="35">
        <v>1</v>
      </c>
      <c r="P477" s="35"/>
      <c r="Q477" s="32"/>
      <c r="S477" s="1">
        <f t="shared" si="297"/>
        <v>0</v>
      </c>
      <c r="T477" s="1">
        <f t="shared" si="298"/>
        <v>0</v>
      </c>
      <c r="U477" s="1">
        <f t="shared" si="299"/>
        <v>0</v>
      </c>
      <c r="V477" s="1">
        <f t="shared" si="300"/>
        <v>0</v>
      </c>
      <c r="W477" s="1">
        <f t="shared" si="301"/>
        <v>0</v>
      </c>
      <c r="X477" s="1">
        <f t="shared" si="302"/>
        <v>0</v>
      </c>
      <c r="Y477" s="1">
        <f t="shared" si="303"/>
        <v>0</v>
      </c>
      <c r="Z477" s="1">
        <f t="shared" si="304"/>
        <v>1</v>
      </c>
      <c r="AA477" s="1">
        <f t="shared" si="305"/>
        <v>0</v>
      </c>
      <c r="AB477" s="1">
        <f t="shared" si="306"/>
        <v>0</v>
      </c>
      <c r="AD477" s="1">
        <f t="shared" si="307"/>
        <v>0</v>
      </c>
      <c r="AE477" s="1">
        <f t="shared" si="308"/>
        <v>1</v>
      </c>
      <c r="AF477" s="1">
        <f t="shared" si="351"/>
        <v>0</v>
      </c>
      <c r="AG477" s="1">
        <f t="shared" si="352"/>
        <v>1</v>
      </c>
      <c r="AH477" s="1">
        <f t="shared" si="353"/>
        <v>0</v>
      </c>
      <c r="AI477" s="1">
        <f t="shared" si="354"/>
        <v>1</v>
      </c>
    </row>
    <row r="478" spans="1:35" s="1" customFormat="1" ht="14.25" customHeight="1" x14ac:dyDescent="0.3">
      <c r="A478" s="31">
        <v>1</v>
      </c>
      <c r="B478" s="31">
        <v>2</v>
      </c>
      <c r="C478" s="31">
        <v>7</v>
      </c>
      <c r="D478" s="32" t="s">
        <v>1330</v>
      </c>
      <c r="E478" s="32" t="s">
        <v>156</v>
      </c>
      <c r="F478" s="32" t="s">
        <v>1218</v>
      </c>
      <c r="G478" s="32" t="s">
        <v>218</v>
      </c>
      <c r="H478" s="32" t="s">
        <v>354</v>
      </c>
      <c r="I478" s="31" t="s">
        <v>1239</v>
      </c>
      <c r="J478" s="31">
        <v>99</v>
      </c>
      <c r="K478" s="33" t="s">
        <v>955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297"/>
        <v>0</v>
      </c>
      <c r="T478" s="1">
        <f t="shared" si="298"/>
        <v>0</v>
      </c>
      <c r="U478" s="1">
        <f t="shared" si="299"/>
        <v>0</v>
      </c>
      <c r="V478" s="1">
        <f t="shared" si="300"/>
        <v>0</v>
      </c>
      <c r="W478" s="1">
        <f t="shared" si="301"/>
        <v>0</v>
      </c>
      <c r="X478" s="1">
        <f t="shared" si="302"/>
        <v>0</v>
      </c>
      <c r="Y478" s="1">
        <f t="shared" si="303"/>
        <v>0</v>
      </c>
      <c r="Z478" s="1">
        <f t="shared" si="304"/>
        <v>0</v>
      </c>
      <c r="AA478" s="1">
        <f t="shared" si="305"/>
        <v>0</v>
      </c>
      <c r="AB478" s="1">
        <f t="shared" si="306"/>
        <v>0</v>
      </c>
      <c r="AD478" s="1">
        <f t="shared" si="307"/>
        <v>0</v>
      </c>
      <c r="AE478" s="1">
        <f t="shared" si="308"/>
        <v>1</v>
      </c>
      <c r="AF478" s="1">
        <f t="shared" si="351"/>
        <v>0</v>
      </c>
      <c r="AG478" s="1">
        <f t="shared" si="352"/>
        <v>0</v>
      </c>
      <c r="AH478" s="1">
        <f t="shared" si="353"/>
        <v>0</v>
      </c>
      <c r="AI478" s="1">
        <f t="shared" si="354"/>
        <v>0</v>
      </c>
    </row>
    <row r="479" spans="1:35" s="1" customFormat="1" ht="14.25" customHeight="1" x14ac:dyDescent="0.3">
      <c r="A479" s="44">
        <v>0</v>
      </c>
      <c r="B479" s="44">
        <v>2</v>
      </c>
      <c r="C479" s="44">
        <v>7</v>
      </c>
      <c r="D479" s="45" t="s">
        <v>1248</v>
      </c>
      <c r="E479" s="45" t="s">
        <v>156</v>
      </c>
      <c r="F479" s="45" t="s">
        <v>1250</v>
      </c>
      <c r="G479" s="45" t="s">
        <v>220</v>
      </c>
      <c r="H479" s="45" t="s">
        <v>354</v>
      </c>
      <c r="I479" s="44" t="s">
        <v>1370</v>
      </c>
      <c r="J479" s="44">
        <v>8</v>
      </c>
      <c r="K479" s="46" t="s">
        <v>954</v>
      </c>
      <c r="L479" s="46" t="s">
        <v>722</v>
      </c>
      <c r="M479" s="47" t="s">
        <v>732</v>
      </c>
      <c r="N479" s="47" t="s">
        <v>1735</v>
      </c>
      <c r="O479" s="48"/>
      <c r="P479" s="48"/>
      <c r="Q479" s="45"/>
      <c r="S479" s="1">
        <f t="shared" si="297"/>
        <v>0</v>
      </c>
      <c r="T479" s="1">
        <f t="shared" si="298"/>
        <v>0</v>
      </c>
      <c r="U479" s="1">
        <f t="shared" si="299"/>
        <v>0</v>
      </c>
      <c r="V479" s="1">
        <f t="shared" si="300"/>
        <v>0</v>
      </c>
      <c r="W479" s="1">
        <f t="shared" si="301"/>
        <v>0</v>
      </c>
      <c r="X479" s="1">
        <f t="shared" si="302"/>
        <v>0</v>
      </c>
      <c r="Y479" s="1">
        <f t="shared" si="303"/>
        <v>0</v>
      </c>
      <c r="Z479" s="1">
        <f t="shared" si="304"/>
        <v>1</v>
      </c>
      <c r="AA479" s="1">
        <f t="shared" si="305"/>
        <v>0</v>
      </c>
      <c r="AB479" s="1">
        <f t="shared" si="306"/>
        <v>0</v>
      </c>
      <c r="AD479" s="1">
        <f t="shared" si="307"/>
        <v>0</v>
      </c>
      <c r="AE479" s="1">
        <f t="shared" si="308"/>
        <v>0</v>
      </c>
      <c r="AF479" s="1">
        <f t="shared" si="351"/>
        <v>0</v>
      </c>
      <c r="AG479" s="1">
        <f t="shared" si="352"/>
        <v>0</v>
      </c>
      <c r="AH479" s="1">
        <f t="shared" si="353"/>
        <v>0</v>
      </c>
      <c r="AI479" s="1">
        <f t="shared" si="354"/>
        <v>1</v>
      </c>
    </row>
    <row r="480" spans="1:35" s="1" customFormat="1" ht="14.25" customHeight="1" x14ac:dyDescent="0.3">
      <c r="A480" s="44">
        <v>1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1357</v>
      </c>
      <c r="G480" s="45" t="s">
        <v>39</v>
      </c>
      <c r="H480" s="45" t="s">
        <v>355</v>
      </c>
      <c r="I480" s="44" t="s">
        <v>1249</v>
      </c>
      <c r="J480" s="44">
        <v>99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65" t="s">
        <v>1904</v>
      </c>
      <c r="S480" s="1">
        <f t="shared" ref="S480:S490" si="355">IF(J480=$S$7,1,0)</f>
        <v>0</v>
      </c>
      <c r="T480" s="1">
        <f t="shared" ref="T480:T490" si="356">IF(J480=$T$7,1,0)</f>
        <v>0</v>
      </c>
      <c r="U480" s="1">
        <f t="shared" ref="U480:U490" si="357">IF(J480=$U$7,1,0)</f>
        <v>0</v>
      </c>
      <c r="V480" s="1">
        <f t="shared" ref="V480:V490" si="358">IF(J480=$V$7,1,0)</f>
        <v>0</v>
      </c>
      <c r="W480" s="1">
        <f t="shared" ref="W480:W490" si="359">IF(J480=$W$7,1,0)</f>
        <v>0</v>
      </c>
      <c r="X480" s="1">
        <f t="shared" ref="X480:X490" si="360">IF(J480=$X$7,1,0)</f>
        <v>0</v>
      </c>
      <c r="Y480" s="1">
        <f t="shared" ref="Y480:Y490" si="361">IF(J480=$Y$7,1,0)</f>
        <v>0</v>
      </c>
      <c r="Z480" s="1">
        <f t="shared" ref="Z480:Z490" si="362">IF(J480=$Z$7,1,0)</f>
        <v>0</v>
      </c>
      <c r="AA480" s="1">
        <f t="shared" ref="AA480:AA490" si="363">IF(J480=$AA$7,1,0)</f>
        <v>0</v>
      </c>
      <c r="AB480" s="1">
        <f t="shared" ref="AB480:AB490" si="364">IF(J480=$AB$7,1,0)</f>
        <v>0</v>
      </c>
      <c r="AD480" s="1">
        <f>+O480*P480</f>
        <v>0</v>
      </c>
      <c r="AE480" s="1">
        <f>O480*(1-P480)</f>
        <v>0</v>
      </c>
      <c r="AF480" s="1">
        <f t="shared" si="351"/>
        <v>0</v>
      </c>
      <c r="AG480" s="1">
        <f t="shared" si="352"/>
        <v>0</v>
      </c>
      <c r="AH480" s="1">
        <f t="shared" si="353"/>
        <v>0</v>
      </c>
      <c r="AI480" s="1">
        <f t="shared" si="354"/>
        <v>0</v>
      </c>
    </row>
    <row r="481" spans="1:35" s="1" customFormat="1" ht="14.25" customHeight="1" x14ac:dyDescent="0.3">
      <c r="A481" s="44">
        <v>1</v>
      </c>
      <c r="B481" s="44">
        <v>2</v>
      </c>
      <c r="C481" s="44">
        <v>7</v>
      </c>
      <c r="D481" s="45" t="s">
        <v>1248</v>
      </c>
      <c r="E481" s="45" t="s">
        <v>156</v>
      </c>
      <c r="F481" s="45" t="s">
        <v>1523</v>
      </c>
      <c r="G481" s="45" t="s">
        <v>235</v>
      </c>
      <c r="H481" s="45" t="s">
        <v>354</v>
      </c>
      <c r="I481" s="44" t="s">
        <v>1691</v>
      </c>
      <c r="J481" s="44">
        <v>99</v>
      </c>
      <c r="K481" s="46" t="s">
        <v>954</v>
      </c>
      <c r="L481" s="46" t="s">
        <v>722</v>
      </c>
      <c r="M481" s="47" t="s">
        <v>732</v>
      </c>
      <c r="N481" s="47" t="s">
        <v>1735</v>
      </c>
      <c r="O481" s="48"/>
      <c r="P481" s="48"/>
      <c r="Q481" s="45"/>
      <c r="S481" s="1">
        <f t="shared" si="355"/>
        <v>0</v>
      </c>
      <c r="T481" s="1">
        <f t="shared" si="356"/>
        <v>0</v>
      </c>
      <c r="U481" s="1">
        <f t="shared" si="357"/>
        <v>0</v>
      </c>
      <c r="V481" s="1">
        <f t="shared" si="358"/>
        <v>0</v>
      </c>
      <c r="W481" s="1">
        <f t="shared" si="359"/>
        <v>0</v>
      </c>
      <c r="X481" s="1">
        <f t="shared" si="360"/>
        <v>0</v>
      </c>
      <c r="Y481" s="1">
        <f t="shared" si="361"/>
        <v>0</v>
      </c>
      <c r="Z481" s="1">
        <f t="shared" si="362"/>
        <v>0</v>
      </c>
      <c r="AA481" s="1">
        <f t="shared" si="363"/>
        <v>0</v>
      </c>
      <c r="AB481" s="1">
        <f t="shared" si="364"/>
        <v>0</v>
      </c>
      <c r="AD481" s="1">
        <f>+O481*P481</f>
        <v>0</v>
      </c>
      <c r="AE481" s="1">
        <f>O481*(1-P481)</f>
        <v>0</v>
      </c>
      <c r="AF481" s="1">
        <f t="shared" si="351"/>
        <v>0</v>
      </c>
      <c r="AG481" s="1">
        <f t="shared" si="352"/>
        <v>0</v>
      </c>
      <c r="AH481" s="1">
        <f t="shared" si="353"/>
        <v>0</v>
      </c>
      <c r="AI481" s="1">
        <f t="shared" si="354"/>
        <v>0</v>
      </c>
    </row>
    <row r="482" spans="1:35" s="1" customFormat="1" ht="14.25" customHeight="1" x14ac:dyDescent="0.3">
      <c r="A482" s="31">
        <v>0</v>
      </c>
      <c r="B482" s="31">
        <v>2</v>
      </c>
      <c r="C482" s="31">
        <v>7</v>
      </c>
      <c r="D482" s="32" t="s">
        <v>1850</v>
      </c>
      <c r="E482" s="32" t="s">
        <v>1851</v>
      </c>
      <c r="F482" s="32" t="s">
        <v>1852</v>
      </c>
      <c r="G482" s="32" t="s">
        <v>265</v>
      </c>
      <c r="H482" s="32" t="s">
        <v>354</v>
      </c>
      <c r="I482" s="31" t="s">
        <v>1853</v>
      </c>
      <c r="J482" s="31">
        <v>99</v>
      </c>
      <c r="K482" s="33" t="s">
        <v>703</v>
      </c>
      <c r="L482" s="33"/>
      <c r="M482" s="34"/>
      <c r="N482" s="34" t="s">
        <v>1727</v>
      </c>
      <c r="O482" s="35">
        <v>1</v>
      </c>
      <c r="P482" s="35">
        <v>1</v>
      </c>
      <c r="Q482" s="32"/>
      <c r="S482" s="1">
        <f t="shared" si="355"/>
        <v>0</v>
      </c>
      <c r="T482" s="1">
        <f t="shared" si="356"/>
        <v>0</v>
      </c>
      <c r="U482" s="1">
        <f t="shared" si="357"/>
        <v>0</v>
      </c>
      <c r="V482" s="1">
        <f t="shared" si="358"/>
        <v>0</v>
      </c>
      <c r="W482" s="1">
        <f t="shared" si="359"/>
        <v>0</v>
      </c>
      <c r="X482" s="1">
        <f t="shared" si="360"/>
        <v>0</v>
      </c>
      <c r="Y482" s="1">
        <f t="shared" si="361"/>
        <v>0</v>
      </c>
      <c r="Z482" s="1">
        <f t="shared" si="362"/>
        <v>0</v>
      </c>
      <c r="AA482" s="1">
        <f t="shared" si="363"/>
        <v>0</v>
      </c>
      <c r="AB482" s="1">
        <f t="shared" si="364"/>
        <v>0</v>
      </c>
      <c r="AD482" s="1">
        <f>+O482*P482</f>
        <v>1</v>
      </c>
      <c r="AE482" s="1">
        <f>O482*(1-P482)</f>
        <v>0</v>
      </c>
      <c r="AF482" s="1">
        <f t="shared" si="351"/>
        <v>1</v>
      </c>
      <c r="AG482" s="1">
        <f t="shared" si="352"/>
        <v>0</v>
      </c>
      <c r="AH482" s="1">
        <f t="shared" si="353"/>
        <v>1</v>
      </c>
      <c r="AI482" s="1">
        <f t="shared" si="354"/>
        <v>0</v>
      </c>
    </row>
    <row r="483" spans="1:35" s="1" customFormat="1" ht="14.25" customHeight="1" x14ac:dyDescent="0.3">
      <c r="A483" s="44">
        <v>0</v>
      </c>
      <c r="B483" s="44">
        <v>2</v>
      </c>
      <c r="C483" s="44">
        <v>7</v>
      </c>
      <c r="D483" s="45" t="s">
        <v>1243</v>
      </c>
      <c r="E483" s="45" t="s">
        <v>28</v>
      </c>
      <c r="F483" s="45" t="s">
        <v>1236</v>
      </c>
      <c r="G483" s="45" t="s">
        <v>1237</v>
      </c>
      <c r="H483" s="45" t="s">
        <v>354</v>
      </c>
      <c r="I483" s="44" t="s">
        <v>1238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/>
      <c r="S483" s="1">
        <f t="shared" si="355"/>
        <v>0</v>
      </c>
      <c r="T483" s="1">
        <f t="shared" si="356"/>
        <v>0</v>
      </c>
      <c r="U483" s="1">
        <f t="shared" si="357"/>
        <v>0</v>
      </c>
      <c r="V483" s="1">
        <f t="shared" si="358"/>
        <v>0</v>
      </c>
      <c r="W483" s="1">
        <f t="shared" si="359"/>
        <v>0</v>
      </c>
      <c r="X483" s="1">
        <f t="shared" si="360"/>
        <v>0</v>
      </c>
      <c r="Y483" s="1">
        <f t="shared" si="361"/>
        <v>0</v>
      </c>
      <c r="Z483" s="1">
        <f t="shared" si="362"/>
        <v>0</v>
      </c>
      <c r="AA483" s="1">
        <f t="shared" si="363"/>
        <v>0</v>
      </c>
      <c r="AB483" s="1">
        <f t="shared" si="364"/>
        <v>0</v>
      </c>
      <c r="AD483" s="1">
        <f t="shared" ref="AD483:AD490" si="365">+O483*P483</f>
        <v>0</v>
      </c>
      <c r="AE483" s="1">
        <f t="shared" ref="AE483:AE490" si="366">O483*(1-P483)</f>
        <v>0</v>
      </c>
      <c r="AF483" s="1">
        <f t="shared" si="351"/>
        <v>0</v>
      </c>
      <c r="AG483" s="1">
        <f t="shared" si="352"/>
        <v>0</v>
      </c>
      <c r="AH483" s="1">
        <f t="shared" si="353"/>
        <v>0</v>
      </c>
      <c r="AI483" s="1">
        <f t="shared" si="354"/>
        <v>1</v>
      </c>
    </row>
    <row r="484" spans="1:35" s="1" customFormat="1" ht="14.25" customHeight="1" x14ac:dyDescent="0.3">
      <c r="A484" s="44">
        <v>1</v>
      </c>
      <c r="B484" s="44">
        <v>2</v>
      </c>
      <c r="C484" s="44">
        <v>7</v>
      </c>
      <c r="D484" s="45" t="s">
        <v>1240</v>
      </c>
      <c r="E484" s="45" t="s">
        <v>28</v>
      </c>
      <c r="F484" s="45" t="s">
        <v>1241</v>
      </c>
      <c r="G484" s="45" t="s">
        <v>523</v>
      </c>
      <c r="H484" s="45" t="s">
        <v>354</v>
      </c>
      <c r="I484" s="44" t="s">
        <v>1242</v>
      </c>
      <c r="J484" s="44">
        <v>99</v>
      </c>
      <c r="K484" s="46" t="s">
        <v>712</v>
      </c>
      <c r="L484" s="46" t="s">
        <v>713</v>
      </c>
      <c r="M484" s="47" t="s">
        <v>731</v>
      </c>
      <c r="N484" s="47" t="s">
        <v>1735</v>
      </c>
      <c r="O484" s="48"/>
      <c r="P484" s="48"/>
      <c r="Q484" s="45"/>
      <c r="S484" s="1">
        <f t="shared" si="355"/>
        <v>0</v>
      </c>
      <c r="T484" s="1">
        <f t="shared" si="356"/>
        <v>0</v>
      </c>
      <c r="U484" s="1">
        <f t="shared" si="357"/>
        <v>0</v>
      </c>
      <c r="V484" s="1">
        <f t="shared" si="358"/>
        <v>0</v>
      </c>
      <c r="W484" s="1">
        <f t="shared" si="359"/>
        <v>0</v>
      </c>
      <c r="X484" s="1">
        <f t="shared" si="360"/>
        <v>0</v>
      </c>
      <c r="Y484" s="1">
        <f t="shared" si="361"/>
        <v>0</v>
      </c>
      <c r="Z484" s="1">
        <f t="shared" si="362"/>
        <v>0</v>
      </c>
      <c r="AA484" s="1">
        <f t="shared" si="363"/>
        <v>0</v>
      </c>
      <c r="AB484" s="1">
        <f t="shared" si="364"/>
        <v>0</v>
      </c>
      <c r="AD484" s="1">
        <f t="shared" si="365"/>
        <v>0</v>
      </c>
      <c r="AE484" s="1">
        <f t="shared" si="366"/>
        <v>0</v>
      </c>
      <c r="AF484" s="1">
        <f t="shared" si="351"/>
        <v>0</v>
      </c>
      <c r="AG484" s="1">
        <f t="shared" si="352"/>
        <v>0</v>
      </c>
      <c r="AH484" s="1">
        <f t="shared" si="353"/>
        <v>0</v>
      </c>
      <c r="AI484" s="1">
        <f t="shared" si="354"/>
        <v>0</v>
      </c>
    </row>
    <row r="485" spans="1:35" s="1" customFormat="1" ht="14.25" customHeight="1" x14ac:dyDescent="0.3">
      <c r="A485" s="31">
        <v>0</v>
      </c>
      <c r="B485" s="31">
        <v>2</v>
      </c>
      <c r="C485" s="31">
        <v>7</v>
      </c>
      <c r="D485" s="32" t="s">
        <v>1846</v>
      </c>
      <c r="E485" s="32" t="s">
        <v>1168</v>
      </c>
      <c r="F485" s="32" t="s">
        <v>1847</v>
      </c>
      <c r="G485" s="32"/>
      <c r="H485" s="32" t="s">
        <v>354</v>
      </c>
      <c r="I485" s="31" t="s">
        <v>1848</v>
      </c>
      <c r="J485" s="31">
        <v>6</v>
      </c>
      <c r="K485" s="33" t="s">
        <v>703</v>
      </c>
      <c r="L485" s="33"/>
      <c r="M485" s="34"/>
      <c r="N485" s="34" t="s">
        <v>1748</v>
      </c>
      <c r="O485" s="35">
        <v>1</v>
      </c>
      <c r="P485" s="35"/>
      <c r="Q485" s="32"/>
      <c r="S485" s="1">
        <f t="shared" si="355"/>
        <v>0</v>
      </c>
      <c r="T485" s="1">
        <f t="shared" si="356"/>
        <v>0</v>
      </c>
      <c r="U485" s="1">
        <f t="shared" si="357"/>
        <v>0</v>
      </c>
      <c r="V485" s="1">
        <f t="shared" si="358"/>
        <v>0</v>
      </c>
      <c r="W485" s="1">
        <f t="shared" si="359"/>
        <v>0</v>
      </c>
      <c r="X485" s="1">
        <f t="shared" si="360"/>
        <v>1</v>
      </c>
      <c r="Y485" s="1">
        <f t="shared" si="361"/>
        <v>0</v>
      </c>
      <c r="Z485" s="1">
        <f t="shared" si="362"/>
        <v>0</v>
      </c>
      <c r="AA485" s="1">
        <f t="shared" si="363"/>
        <v>0</v>
      </c>
      <c r="AB485" s="1">
        <f t="shared" si="364"/>
        <v>0</v>
      </c>
      <c r="AD485" s="1">
        <f t="shared" si="365"/>
        <v>0</v>
      </c>
      <c r="AE485" s="1">
        <f t="shared" si="366"/>
        <v>1</v>
      </c>
      <c r="AF485" s="1">
        <f t="shared" si="351"/>
        <v>0</v>
      </c>
      <c r="AG485" s="1">
        <f t="shared" si="352"/>
        <v>1</v>
      </c>
      <c r="AH485" s="1">
        <f t="shared" si="353"/>
        <v>0</v>
      </c>
      <c r="AI485" s="1">
        <f t="shared" si="354"/>
        <v>1</v>
      </c>
    </row>
    <row r="486" spans="1:35" s="1" customFormat="1" ht="14.25" customHeight="1" x14ac:dyDescent="0.3">
      <c r="A486" s="44">
        <v>0</v>
      </c>
      <c r="B486" s="44">
        <v>2</v>
      </c>
      <c r="C486" s="44">
        <v>7</v>
      </c>
      <c r="D486" s="45" t="s">
        <v>1458</v>
      </c>
      <c r="E486" s="45" t="s">
        <v>28</v>
      </c>
      <c r="F486" s="45" t="s">
        <v>1459</v>
      </c>
      <c r="G486" s="45" t="s">
        <v>1460</v>
      </c>
      <c r="H486" s="45" t="s">
        <v>354</v>
      </c>
      <c r="I486" s="44" t="s">
        <v>1461</v>
      </c>
      <c r="J486" s="44">
        <v>99</v>
      </c>
      <c r="K486" s="46" t="s">
        <v>712</v>
      </c>
      <c r="L486" s="46" t="s">
        <v>713</v>
      </c>
      <c r="M486" s="47" t="s">
        <v>731</v>
      </c>
      <c r="N486" s="47" t="s">
        <v>1735</v>
      </c>
      <c r="O486" s="48"/>
      <c r="P486" s="48"/>
      <c r="Q486" s="45" t="s">
        <v>1931</v>
      </c>
      <c r="S486" s="1">
        <f t="shared" si="355"/>
        <v>0</v>
      </c>
      <c r="T486" s="1">
        <f t="shared" si="356"/>
        <v>0</v>
      </c>
      <c r="U486" s="1">
        <f t="shared" si="357"/>
        <v>0</v>
      </c>
      <c r="V486" s="1">
        <f t="shared" si="358"/>
        <v>0</v>
      </c>
      <c r="W486" s="1">
        <f t="shared" si="359"/>
        <v>0</v>
      </c>
      <c r="X486" s="1">
        <f t="shared" si="360"/>
        <v>0</v>
      </c>
      <c r="Y486" s="1">
        <f t="shared" si="361"/>
        <v>0</v>
      </c>
      <c r="Z486" s="1">
        <f t="shared" si="362"/>
        <v>0</v>
      </c>
      <c r="AA486" s="1">
        <f t="shared" si="363"/>
        <v>0</v>
      </c>
      <c r="AB486" s="1">
        <f t="shared" si="364"/>
        <v>0</v>
      </c>
      <c r="AD486" s="1">
        <f t="shared" si="365"/>
        <v>0</v>
      </c>
      <c r="AE486" s="1">
        <f t="shared" si="366"/>
        <v>0</v>
      </c>
      <c r="AF486" s="1">
        <f t="shared" si="351"/>
        <v>0</v>
      </c>
      <c r="AG486" s="1">
        <f t="shared" si="352"/>
        <v>0</v>
      </c>
      <c r="AH486" s="1">
        <f t="shared" si="353"/>
        <v>0</v>
      </c>
      <c r="AI486" s="1">
        <f t="shared" si="354"/>
        <v>1</v>
      </c>
    </row>
    <row r="487" spans="1:35" s="1" customFormat="1" ht="14.25" customHeight="1" x14ac:dyDescent="0.3">
      <c r="A487" s="31">
        <v>0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575</v>
      </c>
      <c r="G487" s="32" t="s">
        <v>235</v>
      </c>
      <c r="H487" s="32" t="s">
        <v>354</v>
      </c>
      <c r="I487" s="31" t="s">
        <v>582</v>
      </c>
      <c r="J487" s="31">
        <v>99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55"/>
        <v>0</v>
      </c>
      <c r="T487" s="1">
        <f t="shared" si="356"/>
        <v>0</v>
      </c>
      <c r="U487" s="1">
        <f t="shared" si="357"/>
        <v>0</v>
      </c>
      <c r="V487" s="1">
        <f t="shared" si="358"/>
        <v>0</v>
      </c>
      <c r="W487" s="1">
        <f t="shared" si="359"/>
        <v>0</v>
      </c>
      <c r="X487" s="1">
        <f t="shared" si="360"/>
        <v>0</v>
      </c>
      <c r="Y487" s="1">
        <f t="shared" si="361"/>
        <v>0</v>
      </c>
      <c r="Z487" s="1">
        <f t="shared" si="362"/>
        <v>0</v>
      </c>
      <c r="AA487" s="1">
        <f t="shared" si="363"/>
        <v>0</v>
      </c>
      <c r="AB487" s="1">
        <f t="shared" si="364"/>
        <v>0</v>
      </c>
      <c r="AD487" s="1">
        <f t="shared" si="365"/>
        <v>0</v>
      </c>
      <c r="AE487" s="1">
        <f t="shared" si="366"/>
        <v>1</v>
      </c>
      <c r="AF487" s="1">
        <f t="shared" si="351"/>
        <v>0</v>
      </c>
      <c r="AG487" s="1">
        <f t="shared" si="352"/>
        <v>1</v>
      </c>
      <c r="AH487" s="1">
        <f t="shared" si="353"/>
        <v>0</v>
      </c>
      <c r="AI487" s="1">
        <f t="shared" si="354"/>
        <v>1</v>
      </c>
    </row>
    <row r="488" spans="1:35" s="1" customFormat="1" ht="14.25" customHeight="1" x14ac:dyDescent="0.3">
      <c r="A488" s="31">
        <v>1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271</v>
      </c>
      <c r="G488" s="32" t="s">
        <v>180</v>
      </c>
      <c r="H488" s="32" t="s">
        <v>354</v>
      </c>
      <c r="I488" s="31" t="s">
        <v>426</v>
      </c>
      <c r="J488" s="31">
        <v>10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55"/>
        <v>0</v>
      </c>
      <c r="T488" s="1">
        <f t="shared" si="356"/>
        <v>0</v>
      </c>
      <c r="U488" s="1">
        <f t="shared" si="357"/>
        <v>0</v>
      </c>
      <c r="V488" s="1">
        <f t="shared" si="358"/>
        <v>0</v>
      </c>
      <c r="W488" s="1">
        <f t="shared" si="359"/>
        <v>0</v>
      </c>
      <c r="X488" s="1">
        <f t="shared" si="360"/>
        <v>0</v>
      </c>
      <c r="Y488" s="1">
        <f t="shared" si="361"/>
        <v>0</v>
      </c>
      <c r="Z488" s="1">
        <f t="shared" si="362"/>
        <v>0</v>
      </c>
      <c r="AA488" s="1">
        <f t="shared" si="363"/>
        <v>0</v>
      </c>
      <c r="AB488" s="1">
        <f t="shared" si="364"/>
        <v>1</v>
      </c>
      <c r="AD488" s="1">
        <f t="shared" si="365"/>
        <v>0</v>
      </c>
      <c r="AE488" s="1">
        <f t="shared" si="366"/>
        <v>1</v>
      </c>
      <c r="AF488" s="1">
        <f t="shared" si="351"/>
        <v>0</v>
      </c>
      <c r="AG488" s="1">
        <f t="shared" si="352"/>
        <v>0</v>
      </c>
      <c r="AH488" s="1">
        <f t="shared" si="353"/>
        <v>0</v>
      </c>
      <c r="AI488" s="1">
        <f t="shared" si="354"/>
        <v>0</v>
      </c>
    </row>
    <row r="489" spans="1:35" s="1" customFormat="1" ht="14.25" customHeight="1" x14ac:dyDescent="0.3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272</v>
      </c>
      <c r="G489" s="32" t="s">
        <v>39</v>
      </c>
      <c r="H489" s="32" t="s">
        <v>354</v>
      </c>
      <c r="I489" s="31" t="s">
        <v>427</v>
      </c>
      <c r="J489" s="31">
        <v>5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55"/>
        <v>0</v>
      </c>
      <c r="T489" s="1">
        <f t="shared" si="356"/>
        <v>0</v>
      </c>
      <c r="U489" s="1">
        <f t="shared" si="357"/>
        <v>0</v>
      </c>
      <c r="V489" s="1">
        <f t="shared" si="358"/>
        <v>0</v>
      </c>
      <c r="W489" s="1">
        <f t="shared" si="359"/>
        <v>1</v>
      </c>
      <c r="X489" s="1">
        <f t="shared" si="360"/>
        <v>0</v>
      </c>
      <c r="Y489" s="1">
        <f t="shared" si="361"/>
        <v>0</v>
      </c>
      <c r="Z489" s="1">
        <f t="shared" si="362"/>
        <v>0</v>
      </c>
      <c r="AA489" s="1">
        <f t="shared" si="363"/>
        <v>0</v>
      </c>
      <c r="AB489" s="1">
        <f t="shared" si="364"/>
        <v>0</v>
      </c>
      <c r="AD489" s="1">
        <f t="shared" si="365"/>
        <v>0</v>
      </c>
      <c r="AE489" s="1">
        <f t="shared" si="366"/>
        <v>1</v>
      </c>
      <c r="AF489" s="1">
        <f t="shared" si="351"/>
        <v>0</v>
      </c>
      <c r="AG489" s="1">
        <f t="shared" si="352"/>
        <v>0</v>
      </c>
      <c r="AH489" s="1">
        <f t="shared" si="353"/>
        <v>0</v>
      </c>
      <c r="AI489" s="1">
        <f t="shared" si="354"/>
        <v>0</v>
      </c>
    </row>
    <row r="490" spans="1:35" s="1" customFormat="1" ht="14.25" customHeight="1" x14ac:dyDescent="0.3">
      <c r="A490" s="31">
        <v>1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276</v>
      </c>
      <c r="G490" s="32" t="s">
        <v>194</v>
      </c>
      <c r="H490" s="32" t="s">
        <v>354</v>
      </c>
      <c r="I490" s="31" t="s">
        <v>431</v>
      </c>
      <c r="J490" s="31">
        <v>9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55"/>
        <v>0</v>
      </c>
      <c r="T490" s="1">
        <f t="shared" si="356"/>
        <v>0</v>
      </c>
      <c r="U490" s="1">
        <f t="shared" si="357"/>
        <v>0</v>
      </c>
      <c r="V490" s="1">
        <f t="shared" si="358"/>
        <v>0</v>
      </c>
      <c r="W490" s="1">
        <f t="shared" si="359"/>
        <v>0</v>
      </c>
      <c r="X490" s="1">
        <f t="shared" si="360"/>
        <v>0</v>
      </c>
      <c r="Y490" s="1">
        <f t="shared" si="361"/>
        <v>0</v>
      </c>
      <c r="Z490" s="1">
        <f t="shared" si="362"/>
        <v>0</v>
      </c>
      <c r="AA490" s="1">
        <f t="shared" si="363"/>
        <v>1</v>
      </c>
      <c r="AB490" s="1">
        <f t="shared" si="364"/>
        <v>0</v>
      </c>
      <c r="AD490" s="1">
        <f t="shared" si="365"/>
        <v>0</v>
      </c>
      <c r="AE490" s="1">
        <f t="shared" si="366"/>
        <v>1</v>
      </c>
      <c r="AF490" s="1">
        <f t="shared" si="351"/>
        <v>0</v>
      </c>
      <c r="AG490" s="1">
        <f t="shared" si="352"/>
        <v>0</v>
      </c>
      <c r="AH490" s="1">
        <f t="shared" si="353"/>
        <v>0</v>
      </c>
      <c r="AI490" s="1">
        <f t="shared" si="354"/>
        <v>0</v>
      </c>
    </row>
    <row r="491" spans="1:35" s="1" customFormat="1" ht="14.25" customHeight="1" x14ac:dyDescent="0.3">
      <c r="A491" s="44">
        <v>0</v>
      </c>
      <c r="B491" s="44">
        <v>2</v>
      </c>
      <c r="C491" s="44">
        <v>7</v>
      </c>
      <c r="D491" s="45" t="s">
        <v>1561</v>
      </c>
      <c r="E491" s="45" t="s">
        <v>28</v>
      </c>
      <c r="F491" s="45" t="s">
        <v>1562</v>
      </c>
      <c r="G491" s="45" t="s">
        <v>238</v>
      </c>
      <c r="H491" s="45" t="s">
        <v>354</v>
      </c>
      <c r="I491" s="44" t="s">
        <v>1695</v>
      </c>
      <c r="J491" s="44">
        <v>4</v>
      </c>
      <c r="K491" s="46" t="s">
        <v>713</v>
      </c>
      <c r="L491" s="46" t="s">
        <v>713</v>
      </c>
      <c r="M491" s="47" t="s">
        <v>731</v>
      </c>
      <c r="N491" s="47" t="s">
        <v>1735</v>
      </c>
      <c r="O491" s="48"/>
      <c r="P491" s="48"/>
      <c r="Q491" s="45"/>
      <c r="S491" s="1">
        <f t="shared" ref="S491:S492" si="367">IF(J491=$S$7,1,0)</f>
        <v>0</v>
      </c>
      <c r="T491" s="1">
        <f t="shared" ref="T491:T492" si="368">IF(J491=$T$7,1,0)</f>
        <v>0</v>
      </c>
      <c r="U491" s="1">
        <f t="shared" ref="U491:U492" si="369">IF(J491=$U$7,1,0)</f>
        <v>0</v>
      </c>
      <c r="V491" s="1">
        <f t="shared" ref="V491:V492" si="370">IF(J491=$V$7,1,0)</f>
        <v>1</v>
      </c>
      <c r="W491" s="1">
        <f t="shared" ref="W491:W492" si="371">IF(J491=$W$7,1,0)</f>
        <v>0</v>
      </c>
      <c r="X491" s="1">
        <f t="shared" ref="X491:X492" si="372">IF(J491=$X$7,1,0)</f>
        <v>0</v>
      </c>
      <c r="Y491" s="1">
        <f t="shared" ref="Y491:Y492" si="373">IF(J491=$Y$7,1,0)</f>
        <v>0</v>
      </c>
      <c r="Z491" s="1">
        <f t="shared" ref="Z491:Z492" si="374">IF(J491=$Z$7,1,0)</f>
        <v>0</v>
      </c>
      <c r="AA491" s="1">
        <f t="shared" ref="AA491:AA492" si="375">IF(J491=$AA$7,1,0)</f>
        <v>0</v>
      </c>
      <c r="AB491" s="1">
        <f t="shared" ref="AB491:AB492" si="376">IF(J491=$AB$7,1,0)</f>
        <v>0</v>
      </c>
      <c r="AD491" s="1">
        <f t="shared" ref="AD491:AD492" si="377">+O491*P491</f>
        <v>0</v>
      </c>
      <c r="AE491" s="1">
        <f t="shared" ref="AE491:AE492" si="378">O491*(1-P491)</f>
        <v>0</v>
      </c>
      <c r="AF491" s="1">
        <f t="shared" ref="AF491:AF492" si="379">+O491*P491*(1-A491)</f>
        <v>0</v>
      </c>
      <c r="AG491" s="1">
        <f t="shared" ref="AG491:AG492" si="380">O491*(1-P491)*(1-A491)</f>
        <v>0</v>
      </c>
      <c r="AH491" s="1">
        <f t="shared" ref="AH491:AH492" si="381">+P491*(1-A491)</f>
        <v>0</v>
      </c>
      <c r="AI491" s="1">
        <f t="shared" ref="AI491:AI492" si="382">+(1-A491)*(1-P491)</f>
        <v>1</v>
      </c>
    </row>
    <row r="492" spans="1:35" s="1" customFormat="1" ht="14.25" customHeight="1" x14ac:dyDescent="0.3">
      <c r="A492" s="44">
        <v>0</v>
      </c>
      <c r="B492" s="44">
        <v>2</v>
      </c>
      <c r="C492" s="44">
        <v>7</v>
      </c>
      <c r="D492" s="45" t="s">
        <v>63</v>
      </c>
      <c r="E492" s="45" t="s">
        <v>44</v>
      </c>
      <c r="F492" s="45" t="s">
        <v>236</v>
      </c>
      <c r="G492" s="45" t="s">
        <v>200</v>
      </c>
      <c r="H492" s="45" t="s">
        <v>354</v>
      </c>
      <c r="I492" s="44" t="s">
        <v>402</v>
      </c>
      <c r="J492" s="44">
        <v>2</v>
      </c>
      <c r="K492" s="46" t="s">
        <v>713</v>
      </c>
      <c r="L492" s="46" t="s">
        <v>722</v>
      </c>
      <c r="M492" s="47" t="s">
        <v>735</v>
      </c>
      <c r="N492" s="47" t="s">
        <v>1735</v>
      </c>
      <c r="O492" s="48"/>
      <c r="P492" s="48"/>
      <c r="Q492" s="45"/>
      <c r="S492" s="1">
        <f t="shared" si="367"/>
        <v>0</v>
      </c>
      <c r="T492" s="1">
        <f t="shared" si="368"/>
        <v>1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0</v>
      </c>
      <c r="AF492" s="1">
        <f t="shared" si="379"/>
        <v>0</v>
      </c>
      <c r="AG492" s="1">
        <f t="shared" si="380"/>
        <v>0</v>
      </c>
      <c r="AH492" s="1">
        <f t="shared" si="381"/>
        <v>0</v>
      </c>
      <c r="AI492" s="1">
        <f t="shared" si="382"/>
        <v>1</v>
      </c>
    </row>
    <row r="493" spans="1:35" s="1" customFormat="1" ht="14.25" customHeight="1" x14ac:dyDescent="0.3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Q493" s="20"/>
    </row>
    <row r="494" spans="1:35" s="1" customFormat="1" ht="14.25" customHeight="1" x14ac:dyDescent="0.3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Q494" s="20"/>
    </row>
    <row r="495" spans="1:35" s="1" customFormat="1" ht="14.25" customHeight="1" x14ac:dyDescent="0.3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Q495" s="20"/>
    </row>
    <row r="496" spans="1:35" s="1" customFormat="1" ht="14.25" customHeight="1" x14ac:dyDescent="0.3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Q496" s="20"/>
    </row>
    <row r="497" spans="1:17" s="1" customFormat="1" ht="14.25" customHeight="1" x14ac:dyDescent="0.3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3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L784" s="10"/>
      <c r="M784" s="19"/>
      <c r="N784" s="17"/>
      <c r="Q784" s="16"/>
    </row>
    <row r="785" spans="1:17" s="1" customFormat="1" ht="14.25" customHeight="1" x14ac:dyDescent="0.3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L785" s="10"/>
      <c r="M785" s="19"/>
      <c r="N785" s="17"/>
      <c r="Q785" s="16"/>
    </row>
    <row r="786" spans="1:17" s="1" customFormat="1" ht="14.25" customHeight="1" x14ac:dyDescent="0.3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L786" s="10"/>
      <c r="M786" s="19"/>
      <c r="N786" s="17"/>
      <c r="Q786" s="16"/>
    </row>
    <row r="787" spans="1:17" s="1" customFormat="1" ht="14.25" customHeight="1" x14ac:dyDescent="0.3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L787" s="10"/>
      <c r="M787" s="19"/>
      <c r="N787" s="17"/>
      <c r="Q787" s="16"/>
    </row>
    <row r="788" spans="1:17" s="1" customFormat="1" ht="14.25" customHeight="1" x14ac:dyDescent="0.3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L788" s="10"/>
      <c r="M788" s="17"/>
      <c r="N788" s="17"/>
      <c r="Q788" s="16"/>
    </row>
    <row r="789" spans="1:17" s="1" customFormat="1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7"/>
      <c r="N789" s="17"/>
      <c r="Q789" s="16"/>
    </row>
    <row r="790" spans="1:17" s="1" customFormat="1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7"/>
      <c r="N790" s="17"/>
      <c r="Q790" s="16"/>
    </row>
    <row r="791" spans="1:17" s="1" customFormat="1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7"/>
      <c r="N791" s="17"/>
      <c r="Q791" s="16"/>
    </row>
  </sheetData>
  <autoFilter ref="A7:Q492" xr:uid="{AEE30112-88BB-441D-AEFC-A7A733AB1798}">
    <sortState xmlns:xlrd2="http://schemas.microsoft.com/office/spreadsheetml/2017/richdata2" ref="A8:Q492">
      <sortCondition ref="B8:B492"/>
      <sortCondition ref="C8:C492"/>
      <sortCondition ref="D8:D492"/>
      <sortCondition ref="A8:A492"/>
    </sortState>
  </autoFilter>
  <sortState xmlns:xlrd2="http://schemas.microsoft.com/office/spreadsheetml/2017/richdata2" ref="A8:Q492">
    <sortCondition ref="B8:B492"/>
    <sortCondition ref="C8:C492"/>
    <sortCondition ref="D8:D492"/>
    <sortCondition ref="A8:A49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2026-07-07T15:19:26Z</dcterms:modified>
</cp:coreProperties>
</file>